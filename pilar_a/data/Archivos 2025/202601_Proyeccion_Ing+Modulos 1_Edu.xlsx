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dacm/udd/redco_proyect/pilar_a/data/Archivos 2025/"/>
    </mc:Choice>
  </mc:AlternateContent>
  <xr:revisionPtr revIDLastSave="0" documentId="13_ncr:1_{03F0178B-250D-664D-BD9E-C41B3B67E87D}" xr6:coauthVersionLast="47" xr6:coauthVersionMax="47" xr10:uidLastSave="{00000000-0000-0000-0000-000000000000}"/>
  <bookViews>
    <workbookView xWindow="0" yWindow="0" windowWidth="28800" windowHeight="18000" xr2:uid="{62F802B4-9999-4EA9-B75D-FD3F19FAC807}"/>
  </bookViews>
  <sheets>
    <sheet name="Resumen Forecast 25´" sheetId="21" r:id="rId1"/>
    <sheet name="Resumen Budget 25´" sheetId="20" r:id="rId2"/>
    <sheet name="Resumen" sheetId="16" r:id="rId3"/>
    <sheet name="Dashboard" sheetId="7" r:id="rId4"/>
    <sheet name="Calculos -&gt;" sheetId="15" r:id="rId5"/>
    <sheet name="Hoja2" sheetId="22" r:id="rId6"/>
    <sheet name="Listas y Parametros" sheetId="8" r:id="rId7"/>
    <sheet name="Gantt Proyectos" sheetId="1" r:id="rId8"/>
    <sheet name="Hoja1" sheetId="13" state="hidden" r:id="rId9"/>
    <sheet name="Costo Directo Proyectos" sheetId="5" r:id="rId10"/>
    <sheet name="EDP Proyectado" sheetId="10" r:id="rId11"/>
    <sheet name="Hoja4" sheetId="19" r:id="rId12"/>
    <sheet name="Ingreso Proyectado" sheetId="11" r:id="rId13"/>
    <sheet name="Costos Proyectados por Unidad" sheetId="12" r:id="rId14"/>
    <sheet name="Flujo Caja" sheetId="6" r:id="rId15"/>
    <sheet name="Ingreso Proyectado_Edu" sheetId="14" state="hidden" r:id="rId16"/>
    <sheet name="Personal" sheetId="4" state="hidden" r:id="rId17"/>
  </sheets>
  <externalReferences>
    <externalReference r:id="rId18"/>
    <externalReference r:id="rId19"/>
    <externalReference r:id="rId20"/>
  </externalReferences>
  <definedNames>
    <definedName name="_xlnm._FilterDatabase" localSheetId="3" hidden="1">Dashboard!$B$10:$J$69</definedName>
    <definedName name="_xlnm._FilterDatabase" localSheetId="10" hidden="1">'EDP Proyectado'!$C$28:$AQ$194</definedName>
    <definedName name="_xlnm._FilterDatabase" localSheetId="7" hidden="1">'Gantt Proyectos'!$B$96:$AN$196</definedName>
    <definedName name="_xlnm._FilterDatabase" localSheetId="12" hidden="1">'Ingreso Proyectado'!$C$28:$AP$194</definedName>
    <definedName name="_xlnm._FilterDatabase" localSheetId="6" hidden="1">'Listas y Parametros'!$A$63:$AD$148</definedName>
    <definedName name="_xlnm._FilterDatabase" localSheetId="16" hidden="1">Personal!$A$6:$I$6</definedName>
    <definedName name="RutaCarpeta">#REF!</definedName>
    <definedName name="solver_eng" localSheetId="6" hidden="1">1</definedName>
    <definedName name="solver_lin" localSheetId="6" hidden="1">2</definedName>
    <definedName name="solver_neg" localSheetId="6" hidden="1">1</definedName>
    <definedName name="solver_num" localSheetId="6" hidden="1">0</definedName>
    <definedName name="solver_opt" localSheetId="6" hidden="1">'Listas y Parametros'!$C$46</definedName>
    <definedName name="solver_typ" localSheetId="6" hidden="1">3</definedName>
    <definedName name="solver_val" localSheetId="6" hidden="1">0</definedName>
    <definedName name="solver_ver" localSheetId="6" hidden="1">2</definedName>
  </definedNames>
  <calcPr calcId="191028" iterateDelta="1E-4"/>
  <pivotCaches>
    <pivotCache cacheId="117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2" i="8" l="1"/>
  <c r="L68" i="8" l="1"/>
  <c r="C49" i="16"/>
  <c r="B36" i="21"/>
  <c r="M55" i="16"/>
  <c r="I77" i="12"/>
  <c r="AR113" i="1"/>
  <c r="B4" i="21"/>
  <c r="W17" i="21"/>
  <c r="N15" i="16"/>
  <c r="N14" i="16"/>
  <c r="B28" i="16"/>
  <c r="G25" i="16"/>
  <c r="P6" i="16"/>
  <c r="P5" i="16"/>
  <c r="P4" i="16"/>
  <c r="P10" i="16"/>
  <c r="M4" i="20"/>
  <c r="B35" i="21"/>
  <c r="B34" i="21"/>
  <c r="T7" i="21"/>
  <c r="T4" i="21"/>
  <c r="T5" i="21" s="1"/>
  <c r="P3" i="21"/>
  <c r="B8" i="21"/>
  <c r="L46" i="16" l="1"/>
  <c r="M46" i="16"/>
  <c r="L47" i="16"/>
  <c r="M47" i="16"/>
  <c r="L48" i="16"/>
  <c r="M48" i="16"/>
  <c r="L49" i="16"/>
  <c r="M49" i="16"/>
  <c r="L50" i="16"/>
  <c r="M50" i="16"/>
  <c r="L51" i="16"/>
  <c r="M51" i="16"/>
  <c r="L52" i="16"/>
  <c r="M52" i="16"/>
  <c r="L53" i="16"/>
  <c r="M53" i="16"/>
  <c r="L54" i="16"/>
  <c r="M54" i="16"/>
  <c r="L55" i="16"/>
  <c r="L56" i="16"/>
  <c r="L58" i="16" s="1"/>
  <c r="M56" i="16"/>
  <c r="M58" i="16" s="1"/>
  <c r="L57" i="16"/>
  <c r="L59" i="16" s="1"/>
  <c r="M57" i="16"/>
  <c r="M59" i="16" s="1"/>
  <c r="L4" i="16"/>
  <c r="M4" i="16"/>
  <c r="L5" i="16"/>
  <c r="M5" i="16"/>
  <c r="C65" i="16" s="1"/>
  <c r="L6" i="16"/>
  <c r="O6" i="16" s="1"/>
  <c r="M6" i="16"/>
  <c r="B66" i="16" s="1"/>
  <c r="L7" i="16"/>
  <c r="M7" i="16"/>
  <c r="O7" i="16" s="1"/>
  <c r="L8" i="16"/>
  <c r="M8" i="16"/>
  <c r="B67" i="16" s="1"/>
  <c r="L9" i="16"/>
  <c r="N9" i="16" s="1"/>
  <c r="M9" i="16"/>
  <c r="L10" i="16"/>
  <c r="N10" i="16" s="1"/>
  <c r="M10" i="16"/>
  <c r="L11" i="16"/>
  <c r="M11" i="16"/>
  <c r="M15" i="16" s="1"/>
  <c r="M17" i="16" s="1"/>
  <c r="L12" i="16"/>
  <c r="O12" i="16" s="1"/>
  <c r="M12" i="16"/>
  <c r="L13" i="16"/>
  <c r="O13" i="16" s="1"/>
  <c r="M13" i="16"/>
  <c r="C69" i="16" s="1"/>
  <c r="L14" i="16"/>
  <c r="O14" i="16" s="1"/>
  <c r="M14" i="16"/>
  <c r="M16" i="16" s="1"/>
  <c r="L15" i="16"/>
  <c r="L17" i="16" s="1"/>
  <c r="O17" i="16" s="1"/>
  <c r="B69" i="16"/>
  <c r="C68" i="16"/>
  <c r="B68" i="16"/>
  <c r="C67" i="16"/>
  <c r="C66" i="16"/>
  <c r="B65" i="16"/>
  <c r="O4" i="16"/>
  <c r="O10" i="16"/>
  <c r="N13" i="16"/>
  <c r="N12" i="16"/>
  <c r="N11" i="16"/>
  <c r="O8" i="16" l="1"/>
  <c r="O9" i="16"/>
  <c r="N7" i="16"/>
  <c r="O11" i="16"/>
  <c r="N8" i="16"/>
  <c r="L16" i="16"/>
  <c r="O16" i="16" s="1"/>
  <c r="O15" i="16"/>
  <c r="N4" i="16"/>
  <c r="N5" i="16"/>
  <c r="O5" i="16"/>
  <c r="N6" i="16"/>
  <c r="C5" i="21" l="1"/>
  <c r="D5" i="21"/>
  <c r="E5" i="21"/>
  <c r="F5" i="21"/>
  <c r="G5" i="21"/>
  <c r="H5" i="21"/>
  <c r="I5" i="21"/>
  <c r="J5" i="21"/>
  <c r="K5" i="21"/>
  <c r="L5" i="21"/>
  <c r="M5" i="21"/>
  <c r="B5" i="21"/>
  <c r="AA36" i="21"/>
  <c r="P37" i="21"/>
  <c r="Q37" i="21"/>
  <c r="R37" i="21"/>
  <c r="S37" i="21"/>
  <c r="T37" i="21"/>
  <c r="U37" i="21"/>
  <c r="V37" i="21"/>
  <c r="W37" i="21"/>
  <c r="X37" i="21"/>
  <c r="Y37" i="21"/>
  <c r="Z37" i="21"/>
  <c r="O37" i="21"/>
  <c r="C4" i="21"/>
  <c r="D4" i="21"/>
  <c r="E4" i="21"/>
  <c r="F4" i="21"/>
  <c r="G4" i="21"/>
  <c r="H4" i="21"/>
  <c r="I4" i="21"/>
  <c r="J4" i="21"/>
  <c r="K4" i="21"/>
  <c r="L4" i="21"/>
  <c r="M4" i="21"/>
  <c r="AA33" i="21"/>
  <c r="P34" i="21"/>
  <c r="Q34" i="21"/>
  <c r="R34" i="21"/>
  <c r="S34" i="21"/>
  <c r="T34" i="21"/>
  <c r="U34" i="21"/>
  <c r="V34" i="21"/>
  <c r="W34" i="21"/>
  <c r="X34" i="21"/>
  <c r="Y34" i="21"/>
  <c r="Z34" i="21"/>
  <c r="O34" i="21"/>
  <c r="M8" i="21" l="1"/>
  <c r="M9" i="21" s="1"/>
  <c r="C7" i="21"/>
  <c r="D7" i="21"/>
  <c r="E7" i="21"/>
  <c r="F7" i="21"/>
  <c r="G7" i="21"/>
  <c r="H7" i="21"/>
  <c r="I7" i="21"/>
  <c r="J7" i="21"/>
  <c r="K7" i="21"/>
  <c r="L7" i="21"/>
  <c r="M7" i="21"/>
  <c r="B7" i="21"/>
  <c r="AA30" i="21"/>
  <c r="C6" i="21"/>
  <c r="D6" i="21"/>
  <c r="E6" i="21"/>
  <c r="F6" i="21"/>
  <c r="G6" i="21"/>
  <c r="H6" i="21"/>
  <c r="I6" i="21"/>
  <c r="J6" i="21"/>
  <c r="K6" i="21"/>
  <c r="L6" i="21"/>
  <c r="M6" i="21"/>
  <c r="B6" i="21"/>
  <c r="AA27" i="21"/>
  <c r="K13" i="16" l="1"/>
  <c r="K12" i="16"/>
  <c r="K11" i="16"/>
  <c r="K10" i="16"/>
  <c r="K9" i="16"/>
  <c r="K8" i="16"/>
  <c r="K7" i="16"/>
  <c r="K6" i="16"/>
  <c r="K5" i="16"/>
  <c r="K4" i="16"/>
  <c r="P4" i="21"/>
  <c r="P7" i="16" l="1"/>
  <c r="K14" i="16"/>
  <c r="P8" i="16"/>
  <c r="P9" i="16" s="1"/>
  <c r="P12" i="16"/>
  <c r="P13" i="16" s="1"/>
  <c r="P11" i="16"/>
  <c r="K15" i="16"/>
  <c r="K17" i="16" l="1"/>
  <c r="P14" i="16"/>
  <c r="P15" i="16" s="1"/>
  <c r="K16" i="16"/>
  <c r="J13" i="16" l="1"/>
  <c r="J11" i="16"/>
  <c r="J9" i="16"/>
  <c r="J7" i="16"/>
  <c r="J5" i="16"/>
  <c r="P31" i="21"/>
  <c r="Q31" i="21"/>
  <c r="R31" i="21"/>
  <c r="S31" i="21"/>
  <c r="T31" i="21"/>
  <c r="U31" i="21"/>
  <c r="V31" i="21"/>
  <c r="W31" i="21"/>
  <c r="X31" i="21"/>
  <c r="Y31" i="21"/>
  <c r="Z31" i="21"/>
  <c r="P28" i="21"/>
  <c r="Q28" i="21"/>
  <c r="R28" i="21"/>
  <c r="S28" i="21"/>
  <c r="T28" i="21"/>
  <c r="U28" i="21"/>
  <c r="V28" i="21"/>
  <c r="W28" i="21"/>
  <c r="X28" i="21"/>
  <c r="Y28" i="21"/>
  <c r="Z28" i="21"/>
  <c r="C13" i="16"/>
  <c r="D13" i="16"/>
  <c r="E13" i="16"/>
  <c r="F13" i="16"/>
  <c r="G13" i="16"/>
  <c r="H13" i="16"/>
  <c r="I13" i="16"/>
  <c r="B13" i="16"/>
  <c r="C11" i="16"/>
  <c r="D11" i="16"/>
  <c r="E11" i="16"/>
  <c r="F11" i="16"/>
  <c r="G11" i="16"/>
  <c r="H11" i="16"/>
  <c r="I11" i="16"/>
  <c r="B11" i="16"/>
  <c r="C9" i="16"/>
  <c r="D9" i="16"/>
  <c r="E9" i="16"/>
  <c r="F9" i="16"/>
  <c r="G9" i="16"/>
  <c r="H9" i="16"/>
  <c r="I9" i="16"/>
  <c r="B9" i="16"/>
  <c r="C7" i="16"/>
  <c r="D7" i="16"/>
  <c r="E7" i="16"/>
  <c r="F7" i="16"/>
  <c r="G7" i="16"/>
  <c r="H7" i="16"/>
  <c r="I7" i="16"/>
  <c r="B7" i="16"/>
  <c r="C5" i="16"/>
  <c r="D5" i="16"/>
  <c r="E5" i="16"/>
  <c r="F5" i="16"/>
  <c r="G5" i="16"/>
  <c r="H5" i="16"/>
  <c r="I5" i="16"/>
  <c r="B5" i="16"/>
  <c r="B4" i="16"/>
  <c r="C4" i="16"/>
  <c r="D4" i="16"/>
  <c r="E4" i="16"/>
  <c r="F4" i="16"/>
  <c r="G4" i="16"/>
  <c r="H4" i="16"/>
  <c r="I4" i="16"/>
  <c r="J4" i="16"/>
  <c r="K47" i="16" l="1"/>
  <c r="K53" i="16"/>
  <c r="K51" i="16"/>
  <c r="K55" i="16"/>
  <c r="K46" i="16"/>
  <c r="K49" i="16"/>
  <c r="J51" i="16"/>
  <c r="J15" i="16"/>
  <c r="J17" i="16" s="1"/>
  <c r="C70" i="16"/>
  <c r="C71" i="16" s="1"/>
  <c r="J46" i="16"/>
  <c r="J55" i="16"/>
  <c r="J49" i="16"/>
  <c r="J47" i="16"/>
  <c r="J53" i="16"/>
  <c r="G35" i="16"/>
  <c r="G36" i="16"/>
  <c r="I47" i="16"/>
  <c r="I49" i="16"/>
  <c r="I51" i="16"/>
  <c r="DR40" i="7"/>
  <c r="DS40" i="7" s="1"/>
  <c r="DK31" i="7"/>
  <c r="DR28" i="7"/>
  <c r="DK28" i="7" s="1"/>
  <c r="DS28" i="7"/>
  <c r="DR29" i="7"/>
  <c r="DK29" i="7" s="1"/>
  <c r="DS29" i="7"/>
  <c r="DR30" i="7"/>
  <c r="DS30" i="7"/>
  <c r="DR31" i="7"/>
  <c r="DS31" i="7"/>
  <c r="DR32" i="7"/>
  <c r="DR41" i="7" s="1"/>
  <c r="DS41" i="7" s="1"/>
  <c r="DS32" i="7"/>
  <c r="DK24" i="7"/>
  <c r="DK23" i="7"/>
  <c r="DK22" i="7"/>
  <c r="DK21" i="7"/>
  <c r="DK20" i="7"/>
  <c r="DK16" i="7"/>
  <c r="D65" i="16" l="1"/>
  <c r="E65" i="16" s="1"/>
  <c r="DR38" i="7"/>
  <c r="DS38" i="7" s="1"/>
  <c r="DR37" i="7"/>
  <c r="DS37" i="7" s="1"/>
  <c r="DK32" i="7"/>
  <c r="H46" i="16"/>
  <c r="H47" i="16"/>
  <c r="H48" i="16"/>
  <c r="H49" i="16"/>
  <c r="H50" i="16"/>
  <c r="H51" i="16"/>
  <c r="H52" i="16"/>
  <c r="H54" i="16"/>
  <c r="O31" i="21"/>
  <c r="O28" i="21"/>
  <c r="H14" i="16"/>
  <c r="H16" i="16" s="1"/>
  <c r="I46" i="16" l="1"/>
  <c r="B42" i="16"/>
  <c r="G47" i="16"/>
  <c r="G48" i="16"/>
  <c r="G50" i="16"/>
  <c r="G51" i="16"/>
  <c r="G52" i="16"/>
  <c r="G54" i="16"/>
  <c r="G46" i="16"/>
  <c r="G14" i="16"/>
  <c r="G16" i="16" s="1"/>
  <c r="D132" i="11" l="1"/>
  <c r="E132" i="11"/>
  <c r="F132" i="11"/>
  <c r="G132" i="11"/>
  <c r="D131" i="11"/>
  <c r="E131" i="11"/>
  <c r="F131" i="11"/>
  <c r="G131" i="11"/>
  <c r="DM17" i="7"/>
  <c r="DN17" i="7"/>
  <c r="DO17" i="7"/>
  <c r="DP17" i="7"/>
  <c r="DQ17" i="7"/>
  <c r="DQ28" i="7"/>
  <c r="DQ32" i="7"/>
  <c r="DQ31" i="7"/>
  <c r="DQ30" i="7"/>
  <c r="DQ29" i="7"/>
  <c r="Q87" i="10"/>
  <c r="Q86" i="10"/>
  <c r="J155" i="1"/>
  <c r="W155" i="1" s="1"/>
  <c r="C69" i="7"/>
  <c r="D69" i="7"/>
  <c r="E69" i="7"/>
  <c r="F69" i="7"/>
  <c r="G69" i="7"/>
  <c r="H69" i="7"/>
  <c r="V155" i="1"/>
  <c r="Q155" i="1"/>
  <c r="AG155" i="1" s="1"/>
  <c r="M155" i="1"/>
  <c r="AN155" i="1" l="1"/>
  <c r="AM155" i="1"/>
  <c r="AK155" i="1"/>
  <c r="AJ155" i="1"/>
  <c r="AI155" i="1"/>
  <c r="AL155" i="1"/>
  <c r="AH155" i="1"/>
  <c r="B34" i="20" l="1"/>
  <c r="B33" i="20"/>
  <c r="S7" i="21"/>
  <c r="M2" i="21"/>
  <c r="L2" i="21"/>
  <c r="K2" i="21"/>
  <c r="J2" i="21"/>
  <c r="I2" i="21"/>
  <c r="H2" i="21"/>
  <c r="G2" i="21"/>
  <c r="M7" i="20"/>
  <c r="L7" i="20"/>
  <c r="K7" i="20"/>
  <c r="J7" i="20"/>
  <c r="J12" i="16" s="1"/>
  <c r="I7" i="20"/>
  <c r="I12" i="16" s="1"/>
  <c r="H7" i="20"/>
  <c r="G7" i="20"/>
  <c r="F7" i="20"/>
  <c r="E7" i="20"/>
  <c r="D7" i="20"/>
  <c r="C7" i="20"/>
  <c r="B7" i="20"/>
  <c r="M6" i="20"/>
  <c r="M8" i="20" s="1"/>
  <c r="M9" i="20" s="1"/>
  <c r="L6" i="20"/>
  <c r="L8" i="20" s="1"/>
  <c r="L9" i="20" s="1"/>
  <c r="K6" i="20"/>
  <c r="K8" i="20" s="1"/>
  <c r="K9" i="20" s="1"/>
  <c r="J6" i="20"/>
  <c r="I6" i="20"/>
  <c r="H6" i="20"/>
  <c r="H8" i="20" s="1"/>
  <c r="H9" i="20" s="1"/>
  <c r="G6" i="20"/>
  <c r="F6" i="20"/>
  <c r="F8" i="20" s="1"/>
  <c r="F9" i="20" s="1"/>
  <c r="E6" i="20"/>
  <c r="D6" i="20"/>
  <c r="C6" i="20"/>
  <c r="B6" i="20"/>
  <c r="M5" i="20"/>
  <c r="L5" i="20"/>
  <c r="K5" i="20"/>
  <c r="J5" i="20"/>
  <c r="J8" i="16" s="1"/>
  <c r="I5" i="20"/>
  <c r="I8" i="16" s="1"/>
  <c r="H5" i="20"/>
  <c r="G5" i="20"/>
  <c r="F5" i="20"/>
  <c r="E5" i="20"/>
  <c r="D5" i="20"/>
  <c r="C5" i="20"/>
  <c r="B5" i="20"/>
  <c r="B36" i="20" s="1"/>
  <c r="L4" i="20"/>
  <c r="K4" i="20"/>
  <c r="J4" i="20"/>
  <c r="J6" i="16" s="1"/>
  <c r="I4" i="20"/>
  <c r="I6" i="16" s="1"/>
  <c r="H4" i="20"/>
  <c r="G4" i="20"/>
  <c r="F4" i="20"/>
  <c r="E4" i="20"/>
  <c r="D4" i="20"/>
  <c r="C4" i="20"/>
  <c r="B4" i="20"/>
  <c r="B35" i="20" s="1"/>
  <c r="Q3" i="20"/>
  <c r="P3" i="20"/>
  <c r="M2" i="20"/>
  <c r="L2" i="20"/>
  <c r="K2" i="20"/>
  <c r="J2" i="20"/>
  <c r="I2" i="20"/>
  <c r="P2" i="20" s="1"/>
  <c r="H2" i="20"/>
  <c r="G2" i="20"/>
  <c r="F2" i="20"/>
  <c r="E2" i="20"/>
  <c r="D2" i="20"/>
  <c r="C2" i="20"/>
  <c r="B2" i="20"/>
  <c r="C46" i="16"/>
  <c r="D46" i="16"/>
  <c r="E46" i="16"/>
  <c r="F46" i="16"/>
  <c r="C47" i="16"/>
  <c r="D47" i="16"/>
  <c r="E47" i="16"/>
  <c r="F47" i="16"/>
  <c r="C48" i="16"/>
  <c r="D48" i="16"/>
  <c r="E48" i="16"/>
  <c r="F48" i="16"/>
  <c r="D49" i="16"/>
  <c r="C50" i="16"/>
  <c r="D50" i="16"/>
  <c r="E50" i="16"/>
  <c r="F50" i="16"/>
  <c r="C51" i="16"/>
  <c r="D51" i="16"/>
  <c r="E51" i="16"/>
  <c r="F51" i="16"/>
  <c r="C52" i="16"/>
  <c r="D52" i="16"/>
  <c r="E52" i="16"/>
  <c r="F52" i="16"/>
  <c r="C54" i="16"/>
  <c r="D54" i="16"/>
  <c r="E54" i="16"/>
  <c r="F54" i="16"/>
  <c r="B54" i="16"/>
  <c r="B52" i="16"/>
  <c r="B51" i="16"/>
  <c r="B50" i="16"/>
  <c r="B49" i="16"/>
  <c r="B48" i="16"/>
  <c r="B47" i="16"/>
  <c r="B46" i="16"/>
  <c r="N19" i="16"/>
  <c r="F14" i="16"/>
  <c r="F16" i="16" s="1"/>
  <c r="DP28" i="7"/>
  <c r="DP29" i="7"/>
  <c r="DP30" i="7"/>
  <c r="DK30" i="7" s="1"/>
  <c r="DP31" i="7"/>
  <c r="K48" i="16" l="1"/>
  <c r="K50" i="16"/>
  <c r="K54" i="16"/>
  <c r="C8" i="20"/>
  <c r="C9" i="20" s="1"/>
  <c r="J48" i="16"/>
  <c r="I48" i="16"/>
  <c r="I50" i="16"/>
  <c r="J50" i="16"/>
  <c r="I8" i="20"/>
  <c r="I9" i="20" s="1"/>
  <c r="I10" i="16"/>
  <c r="I54" i="16"/>
  <c r="J54" i="16"/>
  <c r="D67" i="16"/>
  <c r="E67" i="16" s="1"/>
  <c r="J8" i="20"/>
  <c r="J9" i="20" s="1"/>
  <c r="J10" i="16"/>
  <c r="D69" i="16"/>
  <c r="E69" i="16" s="1"/>
  <c r="D66" i="16"/>
  <c r="E66" i="16" s="1"/>
  <c r="P5" i="21"/>
  <c r="Q2" i="20"/>
  <c r="G8" i="20"/>
  <c r="G9" i="20" s="1"/>
  <c r="Q6" i="20"/>
  <c r="P7" i="20"/>
  <c r="B8" i="20"/>
  <c r="C10" i="20" s="1"/>
  <c r="Q7" i="20"/>
  <c r="D8" i="20"/>
  <c r="D9" i="20" s="1"/>
  <c r="E8" i="20"/>
  <c r="E9" i="20" s="1"/>
  <c r="B37" i="20"/>
  <c r="B38" i="20"/>
  <c r="E49" i="16"/>
  <c r="G49" i="16"/>
  <c r="U6" i="21"/>
  <c r="Q2" i="21"/>
  <c r="C34" i="16"/>
  <c r="B37" i="21"/>
  <c r="Q3" i="21"/>
  <c r="J8" i="21"/>
  <c r="J9" i="21" s="1"/>
  <c r="K8" i="21"/>
  <c r="K9" i="21" s="1"/>
  <c r="L8" i="21"/>
  <c r="L9" i="21" s="1"/>
  <c r="P2" i="21"/>
  <c r="P4" i="20"/>
  <c r="Q4" i="20"/>
  <c r="P5" i="20"/>
  <c r="Q5" i="20"/>
  <c r="P6" i="20"/>
  <c r="F49" i="16"/>
  <c r="K52" i="16" l="1"/>
  <c r="I52" i="16"/>
  <c r="I14" i="16"/>
  <c r="I16" i="16" s="1"/>
  <c r="J52" i="16"/>
  <c r="Q5" i="21"/>
  <c r="B10" i="20"/>
  <c r="J14" i="16"/>
  <c r="T8" i="21"/>
  <c r="T9" i="21" s="1"/>
  <c r="C36" i="16"/>
  <c r="C42" i="16" s="1"/>
  <c r="Y15" i="21"/>
  <c r="S4" i="20"/>
  <c r="S11" i="21" s="1"/>
  <c r="M10" i="20"/>
  <c r="L10" i="20"/>
  <c r="B9" i="20"/>
  <c r="Q9" i="20" s="1"/>
  <c r="D10" i="20"/>
  <c r="H10" i="20"/>
  <c r="Q8" i="20"/>
  <c r="G10" i="20"/>
  <c r="F10" i="20"/>
  <c r="E10" i="20"/>
  <c r="B39" i="20"/>
  <c r="B40" i="20" s="1"/>
  <c r="K10" i="20"/>
  <c r="J10" i="20"/>
  <c r="P8" i="20"/>
  <c r="P9" i="20" s="1"/>
  <c r="I10" i="20"/>
  <c r="U7" i="21"/>
  <c r="U9" i="21" s="1"/>
  <c r="Z15" i="21" l="1"/>
  <c r="Z16" i="21" s="1"/>
  <c r="Z18" i="21" s="1"/>
  <c r="J16" i="16"/>
  <c r="D68" i="16"/>
  <c r="E68" i="16" s="1"/>
  <c r="B70" i="16"/>
  <c r="C68" i="7"/>
  <c r="D68" i="7"/>
  <c r="E68" i="7"/>
  <c r="F68" i="7"/>
  <c r="G68" i="7"/>
  <c r="H68" i="7"/>
  <c r="V154" i="1"/>
  <c r="Q154" i="1"/>
  <c r="AG154" i="1" s="1"/>
  <c r="M154" i="1"/>
  <c r="J154" i="1"/>
  <c r="W154" i="1" s="1"/>
  <c r="J143" i="1"/>
  <c r="J144" i="1"/>
  <c r="J145" i="1"/>
  <c r="J146" i="1"/>
  <c r="J147" i="1"/>
  <c r="J148" i="1"/>
  <c r="J149" i="1"/>
  <c r="J150" i="1"/>
  <c r="J151" i="1"/>
  <c r="J152" i="1"/>
  <c r="J153" i="1"/>
  <c r="B71" i="16" l="1"/>
  <c r="D71" i="16" s="1"/>
  <c r="E71" i="16" s="1"/>
  <c r="D70" i="16"/>
  <c r="E70" i="16" s="1"/>
  <c r="AM154" i="1"/>
  <c r="AL154" i="1"/>
  <c r="AN154" i="1"/>
  <c r="AK154" i="1"/>
  <c r="AJ154" i="1"/>
  <c r="AI154" i="1"/>
  <c r="AH154" i="1"/>
  <c r="Q85" i="10"/>
  <c r="A85" i="10" s="1"/>
  <c r="Q84" i="10"/>
  <c r="A84" i="10" s="1"/>
  <c r="Q83" i="10"/>
  <c r="A83" i="10" s="1"/>
  <c r="Q82" i="10"/>
  <c r="A82" i="10" s="1"/>
  <c r="Q81" i="10"/>
  <c r="A81" i="10" s="1"/>
  <c r="Q80" i="10"/>
  <c r="A80" i="10" s="1"/>
  <c r="Q79" i="10"/>
  <c r="W147" i="1" s="1"/>
  <c r="Q78" i="10"/>
  <c r="A78" i="10" s="1"/>
  <c r="Q77" i="10"/>
  <c r="A77" i="10" s="1"/>
  <c r="Q76" i="10"/>
  <c r="A76" i="10" s="1"/>
  <c r="Q75" i="10"/>
  <c r="A75" i="10" s="1"/>
  <c r="Q74" i="10"/>
  <c r="A74" i="10" s="1"/>
  <c r="Q73" i="10"/>
  <c r="A73" i="10" s="1"/>
  <c r="Q72" i="10"/>
  <c r="A72" i="10" s="1"/>
  <c r="Q71" i="10"/>
  <c r="A71" i="10" s="1"/>
  <c r="Q70" i="10"/>
  <c r="A70" i="10" s="1"/>
  <c r="Q69" i="10"/>
  <c r="A69" i="10" s="1"/>
  <c r="Q68" i="10"/>
  <c r="A68" i="10" s="1"/>
  <c r="Q67" i="10"/>
  <c r="A67" i="10" s="1"/>
  <c r="Q66" i="10"/>
  <c r="A66" i="10" s="1"/>
  <c r="Q65" i="10"/>
  <c r="A65" i="10" s="1"/>
  <c r="Q64" i="10"/>
  <c r="A64" i="10" s="1"/>
  <c r="Q63" i="10"/>
  <c r="A63" i="10" s="1"/>
  <c r="Q62" i="10"/>
  <c r="A62" i="10" s="1"/>
  <c r="Q61" i="10"/>
  <c r="A61" i="10" s="1"/>
  <c r="Q60" i="10"/>
  <c r="A60" i="10" s="1"/>
  <c r="Q59" i="10"/>
  <c r="A59" i="10" s="1"/>
  <c r="Q58" i="10"/>
  <c r="A58" i="10" s="1"/>
  <c r="Q57" i="10"/>
  <c r="A57" i="10" s="1"/>
  <c r="Q56" i="10"/>
  <c r="A56" i="10" s="1"/>
  <c r="Q55" i="10"/>
  <c r="A55" i="10" s="1"/>
  <c r="Q54" i="10"/>
  <c r="A54" i="10" s="1"/>
  <c r="C67" i="7"/>
  <c r="D67" i="7"/>
  <c r="E67" i="7"/>
  <c r="F67" i="7"/>
  <c r="G67" i="7"/>
  <c r="H67" i="7"/>
  <c r="C57" i="7"/>
  <c r="D57" i="7"/>
  <c r="E57" i="7"/>
  <c r="F57" i="7"/>
  <c r="G57" i="7"/>
  <c r="H57" i="7"/>
  <c r="C58" i="7"/>
  <c r="D58" i="7"/>
  <c r="E58" i="7"/>
  <c r="F58" i="7"/>
  <c r="G58" i="7"/>
  <c r="H58" i="7"/>
  <c r="C59" i="7"/>
  <c r="D59" i="7"/>
  <c r="E59" i="7"/>
  <c r="F59" i="7"/>
  <c r="G59" i="7"/>
  <c r="H59" i="7"/>
  <c r="C60" i="7"/>
  <c r="D60" i="7"/>
  <c r="E60" i="7"/>
  <c r="F60" i="7"/>
  <c r="G60" i="7"/>
  <c r="H60" i="7"/>
  <c r="C61" i="7"/>
  <c r="D61" i="7"/>
  <c r="E61" i="7"/>
  <c r="F61" i="7"/>
  <c r="G61" i="7"/>
  <c r="H61" i="7"/>
  <c r="C62" i="7"/>
  <c r="D62" i="7"/>
  <c r="E62" i="7"/>
  <c r="F62" i="7"/>
  <c r="G62" i="7"/>
  <c r="H62" i="7"/>
  <c r="C63" i="7"/>
  <c r="D63" i="7"/>
  <c r="E63" i="7"/>
  <c r="F63" i="7"/>
  <c r="G63" i="7"/>
  <c r="H63" i="7"/>
  <c r="C64" i="7"/>
  <c r="D64" i="7"/>
  <c r="E64" i="7"/>
  <c r="F64" i="7"/>
  <c r="G64" i="7"/>
  <c r="H64" i="7"/>
  <c r="C65" i="7"/>
  <c r="D65" i="7"/>
  <c r="E65" i="7"/>
  <c r="F65" i="7"/>
  <c r="G65" i="7"/>
  <c r="H65" i="7"/>
  <c r="C66" i="7"/>
  <c r="D66" i="7"/>
  <c r="E66" i="7"/>
  <c r="F66" i="7"/>
  <c r="G66" i="7"/>
  <c r="H66" i="7"/>
  <c r="V152" i="1"/>
  <c r="W152" i="1"/>
  <c r="V153" i="1"/>
  <c r="Q153" i="1"/>
  <c r="AG153" i="1" s="1"/>
  <c r="Q152" i="1"/>
  <c r="AG152" i="1" s="1"/>
  <c r="M153" i="1"/>
  <c r="M152" i="1"/>
  <c r="D78" i="5"/>
  <c r="E78" i="5"/>
  <c r="F78" i="5"/>
  <c r="G78" i="5"/>
  <c r="D79" i="5"/>
  <c r="E79" i="5"/>
  <c r="F79" i="5"/>
  <c r="G79" i="5"/>
  <c r="D80" i="5"/>
  <c r="E80" i="5"/>
  <c r="F80" i="5"/>
  <c r="G80" i="5"/>
  <c r="D81" i="5"/>
  <c r="E81" i="5"/>
  <c r="F81" i="5"/>
  <c r="G81" i="5"/>
  <c r="V150" i="1"/>
  <c r="W150" i="1"/>
  <c r="V151" i="1"/>
  <c r="W151" i="1"/>
  <c r="Q151" i="1"/>
  <c r="AI151" i="1" s="1"/>
  <c r="Q150" i="1"/>
  <c r="AL150" i="1" s="1"/>
  <c r="M151" i="1"/>
  <c r="M150" i="1"/>
  <c r="D78" i="11"/>
  <c r="E78" i="11"/>
  <c r="F78" i="11"/>
  <c r="G78" i="11"/>
  <c r="D79" i="11"/>
  <c r="E79" i="11"/>
  <c r="F79" i="11"/>
  <c r="G79" i="11"/>
  <c r="D80" i="11"/>
  <c r="E80" i="11"/>
  <c r="F80" i="11"/>
  <c r="G80" i="11"/>
  <c r="D81" i="11"/>
  <c r="E81" i="11"/>
  <c r="F81" i="11"/>
  <c r="G81" i="11"/>
  <c r="G78" i="10"/>
  <c r="G79" i="10"/>
  <c r="G80" i="10"/>
  <c r="G81" i="10"/>
  <c r="F78" i="10"/>
  <c r="F79" i="10"/>
  <c r="F80" i="10"/>
  <c r="F81" i="10"/>
  <c r="E78" i="10"/>
  <c r="E79" i="10"/>
  <c r="E80" i="10"/>
  <c r="E81" i="10"/>
  <c r="W146" i="1"/>
  <c r="W149" i="1"/>
  <c r="V146" i="1"/>
  <c r="V147" i="1"/>
  <c r="V148" i="1"/>
  <c r="V149" i="1"/>
  <c r="Q146" i="1"/>
  <c r="AJ146" i="1" s="1"/>
  <c r="Q147" i="1"/>
  <c r="AG147" i="1" s="1"/>
  <c r="Q148" i="1"/>
  <c r="AK148" i="1" s="1"/>
  <c r="Q149" i="1"/>
  <c r="AJ149" i="1" s="1"/>
  <c r="T78" i="10"/>
  <c r="T79" i="10"/>
  <c r="T80" i="10"/>
  <c r="T81" i="10"/>
  <c r="D81" i="10"/>
  <c r="D80" i="10"/>
  <c r="D79" i="10"/>
  <c r="D78" i="10"/>
  <c r="M146" i="1"/>
  <c r="M147" i="1"/>
  <c r="M148" i="1"/>
  <c r="M149" i="1"/>
  <c r="W153" i="1" l="1"/>
  <c r="W148" i="1"/>
  <c r="A79" i="10"/>
  <c r="AL153" i="1"/>
  <c r="AK153" i="1"/>
  <c r="AJ153" i="1"/>
  <c r="AM153" i="1"/>
  <c r="AN152" i="1"/>
  <c r="AM152" i="1"/>
  <c r="AK152" i="1"/>
  <c r="AJ152" i="1"/>
  <c r="AI152" i="1"/>
  <c r="AL152" i="1"/>
  <c r="AH152" i="1"/>
  <c r="AN153" i="1"/>
  <c r="AI153" i="1"/>
  <c r="AH153" i="1"/>
  <c r="AH151" i="1"/>
  <c r="AK150" i="1"/>
  <c r="AJ150" i="1"/>
  <c r="AN151" i="1"/>
  <c r="AJ148" i="1"/>
  <c r="AM151" i="1"/>
  <c r="AH147" i="1"/>
  <c r="AL151" i="1"/>
  <c r="AG151" i="1"/>
  <c r="AJ151" i="1"/>
  <c r="AN146" i="1"/>
  <c r="AK151" i="1"/>
  <c r="AN150" i="1"/>
  <c r="AI150" i="1"/>
  <c r="AG150" i="1"/>
  <c r="AM150" i="1"/>
  <c r="AH150" i="1"/>
  <c r="AL146" i="1"/>
  <c r="AM146" i="1"/>
  <c r="AG148" i="1"/>
  <c r="AI149" i="1"/>
  <c r="AM147" i="1"/>
  <c r="AI146" i="1"/>
  <c r="AH149" i="1"/>
  <c r="AL147" i="1"/>
  <c r="AH146" i="1"/>
  <c r="AN147" i="1"/>
  <c r="AG149" i="1"/>
  <c r="AK147" i="1"/>
  <c r="AG146" i="1"/>
  <c r="AN149" i="1"/>
  <c r="AM149" i="1"/>
  <c r="AN148" i="1"/>
  <c r="AJ147" i="1"/>
  <c r="AL149" i="1"/>
  <c r="AH148" i="1"/>
  <c r="AK149" i="1"/>
  <c r="AK146" i="1"/>
  <c r="AM148" i="1"/>
  <c r="AI147" i="1"/>
  <c r="AI148" i="1"/>
  <c r="AL148" i="1"/>
  <c r="AF149" i="1"/>
  <c r="AF148" i="1"/>
  <c r="AF147" i="1"/>
  <c r="K3" i="19"/>
  <c r="M145" i="1"/>
  <c r="P145" i="1"/>
  <c r="Q145" i="1" s="1"/>
  <c r="AF145" i="1" s="1"/>
  <c r="P76" i="10"/>
  <c r="P77" i="10"/>
  <c r="P78" i="10"/>
  <c r="P75" i="10"/>
  <c r="N47" i="10"/>
  <c r="N55" i="10"/>
  <c r="W143" i="1"/>
  <c r="W144" i="1"/>
  <c r="W145" i="1"/>
  <c r="X143" i="1"/>
  <c r="Y143" i="1"/>
  <c r="Z143" i="1"/>
  <c r="AA143" i="1"/>
  <c r="AB143" i="1"/>
  <c r="X144" i="1"/>
  <c r="Y144" i="1"/>
  <c r="Z144" i="1"/>
  <c r="AA144" i="1"/>
  <c r="AB144" i="1"/>
  <c r="X145" i="1"/>
  <c r="Y145" i="1"/>
  <c r="Z145" i="1"/>
  <c r="AA145" i="1"/>
  <c r="AB145" i="1"/>
  <c r="X146" i="1"/>
  <c r="Y146" i="1"/>
  <c r="Z146" i="1"/>
  <c r="AA146" i="1"/>
  <c r="AB146" i="1"/>
  <c r="B39" i="16"/>
  <c r="B40" i="16" s="1"/>
  <c r="D34" i="16"/>
  <c r="E34" i="16" s="1"/>
  <c r="P144" i="1"/>
  <c r="M144" i="1"/>
  <c r="M143" i="1"/>
  <c r="C14" i="16"/>
  <c r="D14" i="16"/>
  <c r="D16" i="16" s="1"/>
  <c r="E14" i="16"/>
  <c r="E16" i="16" s="1"/>
  <c r="B14" i="16"/>
  <c r="B27" i="16"/>
  <c r="B26" i="16"/>
  <c r="C25" i="16"/>
  <c r="B25" i="16"/>
  <c r="C24" i="16"/>
  <c r="C23" i="16"/>
  <c r="B23" i="16"/>
  <c r="B24" i="16"/>
  <c r="DO32" i="7"/>
  <c r="DN32" i="7"/>
  <c r="DM32" i="7"/>
  <c r="DL32" i="7"/>
  <c r="DO31" i="7"/>
  <c r="DN31" i="7"/>
  <c r="DM31" i="7"/>
  <c r="DL31" i="7"/>
  <c r="DO30" i="7"/>
  <c r="DN30" i="7"/>
  <c r="DM30" i="7"/>
  <c r="DL30" i="7"/>
  <c r="DO29" i="7"/>
  <c r="DN29" i="7"/>
  <c r="DM29" i="7"/>
  <c r="DL29" i="7"/>
  <c r="DL38" i="7" s="1"/>
  <c r="DO28" i="7"/>
  <c r="DN28" i="7"/>
  <c r="DM28" i="7"/>
  <c r="DL28" i="7"/>
  <c r="DO25" i="7"/>
  <c r="DO47" i="7" s="1"/>
  <c r="DO49" i="7" s="1"/>
  <c r="DN25" i="7"/>
  <c r="DN47" i="7" s="1"/>
  <c r="DM25" i="7"/>
  <c r="DM26" i="7" s="1"/>
  <c r="DL25" i="7"/>
  <c r="DL47" i="7" s="1"/>
  <c r="DN46" i="7"/>
  <c r="N45" i="8"/>
  <c r="I24" i="16" l="1"/>
  <c r="G24" i="16"/>
  <c r="K56" i="16"/>
  <c r="K58" i="16" s="1"/>
  <c r="N16" i="16"/>
  <c r="I25" i="16"/>
  <c r="I23" i="16"/>
  <c r="G23" i="16"/>
  <c r="J56" i="16"/>
  <c r="J58" i="16" s="1"/>
  <c r="I56" i="16"/>
  <c r="I58" i="16" s="1"/>
  <c r="H56" i="16"/>
  <c r="H58" i="16" s="1"/>
  <c r="G56" i="16"/>
  <c r="G58" i="16" s="1"/>
  <c r="DL37" i="7"/>
  <c r="DM37" i="7" s="1"/>
  <c r="DN37" i="7" s="1"/>
  <c r="DO37" i="7" s="1"/>
  <c r="DP37" i="7" s="1"/>
  <c r="DK37" i="7" s="1"/>
  <c r="DL40" i="7"/>
  <c r="DM40" i="7" s="1"/>
  <c r="DN40" i="7" s="1"/>
  <c r="B56" i="16"/>
  <c r="B58" i="16" s="1"/>
  <c r="C56" i="16"/>
  <c r="C58" i="16" s="1"/>
  <c r="D56" i="16"/>
  <c r="D58" i="16" s="1"/>
  <c r="E56" i="16"/>
  <c r="E58" i="16" s="1"/>
  <c r="F56" i="16"/>
  <c r="F58" i="16" s="1"/>
  <c r="B16" i="16"/>
  <c r="DN49" i="7"/>
  <c r="D24" i="16"/>
  <c r="E24" i="16" s="1"/>
  <c r="D25" i="16"/>
  <c r="E25" i="16" s="1"/>
  <c r="B29" i="16"/>
  <c r="D23" i="16"/>
  <c r="E23" i="16" s="1"/>
  <c r="DN48" i="7"/>
  <c r="DM47" i="7"/>
  <c r="DM49" i="7" s="1"/>
  <c r="AM145" i="1"/>
  <c r="AL145" i="1"/>
  <c r="AH145" i="1"/>
  <c r="AI145" i="1"/>
  <c r="AG145" i="1"/>
  <c r="AN145" i="1"/>
  <c r="AK145" i="1"/>
  <c r="AJ145" i="1"/>
  <c r="DN33" i="7"/>
  <c r="DN34" i="7" s="1"/>
  <c r="DM38" i="7"/>
  <c r="DN38" i="7" s="1"/>
  <c r="DO38" i="7" s="1"/>
  <c r="DP38" i="7" s="1"/>
  <c r="DK38" i="7" s="1"/>
  <c r="DM33" i="7"/>
  <c r="DM34" i="7" s="1"/>
  <c r="DL49" i="7"/>
  <c r="DO46" i="7"/>
  <c r="DL26" i="7"/>
  <c r="DM46" i="7"/>
  <c r="DN26" i="7"/>
  <c r="DO26" i="7"/>
  <c r="DL39" i="7"/>
  <c r="DM39" i="7" s="1"/>
  <c r="DN39" i="7" s="1"/>
  <c r="DO39" i="7" s="1"/>
  <c r="DP39" i="7" s="1"/>
  <c r="DK39" i="7" s="1"/>
  <c r="DL41" i="7"/>
  <c r="DM41" i="7" s="1"/>
  <c r="DN41" i="7" s="1"/>
  <c r="DO41" i="7" s="1"/>
  <c r="C16" i="16"/>
  <c r="DO33" i="7"/>
  <c r="DO34" i="7" s="1"/>
  <c r="N295" i="8"/>
  <c r="CT12" i="7"/>
  <c r="CT13" i="7"/>
  <c r="CT14" i="7"/>
  <c r="CT15" i="7"/>
  <c r="CT16" i="7"/>
  <c r="CT17" i="7"/>
  <c r="CT18" i="7"/>
  <c r="CT19" i="7"/>
  <c r="CT20" i="7"/>
  <c r="CT21" i="7"/>
  <c r="CT22" i="7"/>
  <c r="CT23" i="7"/>
  <c r="CT24" i="7"/>
  <c r="CT25" i="7"/>
  <c r="CT26" i="7"/>
  <c r="CT27" i="7"/>
  <c r="CT28" i="7"/>
  <c r="CT29" i="7"/>
  <c r="CT30" i="7"/>
  <c r="CT31" i="7"/>
  <c r="CT11" i="7"/>
  <c r="CV12" i="7"/>
  <c r="CV13" i="7"/>
  <c r="CV14" i="7"/>
  <c r="CV15" i="7"/>
  <c r="CV16" i="7"/>
  <c r="CV17" i="7"/>
  <c r="CV18" i="7"/>
  <c r="CV19" i="7"/>
  <c r="CV20" i="7"/>
  <c r="CV21" i="7"/>
  <c r="CV22" i="7"/>
  <c r="CV23" i="7"/>
  <c r="CV24" i="7"/>
  <c r="CV25" i="7"/>
  <c r="CV26" i="7"/>
  <c r="CV27" i="7"/>
  <c r="CV28" i="7"/>
  <c r="CV29" i="7"/>
  <c r="CV30" i="7"/>
  <c r="CV31" i="7"/>
  <c r="CV11" i="7"/>
  <c r="CU14" i="7"/>
  <c r="CU15" i="7"/>
  <c r="F221" i="8"/>
  <c r="B222" i="8"/>
  <c r="B223" i="8" s="1"/>
  <c r="B221" i="8"/>
  <c r="E15" i="16" l="1"/>
  <c r="E17" i="16" s="1"/>
  <c r="E8" i="21"/>
  <c r="E9" i="21" s="1"/>
  <c r="C15" i="16"/>
  <c r="C17" i="16" s="1"/>
  <c r="C8" i="21"/>
  <c r="C9" i="21" s="1"/>
  <c r="D8" i="21"/>
  <c r="D9" i="21" s="1"/>
  <c r="C55" i="16"/>
  <c r="D55" i="16"/>
  <c r="E55" i="16"/>
  <c r="B55" i="16"/>
  <c r="DO48" i="7"/>
  <c r="D15" i="16"/>
  <c r="DM48" i="7"/>
  <c r="DO40" i="7"/>
  <c r="DP40" i="7" s="1"/>
  <c r="DK40" i="7" s="1"/>
  <c r="DM42" i="7"/>
  <c r="DN42" i="7"/>
  <c r="C56" i="7"/>
  <c r="D56" i="7"/>
  <c r="E56" i="7"/>
  <c r="F56" i="7"/>
  <c r="G56" i="7"/>
  <c r="H56" i="7"/>
  <c r="M142" i="1"/>
  <c r="H36" i="7"/>
  <c r="H37" i="7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29" i="10"/>
  <c r="P13" i="7"/>
  <c r="Q13" i="7"/>
  <c r="R13" i="7"/>
  <c r="S13" i="7"/>
  <c r="T13" i="7"/>
  <c r="U13" i="7"/>
  <c r="V13" i="7"/>
  <c r="W13" i="7"/>
  <c r="P14" i="7"/>
  <c r="Q14" i="7"/>
  <c r="R14" i="7"/>
  <c r="S14" i="7"/>
  <c r="T14" i="7"/>
  <c r="U14" i="7"/>
  <c r="V14" i="7"/>
  <c r="W14" i="7"/>
  <c r="P15" i="7"/>
  <c r="Q15" i="7"/>
  <c r="R15" i="7"/>
  <c r="S15" i="7"/>
  <c r="T15" i="7"/>
  <c r="U15" i="7"/>
  <c r="V15" i="7"/>
  <c r="W15" i="7"/>
  <c r="P16" i="7"/>
  <c r="Q16" i="7"/>
  <c r="R16" i="7"/>
  <c r="S16" i="7"/>
  <c r="T16" i="7"/>
  <c r="U16" i="7"/>
  <c r="V16" i="7"/>
  <c r="W16" i="7"/>
  <c r="P17" i="7"/>
  <c r="Q17" i="7"/>
  <c r="R17" i="7"/>
  <c r="S17" i="7"/>
  <c r="T17" i="7"/>
  <c r="U17" i="7"/>
  <c r="V17" i="7"/>
  <c r="W17" i="7"/>
  <c r="P18" i="7"/>
  <c r="Q18" i="7"/>
  <c r="R18" i="7"/>
  <c r="S18" i="7"/>
  <c r="T18" i="7"/>
  <c r="U18" i="7"/>
  <c r="V18" i="7"/>
  <c r="W18" i="7"/>
  <c r="P19" i="7"/>
  <c r="Q19" i="7"/>
  <c r="R19" i="7"/>
  <c r="S19" i="7"/>
  <c r="T19" i="7"/>
  <c r="U19" i="7"/>
  <c r="V19" i="7"/>
  <c r="W19" i="7"/>
  <c r="Q12" i="7"/>
  <c r="R12" i="7"/>
  <c r="S12" i="7"/>
  <c r="T12" i="7"/>
  <c r="U12" i="7"/>
  <c r="V12" i="7"/>
  <c r="W12" i="7"/>
  <c r="N13" i="7"/>
  <c r="O13" i="7"/>
  <c r="N14" i="7"/>
  <c r="O14" i="7"/>
  <c r="N15" i="7"/>
  <c r="O15" i="7"/>
  <c r="N16" i="7"/>
  <c r="O16" i="7"/>
  <c r="N17" i="7"/>
  <c r="O17" i="7"/>
  <c r="N18" i="7"/>
  <c r="O18" i="7"/>
  <c r="N19" i="7"/>
  <c r="O19" i="7"/>
  <c r="O12" i="7"/>
  <c r="P12" i="7"/>
  <c r="N12" i="7"/>
  <c r="D17" i="16" l="1"/>
  <c r="DO42" i="7"/>
  <c r="DL84" i="7" a="1"/>
  <c r="DL84" i="7" s="1"/>
  <c r="J98" i="1"/>
  <c r="W98" i="1" s="1"/>
  <c r="J99" i="1"/>
  <c r="W99" i="1" s="1"/>
  <c r="J100" i="1"/>
  <c r="W100" i="1" s="1"/>
  <c r="J101" i="1"/>
  <c r="W101" i="1" s="1"/>
  <c r="J102" i="1"/>
  <c r="W102" i="1" s="1"/>
  <c r="J103" i="1"/>
  <c r="W103" i="1" s="1"/>
  <c r="J104" i="1"/>
  <c r="W104" i="1" s="1"/>
  <c r="J105" i="1"/>
  <c r="W105" i="1" s="1"/>
  <c r="J106" i="1"/>
  <c r="W106" i="1" s="1"/>
  <c r="J107" i="1"/>
  <c r="W107" i="1" s="1"/>
  <c r="J108" i="1"/>
  <c r="W108" i="1" s="1"/>
  <c r="J109" i="1"/>
  <c r="W109" i="1" s="1"/>
  <c r="J110" i="1"/>
  <c r="W110" i="1" s="1"/>
  <c r="J111" i="1"/>
  <c r="W111" i="1" s="1"/>
  <c r="J112" i="1"/>
  <c r="W112" i="1" s="1"/>
  <c r="J113" i="1"/>
  <c r="W113" i="1" s="1"/>
  <c r="J114" i="1"/>
  <c r="W114" i="1" s="1"/>
  <c r="J115" i="1"/>
  <c r="W115" i="1" s="1"/>
  <c r="J116" i="1"/>
  <c r="W116" i="1" s="1"/>
  <c r="J117" i="1"/>
  <c r="W117" i="1" s="1"/>
  <c r="J118" i="1"/>
  <c r="W118" i="1" s="1"/>
  <c r="J119" i="1"/>
  <c r="W119" i="1" s="1"/>
  <c r="J120" i="1"/>
  <c r="W120" i="1" s="1"/>
  <c r="J121" i="1"/>
  <c r="W121" i="1" s="1"/>
  <c r="J122" i="1"/>
  <c r="W122" i="1" s="1"/>
  <c r="J123" i="1"/>
  <c r="W123" i="1" s="1"/>
  <c r="J124" i="1"/>
  <c r="W124" i="1" s="1"/>
  <c r="J125" i="1"/>
  <c r="W125" i="1" s="1"/>
  <c r="J126" i="1"/>
  <c r="W126" i="1" s="1"/>
  <c r="J127" i="1"/>
  <c r="W127" i="1" s="1"/>
  <c r="J128" i="1"/>
  <c r="W128" i="1" s="1"/>
  <c r="J129" i="1"/>
  <c r="W129" i="1" s="1"/>
  <c r="J130" i="1"/>
  <c r="W130" i="1" s="1"/>
  <c r="J131" i="1"/>
  <c r="W131" i="1" s="1"/>
  <c r="J132" i="1"/>
  <c r="W132" i="1" s="1"/>
  <c r="J133" i="1"/>
  <c r="W133" i="1" s="1"/>
  <c r="J134" i="1"/>
  <c r="W134" i="1" s="1"/>
  <c r="J135" i="1"/>
  <c r="W135" i="1" s="1"/>
  <c r="J136" i="1"/>
  <c r="W136" i="1" s="1"/>
  <c r="J137" i="1"/>
  <c r="W137" i="1" s="1"/>
  <c r="J138" i="1"/>
  <c r="W138" i="1" s="1"/>
  <c r="J139" i="1"/>
  <c r="W139" i="1" s="1"/>
  <c r="J140" i="1"/>
  <c r="W140" i="1" s="1"/>
  <c r="J141" i="1"/>
  <c r="W141" i="1" s="1"/>
  <c r="J142" i="1"/>
  <c r="J97" i="1"/>
  <c r="W97" i="1" s="1"/>
  <c r="C29" i="14"/>
  <c r="D29" i="14"/>
  <c r="E29" i="14"/>
  <c r="F29" i="14"/>
  <c r="G29" i="14"/>
  <c r="H29" i="14"/>
  <c r="J29" i="14"/>
  <c r="K29" i="14"/>
  <c r="M29" i="14"/>
  <c r="O29" i="14"/>
  <c r="P29" i="14"/>
  <c r="AH29" i="14" s="1"/>
  <c r="Q29" i="14"/>
  <c r="R29" i="14"/>
  <c r="S29" i="14"/>
  <c r="T29" i="14"/>
  <c r="U29" i="14"/>
  <c r="V29" i="14"/>
  <c r="AD29" i="14"/>
  <c r="AE29" i="14"/>
  <c r="AF29" i="14"/>
  <c r="D30" i="14"/>
  <c r="E30" i="14"/>
  <c r="F30" i="14"/>
  <c r="G30" i="14"/>
  <c r="H30" i="14"/>
  <c r="J30" i="14"/>
  <c r="K30" i="14"/>
  <c r="M30" i="14"/>
  <c r="P30" i="14"/>
  <c r="AH30" i="14" s="1"/>
  <c r="Q30" i="14"/>
  <c r="R30" i="14"/>
  <c r="S30" i="14"/>
  <c r="T30" i="14"/>
  <c r="U30" i="14"/>
  <c r="V30" i="14"/>
  <c r="AD30" i="14"/>
  <c r="AE30" i="14"/>
  <c r="AF30" i="14"/>
  <c r="D31" i="14"/>
  <c r="E31" i="14"/>
  <c r="F31" i="14"/>
  <c r="G31" i="14"/>
  <c r="H31" i="14"/>
  <c r="J31" i="14"/>
  <c r="K31" i="14"/>
  <c r="M31" i="14"/>
  <c r="P31" i="14"/>
  <c r="AH31" i="14" s="1"/>
  <c r="Q31" i="14"/>
  <c r="R31" i="14"/>
  <c r="S31" i="14"/>
  <c r="T31" i="14"/>
  <c r="U31" i="14"/>
  <c r="V31" i="14"/>
  <c r="AD31" i="14"/>
  <c r="AE31" i="14"/>
  <c r="AF31" i="14"/>
  <c r="D32" i="14"/>
  <c r="E32" i="14"/>
  <c r="F32" i="14"/>
  <c r="G32" i="14"/>
  <c r="H32" i="14"/>
  <c r="J32" i="14"/>
  <c r="K32" i="14"/>
  <c r="M32" i="14"/>
  <c r="P32" i="14"/>
  <c r="AH32" i="14" s="1"/>
  <c r="Q32" i="14"/>
  <c r="R32" i="14"/>
  <c r="S32" i="14"/>
  <c r="T32" i="14"/>
  <c r="U32" i="14"/>
  <c r="V32" i="14"/>
  <c r="AD32" i="14"/>
  <c r="AE32" i="14"/>
  <c r="AF32" i="14"/>
  <c r="D33" i="14"/>
  <c r="E33" i="14"/>
  <c r="F33" i="14"/>
  <c r="G33" i="14"/>
  <c r="H33" i="14"/>
  <c r="J33" i="14"/>
  <c r="K33" i="14"/>
  <c r="M33" i="14"/>
  <c r="P33" i="14"/>
  <c r="AH33" i="14" s="1"/>
  <c r="Q33" i="14"/>
  <c r="R33" i="14"/>
  <c r="S33" i="14"/>
  <c r="T33" i="14"/>
  <c r="U33" i="14"/>
  <c r="V33" i="14"/>
  <c r="AD33" i="14"/>
  <c r="AE33" i="14"/>
  <c r="AF33" i="14"/>
  <c r="D34" i="14"/>
  <c r="E34" i="14"/>
  <c r="F34" i="14"/>
  <c r="G34" i="14"/>
  <c r="H34" i="14"/>
  <c r="J34" i="14"/>
  <c r="K34" i="14"/>
  <c r="M34" i="14"/>
  <c r="P34" i="14"/>
  <c r="AH34" i="14" s="1"/>
  <c r="Q34" i="14"/>
  <c r="R34" i="14"/>
  <c r="S34" i="14"/>
  <c r="T34" i="14"/>
  <c r="U34" i="14"/>
  <c r="V34" i="14"/>
  <c r="AD34" i="14"/>
  <c r="AE34" i="14"/>
  <c r="AF34" i="14"/>
  <c r="D35" i="14"/>
  <c r="E35" i="14"/>
  <c r="F35" i="14"/>
  <c r="G35" i="14"/>
  <c r="H35" i="14"/>
  <c r="J35" i="14"/>
  <c r="K35" i="14"/>
  <c r="M35" i="14"/>
  <c r="P35" i="14"/>
  <c r="AI35" i="14" s="1"/>
  <c r="Q35" i="14"/>
  <c r="R35" i="14"/>
  <c r="S35" i="14"/>
  <c r="T35" i="14"/>
  <c r="U35" i="14"/>
  <c r="V35" i="14"/>
  <c r="AD35" i="14"/>
  <c r="AE35" i="14"/>
  <c r="AF35" i="14"/>
  <c r="D36" i="14"/>
  <c r="E36" i="14"/>
  <c r="F36" i="14"/>
  <c r="G36" i="14"/>
  <c r="H36" i="14"/>
  <c r="J36" i="14"/>
  <c r="K36" i="14"/>
  <c r="M36" i="14"/>
  <c r="P36" i="14"/>
  <c r="AI36" i="14" s="1"/>
  <c r="Q36" i="14"/>
  <c r="R36" i="14"/>
  <c r="S36" i="14"/>
  <c r="T36" i="14"/>
  <c r="U36" i="14"/>
  <c r="V36" i="14"/>
  <c r="AD36" i="14"/>
  <c r="AE36" i="14"/>
  <c r="AF36" i="14"/>
  <c r="D37" i="14"/>
  <c r="E37" i="14"/>
  <c r="F37" i="14"/>
  <c r="G37" i="14"/>
  <c r="H37" i="14"/>
  <c r="J37" i="14"/>
  <c r="K37" i="14"/>
  <c r="M37" i="14"/>
  <c r="P37" i="14"/>
  <c r="AH37" i="14" s="1"/>
  <c r="Q37" i="14"/>
  <c r="R37" i="14"/>
  <c r="S37" i="14"/>
  <c r="T37" i="14"/>
  <c r="U37" i="14"/>
  <c r="V37" i="14"/>
  <c r="AD37" i="14"/>
  <c r="AE37" i="14"/>
  <c r="AF37" i="14"/>
  <c r="D38" i="14"/>
  <c r="E38" i="14"/>
  <c r="F38" i="14"/>
  <c r="G38" i="14"/>
  <c r="H38" i="14"/>
  <c r="J38" i="14"/>
  <c r="K38" i="14"/>
  <c r="M38" i="14"/>
  <c r="P38" i="14"/>
  <c r="AH38" i="14" s="1"/>
  <c r="Q38" i="14"/>
  <c r="R38" i="14"/>
  <c r="S38" i="14"/>
  <c r="T38" i="14"/>
  <c r="U38" i="14"/>
  <c r="V38" i="14"/>
  <c r="AD38" i="14"/>
  <c r="AE38" i="14"/>
  <c r="AF38" i="14"/>
  <c r="D39" i="14"/>
  <c r="E39" i="14"/>
  <c r="F39" i="14"/>
  <c r="G39" i="14"/>
  <c r="H39" i="14"/>
  <c r="J39" i="14"/>
  <c r="K39" i="14"/>
  <c r="M39" i="14"/>
  <c r="P39" i="14"/>
  <c r="AH39" i="14" s="1"/>
  <c r="Q39" i="14"/>
  <c r="R39" i="14"/>
  <c r="S39" i="14"/>
  <c r="T39" i="14"/>
  <c r="U39" i="14"/>
  <c r="V39" i="14"/>
  <c r="AD39" i="14"/>
  <c r="AE39" i="14"/>
  <c r="AF39" i="14"/>
  <c r="D40" i="14"/>
  <c r="E40" i="14"/>
  <c r="F40" i="14"/>
  <c r="G40" i="14"/>
  <c r="H40" i="14"/>
  <c r="J40" i="14"/>
  <c r="K40" i="14"/>
  <c r="M40" i="14"/>
  <c r="P40" i="14"/>
  <c r="AH40" i="14" s="1"/>
  <c r="Q40" i="14"/>
  <c r="R40" i="14"/>
  <c r="S40" i="14"/>
  <c r="T40" i="14"/>
  <c r="U40" i="14"/>
  <c r="V40" i="14"/>
  <c r="AD40" i="14"/>
  <c r="AE40" i="14"/>
  <c r="AF40" i="14"/>
  <c r="D41" i="14"/>
  <c r="E41" i="14"/>
  <c r="F41" i="14"/>
  <c r="G41" i="14"/>
  <c r="H41" i="14"/>
  <c r="J41" i="14"/>
  <c r="K41" i="14"/>
  <c r="M41" i="14"/>
  <c r="P41" i="14"/>
  <c r="AH41" i="14" s="1"/>
  <c r="Q41" i="14"/>
  <c r="R41" i="14"/>
  <c r="S41" i="14"/>
  <c r="T41" i="14"/>
  <c r="U41" i="14"/>
  <c r="V41" i="14"/>
  <c r="AD41" i="14"/>
  <c r="AE41" i="14"/>
  <c r="AF41" i="14"/>
  <c r="D42" i="14"/>
  <c r="E42" i="14"/>
  <c r="F42" i="14"/>
  <c r="G42" i="14"/>
  <c r="H42" i="14"/>
  <c r="J42" i="14"/>
  <c r="K42" i="14"/>
  <c r="M42" i="14"/>
  <c r="P42" i="14"/>
  <c r="AI42" i="14" s="1"/>
  <c r="Q42" i="14"/>
  <c r="R42" i="14"/>
  <c r="S42" i="14"/>
  <c r="T42" i="14"/>
  <c r="U42" i="14"/>
  <c r="V42" i="14"/>
  <c r="AD42" i="14"/>
  <c r="AE42" i="14"/>
  <c r="AF42" i="14"/>
  <c r="D43" i="14"/>
  <c r="E43" i="14"/>
  <c r="F43" i="14"/>
  <c r="G43" i="14"/>
  <c r="H43" i="14"/>
  <c r="J43" i="14"/>
  <c r="K43" i="14"/>
  <c r="M43" i="14"/>
  <c r="P43" i="14"/>
  <c r="AH43" i="14" s="1"/>
  <c r="Q43" i="14"/>
  <c r="R43" i="14"/>
  <c r="S43" i="14"/>
  <c r="T43" i="14"/>
  <c r="U43" i="14"/>
  <c r="V43" i="14"/>
  <c r="AD43" i="14"/>
  <c r="AE43" i="14"/>
  <c r="AF43" i="14"/>
  <c r="D44" i="14"/>
  <c r="E44" i="14"/>
  <c r="F44" i="14"/>
  <c r="G44" i="14"/>
  <c r="H44" i="14"/>
  <c r="J44" i="14"/>
  <c r="K44" i="14"/>
  <c r="M44" i="14"/>
  <c r="P44" i="14"/>
  <c r="AI44" i="14" s="1"/>
  <c r="Q44" i="14"/>
  <c r="R44" i="14"/>
  <c r="S44" i="14"/>
  <c r="T44" i="14"/>
  <c r="U44" i="14"/>
  <c r="V44" i="14"/>
  <c r="AD44" i="14"/>
  <c r="AE44" i="14"/>
  <c r="AF44" i="14"/>
  <c r="D45" i="14"/>
  <c r="E45" i="14"/>
  <c r="F45" i="14"/>
  <c r="G45" i="14"/>
  <c r="H45" i="14"/>
  <c r="J45" i="14"/>
  <c r="K45" i="14"/>
  <c r="M45" i="14"/>
  <c r="P45" i="14"/>
  <c r="AJ45" i="14" s="1"/>
  <c r="Q45" i="14"/>
  <c r="R45" i="14"/>
  <c r="S45" i="14"/>
  <c r="T45" i="14"/>
  <c r="U45" i="14"/>
  <c r="V45" i="14"/>
  <c r="AD45" i="14"/>
  <c r="AE45" i="14"/>
  <c r="AF45" i="14"/>
  <c r="D46" i="14"/>
  <c r="E46" i="14"/>
  <c r="F46" i="14"/>
  <c r="G46" i="14"/>
  <c r="H46" i="14"/>
  <c r="J46" i="14"/>
  <c r="K46" i="14"/>
  <c r="M46" i="14"/>
  <c r="P46" i="14"/>
  <c r="AI46" i="14" s="1"/>
  <c r="Q46" i="14"/>
  <c r="R46" i="14"/>
  <c r="S46" i="14"/>
  <c r="T46" i="14"/>
  <c r="U46" i="14"/>
  <c r="V46" i="14"/>
  <c r="AD46" i="14"/>
  <c r="AE46" i="14"/>
  <c r="AF46" i="14"/>
  <c r="D47" i="14"/>
  <c r="E47" i="14"/>
  <c r="F47" i="14"/>
  <c r="G47" i="14"/>
  <c r="H47" i="14"/>
  <c r="J47" i="14"/>
  <c r="K47" i="14"/>
  <c r="M47" i="14"/>
  <c r="P47" i="14"/>
  <c r="AI47" i="14" s="1"/>
  <c r="Q47" i="14"/>
  <c r="R47" i="14"/>
  <c r="S47" i="14"/>
  <c r="T47" i="14"/>
  <c r="U47" i="14"/>
  <c r="V47" i="14"/>
  <c r="AD47" i="14"/>
  <c r="AE47" i="14"/>
  <c r="AF47" i="14"/>
  <c r="D48" i="14"/>
  <c r="E48" i="14"/>
  <c r="F48" i="14"/>
  <c r="G48" i="14"/>
  <c r="H48" i="14"/>
  <c r="J48" i="14"/>
  <c r="K48" i="14"/>
  <c r="M48" i="14"/>
  <c r="P48" i="14"/>
  <c r="AH48" i="14" s="1"/>
  <c r="Q48" i="14"/>
  <c r="R48" i="14"/>
  <c r="S48" i="14"/>
  <c r="T48" i="14"/>
  <c r="U48" i="14"/>
  <c r="V48" i="14"/>
  <c r="AD48" i="14"/>
  <c r="AE48" i="14"/>
  <c r="AF48" i="14"/>
  <c r="D49" i="14"/>
  <c r="E49" i="14"/>
  <c r="F49" i="14"/>
  <c r="G49" i="14"/>
  <c r="H49" i="14"/>
  <c r="J49" i="14"/>
  <c r="K49" i="14"/>
  <c r="M49" i="14"/>
  <c r="P49" i="14"/>
  <c r="AH49" i="14" s="1"/>
  <c r="Q49" i="14"/>
  <c r="R49" i="14"/>
  <c r="S49" i="14"/>
  <c r="T49" i="14"/>
  <c r="U49" i="14"/>
  <c r="V49" i="14"/>
  <c r="AD49" i="14"/>
  <c r="AE49" i="14"/>
  <c r="AF49" i="14"/>
  <c r="D50" i="14"/>
  <c r="E50" i="14"/>
  <c r="F50" i="14"/>
  <c r="G50" i="14"/>
  <c r="H50" i="14"/>
  <c r="J50" i="14"/>
  <c r="K50" i="14"/>
  <c r="M50" i="14"/>
  <c r="P50" i="14"/>
  <c r="AJ50" i="14" s="1"/>
  <c r="Q50" i="14"/>
  <c r="R50" i="14"/>
  <c r="S50" i="14"/>
  <c r="T50" i="14"/>
  <c r="U50" i="14"/>
  <c r="V50" i="14"/>
  <c r="AD50" i="14"/>
  <c r="AE50" i="14"/>
  <c r="AF50" i="14"/>
  <c r="D51" i="14"/>
  <c r="E51" i="14"/>
  <c r="F51" i="14"/>
  <c r="G51" i="14"/>
  <c r="H51" i="14"/>
  <c r="J51" i="14"/>
  <c r="K51" i="14"/>
  <c r="M51" i="14"/>
  <c r="P51" i="14"/>
  <c r="AI51" i="14" s="1"/>
  <c r="Q51" i="14"/>
  <c r="R51" i="14"/>
  <c r="S51" i="14"/>
  <c r="T51" i="14"/>
  <c r="U51" i="14"/>
  <c r="V51" i="14"/>
  <c r="AD51" i="14"/>
  <c r="AE51" i="14"/>
  <c r="AF51" i="14"/>
  <c r="D52" i="14"/>
  <c r="E52" i="14"/>
  <c r="F52" i="14"/>
  <c r="G52" i="14"/>
  <c r="H52" i="14"/>
  <c r="J52" i="14"/>
  <c r="K52" i="14"/>
  <c r="M52" i="14"/>
  <c r="O52" i="14"/>
  <c r="P52" i="14"/>
  <c r="AI52" i="14" s="1"/>
  <c r="Q52" i="14"/>
  <c r="R52" i="14"/>
  <c r="S52" i="14"/>
  <c r="T52" i="14"/>
  <c r="U52" i="14"/>
  <c r="V52" i="14"/>
  <c r="AD52" i="14"/>
  <c r="AE52" i="14"/>
  <c r="AF52" i="14"/>
  <c r="D53" i="14"/>
  <c r="E53" i="14"/>
  <c r="F53" i="14"/>
  <c r="G53" i="14"/>
  <c r="H53" i="14"/>
  <c r="J53" i="14"/>
  <c r="K53" i="14"/>
  <c r="M53" i="14"/>
  <c r="P53" i="14"/>
  <c r="AH53" i="14" s="1"/>
  <c r="Q53" i="14"/>
  <c r="R53" i="14"/>
  <c r="S53" i="14"/>
  <c r="T53" i="14"/>
  <c r="U53" i="14"/>
  <c r="V53" i="14"/>
  <c r="AD53" i="14"/>
  <c r="AE53" i="14"/>
  <c r="AF53" i="14"/>
  <c r="D54" i="14"/>
  <c r="E54" i="14"/>
  <c r="F54" i="14"/>
  <c r="G54" i="14"/>
  <c r="H54" i="14"/>
  <c r="J54" i="14"/>
  <c r="K54" i="14"/>
  <c r="M54" i="14"/>
  <c r="N54" i="14"/>
  <c r="P54" i="14"/>
  <c r="AH54" i="14" s="1"/>
  <c r="Q54" i="14"/>
  <c r="R54" i="14"/>
  <c r="S54" i="14"/>
  <c r="T54" i="14"/>
  <c r="U54" i="14"/>
  <c r="V54" i="14"/>
  <c r="AD54" i="14"/>
  <c r="AE54" i="14"/>
  <c r="AF54" i="14"/>
  <c r="D55" i="14"/>
  <c r="E55" i="14"/>
  <c r="F55" i="14"/>
  <c r="G55" i="14"/>
  <c r="H55" i="14"/>
  <c r="J55" i="14"/>
  <c r="K55" i="14"/>
  <c r="M55" i="14"/>
  <c r="N55" i="14"/>
  <c r="P55" i="14"/>
  <c r="AI55" i="14" s="1"/>
  <c r="Q55" i="14"/>
  <c r="R55" i="14"/>
  <c r="S55" i="14"/>
  <c r="T55" i="14"/>
  <c r="U55" i="14"/>
  <c r="V55" i="14"/>
  <c r="AD55" i="14"/>
  <c r="AE55" i="14"/>
  <c r="AF55" i="14"/>
  <c r="D56" i="14"/>
  <c r="E56" i="14"/>
  <c r="F56" i="14"/>
  <c r="G56" i="14"/>
  <c r="H56" i="14"/>
  <c r="J56" i="14"/>
  <c r="K56" i="14"/>
  <c r="M56" i="14"/>
  <c r="P56" i="14"/>
  <c r="AI56" i="14" s="1"/>
  <c r="Q56" i="14"/>
  <c r="R56" i="14"/>
  <c r="S56" i="14"/>
  <c r="T56" i="14"/>
  <c r="U56" i="14"/>
  <c r="V56" i="14"/>
  <c r="AD56" i="14"/>
  <c r="AE56" i="14"/>
  <c r="AF56" i="14"/>
  <c r="D57" i="14"/>
  <c r="E57" i="14"/>
  <c r="F57" i="14"/>
  <c r="G57" i="14"/>
  <c r="H57" i="14"/>
  <c r="J57" i="14"/>
  <c r="K57" i="14"/>
  <c r="M57" i="14"/>
  <c r="N57" i="14"/>
  <c r="P57" i="14"/>
  <c r="Q57" i="14"/>
  <c r="R57" i="14"/>
  <c r="S57" i="14"/>
  <c r="T57" i="14"/>
  <c r="U57" i="14"/>
  <c r="V57" i="14"/>
  <c r="AD57" i="14"/>
  <c r="AE57" i="14"/>
  <c r="AF57" i="14"/>
  <c r="D58" i="14"/>
  <c r="E58" i="14"/>
  <c r="F58" i="14"/>
  <c r="G58" i="14"/>
  <c r="H58" i="14"/>
  <c r="J58" i="14"/>
  <c r="K58" i="14"/>
  <c r="M58" i="14"/>
  <c r="P58" i="14"/>
  <c r="AI58" i="14" s="1"/>
  <c r="Q58" i="14"/>
  <c r="R58" i="14"/>
  <c r="S58" i="14"/>
  <c r="T58" i="14"/>
  <c r="U58" i="14"/>
  <c r="V58" i="14"/>
  <c r="AD58" i="14"/>
  <c r="AE58" i="14"/>
  <c r="AF58" i="14"/>
  <c r="D59" i="14"/>
  <c r="E59" i="14"/>
  <c r="F59" i="14"/>
  <c r="G59" i="14"/>
  <c r="H59" i="14"/>
  <c r="J59" i="14"/>
  <c r="K59" i="14"/>
  <c r="M59" i="14"/>
  <c r="P59" i="14"/>
  <c r="AI59" i="14" s="1"/>
  <c r="Q59" i="14"/>
  <c r="R59" i="14"/>
  <c r="S59" i="14"/>
  <c r="T59" i="14"/>
  <c r="U59" i="14"/>
  <c r="V59" i="14"/>
  <c r="AD59" i="14"/>
  <c r="AE59" i="14"/>
  <c r="AF59" i="14"/>
  <c r="D60" i="14"/>
  <c r="E60" i="14"/>
  <c r="F60" i="14"/>
  <c r="G60" i="14"/>
  <c r="H60" i="14"/>
  <c r="J60" i="14"/>
  <c r="K60" i="14"/>
  <c r="M60" i="14"/>
  <c r="N60" i="14"/>
  <c r="P60" i="14"/>
  <c r="AI60" i="14" s="1"/>
  <c r="Q60" i="14"/>
  <c r="R60" i="14"/>
  <c r="S60" i="14"/>
  <c r="T60" i="14"/>
  <c r="U60" i="14"/>
  <c r="V60" i="14"/>
  <c r="AD60" i="14"/>
  <c r="AE60" i="14"/>
  <c r="AF60" i="14"/>
  <c r="D61" i="14"/>
  <c r="E61" i="14"/>
  <c r="F61" i="14"/>
  <c r="G61" i="14"/>
  <c r="H61" i="14"/>
  <c r="J61" i="14"/>
  <c r="K61" i="14"/>
  <c r="M61" i="14"/>
  <c r="N61" i="14"/>
  <c r="P61" i="14"/>
  <c r="Q61" i="14"/>
  <c r="R61" i="14"/>
  <c r="S61" i="14"/>
  <c r="T61" i="14"/>
  <c r="U61" i="14"/>
  <c r="V61" i="14"/>
  <c r="AD61" i="14"/>
  <c r="AE61" i="14"/>
  <c r="AF61" i="14"/>
  <c r="D62" i="14"/>
  <c r="E62" i="14"/>
  <c r="F62" i="14"/>
  <c r="G62" i="14"/>
  <c r="H62" i="14"/>
  <c r="J62" i="14"/>
  <c r="K62" i="14"/>
  <c r="M62" i="14"/>
  <c r="N62" i="14"/>
  <c r="P62" i="14"/>
  <c r="Q62" i="14"/>
  <c r="R62" i="14"/>
  <c r="S62" i="14"/>
  <c r="T62" i="14"/>
  <c r="U62" i="14"/>
  <c r="V62" i="14"/>
  <c r="AD62" i="14"/>
  <c r="AE62" i="14"/>
  <c r="AF62" i="14"/>
  <c r="D63" i="14"/>
  <c r="E63" i="14"/>
  <c r="F63" i="14"/>
  <c r="G63" i="14"/>
  <c r="H63" i="14"/>
  <c r="J63" i="14"/>
  <c r="K63" i="14"/>
  <c r="M63" i="14"/>
  <c r="N63" i="14"/>
  <c r="P63" i="14"/>
  <c r="Q63" i="14"/>
  <c r="R63" i="14"/>
  <c r="S63" i="14"/>
  <c r="T63" i="14"/>
  <c r="U63" i="14"/>
  <c r="V63" i="14"/>
  <c r="AD63" i="14"/>
  <c r="AE63" i="14"/>
  <c r="AF63" i="14"/>
  <c r="D64" i="14"/>
  <c r="E64" i="14"/>
  <c r="F64" i="14"/>
  <c r="G64" i="14"/>
  <c r="H64" i="14"/>
  <c r="J64" i="14"/>
  <c r="K64" i="14"/>
  <c r="M64" i="14"/>
  <c r="N64" i="14"/>
  <c r="P64" i="14"/>
  <c r="Q64" i="14"/>
  <c r="R64" i="14"/>
  <c r="S64" i="14"/>
  <c r="T64" i="14"/>
  <c r="U64" i="14"/>
  <c r="V64" i="14"/>
  <c r="AD64" i="14"/>
  <c r="AE64" i="14"/>
  <c r="AF64" i="14"/>
  <c r="D65" i="14"/>
  <c r="E65" i="14"/>
  <c r="F65" i="14"/>
  <c r="G65" i="14"/>
  <c r="H65" i="14"/>
  <c r="J65" i="14"/>
  <c r="K65" i="14"/>
  <c r="M65" i="14"/>
  <c r="N65" i="14"/>
  <c r="P65" i="14"/>
  <c r="AI65" i="14" s="1"/>
  <c r="Q65" i="14"/>
  <c r="R65" i="14"/>
  <c r="S65" i="14"/>
  <c r="T65" i="14"/>
  <c r="U65" i="14"/>
  <c r="V65" i="14"/>
  <c r="AD65" i="14"/>
  <c r="AE65" i="14"/>
  <c r="AF65" i="14"/>
  <c r="D66" i="14"/>
  <c r="E66" i="14"/>
  <c r="F66" i="14"/>
  <c r="G66" i="14"/>
  <c r="H66" i="14"/>
  <c r="J66" i="14"/>
  <c r="K66" i="14"/>
  <c r="M66" i="14"/>
  <c r="N66" i="14"/>
  <c r="P66" i="14"/>
  <c r="AI66" i="14" s="1"/>
  <c r="Q66" i="14"/>
  <c r="R66" i="14"/>
  <c r="S66" i="14"/>
  <c r="T66" i="14"/>
  <c r="U66" i="14"/>
  <c r="V66" i="14"/>
  <c r="AD66" i="14"/>
  <c r="AE66" i="14"/>
  <c r="AF66" i="14"/>
  <c r="D67" i="14"/>
  <c r="E67" i="14"/>
  <c r="F67" i="14"/>
  <c r="G67" i="14"/>
  <c r="H67" i="14"/>
  <c r="J67" i="14"/>
  <c r="K67" i="14"/>
  <c r="M67" i="14"/>
  <c r="N67" i="14"/>
  <c r="P67" i="14"/>
  <c r="AI67" i="14" s="1"/>
  <c r="Q67" i="14"/>
  <c r="R67" i="14"/>
  <c r="S67" i="14"/>
  <c r="T67" i="14"/>
  <c r="U67" i="14"/>
  <c r="V67" i="14"/>
  <c r="AD67" i="14"/>
  <c r="AE67" i="14"/>
  <c r="AF67" i="14"/>
  <c r="D68" i="14"/>
  <c r="E68" i="14"/>
  <c r="F68" i="14"/>
  <c r="G68" i="14"/>
  <c r="H68" i="14"/>
  <c r="J68" i="14"/>
  <c r="K68" i="14"/>
  <c r="M68" i="14"/>
  <c r="N68" i="14"/>
  <c r="P68" i="14"/>
  <c r="Q68" i="14"/>
  <c r="R68" i="14"/>
  <c r="S68" i="14"/>
  <c r="T68" i="14"/>
  <c r="U68" i="14"/>
  <c r="V68" i="14"/>
  <c r="AD68" i="14"/>
  <c r="AE68" i="14"/>
  <c r="AF68" i="14"/>
  <c r="D69" i="14"/>
  <c r="E69" i="14"/>
  <c r="F69" i="14"/>
  <c r="G69" i="14"/>
  <c r="H69" i="14"/>
  <c r="J69" i="14"/>
  <c r="K69" i="14"/>
  <c r="M69" i="14"/>
  <c r="N69" i="14"/>
  <c r="P69" i="14"/>
  <c r="AI69" i="14" s="1"/>
  <c r="Q69" i="14"/>
  <c r="R69" i="14"/>
  <c r="S69" i="14"/>
  <c r="T69" i="14"/>
  <c r="U69" i="14"/>
  <c r="V69" i="14"/>
  <c r="AD69" i="14"/>
  <c r="AE69" i="14"/>
  <c r="AF69" i="14"/>
  <c r="D70" i="14"/>
  <c r="E70" i="14"/>
  <c r="F70" i="14"/>
  <c r="G70" i="14"/>
  <c r="H70" i="14"/>
  <c r="J70" i="14"/>
  <c r="K70" i="14"/>
  <c r="M70" i="14"/>
  <c r="N70" i="14"/>
  <c r="P70" i="14"/>
  <c r="AI70" i="14" s="1"/>
  <c r="Q70" i="14"/>
  <c r="R70" i="14"/>
  <c r="S70" i="14"/>
  <c r="T70" i="14"/>
  <c r="U70" i="14"/>
  <c r="V70" i="14"/>
  <c r="AD70" i="14"/>
  <c r="AE70" i="14"/>
  <c r="AF70" i="14"/>
  <c r="D71" i="14"/>
  <c r="E71" i="14"/>
  <c r="F71" i="14"/>
  <c r="G71" i="14"/>
  <c r="H71" i="14"/>
  <c r="J71" i="14"/>
  <c r="K71" i="14"/>
  <c r="M71" i="14"/>
  <c r="N71" i="14"/>
  <c r="P71" i="14"/>
  <c r="AI71" i="14" s="1"/>
  <c r="Q71" i="14"/>
  <c r="R71" i="14"/>
  <c r="S71" i="14"/>
  <c r="T71" i="14"/>
  <c r="U71" i="14"/>
  <c r="V71" i="14"/>
  <c r="AD71" i="14"/>
  <c r="AE71" i="14"/>
  <c r="AF71" i="14"/>
  <c r="D72" i="14"/>
  <c r="E72" i="14"/>
  <c r="F72" i="14"/>
  <c r="G72" i="14"/>
  <c r="H72" i="14"/>
  <c r="J72" i="14"/>
  <c r="K72" i="14"/>
  <c r="M72" i="14"/>
  <c r="N72" i="14"/>
  <c r="P72" i="14"/>
  <c r="AI72" i="14" s="1"/>
  <c r="Q72" i="14"/>
  <c r="R72" i="14"/>
  <c r="S72" i="14"/>
  <c r="T72" i="14"/>
  <c r="U72" i="14"/>
  <c r="V72" i="14"/>
  <c r="AD72" i="14"/>
  <c r="AE72" i="14"/>
  <c r="AF72" i="14"/>
  <c r="D73" i="14"/>
  <c r="E73" i="14"/>
  <c r="F73" i="14"/>
  <c r="G73" i="14"/>
  <c r="H73" i="14"/>
  <c r="J73" i="14"/>
  <c r="K73" i="14"/>
  <c r="M73" i="14"/>
  <c r="N73" i="14"/>
  <c r="P73" i="14"/>
  <c r="AI73" i="14" s="1"/>
  <c r="Q73" i="14"/>
  <c r="R73" i="14"/>
  <c r="S73" i="14"/>
  <c r="T73" i="14"/>
  <c r="U73" i="14"/>
  <c r="V73" i="14"/>
  <c r="AD73" i="14"/>
  <c r="AE73" i="14"/>
  <c r="AF73" i="14"/>
  <c r="D74" i="14"/>
  <c r="E74" i="14"/>
  <c r="F74" i="14"/>
  <c r="G74" i="14"/>
  <c r="H74" i="14"/>
  <c r="J74" i="14"/>
  <c r="K74" i="14"/>
  <c r="M74" i="14"/>
  <c r="N74" i="14"/>
  <c r="O74" i="14"/>
  <c r="P74" i="14"/>
  <c r="AI74" i="14" s="1"/>
  <c r="Q74" i="14"/>
  <c r="R74" i="14"/>
  <c r="S74" i="14"/>
  <c r="T74" i="14"/>
  <c r="U74" i="14"/>
  <c r="V74" i="14"/>
  <c r="AD74" i="14"/>
  <c r="AE74" i="14"/>
  <c r="AF74" i="14"/>
  <c r="D75" i="14"/>
  <c r="E75" i="14"/>
  <c r="F75" i="14"/>
  <c r="G75" i="14"/>
  <c r="H75" i="14"/>
  <c r="J75" i="14"/>
  <c r="K75" i="14"/>
  <c r="M75" i="14"/>
  <c r="N75" i="14"/>
  <c r="O75" i="14"/>
  <c r="P75" i="14"/>
  <c r="Q75" i="14"/>
  <c r="R75" i="14"/>
  <c r="S75" i="14"/>
  <c r="T75" i="14"/>
  <c r="U75" i="14"/>
  <c r="V75" i="14"/>
  <c r="X75" i="14"/>
  <c r="Y75" i="14"/>
  <c r="Z75" i="14"/>
  <c r="AA75" i="14"/>
  <c r="AB75" i="14"/>
  <c r="AC75" i="14"/>
  <c r="AD75" i="14"/>
  <c r="AE75" i="14"/>
  <c r="AF75" i="14"/>
  <c r="D76" i="14"/>
  <c r="E76" i="14"/>
  <c r="F76" i="14"/>
  <c r="G76" i="14"/>
  <c r="H76" i="14"/>
  <c r="J76" i="14"/>
  <c r="K76" i="14"/>
  <c r="M76" i="14"/>
  <c r="N76" i="14"/>
  <c r="O76" i="14"/>
  <c r="P76" i="14"/>
  <c r="Q76" i="14"/>
  <c r="R76" i="14"/>
  <c r="S76" i="14"/>
  <c r="T76" i="14"/>
  <c r="U76" i="14"/>
  <c r="V76" i="14"/>
  <c r="X76" i="14"/>
  <c r="Y76" i="14"/>
  <c r="Z76" i="14"/>
  <c r="AA76" i="14"/>
  <c r="AB76" i="14"/>
  <c r="AC76" i="14"/>
  <c r="AD76" i="14"/>
  <c r="AE76" i="14"/>
  <c r="AF76" i="14"/>
  <c r="D77" i="14"/>
  <c r="E77" i="14"/>
  <c r="F77" i="14"/>
  <c r="G77" i="14"/>
  <c r="H77" i="14"/>
  <c r="J77" i="14"/>
  <c r="K77" i="14"/>
  <c r="M77" i="14"/>
  <c r="N77" i="14"/>
  <c r="O77" i="14"/>
  <c r="P77" i="14"/>
  <c r="Q77" i="14"/>
  <c r="R77" i="14"/>
  <c r="S77" i="14"/>
  <c r="U77" i="14"/>
  <c r="V77" i="14"/>
  <c r="X77" i="14"/>
  <c r="Y77" i="14"/>
  <c r="Z77" i="14"/>
  <c r="AA77" i="14"/>
  <c r="AB77" i="14"/>
  <c r="AC77" i="14"/>
  <c r="AD77" i="14"/>
  <c r="AE77" i="14"/>
  <c r="AF77" i="14"/>
  <c r="D78" i="14"/>
  <c r="E78" i="14"/>
  <c r="F78" i="14"/>
  <c r="G78" i="14"/>
  <c r="H78" i="14"/>
  <c r="J78" i="14"/>
  <c r="K78" i="14"/>
  <c r="M78" i="14"/>
  <c r="N78" i="14"/>
  <c r="O78" i="14"/>
  <c r="P78" i="14"/>
  <c r="Q78" i="14"/>
  <c r="R78" i="14"/>
  <c r="S78" i="14"/>
  <c r="T78" i="14"/>
  <c r="U78" i="14"/>
  <c r="V78" i="14"/>
  <c r="X78" i="14"/>
  <c r="Y78" i="14"/>
  <c r="Z78" i="14"/>
  <c r="AA78" i="14"/>
  <c r="AB78" i="14"/>
  <c r="AC78" i="14"/>
  <c r="AD78" i="14"/>
  <c r="AE78" i="14"/>
  <c r="AF78" i="14"/>
  <c r="D79" i="14"/>
  <c r="E79" i="14"/>
  <c r="F79" i="14"/>
  <c r="G79" i="14"/>
  <c r="H79" i="14"/>
  <c r="J79" i="14"/>
  <c r="K79" i="14"/>
  <c r="M79" i="14"/>
  <c r="N79" i="14"/>
  <c r="O79" i="14"/>
  <c r="P79" i="14"/>
  <c r="Q79" i="14"/>
  <c r="R79" i="14"/>
  <c r="S79" i="14"/>
  <c r="T79" i="14"/>
  <c r="U79" i="14"/>
  <c r="V79" i="14"/>
  <c r="X79" i="14"/>
  <c r="Y79" i="14"/>
  <c r="Z79" i="14"/>
  <c r="AA79" i="14"/>
  <c r="AB79" i="14"/>
  <c r="AC79" i="14"/>
  <c r="AD79" i="14"/>
  <c r="AE79" i="14"/>
  <c r="AF79" i="14"/>
  <c r="D80" i="14"/>
  <c r="E80" i="14"/>
  <c r="F80" i="14"/>
  <c r="G80" i="14"/>
  <c r="H80" i="14"/>
  <c r="J80" i="14"/>
  <c r="K80" i="14"/>
  <c r="M80" i="14"/>
  <c r="N80" i="14"/>
  <c r="O80" i="14"/>
  <c r="P80" i="14"/>
  <c r="Q80" i="14"/>
  <c r="R80" i="14"/>
  <c r="S80" i="14"/>
  <c r="T80" i="14"/>
  <c r="U80" i="14"/>
  <c r="V80" i="14"/>
  <c r="X80" i="14"/>
  <c r="Y80" i="14"/>
  <c r="Z80" i="14"/>
  <c r="AA80" i="14"/>
  <c r="AB80" i="14"/>
  <c r="AC80" i="14"/>
  <c r="AD80" i="14"/>
  <c r="AE80" i="14"/>
  <c r="AF80" i="14"/>
  <c r="D81" i="14"/>
  <c r="E81" i="14"/>
  <c r="F81" i="14"/>
  <c r="G81" i="14"/>
  <c r="H81" i="14"/>
  <c r="J81" i="14"/>
  <c r="K81" i="14"/>
  <c r="M81" i="14"/>
  <c r="N81" i="14"/>
  <c r="O81" i="14"/>
  <c r="P81" i="14"/>
  <c r="Q81" i="14"/>
  <c r="R81" i="14"/>
  <c r="S81" i="14"/>
  <c r="T81" i="14"/>
  <c r="U81" i="14"/>
  <c r="V81" i="14"/>
  <c r="X81" i="14"/>
  <c r="Y81" i="14"/>
  <c r="Z81" i="14"/>
  <c r="AA81" i="14"/>
  <c r="AB81" i="14"/>
  <c r="AC81" i="14"/>
  <c r="AD81" i="14"/>
  <c r="AE81" i="14"/>
  <c r="AF81" i="14"/>
  <c r="D82" i="14"/>
  <c r="E82" i="14"/>
  <c r="F82" i="14"/>
  <c r="G82" i="14"/>
  <c r="H82" i="14"/>
  <c r="J82" i="14"/>
  <c r="K82" i="14"/>
  <c r="M82" i="14"/>
  <c r="N82" i="14"/>
  <c r="O82" i="14"/>
  <c r="P82" i="14"/>
  <c r="Q82" i="14"/>
  <c r="R82" i="14"/>
  <c r="S82" i="14"/>
  <c r="T82" i="14"/>
  <c r="U82" i="14"/>
  <c r="V82" i="14"/>
  <c r="X82" i="14"/>
  <c r="Y82" i="14"/>
  <c r="Z82" i="14"/>
  <c r="AA82" i="14"/>
  <c r="AB82" i="14"/>
  <c r="AC82" i="14"/>
  <c r="AD82" i="14"/>
  <c r="AE82" i="14"/>
  <c r="AF82" i="14"/>
  <c r="D83" i="14"/>
  <c r="E83" i="14"/>
  <c r="F83" i="14"/>
  <c r="G83" i="14"/>
  <c r="H83" i="14"/>
  <c r="J83" i="14"/>
  <c r="K83" i="14"/>
  <c r="M83" i="14"/>
  <c r="N83" i="14"/>
  <c r="O83" i="14"/>
  <c r="P83" i="14"/>
  <c r="Q83" i="14"/>
  <c r="R83" i="14"/>
  <c r="S83" i="14"/>
  <c r="T83" i="14"/>
  <c r="U83" i="14"/>
  <c r="V83" i="14"/>
  <c r="X83" i="14"/>
  <c r="Y83" i="14"/>
  <c r="Z83" i="14"/>
  <c r="AA83" i="14"/>
  <c r="AB83" i="14"/>
  <c r="AC83" i="14"/>
  <c r="AD83" i="14"/>
  <c r="AE83" i="14"/>
  <c r="AF83" i="14"/>
  <c r="D84" i="14"/>
  <c r="E84" i="14"/>
  <c r="F84" i="14"/>
  <c r="G84" i="14"/>
  <c r="H84" i="14"/>
  <c r="J84" i="14"/>
  <c r="K84" i="14"/>
  <c r="M84" i="14"/>
  <c r="N84" i="14"/>
  <c r="O84" i="14"/>
  <c r="P84" i="14"/>
  <c r="Q84" i="14"/>
  <c r="R84" i="14"/>
  <c r="S84" i="14"/>
  <c r="T84" i="14"/>
  <c r="U84" i="14"/>
  <c r="V84" i="14"/>
  <c r="X84" i="14"/>
  <c r="Y84" i="14"/>
  <c r="Z84" i="14"/>
  <c r="AA84" i="14"/>
  <c r="AB84" i="14"/>
  <c r="AC84" i="14"/>
  <c r="AD84" i="14"/>
  <c r="AE84" i="14"/>
  <c r="AF84" i="14"/>
  <c r="D85" i="14"/>
  <c r="E85" i="14"/>
  <c r="F85" i="14"/>
  <c r="G85" i="14"/>
  <c r="H85" i="14"/>
  <c r="J85" i="14"/>
  <c r="K85" i="14"/>
  <c r="M85" i="14"/>
  <c r="N85" i="14"/>
  <c r="O85" i="14"/>
  <c r="P85" i="14"/>
  <c r="Q85" i="14"/>
  <c r="R85" i="14"/>
  <c r="S85" i="14"/>
  <c r="T85" i="14"/>
  <c r="U85" i="14"/>
  <c r="V85" i="14"/>
  <c r="X85" i="14"/>
  <c r="Y85" i="14"/>
  <c r="Z85" i="14"/>
  <c r="AA85" i="14"/>
  <c r="AB85" i="14"/>
  <c r="AC85" i="14"/>
  <c r="AD85" i="14"/>
  <c r="AE85" i="14"/>
  <c r="AF85" i="14"/>
  <c r="D86" i="14"/>
  <c r="E86" i="14"/>
  <c r="F86" i="14"/>
  <c r="G86" i="14"/>
  <c r="H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X86" i="14"/>
  <c r="Y86" i="14"/>
  <c r="Z86" i="14"/>
  <c r="AA86" i="14"/>
  <c r="AB86" i="14"/>
  <c r="AC86" i="14"/>
  <c r="AD86" i="14"/>
  <c r="AE86" i="14"/>
  <c r="AF86" i="14"/>
  <c r="D87" i="14"/>
  <c r="E87" i="14"/>
  <c r="F87" i="14"/>
  <c r="G87" i="14"/>
  <c r="H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X87" i="14"/>
  <c r="Y87" i="14"/>
  <c r="Z87" i="14"/>
  <c r="AA87" i="14"/>
  <c r="AB87" i="14"/>
  <c r="AC87" i="14"/>
  <c r="AD87" i="14"/>
  <c r="AE87" i="14"/>
  <c r="AF87" i="14"/>
  <c r="D88" i="14"/>
  <c r="E88" i="14"/>
  <c r="F88" i="14"/>
  <c r="G88" i="14"/>
  <c r="H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X88" i="14"/>
  <c r="Y88" i="14"/>
  <c r="Z88" i="14"/>
  <c r="AA88" i="14"/>
  <c r="AB88" i="14"/>
  <c r="AC88" i="14"/>
  <c r="AD88" i="14"/>
  <c r="AE88" i="14"/>
  <c r="AF88" i="14"/>
  <c r="D89" i="14"/>
  <c r="E89" i="14"/>
  <c r="F89" i="14"/>
  <c r="G89" i="14"/>
  <c r="H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X89" i="14"/>
  <c r="Y89" i="14"/>
  <c r="Z89" i="14"/>
  <c r="AA89" i="14"/>
  <c r="AB89" i="14"/>
  <c r="AC89" i="14"/>
  <c r="AD89" i="14"/>
  <c r="AE89" i="14"/>
  <c r="AF89" i="14"/>
  <c r="D90" i="14"/>
  <c r="E90" i="14"/>
  <c r="F90" i="14"/>
  <c r="G90" i="14"/>
  <c r="H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X90" i="14"/>
  <c r="Y90" i="14"/>
  <c r="Z90" i="14"/>
  <c r="AA90" i="14"/>
  <c r="AB90" i="14"/>
  <c r="AC90" i="14"/>
  <c r="AD90" i="14"/>
  <c r="AE90" i="14"/>
  <c r="AF90" i="14"/>
  <c r="D91" i="14"/>
  <c r="E91" i="14"/>
  <c r="F91" i="14"/>
  <c r="G91" i="14"/>
  <c r="H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X91" i="14"/>
  <c r="Y91" i="14"/>
  <c r="Z91" i="14"/>
  <c r="AA91" i="14"/>
  <c r="AB91" i="14"/>
  <c r="AC91" i="14"/>
  <c r="AD91" i="14"/>
  <c r="AE91" i="14"/>
  <c r="AF91" i="14"/>
  <c r="D92" i="14"/>
  <c r="E92" i="14"/>
  <c r="F92" i="14"/>
  <c r="G92" i="14"/>
  <c r="H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X92" i="14"/>
  <c r="Y92" i="14"/>
  <c r="Z92" i="14"/>
  <c r="AA92" i="14"/>
  <c r="AB92" i="14"/>
  <c r="AC92" i="14"/>
  <c r="AD92" i="14"/>
  <c r="AE92" i="14"/>
  <c r="AF92" i="14"/>
  <c r="D93" i="14"/>
  <c r="E93" i="14"/>
  <c r="F93" i="14"/>
  <c r="G93" i="14"/>
  <c r="H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X93" i="14"/>
  <c r="Y93" i="14"/>
  <c r="Z93" i="14"/>
  <c r="AA93" i="14"/>
  <c r="AB93" i="14"/>
  <c r="AC93" i="14"/>
  <c r="AD93" i="14"/>
  <c r="AE93" i="14"/>
  <c r="AF93" i="14"/>
  <c r="D94" i="14"/>
  <c r="E94" i="14"/>
  <c r="F94" i="14"/>
  <c r="G94" i="14"/>
  <c r="H94" i="14"/>
  <c r="J94" i="14"/>
  <c r="K94" i="14"/>
  <c r="L94" i="14"/>
  <c r="M94" i="14"/>
  <c r="N94" i="14"/>
  <c r="O94" i="14"/>
  <c r="P94" i="14"/>
  <c r="Q94" i="14"/>
  <c r="R94" i="14"/>
  <c r="S94" i="14"/>
  <c r="T94" i="14"/>
  <c r="U94" i="14"/>
  <c r="V94" i="14"/>
  <c r="X94" i="14"/>
  <c r="Y94" i="14"/>
  <c r="Z94" i="14"/>
  <c r="AA94" i="14"/>
  <c r="AB94" i="14"/>
  <c r="AC94" i="14"/>
  <c r="AD94" i="14"/>
  <c r="AE94" i="14"/>
  <c r="AF94" i="14"/>
  <c r="D95" i="14"/>
  <c r="E95" i="14"/>
  <c r="F95" i="14"/>
  <c r="G95" i="14"/>
  <c r="H95" i="14"/>
  <c r="J95" i="14"/>
  <c r="K95" i="14"/>
  <c r="L95" i="14"/>
  <c r="M95" i="14"/>
  <c r="N95" i="14"/>
  <c r="O95" i="14"/>
  <c r="P95" i="14"/>
  <c r="Q95" i="14"/>
  <c r="R95" i="14"/>
  <c r="S95" i="14"/>
  <c r="T95" i="14"/>
  <c r="U95" i="14"/>
  <c r="V95" i="14"/>
  <c r="X95" i="14"/>
  <c r="Y95" i="14"/>
  <c r="Z95" i="14"/>
  <c r="AA95" i="14"/>
  <c r="AB95" i="14"/>
  <c r="AC95" i="14"/>
  <c r="AD95" i="14"/>
  <c r="AE95" i="14"/>
  <c r="AF95" i="14"/>
  <c r="D96" i="14"/>
  <c r="E96" i="14"/>
  <c r="F96" i="14"/>
  <c r="G96" i="14"/>
  <c r="H96" i="14"/>
  <c r="J96" i="14"/>
  <c r="K96" i="14"/>
  <c r="L96" i="14"/>
  <c r="M96" i="14"/>
  <c r="N96" i="14"/>
  <c r="O96" i="14"/>
  <c r="P96" i="14"/>
  <c r="Q96" i="14"/>
  <c r="R96" i="14"/>
  <c r="S96" i="14"/>
  <c r="T96" i="14"/>
  <c r="U96" i="14"/>
  <c r="V96" i="14"/>
  <c r="X96" i="14"/>
  <c r="Y96" i="14"/>
  <c r="Z96" i="14"/>
  <c r="AA96" i="14"/>
  <c r="AB96" i="14"/>
  <c r="AC96" i="14"/>
  <c r="AD96" i="14"/>
  <c r="AE96" i="14"/>
  <c r="AF96" i="14"/>
  <c r="D97" i="14"/>
  <c r="E97" i="14"/>
  <c r="F97" i="14"/>
  <c r="G97" i="14"/>
  <c r="H97" i="14"/>
  <c r="J97" i="14"/>
  <c r="K97" i="14"/>
  <c r="L97" i="14"/>
  <c r="M97" i="14"/>
  <c r="N97" i="14"/>
  <c r="O97" i="14"/>
  <c r="P97" i="14"/>
  <c r="Q97" i="14"/>
  <c r="R97" i="14"/>
  <c r="S97" i="14"/>
  <c r="T97" i="14"/>
  <c r="U97" i="14"/>
  <c r="V97" i="14"/>
  <c r="X97" i="14"/>
  <c r="Y97" i="14"/>
  <c r="Z97" i="14"/>
  <c r="AA97" i="14"/>
  <c r="AB97" i="14"/>
  <c r="AC97" i="14"/>
  <c r="AD97" i="14"/>
  <c r="AE97" i="14"/>
  <c r="AF97" i="14"/>
  <c r="D98" i="14"/>
  <c r="E98" i="14"/>
  <c r="F98" i="14"/>
  <c r="G98" i="14"/>
  <c r="H98" i="14"/>
  <c r="J98" i="14"/>
  <c r="K98" i="14"/>
  <c r="L98" i="14"/>
  <c r="M98" i="14"/>
  <c r="N98" i="14"/>
  <c r="O98" i="14"/>
  <c r="P98" i="14"/>
  <c r="Q98" i="14"/>
  <c r="R98" i="14"/>
  <c r="S98" i="14"/>
  <c r="T98" i="14"/>
  <c r="U98" i="14"/>
  <c r="V98" i="14"/>
  <c r="X98" i="14"/>
  <c r="Y98" i="14"/>
  <c r="Z98" i="14"/>
  <c r="AA98" i="14"/>
  <c r="AB98" i="14"/>
  <c r="AC98" i="14"/>
  <c r="AD98" i="14"/>
  <c r="AE98" i="14"/>
  <c r="AF98" i="14"/>
  <c r="D99" i="14"/>
  <c r="E99" i="14"/>
  <c r="F99" i="14"/>
  <c r="G99" i="14"/>
  <c r="H99" i="14"/>
  <c r="J99" i="14"/>
  <c r="K99" i="14"/>
  <c r="L99" i="14"/>
  <c r="M99" i="14"/>
  <c r="N99" i="14"/>
  <c r="O99" i="14"/>
  <c r="P99" i="14"/>
  <c r="Q99" i="14"/>
  <c r="R99" i="14"/>
  <c r="S99" i="14"/>
  <c r="T99" i="14"/>
  <c r="U99" i="14"/>
  <c r="V99" i="14"/>
  <c r="X99" i="14"/>
  <c r="Y99" i="14"/>
  <c r="Z99" i="14"/>
  <c r="AA99" i="14"/>
  <c r="AB99" i="14"/>
  <c r="AC99" i="14"/>
  <c r="AD99" i="14"/>
  <c r="AE99" i="14"/>
  <c r="AF99" i="14"/>
  <c r="D100" i="14"/>
  <c r="E100" i="14"/>
  <c r="F100" i="14"/>
  <c r="G100" i="14"/>
  <c r="H100" i="14"/>
  <c r="J100" i="14"/>
  <c r="K100" i="14"/>
  <c r="L100" i="14"/>
  <c r="M100" i="14"/>
  <c r="N100" i="14"/>
  <c r="O100" i="14"/>
  <c r="P100" i="14"/>
  <c r="Q100" i="14"/>
  <c r="R100" i="14"/>
  <c r="S100" i="14"/>
  <c r="T100" i="14"/>
  <c r="U100" i="14"/>
  <c r="V100" i="14"/>
  <c r="X100" i="14"/>
  <c r="Y100" i="14"/>
  <c r="Z100" i="14"/>
  <c r="AA100" i="14"/>
  <c r="AB100" i="14"/>
  <c r="AC100" i="14"/>
  <c r="AD100" i="14"/>
  <c r="AE100" i="14"/>
  <c r="AF100" i="14"/>
  <c r="D101" i="14"/>
  <c r="E101" i="14"/>
  <c r="F101" i="14"/>
  <c r="G101" i="14"/>
  <c r="H101" i="14"/>
  <c r="J101" i="14"/>
  <c r="K101" i="14"/>
  <c r="L101" i="14"/>
  <c r="M101" i="14"/>
  <c r="N101" i="14"/>
  <c r="O101" i="14"/>
  <c r="P101" i="14"/>
  <c r="Q101" i="14"/>
  <c r="R101" i="14"/>
  <c r="S101" i="14"/>
  <c r="T101" i="14"/>
  <c r="U101" i="14"/>
  <c r="V101" i="14"/>
  <c r="X101" i="14"/>
  <c r="Y101" i="14"/>
  <c r="Z101" i="14"/>
  <c r="AA101" i="14"/>
  <c r="AB101" i="14"/>
  <c r="AC101" i="14"/>
  <c r="AD101" i="14"/>
  <c r="AE101" i="14"/>
  <c r="AF101" i="14"/>
  <c r="D102" i="14"/>
  <c r="E102" i="14"/>
  <c r="F102" i="14"/>
  <c r="G102" i="14"/>
  <c r="H102" i="14"/>
  <c r="J102" i="14"/>
  <c r="K102" i="14"/>
  <c r="L102" i="14"/>
  <c r="M102" i="14"/>
  <c r="N102" i="14"/>
  <c r="O102" i="14"/>
  <c r="P102" i="14"/>
  <c r="Q102" i="14"/>
  <c r="R102" i="14"/>
  <c r="S102" i="14"/>
  <c r="T102" i="14"/>
  <c r="U102" i="14"/>
  <c r="V102" i="14"/>
  <c r="X102" i="14"/>
  <c r="Y102" i="14"/>
  <c r="Z102" i="14"/>
  <c r="AA102" i="14"/>
  <c r="AB102" i="14"/>
  <c r="AC102" i="14"/>
  <c r="AD102" i="14"/>
  <c r="AE102" i="14"/>
  <c r="AF102" i="14"/>
  <c r="D103" i="14"/>
  <c r="E103" i="14"/>
  <c r="F103" i="14"/>
  <c r="G103" i="14"/>
  <c r="H103" i="14"/>
  <c r="J103" i="14"/>
  <c r="K103" i="14"/>
  <c r="L103" i="14"/>
  <c r="M103" i="14"/>
  <c r="N103" i="14"/>
  <c r="O103" i="14"/>
  <c r="P103" i="14"/>
  <c r="Q103" i="14"/>
  <c r="R103" i="14"/>
  <c r="S103" i="14"/>
  <c r="T103" i="14"/>
  <c r="U103" i="14"/>
  <c r="V103" i="14"/>
  <c r="X103" i="14"/>
  <c r="Y103" i="14"/>
  <c r="Z103" i="14"/>
  <c r="AA103" i="14"/>
  <c r="AB103" i="14"/>
  <c r="AC103" i="14"/>
  <c r="AD103" i="14"/>
  <c r="AE103" i="14"/>
  <c r="AF103" i="14"/>
  <c r="D104" i="14"/>
  <c r="E104" i="14"/>
  <c r="F104" i="14"/>
  <c r="G104" i="14"/>
  <c r="H104" i="14"/>
  <c r="J104" i="14"/>
  <c r="K104" i="14"/>
  <c r="L104" i="14"/>
  <c r="M104" i="14"/>
  <c r="N104" i="14"/>
  <c r="O104" i="14"/>
  <c r="P104" i="14"/>
  <c r="Q104" i="14"/>
  <c r="R104" i="14"/>
  <c r="S104" i="14"/>
  <c r="T104" i="14"/>
  <c r="U104" i="14"/>
  <c r="V104" i="14"/>
  <c r="X104" i="14"/>
  <c r="Y104" i="14"/>
  <c r="Z104" i="14"/>
  <c r="AA104" i="14"/>
  <c r="AB104" i="14"/>
  <c r="AC104" i="14"/>
  <c r="AD104" i="14"/>
  <c r="AE104" i="14"/>
  <c r="AF104" i="14"/>
  <c r="D105" i="14"/>
  <c r="E105" i="14"/>
  <c r="F105" i="14"/>
  <c r="G105" i="14"/>
  <c r="H105" i="14"/>
  <c r="J105" i="14"/>
  <c r="K105" i="14"/>
  <c r="L105" i="14"/>
  <c r="M105" i="14"/>
  <c r="N105" i="14"/>
  <c r="O105" i="14"/>
  <c r="P105" i="14"/>
  <c r="Q105" i="14"/>
  <c r="R105" i="14"/>
  <c r="S105" i="14"/>
  <c r="T105" i="14"/>
  <c r="U105" i="14"/>
  <c r="V105" i="14"/>
  <c r="X105" i="14"/>
  <c r="Y105" i="14"/>
  <c r="Z105" i="14"/>
  <c r="AA105" i="14"/>
  <c r="AB105" i="14"/>
  <c r="AC105" i="14"/>
  <c r="AD105" i="14"/>
  <c r="AE105" i="14"/>
  <c r="AF105" i="14"/>
  <c r="D106" i="14"/>
  <c r="E106" i="14"/>
  <c r="F106" i="14"/>
  <c r="G106" i="14"/>
  <c r="H106" i="14"/>
  <c r="J106" i="14"/>
  <c r="K106" i="14"/>
  <c r="L106" i="14"/>
  <c r="M106" i="14"/>
  <c r="N106" i="14"/>
  <c r="O106" i="14"/>
  <c r="P106" i="14"/>
  <c r="Q106" i="14"/>
  <c r="R106" i="14"/>
  <c r="S106" i="14"/>
  <c r="T106" i="14"/>
  <c r="U106" i="14"/>
  <c r="V106" i="14"/>
  <c r="X106" i="14"/>
  <c r="Y106" i="14"/>
  <c r="Z106" i="14"/>
  <c r="AA106" i="14"/>
  <c r="AB106" i="14"/>
  <c r="AC106" i="14"/>
  <c r="AD106" i="14"/>
  <c r="AE106" i="14"/>
  <c r="AF106" i="14"/>
  <c r="D107" i="14"/>
  <c r="E107" i="14"/>
  <c r="F107" i="14"/>
  <c r="G107" i="14"/>
  <c r="H107" i="14"/>
  <c r="J107" i="14"/>
  <c r="K107" i="14"/>
  <c r="L107" i="14"/>
  <c r="M107" i="14"/>
  <c r="N107" i="14"/>
  <c r="O107" i="14"/>
  <c r="P107" i="14"/>
  <c r="Q107" i="14"/>
  <c r="R107" i="14"/>
  <c r="S107" i="14"/>
  <c r="T107" i="14"/>
  <c r="U107" i="14"/>
  <c r="V107" i="14"/>
  <c r="X107" i="14"/>
  <c r="Y107" i="14"/>
  <c r="Z107" i="14"/>
  <c r="AA107" i="14"/>
  <c r="AB107" i="14"/>
  <c r="AC107" i="14"/>
  <c r="AD107" i="14"/>
  <c r="AE107" i="14"/>
  <c r="AF107" i="14"/>
  <c r="D108" i="14"/>
  <c r="E108" i="14"/>
  <c r="F108" i="14"/>
  <c r="G108" i="14"/>
  <c r="H108" i="14"/>
  <c r="J108" i="14"/>
  <c r="K108" i="14"/>
  <c r="L108" i="14"/>
  <c r="M108" i="14"/>
  <c r="N108" i="14"/>
  <c r="O108" i="14"/>
  <c r="P108" i="14"/>
  <c r="Q108" i="14"/>
  <c r="R108" i="14"/>
  <c r="S108" i="14"/>
  <c r="T108" i="14"/>
  <c r="U108" i="14"/>
  <c r="V108" i="14"/>
  <c r="X108" i="14"/>
  <c r="Y108" i="14"/>
  <c r="Z108" i="14"/>
  <c r="AA108" i="14"/>
  <c r="AB108" i="14"/>
  <c r="AC108" i="14"/>
  <c r="AD108" i="14"/>
  <c r="AE108" i="14"/>
  <c r="AF108" i="14"/>
  <c r="D109" i="14"/>
  <c r="E109" i="14"/>
  <c r="F109" i="14"/>
  <c r="G109" i="14"/>
  <c r="H109" i="14"/>
  <c r="J109" i="14"/>
  <c r="K109" i="14"/>
  <c r="L109" i="14"/>
  <c r="M109" i="14"/>
  <c r="N109" i="14"/>
  <c r="O109" i="14"/>
  <c r="P109" i="14"/>
  <c r="Q109" i="14"/>
  <c r="R109" i="14"/>
  <c r="S109" i="14"/>
  <c r="T109" i="14"/>
  <c r="U109" i="14"/>
  <c r="V109" i="14"/>
  <c r="X109" i="14"/>
  <c r="Y109" i="14"/>
  <c r="Z109" i="14"/>
  <c r="AA109" i="14"/>
  <c r="AB109" i="14"/>
  <c r="AC109" i="14"/>
  <c r="AD109" i="14"/>
  <c r="AE109" i="14"/>
  <c r="AF109" i="14"/>
  <c r="D110" i="14"/>
  <c r="E110" i="14"/>
  <c r="F110" i="14"/>
  <c r="G110" i="14"/>
  <c r="H110" i="14"/>
  <c r="J110" i="14"/>
  <c r="K110" i="14"/>
  <c r="L110" i="14"/>
  <c r="M110" i="14"/>
  <c r="N110" i="14"/>
  <c r="O110" i="14"/>
  <c r="P110" i="14"/>
  <c r="Q110" i="14"/>
  <c r="R110" i="14"/>
  <c r="S110" i="14"/>
  <c r="T110" i="14"/>
  <c r="U110" i="14"/>
  <c r="V110" i="14"/>
  <c r="X110" i="14"/>
  <c r="Y110" i="14"/>
  <c r="Z110" i="14"/>
  <c r="AA110" i="14"/>
  <c r="AB110" i="14"/>
  <c r="AC110" i="14"/>
  <c r="AD110" i="14"/>
  <c r="AE110" i="14"/>
  <c r="AF110" i="14"/>
  <c r="D111" i="14"/>
  <c r="E111" i="14"/>
  <c r="F111" i="14"/>
  <c r="G111" i="14"/>
  <c r="H111" i="14"/>
  <c r="J111" i="14"/>
  <c r="K111" i="14"/>
  <c r="L111" i="14"/>
  <c r="M111" i="14"/>
  <c r="N111" i="14"/>
  <c r="O111" i="14"/>
  <c r="P111" i="14"/>
  <c r="Q111" i="14"/>
  <c r="R111" i="14"/>
  <c r="S111" i="14"/>
  <c r="T111" i="14"/>
  <c r="U111" i="14"/>
  <c r="V111" i="14"/>
  <c r="X111" i="14"/>
  <c r="Y111" i="14"/>
  <c r="Z111" i="14"/>
  <c r="AA111" i="14"/>
  <c r="AB111" i="14"/>
  <c r="AC111" i="14"/>
  <c r="AD111" i="14"/>
  <c r="AE111" i="14"/>
  <c r="AF111" i="14"/>
  <c r="D112" i="14"/>
  <c r="E112" i="14"/>
  <c r="F112" i="14"/>
  <c r="G112" i="14"/>
  <c r="H112" i="14"/>
  <c r="J112" i="14"/>
  <c r="K112" i="14"/>
  <c r="L112" i="14"/>
  <c r="M112" i="14"/>
  <c r="N112" i="14"/>
  <c r="O112" i="14"/>
  <c r="P112" i="14"/>
  <c r="Q112" i="14"/>
  <c r="R112" i="14"/>
  <c r="S112" i="14"/>
  <c r="T112" i="14"/>
  <c r="U112" i="14"/>
  <c r="V112" i="14"/>
  <c r="X112" i="14"/>
  <c r="Y112" i="14"/>
  <c r="Z112" i="14"/>
  <c r="AA112" i="14"/>
  <c r="AB112" i="14"/>
  <c r="AC112" i="14"/>
  <c r="AD112" i="14"/>
  <c r="AE112" i="14"/>
  <c r="AF112" i="14"/>
  <c r="D113" i="14"/>
  <c r="E113" i="14"/>
  <c r="F113" i="14"/>
  <c r="G113" i="14"/>
  <c r="H113" i="14"/>
  <c r="J113" i="14"/>
  <c r="K113" i="14"/>
  <c r="L113" i="14"/>
  <c r="M113" i="14"/>
  <c r="N113" i="14"/>
  <c r="O113" i="14"/>
  <c r="P113" i="14"/>
  <c r="Q113" i="14"/>
  <c r="R113" i="14"/>
  <c r="S113" i="14"/>
  <c r="T113" i="14"/>
  <c r="U113" i="14"/>
  <c r="V113" i="14"/>
  <c r="X113" i="14"/>
  <c r="Y113" i="14"/>
  <c r="Z113" i="14"/>
  <c r="AA113" i="14"/>
  <c r="AB113" i="14"/>
  <c r="AC113" i="14"/>
  <c r="AD113" i="14"/>
  <c r="AE113" i="14"/>
  <c r="AF113" i="14"/>
  <c r="D114" i="14"/>
  <c r="E114" i="14"/>
  <c r="F114" i="14"/>
  <c r="G114" i="14"/>
  <c r="H114" i="14"/>
  <c r="J114" i="14"/>
  <c r="K114" i="14"/>
  <c r="L114" i="14"/>
  <c r="M114" i="14"/>
  <c r="N114" i="14"/>
  <c r="O114" i="14"/>
  <c r="P114" i="14"/>
  <c r="Q114" i="14"/>
  <c r="R114" i="14"/>
  <c r="S114" i="14"/>
  <c r="T114" i="14"/>
  <c r="U114" i="14"/>
  <c r="V114" i="14"/>
  <c r="X114" i="14"/>
  <c r="Y114" i="14"/>
  <c r="Z114" i="14"/>
  <c r="AA114" i="14"/>
  <c r="AB114" i="14"/>
  <c r="AC114" i="14"/>
  <c r="AD114" i="14"/>
  <c r="AE114" i="14"/>
  <c r="AF114" i="14"/>
  <c r="D115" i="14"/>
  <c r="E115" i="14"/>
  <c r="F115" i="14"/>
  <c r="G115" i="14"/>
  <c r="H115" i="14"/>
  <c r="J115" i="14"/>
  <c r="K115" i="14"/>
  <c r="L115" i="14"/>
  <c r="M115" i="14"/>
  <c r="N115" i="14"/>
  <c r="O115" i="14"/>
  <c r="P115" i="14"/>
  <c r="Q115" i="14"/>
  <c r="R115" i="14"/>
  <c r="S115" i="14"/>
  <c r="T115" i="14"/>
  <c r="U115" i="14"/>
  <c r="V115" i="14"/>
  <c r="X115" i="14"/>
  <c r="Y115" i="14"/>
  <c r="Z115" i="14"/>
  <c r="AA115" i="14"/>
  <c r="AB115" i="14"/>
  <c r="AC115" i="14"/>
  <c r="AD115" i="14"/>
  <c r="AE115" i="14"/>
  <c r="AF115" i="14"/>
  <c r="D116" i="14"/>
  <c r="E116" i="14"/>
  <c r="F116" i="14"/>
  <c r="G116" i="14"/>
  <c r="H116" i="14"/>
  <c r="J116" i="14"/>
  <c r="K116" i="14"/>
  <c r="L116" i="14"/>
  <c r="M116" i="14"/>
  <c r="N116" i="14"/>
  <c r="O116" i="14"/>
  <c r="P116" i="14"/>
  <c r="Q116" i="14"/>
  <c r="R116" i="14"/>
  <c r="S116" i="14"/>
  <c r="T116" i="14"/>
  <c r="U116" i="14"/>
  <c r="V116" i="14"/>
  <c r="X116" i="14"/>
  <c r="Y116" i="14"/>
  <c r="Z116" i="14"/>
  <c r="AA116" i="14"/>
  <c r="AB116" i="14"/>
  <c r="AC116" i="14"/>
  <c r="AD116" i="14"/>
  <c r="AE116" i="14"/>
  <c r="AF116" i="14"/>
  <c r="D117" i="14"/>
  <c r="E117" i="14"/>
  <c r="F117" i="14"/>
  <c r="G117" i="14"/>
  <c r="H117" i="14"/>
  <c r="J117" i="14"/>
  <c r="K117" i="14"/>
  <c r="L117" i="14"/>
  <c r="M117" i="14"/>
  <c r="N117" i="14"/>
  <c r="O117" i="14"/>
  <c r="P117" i="14"/>
  <c r="Q117" i="14"/>
  <c r="R117" i="14"/>
  <c r="S117" i="14"/>
  <c r="T117" i="14"/>
  <c r="U117" i="14"/>
  <c r="V117" i="14"/>
  <c r="X117" i="14"/>
  <c r="Y117" i="14"/>
  <c r="Z117" i="14"/>
  <c r="AA117" i="14"/>
  <c r="AB117" i="14"/>
  <c r="AC117" i="14"/>
  <c r="AD117" i="14"/>
  <c r="AE117" i="14"/>
  <c r="AF117" i="14"/>
  <c r="D118" i="14"/>
  <c r="E118" i="14"/>
  <c r="F118" i="14"/>
  <c r="G118" i="14"/>
  <c r="H118" i="14"/>
  <c r="J118" i="14"/>
  <c r="K118" i="14"/>
  <c r="L118" i="14"/>
  <c r="M118" i="14"/>
  <c r="N118" i="14"/>
  <c r="O118" i="14"/>
  <c r="P118" i="14"/>
  <c r="Q118" i="14"/>
  <c r="R118" i="14"/>
  <c r="S118" i="14"/>
  <c r="T118" i="14"/>
  <c r="U118" i="14"/>
  <c r="V118" i="14"/>
  <c r="X118" i="14"/>
  <c r="Y118" i="14"/>
  <c r="Z118" i="14"/>
  <c r="AA118" i="14"/>
  <c r="AB118" i="14"/>
  <c r="AC118" i="14"/>
  <c r="AD118" i="14"/>
  <c r="AE118" i="14"/>
  <c r="AF118" i="14"/>
  <c r="D119" i="14"/>
  <c r="E119" i="14"/>
  <c r="F119" i="14"/>
  <c r="G119" i="14"/>
  <c r="H119" i="14"/>
  <c r="J119" i="14"/>
  <c r="K119" i="14"/>
  <c r="L119" i="14"/>
  <c r="M119" i="14"/>
  <c r="N119" i="14"/>
  <c r="O119" i="14"/>
  <c r="P119" i="14"/>
  <c r="Q119" i="14"/>
  <c r="R119" i="14"/>
  <c r="S119" i="14"/>
  <c r="T119" i="14"/>
  <c r="U119" i="14"/>
  <c r="V119" i="14"/>
  <c r="X119" i="14"/>
  <c r="Y119" i="14"/>
  <c r="Z119" i="14"/>
  <c r="AA119" i="14"/>
  <c r="AB119" i="14"/>
  <c r="AC119" i="14"/>
  <c r="AD119" i="14"/>
  <c r="AE119" i="14"/>
  <c r="AF119" i="14"/>
  <c r="D120" i="14"/>
  <c r="E120" i="14"/>
  <c r="F120" i="14"/>
  <c r="G120" i="14"/>
  <c r="H120" i="14"/>
  <c r="J120" i="14"/>
  <c r="K120" i="14"/>
  <c r="L120" i="14"/>
  <c r="M120" i="14"/>
  <c r="N120" i="14"/>
  <c r="O120" i="14"/>
  <c r="P120" i="14"/>
  <c r="Q120" i="14"/>
  <c r="R120" i="14"/>
  <c r="S120" i="14"/>
  <c r="T120" i="14"/>
  <c r="U120" i="14"/>
  <c r="V120" i="14"/>
  <c r="X120" i="14"/>
  <c r="Y120" i="14"/>
  <c r="Z120" i="14"/>
  <c r="AA120" i="14"/>
  <c r="AB120" i="14"/>
  <c r="AC120" i="14"/>
  <c r="AD120" i="14"/>
  <c r="AE120" i="14"/>
  <c r="AF120" i="14"/>
  <c r="D121" i="14"/>
  <c r="E121" i="14"/>
  <c r="F121" i="14"/>
  <c r="G121" i="14"/>
  <c r="H121" i="14"/>
  <c r="J121" i="14"/>
  <c r="K121" i="14"/>
  <c r="L121" i="14"/>
  <c r="M121" i="14"/>
  <c r="N121" i="14"/>
  <c r="O121" i="14"/>
  <c r="P121" i="14"/>
  <c r="Q121" i="14"/>
  <c r="R121" i="14"/>
  <c r="S121" i="14"/>
  <c r="T121" i="14"/>
  <c r="U121" i="14"/>
  <c r="V121" i="14"/>
  <c r="X121" i="14"/>
  <c r="Y121" i="14"/>
  <c r="Z121" i="14"/>
  <c r="AA121" i="14"/>
  <c r="AB121" i="14"/>
  <c r="AC121" i="14"/>
  <c r="AD121" i="14"/>
  <c r="AE121" i="14"/>
  <c r="AF121" i="14"/>
  <c r="D122" i="14"/>
  <c r="E122" i="14"/>
  <c r="F122" i="14"/>
  <c r="G122" i="14"/>
  <c r="H122" i="14"/>
  <c r="J122" i="14"/>
  <c r="K122" i="14"/>
  <c r="L122" i="14"/>
  <c r="M122" i="14"/>
  <c r="N122" i="14"/>
  <c r="O122" i="14"/>
  <c r="P122" i="14"/>
  <c r="Q122" i="14"/>
  <c r="R122" i="14"/>
  <c r="S122" i="14"/>
  <c r="T122" i="14"/>
  <c r="U122" i="14"/>
  <c r="V122" i="14"/>
  <c r="X122" i="14"/>
  <c r="Y122" i="14"/>
  <c r="Z122" i="14"/>
  <c r="AA122" i="14"/>
  <c r="AB122" i="14"/>
  <c r="AC122" i="14"/>
  <c r="AD122" i="14"/>
  <c r="AE122" i="14"/>
  <c r="AF122" i="14"/>
  <c r="D123" i="14"/>
  <c r="E123" i="14"/>
  <c r="F123" i="14"/>
  <c r="G123" i="14"/>
  <c r="H123" i="14"/>
  <c r="J123" i="14"/>
  <c r="K123" i="14"/>
  <c r="L123" i="14"/>
  <c r="M123" i="14"/>
  <c r="N123" i="14"/>
  <c r="O123" i="14"/>
  <c r="P123" i="14"/>
  <c r="Q123" i="14"/>
  <c r="R123" i="14"/>
  <c r="S123" i="14"/>
  <c r="T123" i="14"/>
  <c r="U123" i="14"/>
  <c r="V123" i="14"/>
  <c r="X123" i="14"/>
  <c r="Y123" i="14"/>
  <c r="Z123" i="14"/>
  <c r="AA123" i="14"/>
  <c r="AB123" i="14"/>
  <c r="AC123" i="14"/>
  <c r="AD123" i="14"/>
  <c r="AE123" i="14"/>
  <c r="AF123" i="14"/>
  <c r="D124" i="14"/>
  <c r="E124" i="14"/>
  <c r="F124" i="14"/>
  <c r="G124" i="14"/>
  <c r="H124" i="14"/>
  <c r="J124" i="14"/>
  <c r="K124" i="14"/>
  <c r="L124" i="14"/>
  <c r="M124" i="14"/>
  <c r="N124" i="14"/>
  <c r="O124" i="14"/>
  <c r="P124" i="14"/>
  <c r="Q124" i="14"/>
  <c r="R124" i="14"/>
  <c r="S124" i="14"/>
  <c r="T124" i="14"/>
  <c r="U124" i="14"/>
  <c r="V124" i="14"/>
  <c r="X124" i="14"/>
  <c r="Y124" i="14"/>
  <c r="Z124" i="14"/>
  <c r="AA124" i="14"/>
  <c r="AB124" i="14"/>
  <c r="AC124" i="14"/>
  <c r="AD124" i="14"/>
  <c r="AE124" i="14"/>
  <c r="AF124" i="14"/>
  <c r="D125" i="14"/>
  <c r="E125" i="14"/>
  <c r="F125" i="14"/>
  <c r="G125" i="14"/>
  <c r="H125" i="14"/>
  <c r="J125" i="14"/>
  <c r="K125" i="14"/>
  <c r="L125" i="14"/>
  <c r="M125" i="14"/>
  <c r="N125" i="14"/>
  <c r="O125" i="14"/>
  <c r="P125" i="14"/>
  <c r="Q125" i="14"/>
  <c r="R125" i="14"/>
  <c r="S125" i="14"/>
  <c r="T125" i="14"/>
  <c r="U125" i="14"/>
  <c r="V125" i="14"/>
  <c r="X125" i="14"/>
  <c r="Y125" i="14"/>
  <c r="Z125" i="14"/>
  <c r="AA125" i="14"/>
  <c r="AB125" i="14"/>
  <c r="AC125" i="14"/>
  <c r="AD125" i="14"/>
  <c r="AE125" i="14"/>
  <c r="AF125" i="14"/>
  <c r="D126" i="14"/>
  <c r="E126" i="14"/>
  <c r="F126" i="14"/>
  <c r="G126" i="14"/>
  <c r="H126" i="14"/>
  <c r="J126" i="14"/>
  <c r="K126" i="14"/>
  <c r="L126" i="14"/>
  <c r="M126" i="14"/>
  <c r="N126" i="14"/>
  <c r="O126" i="14"/>
  <c r="P126" i="14"/>
  <c r="Q126" i="14"/>
  <c r="R126" i="14"/>
  <c r="S126" i="14"/>
  <c r="T126" i="14"/>
  <c r="U126" i="14"/>
  <c r="V126" i="14"/>
  <c r="X126" i="14"/>
  <c r="Y126" i="14"/>
  <c r="Z126" i="14"/>
  <c r="AA126" i="14"/>
  <c r="AB126" i="14"/>
  <c r="AC126" i="14"/>
  <c r="AD126" i="14"/>
  <c r="AE126" i="14"/>
  <c r="AF126" i="14"/>
  <c r="D127" i="14"/>
  <c r="E127" i="14"/>
  <c r="F127" i="14"/>
  <c r="G127" i="14"/>
  <c r="H127" i="14"/>
  <c r="J127" i="14"/>
  <c r="K127" i="14"/>
  <c r="L127" i="14"/>
  <c r="M127" i="14"/>
  <c r="N127" i="14"/>
  <c r="O127" i="14"/>
  <c r="P127" i="14"/>
  <c r="Q127" i="14"/>
  <c r="R127" i="14"/>
  <c r="S127" i="14"/>
  <c r="T127" i="14"/>
  <c r="U127" i="14"/>
  <c r="V127" i="14"/>
  <c r="X127" i="14"/>
  <c r="Y127" i="14"/>
  <c r="Z127" i="14"/>
  <c r="AA127" i="14"/>
  <c r="AB127" i="14"/>
  <c r="AC127" i="14"/>
  <c r="AD127" i="14"/>
  <c r="AE127" i="14"/>
  <c r="AF127" i="14"/>
  <c r="D128" i="14"/>
  <c r="E128" i="14"/>
  <c r="F128" i="14"/>
  <c r="G128" i="14"/>
  <c r="H128" i="14"/>
  <c r="J128" i="14"/>
  <c r="K128" i="14"/>
  <c r="L128" i="14"/>
  <c r="M128" i="14"/>
  <c r="N128" i="14"/>
  <c r="O128" i="14"/>
  <c r="P128" i="14"/>
  <c r="Q128" i="14"/>
  <c r="R128" i="14"/>
  <c r="S128" i="14"/>
  <c r="T128" i="14"/>
  <c r="U128" i="14"/>
  <c r="V128" i="14"/>
  <c r="X128" i="14"/>
  <c r="Y128" i="14"/>
  <c r="Z128" i="14"/>
  <c r="AA128" i="14"/>
  <c r="AB128" i="14"/>
  <c r="AC128" i="14"/>
  <c r="AD128" i="14"/>
  <c r="AE128" i="14"/>
  <c r="AF128" i="14"/>
  <c r="C129" i="14"/>
  <c r="D129" i="14"/>
  <c r="E129" i="14"/>
  <c r="F129" i="14"/>
  <c r="G129" i="14"/>
  <c r="H129" i="14"/>
  <c r="J129" i="14"/>
  <c r="K129" i="14"/>
  <c r="L129" i="14"/>
  <c r="M129" i="14"/>
  <c r="N129" i="14"/>
  <c r="O129" i="14"/>
  <c r="P129" i="14"/>
  <c r="Q129" i="14"/>
  <c r="R129" i="14"/>
  <c r="S129" i="14"/>
  <c r="T129" i="14"/>
  <c r="U129" i="14"/>
  <c r="V129" i="14"/>
  <c r="X129" i="14"/>
  <c r="Y129" i="14"/>
  <c r="Z129" i="14"/>
  <c r="AA129" i="14"/>
  <c r="AB129" i="14"/>
  <c r="AC129" i="14"/>
  <c r="AD129" i="14"/>
  <c r="AE129" i="14"/>
  <c r="AF129" i="14"/>
  <c r="C130" i="14"/>
  <c r="D130" i="14"/>
  <c r="E130" i="14"/>
  <c r="F130" i="14"/>
  <c r="G130" i="14"/>
  <c r="H130" i="14"/>
  <c r="J130" i="14"/>
  <c r="K130" i="14"/>
  <c r="L130" i="14"/>
  <c r="M130" i="14"/>
  <c r="N130" i="14"/>
  <c r="O130" i="14"/>
  <c r="P130" i="14"/>
  <c r="Q130" i="14"/>
  <c r="R130" i="14"/>
  <c r="S130" i="14"/>
  <c r="T130" i="14"/>
  <c r="U130" i="14"/>
  <c r="V130" i="14"/>
  <c r="X130" i="14"/>
  <c r="Y130" i="14"/>
  <c r="Z130" i="14"/>
  <c r="AA130" i="14"/>
  <c r="AB130" i="14"/>
  <c r="AC130" i="14"/>
  <c r="AD130" i="14"/>
  <c r="AE130" i="14"/>
  <c r="AF130" i="14"/>
  <c r="C131" i="14"/>
  <c r="D131" i="14"/>
  <c r="E131" i="14"/>
  <c r="F131" i="14"/>
  <c r="G131" i="14"/>
  <c r="H131" i="14"/>
  <c r="J131" i="14"/>
  <c r="K131" i="14"/>
  <c r="L131" i="14"/>
  <c r="M131" i="14"/>
  <c r="N131" i="14"/>
  <c r="O131" i="14"/>
  <c r="P131" i="14"/>
  <c r="Q131" i="14"/>
  <c r="R131" i="14"/>
  <c r="S131" i="14"/>
  <c r="T131" i="14"/>
  <c r="U131" i="14"/>
  <c r="V131" i="14"/>
  <c r="X131" i="14"/>
  <c r="Y131" i="14"/>
  <c r="Z131" i="14"/>
  <c r="AA131" i="14"/>
  <c r="AB131" i="14"/>
  <c r="AC131" i="14"/>
  <c r="AD131" i="14"/>
  <c r="AE131" i="14"/>
  <c r="AF131" i="14"/>
  <c r="C132" i="14"/>
  <c r="D132" i="14"/>
  <c r="E132" i="14"/>
  <c r="F132" i="14"/>
  <c r="G132" i="14"/>
  <c r="H132" i="14"/>
  <c r="J132" i="14"/>
  <c r="K132" i="14"/>
  <c r="L132" i="14"/>
  <c r="M132" i="14"/>
  <c r="N132" i="14"/>
  <c r="O132" i="14"/>
  <c r="P132" i="14"/>
  <c r="Q132" i="14"/>
  <c r="R132" i="14"/>
  <c r="S132" i="14"/>
  <c r="T132" i="14"/>
  <c r="U132" i="14"/>
  <c r="V132" i="14"/>
  <c r="X132" i="14"/>
  <c r="Y132" i="14"/>
  <c r="Z132" i="14"/>
  <c r="AA132" i="14"/>
  <c r="AB132" i="14"/>
  <c r="AC132" i="14"/>
  <c r="AD132" i="14"/>
  <c r="AE132" i="14"/>
  <c r="AF132" i="14"/>
  <c r="C133" i="14"/>
  <c r="D133" i="14"/>
  <c r="E133" i="14"/>
  <c r="F133" i="14"/>
  <c r="G133" i="14"/>
  <c r="H133" i="14"/>
  <c r="J133" i="14"/>
  <c r="K133" i="14"/>
  <c r="L133" i="14"/>
  <c r="M133" i="14"/>
  <c r="N133" i="14"/>
  <c r="O133" i="14"/>
  <c r="P133" i="14"/>
  <c r="Q133" i="14"/>
  <c r="R133" i="14"/>
  <c r="S133" i="14"/>
  <c r="T133" i="14"/>
  <c r="U133" i="14"/>
  <c r="V133" i="14"/>
  <c r="W133" i="14" s="1"/>
  <c r="X133" i="14"/>
  <c r="Y133" i="14"/>
  <c r="Z133" i="14"/>
  <c r="AA133" i="14"/>
  <c r="AB133" i="14"/>
  <c r="AC133" i="14"/>
  <c r="AD133" i="14"/>
  <c r="AE133" i="14"/>
  <c r="AF133" i="14"/>
  <c r="C134" i="14"/>
  <c r="D134" i="14"/>
  <c r="E134" i="14"/>
  <c r="F134" i="14"/>
  <c r="G134" i="14"/>
  <c r="H134" i="14"/>
  <c r="J134" i="14"/>
  <c r="K134" i="14"/>
  <c r="L134" i="14"/>
  <c r="M134" i="14"/>
  <c r="N134" i="14"/>
  <c r="O134" i="14"/>
  <c r="P134" i="14"/>
  <c r="Q134" i="14"/>
  <c r="R134" i="14"/>
  <c r="S134" i="14"/>
  <c r="T134" i="14"/>
  <c r="U134" i="14"/>
  <c r="V134" i="14"/>
  <c r="X134" i="14"/>
  <c r="Y134" i="14"/>
  <c r="Z134" i="14"/>
  <c r="AA134" i="14"/>
  <c r="AB134" i="14"/>
  <c r="AC134" i="14"/>
  <c r="AD134" i="14"/>
  <c r="AE134" i="14"/>
  <c r="AF134" i="14"/>
  <c r="C135" i="14"/>
  <c r="D135" i="14"/>
  <c r="E135" i="14"/>
  <c r="F135" i="14"/>
  <c r="G135" i="14"/>
  <c r="H135" i="14"/>
  <c r="J135" i="14"/>
  <c r="K135" i="14"/>
  <c r="L135" i="14"/>
  <c r="M135" i="14"/>
  <c r="N135" i="14"/>
  <c r="O135" i="14"/>
  <c r="P135" i="14"/>
  <c r="Q135" i="14"/>
  <c r="R135" i="14"/>
  <c r="S135" i="14"/>
  <c r="T135" i="14"/>
  <c r="U135" i="14"/>
  <c r="V135" i="14"/>
  <c r="W135" i="14"/>
  <c r="X135" i="14"/>
  <c r="Y135" i="14"/>
  <c r="Z135" i="14"/>
  <c r="AA135" i="14"/>
  <c r="AB135" i="14"/>
  <c r="AC135" i="14"/>
  <c r="AD135" i="14"/>
  <c r="AE135" i="14"/>
  <c r="AF135" i="14"/>
  <c r="C136" i="14"/>
  <c r="D136" i="14"/>
  <c r="E136" i="14"/>
  <c r="F136" i="14"/>
  <c r="G136" i="14"/>
  <c r="H136" i="14"/>
  <c r="J136" i="14"/>
  <c r="K136" i="14"/>
  <c r="L136" i="14"/>
  <c r="M136" i="14"/>
  <c r="N136" i="14"/>
  <c r="O136" i="14"/>
  <c r="P136" i="14"/>
  <c r="Q136" i="14"/>
  <c r="R136" i="14"/>
  <c r="S136" i="14"/>
  <c r="T136" i="14"/>
  <c r="U136" i="14"/>
  <c r="V136" i="14"/>
  <c r="X136" i="14"/>
  <c r="Y136" i="14"/>
  <c r="Z136" i="14"/>
  <c r="AA136" i="14"/>
  <c r="AB136" i="14"/>
  <c r="AC136" i="14"/>
  <c r="AD136" i="14"/>
  <c r="AE136" i="14"/>
  <c r="AF136" i="14"/>
  <c r="C137" i="14"/>
  <c r="D137" i="14"/>
  <c r="E137" i="14"/>
  <c r="F137" i="14"/>
  <c r="G137" i="14"/>
  <c r="H137" i="14"/>
  <c r="J137" i="14"/>
  <c r="K137" i="14"/>
  <c r="L137" i="14"/>
  <c r="M137" i="14"/>
  <c r="N137" i="14"/>
  <c r="O137" i="14"/>
  <c r="P137" i="14"/>
  <c r="Q137" i="14"/>
  <c r="R137" i="14"/>
  <c r="S137" i="14"/>
  <c r="T137" i="14"/>
  <c r="U137" i="14"/>
  <c r="V137" i="14"/>
  <c r="W137" i="14" s="1"/>
  <c r="X137" i="14"/>
  <c r="Y137" i="14"/>
  <c r="Z137" i="14"/>
  <c r="AA137" i="14"/>
  <c r="AB137" i="14"/>
  <c r="AC137" i="14"/>
  <c r="AD137" i="14"/>
  <c r="AE137" i="14"/>
  <c r="AF137" i="14"/>
  <c r="C138" i="14"/>
  <c r="D138" i="14"/>
  <c r="E138" i="14"/>
  <c r="F138" i="14"/>
  <c r="G138" i="14"/>
  <c r="H138" i="14"/>
  <c r="J138" i="14"/>
  <c r="K138" i="14"/>
  <c r="L138" i="14"/>
  <c r="M138" i="14"/>
  <c r="N138" i="14"/>
  <c r="O138" i="14"/>
  <c r="P138" i="14"/>
  <c r="Q138" i="14"/>
  <c r="R138" i="14"/>
  <c r="S138" i="14"/>
  <c r="T138" i="14"/>
  <c r="U138" i="14"/>
  <c r="V138" i="14"/>
  <c r="W138" i="14"/>
  <c r="X138" i="14"/>
  <c r="Y138" i="14"/>
  <c r="Z138" i="14"/>
  <c r="AA138" i="14"/>
  <c r="AB138" i="14"/>
  <c r="AC138" i="14"/>
  <c r="AD138" i="14"/>
  <c r="AE138" i="14"/>
  <c r="AF138" i="14"/>
  <c r="C139" i="14"/>
  <c r="D139" i="14"/>
  <c r="E139" i="14"/>
  <c r="F139" i="14"/>
  <c r="G139" i="14"/>
  <c r="H139" i="14"/>
  <c r="J139" i="14"/>
  <c r="K139" i="14"/>
  <c r="L139" i="14"/>
  <c r="M139" i="14"/>
  <c r="N139" i="14"/>
  <c r="O139" i="14"/>
  <c r="P139" i="14"/>
  <c r="Q139" i="14"/>
  <c r="R139" i="14"/>
  <c r="S139" i="14"/>
  <c r="T139" i="14"/>
  <c r="U139" i="14"/>
  <c r="V139" i="14"/>
  <c r="W139" i="14"/>
  <c r="X139" i="14"/>
  <c r="Y139" i="14"/>
  <c r="Z139" i="14"/>
  <c r="AA139" i="14"/>
  <c r="AB139" i="14"/>
  <c r="AC139" i="14"/>
  <c r="AD139" i="14"/>
  <c r="AE139" i="14"/>
  <c r="AF139" i="14"/>
  <c r="C140" i="14"/>
  <c r="D140" i="14"/>
  <c r="E140" i="14"/>
  <c r="F140" i="14"/>
  <c r="G140" i="14"/>
  <c r="H140" i="14"/>
  <c r="J140" i="14"/>
  <c r="K140" i="14"/>
  <c r="L140" i="14"/>
  <c r="M140" i="14"/>
  <c r="N140" i="14"/>
  <c r="O140" i="14"/>
  <c r="P140" i="14"/>
  <c r="Q140" i="14"/>
  <c r="R140" i="14"/>
  <c r="S140" i="14"/>
  <c r="T140" i="14"/>
  <c r="U140" i="14"/>
  <c r="V140" i="14"/>
  <c r="W140" i="14"/>
  <c r="X140" i="14"/>
  <c r="Y140" i="14"/>
  <c r="Z140" i="14"/>
  <c r="AA140" i="14"/>
  <c r="AB140" i="14"/>
  <c r="AC140" i="14"/>
  <c r="AD140" i="14"/>
  <c r="AE140" i="14"/>
  <c r="AF140" i="14"/>
  <c r="C141" i="14"/>
  <c r="D141" i="14"/>
  <c r="E141" i="14"/>
  <c r="F141" i="14"/>
  <c r="G141" i="14"/>
  <c r="H141" i="14"/>
  <c r="J141" i="14"/>
  <c r="K141" i="14"/>
  <c r="L141" i="14"/>
  <c r="M141" i="14"/>
  <c r="N141" i="14"/>
  <c r="O141" i="14"/>
  <c r="P141" i="14"/>
  <c r="Q141" i="14"/>
  <c r="R141" i="14"/>
  <c r="S141" i="14"/>
  <c r="T141" i="14"/>
  <c r="U141" i="14"/>
  <c r="V141" i="14"/>
  <c r="W141" i="14"/>
  <c r="X141" i="14"/>
  <c r="Y141" i="14"/>
  <c r="Z141" i="14"/>
  <c r="AA141" i="14"/>
  <c r="AB141" i="14"/>
  <c r="AC141" i="14"/>
  <c r="AD141" i="14"/>
  <c r="AE141" i="14"/>
  <c r="AF141" i="14"/>
  <c r="C142" i="14"/>
  <c r="D142" i="14"/>
  <c r="E142" i="14"/>
  <c r="F142" i="14"/>
  <c r="G142" i="14"/>
  <c r="H142" i="14"/>
  <c r="J142" i="14"/>
  <c r="K142" i="14"/>
  <c r="L142" i="14"/>
  <c r="M142" i="14"/>
  <c r="N142" i="14"/>
  <c r="O142" i="14"/>
  <c r="P142" i="14"/>
  <c r="Q142" i="14"/>
  <c r="R142" i="14"/>
  <c r="S142" i="14"/>
  <c r="T142" i="14"/>
  <c r="U142" i="14"/>
  <c r="V142" i="14"/>
  <c r="W142" i="14" s="1"/>
  <c r="X142" i="14"/>
  <c r="Y142" i="14"/>
  <c r="Z142" i="14"/>
  <c r="AA142" i="14"/>
  <c r="AB142" i="14"/>
  <c r="AC142" i="14"/>
  <c r="AD142" i="14"/>
  <c r="AE142" i="14"/>
  <c r="AF142" i="14"/>
  <c r="C143" i="14"/>
  <c r="D143" i="14"/>
  <c r="E143" i="14"/>
  <c r="F143" i="14"/>
  <c r="G143" i="14"/>
  <c r="H143" i="14"/>
  <c r="J143" i="14"/>
  <c r="K143" i="14"/>
  <c r="L143" i="14"/>
  <c r="M143" i="14"/>
  <c r="N143" i="14"/>
  <c r="O143" i="14"/>
  <c r="P143" i="14"/>
  <c r="Q143" i="14"/>
  <c r="R143" i="14"/>
  <c r="S143" i="14"/>
  <c r="T143" i="14"/>
  <c r="U143" i="14"/>
  <c r="V143" i="14"/>
  <c r="W143" i="14" s="1"/>
  <c r="X143" i="14"/>
  <c r="Y143" i="14"/>
  <c r="Z143" i="14"/>
  <c r="AA143" i="14"/>
  <c r="AB143" i="14"/>
  <c r="AC143" i="14"/>
  <c r="AD143" i="14"/>
  <c r="AE143" i="14"/>
  <c r="AF143" i="14"/>
  <c r="C144" i="14"/>
  <c r="D144" i="14"/>
  <c r="E144" i="14"/>
  <c r="F144" i="14"/>
  <c r="G144" i="14"/>
  <c r="H144" i="14"/>
  <c r="J144" i="14"/>
  <c r="K144" i="14"/>
  <c r="L144" i="14"/>
  <c r="M144" i="14"/>
  <c r="N144" i="14"/>
  <c r="O144" i="14"/>
  <c r="P144" i="14"/>
  <c r="Q144" i="14"/>
  <c r="R144" i="14"/>
  <c r="S144" i="14"/>
  <c r="T144" i="14"/>
  <c r="U144" i="14"/>
  <c r="V144" i="14"/>
  <c r="W144" i="14"/>
  <c r="X144" i="14"/>
  <c r="Y144" i="14"/>
  <c r="Z144" i="14"/>
  <c r="AA144" i="14"/>
  <c r="AB144" i="14"/>
  <c r="AC144" i="14"/>
  <c r="AD144" i="14"/>
  <c r="AE144" i="14"/>
  <c r="AF144" i="14"/>
  <c r="C145" i="14"/>
  <c r="D145" i="14"/>
  <c r="E145" i="14"/>
  <c r="F145" i="14"/>
  <c r="G145" i="14"/>
  <c r="H145" i="14"/>
  <c r="J145" i="14"/>
  <c r="K145" i="14"/>
  <c r="L145" i="14"/>
  <c r="M145" i="14"/>
  <c r="N145" i="14"/>
  <c r="O145" i="14"/>
  <c r="P145" i="14"/>
  <c r="Q145" i="14"/>
  <c r="R145" i="14"/>
  <c r="S145" i="14"/>
  <c r="T145" i="14"/>
  <c r="U145" i="14"/>
  <c r="V145" i="14"/>
  <c r="W145" i="14"/>
  <c r="X145" i="14"/>
  <c r="Y145" i="14"/>
  <c r="Z145" i="14"/>
  <c r="AA145" i="14"/>
  <c r="AB145" i="14"/>
  <c r="AC145" i="14"/>
  <c r="AD145" i="14"/>
  <c r="AE145" i="14"/>
  <c r="AF145" i="14"/>
  <c r="C146" i="14"/>
  <c r="D146" i="14"/>
  <c r="E146" i="14"/>
  <c r="F146" i="14"/>
  <c r="G146" i="14"/>
  <c r="H146" i="14"/>
  <c r="J146" i="14"/>
  <c r="K146" i="14"/>
  <c r="L146" i="14"/>
  <c r="M146" i="14"/>
  <c r="N146" i="14"/>
  <c r="O146" i="14"/>
  <c r="P146" i="14"/>
  <c r="Q146" i="14"/>
  <c r="R146" i="14"/>
  <c r="S146" i="14"/>
  <c r="T146" i="14"/>
  <c r="U146" i="14"/>
  <c r="V146" i="14"/>
  <c r="W146" i="14" s="1"/>
  <c r="X146" i="14"/>
  <c r="Y146" i="14"/>
  <c r="Z146" i="14"/>
  <c r="AA146" i="14"/>
  <c r="AB146" i="14"/>
  <c r="AC146" i="14"/>
  <c r="AD146" i="14"/>
  <c r="AE146" i="14"/>
  <c r="AF146" i="14"/>
  <c r="C147" i="14"/>
  <c r="D147" i="14"/>
  <c r="E147" i="14"/>
  <c r="F147" i="14"/>
  <c r="G147" i="14"/>
  <c r="H147" i="14"/>
  <c r="J147" i="14"/>
  <c r="K147" i="14"/>
  <c r="L147" i="14"/>
  <c r="M147" i="14"/>
  <c r="N147" i="14"/>
  <c r="O147" i="14"/>
  <c r="P147" i="14"/>
  <c r="Q147" i="14"/>
  <c r="R147" i="14"/>
  <c r="S147" i="14"/>
  <c r="T147" i="14"/>
  <c r="U147" i="14"/>
  <c r="V147" i="14"/>
  <c r="W147" i="14" s="1"/>
  <c r="X147" i="14"/>
  <c r="Y147" i="14"/>
  <c r="Z147" i="14"/>
  <c r="AA147" i="14"/>
  <c r="AB147" i="14"/>
  <c r="AC147" i="14"/>
  <c r="AD147" i="14"/>
  <c r="AE147" i="14"/>
  <c r="AF147" i="14"/>
  <c r="C148" i="14"/>
  <c r="D148" i="14"/>
  <c r="E148" i="14"/>
  <c r="F148" i="14"/>
  <c r="G148" i="14"/>
  <c r="H148" i="14"/>
  <c r="J148" i="14"/>
  <c r="K148" i="14"/>
  <c r="L148" i="14"/>
  <c r="M148" i="14"/>
  <c r="N148" i="14"/>
  <c r="O148" i="14"/>
  <c r="P148" i="14"/>
  <c r="Q148" i="14"/>
  <c r="R148" i="14"/>
  <c r="S148" i="14"/>
  <c r="T148" i="14"/>
  <c r="U148" i="14"/>
  <c r="W148" i="14" s="1"/>
  <c r="V148" i="14"/>
  <c r="X148" i="14"/>
  <c r="Y148" i="14"/>
  <c r="Z148" i="14"/>
  <c r="AA148" i="14"/>
  <c r="AB148" i="14"/>
  <c r="AC148" i="14"/>
  <c r="AD148" i="14"/>
  <c r="AE148" i="14"/>
  <c r="AF148" i="14"/>
  <c r="C149" i="14"/>
  <c r="D149" i="14"/>
  <c r="E149" i="14"/>
  <c r="F149" i="14"/>
  <c r="G149" i="14"/>
  <c r="H149" i="14"/>
  <c r="J149" i="14"/>
  <c r="K149" i="14"/>
  <c r="L149" i="14"/>
  <c r="M149" i="14"/>
  <c r="N149" i="14"/>
  <c r="O149" i="14"/>
  <c r="P149" i="14"/>
  <c r="Q149" i="14"/>
  <c r="R149" i="14"/>
  <c r="S149" i="14"/>
  <c r="T149" i="14"/>
  <c r="U149" i="14"/>
  <c r="V149" i="14"/>
  <c r="W149" i="14" s="1"/>
  <c r="X149" i="14"/>
  <c r="Y149" i="14"/>
  <c r="Z149" i="14"/>
  <c r="AA149" i="14"/>
  <c r="AB149" i="14"/>
  <c r="AC149" i="14"/>
  <c r="AD149" i="14"/>
  <c r="AE149" i="14"/>
  <c r="AF149" i="14"/>
  <c r="C150" i="14"/>
  <c r="D150" i="14"/>
  <c r="E150" i="14"/>
  <c r="F150" i="14"/>
  <c r="G150" i="14"/>
  <c r="H150" i="14"/>
  <c r="J150" i="14"/>
  <c r="K150" i="14"/>
  <c r="L150" i="14"/>
  <c r="M150" i="14"/>
  <c r="N150" i="14"/>
  <c r="O150" i="14"/>
  <c r="P150" i="14"/>
  <c r="Q150" i="14"/>
  <c r="R150" i="14"/>
  <c r="S150" i="14"/>
  <c r="T150" i="14"/>
  <c r="U150" i="14"/>
  <c r="V150" i="14"/>
  <c r="X150" i="14"/>
  <c r="Y150" i="14"/>
  <c r="Z150" i="14"/>
  <c r="AA150" i="14"/>
  <c r="AB150" i="14"/>
  <c r="AC150" i="14"/>
  <c r="AD150" i="14"/>
  <c r="AE150" i="14"/>
  <c r="AF150" i="14"/>
  <c r="C151" i="14"/>
  <c r="D151" i="14"/>
  <c r="E151" i="14"/>
  <c r="F151" i="14"/>
  <c r="G151" i="14"/>
  <c r="H151" i="14"/>
  <c r="J151" i="14"/>
  <c r="K151" i="14"/>
  <c r="L151" i="14"/>
  <c r="M151" i="14"/>
  <c r="N151" i="14"/>
  <c r="O151" i="14"/>
  <c r="P151" i="14"/>
  <c r="Q151" i="14"/>
  <c r="R151" i="14"/>
  <c r="S151" i="14"/>
  <c r="T151" i="14"/>
  <c r="U151" i="14"/>
  <c r="V151" i="14"/>
  <c r="W151" i="14" s="1"/>
  <c r="X151" i="14"/>
  <c r="Y151" i="14"/>
  <c r="Z151" i="14"/>
  <c r="AA151" i="14"/>
  <c r="AB151" i="14"/>
  <c r="AC151" i="14"/>
  <c r="AD151" i="14"/>
  <c r="AE151" i="14"/>
  <c r="AF151" i="14"/>
  <c r="C152" i="14"/>
  <c r="D152" i="14"/>
  <c r="E152" i="14"/>
  <c r="F152" i="14"/>
  <c r="G152" i="14"/>
  <c r="H152" i="14"/>
  <c r="J152" i="14"/>
  <c r="K152" i="14"/>
  <c r="L152" i="14"/>
  <c r="M152" i="14"/>
  <c r="N152" i="14"/>
  <c r="O152" i="14"/>
  <c r="P152" i="14"/>
  <c r="Q152" i="14"/>
  <c r="R152" i="14"/>
  <c r="S152" i="14"/>
  <c r="T152" i="14"/>
  <c r="U152" i="14"/>
  <c r="W152" i="14" s="1"/>
  <c r="V152" i="14"/>
  <c r="X152" i="14"/>
  <c r="Y152" i="14"/>
  <c r="Z152" i="14"/>
  <c r="AA152" i="14"/>
  <c r="AB152" i="14"/>
  <c r="AC152" i="14"/>
  <c r="AD152" i="14"/>
  <c r="AE152" i="14"/>
  <c r="AF152" i="14"/>
  <c r="C153" i="14"/>
  <c r="D153" i="14"/>
  <c r="E153" i="14"/>
  <c r="F153" i="14"/>
  <c r="G153" i="14"/>
  <c r="H153" i="14"/>
  <c r="J153" i="14"/>
  <c r="K153" i="14"/>
  <c r="L153" i="14"/>
  <c r="M153" i="14"/>
  <c r="N153" i="14"/>
  <c r="O153" i="14"/>
  <c r="P153" i="14"/>
  <c r="Q153" i="14"/>
  <c r="R153" i="14"/>
  <c r="S153" i="14"/>
  <c r="T153" i="14"/>
  <c r="U153" i="14"/>
  <c r="V153" i="14"/>
  <c r="W153" i="14" s="1"/>
  <c r="X153" i="14"/>
  <c r="Y153" i="14"/>
  <c r="Z153" i="14"/>
  <c r="AA153" i="14"/>
  <c r="AB153" i="14"/>
  <c r="AC153" i="14"/>
  <c r="AD153" i="14"/>
  <c r="AE153" i="14"/>
  <c r="AF153" i="14"/>
  <c r="C154" i="14"/>
  <c r="D154" i="14"/>
  <c r="E154" i="14"/>
  <c r="F154" i="14"/>
  <c r="G154" i="14"/>
  <c r="H154" i="14"/>
  <c r="J154" i="14"/>
  <c r="K154" i="14"/>
  <c r="L154" i="14"/>
  <c r="M154" i="14"/>
  <c r="N154" i="14"/>
  <c r="O154" i="14"/>
  <c r="P154" i="14"/>
  <c r="Q154" i="14"/>
  <c r="R154" i="14"/>
  <c r="S154" i="14"/>
  <c r="T154" i="14"/>
  <c r="U154" i="14"/>
  <c r="V154" i="14"/>
  <c r="W154" i="14"/>
  <c r="X154" i="14"/>
  <c r="Y154" i="14"/>
  <c r="Z154" i="14"/>
  <c r="AA154" i="14"/>
  <c r="AB154" i="14"/>
  <c r="AC154" i="14"/>
  <c r="AD154" i="14"/>
  <c r="AE154" i="14"/>
  <c r="AF154" i="14"/>
  <c r="C155" i="14"/>
  <c r="D155" i="14"/>
  <c r="E155" i="14"/>
  <c r="F155" i="14"/>
  <c r="G155" i="14"/>
  <c r="H155" i="14"/>
  <c r="J155" i="14"/>
  <c r="K155" i="14"/>
  <c r="L155" i="14"/>
  <c r="M155" i="14"/>
  <c r="N155" i="14"/>
  <c r="O155" i="14"/>
  <c r="P155" i="14"/>
  <c r="Q155" i="14"/>
  <c r="R155" i="14"/>
  <c r="S155" i="14"/>
  <c r="T155" i="14"/>
  <c r="U155" i="14"/>
  <c r="V155" i="14"/>
  <c r="W155" i="14"/>
  <c r="X155" i="14"/>
  <c r="Y155" i="14"/>
  <c r="Z155" i="14"/>
  <c r="AA155" i="14"/>
  <c r="AB155" i="14"/>
  <c r="AC155" i="14"/>
  <c r="AD155" i="14"/>
  <c r="AE155" i="14"/>
  <c r="AF155" i="14"/>
  <c r="C156" i="14"/>
  <c r="D156" i="14"/>
  <c r="E156" i="14"/>
  <c r="F156" i="14"/>
  <c r="G156" i="14"/>
  <c r="H156" i="14"/>
  <c r="J156" i="14"/>
  <c r="K156" i="14"/>
  <c r="L156" i="14"/>
  <c r="M156" i="14"/>
  <c r="N156" i="14"/>
  <c r="O156" i="14"/>
  <c r="P156" i="14"/>
  <c r="Q156" i="14"/>
  <c r="R156" i="14"/>
  <c r="S156" i="14"/>
  <c r="T156" i="14"/>
  <c r="U156" i="14"/>
  <c r="V156" i="14"/>
  <c r="W156" i="14" s="1"/>
  <c r="X156" i="14"/>
  <c r="Y156" i="14"/>
  <c r="Z156" i="14"/>
  <c r="AA156" i="14"/>
  <c r="AB156" i="14"/>
  <c r="AC156" i="14"/>
  <c r="AD156" i="14"/>
  <c r="AE156" i="14"/>
  <c r="AF156" i="14"/>
  <c r="C157" i="14"/>
  <c r="D157" i="14"/>
  <c r="E157" i="14"/>
  <c r="F157" i="14"/>
  <c r="G157" i="14"/>
  <c r="H157" i="14"/>
  <c r="J157" i="14"/>
  <c r="K157" i="14"/>
  <c r="L157" i="14"/>
  <c r="M157" i="14"/>
  <c r="N157" i="14"/>
  <c r="O157" i="14"/>
  <c r="P157" i="14"/>
  <c r="Q157" i="14"/>
  <c r="R157" i="14"/>
  <c r="S157" i="14"/>
  <c r="T157" i="14"/>
  <c r="U157" i="14"/>
  <c r="W157" i="14" s="1"/>
  <c r="V157" i="14"/>
  <c r="X157" i="14"/>
  <c r="Y157" i="14"/>
  <c r="Z157" i="14"/>
  <c r="AA157" i="14"/>
  <c r="AB157" i="14"/>
  <c r="AC157" i="14"/>
  <c r="AD157" i="14"/>
  <c r="AE157" i="14"/>
  <c r="AF157" i="14"/>
  <c r="C158" i="14"/>
  <c r="D158" i="14"/>
  <c r="E158" i="14"/>
  <c r="F158" i="14"/>
  <c r="G158" i="14"/>
  <c r="H158" i="14"/>
  <c r="J158" i="14"/>
  <c r="K158" i="14"/>
  <c r="L158" i="14"/>
  <c r="M158" i="14"/>
  <c r="N158" i="14"/>
  <c r="O158" i="14"/>
  <c r="P158" i="14"/>
  <c r="Q158" i="14"/>
  <c r="R158" i="14"/>
  <c r="S158" i="14"/>
  <c r="T158" i="14"/>
  <c r="U158" i="14"/>
  <c r="W158" i="14" s="1"/>
  <c r="V158" i="14"/>
  <c r="X158" i="14"/>
  <c r="Y158" i="14"/>
  <c r="Z158" i="14"/>
  <c r="AA158" i="14"/>
  <c r="AB158" i="14"/>
  <c r="AC158" i="14"/>
  <c r="AD158" i="14"/>
  <c r="AE158" i="14"/>
  <c r="AF158" i="14"/>
  <c r="C159" i="14"/>
  <c r="D159" i="14"/>
  <c r="E159" i="14"/>
  <c r="F159" i="14"/>
  <c r="G159" i="14"/>
  <c r="H159" i="14"/>
  <c r="J159" i="14"/>
  <c r="K159" i="14"/>
  <c r="L159" i="14"/>
  <c r="M159" i="14"/>
  <c r="N159" i="14"/>
  <c r="O159" i="14"/>
  <c r="P159" i="14"/>
  <c r="Q159" i="14"/>
  <c r="R159" i="14"/>
  <c r="S159" i="14"/>
  <c r="T159" i="14"/>
  <c r="U159" i="14"/>
  <c r="V159" i="14"/>
  <c r="W159" i="14" s="1"/>
  <c r="X159" i="14"/>
  <c r="Y159" i="14"/>
  <c r="Z159" i="14"/>
  <c r="AA159" i="14"/>
  <c r="AB159" i="14"/>
  <c r="AC159" i="14"/>
  <c r="AD159" i="14"/>
  <c r="AE159" i="14"/>
  <c r="AF159" i="14"/>
  <c r="C160" i="14"/>
  <c r="D160" i="14"/>
  <c r="E160" i="14"/>
  <c r="F160" i="14"/>
  <c r="G160" i="14"/>
  <c r="H160" i="14"/>
  <c r="J160" i="14"/>
  <c r="K160" i="14"/>
  <c r="L160" i="14"/>
  <c r="M160" i="14"/>
  <c r="N160" i="14"/>
  <c r="O160" i="14"/>
  <c r="P160" i="14"/>
  <c r="Q160" i="14"/>
  <c r="R160" i="14"/>
  <c r="S160" i="14"/>
  <c r="T160" i="14"/>
  <c r="U160" i="14"/>
  <c r="V160" i="14"/>
  <c r="W160" i="14"/>
  <c r="X160" i="14"/>
  <c r="Y160" i="14"/>
  <c r="Z160" i="14"/>
  <c r="AA160" i="14"/>
  <c r="AB160" i="14"/>
  <c r="AC160" i="14"/>
  <c r="AD160" i="14"/>
  <c r="AE160" i="14"/>
  <c r="AF160" i="14"/>
  <c r="C161" i="14"/>
  <c r="D161" i="14"/>
  <c r="E161" i="14"/>
  <c r="F161" i="14"/>
  <c r="G161" i="14"/>
  <c r="H161" i="14"/>
  <c r="J161" i="14"/>
  <c r="K161" i="14"/>
  <c r="L161" i="14"/>
  <c r="M161" i="14"/>
  <c r="N161" i="14"/>
  <c r="O161" i="14"/>
  <c r="P161" i="14"/>
  <c r="Q161" i="14"/>
  <c r="R161" i="14"/>
  <c r="S161" i="14"/>
  <c r="T161" i="14"/>
  <c r="U161" i="14"/>
  <c r="V161" i="14"/>
  <c r="W161" i="14"/>
  <c r="X161" i="14"/>
  <c r="Y161" i="14"/>
  <c r="Z161" i="14"/>
  <c r="AA161" i="14"/>
  <c r="AB161" i="14"/>
  <c r="AC161" i="14"/>
  <c r="AD161" i="14"/>
  <c r="AE161" i="14"/>
  <c r="AF161" i="14"/>
  <c r="C162" i="14"/>
  <c r="D162" i="14"/>
  <c r="E162" i="14"/>
  <c r="F162" i="14"/>
  <c r="G162" i="14"/>
  <c r="H162" i="14"/>
  <c r="J162" i="14"/>
  <c r="K162" i="14"/>
  <c r="L162" i="14"/>
  <c r="M162" i="14"/>
  <c r="N162" i="14"/>
  <c r="O162" i="14"/>
  <c r="P162" i="14"/>
  <c r="Q162" i="14"/>
  <c r="R162" i="14"/>
  <c r="S162" i="14"/>
  <c r="T162" i="14"/>
  <c r="U162" i="14"/>
  <c r="V162" i="14"/>
  <c r="W162" i="14"/>
  <c r="X162" i="14"/>
  <c r="Y162" i="14"/>
  <c r="Z162" i="14"/>
  <c r="AA162" i="14"/>
  <c r="AB162" i="14"/>
  <c r="AC162" i="14"/>
  <c r="AD162" i="14"/>
  <c r="AE162" i="14"/>
  <c r="AF162" i="14"/>
  <c r="C163" i="14"/>
  <c r="D163" i="14"/>
  <c r="E163" i="14"/>
  <c r="F163" i="14"/>
  <c r="G163" i="14"/>
  <c r="H163" i="14"/>
  <c r="J163" i="14"/>
  <c r="K163" i="14"/>
  <c r="L163" i="14"/>
  <c r="M163" i="14"/>
  <c r="N163" i="14"/>
  <c r="O163" i="14"/>
  <c r="P163" i="14"/>
  <c r="Q163" i="14"/>
  <c r="R163" i="14"/>
  <c r="S163" i="14"/>
  <c r="T163" i="14"/>
  <c r="U163" i="14"/>
  <c r="V163" i="14"/>
  <c r="W163" i="14"/>
  <c r="X163" i="14"/>
  <c r="Y163" i="14"/>
  <c r="Z163" i="14"/>
  <c r="AA163" i="14"/>
  <c r="AB163" i="14"/>
  <c r="AC163" i="14"/>
  <c r="AD163" i="14"/>
  <c r="AE163" i="14"/>
  <c r="AF163" i="14"/>
  <c r="C164" i="14"/>
  <c r="D164" i="14"/>
  <c r="E164" i="14"/>
  <c r="F164" i="14"/>
  <c r="G164" i="14"/>
  <c r="H164" i="14"/>
  <c r="J164" i="14"/>
  <c r="K164" i="14"/>
  <c r="L164" i="14"/>
  <c r="M164" i="14"/>
  <c r="N164" i="14"/>
  <c r="O164" i="14"/>
  <c r="P164" i="14"/>
  <c r="Q164" i="14"/>
  <c r="R164" i="14"/>
  <c r="S164" i="14"/>
  <c r="T164" i="14"/>
  <c r="U164" i="14"/>
  <c r="V164" i="14"/>
  <c r="W164" i="14" s="1"/>
  <c r="X164" i="14"/>
  <c r="Y164" i="14"/>
  <c r="Z164" i="14"/>
  <c r="AA164" i="14"/>
  <c r="AB164" i="14"/>
  <c r="AC164" i="14"/>
  <c r="AD164" i="14"/>
  <c r="AE164" i="14"/>
  <c r="AF164" i="14"/>
  <c r="C165" i="14"/>
  <c r="D165" i="14"/>
  <c r="E165" i="14"/>
  <c r="F165" i="14"/>
  <c r="G165" i="14"/>
  <c r="H165" i="14"/>
  <c r="J165" i="14"/>
  <c r="K165" i="14"/>
  <c r="L165" i="14"/>
  <c r="M165" i="14"/>
  <c r="N165" i="14"/>
  <c r="O165" i="14"/>
  <c r="P165" i="14"/>
  <c r="Q165" i="14"/>
  <c r="R165" i="14"/>
  <c r="S165" i="14"/>
  <c r="T165" i="14"/>
  <c r="U165" i="14"/>
  <c r="V165" i="14"/>
  <c r="W165" i="14" s="1"/>
  <c r="X165" i="14"/>
  <c r="Y165" i="14"/>
  <c r="Z165" i="14"/>
  <c r="AA165" i="14"/>
  <c r="AB165" i="14"/>
  <c r="AC165" i="14"/>
  <c r="AD165" i="14"/>
  <c r="AE165" i="14"/>
  <c r="AF165" i="14"/>
  <c r="C166" i="14"/>
  <c r="D166" i="14"/>
  <c r="E166" i="14"/>
  <c r="F166" i="14"/>
  <c r="G166" i="14"/>
  <c r="H166" i="14"/>
  <c r="J166" i="14"/>
  <c r="K166" i="14"/>
  <c r="L166" i="14"/>
  <c r="M166" i="14"/>
  <c r="N166" i="14"/>
  <c r="O166" i="14"/>
  <c r="P166" i="14"/>
  <c r="Q166" i="14"/>
  <c r="R166" i="14"/>
  <c r="S166" i="14"/>
  <c r="T166" i="14"/>
  <c r="U166" i="14"/>
  <c r="V166" i="14"/>
  <c r="X166" i="14"/>
  <c r="Y166" i="14"/>
  <c r="Z166" i="14"/>
  <c r="AA166" i="14"/>
  <c r="AB166" i="14"/>
  <c r="AC166" i="14"/>
  <c r="AD166" i="14"/>
  <c r="AE166" i="14"/>
  <c r="AF166" i="14"/>
  <c r="C167" i="14"/>
  <c r="D167" i="14"/>
  <c r="E167" i="14"/>
  <c r="F167" i="14"/>
  <c r="G167" i="14"/>
  <c r="H167" i="14"/>
  <c r="J167" i="14"/>
  <c r="K167" i="14"/>
  <c r="L167" i="14"/>
  <c r="M167" i="14"/>
  <c r="N167" i="14"/>
  <c r="O167" i="14"/>
  <c r="P167" i="14"/>
  <c r="Q167" i="14"/>
  <c r="R167" i="14"/>
  <c r="S167" i="14"/>
  <c r="T167" i="14"/>
  <c r="U167" i="14"/>
  <c r="V167" i="14"/>
  <c r="W167" i="14"/>
  <c r="X167" i="14"/>
  <c r="Y167" i="14"/>
  <c r="Z167" i="14"/>
  <c r="AA167" i="14"/>
  <c r="AB167" i="14"/>
  <c r="AC167" i="14"/>
  <c r="AD167" i="14"/>
  <c r="AE167" i="14"/>
  <c r="AF167" i="14"/>
  <c r="C168" i="14"/>
  <c r="D168" i="14"/>
  <c r="E168" i="14"/>
  <c r="F168" i="14"/>
  <c r="G168" i="14"/>
  <c r="H168" i="14"/>
  <c r="J168" i="14"/>
  <c r="K168" i="14"/>
  <c r="L168" i="14"/>
  <c r="M168" i="14"/>
  <c r="N168" i="14"/>
  <c r="O168" i="14"/>
  <c r="P168" i="14"/>
  <c r="Q168" i="14"/>
  <c r="R168" i="14"/>
  <c r="S168" i="14"/>
  <c r="T168" i="14"/>
  <c r="U168" i="14"/>
  <c r="V168" i="14"/>
  <c r="X168" i="14"/>
  <c r="Y168" i="14"/>
  <c r="Z168" i="14"/>
  <c r="AA168" i="14"/>
  <c r="AB168" i="14"/>
  <c r="AC168" i="14"/>
  <c r="AD168" i="14"/>
  <c r="AE168" i="14"/>
  <c r="AF168" i="14"/>
  <c r="C169" i="14"/>
  <c r="D169" i="14"/>
  <c r="E169" i="14"/>
  <c r="F169" i="14"/>
  <c r="G169" i="14"/>
  <c r="H169" i="14"/>
  <c r="J169" i="14"/>
  <c r="K169" i="14"/>
  <c r="L169" i="14"/>
  <c r="M169" i="14"/>
  <c r="N169" i="14"/>
  <c r="O169" i="14"/>
  <c r="P169" i="14"/>
  <c r="Q169" i="14"/>
  <c r="R169" i="14"/>
  <c r="S169" i="14"/>
  <c r="T169" i="14"/>
  <c r="U169" i="14"/>
  <c r="V169" i="14"/>
  <c r="W169" i="14" s="1"/>
  <c r="X169" i="14"/>
  <c r="Y169" i="14"/>
  <c r="Z169" i="14"/>
  <c r="AA169" i="14"/>
  <c r="AB169" i="14"/>
  <c r="AC169" i="14"/>
  <c r="AD169" i="14"/>
  <c r="AE169" i="14"/>
  <c r="AF169" i="14"/>
  <c r="C170" i="14"/>
  <c r="D170" i="14"/>
  <c r="E170" i="14"/>
  <c r="F170" i="14"/>
  <c r="G170" i="14"/>
  <c r="H170" i="14"/>
  <c r="J170" i="14"/>
  <c r="K170" i="14"/>
  <c r="L170" i="14"/>
  <c r="M170" i="14"/>
  <c r="N170" i="14"/>
  <c r="O170" i="14"/>
  <c r="P170" i="14"/>
  <c r="Q170" i="14"/>
  <c r="R170" i="14"/>
  <c r="S170" i="14"/>
  <c r="T170" i="14"/>
  <c r="U170" i="14"/>
  <c r="V170" i="14"/>
  <c r="W170" i="14"/>
  <c r="X170" i="14"/>
  <c r="Y170" i="14"/>
  <c r="Z170" i="14"/>
  <c r="AA170" i="14"/>
  <c r="AB170" i="14"/>
  <c r="AC170" i="14"/>
  <c r="AD170" i="14"/>
  <c r="AE170" i="14"/>
  <c r="AF170" i="14"/>
  <c r="C171" i="14"/>
  <c r="D171" i="14"/>
  <c r="E171" i="14"/>
  <c r="F171" i="14"/>
  <c r="G171" i="14"/>
  <c r="H171" i="14"/>
  <c r="J171" i="14"/>
  <c r="K171" i="14"/>
  <c r="L171" i="14"/>
  <c r="M171" i="14"/>
  <c r="N171" i="14"/>
  <c r="O171" i="14"/>
  <c r="P171" i="14"/>
  <c r="Q171" i="14"/>
  <c r="R171" i="14"/>
  <c r="S171" i="14"/>
  <c r="T171" i="14"/>
  <c r="U171" i="14"/>
  <c r="V171" i="14"/>
  <c r="W171" i="14"/>
  <c r="X171" i="14"/>
  <c r="Y171" i="14"/>
  <c r="Z171" i="14"/>
  <c r="AA171" i="14"/>
  <c r="AB171" i="14"/>
  <c r="AC171" i="14"/>
  <c r="AD171" i="14"/>
  <c r="AE171" i="14"/>
  <c r="AF171" i="14"/>
  <c r="C172" i="14"/>
  <c r="D172" i="14"/>
  <c r="E172" i="14"/>
  <c r="F172" i="14"/>
  <c r="G172" i="14"/>
  <c r="H172" i="14"/>
  <c r="J172" i="14"/>
  <c r="K172" i="14"/>
  <c r="L172" i="14"/>
  <c r="M172" i="14"/>
  <c r="N172" i="14"/>
  <c r="O172" i="14"/>
  <c r="P172" i="14"/>
  <c r="Q172" i="14"/>
  <c r="R172" i="14"/>
  <c r="S172" i="14"/>
  <c r="T172" i="14"/>
  <c r="U172" i="14"/>
  <c r="V172" i="14"/>
  <c r="W172" i="14"/>
  <c r="X172" i="14"/>
  <c r="Y172" i="14"/>
  <c r="Z172" i="14"/>
  <c r="AA172" i="14"/>
  <c r="AB172" i="14"/>
  <c r="AC172" i="14"/>
  <c r="AD172" i="14"/>
  <c r="AE172" i="14"/>
  <c r="AF172" i="14"/>
  <c r="C173" i="14"/>
  <c r="D173" i="14"/>
  <c r="E173" i="14"/>
  <c r="F173" i="14"/>
  <c r="G173" i="14"/>
  <c r="H173" i="14"/>
  <c r="J173" i="14"/>
  <c r="K173" i="14"/>
  <c r="L173" i="14"/>
  <c r="M173" i="14"/>
  <c r="N173" i="14"/>
  <c r="O173" i="14"/>
  <c r="P173" i="14"/>
  <c r="Q173" i="14"/>
  <c r="R173" i="14"/>
  <c r="S173" i="14"/>
  <c r="T173" i="14"/>
  <c r="U173" i="14"/>
  <c r="V173" i="14"/>
  <c r="W173" i="14"/>
  <c r="X173" i="14"/>
  <c r="Y173" i="14"/>
  <c r="Z173" i="14"/>
  <c r="AA173" i="14"/>
  <c r="AB173" i="14"/>
  <c r="AC173" i="14"/>
  <c r="AD173" i="14"/>
  <c r="AE173" i="14"/>
  <c r="AF173" i="14"/>
  <c r="C174" i="14"/>
  <c r="D174" i="14"/>
  <c r="E174" i="14"/>
  <c r="F174" i="14"/>
  <c r="G174" i="14"/>
  <c r="H174" i="14"/>
  <c r="J174" i="14"/>
  <c r="K174" i="14"/>
  <c r="L174" i="14"/>
  <c r="M174" i="14"/>
  <c r="N174" i="14"/>
  <c r="O174" i="14"/>
  <c r="P174" i="14"/>
  <c r="Q174" i="14"/>
  <c r="R174" i="14"/>
  <c r="S174" i="14"/>
  <c r="T174" i="14"/>
  <c r="U174" i="14"/>
  <c r="V174" i="14"/>
  <c r="W174" i="14" s="1"/>
  <c r="X174" i="14"/>
  <c r="Y174" i="14"/>
  <c r="Z174" i="14"/>
  <c r="AA174" i="14"/>
  <c r="AB174" i="14"/>
  <c r="AC174" i="14"/>
  <c r="AD174" i="14"/>
  <c r="AE174" i="14"/>
  <c r="AF174" i="14"/>
  <c r="C175" i="14"/>
  <c r="D175" i="14"/>
  <c r="E175" i="14"/>
  <c r="F175" i="14"/>
  <c r="G175" i="14"/>
  <c r="H175" i="14"/>
  <c r="J175" i="14"/>
  <c r="K175" i="14"/>
  <c r="L175" i="14"/>
  <c r="M175" i="14"/>
  <c r="N175" i="14"/>
  <c r="O175" i="14"/>
  <c r="P175" i="14"/>
  <c r="Q175" i="14"/>
  <c r="R175" i="14"/>
  <c r="S175" i="14"/>
  <c r="T175" i="14"/>
  <c r="U175" i="14"/>
  <c r="V175" i="14"/>
  <c r="W175" i="14" s="1"/>
  <c r="X175" i="14"/>
  <c r="Y175" i="14"/>
  <c r="Z175" i="14"/>
  <c r="AA175" i="14"/>
  <c r="AB175" i="14"/>
  <c r="AC175" i="14"/>
  <c r="AD175" i="14"/>
  <c r="AE175" i="14"/>
  <c r="AF175" i="14"/>
  <c r="C176" i="14"/>
  <c r="D176" i="14"/>
  <c r="E176" i="14"/>
  <c r="F176" i="14"/>
  <c r="G176" i="14"/>
  <c r="H176" i="14"/>
  <c r="J176" i="14"/>
  <c r="K176" i="14"/>
  <c r="L176" i="14"/>
  <c r="M176" i="14"/>
  <c r="N176" i="14"/>
  <c r="O176" i="14"/>
  <c r="P176" i="14"/>
  <c r="Q176" i="14"/>
  <c r="R176" i="14"/>
  <c r="S176" i="14"/>
  <c r="T176" i="14"/>
  <c r="U176" i="14"/>
  <c r="V176" i="14"/>
  <c r="W176" i="14"/>
  <c r="X176" i="14"/>
  <c r="Y176" i="14"/>
  <c r="Z176" i="14"/>
  <c r="AA176" i="14"/>
  <c r="AB176" i="14"/>
  <c r="AC176" i="14"/>
  <c r="AD176" i="14"/>
  <c r="AE176" i="14"/>
  <c r="AF176" i="14"/>
  <c r="C177" i="14"/>
  <c r="D177" i="14"/>
  <c r="E177" i="14"/>
  <c r="F177" i="14"/>
  <c r="G177" i="14"/>
  <c r="H177" i="14"/>
  <c r="J177" i="14"/>
  <c r="K177" i="14"/>
  <c r="L177" i="14"/>
  <c r="M177" i="14"/>
  <c r="N177" i="14"/>
  <c r="O177" i="14"/>
  <c r="P177" i="14"/>
  <c r="Q177" i="14"/>
  <c r="R177" i="14"/>
  <c r="S177" i="14"/>
  <c r="T177" i="14"/>
  <c r="U177" i="14"/>
  <c r="V177" i="14"/>
  <c r="W177" i="14"/>
  <c r="X177" i="14"/>
  <c r="Y177" i="14"/>
  <c r="Z177" i="14"/>
  <c r="AA177" i="14"/>
  <c r="AB177" i="14"/>
  <c r="AC177" i="14"/>
  <c r="AD177" i="14"/>
  <c r="AE177" i="14"/>
  <c r="AF177" i="14"/>
  <c r="C178" i="14"/>
  <c r="D178" i="14"/>
  <c r="E178" i="14"/>
  <c r="F178" i="14"/>
  <c r="G178" i="14"/>
  <c r="H178" i="14"/>
  <c r="J178" i="14"/>
  <c r="K178" i="14"/>
  <c r="L178" i="14"/>
  <c r="M178" i="14"/>
  <c r="N178" i="14"/>
  <c r="O178" i="14"/>
  <c r="P178" i="14"/>
  <c r="Q178" i="14"/>
  <c r="R178" i="14"/>
  <c r="S178" i="14"/>
  <c r="T178" i="14"/>
  <c r="U178" i="14"/>
  <c r="V178" i="14"/>
  <c r="W178" i="14" s="1"/>
  <c r="X178" i="14"/>
  <c r="Y178" i="14"/>
  <c r="Z178" i="14"/>
  <c r="AA178" i="14"/>
  <c r="AB178" i="14"/>
  <c r="AC178" i="14"/>
  <c r="AD178" i="14"/>
  <c r="AE178" i="14"/>
  <c r="AF178" i="14"/>
  <c r="C179" i="14"/>
  <c r="D179" i="14"/>
  <c r="E179" i="14"/>
  <c r="F179" i="14"/>
  <c r="G179" i="14"/>
  <c r="H179" i="14"/>
  <c r="J179" i="14"/>
  <c r="K179" i="14"/>
  <c r="L179" i="14"/>
  <c r="M179" i="14"/>
  <c r="N179" i="14"/>
  <c r="O179" i="14"/>
  <c r="P179" i="14"/>
  <c r="Q179" i="14"/>
  <c r="R179" i="14"/>
  <c r="S179" i="14"/>
  <c r="T179" i="14"/>
  <c r="U179" i="14"/>
  <c r="W179" i="14" s="1"/>
  <c r="V179" i="14"/>
  <c r="X179" i="14"/>
  <c r="Y179" i="14"/>
  <c r="Z179" i="14"/>
  <c r="AA179" i="14"/>
  <c r="AB179" i="14"/>
  <c r="AC179" i="14"/>
  <c r="AD179" i="14"/>
  <c r="AE179" i="14"/>
  <c r="AF179" i="14"/>
  <c r="C180" i="14"/>
  <c r="D180" i="14"/>
  <c r="E180" i="14"/>
  <c r="F180" i="14"/>
  <c r="G180" i="14"/>
  <c r="H180" i="14"/>
  <c r="J180" i="14"/>
  <c r="K180" i="14"/>
  <c r="L180" i="14"/>
  <c r="M180" i="14"/>
  <c r="N180" i="14"/>
  <c r="O180" i="14"/>
  <c r="P180" i="14"/>
  <c r="Q180" i="14"/>
  <c r="R180" i="14"/>
  <c r="S180" i="14"/>
  <c r="T180" i="14"/>
  <c r="U180" i="14"/>
  <c r="W180" i="14" s="1"/>
  <c r="V180" i="14"/>
  <c r="X180" i="14"/>
  <c r="Y180" i="14"/>
  <c r="Z180" i="14"/>
  <c r="AA180" i="14"/>
  <c r="AB180" i="14"/>
  <c r="AC180" i="14"/>
  <c r="AD180" i="14"/>
  <c r="AE180" i="14"/>
  <c r="AF180" i="14"/>
  <c r="C181" i="14"/>
  <c r="D181" i="14"/>
  <c r="E181" i="14"/>
  <c r="F181" i="14"/>
  <c r="G181" i="14"/>
  <c r="H181" i="14"/>
  <c r="J181" i="14"/>
  <c r="K181" i="14"/>
  <c r="L181" i="14"/>
  <c r="M181" i="14"/>
  <c r="N181" i="14"/>
  <c r="O181" i="14"/>
  <c r="P181" i="14"/>
  <c r="Q181" i="14"/>
  <c r="R181" i="14"/>
  <c r="S181" i="14"/>
  <c r="T181" i="14"/>
  <c r="U181" i="14"/>
  <c r="V181" i="14"/>
  <c r="W181" i="14" s="1"/>
  <c r="X181" i="14"/>
  <c r="Y181" i="14"/>
  <c r="Z181" i="14"/>
  <c r="AA181" i="14"/>
  <c r="AB181" i="14"/>
  <c r="AC181" i="14"/>
  <c r="AD181" i="14"/>
  <c r="AE181" i="14"/>
  <c r="AF181" i="14"/>
  <c r="C182" i="14"/>
  <c r="D182" i="14"/>
  <c r="E182" i="14"/>
  <c r="F182" i="14"/>
  <c r="G182" i="14"/>
  <c r="H182" i="14"/>
  <c r="J182" i="14"/>
  <c r="K182" i="14"/>
  <c r="L182" i="14"/>
  <c r="M182" i="14"/>
  <c r="N182" i="14"/>
  <c r="O182" i="14"/>
  <c r="P182" i="14"/>
  <c r="Q182" i="14"/>
  <c r="R182" i="14"/>
  <c r="S182" i="14"/>
  <c r="T182" i="14"/>
  <c r="U182" i="14"/>
  <c r="V182" i="14"/>
  <c r="X182" i="14"/>
  <c r="Y182" i="14"/>
  <c r="Z182" i="14"/>
  <c r="AA182" i="14"/>
  <c r="AB182" i="14"/>
  <c r="AC182" i="14"/>
  <c r="AD182" i="14"/>
  <c r="AE182" i="14"/>
  <c r="AF182" i="14"/>
  <c r="C183" i="14"/>
  <c r="D183" i="14"/>
  <c r="E183" i="14"/>
  <c r="F183" i="14"/>
  <c r="G183" i="14"/>
  <c r="H183" i="14"/>
  <c r="J183" i="14"/>
  <c r="K183" i="14"/>
  <c r="L183" i="14"/>
  <c r="M183" i="14"/>
  <c r="N183" i="14"/>
  <c r="O183" i="14"/>
  <c r="P183" i="14"/>
  <c r="Q183" i="14"/>
  <c r="R183" i="14"/>
  <c r="S183" i="14"/>
  <c r="T183" i="14"/>
  <c r="U183" i="14"/>
  <c r="V183" i="14"/>
  <c r="W183" i="14" s="1"/>
  <c r="X183" i="14"/>
  <c r="Y183" i="14"/>
  <c r="Z183" i="14"/>
  <c r="AA183" i="14"/>
  <c r="AB183" i="14"/>
  <c r="AC183" i="14"/>
  <c r="AD183" i="14"/>
  <c r="AE183" i="14"/>
  <c r="AF183" i="14"/>
  <c r="C184" i="14"/>
  <c r="D184" i="14"/>
  <c r="E184" i="14"/>
  <c r="F184" i="14"/>
  <c r="G184" i="14"/>
  <c r="H184" i="14"/>
  <c r="J184" i="14"/>
  <c r="K184" i="14"/>
  <c r="L184" i="14"/>
  <c r="M184" i="14"/>
  <c r="N184" i="14"/>
  <c r="O184" i="14"/>
  <c r="P184" i="14"/>
  <c r="Q184" i="14"/>
  <c r="R184" i="14"/>
  <c r="S184" i="14"/>
  <c r="T184" i="14"/>
  <c r="U184" i="14"/>
  <c r="W184" i="14" s="1"/>
  <c r="V184" i="14"/>
  <c r="X184" i="14"/>
  <c r="Y184" i="14"/>
  <c r="Z184" i="14"/>
  <c r="AA184" i="14"/>
  <c r="AB184" i="14"/>
  <c r="AC184" i="14"/>
  <c r="AD184" i="14"/>
  <c r="AE184" i="14"/>
  <c r="AF184" i="14"/>
  <c r="C185" i="14"/>
  <c r="D185" i="14"/>
  <c r="E185" i="14"/>
  <c r="F185" i="14"/>
  <c r="G185" i="14"/>
  <c r="H185" i="14"/>
  <c r="J185" i="14"/>
  <c r="K185" i="14"/>
  <c r="L185" i="14"/>
  <c r="M185" i="14"/>
  <c r="N185" i="14"/>
  <c r="O185" i="14"/>
  <c r="P185" i="14"/>
  <c r="Q185" i="14"/>
  <c r="R185" i="14"/>
  <c r="S185" i="14"/>
  <c r="T185" i="14"/>
  <c r="U185" i="14"/>
  <c r="V185" i="14"/>
  <c r="W185" i="14" s="1"/>
  <c r="X185" i="14"/>
  <c r="Y185" i="14"/>
  <c r="Z185" i="14"/>
  <c r="AA185" i="14"/>
  <c r="AB185" i="14"/>
  <c r="AC185" i="14"/>
  <c r="AD185" i="14"/>
  <c r="AE185" i="14"/>
  <c r="AF185" i="14"/>
  <c r="C186" i="14"/>
  <c r="D186" i="14"/>
  <c r="E186" i="14"/>
  <c r="F186" i="14"/>
  <c r="G186" i="14"/>
  <c r="H186" i="14"/>
  <c r="J186" i="14"/>
  <c r="K186" i="14"/>
  <c r="L186" i="14"/>
  <c r="M186" i="14"/>
  <c r="N186" i="14"/>
  <c r="O186" i="14"/>
  <c r="P186" i="14"/>
  <c r="Q186" i="14"/>
  <c r="R186" i="14"/>
  <c r="S186" i="14"/>
  <c r="T186" i="14"/>
  <c r="U186" i="14"/>
  <c r="V186" i="14"/>
  <c r="W186" i="14"/>
  <c r="X186" i="14"/>
  <c r="Y186" i="14"/>
  <c r="Z186" i="14"/>
  <c r="AA186" i="14"/>
  <c r="AB186" i="14"/>
  <c r="AC186" i="14"/>
  <c r="AD186" i="14"/>
  <c r="AE186" i="14"/>
  <c r="AF186" i="14"/>
  <c r="C187" i="14"/>
  <c r="D187" i="14"/>
  <c r="E187" i="14"/>
  <c r="F187" i="14"/>
  <c r="G187" i="14"/>
  <c r="H187" i="14"/>
  <c r="J187" i="14"/>
  <c r="K187" i="14"/>
  <c r="L187" i="14"/>
  <c r="M187" i="14"/>
  <c r="N187" i="14"/>
  <c r="O187" i="14"/>
  <c r="P187" i="14"/>
  <c r="Q187" i="14"/>
  <c r="R187" i="14"/>
  <c r="S187" i="14"/>
  <c r="T187" i="14"/>
  <c r="U187" i="14"/>
  <c r="V187" i="14"/>
  <c r="W187" i="14"/>
  <c r="X187" i="14"/>
  <c r="Y187" i="14"/>
  <c r="Z187" i="14"/>
  <c r="AA187" i="14"/>
  <c r="AB187" i="14"/>
  <c r="AC187" i="14"/>
  <c r="AD187" i="14"/>
  <c r="AE187" i="14"/>
  <c r="AF187" i="14"/>
  <c r="C188" i="14"/>
  <c r="D188" i="14"/>
  <c r="E188" i="14"/>
  <c r="F188" i="14"/>
  <c r="G188" i="14"/>
  <c r="H188" i="14"/>
  <c r="J188" i="14"/>
  <c r="K188" i="14"/>
  <c r="L188" i="14"/>
  <c r="M188" i="14"/>
  <c r="N188" i="14"/>
  <c r="O188" i="14"/>
  <c r="P188" i="14"/>
  <c r="Q188" i="14"/>
  <c r="R188" i="14"/>
  <c r="S188" i="14"/>
  <c r="T188" i="14"/>
  <c r="U188" i="14"/>
  <c r="V188" i="14"/>
  <c r="W188" i="14" s="1"/>
  <c r="X188" i="14"/>
  <c r="Y188" i="14"/>
  <c r="Z188" i="14"/>
  <c r="AA188" i="14"/>
  <c r="AB188" i="14"/>
  <c r="AC188" i="14"/>
  <c r="AD188" i="14"/>
  <c r="AE188" i="14"/>
  <c r="AF188" i="14"/>
  <c r="C189" i="14"/>
  <c r="D189" i="14"/>
  <c r="E189" i="14"/>
  <c r="F189" i="14"/>
  <c r="G189" i="14"/>
  <c r="H189" i="14"/>
  <c r="J189" i="14"/>
  <c r="K189" i="14"/>
  <c r="L189" i="14"/>
  <c r="M189" i="14"/>
  <c r="N189" i="14"/>
  <c r="O189" i="14"/>
  <c r="P189" i="14"/>
  <c r="Q189" i="14"/>
  <c r="R189" i="14"/>
  <c r="S189" i="14"/>
  <c r="T189" i="14"/>
  <c r="U189" i="14"/>
  <c r="W189" i="14" s="1"/>
  <c r="V189" i="14"/>
  <c r="X189" i="14"/>
  <c r="Y189" i="14"/>
  <c r="Z189" i="14"/>
  <c r="AA189" i="14"/>
  <c r="AB189" i="14"/>
  <c r="AC189" i="14"/>
  <c r="AD189" i="14"/>
  <c r="AE189" i="14"/>
  <c r="AF189" i="14"/>
  <c r="C190" i="14"/>
  <c r="D190" i="14"/>
  <c r="E190" i="14"/>
  <c r="F190" i="14"/>
  <c r="G190" i="14"/>
  <c r="H190" i="14"/>
  <c r="J190" i="14"/>
  <c r="K190" i="14"/>
  <c r="L190" i="14"/>
  <c r="M190" i="14"/>
  <c r="N190" i="14"/>
  <c r="O190" i="14"/>
  <c r="P190" i="14"/>
  <c r="Q190" i="14"/>
  <c r="R190" i="14"/>
  <c r="S190" i="14"/>
  <c r="T190" i="14"/>
  <c r="U190" i="14"/>
  <c r="W190" i="14" s="1"/>
  <c r="V190" i="14"/>
  <c r="X190" i="14"/>
  <c r="Y190" i="14"/>
  <c r="Z190" i="14"/>
  <c r="AA190" i="14"/>
  <c r="AB190" i="14"/>
  <c r="AC190" i="14"/>
  <c r="AD190" i="14"/>
  <c r="AE190" i="14"/>
  <c r="AF190" i="14"/>
  <c r="C191" i="14"/>
  <c r="D191" i="14"/>
  <c r="E191" i="14"/>
  <c r="F191" i="14"/>
  <c r="G191" i="14"/>
  <c r="H191" i="14"/>
  <c r="J191" i="14"/>
  <c r="K191" i="14"/>
  <c r="L191" i="14"/>
  <c r="M191" i="14"/>
  <c r="N191" i="14"/>
  <c r="O191" i="14"/>
  <c r="P191" i="14"/>
  <c r="Q191" i="14"/>
  <c r="R191" i="14"/>
  <c r="S191" i="14"/>
  <c r="T191" i="14"/>
  <c r="U191" i="14"/>
  <c r="V191" i="14"/>
  <c r="W191" i="14" s="1"/>
  <c r="X191" i="14"/>
  <c r="Y191" i="14"/>
  <c r="Z191" i="14"/>
  <c r="AA191" i="14"/>
  <c r="AB191" i="14"/>
  <c r="AC191" i="14"/>
  <c r="AD191" i="14"/>
  <c r="AE191" i="14"/>
  <c r="AF191" i="14"/>
  <c r="C192" i="14"/>
  <c r="D192" i="14"/>
  <c r="E192" i="14"/>
  <c r="F192" i="14"/>
  <c r="G192" i="14"/>
  <c r="H192" i="14"/>
  <c r="J192" i="14"/>
  <c r="K192" i="14"/>
  <c r="L192" i="14"/>
  <c r="M192" i="14"/>
  <c r="N192" i="14"/>
  <c r="O192" i="14"/>
  <c r="P192" i="14"/>
  <c r="Q192" i="14"/>
  <c r="R192" i="14"/>
  <c r="S192" i="14"/>
  <c r="T192" i="14"/>
  <c r="U192" i="14"/>
  <c r="V192" i="14"/>
  <c r="W192" i="14"/>
  <c r="X192" i="14"/>
  <c r="Y192" i="14"/>
  <c r="Z192" i="14"/>
  <c r="AA192" i="14"/>
  <c r="AB192" i="14"/>
  <c r="AC192" i="14"/>
  <c r="AD192" i="14"/>
  <c r="AE192" i="14"/>
  <c r="AF192" i="14"/>
  <c r="C193" i="14"/>
  <c r="D193" i="14"/>
  <c r="E193" i="14"/>
  <c r="F193" i="14"/>
  <c r="G193" i="14"/>
  <c r="H193" i="14"/>
  <c r="J193" i="14"/>
  <c r="K193" i="14"/>
  <c r="L193" i="14"/>
  <c r="M193" i="14"/>
  <c r="N193" i="14"/>
  <c r="O193" i="14"/>
  <c r="P193" i="14"/>
  <c r="Q193" i="14"/>
  <c r="R193" i="14"/>
  <c r="S193" i="14"/>
  <c r="T193" i="14"/>
  <c r="U193" i="14"/>
  <c r="V193" i="14"/>
  <c r="W193" i="14"/>
  <c r="X193" i="14"/>
  <c r="Y193" i="14"/>
  <c r="Z193" i="14"/>
  <c r="AA193" i="14"/>
  <c r="AB193" i="14"/>
  <c r="AC193" i="14"/>
  <c r="AD193" i="14"/>
  <c r="AE193" i="14"/>
  <c r="AF193" i="14"/>
  <c r="C194" i="14"/>
  <c r="D194" i="14"/>
  <c r="E194" i="14"/>
  <c r="F194" i="14"/>
  <c r="G194" i="14"/>
  <c r="H194" i="14"/>
  <c r="J194" i="14"/>
  <c r="K194" i="14"/>
  <c r="L194" i="14"/>
  <c r="M194" i="14"/>
  <c r="N194" i="14"/>
  <c r="O194" i="14"/>
  <c r="P194" i="14"/>
  <c r="Q194" i="14"/>
  <c r="R194" i="14"/>
  <c r="S194" i="14"/>
  <c r="T194" i="14"/>
  <c r="U194" i="14"/>
  <c r="V194" i="14"/>
  <c r="W194" i="14"/>
  <c r="X194" i="14"/>
  <c r="Y194" i="14"/>
  <c r="Z194" i="14"/>
  <c r="AA194" i="14"/>
  <c r="AB194" i="14"/>
  <c r="AC194" i="14"/>
  <c r="AD194" i="14"/>
  <c r="AE194" i="14"/>
  <c r="AF194" i="14"/>
  <c r="Q163" i="12"/>
  <c r="P163" i="12"/>
  <c r="O163" i="12"/>
  <c r="N163" i="12"/>
  <c r="M163" i="12"/>
  <c r="L163" i="12"/>
  <c r="K163" i="12"/>
  <c r="J163" i="12"/>
  <c r="I163" i="12"/>
  <c r="Q152" i="12"/>
  <c r="P152" i="12"/>
  <c r="O152" i="12"/>
  <c r="N152" i="12"/>
  <c r="M152" i="12"/>
  <c r="L152" i="12"/>
  <c r="K152" i="12"/>
  <c r="J152" i="12"/>
  <c r="I152" i="12"/>
  <c r="Q142" i="12"/>
  <c r="P142" i="12"/>
  <c r="O142" i="12"/>
  <c r="N142" i="12"/>
  <c r="M142" i="12"/>
  <c r="L142" i="12"/>
  <c r="K142" i="12"/>
  <c r="J142" i="12"/>
  <c r="I142" i="12"/>
  <c r="Q131" i="12"/>
  <c r="P131" i="12"/>
  <c r="O131" i="12"/>
  <c r="N131" i="12"/>
  <c r="M131" i="12"/>
  <c r="L131" i="12"/>
  <c r="K131" i="12"/>
  <c r="J131" i="12"/>
  <c r="I131" i="12"/>
  <c r="Q121" i="12"/>
  <c r="P121" i="12"/>
  <c r="O121" i="12"/>
  <c r="N121" i="12"/>
  <c r="M121" i="12"/>
  <c r="L121" i="12"/>
  <c r="K121" i="12"/>
  <c r="J121" i="12"/>
  <c r="I121" i="12"/>
  <c r="Q110" i="12"/>
  <c r="P110" i="12"/>
  <c r="O110" i="12"/>
  <c r="N110" i="12"/>
  <c r="M110" i="12"/>
  <c r="L110" i="12"/>
  <c r="K110" i="12"/>
  <c r="J110" i="12"/>
  <c r="I110" i="12"/>
  <c r="Q102" i="12"/>
  <c r="P102" i="12"/>
  <c r="O102" i="12"/>
  <c r="N102" i="12"/>
  <c r="M102" i="12"/>
  <c r="L102" i="12"/>
  <c r="K102" i="12"/>
  <c r="J102" i="12"/>
  <c r="I102" i="12"/>
  <c r="Q100" i="12"/>
  <c r="P100" i="12"/>
  <c r="O100" i="12"/>
  <c r="N100" i="12"/>
  <c r="M100" i="12"/>
  <c r="L100" i="12"/>
  <c r="K100" i="12"/>
  <c r="J100" i="12"/>
  <c r="I100" i="12"/>
  <c r="Q98" i="12"/>
  <c r="P98" i="12"/>
  <c r="O98" i="12"/>
  <c r="N98" i="12"/>
  <c r="M98" i="12"/>
  <c r="L98" i="12"/>
  <c r="K98" i="12"/>
  <c r="J98" i="12"/>
  <c r="I98" i="12"/>
  <c r="Q94" i="12"/>
  <c r="P94" i="12"/>
  <c r="O94" i="12"/>
  <c r="N94" i="12"/>
  <c r="M94" i="12"/>
  <c r="L94" i="12"/>
  <c r="K94" i="12"/>
  <c r="J94" i="12"/>
  <c r="I94" i="12"/>
  <c r="Q89" i="12"/>
  <c r="P89" i="12"/>
  <c r="O89" i="12"/>
  <c r="N89" i="12"/>
  <c r="M89" i="12"/>
  <c r="L89" i="12"/>
  <c r="K89" i="12"/>
  <c r="J89" i="12"/>
  <c r="I89" i="12"/>
  <c r="Q88" i="12"/>
  <c r="P88" i="12"/>
  <c r="O88" i="12"/>
  <c r="N88" i="12"/>
  <c r="M88" i="12"/>
  <c r="L88" i="12"/>
  <c r="K88" i="12"/>
  <c r="J88" i="12"/>
  <c r="I88" i="12"/>
  <c r="I68" i="12"/>
  <c r="J79" i="12"/>
  <c r="K79" i="12"/>
  <c r="L79" i="12"/>
  <c r="M79" i="12"/>
  <c r="N79" i="12"/>
  <c r="O79" i="12"/>
  <c r="P79" i="12"/>
  <c r="Q79" i="12"/>
  <c r="I79" i="12"/>
  <c r="D158" i="12"/>
  <c r="D159" i="12"/>
  <c r="D160" i="12"/>
  <c r="D161" i="12"/>
  <c r="D162" i="12"/>
  <c r="D163" i="12"/>
  <c r="D164" i="12"/>
  <c r="D165" i="12"/>
  <c r="D166" i="12"/>
  <c r="D167" i="12"/>
  <c r="D137" i="12"/>
  <c r="D138" i="12" s="1"/>
  <c r="D139" i="12" s="1"/>
  <c r="D140" i="12" s="1"/>
  <c r="D141" i="12" s="1"/>
  <c r="D142" i="12" s="1"/>
  <c r="D143" i="12" s="1"/>
  <c r="D144" i="12" s="1"/>
  <c r="D145" i="12" s="1"/>
  <c r="D146" i="12" s="1"/>
  <c r="D116" i="12"/>
  <c r="D117" i="12"/>
  <c r="D118" i="12"/>
  <c r="D119" i="12"/>
  <c r="D120" i="12"/>
  <c r="D121" i="12"/>
  <c r="D122" i="12"/>
  <c r="D123" i="12"/>
  <c r="D124" i="12"/>
  <c r="D125" i="12"/>
  <c r="D95" i="12"/>
  <c r="D96" i="12"/>
  <c r="D97" i="12"/>
  <c r="D98" i="12"/>
  <c r="D99" i="12"/>
  <c r="D100" i="12"/>
  <c r="D101" i="12"/>
  <c r="D102" i="12"/>
  <c r="D103" i="12"/>
  <c r="D104" i="12"/>
  <c r="D74" i="12"/>
  <c r="D75" i="12"/>
  <c r="D76" i="12"/>
  <c r="D77" i="12" s="1"/>
  <c r="O291" i="8"/>
  <c r="O292" i="8"/>
  <c r="O293" i="8"/>
  <c r="O290" i="8"/>
  <c r="R211" i="8"/>
  <c r="Q211" i="8"/>
  <c r="P211" i="8"/>
  <c r="O211" i="8"/>
  <c r="N211" i="8"/>
  <c r="M211" i="8"/>
  <c r="L211" i="8"/>
  <c r="K211" i="8"/>
  <c r="J211" i="8"/>
  <c r="R210" i="8"/>
  <c r="Q210" i="8"/>
  <c r="P210" i="8"/>
  <c r="O210" i="8"/>
  <c r="N210" i="8"/>
  <c r="M210" i="8"/>
  <c r="L210" i="8"/>
  <c r="K210" i="8"/>
  <c r="J210" i="8"/>
  <c r="R209" i="8"/>
  <c r="Q209" i="8"/>
  <c r="P209" i="8"/>
  <c r="O209" i="8"/>
  <c r="N209" i="8"/>
  <c r="M209" i="8"/>
  <c r="L209" i="8"/>
  <c r="K209" i="8"/>
  <c r="J209" i="8"/>
  <c r="R208" i="8"/>
  <c r="Q208" i="8"/>
  <c r="P208" i="8"/>
  <c r="O208" i="8"/>
  <c r="N208" i="8"/>
  <c r="M208" i="8"/>
  <c r="L208" i="8"/>
  <c r="K208" i="8"/>
  <c r="J208" i="8"/>
  <c r="R207" i="8"/>
  <c r="Q207" i="8"/>
  <c r="P207" i="8"/>
  <c r="O207" i="8"/>
  <c r="N207" i="8"/>
  <c r="M207" i="8"/>
  <c r="L207" i="8"/>
  <c r="K207" i="8"/>
  <c r="J207" i="8"/>
  <c r="L68" i="12"/>
  <c r="J68" i="12"/>
  <c r="K68" i="12"/>
  <c r="M68" i="12"/>
  <c r="N68" i="12"/>
  <c r="O68" i="12"/>
  <c r="P68" i="12"/>
  <c r="Q68" i="12"/>
  <c r="H188" i="8"/>
  <c r="H186" i="8"/>
  <c r="H184" i="8"/>
  <c r="H182" i="8"/>
  <c r="H180" i="8"/>
  <c r="K272" i="8"/>
  <c r="D272" i="8"/>
  <c r="J272" i="8" s="1"/>
  <c r="K246" i="8"/>
  <c r="B237" i="8"/>
  <c r="B238" i="8" s="1"/>
  <c r="B239" i="8" s="1"/>
  <c r="B233" i="8"/>
  <c r="B234" i="8" s="1"/>
  <c r="B235" i="8" s="1"/>
  <c r="B229" i="8"/>
  <c r="B230" i="8" s="1"/>
  <c r="B231" i="8" s="1"/>
  <c r="B225" i="8"/>
  <c r="B226" i="8" s="1"/>
  <c r="B227" i="8" s="1"/>
  <c r="J246" i="8"/>
  <c r="B220" i="8"/>
  <c r="F220" i="8"/>
  <c r="N225" i="8" s="1"/>
  <c r="F222" i="8"/>
  <c r="L226" i="8" s="1"/>
  <c r="K119" i="12" s="1"/>
  <c r="F223" i="8"/>
  <c r="F224" i="8"/>
  <c r="J228" i="8" s="1"/>
  <c r="I161" i="12" s="1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19" i="8"/>
  <c r="J224" i="8" s="1"/>
  <c r="W113" i="14" l="1"/>
  <c r="W109" i="14"/>
  <c r="W105" i="14"/>
  <c r="W69" i="14"/>
  <c r="W126" i="14"/>
  <c r="W94" i="14"/>
  <c r="W90" i="14"/>
  <c r="W103" i="14"/>
  <c r="W31" i="14"/>
  <c r="W29" i="14"/>
  <c r="W124" i="14"/>
  <c r="W130" i="14"/>
  <c r="W131" i="14"/>
  <c r="W182" i="14"/>
  <c r="W150" i="14"/>
  <c r="W122" i="14"/>
  <c r="W132" i="14"/>
  <c r="W129" i="14"/>
  <c r="W110" i="14"/>
  <c r="W101" i="14"/>
  <c r="W97" i="14"/>
  <c r="W166" i="14"/>
  <c r="W134" i="14"/>
  <c r="W116" i="14"/>
  <c r="W112" i="14"/>
  <c r="W96" i="14"/>
  <c r="W168" i="14"/>
  <c r="W136" i="14"/>
  <c r="W127" i="14"/>
  <c r="W115" i="14"/>
  <c r="W125" i="14"/>
  <c r="W121" i="14"/>
  <c r="W114" i="14"/>
  <c r="W87" i="14"/>
  <c r="W60" i="14"/>
  <c r="W98" i="14"/>
  <c r="W65" i="14"/>
  <c r="W128" i="14"/>
  <c r="W93" i="14"/>
  <c r="W89" i="14"/>
  <c r="W85" i="14"/>
  <c r="W61" i="14"/>
  <c r="W36" i="14"/>
  <c r="W34" i="14"/>
  <c r="W32" i="14"/>
  <c r="W59" i="14"/>
  <c r="W92" i="14"/>
  <c r="W111" i="14"/>
  <c r="W99" i="14"/>
  <c r="W77" i="14"/>
  <c r="W67" i="14"/>
  <c r="W123" i="14"/>
  <c r="W80" i="14"/>
  <c r="W119" i="14"/>
  <c r="W63" i="14"/>
  <c r="W57" i="14"/>
  <c r="W107" i="14"/>
  <c r="W64" i="14"/>
  <c r="W106" i="14"/>
  <c r="W95" i="14"/>
  <c r="W91" i="14"/>
  <c r="W76" i="14"/>
  <c r="W108" i="14"/>
  <c r="W84" i="14"/>
  <c r="W117" i="14"/>
  <c r="W83" i="14"/>
  <c r="W100" i="14"/>
  <c r="W74" i="14"/>
  <c r="W75" i="14"/>
  <c r="W81" i="14"/>
  <c r="W73" i="14"/>
  <c r="W104" i="14"/>
  <c r="W118" i="14"/>
  <c r="W86" i="14"/>
  <c r="W82" i="14"/>
  <c r="W53" i="14"/>
  <c r="W102" i="14"/>
  <c r="W71" i="14"/>
  <c r="W50" i="14"/>
  <c r="W44" i="14"/>
  <c r="W120" i="14"/>
  <c r="W88" i="14"/>
  <c r="W39" i="14"/>
  <c r="W66" i="14"/>
  <c r="W78" i="14"/>
  <c r="W52" i="14"/>
  <c r="W79" i="14"/>
  <c r="W46" i="14"/>
  <c r="W42" i="14"/>
  <c r="W62" i="14"/>
  <c r="W55" i="14"/>
  <c r="W68" i="14"/>
  <c r="W35" i="14"/>
  <c r="W51" i="14"/>
  <c r="W49" i="14"/>
  <c r="W47" i="14"/>
  <c r="W43" i="14"/>
  <c r="W41" i="14"/>
  <c r="W48" i="14"/>
  <c r="W37" i="14"/>
  <c r="W58" i="14"/>
  <c r="AA142" i="1"/>
  <c r="AB74" i="14" s="1"/>
  <c r="AB142" i="1"/>
  <c r="AC74" i="14" s="1"/>
  <c r="Y142" i="1"/>
  <c r="Z74" i="14" s="1"/>
  <c r="X142" i="1"/>
  <c r="Y74" i="14" s="1"/>
  <c r="Z142" i="1"/>
  <c r="AA74" i="14" s="1"/>
  <c r="W72" i="14"/>
  <c r="W45" i="14"/>
  <c r="W70" i="14"/>
  <c r="W54" i="14"/>
  <c r="W40" i="14"/>
  <c r="W30" i="14"/>
  <c r="W38" i="14"/>
  <c r="W33" i="14"/>
  <c r="W56" i="14"/>
  <c r="AH16" i="14"/>
  <c r="AP16" i="14"/>
  <c r="AO16" i="14"/>
  <c r="AM16" i="14"/>
  <c r="AN16" i="14"/>
  <c r="AL16" i="14"/>
  <c r="AK16" i="14"/>
  <c r="AI16" i="14"/>
  <c r="AJ16" i="14"/>
  <c r="L29" i="14"/>
  <c r="AB97" i="1"/>
  <c r="AA97" i="1"/>
  <c r="Z97" i="1"/>
  <c r="Y97" i="1"/>
  <c r="X97" i="1"/>
  <c r="W142" i="1"/>
  <c r="X74" i="14" s="1"/>
  <c r="DR86" i="7"/>
  <c r="DQ86" i="7"/>
  <c r="DL87" i="7"/>
  <c r="DS86" i="7"/>
  <c r="DO86" i="7"/>
  <c r="DN86" i="7"/>
  <c r="DM86" i="7"/>
  <c r="DL86" i="7"/>
  <c r="DS85" i="7"/>
  <c r="DS84" i="7"/>
  <c r="DR85" i="7"/>
  <c r="DQ85" i="7"/>
  <c r="DO85" i="7"/>
  <c r="DS88" i="7"/>
  <c r="DS87" i="7"/>
  <c r="DR87" i="7"/>
  <c r="DQ87" i="7"/>
  <c r="DP87" i="7"/>
  <c r="DO87" i="7"/>
  <c r="DN87" i="7"/>
  <c r="DM87" i="7"/>
  <c r="DP86" i="7"/>
  <c r="DP85" i="7"/>
  <c r="DN85" i="7"/>
  <c r="DM85" i="7"/>
  <c r="DL85" i="7"/>
  <c r="DR88" i="7"/>
  <c r="DR84" i="7"/>
  <c r="DQ88" i="7"/>
  <c r="DQ84" i="7"/>
  <c r="DP88" i="7"/>
  <c r="DP84" i="7"/>
  <c r="DO88" i="7"/>
  <c r="DO84" i="7"/>
  <c r="DN88" i="7"/>
  <c r="DN84" i="7"/>
  <c r="DM88" i="7"/>
  <c r="DM84" i="7"/>
  <c r="DL88" i="7"/>
  <c r="R224" i="8"/>
  <c r="Q77" i="12" s="1"/>
  <c r="O227" i="8"/>
  <c r="N140" i="12" s="1"/>
  <c r="M227" i="8"/>
  <c r="L140" i="12" s="1"/>
  <c r="N227" i="8"/>
  <c r="M140" i="12" s="1"/>
  <c r="K227" i="8"/>
  <c r="J140" i="12" s="1"/>
  <c r="L227" i="8"/>
  <c r="K140" i="12" s="1"/>
  <c r="D78" i="12"/>
  <c r="D79" i="12" s="1"/>
  <c r="R212" i="8"/>
  <c r="J212" i="8"/>
  <c r="K212" i="8"/>
  <c r="L212" i="8"/>
  <c r="M212" i="8"/>
  <c r="N212" i="8"/>
  <c r="Q224" i="8"/>
  <c r="P77" i="12" s="1"/>
  <c r="O212" i="8"/>
  <c r="P224" i="8"/>
  <c r="O77" i="12" s="1"/>
  <c r="P212" i="8"/>
  <c r="Q212" i="8"/>
  <c r="Q228" i="8"/>
  <c r="P161" i="12" s="1"/>
  <c r="J227" i="8"/>
  <c r="I140" i="12" s="1"/>
  <c r="R228" i="8"/>
  <c r="Q161" i="12" s="1"/>
  <c r="P228" i="8"/>
  <c r="O161" i="12" s="1"/>
  <c r="O224" i="8"/>
  <c r="N77" i="12" s="1"/>
  <c r="N224" i="8"/>
  <c r="M77" i="12" s="1"/>
  <c r="M224" i="8"/>
  <c r="L77" i="12" s="1"/>
  <c r="L224" i="8"/>
  <c r="K77" i="12" s="1"/>
  <c r="J226" i="8"/>
  <c r="I119" i="12" s="1"/>
  <c r="J225" i="8"/>
  <c r="R226" i="8"/>
  <c r="Q119" i="12" s="1"/>
  <c r="M225" i="8"/>
  <c r="L225" i="8"/>
  <c r="K225" i="8"/>
  <c r="O228" i="8"/>
  <c r="N161" i="12" s="1"/>
  <c r="N228" i="8"/>
  <c r="M161" i="12" s="1"/>
  <c r="M228" i="8"/>
  <c r="L161" i="12" s="1"/>
  <c r="L228" i="8"/>
  <c r="K161" i="12" s="1"/>
  <c r="K228" i="8"/>
  <c r="J161" i="12" s="1"/>
  <c r="K224" i="8"/>
  <c r="J77" i="12" s="1"/>
  <c r="R227" i="8"/>
  <c r="Q140" i="12" s="1"/>
  <c r="Q227" i="8"/>
  <c r="P140" i="12" s="1"/>
  <c r="P227" i="8"/>
  <c r="O140" i="12" s="1"/>
  <c r="Q226" i="8"/>
  <c r="P119" i="12" s="1"/>
  <c r="P226" i="8"/>
  <c r="O119" i="12" s="1"/>
  <c r="O226" i="8"/>
  <c r="N119" i="12" s="1"/>
  <c r="M226" i="8"/>
  <c r="L119" i="12" s="1"/>
  <c r="K226" i="8"/>
  <c r="J119" i="12" s="1"/>
  <c r="Q225" i="8"/>
  <c r="P225" i="8"/>
  <c r="O225" i="8"/>
  <c r="N226" i="8"/>
  <c r="M119" i="12" s="1"/>
  <c r="R225" i="8"/>
  <c r="DJ86" i="7" l="1"/>
  <c r="DJ85" i="7"/>
  <c r="DS90" i="7"/>
  <c r="DS89" i="7"/>
  <c r="DJ87" i="7"/>
  <c r="DR89" i="7"/>
  <c r="DR90" i="7"/>
  <c r="DO89" i="7"/>
  <c r="DO90" i="7"/>
  <c r="DP90" i="7"/>
  <c r="DP89" i="7"/>
  <c r="DQ90" i="7"/>
  <c r="DQ89" i="7"/>
  <c r="DL89" i="7"/>
  <c r="DL90" i="7"/>
  <c r="DJ84" i="7"/>
  <c r="DJ88" i="7"/>
  <c r="DM90" i="7"/>
  <c r="DM89" i="7"/>
  <c r="DN90" i="7"/>
  <c r="DN89" i="7"/>
  <c r="AG16" i="14"/>
  <c r="D80" i="12"/>
  <c r="D81" i="12" s="1"/>
  <c r="D82" i="12" s="1"/>
  <c r="D83" i="12" s="1"/>
  <c r="DJ90" i="7" l="1"/>
  <c r="DJ89" i="7"/>
  <c r="K285" i="8"/>
  <c r="J285" i="8"/>
  <c r="I285" i="8"/>
  <c r="H285" i="8"/>
  <c r="G285" i="8"/>
  <c r="F285" i="8"/>
  <c r="E285" i="8"/>
  <c r="D285" i="8"/>
  <c r="C285" i="8"/>
  <c r="G276" i="8"/>
  <c r="F276" i="8"/>
  <c r="E276" i="8"/>
  <c r="D276" i="8"/>
  <c r="C276" i="8"/>
  <c r="K250" i="8"/>
  <c r="J250" i="8"/>
  <c r="I250" i="8"/>
  <c r="H250" i="8"/>
  <c r="G250" i="8"/>
  <c r="F250" i="8"/>
  <c r="E250" i="8"/>
  <c r="D250" i="8"/>
  <c r="C250" i="8"/>
  <c r="CU12" i="7"/>
  <c r="CU13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11" i="7"/>
  <c r="R229" i="8"/>
  <c r="Q229" i="8"/>
  <c r="P229" i="8"/>
  <c r="O229" i="8"/>
  <c r="N229" i="8"/>
  <c r="M229" i="8"/>
  <c r="L229" i="8"/>
  <c r="K229" i="8"/>
  <c r="L99" i="1"/>
  <c r="N31" i="14" s="1"/>
  <c r="C200" i="8"/>
  <c r="J187" i="8"/>
  <c r="J185" i="8"/>
  <c r="J183" i="8"/>
  <c r="J181" i="8"/>
  <c r="J179" i="8"/>
  <c r="K185" i="8" l="1"/>
  <c r="I133" i="12"/>
  <c r="K187" i="8"/>
  <c r="I154" i="12"/>
  <c r="K181" i="8"/>
  <c r="I91" i="12"/>
  <c r="K183" i="8"/>
  <c r="I112" i="12"/>
  <c r="K179" i="8"/>
  <c r="I70" i="12"/>
  <c r="J229" i="8"/>
  <c r="L183" i="8" l="1"/>
  <c r="J112" i="12"/>
  <c r="L181" i="8"/>
  <c r="J91" i="12"/>
  <c r="L185" i="8"/>
  <c r="J133" i="12"/>
  <c r="L187" i="8"/>
  <c r="J154" i="12"/>
  <c r="L179" i="8"/>
  <c r="J70" i="12"/>
  <c r="M183" i="8" l="1"/>
  <c r="K112" i="12"/>
  <c r="M185" i="8"/>
  <c r="K133" i="12"/>
  <c r="M181" i="8"/>
  <c r="K91" i="12"/>
  <c r="M187" i="8"/>
  <c r="K154" i="12"/>
  <c r="M179" i="8"/>
  <c r="K70" i="12"/>
  <c r="N187" i="8" l="1"/>
  <c r="L154" i="12"/>
  <c r="N181" i="8"/>
  <c r="L91" i="12"/>
  <c r="N185" i="8"/>
  <c r="L133" i="12"/>
  <c r="N183" i="8"/>
  <c r="L112" i="12"/>
  <c r="N179" i="8"/>
  <c r="L70" i="12"/>
  <c r="O183" i="8" l="1"/>
  <c r="M112" i="12"/>
  <c r="O187" i="8"/>
  <c r="M154" i="12"/>
  <c r="O185" i="8"/>
  <c r="M133" i="12"/>
  <c r="O181" i="8"/>
  <c r="M91" i="12"/>
  <c r="O179" i="8"/>
  <c r="M70" i="12"/>
  <c r="P181" i="8" l="1"/>
  <c r="N91" i="12"/>
  <c r="P185" i="8"/>
  <c r="N133" i="12"/>
  <c r="P187" i="8"/>
  <c r="N154" i="12"/>
  <c r="P183" i="8"/>
  <c r="N112" i="12"/>
  <c r="P179" i="8"/>
  <c r="N70" i="12"/>
  <c r="Q181" i="8" l="1"/>
  <c r="O91" i="12"/>
  <c r="Q183" i="8"/>
  <c r="O112" i="12"/>
  <c r="Q187" i="8"/>
  <c r="O154" i="12"/>
  <c r="Q185" i="8"/>
  <c r="O133" i="12"/>
  <c r="Q179" i="8"/>
  <c r="O70" i="12"/>
  <c r="R185" i="8" l="1"/>
  <c r="Q133" i="12" s="1"/>
  <c r="P133" i="12"/>
  <c r="R187" i="8"/>
  <c r="Q154" i="12" s="1"/>
  <c r="P154" i="12"/>
  <c r="R183" i="8"/>
  <c r="Q112" i="12" s="1"/>
  <c r="P112" i="12"/>
  <c r="R181" i="8"/>
  <c r="Q91" i="12" s="1"/>
  <c r="P91" i="12"/>
  <c r="R179" i="8"/>
  <c r="Q70" i="12" s="1"/>
  <c r="P70" i="12"/>
  <c r="L124" i="1"/>
  <c r="N56" i="14" s="1"/>
  <c r="Q124" i="1"/>
  <c r="AF124" i="1" s="1"/>
  <c r="V124" i="1"/>
  <c r="X56" i="14"/>
  <c r="X124" i="1"/>
  <c r="Y56" i="14" s="1"/>
  <c r="Y124" i="1"/>
  <c r="Z56" i="14" s="1"/>
  <c r="Z124" i="1"/>
  <c r="AA56" i="14" s="1"/>
  <c r="AA124" i="1"/>
  <c r="AB56" i="14" s="1"/>
  <c r="AB124" i="1"/>
  <c r="AC56" i="14" s="1"/>
  <c r="G124" i="8"/>
  <c r="L65" i="8" s="1"/>
  <c r="G123" i="8"/>
  <c r="L74" i="8" s="1"/>
  <c r="CP19" i="7"/>
  <c r="CP18" i="7"/>
  <c r="CP17" i="7"/>
  <c r="CP16" i="7"/>
  <c r="CP15" i="7"/>
  <c r="CP14" i="7"/>
  <c r="CP13" i="7"/>
  <c r="CP12" i="7"/>
  <c r="CB19" i="7"/>
  <c r="CB18" i="7"/>
  <c r="CB17" i="7"/>
  <c r="CB16" i="7"/>
  <c r="CB15" i="7"/>
  <c r="CB14" i="7"/>
  <c r="CB13" i="7"/>
  <c r="CB12" i="7"/>
  <c r="BN19" i="7"/>
  <c r="BN18" i="7"/>
  <c r="BN17" i="7"/>
  <c r="BN16" i="7"/>
  <c r="BN15" i="7"/>
  <c r="BN14" i="7"/>
  <c r="BN13" i="7"/>
  <c r="BN12" i="7"/>
  <c r="AZ19" i="7"/>
  <c r="AZ18" i="7"/>
  <c r="AZ17" i="7"/>
  <c r="AZ16" i="7"/>
  <c r="AZ15" i="7"/>
  <c r="AZ14" i="7"/>
  <c r="AZ13" i="7"/>
  <c r="AZ12" i="7"/>
  <c r="AL12" i="7"/>
  <c r="AL13" i="7"/>
  <c r="AL14" i="7"/>
  <c r="AL15" i="7"/>
  <c r="AL16" i="7"/>
  <c r="AL17" i="7"/>
  <c r="AL18" i="7"/>
  <c r="AL19" i="7"/>
  <c r="M141" i="1"/>
  <c r="O73" i="14" s="1"/>
  <c r="M140" i="1"/>
  <c r="O72" i="14" s="1"/>
  <c r="X12" i="7"/>
  <c r="X13" i="7"/>
  <c r="X14" i="7"/>
  <c r="X15" i="7"/>
  <c r="X16" i="7"/>
  <c r="X17" i="7"/>
  <c r="X18" i="7"/>
  <c r="X19" i="7"/>
  <c r="M139" i="1"/>
  <c r="O71" i="14" s="1"/>
  <c r="M138" i="1"/>
  <c r="O70" i="14" s="1"/>
  <c r="M137" i="1"/>
  <c r="O69" i="14" s="1"/>
  <c r="M136" i="1"/>
  <c r="O68" i="14" s="1"/>
  <c r="M135" i="1"/>
  <c r="O67" i="14" s="1"/>
  <c r="M134" i="1"/>
  <c r="O66" i="14" s="1"/>
  <c r="M133" i="1"/>
  <c r="O65" i="14" s="1"/>
  <c r="M132" i="1"/>
  <c r="O64" i="14" s="1"/>
  <c r="M131" i="1"/>
  <c r="O63" i="14" s="1"/>
  <c r="M129" i="1"/>
  <c r="O61" i="14" s="1"/>
  <c r="M130" i="1"/>
  <c r="O62" i="14" s="1"/>
  <c r="M128" i="1"/>
  <c r="O60" i="14" s="1"/>
  <c r="M125" i="1"/>
  <c r="O57" i="14" s="1"/>
  <c r="M123" i="1"/>
  <c r="O55" i="14" s="1"/>
  <c r="M122" i="1"/>
  <c r="O54" i="14" s="1"/>
  <c r="L30" i="14"/>
  <c r="L31" i="14"/>
  <c r="L32" i="14"/>
  <c r="L36" i="14"/>
  <c r="L37" i="14"/>
  <c r="L38" i="14"/>
  <c r="L39" i="14"/>
  <c r="L40" i="14"/>
  <c r="L41" i="14"/>
  <c r="L42" i="14"/>
  <c r="L43" i="14"/>
  <c r="L44" i="14"/>
  <c r="L47" i="14"/>
  <c r="L48" i="14"/>
  <c r="L50" i="14"/>
  <c r="L51" i="14"/>
  <c r="L52" i="14"/>
  <c r="L53" i="14"/>
  <c r="L54" i="14"/>
  <c r="L57" i="14"/>
  <c r="L59" i="14"/>
  <c r="L61" i="14"/>
  <c r="L62" i="14"/>
  <c r="L63" i="14"/>
  <c r="L64" i="14"/>
  <c r="L65" i="14"/>
  <c r="L66" i="14"/>
  <c r="L68" i="14"/>
  <c r="L69" i="14"/>
  <c r="L70" i="14"/>
  <c r="L71" i="14"/>
  <c r="L72" i="14"/>
  <c r="L73" i="14"/>
  <c r="L76" i="14"/>
  <c r="L78" i="14"/>
  <c r="L79" i="14"/>
  <c r="L81" i="14"/>
  <c r="L83" i="14"/>
  <c r="F36" i="7"/>
  <c r="F37" i="7"/>
  <c r="F39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10" i="7"/>
  <c r="C12" i="7"/>
  <c r="D12" i="7"/>
  <c r="E12" i="7"/>
  <c r="G12" i="7"/>
  <c r="H12" i="7"/>
  <c r="C13" i="7"/>
  <c r="D13" i="7"/>
  <c r="E13" i="7"/>
  <c r="G13" i="7"/>
  <c r="H13" i="7"/>
  <c r="C14" i="7"/>
  <c r="D14" i="7"/>
  <c r="E14" i="7"/>
  <c r="G14" i="7"/>
  <c r="H14" i="7"/>
  <c r="C15" i="7"/>
  <c r="D15" i="7"/>
  <c r="E15" i="7"/>
  <c r="G15" i="7"/>
  <c r="H15" i="7"/>
  <c r="C16" i="7"/>
  <c r="D16" i="7"/>
  <c r="E16" i="7"/>
  <c r="G16" i="7"/>
  <c r="H16" i="7"/>
  <c r="C17" i="7"/>
  <c r="D17" i="7"/>
  <c r="E17" i="7"/>
  <c r="G17" i="7"/>
  <c r="H17" i="7"/>
  <c r="C18" i="7"/>
  <c r="D18" i="7"/>
  <c r="E18" i="7"/>
  <c r="G18" i="7"/>
  <c r="H18" i="7"/>
  <c r="C19" i="7"/>
  <c r="D19" i="7"/>
  <c r="E19" i="7"/>
  <c r="G19" i="7"/>
  <c r="H19" i="7"/>
  <c r="C20" i="7"/>
  <c r="D20" i="7"/>
  <c r="E20" i="7"/>
  <c r="G20" i="7"/>
  <c r="H20" i="7"/>
  <c r="C21" i="7"/>
  <c r="D21" i="7"/>
  <c r="E21" i="7"/>
  <c r="G21" i="7"/>
  <c r="H21" i="7"/>
  <c r="C22" i="7"/>
  <c r="D22" i="7"/>
  <c r="E22" i="7"/>
  <c r="G22" i="7"/>
  <c r="H22" i="7"/>
  <c r="C23" i="7"/>
  <c r="D23" i="7"/>
  <c r="E23" i="7"/>
  <c r="G23" i="7"/>
  <c r="H23" i="7"/>
  <c r="C24" i="7"/>
  <c r="D24" i="7"/>
  <c r="E24" i="7"/>
  <c r="G24" i="7"/>
  <c r="H24" i="7"/>
  <c r="C25" i="7"/>
  <c r="D25" i="7"/>
  <c r="E25" i="7"/>
  <c r="G25" i="7"/>
  <c r="H25" i="7"/>
  <c r="C26" i="7"/>
  <c r="D26" i="7"/>
  <c r="E26" i="7"/>
  <c r="G26" i="7"/>
  <c r="H26" i="7"/>
  <c r="C27" i="7"/>
  <c r="D27" i="7"/>
  <c r="E27" i="7"/>
  <c r="G27" i="7"/>
  <c r="H27" i="7"/>
  <c r="C28" i="7"/>
  <c r="D28" i="7"/>
  <c r="E28" i="7"/>
  <c r="G28" i="7"/>
  <c r="H28" i="7"/>
  <c r="C29" i="7"/>
  <c r="D29" i="7"/>
  <c r="E29" i="7"/>
  <c r="G29" i="7"/>
  <c r="H29" i="7"/>
  <c r="C30" i="7"/>
  <c r="D30" i="7"/>
  <c r="E30" i="7"/>
  <c r="G30" i="7"/>
  <c r="H30" i="7"/>
  <c r="C31" i="7"/>
  <c r="D31" i="7"/>
  <c r="E31" i="7"/>
  <c r="G31" i="7"/>
  <c r="H31" i="7"/>
  <c r="C32" i="7"/>
  <c r="D32" i="7"/>
  <c r="E32" i="7"/>
  <c r="G32" i="7"/>
  <c r="H32" i="7"/>
  <c r="C33" i="7"/>
  <c r="D33" i="7"/>
  <c r="E33" i="7"/>
  <c r="G33" i="7"/>
  <c r="H33" i="7"/>
  <c r="C34" i="7"/>
  <c r="D34" i="7"/>
  <c r="E34" i="7"/>
  <c r="G34" i="7"/>
  <c r="H34" i="7"/>
  <c r="C35" i="7"/>
  <c r="D35" i="7"/>
  <c r="E35" i="7"/>
  <c r="G35" i="7"/>
  <c r="H35" i="7"/>
  <c r="C36" i="7"/>
  <c r="D36" i="7"/>
  <c r="E36" i="7"/>
  <c r="G36" i="7"/>
  <c r="C37" i="7"/>
  <c r="D37" i="7"/>
  <c r="E37" i="7"/>
  <c r="G37" i="7"/>
  <c r="C38" i="7"/>
  <c r="D38" i="7"/>
  <c r="E38" i="7"/>
  <c r="G38" i="7"/>
  <c r="H38" i="7"/>
  <c r="C39" i="7"/>
  <c r="D39" i="7"/>
  <c r="E39" i="7"/>
  <c r="G39" i="7"/>
  <c r="H39" i="7"/>
  <c r="C40" i="7"/>
  <c r="D40" i="7"/>
  <c r="E40" i="7"/>
  <c r="G40" i="7"/>
  <c r="H40" i="7"/>
  <c r="C41" i="7"/>
  <c r="D41" i="7"/>
  <c r="E41" i="7"/>
  <c r="G41" i="7"/>
  <c r="H41" i="7"/>
  <c r="C42" i="7"/>
  <c r="D42" i="7"/>
  <c r="E42" i="7"/>
  <c r="G42" i="7"/>
  <c r="H42" i="7"/>
  <c r="C43" i="7"/>
  <c r="D43" i="7"/>
  <c r="E43" i="7"/>
  <c r="G43" i="7"/>
  <c r="H43" i="7"/>
  <c r="C44" i="7"/>
  <c r="D44" i="7"/>
  <c r="E44" i="7"/>
  <c r="G44" i="7"/>
  <c r="H44" i="7"/>
  <c r="C45" i="7"/>
  <c r="D45" i="7"/>
  <c r="E45" i="7"/>
  <c r="G45" i="7"/>
  <c r="H45" i="7"/>
  <c r="C46" i="7"/>
  <c r="D46" i="7"/>
  <c r="E46" i="7"/>
  <c r="G46" i="7"/>
  <c r="H46" i="7"/>
  <c r="C47" i="7"/>
  <c r="D47" i="7"/>
  <c r="E47" i="7"/>
  <c r="G47" i="7"/>
  <c r="H47" i="7"/>
  <c r="C48" i="7"/>
  <c r="D48" i="7"/>
  <c r="E48" i="7"/>
  <c r="G48" i="7"/>
  <c r="H48" i="7"/>
  <c r="C49" i="7"/>
  <c r="D49" i="7"/>
  <c r="E49" i="7"/>
  <c r="G49" i="7"/>
  <c r="H49" i="7"/>
  <c r="C50" i="7"/>
  <c r="D50" i="7"/>
  <c r="E50" i="7"/>
  <c r="G50" i="7"/>
  <c r="H50" i="7"/>
  <c r="C51" i="7"/>
  <c r="D51" i="7"/>
  <c r="E51" i="7"/>
  <c r="G51" i="7"/>
  <c r="H51" i="7"/>
  <c r="C52" i="7"/>
  <c r="D52" i="7"/>
  <c r="E52" i="7"/>
  <c r="G52" i="7"/>
  <c r="H52" i="7"/>
  <c r="C53" i="7"/>
  <c r="D53" i="7"/>
  <c r="E53" i="7"/>
  <c r="G53" i="7"/>
  <c r="H53" i="7"/>
  <c r="C54" i="7"/>
  <c r="D54" i="7"/>
  <c r="E54" i="7"/>
  <c r="G54" i="7"/>
  <c r="H54" i="7"/>
  <c r="C55" i="7"/>
  <c r="D55" i="7"/>
  <c r="E55" i="7"/>
  <c r="G55" i="7"/>
  <c r="H55" i="7"/>
  <c r="H11" i="7"/>
  <c r="G11" i="7"/>
  <c r="D11" i="7"/>
  <c r="E11" i="7"/>
  <c r="C11" i="7"/>
  <c r="M88" i="8"/>
  <c r="N88" i="8"/>
  <c r="O88" i="8"/>
  <c r="P88" i="8"/>
  <c r="L88" i="8"/>
  <c r="P65" i="8"/>
  <c r="M64" i="8"/>
  <c r="M78" i="8"/>
  <c r="N78" i="8"/>
  <c r="O78" i="8"/>
  <c r="P78" i="8"/>
  <c r="M79" i="8"/>
  <c r="N79" i="8"/>
  <c r="O79" i="8"/>
  <c r="P79" i="8"/>
  <c r="L79" i="8"/>
  <c r="L78" i="8"/>
  <c r="M81" i="8"/>
  <c r="Q89" i="8"/>
  <c r="Q75" i="8"/>
  <c r="L98" i="1"/>
  <c r="F13" i="7"/>
  <c r="L100" i="1"/>
  <c r="L101" i="1"/>
  <c r="L102" i="1"/>
  <c r="N34" i="14" s="1"/>
  <c r="L103" i="1"/>
  <c r="N35" i="14" s="1"/>
  <c r="L104" i="1"/>
  <c r="N36" i="14" s="1"/>
  <c r="L105" i="1"/>
  <c r="L106" i="1"/>
  <c r="L107" i="1"/>
  <c r="L108" i="1"/>
  <c r="L109" i="1"/>
  <c r="L110" i="1"/>
  <c r="N42" i="14" s="1"/>
  <c r="L111" i="1"/>
  <c r="L112" i="1"/>
  <c r="L113" i="1"/>
  <c r="L114" i="1"/>
  <c r="N47" i="14"/>
  <c r="L116" i="1"/>
  <c r="L117" i="1"/>
  <c r="L118" i="1"/>
  <c r="L119" i="1"/>
  <c r="L121" i="1"/>
  <c r="F40" i="7"/>
  <c r="F41" i="7"/>
  <c r="L97" i="1"/>
  <c r="N64" i="8"/>
  <c r="O64" i="8"/>
  <c r="P64" i="8"/>
  <c r="M65" i="8"/>
  <c r="N65" i="8"/>
  <c r="O65" i="8"/>
  <c r="L64" i="8"/>
  <c r="M74" i="8"/>
  <c r="N74" i="8"/>
  <c r="O74" i="8"/>
  <c r="P74" i="8"/>
  <c r="M67" i="8"/>
  <c r="N67" i="8"/>
  <c r="O67" i="8"/>
  <c r="P67" i="8"/>
  <c r="M68" i="8"/>
  <c r="N68" i="8"/>
  <c r="O68" i="8"/>
  <c r="P68" i="8"/>
  <c r="M69" i="8"/>
  <c r="N69" i="8"/>
  <c r="O69" i="8"/>
  <c r="P69" i="8"/>
  <c r="M70" i="8"/>
  <c r="N70" i="8"/>
  <c r="O70" i="8"/>
  <c r="P70" i="8"/>
  <c r="M71" i="8"/>
  <c r="N71" i="8"/>
  <c r="O71" i="8"/>
  <c r="P71" i="8"/>
  <c r="M72" i="8"/>
  <c r="N72" i="8"/>
  <c r="O72" i="8"/>
  <c r="P72" i="8"/>
  <c r="M73" i="8"/>
  <c r="N73" i="8"/>
  <c r="O73" i="8"/>
  <c r="P73" i="8"/>
  <c r="L69" i="8"/>
  <c r="L70" i="8"/>
  <c r="L71" i="8"/>
  <c r="L73" i="8"/>
  <c r="L67" i="8"/>
  <c r="N81" i="8"/>
  <c r="O81" i="8"/>
  <c r="P81" i="8"/>
  <c r="M82" i="8"/>
  <c r="N82" i="8"/>
  <c r="O82" i="8"/>
  <c r="P82" i="8"/>
  <c r="M83" i="8"/>
  <c r="N83" i="8"/>
  <c r="O83" i="8"/>
  <c r="P83" i="8"/>
  <c r="M84" i="8"/>
  <c r="N84" i="8"/>
  <c r="O84" i="8"/>
  <c r="P84" i="8"/>
  <c r="M85" i="8"/>
  <c r="N85" i="8"/>
  <c r="O85" i="8"/>
  <c r="P85" i="8"/>
  <c r="M86" i="8"/>
  <c r="N86" i="8"/>
  <c r="O86" i="8"/>
  <c r="P86" i="8"/>
  <c r="M87" i="8"/>
  <c r="N87" i="8"/>
  <c r="O87" i="8"/>
  <c r="P87" i="8"/>
  <c r="L82" i="8"/>
  <c r="L83" i="8"/>
  <c r="L84" i="8"/>
  <c r="L85" i="8"/>
  <c r="L86" i="8"/>
  <c r="L87" i="8"/>
  <c r="L81" i="8"/>
  <c r="L103" i="8"/>
  <c r="M103" i="8"/>
  <c r="N103" i="8"/>
  <c r="O103" i="8"/>
  <c r="P103" i="8"/>
  <c r="F54" i="12"/>
  <c r="F55" i="12" s="1"/>
  <c r="F56" i="12" s="1"/>
  <c r="F57" i="12" s="1"/>
  <c r="F58" i="12" s="1"/>
  <c r="F59" i="12" s="1"/>
  <c r="F60" i="12" s="1"/>
  <c r="F46" i="12"/>
  <c r="F47" i="12" s="1"/>
  <c r="F48" i="12" s="1"/>
  <c r="F49" i="12" s="1"/>
  <c r="F50" i="12" s="1"/>
  <c r="F51" i="12" s="1"/>
  <c r="F52" i="12" s="1"/>
  <c r="F38" i="12"/>
  <c r="F39" i="12" s="1"/>
  <c r="F40" i="12" s="1"/>
  <c r="F41" i="12" s="1"/>
  <c r="F42" i="12" s="1"/>
  <c r="F43" i="12" s="1"/>
  <c r="F44" i="12" s="1"/>
  <c r="F30" i="12"/>
  <c r="F31" i="12" s="1"/>
  <c r="F32" i="12" s="1"/>
  <c r="F33" i="12" s="1"/>
  <c r="F34" i="12" s="1"/>
  <c r="F35" i="12" s="1"/>
  <c r="F36" i="12" s="1"/>
  <c r="F22" i="12"/>
  <c r="F23" i="12" s="1"/>
  <c r="F24" i="12" s="1"/>
  <c r="F25" i="12" s="1"/>
  <c r="F26" i="12" s="1"/>
  <c r="F27" i="12" s="1"/>
  <c r="F28" i="12" s="1"/>
  <c r="F14" i="12"/>
  <c r="F15" i="12" s="1"/>
  <c r="F16" i="12" s="1"/>
  <c r="F17" i="12" s="1"/>
  <c r="F18" i="12" s="1"/>
  <c r="F19" i="12" s="1"/>
  <c r="F20" i="12" s="1"/>
  <c r="D148" i="12"/>
  <c r="D149" i="12" s="1"/>
  <c r="D150" i="12" s="1"/>
  <c r="D151" i="12" s="1"/>
  <c r="D152" i="12" s="1"/>
  <c r="D153" i="12" s="1"/>
  <c r="D154" i="12" s="1"/>
  <c r="D155" i="12" s="1"/>
  <c r="D156" i="12" s="1"/>
  <c r="D157" i="12" s="1"/>
  <c r="D127" i="12"/>
  <c r="D128" i="12" s="1"/>
  <c r="D129" i="12" s="1"/>
  <c r="D130" i="12" s="1"/>
  <c r="D131" i="12" s="1"/>
  <c r="D132" i="12" s="1"/>
  <c r="D133" i="12" s="1"/>
  <c r="D134" i="12" s="1"/>
  <c r="D135" i="12" s="1"/>
  <c r="D136" i="12" s="1"/>
  <c r="D106" i="12"/>
  <c r="D107" i="12" s="1"/>
  <c r="D108" i="12" s="1"/>
  <c r="D109" i="12" s="1"/>
  <c r="D110" i="12" s="1"/>
  <c r="D111" i="12" s="1"/>
  <c r="D112" i="12" s="1"/>
  <c r="D113" i="12" s="1"/>
  <c r="D114" i="12" s="1"/>
  <c r="D115" i="12" s="1"/>
  <c r="D85" i="12"/>
  <c r="D86" i="12" s="1"/>
  <c r="D87" i="12" s="1"/>
  <c r="D88" i="12" s="1"/>
  <c r="D89" i="12" s="1"/>
  <c r="D90" i="12" s="1"/>
  <c r="D91" i="12" s="1"/>
  <c r="D92" i="12" s="1"/>
  <c r="D93" i="12" s="1"/>
  <c r="D94" i="12" s="1"/>
  <c r="D64" i="12"/>
  <c r="D65" i="12" s="1"/>
  <c r="G142" i="12"/>
  <c r="G138" i="12"/>
  <c r="G165" i="12"/>
  <c r="G163" i="12"/>
  <c r="G161" i="12"/>
  <c r="G159" i="12"/>
  <c r="G157" i="12"/>
  <c r="G155" i="12"/>
  <c r="G154" i="12"/>
  <c r="G152" i="12"/>
  <c r="G151" i="12"/>
  <c r="G150" i="12"/>
  <c r="G149" i="12"/>
  <c r="G148" i="12"/>
  <c r="G147" i="12"/>
  <c r="G144" i="12"/>
  <c r="G140" i="12"/>
  <c r="G136" i="12"/>
  <c r="G134" i="12"/>
  <c r="G133" i="12"/>
  <c r="G131" i="12"/>
  <c r="G130" i="12"/>
  <c r="G129" i="12"/>
  <c r="G128" i="12"/>
  <c r="G127" i="12"/>
  <c r="G126" i="12"/>
  <c r="L66" i="8" l="1"/>
  <c r="AM124" i="1"/>
  <c r="AK124" i="1"/>
  <c r="AJ124" i="1"/>
  <c r="AI124" i="1"/>
  <c r="AG124" i="1"/>
  <c r="AL124" i="1"/>
  <c r="AH124" i="1"/>
  <c r="F33" i="7"/>
  <c r="N51" i="14"/>
  <c r="F25" i="7"/>
  <c r="N43" i="14"/>
  <c r="F29" i="7"/>
  <c r="F34" i="7"/>
  <c r="N52" i="14"/>
  <c r="F32" i="7"/>
  <c r="N50" i="14"/>
  <c r="F24" i="7"/>
  <c r="F26" i="7"/>
  <c r="N44" i="14"/>
  <c r="F31" i="7"/>
  <c r="N49" i="14"/>
  <c r="F23" i="7"/>
  <c r="N41" i="14"/>
  <c r="F15" i="7"/>
  <c r="N33" i="14"/>
  <c r="F18" i="7"/>
  <c r="M124" i="1"/>
  <c r="O56" i="14" s="1"/>
  <c r="F35" i="7"/>
  <c r="N53" i="14"/>
  <c r="F30" i="7"/>
  <c r="N48" i="14"/>
  <c r="F22" i="7"/>
  <c r="N40" i="14"/>
  <c r="F14" i="7"/>
  <c r="N32" i="14"/>
  <c r="F17" i="7"/>
  <c r="F27" i="7"/>
  <c r="N45" i="14"/>
  <c r="F11" i="7"/>
  <c r="N29" i="14"/>
  <c r="M127" i="1"/>
  <c r="O59" i="14" s="1"/>
  <c r="N59" i="14"/>
  <c r="F21" i="7"/>
  <c r="N39" i="14"/>
  <c r="F16" i="7"/>
  <c r="F19" i="7"/>
  <c r="N37" i="14"/>
  <c r="M126" i="1"/>
  <c r="O58" i="14" s="1"/>
  <c r="N58" i="14"/>
  <c r="F28" i="7"/>
  <c r="N46" i="14"/>
  <c r="F20" i="7"/>
  <c r="N38" i="14"/>
  <c r="F12" i="7"/>
  <c r="N30" i="14"/>
  <c r="F38" i="7"/>
  <c r="G84" i="12"/>
  <c r="L45" i="14"/>
  <c r="G112" i="12"/>
  <c r="L74" i="14"/>
  <c r="G96" i="12"/>
  <c r="L58" i="14"/>
  <c r="G123" i="12"/>
  <c r="L85" i="14"/>
  <c r="G113" i="12"/>
  <c r="L75" i="14"/>
  <c r="G70" i="12"/>
  <c r="L35" i="14"/>
  <c r="AN124" i="1"/>
  <c r="L56" i="14"/>
  <c r="G105" i="12"/>
  <c r="L67" i="14"/>
  <c r="G68" i="12"/>
  <c r="L34" i="14"/>
  <c r="G121" i="12"/>
  <c r="L84" i="14"/>
  <c r="G88" i="12"/>
  <c r="L49" i="14"/>
  <c r="G117" i="12"/>
  <c r="L80" i="14"/>
  <c r="G85" i="12"/>
  <c r="L46" i="14"/>
  <c r="G115" i="12"/>
  <c r="L77" i="14"/>
  <c r="G67" i="12"/>
  <c r="L33" i="14"/>
  <c r="G98" i="12"/>
  <c r="L60" i="14"/>
  <c r="G94" i="12"/>
  <c r="L55" i="14"/>
  <c r="G119" i="12"/>
  <c r="L82" i="14"/>
  <c r="D66" i="12"/>
  <c r="D67" i="12" s="1"/>
  <c r="D68" i="12" s="1"/>
  <c r="D69" i="12" s="1"/>
  <c r="D70" i="12" s="1"/>
  <c r="D71" i="12" s="1"/>
  <c r="D72" i="12" s="1"/>
  <c r="D73" i="12" s="1"/>
  <c r="J35" i="12"/>
  <c r="N43" i="12"/>
  <c r="M43" i="12"/>
  <c r="J49" i="12"/>
  <c r="N49" i="12"/>
  <c r="K43" i="12"/>
  <c r="L43" i="12"/>
  <c r="L50" i="12"/>
  <c r="Q41" i="12"/>
  <c r="I26" i="12"/>
  <c r="O41" i="12"/>
  <c r="N41" i="12"/>
  <c r="J33" i="12"/>
  <c r="N51" i="12"/>
  <c r="J25" i="12"/>
  <c r="P41" i="12"/>
  <c r="J26" i="12"/>
  <c r="I33" i="12"/>
  <c r="M121" i="1"/>
  <c r="O53" i="14" s="1"/>
  <c r="O66" i="8"/>
  <c r="M66" i="8"/>
  <c r="N66" i="8"/>
  <c r="P66" i="8"/>
  <c r="Q87" i="8"/>
  <c r="V11" i="7" s="1"/>
  <c r="Q103" i="8"/>
  <c r="Q81" i="8"/>
  <c r="Q86" i="8"/>
  <c r="Q85" i="8"/>
  <c r="Q84" i="8"/>
  <c r="Q83" i="8"/>
  <c r="R40" i="8" s="1"/>
  <c r="Q82" i="8"/>
  <c r="G91" i="12"/>
  <c r="G77" i="12"/>
  <c r="G79" i="12"/>
  <c r="G65" i="12"/>
  <c r="Q73" i="8"/>
  <c r="Q72" i="8"/>
  <c r="Q71" i="8"/>
  <c r="Q74" i="8"/>
  <c r="Q70" i="8"/>
  <c r="Q69" i="8"/>
  <c r="Q68" i="8"/>
  <c r="Q67" i="8"/>
  <c r="Q64" i="8"/>
  <c r="Q65" i="8"/>
  <c r="G92" i="12"/>
  <c r="G81" i="12"/>
  <c r="G110" i="12"/>
  <c r="G102" i="12"/>
  <c r="G63" i="12"/>
  <c r="G64" i="12"/>
  <c r="G71" i="12"/>
  <c r="G109" i="12"/>
  <c r="G75" i="12"/>
  <c r="G107" i="12"/>
  <c r="G73" i="12"/>
  <c r="G108" i="12"/>
  <c r="G106" i="12"/>
  <c r="G66" i="12"/>
  <c r="G100" i="12"/>
  <c r="G87" i="12"/>
  <c r="G86" i="12"/>
  <c r="G89" i="12"/>
  <c r="Q88" i="8"/>
  <c r="W11" i="7" s="1"/>
  <c r="Q79" i="8"/>
  <c r="O11" i="7" s="1"/>
  <c r="L93" i="8"/>
  <c r="L92" i="8"/>
  <c r="L102" i="8"/>
  <c r="M102" i="8"/>
  <c r="P93" i="8"/>
  <c r="N93" i="8"/>
  <c r="M93" i="8"/>
  <c r="M92" i="8"/>
  <c r="N102" i="8"/>
  <c r="P99" i="8"/>
  <c r="L95" i="8"/>
  <c r="L100" i="8"/>
  <c r="L101" i="8"/>
  <c r="L98" i="8"/>
  <c r="L97" i="8"/>
  <c r="L96" i="8"/>
  <c r="L99" i="8"/>
  <c r="P98" i="8"/>
  <c r="O98" i="8"/>
  <c r="M101" i="8"/>
  <c r="P97" i="8"/>
  <c r="O97" i="8"/>
  <c r="O99" i="8"/>
  <c r="N99" i="8"/>
  <c r="M99" i="8"/>
  <c r="N98" i="8"/>
  <c r="M98" i="8"/>
  <c r="N97" i="8"/>
  <c r="M97" i="8"/>
  <c r="L80" i="8"/>
  <c r="F180" i="8" s="1"/>
  <c r="H142" i="12"/>
  <c r="H138" i="12"/>
  <c r="H133" i="12"/>
  <c r="H161" i="12"/>
  <c r="H154" i="12"/>
  <c r="H163" i="12"/>
  <c r="H159" i="12"/>
  <c r="H140" i="12"/>
  <c r="S40" i="8" l="1"/>
  <c r="T40" i="8"/>
  <c r="AA11" i="7" a="1"/>
  <c r="Q11" i="7"/>
  <c r="R39" i="8"/>
  <c r="R11" i="7"/>
  <c r="S11" i="7"/>
  <c r="R41" i="8"/>
  <c r="T11" i="7"/>
  <c r="R42" i="8"/>
  <c r="U11" i="7"/>
  <c r="R43" i="8"/>
  <c r="P11" i="7"/>
  <c r="R37" i="8"/>
  <c r="S37" i="8" s="1"/>
  <c r="I49" i="12"/>
  <c r="O43" i="12"/>
  <c r="I35" i="12"/>
  <c r="P43" i="12"/>
  <c r="J24" i="12"/>
  <c r="J34" i="12"/>
  <c r="K50" i="12"/>
  <c r="J50" i="12"/>
  <c r="I50" i="12"/>
  <c r="Q43" i="12"/>
  <c r="I43" i="12"/>
  <c r="I34" i="12"/>
  <c r="J43" i="12"/>
  <c r="M41" i="12"/>
  <c r="O49" i="12"/>
  <c r="I25" i="12"/>
  <c r="O42" i="12"/>
  <c r="P42" i="12"/>
  <c r="I24" i="12"/>
  <c r="P50" i="12"/>
  <c r="Q50" i="12"/>
  <c r="L51" i="12"/>
  <c r="I51" i="12"/>
  <c r="M51" i="12"/>
  <c r="K51" i="12"/>
  <c r="J51" i="12"/>
  <c r="Q101" i="8"/>
  <c r="Q99" i="8"/>
  <c r="Q100" i="8"/>
  <c r="Q66" i="8"/>
  <c r="Q96" i="8"/>
  <c r="Q95" i="8"/>
  <c r="Q97" i="8"/>
  <c r="Q98" i="8"/>
  <c r="Q93" i="8"/>
  <c r="Q102" i="8"/>
  <c r="O93" i="8"/>
  <c r="N92" i="8"/>
  <c r="P102" i="8"/>
  <c r="O102" i="8"/>
  <c r="M96" i="8"/>
  <c r="M100" i="8"/>
  <c r="M95" i="8"/>
  <c r="N101" i="8"/>
  <c r="L94" i="8"/>
  <c r="AA64" i="8" s="1" a="1"/>
  <c r="M80" i="8"/>
  <c r="AO11" i="7" s="1" a="1"/>
  <c r="N80" i="8"/>
  <c r="BC11" i="7" s="1" a="1"/>
  <c r="T43" i="8" l="1"/>
  <c r="S43" i="8"/>
  <c r="BC11" i="7"/>
  <c r="BH11" i="7"/>
  <c r="BJ11" i="7"/>
  <c r="BI11" i="7"/>
  <c r="BG11" i="7"/>
  <c r="BF11" i="7"/>
  <c r="BM11" i="7"/>
  <c r="BL11" i="7"/>
  <c r="BK11" i="7"/>
  <c r="BE11" i="7"/>
  <c r="BD11" i="7"/>
  <c r="AR11" i="7"/>
  <c r="AW11" i="7"/>
  <c r="AO11" i="7"/>
  <c r="AV11" i="7"/>
  <c r="AT11" i="7"/>
  <c r="AS11" i="7"/>
  <c r="AU11" i="7"/>
  <c r="AQ11" i="7"/>
  <c r="AP11" i="7"/>
  <c r="AX11" i="7"/>
  <c r="AY11" i="7"/>
  <c r="S42" i="8"/>
  <c r="T42" i="8"/>
  <c r="S41" i="8"/>
  <c r="T41" i="8"/>
  <c r="S39" i="8"/>
  <c r="S44" i="8" s="1"/>
  <c r="T39" i="8"/>
  <c r="AC11" i="7"/>
  <c r="AA11" i="7"/>
  <c r="AB11" i="7"/>
  <c r="AG11" i="7"/>
  <c r="AF11" i="7"/>
  <c r="AK11" i="7"/>
  <c r="AJ11" i="7"/>
  <c r="AI11" i="7"/>
  <c r="AH11" i="7"/>
  <c r="AD11" i="7"/>
  <c r="AE11" i="7"/>
  <c r="H43" i="12"/>
  <c r="F184" i="8"/>
  <c r="F182" i="8"/>
  <c r="X64" i="8" a="1"/>
  <c r="X64" i="8" s="1"/>
  <c r="AC64" i="8" a="1"/>
  <c r="AC71" i="8" s="1"/>
  <c r="AB64" i="8" a="1"/>
  <c r="AB72" i="8" s="1"/>
  <c r="Z64" i="8" a="1"/>
  <c r="Z65" i="8" s="1"/>
  <c r="W64" i="8" a="1"/>
  <c r="W71" i="8" s="1"/>
  <c r="AD64" i="8" a="1"/>
  <c r="AD73" i="8" s="1"/>
  <c r="Y64" i="8" a="1"/>
  <c r="Y64" i="8" s="1"/>
  <c r="AA67" i="8"/>
  <c r="AA68" i="8"/>
  <c r="AA69" i="8"/>
  <c r="AA70" i="8"/>
  <c r="AA71" i="8"/>
  <c r="AA72" i="8"/>
  <c r="AA74" i="8"/>
  <c r="AA64" i="8"/>
  <c r="AA65" i="8"/>
  <c r="AA73" i="8"/>
  <c r="AA66" i="8"/>
  <c r="Q78" i="8"/>
  <c r="P92" i="8"/>
  <c r="O92" i="8"/>
  <c r="M94" i="8"/>
  <c r="N96" i="8"/>
  <c r="P101" i="8"/>
  <c r="O101" i="8"/>
  <c r="N100" i="8"/>
  <c r="N95" i="8"/>
  <c r="N94" i="8"/>
  <c r="O80" i="8"/>
  <c r="BQ11" i="7" s="1" a="1"/>
  <c r="P80" i="8"/>
  <c r="CE11" i="7" s="1" a="1"/>
  <c r="T44" i="8" l="1"/>
  <c r="AL11" i="7"/>
  <c r="C155" i="8" s="1" a="1"/>
  <c r="I155" i="8" s="1"/>
  <c r="BQ11" i="7"/>
  <c r="BZ11" i="7"/>
  <c r="CA11" i="7"/>
  <c r="BY11" i="7"/>
  <c r="BW11" i="7"/>
  <c r="BX11" i="7"/>
  <c r="BV11" i="7"/>
  <c r="BU11" i="7"/>
  <c r="BR11" i="7"/>
  <c r="BT11" i="7"/>
  <c r="BS11" i="7"/>
  <c r="AZ11" i="7"/>
  <c r="C156" i="8" s="1" a="1"/>
  <c r="CG11" i="7"/>
  <c r="CO11" i="7"/>
  <c r="CF11" i="7"/>
  <c r="CE11" i="7"/>
  <c r="CI11" i="7"/>
  <c r="CH11" i="7"/>
  <c r="CM11" i="7"/>
  <c r="CL11" i="7"/>
  <c r="CK11" i="7"/>
  <c r="CJ11" i="7"/>
  <c r="CN11" i="7"/>
  <c r="V64" i="8" a="1"/>
  <c r="V66" i="8" s="1"/>
  <c r="I65" i="12" s="1"/>
  <c r="BN11" i="7"/>
  <c r="C157" i="8" s="1" a="1"/>
  <c r="F186" i="8"/>
  <c r="F188" i="8"/>
  <c r="AB66" i="8"/>
  <c r="AB64" i="8"/>
  <c r="O63" i="12" s="1"/>
  <c r="Z73" i="8"/>
  <c r="W66" i="8"/>
  <c r="W67" i="8"/>
  <c r="W65" i="8"/>
  <c r="J64" i="12" s="1"/>
  <c r="W64" i="8"/>
  <c r="J63" i="12" s="1"/>
  <c r="W73" i="8"/>
  <c r="W72" i="8"/>
  <c r="AB65" i="8"/>
  <c r="O64" i="12" s="1"/>
  <c r="AB74" i="8"/>
  <c r="O66" i="12" s="1"/>
  <c r="AB73" i="8"/>
  <c r="AB71" i="8"/>
  <c r="Y73" i="8"/>
  <c r="AD74" i="8"/>
  <c r="Q66" i="12" s="1"/>
  <c r="AD66" i="8"/>
  <c r="AD67" i="8"/>
  <c r="AD72" i="8"/>
  <c r="AD64" i="8"/>
  <c r="Q63" i="12" s="1"/>
  <c r="W68" i="8"/>
  <c r="AC74" i="8"/>
  <c r="P66" i="12" s="1"/>
  <c r="AC72" i="8"/>
  <c r="AC67" i="8"/>
  <c r="AC66" i="8"/>
  <c r="Z72" i="8"/>
  <c r="AC73" i="8"/>
  <c r="Z71" i="8"/>
  <c r="Z70" i="8"/>
  <c r="AC70" i="8"/>
  <c r="Z69" i="8"/>
  <c r="AC69" i="8"/>
  <c r="Z64" i="8"/>
  <c r="M63" i="12" s="1"/>
  <c r="AC68" i="8"/>
  <c r="Z68" i="8"/>
  <c r="AC65" i="8"/>
  <c r="P64" i="12" s="1"/>
  <c r="Z67" i="8"/>
  <c r="AC64" i="8"/>
  <c r="P63" i="12" s="1"/>
  <c r="Y72" i="8"/>
  <c r="Y71" i="8"/>
  <c r="Z66" i="8"/>
  <c r="Y70" i="8"/>
  <c r="W70" i="8"/>
  <c r="W69" i="8"/>
  <c r="X65" i="8"/>
  <c r="K64" i="12" s="1"/>
  <c r="W74" i="8"/>
  <c r="J66" i="12" s="1"/>
  <c r="Z74" i="8"/>
  <c r="M66" i="12" s="1"/>
  <c r="X70" i="8"/>
  <c r="X73" i="8"/>
  <c r="X72" i="8"/>
  <c r="X74" i="8"/>
  <c r="K66" i="12" s="1"/>
  <c r="X71" i="8"/>
  <c r="X69" i="8"/>
  <c r="X68" i="8"/>
  <c r="X67" i="8"/>
  <c r="X66" i="8"/>
  <c r="Y74" i="8"/>
  <c r="L66" i="12" s="1"/>
  <c r="Y68" i="8"/>
  <c r="Y67" i="8"/>
  <c r="Y65" i="8"/>
  <c r="L64" i="12" s="1"/>
  <c r="Y69" i="8"/>
  <c r="Y66" i="8"/>
  <c r="AB70" i="8"/>
  <c r="AD65" i="8"/>
  <c r="Q64" i="12" s="1"/>
  <c r="AB69" i="8"/>
  <c r="W90" i="8" a="1"/>
  <c r="W100" i="8" s="1"/>
  <c r="AD68" i="8"/>
  <c r="AD69" i="8"/>
  <c r="AD70" i="8"/>
  <c r="AB68" i="8"/>
  <c r="AD71" i="8"/>
  <c r="AB67" i="8"/>
  <c r="AB90" i="8" a="1"/>
  <c r="X90" i="8" a="1"/>
  <c r="Y90" i="8" a="1"/>
  <c r="Z90" i="8" a="1"/>
  <c r="AC90" i="8" a="1"/>
  <c r="V90" i="8" a="1"/>
  <c r="AA90" i="8" a="1"/>
  <c r="AD90" i="8" a="1"/>
  <c r="V77" i="8" a="1"/>
  <c r="AD77" i="8" a="1"/>
  <c r="Z77" i="8" a="1"/>
  <c r="AC77" i="8" a="1"/>
  <c r="AA77" i="8" a="1"/>
  <c r="Y77" i="8" a="1"/>
  <c r="W77" i="8" a="1"/>
  <c r="AB77" i="8" a="1"/>
  <c r="X77" i="8" a="1"/>
  <c r="N63" i="12"/>
  <c r="K63" i="12"/>
  <c r="N64" i="12"/>
  <c r="M64" i="12"/>
  <c r="L63" i="12"/>
  <c r="Q80" i="8"/>
  <c r="Q94" i="8" s="1"/>
  <c r="N11" i="7"/>
  <c r="X11" i="7" s="1"/>
  <c r="Q92" i="8"/>
  <c r="N66" i="12"/>
  <c r="P100" i="8"/>
  <c r="O100" i="8"/>
  <c r="O95" i="8"/>
  <c r="O94" i="8"/>
  <c r="P96" i="8"/>
  <c r="O96" i="8"/>
  <c r="V74" i="8" l="1"/>
  <c r="I66" i="12" s="1"/>
  <c r="V65" i="8"/>
  <c r="I64" i="12" s="1"/>
  <c r="V67" i="8"/>
  <c r="F155" i="8"/>
  <c r="M180" i="8" s="1"/>
  <c r="L71" i="12" s="1"/>
  <c r="V72" i="8"/>
  <c r="D155" i="8"/>
  <c r="K180" i="8" s="1"/>
  <c r="J71" i="12" s="1"/>
  <c r="J15" i="12" s="1"/>
  <c r="G155" i="8"/>
  <c r="N180" i="8" s="1"/>
  <c r="M71" i="12" s="1"/>
  <c r="C155" i="8"/>
  <c r="V73" i="8"/>
  <c r="J155" i="8"/>
  <c r="Q180" i="8" s="1"/>
  <c r="P71" i="12" s="1"/>
  <c r="K155" i="8"/>
  <c r="R180" i="8" s="1"/>
  <c r="Q71" i="12" s="1"/>
  <c r="V68" i="8"/>
  <c r="E155" i="8"/>
  <c r="V69" i="8"/>
  <c r="H155" i="8"/>
  <c r="O180" i="8" s="1"/>
  <c r="N71" i="12" s="1"/>
  <c r="V71" i="8"/>
  <c r="V70" i="8"/>
  <c r="CB11" i="7"/>
  <c r="C158" i="8" s="1" a="1"/>
  <c r="C158" i="8" s="1"/>
  <c r="D198" i="8" s="1"/>
  <c r="CP11" i="7"/>
  <c r="C159" i="8" s="1" a="1"/>
  <c r="V64" i="8"/>
  <c r="I63" i="12" s="1"/>
  <c r="L180" i="8"/>
  <c r="K71" i="12" s="1"/>
  <c r="K15" i="12" s="1"/>
  <c r="P180" i="8"/>
  <c r="O71" i="12" s="1"/>
  <c r="D156" i="8"/>
  <c r="J156" i="8"/>
  <c r="C156" i="8"/>
  <c r="D196" i="8" s="1"/>
  <c r="K156" i="8"/>
  <c r="H156" i="8"/>
  <c r="E156" i="8"/>
  <c r="F156" i="8"/>
  <c r="I156" i="8"/>
  <c r="G156" i="8"/>
  <c r="F157" i="8"/>
  <c r="D157" i="8"/>
  <c r="C157" i="8"/>
  <c r="J157" i="8"/>
  <c r="G157" i="8"/>
  <c r="I157" i="8"/>
  <c r="H157" i="8"/>
  <c r="E157" i="8"/>
  <c r="K157" i="8"/>
  <c r="W97" i="8"/>
  <c r="W91" i="8"/>
  <c r="J106" i="12" s="1"/>
  <c r="W92" i="8"/>
  <c r="J107" i="12" s="1"/>
  <c r="W90" i="8"/>
  <c r="J105" i="12" s="1"/>
  <c r="AA103" i="8" a="1"/>
  <c r="AA108" i="8" s="1"/>
  <c r="W95" i="8"/>
  <c r="W98" i="8"/>
  <c r="W99" i="8"/>
  <c r="W96" i="8"/>
  <c r="W94" i="8"/>
  <c r="W93" i="8"/>
  <c r="Z90" i="8"/>
  <c r="M105" i="12" s="1"/>
  <c r="Z92" i="8"/>
  <c r="M107" i="12" s="1"/>
  <c r="Z94" i="8"/>
  <c r="Z95" i="8"/>
  <c r="Z96" i="8"/>
  <c r="Z100" i="8"/>
  <c r="M108" i="12" s="1"/>
  <c r="Z99" i="8"/>
  <c r="Z97" i="8"/>
  <c r="Z93" i="8"/>
  <c r="Z98" i="8"/>
  <c r="Z91" i="8"/>
  <c r="M106" i="12" s="1"/>
  <c r="Z103" i="8" a="1"/>
  <c r="V103" i="8" a="1"/>
  <c r="AB94" i="8"/>
  <c r="AB97" i="8"/>
  <c r="AB100" i="8"/>
  <c r="O108" i="12" s="1"/>
  <c r="AB95" i="8"/>
  <c r="AB96" i="8"/>
  <c r="AB98" i="8"/>
  <c r="AB99" i="8"/>
  <c r="AB90" i="8"/>
  <c r="O105" i="12" s="1"/>
  <c r="AB91" i="8"/>
  <c r="O106" i="12" s="1"/>
  <c r="AB92" i="8"/>
  <c r="O107" i="12" s="1"/>
  <c r="AB93" i="8"/>
  <c r="Y103" i="8" a="1"/>
  <c r="Y77" i="8"/>
  <c r="L84" i="12" s="1"/>
  <c r="Y87" i="8"/>
  <c r="L87" i="12" s="1"/>
  <c r="Y84" i="8"/>
  <c r="Y82" i="8"/>
  <c r="Y81" i="8"/>
  <c r="Y85" i="8"/>
  <c r="Y83" i="8"/>
  <c r="Y80" i="8"/>
  <c r="Y79" i="8"/>
  <c r="L86" i="12" s="1"/>
  <c r="Y86" i="8"/>
  <c r="Y78" i="8"/>
  <c r="L85" i="12" s="1"/>
  <c r="AA79" i="8"/>
  <c r="N86" i="12" s="1"/>
  <c r="AA77" i="8"/>
  <c r="N84" i="12" s="1"/>
  <c r="AA78" i="8"/>
  <c r="N85" i="12" s="1"/>
  <c r="AA83" i="8"/>
  <c r="AA84" i="8"/>
  <c r="AA85" i="8"/>
  <c r="AA86" i="8"/>
  <c r="AA87" i="8"/>
  <c r="N87" i="12" s="1"/>
  <c r="AA80" i="8"/>
  <c r="AA81" i="8"/>
  <c r="AA82" i="8"/>
  <c r="AC87" i="8"/>
  <c r="P87" i="12" s="1"/>
  <c r="AC78" i="8"/>
  <c r="P85" i="12" s="1"/>
  <c r="AC79" i="8"/>
  <c r="P86" i="12" s="1"/>
  <c r="AC80" i="8"/>
  <c r="AC81" i="8"/>
  <c r="AC83" i="8"/>
  <c r="AC77" i="8"/>
  <c r="P84" i="12" s="1"/>
  <c r="AC82" i="8"/>
  <c r="AC84" i="8"/>
  <c r="AC85" i="8"/>
  <c r="AC86" i="8"/>
  <c r="AD77" i="8"/>
  <c r="Q84" i="12" s="1"/>
  <c r="AD81" i="8"/>
  <c r="AD82" i="8"/>
  <c r="AD84" i="8"/>
  <c r="AD86" i="8"/>
  <c r="AD87" i="8"/>
  <c r="Q87" i="12" s="1"/>
  <c r="AD79" i="8"/>
  <c r="Q86" i="12" s="1"/>
  <c r="AD78" i="8"/>
  <c r="Q85" i="12" s="1"/>
  <c r="AD83" i="8"/>
  <c r="AD85" i="8"/>
  <c r="AD80" i="8"/>
  <c r="AC90" i="8"/>
  <c r="P105" i="12" s="1"/>
  <c r="AC91" i="8"/>
  <c r="P106" i="12" s="1"/>
  <c r="AC92" i="8"/>
  <c r="P107" i="12" s="1"/>
  <c r="AC93" i="8"/>
  <c r="AC94" i="8"/>
  <c r="AC97" i="8"/>
  <c r="AC98" i="8"/>
  <c r="AC99" i="8"/>
  <c r="AC100" i="8"/>
  <c r="P108" i="12" s="1"/>
  <c r="AC95" i="8"/>
  <c r="AC96" i="8"/>
  <c r="X91" i="8"/>
  <c r="K106" i="12" s="1"/>
  <c r="X93" i="8"/>
  <c r="X97" i="8"/>
  <c r="X100" i="8"/>
  <c r="K108" i="12" s="1"/>
  <c r="X94" i="8"/>
  <c r="X95" i="8"/>
  <c r="X98" i="8"/>
  <c r="X99" i="8"/>
  <c r="X90" i="8"/>
  <c r="K105" i="12" s="1"/>
  <c r="X96" i="8"/>
  <c r="X92" i="8"/>
  <c r="K107" i="12" s="1"/>
  <c r="AB103" i="8" a="1"/>
  <c r="AC103" i="8" a="1"/>
  <c r="Z78" i="8"/>
  <c r="M85" i="12" s="1"/>
  <c r="Z81" i="8"/>
  <c r="Z82" i="8"/>
  <c r="Z83" i="8"/>
  <c r="Z84" i="8"/>
  <c r="Z79" i="8"/>
  <c r="M86" i="12" s="1"/>
  <c r="Z80" i="8"/>
  <c r="Z85" i="8"/>
  <c r="Z86" i="8"/>
  <c r="Z87" i="8"/>
  <c r="M87" i="12" s="1"/>
  <c r="Z77" i="8"/>
  <c r="M84" i="12" s="1"/>
  <c r="V77" i="8"/>
  <c r="I84" i="12" s="1"/>
  <c r="V81" i="8"/>
  <c r="V82" i="8"/>
  <c r="V83" i="8"/>
  <c r="V85" i="8"/>
  <c r="V86" i="8"/>
  <c r="V87" i="8"/>
  <c r="I87" i="12" s="1"/>
  <c r="V84" i="8"/>
  <c r="V80" i="8"/>
  <c r="V79" i="8"/>
  <c r="I86" i="12" s="1"/>
  <c r="V78" i="8"/>
  <c r="I85" i="12" s="1"/>
  <c r="AA90" i="8"/>
  <c r="N105" i="12" s="1"/>
  <c r="AA92" i="8"/>
  <c r="N107" i="12" s="1"/>
  <c r="AA91" i="8"/>
  <c r="N106" i="12" s="1"/>
  <c r="AA97" i="8"/>
  <c r="AA98" i="8"/>
  <c r="AA100" i="8"/>
  <c r="N108" i="12" s="1"/>
  <c r="AA94" i="8"/>
  <c r="AA95" i="8"/>
  <c r="AA96" i="8"/>
  <c r="AA99" i="8"/>
  <c r="AA93" i="8"/>
  <c r="AD90" i="8"/>
  <c r="Q105" i="12" s="1"/>
  <c r="AD93" i="8"/>
  <c r="AD92" i="8"/>
  <c r="Q107" i="12" s="1"/>
  <c r="AD99" i="8"/>
  <c r="AD100" i="8"/>
  <c r="Q108" i="12" s="1"/>
  <c r="AD94" i="8"/>
  <c r="AD96" i="8"/>
  <c r="AD97" i="8"/>
  <c r="AD98" i="8"/>
  <c r="AD91" i="8"/>
  <c r="Q106" i="12" s="1"/>
  <c r="AD95" i="8"/>
  <c r="V90" i="8"/>
  <c r="I105" i="12" s="1"/>
  <c r="V97" i="8"/>
  <c r="V98" i="8"/>
  <c r="V99" i="8"/>
  <c r="V100" i="8"/>
  <c r="I108" i="12" s="1"/>
  <c r="V95" i="8"/>
  <c r="V94" i="8"/>
  <c r="V93" i="8"/>
  <c r="V92" i="8"/>
  <c r="I107" i="12" s="1"/>
  <c r="V91" i="8"/>
  <c r="I106" i="12" s="1"/>
  <c r="V96" i="8"/>
  <c r="Y90" i="8"/>
  <c r="L105" i="12" s="1"/>
  <c r="Y91" i="8"/>
  <c r="L106" i="12" s="1"/>
  <c r="Y93" i="8"/>
  <c r="Y94" i="8"/>
  <c r="Y96" i="8"/>
  <c r="Y98" i="8"/>
  <c r="Y97" i="8"/>
  <c r="Y99" i="8"/>
  <c r="Y100" i="8"/>
  <c r="L108" i="12" s="1"/>
  <c r="Y92" i="8"/>
  <c r="L107" i="12" s="1"/>
  <c r="Y95" i="8"/>
  <c r="X103" i="8" a="1"/>
  <c r="AD103" i="8" a="1"/>
  <c r="W103" i="8" a="1"/>
  <c r="X80" i="8"/>
  <c r="X77" i="8"/>
  <c r="K84" i="12" s="1"/>
  <c r="X81" i="8"/>
  <c r="X84" i="8"/>
  <c r="X87" i="8"/>
  <c r="K87" i="12" s="1"/>
  <c r="X78" i="8"/>
  <c r="K85" i="12" s="1"/>
  <c r="X79" i="8"/>
  <c r="K86" i="12" s="1"/>
  <c r="X82" i="8"/>
  <c r="X83" i="8"/>
  <c r="X85" i="8"/>
  <c r="X86" i="8"/>
  <c r="AB77" i="8"/>
  <c r="O84" i="12" s="1"/>
  <c r="AB82" i="8"/>
  <c r="AB81" i="8"/>
  <c r="AB83" i="8"/>
  <c r="AB86" i="8"/>
  <c r="AB78" i="8"/>
  <c r="O85" i="12" s="1"/>
  <c r="AB80" i="8"/>
  <c r="AB87" i="8"/>
  <c r="O87" i="12" s="1"/>
  <c r="AB85" i="8"/>
  <c r="AB84" i="8"/>
  <c r="AB79" i="8"/>
  <c r="O86" i="12" s="1"/>
  <c r="W77" i="8"/>
  <c r="J84" i="12" s="1"/>
  <c r="W83" i="8"/>
  <c r="W84" i="8"/>
  <c r="W86" i="8"/>
  <c r="W87" i="8"/>
  <c r="J87" i="12" s="1"/>
  <c r="W81" i="8"/>
  <c r="W82" i="8"/>
  <c r="W85" i="8"/>
  <c r="W80" i="8"/>
  <c r="W79" i="8"/>
  <c r="J86" i="12" s="1"/>
  <c r="W78" i="8"/>
  <c r="J85" i="12" s="1"/>
  <c r="J108" i="12"/>
  <c r="H131" i="12"/>
  <c r="P65" i="12"/>
  <c r="J65" i="12"/>
  <c r="L65" i="12"/>
  <c r="O65" i="12"/>
  <c r="N65" i="12"/>
  <c r="M65" i="12"/>
  <c r="K65" i="12"/>
  <c r="Q65" i="12"/>
  <c r="P95" i="8"/>
  <c r="P94" i="8"/>
  <c r="J180" i="8" l="1"/>
  <c r="I71" i="12" s="1"/>
  <c r="I15" i="12" s="1"/>
  <c r="D195" i="8"/>
  <c r="K195" i="8" s="1"/>
  <c r="I158" i="8"/>
  <c r="P186" i="8" s="1"/>
  <c r="O134" i="12" s="1"/>
  <c r="O39" i="12" s="1"/>
  <c r="E158" i="8"/>
  <c r="L186" i="8" s="1"/>
  <c r="K134" i="12" s="1"/>
  <c r="K39" i="12" s="1"/>
  <c r="K158" i="8"/>
  <c r="R186" i="8" s="1"/>
  <c r="Q134" i="12" s="1"/>
  <c r="Q39" i="12" s="1"/>
  <c r="F158" i="8"/>
  <c r="M186" i="8" s="1"/>
  <c r="L134" i="12" s="1"/>
  <c r="L39" i="12" s="1"/>
  <c r="G158" i="8"/>
  <c r="N186" i="8" s="1"/>
  <c r="M134" i="12" s="1"/>
  <c r="M39" i="12" s="1"/>
  <c r="H158" i="8"/>
  <c r="O186" i="8" s="1"/>
  <c r="N134" i="12" s="1"/>
  <c r="N39" i="12" s="1"/>
  <c r="D158" i="8"/>
  <c r="K186" i="8" s="1"/>
  <c r="J134" i="12" s="1"/>
  <c r="J39" i="12" s="1"/>
  <c r="J158" i="8"/>
  <c r="Q186" i="8" s="1"/>
  <c r="P134" i="12" s="1"/>
  <c r="P39" i="12" s="1"/>
  <c r="J186" i="8"/>
  <c r="I134" i="12" s="1"/>
  <c r="C159" i="8"/>
  <c r="C160" i="8" s="1"/>
  <c r="K159" i="8"/>
  <c r="R188" i="8" s="1"/>
  <c r="Q155" i="12" s="1"/>
  <c r="Q47" i="12" s="1"/>
  <c r="J159" i="8"/>
  <c r="Q188" i="8" s="1"/>
  <c r="P155" i="12" s="1"/>
  <c r="P47" i="12" s="1"/>
  <c r="G159" i="8"/>
  <c r="N188" i="8" s="1"/>
  <c r="M155" i="12" s="1"/>
  <c r="M47" i="12" s="1"/>
  <c r="H159" i="8"/>
  <c r="F159" i="8"/>
  <c r="M188" i="8" s="1"/>
  <c r="L155" i="12" s="1"/>
  <c r="L47" i="12" s="1"/>
  <c r="I159" i="8"/>
  <c r="P188" i="8" s="1"/>
  <c r="O155" i="12" s="1"/>
  <c r="O47" i="12" s="1"/>
  <c r="E159" i="8"/>
  <c r="L188" i="8" s="1"/>
  <c r="K155" i="12" s="1"/>
  <c r="K47" i="12" s="1"/>
  <c r="D159" i="8"/>
  <c r="J198" i="8"/>
  <c r="I136" i="12" s="1"/>
  <c r="P196" i="8"/>
  <c r="J196" i="8"/>
  <c r="K196" i="8"/>
  <c r="L196" i="8"/>
  <c r="O196" i="8"/>
  <c r="Q196" i="8"/>
  <c r="N196" i="8"/>
  <c r="M196" i="8"/>
  <c r="R196" i="8"/>
  <c r="R182" i="8"/>
  <c r="Q92" i="12" s="1"/>
  <c r="R184" i="8"/>
  <c r="Q113" i="12" s="1"/>
  <c r="P195" i="8"/>
  <c r="R195" i="8"/>
  <c r="Q195" i="8"/>
  <c r="D197" i="8"/>
  <c r="J182" i="8"/>
  <c r="I92" i="12" s="1"/>
  <c r="J184" i="8"/>
  <c r="I113" i="12" s="1"/>
  <c r="I31" i="12" s="1"/>
  <c r="L184" i="8"/>
  <c r="K113" i="12" s="1"/>
  <c r="L182" i="8"/>
  <c r="K92" i="12" s="1"/>
  <c r="O184" i="8"/>
  <c r="N113" i="12" s="1"/>
  <c r="O182" i="8"/>
  <c r="N92" i="12" s="1"/>
  <c r="P184" i="8"/>
  <c r="O113" i="12" s="1"/>
  <c r="P182" i="8"/>
  <c r="O92" i="12" s="1"/>
  <c r="N184" i="8"/>
  <c r="M113" i="12" s="1"/>
  <c r="N182" i="8"/>
  <c r="M92" i="12" s="1"/>
  <c r="Q184" i="8"/>
  <c r="P113" i="12" s="1"/>
  <c r="Q182" i="8"/>
  <c r="P92" i="12" s="1"/>
  <c r="K182" i="8"/>
  <c r="J92" i="12" s="1"/>
  <c r="K184" i="8"/>
  <c r="J113" i="12" s="1"/>
  <c r="J31" i="12" s="1"/>
  <c r="M182" i="8"/>
  <c r="L92" i="12" s="1"/>
  <c r="M184" i="8"/>
  <c r="L113" i="12" s="1"/>
  <c r="AA110" i="8"/>
  <c r="AA105" i="8"/>
  <c r="N128" i="12" s="1"/>
  <c r="AA111" i="8"/>
  <c r="AA107" i="8"/>
  <c r="AA113" i="8"/>
  <c r="N129" i="12" s="1"/>
  <c r="AA112" i="8"/>
  <c r="AA109" i="8"/>
  <c r="AA103" i="8"/>
  <c r="N126" i="12" s="1"/>
  <c r="AA104" i="8"/>
  <c r="N127" i="12" s="1"/>
  <c r="AA106" i="8"/>
  <c r="W103" i="8"/>
  <c r="J126" i="12" s="1"/>
  <c r="W106" i="8"/>
  <c r="W113" i="8"/>
  <c r="J129" i="12" s="1"/>
  <c r="W107" i="8"/>
  <c r="W110" i="8"/>
  <c r="W112" i="8"/>
  <c r="W109" i="8"/>
  <c r="W111" i="8"/>
  <c r="W105" i="8"/>
  <c r="J128" i="12" s="1"/>
  <c r="W104" i="8"/>
  <c r="J127" i="12" s="1"/>
  <c r="W108" i="8"/>
  <c r="AC103" i="8"/>
  <c r="P126" i="12" s="1"/>
  <c r="AC105" i="8"/>
  <c r="P128" i="12" s="1"/>
  <c r="AC106" i="8"/>
  <c r="AC111" i="8"/>
  <c r="AC112" i="8"/>
  <c r="AC113" i="8"/>
  <c r="P129" i="12" s="1"/>
  <c r="AC108" i="8"/>
  <c r="AC109" i="8"/>
  <c r="AC110" i="8"/>
  <c r="AC107" i="8"/>
  <c r="AC104" i="8"/>
  <c r="P127" i="12" s="1"/>
  <c r="W116" i="8" a="1"/>
  <c r="AC116" i="8" a="1"/>
  <c r="AB116" i="8" a="1"/>
  <c r="X116" i="8" a="1"/>
  <c r="V116" i="8" a="1"/>
  <c r="Y116" i="8" a="1"/>
  <c r="AA116" i="8" a="1"/>
  <c r="Z116" i="8" a="1"/>
  <c r="AD116" i="8" a="1"/>
  <c r="AD103" i="8"/>
  <c r="Q126" i="12" s="1"/>
  <c r="AD108" i="8"/>
  <c r="AD109" i="8"/>
  <c r="AD110" i="8"/>
  <c r="AD112" i="8"/>
  <c r="AD113" i="8"/>
  <c r="Q129" i="12" s="1"/>
  <c r="AD105" i="8"/>
  <c r="Q128" i="12" s="1"/>
  <c r="AD106" i="8"/>
  <c r="AD107" i="8"/>
  <c r="AD104" i="8"/>
  <c r="Q127" i="12" s="1"/>
  <c r="AD111" i="8"/>
  <c r="AB103" i="8"/>
  <c r="O126" i="12" s="1"/>
  <c r="AB111" i="8"/>
  <c r="AB112" i="8"/>
  <c r="AB113" i="8"/>
  <c r="O129" i="12" s="1"/>
  <c r="AB106" i="8"/>
  <c r="AB105" i="8"/>
  <c r="O128" i="12" s="1"/>
  <c r="AB107" i="8"/>
  <c r="AB109" i="8"/>
  <c r="AB110" i="8"/>
  <c r="AB104" i="8"/>
  <c r="O127" i="12" s="1"/>
  <c r="AB108" i="8"/>
  <c r="Y103" i="8"/>
  <c r="L126" i="12" s="1"/>
  <c r="Y107" i="8"/>
  <c r="Y108" i="8"/>
  <c r="Y109" i="8"/>
  <c r="Y110" i="8"/>
  <c r="Y111" i="8"/>
  <c r="Y112" i="8"/>
  <c r="Y113" i="8"/>
  <c r="L129" i="12" s="1"/>
  <c r="Y106" i="8"/>
  <c r="Y105" i="8"/>
  <c r="L128" i="12" s="1"/>
  <c r="Y104" i="8"/>
  <c r="L127" i="12" s="1"/>
  <c r="V106" i="8"/>
  <c r="V109" i="8"/>
  <c r="V112" i="8"/>
  <c r="V113" i="8"/>
  <c r="I129" i="12" s="1"/>
  <c r="V107" i="8"/>
  <c r="V108" i="8"/>
  <c r="V110" i="8"/>
  <c r="V111" i="8"/>
  <c r="V103" i="8"/>
  <c r="I126" i="12" s="1"/>
  <c r="V104" i="8"/>
  <c r="I127" i="12" s="1"/>
  <c r="V105" i="8"/>
  <c r="I128" i="12" s="1"/>
  <c r="Z103" i="8"/>
  <c r="M126" i="12" s="1"/>
  <c r="Z108" i="8"/>
  <c r="Z113" i="8"/>
  <c r="M129" i="12" s="1"/>
  <c r="Z105" i="8"/>
  <c r="M128" i="12" s="1"/>
  <c r="Z104" i="8"/>
  <c r="M127" i="12" s="1"/>
  <c r="Z112" i="8"/>
  <c r="Z110" i="8"/>
  <c r="Z109" i="8"/>
  <c r="Z106" i="8"/>
  <c r="Z111" i="8"/>
  <c r="Z107" i="8"/>
  <c r="X103" i="8"/>
  <c r="K126" i="12" s="1"/>
  <c r="X112" i="8"/>
  <c r="X113" i="8"/>
  <c r="K129" i="12" s="1"/>
  <c r="X104" i="8"/>
  <c r="K127" i="12" s="1"/>
  <c r="X105" i="8"/>
  <c r="K128" i="12" s="1"/>
  <c r="X106" i="8"/>
  <c r="X108" i="8"/>
  <c r="X107" i="8"/>
  <c r="X109" i="8"/>
  <c r="X110" i="8"/>
  <c r="X111" i="8"/>
  <c r="H152" i="12"/>
  <c r="L195" i="8" l="1"/>
  <c r="O195" i="8"/>
  <c r="N73" i="12" s="1"/>
  <c r="M198" i="8"/>
  <c r="L136" i="12" s="1"/>
  <c r="L40" i="12" s="1"/>
  <c r="N195" i="8"/>
  <c r="M73" i="12" s="1"/>
  <c r="J195" i="8"/>
  <c r="M195" i="8"/>
  <c r="L73" i="12" s="1"/>
  <c r="R198" i="8"/>
  <c r="Q136" i="12" s="1"/>
  <c r="Q40" i="12" s="1"/>
  <c r="O198" i="8"/>
  <c r="N136" i="12" s="1"/>
  <c r="N40" i="12" s="1"/>
  <c r="N198" i="8"/>
  <c r="M136" i="12" s="1"/>
  <c r="M40" i="12" s="1"/>
  <c r="K160" i="8"/>
  <c r="K198" i="8"/>
  <c r="J136" i="12" s="1"/>
  <c r="J40" i="12" s="1"/>
  <c r="P198" i="8"/>
  <c r="O136" i="12" s="1"/>
  <c r="O40" i="12" s="1"/>
  <c r="Q198" i="8"/>
  <c r="P136" i="12" s="1"/>
  <c r="P40" i="12" s="1"/>
  <c r="L198" i="8"/>
  <c r="K136" i="12" s="1"/>
  <c r="K40" i="12" s="1"/>
  <c r="P189" i="8"/>
  <c r="G160" i="8"/>
  <c r="Q189" i="8"/>
  <c r="F160" i="8"/>
  <c r="J160" i="8"/>
  <c r="O73" i="12"/>
  <c r="R189" i="8"/>
  <c r="I40" i="12"/>
  <c r="N197" i="8"/>
  <c r="M115" i="12" s="1"/>
  <c r="Q197" i="8"/>
  <c r="P115" i="12" s="1"/>
  <c r="P197" i="8"/>
  <c r="O115" i="12" s="1"/>
  <c r="O197" i="8"/>
  <c r="N115" i="12" s="1"/>
  <c r="K197" i="8"/>
  <c r="J115" i="12" s="1"/>
  <c r="J32" i="12" s="1"/>
  <c r="R197" i="8"/>
  <c r="Q115" i="12" s="1"/>
  <c r="L197" i="8"/>
  <c r="K115" i="12" s="1"/>
  <c r="J197" i="8"/>
  <c r="I115" i="12" s="1"/>
  <c r="I32" i="12" s="1"/>
  <c r="M197" i="8"/>
  <c r="L115" i="12" s="1"/>
  <c r="P73" i="12"/>
  <c r="L189" i="8"/>
  <c r="J73" i="12"/>
  <c r="O188" i="8"/>
  <c r="N155" i="12" s="1"/>
  <c r="N47" i="12" s="1"/>
  <c r="H160" i="8"/>
  <c r="K188" i="8"/>
  <c r="D160" i="8"/>
  <c r="K73" i="12"/>
  <c r="Q73" i="12"/>
  <c r="M189" i="8"/>
  <c r="N189" i="8"/>
  <c r="D199" i="8"/>
  <c r="J188" i="8"/>
  <c r="I155" i="12" s="1"/>
  <c r="I47" i="12" s="1"/>
  <c r="I73" i="12"/>
  <c r="I160" i="8"/>
  <c r="E160" i="8"/>
  <c r="I39" i="12"/>
  <c r="H39" i="12" s="1"/>
  <c r="H134" i="12"/>
  <c r="AA116" i="8"/>
  <c r="AA121" i="8"/>
  <c r="AA134" i="8" s="1"/>
  <c r="AA125" i="8"/>
  <c r="AA138" i="8" s="1"/>
  <c r="AA122" i="8"/>
  <c r="AA135" i="8" s="1"/>
  <c r="AA123" i="8"/>
  <c r="AA136" i="8" s="1"/>
  <c r="AA124" i="8"/>
  <c r="AA137" i="8" s="1"/>
  <c r="AA126" i="8"/>
  <c r="AA117" i="8"/>
  <c r="AA118" i="8"/>
  <c r="AA119" i="8"/>
  <c r="AA132" i="8" s="1"/>
  <c r="AA120" i="8"/>
  <c r="AA133" i="8" s="1"/>
  <c r="V116" i="8"/>
  <c r="V129" i="8" s="1"/>
  <c r="V117" i="8"/>
  <c r="V119" i="8"/>
  <c r="V132" i="8" s="1"/>
  <c r="V122" i="8"/>
  <c r="V135" i="8" s="1"/>
  <c r="V123" i="8"/>
  <c r="V136" i="8" s="1"/>
  <c r="V124" i="8"/>
  <c r="V137" i="8" s="1"/>
  <c r="V125" i="8"/>
  <c r="V138" i="8" s="1"/>
  <c r="V120" i="8"/>
  <c r="V133" i="8" s="1"/>
  <c r="V121" i="8"/>
  <c r="V134" i="8" s="1"/>
  <c r="V126" i="8"/>
  <c r="V118" i="8"/>
  <c r="AC116" i="8"/>
  <c r="AC124" i="8"/>
  <c r="AC137" i="8" s="1"/>
  <c r="AC125" i="8"/>
  <c r="AC138" i="8" s="1"/>
  <c r="AC126" i="8"/>
  <c r="AC120" i="8"/>
  <c r="AC133" i="8" s="1"/>
  <c r="AC121" i="8"/>
  <c r="AC134" i="8" s="1"/>
  <c r="AC123" i="8"/>
  <c r="AC136" i="8" s="1"/>
  <c r="AC117" i="8"/>
  <c r="AC118" i="8"/>
  <c r="AC122" i="8"/>
  <c r="AC135" i="8" s="1"/>
  <c r="AC119" i="8"/>
  <c r="AC132" i="8" s="1"/>
  <c r="AD116" i="8"/>
  <c r="AD118" i="8"/>
  <c r="AD121" i="8"/>
  <c r="AD134" i="8" s="1"/>
  <c r="AD124" i="8"/>
  <c r="AD137" i="8" s="1"/>
  <c r="AD122" i="8"/>
  <c r="AD135" i="8" s="1"/>
  <c r="AD123" i="8"/>
  <c r="AD136" i="8" s="1"/>
  <c r="AD125" i="8"/>
  <c r="AD138" i="8" s="1"/>
  <c r="AD126" i="8"/>
  <c r="AD120" i="8"/>
  <c r="AD133" i="8" s="1"/>
  <c r="AD119" i="8"/>
  <c r="AD132" i="8" s="1"/>
  <c r="AD117" i="8"/>
  <c r="Z116" i="8"/>
  <c r="Z119" i="8"/>
  <c r="Z132" i="8" s="1"/>
  <c r="Z117" i="8"/>
  <c r="Z122" i="8"/>
  <c r="Z135" i="8" s="1"/>
  <c r="Z123" i="8"/>
  <c r="Z136" i="8" s="1"/>
  <c r="Z124" i="8"/>
  <c r="Z137" i="8" s="1"/>
  <c r="Z125" i="8"/>
  <c r="Z138" i="8" s="1"/>
  <c r="Z126" i="8"/>
  <c r="Z118" i="8"/>
  <c r="Z120" i="8"/>
  <c r="Z133" i="8" s="1"/>
  <c r="Z121" i="8"/>
  <c r="Z134" i="8" s="1"/>
  <c r="Y116" i="8"/>
  <c r="Y121" i="8"/>
  <c r="Y134" i="8" s="1"/>
  <c r="Y123" i="8"/>
  <c r="Y136" i="8" s="1"/>
  <c r="Y126" i="8"/>
  <c r="Y125" i="8"/>
  <c r="Y138" i="8" s="1"/>
  <c r="Y124" i="8"/>
  <c r="Y137" i="8" s="1"/>
  <c r="Y119" i="8"/>
  <c r="Y132" i="8" s="1"/>
  <c r="Y117" i="8"/>
  <c r="Y120" i="8"/>
  <c r="Y133" i="8" s="1"/>
  <c r="Y118" i="8"/>
  <c r="Y122" i="8"/>
  <c r="Y135" i="8" s="1"/>
  <c r="X116" i="8"/>
  <c r="X122" i="8"/>
  <c r="X135" i="8" s="1"/>
  <c r="X123" i="8"/>
  <c r="X136" i="8" s="1"/>
  <c r="X124" i="8"/>
  <c r="X137" i="8" s="1"/>
  <c r="X118" i="8"/>
  <c r="X119" i="8"/>
  <c r="X132" i="8" s="1"/>
  <c r="X120" i="8"/>
  <c r="X133" i="8" s="1"/>
  <c r="X121" i="8"/>
  <c r="X134" i="8" s="1"/>
  <c r="X125" i="8"/>
  <c r="X138" i="8" s="1"/>
  <c r="X126" i="8"/>
  <c r="X117" i="8"/>
  <c r="AB117" i="8"/>
  <c r="AB116" i="8"/>
  <c r="AB118" i="8"/>
  <c r="AB119" i="8"/>
  <c r="AB132" i="8" s="1"/>
  <c r="AB120" i="8"/>
  <c r="AB133" i="8" s="1"/>
  <c r="AB123" i="8"/>
  <c r="AB136" i="8" s="1"/>
  <c r="AB124" i="8"/>
  <c r="AB137" i="8" s="1"/>
  <c r="AB125" i="8"/>
  <c r="AB138" i="8" s="1"/>
  <c r="AB126" i="8"/>
  <c r="AB121" i="8"/>
  <c r="AB134" i="8" s="1"/>
  <c r="AB122" i="8"/>
  <c r="AB135" i="8" s="1"/>
  <c r="W116" i="8"/>
  <c r="W121" i="8"/>
  <c r="W134" i="8" s="1"/>
  <c r="W124" i="8"/>
  <c r="W137" i="8" s="1"/>
  <c r="W126" i="8"/>
  <c r="W119" i="8"/>
  <c r="W132" i="8" s="1"/>
  <c r="W120" i="8"/>
  <c r="W133" i="8" s="1"/>
  <c r="W122" i="8"/>
  <c r="W135" i="8" s="1"/>
  <c r="W123" i="8"/>
  <c r="W136" i="8" s="1"/>
  <c r="W125" i="8"/>
  <c r="W138" i="8" s="1"/>
  <c r="W118" i="8"/>
  <c r="W117" i="8"/>
  <c r="H129" i="12"/>
  <c r="H128" i="12"/>
  <c r="H127" i="12"/>
  <c r="H126" i="12"/>
  <c r="H40" i="12" l="1"/>
  <c r="H136" i="12"/>
  <c r="O189" i="8"/>
  <c r="Q199" i="8"/>
  <c r="L199" i="8"/>
  <c r="P199" i="8"/>
  <c r="R199" i="8"/>
  <c r="N199" i="8"/>
  <c r="O199" i="8"/>
  <c r="J199" i="8"/>
  <c r="I157" i="12" s="1"/>
  <c r="K199" i="8"/>
  <c r="M199" i="8"/>
  <c r="L157" i="12" s="1"/>
  <c r="L48" i="12" s="1"/>
  <c r="J155" i="12"/>
  <c r="J47" i="12" s="1"/>
  <c r="H47" i="12" s="1"/>
  <c r="K189" i="8"/>
  <c r="J189" i="8"/>
  <c r="V130" i="8"/>
  <c r="I148" i="12"/>
  <c r="V131" i="8"/>
  <c r="I149" i="12"/>
  <c r="AB139" i="8"/>
  <c r="O150" i="12"/>
  <c r="Q149" i="12"/>
  <c r="AD131" i="8"/>
  <c r="AD129" i="8"/>
  <c r="Q147" i="12"/>
  <c r="AD139" i="8"/>
  <c r="Q150" i="12"/>
  <c r="AB131" i="8"/>
  <c r="O149" i="12"/>
  <c r="I147" i="12"/>
  <c r="V139" i="8"/>
  <c r="I150" i="12"/>
  <c r="Y131" i="8"/>
  <c r="L149" i="12"/>
  <c r="Y130" i="8"/>
  <c r="L148" i="12"/>
  <c r="W130" i="8"/>
  <c r="J148" i="12"/>
  <c r="Y139" i="8"/>
  <c r="L150" i="12"/>
  <c r="AA130" i="8"/>
  <c r="N148" i="12"/>
  <c r="W131" i="8"/>
  <c r="J149" i="12"/>
  <c r="W129" i="8"/>
  <c r="J147" i="12"/>
  <c r="Y129" i="8"/>
  <c r="L147" i="12"/>
  <c r="AA131" i="8"/>
  <c r="N149" i="12"/>
  <c r="W139" i="8"/>
  <c r="J150" i="12"/>
  <c r="AC130" i="8"/>
  <c r="P148" i="12"/>
  <c r="AA129" i="8"/>
  <c r="N147" i="12"/>
  <c r="AC129" i="8"/>
  <c r="P147" i="12"/>
  <c r="N150" i="12"/>
  <c r="AA139" i="8"/>
  <c r="AC139" i="8"/>
  <c r="P150" i="12"/>
  <c r="Z131" i="8"/>
  <c r="M149" i="12"/>
  <c r="Z130" i="8"/>
  <c r="M148" i="12"/>
  <c r="Z129" i="8"/>
  <c r="M147" i="12"/>
  <c r="X131" i="8"/>
  <c r="K149" i="12"/>
  <c r="X130" i="8"/>
  <c r="K148" i="12"/>
  <c r="AC131" i="8"/>
  <c r="P149" i="12"/>
  <c r="X129" i="8"/>
  <c r="K147" i="12"/>
  <c r="AB130" i="8"/>
  <c r="O148" i="12"/>
  <c r="X139" i="8"/>
  <c r="K150" i="12"/>
  <c r="Z139" i="8"/>
  <c r="M150" i="12"/>
  <c r="AD130" i="8"/>
  <c r="Q148" i="12"/>
  <c r="AB129" i="8"/>
  <c r="O147" i="12"/>
  <c r="J200" i="8" l="1"/>
  <c r="M200" i="8"/>
  <c r="N157" i="12"/>
  <c r="N48" i="12" s="1"/>
  <c r="O200" i="8"/>
  <c r="Q157" i="12"/>
  <c r="Q48" i="12" s="1"/>
  <c r="R200" i="8"/>
  <c r="O157" i="12"/>
  <c r="O48" i="12" s="1"/>
  <c r="P200" i="8"/>
  <c r="K157" i="12"/>
  <c r="K48" i="12" s="1"/>
  <c r="L200" i="8"/>
  <c r="P157" i="12"/>
  <c r="P48" i="12" s="1"/>
  <c r="Q200" i="8"/>
  <c r="H155" i="12"/>
  <c r="J157" i="12"/>
  <c r="J48" i="12" s="1"/>
  <c r="K200" i="8"/>
  <c r="I48" i="12"/>
  <c r="M157" i="12"/>
  <c r="M48" i="12" s="1"/>
  <c r="N200" i="8"/>
  <c r="H150" i="12"/>
  <c r="H149" i="12"/>
  <c r="H148" i="12"/>
  <c r="H147" i="12"/>
  <c r="H157" i="12" l="1"/>
  <c r="H48" i="12"/>
  <c r="AF194" i="11"/>
  <c r="AE194" i="11"/>
  <c r="AD194" i="11"/>
  <c r="AC194" i="11"/>
  <c r="AB194" i="11"/>
  <c r="AA194" i="11"/>
  <c r="Z194" i="11"/>
  <c r="Y194" i="11"/>
  <c r="X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H194" i="11"/>
  <c r="G194" i="11"/>
  <c r="F194" i="11"/>
  <c r="E194" i="11"/>
  <c r="D194" i="11"/>
  <c r="C194" i="11"/>
  <c r="AF193" i="11"/>
  <c r="AE193" i="11"/>
  <c r="AD193" i="11"/>
  <c r="AC193" i="11"/>
  <c r="AB193" i="11"/>
  <c r="AA193" i="11"/>
  <c r="Z193" i="11"/>
  <c r="Y193" i="11"/>
  <c r="X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H193" i="11"/>
  <c r="G193" i="11"/>
  <c r="F193" i="11"/>
  <c r="E193" i="11"/>
  <c r="D193" i="11"/>
  <c r="C193" i="11"/>
  <c r="AF192" i="11"/>
  <c r="AE192" i="11"/>
  <c r="AD192" i="11"/>
  <c r="AC192" i="11"/>
  <c r="AB192" i="11"/>
  <c r="AA192" i="11"/>
  <c r="Z192" i="11"/>
  <c r="Y192" i="11"/>
  <c r="X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H192" i="11"/>
  <c r="G192" i="11"/>
  <c r="F192" i="11"/>
  <c r="E192" i="11"/>
  <c r="D192" i="11"/>
  <c r="C192" i="11"/>
  <c r="AF191" i="11"/>
  <c r="AE191" i="11"/>
  <c r="AD191" i="11"/>
  <c r="AC191" i="11"/>
  <c r="AB191" i="11"/>
  <c r="AA191" i="11"/>
  <c r="Z191" i="11"/>
  <c r="Y191" i="11"/>
  <c r="X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H191" i="11"/>
  <c r="G191" i="11"/>
  <c r="F191" i="11"/>
  <c r="E191" i="11"/>
  <c r="D191" i="11"/>
  <c r="C191" i="11"/>
  <c r="AF190" i="11"/>
  <c r="AE190" i="11"/>
  <c r="AD190" i="11"/>
  <c r="AC190" i="11"/>
  <c r="AB190" i="11"/>
  <c r="AA190" i="11"/>
  <c r="Z190" i="11"/>
  <c r="Y190" i="11"/>
  <c r="X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H190" i="11"/>
  <c r="G190" i="11"/>
  <c r="F190" i="11"/>
  <c r="E190" i="11"/>
  <c r="D190" i="11"/>
  <c r="C190" i="11"/>
  <c r="AF189" i="11"/>
  <c r="AE189" i="11"/>
  <c r="AD189" i="11"/>
  <c r="AC189" i="11"/>
  <c r="AB189" i="11"/>
  <c r="AA189" i="11"/>
  <c r="Z189" i="11"/>
  <c r="Y189" i="11"/>
  <c r="X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H189" i="11"/>
  <c r="G189" i="11"/>
  <c r="F189" i="11"/>
  <c r="E189" i="11"/>
  <c r="D189" i="11"/>
  <c r="C189" i="11"/>
  <c r="AF188" i="11"/>
  <c r="AE188" i="11"/>
  <c r="AD188" i="11"/>
  <c r="AC188" i="11"/>
  <c r="AB188" i="11"/>
  <c r="AA188" i="11"/>
  <c r="Z188" i="11"/>
  <c r="Y188" i="11"/>
  <c r="X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H188" i="11"/>
  <c r="G188" i="11"/>
  <c r="F188" i="11"/>
  <c r="E188" i="11"/>
  <c r="D188" i="11"/>
  <c r="C188" i="11"/>
  <c r="AF187" i="11"/>
  <c r="AE187" i="11"/>
  <c r="AD187" i="11"/>
  <c r="AC187" i="11"/>
  <c r="AB187" i="11"/>
  <c r="AA187" i="11"/>
  <c r="Z187" i="11"/>
  <c r="Y187" i="11"/>
  <c r="X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H187" i="11"/>
  <c r="G187" i="11"/>
  <c r="F187" i="11"/>
  <c r="E187" i="11"/>
  <c r="D187" i="11"/>
  <c r="C187" i="11"/>
  <c r="AF186" i="11"/>
  <c r="AE186" i="11"/>
  <c r="AD186" i="11"/>
  <c r="AC186" i="11"/>
  <c r="AB186" i="11"/>
  <c r="AA186" i="11"/>
  <c r="Z186" i="11"/>
  <c r="Y186" i="11"/>
  <c r="X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H186" i="11"/>
  <c r="G186" i="11"/>
  <c r="F186" i="11"/>
  <c r="E186" i="11"/>
  <c r="D186" i="11"/>
  <c r="C186" i="11"/>
  <c r="AF185" i="11"/>
  <c r="AE185" i="11"/>
  <c r="AD185" i="11"/>
  <c r="AC185" i="11"/>
  <c r="AB185" i="11"/>
  <c r="AA185" i="11"/>
  <c r="Z185" i="11"/>
  <c r="Y185" i="11"/>
  <c r="X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H185" i="11"/>
  <c r="G185" i="11"/>
  <c r="F185" i="11"/>
  <c r="E185" i="11"/>
  <c r="D185" i="11"/>
  <c r="C185" i="11"/>
  <c r="AF184" i="11"/>
  <c r="AE184" i="11"/>
  <c r="AD184" i="11"/>
  <c r="AC184" i="11"/>
  <c r="AB184" i="11"/>
  <c r="AA184" i="11"/>
  <c r="Z184" i="11"/>
  <c r="Y184" i="11"/>
  <c r="X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H184" i="11"/>
  <c r="G184" i="11"/>
  <c r="F184" i="11"/>
  <c r="E184" i="11"/>
  <c r="D184" i="11"/>
  <c r="C184" i="11"/>
  <c r="AF183" i="11"/>
  <c r="AE183" i="11"/>
  <c r="AD183" i="11"/>
  <c r="AC183" i="11"/>
  <c r="AB183" i="11"/>
  <c r="AA183" i="11"/>
  <c r="Z183" i="11"/>
  <c r="Y183" i="11"/>
  <c r="X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H183" i="11"/>
  <c r="G183" i="11"/>
  <c r="F183" i="11"/>
  <c r="E183" i="11"/>
  <c r="D183" i="11"/>
  <c r="C183" i="11"/>
  <c r="AF182" i="11"/>
  <c r="AE182" i="11"/>
  <c r="AD182" i="11"/>
  <c r="AC182" i="11"/>
  <c r="AB182" i="11"/>
  <c r="AA182" i="11"/>
  <c r="Z182" i="11"/>
  <c r="Y182" i="11"/>
  <c r="X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H182" i="11"/>
  <c r="G182" i="11"/>
  <c r="F182" i="11"/>
  <c r="E182" i="11"/>
  <c r="D182" i="11"/>
  <c r="C182" i="11"/>
  <c r="AF181" i="11"/>
  <c r="AE181" i="11"/>
  <c r="AD181" i="11"/>
  <c r="AC181" i="11"/>
  <c r="AB181" i="11"/>
  <c r="AA181" i="11"/>
  <c r="Z181" i="11"/>
  <c r="Y181" i="11"/>
  <c r="X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H181" i="11"/>
  <c r="G181" i="11"/>
  <c r="F181" i="11"/>
  <c r="E181" i="11"/>
  <c r="D181" i="11"/>
  <c r="C181" i="11"/>
  <c r="AF180" i="11"/>
  <c r="AE180" i="11"/>
  <c r="AD180" i="11"/>
  <c r="AC180" i="11"/>
  <c r="AB180" i="11"/>
  <c r="AA180" i="11"/>
  <c r="Z180" i="11"/>
  <c r="Y180" i="11"/>
  <c r="X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H180" i="11"/>
  <c r="G180" i="11"/>
  <c r="F180" i="11"/>
  <c r="E180" i="11"/>
  <c r="D180" i="11"/>
  <c r="C180" i="11"/>
  <c r="AF179" i="11"/>
  <c r="AE179" i="11"/>
  <c r="AD179" i="11"/>
  <c r="AC179" i="11"/>
  <c r="AB179" i="11"/>
  <c r="AA179" i="11"/>
  <c r="Z179" i="11"/>
  <c r="Y179" i="11"/>
  <c r="X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H179" i="11"/>
  <c r="G179" i="11"/>
  <c r="F179" i="11"/>
  <c r="E179" i="11"/>
  <c r="D179" i="11"/>
  <c r="C179" i="11"/>
  <c r="AF178" i="11"/>
  <c r="AE178" i="11"/>
  <c r="AD178" i="11"/>
  <c r="AC178" i="11"/>
  <c r="AB178" i="11"/>
  <c r="AA178" i="11"/>
  <c r="Z178" i="11"/>
  <c r="Y178" i="11"/>
  <c r="X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H178" i="11"/>
  <c r="G178" i="11"/>
  <c r="F178" i="11"/>
  <c r="E178" i="11"/>
  <c r="D178" i="11"/>
  <c r="C178" i="11"/>
  <c r="AF177" i="11"/>
  <c r="AE177" i="11"/>
  <c r="AD177" i="11"/>
  <c r="AC177" i="11"/>
  <c r="AB177" i="11"/>
  <c r="AA177" i="11"/>
  <c r="Z177" i="11"/>
  <c r="Y177" i="11"/>
  <c r="X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H177" i="11"/>
  <c r="G177" i="11"/>
  <c r="F177" i="11"/>
  <c r="E177" i="11"/>
  <c r="D177" i="11"/>
  <c r="C177" i="11"/>
  <c r="AF176" i="11"/>
  <c r="AE176" i="11"/>
  <c r="AD176" i="11"/>
  <c r="AC176" i="11"/>
  <c r="AB176" i="11"/>
  <c r="AA176" i="11"/>
  <c r="Z176" i="11"/>
  <c r="Y176" i="11"/>
  <c r="X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H176" i="11"/>
  <c r="G176" i="11"/>
  <c r="F176" i="11"/>
  <c r="E176" i="11"/>
  <c r="D176" i="11"/>
  <c r="C176" i="11"/>
  <c r="AF175" i="11"/>
  <c r="AE175" i="11"/>
  <c r="AD175" i="11"/>
  <c r="AC175" i="11"/>
  <c r="AB175" i="11"/>
  <c r="AA175" i="11"/>
  <c r="Z175" i="11"/>
  <c r="Y175" i="11"/>
  <c r="X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H175" i="11"/>
  <c r="G175" i="11"/>
  <c r="F175" i="11"/>
  <c r="E175" i="11"/>
  <c r="D175" i="11"/>
  <c r="C175" i="11"/>
  <c r="AF174" i="11"/>
  <c r="AE174" i="11"/>
  <c r="AD174" i="11"/>
  <c r="AC174" i="11"/>
  <c r="AB174" i="11"/>
  <c r="AA174" i="11"/>
  <c r="Z174" i="11"/>
  <c r="Y174" i="11"/>
  <c r="X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H174" i="11"/>
  <c r="G174" i="11"/>
  <c r="F174" i="11"/>
  <c r="E174" i="11"/>
  <c r="D174" i="11"/>
  <c r="C174" i="11"/>
  <c r="AF173" i="11"/>
  <c r="AE173" i="11"/>
  <c r="AD173" i="11"/>
  <c r="AC173" i="11"/>
  <c r="AB173" i="11"/>
  <c r="AA173" i="11"/>
  <c r="Z173" i="11"/>
  <c r="Y173" i="11"/>
  <c r="X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H173" i="11"/>
  <c r="G173" i="11"/>
  <c r="F173" i="11"/>
  <c r="E173" i="11"/>
  <c r="D173" i="11"/>
  <c r="C173" i="11"/>
  <c r="AF172" i="11"/>
  <c r="AE172" i="11"/>
  <c r="AD172" i="11"/>
  <c r="AC172" i="11"/>
  <c r="AB172" i="11"/>
  <c r="AA172" i="11"/>
  <c r="Z172" i="11"/>
  <c r="Y172" i="11"/>
  <c r="X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H172" i="11"/>
  <c r="G172" i="11"/>
  <c r="F172" i="11"/>
  <c r="E172" i="11"/>
  <c r="D172" i="11"/>
  <c r="C172" i="11"/>
  <c r="AF171" i="11"/>
  <c r="AE171" i="11"/>
  <c r="AD171" i="11"/>
  <c r="AC171" i="11"/>
  <c r="AB171" i="11"/>
  <c r="AA171" i="11"/>
  <c r="Z171" i="11"/>
  <c r="Y171" i="11"/>
  <c r="X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H171" i="11"/>
  <c r="G171" i="11"/>
  <c r="F171" i="11"/>
  <c r="E171" i="11"/>
  <c r="D171" i="11"/>
  <c r="C171" i="11"/>
  <c r="AF170" i="11"/>
  <c r="AE170" i="11"/>
  <c r="AD170" i="11"/>
  <c r="AC170" i="11"/>
  <c r="AB170" i="11"/>
  <c r="AA170" i="11"/>
  <c r="Z170" i="11"/>
  <c r="Y170" i="11"/>
  <c r="X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H170" i="11"/>
  <c r="G170" i="11"/>
  <c r="F170" i="11"/>
  <c r="E170" i="11"/>
  <c r="D170" i="11"/>
  <c r="C170" i="11"/>
  <c r="AF169" i="11"/>
  <c r="AE169" i="11"/>
  <c r="AD169" i="11"/>
  <c r="AC169" i="11"/>
  <c r="AB169" i="11"/>
  <c r="AA169" i="11"/>
  <c r="Z169" i="11"/>
  <c r="Y169" i="11"/>
  <c r="X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H169" i="11"/>
  <c r="G169" i="11"/>
  <c r="F169" i="11"/>
  <c r="E169" i="11"/>
  <c r="D169" i="11"/>
  <c r="C169" i="11"/>
  <c r="AF168" i="11"/>
  <c r="AE168" i="11"/>
  <c r="AD168" i="11"/>
  <c r="AC168" i="11"/>
  <c r="AB168" i="11"/>
  <c r="AA168" i="11"/>
  <c r="Z168" i="11"/>
  <c r="Y168" i="11"/>
  <c r="X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H168" i="11"/>
  <c r="G168" i="11"/>
  <c r="F168" i="11"/>
  <c r="E168" i="11"/>
  <c r="D168" i="11"/>
  <c r="C168" i="11"/>
  <c r="AF167" i="11"/>
  <c r="AE167" i="11"/>
  <c r="AD167" i="11"/>
  <c r="AC167" i="11"/>
  <c r="AB167" i="11"/>
  <c r="AA167" i="11"/>
  <c r="Z167" i="11"/>
  <c r="Y167" i="11"/>
  <c r="X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H167" i="11"/>
  <c r="G167" i="11"/>
  <c r="F167" i="11"/>
  <c r="E167" i="11"/>
  <c r="D167" i="11"/>
  <c r="C167" i="11"/>
  <c r="AF166" i="11"/>
  <c r="AE166" i="11"/>
  <c r="AD166" i="11"/>
  <c r="AC166" i="11"/>
  <c r="AB166" i="11"/>
  <c r="AA166" i="11"/>
  <c r="Z166" i="11"/>
  <c r="Y166" i="11"/>
  <c r="X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H166" i="11"/>
  <c r="G166" i="11"/>
  <c r="F166" i="11"/>
  <c r="E166" i="11"/>
  <c r="D166" i="11"/>
  <c r="C166" i="11"/>
  <c r="AF165" i="11"/>
  <c r="AE165" i="11"/>
  <c r="AD165" i="11"/>
  <c r="AC165" i="11"/>
  <c r="AB165" i="11"/>
  <c r="AA165" i="11"/>
  <c r="Z165" i="11"/>
  <c r="Y165" i="11"/>
  <c r="X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H165" i="11"/>
  <c r="G165" i="11"/>
  <c r="F165" i="11"/>
  <c r="E165" i="11"/>
  <c r="D165" i="11"/>
  <c r="C165" i="11"/>
  <c r="AF164" i="11"/>
  <c r="AE164" i="11"/>
  <c r="AD164" i="11"/>
  <c r="AC164" i="11"/>
  <c r="AB164" i="11"/>
  <c r="AA164" i="11"/>
  <c r="Z164" i="11"/>
  <c r="Y164" i="11"/>
  <c r="X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H164" i="11"/>
  <c r="G164" i="11"/>
  <c r="F164" i="11"/>
  <c r="E164" i="11"/>
  <c r="D164" i="11"/>
  <c r="C164" i="11"/>
  <c r="AF163" i="11"/>
  <c r="AE163" i="11"/>
  <c r="AD163" i="11"/>
  <c r="AC163" i="11"/>
  <c r="AB163" i="11"/>
  <c r="AA163" i="11"/>
  <c r="Z163" i="11"/>
  <c r="Y163" i="11"/>
  <c r="X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H163" i="11"/>
  <c r="G163" i="11"/>
  <c r="F163" i="11"/>
  <c r="E163" i="11"/>
  <c r="D163" i="11"/>
  <c r="C163" i="11"/>
  <c r="AF162" i="11"/>
  <c r="AE162" i="11"/>
  <c r="AD162" i="11"/>
  <c r="AC162" i="11"/>
  <c r="AB162" i="11"/>
  <c r="AA162" i="11"/>
  <c r="Z162" i="11"/>
  <c r="Y162" i="11"/>
  <c r="X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H162" i="11"/>
  <c r="G162" i="11"/>
  <c r="F162" i="11"/>
  <c r="E162" i="11"/>
  <c r="D162" i="11"/>
  <c r="C162" i="11"/>
  <c r="AF161" i="11"/>
  <c r="AE161" i="11"/>
  <c r="AD161" i="11"/>
  <c r="AC161" i="11"/>
  <c r="AB161" i="11"/>
  <c r="AA161" i="11"/>
  <c r="Z161" i="11"/>
  <c r="Y161" i="11"/>
  <c r="X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H161" i="11"/>
  <c r="G161" i="11"/>
  <c r="F161" i="11"/>
  <c r="E161" i="11"/>
  <c r="D161" i="11"/>
  <c r="C161" i="11"/>
  <c r="AF160" i="11"/>
  <c r="AE160" i="11"/>
  <c r="AD160" i="11"/>
  <c r="AC160" i="11"/>
  <c r="AB160" i="11"/>
  <c r="AA160" i="11"/>
  <c r="Z160" i="11"/>
  <c r="Y160" i="11"/>
  <c r="X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H160" i="11"/>
  <c r="G160" i="11"/>
  <c r="F160" i="11"/>
  <c r="E160" i="11"/>
  <c r="D160" i="11"/>
  <c r="C160" i="11"/>
  <c r="AF159" i="11"/>
  <c r="AE159" i="11"/>
  <c r="AD159" i="11"/>
  <c r="AC159" i="11"/>
  <c r="AB159" i="11"/>
  <c r="AA159" i="11"/>
  <c r="Z159" i="11"/>
  <c r="Y159" i="11"/>
  <c r="X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H159" i="11"/>
  <c r="G159" i="11"/>
  <c r="F159" i="11"/>
  <c r="E159" i="11"/>
  <c r="D159" i="11"/>
  <c r="C159" i="11"/>
  <c r="AF158" i="11"/>
  <c r="AE158" i="11"/>
  <c r="AD158" i="11"/>
  <c r="AC158" i="11"/>
  <c r="AB158" i="11"/>
  <c r="AA158" i="11"/>
  <c r="Z158" i="11"/>
  <c r="Y158" i="11"/>
  <c r="X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H158" i="11"/>
  <c r="G158" i="11"/>
  <c r="F158" i="11"/>
  <c r="E158" i="11"/>
  <c r="D158" i="11"/>
  <c r="C158" i="11"/>
  <c r="AF157" i="11"/>
  <c r="AE157" i="11"/>
  <c r="AD157" i="11"/>
  <c r="AC157" i="11"/>
  <c r="AB157" i="11"/>
  <c r="AA157" i="11"/>
  <c r="Z157" i="11"/>
  <c r="Y157" i="11"/>
  <c r="X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H157" i="11"/>
  <c r="G157" i="11"/>
  <c r="F157" i="11"/>
  <c r="E157" i="11"/>
  <c r="D157" i="11"/>
  <c r="C157" i="11"/>
  <c r="AF156" i="11"/>
  <c r="AE156" i="11"/>
  <c r="AD156" i="11"/>
  <c r="AC156" i="11"/>
  <c r="AB156" i="11"/>
  <c r="AA156" i="11"/>
  <c r="Z156" i="11"/>
  <c r="Y156" i="11"/>
  <c r="X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H156" i="11"/>
  <c r="G156" i="11"/>
  <c r="F156" i="11"/>
  <c r="E156" i="11"/>
  <c r="D156" i="11"/>
  <c r="C156" i="11"/>
  <c r="AF155" i="11"/>
  <c r="AE155" i="11"/>
  <c r="AD155" i="11"/>
  <c r="AC155" i="11"/>
  <c r="AB155" i="11"/>
  <c r="AA155" i="11"/>
  <c r="Z155" i="11"/>
  <c r="Y155" i="11"/>
  <c r="X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H155" i="11"/>
  <c r="G155" i="11"/>
  <c r="F155" i="11"/>
  <c r="E155" i="11"/>
  <c r="D155" i="11"/>
  <c r="C155" i="11"/>
  <c r="AF154" i="11"/>
  <c r="AE154" i="11"/>
  <c r="AD154" i="11"/>
  <c r="AC154" i="11"/>
  <c r="AB154" i="11"/>
  <c r="AA154" i="11"/>
  <c r="Z154" i="11"/>
  <c r="Y154" i="11"/>
  <c r="X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H154" i="11"/>
  <c r="G154" i="11"/>
  <c r="F154" i="11"/>
  <c r="E154" i="11"/>
  <c r="D154" i="11"/>
  <c r="C154" i="11"/>
  <c r="AF153" i="11"/>
  <c r="AE153" i="11"/>
  <c r="AD153" i="11"/>
  <c r="AC153" i="11"/>
  <c r="AB153" i="11"/>
  <c r="AA153" i="11"/>
  <c r="Z153" i="11"/>
  <c r="Y153" i="11"/>
  <c r="X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H153" i="11"/>
  <c r="G153" i="11"/>
  <c r="F153" i="11"/>
  <c r="E153" i="11"/>
  <c r="D153" i="11"/>
  <c r="C153" i="11"/>
  <c r="AF152" i="11"/>
  <c r="AE152" i="11"/>
  <c r="AD152" i="11"/>
  <c r="AC152" i="11"/>
  <c r="AB152" i="11"/>
  <c r="AA152" i="11"/>
  <c r="Z152" i="11"/>
  <c r="Y152" i="11"/>
  <c r="X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H152" i="11"/>
  <c r="G152" i="11"/>
  <c r="F152" i="11"/>
  <c r="E152" i="11"/>
  <c r="D152" i="11"/>
  <c r="C152" i="11"/>
  <c r="AF151" i="11"/>
  <c r="AE151" i="11"/>
  <c r="AD151" i="11"/>
  <c r="AC151" i="11"/>
  <c r="AB151" i="11"/>
  <c r="AA151" i="11"/>
  <c r="Z151" i="11"/>
  <c r="Y151" i="11"/>
  <c r="X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H151" i="11"/>
  <c r="G151" i="11"/>
  <c r="F151" i="11"/>
  <c r="E151" i="11"/>
  <c r="D151" i="11"/>
  <c r="C151" i="11"/>
  <c r="AF150" i="11"/>
  <c r="AE150" i="11"/>
  <c r="AD150" i="11"/>
  <c r="AC150" i="11"/>
  <c r="AB150" i="11"/>
  <c r="AA150" i="11"/>
  <c r="Z150" i="11"/>
  <c r="Y150" i="11"/>
  <c r="X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H150" i="11"/>
  <c r="G150" i="11"/>
  <c r="F150" i="11"/>
  <c r="E150" i="11"/>
  <c r="D150" i="11"/>
  <c r="C150" i="11"/>
  <c r="AF149" i="11"/>
  <c r="AE149" i="11"/>
  <c r="AD149" i="11"/>
  <c r="AC149" i="11"/>
  <c r="AB149" i="11"/>
  <c r="AA149" i="11"/>
  <c r="Z149" i="11"/>
  <c r="Y149" i="11"/>
  <c r="X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H149" i="11"/>
  <c r="G149" i="11"/>
  <c r="F149" i="11"/>
  <c r="E149" i="11"/>
  <c r="D149" i="11"/>
  <c r="C149" i="11"/>
  <c r="AF148" i="11"/>
  <c r="AE148" i="11"/>
  <c r="AD148" i="11"/>
  <c r="AC148" i="11"/>
  <c r="AB148" i="11"/>
  <c r="AA148" i="11"/>
  <c r="Z148" i="11"/>
  <c r="Y148" i="11"/>
  <c r="X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H148" i="11"/>
  <c r="G148" i="11"/>
  <c r="F148" i="11"/>
  <c r="E148" i="11"/>
  <c r="D148" i="11"/>
  <c r="C148" i="11"/>
  <c r="AF147" i="11"/>
  <c r="AE147" i="11"/>
  <c r="AD147" i="11"/>
  <c r="AC147" i="11"/>
  <c r="AB147" i="11"/>
  <c r="AA147" i="11"/>
  <c r="Z147" i="11"/>
  <c r="Y147" i="11"/>
  <c r="X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H147" i="11"/>
  <c r="G147" i="11"/>
  <c r="F147" i="11"/>
  <c r="E147" i="11"/>
  <c r="D147" i="11"/>
  <c r="C147" i="11"/>
  <c r="AF146" i="11"/>
  <c r="AE146" i="11"/>
  <c r="AD146" i="11"/>
  <c r="AC146" i="11"/>
  <c r="AB146" i="11"/>
  <c r="AA146" i="11"/>
  <c r="Z146" i="11"/>
  <c r="Y146" i="11"/>
  <c r="X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H146" i="11"/>
  <c r="G146" i="11"/>
  <c r="F146" i="11"/>
  <c r="E146" i="11"/>
  <c r="D146" i="11"/>
  <c r="C146" i="11"/>
  <c r="AF145" i="11"/>
  <c r="AE145" i="11"/>
  <c r="AD145" i="11"/>
  <c r="AC145" i="11"/>
  <c r="AB145" i="11"/>
  <c r="AA145" i="11"/>
  <c r="Z145" i="11"/>
  <c r="Y145" i="11"/>
  <c r="X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H145" i="11"/>
  <c r="G145" i="11"/>
  <c r="F145" i="11"/>
  <c r="E145" i="11"/>
  <c r="D145" i="11"/>
  <c r="C145" i="11"/>
  <c r="AF144" i="11"/>
  <c r="AE144" i="11"/>
  <c r="AD144" i="11"/>
  <c r="AC144" i="11"/>
  <c r="AB144" i="11"/>
  <c r="AA144" i="11"/>
  <c r="Z144" i="11"/>
  <c r="Y144" i="11"/>
  <c r="X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H144" i="11"/>
  <c r="G144" i="11"/>
  <c r="F144" i="11"/>
  <c r="E144" i="11"/>
  <c r="D144" i="11"/>
  <c r="C144" i="11"/>
  <c r="AF143" i="11"/>
  <c r="AE143" i="11"/>
  <c r="AD143" i="11"/>
  <c r="AC143" i="11"/>
  <c r="AB143" i="11"/>
  <c r="AA143" i="11"/>
  <c r="Z143" i="11"/>
  <c r="Y143" i="11"/>
  <c r="X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H143" i="11"/>
  <c r="G143" i="11"/>
  <c r="F143" i="11"/>
  <c r="E143" i="11"/>
  <c r="D143" i="11"/>
  <c r="C143" i="11"/>
  <c r="AF142" i="11"/>
  <c r="AE142" i="11"/>
  <c r="AD142" i="11"/>
  <c r="AC142" i="11"/>
  <c r="AB142" i="11"/>
  <c r="AA142" i="11"/>
  <c r="Z142" i="11"/>
  <c r="Y142" i="11"/>
  <c r="X142" i="11"/>
  <c r="V142" i="11"/>
  <c r="U142" i="11"/>
  <c r="W142" i="11" s="1"/>
  <c r="T142" i="11"/>
  <c r="S142" i="11"/>
  <c r="R142" i="11"/>
  <c r="Q142" i="11"/>
  <c r="P142" i="11"/>
  <c r="O142" i="11"/>
  <c r="N142" i="11"/>
  <c r="M142" i="11"/>
  <c r="L142" i="11"/>
  <c r="K142" i="11"/>
  <c r="J142" i="11"/>
  <c r="H142" i="11"/>
  <c r="G142" i="11"/>
  <c r="F142" i="11"/>
  <c r="E142" i="11"/>
  <c r="D142" i="11"/>
  <c r="C142" i="11"/>
  <c r="AF141" i="11"/>
  <c r="AE141" i="11"/>
  <c r="AD141" i="11"/>
  <c r="AC141" i="11"/>
  <c r="AB141" i="11"/>
  <c r="AA141" i="11"/>
  <c r="Z141" i="11"/>
  <c r="Y141" i="11"/>
  <c r="X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H141" i="11"/>
  <c r="G141" i="11"/>
  <c r="F141" i="11"/>
  <c r="E141" i="11"/>
  <c r="D141" i="11"/>
  <c r="C141" i="11"/>
  <c r="AF140" i="11"/>
  <c r="AE140" i="11"/>
  <c r="AD140" i="11"/>
  <c r="AC140" i="11"/>
  <c r="AB140" i="11"/>
  <c r="AA140" i="11"/>
  <c r="Z140" i="11"/>
  <c r="Y140" i="11"/>
  <c r="X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H140" i="11"/>
  <c r="G140" i="11"/>
  <c r="F140" i="11"/>
  <c r="E140" i="11"/>
  <c r="D140" i="11"/>
  <c r="C140" i="11"/>
  <c r="AF139" i="11"/>
  <c r="AE139" i="11"/>
  <c r="AD139" i="11"/>
  <c r="AC139" i="11"/>
  <c r="AB139" i="11"/>
  <c r="AA139" i="11"/>
  <c r="Z139" i="11"/>
  <c r="Y139" i="11"/>
  <c r="X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H139" i="11"/>
  <c r="G139" i="11"/>
  <c r="F139" i="11"/>
  <c r="E139" i="11"/>
  <c r="D139" i="11"/>
  <c r="C139" i="11"/>
  <c r="AF138" i="11"/>
  <c r="AE138" i="11"/>
  <c r="AD138" i="11"/>
  <c r="AC138" i="11"/>
  <c r="AB138" i="11"/>
  <c r="AA138" i="11"/>
  <c r="Z138" i="11"/>
  <c r="Y138" i="11"/>
  <c r="X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H138" i="11"/>
  <c r="G138" i="11"/>
  <c r="F138" i="11"/>
  <c r="E138" i="11"/>
  <c r="D138" i="11"/>
  <c r="C138" i="11"/>
  <c r="AF137" i="11"/>
  <c r="AE137" i="11"/>
  <c r="AD137" i="11"/>
  <c r="AC137" i="11"/>
  <c r="AB137" i="11"/>
  <c r="AA137" i="11"/>
  <c r="Z137" i="11"/>
  <c r="Y137" i="11"/>
  <c r="X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H137" i="11"/>
  <c r="G137" i="11"/>
  <c r="F137" i="11"/>
  <c r="E137" i="11"/>
  <c r="D137" i="11"/>
  <c r="C137" i="11"/>
  <c r="AF136" i="11"/>
  <c r="AE136" i="11"/>
  <c r="AD136" i="11"/>
  <c r="AC136" i="11"/>
  <c r="AB136" i="11"/>
  <c r="AA136" i="11"/>
  <c r="Z136" i="11"/>
  <c r="Y136" i="11"/>
  <c r="X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H136" i="11"/>
  <c r="G136" i="11"/>
  <c r="F136" i="11"/>
  <c r="E136" i="11"/>
  <c r="D136" i="11"/>
  <c r="C136" i="11"/>
  <c r="AF135" i="11"/>
  <c r="AE135" i="11"/>
  <c r="AD135" i="11"/>
  <c r="AC135" i="11"/>
  <c r="AB135" i="11"/>
  <c r="AA135" i="11"/>
  <c r="Z135" i="11"/>
  <c r="Y135" i="11"/>
  <c r="X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H135" i="11"/>
  <c r="G135" i="11"/>
  <c r="F135" i="11"/>
  <c r="E135" i="11"/>
  <c r="D135" i="11"/>
  <c r="C135" i="11"/>
  <c r="AF134" i="11"/>
  <c r="AE134" i="11"/>
  <c r="AD134" i="11"/>
  <c r="AC134" i="11"/>
  <c r="AB134" i="11"/>
  <c r="AA134" i="11"/>
  <c r="Z134" i="11"/>
  <c r="Y134" i="11"/>
  <c r="X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H134" i="11"/>
  <c r="G134" i="11"/>
  <c r="F134" i="11"/>
  <c r="E134" i="11"/>
  <c r="D134" i="11"/>
  <c r="C134" i="11"/>
  <c r="AF133" i="11"/>
  <c r="AE133" i="11"/>
  <c r="AD133" i="11"/>
  <c r="AC133" i="11"/>
  <c r="AB133" i="11"/>
  <c r="AA133" i="11"/>
  <c r="Z133" i="11"/>
  <c r="Y133" i="11"/>
  <c r="X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H133" i="11"/>
  <c r="G133" i="11"/>
  <c r="F133" i="11"/>
  <c r="E133" i="11"/>
  <c r="D133" i="11"/>
  <c r="C133" i="11"/>
  <c r="AF132" i="11"/>
  <c r="AE132" i="11"/>
  <c r="AD132" i="11"/>
  <c r="AC132" i="11"/>
  <c r="AB132" i="11"/>
  <c r="AA132" i="11"/>
  <c r="Z132" i="11"/>
  <c r="Y132" i="11"/>
  <c r="X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H132" i="11"/>
  <c r="C132" i="11"/>
  <c r="AF131" i="11"/>
  <c r="AE131" i="11"/>
  <c r="AD131" i="11"/>
  <c r="AC131" i="11"/>
  <c r="AB131" i="11"/>
  <c r="AA131" i="11"/>
  <c r="Z131" i="11"/>
  <c r="Y131" i="11"/>
  <c r="X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H131" i="11"/>
  <c r="C131" i="11"/>
  <c r="AF130" i="11"/>
  <c r="AE130" i="11"/>
  <c r="AD130" i="11"/>
  <c r="AC130" i="11"/>
  <c r="AB130" i="11"/>
  <c r="AA130" i="11"/>
  <c r="Z130" i="11"/>
  <c r="Y130" i="11"/>
  <c r="X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H130" i="11"/>
  <c r="G130" i="11"/>
  <c r="F130" i="11"/>
  <c r="E130" i="11"/>
  <c r="D130" i="11"/>
  <c r="C130" i="11"/>
  <c r="AF129" i="11"/>
  <c r="AE129" i="11"/>
  <c r="AD129" i="11"/>
  <c r="AC129" i="11"/>
  <c r="AB129" i="11"/>
  <c r="AA129" i="11"/>
  <c r="Z129" i="11"/>
  <c r="Y129" i="11"/>
  <c r="X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H129" i="11"/>
  <c r="G129" i="11"/>
  <c r="F129" i="11"/>
  <c r="E129" i="11"/>
  <c r="D129" i="11"/>
  <c r="C129" i="11"/>
  <c r="AF128" i="11"/>
  <c r="AE128" i="11"/>
  <c r="AD128" i="11"/>
  <c r="AC128" i="11"/>
  <c r="AB128" i="11"/>
  <c r="AA128" i="11"/>
  <c r="Z128" i="11"/>
  <c r="Y128" i="11"/>
  <c r="X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H128" i="11"/>
  <c r="G128" i="11"/>
  <c r="F128" i="11"/>
  <c r="E128" i="11"/>
  <c r="D128" i="11"/>
  <c r="AF127" i="11"/>
  <c r="AE127" i="11"/>
  <c r="AD127" i="11"/>
  <c r="AC127" i="11"/>
  <c r="AB127" i="11"/>
  <c r="AA127" i="11"/>
  <c r="Z127" i="11"/>
  <c r="Y127" i="11"/>
  <c r="X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H127" i="11"/>
  <c r="G127" i="11"/>
  <c r="F127" i="11"/>
  <c r="E127" i="11"/>
  <c r="D127" i="11"/>
  <c r="AF126" i="11"/>
  <c r="AE126" i="11"/>
  <c r="AD126" i="11"/>
  <c r="AC126" i="11"/>
  <c r="AB126" i="11"/>
  <c r="AA126" i="11"/>
  <c r="Z126" i="11"/>
  <c r="Y126" i="11"/>
  <c r="X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H126" i="11"/>
  <c r="G126" i="11"/>
  <c r="F126" i="11"/>
  <c r="E126" i="11"/>
  <c r="D126" i="11"/>
  <c r="AF125" i="11"/>
  <c r="AE125" i="11"/>
  <c r="AD125" i="11"/>
  <c r="AC125" i="11"/>
  <c r="AB125" i="11"/>
  <c r="AA125" i="11"/>
  <c r="Z125" i="11"/>
  <c r="Y125" i="11"/>
  <c r="X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H125" i="11"/>
  <c r="G125" i="11"/>
  <c r="F125" i="11"/>
  <c r="E125" i="11"/>
  <c r="D125" i="11"/>
  <c r="AF124" i="11"/>
  <c r="AE124" i="11"/>
  <c r="AD124" i="11"/>
  <c r="AC124" i="11"/>
  <c r="AB124" i="11"/>
  <c r="AA124" i="11"/>
  <c r="Z124" i="11"/>
  <c r="Y124" i="11"/>
  <c r="X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H124" i="11"/>
  <c r="G124" i="11"/>
  <c r="F124" i="11"/>
  <c r="E124" i="11"/>
  <c r="D124" i="11"/>
  <c r="AF123" i="11"/>
  <c r="AE123" i="11"/>
  <c r="AD123" i="11"/>
  <c r="AC123" i="11"/>
  <c r="AB123" i="11"/>
  <c r="AA123" i="11"/>
  <c r="Z123" i="11"/>
  <c r="Y123" i="11"/>
  <c r="X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H123" i="11"/>
  <c r="G123" i="11"/>
  <c r="F123" i="11"/>
  <c r="E123" i="11"/>
  <c r="D123" i="11"/>
  <c r="AF122" i="11"/>
  <c r="AE122" i="11"/>
  <c r="AD122" i="11"/>
  <c r="AC122" i="11"/>
  <c r="AB122" i="11"/>
  <c r="AA122" i="11"/>
  <c r="Z122" i="11"/>
  <c r="Y122" i="11"/>
  <c r="X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H122" i="11"/>
  <c r="G122" i="11"/>
  <c r="F122" i="11"/>
  <c r="E122" i="11"/>
  <c r="D122" i="11"/>
  <c r="AF121" i="11"/>
  <c r="AE121" i="11"/>
  <c r="AD121" i="11"/>
  <c r="AC121" i="11"/>
  <c r="AB121" i="11"/>
  <c r="AA121" i="11"/>
  <c r="Z121" i="11"/>
  <c r="Y121" i="11"/>
  <c r="X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H121" i="11"/>
  <c r="G121" i="11"/>
  <c r="F121" i="11"/>
  <c r="E121" i="11"/>
  <c r="D121" i="11"/>
  <c r="AF120" i="11"/>
  <c r="AE120" i="11"/>
  <c r="AD120" i="11"/>
  <c r="AC120" i="11"/>
  <c r="AB120" i="11"/>
  <c r="AA120" i="11"/>
  <c r="Z120" i="11"/>
  <c r="Y120" i="11"/>
  <c r="X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H120" i="11"/>
  <c r="G120" i="11"/>
  <c r="F120" i="11"/>
  <c r="E120" i="11"/>
  <c r="D120" i="11"/>
  <c r="AF119" i="11"/>
  <c r="AE119" i="11"/>
  <c r="AD119" i="11"/>
  <c r="AC119" i="11"/>
  <c r="AB119" i="11"/>
  <c r="AA119" i="11"/>
  <c r="Z119" i="11"/>
  <c r="Y119" i="11"/>
  <c r="X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H119" i="11"/>
  <c r="G119" i="11"/>
  <c r="F119" i="11"/>
  <c r="E119" i="11"/>
  <c r="D119" i="11"/>
  <c r="AF118" i="11"/>
  <c r="AE118" i="11"/>
  <c r="AD118" i="11"/>
  <c r="AC118" i="11"/>
  <c r="AB118" i="11"/>
  <c r="AA118" i="11"/>
  <c r="Z118" i="11"/>
  <c r="Y118" i="11"/>
  <c r="X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H118" i="11"/>
  <c r="G118" i="11"/>
  <c r="F118" i="11"/>
  <c r="E118" i="11"/>
  <c r="D118" i="11"/>
  <c r="AF117" i="11"/>
  <c r="AE117" i="11"/>
  <c r="AD117" i="11"/>
  <c r="AC117" i="11"/>
  <c r="AB117" i="11"/>
  <c r="AA117" i="11"/>
  <c r="Z117" i="11"/>
  <c r="Y117" i="11"/>
  <c r="X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H117" i="11"/>
  <c r="G117" i="11"/>
  <c r="F117" i="11"/>
  <c r="E117" i="11"/>
  <c r="D117" i="11"/>
  <c r="AF116" i="11"/>
  <c r="AE116" i="11"/>
  <c r="AD116" i="11"/>
  <c r="AC116" i="11"/>
  <c r="AB116" i="11"/>
  <c r="AA116" i="11"/>
  <c r="Z116" i="11"/>
  <c r="Y116" i="11"/>
  <c r="X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H116" i="11"/>
  <c r="G116" i="11"/>
  <c r="F116" i="11"/>
  <c r="E116" i="11"/>
  <c r="D116" i="11"/>
  <c r="AF115" i="11"/>
  <c r="AE115" i="11"/>
  <c r="AD115" i="11"/>
  <c r="AC115" i="11"/>
  <c r="AB115" i="11"/>
  <c r="AA115" i="11"/>
  <c r="Z115" i="11"/>
  <c r="Y115" i="11"/>
  <c r="X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H115" i="11"/>
  <c r="G115" i="11"/>
  <c r="F115" i="11"/>
  <c r="E115" i="11"/>
  <c r="D115" i="11"/>
  <c r="AF114" i="11"/>
  <c r="AE114" i="11"/>
  <c r="AD114" i="11"/>
  <c r="AC114" i="11"/>
  <c r="AB114" i="11"/>
  <c r="AA114" i="11"/>
  <c r="Z114" i="11"/>
  <c r="Y114" i="11"/>
  <c r="X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H114" i="11"/>
  <c r="G114" i="11"/>
  <c r="F114" i="11"/>
  <c r="E114" i="11"/>
  <c r="D114" i="11"/>
  <c r="AF113" i="11"/>
  <c r="AE113" i="11"/>
  <c r="AD113" i="11"/>
  <c r="AC113" i="11"/>
  <c r="AB113" i="11"/>
  <c r="AA113" i="11"/>
  <c r="Z113" i="11"/>
  <c r="Y113" i="11"/>
  <c r="X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H113" i="11"/>
  <c r="G113" i="11"/>
  <c r="F113" i="11"/>
  <c r="E113" i="11"/>
  <c r="D113" i="11"/>
  <c r="AF112" i="11"/>
  <c r="AE112" i="11"/>
  <c r="AD112" i="11"/>
  <c r="AC112" i="11"/>
  <c r="AB112" i="11"/>
  <c r="AA112" i="11"/>
  <c r="Z112" i="11"/>
  <c r="Y112" i="11"/>
  <c r="X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H112" i="11"/>
  <c r="G112" i="11"/>
  <c r="F112" i="11"/>
  <c r="E112" i="11"/>
  <c r="D112" i="11"/>
  <c r="AF111" i="11"/>
  <c r="AE111" i="11"/>
  <c r="AD111" i="11"/>
  <c r="AC111" i="11"/>
  <c r="AB111" i="11"/>
  <c r="AA111" i="11"/>
  <c r="Z111" i="11"/>
  <c r="Y111" i="11"/>
  <c r="X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H111" i="11"/>
  <c r="G111" i="11"/>
  <c r="F111" i="11"/>
  <c r="E111" i="11"/>
  <c r="D111" i="11"/>
  <c r="AF110" i="11"/>
  <c r="AE110" i="11"/>
  <c r="AD110" i="11"/>
  <c r="AC110" i="11"/>
  <c r="AB110" i="11"/>
  <c r="AA110" i="11"/>
  <c r="Z110" i="11"/>
  <c r="Y110" i="11"/>
  <c r="X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H110" i="11"/>
  <c r="G110" i="11"/>
  <c r="F110" i="11"/>
  <c r="E110" i="11"/>
  <c r="D110" i="11"/>
  <c r="AF109" i="11"/>
  <c r="AE109" i="11"/>
  <c r="AD109" i="11"/>
  <c r="AC109" i="11"/>
  <c r="AB109" i="11"/>
  <c r="AA109" i="11"/>
  <c r="Z109" i="11"/>
  <c r="Y109" i="11"/>
  <c r="X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H109" i="11"/>
  <c r="G109" i="11"/>
  <c r="F109" i="11"/>
  <c r="E109" i="11"/>
  <c r="D109" i="11"/>
  <c r="AF108" i="11"/>
  <c r="AE108" i="11"/>
  <c r="AD108" i="11"/>
  <c r="AC108" i="11"/>
  <c r="AB108" i="11"/>
  <c r="AA108" i="11"/>
  <c r="Z108" i="11"/>
  <c r="Y108" i="11"/>
  <c r="X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H108" i="11"/>
  <c r="G108" i="11"/>
  <c r="F108" i="11"/>
  <c r="E108" i="11"/>
  <c r="D108" i="11"/>
  <c r="AF107" i="11"/>
  <c r="AE107" i="11"/>
  <c r="AD107" i="11"/>
  <c r="AC107" i="11"/>
  <c r="AB107" i="11"/>
  <c r="AA107" i="11"/>
  <c r="Z107" i="11"/>
  <c r="Y107" i="11"/>
  <c r="X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H107" i="11"/>
  <c r="G107" i="11"/>
  <c r="F107" i="11"/>
  <c r="E107" i="11"/>
  <c r="D107" i="11"/>
  <c r="AF106" i="11"/>
  <c r="AE106" i="11"/>
  <c r="AD106" i="11"/>
  <c r="AC106" i="11"/>
  <c r="AB106" i="11"/>
  <c r="AA106" i="11"/>
  <c r="Z106" i="11"/>
  <c r="Y106" i="11"/>
  <c r="X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H106" i="11"/>
  <c r="G106" i="11"/>
  <c r="F106" i="11"/>
  <c r="E106" i="11"/>
  <c r="D106" i="11"/>
  <c r="AF105" i="11"/>
  <c r="AE105" i="11"/>
  <c r="AD105" i="11"/>
  <c r="AC105" i="11"/>
  <c r="AB105" i="11"/>
  <c r="AA105" i="11"/>
  <c r="Z105" i="11"/>
  <c r="Y105" i="11"/>
  <c r="X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H105" i="11"/>
  <c r="G105" i="11"/>
  <c r="F105" i="11"/>
  <c r="E105" i="11"/>
  <c r="D105" i="11"/>
  <c r="AF104" i="11"/>
  <c r="AE104" i="11"/>
  <c r="AD104" i="11"/>
  <c r="AC104" i="11"/>
  <c r="AB104" i="11"/>
  <c r="AA104" i="11"/>
  <c r="Z104" i="11"/>
  <c r="Y104" i="11"/>
  <c r="X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H104" i="11"/>
  <c r="G104" i="11"/>
  <c r="F104" i="11"/>
  <c r="E104" i="11"/>
  <c r="D104" i="11"/>
  <c r="AF103" i="11"/>
  <c r="AE103" i="11"/>
  <c r="AD103" i="11"/>
  <c r="AC103" i="11"/>
  <c r="AB103" i="11"/>
  <c r="AA103" i="11"/>
  <c r="Z103" i="11"/>
  <c r="Y103" i="11"/>
  <c r="X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H103" i="11"/>
  <c r="G103" i="11"/>
  <c r="F103" i="11"/>
  <c r="E103" i="11"/>
  <c r="D103" i="11"/>
  <c r="AF102" i="11"/>
  <c r="AE102" i="11"/>
  <c r="AD102" i="11"/>
  <c r="AC102" i="11"/>
  <c r="AB102" i="11"/>
  <c r="AA102" i="11"/>
  <c r="Z102" i="11"/>
  <c r="Y102" i="11"/>
  <c r="X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H102" i="11"/>
  <c r="G102" i="11"/>
  <c r="F102" i="11"/>
  <c r="E102" i="11"/>
  <c r="D102" i="11"/>
  <c r="AF101" i="11"/>
  <c r="AE101" i="11"/>
  <c r="AD101" i="11"/>
  <c r="AC101" i="11"/>
  <c r="AB101" i="11"/>
  <c r="AA101" i="11"/>
  <c r="Z101" i="11"/>
  <c r="Y101" i="11"/>
  <c r="X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H101" i="11"/>
  <c r="G101" i="11"/>
  <c r="F101" i="11"/>
  <c r="E101" i="11"/>
  <c r="D101" i="11"/>
  <c r="AF100" i="11"/>
  <c r="AE100" i="11"/>
  <c r="AD100" i="11"/>
  <c r="AC100" i="11"/>
  <c r="AB100" i="11"/>
  <c r="AA100" i="11"/>
  <c r="Z100" i="11"/>
  <c r="Y100" i="11"/>
  <c r="X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H100" i="11"/>
  <c r="G100" i="11"/>
  <c r="F100" i="11"/>
  <c r="E100" i="11"/>
  <c r="D100" i="11"/>
  <c r="AF99" i="11"/>
  <c r="AE99" i="11"/>
  <c r="AD99" i="11"/>
  <c r="AC99" i="11"/>
  <c r="AB99" i="11"/>
  <c r="AA99" i="11"/>
  <c r="Z99" i="11"/>
  <c r="Y99" i="11"/>
  <c r="X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H99" i="11"/>
  <c r="G99" i="11"/>
  <c r="F99" i="11"/>
  <c r="E99" i="11"/>
  <c r="D99" i="11"/>
  <c r="AF98" i="11"/>
  <c r="AE98" i="11"/>
  <c r="AD98" i="11"/>
  <c r="AC98" i="11"/>
  <c r="AB98" i="11"/>
  <c r="AA98" i="11"/>
  <c r="Z98" i="11"/>
  <c r="Y98" i="11"/>
  <c r="X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H98" i="11"/>
  <c r="G98" i="11"/>
  <c r="F98" i="11"/>
  <c r="E98" i="11"/>
  <c r="D98" i="11"/>
  <c r="AF97" i="11"/>
  <c r="AE97" i="11"/>
  <c r="AD97" i="11"/>
  <c r="AC97" i="11"/>
  <c r="AB97" i="11"/>
  <c r="AA97" i="11"/>
  <c r="Z97" i="11"/>
  <c r="Y97" i="11"/>
  <c r="X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H97" i="11"/>
  <c r="G97" i="11"/>
  <c r="F97" i="11"/>
  <c r="E97" i="11"/>
  <c r="D97" i="11"/>
  <c r="AF96" i="11"/>
  <c r="AE96" i="11"/>
  <c r="AD96" i="11"/>
  <c r="AC96" i="11"/>
  <c r="AB96" i="11"/>
  <c r="AA96" i="11"/>
  <c r="Z96" i="11"/>
  <c r="Y96" i="11"/>
  <c r="X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H96" i="11"/>
  <c r="G96" i="11"/>
  <c r="F96" i="11"/>
  <c r="E96" i="11"/>
  <c r="D96" i="11"/>
  <c r="AF95" i="11"/>
  <c r="AE95" i="11"/>
  <c r="AD95" i="11"/>
  <c r="AC95" i="11"/>
  <c r="AB95" i="11"/>
  <c r="AA95" i="11"/>
  <c r="Z95" i="11"/>
  <c r="Y95" i="11"/>
  <c r="X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H95" i="11"/>
  <c r="G95" i="11"/>
  <c r="F95" i="11"/>
  <c r="E95" i="11"/>
  <c r="D95" i="11"/>
  <c r="AF94" i="11"/>
  <c r="AE94" i="11"/>
  <c r="AD94" i="11"/>
  <c r="AC94" i="11"/>
  <c r="AB94" i="11"/>
  <c r="AA94" i="11"/>
  <c r="Z94" i="11"/>
  <c r="Y94" i="11"/>
  <c r="X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H94" i="11"/>
  <c r="G94" i="11"/>
  <c r="F94" i="11"/>
  <c r="E94" i="11"/>
  <c r="D94" i="11"/>
  <c r="AF93" i="11"/>
  <c r="AE93" i="11"/>
  <c r="AD93" i="11"/>
  <c r="AC93" i="11"/>
  <c r="AB93" i="11"/>
  <c r="AA93" i="11"/>
  <c r="Z93" i="11"/>
  <c r="Y93" i="11"/>
  <c r="X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H93" i="11"/>
  <c r="G93" i="11"/>
  <c r="F93" i="11"/>
  <c r="E93" i="11"/>
  <c r="D93" i="11"/>
  <c r="AF92" i="11"/>
  <c r="AE92" i="11"/>
  <c r="AD92" i="11"/>
  <c r="AC92" i="11"/>
  <c r="AB92" i="11"/>
  <c r="AA92" i="11"/>
  <c r="Z92" i="11"/>
  <c r="Y92" i="11"/>
  <c r="X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H92" i="11"/>
  <c r="G92" i="11"/>
  <c r="F92" i="11"/>
  <c r="E92" i="11"/>
  <c r="D92" i="11"/>
  <c r="AF91" i="11"/>
  <c r="AE91" i="11"/>
  <c r="AD91" i="11"/>
  <c r="AC91" i="11"/>
  <c r="AB91" i="11"/>
  <c r="AA91" i="11"/>
  <c r="Z91" i="11"/>
  <c r="Y91" i="11"/>
  <c r="X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H91" i="11"/>
  <c r="G91" i="11"/>
  <c r="F91" i="11"/>
  <c r="E91" i="11"/>
  <c r="D91" i="11"/>
  <c r="AF90" i="11"/>
  <c r="AE90" i="11"/>
  <c r="AD90" i="11"/>
  <c r="AC90" i="11"/>
  <c r="AB90" i="11"/>
  <c r="AA90" i="11"/>
  <c r="Z90" i="11"/>
  <c r="Y90" i="11"/>
  <c r="X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H90" i="11"/>
  <c r="G90" i="11"/>
  <c r="F90" i="11"/>
  <c r="E90" i="11"/>
  <c r="D90" i="11"/>
  <c r="AF89" i="11"/>
  <c r="AE89" i="11"/>
  <c r="AD89" i="11"/>
  <c r="AC89" i="11"/>
  <c r="AB89" i="11"/>
  <c r="AA89" i="11"/>
  <c r="Z89" i="11"/>
  <c r="Y89" i="11"/>
  <c r="X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H89" i="11"/>
  <c r="G89" i="11"/>
  <c r="F89" i="11"/>
  <c r="E89" i="11"/>
  <c r="D89" i="11"/>
  <c r="AF88" i="11"/>
  <c r="AE88" i="11"/>
  <c r="AD88" i="11"/>
  <c r="AC88" i="11"/>
  <c r="AB88" i="11"/>
  <c r="AA88" i="11"/>
  <c r="Z88" i="11"/>
  <c r="Y88" i="11"/>
  <c r="X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H88" i="11"/>
  <c r="G88" i="11"/>
  <c r="F88" i="11"/>
  <c r="E88" i="11"/>
  <c r="D88" i="11"/>
  <c r="AF87" i="11"/>
  <c r="AE87" i="11"/>
  <c r="AD87" i="11"/>
  <c r="AC87" i="11"/>
  <c r="AB87" i="11"/>
  <c r="AA87" i="11"/>
  <c r="Z87" i="11"/>
  <c r="Y87" i="11"/>
  <c r="X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H87" i="11"/>
  <c r="G87" i="11"/>
  <c r="F87" i="11"/>
  <c r="E87" i="11"/>
  <c r="D87" i="11"/>
  <c r="AF86" i="11"/>
  <c r="AE86" i="11"/>
  <c r="AD86" i="11"/>
  <c r="AC86" i="11"/>
  <c r="AB86" i="11"/>
  <c r="AA86" i="11"/>
  <c r="Z86" i="11"/>
  <c r="Y86" i="11"/>
  <c r="X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H86" i="11"/>
  <c r="G86" i="11"/>
  <c r="F86" i="11"/>
  <c r="E86" i="11"/>
  <c r="D86" i="11"/>
  <c r="AF85" i="11"/>
  <c r="AE85" i="11"/>
  <c r="AD85" i="11"/>
  <c r="AC85" i="11"/>
  <c r="AB85" i="11"/>
  <c r="AA85" i="11"/>
  <c r="Z85" i="11"/>
  <c r="Y85" i="11"/>
  <c r="X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H85" i="11"/>
  <c r="G85" i="11"/>
  <c r="F85" i="11"/>
  <c r="E85" i="11"/>
  <c r="D85" i="11"/>
  <c r="AF84" i="11"/>
  <c r="AE84" i="11"/>
  <c r="AD84" i="11"/>
  <c r="AC84" i="11"/>
  <c r="AB84" i="11"/>
  <c r="AA84" i="11"/>
  <c r="Z84" i="11"/>
  <c r="Y84" i="11"/>
  <c r="X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H84" i="11"/>
  <c r="G84" i="11"/>
  <c r="F84" i="11"/>
  <c r="E84" i="11"/>
  <c r="D84" i="11"/>
  <c r="AF83" i="11"/>
  <c r="AE83" i="11"/>
  <c r="AD83" i="11"/>
  <c r="AC83" i="11"/>
  <c r="AB83" i="11"/>
  <c r="AA83" i="11"/>
  <c r="Z83" i="11"/>
  <c r="Y83" i="11"/>
  <c r="X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H83" i="11"/>
  <c r="G83" i="11"/>
  <c r="F83" i="11"/>
  <c r="E83" i="11"/>
  <c r="D83" i="11"/>
  <c r="AF82" i="11"/>
  <c r="AE82" i="11"/>
  <c r="AD82" i="11"/>
  <c r="AC82" i="11"/>
  <c r="AB82" i="11"/>
  <c r="AA82" i="11"/>
  <c r="Z82" i="11"/>
  <c r="Y82" i="11"/>
  <c r="X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H82" i="11"/>
  <c r="G82" i="11"/>
  <c r="F82" i="11"/>
  <c r="E82" i="11"/>
  <c r="D82" i="11"/>
  <c r="AF81" i="11"/>
  <c r="AE81" i="11"/>
  <c r="AD81" i="11"/>
  <c r="AC81" i="11"/>
  <c r="AB81" i="11"/>
  <c r="AA81" i="11"/>
  <c r="Z81" i="11"/>
  <c r="Y81" i="11"/>
  <c r="X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H81" i="11"/>
  <c r="AF80" i="11"/>
  <c r="AE80" i="11"/>
  <c r="AD80" i="11"/>
  <c r="AC80" i="11"/>
  <c r="AB80" i="11"/>
  <c r="AA80" i="11"/>
  <c r="Z80" i="11"/>
  <c r="Y80" i="11"/>
  <c r="X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H80" i="11"/>
  <c r="AF79" i="11"/>
  <c r="AE79" i="11"/>
  <c r="AD79" i="11"/>
  <c r="AC79" i="11"/>
  <c r="AB79" i="11"/>
  <c r="AA79" i="11"/>
  <c r="Z79" i="11"/>
  <c r="Y79" i="11"/>
  <c r="X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H79" i="11"/>
  <c r="AF78" i="11"/>
  <c r="AE78" i="11"/>
  <c r="AD78" i="11"/>
  <c r="AC78" i="11"/>
  <c r="AB78" i="11"/>
  <c r="AA78" i="11"/>
  <c r="Z78" i="11"/>
  <c r="Y78" i="11"/>
  <c r="X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H78" i="11"/>
  <c r="AF77" i="11"/>
  <c r="AE77" i="11"/>
  <c r="AD77" i="11"/>
  <c r="AC77" i="11"/>
  <c r="AB77" i="11"/>
  <c r="AA77" i="11"/>
  <c r="Z77" i="11"/>
  <c r="Y77" i="11"/>
  <c r="X77" i="11"/>
  <c r="V77" i="11"/>
  <c r="U77" i="11"/>
  <c r="S77" i="11"/>
  <c r="R77" i="11"/>
  <c r="Q77" i="11"/>
  <c r="P77" i="11"/>
  <c r="O77" i="11"/>
  <c r="N77" i="11"/>
  <c r="M77" i="11"/>
  <c r="L77" i="11"/>
  <c r="K77" i="11"/>
  <c r="J77" i="11"/>
  <c r="H77" i="11"/>
  <c r="G77" i="11"/>
  <c r="F77" i="11"/>
  <c r="E77" i="11"/>
  <c r="D77" i="11"/>
  <c r="AF76" i="11"/>
  <c r="AE76" i="11"/>
  <c r="AD76" i="11"/>
  <c r="AC76" i="11"/>
  <c r="AB76" i="11"/>
  <c r="AA76" i="11"/>
  <c r="Z76" i="11"/>
  <c r="Y76" i="11"/>
  <c r="X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H76" i="11"/>
  <c r="G76" i="11"/>
  <c r="F76" i="11"/>
  <c r="E76" i="11"/>
  <c r="D76" i="11"/>
  <c r="AF75" i="11"/>
  <c r="AE75" i="11"/>
  <c r="AD75" i="11"/>
  <c r="AC75" i="11"/>
  <c r="AB75" i="11"/>
  <c r="AA75" i="11"/>
  <c r="Z75" i="11"/>
  <c r="Y75" i="11"/>
  <c r="X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H75" i="11"/>
  <c r="G75" i="11"/>
  <c r="F75" i="11"/>
  <c r="E75" i="11"/>
  <c r="D75" i="11"/>
  <c r="AF74" i="11"/>
  <c r="AE74" i="11"/>
  <c r="AD74" i="11"/>
  <c r="AC74" i="11"/>
  <c r="AB74" i="11"/>
  <c r="AA74" i="11"/>
  <c r="Z74" i="11"/>
  <c r="Y74" i="11"/>
  <c r="X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H74" i="11"/>
  <c r="G74" i="11"/>
  <c r="F74" i="11"/>
  <c r="E74" i="11"/>
  <c r="D74" i="11"/>
  <c r="AF73" i="11"/>
  <c r="AE73" i="11"/>
  <c r="AD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H73" i="11"/>
  <c r="G73" i="11"/>
  <c r="F73" i="11"/>
  <c r="E73" i="11"/>
  <c r="D73" i="11"/>
  <c r="AF72" i="11"/>
  <c r="AE72" i="11"/>
  <c r="AD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H72" i="11"/>
  <c r="G72" i="11"/>
  <c r="F72" i="11"/>
  <c r="E72" i="11"/>
  <c r="D72" i="11"/>
  <c r="AF71" i="11"/>
  <c r="AE71" i="11"/>
  <c r="AD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H71" i="11"/>
  <c r="G71" i="11"/>
  <c r="F71" i="11"/>
  <c r="E71" i="11"/>
  <c r="D71" i="11"/>
  <c r="AF70" i="11"/>
  <c r="AE70" i="11"/>
  <c r="AD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H70" i="11"/>
  <c r="G70" i="11"/>
  <c r="F70" i="11"/>
  <c r="E70" i="11"/>
  <c r="D70" i="11"/>
  <c r="AF69" i="11"/>
  <c r="AE69" i="11"/>
  <c r="AD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H69" i="11"/>
  <c r="G69" i="11"/>
  <c r="F69" i="11"/>
  <c r="E69" i="11"/>
  <c r="D69" i="11"/>
  <c r="AF68" i="11"/>
  <c r="AE68" i="11"/>
  <c r="AD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H68" i="11"/>
  <c r="G68" i="11"/>
  <c r="F68" i="11"/>
  <c r="E68" i="11"/>
  <c r="D68" i="11"/>
  <c r="AF67" i="11"/>
  <c r="AE67" i="11"/>
  <c r="AD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H67" i="11"/>
  <c r="G67" i="11"/>
  <c r="F67" i="11"/>
  <c r="E67" i="11"/>
  <c r="D67" i="11"/>
  <c r="AF66" i="11"/>
  <c r="AE66" i="11"/>
  <c r="AD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H66" i="11"/>
  <c r="G66" i="11"/>
  <c r="F66" i="11"/>
  <c r="E66" i="11"/>
  <c r="D66" i="11"/>
  <c r="AF65" i="11"/>
  <c r="AE65" i="11"/>
  <c r="AD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H65" i="11"/>
  <c r="G65" i="11"/>
  <c r="F65" i="11"/>
  <c r="E65" i="11"/>
  <c r="D65" i="11"/>
  <c r="AF64" i="11"/>
  <c r="AE64" i="11"/>
  <c r="AD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H64" i="11"/>
  <c r="G64" i="11"/>
  <c r="F64" i="11"/>
  <c r="E64" i="11"/>
  <c r="D64" i="11"/>
  <c r="AF63" i="11"/>
  <c r="AE63" i="11"/>
  <c r="AD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H63" i="11"/>
  <c r="G63" i="11"/>
  <c r="F63" i="11"/>
  <c r="E63" i="11"/>
  <c r="D63" i="11"/>
  <c r="AF62" i="11"/>
  <c r="AE62" i="11"/>
  <c r="AD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H62" i="11"/>
  <c r="G62" i="11"/>
  <c r="F62" i="11"/>
  <c r="E62" i="11"/>
  <c r="D62" i="11"/>
  <c r="AF61" i="11"/>
  <c r="AE61" i="11"/>
  <c r="AD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H61" i="11"/>
  <c r="G61" i="11"/>
  <c r="F61" i="11"/>
  <c r="E61" i="11"/>
  <c r="D61" i="11"/>
  <c r="AF60" i="11"/>
  <c r="AE60" i="11"/>
  <c r="AD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H60" i="11"/>
  <c r="G60" i="11"/>
  <c r="F60" i="11"/>
  <c r="E60" i="11"/>
  <c r="D60" i="11"/>
  <c r="AF59" i="11"/>
  <c r="AE59" i="11"/>
  <c r="AD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H59" i="11"/>
  <c r="G59" i="11"/>
  <c r="F59" i="11"/>
  <c r="E59" i="11"/>
  <c r="D59" i="11"/>
  <c r="AF58" i="11"/>
  <c r="AE58" i="11"/>
  <c r="AD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H58" i="11"/>
  <c r="G58" i="11"/>
  <c r="F58" i="11"/>
  <c r="E58" i="11"/>
  <c r="D58" i="11"/>
  <c r="AF57" i="11"/>
  <c r="AE57" i="11"/>
  <c r="AD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H57" i="11"/>
  <c r="G57" i="11"/>
  <c r="F57" i="11"/>
  <c r="E57" i="11"/>
  <c r="D57" i="11"/>
  <c r="AF56" i="11"/>
  <c r="AE56" i="11"/>
  <c r="AD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H56" i="11"/>
  <c r="G56" i="11"/>
  <c r="F56" i="11"/>
  <c r="E56" i="11"/>
  <c r="D56" i="11"/>
  <c r="AF55" i="11"/>
  <c r="AE55" i="11"/>
  <c r="AD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H55" i="11"/>
  <c r="G55" i="11"/>
  <c r="F55" i="11"/>
  <c r="E55" i="11"/>
  <c r="D55" i="11"/>
  <c r="AF54" i="11"/>
  <c r="AE54" i="11"/>
  <c r="AD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H54" i="11"/>
  <c r="G54" i="11"/>
  <c r="F54" i="11"/>
  <c r="E54" i="11"/>
  <c r="D54" i="11"/>
  <c r="AF53" i="11"/>
  <c r="AE53" i="11"/>
  <c r="AD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H53" i="11"/>
  <c r="G53" i="11"/>
  <c r="F53" i="11"/>
  <c r="E53" i="11"/>
  <c r="D53" i="11"/>
  <c r="AF52" i="11"/>
  <c r="AE52" i="11"/>
  <c r="AD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H52" i="11"/>
  <c r="G52" i="11"/>
  <c r="F52" i="11"/>
  <c r="E52" i="11"/>
  <c r="D52" i="11"/>
  <c r="AF51" i="11"/>
  <c r="AE51" i="11"/>
  <c r="AD51" i="11"/>
  <c r="V51" i="11"/>
  <c r="U51" i="11"/>
  <c r="T51" i="11"/>
  <c r="S51" i="11"/>
  <c r="R51" i="11"/>
  <c r="Q51" i="11"/>
  <c r="P51" i="11"/>
  <c r="N51" i="11"/>
  <c r="M51" i="11"/>
  <c r="L51" i="11"/>
  <c r="K51" i="11"/>
  <c r="J51" i="11"/>
  <c r="H51" i="11"/>
  <c r="G51" i="11"/>
  <c r="F51" i="11"/>
  <c r="E51" i="11"/>
  <c r="D51" i="11"/>
  <c r="AF50" i="11"/>
  <c r="AE50" i="11"/>
  <c r="AD50" i="11"/>
  <c r="V50" i="11"/>
  <c r="U50" i="11"/>
  <c r="T50" i="11"/>
  <c r="S50" i="11"/>
  <c r="R50" i="11"/>
  <c r="Q50" i="11"/>
  <c r="P50" i="11"/>
  <c r="N50" i="11"/>
  <c r="M50" i="11"/>
  <c r="L50" i="11"/>
  <c r="K50" i="11"/>
  <c r="J50" i="11"/>
  <c r="H50" i="11"/>
  <c r="G50" i="11"/>
  <c r="F50" i="11"/>
  <c r="E50" i="11"/>
  <c r="D50" i="11"/>
  <c r="AF49" i="11"/>
  <c r="AE49" i="11"/>
  <c r="AD49" i="11"/>
  <c r="V49" i="11"/>
  <c r="U49" i="11"/>
  <c r="T49" i="11"/>
  <c r="S49" i="11"/>
  <c r="R49" i="11"/>
  <c r="Q49" i="11"/>
  <c r="P49" i="11"/>
  <c r="N49" i="11"/>
  <c r="M49" i="11"/>
  <c r="L49" i="11"/>
  <c r="K49" i="11"/>
  <c r="J49" i="11"/>
  <c r="H49" i="11"/>
  <c r="G49" i="11"/>
  <c r="F49" i="11"/>
  <c r="E49" i="11"/>
  <c r="D49" i="11"/>
  <c r="AF48" i="11"/>
  <c r="AE48" i="11"/>
  <c r="AD48" i="11"/>
  <c r="V48" i="11"/>
  <c r="U48" i="11"/>
  <c r="T48" i="11"/>
  <c r="S48" i="11"/>
  <c r="R48" i="11"/>
  <c r="Q48" i="11"/>
  <c r="P48" i="11"/>
  <c r="N48" i="11"/>
  <c r="M48" i="11"/>
  <c r="L48" i="11"/>
  <c r="K48" i="11"/>
  <c r="J48" i="11"/>
  <c r="H48" i="11"/>
  <c r="G48" i="11"/>
  <c r="F48" i="11"/>
  <c r="E48" i="11"/>
  <c r="D48" i="11"/>
  <c r="AF47" i="11"/>
  <c r="AE47" i="11"/>
  <c r="AD47" i="11"/>
  <c r="V47" i="11"/>
  <c r="U47" i="11"/>
  <c r="T47" i="11"/>
  <c r="S47" i="11"/>
  <c r="R47" i="11"/>
  <c r="Q47" i="11"/>
  <c r="P47" i="11"/>
  <c r="N47" i="11"/>
  <c r="M47" i="11"/>
  <c r="L47" i="11"/>
  <c r="K47" i="11"/>
  <c r="J47" i="11"/>
  <c r="H47" i="11"/>
  <c r="G47" i="11"/>
  <c r="F47" i="11"/>
  <c r="E47" i="11"/>
  <c r="D47" i="11"/>
  <c r="AF46" i="11"/>
  <c r="AE46" i="11"/>
  <c r="AD46" i="11"/>
  <c r="V46" i="11"/>
  <c r="U46" i="11"/>
  <c r="T46" i="11"/>
  <c r="S46" i="11"/>
  <c r="R46" i="11"/>
  <c r="Q46" i="11"/>
  <c r="P46" i="11"/>
  <c r="N46" i="11"/>
  <c r="M46" i="11"/>
  <c r="L46" i="11"/>
  <c r="K46" i="11"/>
  <c r="J46" i="11"/>
  <c r="H46" i="11"/>
  <c r="G46" i="11"/>
  <c r="F46" i="11"/>
  <c r="E46" i="11"/>
  <c r="D46" i="11"/>
  <c r="AF45" i="11"/>
  <c r="AE45" i="11"/>
  <c r="AD45" i="11"/>
  <c r="V45" i="11"/>
  <c r="U45" i="11"/>
  <c r="T45" i="11"/>
  <c r="S45" i="11"/>
  <c r="R45" i="11"/>
  <c r="Q45" i="11"/>
  <c r="P45" i="11"/>
  <c r="N45" i="11"/>
  <c r="M45" i="11"/>
  <c r="L45" i="11"/>
  <c r="K45" i="11"/>
  <c r="J45" i="11"/>
  <c r="H45" i="11"/>
  <c r="G45" i="11"/>
  <c r="F45" i="11"/>
  <c r="E45" i="11"/>
  <c r="D45" i="11"/>
  <c r="AF44" i="11"/>
  <c r="AE44" i="11"/>
  <c r="AD44" i="11"/>
  <c r="V44" i="11"/>
  <c r="U44" i="11"/>
  <c r="T44" i="11"/>
  <c r="S44" i="11"/>
  <c r="R44" i="11"/>
  <c r="Q44" i="11"/>
  <c r="P44" i="11"/>
  <c r="N44" i="11"/>
  <c r="M44" i="11"/>
  <c r="L44" i="11"/>
  <c r="K44" i="11"/>
  <c r="J44" i="11"/>
  <c r="H44" i="11"/>
  <c r="G44" i="11"/>
  <c r="F44" i="11"/>
  <c r="E44" i="11"/>
  <c r="D44" i="11"/>
  <c r="AF43" i="11"/>
  <c r="AE43" i="11"/>
  <c r="AD43" i="11"/>
  <c r="V43" i="11"/>
  <c r="U43" i="11"/>
  <c r="T43" i="11"/>
  <c r="S43" i="11"/>
  <c r="R43" i="11"/>
  <c r="Q43" i="11"/>
  <c r="P43" i="11"/>
  <c r="N43" i="11"/>
  <c r="M43" i="11"/>
  <c r="L43" i="11"/>
  <c r="K43" i="11"/>
  <c r="J43" i="11"/>
  <c r="H43" i="11"/>
  <c r="G43" i="11"/>
  <c r="F43" i="11"/>
  <c r="E43" i="11"/>
  <c r="D43" i="11"/>
  <c r="AF42" i="11"/>
  <c r="AE42" i="11"/>
  <c r="AD42" i="11"/>
  <c r="V42" i="11"/>
  <c r="U42" i="11"/>
  <c r="T42" i="11"/>
  <c r="S42" i="11"/>
  <c r="R42" i="11"/>
  <c r="Q42" i="11"/>
  <c r="P42" i="11"/>
  <c r="N42" i="11"/>
  <c r="M42" i="11"/>
  <c r="L42" i="11"/>
  <c r="K42" i="11"/>
  <c r="J42" i="11"/>
  <c r="H42" i="11"/>
  <c r="G42" i="11"/>
  <c r="F42" i="11"/>
  <c r="E42" i="11"/>
  <c r="D42" i="11"/>
  <c r="AF41" i="11"/>
  <c r="AE41" i="11"/>
  <c r="AD41" i="11"/>
  <c r="V41" i="11"/>
  <c r="U41" i="11"/>
  <c r="T41" i="11"/>
  <c r="S41" i="11"/>
  <c r="R41" i="11"/>
  <c r="Q41" i="11"/>
  <c r="P41" i="11"/>
  <c r="N41" i="11"/>
  <c r="M41" i="11"/>
  <c r="L41" i="11"/>
  <c r="K41" i="11"/>
  <c r="J41" i="11"/>
  <c r="H41" i="11"/>
  <c r="G41" i="11"/>
  <c r="F41" i="11"/>
  <c r="E41" i="11"/>
  <c r="D41" i="11"/>
  <c r="AF40" i="11"/>
  <c r="AE40" i="11"/>
  <c r="AD40" i="11"/>
  <c r="V40" i="11"/>
  <c r="U40" i="11"/>
  <c r="T40" i="11"/>
  <c r="S40" i="11"/>
  <c r="R40" i="11"/>
  <c r="Q40" i="11"/>
  <c r="P40" i="11"/>
  <c r="N40" i="11"/>
  <c r="M40" i="11"/>
  <c r="L40" i="11"/>
  <c r="K40" i="11"/>
  <c r="J40" i="11"/>
  <c r="H40" i="11"/>
  <c r="G40" i="11"/>
  <c r="F40" i="11"/>
  <c r="E40" i="11"/>
  <c r="D40" i="11"/>
  <c r="AF39" i="11"/>
  <c r="AE39" i="11"/>
  <c r="AD39" i="11"/>
  <c r="V39" i="11"/>
  <c r="U39" i="11"/>
  <c r="T39" i="11"/>
  <c r="S39" i="11"/>
  <c r="R39" i="11"/>
  <c r="Q39" i="11"/>
  <c r="P39" i="11"/>
  <c r="N39" i="11"/>
  <c r="M39" i="11"/>
  <c r="L39" i="11"/>
  <c r="K39" i="11"/>
  <c r="J39" i="11"/>
  <c r="H39" i="11"/>
  <c r="G39" i="11"/>
  <c r="F39" i="11"/>
  <c r="E39" i="11"/>
  <c r="D39" i="11"/>
  <c r="AF38" i="11"/>
  <c r="AE38" i="11"/>
  <c r="AD38" i="11"/>
  <c r="V38" i="11"/>
  <c r="U38" i="11"/>
  <c r="T38" i="11"/>
  <c r="S38" i="11"/>
  <c r="R38" i="11"/>
  <c r="Q38" i="11"/>
  <c r="P38" i="11"/>
  <c r="N38" i="11"/>
  <c r="M38" i="11"/>
  <c r="L38" i="11"/>
  <c r="K38" i="11"/>
  <c r="J38" i="11"/>
  <c r="H38" i="11"/>
  <c r="G38" i="11"/>
  <c r="F38" i="11"/>
  <c r="E38" i="11"/>
  <c r="D38" i="11"/>
  <c r="AF37" i="11"/>
  <c r="AE37" i="11"/>
  <c r="AD37" i="11"/>
  <c r="V37" i="11"/>
  <c r="U37" i="11"/>
  <c r="T37" i="11"/>
  <c r="S37" i="11"/>
  <c r="R37" i="11"/>
  <c r="Q37" i="11"/>
  <c r="P37" i="11"/>
  <c r="N37" i="11"/>
  <c r="M37" i="11"/>
  <c r="L37" i="11"/>
  <c r="K37" i="11"/>
  <c r="J37" i="11"/>
  <c r="H37" i="11"/>
  <c r="G37" i="11"/>
  <c r="F37" i="11"/>
  <c r="E37" i="11"/>
  <c r="D37" i="11"/>
  <c r="AF36" i="11"/>
  <c r="AE36" i="11"/>
  <c r="AD36" i="11"/>
  <c r="V36" i="11"/>
  <c r="U36" i="11"/>
  <c r="T36" i="11"/>
  <c r="S36" i="11"/>
  <c r="R36" i="11"/>
  <c r="Q36" i="11"/>
  <c r="P36" i="11"/>
  <c r="N36" i="11"/>
  <c r="M36" i="11"/>
  <c r="L36" i="11"/>
  <c r="K36" i="11"/>
  <c r="J36" i="11"/>
  <c r="H36" i="11"/>
  <c r="G36" i="11"/>
  <c r="F36" i="11"/>
  <c r="E36" i="11"/>
  <c r="D36" i="11"/>
  <c r="AF35" i="11"/>
  <c r="AE35" i="11"/>
  <c r="AD35" i="11"/>
  <c r="V35" i="11"/>
  <c r="U35" i="11"/>
  <c r="T35" i="11"/>
  <c r="S35" i="11"/>
  <c r="R35" i="11"/>
  <c r="Q35" i="11"/>
  <c r="P35" i="11"/>
  <c r="N35" i="11"/>
  <c r="M35" i="11"/>
  <c r="L35" i="11"/>
  <c r="K35" i="11"/>
  <c r="J35" i="11"/>
  <c r="H35" i="11"/>
  <c r="G35" i="11"/>
  <c r="F35" i="11"/>
  <c r="E35" i="11"/>
  <c r="D35" i="11"/>
  <c r="AF34" i="11"/>
  <c r="AE34" i="11"/>
  <c r="AD34" i="11"/>
  <c r="V34" i="11"/>
  <c r="U34" i="11"/>
  <c r="T34" i="11"/>
  <c r="S34" i="11"/>
  <c r="R34" i="11"/>
  <c r="Q34" i="11"/>
  <c r="P34" i="11"/>
  <c r="N34" i="11"/>
  <c r="M34" i="11"/>
  <c r="L34" i="11"/>
  <c r="K34" i="11"/>
  <c r="J34" i="11"/>
  <c r="H34" i="11"/>
  <c r="G34" i="11"/>
  <c r="F34" i="11"/>
  <c r="E34" i="11"/>
  <c r="D34" i="11"/>
  <c r="AF33" i="11"/>
  <c r="AE33" i="11"/>
  <c r="AD33" i="11"/>
  <c r="V33" i="11"/>
  <c r="U33" i="11"/>
  <c r="T33" i="11"/>
  <c r="S33" i="11"/>
  <c r="R33" i="11"/>
  <c r="Q33" i="11"/>
  <c r="P33" i="11"/>
  <c r="N33" i="11"/>
  <c r="M33" i="11"/>
  <c r="L33" i="11"/>
  <c r="K33" i="11"/>
  <c r="J33" i="11"/>
  <c r="H33" i="11"/>
  <c r="G33" i="11"/>
  <c r="F33" i="11"/>
  <c r="E33" i="11"/>
  <c r="D33" i="11"/>
  <c r="AF32" i="11"/>
  <c r="AE32" i="11"/>
  <c r="AD32" i="11"/>
  <c r="V32" i="11"/>
  <c r="U32" i="11"/>
  <c r="T32" i="11"/>
  <c r="S32" i="11"/>
  <c r="R32" i="11"/>
  <c r="Q32" i="11"/>
  <c r="P32" i="11"/>
  <c r="AH32" i="11" s="1"/>
  <c r="N32" i="11"/>
  <c r="M32" i="11"/>
  <c r="L32" i="11"/>
  <c r="K32" i="11"/>
  <c r="J32" i="11"/>
  <c r="H32" i="11"/>
  <c r="G32" i="11"/>
  <c r="F32" i="11"/>
  <c r="E32" i="11"/>
  <c r="D32" i="11"/>
  <c r="AF31" i="11"/>
  <c r="AE31" i="11"/>
  <c r="AD31" i="11"/>
  <c r="V31" i="11"/>
  <c r="U31" i="11"/>
  <c r="T31" i="11"/>
  <c r="S31" i="11"/>
  <c r="R31" i="11"/>
  <c r="Q31" i="11"/>
  <c r="P31" i="11"/>
  <c r="N31" i="11"/>
  <c r="M31" i="11"/>
  <c r="L31" i="11"/>
  <c r="K31" i="11"/>
  <c r="J31" i="11"/>
  <c r="H31" i="11"/>
  <c r="G31" i="11"/>
  <c r="F31" i="11"/>
  <c r="E31" i="11"/>
  <c r="D31" i="11"/>
  <c r="AF30" i="11"/>
  <c r="AE30" i="11"/>
  <c r="AD30" i="11"/>
  <c r="V30" i="11"/>
  <c r="U30" i="11"/>
  <c r="T30" i="11"/>
  <c r="S30" i="11"/>
  <c r="R30" i="11"/>
  <c r="Q30" i="11"/>
  <c r="P30" i="11"/>
  <c r="AH30" i="11" s="1"/>
  <c r="N30" i="11"/>
  <c r="M30" i="11"/>
  <c r="L30" i="11"/>
  <c r="K30" i="11"/>
  <c r="J30" i="11"/>
  <c r="H30" i="11"/>
  <c r="G30" i="11"/>
  <c r="F30" i="11"/>
  <c r="E30" i="11"/>
  <c r="D30" i="11"/>
  <c r="AF29" i="11"/>
  <c r="AE29" i="11"/>
  <c r="AD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H29" i="11"/>
  <c r="G29" i="11"/>
  <c r="F29" i="11"/>
  <c r="E29" i="11"/>
  <c r="D29" i="11"/>
  <c r="C29" i="11"/>
  <c r="AG194" i="10"/>
  <c r="AF194" i="10"/>
  <c r="AE194" i="10"/>
  <c r="AD194" i="10"/>
  <c r="AC194" i="10"/>
  <c r="AB194" i="10"/>
  <c r="AA194" i="10"/>
  <c r="Z194" i="10"/>
  <c r="Y194" i="10"/>
  <c r="W194" i="10"/>
  <c r="V194" i="10"/>
  <c r="U194" i="10"/>
  <c r="T194" i="10"/>
  <c r="S194" i="10"/>
  <c r="R194" i="10"/>
  <c r="P194" i="10"/>
  <c r="O194" i="10"/>
  <c r="N194" i="10"/>
  <c r="M194" i="10"/>
  <c r="L194" i="10"/>
  <c r="K194" i="10"/>
  <c r="J194" i="10"/>
  <c r="H194" i="10"/>
  <c r="G194" i="10"/>
  <c r="F194" i="10"/>
  <c r="E194" i="10"/>
  <c r="D194" i="10"/>
  <c r="C194" i="10"/>
  <c r="AG193" i="10"/>
  <c r="AF193" i="10"/>
  <c r="AE193" i="10"/>
  <c r="AD193" i="10"/>
  <c r="AC193" i="10"/>
  <c r="AB193" i="10"/>
  <c r="AA193" i="10"/>
  <c r="Z193" i="10"/>
  <c r="Y193" i="10"/>
  <c r="W193" i="10"/>
  <c r="V193" i="10"/>
  <c r="U193" i="10"/>
  <c r="T193" i="10"/>
  <c r="S193" i="10"/>
  <c r="R193" i="10"/>
  <c r="P193" i="10"/>
  <c r="O193" i="10"/>
  <c r="N193" i="10"/>
  <c r="M193" i="10"/>
  <c r="L193" i="10"/>
  <c r="K193" i="10"/>
  <c r="J193" i="10"/>
  <c r="H193" i="10"/>
  <c r="G193" i="10"/>
  <c r="F193" i="10"/>
  <c r="E193" i="10"/>
  <c r="D193" i="10"/>
  <c r="C193" i="10"/>
  <c r="AG192" i="10"/>
  <c r="AF192" i="10"/>
  <c r="AE192" i="10"/>
  <c r="AD192" i="10"/>
  <c r="AC192" i="10"/>
  <c r="AB192" i="10"/>
  <c r="AA192" i="10"/>
  <c r="Z192" i="10"/>
  <c r="Y192" i="10"/>
  <c r="W192" i="10"/>
  <c r="V192" i="10"/>
  <c r="U192" i="10"/>
  <c r="T192" i="10"/>
  <c r="S192" i="10"/>
  <c r="R192" i="10"/>
  <c r="P192" i="10"/>
  <c r="O192" i="10"/>
  <c r="N192" i="10"/>
  <c r="M192" i="10"/>
  <c r="L192" i="10"/>
  <c r="K192" i="10"/>
  <c r="J192" i="10"/>
  <c r="H192" i="10"/>
  <c r="G192" i="10"/>
  <c r="F192" i="10"/>
  <c r="E192" i="10"/>
  <c r="D192" i="10"/>
  <c r="C192" i="10"/>
  <c r="AG191" i="10"/>
  <c r="AF191" i="10"/>
  <c r="AE191" i="10"/>
  <c r="AD191" i="10"/>
  <c r="AC191" i="10"/>
  <c r="AB191" i="10"/>
  <c r="AA191" i="10"/>
  <c r="Z191" i="10"/>
  <c r="Y191" i="10"/>
  <c r="W191" i="10"/>
  <c r="V191" i="10"/>
  <c r="U191" i="10"/>
  <c r="T191" i="10"/>
  <c r="S191" i="10"/>
  <c r="R191" i="10"/>
  <c r="P191" i="10"/>
  <c r="O191" i="10"/>
  <c r="N191" i="10"/>
  <c r="M191" i="10"/>
  <c r="L191" i="10"/>
  <c r="K191" i="10"/>
  <c r="J191" i="10"/>
  <c r="H191" i="10"/>
  <c r="G191" i="10"/>
  <c r="F191" i="10"/>
  <c r="E191" i="10"/>
  <c r="D191" i="10"/>
  <c r="C191" i="10"/>
  <c r="AG190" i="10"/>
  <c r="AF190" i="10"/>
  <c r="AE190" i="10"/>
  <c r="AD190" i="10"/>
  <c r="AC190" i="10"/>
  <c r="AB190" i="10"/>
  <c r="AA190" i="10"/>
  <c r="Z190" i="10"/>
  <c r="Y190" i="10"/>
  <c r="W190" i="10"/>
  <c r="V190" i="10"/>
  <c r="U190" i="10"/>
  <c r="T190" i="10"/>
  <c r="S190" i="10"/>
  <c r="R190" i="10"/>
  <c r="P190" i="10"/>
  <c r="O190" i="10"/>
  <c r="N190" i="10"/>
  <c r="M190" i="10"/>
  <c r="L190" i="10"/>
  <c r="K190" i="10"/>
  <c r="J190" i="10"/>
  <c r="H190" i="10"/>
  <c r="G190" i="10"/>
  <c r="F190" i="10"/>
  <c r="E190" i="10"/>
  <c r="D190" i="10"/>
  <c r="C190" i="10"/>
  <c r="AG189" i="10"/>
  <c r="AF189" i="10"/>
  <c r="AE189" i="10"/>
  <c r="AD189" i="10"/>
  <c r="AC189" i="10"/>
  <c r="AB189" i="10"/>
  <c r="AA189" i="10"/>
  <c r="Z189" i="10"/>
  <c r="Y189" i="10"/>
  <c r="W189" i="10"/>
  <c r="V189" i="10"/>
  <c r="U189" i="10"/>
  <c r="T189" i="10"/>
  <c r="S189" i="10"/>
  <c r="R189" i="10"/>
  <c r="P189" i="10"/>
  <c r="O189" i="10"/>
  <c r="N189" i="10"/>
  <c r="M189" i="10"/>
  <c r="L189" i="10"/>
  <c r="K189" i="10"/>
  <c r="J189" i="10"/>
  <c r="H189" i="10"/>
  <c r="G189" i="10"/>
  <c r="F189" i="10"/>
  <c r="E189" i="10"/>
  <c r="D189" i="10"/>
  <c r="C189" i="10"/>
  <c r="AG188" i="10"/>
  <c r="AF188" i="10"/>
  <c r="AE188" i="10"/>
  <c r="AD188" i="10"/>
  <c r="AC188" i="10"/>
  <c r="AB188" i="10"/>
  <c r="AA188" i="10"/>
  <c r="Z188" i="10"/>
  <c r="Y188" i="10"/>
  <c r="W188" i="10"/>
  <c r="V188" i="10"/>
  <c r="U188" i="10"/>
  <c r="T188" i="10"/>
  <c r="S188" i="10"/>
  <c r="R188" i="10"/>
  <c r="P188" i="10"/>
  <c r="O188" i="10"/>
  <c r="N188" i="10"/>
  <c r="M188" i="10"/>
  <c r="L188" i="10"/>
  <c r="K188" i="10"/>
  <c r="J188" i="10"/>
  <c r="H188" i="10"/>
  <c r="G188" i="10"/>
  <c r="F188" i="10"/>
  <c r="E188" i="10"/>
  <c r="D188" i="10"/>
  <c r="C188" i="10"/>
  <c r="AG187" i="10"/>
  <c r="AF187" i="10"/>
  <c r="AE187" i="10"/>
  <c r="AD187" i="10"/>
  <c r="AC187" i="10"/>
  <c r="AB187" i="10"/>
  <c r="AA187" i="10"/>
  <c r="Z187" i="10"/>
  <c r="Y187" i="10"/>
  <c r="W187" i="10"/>
  <c r="V187" i="10"/>
  <c r="U187" i="10"/>
  <c r="T187" i="10"/>
  <c r="S187" i="10"/>
  <c r="R187" i="10"/>
  <c r="P187" i="10"/>
  <c r="O187" i="10"/>
  <c r="N187" i="10"/>
  <c r="M187" i="10"/>
  <c r="L187" i="10"/>
  <c r="K187" i="10"/>
  <c r="J187" i="10"/>
  <c r="H187" i="10"/>
  <c r="G187" i="10"/>
  <c r="F187" i="10"/>
  <c r="E187" i="10"/>
  <c r="D187" i="10"/>
  <c r="C187" i="10"/>
  <c r="AG186" i="10"/>
  <c r="AF186" i="10"/>
  <c r="AE186" i="10"/>
  <c r="AD186" i="10"/>
  <c r="AC186" i="10"/>
  <c r="AB186" i="10"/>
  <c r="AA186" i="10"/>
  <c r="Z186" i="10"/>
  <c r="Y186" i="10"/>
  <c r="W186" i="10"/>
  <c r="V186" i="10"/>
  <c r="U186" i="10"/>
  <c r="T186" i="10"/>
  <c r="S186" i="10"/>
  <c r="R186" i="10"/>
  <c r="P186" i="10"/>
  <c r="O186" i="10"/>
  <c r="N186" i="10"/>
  <c r="M186" i="10"/>
  <c r="L186" i="10"/>
  <c r="K186" i="10"/>
  <c r="J186" i="10"/>
  <c r="H186" i="10"/>
  <c r="G186" i="10"/>
  <c r="F186" i="10"/>
  <c r="E186" i="10"/>
  <c r="D186" i="10"/>
  <c r="C186" i="10"/>
  <c r="AG185" i="10"/>
  <c r="AF185" i="10"/>
  <c r="AE185" i="10"/>
  <c r="AD185" i="10"/>
  <c r="AC185" i="10"/>
  <c r="AB185" i="10"/>
  <c r="AA185" i="10"/>
  <c r="Z185" i="10"/>
  <c r="Y185" i="10"/>
  <c r="W185" i="10"/>
  <c r="V185" i="10"/>
  <c r="U185" i="10"/>
  <c r="T185" i="10"/>
  <c r="S185" i="10"/>
  <c r="R185" i="10"/>
  <c r="P185" i="10"/>
  <c r="O185" i="10"/>
  <c r="N185" i="10"/>
  <c r="M185" i="10"/>
  <c r="L185" i="10"/>
  <c r="K185" i="10"/>
  <c r="J185" i="10"/>
  <c r="H185" i="10"/>
  <c r="G185" i="10"/>
  <c r="F185" i="10"/>
  <c r="E185" i="10"/>
  <c r="D185" i="10"/>
  <c r="C185" i="10"/>
  <c r="AG184" i="10"/>
  <c r="AF184" i="10"/>
  <c r="AE184" i="10"/>
  <c r="AD184" i="10"/>
  <c r="AC184" i="10"/>
  <c r="AB184" i="10"/>
  <c r="AA184" i="10"/>
  <c r="Z184" i="10"/>
  <c r="Y184" i="10"/>
  <c r="W184" i="10"/>
  <c r="V184" i="10"/>
  <c r="U184" i="10"/>
  <c r="T184" i="10"/>
  <c r="S184" i="10"/>
  <c r="R184" i="10"/>
  <c r="P184" i="10"/>
  <c r="O184" i="10"/>
  <c r="N184" i="10"/>
  <c r="M184" i="10"/>
  <c r="L184" i="10"/>
  <c r="K184" i="10"/>
  <c r="J184" i="10"/>
  <c r="H184" i="10"/>
  <c r="G184" i="10"/>
  <c r="F184" i="10"/>
  <c r="E184" i="10"/>
  <c r="D184" i="10"/>
  <c r="C184" i="10"/>
  <c r="AG183" i="10"/>
  <c r="AF183" i="10"/>
  <c r="AE183" i="10"/>
  <c r="AD183" i="10"/>
  <c r="AC183" i="10"/>
  <c r="AB183" i="10"/>
  <c r="AA183" i="10"/>
  <c r="Z183" i="10"/>
  <c r="Y183" i="10"/>
  <c r="W183" i="10"/>
  <c r="V183" i="10"/>
  <c r="U183" i="10"/>
  <c r="T183" i="10"/>
  <c r="S183" i="10"/>
  <c r="R183" i="10"/>
  <c r="P183" i="10"/>
  <c r="O183" i="10"/>
  <c r="N183" i="10"/>
  <c r="M183" i="10"/>
  <c r="L183" i="10"/>
  <c r="K183" i="10"/>
  <c r="J183" i="10"/>
  <c r="H183" i="10"/>
  <c r="G183" i="10"/>
  <c r="F183" i="10"/>
  <c r="E183" i="10"/>
  <c r="D183" i="10"/>
  <c r="C183" i="10"/>
  <c r="AG182" i="10"/>
  <c r="AF182" i="10"/>
  <c r="AE182" i="10"/>
  <c r="AD182" i="10"/>
  <c r="AC182" i="10"/>
  <c r="AB182" i="10"/>
  <c r="AA182" i="10"/>
  <c r="Z182" i="10"/>
  <c r="Y182" i="10"/>
  <c r="W182" i="10"/>
  <c r="V182" i="10"/>
  <c r="U182" i="10"/>
  <c r="T182" i="10"/>
  <c r="S182" i="10"/>
  <c r="R182" i="10"/>
  <c r="P182" i="10"/>
  <c r="O182" i="10"/>
  <c r="N182" i="10"/>
  <c r="M182" i="10"/>
  <c r="L182" i="10"/>
  <c r="K182" i="10"/>
  <c r="J182" i="10"/>
  <c r="H182" i="10"/>
  <c r="G182" i="10"/>
  <c r="F182" i="10"/>
  <c r="E182" i="10"/>
  <c r="D182" i="10"/>
  <c r="C182" i="10"/>
  <c r="AG181" i="10"/>
  <c r="AF181" i="10"/>
  <c r="AE181" i="10"/>
  <c r="AD181" i="10"/>
  <c r="AC181" i="10"/>
  <c r="AB181" i="10"/>
  <c r="AA181" i="10"/>
  <c r="Z181" i="10"/>
  <c r="Y181" i="10"/>
  <c r="W181" i="10"/>
  <c r="V181" i="10"/>
  <c r="X181" i="10" s="1"/>
  <c r="U181" i="10"/>
  <c r="T181" i="10"/>
  <c r="S181" i="10"/>
  <c r="R181" i="10"/>
  <c r="P181" i="10"/>
  <c r="O181" i="10"/>
  <c r="N181" i="10"/>
  <c r="M181" i="10"/>
  <c r="L181" i="10"/>
  <c r="K181" i="10"/>
  <c r="J181" i="10"/>
  <c r="H181" i="10"/>
  <c r="G181" i="10"/>
  <c r="F181" i="10"/>
  <c r="E181" i="10"/>
  <c r="D181" i="10"/>
  <c r="C181" i="10"/>
  <c r="AG180" i="10"/>
  <c r="AF180" i="10"/>
  <c r="AE180" i="10"/>
  <c r="AD180" i="10"/>
  <c r="AC180" i="10"/>
  <c r="AB180" i="10"/>
  <c r="AA180" i="10"/>
  <c r="Z180" i="10"/>
  <c r="Y180" i="10"/>
  <c r="W180" i="10"/>
  <c r="V180" i="10"/>
  <c r="U180" i="10"/>
  <c r="T180" i="10"/>
  <c r="S180" i="10"/>
  <c r="R180" i="10"/>
  <c r="P180" i="10"/>
  <c r="O180" i="10"/>
  <c r="N180" i="10"/>
  <c r="M180" i="10"/>
  <c r="L180" i="10"/>
  <c r="K180" i="10"/>
  <c r="J180" i="10"/>
  <c r="H180" i="10"/>
  <c r="G180" i="10"/>
  <c r="F180" i="10"/>
  <c r="E180" i="10"/>
  <c r="D180" i="10"/>
  <c r="C180" i="10"/>
  <c r="AG179" i="10"/>
  <c r="AF179" i="10"/>
  <c r="AE179" i="10"/>
  <c r="AD179" i="10"/>
  <c r="AC179" i="10"/>
  <c r="AB179" i="10"/>
  <c r="AA179" i="10"/>
  <c r="Z179" i="10"/>
  <c r="Y179" i="10"/>
  <c r="W179" i="10"/>
  <c r="V179" i="10"/>
  <c r="U179" i="10"/>
  <c r="T179" i="10"/>
  <c r="S179" i="10"/>
  <c r="R179" i="10"/>
  <c r="P179" i="10"/>
  <c r="O179" i="10"/>
  <c r="N179" i="10"/>
  <c r="M179" i="10"/>
  <c r="L179" i="10"/>
  <c r="K179" i="10"/>
  <c r="J179" i="10"/>
  <c r="H179" i="10"/>
  <c r="G179" i="10"/>
  <c r="F179" i="10"/>
  <c r="E179" i="10"/>
  <c r="D179" i="10"/>
  <c r="C179" i="10"/>
  <c r="AG178" i="10"/>
  <c r="AF178" i="10"/>
  <c r="AE178" i="10"/>
  <c r="AD178" i="10"/>
  <c r="AC178" i="10"/>
  <c r="AB178" i="10"/>
  <c r="AA178" i="10"/>
  <c r="Z178" i="10"/>
  <c r="Y178" i="10"/>
  <c r="W178" i="10"/>
  <c r="V178" i="10"/>
  <c r="U178" i="10"/>
  <c r="T178" i="10"/>
  <c r="S178" i="10"/>
  <c r="R178" i="10"/>
  <c r="P178" i="10"/>
  <c r="O178" i="10"/>
  <c r="N178" i="10"/>
  <c r="M178" i="10"/>
  <c r="L178" i="10"/>
  <c r="K178" i="10"/>
  <c r="J178" i="10"/>
  <c r="H178" i="10"/>
  <c r="G178" i="10"/>
  <c r="F178" i="10"/>
  <c r="E178" i="10"/>
  <c r="D178" i="10"/>
  <c r="C178" i="10"/>
  <c r="AG177" i="10"/>
  <c r="AF177" i="10"/>
  <c r="AE177" i="10"/>
  <c r="AD177" i="10"/>
  <c r="AC177" i="10"/>
  <c r="AB177" i="10"/>
  <c r="AA177" i="10"/>
  <c r="Z177" i="10"/>
  <c r="Y177" i="10"/>
  <c r="W177" i="10"/>
  <c r="V177" i="10"/>
  <c r="U177" i="10"/>
  <c r="T177" i="10"/>
  <c r="S177" i="10"/>
  <c r="R177" i="10"/>
  <c r="P177" i="10"/>
  <c r="O177" i="10"/>
  <c r="N177" i="10"/>
  <c r="M177" i="10"/>
  <c r="L177" i="10"/>
  <c r="K177" i="10"/>
  <c r="J177" i="10"/>
  <c r="H177" i="10"/>
  <c r="G177" i="10"/>
  <c r="F177" i="10"/>
  <c r="E177" i="10"/>
  <c r="D177" i="10"/>
  <c r="C177" i="10"/>
  <c r="AG176" i="10"/>
  <c r="AF176" i="10"/>
  <c r="AE176" i="10"/>
  <c r="AD176" i="10"/>
  <c r="AC176" i="10"/>
  <c r="AB176" i="10"/>
  <c r="AA176" i="10"/>
  <c r="Z176" i="10"/>
  <c r="Y176" i="10"/>
  <c r="W176" i="10"/>
  <c r="V176" i="10"/>
  <c r="U176" i="10"/>
  <c r="T176" i="10"/>
  <c r="S176" i="10"/>
  <c r="R176" i="10"/>
  <c r="P176" i="10"/>
  <c r="O176" i="10"/>
  <c r="N176" i="10"/>
  <c r="M176" i="10"/>
  <c r="L176" i="10"/>
  <c r="K176" i="10"/>
  <c r="J176" i="10"/>
  <c r="H176" i="10"/>
  <c r="G176" i="10"/>
  <c r="F176" i="10"/>
  <c r="E176" i="10"/>
  <c r="D176" i="10"/>
  <c r="C176" i="10"/>
  <c r="AG175" i="10"/>
  <c r="AF175" i="10"/>
  <c r="AE175" i="10"/>
  <c r="AD175" i="10"/>
  <c r="AC175" i="10"/>
  <c r="AB175" i="10"/>
  <c r="AA175" i="10"/>
  <c r="Z175" i="10"/>
  <c r="Y175" i="10"/>
  <c r="W175" i="10"/>
  <c r="V175" i="10"/>
  <c r="U175" i="10"/>
  <c r="T175" i="10"/>
  <c r="S175" i="10"/>
  <c r="R175" i="10"/>
  <c r="P175" i="10"/>
  <c r="O175" i="10"/>
  <c r="N175" i="10"/>
  <c r="M175" i="10"/>
  <c r="L175" i="10"/>
  <c r="K175" i="10"/>
  <c r="J175" i="10"/>
  <c r="H175" i="10"/>
  <c r="G175" i="10"/>
  <c r="F175" i="10"/>
  <c r="E175" i="10"/>
  <c r="D175" i="10"/>
  <c r="C175" i="10"/>
  <c r="AG174" i="10"/>
  <c r="AF174" i="10"/>
  <c r="AE174" i="10"/>
  <c r="AD174" i="10"/>
  <c r="AC174" i="10"/>
  <c r="AB174" i="10"/>
  <c r="AA174" i="10"/>
  <c r="Z174" i="10"/>
  <c r="Y174" i="10"/>
  <c r="W174" i="10"/>
  <c r="V174" i="10"/>
  <c r="U174" i="10"/>
  <c r="T174" i="10"/>
  <c r="S174" i="10"/>
  <c r="R174" i="10"/>
  <c r="P174" i="10"/>
  <c r="O174" i="10"/>
  <c r="N174" i="10"/>
  <c r="M174" i="10"/>
  <c r="L174" i="10"/>
  <c r="K174" i="10"/>
  <c r="J174" i="10"/>
  <c r="H174" i="10"/>
  <c r="G174" i="10"/>
  <c r="F174" i="10"/>
  <c r="E174" i="10"/>
  <c r="D174" i="10"/>
  <c r="C174" i="10"/>
  <c r="AG173" i="10"/>
  <c r="AF173" i="10"/>
  <c r="AE173" i="10"/>
  <c r="AD173" i="10"/>
  <c r="AC173" i="10"/>
  <c r="AB173" i="10"/>
  <c r="AA173" i="10"/>
  <c r="Z173" i="10"/>
  <c r="Y173" i="10"/>
  <c r="W173" i="10"/>
  <c r="V173" i="10"/>
  <c r="U173" i="10"/>
  <c r="T173" i="10"/>
  <c r="S173" i="10"/>
  <c r="R173" i="10"/>
  <c r="P173" i="10"/>
  <c r="O173" i="10"/>
  <c r="N173" i="10"/>
  <c r="M173" i="10"/>
  <c r="L173" i="10"/>
  <c r="K173" i="10"/>
  <c r="J173" i="10"/>
  <c r="H173" i="10"/>
  <c r="G173" i="10"/>
  <c r="F173" i="10"/>
  <c r="E173" i="10"/>
  <c r="D173" i="10"/>
  <c r="C173" i="10"/>
  <c r="AG172" i="10"/>
  <c r="AF172" i="10"/>
  <c r="AE172" i="10"/>
  <c r="AD172" i="10"/>
  <c r="AC172" i="10"/>
  <c r="AB172" i="10"/>
  <c r="AA172" i="10"/>
  <c r="Z172" i="10"/>
  <c r="Y172" i="10"/>
  <c r="W172" i="10"/>
  <c r="V172" i="10"/>
  <c r="U172" i="10"/>
  <c r="T172" i="10"/>
  <c r="S172" i="10"/>
  <c r="R172" i="10"/>
  <c r="P172" i="10"/>
  <c r="O172" i="10"/>
  <c r="N172" i="10"/>
  <c r="M172" i="10"/>
  <c r="L172" i="10"/>
  <c r="K172" i="10"/>
  <c r="J172" i="10"/>
  <c r="H172" i="10"/>
  <c r="G172" i="10"/>
  <c r="F172" i="10"/>
  <c r="E172" i="10"/>
  <c r="D172" i="10"/>
  <c r="C172" i="10"/>
  <c r="AG171" i="10"/>
  <c r="AF171" i="10"/>
  <c r="AE171" i="10"/>
  <c r="AD171" i="10"/>
  <c r="AC171" i="10"/>
  <c r="AB171" i="10"/>
  <c r="AA171" i="10"/>
  <c r="Z171" i="10"/>
  <c r="Y171" i="10"/>
  <c r="W171" i="10"/>
  <c r="V171" i="10"/>
  <c r="U171" i="10"/>
  <c r="T171" i="10"/>
  <c r="S171" i="10"/>
  <c r="R171" i="10"/>
  <c r="P171" i="10"/>
  <c r="O171" i="10"/>
  <c r="N171" i="10"/>
  <c r="M171" i="10"/>
  <c r="L171" i="10"/>
  <c r="K171" i="10"/>
  <c r="J171" i="10"/>
  <c r="H171" i="10"/>
  <c r="G171" i="10"/>
  <c r="F171" i="10"/>
  <c r="E171" i="10"/>
  <c r="D171" i="10"/>
  <c r="C171" i="10"/>
  <c r="AG170" i="10"/>
  <c r="AF170" i="10"/>
  <c r="AE170" i="10"/>
  <c r="AD170" i="10"/>
  <c r="AC170" i="10"/>
  <c r="AB170" i="10"/>
  <c r="AA170" i="10"/>
  <c r="Z170" i="10"/>
  <c r="Y170" i="10"/>
  <c r="W170" i="10"/>
  <c r="V170" i="10"/>
  <c r="U170" i="10"/>
  <c r="T170" i="10"/>
  <c r="S170" i="10"/>
  <c r="R170" i="10"/>
  <c r="P170" i="10"/>
  <c r="O170" i="10"/>
  <c r="N170" i="10"/>
  <c r="M170" i="10"/>
  <c r="L170" i="10"/>
  <c r="K170" i="10"/>
  <c r="J170" i="10"/>
  <c r="H170" i="10"/>
  <c r="G170" i="10"/>
  <c r="F170" i="10"/>
  <c r="E170" i="10"/>
  <c r="D170" i="10"/>
  <c r="C170" i="10"/>
  <c r="AG169" i="10"/>
  <c r="AF169" i="10"/>
  <c r="AE169" i="10"/>
  <c r="AD169" i="10"/>
  <c r="AC169" i="10"/>
  <c r="AB169" i="10"/>
  <c r="AA169" i="10"/>
  <c r="Z169" i="10"/>
  <c r="Y169" i="10"/>
  <c r="W169" i="10"/>
  <c r="V169" i="10"/>
  <c r="U169" i="10"/>
  <c r="T169" i="10"/>
  <c r="S169" i="10"/>
  <c r="R169" i="10"/>
  <c r="P169" i="10"/>
  <c r="O169" i="10"/>
  <c r="N169" i="10"/>
  <c r="M169" i="10"/>
  <c r="L169" i="10"/>
  <c r="K169" i="10"/>
  <c r="J169" i="10"/>
  <c r="H169" i="10"/>
  <c r="G169" i="10"/>
  <c r="F169" i="10"/>
  <c r="E169" i="10"/>
  <c r="D169" i="10"/>
  <c r="C169" i="10"/>
  <c r="AG168" i="10"/>
  <c r="AF168" i="10"/>
  <c r="AE168" i="10"/>
  <c r="AD168" i="10"/>
  <c r="AC168" i="10"/>
  <c r="AB168" i="10"/>
  <c r="AA168" i="10"/>
  <c r="Z168" i="10"/>
  <c r="Y168" i="10"/>
  <c r="W168" i="10"/>
  <c r="V168" i="10"/>
  <c r="U168" i="10"/>
  <c r="T168" i="10"/>
  <c r="S168" i="10"/>
  <c r="R168" i="10"/>
  <c r="P168" i="10"/>
  <c r="O168" i="10"/>
  <c r="N168" i="10"/>
  <c r="M168" i="10"/>
  <c r="L168" i="10"/>
  <c r="K168" i="10"/>
  <c r="J168" i="10"/>
  <c r="H168" i="10"/>
  <c r="G168" i="10"/>
  <c r="F168" i="10"/>
  <c r="E168" i="10"/>
  <c r="D168" i="10"/>
  <c r="C168" i="10"/>
  <c r="AG167" i="10"/>
  <c r="AF167" i="10"/>
  <c r="AE167" i="10"/>
  <c r="AD167" i="10"/>
  <c r="AC167" i="10"/>
  <c r="AB167" i="10"/>
  <c r="AA167" i="10"/>
  <c r="Z167" i="10"/>
  <c r="Y167" i="10"/>
  <c r="W167" i="10"/>
  <c r="V167" i="10"/>
  <c r="U167" i="10"/>
  <c r="T167" i="10"/>
  <c r="S167" i="10"/>
  <c r="R167" i="10"/>
  <c r="P167" i="10"/>
  <c r="O167" i="10"/>
  <c r="N167" i="10"/>
  <c r="M167" i="10"/>
  <c r="L167" i="10"/>
  <c r="K167" i="10"/>
  <c r="J167" i="10"/>
  <c r="H167" i="10"/>
  <c r="G167" i="10"/>
  <c r="F167" i="10"/>
  <c r="E167" i="10"/>
  <c r="D167" i="10"/>
  <c r="C167" i="10"/>
  <c r="AG166" i="10"/>
  <c r="AF166" i="10"/>
  <c r="AE166" i="10"/>
  <c r="AD166" i="10"/>
  <c r="AC166" i="10"/>
  <c r="AB166" i="10"/>
  <c r="AA166" i="10"/>
  <c r="Z166" i="10"/>
  <c r="Y166" i="10"/>
  <c r="W166" i="10"/>
  <c r="V166" i="10"/>
  <c r="X166" i="10" s="1"/>
  <c r="U166" i="10"/>
  <c r="T166" i="10"/>
  <c r="S166" i="10"/>
  <c r="R166" i="10"/>
  <c r="P166" i="10"/>
  <c r="O166" i="10"/>
  <c r="N166" i="10"/>
  <c r="M166" i="10"/>
  <c r="L166" i="10"/>
  <c r="K166" i="10"/>
  <c r="J166" i="10"/>
  <c r="H166" i="10"/>
  <c r="G166" i="10"/>
  <c r="F166" i="10"/>
  <c r="E166" i="10"/>
  <c r="D166" i="10"/>
  <c r="C166" i="10"/>
  <c r="AG165" i="10"/>
  <c r="AF165" i="10"/>
  <c r="AE165" i="10"/>
  <c r="AD165" i="10"/>
  <c r="AC165" i="10"/>
  <c r="AB165" i="10"/>
  <c r="AA165" i="10"/>
  <c r="Z165" i="10"/>
  <c r="Y165" i="10"/>
  <c r="W165" i="10"/>
  <c r="V165" i="10"/>
  <c r="X165" i="10" s="1"/>
  <c r="U165" i="10"/>
  <c r="T165" i="10"/>
  <c r="S165" i="10"/>
  <c r="R165" i="10"/>
  <c r="P165" i="10"/>
  <c r="O165" i="10"/>
  <c r="N165" i="10"/>
  <c r="M165" i="10"/>
  <c r="L165" i="10"/>
  <c r="K165" i="10"/>
  <c r="J165" i="10"/>
  <c r="H165" i="10"/>
  <c r="G165" i="10"/>
  <c r="F165" i="10"/>
  <c r="E165" i="10"/>
  <c r="D165" i="10"/>
  <c r="C165" i="10"/>
  <c r="AG164" i="10"/>
  <c r="AF164" i="10"/>
  <c r="AE164" i="10"/>
  <c r="AD164" i="10"/>
  <c r="AC164" i="10"/>
  <c r="AB164" i="10"/>
  <c r="AA164" i="10"/>
  <c r="Z164" i="10"/>
  <c r="Y164" i="10"/>
  <c r="W164" i="10"/>
  <c r="V164" i="10"/>
  <c r="U164" i="10"/>
  <c r="T164" i="10"/>
  <c r="S164" i="10"/>
  <c r="R164" i="10"/>
  <c r="P164" i="10"/>
  <c r="O164" i="10"/>
  <c r="N164" i="10"/>
  <c r="M164" i="10"/>
  <c r="L164" i="10"/>
  <c r="K164" i="10"/>
  <c r="J164" i="10"/>
  <c r="H164" i="10"/>
  <c r="G164" i="10"/>
  <c r="F164" i="10"/>
  <c r="E164" i="10"/>
  <c r="D164" i="10"/>
  <c r="C164" i="10"/>
  <c r="AG163" i="10"/>
  <c r="AF163" i="10"/>
  <c r="AE163" i="10"/>
  <c r="AD163" i="10"/>
  <c r="AC163" i="10"/>
  <c r="AB163" i="10"/>
  <c r="AA163" i="10"/>
  <c r="Z163" i="10"/>
  <c r="Y163" i="10"/>
  <c r="W163" i="10"/>
  <c r="V163" i="10"/>
  <c r="U163" i="10"/>
  <c r="T163" i="10"/>
  <c r="S163" i="10"/>
  <c r="R163" i="10"/>
  <c r="P163" i="10"/>
  <c r="O163" i="10"/>
  <c r="N163" i="10"/>
  <c r="M163" i="10"/>
  <c r="L163" i="10"/>
  <c r="K163" i="10"/>
  <c r="J163" i="10"/>
  <c r="H163" i="10"/>
  <c r="G163" i="10"/>
  <c r="F163" i="10"/>
  <c r="E163" i="10"/>
  <c r="D163" i="10"/>
  <c r="C163" i="10"/>
  <c r="AG162" i="10"/>
  <c r="AF162" i="10"/>
  <c r="AE162" i="10"/>
  <c r="AD162" i="10"/>
  <c r="AC162" i="10"/>
  <c r="AB162" i="10"/>
  <c r="AA162" i="10"/>
  <c r="Z162" i="10"/>
  <c r="Y162" i="10"/>
  <c r="W162" i="10"/>
  <c r="V162" i="10"/>
  <c r="U162" i="10"/>
  <c r="T162" i="10"/>
  <c r="S162" i="10"/>
  <c r="R162" i="10"/>
  <c r="P162" i="10"/>
  <c r="O162" i="10"/>
  <c r="N162" i="10"/>
  <c r="M162" i="10"/>
  <c r="L162" i="10"/>
  <c r="K162" i="10"/>
  <c r="J162" i="10"/>
  <c r="H162" i="10"/>
  <c r="G162" i="10"/>
  <c r="F162" i="10"/>
  <c r="E162" i="10"/>
  <c r="D162" i="10"/>
  <c r="C162" i="10"/>
  <c r="AG161" i="10"/>
  <c r="AF161" i="10"/>
  <c r="AE161" i="10"/>
  <c r="AD161" i="10"/>
  <c r="AC161" i="10"/>
  <c r="AB161" i="10"/>
  <c r="AA161" i="10"/>
  <c r="Z161" i="10"/>
  <c r="Y161" i="10"/>
  <c r="W161" i="10"/>
  <c r="V161" i="10"/>
  <c r="U161" i="10"/>
  <c r="T161" i="10"/>
  <c r="S161" i="10"/>
  <c r="R161" i="10"/>
  <c r="P161" i="10"/>
  <c r="O161" i="10"/>
  <c r="N161" i="10"/>
  <c r="M161" i="10"/>
  <c r="L161" i="10"/>
  <c r="K161" i="10"/>
  <c r="J161" i="10"/>
  <c r="H161" i="10"/>
  <c r="G161" i="10"/>
  <c r="F161" i="10"/>
  <c r="E161" i="10"/>
  <c r="D161" i="10"/>
  <c r="C161" i="10"/>
  <c r="AG160" i="10"/>
  <c r="AF160" i="10"/>
  <c r="AE160" i="10"/>
  <c r="AD160" i="10"/>
  <c r="AC160" i="10"/>
  <c r="AB160" i="10"/>
  <c r="AA160" i="10"/>
  <c r="Z160" i="10"/>
  <c r="Y160" i="10"/>
  <c r="W160" i="10"/>
  <c r="V160" i="10"/>
  <c r="U160" i="10"/>
  <c r="T160" i="10"/>
  <c r="S160" i="10"/>
  <c r="R160" i="10"/>
  <c r="P160" i="10"/>
  <c r="O160" i="10"/>
  <c r="N160" i="10"/>
  <c r="M160" i="10"/>
  <c r="L160" i="10"/>
  <c r="K160" i="10"/>
  <c r="J160" i="10"/>
  <c r="H160" i="10"/>
  <c r="G160" i="10"/>
  <c r="F160" i="10"/>
  <c r="E160" i="10"/>
  <c r="D160" i="10"/>
  <c r="C160" i="10"/>
  <c r="AG159" i="10"/>
  <c r="AF159" i="10"/>
  <c r="AE159" i="10"/>
  <c r="AD159" i="10"/>
  <c r="AC159" i="10"/>
  <c r="AB159" i="10"/>
  <c r="AA159" i="10"/>
  <c r="Z159" i="10"/>
  <c r="Y159" i="10"/>
  <c r="W159" i="10"/>
  <c r="V159" i="10"/>
  <c r="U159" i="10"/>
  <c r="T159" i="10"/>
  <c r="S159" i="10"/>
  <c r="R159" i="10"/>
  <c r="P159" i="10"/>
  <c r="O159" i="10"/>
  <c r="N159" i="10"/>
  <c r="M159" i="10"/>
  <c r="L159" i="10"/>
  <c r="K159" i="10"/>
  <c r="J159" i="10"/>
  <c r="H159" i="10"/>
  <c r="G159" i="10"/>
  <c r="F159" i="10"/>
  <c r="E159" i="10"/>
  <c r="D159" i="10"/>
  <c r="C159" i="10"/>
  <c r="AG158" i="10"/>
  <c r="AF158" i="10"/>
  <c r="AE158" i="10"/>
  <c r="AD158" i="10"/>
  <c r="AC158" i="10"/>
  <c r="AB158" i="10"/>
  <c r="AA158" i="10"/>
  <c r="Z158" i="10"/>
  <c r="Y158" i="10"/>
  <c r="W158" i="10"/>
  <c r="V158" i="10"/>
  <c r="U158" i="10"/>
  <c r="T158" i="10"/>
  <c r="S158" i="10"/>
  <c r="R158" i="10"/>
  <c r="P158" i="10"/>
  <c r="O158" i="10"/>
  <c r="N158" i="10"/>
  <c r="M158" i="10"/>
  <c r="L158" i="10"/>
  <c r="K158" i="10"/>
  <c r="J158" i="10"/>
  <c r="H158" i="10"/>
  <c r="G158" i="10"/>
  <c r="F158" i="10"/>
  <c r="E158" i="10"/>
  <c r="D158" i="10"/>
  <c r="C158" i="10"/>
  <c r="AG157" i="10"/>
  <c r="AF157" i="10"/>
  <c r="AE157" i="10"/>
  <c r="AD157" i="10"/>
  <c r="AC157" i="10"/>
  <c r="AB157" i="10"/>
  <c r="AA157" i="10"/>
  <c r="Z157" i="10"/>
  <c r="Y157" i="10"/>
  <c r="W157" i="10"/>
  <c r="V157" i="10"/>
  <c r="U157" i="10"/>
  <c r="T157" i="10"/>
  <c r="S157" i="10"/>
  <c r="R157" i="10"/>
  <c r="P157" i="10"/>
  <c r="O157" i="10"/>
  <c r="N157" i="10"/>
  <c r="M157" i="10"/>
  <c r="L157" i="10"/>
  <c r="K157" i="10"/>
  <c r="J157" i="10"/>
  <c r="H157" i="10"/>
  <c r="G157" i="10"/>
  <c r="F157" i="10"/>
  <c r="E157" i="10"/>
  <c r="D157" i="10"/>
  <c r="C157" i="10"/>
  <c r="AG156" i="10"/>
  <c r="AF156" i="10"/>
  <c r="AE156" i="10"/>
  <c r="AD156" i="10"/>
  <c r="AC156" i="10"/>
  <c r="AB156" i="10"/>
  <c r="AA156" i="10"/>
  <c r="Z156" i="10"/>
  <c r="Y156" i="10"/>
  <c r="W156" i="10"/>
  <c r="V156" i="10"/>
  <c r="U156" i="10"/>
  <c r="T156" i="10"/>
  <c r="S156" i="10"/>
  <c r="R156" i="10"/>
  <c r="P156" i="10"/>
  <c r="O156" i="10"/>
  <c r="N156" i="10"/>
  <c r="M156" i="10"/>
  <c r="L156" i="10"/>
  <c r="K156" i="10"/>
  <c r="J156" i="10"/>
  <c r="H156" i="10"/>
  <c r="G156" i="10"/>
  <c r="F156" i="10"/>
  <c r="E156" i="10"/>
  <c r="D156" i="10"/>
  <c r="C156" i="10"/>
  <c r="AG155" i="10"/>
  <c r="AF155" i="10"/>
  <c r="AE155" i="10"/>
  <c r="AD155" i="10"/>
  <c r="AC155" i="10"/>
  <c r="AB155" i="10"/>
  <c r="AA155" i="10"/>
  <c r="Z155" i="10"/>
  <c r="Y155" i="10"/>
  <c r="W155" i="10"/>
  <c r="V155" i="10"/>
  <c r="U155" i="10"/>
  <c r="T155" i="10"/>
  <c r="S155" i="10"/>
  <c r="R155" i="10"/>
  <c r="P155" i="10"/>
  <c r="O155" i="10"/>
  <c r="N155" i="10"/>
  <c r="M155" i="10"/>
  <c r="L155" i="10"/>
  <c r="K155" i="10"/>
  <c r="J155" i="10"/>
  <c r="H155" i="10"/>
  <c r="G155" i="10"/>
  <c r="F155" i="10"/>
  <c r="E155" i="10"/>
  <c r="D155" i="10"/>
  <c r="C155" i="10"/>
  <c r="AG154" i="10"/>
  <c r="AF154" i="10"/>
  <c r="AE154" i="10"/>
  <c r="AD154" i="10"/>
  <c r="AC154" i="10"/>
  <c r="AB154" i="10"/>
  <c r="AA154" i="10"/>
  <c r="Z154" i="10"/>
  <c r="Y154" i="10"/>
  <c r="W154" i="10"/>
  <c r="V154" i="10"/>
  <c r="U154" i="10"/>
  <c r="T154" i="10"/>
  <c r="S154" i="10"/>
  <c r="R154" i="10"/>
  <c r="P154" i="10"/>
  <c r="O154" i="10"/>
  <c r="N154" i="10"/>
  <c r="M154" i="10"/>
  <c r="L154" i="10"/>
  <c r="K154" i="10"/>
  <c r="J154" i="10"/>
  <c r="H154" i="10"/>
  <c r="G154" i="10"/>
  <c r="F154" i="10"/>
  <c r="E154" i="10"/>
  <c r="D154" i="10"/>
  <c r="C154" i="10"/>
  <c r="AG153" i="10"/>
  <c r="AF153" i="10"/>
  <c r="AE153" i="10"/>
  <c r="AD153" i="10"/>
  <c r="AC153" i="10"/>
  <c r="AB153" i="10"/>
  <c r="AA153" i="10"/>
  <c r="Z153" i="10"/>
  <c r="Y153" i="10"/>
  <c r="W153" i="10"/>
  <c r="V153" i="10"/>
  <c r="U153" i="10"/>
  <c r="T153" i="10"/>
  <c r="S153" i="10"/>
  <c r="R153" i="10"/>
  <c r="P153" i="10"/>
  <c r="O153" i="10"/>
  <c r="N153" i="10"/>
  <c r="M153" i="10"/>
  <c r="L153" i="10"/>
  <c r="K153" i="10"/>
  <c r="J153" i="10"/>
  <c r="H153" i="10"/>
  <c r="G153" i="10"/>
  <c r="F153" i="10"/>
  <c r="E153" i="10"/>
  <c r="D153" i="10"/>
  <c r="C153" i="10"/>
  <c r="AG152" i="10"/>
  <c r="AF152" i="10"/>
  <c r="AE152" i="10"/>
  <c r="AD152" i="10"/>
  <c r="AC152" i="10"/>
  <c r="AB152" i="10"/>
  <c r="AA152" i="10"/>
  <c r="Z152" i="10"/>
  <c r="Y152" i="10"/>
  <c r="W152" i="10"/>
  <c r="V152" i="10"/>
  <c r="U152" i="10"/>
  <c r="T152" i="10"/>
  <c r="S152" i="10"/>
  <c r="R152" i="10"/>
  <c r="P152" i="10"/>
  <c r="O152" i="10"/>
  <c r="N152" i="10"/>
  <c r="M152" i="10"/>
  <c r="L152" i="10"/>
  <c r="K152" i="10"/>
  <c r="J152" i="10"/>
  <c r="H152" i="10"/>
  <c r="G152" i="10"/>
  <c r="F152" i="10"/>
  <c r="E152" i="10"/>
  <c r="D152" i="10"/>
  <c r="C152" i="10"/>
  <c r="AG151" i="10"/>
  <c r="AF151" i="10"/>
  <c r="AE151" i="10"/>
  <c r="AD151" i="10"/>
  <c r="AC151" i="10"/>
  <c r="AB151" i="10"/>
  <c r="AA151" i="10"/>
  <c r="Z151" i="10"/>
  <c r="Y151" i="10"/>
  <c r="W151" i="10"/>
  <c r="V151" i="10"/>
  <c r="U151" i="10"/>
  <c r="T151" i="10"/>
  <c r="S151" i="10"/>
  <c r="R151" i="10"/>
  <c r="P151" i="10"/>
  <c r="O151" i="10"/>
  <c r="N151" i="10"/>
  <c r="M151" i="10"/>
  <c r="L151" i="10"/>
  <c r="K151" i="10"/>
  <c r="J151" i="10"/>
  <c r="H151" i="10"/>
  <c r="G151" i="10"/>
  <c r="F151" i="10"/>
  <c r="E151" i="10"/>
  <c r="D151" i="10"/>
  <c r="C151" i="10"/>
  <c r="AG150" i="10"/>
  <c r="AF150" i="10"/>
  <c r="AE150" i="10"/>
  <c r="AD150" i="10"/>
  <c r="AC150" i="10"/>
  <c r="AB150" i="10"/>
  <c r="AA150" i="10"/>
  <c r="Z150" i="10"/>
  <c r="Y150" i="10"/>
  <c r="W150" i="10"/>
  <c r="V150" i="10"/>
  <c r="U150" i="10"/>
  <c r="T150" i="10"/>
  <c r="S150" i="10"/>
  <c r="R150" i="10"/>
  <c r="P150" i="10"/>
  <c r="O150" i="10"/>
  <c r="N150" i="10"/>
  <c r="M150" i="10"/>
  <c r="L150" i="10"/>
  <c r="K150" i="10"/>
  <c r="J150" i="10"/>
  <c r="H150" i="10"/>
  <c r="G150" i="10"/>
  <c r="F150" i="10"/>
  <c r="E150" i="10"/>
  <c r="D150" i="10"/>
  <c r="C150" i="10"/>
  <c r="AG149" i="10"/>
  <c r="AF149" i="10"/>
  <c r="AE149" i="10"/>
  <c r="AD149" i="10"/>
  <c r="AC149" i="10"/>
  <c r="AB149" i="10"/>
  <c r="AA149" i="10"/>
  <c r="Z149" i="10"/>
  <c r="Y149" i="10"/>
  <c r="W149" i="10"/>
  <c r="V149" i="10"/>
  <c r="X149" i="10" s="1"/>
  <c r="U149" i="10"/>
  <c r="T149" i="10"/>
  <c r="S149" i="10"/>
  <c r="R149" i="10"/>
  <c r="P149" i="10"/>
  <c r="O149" i="10"/>
  <c r="N149" i="10"/>
  <c r="M149" i="10"/>
  <c r="L149" i="10"/>
  <c r="K149" i="10"/>
  <c r="J149" i="10"/>
  <c r="H149" i="10"/>
  <c r="G149" i="10"/>
  <c r="F149" i="10"/>
  <c r="E149" i="10"/>
  <c r="D149" i="10"/>
  <c r="C149" i="10"/>
  <c r="AG148" i="10"/>
  <c r="AF148" i="10"/>
  <c r="AE148" i="10"/>
  <c r="AD148" i="10"/>
  <c r="AC148" i="10"/>
  <c r="AB148" i="10"/>
  <c r="AA148" i="10"/>
  <c r="Z148" i="10"/>
  <c r="Y148" i="10"/>
  <c r="W148" i="10"/>
  <c r="V148" i="10"/>
  <c r="U148" i="10"/>
  <c r="T148" i="10"/>
  <c r="S148" i="10"/>
  <c r="R148" i="10"/>
  <c r="P148" i="10"/>
  <c r="O148" i="10"/>
  <c r="N148" i="10"/>
  <c r="M148" i="10"/>
  <c r="L148" i="10"/>
  <c r="K148" i="10"/>
  <c r="J148" i="10"/>
  <c r="H148" i="10"/>
  <c r="G148" i="10"/>
  <c r="F148" i="10"/>
  <c r="E148" i="10"/>
  <c r="D148" i="10"/>
  <c r="C148" i="10"/>
  <c r="AG147" i="10"/>
  <c r="AF147" i="10"/>
  <c r="AE147" i="10"/>
  <c r="AD147" i="10"/>
  <c r="AC147" i="10"/>
  <c r="AB147" i="10"/>
  <c r="AA147" i="10"/>
  <c r="Z147" i="10"/>
  <c r="Y147" i="10"/>
  <c r="W147" i="10"/>
  <c r="V147" i="10"/>
  <c r="U147" i="10"/>
  <c r="T147" i="10"/>
  <c r="S147" i="10"/>
  <c r="R147" i="10"/>
  <c r="P147" i="10"/>
  <c r="O147" i="10"/>
  <c r="N147" i="10"/>
  <c r="M147" i="10"/>
  <c r="L147" i="10"/>
  <c r="K147" i="10"/>
  <c r="J147" i="10"/>
  <c r="H147" i="10"/>
  <c r="G147" i="10"/>
  <c r="F147" i="10"/>
  <c r="E147" i="10"/>
  <c r="D147" i="10"/>
  <c r="C147" i="10"/>
  <c r="AG146" i="10"/>
  <c r="AF146" i="10"/>
  <c r="AE146" i="10"/>
  <c r="AD146" i="10"/>
  <c r="AC146" i="10"/>
  <c r="AB146" i="10"/>
  <c r="AA146" i="10"/>
  <c r="Z146" i="10"/>
  <c r="Y146" i="10"/>
  <c r="W146" i="10"/>
  <c r="V146" i="10"/>
  <c r="U146" i="10"/>
  <c r="T146" i="10"/>
  <c r="S146" i="10"/>
  <c r="R146" i="10"/>
  <c r="P146" i="10"/>
  <c r="O146" i="10"/>
  <c r="N146" i="10"/>
  <c r="M146" i="10"/>
  <c r="L146" i="10"/>
  <c r="K146" i="10"/>
  <c r="J146" i="10"/>
  <c r="H146" i="10"/>
  <c r="G146" i="10"/>
  <c r="F146" i="10"/>
  <c r="E146" i="10"/>
  <c r="D146" i="10"/>
  <c r="C146" i="10"/>
  <c r="AG145" i="10"/>
  <c r="AF145" i="10"/>
  <c r="AE145" i="10"/>
  <c r="AD145" i="10"/>
  <c r="AC145" i="10"/>
  <c r="AB145" i="10"/>
  <c r="AA145" i="10"/>
  <c r="Z145" i="10"/>
  <c r="Y145" i="10"/>
  <c r="W145" i="10"/>
  <c r="V145" i="10"/>
  <c r="U145" i="10"/>
  <c r="T145" i="10"/>
  <c r="S145" i="10"/>
  <c r="R145" i="10"/>
  <c r="P145" i="10"/>
  <c r="O145" i="10"/>
  <c r="N145" i="10"/>
  <c r="M145" i="10"/>
  <c r="L145" i="10"/>
  <c r="K145" i="10"/>
  <c r="J145" i="10"/>
  <c r="H145" i="10"/>
  <c r="G145" i="10"/>
  <c r="F145" i="10"/>
  <c r="E145" i="10"/>
  <c r="D145" i="10"/>
  <c r="C145" i="10"/>
  <c r="AG144" i="10"/>
  <c r="AF144" i="10"/>
  <c r="AE144" i="10"/>
  <c r="AD144" i="10"/>
  <c r="AC144" i="10"/>
  <c r="AB144" i="10"/>
  <c r="AA144" i="10"/>
  <c r="Z144" i="10"/>
  <c r="Y144" i="10"/>
  <c r="W144" i="10"/>
  <c r="V144" i="10"/>
  <c r="U144" i="10"/>
  <c r="T144" i="10"/>
  <c r="S144" i="10"/>
  <c r="R144" i="10"/>
  <c r="P144" i="10"/>
  <c r="O144" i="10"/>
  <c r="N144" i="10"/>
  <c r="M144" i="10"/>
  <c r="L144" i="10"/>
  <c r="K144" i="10"/>
  <c r="J144" i="10"/>
  <c r="H144" i="10"/>
  <c r="G144" i="10"/>
  <c r="F144" i="10"/>
  <c r="E144" i="10"/>
  <c r="D144" i="10"/>
  <c r="C144" i="10"/>
  <c r="AG143" i="10"/>
  <c r="AF143" i="10"/>
  <c r="AE143" i="10"/>
  <c r="AD143" i="10"/>
  <c r="AC143" i="10"/>
  <c r="AB143" i="10"/>
  <c r="AA143" i="10"/>
  <c r="Z143" i="10"/>
  <c r="Y143" i="10"/>
  <c r="W143" i="10"/>
  <c r="V143" i="10"/>
  <c r="U143" i="10"/>
  <c r="T143" i="10"/>
  <c r="S143" i="10"/>
  <c r="R143" i="10"/>
  <c r="P143" i="10"/>
  <c r="O143" i="10"/>
  <c r="N143" i="10"/>
  <c r="M143" i="10"/>
  <c r="L143" i="10"/>
  <c r="K143" i="10"/>
  <c r="J143" i="10"/>
  <c r="H143" i="10"/>
  <c r="G143" i="10"/>
  <c r="F143" i="10"/>
  <c r="E143" i="10"/>
  <c r="D143" i="10"/>
  <c r="C143" i="10"/>
  <c r="AG142" i="10"/>
  <c r="AF142" i="10"/>
  <c r="AE142" i="10"/>
  <c r="AD142" i="10"/>
  <c r="AC142" i="10"/>
  <c r="AB142" i="10"/>
  <c r="AA142" i="10"/>
  <c r="Z142" i="10"/>
  <c r="Y142" i="10"/>
  <c r="W142" i="10"/>
  <c r="V142" i="10"/>
  <c r="U142" i="10"/>
  <c r="T142" i="10"/>
  <c r="S142" i="10"/>
  <c r="R142" i="10"/>
  <c r="P142" i="10"/>
  <c r="O142" i="10"/>
  <c r="N142" i="10"/>
  <c r="M142" i="10"/>
  <c r="L142" i="10"/>
  <c r="K142" i="10"/>
  <c r="J142" i="10"/>
  <c r="H142" i="10"/>
  <c r="G142" i="10"/>
  <c r="F142" i="10"/>
  <c r="E142" i="10"/>
  <c r="D142" i="10"/>
  <c r="C142" i="10"/>
  <c r="AG141" i="10"/>
  <c r="AF141" i="10"/>
  <c r="AE141" i="10"/>
  <c r="AD141" i="10"/>
  <c r="AC141" i="10"/>
  <c r="AB141" i="10"/>
  <c r="AA141" i="10"/>
  <c r="Z141" i="10"/>
  <c r="Y141" i="10"/>
  <c r="W141" i="10"/>
  <c r="V141" i="10"/>
  <c r="U141" i="10"/>
  <c r="T141" i="10"/>
  <c r="S141" i="10"/>
  <c r="R141" i="10"/>
  <c r="P141" i="10"/>
  <c r="O141" i="10"/>
  <c r="N141" i="10"/>
  <c r="M141" i="10"/>
  <c r="L141" i="10"/>
  <c r="K141" i="10"/>
  <c r="J141" i="10"/>
  <c r="H141" i="10"/>
  <c r="G141" i="10"/>
  <c r="F141" i="10"/>
  <c r="E141" i="10"/>
  <c r="D141" i="10"/>
  <c r="C141" i="10"/>
  <c r="AG140" i="10"/>
  <c r="AF140" i="10"/>
  <c r="AE140" i="10"/>
  <c r="AD140" i="10"/>
  <c r="AC140" i="10"/>
  <c r="AB140" i="10"/>
  <c r="AA140" i="10"/>
  <c r="Z140" i="10"/>
  <c r="Y140" i="10"/>
  <c r="W140" i="10"/>
  <c r="V140" i="10"/>
  <c r="U140" i="10"/>
  <c r="T140" i="10"/>
  <c r="S140" i="10"/>
  <c r="R140" i="10"/>
  <c r="P140" i="10"/>
  <c r="O140" i="10"/>
  <c r="N140" i="10"/>
  <c r="M140" i="10"/>
  <c r="L140" i="10"/>
  <c r="K140" i="10"/>
  <c r="J140" i="10"/>
  <c r="H140" i="10"/>
  <c r="G140" i="10"/>
  <c r="F140" i="10"/>
  <c r="E140" i="10"/>
  <c r="D140" i="10"/>
  <c r="C140" i="10"/>
  <c r="AG139" i="10"/>
  <c r="AF139" i="10"/>
  <c r="AE139" i="10"/>
  <c r="AD139" i="10"/>
  <c r="AC139" i="10"/>
  <c r="AB139" i="10"/>
  <c r="AA139" i="10"/>
  <c r="Z139" i="10"/>
  <c r="Y139" i="10"/>
  <c r="W139" i="10"/>
  <c r="V139" i="10"/>
  <c r="U139" i="10"/>
  <c r="T139" i="10"/>
  <c r="S139" i="10"/>
  <c r="R139" i="10"/>
  <c r="P139" i="10"/>
  <c r="O139" i="10"/>
  <c r="N139" i="10"/>
  <c r="M139" i="10"/>
  <c r="L139" i="10"/>
  <c r="K139" i="10"/>
  <c r="J139" i="10"/>
  <c r="H139" i="10"/>
  <c r="G139" i="10"/>
  <c r="F139" i="10"/>
  <c r="E139" i="10"/>
  <c r="D139" i="10"/>
  <c r="C139" i="10"/>
  <c r="AG138" i="10"/>
  <c r="AF138" i="10"/>
  <c r="AE138" i="10"/>
  <c r="AD138" i="10"/>
  <c r="AC138" i="10"/>
  <c r="AB138" i="10"/>
  <c r="AA138" i="10"/>
  <c r="Z138" i="10"/>
  <c r="Y138" i="10"/>
  <c r="W138" i="10"/>
  <c r="V138" i="10"/>
  <c r="U138" i="10"/>
  <c r="T138" i="10"/>
  <c r="S138" i="10"/>
  <c r="R138" i="10"/>
  <c r="P138" i="10"/>
  <c r="O138" i="10"/>
  <c r="N138" i="10"/>
  <c r="M138" i="10"/>
  <c r="L138" i="10"/>
  <c r="K138" i="10"/>
  <c r="J138" i="10"/>
  <c r="H138" i="10"/>
  <c r="G138" i="10"/>
  <c r="F138" i="10"/>
  <c r="E138" i="10"/>
  <c r="D138" i="10"/>
  <c r="C138" i="10"/>
  <c r="AG137" i="10"/>
  <c r="AF137" i="10"/>
  <c r="AE137" i="10"/>
  <c r="AD137" i="10"/>
  <c r="AC137" i="10"/>
  <c r="AB137" i="10"/>
  <c r="AA137" i="10"/>
  <c r="Z137" i="10"/>
  <c r="Y137" i="10"/>
  <c r="W137" i="10"/>
  <c r="V137" i="10"/>
  <c r="U137" i="10"/>
  <c r="T137" i="10"/>
  <c r="S137" i="10"/>
  <c r="R137" i="10"/>
  <c r="P137" i="10"/>
  <c r="O137" i="10"/>
  <c r="N137" i="10"/>
  <c r="M137" i="10"/>
  <c r="L137" i="10"/>
  <c r="K137" i="10"/>
  <c r="J137" i="10"/>
  <c r="H137" i="10"/>
  <c r="G137" i="10"/>
  <c r="F137" i="10"/>
  <c r="E137" i="10"/>
  <c r="D137" i="10"/>
  <c r="C137" i="10"/>
  <c r="AG136" i="10"/>
  <c r="AF136" i="10"/>
  <c r="AE136" i="10"/>
  <c r="AD136" i="10"/>
  <c r="AC136" i="10"/>
  <c r="AB136" i="10"/>
  <c r="AA136" i="10"/>
  <c r="Z136" i="10"/>
  <c r="Y136" i="10"/>
  <c r="W136" i="10"/>
  <c r="V136" i="10"/>
  <c r="U136" i="10"/>
  <c r="T136" i="10"/>
  <c r="S136" i="10"/>
  <c r="R136" i="10"/>
  <c r="P136" i="10"/>
  <c r="O136" i="10"/>
  <c r="N136" i="10"/>
  <c r="M136" i="10"/>
  <c r="L136" i="10"/>
  <c r="K136" i="10"/>
  <c r="J136" i="10"/>
  <c r="H136" i="10"/>
  <c r="G136" i="10"/>
  <c r="F136" i="10"/>
  <c r="E136" i="10"/>
  <c r="D136" i="10"/>
  <c r="C136" i="10"/>
  <c r="AG135" i="10"/>
  <c r="AF135" i="10"/>
  <c r="AE135" i="10"/>
  <c r="AD135" i="10"/>
  <c r="AC135" i="10"/>
  <c r="AB135" i="10"/>
  <c r="AA135" i="10"/>
  <c r="Z135" i="10"/>
  <c r="Y135" i="10"/>
  <c r="W135" i="10"/>
  <c r="V135" i="10"/>
  <c r="U135" i="10"/>
  <c r="T135" i="10"/>
  <c r="S135" i="10"/>
  <c r="R135" i="10"/>
  <c r="P135" i="10"/>
  <c r="O135" i="10"/>
  <c r="N135" i="10"/>
  <c r="M135" i="10"/>
  <c r="L135" i="10"/>
  <c r="K135" i="10"/>
  <c r="J135" i="10"/>
  <c r="H135" i="10"/>
  <c r="G135" i="10"/>
  <c r="F135" i="10"/>
  <c r="E135" i="10"/>
  <c r="D135" i="10"/>
  <c r="C135" i="10"/>
  <c r="AG134" i="10"/>
  <c r="AF134" i="10"/>
  <c r="AE134" i="10"/>
  <c r="AD134" i="10"/>
  <c r="AC134" i="10"/>
  <c r="AB134" i="10"/>
  <c r="AA134" i="10"/>
  <c r="Z134" i="10"/>
  <c r="Y134" i="10"/>
  <c r="W134" i="10"/>
  <c r="V134" i="10"/>
  <c r="U134" i="10"/>
  <c r="T134" i="10"/>
  <c r="S134" i="10"/>
  <c r="R134" i="10"/>
  <c r="P134" i="10"/>
  <c r="O134" i="10"/>
  <c r="N134" i="10"/>
  <c r="M134" i="10"/>
  <c r="L134" i="10"/>
  <c r="K134" i="10"/>
  <c r="J134" i="10"/>
  <c r="H134" i="10"/>
  <c r="G134" i="10"/>
  <c r="F134" i="10"/>
  <c r="E134" i="10"/>
  <c r="D134" i="10"/>
  <c r="C134" i="10"/>
  <c r="AG133" i="10"/>
  <c r="AF133" i="10"/>
  <c r="AE133" i="10"/>
  <c r="AD133" i="10"/>
  <c r="AC133" i="10"/>
  <c r="AB133" i="10"/>
  <c r="AA133" i="10"/>
  <c r="Z133" i="10"/>
  <c r="Y133" i="10"/>
  <c r="W133" i="10"/>
  <c r="V133" i="10"/>
  <c r="X133" i="10" s="1"/>
  <c r="U133" i="10"/>
  <c r="T133" i="10"/>
  <c r="S133" i="10"/>
  <c r="R133" i="10"/>
  <c r="P133" i="10"/>
  <c r="O133" i="10"/>
  <c r="N133" i="10"/>
  <c r="M133" i="10"/>
  <c r="L133" i="10"/>
  <c r="K133" i="10"/>
  <c r="J133" i="10"/>
  <c r="H133" i="10"/>
  <c r="G133" i="10"/>
  <c r="F133" i="10"/>
  <c r="E133" i="10"/>
  <c r="D133" i="10"/>
  <c r="C133" i="10"/>
  <c r="AG132" i="10"/>
  <c r="AF132" i="10"/>
  <c r="AE132" i="10"/>
  <c r="AD132" i="10"/>
  <c r="AC132" i="10"/>
  <c r="AB132" i="10"/>
  <c r="AA132" i="10"/>
  <c r="Z132" i="10"/>
  <c r="Y132" i="10"/>
  <c r="W132" i="10"/>
  <c r="V132" i="10"/>
  <c r="U132" i="10"/>
  <c r="T132" i="10"/>
  <c r="S132" i="10"/>
  <c r="R132" i="10"/>
  <c r="P132" i="10"/>
  <c r="O132" i="10"/>
  <c r="N132" i="10"/>
  <c r="M132" i="10"/>
  <c r="L132" i="10"/>
  <c r="K132" i="10"/>
  <c r="J132" i="10"/>
  <c r="H132" i="10"/>
  <c r="G132" i="10"/>
  <c r="F132" i="10"/>
  <c r="E132" i="10"/>
  <c r="D132" i="10"/>
  <c r="C132" i="10"/>
  <c r="AG131" i="10"/>
  <c r="AF131" i="10"/>
  <c r="AE131" i="10"/>
  <c r="AD131" i="10"/>
  <c r="AC131" i="10"/>
  <c r="AB131" i="10"/>
  <c r="AA131" i="10"/>
  <c r="Z131" i="10"/>
  <c r="Y131" i="10"/>
  <c r="W131" i="10"/>
  <c r="V131" i="10"/>
  <c r="U131" i="10"/>
  <c r="T131" i="10"/>
  <c r="S131" i="10"/>
  <c r="R131" i="10"/>
  <c r="P131" i="10"/>
  <c r="O131" i="10"/>
  <c r="N131" i="10"/>
  <c r="M131" i="10"/>
  <c r="L131" i="10"/>
  <c r="K131" i="10"/>
  <c r="J131" i="10"/>
  <c r="H131" i="10"/>
  <c r="G131" i="10"/>
  <c r="F131" i="10"/>
  <c r="E131" i="10"/>
  <c r="D131" i="10"/>
  <c r="C131" i="10"/>
  <c r="AG130" i="10"/>
  <c r="AF130" i="10"/>
  <c r="AE130" i="10"/>
  <c r="AD130" i="10"/>
  <c r="AC130" i="10"/>
  <c r="AB130" i="10"/>
  <c r="AA130" i="10"/>
  <c r="Z130" i="10"/>
  <c r="Y130" i="10"/>
  <c r="W130" i="10"/>
  <c r="V130" i="10"/>
  <c r="U130" i="10"/>
  <c r="T130" i="10"/>
  <c r="S130" i="10"/>
  <c r="R130" i="10"/>
  <c r="P130" i="10"/>
  <c r="O130" i="10"/>
  <c r="N130" i="10"/>
  <c r="M130" i="10"/>
  <c r="L130" i="10"/>
  <c r="K130" i="10"/>
  <c r="J130" i="10"/>
  <c r="H130" i="10"/>
  <c r="G130" i="10"/>
  <c r="F130" i="10"/>
  <c r="E130" i="10"/>
  <c r="D130" i="10"/>
  <c r="C130" i="10"/>
  <c r="AG129" i="10"/>
  <c r="AF129" i="10"/>
  <c r="AE129" i="10"/>
  <c r="AD129" i="10"/>
  <c r="AC129" i="10"/>
  <c r="AB129" i="10"/>
  <c r="AA129" i="10"/>
  <c r="Z129" i="10"/>
  <c r="Y129" i="10"/>
  <c r="W129" i="10"/>
  <c r="V129" i="10"/>
  <c r="U129" i="10"/>
  <c r="T129" i="10"/>
  <c r="S129" i="10"/>
  <c r="R129" i="10"/>
  <c r="P129" i="10"/>
  <c r="O129" i="10"/>
  <c r="N129" i="10"/>
  <c r="M129" i="10"/>
  <c r="L129" i="10"/>
  <c r="K129" i="10"/>
  <c r="J129" i="10"/>
  <c r="H129" i="10"/>
  <c r="G129" i="10"/>
  <c r="F129" i="10"/>
  <c r="E129" i="10"/>
  <c r="D129" i="10"/>
  <c r="C129" i="10"/>
  <c r="AG128" i="10"/>
  <c r="AF128" i="10"/>
  <c r="AE128" i="10"/>
  <c r="AD128" i="10"/>
  <c r="AC128" i="10"/>
  <c r="AB128" i="10"/>
  <c r="AA128" i="10"/>
  <c r="Z128" i="10"/>
  <c r="Y128" i="10"/>
  <c r="W128" i="10"/>
  <c r="V128" i="10"/>
  <c r="U128" i="10"/>
  <c r="T128" i="10"/>
  <c r="S128" i="10"/>
  <c r="R128" i="10"/>
  <c r="P128" i="10"/>
  <c r="O128" i="10"/>
  <c r="N128" i="10"/>
  <c r="M128" i="10"/>
  <c r="L128" i="10"/>
  <c r="K128" i="10"/>
  <c r="J128" i="10"/>
  <c r="H128" i="10"/>
  <c r="G128" i="10"/>
  <c r="F128" i="10"/>
  <c r="E128" i="10"/>
  <c r="D128" i="10"/>
  <c r="AG127" i="10"/>
  <c r="AF127" i="10"/>
  <c r="AE127" i="10"/>
  <c r="AD127" i="10"/>
  <c r="AC127" i="10"/>
  <c r="AB127" i="10"/>
  <c r="AA127" i="10"/>
  <c r="Z127" i="10"/>
  <c r="Y127" i="10"/>
  <c r="W127" i="10"/>
  <c r="V127" i="10"/>
  <c r="U127" i="10"/>
  <c r="T127" i="10"/>
  <c r="S127" i="10"/>
  <c r="R127" i="10"/>
  <c r="P127" i="10"/>
  <c r="O127" i="10"/>
  <c r="N127" i="10"/>
  <c r="M127" i="10"/>
  <c r="L127" i="10"/>
  <c r="K127" i="10"/>
  <c r="J127" i="10"/>
  <c r="H127" i="10"/>
  <c r="G127" i="10"/>
  <c r="F127" i="10"/>
  <c r="E127" i="10"/>
  <c r="D127" i="10"/>
  <c r="AG126" i="10"/>
  <c r="AF126" i="10"/>
  <c r="AE126" i="10"/>
  <c r="AD126" i="10"/>
  <c r="AC126" i="10"/>
  <c r="AB126" i="10"/>
  <c r="AA126" i="10"/>
  <c r="Z126" i="10"/>
  <c r="Y126" i="10"/>
  <c r="W126" i="10"/>
  <c r="V126" i="10"/>
  <c r="U126" i="10"/>
  <c r="T126" i="10"/>
  <c r="S126" i="10"/>
  <c r="R126" i="10"/>
  <c r="P126" i="10"/>
  <c r="O126" i="10"/>
  <c r="N126" i="10"/>
  <c r="M126" i="10"/>
  <c r="L126" i="10"/>
  <c r="K126" i="10"/>
  <c r="J126" i="10"/>
  <c r="H126" i="10"/>
  <c r="G126" i="10"/>
  <c r="F126" i="10"/>
  <c r="E126" i="10"/>
  <c r="D126" i="10"/>
  <c r="AG125" i="10"/>
  <c r="AF125" i="10"/>
  <c r="AE125" i="10"/>
  <c r="AD125" i="10"/>
  <c r="AC125" i="10"/>
  <c r="AB125" i="10"/>
  <c r="AA125" i="10"/>
  <c r="Z125" i="10"/>
  <c r="Y125" i="10"/>
  <c r="W125" i="10"/>
  <c r="V125" i="10"/>
  <c r="U125" i="10"/>
  <c r="T125" i="10"/>
  <c r="S125" i="10"/>
  <c r="R125" i="10"/>
  <c r="P125" i="10"/>
  <c r="O125" i="10"/>
  <c r="N125" i="10"/>
  <c r="M125" i="10"/>
  <c r="L125" i="10"/>
  <c r="K125" i="10"/>
  <c r="J125" i="10"/>
  <c r="H125" i="10"/>
  <c r="G125" i="10"/>
  <c r="F125" i="10"/>
  <c r="E125" i="10"/>
  <c r="D125" i="10"/>
  <c r="AG124" i="10"/>
  <c r="AF124" i="10"/>
  <c r="AE124" i="10"/>
  <c r="AD124" i="10"/>
  <c r="AC124" i="10"/>
  <c r="AB124" i="10"/>
  <c r="AA124" i="10"/>
  <c r="Z124" i="10"/>
  <c r="Y124" i="10"/>
  <c r="W124" i="10"/>
  <c r="V124" i="10"/>
  <c r="U124" i="10"/>
  <c r="T124" i="10"/>
  <c r="S124" i="10"/>
  <c r="R124" i="10"/>
  <c r="P124" i="10"/>
  <c r="O124" i="10"/>
  <c r="N124" i="10"/>
  <c r="M124" i="10"/>
  <c r="L124" i="10"/>
  <c r="K124" i="10"/>
  <c r="J124" i="10"/>
  <c r="H124" i="10"/>
  <c r="G124" i="10"/>
  <c r="F124" i="10"/>
  <c r="E124" i="10"/>
  <c r="D124" i="10"/>
  <c r="AG123" i="10"/>
  <c r="AF123" i="10"/>
  <c r="AE123" i="10"/>
  <c r="AD123" i="10"/>
  <c r="AC123" i="10"/>
  <c r="AB123" i="10"/>
  <c r="AA123" i="10"/>
  <c r="Z123" i="10"/>
  <c r="Y123" i="10"/>
  <c r="W123" i="10"/>
  <c r="V123" i="10"/>
  <c r="U123" i="10"/>
  <c r="T123" i="10"/>
  <c r="S123" i="10"/>
  <c r="R123" i="10"/>
  <c r="P123" i="10"/>
  <c r="O123" i="10"/>
  <c r="N123" i="10"/>
  <c r="M123" i="10"/>
  <c r="L123" i="10"/>
  <c r="K123" i="10"/>
  <c r="J123" i="10"/>
  <c r="H123" i="10"/>
  <c r="G123" i="10"/>
  <c r="F123" i="10"/>
  <c r="E123" i="10"/>
  <c r="D123" i="10"/>
  <c r="AG122" i="10"/>
  <c r="AF122" i="10"/>
  <c r="AE122" i="10"/>
  <c r="AD122" i="10"/>
  <c r="AC122" i="10"/>
  <c r="AB122" i="10"/>
  <c r="AA122" i="10"/>
  <c r="Z122" i="10"/>
  <c r="Y122" i="10"/>
  <c r="W122" i="10"/>
  <c r="V122" i="10"/>
  <c r="U122" i="10"/>
  <c r="T122" i="10"/>
  <c r="S122" i="10"/>
  <c r="R122" i="10"/>
  <c r="P122" i="10"/>
  <c r="O122" i="10"/>
  <c r="N122" i="10"/>
  <c r="M122" i="10"/>
  <c r="L122" i="10"/>
  <c r="K122" i="10"/>
  <c r="J122" i="10"/>
  <c r="H122" i="10"/>
  <c r="G122" i="10"/>
  <c r="F122" i="10"/>
  <c r="E122" i="10"/>
  <c r="D122" i="10"/>
  <c r="AG121" i="10"/>
  <c r="AF121" i="10"/>
  <c r="AE121" i="10"/>
  <c r="AD121" i="10"/>
  <c r="AC121" i="10"/>
  <c r="AB121" i="10"/>
  <c r="AA121" i="10"/>
  <c r="Z121" i="10"/>
  <c r="Y121" i="10"/>
  <c r="W121" i="10"/>
  <c r="V121" i="10"/>
  <c r="U121" i="10"/>
  <c r="T121" i="10"/>
  <c r="S121" i="10"/>
  <c r="R121" i="10"/>
  <c r="P121" i="10"/>
  <c r="O121" i="10"/>
  <c r="N121" i="10"/>
  <c r="M121" i="10"/>
  <c r="L121" i="10"/>
  <c r="K121" i="10"/>
  <c r="J121" i="10"/>
  <c r="H121" i="10"/>
  <c r="G121" i="10"/>
  <c r="F121" i="10"/>
  <c r="E121" i="10"/>
  <c r="D121" i="10"/>
  <c r="AG120" i="10"/>
  <c r="AF120" i="10"/>
  <c r="AE120" i="10"/>
  <c r="AD120" i="10"/>
  <c r="AC120" i="10"/>
  <c r="AB120" i="10"/>
  <c r="AA120" i="10"/>
  <c r="Z120" i="10"/>
  <c r="Y120" i="10"/>
  <c r="W120" i="10"/>
  <c r="V120" i="10"/>
  <c r="U120" i="10"/>
  <c r="T120" i="10"/>
  <c r="S120" i="10"/>
  <c r="R120" i="10"/>
  <c r="P120" i="10"/>
  <c r="O120" i="10"/>
  <c r="N120" i="10"/>
  <c r="M120" i="10"/>
  <c r="L120" i="10"/>
  <c r="K120" i="10"/>
  <c r="J120" i="10"/>
  <c r="H120" i="10"/>
  <c r="G120" i="10"/>
  <c r="F120" i="10"/>
  <c r="E120" i="10"/>
  <c r="D120" i="10"/>
  <c r="AG119" i="10"/>
  <c r="AF119" i="10"/>
  <c r="AE119" i="10"/>
  <c r="AD119" i="10"/>
  <c r="AC119" i="10"/>
  <c r="AB119" i="10"/>
  <c r="AA119" i="10"/>
  <c r="Z119" i="10"/>
  <c r="Y119" i="10"/>
  <c r="W119" i="10"/>
  <c r="V119" i="10"/>
  <c r="U119" i="10"/>
  <c r="T119" i="10"/>
  <c r="S119" i="10"/>
  <c r="R119" i="10"/>
  <c r="P119" i="10"/>
  <c r="O119" i="10"/>
  <c r="N119" i="10"/>
  <c r="M119" i="10"/>
  <c r="L119" i="10"/>
  <c r="K119" i="10"/>
  <c r="J119" i="10"/>
  <c r="H119" i="10"/>
  <c r="G119" i="10"/>
  <c r="F119" i="10"/>
  <c r="E119" i="10"/>
  <c r="D119" i="10"/>
  <c r="AG118" i="10"/>
  <c r="AF118" i="10"/>
  <c r="AE118" i="10"/>
  <c r="AD118" i="10"/>
  <c r="AC118" i="10"/>
  <c r="AB118" i="10"/>
  <c r="AA118" i="10"/>
  <c r="Z118" i="10"/>
  <c r="Y118" i="10"/>
  <c r="W118" i="10"/>
  <c r="V118" i="10"/>
  <c r="U118" i="10"/>
  <c r="T118" i="10"/>
  <c r="S118" i="10"/>
  <c r="R118" i="10"/>
  <c r="P118" i="10"/>
  <c r="O118" i="10"/>
  <c r="N118" i="10"/>
  <c r="M118" i="10"/>
  <c r="L118" i="10"/>
  <c r="K118" i="10"/>
  <c r="J118" i="10"/>
  <c r="H118" i="10"/>
  <c r="G118" i="10"/>
  <c r="F118" i="10"/>
  <c r="E118" i="10"/>
  <c r="D118" i="10"/>
  <c r="AG117" i="10"/>
  <c r="AF117" i="10"/>
  <c r="AE117" i="10"/>
  <c r="AD117" i="10"/>
  <c r="AC117" i="10"/>
  <c r="AB117" i="10"/>
  <c r="AA117" i="10"/>
  <c r="Z117" i="10"/>
  <c r="Y117" i="10"/>
  <c r="W117" i="10"/>
  <c r="V117" i="10"/>
  <c r="U117" i="10"/>
  <c r="T117" i="10"/>
  <c r="S117" i="10"/>
  <c r="R117" i="10"/>
  <c r="P117" i="10"/>
  <c r="O117" i="10"/>
  <c r="N117" i="10"/>
  <c r="M117" i="10"/>
  <c r="L117" i="10"/>
  <c r="K117" i="10"/>
  <c r="J117" i="10"/>
  <c r="H117" i="10"/>
  <c r="G117" i="10"/>
  <c r="F117" i="10"/>
  <c r="E117" i="10"/>
  <c r="D117" i="10"/>
  <c r="AG116" i="10"/>
  <c r="AF116" i="10"/>
  <c r="AE116" i="10"/>
  <c r="AD116" i="10"/>
  <c r="AC116" i="10"/>
  <c r="AB116" i="10"/>
  <c r="AA116" i="10"/>
  <c r="Z116" i="10"/>
  <c r="Y116" i="10"/>
  <c r="W116" i="10"/>
  <c r="V116" i="10"/>
  <c r="U116" i="10"/>
  <c r="T116" i="10"/>
  <c r="S116" i="10"/>
  <c r="R116" i="10"/>
  <c r="P116" i="10"/>
  <c r="O116" i="10"/>
  <c r="N116" i="10"/>
  <c r="M116" i="10"/>
  <c r="L116" i="10"/>
  <c r="K116" i="10"/>
  <c r="J116" i="10"/>
  <c r="H116" i="10"/>
  <c r="G116" i="10"/>
  <c r="F116" i="10"/>
  <c r="E116" i="10"/>
  <c r="D116" i="10"/>
  <c r="AG115" i="10"/>
  <c r="AF115" i="10"/>
  <c r="AE115" i="10"/>
  <c r="AD115" i="10"/>
  <c r="AC115" i="10"/>
  <c r="AB115" i="10"/>
  <c r="AA115" i="10"/>
  <c r="Z115" i="10"/>
  <c r="Y115" i="10"/>
  <c r="W115" i="10"/>
  <c r="V115" i="10"/>
  <c r="U115" i="10"/>
  <c r="T115" i="10"/>
  <c r="S115" i="10"/>
  <c r="R115" i="10"/>
  <c r="P115" i="10"/>
  <c r="O115" i="10"/>
  <c r="N115" i="10"/>
  <c r="M115" i="10"/>
  <c r="L115" i="10"/>
  <c r="K115" i="10"/>
  <c r="J115" i="10"/>
  <c r="H115" i="10"/>
  <c r="G115" i="10"/>
  <c r="F115" i="10"/>
  <c r="E115" i="10"/>
  <c r="D115" i="10"/>
  <c r="AG114" i="10"/>
  <c r="AF114" i="10"/>
  <c r="AE114" i="10"/>
  <c r="AD114" i="10"/>
  <c r="AC114" i="10"/>
  <c r="AB114" i="10"/>
  <c r="AA114" i="10"/>
  <c r="Z114" i="10"/>
  <c r="Y114" i="10"/>
  <c r="W114" i="10"/>
  <c r="V114" i="10"/>
  <c r="U114" i="10"/>
  <c r="T114" i="10"/>
  <c r="S114" i="10"/>
  <c r="R114" i="10"/>
  <c r="P114" i="10"/>
  <c r="O114" i="10"/>
  <c r="N114" i="10"/>
  <c r="M114" i="10"/>
  <c r="L114" i="10"/>
  <c r="K114" i="10"/>
  <c r="J114" i="10"/>
  <c r="H114" i="10"/>
  <c r="G114" i="10"/>
  <c r="F114" i="10"/>
  <c r="E114" i="10"/>
  <c r="D114" i="10"/>
  <c r="AG113" i="10"/>
  <c r="AF113" i="10"/>
  <c r="AE113" i="10"/>
  <c r="AD113" i="10"/>
  <c r="AC113" i="10"/>
  <c r="AB113" i="10"/>
  <c r="AA113" i="10"/>
  <c r="Z113" i="10"/>
  <c r="Y113" i="10"/>
  <c r="W113" i="10"/>
  <c r="V113" i="10"/>
  <c r="U113" i="10"/>
  <c r="T113" i="10"/>
  <c r="S113" i="10"/>
  <c r="R113" i="10"/>
  <c r="P113" i="10"/>
  <c r="O113" i="10"/>
  <c r="N113" i="10"/>
  <c r="M113" i="10"/>
  <c r="L113" i="10"/>
  <c r="K113" i="10"/>
  <c r="J113" i="10"/>
  <c r="H113" i="10"/>
  <c r="G113" i="10"/>
  <c r="F113" i="10"/>
  <c r="E113" i="10"/>
  <c r="D113" i="10"/>
  <c r="AG112" i="10"/>
  <c r="AF112" i="10"/>
  <c r="AE112" i="10"/>
  <c r="AD112" i="10"/>
  <c r="AC112" i="10"/>
  <c r="AB112" i="10"/>
  <c r="AA112" i="10"/>
  <c r="Z112" i="10"/>
  <c r="Y112" i="10"/>
  <c r="W112" i="10"/>
  <c r="V112" i="10"/>
  <c r="U112" i="10"/>
  <c r="T112" i="10"/>
  <c r="S112" i="10"/>
  <c r="R112" i="10"/>
  <c r="P112" i="10"/>
  <c r="O112" i="10"/>
  <c r="N112" i="10"/>
  <c r="M112" i="10"/>
  <c r="L112" i="10"/>
  <c r="K112" i="10"/>
  <c r="J112" i="10"/>
  <c r="H112" i="10"/>
  <c r="G112" i="10"/>
  <c r="F112" i="10"/>
  <c r="E112" i="10"/>
  <c r="D112" i="10"/>
  <c r="AG111" i="10"/>
  <c r="AF111" i="10"/>
  <c r="AE111" i="10"/>
  <c r="AD111" i="10"/>
  <c r="AC111" i="10"/>
  <c r="AB111" i="10"/>
  <c r="AA111" i="10"/>
  <c r="Z111" i="10"/>
  <c r="Y111" i="10"/>
  <c r="W111" i="10"/>
  <c r="V111" i="10"/>
  <c r="U111" i="10"/>
  <c r="T111" i="10"/>
  <c r="S111" i="10"/>
  <c r="R111" i="10"/>
  <c r="P111" i="10"/>
  <c r="O111" i="10"/>
  <c r="N111" i="10"/>
  <c r="M111" i="10"/>
  <c r="L111" i="10"/>
  <c r="K111" i="10"/>
  <c r="J111" i="10"/>
  <c r="H111" i="10"/>
  <c r="G111" i="10"/>
  <c r="F111" i="10"/>
  <c r="E111" i="10"/>
  <c r="D111" i="10"/>
  <c r="AG110" i="10"/>
  <c r="AF110" i="10"/>
  <c r="AE110" i="10"/>
  <c r="AD110" i="10"/>
  <c r="AC110" i="10"/>
  <c r="AB110" i="10"/>
  <c r="AA110" i="10"/>
  <c r="Z110" i="10"/>
  <c r="Y110" i="10"/>
  <c r="W110" i="10"/>
  <c r="V110" i="10"/>
  <c r="U110" i="10"/>
  <c r="T110" i="10"/>
  <c r="S110" i="10"/>
  <c r="R110" i="10"/>
  <c r="P110" i="10"/>
  <c r="O110" i="10"/>
  <c r="N110" i="10"/>
  <c r="M110" i="10"/>
  <c r="L110" i="10"/>
  <c r="K110" i="10"/>
  <c r="J110" i="10"/>
  <c r="H110" i="10"/>
  <c r="G110" i="10"/>
  <c r="F110" i="10"/>
  <c r="E110" i="10"/>
  <c r="D110" i="10"/>
  <c r="AG109" i="10"/>
  <c r="AF109" i="10"/>
  <c r="AE109" i="10"/>
  <c r="AD109" i="10"/>
  <c r="AC109" i="10"/>
  <c r="AB109" i="10"/>
  <c r="AA109" i="10"/>
  <c r="Z109" i="10"/>
  <c r="Y109" i="10"/>
  <c r="W109" i="10"/>
  <c r="V109" i="10"/>
  <c r="U109" i="10"/>
  <c r="T109" i="10"/>
  <c r="S109" i="10"/>
  <c r="R109" i="10"/>
  <c r="P109" i="10"/>
  <c r="O109" i="10"/>
  <c r="N109" i="10"/>
  <c r="M109" i="10"/>
  <c r="L109" i="10"/>
  <c r="K109" i="10"/>
  <c r="J109" i="10"/>
  <c r="H109" i="10"/>
  <c r="G109" i="10"/>
  <c r="F109" i="10"/>
  <c r="E109" i="10"/>
  <c r="D109" i="10"/>
  <c r="AG108" i="10"/>
  <c r="AF108" i="10"/>
  <c r="AE108" i="10"/>
  <c r="AD108" i="10"/>
  <c r="AC108" i="10"/>
  <c r="AB108" i="10"/>
  <c r="AA108" i="10"/>
  <c r="Z108" i="10"/>
  <c r="Y108" i="10"/>
  <c r="W108" i="10"/>
  <c r="V108" i="10"/>
  <c r="U108" i="10"/>
  <c r="T108" i="10"/>
  <c r="S108" i="10"/>
  <c r="R108" i="10"/>
  <c r="P108" i="10"/>
  <c r="O108" i="10"/>
  <c r="N108" i="10"/>
  <c r="M108" i="10"/>
  <c r="L108" i="10"/>
  <c r="K108" i="10"/>
  <c r="J108" i="10"/>
  <c r="H108" i="10"/>
  <c r="G108" i="10"/>
  <c r="F108" i="10"/>
  <c r="E108" i="10"/>
  <c r="D108" i="10"/>
  <c r="AG107" i="10"/>
  <c r="AF107" i="10"/>
  <c r="AE107" i="10"/>
  <c r="AD107" i="10"/>
  <c r="AC107" i="10"/>
  <c r="AB107" i="10"/>
  <c r="AA107" i="10"/>
  <c r="Z107" i="10"/>
  <c r="Y107" i="10"/>
  <c r="W107" i="10"/>
  <c r="V107" i="10"/>
  <c r="U107" i="10"/>
  <c r="T107" i="10"/>
  <c r="S107" i="10"/>
  <c r="R107" i="10"/>
  <c r="P107" i="10"/>
  <c r="O107" i="10"/>
  <c r="N107" i="10"/>
  <c r="M107" i="10"/>
  <c r="L107" i="10"/>
  <c r="K107" i="10"/>
  <c r="J107" i="10"/>
  <c r="H107" i="10"/>
  <c r="G107" i="10"/>
  <c r="F107" i="10"/>
  <c r="E107" i="10"/>
  <c r="D107" i="10"/>
  <c r="AG106" i="10"/>
  <c r="AF106" i="10"/>
  <c r="AE106" i="10"/>
  <c r="AD106" i="10"/>
  <c r="AC106" i="10"/>
  <c r="AB106" i="10"/>
  <c r="AA106" i="10"/>
  <c r="Z106" i="10"/>
  <c r="Y106" i="10"/>
  <c r="W106" i="10"/>
  <c r="V106" i="10"/>
  <c r="U106" i="10"/>
  <c r="T106" i="10"/>
  <c r="S106" i="10"/>
  <c r="R106" i="10"/>
  <c r="P106" i="10"/>
  <c r="O106" i="10"/>
  <c r="N106" i="10"/>
  <c r="M106" i="10"/>
  <c r="L106" i="10"/>
  <c r="K106" i="10"/>
  <c r="J106" i="10"/>
  <c r="H106" i="10"/>
  <c r="G106" i="10"/>
  <c r="F106" i="10"/>
  <c r="E106" i="10"/>
  <c r="D106" i="10"/>
  <c r="AG105" i="10"/>
  <c r="AF105" i="10"/>
  <c r="AE105" i="10"/>
  <c r="AD105" i="10"/>
  <c r="AC105" i="10"/>
  <c r="AB105" i="10"/>
  <c r="AA105" i="10"/>
  <c r="Z105" i="10"/>
  <c r="Y105" i="10"/>
  <c r="W105" i="10"/>
  <c r="V105" i="10"/>
  <c r="U105" i="10"/>
  <c r="T105" i="10"/>
  <c r="S105" i="10"/>
  <c r="R105" i="10"/>
  <c r="P105" i="10"/>
  <c r="O105" i="10"/>
  <c r="N105" i="10"/>
  <c r="M105" i="10"/>
  <c r="L105" i="10"/>
  <c r="K105" i="10"/>
  <c r="J105" i="10"/>
  <c r="H105" i="10"/>
  <c r="G105" i="10"/>
  <c r="F105" i="10"/>
  <c r="E105" i="10"/>
  <c r="D105" i="10"/>
  <c r="AG104" i="10"/>
  <c r="AF104" i="10"/>
  <c r="AE104" i="10"/>
  <c r="AD104" i="10"/>
  <c r="AC104" i="10"/>
  <c r="AB104" i="10"/>
  <c r="AA104" i="10"/>
  <c r="Z104" i="10"/>
  <c r="Y104" i="10"/>
  <c r="W104" i="10"/>
  <c r="V104" i="10"/>
  <c r="U104" i="10"/>
  <c r="T104" i="10"/>
  <c r="S104" i="10"/>
  <c r="R104" i="10"/>
  <c r="P104" i="10"/>
  <c r="O104" i="10"/>
  <c r="N104" i="10"/>
  <c r="M104" i="10"/>
  <c r="L104" i="10"/>
  <c r="K104" i="10"/>
  <c r="J104" i="10"/>
  <c r="H104" i="10"/>
  <c r="G104" i="10"/>
  <c r="F104" i="10"/>
  <c r="E104" i="10"/>
  <c r="D104" i="10"/>
  <c r="AG103" i="10"/>
  <c r="AF103" i="10"/>
  <c r="AE103" i="10"/>
  <c r="AD103" i="10"/>
  <c r="AC103" i="10"/>
  <c r="AB103" i="10"/>
  <c r="AA103" i="10"/>
  <c r="Z103" i="10"/>
  <c r="Y103" i="10"/>
  <c r="W103" i="10"/>
  <c r="V103" i="10"/>
  <c r="U103" i="10"/>
  <c r="T103" i="10"/>
  <c r="S103" i="10"/>
  <c r="R103" i="10"/>
  <c r="P103" i="10"/>
  <c r="O103" i="10"/>
  <c r="N103" i="10"/>
  <c r="M103" i="10"/>
  <c r="L103" i="10"/>
  <c r="K103" i="10"/>
  <c r="J103" i="10"/>
  <c r="H103" i="10"/>
  <c r="G103" i="10"/>
  <c r="F103" i="10"/>
  <c r="E103" i="10"/>
  <c r="D103" i="10"/>
  <c r="AG102" i="10"/>
  <c r="AF102" i="10"/>
  <c r="AE102" i="10"/>
  <c r="AD102" i="10"/>
  <c r="AC102" i="10"/>
  <c r="AB102" i="10"/>
  <c r="AA102" i="10"/>
  <c r="Z102" i="10"/>
  <c r="Y102" i="10"/>
  <c r="W102" i="10"/>
  <c r="V102" i="10"/>
  <c r="U102" i="10"/>
  <c r="T102" i="10"/>
  <c r="S102" i="10"/>
  <c r="R102" i="10"/>
  <c r="P102" i="10"/>
  <c r="O102" i="10"/>
  <c r="N102" i="10"/>
  <c r="M102" i="10"/>
  <c r="L102" i="10"/>
  <c r="K102" i="10"/>
  <c r="J102" i="10"/>
  <c r="H102" i="10"/>
  <c r="G102" i="10"/>
  <c r="F102" i="10"/>
  <c r="E102" i="10"/>
  <c r="D102" i="10"/>
  <c r="AG101" i="10"/>
  <c r="AF101" i="10"/>
  <c r="AE101" i="10"/>
  <c r="AD101" i="10"/>
  <c r="AC101" i="10"/>
  <c r="AB101" i="10"/>
  <c r="AA101" i="10"/>
  <c r="Z101" i="10"/>
  <c r="Y101" i="10"/>
  <c r="W101" i="10"/>
  <c r="V101" i="10"/>
  <c r="U101" i="10"/>
  <c r="T101" i="10"/>
  <c r="S101" i="10"/>
  <c r="R101" i="10"/>
  <c r="P101" i="10"/>
  <c r="O101" i="10"/>
  <c r="N101" i="10"/>
  <c r="M101" i="10"/>
  <c r="L101" i="10"/>
  <c r="K101" i="10"/>
  <c r="J101" i="10"/>
  <c r="H101" i="10"/>
  <c r="G101" i="10"/>
  <c r="F101" i="10"/>
  <c r="E101" i="10"/>
  <c r="D101" i="10"/>
  <c r="AG100" i="10"/>
  <c r="AF100" i="10"/>
  <c r="AE100" i="10"/>
  <c r="AD100" i="10"/>
  <c r="AC100" i="10"/>
  <c r="AB100" i="10"/>
  <c r="AA100" i="10"/>
  <c r="Z100" i="10"/>
  <c r="Y100" i="10"/>
  <c r="W100" i="10"/>
  <c r="V100" i="10"/>
  <c r="U100" i="10"/>
  <c r="T100" i="10"/>
  <c r="S100" i="10"/>
  <c r="R100" i="10"/>
  <c r="P100" i="10"/>
  <c r="O100" i="10"/>
  <c r="N100" i="10"/>
  <c r="M100" i="10"/>
  <c r="L100" i="10"/>
  <c r="K100" i="10"/>
  <c r="J100" i="10"/>
  <c r="H100" i="10"/>
  <c r="G100" i="10"/>
  <c r="F100" i="10"/>
  <c r="E100" i="10"/>
  <c r="D100" i="10"/>
  <c r="AG99" i="10"/>
  <c r="AF99" i="10"/>
  <c r="AE99" i="10"/>
  <c r="AD99" i="10"/>
  <c r="AC99" i="10"/>
  <c r="AB99" i="10"/>
  <c r="AA99" i="10"/>
  <c r="Z99" i="10"/>
  <c r="Y99" i="10"/>
  <c r="W99" i="10"/>
  <c r="V99" i="10"/>
  <c r="U99" i="10"/>
  <c r="T99" i="10"/>
  <c r="S99" i="10"/>
  <c r="R99" i="10"/>
  <c r="P99" i="10"/>
  <c r="O99" i="10"/>
  <c r="N99" i="10"/>
  <c r="M99" i="10"/>
  <c r="L99" i="10"/>
  <c r="K99" i="10"/>
  <c r="J99" i="10"/>
  <c r="H99" i="10"/>
  <c r="G99" i="10"/>
  <c r="F99" i="10"/>
  <c r="E99" i="10"/>
  <c r="D99" i="10"/>
  <c r="AG98" i="10"/>
  <c r="AF98" i="10"/>
  <c r="AE98" i="10"/>
  <c r="AD98" i="10"/>
  <c r="AC98" i="10"/>
  <c r="AB98" i="10"/>
  <c r="AA98" i="10"/>
  <c r="Z98" i="10"/>
  <c r="Y98" i="10"/>
  <c r="W98" i="10"/>
  <c r="V98" i="10"/>
  <c r="U98" i="10"/>
  <c r="T98" i="10"/>
  <c r="S98" i="10"/>
  <c r="R98" i="10"/>
  <c r="P98" i="10"/>
  <c r="O98" i="10"/>
  <c r="N98" i="10"/>
  <c r="M98" i="10"/>
  <c r="L98" i="10"/>
  <c r="K98" i="10"/>
  <c r="J98" i="10"/>
  <c r="H98" i="10"/>
  <c r="G98" i="10"/>
  <c r="F98" i="10"/>
  <c r="E98" i="10"/>
  <c r="D98" i="10"/>
  <c r="AG97" i="10"/>
  <c r="AF97" i="10"/>
  <c r="AE97" i="10"/>
  <c r="AD97" i="10"/>
  <c r="AC97" i="10"/>
  <c r="AB97" i="10"/>
  <c r="AA97" i="10"/>
  <c r="Z97" i="10"/>
  <c r="Y97" i="10"/>
  <c r="W97" i="10"/>
  <c r="V97" i="10"/>
  <c r="U97" i="10"/>
  <c r="T97" i="10"/>
  <c r="S97" i="10"/>
  <c r="R97" i="10"/>
  <c r="P97" i="10"/>
  <c r="O97" i="10"/>
  <c r="N97" i="10"/>
  <c r="M97" i="10"/>
  <c r="L97" i="10"/>
  <c r="K97" i="10"/>
  <c r="J97" i="10"/>
  <c r="H97" i="10"/>
  <c r="G97" i="10"/>
  <c r="F97" i="10"/>
  <c r="E97" i="10"/>
  <c r="D97" i="10"/>
  <c r="AG96" i="10"/>
  <c r="AF96" i="10"/>
  <c r="AE96" i="10"/>
  <c r="AD96" i="10"/>
  <c r="AC96" i="10"/>
  <c r="AB96" i="10"/>
  <c r="AA96" i="10"/>
  <c r="Z96" i="10"/>
  <c r="Y96" i="10"/>
  <c r="W96" i="10"/>
  <c r="V96" i="10"/>
  <c r="U96" i="10"/>
  <c r="T96" i="10"/>
  <c r="S96" i="10"/>
  <c r="R96" i="10"/>
  <c r="P96" i="10"/>
  <c r="O96" i="10"/>
  <c r="N96" i="10"/>
  <c r="M96" i="10"/>
  <c r="L96" i="10"/>
  <c r="K96" i="10"/>
  <c r="J96" i="10"/>
  <c r="H96" i="10"/>
  <c r="G96" i="10"/>
  <c r="F96" i="10"/>
  <c r="E96" i="10"/>
  <c r="D96" i="10"/>
  <c r="AG95" i="10"/>
  <c r="AF95" i="10"/>
  <c r="AE95" i="10"/>
  <c r="AD95" i="10"/>
  <c r="AC95" i="10"/>
  <c r="AB95" i="10"/>
  <c r="AA95" i="10"/>
  <c r="Z95" i="10"/>
  <c r="Y95" i="10"/>
  <c r="W95" i="10"/>
  <c r="V95" i="10"/>
  <c r="U95" i="10"/>
  <c r="T95" i="10"/>
  <c r="S95" i="10"/>
  <c r="R95" i="10"/>
  <c r="P95" i="10"/>
  <c r="O95" i="10"/>
  <c r="N95" i="10"/>
  <c r="M95" i="10"/>
  <c r="L95" i="10"/>
  <c r="K95" i="10"/>
  <c r="J95" i="10"/>
  <c r="H95" i="10"/>
  <c r="G95" i="10"/>
  <c r="F95" i="10"/>
  <c r="E95" i="10"/>
  <c r="D95" i="10"/>
  <c r="AG94" i="10"/>
  <c r="AF94" i="10"/>
  <c r="AE94" i="10"/>
  <c r="AD94" i="10"/>
  <c r="AC94" i="10"/>
  <c r="AB94" i="10"/>
  <c r="AA94" i="10"/>
  <c r="Z94" i="10"/>
  <c r="Y94" i="10"/>
  <c r="W94" i="10"/>
  <c r="V94" i="10"/>
  <c r="U94" i="10"/>
  <c r="T94" i="10"/>
  <c r="S94" i="10"/>
  <c r="R94" i="10"/>
  <c r="P94" i="10"/>
  <c r="O94" i="10"/>
  <c r="N94" i="10"/>
  <c r="M94" i="10"/>
  <c r="L94" i="10"/>
  <c r="K94" i="10"/>
  <c r="J94" i="10"/>
  <c r="H94" i="10"/>
  <c r="G94" i="10"/>
  <c r="F94" i="10"/>
  <c r="E94" i="10"/>
  <c r="D94" i="10"/>
  <c r="AG93" i="10"/>
  <c r="AF93" i="10"/>
  <c r="AE93" i="10"/>
  <c r="AD93" i="10"/>
  <c r="AC93" i="10"/>
  <c r="AB93" i="10"/>
  <c r="AA93" i="10"/>
  <c r="Z93" i="10"/>
  <c r="Y93" i="10"/>
  <c r="W93" i="10"/>
  <c r="V93" i="10"/>
  <c r="U93" i="10"/>
  <c r="T93" i="10"/>
  <c r="S93" i="10"/>
  <c r="R93" i="10"/>
  <c r="P93" i="10"/>
  <c r="O93" i="10"/>
  <c r="N93" i="10"/>
  <c r="M93" i="10"/>
  <c r="L93" i="10"/>
  <c r="K93" i="10"/>
  <c r="J93" i="10"/>
  <c r="H93" i="10"/>
  <c r="G93" i="10"/>
  <c r="F93" i="10"/>
  <c r="E93" i="10"/>
  <c r="D93" i="10"/>
  <c r="AG92" i="10"/>
  <c r="AF92" i="10"/>
  <c r="AE92" i="10"/>
  <c r="AD92" i="10"/>
  <c r="AC92" i="10"/>
  <c r="AB92" i="10"/>
  <c r="AA92" i="10"/>
  <c r="Z92" i="10"/>
  <c r="Y92" i="10"/>
  <c r="W92" i="10"/>
  <c r="V92" i="10"/>
  <c r="U92" i="10"/>
  <c r="T92" i="10"/>
  <c r="S92" i="10"/>
  <c r="R92" i="10"/>
  <c r="P92" i="10"/>
  <c r="O92" i="10"/>
  <c r="N92" i="10"/>
  <c r="M92" i="10"/>
  <c r="L92" i="10"/>
  <c r="K92" i="10"/>
  <c r="J92" i="10"/>
  <c r="H92" i="10"/>
  <c r="G92" i="10"/>
  <c r="F92" i="10"/>
  <c r="E92" i="10"/>
  <c r="D92" i="10"/>
  <c r="AG91" i="10"/>
  <c r="AF91" i="10"/>
  <c r="AE91" i="10"/>
  <c r="AD91" i="10"/>
  <c r="AC91" i="10"/>
  <c r="AB91" i="10"/>
  <c r="AA91" i="10"/>
  <c r="Z91" i="10"/>
  <c r="Y91" i="10"/>
  <c r="W91" i="10"/>
  <c r="V91" i="10"/>
  <c r="U91" i="10"/>
  <c r="T91" i="10"/>
  <c r="S91" i="10"/>
  <c r="R91" i="10"/>
  <c r="P91" i="10"/>
  <c r="O91" i="10"/>
  <c r="N91" i="10"/>
  <c r="M91" i="10"/>
  <c r="L91" i="10"/>
  <c r="K91" i="10"/>
  <c r="J91" i="10"/>
  <c r="H91" i="10"/>
  <c r="G91" i="10"/>
  <c r="F91" i="10"/>
  <c r="E91" i="10"/>
  <c r="D91" i="10"/>
  <c r="AG90" i="10"/>
  <c r="AF90" i="10"/>
  <c r="AE90" i="10"/>
  <c r="AD90" i="10"/>
  <c r="AC90" i="10"/>
  <c r="AB90" i="10"/>
  <c r="AA90" i="10"/>
  <c r="Z90" i="10"/>
  <c r="Y90" i="10"/>
  <c r="W90" i="10"/>
  <c r="V90" i="10"/>
  <c r="U90" i="10"/>
  <c r="T90" i="10"/>
  <c r="S90" i="10"/>
  <c r="R90" i="10"/>
  <c r="P90" i="10"/>
  <c r="O90" i="10"/>
  <c r="N90" i="10"/>
  <c r="M90" i="10"/>
  <c r="L90" i="10"/>
  <c r="K90" i="10"/>
  <c r="J90" i="10"/>
  <c r="H90" i="10"/>
  <c r="G90" i="10"/>
  <c r="F90" i="10"/>
  <c r="E90" i="10"/>
  <c r="D90" i="10"/>
  <c r="AG89" i="10"/>
  <c r="AF89" i="10"/>
  <c r="AE89" i="10"/>
  <c r="AD89" i="10"/>
  <c r="AC89" i="10"/>
  <c r="AB89" i="10"/>
  <c r="AA89" i="10"/>
  <c r="Z89" i="10"/>
  <c r="Y89" i="10"/>
  <c r="W89" i="10"/>
  <c r="V89" i="10"/>
  <c r="U89" i="10"/>
  <c r="T89" i="10"/>
  <c r="S89" i="10"/>
  <c r="R89" i="10"/>
  <c r="P89" i="10"/>
  <c r="O89" i="10"/>
  <c r="N89" i="10"/>
  <c r="M89" i="10"/>
  <c r="L89" i="10"/>
  <c r="K89" i="10"/>
  <c r="J89" i="10"/>
  <c r="H89" i="10"/>
  <c r="G89" i="10"/>
  <c r="F89" i="10"/>
  <c r="E89" i="10"/>
  <c r="D89" i="10"/>
  <c r="AG88" i="10"/>
  <c r="AF88" i="10"/>
  <c r="AE88" i="10"/>
  <c r="AD88" i="10"/>
  <c r="AC88" i="10"/>
  <c r="AB88" i="10"/>
  <c r="AA88" i="10"/>
  <c r="Z88" i="10"/>
  <c r="Y88" i="10"/>
  <c r="W88" i="10"/>
  <c r="V88" i="10"/>
  <c r="U88" i="10"/>
  <c r="T88" i="10"/>
  <c r="S88" i="10"/>
  <c r="R88" i="10"/>
  <c r="P88" i="10"/>
  <c r="O88" i="10"/>
  <c r="N88" i="10"/>
  <c r="M88" i="10"/>
  <c r="L88" i="10"/>
  <c r="K88" i="10"/>
  <c r="J88" i="10"/>
  <c r="H88" i="10"/>
  <c r="G88" i="10"/>
  <c r="F88" i="10"/>
  <c r="E88" i="10"/>
  <c r="D88" i="10"/>
  <c r="AG87" i="10"/>
  <c r="AF87" i="10"/>
  <c r="AE87" i="10"/>
  <c r="AD87" i="10"/>
  <c r="AC87" i="10"/>
  <c r="AB87" i="10"/>
  <c r="AA87" i="10"/>
  <c r="Z87" i="10"/>
  <c r="Y87" i="10"/>
  <c r="W87" i="10"/>
  <c r="V87" i="10"/>
  <c r="U87" i="10"/>
  <c r="T87" i="10"/>
  <c r="S87" i="10"/>
  <c r="R87" i="10"/>
  <c r="P87" i="10"/>
  <c r="O87" i="10"/>
  <c r="N87" i="10"/>
  <c r="M87" i="10"/>
  <c r="L87" i="10"/>
  <c r="K87" i="10"/>
  <c r="J87" i="10"/>
  <c r="H87" i="10"/>
  <c r="G87" i="10"/>
  <c r="F87" i="10"/>
  <c r="E87" i="10"/>
  <c r="D87" i="10"/>
  <c r="AG86" i="10"/>
  <c r="AF86" i="10"/>
  <c r="AE86" i="10"/>
  <c r="AD86" i="10"/>
  <c r="AC86" i="10"/>
  <c r="AB86" i="10"/>
  <c r="AA86" i="10"/>
  <c r="Z86" i="10"/>
  <c r="Y86" i="10"/>
  <c r="W86" i="10"/>
  <c r="V86" i="10"/>
  <c r="U86" i="10"/>
  <c r="T86" i="10"/>
  <c r="S86" i="10"/>
  <c r="R86" i="10"/>
  <c r="P86" i="10"/>
  <c r="O86" i="10"/>
  <c r="N86" i="10"/>
  <c r="M86" i="10"/>
  <c r="L86" i="10"/>
  <c r="K86" i="10"/>
  <c r="J86" i="10"/>
  <c r="H86" i="10"/>
  <c r="G86" i="10"/>
  <c r="F86" i="10"/>
  <c r="E86" i="10"/>
  <c r="D86" i="10"/>
  <c r="AG85" i="10"/>
  <c r="AF85" i="10"/>
  <c r="AE85" i="10"/>
  <c r="AD85" i="10"/>
  <c r="AC85" i="10"/>
  <c r="AB85" i="10"/>
  <c r="AA85" i="10"/>
  <c r="Z85" i="10"/>
  <c r="Y85" i="10"/>
  <c r="W85" i="10"/>
  <c r="V85" i="10"/>
  <c r="U85" i="10"/>
  <c r="T85" i="10"/>
  <c r="S85" i="10"/>
  <c r="R85" i="10"/>
  <c r="P85" i="10"/>
  <c r="O85" i="10"/>
  <c r="N85" i="10"/>
  <c r="M85" i="10"/>
  <c r="L85" i="10"/>
  <c r="K85" i="10"/>
  <c r="J85" i="10"/>
  <c r="H85" i="10"/>
  <c r="G85" i="10"/>
  <c r="F85" i="10"/>
  <c r="E85" i="10"/>
  <c r="D85" i="10"/>
  <c r="AG84" i="10"/>
  <c r="AF84" i="10"/>
  <c r="AE84" i="10"/>
  <c r="AD84" i="10"/>
  <c r="AC84" i="10"/>
  <c r="AB84" i="10"/>
  <c r="AA84" i="10"/>
  <c r="Z84" i="10"/>
  <c r="Y84" i="10"/>
  <c r="W84" i="10"/>
  <c r="V84" i="10"/>
  <c r="U84" i="10"/>
  <c r="T84" i="10"/>
  <c r="S84" i="10"/>
  <c r="R84" i="10"/>
  <c r="P84" i="10"/>
  <c r="O84" i="10"/>
  <c r="N84" i="10"/>
  <c r="M84" i="10"/>
  <c r="L84" i="10"/>
  <c r="K84" i="10"/>
  <c r="J84" i="10"/>
  <c r="H84" i="10"/>
  <c r="G84" i="10"/>
  <c r="F84" i="10"/>
  <c r="E84" i="10"/>
  <c r="D84" i="10"/>
  <c r="AG83" i="10"/>
  <c r="AF83" i="10"/>
  <c r="AE83" i="10"/>
  <c r="AD83" i="10"/>
  <c r="AC83" i="10"/>
  <c r="AB83" i="10"/>
  <c r="AA83" i="10"/>
  <c r="Z83" i="10"/>
  <c r="Y83" i="10"/>
  <c r="W83" i="10"/>
  <c r="V83" i="10"/>
  <c r="U83" i="10"/>
  <c r="T83" i="10"/>
  <c r="S83" i="10"/>
  <c r="R83" i="10"/>
  <c r="P83" i="10"/>
  <c r="O83" i="10"/>
  <c r="N83" i="10"/>
  <c r="M83" i="10"/>
  <c r="L83" i="10"/>
  <c r="K83" i="10"/>
  <c r="J83" i="10"/>
  <c r="H83" i="10"/>
  <c r="G83" i="10"/>
  <c r="F83" i="10"/>
  <c r="E83" i="10"/>
  <c r="D83" i="10"/>
  <c r="AG82" i="10"/>
  <c r="AF82" i="10"/>
  <c r="AE82" i="10"/>
  <c r="AD82" i="10"/>
  <c r="AC82" i="10"/>
  <c r="AB82" i="10"/>
  <c r="AA82" i="10"/>
  <c r="Z82" i="10"/>
  <c r="Y82" i="10"/>
  <c r="W82" i="10"/>
  <c r="V82" i="10"/>
  <c r="U82" i="10"/>
  <c r="T82" i="10"/>
  <c r="S82" i="10"/>
  <c r="R82" i="10"/>
  <c r="P82" i="10"/>
  <c r="O82" i="10"/>
  <c r="N82" i="10"/>
  <c r="M82" i="10"/>
  <c r="L82" i="10"/>
  <c r="K82" i="10"/>
  <c r="J82" i="10"/>
  <c r="H82" i="10"/>
  <c r="G82" i="10"/>
  <c r="F82" i="10"/>
  <c r="E82" i="10"/>
  <c r="D82" i="10"/>
  <c r="AG81" i="10"/>
  <c r="AF81" i="10"/>
  <c r="AE81" i="10"/>
  <c r="AD81" i="10"/>
  <c r="AC81" i="10"/>
  <c r="AB81" i="10"/>
  <c r="AA81" i="10"/>
  <c r="Z81" i="10"/>
  <c r="Y81" i="10"/>
  <c r="W81" i="10"/>
  <c r="V81" i="10"/>
  <c r="U81" i="10"/>
  <c r="S81" i="10"/>
  <c r="R81" i="10"/>
  <c r="P81" i="10"/>
  <c r="O81" i="10"/>
  <c r="N81" i="10"/>
  <c r="M81" i="10"/>
  <c r="L81" i="10"/>
  <c r="K81" i="10"/>
  <c r="J81" i="10"/>
  <c r="H81" i="10"/>
  <c r="AG80" i="10"/>
  <c r="AF80" i="10"/>
  <c r="AE80" i="10"/>
  <c r="AD80" i="10"/>
  <c r="AC80" i="10"/>
  <c r="AB80" i="10"/>
  <c r="AA80" i="10"/>
  <c r="Z80" i="10"/>
  <c r="Y80" i="10"/>
  <c r="W80" i="10"/>
  <c r="V80" i="10"/>
  <c r="U80" i="10"/>
  <c r="S80" i="10"/>
  <c r="R80" i="10"/>
  <c r="P80" i="10"/>
  <c r="O80" i="10"/>
  <c r="N80" i="10"/>
  <c r="M80" i="10"/>
  <c r="L80" i="10"/>
  <c r="K80" i="10"/>
  <c r="J80" i="10"/>
  <c r="H80" i="10"/>
  <c r="AG79" i="10"/>
  <c r="AF79" i="10"/>
  <c r="AE79" i="10"/>
  <c r="AD79" i="10"/>
  <c r="AC79" i="10"/>
  <c r="AB79" i="10"/>
  <c r="AA79" i="10"/>
  <c r="Z79" i="10"/>
  <c r="Y79" i="10"/>
  <c r="W79" i="10"/>
  <c r="V79" i="10"/>
  <c r="U79" i="10"/>
  <c r="S79" i="10"/>
  <c r="R79" i="10"/>
  <c r="P79" i="10"/>
  <c r="O79" i="10"/>
  <c r="N79" i="10"/>
  <c r="M79" i="10"/>
  <c r="L79" i="10"/>
  <c r="K79" i="10"/>
  <c r="J79" i="10"/>
  <c r="H79" i="10"/>
  <c r="AG78" i="10"/>
  <c r="AF78" i="10"/>
  <c r="AE78" i="10"/>
  <c r="AD78" i="10"/>
  <c r="AC78" i="10"/>
  <c r="AB78" i="10"/>
  <c r="AA78" i="10"/>
  <c r="Z78" i="10"/>
  <c r="Y78" i="10"/>
  <c r="W78" i="10"/>
  <c r="V78" i="10"/>
  <c r="U78" i="10"/>
  <c r="S78" i="10"/>
  <c r="R78" i="10"/>
  <c r="O78" i="10"/>
  <c r="N78" i="10"/>
  <c r="M78" i="10"/>
  <c r="L78" i="10"/>
  <c r="K78" i="10"/>
  <c r="J78" i="10"/>
  <c r="H78" i="10"/>
  <c r="AG77" i="10"/>
  <c r="AF77" i="10"/>
  <c r="AE77" i="10"/>
  <c r="AD77" i="10"/>
  <c r="AC77" i="10"/>
  <c r="AB77" i="10"/>
  <c r="AA77" i="10"/>
  <c r="Z77" i="10"/>
  <c r="Y77" i="10"/>
  <c r="W77" i="10"/>
  <c r="V77" i="10"/>
  <c r="T77" i="10"/>
  <c r="S77" i="10"/>
  <c r="R77" i="10"/>
  <c r="O77" i="10"/>
  <c r="N77" i="10"/>
  <c r="M77" i="10"/>
  <c r="L77" i="10"/>
  <c r="K77" i="10"/>
  <c r="J77" i="10"/>
  <c r="H77" i="10"/>
  <c r="G77" i="10"/>
  <c r="F77" i="10"/>
  <c r="E77" i="10"/>
  <c r="D77" i="10"/>
  <c r="AG76" i="10"/>
  <c r="AF76" i="10"/>
  <c r="AE76" i="10"/>
  <c r="AD76" i="10"/>
  <c r="AC76" i="10"/>
  <c r="AB76" i="10"/>
  <c r="AA76" i="10"/>
  <c r="Z76" i="10"/>
  <c r="Y76" i="10"/>
  <c r="W76" i="10"/>
  <c r="V76" i="10"/>
  <c r="U76" i="10"/>
  <c r="T76" i="10"/>
  <c r="S76" i="10"/>
  <c r="R76" i="10"/>
  <c r="O76" i="10"/>
  <c r="N76" i="10"/>
  <c r="M76" i="10"/>
  <c r="L76" i="10"/>
  <c r="K76" i="10"/>
  <c r="J76" i="10"/>
  <c r="H76" i="10"/>
  <c r="G76" i="10"/>
  <c r="F76" i="10"/>
  <c r="E76" i="10"/>
  <c r="D76" i="10"/>
  <c r="AG75" i="10"/>
  <c r="AH75" i="14" s="1"/>
  <c r="AF75" i="10"/>
  <c r="AE75" i="10"/>
  <c r="AD75" i="10"/>
  <c r="AC75" i="10"/>
  <c r="AB75" i="10"/>
  <c r="AA75" i="10"/>
  <c r="Z75" i="10"/>
  <c r="Y75" i="10"/>
  <c r="W75" i="10"/>
  <c r="V75" i="10"/>
  <c r="U75" i="10"/>
  <c r="T75" i="10"/>
  <c r="S75" i="10"/>
  <c r="R75" i="10"/>
  <c r="O75" i="10"/>
  <c r="N75" i="10"/>
  <c r="M75" i="10"/>
  <c r="L75" i="10"/>
  <c r="K75" i="10"/>
  <c r="J75" i="10"/>
  <c r="H75" i="10"/>
  <c r="G75" i="10"/>
  <c r="F75" i="10"/>
  <c r="E75" i="10"/>
  <c r="D75" i="10"/>
  <c r="AG74" i="10"/>
  <c r="AH74" i="14" s="1"/>
  <c r="AF74" i="10"/>
  <c r="AE74" i="10"/>
  <c r="AD74" i="10"/>
  <c r="AC74" i="10"/>
  <c r="AB74" i="10"/>
  <c r="AA74" i="10"/>
  <c r="Z74" i="10"/>
  <c r="Y74" i="10"/>
  <c r="W74" i="10"/>
  <c r="V74" i="10"/>
  <c r="U74" i="10"/>
  <c r="T74" i="10"/>
  <c r="S74" i="10"/>
  <c r="R74" i="10"/>
  <c r="P74" i="10"/>
  <c r="O74" i="10"/>
  <c r="N74" i="10"/>
  <c r="M74" i="10"/>
  <c r="L74" i="10"/>
  <c r="K74" i="10"/>
  <c r="J74" i="10"/>
  <c r="H74" i="10"/>
  <c r="G74" i="10"/>
  <c r="F74" i="10"/>
  <c r="E74" i="10"/>
  <c r="D74" i="10"/>
  <c r="AG73" i="10"/>
  <c r="AH73" i="14" s="1"/>
  <c r="AF73" i="10"/>
  <c r="AE73" i="10"/>
  <c r="W73" i="10"/>
  <c r="V73" i="10"/>
  <c r="U73" i="10"/>
  <c r="T73" i="10"/>
  <c r="S73" i="10"/>
  <c r="R73" i="10"/>
  <c r="P73" i="10"/>
  <c r="O73" i="10"/>
  <c r="N73" i="10"/>
  <c r="M73" i="10"/>
  <c r="L73" i="10"/>
  <c r="K73" i="10"/>
  <c r="J73" i="10"/>
  <c r="H73" i="10"/>
  <c r="G73" i="10"/>
  <c r="F73" i="10"/>
  <c r="E73" i="10"/>
  <c r="D73" i="10"/>
  <c r="AG72" i="10"/>
  <c r="AH72" i="14" s="1"/>
  <c r="AF72" i="10"/>
  <c r="AE72" i="10"/>
  <c r="W72" i="10"/>
  <c r="V72" i="10"/>
  <c r="U72" i="10"/>
  <c r="T72" i="10"/>
  <c r="S72" i="10"/>
  <c r="R72" i="10"/>
  <c r="P72" i="10"/>
  <c r="O72" i="10"/>
  <c r="N72" i="10"/>
  <c r="M72" i="10"/>
  <c r="L72" i="10"/>
  <c r="K72" i="10"/>
  <c r="J72" i="10"/>
  <c r="H72" i="10"/>
  <c r="G72" i="10"/>
  <c r="F72" i="10"/>
  <c r="E72" i="10"/>
  <c r="D72" i="10"/>
  <c r="AG71" i="10"/>
  <c r="AH71" i="14" s="1"/>
  <c r="AF71" i="10"/>
  <c r="AE71" i="10"/>
  <c r="W71" i="10"/>
  <c r="V71" i="10"/>
  <c r="U71" i="10"/>
  <c r="T71" i="10"/>
  <c r="S71" i="10"/>
  <c r="R71" i="10"/>
  <c r="P71" i="10"/>
  <c r="O71" i="10"/>
  <c r="N71" i="10"/>
  <c r="M71" i="10"/>
  <c r="L71" i="10"/>
  <c r="K71" i="10"/>
  <c r="J71" i="10"/>
  <c r="H71" i="10"/>
  <c r="G71" i="10"/>
  <c r="F71" i="10"/>
  <c r="E71" i="10"/>
  <c r="D71" i="10"/>
  <c r="AG70" i="10"/>
  <c r="AH70" i="14" s="1"/>
  <c r="AF70" i="10"/>
  <c r="AE70" i="10"/>
  <c r="W70" i="10"/>
  <c r="V70" i="10"/>
  <c r="U70" i="10"/>
  <c r="T70" i="10"/>
  <c r="S70" i="10"/>
  <c r="R70" i="10"/>
  <c r="P70" i="10"/>
  <c r="O70" i="10"/>
  <c r="N70" i="10"/>
  <c r="M70" i="10"/>
  <c r="L70" i="10"/>
  <c r="K70" i="10"/>
  <c r="J70" i="10"/>
  <c r="H70" i="10"/>
  <c r="G70" i="10"/>
  <c r="F70" i="10"/>
  <c r="E70" i="10"/>
  <c r="D70" i="10"/>
  <c r="AG69" i="10"/>
  <c r="AH69" i="14" s="1"/>
  <c r="AF69" i="10"/>
  <c r="AE69" i="10"/>
  <c r="W69" i="10"/>
  <c r="V69" i="10"/>
  <c r="U69" i="10"/>
  <c r="T69" i="10"/>
  <c r="S69" i="10"/>
  <c r="R69" i="10"/>
  <c r="P69" i="10"/>
  <c r="O69" i="10"/>
  <c r="N69" i="10"/>
  <c r="M69" i="10"/>
  <c r="L69" i="10"/>
  <c r="K69" i="10"/>
  <c r="J69" i="10"/>
  <c r="H69" i="10"/>
  <c r="G69" i="10"/>
  <c r="F69" i="10"/>
  <c r="E69" i="10"/>
  <c r="D69" i="10"/>
  <c r="AG68" i="10"/>
  <c r="AH68" i="14" s="1"/>
  <c r="AF68" i="10"/>
  <c r="AE68" i="10"/>
  <c r="W68" i="10"/>
  <c r="V68" i="10"/>
  <c r="U68" i="10"/>
  <c r="T68" i="10"/>
  <c r="S68" i="10"/>
  <c r="R68" i="10"/>
  <c r="P68" i="10"/>
  <c r="O68" i="10"/>
  <c r="N68" i="10"/>
  <c r="M68" i="10"/>
  <c r="L68" i="10"/>
  <c r="K68" i="10"/>
  <c r="J68" i="10"/>
  <c r="H68" i="10"/>
  <c r="G68" i="10"/>
  <c r="F68" i="10"/>
  <c r="E68" i="10"/>
  <c r="D68" i="10"/>
  <c r="AG67" i="10"/>
  <c r="AH67" i="14" s="1"/>
  <c r="AF67" i="10"/>
  <c r="AE67" i="10"/>
  <c r="W67" i="10"/>
  <c r="V67" i="10"/>
  <c r="U67" i="10"/>
  <c r="T67" i="10"/>
  <c r="S67" i="10"/>
  <c r="R67" i="10"/>
  <c r="P67" i="10"/>
  <c r="O67" i="10"/>
  <c r="N67" i="10"/>
  <c r="M67" i="10"/>
  <c r="L67" i="10"/>
  <c r="K67" i="10"/>
  <c r="J67" i="10"/>
  <c r="H67" i="10"/>
  <c r="G67" i="10"/>
  <c r="F67" i="10"/>
  <c r="E67" i="10"/>
  <c r="D67" i="10"/>
  <c r="AG66" i="10"/>
  <c r="AH66" i="14" s="1"/>
  <c r="AF66" i="10"/>
  <c r="AE66" i="10"/>
  <c r="W66" i="10"/>
  <c r="V66" i="10"/>
  <c r="U66" i="10"/>
  <c r="T66" i="10"/>
  <c r="S66" i="10"/>
  <c r="R66" i="10"/>
  <c r="P66" i="10"/>
  <c r="O66" i="10"/>
  <c r="N66" i="10"/>
  <c r="M66" i="10"/>
  <c r="L66" i="10"/>
  <c r="K66" i="10"/>
  <c r="J66" i="10"/>
  <c r="H66" i="10"/>
  <c r="G66" i="10"/>
  <c r="F66" i="10"/>
  <c r="E66" i="10"/>
  <c r="D66" i="10"/>
  <c r="AG65" i="10"/>
  <c r="AH65" i="14" s="1"/>
  <c r="AF65" i="10"/>
  <c r="AE65" i="10"/>
  <c r="W65" i="10"/>
  <c r="V65" i="10"/>
  <c r="U65" i="10"/>
  <c r="T65" i="10"/>
  <c r="S65" i="10"/>
  <c r="R65" i="10"/>
  <c r="P65" i="10"/>
  <c r="O65" i="10"/>
  <c r="N65" i="10"/>
  <c r="M65" i="10"/>
  <c r="L65" i="10"/>
  <c r="K65" i="10"/>
  <c r="J65" i="10"/>
  <c r="H65" i="10"/>
  <c r="G65" i="10"/>
  <c r="F65" i="10"/>
  <c r="E65" i="10"/>
  <c r="D65" i="10"/>
  <c r="AG64" i="10"/>
  <c r="AH64" i="14" s="1"/>
  <c r="AF64" i="10"/>
  <c r="AE64" i="10"/>
  <c r="W64" i="10"/>
  <c r="V64" i="10"/>
  <c r="U64" i="10"/>
  <c r="T64" i="10"/>
  <c r="S64" i="10"/>
  <c r="R64" i="10"/>
  <c r="P64" i="10"/>
  <c r="O64" i="10"/>
  <c r="N64" i="10"/>
  <c r="M64" i="10"/>
  <c r="L64" i="10"/>
  <c r="K64" i="10"/>
  <c r="J64" i="10"/>
  <c r="H64" i="10"/>
  <c r="G64" i="10"/>
  <c r="F64" i="10"/>
  <c r="E64" i="10"/>
  <c r="D64" i="10"/>
  <c r="AG63" i="10"/>
  <c r="AH63" i="14" s="1"/>
  <c r="AF63" i="10"/>
  <c r="AE63" i="10"/>
  <c r="W63" i="10"/>
  <c r="V63" i="10"/>
  <c r="U63" i="10"/>
  <c r="T63" i="10"/>
  <c r="S63" i="10"/>
  <c r="R63" i="10"/>
  <c r="P63" i="10"/>
  <c r="O63" i="10"/>
  <c r="N63" i="10"/>
  <c r="M63" i="10"/>
  <c r="L63" i="10"/>
  <c r="K63" i="10"/>
  <c r="J63" i="10"/>
  <c r="H63" i="10"/>
  <c r="G63" i="10"/>
  <c r="F63" i="10"/>
  <c r="E63" i="10"/>
  <c r="D63" i="10"/>
  <c r="AG62" i="10"/>
  <c r="AH62" i="14" s="1"/>
  <c r="AF62" i="10"/>
  <c r="AE62" i="10"/>
  <c r="W62" i="10"/>
  <c r="V62" i="10"/>
  <c r="U62" i="10"/>
  <c r="T62" i="10"/>
  <c r="S62" i="10"/>
  <c r="R62" i="10"/>
  <c r="P62" i="10"/>
  <c r="O62" i="10"/>
  <c r="N62" i="10"/>
  <c r="M62" i="10"/>
  <c r="L62" i="10"/>
  <c r="K62" i="10"/>
  <c r="J62" i="10"/>
  <c r="H62" i="10"/>
  <c r="G62" i="10"/>
  <c r="F62" i="10"/>
  <c r="E62" i="10"/>
  <c r="D62" i="10"/>
  <c r="AG61" i="10"/>
  <c r="AH61" i="14" s="1"/>
  <c r="AF61" i="10"/>
  <c r="AE61" i="10"/>
  <c r="W61" i="10"/>
  <c r="V61" i="10"/>
  <c r="U61" i="10"/>
  <c r="T61" i="10"/>
  <c r="S61" i="10"/>
  <c r="R61" i="10"/>
  <c r="P61" i="10"/>
  <c r="O61" i="10"/>
  <c r="N61" i="10"/>
  <c r="M61" i="10"/>
  <c r="L61" i="10"/>
  <c r="K61" i="10"/>
  <c r="J61" i="10"/>
  <c r="H61" i="10"/>
  <c r="G61" i="10"/>
  <c r="F61" i="10"/>
  <c r="E61" i="10"/>
  <c r="D61" i="10"/>
  <c r="AG60" i="10"/>
  <c r="AH60" i="14" s="1"/>
  <c r="AF60" i="10"/>
  <c r="AE60" i="10"/>
  <c r="W60" i="10"/>
  <c r="V60" i="10"/>
  <c r="U60" i="10"/>
  <c r="T60" i="10"/>
  <c r="S60" i="10"/>
  <c r="R60" i="10"/>
  <c r="P60" i="10"/>
  <c r="O60" i="10"/>
  <c r="N60" i="10"/>
  <c r="M60" i="10"/>
  <c r="L60" i="10"/>
  <c r="K60" i="10"/>
  <c r="J60" i="10"/>
  <c r="H60" i="10"/>
  <c r="G60" i="10"/>
  <c r="F60" i="10"/>
  <c r="E60" i="10"/>
  <c r="D60" i="10"/>
  <c r="AG59" i="10"/>
  <c r="AH59" i="14" s="1"/>
  <c r="AF59" i="10"/>
  <c r="AE59" i="10"/>
  <c r="W59" i="10"/>
  <c r="V59" i="10"/>
  <c r="U59" i="10"/>
  <c r="T59" i="10"/>
  <c r="S59" i="10"/>
  <c r="R59" i="10"/>
  <c r="P59" i="10"/>
  <c r="O59" i="10"/>
  <c r="N59" i="10"/>
  <c r="M59" i="10"/>
  <c r="L59" i="10"/>
  <c r="K59" i="10"/>
  <c r="J59" i="10"/>
  <c r="H59" i="10"/>
  <c r="G59" i="10"/>
  <c r="F59" i="10"/>
  <c r="E59" i="10"/>
  <c r="D59" i="10"/>
  <c r="AG58" i="10"/>
  <c r="AH58" i="14" s="1"/>
  <c r="AF58" i="10"/>
  <c r="AE58" i="10"/>
  <c r="W58" i="10"/>
  <c r="V58" i="10"/>
  <c r="U58" i="10"/>
  <c r="T58" i="10"/>
  <c r="S58" i="10"/>
  <c r="R58" i="10"/>
  <c r="P58" i="10"/>
  <c r="O58" i="10"/>
  <c r="N58" i="10"/>
  <c r="M58" i="10"/>
  <c r="L58" i="10"/>
  <c r="K58" i="10"/>
  <c r="J58" i="10"/>
  <c r="H58" i="10"/>
  <c r="G58" i="10"/>
  <c r="F58" i="10"/>
  <c r="E58" i="10"/>
  <c r="D58" i="10"/>
  <c r="AG57" i="10"/>
  <c r="AH57" i="14" s="1"/>
  <c r="AF57" i="10"/>
  <c r="AE57" i="10"/>
  <c r="W57" i="10"/>
  <c r="V57" i="10"/>
  <c r="U57" i="10"/>
  <c r="T57" i="10"/>
  <c r="S57" i="10"/>
  <c r="R57" i="10"/>
  <c r="P57" i="10"/>
  <c r="O57" i="10"/>
  <c r="N57" i="10"/>
  <c r="M57" i="10"/>
  <c r="L57" i="10"/>
  <c r="K57" i="10"/>
  <c r="J57" i="10"/>
  <c r="H57" i="10"/>
  <c r="G57" i="10"/>
  <c r="F57" i="10"/>
  <c r="E57" i="10"/>
  <c r="D57" i="10"/>
  <c r="AG56" i="10"/>
  <c r="AH56" i="14" s="1"/>
  <c r="AF56" i="10"/>
  <c r="AE56" i="10"/>
  <c r="W56" i="10"/>
  <c r="V56" i="10"/>
  <c r="U56" i="10"/>
  <c r="T56" i="10"/>
  <c r="S56" i="10"/>
  <c r="R56" i="10"/>
  <c r="P56" i="10"/>
  <c r="O56" i="10"/>
  <c r="N56" i="10"/>
  <c r="M56" i="10"/>
  <c r="L56" i="10"/>
  <c r="K56" i="10"/>
  <c r="J56" i="10"/>
  <c r="H56" i="10"/>
  <c r="G56" i="10"/>
  <c r="F56" i="10"/>
  <c r="E56" i="10"/>
  <c r="D56" i="10"/>
  <c r="AG55" i="10"/>
  <c r="AH55" i="14" s="1"/>
  <c r="AF55" i="10"/>
  <c r="AE55" i="10"/>
  <c r="W55" i="10"/>
  <c r="V55" i="10"/>
  <c r="U55" i="10"/>
  <c r="T55" i="10"/>
  <c r="S55" i="10"/>
  <c r="R55" i="10"/>
  <c r="P55" i="10"/>
  <c r="O55" i="10"/>
  <c r="M55" i="10"/>
  <c r="L55" i="10"/>
  <c r="K55" i="10"/>
  <c r="J55" i="10"/>
  <c r="H55" i="10"/>
  <c r="G55" i="10"/>
  <c r="F55" i="10"/>
  <c r="E55" i="10"/>
  <c r="D55" i="10"/>
  <c r="AG54" i="10"/>
  <c r="AF54" i="10"/>
  <c r="AE54" i="10"/>
  <c r="W54" i="10"/>
  <c r="V54" i="10"/>
  <c r="U54" i="10"/>
  <c r="T54" i="10"/>
  <c r="S54" i="10"/>
  <c r="R54" i="10"/>
  <c r="P54" i="10"/>
  <c r="O54" i="10"/>
  <c r="N54" i="10"/>
  <c r="M54" i="10"/>
  <c r="L54" i="10"/>
  <c r="K54" i="10"/>
  <c r="J54" i="10"/>
  <c r="H54" i="10"/>
  <c r="G54" i="10"/>
  <c r="F54" i="10"/>
  <c r="E54" i="10"/>
  <c r="D54" i="10"/>
  <c r="AG53" i="10"/>
  <c r="AF53" i="10"/>
  <c r="AE53" i="10"/>
  <c r="W53" i="10"/>
  <c r="V53" i="10"/>
  <c r="U53" i="10"/>
  <c r="T53" i="10"/>
  <c r="S53" i="10"/>
  <c r="R53" i="10"/>
  <c r="P53" i="10"/>
  <c r="O53" i="10"/>
  <c r="N53" i="10"/>
  <c r="M53" i="10"/>
  <c r="L53" i="10"/>
  <c r="K53" i="10"/>
  <c r="J53" i="10"/>
  <c r="H53" i="10"/>
  <c r="G53" i="10"/>
  <c r="F53" i="10"/>
  <c r="E53" i="10"/>
  <c r="D53" i="10"/>
  <c r="AG52" i="10"/>
  <c r="AH52" i="14" s="1"/>
  <c r="AH15" i="14" s="1"/>
  <c r="AF52" i="10"/>
  <c r="AE52" i="10"/>
  <c r="W52" i="10"/>
  <c r="V52" i="10"/>
  <c r="U52" i="10"/>
  <c r="T52" i="10"/>
  <c r="S52" i="10"/>
  <c r="R52" i="10"/>
  <c r="P52" i="10"/>
  <c r="O52" i="10"/>
  <c r="N52" i="10"/>
  <c r="M52" i="10"/>
  <c r="L52" i="10"/>
  <c r="K52" i="10"/>
  <c r="J52" i="10"/>
  <c r="H52" i="10"/>
  <c r="G52" i="10"/>
  <c r="F52" i="10"/>
  <c r="E52" i="10"/>
  <c r="D52" i="10"/>
  <c r="AG51" i="10"/>
  <c r="AH51" i="14" s="1"/>
  <c r="AF51" i="10"/>
  <c r="AE51" i="10"/>
  <c r="W51" i="10"/>
  <c r="V51" i="10"/>
  <c r="U51" i="10"/>
  <c r="T51" i="10"/>
  <c r="S51" i="10"/>
  <c r="R51" i="10"/>
  <c r="P51" i="10"/>
  <c r="N51" i="10"/>
  <c r="M51" i="10"/>
  <c r="L51" i="10"/>
  <c r="K51" i="10"/>
  <c r="J51" i="10"/>
  <c r="H51" i="10"/>
  <c r="G51" i="10"/>
  <c r="F51" i="10"/>
  <c r="E51" i="10"/>
  <c r="D51" i="10"/>
  <c r="AG50" i="10"/>
  <c r="AI50" i="14" s="1"/>
  <c r="AF50" i="10"/>
  <c r="AH50" i="14" s="1"/>
  <c r="AE50" i="10"/>
  <c r="W50" i="10"/>
  <c r="V50" i="10"/>
  <c r="U50" i="10"/>
  <c r="T50" i="10"/>
  <c r="S50" i="10"/>
  <c r="R50" i="10"/>
  <c r="P50" i="10"/>
  <c r="N50" i="10"/>
  <c r="M50" i="10"/>
  <c r="L50" i="10"/>
  <c r="K50" i="10"/>
  <c r="J50" i="10"/>
  <c r="H50" i="10"/>
  <c r="G50" i="10"/>
  <c r="F50" i="10"/>
  <c r="E50" i="10"/>
  <c r="D50" i="10"/>
  <c r="AG49" i="10"/>
  <c r="AF49" i="10"/>
  <c r="AE49" i="10"/>
  <c r="W49" i="10"/>
  <c r="V49" i="10"/>
  <c r="U49" i="10"/>
  <c r="T49" i="10"/>
  <c r="S49" i="10"/>
  <c r="R49" i="10"/>
  <c r="P49" i="10"/>
  <c r="N49" i="10"/>
  <c r="M49" i="10"/>
  <c r="L49" i="10"/>
  <c r="K49" i="10"/>
  <c r="J49" i="10"/>
  <c r="H49" i="10"/>
  <c r="G49" i="10"/>
  <c r="F49" i="10"/>
  <c r="E49" i="10"/>
  <c r="D49" i="10"/>
  <c r="AG48" i="10"/>
  <c r="AF48" i="10"/>
  <c r="AE48" i="10"/>
  <c r="W48" i="10"/>
  <c r="V48" i="10"/>
  <c r="U48" i="10"/>
  <c r="T48" i="10"/>
  <c r="S48" i="10"/>
  <c r="R48" i="10"/>
  <c r="P48" i="10"/>
  <c r="N48" i="10"/>
  <c r="M48" i="10"/>
  <c r="L48" i="10"/>
  <c r="K48" i="10"/>
  <c r="J48" i="10"/>
  <c r="H48" i="10"/>
  <c r="G48" i="10"/>
  <c r="F48" i="10"/>
  <c r="E48" i="10"/>
  <c r="D48" i="10"/>
  <c r="AG47" i="10"/>
  <c r="AH47" i="14" s="1"/>
  <c r="AF47" i="10"/>
  <c r="AE47" i="10"/>
  <c r="W47" i="10"/>
  <c r="V47" i="10"/>
  <c r="U47" i="10"/>
  <c r="T47" i="10"/>
  <c r="S47" i="10"/>
  <c r="R47" i="10"/>
  <c r="P47" i="10"/>
  <c r="M47" i="10"/>
  <c r="L47" i="10"/>
  <c r="K47" i="10"/>
  <c r="J47" i="10"/>
  <c r="H47" i="10"/>
  <c r="G47" i="10"/>
  <c r="F47" i="10"/>
  <c r="E47" i="10"/>
  <c r="D47" i="10"/>
  <c r="AG46" i="10"/>
  <c r="AH46" i="14" s="1"/>
  <c r="AF46" i="10"/>
  <c r="AE46" i="10"/>
  <c r="W46" i="10"/>
  <c r="V46" i="10"/>
  <c r="U46" i="10"/>
  <c r="T46" i="10"/>
  <c r="S46" i="10"/>
  <c r="R46" i="10"/>
  <c r="P46" i="10"/>
  <c r="N46" i="10"/>
  <c r="M46" i="10"/>
  <c r="L46" i="10"/>
  <c r="K46" i="10"/>
  <c r="J46" i="10"/>
  <c r="H46" i="10"/>
  <c r="G46" i="10"/>
  <c r="F46" i="10"/>
  <c r="E46" i="10"/>
  <c r="D46" i="10"/>
  <c r="AG45" i="10"/>
  <c r="AI45" i="14" s="1"/>
  <c r="AF45" i="10"/>
  <c r="AH45" i="14" s="1"/>
  <c r="AE45" i="10"/>
  <c r="W45" i="10"/>
  <c r="V45" i="10"/>
  <c r="U45" i="10"/>
  <c r="T45" i="10"/>
  <c r="S45" i="10"/>
  <c r="R45" i="10"/>
  <c r="P45" i="10"/>
  <c r="N45" i="10"/>
  <c r="M45" i="10"/>
  <c r="L45" i="10"/>
  <c r="K45" i="10"/>
  <c r="J45" i="10"/>
  <c r="H45" i="10"/>
  <c r="G45" i="10"/>
  <c r="F45" i="10"/>
  <c r="E45" i="10"/>
  <c r="D45" i="10"/>
  <c r="AG44" i="10"/>
  <c r="AH44" i="14" s="1"/>
  <c r="AF44" i="10"/>
  <c r="AE44" i="10"/>
  <c r="W44" i="10"/>
  <c r="V44" i="10"/>
  <c r="U44" i="10"/>
  <c r="T44" i="10"/>
  <c r="S44" i="10"/>
  <c r="R44" i="10"/>
  <c r="P44" i="10"/>
  <c r="N44" i="10"/>
  <c r="M44" i="10"/>
  <c r="L44" i="10"/>
  <c r="K44" i="10"/>
  <c r="J44" i="10"/>
  <c r="H44" i="10"/>
  <c r="G44" i="10"/>
  <c r="F44" i="10"/>
  <c r="E44" i="10"/>
  <c r="D44" i="10"/>
  <c r="AG43" i="10"/>
  <c r="AF43" i="10"/>
  <c r="AE43" i="10"/>
  <c r="W43" i="10"/>
  <c r="V43" i="10"/>
  <c r="U43" i="10"/>
  <c r="T43" i="10"/>
  <c r="S43" i="10"/>
  <c r="R43" i="10"/>
  <c r="P43" i="10"/>
  <c r="N43" i="10"/>
  <c r="M43" i="10"/>
  <c r="L43" i="10"/>
  <c r="K43" i="10"/>
  <c r="J43" i="10"/>
  <c r="H43" i="10"/>
  <c r="G43" i="10"/>
  <c r="F43" i="10"/>
  <c r="E43" i="10"/>
  <c r="D43" i="10"/>
  <c r="AG42" i="10"/>
  <c r="AH42" i="14" s="1"/>
  <c r="AF42" i="10"/>
  <c r="AE42" i="10"/>
  <c r="W42" i="10"/>
  <c r="V42" i="10"/>
  <c r="U42" i="10"/>
  <c r="T42" i="10"/>
  <c r="S42" i="10"/>
  <c r="R42" i="10"/>
  <c r="P42" i="10"/>
  <c r="N42" i="10"/>
  <c r="M42" i="10"/>
  <c r="L42" i="10"/>
  <c r="K42" i="10"/>
  <c r="J42" i="10"/>
  <c r="H42" i="10"/>
  <c r="G42" i="10"/>
  <c r="F42" i="10"/>
  <c r="E42" i="10"/>
  <c r="D42" i="10"/>
  <c r="AG41" i="10"/>
  <c r="AF41" i="10"/>
  <c r="AE41" i="10"/>
  <c r="W41" i="10"/>
  <c r="V41" i="10"/>
  <c r="U41" i="10"/>
  <c r="T41" i="10"/>
  <c r="S41" i="10"/>
  <c r="R41" i="10"/>
  <c r="P41" i="10"/>
  <c r="N41" i="10"/>
  <c r="M41" i="10"/>
  <c r="L41" i="10"/>
  <c r="K41" i="10"/>
  <c r="J41" i="10"/>
  <c r="H41" i="10"/>
  <c r="G41" i="10"/>
  <c r="F41" i="10"/>
  <c r="E41" i="10"/>
  <c r="D41" i="10"/>
  <c r="AG40" i="10"/>
  <c r="AF40" i="10"/>
  <c r="AE40" i="10"/>
  <c r="W40" i="10"/>
  <c r="V40" i="10"/>
  <c r="U40" i="10"/>
  <c r="T40" i="10"/>
  <c r="S40" i="10"/>
  <c r="R40" i="10"/>
  <c r="P40" i="10"/>
  <c r="N40" i="10"/>
  <c r="M40" i="10"/>
  <c r="L40" i="10"/>
  <c r="K40" i="10"/>
  <c r="J40" i="10"/>
  <c r="H40" i="10"/>
  <c r="G40" i="10"/>
  <c r="F40" i="10"/>
  <c r="E40" i="10"/>
  <c r="D40" i="10"/>
  <c r="AG39" i="10"/>
  <c r="AF39" i="10"/>
  <c r="AE39" i="10"/>
  <c r="W39" i="10"/>
  <c r="V39" i="10"/>
  <c r="U39" i="10"/>
  <c r="T39" i="10"/>
  <c r="S39" i="10"/>
  <c r="R39" i="10"/>
  <c r="P39" i="10"/>
  <c r="N39" i="10"/>
  <c r="M39" i="10"/>
  <c r="L39" i="10"/>
  <c r="K39" i="10"/>
  <c r="J39" i="10"/>
  <c r="H39" i="10"/>
  <c r="G39" i="10"/>
  <c r="F39" i="10"/>
  <c r="E39" i="10"/>
  <c r="D39" i="10"/>
  <c r="AG38" i="10"/>
  <c r="AF38" i="10"/>
  <c r="AE38" i="10"/>
  <c r="W38" i="10"/>
  <c r="V38" i="10"/>
  <c r="U38" i="10"/>
  <c r="T38" i="10"/>
  <c r="S38" i="10"/>
  <c r="R38" i="10"/>
  <c r="P38" i="10"/>
  <c r="N38" i="10"/>
  <c r="M38" i="10"/>
  <c r="L38" i="10"/>
  <c r="K38" i="10"/>
  <c r="J38" i="10"/>
  <c r="H38" i="10"/>
  <c r="G38" i="10"/>
  <c r="F38" i="10"/>
  <c r="E38" i="10"/>
  <c r="D38" i="10"/>
  <c r="AG37" i="10"/>
  <c r="AF37" i="10"/>
  <c r="AE37" i="10"/>
  <c r="W37" i="10"/>
  <c r="V37" i="10"/>
  <c r="U37" i="10"/>
  <c r="T37" i="10"/>
  <c r="S37" i="10"/>
  <c r="R37" i="10"/>
  <c r="P37" i="10"/>
  <c r="N37" i="10"/>
  <c r="M37" i="10"/>
  <c r="L37" i="10"/>
  <c r="K37" i="10"/>
  <c r="J37" i="10"/>
  <c r="H37" i="10"/>
  <c r="G37" i="10"/>
  <c r="F37" i="10"/>
  <c r="E37" i="10"/>
  <c r="D37" i="10"/>
  <c r="AG36" i="10"/>
  <c r="AH36" i="14" s="1"/>
  <c r="AF36" i="10"/>
  <c r="AE36" i="10"/>
  <c r="W36" i="10"/>
  <c r="V36" i="10"/>
  <c r="U36" i="10"/>
  <c r="T36" i="10"/>
  <c r="S36" i="10"/>
  <c r="R36" i="10"/>
  <c r="P36" i="10"/>
  <c r="N36" i="10"/>
  <c r="M36" i="10"/>
  <c r="L36" i="10"/>
  <c r="K36" i="10"/>
  <c r="J36" i="10"/>
  <c r="H36" i="10"/>
  <c r="G36" i="10"/>
  <c r="F36" i="10"/>
  <c r="E36" i="10"/>
  <c r="D36" i="10"/>
  <c r="AG35" i="10"/>
  <c r="AH35" i="14" s="1"/>
  <c r="AF35" i="10"/>
  <c r="AE35" i="10"/>
  <c r="W35" i="10"/>
  <c r="V35" i="10"/>
  <c r="U35" i="10"/>
  <c r="T35" i="10"/>
  <c r="S35" i="10"/>
  <c r="R35" i="10"/>
  <c r="P35" i="10"/>
  <c r="N35" i="10"/>
  <c r="M35" i="10"/>
  <c r="L35" i="10"/>
  <c r="K35" i="10"/>
  <c r="J35" i="10"/>
  <c r="H35" i="10"/>
  <c r="G35" i="10"/>
  <c r="F35" i="10"/>
  <c r="E35" i="10"/>
  <c r="D35" i="10"/>
  <c r="AG34" i="10"/>
  <c r="AF34" i="10"/>
  <c r="AE34" i="10"/>
  <c r="W34" i="10"/>
  <c r="V34" i="10"/>
  <c r="U34" i="10"/>
  <c r="T34" i="10"/>
  <c r="S34" i="10"/>
  <c r="R34" i="10"/>
  <c r="P34" i="10"/>
  <c r="N34" i="10"/>
  <c r="M34" i="10"/>
  <c r="L34" i="10"/>
  <c r="K34" i="10"/>
  <c r="J34" i="10"/>
  <c r="H34" i="10"/>
  <c r="G34" i="10"/>
  <c r="F34" i="10"/>
  <c r="E34" i="10"/>
  <c r="D34" i="10"/>
  <c r="AG33" i="10"/>
  <c r="AF33" i="10"/>
  <c r="AE33" i="10"/>
  <c r="W33" i="10"/>
  <c r="V33" i="10"/>
  <c r="U33" i="10"/>
  <c r="T33" i="10"/>
  <c r="S33" i="10"/>
  <c r="R33" i="10"/>
  <c r="P33" i="10"/>
  <c r="N33" i="10"/>
  <c r="M33" i="10"/>
  <c r="L33" i="10"/>
  <c r="K33" i="10"/>
  <c r="J33" i="10"/>
  <c r="H33" i="10"/>
  <c r="G33" i="10"/>
  <c r="F33" i="10"/>
  <c r="E33" i="10"/>
  <c r="D33" i="10"/>
  <c r="AG32" i="10"/>
  <c r="AF32" i="10"/>
  <c r="AE32" i="10"/>
  <c r="W32" i="10"/>
  <c r="V32" i="10"/>
  <c r="U32" i="10"/>
  <c r="T32" i="10"/>
  <c r="S32" i="10"/>
  <c r="R32" i="10"/>
  <c r="P32" i="10"/>
  <c r="N32" i="10"/>
  <c r="M32" i="10"/>
  <c r="L32" i="10"/>
  <c r="K32" i="10"/>
  <c r="J32" i="10"/>
  <c r="H32" i="10"/>
  <c r="G32" i="10"/>
  <c r="F32" i="10"/>
  <c r="E32" i="10"/>
  <c r="D32" i="10"/>
  <c r="AG31" i="10"/>
  <c r="AF31" i="10"/>
  <c r="AE31" i="10"/>
  <c r="W31" i="10"/>
  <c r="V31" i="10"/>
  <c r="U31" i="10"/>
  <c r="T31" i="10"/>
  <c r="S31" i="10"/>
  <c r="R31" i="10"/>
  <c r="P31" i="10"/>
  <c r="N31" i="10"/>
  <c r="M31" i="10"/>
  <c r="L31" i="10"/>
  <c r="K31" i="10"/>
  <c r="J31" i="10"/>
  <c r="H31" i="10"/>
  <c r="G31" i="10"/>
  <c r="F31" i="10"/>
  <c r="E31" i="10"/>
  <c r="D31" i="10"/>
  <c r="AG30" i="10"/>
  <c r="AF30" i="10"/>
  <c r="AE30" i="10"/>
  <c r="W30" i="10"/>
  <c r="V30" i="10"/>
  <c r="U30" i="10"/>
  <c r="T30" i="10"/>
  <c r="S30" i="10"/>
  <c r="R30" i="10"/>
  <c r="P30" i="10"/>
  <c r="N30" i="10"/>
  <c r="M30" i="10"/>
  <c r="L30" i="10"/>
  <c r="K30" i="10"/>
  <c r="J30" i="10"/>
  <c r="H30" i="10"/>
  <c r="G30" i="10"/>
  <c r="F30" i="10"/>
  <c r="E30" i="10"/>
  <c r="D30" i="10"/>
  <c r="AG29" i="10"/>
  <c r="AF29" i="10"/>
  <c r="AE29" i="10"/>
  <c r="W29" i="10"/>
  <c r="V29" i="10"/>
  <c r="U29" i="10"/>
  <c r="T29" i="10"/>
  <c r="S29" i="10"/>
  <c r="R29" i="10"/>
  <c r="P29" i="10"/>
  <c r="O29" i="10"/>
  <c r="N29" i="10"/>
  <c r="M29" i="10"/>
  <c r="L29" i="10"/>
  <c r="K29" i="10"/>
  <c r="J29" i="10"/>
  <c r="H29" i="10"/>
  <c r="G29" i="10"/>
  <c r="F29" i="10"/>
  <c r="E29" i="10"/>
  <c r="D29" i="10"/>
  <c r="C29" i="10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AG108" i="1" s="1"/>
  <c r="Q107" i="1"/>
  <c r="Q106" i="1"/>
  <c r="Q105" i="1"/>
  <c r="AG105" i="1" s="1"/>
  <c r="Q104" i="1"/>
  <c r="Q103" i="1"/>
  <c r="Q102" i="1"/>
  <c r="Q101" i="1"/>
  <c r="Q100" i="1"/>
  <c r="Q99" i="1"/>
  <c r="Q98" i="1"/>
  <c r="Q97" i="1"/>
  <c r="W149" i="5"/>
  <c r="W154" i="5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T77" i="14" s="1"/>
  <c r="V97" i="1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29" i="5"/>
  <c r="K29" i="5"/>
  <c r="AF194" i="5"/>
  <c r="AE194" i="5"/>
  <c r="AD194" i="5"/>
  <c r="AC194" i="5"/>
  <c r="AB194" i="5"/>
  <c r="AA194" i="5"/>
  <c r="Z194" i="5"/>
  <c r="Y194" i="5"/>
  <c r="X194" i="5"/>
  <c r="V194" i="5"/>
  <c r="U194" i="5"/>
  <c r="S194" i="5"/>
  <c r="R194" i="5"/>
  <c r="Q194" i="5"/>
  <c r="P194" i="5"/>
  <c r="O194" i="5"/>
  <c r="N194" i="5"/>
  <c r="M194" i="5"/>
  <c r="L194" i="5"/>
  <c r="K194" i="5"/>
  <c r="H194" i="5"/>
  <c r="G194" i="5"/>
  <c r="F194" i="5"/>
  <c r="E194" i="5"/>
  <c r="D194" i="5"/>
  <c r="C194" i="5"/>
  <c r="AF193" i="5"/>
  <c r="AE193" i="5"/>
  <c r="AD193" i="5"/>
  <c r="AC193" i="5"/>
  <c r="AB193" i="5"/>
  <c r="AA193" i="5"/>
  <c r="Z193" i="5"/>
  <c r="Y193" i="5"/>
  <c r="X193" i="5"/>
  <c r="V193" i="5"/>
  <c r="U193" i="5"/>
  <c r="S193" i="5"/>
  <c r="R193" i="5"/>
  <c r="Q193" i="5"/>
  <c r="P193" i="5"/>
  <c r="O193" i="5"/>
  <c r="N193" i="5"/>
  <c r="M193" i="5"/>
  <c r="L193" i="5"/>
  <c r="K193" i="5"/>
  <c r="H193" i="5"/>
  <c r="G193" i="5"/>
  <c r="F193" i="5"/>
  <c r="E193" i="5"/>
  <c r="D193" i="5"/>
  <c r="C193" i="5"/>
  <c r="AF192" i="5"/>
  <c r="AE192" i="5"/>
  <c r="AD192" i="5"/>
  <c r="AC192" i="5"/>
  <c r="AB192" i="5"/>
  <c r="AA192" i="5"/>
  <c r="Z192" i="5"/>
  <c r="Y192" i="5"/>
  <c r="X192" i="5"/>
  <c r="V192" i="5"/>
  <c r="U192" i="5"/>
  <c r="S192" i="5"/>
  <c r="R192" i="5"/>
  <c r="Q192" i="5"/>
  <c r="P192" i="5"/>
  <c r="O192" i="5"/>
  <c r="N192" i="5"/>
  <c r="M192" i="5"/>
  <c r="L192" i="5"/>
  <c r="K192" i="5"/>
  <c r="H192" i="5"/>
  <c r="G192" i="5"/>
  <c r="F192" i="5"/>
  <c r="E192" i="5"/>
  <c r="D192" i="5"/>
  <c r="C192" i="5"/>
  <c r="AF191" i="5"/>
  <c r="AE191" i="5"/>
  <c r="AD191" i="5"/>
  <c r="AC191" i="5"/>
  <c r="AB191" i="5"/>
  <c r="AA191" i="5"/>
  <c r="Z191" i="5"/>
  <c r="Y191" i="5"/>
  <c r="X191" i="5"/>
  <c r="V191" i="5"/>
  <c r="U191" i="5"/>
  <c r="S191" i="5"/>
  <c r="R191" i="5"/>
  <c r="Q191" i="5"/>
  <c r="P191" i="5"/>
  <c r="O191" i="5"/>
  <c r="N191" i="5"/>
  <c r="M191" i="5"/>
  <c r="L191" i="5"/>
  <c r="K191" i="5"/>
  <c r="H191" i="5"/>
  <c r="G191" i="5"/>
  <c r="F191" i="5"/>
  <c r="E191" i="5"/>
  <c r="D191" i="5"/>
  <c r="C191" i="5"/>
  <c r="AF190" i="5"/>
  <c r="AE190" i="5"/>
  <c r="AD190" i="5"/>
  <c r="AC190" i="5"/>
  <c r="AB190" i="5"/>
  <c r="AA190" i="5"/>
  <c r="Z190" i="5"/>
  <c r="Y190" i="5"/>
  <c r="X190" i="5"/>
  <c r="V190" i="5"/>
  <c r="U190" i="5"/>
  <c r="S190" i="5"/>
  <c r="R190" i="5"/>
  <c r="Q190" i="5"/>
  <c r="P190" i="5"/>
  <c r="O190" i="5"/>
  <c r="N190" i="5"/>
  <c r="M190" i="5"/>
  <c r="L190" i="5"/>
  <c r="K190" i="5"/>
  <c r="H190" i="5"/>
  <c r="G190" i="5"/>
  <c r="F190" i="5"/>
  <c r="E190" i="5"/>
  <c r="D190" i="5"/>
  <c r="C190" i="5"/>
  <c r="AF189" i="5"/>
  <c r="AE189" i="5"/>
  <c r="AD189" i="5"/>
  <c r="AC189" i="5"/>
  <c r="AB189" i="5"/>
  <c r="AA189" i="5"/>
  <c r="Z189" i="5"/>
  <c r="Y189" i="5"/>
  <c r="X189" i="5"/>
  <c r="V189" i="5"/>
  <c r="U189" i="5"/>
  <c r="S189" i="5"/>
  <c r="R189" i="5"/>
  <c r="Q189" i="5"/>
  <c r="P189" i="5"/>
  <c r="O189" i="5"/>
  <c r="N189" i="5"/>
  <c r="M189" i="5"/>
  <c r="L189" i="5"/>
  <c r="K189" i="5"/>
  <c r="H189" i="5"/>
  <c r="G189" i="5"/>
  <c r="F189" i="5"/>
  <c r="E189" i="5"/>
  <c r="D189" i="5"/>
  <c r="C189" i="5"/>
  <c r="AF188" i="5"/>
  <c r="AE188" i="5"/>
  <c r="AD188" i="5"/>
  <c r="AC188" i="5"/>
  <c r="AB188" i="5"/>
  <c r="AA188" i="5"/>
  <c r="Z188" i="5"/>
  <c r="Y188" i="5"/>
  <c r="X188" i="5"/>
  <c r="V188" i="5"/>
  <c r="U188" i="5"/>
  <c r="S188" i="5"/>
  <c r="R188" i="5"/>
  <c r="Q188" i="5"/>
  <c r="P188" i="5"/>
  <c r="O188" i="5"/>
  <c r="N188" i="5"/>
  <c r="M188" i="5"/>
  <c r="L188" i="5"/>
  <c r="K188" i="5"/>
  <c r="H188" i="5"/>
  <c r="G188" i="5"/>
  <c r="F188" i="5"/>
  <c r="E188" i="5"/>
  <c r="D188" i="5"/>
  <c r="C188" i="5"/>
  <c r="AF187" i="5"/>
  <c r="AE187" i="5"/>
  <c r="AD187" i="5"/>
  <c r="AC187" i="5"/>
  <c r="AB187" i="5"/>
  <c r="AA187" i="5"/>
  <c r="Z187" i="5"/>
  <c r="Y187" i="5"/>
  <c r="X187" i="5"/>
  <c r="V187" i="5"/>
  <c r="U187" i="5"/>
  <c r="S187" i="5"/>
  <c r="R187" i="5"/>
  <c r="Q187" i="5"/>
  <c r="P187" i="5"/>
  <c r="O187" i="5"/>
  <c r="N187" i="5"/>
  <c r="M187" i="5"/>
  <c r="L187" i="5"/>
  <c r="K187" i="5"/>
  <c r="H187" i="5"/>
  <c r="G187" i="5"/>
  <c r="F187" i="5"/>
  <c r="E187" i="5"/>
  <c r="D187" i="5"/>
  <c r="C187" i="5"/>
  <c r="AF186" i="5"/>
  <c r="AE186" i="5"/>
  <c r="AD186" i="5"/>
  <c r="AC186" i="5"/>
  <c r="AB186" i="5"/>
  <c r="AA186" i="5"/>
  <c r="Z186" i="5"/>
  <c r="Y186" i="5"/>
  <c r="X186" i="5"/>
  <c r="V186" i="5"/>
  <c r="U186" i="5"/>
  <c r="S186" i="5"/>
  <c r="R186" i="5"/>
  <c r="Q186" i="5"/>
  <c r="P186" i="5"/>
  <c r="O186" i="5"/>
  <c r="N186" i="5"/>
  <c r="M186" i="5"/>
  <c r="L186" i="5"/>
  <c r="K186" i="5"/>
  <c r="H186" i="5"/>
  <c r="G186" i="5"/>
  <c r="F186" i="5"/>
  <c r="E186" i="5"/>
  <c r="D186" i="5"/>
  <c r="C186" i="5"/>
  <c r="AF185" i="5"/>
  <c r="AE185" i="5"/>
  <c r="AD185" i="5"/>
  <c r="AC185" i="5"/>
  <c r="AB185" i="5"/>
  <c r="AA185" i="5"/>
  <c r="Z185" i="5"/>
  <c r="Y185" i="5"/>
  <c r="X185" i="5"/>
  <c r="V185" i="5"/>
  <c r="U185" i="5"/>
  <c r="S185" i="5"/>
  <c r="R185" i="5"/>
  <c r="Q185" i="5"/>
  <c r="P185" i="5"/>
  <c r="O185" i="5"/>
  <c r="N185" i="5"/>
  <c r="M185" i="5"/>
  <c r="L185" i="5"/>
  <c r="K185" i="5"/>
  <c r="H185" i="5"/>
  <c r="G185" i="5"/>
  <c r="F185" i="5"/>
  <c r="E185" i="5"/>
  <c r="D185" i="5"/>
  <c r="C185" i="5"/>
  <c r="AF184" i="5"/>
  <c r="AE184" i="5"/>
  <c r="AD184" i="5"/>
  <c r="AC184" i="5"/>
  <c r="AB184" i="5"/>
  <c r="AA184" i="5"/>
  <c r="Z184" i="5"/>
  <c r="Y184" i="5"/>
  <c r="X184" i="5"/>
  <c r="V184" i="5"/>
  <c r="U184" i="5"/>
  <c r="S184" i="5"/>
  <c r="R184" i="5"/>
  <c r="Q184" i="5"/>
  <c r="P184" i="5"/>
  <c r="O184" i="5"/>
  <c r="N184" i="5"/>
  <c r="M184" i="5"/>
  <c r="L184" i="5"/>
  <c r="K184" i="5"/>
  <c r="H184" i="5"/>
  <c r="G184" i="5"/>
  <c r="F184" i="5"/>
  <c r="E184" i="5"/>
  <c r="D184" i="5"/>
  <c r="C184" i="5"/>
  <c r="AF183" i="5"/>
  <c r="AE183" i="5"/>
  <c r="AD183" i="5"/>
  <c r="AC183" i="5"/>
  <c r="AB183" i="5"/>
  <c r="AA183" i="5"/>
  <c r="Z183" i="5"/>
  <c r="Y183" i="5"/>
  <c r="X183" i="5"/>
  <c r="V183" i="5"/>
  <c r="U183" i="5"/>
  <c r="S183" i="5"/>
  <c r="R183" i="5"/>
  <c r="Q183" i="5"/>
  <c r="P183" i="5"/>
  <c r="O183" i="5"/>
  <c r="N183" i="5"/>
  <c r="M183" i="5"/>
  <c r="L183" i="5"/>
  <c r="K183" i="5"/>
  <c r="H183" i="5"/>
  <c r="G183" i="5"/>
  <c r="F183" i="5"/>
  <c r="E183" i="5"/>
  <c r="D183" i="5"/>
  <c r="C183" i="5"/>
  <c r="AF182" i="5"/>
  <c r="AE182" i="5"/>
  <c r="AD182" i="5"/>
  <c r="AC182" i="5"/>
  <c r="AB182" i="5"/>
  <c r="AA182" i="5"/>
  <c r="Z182" i="5"/>
  <c r="Y182" i="5"/>
  <c r="X182" i="5"/>
  <c r="V182" i="5"/>
  <c r="U182" i="5"/>
  <c r="S182" i="5"/>
  <c r="R182" i="5"/>
  <c r="Q182" i="5"/>
  <c r="P182" i="5"/>
  <c r="O182" i="5"/>
  <c r="N182" i="5"/>
  <c r="M182" i="5"/>
  <c r="L182" i="5"/>
  <c r="K182" i="5"/>
  <c r="H182" i="5"/>
  <c r="G182" i="5"/>
  <c r="F182" i="5"/>
  <c r="E182" i="5"/>
  <c r="D182" i="5"/>
  <c r="C182" i="5"/>
  <c r="AF181" i="5"/>
  <c r="AE181" i="5"/>
  <c r="AD181" i="5"/>
  <c r="AC181" i="5"/>
  <c r="AB181" i="5"/>
  <c r="AA181" i="5"/>
  <c r="Z181" i="5"/>
  <c r="Y181" i="5"/>
  <c r="X181" i="5"/>
  <c r="V181" i="5"/>
  <c r="U181" i="5"/>
  <c r="S181" i="5"/>
  <c r="R181" i="5"/>
  <c r="Q181" i="5"/>
  <c r="P181" i="5"/>
  <c r="O181" i="5"/>
  <c r="N181" i="5"/>
  <c r="M181" i="5"/>
  <c r="L181" i="5"/>
  <c r="K181" i="5"/>
  <c r="H181" i="5"/>
  <c r="G181" i="5"/>
  <c r="F181" i="5"/>
  <c r="E181" i="5"/>
  <c r="D181" i="5"/>
  <c r="C181" i="5"/>
  <c r="AF180" i="5"/>
  <c r="AE180" i="5"/>
  <c r="AD180" i="5"/>
  <c r="AC180" i="5"/>
  <c r="AB180" i="5"/>
  <c r="AA180" i="5"/>
  <c r="Z180" i="5"/>
  <c r="Y180" i="5"/>
  <c r="X180" i="5"/>
  <c r="V180" i="5"/>
  <c r="U180" i="5"/>
  <c r="W180" i="5" s="1"/>
  <c r="S180" i="5"/>
  <c r="R180" i="5"/>
  <c r="Q180" i="5"/>
  <c r="P180" i="5"/>
  <c r="O180" i="5"/>
  <c r="N180" i="5"/>
  <c r="M180" i="5"/>
  <c r="L180" i="5"/>
  <c r="K180" i="5"/>
  <c r="H180" i="5"/>
  <c r="G180" i="5"/>
  <c r="F180" i="5"/>
  <c r="E180" i="5"/>
  <c r="D180" i="5"/>
  <c r="C180" i="5"/>
  <c r="AF179" i="5"/>
  <c r="AE179" i="5"/>
  <c r="AD179" i="5"/>
  <c r="AC179" i="5"/>
  <c r="AB179" i="5"/>
  <c r="AA179" i="5"/>
  <c r="Z179" i="5"/>
  <c r="Y179" i="5"/>
  <c r="X179" i="5"/>
  <c r="V179" i="5"/>
  <c r="U179" i="5"/>
  <c r="S179" i="5"/>
  <c r="R179" i="5"/>
  <c r="Q179" i="5"/>
  <c r="P179" i="5"/>
  <c r="O179" i="5"/>
  <c r="N179" i="5"/>
  <c r="M179" i="5"/>
  <c r="L179" i="5"/>
  <c r="K179" i="5"/>
  <c r="H179" i="5"/>
  <c r="G179" i="5"/>
  <c r="F179" i="5"/>
  <c r="E179" i="5"/>
  <c r="D179" i="5"/>
  <c r="C179" i="5"/>
  <c r="AF178" i="5"/>
  <c r="AE178" i="5"/>
  <c r="AD178" i="5"/>
  <c r="AC178" i="5"/>
  <c r="AB178" i="5"/>
  <c r="AA178" i="5"/>
  <c r="Z178" i="5"/>
  <c r="Y178" i="5"/>
  <c r="X178" i="5"/>
  <c r="V178" i="5"/>
  <c r="W178" i="5" s="1"/>
  <c r="U178" i="5"/>
  <c r="S178" i="5"/>
  <c r="R178" i="5"/>
  <c r="Q178" i="5"/>
  <c r="P178" i="5"/>
  <c r="O178" i="5"/>
  <c r="N178" i="5"/>
  <c r="M178" i="5"/>
  <c r="L178" i="5"/>
  <c r="K178" i="5"/>
  <c r="H178" i="5"/>
  <c r="G178" i="5"/>
  <c r="F178" i="5"/>
  <c r="E178" i="5"/>
  <c r="D178" i="5"/>
  <c r="C178" i="5"/>
  <c r="AF177" i="5"/>
  <c r="AE177" i="5"/>
  <c r="AD177" i="5"/>
  <c r="AC177" i="5"/>
  <c r="AB177" i="5"/>
  <c r="AA177" i="5"/>
  <c r="Z177" i="5"/>
  <c r="Y177" i="5"/>
  <c r="X177" i="5"/>
  <c r="V177" i="5"/>
  <c r="U177" i="5"/>
  <c r="S177" i="5"/>
  <c r="R177" i="5"/>
  <c r="Q177" i="5"/>
  <c r="P177" i="5"/>
  <c r="O177" i="5"/>
  <c r="N177" i="5"/>
  <c r="M177" i="5"/>
  <c r="L177" i="5"/>
  <c r="K177" i="5"/>
  <c r="H177" i="5"/>
  <c r="G177" i="5"/>
  <c r="F177" i="5"/>
  <c r="E177" i="5"/>
  <c r="D177" i="5"/>
  <c r="C177" i="5"/>
  <c r="AF176" i="5"/>
  <c r="AE176" i="5"/>
  <c r="AD176" i="5"/>
  <c r="AC176" i="5"/>
  <c r="AB176" i="5"/>
  <c r="AA176" i="5"/>
  <c r="Z176" i="5"/>
  <c r="Y176" i="5"/>
  <c r="X176" i="5"/>
  <c r="V176" i="5"/>
  <c r="U176" i="5"/>
  <c r="S176" i="5"/>
  <c r="R176" i="5"/>
  <c r="Q176" i="5"/>
  <c r="P176" i="5"/>
  <c r="O176" i="5"/>
  <c r="N176" i="5"/>
  <c r="M176" i="5"/>
  <c r="L176" i="5"/>
  <c r="K176" i="5"/>
  <c r="H176" i="5"/>
  <c r="G176" i="5"/>
  <c r="F176" i="5"/>
  <c r="E176" i="5"/>
  <c r="D176" i="5"/>
  <c r="C176" i="5"/>
  <c r="AF175" i="5"/>
  <c r="AE175" i="5"/>
  <c r="AD175" i="5"/>
  <c r="AC175" i="5"/>
  <c r="AB175" i="5"/>
  <c r="AA175" i="5"/>
  <c r="Z175" i="5"/>
  <c r="Y175" i="5"/>
  <c r="X175" i="5"/>
  <c r="V175" i="5"/>
  <c r="U175" i="5"/>
  <c r="S175" i="5"/>
  <c r="R175" i="5"/>
  <c r="Q175" i="5"/>
  <c r="P175" i="5"/>
  <c r="O175" i="5"/>
  <c r="N175" i="5"/>
  <c r="M175" i="5"/>
  <c r="L175" i="5"/>
  <c r="K175" i="5"/>
  <c r="H175" i="5"/>
  <c r="G175" i="5"/>
  <c r="F175" i="5"/>
  <c r="E175" i="5"/>
  <c r="D175" i="5"/>
  <c r="C175" i="5"/>
  <c r="AF174" i="5"/>
  <c r="AE174" i="5"/>
  <c r="AD174" i="5"/>
  <c r="AC174" i="5"/>
  <c r="AB174" i="5"/>
  <c r="AA174" i="5"/>
  <c r="Z174" i="5"/>
  <c r="Y174" i="5"/>
  <c r="X174" i="5"/>
  <c r="V174" i="5"/>
  <c r="U174" i="5"/>
  <c r="S174" i="5"/>
  <c r="R174" i="5"/>
  <c r="Q174" i="5"/>
  <c r="P174" i="5"/>
  <c r="O174" i="5"/>
  <c r="N174" i="5"/>
  <c r="M174" i="5"/>
  <c r="L174" i="5"/>
  <c r="K174" i="5"/>
  <c r="H174" i="5"/>
  <c r="G174" i="5"/>
  <c r="F174" i="5"/>
  <c r="E174" i="5"/>
  <c r="D174" i="5"/>
  <c r="C174" i="5"/>
  <c r="AF173" i="5"/>
  <c r="AE173" i="5"/>
  <c r="AD173" i="5"/>
  <c r="AC173" i="5"/>
  <c r="AB173" i="5"/>
  <c r="AA173" i="5"/>
  <c r="Z173" i="5"/>
  <c r="Y173" i="5"/>
  <c r="X173" i="5"/>
  <c r="V173" i="5"/>
  <c r="U173" i="5"/>
  <c r="S173" i="5"/>
  <c r="R173" i="5"/>
  <c r="Q173" i="5"/>
  <c r="P173" i="5"/>
  <c r="O173" i="5"/>
  <c r="N173" i="5"/>
  <c r="M173" i="5"/>
  <c r="L173" i="5"/>
  <c r="K173" i="5"/>
  <c r="H173" i="5"/>
  <c r="G173" i="5"/>
  <c r="F173" i="5"/>
  <c r="E173" i="5"/>
  <c r="D173" i="5"/>
  <c r="C173" i="5"/>
  <c r="AF172" i="5"/>
  <c r="AE172" i="5"/>
  <c r="AD172" i="5"/>
  <c r="AC172" i="5"/>
  <c r="AB172" i="5"/>
  <c r="AA172" i="5"/>
  <c r="Z172" i="5"/>
  <c r="Y172" i="5"/>
  <c r="X172" i="5"/>
  <c r="V172" i="5"/>
  <c r="W172" i="5" s="1"/>
  <c r="U172" i="5"/>
  <c r="S172" i="5"/>
  <c r="R172" i="5"/>
  <c r="Q172" i="5"/>
  <c r="P172" i="5"/>
  <c r="O172" i="5"/>
  <c r="N172" i="5"/>
  <c r="M172" i="5"/>
  <c r="L172" i="5"/>
  <c r="K172" i="5"/>
  <c r="H172" i="5"/>
  <c r="G172" i="5"/>
  <c r="F172" i="5"/>
  <c r="E172" i="5"/>
  <c r="D172" i="5"/>
  <c r="C172" i="5"/>
  <c r="AF171" i="5"/>
  <c r="AE171" i="5"/>
  <c r="AD171" i="5"/>
  <c r="AC171" i="5"/>
  <c r="AB171" i="5"/>
  <c r="AA171" i="5"/>
  <c r="Z171" i="5"/>
  <c r="Y171" i="5"/>
  <c r="X171" i="5"/>
  <c r="V171" i="5"/>
  <c r="U171" i="5"/>
  <c r="S171" i="5"/>
  <c r="R171" i="5"/>
  <c r="Q171" i="5"/>
  <c r="P171" i="5"/>
  <c r="O171" i="5"/>
  <c r="N171" i="5"/>
  <c r="M171" i="5"/>
  <c r="L171" i="5"/>
  <c r="K171" i="5"/>
  <c r="H171" i="5"/>
  <c r="G171" i="5"/>
  <c r="F171" i="5"/>
  <c r="E171" i="5"/>
  <c r="D171" i="5"/>
  <c r="C171" i="5"/>
  <c r="AF170" i="5"/>
  <c r="AE170" i="5"/>
  <c r="AD170" i="5"/>
  <c r="AC170" i="5"/>
  <c r="AB170" i="5"/>
  <c r="AA170" i="5"/>
  <c r="Z170" i="5"/>
  <c r="Y170" i="5"/>
  <c r="X170" i="5"/>
  <c r="V170" i="5"/>
  <c r="U170" i="5"/>
  <c r="S170" i="5"/>
  <c r="R170" i="5"/>
  <c r="Q170" i="5"/>
  <c r="P170" i="5"/>
  <c r="O170" i="5"/>
  <c r="N170" i="5"/>
  <c r="M170" i="5"/>
  <c r="L170" i="5"/>
  <c r="K170" i="5"/>
  <c r="H170" i="5"/>
  <c r="G170" i="5"/>
  <c r="F170" i="5"/>
  <c r="E170" i="5"/>
  <c r="D170" i="5"/>
  <c r="C170" i="5"/>
  <c r="AF169" i="5"/>
  <c r="AE169" i="5"/>
  <c r="AD169" i="5"/>
  <c r="AC169" i="5"/>
  <c r="AB169" i="5"/>
  <c r="AA169" i="5"/>
  <c r="Z169" i="5"/>
  <c r="Y169" i="5"/>
  <c r="X169" i="5"/>
  <c r="V169" i="5"/>
  <c r="U169" i="5"/>
  <c r="S169" i="5"/>
  <c r="R169" i="5"/>
  <c r="Q169" i="5"/>
  <c r="P169" i="5"/>
  <c r="O169" i="5"/>
  <c r="N169" i="5"/>
  <c r="M169" i="5"/>
  <c r="L169" i="5"/>
  <c r="K169" i="5"/>
  <c r="H169" i="5"/>
  <c r="G169" i="5"/>
  <c r="F169" i="5"/>
  <c r="E169" i="5"/>
  <c r="D169" i="5"/>
  <c r="C169" i="5"/>
  <c r="AF168" i="5"/>
  <c r="AE168" i="5"/>
  <c r="AD168" i="5"/>
  <c r="AC168" i="5"/>
  <c r="AB168" i="5"/>
  <c r="AA168" i="5"/>
  <c r="Z168" i="5"/>
  <c r="Y168" i="5"/>
  <c r="X168" i="5"/>
  <c r="V168" i="5"/>
  <c r="U168" i="5"/>
  <c r="S168" i="5"/>
  <c r="R168" i="5"/>
  <c r="Q168" i="5"/>
  <c r="P168" i="5"/>
  <c r="O168" i="5"/>
  <c r="N168" i="5"/>
  <c r="M168" i="5"/>
  <c r="L168" i="5"/>
  <c r="K168" i="5"/>
  <c r="H168" i="5"/>
  <c r="G168" i="5"/>
  <c r="F168" i="5"/>
  <c r="E168" i="5"/>
  <c r="D168" i="5"/>
  <c r="C168" i="5"/>
  <c r="AF167" i="5"/>
  <c r="AE167" i="5"/>
  <c r="AD167" i="5"/>
  <c r="AC167" i="5"/>
  <c r="AB167" i="5"/>
  <c r="AA167" i="5"/>
  <c r="Z167" i="5"/>
  <c r="Y167" i="5"/>
  <c r="X167" i="5"/>
  <c r="V167" i="5"/>
  <c r="U167" i="5"/>
  <c r="S167" i="5"/>
  <c r="R167" i="5"/>
  <c r="Q167" i="5"/>
  <c r="P167" i="5"/>
  <c r="O167" i="5"/>
  <c r="N167" i="5"/>
  <c r="M167" i="5"/>
  <c r="L167" i="5"/>
  <c r="K167" i="5"/>
  <c r="H167" i="5"/>
  <c r="G167" i="5"/>
  <c r="F167" i="5"/>
  <c r="E167" i="5"/>
  <c r="D167" i="5"/>
  <c r="C167" i="5"/>
  <c r="AF166" i="5"/>
  <c r="AE166" i="5"/>
  <c r="AD166" i="5"/>
  <c r="AC166" i="5"/>
  <c r="AB166" i="5"/>
  <c r="AA166" i="5"/>
  <c r="Z166" i="5"/>
  <c r="Y166" i="5"/>
  <c r="X166" i="5"/>
  <c r="V166" i="5"/>
  <c r="W166" i="5" s="1"/>
  <c r="U166" i="5"/>
  <c r="S166" i="5"/>
  <c r="R166" i="5"/>
  <c r="Q166" i="5"/>
  <c r="P166" i="5"/>
  <c r="O166" i="5"/>
  <c r="N166" i="5"/>
  <c r="M166" i="5"/>
  <c r="L166" i="5"/>
  <c r="K166" i="5"/>
  <c r="H166" i="5"/>
  <c r="G166" i="5"/>
  <c r="F166" i="5"/>
  <c r="E166" i="5"/>
  <c r="D166" i="5"/>
  <c r="C166" i="5"/>
  <c r="AF165" i="5"/>
  <c r="AE165" i="5"/>
  <c r="AD165" i="5"/>
  <c r="AC165" i="5"/>
  <c r="AB165" i="5"/>
  <c r="AA165" i="5"/>
  <c r="Z165" i="5"/>
  <c r="Y165" i="5"/>
  <c r="X165" i="5"/>
  <c r="V165" i="5"/>
  <c r="U165" i="5"/>
  <c r="S165" i="5"/>
  <c r="R165" i="5"/>
  <c r="Q165" i="5"/>
  <c r="P165" i="5"/>
  <c r="O165" i="5"/>
  <c r="N165" i="5"/>
  <c r="M165" i="5"/>
  <c r="L165" i="5"/>
  <c r="K165" i="5"/>
  <c r="H165" i="5"/>
  <c r="G165" i="5"/>
  <c r="F165" i="5"/>
  <c r="E165" i="5"/>
  <c r="D165" i="5"/>
  <c r="C165" i="5"/>
  <c r="AF164" i="5"/>
  <c r="AE164" i="5"/>
  <c r="AD164" i="5"/>
  <c r="AC164" i="5"/>
  <c r="AB164" i="5"/>
  <c r="AA164" i="5"/>
  <c r="Z164" i="5"/>
  <c r="Y164" i="5"/>
  <c r="X164" i="5"/>
  <c r="V164" i="5"/>
  <c r="U164" i="5"/>
  <c r="W164" i="5" s="1"/>
  <c r="S164" i="5"/>
  <c r="R164" i="5"/>
  <c r="Q164" i="5"/>
  <c r="P164" i="5"/>
  <c r="O164" i="5"/>
  <c r="N164" i="5"/>
  <c r="M164" i="5"/>
  <c r="L164" i="5"/>
  <c r="K164" i="5"/>
  <c r="H164" i="5"/>
  <c r="G164" i="5"/>
  <c r="F164" i="5"/>
  <c r="E164" i="5"/>
  <c r="D164" i="5"/>
  <c r="C164" i="5"/>
  <c r="AF163" i="5"/>
  <c r="AE163" i="5"/>
  <c r="AD163" i="5"/>
  <c r="AC163" i="5"/>
  <c r="AB163" i="5"/>
  <c r="AA163" i="5"/>
  <c r="Z163" i="5"/>
  <c r="Y163" i="5"/>
  <c r="X163" i="5"/>
  <c r="V163" i="5"/>
  <c r="U163" i="5"/>
  <c r="S163" i="5"/>
  <c r="R163" i="5"/>
  <c r="Q163" i="5"/>
  <c r="P163" i="5"/>
  <c r="O163" i="5"/>
  <c r="N163" i="5"/>
  <c r="M163" i="5"/>
  <c r="L163" i="5"/>
  <c r="K163" i="5"/>
  <c r="H163" i="5"/>
  <c r="G163" i="5"/>
  <c r="F163" i="5"/>
  <c r="E163" i="5"/>
  <c r="D163" i="5"/>
  <c r="C163" i="5"/>
  <c r="AF162" i="5"/>
  <c r="AE162" i="5"/>
  <c r="AD162" i="5"/>
  <c r="AC162" i="5"/>
  <c r="AB162" i="5"/>
  <c r="AA162" i="5"/>
  <c r="Z162" i="5"/>
  <c r="Y162" i="5"/>
  <c r="X162" i="5"/>
  <c r="V162" i="5"/>
  <c r="U162" i="5"/>
  <c r="S162" i="5"/>
  <c r="R162" i="5"/>
  <c r="Q162" i="5"/>
  <c r="P162" i="5"/>
  <c r="O162" i="5"/>
  <c r="N162" i="5"/>
  <c r="M162" i="5"/>
  <c r="L162" i="5"/>
  <c r="K162" i="5"/>
  <c r="H162" i="5"/>
  <c r="G162" i="5"/>
  <c r="F162" i="5"/>
  <c r="E162" i="5"/>
  <c r="D162" i="5"/>
  <c r="C162" i="5"/>
  <c r="AF161" i="5"/>
  <c r="AE161" i="5"/>
  <c r="AD161" i="5"/>
  <c r="AC161" i="5"/>
  <c r="AB161" i="5"/>
  <c r="AA161" i="5"/>
  <c r="Z161" i="5"/>
  <c r="Y161" i="5"/>
  <c r="X161" i="5"/>
  <c r="V161" i="5"/>
  <c r="U161" i="5"/>
  <c r="S161" i="5"/>
  <c r="R161" i="5"/>
  <c r="Q161" i="5"/>
  <c r="P161" i="5"/>
  <c r="O161" i="5"/>
  <c r="N161" i="5"/>
  <c r="M161" i="5"/>
  <c r="L161" i="5"/>
  <c r="K161" i="5"/>
  <c r="H161" i="5"/>
  <c r="G161" i="5"/>
  <c r="F161" i="5"/>
  <c r="E161" i="5"/>
  <c r="D161" i="5"/>
  <c r="C161" i="5"/>
  <c r="AF160" i="5"/>
  <c r="AE160" i="5"/>
  <c r="AD160" i="5"/>
  <c r="AC160" i="5"/>
  <c r="AB160" i="5"/>
  <c r="AA160" i="5"/>
  <c r="Z160" i="5"/>
  <c r="Y160" i="5"/>
  <c r="X160" i="5"/>
  <c r="V160" i="5"/>
  <c r="W160" i="5" s="1"/>
  <c r="U160" i="5"/>
  <c r="S160" i="5"/>
  <c r="R160" i="5"/>
  <c r="Q160" i="5"/>
  <c r="P160" i="5"/>
  <c r="O160" i="5"/>
  <c r="N160" i="5"/>
  <c r="M160" i="5"/>
  <c r="L160" i="5"/>
  <c r="K160" i="5"/>
  <c r="H160" i="5"/>
  <c r="G160" i="5"/>
  <c r="F160" i="5"/>
  <c r="E160" i="5"/>
  <c r="D160" i="5"/>
  <c r="C160" i="5"/>
  <c r="AF159" i="5"/>
  <c r="AE159" i="5"/>
  <c r="AD159" i="5"/>
  <c r="AC159" i="5"/>
  <c r="AB159" i="5"/>
  <c r="AA159" i="5"/>
  <c r="Z159" i="5"/>
  <c r="Y159" i="5"/>
  <c r="X159" i="5"/>
  <c r="V159" i="5"/>
  <c r="U159" i="5"/>
  <c r="S159" i="5"/>
  <c r="R159" i="5"/>
  <c r="Q159" i="5"/>
  <c r="P159" i="5"/>
  <c r="O159" i="5"/>
  <c r="N159" i="5"/>
  <c r="M159" i="5"/>
  <c r="L159" i="5"/>
  <c r="K159" i="5"/>
  <c r="H159" i="5"/>
  <c r="G159" i="5"/>
  <c r="F159" i="5"/>
  <c r="E159" i="5"/>
  <c r="D159" i="5"/>
  <c r="C159" i="5"/>
  <c r="AF158" i="5"/>
  <c r="AE158" i="5"/>
  <c r="AD158" i="5"/>
  <c r="AC158" i="5"/>
  <c r="AB158" i="5"/>
  <c r="AA158" i="5"/>
  <c r="Z158" i="5"/>
  <c r="Y158" i="5"/>
  <c r="X158" i="5"/>
  <c r="V158" i="5"/>
  <c r="U158" i="5"/>
  <c r="S158" i="5"/>
  <c r="R158" i="5"/>
  <c r="Q158" i="5"/>
  <c r="P158" i="5"/>
  <c r="O158" i="5"/>
  <c r="N158" i="5"/>
  <c r="M158" i="5"/>
  <c r="L158" i="5"/>
  <c r="K158" i="5"/>
  <c r="H158" i="5"/>
  <c r="G158" i="5"/>
  <c r="F158" i="5"/>
  <c r="E158" i="5"/>
  <c r="D158" i="5"/>
  <c r="C158" i="5"/>
  <c r="AF157" i="5"/>
  <c r="AE157" i="5"/>
  <c r="AD157" i="5"/>
  <c r="AC157" i="5"/>
  <c r="AB157" i="5"/>
  <c r="AA157" i="5"/>
  <c r="Z157" i="5"/>
  <c r="Y157" i="5"/>
  <c r="X157" i="5"/>
  <c r="V157" i="5"/>
  <c r="U157" i="5"/>
  <c r="S157" i="5"/>
  <c r="R157" i="5"/>
  <c r="Q157" i="5"/>
  <c r="P157" i="5"/>
  <c r="O157" i="5"/>
  <c r="N157" i="5"/>
  <c r="M157" i="5"/>
  <c r="L157" i="5"/>
  <c r="K157" i="5"/>
  <c r="H157" i="5"/>
  <c r="G157" i="5"/>
  <c r="F157" i="5"/>
  <c r="E157" i="5"/>
  <c r="D157" i="5"/>
  <c r="C157" i="5"/>
  <c r="AF156" i="5"/>
  <c r="AE156" i="5"/>
  <c r="AD156" i="5"/>
  <c r="AC156" i="5"/>
  <c r="AB156" i="5"/>
  <c r="AA156" i="5"/>
  <c r="Z156" i="5"/>
  <c r="Y156" i="5"/>
  <c r="X156" i="5"/>
  <c r="V156" i="5"/>
  <c r="U156" i="5"/>
  <c r="S156" i="5"/>
  <c r="R156" i="5"/>
  <c r="Q156" i="5"/>
  <c r="P156" i="5"/>
  <c r="O156" i="5"/>
  <c r="N156" i="5"/>
  <c r="M156" i="5"/>
  <c r="L156" i="5"/>
  <c r="K156" i="5"/>
  <c r="H156" i="5"/>
  <c r="G156" i="5"/>
  <c r="F156" i="5"/>
  <c r="E156" i="5"/>
  <c r="D156" i="5"/>
  <c r="C156" i="5"/>
  <c r="AF155" i="5"/>
  <c r="AE155" i="5"/>
  <c r="AD155" i="5"/>
  <c r="AC155" i="5"/>
  <c r="AB155" i="5"/>
  <c r="AA155" i="5"/>
  <c r="Z155" i="5"/>
  <c r="Y155" i="5"/>
  <c r="X155" i="5"/>
  <c r="V155" i="5"/>
  <c r="U155" i="5"/>
  <c r="S155" i="5"/>
  <c r="R155" i="5"/>
  <c r="Q155" i="5"/>
  <c r="P155" i="5"/>
  <c r="O155" i="5"/>
  <c r="N155" i="5"/>
  <c r="M155" i="5"/>
  <c r="L155" i="5"/>
  <c r="K155" i="5"/>
  <c r="H155" i="5"/>
  <c r="G155" i="5"/>
  <c r="F155" i="5"/>
  <c r="E155" i="5"/>
  <c r="D155" i="5"/>
  <c r="C155" i="5"/>
  <c r="AF154" i="5"/>
  <c r="AE154" i="5"/>
  <c r="AD154" i="5"/>
  <c r="AC154" i="5"/>
  <c r="AB154" i="5"/>
  <c r="AA154" i="5"/>
  <c r="Z154" i="5"/>
  <c r="Y154" i="5"/>
  <c r="X154" i="5"/>
  <c r="V154" i="5"/>
  <c r="U154" i="5"/>
  <c r="S154" i="5"/>
  <c r="R154" i="5"/>
  <c r="Q154" i="5"/>
  <c r="P154" i="5"/>
  <c r="O154" i="5"/>
  <c r="N154" i="5"/>
  <c r="M154" i="5"/>
  <c r="L154" i="5"/>
  <c r="K154" i="5"/>
  <c r="H154" i="5"/>
  <c r="G154" i="5"/>
  <c r="F154" i="5"/>
  <c r="E154" i="5"/>
  <c r="D154" i="5"/>
  <c r="C154" i="5"/>
  <c r="AF153" i="5"/>
  <c r="AE153" i="5"/>
  <c r="AD153" i="5"/>
  <c r="AC153" i="5"/>
  <c r="AB153" i="5"/>
  <c r="AA153" i="5"/>
  <c r="Z153" i="5"/>
  <c r="Y153" i="5"/>
  <c r="X153" i="5"/>
  <c r="V153" i="5"/>
  <c r="U153" i="5"/>
  <c r="S153" i="5"/>
  <c r="R153" i="5"/>
  <c r="Q153" i="5"/>
  <c r="P153" i="5"/>
  <c r="O153" i="5"/>
  <c r="N153" i="5"/>
  <c r="M153" i="5"/>
  <c r="L153" i="5"/>
  <c r="K153" i="5"/>
  <c r="H153" i="5"/>
  <c r="G153" i="5"/>
  <c r="F153" i="5"/>
  <c r="E153" i="5"/>
  <c r="D153" i="5"/>
  <c r="C153" i="5"/>
  <c r="AF152" i="5"/>
  <c r="AE152" i="5"/>
  <c r="AD152" i="5"/>
  <c r="AC152" i="5"/>
  <c r="AB152" i="5"/>
  <c r="AA152" i="5"/>
  <c r="Z152" i="5"/>
  <c r="Y152" i="5"/>
  <c r="X152" i="5"/>
  <c r="V152" i="5"/>
  <c r="U152" i="5"/>
  <c r="S152" i="5"/>
  <c r="R152" i="5"/>
  <c r="Q152" i="5"/>
  <c r="P152" i="5"/>
  <c r="O152" i="5"/>
  <c r="N152" i="5"/>
  <c r="M152" i="5"/>
  <c r="L152" i="5"/>
  <c r="K152" i="5"/>
  <c r="H152" i="5"/>
  <c r="G152" i="5"/>
  <c r="F152" i="5"/>
  <c r="E152" i="5"/>
  <c r="D152" i="5"/>
  <c r="C152" i="5"/>
  <c r="AF151" i="5"/>
  <c r="AE151" i="5"/>
  <c r="AD151" i="5"/>
  <c r="AC151" i="5"/>
  <c r="AB151" i="5"/>
  <c r="AA151" i="5"/>
  <c r="Z151" i="5"/>
  <c r="Y151" i="5"/>
  <c r="X151" i="5"/>
  <c r="V151" i="5"/>
  <c r="U151" i="5"/>
  <c r="S151" i="5"/>
  <c r="R151" i="5"/>
  <c r="Q151" i="5"/>
  <c r="P151" i="5"/>
  <c r="O151" i="5"/>
  <c r="N151" i="5"/>
  <c r="M151" i="5"/>
  <c r="L151" i="5"/>
  <c r="K151" i="5"/>
  <c r="H151" i="5"/>
  <c r="G151" i="5"/>
  <c r="F151" i="5"/>
  <c r="E151" i="5"/>
  <c r="D151" i="5"/>
  <c r="C151" i="5"/>
  <c r="AF150" i="5"/>
  <c r="AE150" i="5"/>
  <c r="AD150" i="5"/>
  <c r="AC150" i="5"/>
  <c r="AB150" i="5"/>
  <c r="AA150" i="5"/>
  <c r="Z150" i="5"/>
  <c r="Y150" i="5"/>
  <c r="X150" i="5"/>
  <c r="V150" i="5"/>
  <c r="U150" i="5"/>
  <c r="S150" i="5"/>
  <c r="R150" i="5"/>
  <c r="Q150" i="5"/>
  <c r="P150" i="5"/>
  <c r="O150" i="5"/>
  <c r="N150" i="5"/>
  <c r="M150" i="5"/>
  <c r="L150" i="5"/>
  <c r="K150" i="5"/>
  <c r="H150" i="5"/>
  <c r="G150" i="5"/>
  <c r="F150" i="5"/>
  <c r="E150" i="5"/>
  <c r="D150" i="5"/>
  <c r="C150" i="5"/>
  <c r="AF149" i="5"/>
  <c r="AE149" i="5"/>
  <c r="AD149" i="5"/>
  <c r="AC149" i="5"/>
  <c r="AB149" i="5"/>
  <c r="AA149" i="5"/>
  <c r="Z149" i="5"/>
  <c r="Y149" i="5"/>
  <c r="X149" i="5"/>
  <c r="V149" i="5"/>
  <c r="U149" i="5"/>
  <c r="S149" i="5"/>
  <c r="R149" i="5"/>
  <c r="Q149" i="5"/>
  <c r="P149" i="5"/>
  <c r="O149" i="5"/>
  <c r="N149" i="5"/>
  <c r="M149" i="5"/>
  <c r="L149" i="5"/>
  <c r="K149" i="5"/>
  <c r="H149" i="5"/>
  <c r="G149" i="5"/>
  <c r="F149" i="5"/>
  <c r="E149" i="5"/>
  <c r="D149" i="5"/>
  <c r="C149" i="5"/>
  <c r="AF148" i="5"/>
  <c r="AE148" i="5"/>
  <c r="AD148" i="5"/>
  <c r="AC148" i="5"/>
  <c r="AB148" i="5"/>
  <c r="AA148" i="5"/>
  <c r="Z148" i="5"/>
  <c r="Y148" i="5"/>
  <c r="X148" i="5"/>
  <c r="V148" i="5"/>
  <c r="W148" i="5" s="1"/>
  <c r="U148" i="5"/>
  <c r="S148" i="5"/>
  <c r="R148" i="5"/>
  <c r="Q148" i="5"/>
  <c r="P148" i="5"/>
  <c r="O148" i="5"/>
  <c r="N148" i="5"/>
  <c r="M148" i="5"/>
  <c r="L148" i="5"/>
  <c r="K148" i="5"/>
  <c r="H148" i="5"/>
  <c r="G148" i="5"/>
  <c r="F148" i="5"/>
  <c r="E148" i="5"/>
  <c r="D148" i="5"/>
  <c r="C148" i="5"/>
  <c r="AF147" i="5"/>
  <c r="AE147" i="5"/>
  <c r="AD147" i="5"/>
  <c r="AC147" i="5"/>
  <c r="AB147" i="5"/>
  <c r="AA147" i="5"/>
  <c r="Z147" i="5"/>
  <c r="Y147" i="5"/>
  <c r="X147" i="5"/>
  <c r="V147" i="5"/>
  <c r="U147" i="5"/>
  <c r="S147" i="5"/>
  <c r="R147" i="5"/>
  <c r="Q147" i="5"/>
  <c r="P147" i="5"/>
  <c r="O147" i="5"/>
  <c r="N147" i="5"/>
  <c r="M147" i="5"/>
  <c r="L147" i="5"/>
  <c r="K147" i="5"/>
  <c r="H147" i="5"/>
  <c r="G147" i="5"/>
  <c r="F147" i="5"/>
  <c r="E147" i="5"/>
  <c r="D147" i="5"/>
  <c r="C147" i="5"/>
  <c r="AF146" i="5"/>
  <c r="AE146" i="5"/>
  <c r="AD146" i="5"/>
  <c r="AC146" i="5"/>
  <c r="AB146" i="5"/>
  <c r="AA146" i="5"/>
  <c r="Z146" i="5"/>
  <c r="Y146" i="5"/>
  <c r="X146" i="5"/>
  <c r="V146" i="5"/>
  <c r="W146" i="5" s="1"/>
  <c r="U146" i="5"/>
  <c r="S146" i="5"/>
  <c r="R146" i="5"/>
  <c r="Q146" i="5"/>
  <c r="P146" i="5"/>
  <c r="O146" i="5"/>
  <c r="N146" i="5"/>
  <c r="M146" i="5"/>
  <c r="L146" i="5"/>
  <c r="K146" i="5"/>
  <c r="H146" i="5"/>
  <c r="G146" i="5"/>
  <c r="F146" i="5"/>
  <c r="E146" i="5"/>
  <c r="D146" i="5"/>
  <c r="C146" i="5"/>
  <c r="AF145" i="5"/>
  <c r="AE145" i="5"/>
  <c r="AD145" i="5"/>
  <c r="AC145" i="5"/>
  <c r="AB145" i="5"/>
  <c r="AA145" i="5"/>
  <c r="Z145" i="5"/>
  <c r="Y145" i="5"/>
  <c r="X145" i="5"/>
  <c r="V145" i="5"/>
  <c r="U145" i="5"/>
  <c r="S145" i="5"/>
  <c r="R145" i="5"/>
  <c r="Q145" i="5"/>
  <c r="P145" i="5"/>
  <c r="O145" i="5"/>
  <c r="N145" i="5"/>
  <c r="M145" i="5"/>
  <c r="L145" i="5"/>
  <c r="K145" i="5"/>
  <c r="H145" i="5"/>
  <c r="G145" i="5"/>
  <c r="F145" i="5"/>
  <c r="E145" i="5"/>
  <c r="D145" i="5"/>
  <c r="C145" i="5"/>
  <c r="AF144" i="5"/>
  <c r="AE144" i="5"/>
  <c r="AD144" i="5"/>
  <c r="AC144" i="5"/>
  <c r="AB144" i="5"/>
  <c r="AA144" i="5"/>
  <c r="Z144" i="5"/>
  <c r="Y144" i="5"/>
  <c r="X144" i="5"/>
  <c r="V144" i="5"/>
  <c r="U144" i="5"/>
  <c r="S144" i="5"/>
  <c r="R144" i="5"/>
  <c r="Q144" i="5"/>
  <c r="P144" i="5"/>
  <c r="O144" i="5"/>
  <c r="N144" i="5"/>
  <c r="M144" i="5"/>
  <c r="L144" i="5"/>
  <c r="K144" i="5"/>
  <c r="H144" i="5"/>
  <c r="G144" i="5"/>
  <c r="F144" i="5"/>
  <c r="E144" i="5"/>
  <c r="D144" i="5"/>
  <c r="C144" i="5"/>
  <c r="AF143" i="5"/>
  <c r="AE143" i="5"/>
  <c r="AD143" i="5"/>
  <c r="AC143" i="5"/>
  <c r="AB143" i="5"/>
  <c r="AA143" i="5"/>
  <c r="Z143" i="5"/>
  <c r="Y143" i="5"/>
  <c r="X143" i="5"/>
  <c r="V143" i="5"/>
  <c r="U143" i="5"/>
  <c r="S143" i="5"/>
  <c r="R143" i="5"/>
  <c r="Q143" i="5"/>
  <c r="P143" i="5"/>
  <c r="O143" i="5"/>
  <c r="N143" i="5"/>
  <c r="M143" i="5"/>
  <c r="L143" i="5"/>
  <c r="K143" i="5"/>
  <c r="H143" i="5"/>
  <c r="G143" i="5"/>
  <c r="F143" i="5"/>
  <c r="E143" i="5"/>
  <c r="D143" i="5"/>
  <c r="C143" i="5"/>
  <c r="AF142" i="5"/>
  <c r="AE142" i="5"/>
  <c r="AD142" i="5"/>
  <c r="AC142" i="5"/>
  <c r="AB142" i="5"/>
  <c r="AA142" i="5"/>
  <c r="Z142" i="5"/>
  <c r="Y142" i="5"/>
  <c r="X142" i="5"/>
  <c r="V142" i="5"/>
  <c r="U142" i="5"/>
  <c r="S142" i="5"/>
  <c r="R142" i="5"/>
  <c r="Q142" i="5"/>
  <c r="P142" i="5"/>
  <c r="O142" i="5"/>
  <c r="N142" i="5"/>
  <c r="M142" i="5"/>
  <c r="L142" i="5"/>
  <c r="K142" i="5"/>
  <c r="H142" i="5"/>
  <c r="G142" i="5"/>
  <c r="F142" i="5"/>
  <c r="E142" i="5"/>
  <c r="D142" i="5"/>
  <c r="C142" i="5"/>
  <c r="AF141" i="5"/>
  <c r="AE141" i="5"/>
  <c r="AD141" i="5"/>
  <c r="AC141" i="5"/>
  <c r="AB141" i="5"/>
  <c r="AA141" i="5"/>
  <c r="Z141" i="5"/>
  <c r="Y141" i="5"/>
  <c r="X141" i="5"/>
  <c r="V141" i="5"/>
  <c r="U141" i="5"/>
  <c r="S141" i="5"/>
  <c r="R141" i="5"/>
  <c r="Q141" i="5"/>
  <c r="P141" i="5"/>
  <c r="O141" i="5"/>
  <c r="N141" i="5"/>
  <c r="M141" i="5"/>
  <c r="L141" i="5"/>
  <c r="K141" i="5"/>
  <c r="H141" i="5"/>
  <c r="G141" i="5"/>
  <c r="F141" i="5"/>
  <c r="E141" i="5"/>
  <c r="D141" i="5"/>
  <c r="C141" i="5"/>
  <c r="AF140" i="5"/>
  <c r="AE140" i="5"/>
  <c r="AD140" i="5"/>
  <c r="AC140" i="5"/>
  <c r="AB140" i="5"/>
  <c r="AA140" i="5"/>
  <c r="Z140" i="5"/>
  <c r="Y140" i="5"/>
  <c r="X140" i="5"/>
  <c r="V140" i="5"/>
  <c r="U140" i="5"/>
  <c r="S140" i="5"/>
  <c r="R140" i="5"/>
  <c r="Q140" i="5"/>
  <c r="P140" i="5"/>
  <c r="O140" i="5"/>
  <c r="N140" i="5"/>
  <c r="M140" i="5"/>
  <c r="L140" i="5"/>
  <c r="K140" i="5"/>
  <c r="H140" i="5"/>
  <c r="G140" i="5"/>
  <c r="F140" i="5"/>
  <c r="E140" i="5"/>
  <c r="D140" i="5"/>
  <c r="C140" i="5"/>
  <c r="AF139" i="5"/>
  <c r="AE139" i="5"/>
  <c r="AD139" i="5"/>
  <c r="AC139" i="5"/>
  <c r="AB139" i="5"/>
  <c r="AA139" i="5"/>
  <c r="Z139" i="5"/>
  <c r="Y139" i="5"/>
  <c r="X139" i="5"/>
  <c r="V139" i="5"/>
  <c r="U139" i="5"/>
  <c r="S139" i="5"/>
  <c r="R139" i="5"/>
  <c r="Q139" i="5"/>
  <c r="P139" i="5"/>
  <c r="O139" i="5"/>
  <c r="N139" i="5"/>
  <c r="M139" i="5"/>
  <c r="L139" i="5"/>
  <c r="K139" i="5"/>
  <c r="H139" i="5"/>
  <c r="G139" i="5"/>
  <c r="F139" i="5"/>
  <c r="E139" i="5"/>
  <c r="D139" i="5"/>
  <c r="C139" i="5"/>
  <c r="AF138" i="5"/>
  <c r="AE138" i="5"/>
  <c r="AD138" i="5"/>
  <c r="AC138" i="5"/>
  <c r="AB138" i="5"/>
  <c r="AA138" i="5"/>
  <c r="Z138" i="5"/>
  <c r="Y138" i="5"/>
  <c r="X138" i="5"/>
  <c r="V138" i="5"/>
  <c r="U138" i="5"/>
  <c r="S138" i="5"/>
  <c r="R138" i="5"/>
  <c r="Q138" i="5"/>
  <c r="P138" i="5"/>
  <c r="O138" i="5"/>
  <c r="N138" i="5"/>
  <c r="M138" i="5"/>
  <c r="L138" i="5"/>
  <c r="K138" i="5"/>
  <c r="H138" i="5"/>
  <c r="G138" i="5"/>
  <c r="F138" i="5"/>
  <c r="E138" i="5"/>
  <c r="D138" i="5"/>
  <c r="C138" i="5"/>
  <c r="AF137" i="5"/>
  <c r="AE137" i="5"/>
  <c r="AD137" i="5"/>
  <c r="AC137" i="5"/>
  <c r="AB137" i="5"/>
  <c r="AA137" i="5"/>
  <c r="Z137" i="5"/>
  <c r="Y137" i="5"/>
  <c r="X137" i="5"/>
  <c r="V137" i="5"/>
  <c r="U137" i="5"/>
  <c r="S137" i="5"/>
  <c r="R137" i="5"/>
  <c r="Q137" i="5"/>
  <c r="P137" i="5"/>
  <c r="O137" i="5"/>
  <c r="N137" i="5"/>
  <c r="M137" i="5"/>
  <c r="L137" i="5"/>
  <c r="K137" i="5"/>
  <c r="H137" i="5"/>
  <c r="G137" i="5"/>
  <c r="F137" i="5"/>
  <c r="E137" i="5"/>
  <c r="D137" i="5"/>
  <c r="C137" i="5"/>
  <c r="AF136" i="5"/>
  <c r="AE136" i="5"/>
  <c r="AD136" i="5"/>
  <c r="AC136" i="5"/>
  <c r="AB136" i="5"/>
  <c r="AA136" i="5"/>
  <c r="Z136" i="5"/>
  <c r="Y136" i="5"/>
  <c r="X136" i="5"/>
  <c r="V136" i="5"/>
  <c r="U136" i="5"/>
  <c r="S136" i="5"/>
  <c r="R136" i="5"/>
  <c r="Q136" i="5"/>
  <c r="P136" i="5"/>
  <c r="O136" i="5"/>
  <c r="N136" i="5"/>
  <c r="M136" i="5"/>
  <c r="L136" i="5"/>
  <c r="K136" i="5"/>
  <c r="H136" i="5"/>
  <c r="G136" i="5"/>
  <c r="F136" i="5"/>
  <c r="E136" i="5"/>
  <c r="D136" i="5"/>
  <c r="C136" i="5"/>
  <c r="AF135" i="5"/>
  <c r="AE135" i="5"/>
  <c r="AD135" i="5"/>
  <c r="AC135" i="5"/>
  <c r="AB135" i="5"/>
  <c r="AA135" i="5"/>
  <c r="Z135" i="5"/>
  <c r="Y135" i="5"/>
  <c r="X135" i="5"/>
  <c r="V135" i="5"/>
  <c r="U135" i="5"/>
  <c r="S135" i="5"/>
  <c r="R135" i="5"/>
  <c r="Q135" i="5"/>
  <c r="P135" i="5"/>
  <c r="O135" i="5"/>
  <c r="N135" i="5"/>
  <c r="M135" i="5"/>
  <c r="L135" i="5"/>
  <c r="K135" i="5"/>
  <c r="H135" i="5"/>
  <c r="G135" i="5"/>
  <c r="F135" i="5"/>
  <c r="E135" i="5"/>
  <c r="D135" i="5"/>
  <c r="C135" i="5"/>
  <c r="AF134" i="5"/>
  <c r="AE134" i="5"/>
  <c r="AD134" i="5"/>
  <c r="AC134" i="5"/>
  <c r="AB134" i="5"/>
  <c r="AA134" i="5"/>
  <c r="Z134" i="5"/>
  <c r="Y134" i="5"/>
  <c r="X134" i="5"/>
  <c r="V134" i="5"/>
  <c r="W134" i="5" s="1"/>
  <c r="U134" i="5"/>
  <c r="S134" i="5"/>
  <c r="R134" i="5"/>
  <c r="Q134" i="5"/>
  <c r="P134" i="5"/>
  <c r="O134" i="5"/>
  <c r="N134" i="5"/>
  <c r="M134" i="5"/>
  <c r="L134" i="5"/>
  <c r="K134" i="5"/>
  <c r="H134" i="5"/>
  <c r="G134" i="5"/>
  <c r="F134" i="5"/>
  <c r="E134" i="5"/>
  <c r="D134" i="5"/>
  <c r="C134" i="5"/>
  <c r="AF133" i="5"/>
  <c r="AE133" i="5"/>
  <c r="AD133" i="5"/>
  <c r="AC133" i="5"/>
  <c r="AB133" i="5"/>
  <c r="AA133" i="5"/>
  <c r="Z133" i="5"/>
  <c r="Y133" i="5"/>
  <c r="X133" i="5"/>
  <c r="V133" i="5"/>
  <c r="U133" i="5"/>
  <c r="S133" i="5"/>
  <c r="R133" i="5"/>
  <c r="Q133" i="5"/>
  <c r="P133" i="5"/>
  <c r="O133" i="5"/>
  <c r="N133" i="5"/>
  <c r="M133" i="5"/>
  <c r="L133" i="5"/>
  <c r="K133" i="5"/>
  <c r="H133" i="5"/>
  <c r="G133" i="5"/>
  <c r="F133" i="5"/>
  <c r="E133" i="5"/>
  <c r="D133" i="5"/>
  <c r="C133" i="5"/>
  <c r="AF132" i="5"/>
  <c r="AE132" i="5"/>
  <c r="AD132" i="5"/>
  <c r="AC132" i="5"/>
  <c r="AB132" i="5"/>
  <c r="AA132" i="5"/>
  <c r="Z132" i="5"/>
  <c r="Y132" i="5"/>
  <c r="X132" i="5"/>
  <c r="V132" i="5"/>
  <c r="U132" i="5"/>
  <c r="S132" i="5"/>
  <c r="R132" i="5"/>
  <c r="Q132" i="5"/>
  <c r="P132" i="5"/>
  <c r="O132" i="5"/>
  <c r="N132" i="5"/>
  <c r="M132" i="5"/>
  <c r="L132" i="5"/>
  <c r="K132" i="5"/>
  <c r="H132" i="5"/>
  <c r="G132" i="5"/>
  <c r="F132" i="5"/>
  <c r="E132" i="5"/>
  <c r="D132" i="5"/>
  <c r="C132" i="5"/>
  <c r="AF131" i="5"/>
  <c r="AE131" i="5"/>
  <c r="AD131" i="5"/>
  <c r="AC131" i="5"/>
  <c r="AB131" i="5"/>
  <c r="AA131" i="5"/>
  <c r="Z131" i="5"/>
  <c r="Y131" i="5"/>
  <c r="X131" i="5"/>
  <c r="V131" i="5"/>
  <c r="U131" i="5"/>
  <c r="S131" i="5"/>
  <c r="R131" i="5"/>
  <c r="Q131" i="5"/>
  <c r="P131" i="5"/>
  <c r="O131" i="5"/>
  <c r="N131" i="5"/>
  <c r="M131" i="5"/>
  <c r="L131" i="5"/>
  <c r="K131" i="5"/>
  <c r="H131" i="5"/>
  <c r="G131" i="5"/>
  <c r="F131" i="5"/>
  <c r="E131" i="5"/>
  <c r="D131" i="5"/>
  <c r="C131" i="5"/>
  <c r="AF130" i="5"/>
  <c r="AE130" i="5"/>
  <c r="AD130" i="5"/>
  <c r="AC130" i="5"/>
  <c r="AB130" i="5"/>
  <c r="AA130" i="5"/>
  <c r="Z130" i="5"/>
  <c r="Y130" i="5"/>
  <c r="X130" i="5"/>
  <c r="V130" i="5"/>
  <c r="U130" i="5"/>
  <c r="S130" i="5"/>
  <c r="R130" i="5"/>
  <c r="Q130" i="5"/>
  <c r="P130" i="5"/>
  <c r="O130" i="5"/>
  <c r="N130" i="5"/>
  <c r="M130" i="5"/>
  <c r="L130" i="5"/>
  <c r="K130" i="5"/>
  <c r="H130" i="5"/>
  <c r="G130" i="5"/>
  <c r="F130" i="5"/>
  <c r="E130" i="5"/>
  <c r="D130" i="5"/>
  <c r="C130" i="5"/>
  <c r="AF129" i="5"/>
  <c r="AE129" i="5"/>
  <c r="AD129" i="5"/>
  <c r="AC129" i="5"/>
  <c r="AB129" i="5"/>
  <c r="AA129" i="5"/>
  <c r="Z129" i="5"/>
  <c r="Y129" i="5"/>
  <c r="X129" i="5"/>
  <c r="V129" i="5"/>
  <c r="U129" i="5"/>
  <c r="S129" i="5"/>
  <c r="R129" i="5"/>
  <c r="Q129" i="5"/>
  <c r="P129" i="5"/>
  <c r="O129" i="5"/>
  <c r="N129" i="5"/>
  <c r="M129" i="5"/>
  <c r="L129" i="5"/>
  <c r="K129" i="5"/>
  <c r="H129" i="5"/>
  <c r="G129" i="5"/>
  <c r="F129" i="5"/>
  <c r="E129" i="5"/>
  <c r="D129" i="5"/>
  <c r="C129" i="5"/>
  <c r="AF128" i="5"/>
  <c r="AE128" i="5"/>
  <c r="AD128" i="5"/>
  <c r="AC128" i="5"/>
  <c r="AB128" i="5"/>
  <c r="AA128" i="5"/>
  <c r="Z128" i="5"/>
  <c r="Y128" i="5"/>
  <c r="X128" i="5"/>
  <c r="V128" i="5"/>
  <c r="U128" i="5"/>
  <c r="S128" i="5"/>
  <c r="R128" i="5"/>
  <c r="Q128" i="5"/>
  <c r="P128" i="5"/>
  <c r="O128" i="5"/>
  <c r="N128" i="5"/>
  <c r="M128" i="5"/>
  <c r="L128" i="5"/>
  <c r="K128" i="5"/>
  <c r="H128" i="5"/>
  <c r="G128" i="5"/>
  <c r="F128" i="5"/>
  <c r="E128" i="5"/>
  <c r="D128" i="5"/>
  <c r="AF127" i="5"/>
  <c r="AE127" i="5"/>
  <c r="AD127" i="5"/>
  <c r="AC127" i="5"/>
  <c r="AB127" i="5"/>
  <c r="AA127" i="5"/>
  <c r="Z127" i="5"/>
  <c r="Y127" i="5"/>
  <c r="X127" i="5"/>
  <c r="V127" i="5"/>
  <c r="U127" i="5"/>
  <c r="S127" i="5"/>
  <c r="R127" i="5"/>
  <c r="Q127" i="5"/>
  <c r="P127" i="5"/>
  <c r="O127" i="5"/>
  <c r="N127" i="5"/>
  <c r="M127" i="5"/>
  <c r="L127" i="5"/>
  <c r="K127" i="5"/>
  <c r="H127" i="5"/>
  <c r="G127" i="5"/>
  <c r="F127" i="5"/>
  <c r="E127" i="5"/>
  <c r="D127" i="5"/>
  <c r="AF126" i="5"/>
  <c r="AE126" i="5"/>
  <c r="AD126" i="5"/>
  <c r="AC126" i="5"/>
  <c r="AB126" i="5"/>
  <c r="AA126" i="5"/>
  <c r="Z126" i="5"/>
  <c r="Y126" i="5"/>
  <c r="X126" i="5"/>
  <c r="V126" i="5"/>
  <c r="U126" i="5"/>
  <c r="S126" i="5"/>
  <c r="R126" i="5"/>
  <c r="Q126" i="5"/>
  <c r="P126" i="5"/>
  <c r="O126" i="5"/>
  <c r="N126" i="5"/>
  <c r="M126" i="5"/>
  <c r="L126" i="5"/>
  <c r="K126" i="5"/>
  <c r="H126" i="5"/>
  <c r="G126" i="5"/>
  <c r="F126" i="5"/>
  <c r="E126" i="5"/>
  <c r="D126" i="5"/>
  <c r="AF125" i="5"/>
  <c r="AE125" i="5"/>
  <c r="AD125" i="5"/>
  <c r="AC125" i="5"/>
  <c r="AB125" i="5"/>
  <c r="AA125" i="5"/>
  <c r="Z125" i="5"/>
  <c r="Y125" i="5"/>
  <c r="X125" i="5"/>
  <c r="V125" i="5"/>
  <c r="U125" i="5"/>
  <c r="S125" i="5"/>
  <c r="R125" i="5"/>
  <c r="Q125" i="5"/>
  <c r="P125" i="5"/>
  <c r="O125" i="5"/>
  <c r="N125" i="5"/>
  <c r="M125" i="5"/>
  <c r="L125" i="5"/>
  <c r="K125" i="5"/>
  <c r="H125" i="5"/>
  <c r="G125" i="5"/>
  <c r="F125" i="5"/>
  <c r="E125" i="5"/>
  <c r="D125" i="5"/>
  <c r="AF124" i="5"/>
  <c r="AE124" i="5"/>
  <c r="AD124" i="5"/>
  <c r="AC124" i="5"/>
  <c r="AB124" i="5"/>
  <c r="AA124" i="5"/>
  <c r="Z124" i="5"/>
  <c r="Y124" i="5"/>
  <c r="X124" i="5"/>
  <c r="V124" i="5"/>
  <c r="U124" i="5"/>
  <c r="S124" i="5"/>
  <c r="R124" i="5"/>
  <c r="Q124" i="5"/>
  <c r="P124" i="5"/>
  <c r="O124" i="5"/>
  <c r="N124" i="5"/>
  <c r="M124" i="5"/>
  <c r="L124" i="5"/>
  <c r="K124" i="5"/>
  <c r="H124" i="5"/>
  <c r="G124" i="5"/>
  <c r="F124" i="5"/>
  <c r="E124" i="5"/>
  <c r="D124" i="5"/>
  <c r="AF123" i="5"/>
  <c r="AE123" i="5"/>
  <c r="AD123" i="5"/>
  <c r="AC123" i="5"/>
  <c r="AB123" i="5"/>
  <c r="AA123" i="5"/>
  <c r="Z123" i="5"/>
  <c r="Y123" i="5"/>
  <c r="X123" i="5"/>
  <c r="V123" i="5"/>
  <c r="U123" i="5"/>
  <c r="S123" i="5"/>
  <c r="R123" i="5"/>
  <c r="Q123" i="5"/>
  <c r="P123" i="5"/>
  <c r="O123" i="5"/>
  <c r="N123" i="5"/>
  <c r="M123" i="5"/>
  <c r="L123" i="5"/>
  <c r="K123" i="5"/>
  <c r="H123" i="5"/>
  <c r="G123" i="5"/>
  <c r="F123" i="5"/>
  <c r="E123" i="5"/>
  <c r="D123" i="5"/>
  <c r="AF122" i="5"/>
  <c r="AE122" i="5"/>
  <c r="AD122" i="5"/>
  <c r="AC122" i="5"/>
  <c r="AB122" i="5"/>
  <c r="AA122" i="5"/>
  <c r="Z122" i="5"/>
  <c r="Y122" i="5"/>
  <c r="X122" i="5"/>
  <c r="V122" i="5"/>
  <c r="U122" i="5"/>
  <c r="S122" i="5"/>
  <c r="R122" i="5"/>
  <c r="Q122" i="5"/>
  <c r="P122" i="5"/>
  <c r="O122" i="5"/>
  <c r="N122" i="5"/>
  <c r="M122" i="5"/>
  <c r="L122" i="5"/>
  <c r="K122" i="5"/>
  <c r="H122" i="5"/>
  <c r="G122" i="5"/>
  <c r="F122" i="5"/>
  <c r="E122" i="5"/>
  <c r="D122" i="5"/>
  <c r="AF121" i="5"/>
  <c r="AE121" i="5"/>
  <c r="AD121" i="5"/>
  <c r="AC121" i="5"/>
  <c r="AB121" i="5"/>
  <c r="AA121" i="5"/>
  <c r="Z121" i="5"/>
  <c r="Y121" i="5"/>
  <c r="X121" i="5"/>
  <c r="V121" i="5"/>
  <c r="U121" i="5"/>
  <c r="S121" i="5"/>
  <c r="R121" i="5"/>
  <c r="Q121" i="5"/>
  <c r="P121" i="5"/>
  <c r="O121" i="5"/>
  <c r="N121" i="5"/>
  <c r="M121" i="5"/>
  <c r="L121" i="5"/>
  <c r="K121" i="5"/>
  <c r="H121" i="5"/>
  <c r="G121" i="5"/>
  <c r="F121" i="5"/>
  <c r="E121" i="5"/>
  <c r="D121" i="5"/>
  <c r="AF120" i="5"/>
  <c r="AE120" i="5"/>
  <c r="AD120" i="5"/>
  <c r="AC120" i="5"/>
  <c r="AB120" i="5"/>
  <c r="AA120" i="5"/>
  <c r="Z120" i="5"/>
  <c r="Y120" i="5"/>
  <c r="X120" i="5"/>
  <c r="V120" i="5"/>
  <c r="U120" i="5"/>
  <c r="S120" i="5"/>
  <c r="R120" i="5"/>
  <c r="Q120" i="5"/>
  <c r="P120" i="5"/>
  <c r="O120" i="5"/>
  <c r="N120" i="5"/>
  <c r="M120" i="5"/>
  <c r="L120" i="5"/>
  <c r="K120" i="5"/>
  <c r="H120" i="5"/>
  <c r="G120" i="5"/>
  <c r="F120" i="5"/>
  <c r="E120" i="5"/>
  <c r="D120" i="5"/>
  <c r="AF119" i="5"/>
  <c r="AE119" i="5"/>
  <c r="AD119" i="5"/>
  <c r="AC119" i="5"/>
  <c r="AB119" i="5"/>
  <c r="AA119" i="5"/>
  <c r="Z119" i="5"/>
  <c r="Y119" i="5"/>
  <c r="X119" i="5"/>
  <c r="V119" i="5"/>
  <c r="U119" i="5"/>
  <c r="S119" i="5"/>
  <c r="R119" i="5"/>
  <c r="Q119" i="5"/>
  <c r="P119" i="5"/>
  <c r="O119" i="5"/>
  <c r="N119" i="5"/>
  <c r="M119" i="5"/>
  <c r="L119" i="5"/>
  <c r="K119" i="5"/>
  <c r="H119" i="5"/>
  <c r="G119" i="5"/>
  <c r="F119" i="5"/>
  <c r="E119" i="5"/>
  <c r="D119" i="5"/>
  <c r="AF118" i="5"/>
  <c r="AE118" i="5"/>
  <c r="AD118" i="5"/>
  <c r="AC118" i="5"/>
  <c r="AB118" i="5"/>
  <c r="AA118" i="5"/>
  <c r="Z118" i="5"/>
  <c r="Y118" i="5"/>
  <c r="X118" i="5"/>
  <c r="V118" i="5"/>
  <c r="U118" i="5"/>
  <c r="S118" i="5"/>
  <c r="R118" i="5"/>
  <c r="Q118" i="5"/>
  <c r="P118" i="5"/>
  <c r="O118" i="5"/>
  <c r="N118" i="5"/>
  <c r="M118" i="5"/>
  <c r="L118" i="5"/>
  <c r="K118" i="5"/>
  <c r="H118" i="5"/>
  <c r="G118" i="5"/>
  <c r="F118" i="5"/>
  <c r="E118" i="5"/>
  <c r="D118" i="5"/>
  <c r="AF117" i="5"/>
  <c r="AE117" i="5"/>
  <c r="AD117" i="5"/>
  <c r="AC117" i="5"/>
  <c r="AB117" i="5"/>
  <c r="AA117" i="5"/>
  <c r="Z117" i="5"/>
  <c r="Y117" i="5"/>
  <c r="X117" i="5"/>
  <c r="V117" i="5"/>
  <c r="U117" i="5"/>
  <c r="S117" i="5"/>
  <c r="R117" i="5"/>
  <c r="Q117" i="5"/>
  <c r="P117" i="5"/>
  <c r="O117" i="5"/>
  <c r="N117" i="5"/>
  <c r="M117" i="5"/>
  <c r="L117" i="5"/>
  <c r="K117" i="5"/>
  <c r="H117" i="5"/>
  <c r="G117" i="5"/>
  <c r="F117" i="5"/>
  <c r="E117" i="5"/>
  <c r="D117" i="5"/>
  <c r="AF116" i="5"/>
  <c r="AE116" i="5"/>
  <c r="AD116" i="5"/>
  <c r="AC116" i="5"/>
  <c r="AB116" i="5"/>
  <c r="AA116" i="5"/>
  <c r="Z116" i="5"/>
  <c r="Y116" i="5"/>
  <c r="X116" i="5"/>
  <c r="V116" i="5"/>
  <c r="U116" i="5"/>
  <c r="S116" i="5"/>
  <c r="R116" i="5"/>
  <c r="Q116" i="5"/>
  <c r="P116" i="5"/>
  <c r="O116" i="5"/>
  <c r="N116" i="5"/>
  <c r="M116" i="5"/>
  <c r="L116" i="5"/>
  <c r="K116" i="5"/>
  <c r="H116" i="5"/>
  <c r="G116" i="5"/>
  <c r="F116" i="5"/>
  <c r="E116" i="5"/>
  <c r="D116" i="5"/>
  <c r="AF115" i="5"/>
  <c r="AE115" i="5"/>
  <c r="AD115" i="5"/>
  <c r="AC115" i="5"/>
  <c r="AB115" i="5"/>
  <c r="AA115" i="5"/>
  <c r="Z115" i="5"/>
  <c r="Y115" i="5"/>
  <c r="X115" i="5"/>
  <c r="V115" i="5"/>
  <c r="U115" i="5"/>
  <c r="S115" i="5"/>
  <c r="R115" i="5"/>
  <c r="Q115" i="5"/>
  <c r="P115" i="5"/>
  <c r="O115" i="5"/>
  <c r="N115" i="5"/>
  <c r="M115" i="5"/>
  <c r="L115" i="5"/>
  <c r="K115" i="5"/>
  <c r="H115" i="5"/>
  <c r="G115" i="5"/>
  <c r="F115" i="5"/>
  <c r="E115" i="5"/>
  <c r="D115" i="5"/>
  <c r="AF114" i="5"/>
  <c r="AE114" i="5"/>
  <c r="AD114" i="5"/>
  <c r="AC114" i="5"/>
  <c r="AB114" i="5"/>
  <c r="AA114" i="5"/>
  <c r="Z114" i="5"/>
  <c r="Y114" i="5"/>
  <c r="X114" i="5"/>
  <c r="V114" i="5"/>
  <c r="U114" i="5"/>
  <c r="S114" i="5"/>
  <c r="R114" i="5"/>
  <c r="Q114" i="5"/>
  <c r="P114" i="5"/>
  <c r="O114" i="5"/>
  <c r="N114" i="5"/>
  <c r="M114" i="5"/>
  <c r="L114" i="5"/>
  <c r="K114" i="5"/>
  <c r="H114" i="5"/>
  <c r="G114" i="5"/>
  <c r="F114" i="5"/>
  <c r="E114" i="5"/>
  <c r="D114" i="5"/>
  <c r="AF113" i="5"/>
  <c r="AE113" i="5"/>
  <c r="AD113" i="5"/>
  <c r="AC113" i="5"/>
  <c r="AB113" i="5"/>
  <c r="AA113" i="5"/>
  <c r="Z113" i="5"/>
  <c r="Y113" i="5"/>
  <c r="X113" i="5"/>
  <c r="V113" i="5"/>
  <c r="U113" i="5"/>
  <c r="S113" i="5"/>
  <c r="R113" i="5"/>
  <c r="Q113" i="5"/>
  <c r="P113" i="5"/>
  <c r="O113" i="5"/>
  <c r="N113" i="5"/>
  <c r="M113" i="5"/>
  <c r="L113" i="5"/>
  <c r="K113" i="5"/>
  <c r="H113" i="5"/>
  <c r="G113" i="5"/>
  <c r="F113" i="5"/>
  <c r="E113" i="5"/>
  <c r="D113" i="5"/>
  <c r="AF112" i="5"/>
  <c r="AE112" i="5"/>
  <c r="AD112" i="5"/>
  <c r="AC112" i="5"/>
  <c r="AB112" i="5"/>
  <c r="AA112" i="5"/>
  <c r="Z112" i="5"/>
  <c r="Y112" i="5"/>
  <c r="X112" i="5"/>
  <c r="V112" i="5"/>
  <c r="U112" i="5"/>
  <c r="S112" i="5"/>
  <c r="R112" i="5"/>
  <c r="Q112" i="5"/>
  <c r="P112" i="5"/>
  <c r="O112" i="5"/>
  <c r="N112" i="5"/>
  <c r="M112" i="5"/>
  <c r="L112" i="5"/>
  <c r="K112" i="5"/>
  <c r="H112" i="5"/>
  <c r="G112" i="5"/>
  <c r="F112" i="5"/>
  <c r="E112" i="5"/>
  <c r="D112" i="5"/>
  <c r="AF111" i="5"/>
  <c r="AE111" i="5"/>
  <c r="AD111" i="5"/>
  <c r="AC111" i="5"/>
  <c r="AB111" i="5"/>
  <c r="AA111" i="5"/>
  <c r="Z111" i="5"/>
  <c r="Y111" i="5"/>
  <c r="X111" i="5"/>
  <c r="V111" i="5"/>
  <c r="U111" i="5"/>
  <c r="S111" i="5"/>
  <c r="R111" i="5"/>
  <c r="Q111" i="5"/>
  <c r="P111" i="5"/>
  <c r="O111" i="5"/>
  <c r="N111" i="5"/>
  <c r="M111" i="5"/>
  <c r="L111" i="5"/>
  <c r="K111" i="5"/>
  <c r="H111" i="5"/>
  <c r="G111" i="5"/>
  <c r="F111" i="5"/>
  <c r="E111" i="5"/>
  <c r="D111" i="5"/>
  <c r="AF110" i="5"/>
  <c r="AE110" i="5"/>
  <c r="AD110" i="5"/>
  <c r="AC110" i="5"/>
  <c r="AB110" i="5"/>
  <c r="AA110" i="5"/>
  <c r="Z110" i="5"/>
  <c r="Y110" i="5"/>
  <c r="X110" i="5"/>
  <c r="V110" i="5"/>
  <c r="U110" i="5"/>
  <c r="S110" i="5"/>
  <c r="R110" i="5"/>
  <c r="Q110" i="5"/>
  <c r="P110" i="5"/>
  <c r="O110" i="5"/>
  <c r="N110" i="5"/>
  <c r="M110" i="5"/>
  <c r="L110" i="5"/>
  <c r="K110" i="5"/>
  <c r="H110" i="5"/>
  <c r="G110" i="5"/>
  <c r="F110" i="5"/>
  <c r="E110" i="5"/>
  <c r="D110" i="5"/>
  <c r="AF109" i="5"/>
  <c r="AE109" i="5"/>
  <c r="AD109" i="5"/>
  <c r="AC109" i="5"/>
  <c r="AB109" i="5"/>
  <c r="AA109" i="5"/>
  <c r="Z109" i="5"/>
  <c r="Y109" i="5"/>
  <c r="X109" i="5"/>
  <c r="V109" i="5"/>
  <c r="U109" i="5"/>
  <c r="S109" i="5"/>
  <c r="R109" i="5"/>
  <c r="Q109" i="5"/>
  <c r="P109" i="5"/>
  <c r="O109" i="5"/>
  <c r="N109" i="5"/>
  <c r="M109" i="5"/>
  <c r="L109" i="5"/>
  <c r="K109" i="5"/>
  <c r="H109" i="5"/>
  <c r="G109" i="5"/>
  <c r="F109" i="5"/>
  <c r="E109" i="5"/>
  <c r="D109" i="5"/>
  <c r="AF108" i="5"/>
  <c r="AE108" i="5"/>
  <c r="AD108" i="5"/>
  <c r="AC108" i="5"/>
  <c r="AB108" i="5"/>
  <c r="AA108" i="5"/>
  <c r="Z108" i="5"/>
  <c r="Y108" i="5"/>
  <c r="X108" i="5"/>
  <c r="V108" i="5"/>
  <c r="U108" i="5"/>
  <c r="S108" i="5"/>
  <c r="R108" i="5"/>
  <c r="Q108" i="5"/>
  <c r="P108" i="5"/>
  <c r="O108" i="5"/>
  <c r="N108" i="5"/>
  <c r="M108" i="5"/>
  <c r="L108" i="5"/>
  <c r="K108" i="5"/>
  <c r="H108" i="5"/>
  <c r="G108" i="5"/>
  <c r="F108" i="5"/>
  <c r="E108" i="5"/>
  <c r="D108" i="5"/>
  <c r="AF107" i="5"/>
  <c r="AE107" i="5"/>
  <c r="AD107" i="5"/>
  <c r="AC107" i="5"/>
  <c r="AB107" i="5"/>
  <c r="AA107" i="5"/>
  <c r="Z107" i="5"/>
  <c r="Y107" i="5"/>
  <c r="X107" i="5"/>
  <c r="V107" i="5"/>
  <c r="U107" i="5"/>
  <c r="S107" i="5"/>
  <c r="R107" i="5"/>
  <c r="Q107" i="5"/>
  <c r="P107" i="5"/>
  <c r="O107" i="5"/>
  <c r="N107" i="5"/>
  <c r="M107" i="5"/>
  <c r="L107" i="5"/>
  <c r="K107" i="5"/>
  <c r="H107" i="5"/>
  <c r="G107" i="5"/>
  <c r="F107" i="5"/>
  <c r="E107" i="5"/>
  <c r="D107" i="5"/>
  <c r="AF106" i="5"/>
  <c r="AE106" i="5"/>
  <c r="AD106" i="5"/>
  <c r="AC106" i="5"/>
  <c r="AB106" i="5"/>
  <c r="AA106" i="5"/>
  <c r="Z106" i="5"/>
  <c r="Y106" i="5"/>
  <c r="X106" i="5"/>
  <c r="V106" i="5"/>
  <c r="U106" i="5"/>
  <c r="S106" i="5"/>
  <c r="R106" i="5"/>
  <c r="Q106" i="5"/>
  <c r="P106" i="5"/>
  <c r="O106" i="5"/>
  <c r="N106" i="5"/>
  <c r="M106" i="5"/>
  <c r="L106" i="5"/>
  <c r="K106" i="5"/>
  <c r="H106" i="5"/>
  <c r="G106" i="5"/>
  <c r="F106" i="5"/>
  <c r="E106" i="5"/>
  <c r="D106" i="5"/>
  <c r="AF105" i="5"/>
  <c r="AE105" i="5"/>
  <c r="AD105" i="5"/>
  <c r="AC105" i="5"/>
  <c r="AB105" i="5"/>
  <c r="AA105" i="5"/>
  <c r="Z105" i="5"/>
  <c r="Y105" i="5"/>
  <c r="X105" i="5"/>
  <c r="V105" i="5"/>
  <c r="U105" i="5"/>
  <c r="S105" i="5"/>
  <c r="R105" i="5"/>
  <c r="Q105" i="5"/>
  <c r="P105" i="5"/>
  <c r="O105" i="5"/>
  <c r="N105" i="5"/>
  <c r="M105" i="5"/>
  <c r="L105" i="5"/>
  <c r="K105" i="5"/>
  <c r="H105" i="5"/>
  <c r="G105" i="5"/>
  <c r="F105" i="5"/>
  <c r="E105" i="5"/>
  <c r="D105" i="5"/>
  <c r="AF104" i="5"/>
  <c r="AE104" i="5"/>
  <c r="AD104" i="5"/>
  <c r="AC104" i="5"/>
  <c r="AB104" i="5"/>
  <c r="AA104" i="5"/>
  <c r="Z104" i="5"/>
  <c r="Y104" i="5"/>
  <c r="X104" i="5"/>
  <c r="V104" i="5"/>
  <c r="U104" i="5"/>
  <c r="S104" i="5"/>
  <c r="R104" i="5"/>
  <c r="Q104" i="5"/>
  <c r="P104" i="5"/>
  <c r="O104" i="5"/>
  <c r="N104" i="5"/>
  <c r="M104" i="5"/>
  <c r="L104" i="5"/>
  <c r="K104" i="5"/>
  <c r="H104" i="5"/>
  <c r="G104" i="5"/>
  <c r="F104" i="5"/>
  <c r="E104" i="5"/>
  <c r="D104" i="5"/>
  <c r="AF103" i="5"/>
  <c r="AE103" i="5"/>
  <c r="AD103" i="5"/>
  <c r="AC103" i="5"/>
  <c r="AB103" i="5"/>
  <c r="AA103" i="5"/>
  <c r="Z103" i="5"/>
  <c r="Y103" i="5"/>
  <c r="X103" i="5"/>
  <c r="V103" i="5"/>
  <c r="U103" i="5"/>
  <c r="S103" i="5"/>
  <c r="R103" i="5"/>
  <c r="Q103" i="5"/>
  <c r="P103" i="5"/>
  <c r="O103" i="5"/>
  <c r="N103" i="5"/>
  <c r="M103" i="5"/>
  <c r="L103" i="5"/>
  <c r="K103" i="5"/>
  <c r="H103" i="5"/>
  <c r="G103" i="5"/>
  <c r="F103" i="5"/>
  <c r="E103" i="5"/>
  <c r="D103" i="5"/>
  <c r="AF102" i="5"/>
  <c r="AE102" i="5"/>
  <c r="AD102" i="5"/>
  <c r="AC102" i="5"/>
  <c r="AB102" i="5"/>
  <c r="AA102" i="5"/>
  <c r="Z102" i="5"/>
  <c r="Y102" i="5"/>
  <c r="X102" i="5"/>
  <c r="V102" i="5"/>
  <c r="U102" i="5"/>
  <c r="S102" i="5"/>
  <c r="R102" i="5"/>
  <c r="Q102" i="5"/>
  <c r="P102" i="5"/>
  <c r="O102" i="5"/>
  <c r="N102" i="5"/>
  <c r="M102" i="5"/>
  <c r="L102" i="5"/>
  <c r="K102" i="5"/>
  <c r="H102" i="5"/>
  <c r="G102" i="5"/>
  <c r="F102" i="5"/>
  <c r="E102" i="5"/>
  <c r="D102" i="5"/>
  <c r="AF101" i="5"/>
  <c r="AE101" i="5"/>
  <c r="AD101" i="5"/>
  <c r="AC101" i="5"/>
  <c r="AB101" i="5"/>
  <c r="AA101" i="5"/>
  <c r="Z101" i="5"/>
  <c r="Y101" i="5"/>
  <c r="X101" i="5"/>
  <c r="V101" i="5"/>
  <c r="U101" i="5"/>
  <c r="S101" i="5"/>
  <c r="R101" i="5"/>
  <c r="Q101" i="5"/>
  <c r="P101" i="5"/>
  <c r="O101" i="5"/>
  <c r="N101" i="5"/>
  <c r="M101" i="5"/>
  <c r="L101" i="5"/>
  <c r="K101" i="5"/>
  <c r="H101" i="5"/>
  <c r="G101" i="5"/>
  <c r="F101" i="5"/>
  <c r="E101" i="5"/>
  <c r="D101" i="5"/>
  <c r="AF100" i="5"/>
  <c r="AE100" i="5"/>
  <c r="AD100" i="5"/>
  <c r="AC100" i="5"/>
  <c r="AB100" i="5"/>
  <c r="AA100" i="5"/>
  <c r="Z100" i="5"/>
  <c r="Y100" i="5"/>
  <c r="X100" i="5"/>
  <c r="V100" i="5"/>
  <c r="U100" i="5"/>
  <c r="S100" i="5"/>
  <c r="R100" i="5"/>
  <c r="Q100" i="5"/>
  <c r="P100" i="5"/>
  <c r="O100" i="5"/>
  <c r="N100" i="5"/>
  <c r="M100" i="5"/>
  <c r="L100" i="5"/>
  <c r="K100" i="5"/>
  <c r="H100" i="5"/>
  <c r="G100" i="5"/>
  <c r="F100" i="5"/>
  <c r="E100" i="5"/>
  <c r="D100" i="5"/>
  <c r="AF99" i="5"/>
  <c r="AE99" i="5"/>
  <c r="AD99" i="5"/>
  <c r="AC99" i="5"/>
  <c r="AB99" i="5"/>
  <c r="AA99" i="5"/>
  <c r="Z99" i="5"/>
  <c r="Y99" i="5"/>
  <c r="X99" i="5"/>
  <c r="V99" i="5"/>
  <c r="U99" i="5"/>
  <c r="S99" i="5"/>
  <c r="R99" i="5"/>
  <c r="Q99" i="5"/>
  <c r="P99" i="5"/>
  <c r="O99" i="5"/>
  <c r="N99" i="5"/>
  <c r="M99" i="5"/>
  <c r="L99" i="5"/>
  <c r="K99" i="5"/>
  <c r="H99" i="5"/>
  <c r="G99" i="5"/>
  <c r="F99" i="5"/>
  <c r="E99" i="5"/>
  <c r="D99" i="5"/>
  <c r="AF98" i="5"/>
  <c r="AE98" i="5"/>
  <c r="AD98" i="5"/>
  <c r="AC98" i="5"/>
  <c r="AB98" i="5"/>
  <c r="AA98" i="5"/>
  <c r="Z98" i="5"/>
  <c r="Y98" i="5"/>
  <c r="X98" i="5"/>
  <c r="V98" i="5"/>
  <c r="U98" i="5"/>
  <c r="S98" i="5"/>
  <c r="R98" i="5"/>
  <c r="Q98" i="5"/>
  <c r="P98" i="5"/>
  <c r="O98" i="5"/>
  <c r="N98" i="5"/>
  <c r="M98" i="5"/>
  <c r="L98" i="5"/>
  <c r="K98" i="5"/>
  <c r="H98" i="5"/>
  <c r="G98" i="5"/>
  <c r="F98" i="5"/>
  <c r="E98" i="5"/>
  <c r="D98" i="5"/>
  <c r="AF97" i="5"/>
  <c r="AE97" i="5"/>
  <c r="AD97" i="5"/>
  <c r="AC97" i="5"/>
  <c r="AB97" i="5"/>
  <c r="AA97" i="5"/>
  <c r="Z97" i="5"/>
  <c r="Y97" i="5"/>
  <c r="X97" i="5"/>
  <c r="V97" i="5"/>
  <c r="U97" i="5"/>
  <c r="S97" i="5"/>
  <c r="R97" i="5"/>
  <c r="Q97" i="5"/>
  <c r="P97" i="5"/>
  <c r="O97" i="5"/>
  <c r="N97" i="5"/>
  <c r="M97" i="5"/>
  <c r="L97" i="5"/>
  <c r="K97" i="5"/>
  <c r="H97" i="5"/>
  <c r="G97" i="5"/>
  <c r="F97" i="5"/>
  <c r="E97" i="5"/>
  <c r="D97" i="5"/>
  <c r="AF96" i="5"/>
  <c r="AE96" i="5"/>
  <c r="AD96" i="5"/>
  <c r="AC96" i="5"/>
  <c r="AB96" i="5"/>
  <c r="AA96" i="5"/>
  <c r="Z96" i="5"/>
  <c r="Y96" i="5"/>
  <c r="X96" i="5"/>
  <c r="V96" i="5"/>
  <c r="U96" i="5"/>
  <c r="S96" i="5"/>
  <c r="R96" i="5"/>
  <c r="Q96" i="5"/>
  <c r="P96" i="5"/>
  <c r="O96" i="5"/>
  <c r="N96" i="5"/>
  <c r="M96" i="5"/>
  <c r="L96" i="5"/>
  <c r="K96" i="5"/>
  <c r="H96" i="5"/>
  <c r="G96" i="5"/>
  <c r="F96" i="5"/>
  <c r="E96" i="5"/>
  <c r="D96" i="5"/>
  <c r="AF95" i="5"/>
  <c r="AE95" i="5"/>
  <c r="AD95" i="5"/>
  <c r="AC95" i="5"/>
  <c r="AB95" i="5"/>
  <c r="AA95" i="5"/>
  <c r="Z95" i="5"/>
  <c r="Y95" i="5"/>
  <c r="X95" i="5"/>
  <c r="V95" i="5"/>
  <c r="U95" i="5"/>
  <c r="S95" i="5"/>
  <c r="R95" i="5"/>
  <c r="Q95" i="5"/>
  <c r="P95" i="5"/>
  <c r="O95" i="5"/>
  <c r="N95" i="5"/>
  <c r="M95" i="5"/>
  <c r="L95" i="5"/>
  <c r="K95" i="5"/>
  <c r="H95" i="5"/>
  <c r="G95" i="5"/>
  <c r="F95" i="5"/>
  <c r="E95" i="5"/>
  <c r="D95" i="5"/>
  <c r="AF94" i="5"/>
  <c r="AE94" i="5"/>
  <c r="AD94" i="5"/>
  <c r="AC94" i="5"/>
  <c r="AB94" i="5"/>
  <c r="AA94" i="5"/>
  <c r="Z94" i="5"/>
  <c r="Y94" i="5"/>
  <c r="X94" i="5"/>
  <c r="V94" i="5"/>
  <c r="U94" i="5"/>
  <c r="S94" i="5"/>
  <c r="R94" i="5"/>
  <c r="Q94" i="5"/>
  <c r="P94" i="5"/>
  <c r="O94" i="5"/>
  <c r="N94" i="5"/>
  <c r="M94" i="5"/>
  <c r="L94" i="5"/>
  <c r="K94" i="5"/>
  <c r="H94" i="5"/>
  <c r="G94" i="5"/>
  <c r="F94" i="5"/>
  <c r="E94" i="5"/>
  <c r="D94" i="5"/>
  <c r="AF93" i="5"/>
  <c r="AE93" i="5"/>
  <c r="AD93" i="5"/>
  <c r="AC93" i="5"/>
  <c r="AB93" i="5"/>
  <c r="AA93" i="5"/>
  <c r="Z93" i="5"/>
  <c r="Y93" i="5"/>
  <c r="X93" i="5"/>
  <c r="V93" i="5"/>
  <c r="U93" i="5"/>
  <c r="S93" i="5"/>
  <c r="R93" i="5"/>
  <c r="Q93" i="5"/>
  <c r="P93" i="5"/>
  <c r="O93" i="5"/>
  <c r="N93" i="5"/>
  <c r="M93" i="5"/>
  <c r="L93" i="5"/>
  <c r="K93" i="5"/>
  <c r="H93" i="5"/>
  <c r="G93" i="5"/>
  <c r="F93" i="5"/>
  <c r="E93" i="5"/>
  <c r="D93" i="5"/>
  <c r="AF92" i="5"/>
  <c r="AE92" i="5"/>
  <c r="AD92" i="5"/>
  <c r="AC92" i="5"/>
  <c r="AB92" i="5"/>
  <c r="AA92" i="5"/>
  <c r="Z92" i="5"/>
  <c r="Y92" i="5"/>
  <c r="X92" i="5"/>
  <c r="V92" i="5"/>
  <c r="U92" i="5"/>
  <c r="S92" i="5"/>
  <c r="R92" i="5"/>
  <c r="Q92" i="5"/>
  <c r="P92" i="5"/>
  <c r="O92" i="5"/>
  <c r="N92" i="5"/>
  <c r="M92" i="5"/>
  <c r="L92" i="5"/>
  <c r="K92" i="5"/>
  <c r="H92" i="5"/>
  <c r="G92" i="5"/>
  <c r="F92" i="5"/>
  <c r="E92" i="5"/>
  <c r="D92" i="5"/>
  <c r="AF91" i="5"/>
  <c r="AE91" i="5"/>
  <c r="AD91" i="5"/>
  <c r="AC91" i="5"/>
  <c r="AB91" i="5"/>
  <c r="AA91" i="5"/>
  <c r="Z91" i="5"/>
  <c r="Y91" i="5"/>
  <c r="X91" i="5"/>
  <c r="V91" i="5"/>
  <c r="U91" i="5"/>
  <c r="S91" i="5"/>
  <c r="R91" i="5"/>
  <c r="Q91" i="5"/>
  <c r="P91" i="5"/>
  <c r="O91" i="5"/>
  <c r="N91" i="5"/>
  <c r="M91" i="5"/>
  <c r="L91" i="5"/>
  <c r="K91" i="5"/>
  <c r="H91" i="5"/>
  <c r="G91" i="5"/>
  <c r="F91" i="5"/>
  <c r="E91" i="5"/>
  <c r="D91" i="5"/>
  <c r="AF90" i="5"/>
  <c r="AE90" i="5"/>
  <c r="AD90" i="5"/>
  <c r="AC90" i="5"/>
  <c r="AB90" i="5"/>
  <c r="AA90" i="5"/>
  <c r="Z90" i="5"/>
  <c r="Y90" i="5"/>
  <c r="X90" i="5"/>
  <c r="V90" i="5"/>
  <c r="U90" i="5"/>
  <c r="S90" i="5"/>
  <c r="R90" i="5"/>
  <c r="Q90" i="5"/>
  <c r="P90" i="5"/>
  <c r="O90" i="5"/>
  <c r="N90" i="5"/>
  <c r="M90" i="5"/>
  <c r="L90" i="5"/>
  <c r="K90" i="5"/>
  <c r="H90" i="5"/>
  <c r="G90" i="5"/>
  <c r="F90" i="5"/>
  <c r="E90" i="5"/>
  <c r="D90" i="5"/>
  <c r="AF89" i="5"/>
  <c r="AE89" i="5"/>
  <c r="AD89" i="5"/>
  <c r="AC89" i="5"/>
  <c r="AB89" i="5"/>
  <c r="AA89" i="5"/>
  <c r="Z89" i="5"/>
  <c r="Y89" i="5"/>
  <c r="X89" i="5"/>
  <c r="V89" i="5"/>
  <c r="U89" i="5"/>
  <c r="S89" i="5"/>
  <c r="R89" i="5"/>
  <c r="Q89" i="5"/>
  <c r="P89" i="5"/>
  <c r="O89" i="5"/>
  <c r="N89" i="5"/>
  <c r="M89" i="5"/>
  <c r="L89" i="5"/>
  <c r="K89" i="5"/>
  <c r="H89" i="5"/>
  <c r="G89" i="5"/>
  <c r="F89" i="5"/>
  <c r="E89" i="5"/>
  <c r="D89" i="5"/>
  <c r="AF88" i="5"/>
  <c r="AE88" i="5"/>
  <c r="AD88" i="5"/>
  <c r="AC88" i="5"/>
  <c r="AB88" i="5"/>
  <c r="AA88" i="5"/>
  <c r="Z88" i="5"/>
  <c r="Y88" i="5"/>
  <c r="X88" i="5"/>
  <c r="V88" i="5"/>
  <c r="U88" i="5"/>
  <c r="S88" i="5"/>
  <c r="R88" i="5"/>
  <c r="Q88" i="5"/>
  <c r="P88" i="5"/>
  <c r="O88" i="5"/>
  <c r="N88" i="5"/>
  <c r="M88" i="5"/>
  <c r="L88" i="5"/>
  <c r="K88" i="5"/>
  <c r="H88" i="5"/>
  <c r="G88" i="5"/>
  <c r="F88" i="5"/>
  <c r="E88" i="5"/>
  <c r="D88" i="5"/>
  <c r="AF87" i="5"/>
  <c r="AE87" i="5"/>
  <c r="AD87" i="5"/>
  <c r="AC87" i="5"/>
  <c r="AB87" i="5"/>
  <c r="AA87" i="5"/>
  <c r="Z87" i="5"/>
  <c r="Y87" i="5"/>
  <c r="X87" i="5"/>
  <c r="V87" i="5"/>
  <c r="U87" i="5"/>
  <c r="S87" i="5"/>
  <c r="R87" i="5"/>
  <c r="Q87" i="5"/>
  <c r="P87" i="5"/>
  <c r="O87" i="5"/>
  <c r="N87" i="5"/>
  <c r="M87" i="5"/>
  <c r="L87" i="5"/>
  <c r="K87" i="5"/>
  <c r="H87" i="5"/>
  <c r="G87" i="5"/>
  <c r="F87" i="5"/>
  <c r="E87" i="5"/>
  <c r="D87" i="5"/>
  <c r="AF86" i="5"/>
  <c r="AE86" i="5"/>
  <c r="AD86" i="5"/>
  <c r="AC86" i="5"/>
  <c r="AB86" i="5"/>
  <c r="AA86" i="5"/>
  <c r="Z86" i="5"/>
  <c r="Y86" i="5"/>
  <c r="X86" i="5"/>
  <c r="V86" i="5"/>
  <c r="U86" i="5"/>
  <c r="S86" i="5"/>
  <c r="R86" i="5"/>
  <c r="Q86" i="5"/>
  <c r="P86" i="5"/>
  <c r="O86" i="5"/>
  <c r="N86" i="5"/>
  <c r="M86" i="5"/>
  <c r="L86" i="5"/>
  <c r="K86" i="5"/>
  <c r="H86" i="5"/>
  <c r="G86" i="5"/>
  <c r="F86" i="5"/>
  <c r="E86" i="5"/>
  <c r="D86" i="5"/>
  <c r="AF85" i="5"/>
  <c r="AE85" i="5"/>
  <c r="AD85" i="5"/>
  <c r="AC85" i="5"/>
  <c r="AB85" i="5"/>
  <c r="AA85" i="5"/>
  <c r="Z85" i="5"/>
  <c r="Y85" i="5"/>
  <c r="X85" i="5"/>
  <c r="V85" i="5"/>
  <c r="U85" i="5"/>
  <c r="S85" i="5"/>
  <c r="R85" i="5"/>
  <c r="Q85" i="5"/>
  <c r="P85" i="5"/>
  <c r="O85" i="5"/>
  <c r="N85" i="5"/>
  <c r="M85" i="5"/>
  <c r="L85" i="5"/>
  <c r="K85" i="5"/>
  <c r="H85" i="5"/>
  <c r="G85" i="5"/>
  <c r="F85" i="5"/>
  <c r="E85" i="5"/>
  <c r="D85" i="5"/>
  <c r="AF84" i="5"/>
  <c r="AE84" i="5"/>
  <c r="AD84" i="5"/>
  <c r="AC84" i="5"/>
  <c r="AB84" i="5"/>
  <c r="AA84" i="5"/>
  <c r="Z84" i="5"/>
  <c r="Y84" i="5"/>
  <c r="X84" i="5"/>
  <c r="V84" i="5"/>
  <c r="U84" i="5"/>
  <c r="S84" i="5"/>
  <c r="R84" i="5"/>
  <c r="Q84" i="5"/>
  <c r="P84" i="5"/>
  <c r="O84" i="5"/>
  <c r="N84" i="5"/>
  <c r="M84" i="5"/>
  <c r="L84" i="5"/>
  <c r="K84" i="5"/>
  <c r="H84" i="5"/>
  <c r="G84" i="5"/>
  <c r="F84" i="5"/>
  <c r="E84" i="5"/>
  <c r="D84" i="5"/>
  <c r="AF83" i="5"/>
  <c r="AE83" i="5"/>
  <c r="AD83" i="5"/>
  <c r="AC83" i="5"/>
  <c r="AB83" i="5"/>
  <c r="AA83" i="5"/>
  <c r="Z83" i="5"/>
  <c r="Y83" i="5"/>
  <c r="X83" i="5"/>
  <c r="V83" i="5"/>
  <c r="U83" i="5"/>
  <c r="S83" i="5"/>
  <c r="R83" i="5"/>
  <c r="Q83" i="5"/>
  <c r="P83" i="5"/>
  <c r="O83" i="5"/>
  <c r="N83" i="5"/>
  <c r="M83" i="5"/>
  <c r="L83" i="5"/>
  <c r="K83" i="5"/>
  <c r="H83" i="5"/>
  <c r="G83" i="5"/>
  <c r="F83" i="5"/>
  <c r="E83" i="5"/>
  <c r="D83" i="5"/>
  <c r="AF82" i="5"/>
  <c r="AE82" i="5"/>
  <c r="AD82" i="5"/>
  <c r="AC82" i="5"/>
  <c r="AB82" i="5"/>
  <c r="AA82" i="5"/>
  <c r="Z82" i="5"/>
  <c r="Y82" i="5"/>
  <c r="X82" i="5"/>
  <c r="V82" i="5"/>
  <c r="U82" i="5"/>
  <c r="S82" i="5"/>
  <c r="R82" i="5"/>
  <c r="Q82" i="5"/>
  <c r="P82" i="5"/>
  <c r="O82" i="5"/>
  <c r="N82" i="5"/>
  <c r="M82" i="5"/>
  <c r="L82" i="5"/>
  <c r="K82" i="5"/>
  <c r="H82" i="5"/>
  <c r="G82" i="5"/>
  <c r="F82" i="5"/>
  <c r="E82" i="5"/>
  <c r="D82" i="5"/>
  <c r="AF81" i="5"/>
  <c r="AE81" i="5"/>
  <c r="AD81" i="5"/>
  <c r="AC81" i="5"/>
  <c r="AB81" i="5"/>
  <c r="AA81" i="5"/>
  <c r="Z81" i="5"/>
  <c r="Y81" i="5"/>
  <c r="X81" i="5"/>
  <c r="V81" i="5"/>
  <c r="U81" i="5"/>
  <c r="S81" i="5"/>
  <c r="R81" i="5"/>
  <c r="Q81" i="5"/>
  <c r="P81" i="5"/>
  <c r="O81" i="5"/>
  <c r="N81" i="5"/>
  <c r="M81" i="5"/>
  <c r="L81" i="5"/>
  <c r="K81" i="5"/>
  <c r="H81" i="5"/>
  <c r="AF80" i="5"/>
  <c r="AE80" i="5"/>
  <c r="AD80" i="5"/>
  <c r="AC80" i="5"/>
  <c r="AB80" i="5"/>
  <c r="AA80" i="5"/>
  <c r="Z80" i="5"/>
  <c r="Y80" i="5"/>
  <c r="X80" i="5"/>
  <c r="V80" i="5"/>
  <c r="U80" i="5"/>
  <c r="S80" i="5"/>
  <c r="R80" i="5"/>
  <c r="Q80" i="5"/>
  <c r="P80" i="5"/>
  <c r="O80" i="5"/>
  <c r="N80" i="5"/>
  <c r="M80" i="5"/>
  <c r="L80" i="5"/>
  <c r="K80" i="5"/>
  <c r="H80" i="5"/>
  <c r="AF79" i="5"/>
  <c r="AE79" i="5"/>
  <c r="AD79" i="5"/>
  <c r="AC79" i="5"/>
  <c r="AB79" i="5"/>
  <c r="AA79" i="5"/>
  <c r="Z79" i="5"/>
  <c r="Y79" i="5"/>
  <c r="X79" i="5"/>
  <c r="V79" i="5"/>
  <c r="U79" i="5"/>
  <c r="S79" i="5"/>
  <c r="R79" i="5"/>
  <c r="Q79" i="5"/>
  <c r="P79" i="5"/>
  <c r="O79" i="5"/>
  <c r="N79" i="5"/>
  <c r="M79" i="5"/>
  <c r="L79" i="5"/>
  <c r="K79" i="5"/>
  <c r="H79" i="5"/>
  <c r="AF78" i="5"/>
  <c r="AE78" i="5"/>
  <c r="AD78" i="5"/>
  <c r="AC78" i="5"/>
  <c r="AB78" i="5"/>
  <c r="AA78" i="5"/>
  <c r="Z78" i="5"/>
  <c r="Y78" i="5"/>
  <c r="X78" i="5"/>
  <c r="V78" i="5"/>
  <c r="U78" i="5"/>
  <c r="S78" i="5"/>
  <c r="R78" i="5"/>
  <c r="Q78" i="5"/>
  <c r="P78" i="5"/>
  <c r="O78" i="5"/>
  <c r="N78" i="5"/>
  <c r="M78" i="5"/>
  <c r="L78" i="5"/>
  <c r="K78" i="5"/>
  <c r="H78" i="5"/>
  <c r="AF77" i="5"/>
  <c r="AE77" i="5"/>
  <c r="AD77" i="5"/>
  <c r="AC77" i="5"/>
  <c r="AB77" i="5"/>
  <c r="AA77" i="5"/>
  <c r="Z77" i="5"/>
  <c r="Y77" i="5"/>
  <c r="X77" i="5"/>
  <c r="V77" i="5"/>
  <c r="U77" i="5"/>
  <c r="S77" i="5"/>
  <c r="R77" i="5"/>
  <c r="Q77" i="5"/>
  <c r="P77" i="5"/>
  <c r="O77" i="5"/>
  <c r="N77" i="5"/>
  <c r="M77" i="5"/>
  <c r="L77" i="5"/>
  <c r="K77" i="5"/>
  <c r="H77" i="5"/>
  <c r="G77" i="5"/>
  <c r="F77" i="5"/>
  <c r="E77" i="5"/>
  <c r="D77" i="5"/>
  <c r="AF76" i="5"/>
  <c r="AE76" i="5"/>
  <c r="AD76" i="5"/>
  <c r="AC76" i="5"/>
  <c r="AB76" i="5"/>
  <c r="AA76" i="5"/>
  <c r="Z76" i="5"/>
  <c r="Y76" i="5"/>
  <c r="X76" i="5"/>
  <c r="V76" i="5"/>
  <c r="U76" i="5"/>
  <c r="S76" i="5"/>
  <c r="R76" i="5"/>
  <c r="Q76" i="5"/>
  <c r="P76" i="5"/>
  <c r="O76" i="5"/>
  <c r="N76" i="5"/>
  <c r="M76" i="5"/>
  <c r="L76" i="5"/>
  <c r="K76" i="5"/>
  <c r="H76" i="5"/>
  <c r="G76" i="5"/>
  <c r="F76" i="5"/>
  <c r="E76" i="5"/>
  <c r="D76" i="5"/>
  <c r="AF75" i="5"/>
  <c r="AE75" i="5"/>
  <c r="AD75" i="5"/>
  <c r="AC75" i="5"/>
  <c r="AB75" i="5"/>
  <c r="AA75" i="5"/>
  <c r="Z75" i="5"/>
  <c r="Y75" i="5"/>
  <c r="X75" i="5"/>
  <c r="V75" i="5"/>
  <c r="U75" i="5"/>
  <c r="S75" i="5"/>
  <c r="R75" i="5"/>
  <c r="Q75" i="5"/>
  <c r="P75" i="5"/>
  <c r="O75" i="5"/>
  <c r="N75" i="5"/>
  <c r="M75" i="5"/>
  <c r="L75" i="5"/>
  <c r="K75" i="5"/>
  <c r="H75" i="5"/>
  <c r="G75" i="5"/>
  <c r="F75" i="5"/>
  <c r="E75" i="5"/>
  <c r="D75" i="5"/>
  <c r="AF74" i="5"/>
  <c r="AE74" i="5"/>
  <c r="AD74" i="5"/>
  <c r="AC74" i="5"/>
  <c r="AB74" i="5"/>
  <c r="AA74" i="5"/>
  <c r="Z74" i="5"/>
  <c r="Y74" i="5"/>
  <c r="X74" i="5"/>
  <c r="V74" i="5"/>
  <c r="U74" i="5"/>
  <c r="S74" i="5"/>
  <c r="R74" i="5"/>
  <c r="Q74" i="5"/>
  <c r="P74" i="5"/>
  <c r="O74" i="5"/>
  <c r="N74" i="5"/>
  <c r="M74" i="5"/>
  <c r="L74" i="5"/>
  <c r="K74" i="5"/>
  <c r="H74" i="5"/>
  <c r="G74" i="5"/>
  <c r="F74" i="5"/>
  <c r="E74" i="5"/>
  <c r="D74" i="5"/>
  <c r="AF73" i="5"/>
  <c r="AE73" i="5"/>
  <c r="AD73" i="5"/>
  <c r="V73" i="5"/>
  <c r="U73" i="5"/>
  <c r="S73" i="5"/>
  <c r="R73" i="5"/>
  <c r="Q73" i="5"/>
  <c r="P73" i="5"/>
  <c r="O73" i="5"/>
  <c r="N73" i="5"/>
  <c r="M73" i="5"/>
  <c r="L73" i="5"/>
  <c r="K73" i="5"/>
  <c r="H73" i="5"/>
  <c r="G73" i="5"/>
  <c r="F73" i="5"/>
  <c r="E73" i="5"/>
  <c r="D73" i="5"/>
  <c r="AF72" i="5"/>
  <c r="AE72" i="5"/>
  <c r="AD72" i="5"/>
  <c r="V72" i="5"/>
  <c r="U72" i="5"/>
  <c r="S72" i="5"/>
  <c r="R72" i="5"/>
  <c r="Q72" i="5"/>
  <c r="P72" i="5"/>
  <c r="O72" i="5"/>
  <c r="N72" i="5"/>
  <c r="M72" i="5"/>
  <c r="L72" i="5"/>
  <c r="K72" i="5"/>
  <c r="H72" i="5"/>
  <c r="G72" i="5"/>
  <c r="F72" i="5"/>
  <c r="E72" i="5"/>
  <c r="D72" i="5"/>
  <c r="AF71" i="5"/>
  <c r="AE71" i="5"/>
  <c r="AD71" i="5"/>
  <c r="V71" i="5"/>
  <c r="U71" i="5"/>
  <c r="S71" i="5"/>
  <c r="R71" i="5"/>
  <c r="Q71" i="5"/>
  <c r="P71" i="5"/>
  <c r="O71" i="5"/>
  <c r="N71" i="5"/>
  <c r="M71" i="5"/>
  <c r="L71" i="5"/>
  <c r="K71" i="5"/>
  <c r="H71" i="5"/>
  <c r="G71" i="5"/>
  <c r="F71" i="5"/>
  <c r="E71" i="5"/>
  <c r="D71" i="5"/>
  <c r="AF70" i="5"/>
  <c r="AE70" i="5"/>
  <c r="AD70" i="5"/>
  <c r="V70" i="5"/>
  <c r="U70" i="5"/>
  <c r="S70" i="5"/>
  <c r="R70" i="5"/>
  <c r="Q70" i="5"/>
  <c r="P70" i="5"/>
  <c r="O70" i="5"/>
  <c r="N70" i="5"/>
  <c r="M70" i="5"/>
  <c r="L70" i="5"/>
  <c r="K70" i="5"/>
  <c r="H70" i="5"/>
  <c r="G70" i="5"/>
  <c r="F70" i="5"/>
  <c r="E70" i="5"/>
  <c r="D70" i="5"/>
  <c r="AF69" i="5"/>
  <c r="AE69" i="5"/>
  <c r="AD69" i="5"/>
  <c r="V69" i="5"/>
  <c r="U69" i="5"/>
  <c r="S69" i="5"/>
  <c r="R69" i="5"/>
  <c r="Q69" i="5"/>
  <c r="P69" i="5"/>
  <c r="O69" i="5"/>
  <c r="N69" i="5"/>
  <c r="M69" i="5"/>
  <c r="L69" i="5"/>
  <c r="K69" i="5"/>
  <c r="H69" i="5"/>
  <c r="G69" i="5"/>
  <c r="F69" i="5"/>
  <c r="E69" i="5"/>
  <c r="D69" i="5"/>
  <c r="AF68" i="5"/>
  <c r="AE68" i="5"/>
  <c r="AD68" i="5"/>
  <c r="V68" i="5"/>
  <c r="U68" i="5"/>
  <c r="S68" i="5"/>
  <c r="R68" i="5"/>
  <c r="Q68" i="5"/>
  <c r="P68" i="5"/>
  <c r="O68" i="5"/>
  <c r="N68" i="5"/>
  <c r="M68" i="5"/>
  <c r="L68" i="5"/>
  <c r="K68" i="5"/>
  <c r="H68" i="5"/>
  <c r="G68" i="5"/>
  <c r="F68" i="5"/>
  <c r="E68" i="5"/>
  <c r="D68" i="5"/>
  <c r="AF67" i="5"/>
  <c r="AE67" i="5"/>
  <c r="AD67" i="5"/>
  <c r="V67" i="5"/>
  <c r="U67" i="5"/>
  <c r="S67" i="5"/>
  <c r="R67" i="5"/>
  <c r="Q67" i="5"/>
  <c r="P67" i="5"/>
  <c r="O67" i="5"/>
  <c r="N67" i="5"/>
  <c r="M67" i="5"/>
  <c r="L67" i="5"/>
  <c r="K67" i="5"/>
  <c r="H67" i="5"/>
  <c r="G67" i="5"/>
  <c r="F67" i="5"/>
  <c r="E67" i="5"/>
  <c r="D67" i="5"/>
  <c r="AF66" i="5"/>
  <c r="AE66" i="5"/>
  <c r="AD66" i="5"/>
  <c r="V66" i="5"/>
  <c r="U66" i="5"/>
  <c r="S66" i="5"/>
  <c r="R66" i="5"/>
  <c r="Q66" i="5"/>
  <c r="P66" i="5"/>
  <c r="O66" i="5"/>
  <c r="N66" i="5"/>
  <c r="M66" i="5"/>
  <c r="L66" i="5"/>
  <c r="K66" i="5"/>
  <c r="H66" i="5"/>
  <c r="G66" i="5"/>
  <c r="F66" i="5"/>
  <c r="E66" i="5"/>
  <c r="D66" i="5"/>
  <c r="AF65" i="5"/>
  <c r="AE65" i="5"/>
  <c r="AD65" i="5"/>
  <c r="V65" i="5"/>
  <c r="U65" i="5"/>
  <c r="S65" i="5"/>
  <c r="R65" i="5"/>
  <c r="Q65" i="5"/>
  <c r="P65" i="5"/>
  <c r="O65" i="5"/>
  <c r="N65" i="5"/>
  <c r="M65" i="5"/>
  <c r="L65" i="5"/>
  <c r="K65" i="5"/>
  <c r="H65" i="5"/>
  <c r="G65" i="5"/>
  <c r="F65" i="5"/>
  <c r="E65" i="5"/>
  <c r="D65" i="5"/>
  <c r="AF64" i="5"/>
  <c r="AE64" i="5"/>
  <c r="AD64" i="5"/>
  <c r="V64" i="5"/>
  <c r="U64" i="5"/>
  <c r="S64" i="5"/>
  <c r="R64" i="5"/>
  <c r="Q64" i="5"/>
  <c r="P64" i="5"/>
  <c r="O64" i="5"/>
  <c r="N64" i="5"/>
  <c r="M64" i="5"/>
  <c r="L64" i="5"/>
  <c r="K64" i="5"/>
  <c r="H64" i="5"/>
  <c r="G64" i="5"/>
  <c r="F64" i="5"/>
  <c r="E64" i="5"/>
  <c r="D64" i="5"/>
  <c r="AF63" i="5"/>
  <c r="AE63" i="5"/>
  <c r="AD63" i="5"/>
  <c r="V63" i="5"/>
  <c r="U63" i="5"/>
  <c r="S63" i="5"/>
  <c r="R63" i="5"/>
  <c r="Q63" i="5"/>
  <c r="P63" i="5"/>
  <c r="O63" i="5"/>
  <c r="N63" i="5"/>
  <c r="M63" i="5"/>
  <c r="L63" i="5"/>
  <c r="K63" i="5"/>
  <c r="H63" i="5"/>
  <c r="G63" i="5"/>
  <c r="F63" i="5"/>
  <c r="E63" i="5"/>
  <c r="D63" i="5"/>
  <c r="AF62" i="5"/>
  <c r="AE62" i="5"/>
  <c r="AD62" i="5"/>
  <c r="V62" i="5"/>
  <c r="U62" i="5"/>
  <c r="S62" i="5"/>
  <c r="R62" i="5"/>
  <c r="Q62" i="5"/>
  <c r="P62" i="5"/>
  <c r="O62" i="5"/>
  <c r="N62" i="5"/>
  <c r="M62" i="5"/>
  <c r="L62" i="5"/>
  <c r="K62" i="5"/>
  <c r="H62" i="5"/>
  <c r="G62" i="5"/>
  <c r="F62" i="5"/>
  <c r="E62" i="5"/>
  <c r="D62" i="5"/>
  <c r="AF61" i="5"/>
  <c r="AE61" i="5"/>
  <c r="AD61" i="5"/>
  <c r="V61" i="5"/>
  <c r="U61" i="5"/>
  <c r="S61" i="5"/>
  <c r="R61" i="5"/>
  <c r="Q61" i="5"/>
  <c r="P61" i="5"/>
  <c r="O61" i="5"/>
  <c r="N61" i="5"/>
  <c r="M61" i="5"/>
  <c r="L61" i="5"/>
  <c r="K61" i="5"/>
  <c r="H61" i="5"/>
  <c r="G61" i="5"/>
  <c r="F61" i="5"/>
  <c r="E61" i="5"/>
  <c r="D61" i="5"/>
  <c r="AF60" i="5"/>
  <c r="AE60" i="5"/>
  <c r="AD60" i="5"/>
  <c r="V60" i="5"/>
  <c r="U60" i="5"/>
  <c r="S60" i="5"/>
  <c r="R60" i="5"/>
  <c r="Q60" i="5"/>
  <c r="P60" i="5"/>
  <c r="O60" i="5"/>
  <c r="N60" i="5"/>
  <c r="M60" i="5"/>
  <c r="L60" i="5"/>
  <c r="K60" i="5"/>
  <c r="H60" i="5"/>
  <c r="G60" i="5"/>
  <c r="F60" i="5"/>
  <c r="E60" i="5"/>
  <c r="D60" i="5"/>
  <c r="AF59" i="5"/>
  <c r="AE59" i="5"/>
  <c r="AD59" i="5"/>
  <c r="V59" i="5"/>
  <c r="U59" i="5"/>
  <c r="S59" i="5"/>
  <c r="R59" i="5"/>
  <c r="Q59" i="5"/>
  <c r="P59" i="5"/>
  <c r="O59" i="5"/>
  <c r="N59" i="5"/>
  <c r="M59" i="5"/>
  <c r="L59" i="5"/>
  <c r="K59" i="5"/>
  <c r="H59" i="5"/>
  <c r="G59" i="5"/>
  <c r="F59" i="5"/>
  <c r="E59" i="5"/>
  <c r="D59" i="5"/>
  <c r="AF58" i="5"/>
  <c r="AE58" i="5"/>
  <c r="AD58" i="5"/>
  <c r="V58" i="5"/>
  <c r="U58" i="5"/>
  <c r="S58" i="5"/>
  <c r="R58" i="5"/>
  <c r="Q58" i="5"/>
  <c r="P58" i="5"/>
  <c r="O58" i="5"/>
  <c r="N58" i="5"/>
  <c r="M58" i="5"/>
  <c r="L58" i="5"/>
  <c r="K58" i="5"/>
  <c r="H58" i="5"/>
  <c r="G58" i="5"/>
  <c r="F58" i="5"/>
  <c r="E58" i="5"/>
  <c r="D58" i="5"/>
  <c r="AF57" i="5"/>
  <c r="AE57" i="5"/>
  <c r="AD57" i="5"/>
  <c r="V57" i="5"/>
  <c r="U57" i="5"/>
  <c r="S57" i="5"/>
  <c r="R57" i="5"/>
  <c r="Q57" i="5"/>
  <c r="P57" i="5"/>
  <c r="O57" i="5"/>
  <c r="N57" i="5"/>
  <c r="M57" i="5"/>
  <c r="L57" i="5"/>
  <c r="K57" i="5"/>
  <c r="H57" i="5"/>
  <c r="G57" i="5"/>
  <c r="F57" i="5"/>
  <c r="E57" i="5"/>
  <c r="D57" i="5"/>
  <c r="AF56" i="5"/>
  <c r="AE56" i="5"/>
  <c r="AD56" i="5"/>
  <c r="V56" i="5"/>
  <c r="U56" i="5"/>
  <c r="S56" i="5"/>
  <c r="R56" i="5"/>
  <c r="Q56" i="5"/>
  <c r="P56" i="5"/>
  <c r="O56" i="5"/>
  <c r="N56" i="5"/>
  <c r="M56" i="5"/>
  <c r="L56" i="5"/>
  <c r="K56" i="5"/>
  <c r="H56" i="5"/>
  <c r="G56" i="5"/>
  <c r="F56" i="5"/>
  <c r="E56" i="5"/>
  <c r="D56" i="5"/>
  <c r="AF55" i="5"/>
  <c r="AE55" i="5"/>
  <c r="AD55" i="5"/>
  <c r="V55" i="5"/>
  <c r="U55" i="5"/>
  <c r="S55" i="5"/>
  <c r="R55" i="5"/>
  <c r="Q55" i="5"/>
  <c r="P55" i="5"/>
  <c r="O55" i="5"/>
  <c r="N55" i="5"/>
  <c r="M55" i="5"/>
  <c r="L55" i="5"/>
  <c r="K55" i="5"/>
  <c r="H55" i="5"/>
  <c r="G55" i="5"/>
  <c r="F55" i="5"/>
  <c r="E55" i="5"/>
  <c r="D55" i="5"/>
  <c r="AF54" i="5"/>
  <c r="AE54" i="5"/>
  <c r="AD54" i="5"/>
  <c r="V54" i="5"/>
  <c r="U54" i="5"/>
  <c r="S54" i="5"/>
  <c r="R54" i="5"/>
  <c r="Q54" i="5"/>
  <c r="P54" i="5"/>
  <c r="O54" i="5"/>
  <c r="N54" i="5"/>
  <c r="M54" i="5"/>
  <c r="L54" i="5"/>
  <c r="K54" i="5"/>
  <c r="H54" i="5"/>
  <c r="G54" i="5"/>
  <c r="F54" i="5"/>
  <c r="E54" i="5"/>
  <c r="D54" i="5"/>
  <c r="AF53" i="5"/>
  <c r="AE53" i="5"/>
  <c r="AD53" i="5"/>
  <c r="V53" i="5"/>
  <c r="U53" i="5"/>
  <c r="S53" i="5"/>
  <c r="R53" i="5"/>
  <c r="Q53" i="5"/>
  <c r="P53" i="5"/>
  <c r="O53" i="5"/>
  <c r="N53" i="5"/>
  <c r="M53" i="5"/>
  <c r="L53" i="5"/>
  <c r="K53" i="5"/>
  <c r="H53" i="5"/>
  <c r="G53" i="5"/>
  <c r="F53" i="5"/>
  <c r="E53" i="5"/>
  <c r="D53" i="5"/>
  <c r="AF52" i="5"/>
  <c r="AE52" i="5"/>
  <c r="AD52" i="5"/>
  <c r="V52" i="5"/>
  <c r="U52" i="5"/>
  <c r="S52" i="5"/>
  <c r="R52" i="5"/>
  <c r="Q52" i="5"/>
  <c r="P52" i="5"/>
  <c r="O52" i="5"/>
  <c r="N52" i="5"/>
  <c r="M52" i="5"/>
  <c r="L52" i="5"/>
  <c r="K52" i="5"/>
  <c r="H52" i="5"/>
  <c r="G52" i="5"/>
  <c r="F52" i="5"/>
  <c r="E52" i="5"/>
  <c r="D52" i="5"/>
  <c r="AF51" i="5"/>
  <c r="AE51" i="5"/>
  <c r="AD51" i="5"/>
  <c r="V51" i="5"/>
  <c r="U51" i="5"/>
  <c r="S51" i="5"/>
  <c r="R51" i="5"/>
  <c r="Q51" i="5"/>
  <c r="P51" i="5"/>
  <c r="N51" i="5"/>
  <c r="M51" i="5"/>
  <c r="L51" i="5"/>
  <c r="K51" i="5"/>
  <c r="H51" i="5"/>
  <c r="G51" i="5"/>
  <c r="F51" i="5"/>
  <c r="E51" i="5"/>
  <c r="D51" i="5"/>
  <c r="AF50" i="5"/>
  <c r="AE50" i="5"/>
  <c r="AD50" i="5"/>
  <c r="V50" i="5"/>
  <c r="U50" i="5"/>
  <c r="S50" i="5"/>
  <c r="R50" i="5"/>
  <c r="Q50" i="5"/>
  <c r="P50" i="5"/>
  <c r="N50" i="5"/>
  <c r="M50" i="5"/>
  <c r="L50" i="5"/>
  <c r="K50" i="5"/>
  <c r="H50" i="5"/>
  <c r="G50" i="5"/>
  <c r="F50" i="5"/>
  <c r="E50" i="5"/>
  <c r="D50" i="5"/>
  <c r="AF49" i="5"/>
  <c r="AE49" i="5"/>
  <c r="AD49" i="5"/>
  <c r="V49" i="5"/>
  <c r="U49" i="5"/>
  <c r="S49" i="5"/>
  <c r="R49" i="5"/>
  <c r="Q49" i="5"/>
  <c r="P49" i="5"/>
  <c r="N49" i="5"/>
  <c r="M49" i="5"/>
  <c r="L49" i="5"/>
  <c r="K49" i="5"/>
  <c r="H49" i="5"/>
  <c r="G49" i="5"/>
  <c r="F49" i="5"/>
  <c r="E49" i="5"/>
  <c r="D49" i="5"/>
  <c r="AF48" i="5"/>
  <c r="AE48" i="5"/>
  <c r="AD48" i="5"/>
  <c r="V48" i="5"/>
  <c r="U48" i="5"/>
  <c r="S48" i="5"/>
  <c r="R48" i="5"/>
  <c r="Q48" i="5"/>
  <c r="P48" i="5"/>
  <c r="N48" i="5"/>
  <c r="M48" i="5"/>
  <c r="L48" i="5"/>
  <c r="K48" i="5"/>
  <c r="H48" i="5"/>
  <c r="G48" i="5"/>
  <c r="F48" i="5"/>
  <c r="E48" i="5"/>
  <c r="D48" i="5"/>
  <c r="AF47" i="5"/>
  <c r="AE47" i="5"/>
  <c r="AD47" i="5"/>
  <c r="V47" i="5"/>
  <c r="U47" i="5"/>
  <c r="S47" i="5"/>
  <c r="R47" i="5"/>
  <c r="Q47" i="5"/>
  <c r="P47" i="5"/>
  <c r="N47" i="5"/>
  <c r="M47" i="5"/>
  <c r="L47" i="5"/>
  <c r="K47" i="5"/>
  <c r="H47" i="5"/>
  <c r="G47" i="5"/>
  <c r="F47" i="5"/>
  <c r="E47" i="5"/>
  <c r="D47" i="5"/>
  <c r="AF46" i="5"/>
  <c r="AE46" i="5"/>
  <c r="AD46" i="5"/>
  <c r="V46" i="5"/>
  <c r="U46" i="5"/>
  <c r="S46" i="5"/>
  <c r="R46" i="5"/>
  <c r="Q46" i="5"/>
  <c r="P46" i="5"/>
  <c r="N46" i="5"/>
  <c r="M46" i="5"/>
  <c r="L46" i="5"/>
  <c r="K46" i="5"/>
  <c r="H46" i="5"/>
  <c r="G46" i="5"/>
  <c r="F46" i="5"/>
  <c r="E46" i="5"/>
  <c r="D46" i="5"/>
  <c r="AF45" i="5"/>
  <c r="AE45" i="5"/>
  <c r="AD45" i="5"/>
  <c r="V45" i="5"/>
  <c r="U45" i="5"/>
  <c r="S45" i="5"/>
  <c r="R45" i="5"/>
  <c r="Q45" i="5"/>
  <c r="P45" i="5"/>
  <c r="N45" i="5"/>
  <c r="M45" i="5"/>
  <c r="L45" i="5"/>
  <c r="K45" i="5"/>
  <c r="H45" i="5"/>
  <c r="G45" i="5"/>
  <c r="F45" i="5"/>
  <c r="E45" i="5"/>
  <c r="D45" i="5"/>
  <c r="AF44" i="5"/>
  <c r="AE44" i="5"/>
  <c r="AD44" i="5"/>
  <c r="V44" i="5"/>
  <c r="U44" i="5"/>
  <c r="S44" i="5"/>
  <c r="R44" i="5"/>
  <c r="Q44" i="5"/>
  <c r="P44" i="5"/>
  <c r="N44" i="5"/>
  <c r="M44" i="5"/>
  <c r="L44" i="5"/>
  <c r="K44" i="5"/>
  <c r="H44" i="5"/>
  <c r="G44" i="5"/>
  <c r="F44" i="5"/>
  <c r="E44" i="5"/>
  <c r="D44" i="5"/>
  <c r="AF43" i="5"/>
  <c r="AE43" i="5"/>
  <c r="AD43" i="5"/>
  <c r="V43" i="5"/>
  <c r="U43" i="5"/>
  <c r="S43" i="5"/>
  <c r="R43" i="5"/>
  <c r="Q43" i="5"/>
  <c r="P43" i="5"/>
  <c r="N43" i="5"/>
  <c r="M43" i="5"/>
  <c r="L43" i="5"/>
  <c r="K43" i="5"/>
  <c r="H43" i="5"/>
  <c r="G43" i="5"/>
  <c r="F43" i="5"/>
  <c r="E43" i="5"/>
  <c r="D43" i="5"/>
  <c r="AF42" i="5"/>
  <c r="AE42" i="5"/>
  <c r="AD42" i="5"/>
  <c r="V42" i="5"/>
  <c r="U42" i="5"/>
  <c r="S42" i="5"/>
  <c r="R42" i="5"/>
  <c r="Q42" i="5"/>
  <c r="P42" i="5"/>
  <c r="N42" i="5"/>
  <c r="M42" i="5"/>
  <c r="L42" i="5"/>
  <c r="K42" i="5"/>
  <c r="H42" i="5"/>
  <c r="G42" i="5"/>
  <c r="F42" i="5"/>
  <c r="E42" i="5"/>
  <c r="D42" i="5"/>
  <c r="AF41" i="5"/>
  <c r="AE41" i="5"/>
  <c r="AD41" i="5"/>
  <c r="V41" i="5"/>
  <c r="U41" i="5"/>
  <c r="S41" i="5"/>
  <c r="R41" i="5"/>
  <c r="Q41" i="5"/>
  <c r="P41" i="5"/>
  <c r="N41" i="5"/>
  <c r="M41" i="5"/>
  <c r="L41" i="5"/>
  <c r="K41" i="5"/>
  <c r="H41" i="5"/>
  <c r="G41" i="5"/>
  <c r="F41" i="5"/>
  <c r="E41" i="5"/>
  <c r="D41" i="5"/>
  <c r="AF40" i="5"/>
  <c r="AE40" i="5"/>
  <c r="AD40" i="5"/>
  <c r="V40" i="5"/>
  <c r="U40" i="5"/>
  <c r="S40" i="5"/>
  <c r="R40" i="5"/>
  <c r="Q40" i="5"/>
  <c r="P40" i="5"/>
  <c r="N40" i="5"/>
  <c r="M40" i="5"/>
  <c r="L40" i="5"/>
  <c r="K40" i="5"/>
  <c r="H40" i="5"/>
  <c r="G40" i="5"/>
  <c r="F40" i="5"/>
  <c r="E40" i="5"/>
  <c r="D40" i="5"/>
  <c r="AF39" i="5"/>
  <c r="AE39" i="5"/>
  <c r="AD39" i="5"/>
  <c r="V39" i="5"/>
  <c r="U39" i="5"/>
  <c r="S39" i="5"/>
  <c r="R39" i="5"/>
  <c r="Q39" i="5"/>
  <c r="P39" i="5"/>
  <c r="N39" i="5"/>
  <c r="M39" i="5"/>
  <c r="L39" i="5"/>
  <c r="K39" i="5"/>
  <c r="H39" i="5"/>
  <c r="G39" i="5"/>
  <c r="F39" i="5"/>
  <c r="E39" i="5"/>
  <c r="D39" i="5"/>
  <c r="AF38" i="5"/>
  <c r="AE38" i="5"/>
  <c r="AD38" i="5"/>
  <c r="V38" i="5"/>
  <c r="U38" i="5"/>
  <c r="S38" i="5"/>
  <c r="R38" i="5"/>
  <c r="Q38" i="5"/>
  <c r="P38" i="5"/>
  <c r="N38" i="5"/>
  <c r="M38" i="5"/>
  <c r="L38" i="5"/>
  <c r="K38" i="5"/>
  <c r="H38" i="5"/>
  <c r="G38" i="5"/>
  <c r="F38" i="5"/>
  <c r="E38" i="5"/>
  <c r="D38" i="5"/>
  <c r="AF37" i="5"/>
  <c r="AE37" i="5"/>
  <c r="AD37" i="5"/>
  <c r="V37" i="5"/>
  <c r="U37" i="5"/>
  <c r="S37" i="5"/>
  <c r="R37" i="5"/>
  <c r="Q37" i="5"/>
  <c r="P37" i="5"/>
  <c r="N37" i="5"/>
  <c r="M37" i="5"/>
  <c r="L37" i="5"/>
  <c r="K37" i="5"/>
  <c r="H37" i="5"/>
  <c r="G37" i="5"/>
  <c r="F37" i="5"/>
  <c r="E37" i="5"/>
  <c r="D37" i="5"/>
  <c r="AF36" i="5"/>
  <c r="AE36" i="5"/>
  <c r="AD36" i="5"/>
  <c r="V36" i="5"/>
  <c r="U36" i="5"/>
  <c r="S36" i="5"/>
  <c r="R36" i="5"/>
  <c r="Q36" i="5"/>
  <c r="P36" i="5"/>
  <c r="N36" i="5"/>
  <c r="M36" i="5"/>
  <c r="L36" i="5"/>
  <c r="K36" i="5"/>
  <c r="H36" i="5"/>
  <c r="G36" i="5"/>
  <c r="F36" i="5"/>
  <c r="E36" i="5"/>
  <c r="D36" i="5"/>
  <c r="AF35" i="5"/>
  <c r="AE35" i="5"/>
  <c r="AD35" i="5"/>
  <c r="V35" i="5"/>
  <c r="U35" i="5"/>
  <c r="S35" i="5"/>
  <c r="R35" i="5"/>
  <c r="Q35" i="5"/>
  <c r="P35" i="5"/>
  <c r="N35" i="5"/>
  <c r="M35" i="5"/>
  <c r="L35" i="5"/>
  <c r="K35" i="5"/>
  <c r="H35" i="5"/>
  <c r="G35" i="5"/>
  <c r="F35" i="5"/>
  <c r="E35" i="5"/>
  <c r="D35" i="5"/>
  <c r="AF34" i="5"/>
  <c r="AE34" i="5"/>
  <c r="AD34" i="5"/>
  <c r="V34" i="5"/>
  <c r="U34" i="5"/>
  <c r="S34" i="5"/>
  <c r="R34" i="5"/>
  <c r="Q34" i="5"/>
  <c r="P34" i="5"/>
  <c r="N34" i="5"/>
  <c r="M34" i="5"/>
  <c r="L34" i="5"/>
  <c r="K34" i="5"/>
  <c r="H34" i="5"/>
  <c r="G34" i="5"/>
  <c r="F34" i="5"/>
  <c r="E34" i="5"/>
  <c r="D34" i="5"/>
  <c r="AF33" i="5"/>
  <c r="AE33" i="5"/>
  <c r="AD33" i="5"/>
  <c r="V33" i="5"/>
  <c r="U33" i="5"/>
  <c r="S33" i="5"/>
  <c r="R33" i="5"/>
  <c r="Q33" i="5"/>
  <c r="P33" i="5"/>
  <c r="N33" i="5"/>
  <c r="M33" i="5"/>
  <c r="L33" i="5"/>
  <c r="K33" i="5"/>
  <c r="H33" i="5"/>
  <c r="G33" i="5"/>
  <c r="F33" i="5"/>
  <c r="E33" i="5"/>
  <c r="D33" i="5"/>
  <c r="AF32" i="5"/>
  <c r="AE32" i="5"/>
  <c r="AD32" i="5"/>
  <c r="V32" i="5"/>
  <c r="U32" i="5"/>
  <c r="S32" i="5"/>
  <c r="R32" i="5"/>
  <c r="Q32" i="5"/>
  <c r="P32" i="5"/>
  <c r="N32" i="5"/>
  <c r="M32" i="5"/>
  <c r="L32" i="5"/>
  <c r="K32" i="5"/>
  <c r="H32" i="5"/>
  <c r="G32" i="5"/>
  <c r="F32" i="5"/>
  <c r="E32" i="5"/>
  <c r="D32" i="5"/>
  <c r="AF31" i="5"/>
  <c r="AE31" i="5"/>
  <c r="AD31" i="5"/>
  <c r="V31" i="5"/>
  <c r="U31" i="5"/>
  <c r="S31" i="5"/>
  <c r="R31" i="5"/>
  <c r="Q31" i="5"/>
  <c r="P31" i="5"/>
  <c r="N31" i="5"/>
  <c r="M31" i="5"/>
  <c r="L31" i="5"/>
  <c r="K31" i="5"/>
  <c r="H31" i="5"/>
  <c r="G31" i="5"/>
  <c r="F31" i="5"/>
  <c r="E31" i="5"/>
  <c r="D31" i="5"/>
  <c r="AF30" i="5"/>
  <c r="AE30" i="5"/>
  <c r="AD30" i="5"/>
  <c r="V30" i="5"/>
  <c r="U30" i="5"/>
  <c r="S30" i="5"/>
  <c r="R30" i="5"/>
  <c r="Q30" i="5"/>
  <c r="P30" i="5"/>
  <c r="N30" i="5"/>
  <c r="M30" i="5"/>
  <c r="L30" i="5"/>
  <c r="K30" i="5"/>
  <c r="H30" i="5"/>
  <c r="G30" i="5"/>
  <c r="F30" i="5"/>
  <c r="E30" i="5"/>
  <c r="D30" i="5"/>
  <c r="AF29" i="5"/>
  <c r="AE29" i="5"/>
  <c r="AD29" i="5"/>
  <c r="V29" i="5"/>
  <c r="U29" i="5"/>
  <c r="S29" i="5"/>
  <c r="R29" i="5"/>
  <c r="Q29" i="5"/>
  <c r="P29" i="5"/>
  <c r="O29" i="5"/>
  <c r="N29" i="5"/>
  <c r="M29" i="5"/>
  <c r="L29" i="5"/>
  <c r="H29" i="5"/>
  <c r="G29" i="5"/>
  <c r="F29" i="5"/>
  <c r="E29" i="5"/>
  <c r="D29" i="5"/>
  <c r="C29" i="5"/>
  <c r="C98" i="1"/>
  <c r="C30" i="10" s="1"/>
  <c r="AH29" i="11" l="1"/>
  <c r="U77" i="10"/>
  <c r="T77" i="11"/>
  <c r="T77" i="5"/>
  <c r="W94" i="11"/>
  <c r="W130" i="5"/>
  <c r="W126" i="11"/>
  <c r="W140" i="5"/>
  <c r="AI133" i="10"/>
  <c r="AJ133" i="10"/>
  <c r="AK133" i="10"/>
  <c r="AL133" i="10"/>
  <c r="AM133" i="10"/>
  <c r="AN133" i="10"/>
  <c r="AO133" i="10"/>
  <c r="AP133" i="10"/>
  <c r="AQ133" i="10"/>
  <c r="AQ136" i="10"/>
  <c r="AI136" i="10"/>
  <c r="AJ136" i="10"/>
  <c r="AK136" i="10"/>
  <c r="AL136" i="10"/>
  <c r="AM136" i="10"/>
  <c r="AP136" i="10"/>
  <c r="AN136" i="10"/>
  <c r="AO136" i="10"/>
  <c r="AN139" i="10"/>
  <c r="AO139" i="10"/>
  <c r="AP139" i="10"/>
  <c r="AQ139" i="10"/>
  <c r="AI139" i="10"/>
  <c r="AJ139" i="10"/>
  <c r="AM139" i="10"/>
  <c r="AK139" i="10"/>
  <c r="AL139" i="10"/>
  <c r="AK142" i="10"/>
  <c r="AL142" i="10"/>
  <c r="AM142" i="10"/>
  <c r="AN142" i="10"/>
  <c r="AO142" i="10"/>
  <c r="AP142" i="10"/>
  <c r="AQ142" i="10"/>
  <c r="AJ142" i="10"/>
  <c r="AI142" i="10"/>
  <c r="AI145" i="10"/>
  <c r="AJ145" i="10"/>
  <c r="AK145" i="10"/>
  <c r="AL145" i="10"/>
  <c r="AM145" i="10"/>
  <c r="AN145" i="10"/>
  <c r="AO145" i="10"/>
  <c r="AP145" i="10"/>
  <c r="AQ145" i="10"/>
  <c r="AQ148" i="10"/>
  <c r="AI148" i="10"/>
  <c r="AJ148" i="10"/>
  <c r="AK148" i="10"/>
  <c r="AL148" i="10"/>
  <c r="AM148" i="10"/>
  <c r="AN148" i="10"/>
  <c r="AP148" i="10"/>
  <c r="AO148" i="10"/>
  <c r="AN151" i="10"/>
  <c r="AO151" i="10"/>
  <c r="AP151" i="10"/>
  <c r="AQ151" i="10"/>
  <c r="AI151" i="10"/>
  <c r="AJ151" i="10"/>
  <c r="AM151" i="10"/>
  <c r="AK151" i="10"/>
  <c r="AL151" i="10"/>
  <c r="AK154" i="10"/>
  <c r="AL154" i="10"/>
  <c r="AM154" i="10"/>
  <c r="AN154" i="10"/>
  <c r="AO154" i="10"/>
  <c r="AP154" i="10"/>
  <c r="AQ154" i="10"/>
  <c r="AJ154" i="10"/>
  <c r="AI154" i="10"/>
  <c r="AI157" i="10"/>
  <c r="AJ157" i="10"/>
  <c r="AK157" i="10"/>
  <c r="AL157" i="10"/>
  <c r="AM157" i="10"/>
  <c r="AN157" i="10"/>
  <c r="AO157" i="10"/>
  <c r="AP157" i="10"/>
  <c r="AQ157" i="10"/>
  <c r="AQ160" i="10"/>
  <c r="AI160" i="10"/>
  <c r="AJ160" i="10"/>
  <c r="AK160" i="10"/>
  <c r="AL160" i="10"/>
  <c r="AM160" i="10"/>
  <c r="AP160" i="10"/>
  <c r="AN160" i="10"/>
  <c r="AO160" i="10"/>
  <c r="AN163" i="10"/>
  <c r="AO163" i="10"/>
  <c r="AP163" i="10"/>
  <c r="AQ163" i="10"/>
  <c r="AI163" i="10"/>
  <c r="AJ163" i="10"/>
  <c r="AM163" i="10"/>
  <c r="AK163" i="10"/>
  <c r="AL163" i="10"/>
  <c r="AK166" i="10"/>
  <c r="AL166" i="10"/>
  <c r="AM166" i="10"/>
  <c r="AN166" i="10"/>
  <c r="AO166" i="10"/>
  <c r="AP166" i="10"/>
  <c r="AQ166" i="10"/>
  <c r="AJ166" i="10"/>
  <c r="AI166" i="10"/>
  <c r="AI169" i="10"/>
  <c r="AJ169" i="10"/>
  <c r="AK169" i="10"/>
  <c r="AL169" i="10"/>
  <c r="AM169" i="10"/>
  <c r="AN169" i="10"/>
  <c r="AO169" i="10"/>
  <c r="AP169" i="10"/>
  <c r="AQ169" i="10"/>
  <c r="AQ172" i="10"/>
  <c r="AI172" i="10"/>
  <c r="AJ172" i="10"/>
  <c r="AK172" i="10"/>
  <c r="AL172" i="10"/>
  <c r="AP172" i="10"/>
  <c r="AM172" i="10"/>
  <c r="AN172" i="10"/>
  <c r="AO172" i="10"/>
  <c r="AN175" i="10"/>
  <c r="AO175" i="10"/>
  <c r="AP175" i="10"/>
  <c r="AQ175" i="10"/>
  <c r="AI175" i="10"/>
  <c r="AJ175" i="10"/>
  <c r="AK175" i="10"/>
  <c r="AM175" i="10"/>
  <c r="AL175" i="10"/>
  <c r="AK178" i="10"/>
  <c r="AL178" i="10"/>
  <c r="AM178" i="10"/>
  <c r="AN178" i="10"/>
  <c r="AO178" i="10"/>
  <c r="AP178" i="10"/>
  <c r="AQ178" i="10"/>
  <c r="AJ178" i="10"/>
  <c r="AI178" i="10"/>
  <c r="AI181" i="10"/>
  <c r="AJ181" i="10"/>
  <c r="AK181" i="10"/>
  <c r="AL181" i="10"/>
  <c r="AM181" i="10"/>
  <c r="AN181" i="10"/>
  <c r="AO181" i="10"/>
  <c r="AP181" i="10"/>
  <c r="AQ181" i="10"/>
  <c r="AQ184" i="10"/>
  <c r="AI184" i="10"/>
  <c r="AJ184" i="10"/>
  <c r="AK184" i="10"/>
  <c r="AL184" i="10"/>
  <c r="AM184" i="10"/>
  <c r="AN184" i="10"/>
  <c r="AP184" i="10"/>
  <c r="AO184" i="10"/>
  <c r="AN187" i="10"/>
  <c r="AO187" i="10"/>
  <c r="AP187" i="10"/>
  <c r="AQ187" i="10"/>
  <c r="AI187" i="10"/>
  <c r="AJ187" i="10"/>
  <c r="AM187" i="10"/>
  <c r="AK187" i="10"/>
  <c r="AL187" i="10"/>
  <c r="AK190" i="10"/>
  <c r="AL190" i="10"/>
  <c r="AM190" i="10"/>
  <c r="AN190" i="10"/>
  <c r="AO190" i="10"/>
  <c r="AP190" i="10"/>
  <c r="AQ190" i="10"/>
  <c r="AJ190" i="10"/>
  <c r="AI190" i="10"/>
  <c r="AI193" i="10"/>
  <c r="AJ193" i="10"/>
  <c r="AK193" i="10"/>
  <c r="AL193" i="10"/>
  <c r="AM193" i="10"/>
  <c r="AN193" i="10"/>
  <c r="AO193" i="10"/>
  <c r="AP193" i="10"/>
  <c r="AQ193" i="10"/>
  <c r="W176" i="5"/>
  <c r="W194" i="5"/>
  <c r="X191" i="10"/>
  <c r="W180" i="11"/>
  <c r="AK134" i="10"/>
  <c r="AL134" i="10"/>
  <c r="AM134" i="10"/>
  <c r="AN134" i="10"/>
  <c r="AO134" i="10"/>
  <c r="AP134" i="10"/>
  <c r="AQ134" i="10"/>
  <c r="AJ134" i="10"/>
  <c r="AI134" i="10"/>
  <c r="AI137" i="10"/>
  <c r="AJ137" i="10"/>
  <c r="AK137" i="10"/>
  <c r="AL137" i="10"/>
  <c r="AM137" i="10"/>
  <c r="AN137" i="10"/>
  <c r="AO137" i="10"/>
  <c r="AP137" i="10"/>
  <c r="AQ137" i="10"/>
  <c r="AQ140" i="10"/>
  <c r="AI140" i="10"/>
  <c r="AJ140" i="10"/>
  <c r="AK140" i="10"/>
  <c r="AL140" i="10"/>
  <c r="AM140" i="10"/>
  <c r="AP140" i="10"/>
  <c r="AN140" i="10"/>
  <c r="AO140" i="10"/>
  <c r="AN143" i="10"/>
  <c r="AO143" i="10"/>
  <c r="AP143" i="10"/>
  <c r="AQ143" i="10"/>
  <c r="AI143" i="10"/>
  <c r="AJ143" i="10"/>
  <c r="AM143" i="10"/>
  <c r="AK143" i="10"/>
  <c r="AL143" i="10"/>
  <c r="AK146" i="10"/>
  <c r="AL146" i="10"/>
  <c r="AM146" i="10"/>
  <c r="AN146" i="10"/>
  <c r="AO146" i="10"/>
  <c r="AP146" i="10"/>
  <c r="AQ146" i="10"/>
  <c r="AJ146" i="10"/>
  <c r="AI146" i="10"/>
  <c r="AI149" i="10"/>
  <c r="AJ149" i="10"/>
  <c r="AK149" i="10"/>
  <c r="AL149" i="10"/>
  <c r="AM149" i="10"/>
  <c r="AN149" i="10"/>
  <c r="AO149" i="10"/>
  <c r="AP149" i="10"/>
  <c r="AQ149" i="10"/>
  <c r="AQ152" i="10"/>
  <c r="AI152" i="10"/>
  <c r="AJ152" i="10"/>
  <c r="AK152" i="10"/>
  <c r="AL152" i="10"/>
  <c r="AP152" i="10"/>
  <c r="AM152" i="10"/>
  <c r="AN152" i="10"/>
  <c r="AO152" i="10"/>
  <c r="AN155" i="10"/>
  <c r="AO155" i="10"/>
  <c r="AP155" i="10"/>
  <c r="AQ155" i="10"/>
  <c r="AI155" i="10"/>
  <c r="AJ155" i="10"/>
  <c r="AM155" i="10"/>
  <c r="AK155" i="10"/>
  <c r="AL155" i="10"/>
  <c r="AK158" i="10"/>
  <c r="AL158" i="10"/>
  <c r="AM158" i="10"/>
  <c r="AN158" i="10"/>
  <c r="AO158" i="10"/>
  <c r="AP158" i="10"/>
  <c r="AQ158" i="10"/>
  <c r="AJ158" i="10"/>
  <c r="AI158" i="10"/>
  <c r="AI161" i="10"/>
  <c r="AJ161" i="10"/>
  <c r="AK161" i="10"/>
  <c r="AL161" i="10"/>
  <c r="AM161" i="10"/>
  <c r="AN161" i="10"/>
  <c r="AO161" i="10"/>
  <c r="AP161" i="10"/>
  <c r="AQ161" i="10"/>
  <c r="AQ164" i="10"/>
  <c r="AI164" i="10"/>
  <c r="AJ164" i="10"/>
  <c r="AK164" i="10"/>
  <c r="AL164" i="10"/>
  <c r="AM164" i="10"/>
  <c r="AN164" i="10"/>
  <c r="AP164" i="10"/>
  <c r="AO164" i="10"/>
  <c r="AN167" i="10"/>
  <c r="AO167" i="10"/>
  <c r="AP167" i="10"/>
  <c r="AQ167" i="10"/>
  <c r="AI167" i="10"/>
  <c r="AM167" i="10"/>
  <c r="AJ167" i="10"/>
  <c r="AK167" i="10"/>
  <c r="AL167" i="10"/>
  <c r="AK170" i="10"/>
  <c r="AL170" i="10"/>
  <c r="AM170" i="10"/>
  <c r="AN170" i="10"/>
  <c r="AO170" i="10"/>
  <c r="AP170" i="10"/>
  <c r="AQ170" i="10"/>
  <c r="AJ170" i="10"/>
  <c r="AI170" i="10"/>
  <c r="AI173" i="10"/>
  <c r="AJ173" i="10"/>
  <c r="AK173" i="10"/>
  <c r="AL173" i="10"/>
  <c r="AM173" i="10"/>
  <c r="AN173" i="10"/>
  <c r="AO173" i="10"/>
  <c r="AP173" i="10"/>
  <c r="AQ173" i="10"/>
  <c r="AQ176" i="10"/>
  <c r="AI176" i="10"/>
  <c r="AJ176" i="10"/>
  <c r="AK176" i="10"/>
  <c r="AL176" i="10"/>
  <c r="AP176" i="10"/>
  <c r="AM176" i="10"/>
  <c r="AN176" i="10"/>
  <c r="AO176" i="10"/>
  <c r="AN179" i="10"/>
  <c r="AO179" i="10"/>
  <c r="AP179" i="10"/>
  <c r="AQ179" i="10"/>
  <c r="AI179" i="10"/>
  <c r="AJ179" i="10"/>
  <c r="AK179" i="10"/>
  <c r="AM179" i="10"/>
  <c r="AL179" i="10"/>
  <c r="AK182" i="10"/>
  <c r="AL182" i="10"/>
  <c r="AM182" i="10"/>
  <c r="AN182" i="10"/>
  <c r="AO182" i="10"/>
  <c r="AP182" i="10"/>
  <c r="AQ182" i="10"/>
  <c r="AJ182" i="10"/>
  <c r="AI182" i="10"/>
  <c r="AI185" i="10"/>
  <c r="AJ185" i="10"/>
  <c r="AK185" i="10"/>
  <c r="AL185" i="10"/>
  <c r="AM185" i="10"/>
  <c r="AN185" i="10"/>
  <c r="AO185" i="10"/>
  <c r="AP185" i="10"/>
  <c r="AQ185" i="10"/>
  <c r="AQ188" i="10"/>
  <c r="AI188" i="10"/>
  <c r="AJ188" i="10"/>
  <c r="AK188" i="10"/>
  <c r="AL188" i="10"/>
  <c r="AM188" i="10"/>
  <c r="AN188" i="10"/>
  <c r="AP188" i="10"/>
  <c r="AO188" i="10"/>
  <c r="AN191" i="10"/>
  <c r="AO191" i="10"/>
  <c r="AP191" i="10"/>
  <c r="AQ191" i="10"/>
  <c r="AI191" i="10"/>
  <c r="AJ191" i="10"/>
  <c r="AK191" i="10"/>
  <c r="AM191" i="10"/>
  <c r="AL191" i="10"/>
  <c r="AK194" i="10"/>
  <c r="AL194" i="10"/>
  <c r="AM194" i="10"/>
  <c r="AN194" i="10"/>
  <c r="AO194" i="10"/>
  <c r="AP194" i="10"/>
  <c r="AQ194" i="10"/>
  <c r="AJ194" i="10"/>
  <c r="AI194" i="10"/>
  <c r="X183" i="10"/>
  <c r="W161" i="5"/>
  <c r="W179" i="5"/>
  <c r="AN135" i="10"/>
  <c r="AO135" i="10"/>
  <c r="AP135" i="10"/>
  <c r="AQ135" i="10"/>
  <c r="AI135" i="10"/>
  <c r="AJ135" i="10"/>
  <c r="AM135" i="10"/>
  <c r="AK135" i="10"/>
  <c r="AL135" i="10"/>
  <c r="AK138" i="10"/>
  <c r="AL138" i="10"/>
  <c r="AM138" i="10"/>
  <c r="AN138" i="10"/>
  <c r="AO138" i="10"/>
  <c r="AP138" i="10"/>
  <c r="AQ138" i="10"/>
  <c r="AJ138" i="10"/>
  <c r="AI138" i="10"/>
  <c r="AI141" i="10"/>
  <c r="AJ141" i="10"/>
  <c r="AK141" i="10"/>
  <c r="AL141" i="10"/>
  <c r="AM141" i="10"/>
  <c r="AN141" i="10"/>
  <c r="AO141" i="10"/>
  <c r="AP141" i="10"/>
  <c r="AQ141" i="10"/>
  <c r="AQ144" i="10"/>
  <c r="AI144" i="10"/>
  <c r="AJ144" i="10"/>
  <c r="AK144" i="10"/>
  <c r="AL144" i="10"/>
  <c r="AM144" i="10"/>
  <c r="AP144" i="10"/>
  <c r="AN144" i="10"/>
  <c r="AO144" i="10"/>
  <c r="AN147" i="10"/>
  <c r="AO147" i="10"/>
  <c r="AP147" i="10"/>
  <c r="AQ147" i="10"/>
  <c r="AI147" i="10"/>
  <c r="AJ147" i="10"/>
  <c r="AM147" i="10"/>
  <c r="AK147" i="10"/>
  <c r="AL147" i="10"/>
  <c r="AK150" i="10"/>
  <c r="AL150" i="10"/>
  <c r="AM150" i="10"/>
  <c r="AN150" i="10"/>
  <c r="AO150" i="10"/>
  <c r="AP150" i="10"/>
  <c r="AQ150" i="10"/>
  <c r="AJ150" i="10"/>
  <c r="AI150" i="10"/>
  <c r="AI153" i="10"/>
  <c r="AJ153" i="10"/>
  <c r="AK153" i="10"/>
  <c r="AL153" i="10"/>
  <c r="AM153" i="10"/>
  <c r="AN153" i="10"/>
  <c r="AO153" i="10"/>
  <c r="AP153" i="10"/>
  <c r="AQ153" i="10"/>
  <c r="AQ156" i="10"/>
  <c r="AI156" i="10"/>
  <c r="AJ156" i="10"/>
  <c r="AK156" i="10"/>
  <c r="AL156" i="10"/>
  <c r="AM156" i="10"/>
  <c r="AP156" i="10"/>
  <c r="AN156" i="10"/>
  <c r="AO156" i="10"/>
  <c r="AN159" i="10"/>
  <c r="AO159" i="10"/>
  <c r="AP159" i="10"/>
  <c r="AQ159" i="10"/>
  <c r="AI159" i="10"/>
  <c r="AJ159" i="10"/>
  <c r="AK159" i="10"/>
  <c r="AM159" i="10"/>
  <c r="AL159" i="10"/>
  <c r="AK162" i="10"/>
  <c r="AL162" i="10"/>
  <c r="AM162" i="10"/>
  <c r="AN162" i="10"/>
  <c r="AO162" i="10"/>
  <c r="AP162" i="10"/>
  <c r="AQ162" i="10"/>
  <c r="AJ162" i="10"/>
  <c r="AI162" i="10"/>
  <c r="AI165" i="10"/>
  <c r="AJ165" i="10"/>
  <c r="AK165" i="10"/>
  <c r="AL165" i="10"/>
  <c r="AM165" i="10"/>
  <c r="AN165" i="10"/>
  <c r="AO165" i="10"/>
  <c r="AP165" i="10"/>
  <c r="AQ165" i="10"/>
  <c r="AQ168" i="10"/>
  <c r="AI168" i="10"/>
  <c r="AJ168" i="10"/>
  <c r="AK168" i="10"/>
  <c r="AL168" i="10"/>
  <c r="AM168" i="10"/>
  <c r="AN168" i="10"/>
  <c r="AP168" i="10"/>
  <c r="AO168" i="10"/>
  <c r="AN171" i="10"/>
  <c r="AO171" i="10"/>
  <c r="AP171" i="10"/>
  <c r="AQ171" i="10"/>
  <c r="AI171" i="10"/>
  <c r="AJ171" i="10"/>
  <c r="AK171" i="10"/>
  <c r="AM171" i="10"/>
  <c r="AL171" i="10"/>
  <c r="AK174" i="10"/>
  <c r="AL174" i="10"/>
  <c r="AM174" i="10"/>
  <c r="AN174" i="10"/>
  <c r="AO174" i="10"/>
  <c r="AP174" i="10"/>
  <c r="AQ174" i="10"/>
  <c r="AJ174" i="10"/>
  <c r="AI174" i="10"/>
  <c r="AI177" i="10"/>
  <c r="AJ177" i="10"/>
  <c r="AK177" i="10"/>
  <c r="AL177" i="10"/>
  <c r="AM177" i="10"/>
  <c r="AN177" i="10"/>
  <c r="AO177" i="10"/>
  <c r="AP177" i="10"/>
  <c r="AQ177" i="10"/>
  <c r="AQ180" i="10"/>
  <c r="AI180" i="10"/>
  <c r="AJ180" i="10"/>
  <c r="AK180" i="10"/>
  <c r="AL180" i="10"/>
  <c r="AP180" i="10"/>
  <c r="AM180" i="10"/>
  <c r="AN180" i="10"/>
  <c r="AO180" i="10"/>
  <c r="AN183" i="10"/>
  <c r="AO183" i="10"/>
  <c r="AP183" i="10"/>
  <c r="AQ183" i="10"/>
  <c r="AI183" i="10"/>
  <c r="AM183" i="10"/>
  <c r="AJ183" i="10"/>
  <c r="AK183" i="10"/>
  <c r="AL183" i="10"/>
  <c r="AK186" i="10"/>
  <c r="AL186" i="10"/>
  <c r="AM186" i="10"/>
  <c r="AN186" i="10"/>
  <c r="AO186" i="10"/>
  <c r="AP186" i="10"/>
  <c r="AQ186" i="10"/>
  <c r="AJ186" i="10"/>
  <c r="AI186" i="10"/>
  <c r="AI189" i="10"/>
  <c r="AJ189" i="10"/>
  <c r="AK189" i="10"/>
  <c r="AL189" i="10"/>
  <c r="AM189" i="10"/>
  <c r="AN189" i="10"/>
  <c r="AO189" i="10"/>
  <c r="AP189" i="10"/>
  <c r="AQ189" i="10"/>
  <c r="AQ192" i="10"/>
  <c r="AI192" i="10"/>
  <c r="AJ192" i="10"/>
  <c r="AK192" i="10"/>
  <c r="AL192" i="10"/>
  <c r="AM192" i="10"/>
  <c r="AP192" i="10"/>
  <c r="AN192" i="10"/>
  <c r="AO192" i="10"/>
  <c r="W150" i="5"/>
  <c r="W156" i="5"/>
  <c r="X127" i="10"/>
  <c r="X145" i="10"/>
  <c r="W185" i="11"/>
  <c r="W191" i="11"/>
  <c r="AK130" i="10"/>
  <c r="AL130" i="10"/>
  <c r="AM130" i="10"/>
  <c r="AN130" i="10"/>
  <c r="AO130" i="10"/>
  <c r="AP130" i="10"/>
  <c r="AQ130" i="10"/>
  <c r="AI130" i="10"/>
  <c r="AJ130" i="10"/>
  <c r="W129" i="5"/>
  <c r="AN131" i="10"/>
  <c r="AO131" i="10"/>
  <c r="AP131" i="10"/>
  <c r="AQ131" i="10"/>
  <c r="AI131" i="10"/>
  <c r="AJ131" i="10"/>
  <c r="AK131" i="10"/>
  <c r="AL131" i="10"/>
  <c r="AM131" i="10"/>
  <c r="W132" i="5"/>
  <c r="AI129" i="10"/>
  <c r="AJ129" i="10"/>
  <c r="AK129" i="10"/>
  <c r="AL129" i="10"/>
  <c r="AM129" i="10"/>
  <c r="AN129" i="10"/>
  <c r="AO129" i="10"/>
  <c r="AP129" i="10"/>
  <c r="AQ129" i="10"/>
  <c r="AQ132" i="10"/>
  <c r="AP132" i="14" s="1"/>
  <c r="AI132" i="10"/>
  <c r="AJ132" i="10"/>
  <c r="AK132" i="10"/>
  <c r="AL132" i="10"/>
  <c r="AM132" i="10"/>
  <c r="AN132" i="10"/>
  <c r="AO132" i="10"/>
  <c r="AP132" i="10"/>
  <c r="W116" i="5"/>
  <c r="W99" i="5"/>
  <c r="W30" i="5"/>
  <c r="W73" i="5"/>
  <c r="W96" i="5"/>
  <c r="AP96" i="5" s="1"/>
  <c r="W122" i="5"/>
  <c r="AM122" i="5" s="1"/>
  <c r="X94" i="10"/>
  <c r="X110" i="10"/>
  <c r="X118" i="10"/>
  <c r="W100" i="5"/>
  <c r="W113" i="5"/>
  <c r="X61" i="10"/>
  <c r="W128" i="5"/>
  <c r="W50" i="5"/>
  <c r="W83" i="5"/>
  <c r="AM83" i="5" s="1"/>
  <c r="W35" i="5"/>
  <c r="W114" i="5"/>
  <c r="AJ114" i="5" s="1"/>
  <c r="X119" i="10"/>
  <c r="W110" i="11"/>
  <c r="AI86" i="10"/>
  <c r="AJ86" i="10"/>
  <c r="AK86" i="10"/>
  <c r="AO86" i="10"/>
  <c r="AQ86" i="10"/>
  <c r="AL86" i="10"/>
  <c r="AM86" i="10"/>
  <c r="AN86" i="10"/>
  <c r="AP86" i="10"/>
  <c r="AI95" i="10"/>
  <c r="AH95" i="14" s="1"/>
  <c r="AJ95" i="10"/>
  <c r="AK95" i="10"/>
  <c r="AL95" i="10"/>
  <c r="AM95" i="10"/>
  <c r="AN95" i="10"/>
  <c r="AO95" i="10"/>
  <c r="AQ95" i="10"/>
  <c r="AP95" i="10"/>
  <c r="AO101" i="10"/>
  <c r="AP101" i="10"/>
  <c r="AO101" i="14" s="1"/>
  <c r="AQ101" i="10"/>
  <c r="AP101" i="14" s="1"/>
  <c r="AK101" i="10"/>
  <c r="AL101" i="10"/>
  <c r="AM101" i="10"/>
  <c r="AI101" i="10"/>
  <c r="AN101" i="10"/>
  <c r="AJ101" i="10"/>
  <c r="AI110" i="10"/>
  <c r="AH110" i="11" s="1"/>
  <c r="AQ110" i="10"/>
  <c r="AJ110" i="10"/>
  <c r="AO110" i="10"/>
  <c r="AP110" i="10"/>
  <c r="AK110" i="10"/>
  <c r="AN110" i="10"/>
  <c r="AL110" i="10"/>
  <c r="AM110" i="10"/>
  <c r="AL116" i="10"/>
  <c r="AM116" i="10"/>
  <c r="AN116" i="10"/>
  <c r="AO116" i="10"/>
  <c r="AI116" i="10"/>
  <c r="AP116" i="10"/>
  <c r="AJ116" i="10"/>
  <c r="AQ116" i="10"/>
  <c r="AP116" i="14" s="1"/>
  <c r="AK116" i="10"/>
  <c r="AI119" i="10"/>
  <c r="AJ119" i="10"/>
  <c r="AK119" i="10"/>
  <c r="AL119" i="10"/>
  <c r="AQ119" i="10"/>
  <c r="AM119" i="10"/>
  <c r="AN119" i="10"/>
  <c r="AO119" i="10"/>
  <c r="AP119" i="10"/>
  <c r="AI122" i="10"/>
  <c r="AO122" i="10"/>
  <c r="AJ122" i="10"/>
  <c r="AN122" i="10"/>
  <c r="AK122" i="10"/>
  <c r="AL122" i="10"/>
  <c r="AP122" i="10"/>
  <c r="AQ122" i="10"/>
  <c r="AM122" i="10"/>
  <c r="AL92" i="10"/>
  <c r="AM92" i="10"/>
  <c r="AN92" i="10"/>
  <c r="AO92" i="10"/>
  <c r="AJ92" i="10"/>
  <c r="AK92" i="10"/>
  <c r="AP92" i="10"/>
  <c r="AQ92" i="10"/>
  <c r="AI92" i="10"/>
  <c r="AI98" i="10"/>
  <c r="AH98" i="14" s="1"/>
  <c r="AP98" i="10"/>
  <c r="AJ98" i="10"/>
  <c r="AI98" i="14" s="1"/>
  <c r="AK98" i="10"/>
  <c r="AJ98" i="14" s="1"/>
  <c r="AL98" i="10"/>
  <c r="AK98" i="14" s="1"/>
  <c r="AO98" i="10"/>
  <c r="AQ98" i="10"/>
  <c r="AM98" i="10"/>
  <c r="AN98" i="10"/>
  <c r="AI107" i="10"/>
  <c r="AJ107" i="10"/>
  <c r="AK107" i="10"/>
  <c r="AL107" i="10"/>
  <c r="AM107" i="10"/>
  <c r="AN107" i="10"/>
  <c r="AM107" i="14" s="1"/>
  <c r="AO107" i="10"/>
  <c r="AN107" i="14" s="1"/>
  <c r="AP107" i="10"/>
  <c r="AO107" i="11" s="1"/>
  <c r="AQ107" i="10"/>
  <c r="AO113" i="10"/>
  <c r="AP113" i="10"/>
  <c r="AQ113" i="10"/>
  <c r="AK113" i="10"/>
  <c r="AM113" i="10"/>
  <c r="AL113" i="10"/>
  <c r="AI113" i="10"/>
  <c r="AN113" i="10"/>
  <c r="AJ113" i="10"/>
  <c r="AO125" i="10"/>
  <c r="AN125" i="14" s="1"/>
  <c r="AP125" i="10"/>
  <c r="AO125" i="14" s="1"/>
  <c r="AQ125" i="10"/>
  <c r="AK125" i="10"/>
  <c r="AM125" i="10"/>
  <c r="AN125" i="10"/>
  <c r="AI125" i="10"/>
  <c r="AL125" i="10"/>
  <c r="AJ125" i="10"/>
  <c r="AI125" i="14" s="1"/>
  <c r="AI87" i="10"/>
  <c r="AJ87" i="10"/>
  <c r="AK87" i="10"/>
  <c r="AL87" i="10"/>
  <c r="AQ87" i="10"/>
  <c r="AM87" i="10"/>
  <c r="AN87" i="10"/>
  <c r="AO87" i="10"/>
  <c r="AP87" i="10"/>
  <c r="AP87" i="11" s="1"/>
  <c r="AP90" i="10"/>
  <c r="AN90" i="10"/>
  <c r="AI90" i="10"/>
  <c r="AO90" i="10"/>
  <c r="AJ90" i="10"/>
  <c r="AQ90" i="10"/>
  <c r="AK90" i="10"/>
  <c r="AL90" i="10"/>
  <c r="AM90" i="10"/>
  <c r="AO93" i="10"/>
  <c r="AP93" i="10"/>
  <c r="AQ93" i="10"/>
  <c r="AL93" i="10"/>
  <c r="AK93" i="11" s="1"/>
  <c r="AI93" i="10"/>
  <c r="AM93" i="10"/>
  <c r="AN93" i="10"/>
  <c r="AM93" i="11" s="1"/>
  <c r="AJ93" i="10"/>
  <c r="AK93" i="10"/>
  <c r="AJ93" i="11" s="1"/>
  <c r="AL96" i="10"/>
  <c r="AK96" i="11" s="1"/>
  <c r="AM96" i="10"/>
  <c r="AL96" i="14" s="1"/>
  <c r="AN96" i="10"/>
  <c r="AO96" i="10"/>
  <c r="AP96" i="10"/>
  <c r="AQ96" i="10"/>
  <c r="AI96" i="10"/>
  <c r="AH96" i="14" s="1"/>
  <c r="AJ96" i="10"/>
  <c r="AI96" i="14" s="1"/>
  <c r="AK96" i="10"/>
  <c r="AJ96" i="11" s="1"/>
  <c r="AI99" i="10"/>
  <c r="AJ99" i="10"/>
  <c r="AK99" i="10"/>
  <c r="AL99" i="10"/>
  <c r="AK99" i="14" s="1"/>
  <c r="AM99" i="10"/>
  <c r="AL99" i="11" s="1"/>
  <c r="AN99" i="10"/>
  <c r="AM99" i="14" s="1"/>
  <c r="AO99" i="10"/>
  <c r="AN99" i="14" s="1"/>
  <c r="AQ99" i="10"/>
  <c r="AP99" i="14" s="1"/>
  <c r="AP99" i="10"/>
  <c r="AO99" i="14" s="1"/>
  <c r="AI102" i="10"/>
  <c r="AQ102" i="10"/>
  <c r="AJ102" i="10"/>
  <c r="AI102" i="14" s="1"/>
  <c r="AK102" i="10"/>
  <c r="AJ102" i="14" s="1"/>
  <c r="AL102" i="10"/>
  <c r="AN102" i="10"/>
  <c r="AO102" i="10"/>
  <c r="AP102" i="10"/>
  <c r="AM102" i="10"/>
  <c r="AO105" i="10"/>
  <c r="AP105" i="10"/>
  <c r="AQ105" i="10"/>
  <c r="AK105" i="10"/>
  <c r="AL105" i="10"/>
  <c r="AM105" i="10"/>
  <c r="AN105" i="10"/>
  <c r="AI105" i="10"/>
  <c r="AJ105" i="10"/>
  <c r="AL108" i="10"/>
  <c r="AK108" i="14" s="1"/>
  <c r="AM108" i="10"/>
  <c r="AL108" i="14" s="1"/>
  <c r="AN108" i="10"/>
  <c r="AM108" i="14" s="1"/>
  <c r="AO108" i="10"/>
  <c r="AJ108" i="10"/>
  <c r="AI108" i="11" s="1"/>
  <c r="AP108" i="10"/>
  <c r="AQ108" i="10"/>
  <c r="AP108" i="14" s="1"/>
  <c r="AI108" i="10"/>
  <c r="AK108" i="10"/>
  <c r="AJ108" i="14" s="1"/>
  <c r="AI111" i="10"/>
  <c r="AH111" i="14" s="1"/>
  <c r="AJ111" i="10"/>
  <c r="AK111" i="10"/>
  <c r="AJ111" i="14" s="1"/>
  <c r="AL111" i="10"/>
  <c r="AK111" i="14" s="1"/>
  <c r="AM111" i="10"/>
  <c r="AN111" i="10"/>
  <c r="AO111" i="10"/>
  <c r="AQ111" i="10"/>
  <c r="AP111" i="14" s="1"/>
  <c r="AP111" i="10"/>
  <c r="AI114" i="10"/>
  <c r="AQ114" i="10"/>
  <c r="AP114" i="14" s="1"/>
  <c r="AJ114" i="10"/>
  <c r="AO114" i="10"/>
  <c r="AN114" i="11" s="1"/>
  <c r="AK114" i="10"/>
  <c r="AL114" i="10"/>
  <c r="AN114" i="10"/>
  <c r="AM114" i="14" s="1"/>
  <c r="AP114" i="10"/>
  <c r="AO114" i="14" s="1"/>
  <c r="AM114" i="10"/>
  <c r="AO117" i="10"/>
  <c r="AP117" i="10"/>
  <c r="AQ117" i="10"/>
  <c r="AN117" i="10"/>
  <c r="AM117" i="14" s="1"/>
  <c r="AL117" i="10"/>
  <c r="AK117" i="14" s="1"/>
  <c r="AM117" i="10"/>
  <c r="AL117" i="14" s="1"/>
  <c r="AI117" i="10"/>
  <c r="AH117" i="14" s="1"/>
  <c r="AJ117" i="10"/>
  <c r="AI117" i="14" s="1"/>
  <c r="AK117" i="10"/>
  <c r="AJ117" i="14" s="1"/>
  <c r="AL120" i="10"/>
  <c r="AK120" i="14" s="1"/>
  <c r="AM120" i="10"/>
  <c r="AN120" i="10"/>
  <c r="AO120" i="10"/>
  <c r="AJ120" i="10"/>
  <c r="AP120" i="10"/>
  <c r="AQ120" i="10"/>
  <c r="AI120" i="10"/>
  <c r="AK120" i="10"/>
  <c r="AJ120" i="14" s="1"/>
  <c r="AI123" i="10"/>
  <c r="AJ123" i="10"/>
  <c r="AK123" i="10"/>
  <c r="AL123" i="10"/>
  <c r="AM123" i="10"/>
  <c r="AN123" i="10"/>
  <c r="AO123" i="10"/>
  <c r="AQ123" i="10"/>
  <c r="AP123" i="10"/>
  <c r="AI126" i="10"/>
  <c r="AP126" i="10"/>
  <c r="AJ126" i="10"/>
  <c r="AO126" i="10"/>
  <c r="AN126" i="14" s="1"/>
  <c r="AK126" i="10"/>
  <c r="AL126" i="10"/>
  <c r="AN126" i="10"/>
  <c r="AM126" i="14" s="1"/>
  <c r="AQ126" i="10"/>
  <c r="AM126" i="10"/>
  <c r="AO89" i="10"/>
  <c r="AP89" i="10"/>
  <c r="AM89" i="10"/>
  <c r="AL89" i="14" s="1"/>
  <c r="AQ89" i="10"/>
  <c r="AK89" i="10"/>
  <c r="AN89" i="10"/>
  <c r="AI89" i="10"/>
  <c r="AL89" i="10"/>
  <c r="AJ89" i="10"/>
  <c r="AL104" i="10"/>
  <c r="AK104" i="14" s="1"/>
  <c r="AM104" i="10"/>
  <c r="AL104" i="14" s="1"/>
  <c r="AN104" i="10"/>
  <c r="AO104" i="10"/>
  <c r="AJ104" i="10"/>
  <c r="AP104" i="10"/>
  <c r="AQ104" i="10"/>
  <c r="AP104" i="11" s="1"/>
  <c r="AI104" i="10"/>
  <c r="AH104" i="14" s="1"/>
  <c r="AK104" i="10"/>
  <c r="AL128" i="10"/>
  <c r="AM128" i="10"/>
  <c r="AL128" i="11" s="1"/>
  <c r="AN128" i="10"/>
  <c r="AO128" i="10"/>
  <c r="AN128" i="11" s="1"/>
  <c r="AK128" i="10"/>
  <c r="AP128" i="10"/>
  <c r="AQ128" i="10"/>
  <c r="AI128" i="10"/>
  <c r="AJ128" i="10"/>
  <c r="AL88" i="10"/>
  <c r="AK88" i="11" s="1"/>
  <c r="AM88" i="10"/>
  <c r="AL88" i="14" s="1"/>
  <c r="AN88" i="10"/>
  <c r="AJ88" i="10"/>
  <c r="AO88" i="10"/>
  <c r="AP88" i="10"/>
  <c r="AO88" i="14" s="1"/>
  <c r="AI88" i="10"/>
  <c r="AQ88" i="10"/>
  <c r="AK88" i="10"/>
  <c r="AJ88" i="11" s="1"/>
  <c r="AI91" i="10"/>
  <c r="AH91" i="14" s="1"/>
  <c r="AQ91" i="10"/>
  <c r="AP91" i="11" s="1"/>
  <c r="AJ91" i="10"/>
  <c r="AI91" i="14" s="1"/>
  <c r="AK91" i="10"/>
  <c r="AJ91" i="14" s="1"/>
  <c r="AL91" i="10"/>
  <c r="AM91" i="10"/>
  <c r="AN91" i="10"/>
  <c r="AO91" i="10"/>
  <c r="AP91" i="10"/>
  <c r="AO91" i="14" s="1"/>
  <c r="AI94" i="10"/>
  <c r="AH94" i="11" s="1"/>
  <c r="AQ94" i="10"/>
  <c r="AJ94" i="10"/>
  <c r="AP94" i="10"/>
  <c r="AK94" i="10"/>
  <c r="AJ94" i="14" s="1"/>
  <c r="AL94" i="10"/>
  <c r="AK94" i="14" s="1"/>
  <c r="AO94" i="10"/>
  <c r="AM94" i="10"/>
  <c r="AN94" i="10"/>
  <c r="AO97" i="10"/>
  <c r="AN97" i="14" s="1"/>
  <c r="AP97" i="10"/>
  <c r="AQ97" i="10"/>
  <c r="AK97" i="10"/>
  <c r="AN97" i="10"/>
  <c r="AL97" i="10"/>
  <c r="AI97" i="10"/>
  <c r="AM97" i="10"/>
  <c r="AJ97" i="10"/>
  <c r="AL100" i="10"/>
  <c r="AK100" i="14" s="1"/>
  <c r="AM100" i="10"/>
  <c r="AL100" i="11" s="1"/>
  <c r="AN100" i="10"/>
  <c r="AO100" i="10"/>
  <c r="AK100" i="10"/>
  <c r="AJ100" i="14" s="1"/>
  <c r="AP100" i="10"/>
  <c r="AJ100" i="10"/>
  <c r="AQ100" i="10"/>
  <c r="AI100" i="10"/>
  <c r="AI103" i="10"/>
  <c r="AJ103" i="10"/>
  <c r="AI103" i="14" s="1"/>
  <c r="AK103" i="10"/>
  <c r="AL103" i="10"/>
  <c r="AQ103" i="10"/>
  <c r="AM103" i="10"/>
  <c r="AN103" i="10"/>
  <c r="AO103" i="10"/>
  <c r="AP103" i="10"/>
  <c r="AI106" i="10"/>
  <c r="AQ106" i="10"/>
  <c r="AJ106" i="10"/>
  <c r="AK106" i="10"/>
  <c r="AP106" i="10"/>
  <c r="AL106" i="10"/>
  <c r="AN106" i="10"/>
  <c r="AM106" i="14" s="1"/>
  <c r="AO106" i="10"/>
  <c r="AN106" i="14" s="1"/>
  <c r="AM106" i="10"/>
  <c r="AO109" i="10"/>
  <c r="AP109" i="10"/>
  <c r="AQ109" i="10"/>
  <c r="AL109" i="10"/>
  <c r="AK109" i="10"/>
  <c r="AI109" i="10"/>
  <c r="AM109" i="10"/>
  <c r="AN109" i="10"/>
  <c r="AJ109" i="10"/>
  <c r="AL112" i="10"/>
  <c r="AM112" i="10"/>
  <c r="AN112" i="10"/>
  <c r="AO112" i="10"/>
  <c r="AP112" i="10"/>
  <c r="AQ112" i="10"/>
  <c r="AJ112" i="10"/>
  <c r="AK112" i="10"/>
  <c r="AI112" i="10"/>
  <c r="AI115" i="10"/>
  <c r="AH115" i="14" s="1"/>
  <c r="AJ115" i="10"/>
  <c r="AK115" i="10"/>
  <c r="AL115" i="10"/>
  <c r="AQ115" i="10"/>
  <c r="AP115" i="14" s="1"/>
  <c r="AM115" i="10"/>
  <c r="AN115" i="10"/>
  <c r="AO115" i="10"/>
  <c r="AP115" i="10"/>
  <c r="AO115" i="14" s="1"/>
  <c r="AI118" i="10"/>
  <c r="AJ118" i="10"/>
  <c r="AK118" i="10"/>
  <c r="AQ118" i="10"/>
  <c r="AL118" i="10"/>
  <c r="AN118" i="10"/>
  <c r="AM118" i="11" s="1"/>
  <c r="AO118" i="10"/>
  <c r="AP118" i="10"/>
  <c r="AM118" i="10"/>
  <c r="AO121" i="10"/>
  <c r="AP121" i="10"/>
  <c r="AQ121" i="10"/>
  <c r="AN121" i="10"/>
  <c r="AL121" i="10"/>
  <c r="AK121" i="10"/>
  <c r="AM121" i="10"/>
  <c r="AI121" i="10"/>
  <c r="AJ121" i="10"/>
  <c r="AL124" i="10"/>
  <c r="AM124" i="10"/>
  <c r="AN124" i="10"/>
  <c r="AO124" i="10"/>
  <c r="AJ124" i="10"/>
  <c r="AK124" i="10"/>
  <c r="AJ124" i="14" s="1"/>
  <c r="AP124" i="10"/>
  <c r="AO124" i="14" s="1"/>
  <c r="AQ124" i="10"/>
  <c r="AP124" i="14" s="1"/>
  <c r="AI124" i="10"/>
  <c r="AI127" i="10"/>
  <c r="AH127" i="14" s="1"/>
  <c r="AJ127" i="10"/>
  <c r="AK127" i="10"/>
  <c r="AL127" i="10"/>
  <c r="AM127" i="10"/>
  <c r="AQ127" i="10"/>
  <c r="AN127" i="10"/>
  <c r="AO127" i="10"/>
  <c r="AP127" i="10"/>
  <c r="W80" i="5"/>
  <c r="AP80" i="5" s="1"/>
  <c r="W55" i="5"/>
  <c r="W30" i="11"/>
  <c r="W79" i="5"/>
  <c r="AH79" i="5" s="1"/>
  <c r="W84" i="5"/>
  <c r="AI84" i="5" s="1"/>
  <c r="W82" i="5"/>
  <c r="AH82" i="5" s="1"/>
  <c r="X85" i="10"/>
  <c r="W78" i="11"/>
  <c r="C30" i="11"/>
  <c r="AN143" i="1"/>
  <c r="AQ75" i="10" s="1"/>
  <c r="AM143" i="1"/>
  <c r="AP75" i="10" s="1"/>
  <c r="AF143" i="1"/>
  <c r="AI75" i="10" s="1"/>
  <c r="AI75" i="11" s="1"/>
  <c r="AG143" i="1"/>
  <c r="AJ75" i="10" s="1"/>
  <c r="AH143" i="1"/>
  <c r="AK75" i="10" s="1"/>
  <c r="AI143" i="1"/>
  <c r="AL75" i="10" s="1"/>
  <c r="AJ143" i="1"/>
  <c r="AM75" i="10" s="1"/>
  <c r="AK143" i="1"/>
  <c r="AN75" i="10" s="1"/>
  <c r="AL143" i="1"/>
  <c r="AO75" i="10" s="1"/>
  <c r="W54" i="5"/>
  <c r="W81" i="5"/>
  <c r="AK81" i="5" s="1"/>
  <c r="AG144" i="1"/>
  <c r="AJ76" i="10" s="1"/>
  <c r="AH144" i="1"/>
  <c r="AK76" i="10" s="1"/>
  <c r="AI144" i="1"/>
  <c r="AL76" i="10" s="1"/>
  <c r="AF144" i="1"/>
  <c r="AI76" i="10" s="1"/>
  <c r="AJ144" i="1"/>
  <c r="AM76" i="10" s="1"/>
  <c r="AK144" i="1"/>
  <c r="AN76" i="10" s="1"/>
  <c r="AL144" i="1"/>
  <c r="AO76" i="10" s="1"/>
  <c r="AM144" i="1"/>
  <c r="AP76" i="10" s="1"/>
  <c r="AN144" i="1"/>
  <c r="AQ76" i="10" s="1"/>
  <c r="X70" i="10"/>
  <c r="W62" i="11"/>
  <c r="AP78" i="10"/>
  <c r="AO78" i="10"/>
  <c r="AQ78" i="10"/>
  <c r="AN78" i="10"/>
  <c r="AM78" i="10"/>
  <c r="AF146" i="1"/>
  <c r="AI78" i="10" s="1"/>
  <c r="AK78" i="10"/>
  <c r="AL78" i="10"/>
  <c r="AH76" i="14"/>
  <c r="W75" i="11"/>
  <c r="W46" i="11"/>
  <c r="W29" i="5"/>
  <c r="X56" i="10"/>
  <c r="C99" i="1"/>
  <c r="C31" i="5" s="1"/>
  <c r="C30" i="14"/>
  <c r="AO81" i="10"/>
  <c r="AP81" i="10"/>
  <c r="AQ81" i="10"/>
  <c r="AI81" i="10"/>
  <c r="AH81" i="11" s="1"/>
  <c r="AJ81" i="10"/>
  <c r="AI81" i="14" s="1"/>
  <c r="AK81" i="10"/>
  <c r="AL81" i="10"/>
  <c r="AM81" i="10"/>
  <c r="AN81" i="10"/>
  <c r="AK56" i="10"/>
  <c r="AN56" i="10"/>
  <c r="AO56" i="14" s="1"/>
  <c r="AP56" i="10"/>
  <c r="AO56" i="10"/>
  <c r="AP56" i="14" s="1"/>
  <c r="AM56" i="10"/>
  <c r="AN56" i="14" s="1"/>
  <c r="AI56" i="10"/>
  <c r="AJ56" i="14" s="1"/>
  <c r="AJ56" i="10"/>
  <c r="AK56" i="14" s="1"/>
  <c r="AL56" i="10"/>
  <c r="AM56" i="14" s="1"/>
  <c r="AQ56" i="10"/>
  <c r="AI80" i="10"/>
  <c r="AH80" i="14" s="1"/>
  <c r="AK80" i="10"/>
  <c r="AJ80" i="10"/>
  <c r="AL80" i="10"/>
  <c r="AM80" i="10"/>
  <c r="AN80" i="10"/>
  <c r="AO80" i="10"/>
  <c r="AP80" i="10"/>
  <c r="AQ80" i="10"/>
  <c r="AO79" i="10"/>
  <c r="AP79" i="10"/>
  <c r="AQ79" i="10"/>
  <c r="AL79" i="10"/>
  <c r="AM79" i="10"/>
  <c r="AN79" i="10"/>
  <c r="AI79" i="10"/>
  <c r="AH79" i="11" s="1"/>
  <c r="AJ79" i="10"/>
  <c r="AI79" i="14" s="1"/>
  <c r="AK79" i="10"/>
  <c r="AJ78" i="10"/>
  <c r="AI78" i="11" s="1"/>
  <c r="AL77" i="10"/>
  <c r="AP77" i="10"/>
  <c r="AM77" i="10"/>
  <c r="AN77" i="10"/>
  <c r="AO77" i="10"/>
  <c r="AQ77" i="10"/>
  <c r="AI77" i="10"/>
  <c r="AH77" i="14" s="1"/>
  <c r="AJ77" i="10"/>
  <c r="AK77" i="10"/>
  <c r="AK85" i="10"/>
  <c r="AL85" i="10"/>
  <c r="AM85" i="10"/>
  <c r="AI85" i="10"/>
  <c r="AN85" i="10"/>
  <c r="AJ85" i="10"/>
  <c r="AI85" i="11" s="1"/>
  <c r="AO85" i="10"/>
  <c r="AP85" i="10"/>
  <c r="AQ85" i="10"/>
  <c r="AN84" i="10"/>
  <c r="AP84" i="10"/>
  <c r="AQ84" i="10"/>
  <c r="AO84" i="10"/>
  <c r="AI84" i="10"/>
  <c r="AH84" i="14" s="1"/>
  <c r="AJ84" i="10"/>
  <c r="AK84" i="10"/>
  <c r="AL84" i="10"/>
  <c r="AM84" i="10"/>
  <c r="AK83" i="10"/>
  <c r="AO83" i="10"/>
  <c r="AP83" i="10"/>
  <c r="AL83" i="10"/>
  <c r="AM83" i="10"/>
  <c r="AN83" i="10"/>
  <c r="AJ83" i="10"/>
  <c r="AQ83" i="10"/>
  <c r="AI83" i="10"/>
  <c r="AH83" i="14" s="1"/>
  <c r="AK82" i="10"/>
  <c r="AP82" i="10"/>
  <c r="AL82" i="10"/>
  <c r="AM82" i="10"/>
  <c r="AN82" i="10"/>
  <c r="AO82" i="10"/>
  <c r="AQ82" i="10"/>
  <c r="AJ82" i="10"/>
  <c r="AI82" i="10"/>
  <c r="X107" i="10"/>
  <c r="X51" i="10"/>
  <c r="AH14" i="14"/>
  <c r="X75" i="10"/>
  <c r="X91" i="10"/>
  <c r="X137" i="10"/>
  <c r="X161" i="10"/>
  <c r="AH13" i="14"/>
  <c r="AH27" i="14"/>
  <c r="AH12" i="14"/>
  <c r="X172" i="10"/>
  <c r="X69" i="10"/>
  <c r="W35" i="11"/>
  <c r="X45" i="10"/>
  <c r="W92" i="5"/>
  <c r="AH92" i="5" s="1"/>
  <c r="W124" i="5"/>
  <c r="AJ124" i="5" s="1"/>
  <c r="W188" i="5"/>
  <c r="AL188" i="5" s="1"/>
  <c r="X90" i="10"/>
  <c r="X138" i="10"/>
  <c r="W177" i="5"/>
  <c r="AK177" i="5" s="1"/>
  <c r="W193" i="5"/>
  <c r="AP193" i="5" s="1"/>
  <c r="X30" i="10"/>
  <c r="X33" i="10"/>
  <c r="X68" i="10"/>
  <c r="W158" i="11"/>
  <c r="W166" i="11"/>
  <c r="W174" i="11"/>
  <c r="W190" i="11"/>
  <c r="W86" i="5"/>
  <c r="AH86" i="5" s="1"/>
  <c r="W102" i="5"/>
  <c r="AO102" i="5" s="1"/>
  <c r="W118" i="5"/>
  <c r="AP118" i="5" s="1"/>
  <c r="X105" i="10"/>
  <c r="X169" i="10"/>
  <c r="W43" i="11"/>
  <c r="W112" i="5"/>
  <c r="AH112" i="5" s="1"/>
  <c r="W192" i="5"/>
  <c r="AO192" i="5" s="1"/>
  <c r="X80" i="10"/>
  <c r="X112" i="10"/>
  <c r="X128" i="10"/>
  <c r="W31" i="11"/>
  <c r="X44" i="10"/>
  <c r="W63" i="11"/>
  <c r="W90" i="5"/>
  <c r="X29" i="10"/>
  <c r="X87" i="10"/>
  <c r="X95" i="10"/>
  <c r="X135" i="10"/>
  <c r="X67" i="10"/>
  <c r="W51" i="11"/>
  <c r="W83" i="11"/>
  <c r="W91" i="11"/>
  <c r="W99" i="11"/>
  <c r="W107" i="11"/>
  <c r="W115" i="11"/>
  <c r="W123" i="11"/>
  <c r="W131" i="11"/>
  <c r="W139" i="11"/>
  <c r="W147" i="11"/>
  <c r="W155" i="11"/>
  <c r="W67" i="11"/>
  <c r="W111" i="11"/>
  <c r="W143" i="11"/>
  <c r="W159" i="11"/>
  <c r="W175" i="11"/>
  <c r="X58" i="10"/>
  <c r="W185" i="5"/>
  <c r="AO185" i="5" s="1"/>
  <c r="X77" i="10"/>
  <c r="X109" i="10"/>
  <c r="X157" i="10"/>
  <c r="W131" i="5"/>
  <c r="AN131" i="5" s="1"/>
  <c r="W59" i="11"/>
  <c r="W177" i="11"/>
  <c r="W88" i="5"/>
  <c r="W184" i="5"/>
  <c r="X84" i="10"/>
  <c r="W31" i="5"/>
  <c r="W36" i="5"/>
  <c r="W63" i="5"/>
  <c r="X60" i="10"/>
  <c r="W168" i="11"/>
  <c r="W53" i="5"/>
  <c r="X187" i="10"/>
  <c r="W135" i="5"/>
  <c r="AN135" i="5" s="1"/>
  <c r="W38" i="5"/>
  <c r="W33" i="5"/>
  <c r="X154" i="10"/>
  <c r="W58" i="11"/>
  <c r="X86" i="10"/>
  <c r="X52" i="10"/>
  <c r="W89" i="5"/>
  <c r="AJ89" i="5" s="1"/>
  <c r="W105" i="5"/>
  <c r="AN105" i="5" s="1"/>
  <c r="W121" i="5"/>
  <c r="AN121" i="5" s="1"/>
  <c r="W137" i="5"/>
  <c r="AP137" i="5" s="1"/>
  <c r="W153" i="5"/>
  <c r="AK153" i="5" s="1"/>
  <c r="W169" i="5"/>
  <c r="AH169" i="5" s="1"/>
  <c r="W71" i="5"/>
  <c r="X93" i="10"/>
  <c r="X125" i="10"/>
  <c r="X141" i="10"/>
  <c r="X173" i="10"/>
  <c r="X189" i="10"/>
  <c r="W56" i="5"/>
  <c r="AP56" i="5" s="1"/>
  <c r="W115" i="5"/>
  <c r="AP115" i="5" s="1"/>
  <c r="W147" i="5"/>
  <c r="W51" i="5"/>
  <c r="W120" i="5"/>
  <c r="W152" i="5"/>
  <c r="X63" i="10"/>
  <c r="X131" i="10"/>
  <c r="AH130" i="5"/>
  <c r="AI130" i="5"/>
  <c r="AJ130" i="5"/>
  <c r="AP130" i="5"/>
  <c r="AK130" i="5"/>
  <c r="AL130" i="5"/>
  <c r="AM130" i="5"/>
  <c r="AN130" i="5"/>
  <c r="AO130" i="5"/>
  <c r="AK140" i="5"/>
  <c r="AL140" i="5"/>
  <c r="AM140" i="5"/>
  <c r="AN140" i="5"/>
  <c r="AO140" i="5"/>
  <c r="AH140" i="5"/>
  <c r="AI140" i="5"/>
  <c r="AJ140" i="5"/>
  <c r="AP140" i="5"/>
  <c r="AP114" i="5"/>
  <c r="AM114" i="5"/>
  <c r="AN114" i="5"/>
  <c r="AI146" i="5"/>
  <c r="AJ146" i="5"/>
  <c r="AK146" i="5"/>
  <c r="AL146" i="5"/>
  <c r="AM146" i="5"/>
  <c r="AN146" i="5"/>
  <c r="AH146" i="5"/>
  <c r="AO146" i="5"/>
  <c r="AP146" i="5"/>
  <c r="AM178" i="5"/>
  <c r="AN178" i="5"/>
  <c r="AO178" i="5"/>
  <c r="AP178" i="5"/>
  <c r="AH178" i="5"/>
  <c r="AI178" i="5"/>
  <c r="AJ178" i="5"/>
  <c r="AK178" i="5"/>
  <c r="AL178" i="5"/>
  <c r="AN194" i="5"/>
  <c r="AO194" i="5"/>
  <c r="AP194" i="5"/>
  <c r="AH194" i="5"/>
  <c r="AI194" i="5"/>
  <c r="AJ194" i="5"/>
  <c r="AK194" i="5"/>
  <c r="AL194" i="5"/>
  <c r="AM194" i="5"/>
  <c r="AK188" i="5"/>
  <c r="AM188" i="5"/>
  <c r="AH188" i="5"/>
  <c r="AP188" i="5"/>
  <c r="AH177" i="5"/>
  <c r="AI193" i="5"/>
  <c r="AJ193" i="5"/>
  <c r="AL193" i="5"/>
  <c r="AM193" i="5"/>
  <c r="AH192" i="5"/>
  <c r="AI192" i="5"/>
  <c r="AJ192" i="5"/>
  <c r="AK192" i="5"/>
  <c r="AL192" i="5"/>
  <c r="AM192" i="5"/>
  <c r="AN192" i="5"/>
  <c r="AO153" i="5"/>
  <c r="AP153" i="5"/>
  <c r="AI137" i="5"/>
  <c r="AK137" i="5"/>
  <c r="AL137" i="5"/>
  <c r="AI169" i="5"/>
  <c r="AJ169" i="5"/>
  <c r="AK169" i="5"/>
  <c r="AM169" i="5"/>
  <c r="AO169" i="5"/>
  <c r="AP169" i="5"/>
  <c r="AI176" i="5"/>
  <c r="AJ176" i="5"/>
  <c r="AK176" i="5"/>
  <c r="AL176" i="5"/>
  <c r="AM176" i="5"/>
  <c r="AN176" i="5"/>
  <c r="AO176" i="5"/>
  <c r="AP176" i="5"/>
  <c r="AH176" i="5"/>
  <c r="AN109" i="1"/>
  <c r="AQ41" i="10" s="1"/>
  <c r="AF109" i="1"/>
  <c r="AI41" i="10" s="1"/>
  <c r="AJ109" i="1"/>
  <c r="AM41" i="10" s="1"/>
  <c r="AM41" i="14" s="1"/>
  <c r="AK109" i="1"/>
  <c r="AN41" i="10" s="1"/>
  <c r="AN41" i="14" s="1"/>
  <c r="AM109" i="1"/>
  <c r="AP41" i="10" s="1"/>
  <c r="AH109" i="1"/>
  <c r="AG109" i="1"/>
  <c r="AL109" i="1"/>
  <c r="AI109" i="1"/>
  <c r="AN142" i="1"/>
  <c r="AQ74" i="10" s="1"/>
  <c r="AF142" i="1"/>
  <c r="AI74" i="10" s="1"/>
  <c r="AG142" i="1"/>
  <c r="AJ74" i="10" s="1"/>
  <c r="AH142" i="1"/>
  <c r="AK74" i="10" s="1"/>
  <c r="AI142" i="1"/>
  <c r="AL74" i="10" s="1"/>
  <c r="AJ142" i="1"/>
  <c r="AM74" i="10" s="1"/>
  <c r="AK142" i="1"/>
  <c r="AL142" i="1"/>
  <c r="AM142" i="1"/>
  <c r="AH159" i="14"/>
  <c r="AI159" i="14"/>
  <c r="AJ159" i="14"/>
  <c r="AK159" i="14"/>
  <c r="AN167" i="14"/>
  <c r="AO167" i="14"/>
  <c r="AK192" i="14"/>
  <c r="AH192" i="14"/>
  <c r="AN98" i="11"/>
  <c r="AO98" i="11"/>
  <c r="AK172" i="5"/>
  <c r="AH172" i="5"/>
  <c r="AI172" i="5"/>
  <c r="AJ172" i="5"/>
  <c r="AL172" i="5"/>
  <c r="AM172" i="5"/>
  <c r="AN172" i="5"/>
  <c r="AO172" i="5"/>
  <c r="AP172" i="5"/>
  <c r="AL110" i="1"/>
  <c r="AO42" i="10" s="1"/>
  <c r="AK110" i="1"/>
  <c r="AN42" i="10" s="1"/>
  <c r="AG110" i="1"/>
  <c r="AJ42" i="10" s="1"/>
  <c r="AN110" i="1"/>
  <c r="AQ42" i="10" s="1"/>
  <c r="AF110" i="1"/>
  <c r="AI42" i="10" s="1"/>
  <c r="AM110" i="1"/>
  <c r="AP42" i="10" s="1"/>
  <c r="AI110" i="1"/>
  <c r="AL42" i="10" s="1"/>
  <c r="AJ110" i="1"/>
  <c r="AH110" i="1"/>
  <c r="X55" i="10"/>
  <c r="AN117" i="14"/>
  <c r="X136" i="10"/>
  <c r="W32" i="11"/>
  <c r="W45" i="11"/>
  <c r="W141" i="11"/>
  <c r="AI173" i="11"/>
  <c r="W183" i="11"/>
  <c r="W34" i="5"/>
  <c r="W66" i="5"/>
  <c r="W78" i="5"/>
  <c r="AK78" i="5" s="1"/>
  <c r="W94" i="5"/>
  <c r="W110" i="5"/>
  <c r="W126" i="5"/>
  <c r="W142" i="5"/>
  <c r="W158" i="5"/>
  <c r="W174" i="5"/>
  <c r="W190" i="5"/>
  <c r="AK166" i="5"/>
  <c r="AL166" i="5"/>
  <c r="AM166" i="5"/>
  <c r="AJ166" i="5"/>
  <c r="AN166" i="5"/>
  <c r="AO166" i="5"/>
  <c r="AP166" i="5"/>
  <c r="AH166" i="5"/>
  <c r="AI166" i="5"/>
  <c r="AI111" i="1"/>
  <c r="AL43" i="10" s="1"/>
  <c r="AJ111" i="1"/>
  <c r="AF111" i="1"/>
  <c r="AI43" i="10" s="1"/>
  <c r="AM111" i="1"/>
  <c r="AP43" i="10" s="1"/>
  <c r="AL111" i="1"/>
  <c r="AO43" i="10" s="1"/>
  <c r="AN111" i="1"/>
  <c r="AQ43" i="10" s="1"/>
  <c r="AK111" i="1"/>
  <c r="AN43" i="10" s="1"/>
  <c r="AN43" i="14" s="1"/>
  <c r="AH111" i="1"/>
  <c r="AK43" i="10" s="1"/>
  <c r="AG111" i="1"/>
  <c r="AJ43" i="10" s="1"/>
  <c r="AJ43" i="14" s="1"/>
  <c r="X32" i="10"/>
  <c r="X76" i="10"/>
  <c r="X111" i="10"/>
  <c r="AI133" i="14"/>
  <c r="AJ133" i="14"/>
  <c r="AK133" i="14"/>
  <c r="AL133" i="14"/>
  <c r="AM133" i="14"/>
  <c r="AN133" i="14"/>
  <c r="AO133" i="14"/>
  <c r="AP133" i="14"/>
  <c r="AM150" i="14"/>
  <c r="AN150" i="14"/>
  <c r="AO150" i="14"/>
  <c r="AP150" i="14"/>
  <c r="AO175" i="14"/>
  <c r="AP175" i="14"/>
  <c r="AI175" i="14"/>
  <c r="AJ175" i="14"/>
  <c r="AK175" i="14"/>
  <c r="AP183" i="14"/>
  <c r="AH67" i="11"/>
  <c r="AI67" i="11"/>
  <c r="AL139" i="11"/>
  <c r="AN139" i="11"/>
  <c r="AH99" i="5"/>
  <c r="AI99" i="5"/>
  <c r="AJ99" i="5"/>
  <c r="AK99" i="5"/>
  <c r="AL99" i="5"/>
  <c r="AM99" i="5"/>
  <c r="AN99" i="5"/>
  <c r="AO99" i="5"/>
  <c r="AP99" i="5"/>
  <c r="AL179" i="5"/>
  <c r="AH179" i="5"/>
  <c r="AI179" i="5"/>
  <c r="AJ179" i="5"/>
  <c r="AK179" i="5"/>
  <c r="AM179" i="5"/>
  <c r="AN179" i="5"/>
  <c r="AO179" i="5"/>
  <c r="AP179" i="5"/>
  <c r="AP160" i="5"/>
  <c r="AH160" i="5"/>
  <c r="AI160" i="5"/>
  <c r="AJ160" i="5"/>
  <c r="AK160" i="5"/>
  <c r="AL160" i="5"/>
  <c r="AM160" i="5"/>
  <c r="AN160" i="5"/>
  <c r="AO160" i="5"/>
  <c r="AK112" i="1"/>
  <c r="AN44" i="10" s="1"/>
  <c r="AH112" i="1"/>
  <c r="AK44" i="10" s="1"/>
  <c r="AJ112" i="1"/>
  <c r="AM44" i="10" s="1"/>
  <c r="AG112" i="1"/>
  <c r="AJ44" i="10" s="1"/>
  <c r="AI112" i="1"/>
  <c r="AL44" i="10" s="1"/>
  <c r="AF112" i="1"/>
  <c r="AI44" i="10" s="1"/>
  <c r="AN112" i="1"/>
  <c r="AQ44" i="10" s="1"/>
  <c r="AM112" i="1"/>
  <c r="AP44" i="10" s="1"/>
  <c r="AL112" i="1"/>
  <c r="AO44" i="10" s="1"/>
  <c r="X144" i="10"/>
  <c r="W48" i="11"/>
  <c r="W61" i="11"/>
  <c r="W74" i="11"/>
  <c r="AP114" i="11"/>
  <c r="W149" i="11"/>
  <c r="AO164" i="11"/>
  <c r="AP164" i="11"/>
  <c r="AH181" i="11"/>
  <c r="AI181" i="11"/>
  <c r="W163" i="5"/>
  <c r="AJ156" i="5"/>
  <c r="AK156" i="5"/>
  <c r="AL156" i="5"/>
  <c r="AM156" i="5"/>
  <c r="AN156" i="5"/>
  <c r="AO156" i="5"/>
  <c r="AP156" i="5"/>
  <c r="AH156" i="5"/>
  <c r="AI156" i="5"/>
  <c r="AL113" i="1"/>
  <c r="AO45" i="10" s="1"/>
  <c r="AK113" i="1"/>
  <c r="AN45" i="10" s="1"/>
  <c r="AH113" i="1"/>
  <c r="AK45" i="10" s="1"/>
  <c r="AJ113" i="1"/>
  <c r="AM45" i="10" s="1"/>
  <c r="AN113" i="1"/>
  <c r="AQ45" i="10" s="1"/>
  <c r="AI113" i="1"/>
  <c r="AL45" i="10" s="1"/>
  <c r="AG113" i="1"/>
  <c r="AJ45" i="10" s="1"/>
  <c r="AM113" i="1"/>
  <c r="AP45" i="10" s="1"/>
  <c r="AF113" i="1"/>
  <c r="AI45" i="10" s="1"/>
  <c r="AK45" i="14" s="1"/>
  <c r="AH141" i="14"/>
  <c r="X152" i="10"/>
  <c r="AH158" i="14"/>
  <c r="AI158" i="14"/>
  <c r="AJ158" i="14"/>
  <c r="AK158" i="14"/>
  <c r="AP166" i="14"/>
  <c r="X177" i="10"/>
  <c r="X185" i="10"/>
  <c r="AH191" i="14"/>
  <c r="W82" i="11"/>
  <c r="AM97" i="11"/>
  <c r="W157" i="11"/>
  <c r="AM154" i="5"/>
  <c r="AI154" i="5"/>
  <c r="AJ154" i="5"/>
  <c r="AK154" i="5"/>
  <c r="AL154" i="5"/>
  <c r="AN154" i="5"/>
  <c r="AO154" i="5"/>
  <c r="AH154" i="5"/>
  <c r="AP154" i="5"/>
  <c r="AF114" i="1"/>
  <c r="AI46" i="10" s="1"/>
  <c r="AH114" i="1"/>
  <c r="AK46" i="10" s="1"/>
  <c r="AL46" i="14" s="1"/>
  <c r="AI114" i="1"/>
  <c r="AL114" i="1"/>
  <c r="AO46" i="10" s="1"/>
  <c r="AN114" i="1"/>
  <c r="AQ46" i="10" s="1"/>
  <c r="AJ114" i="1"/>
  <c r="AM46" i="10" s="1"/>
  <c r="AN46" i="14" s="1"/>
  <c r="AM114" i="1"/>
  <c r="AP46" i="10" s="1"/>
  <c r="AG114" i="1"/>
  <c r="AJ46" i="10" s="1"/>
  <c r="AK46" i="14" s="1"/>
  <c r="AK114" i="1"/>
  <c r="AN46" i="10" s="1"/>
  <c r="AO46" i="14" s="1"/>
  <c r="X35" i="10"/>
  <c r="X48" i="10"/>
  <c r="AO116" i="14"/>
  <c r="AH44" i="11"/>
  <c r="AI44" i="11"/>
  <c r="AH70" i="11"/>
  <c r="AI70" i="11"/>
  <c r="W90" i="11"/>
  <c r="W140" i="11"/>
  <c r="AN155" i="11"/>
  <c r="W165" i="11"/>
  <c r="W182" i="11"/>
  <c r="AM115" i="1"/>
  <c r="AP47" i="10" s="1"/>
  <c r="AL115" i="1"/>
  <c r="AO47" i="10" s="1"/>
  <c r="AP47" i="14" s="1"/>
  <c r="AI115" i="1"/>
  <c r="AL47" i="10" s="1"/>
  <c r="AF115" i="1"/>
  <c r="AK115" i="1"/>
  <c r="AN47" i="10" s="1"/>
  <c r="AH115" i="1"/>
  <c r="AK47" i="10" s="1"/>
  <c r="AL47" i="14" s="1"/>
  <c r="AJ115" i="1"/>
  <c r="AM47" i="10" s="1"/>
  <c r="AG115" i="1"/>
  <c r="AJ47" i="10" s="1"/>
  <c r="AK47" i="14" s="1"/>
  <c r="AN115" i="1"/>
  <c r="AQ47" i="10" s="1"/>
  <c r="AI16" i="10"/>
  <c r="AL107" i="14"/>
  <c r="AH132" i="14"/>
  <c r="AI132" i="14"/>
  <c r="AJ132" i="14"/>
  <c r="AO132" i="14"/>
  <c r="AI149" i="14"/>
  <c r="AJ149" i="14"/>
  <c r="AM149" i="14"/>
  <c r="X160" i="10"/>
  <c r="X168" i="10"/>
  <c r="AH182" i="14"/>
  <c r="AJ182" i="14"/>
  <c r="AN182" i="14"/>
  <c r="AO182" i="14"/>
  <c r="W64" i="11"/>
  <c r="AH80" i="11"/>
  <c r="AI80" i="11"/>
  <c r="W98" i="11"/>
  <c r="W41" i="5"/>
  <c r="AJ116" i="1"/>
  <c r="AM48" i="10" s="1"/>
  <c r="AN116" i="1"/>
  <c r="AQ48" i="10" s="1"/>
  <c r="AH116" i="1"/>
  <c r="AK48" i="10" s="1"/>
  <c r="AM116" i="1"/>
  <c r="AP48" i="10" s="1"/>
  <c r="AF116" i="1"/>
  <c r="AI48" i="10" s="1"/>
  <c r="AI116" i="1"/>
  <c r="AL48" i="10" s="1"/>
  <c r="AL48" i="14" s="1"/>
  <c r="AL116" i="1"/>
  <c r="AO48" i="10" s="1"/>
  <c r="AG116" i="1"/>
  <c r="AJ48" i="10" s="1"/>
  <c r="AK116" i="1"/>
  <c r="AN48" i="10" s="1"/>
  <c r="X38" i="10"/>
  <c r="X71" i="10"/>
  <c r="X143" i="10"/>
  <c r="AP157" i="14"/>
  <c r="AH157" i="14"/>
  <c r="AI157" i="14"/>
  <c r="AJ157" i="14"/>
  <c r="AH47" i="11"/>
  <c r="AI47" i="11"/>
  <c r="AH60" i="11"/>
  <c r="AI60" i="11"/>
  <c r="AH73" i="11"/>
  <c r="AI73" i="11"/>
  <c r="AL88" i="11"/>
  <c r="AN88" i="11"/>
  <c r="W106" i="11"/>
  <c r="W173" i="11"/>
  <c r="AI188" i="11"/>
  <c r="W68" i="5"/>
  <c r="W77" i="5"/>
  <c r="W93" i="5"/>
  <c r="W109" i="5"/>
  <c r="W125" i="5"/>
  <c r="W141" i="5"/>
  <c r="W157" i="5"/>
  <c r="W173" i="5"/>
  <c r="W189" i="5"/>
  <c r="AI150" i="5"/>
  <c r="AJ150" i="5"/>
  <c r="AK150" i="5"/>
  <c r="AL150" i="5"/>
  <c r="AM150" i="5"/>
  <c r="AN150" i="5"/>
  <c r="AH150" i="5"/>
  <c r="AO150" i="5"/>
  <c r="AP150" i="5"/>
  <c r="AF117" i="1"/>
  <c r="AI49" i="10" s="1"/>
  <c r="AK117" i="1"/>
  <c r="AN49" i="10" s="1"/>
  <c r="AH117" i="1"/>
  <c r="AK49" i="10" s="1"/>
  <c r="AJ117" i="1"/>
  <c r="AM49" i="10" s="1"/>
  <c r="AM49" i="14" s="1"/>
  <c r="AN117" i="1"/>
  <c r="AQ49" i="10" s="1"/>
  <c r="AI117" i="1"/>
  <c r="AM117" i="1"/>
  <c r="AP49" i="10" s="1"/>
  <c r="AP49" i="14" s="1"/>
  <c r="AL117" i="1"/>
  <c r="AG117" i="1"/>
  <c r="AJ49" i="10" s="1"/>
  <c r="X83" i="10"/>
  <c r="X126" i="10"/>
  <c r="X134" i="10"/>
  <c r="X151" i="10"/>
  <c r="AI165" i="14"/>
  <c r="AJ165" i="14"/>
  <c r="AK165" i="14"/>
  <c r="AL165" i="14"/>
  <c r="AM165" i="14"/>
  <c r="AN165" i="14"/>
  <c r="AO165" i="14"/>
  <c r="X176" i="10"/>
  <c r="X184" i="10"/>
  <c r="AL190" i="14"/>
  <c r="AM190" i="14"/>
  <c r="AK190" i="14"/>
  <c r="AO190" i="14"/>
  <c r="W41" i="11"/>
  <c r="W81" i="11"/>
  <c r="AL96" i="11"/>
  <c r="AN96" i="11"/>
  <c r="AJ146" i="11"/>
  <c r="AL146" i="11"/>
  <c r="W156" i="11"/>
  <c r="AH149" i="5"/>
  <c r="AI149" i="5"/>
  <c r="AJ149" i="5"/>
  <c r="AK149" i="5"/>
  <c r="AL149" i="5"/>
  <c r="AM149" i="5"/>
  <c r="AN149" i="5"/>
  <c r="AO149" i="5"/>
  <c r="AP149" i="5"/>
  <c r="AL118" i="1"/>
  <c r="AJ118" i="1"/>
  <c r="AI118" i="1"/>
  <c r="AH118" i="1"/>
  <c r="AG118" i="1"/>
  <c r="AN118" i="1"/>
  <c r="AQ50" i="10" s="1"/>
  <c r="AM118" i="1"/>
  <c r="AK118" i="1"/>
  <c r="AF118" i="1"/>
  <c r="AH50" i="5" s="1"/>
  <c r="AP16" i="10"/>
  <c r="X74" i="10"/>
  <c r="X92" i="10"/>
  <c r="AN98" i="14"/>
  <c r="AO98" i="14"/>
  <c r="AL98" i="14"/>
  <c r="AH173" i="14"/>
  <c r="AI173" i="14"/>
  <c r="W89" i="11"/>
  <c r="W114" i="11"/>
  <c r="AK129" i="11"/>
  <c r="AO154" i="11"/>
  <c r="W164" i="11"/>
  <c r="AH171" i="11"/>
  <c r="AJ171" i="11"/>
  <c r="W181" i="11"/>
  <c r="W189" i="11"/>
  <c r="W162" i="5"/>
  <c r="AH148" i="5"/>
  <c r="AI148" i="5"/>
  <c r="AJ148" i="5"/>
  <c r="AK148" i="5"/>
  <c r="AL148" i="5"/>
  <c r="AM148" i="5"/>
  <c r="AN148" i="5"/>
  <c r="AO148" i="5"/>
  <c r="AP148" i="5"/>
  <c r="AH119" i="1"/>
  <c r="AK51" i="10" s="1"/>
  <c r="AF119" i="1"/>
  <c r="AI51" i="10" s="1"/>
  <c r="AG119" i="1"/>
  <c r="AJ51" i="10" s="1"/>
  <c r="AN119" i="1"/>
  <c r="AQ51" i="10" s="1"/>
  <c r="AL119" i="1"/>
  <c r="AO51" i="10" s="1"/>
  <c r="AK119" i="1"/>
  <c r="AN51" i="10" s="1"/>
  <c r="AJ119" i="1"/>
  <c r="AM51" i="10" s="1"/>
  <c r="AM119" i="1"/>
  <c r="AP51" i="10" s="1"/>
  <c r="AI119" i="1"/>
  <c r="AL51" i="10" s="1"/>
  <c r="AN148" i="14"/>
  <c r="AP148" i="14"/>
  <c r="X159" i="10"/>
  <c r="X167" i="10"/>
  <c r="AH181" i="14"/>
  <c r="AI181" i="14"/>
  <c r="AJ181" i="14"/>
  <c r="AL181" i="14"/>
  <c r="X192" i="10"/>
  <c r="AM16" i="11"/>
  <c r="W57" i="11"/>
  <c r="W97" i="11"/>
  <c r="W122" i="11"/>
  <c r="AK120" i="1"/>
  <c r="AN52" i="10" s="1"/>
  <c r="AG120" i="1"/>
  <c r="AJ52" i="10" s="1"/>
  <c r="AM120" i="1"/>
  <c r="AP52" i="10" s="1"/>
  <c r="AJ120" i="1"/>
  <c r="AI120" i="1"/>
  <c r="AH120" i="1"/>
  <c r="AK52" i="10" s="1"/>
  <c r="AF120" i="1"/>
  <c r="AI52" i="10" s="1"/>
  <c r="AN120" i="1"/>
  <c r="AQ52" i="10" s="1"/>
  <c r="AL120" i="1"/>
  <c r="X54" i="10"/>
  <c r="X64" i="10"/>
  <c r="X100" i="10"/>
  <c r="X117" i="10"/>
  <c r="X142" i="10"/>
  <c r="W44" i="11"/>
  <c r="W70" i="11"/>
  <c r="W105" i="11"/>
  <c r="W130" i="11"/>
  <c r="W172" i="11"/>
  <c r="W87" i="5"/>
  <c r="W103" i="5"/>
  <c r="W119" i="5"/>
  <c r="W151" i="5"/>
  <c r="W167" i="5"/>
  <c r="W183" i="5"/>
  <c r="AF121" i="1"/>
  <c r="AI53" i="10" s="1"/>
  <c r="AN121" i="1"/>
  <c r="AQ53" i="10" s="1"/>
  <c r="AM121" i="1"/>
  <c r="AP53" i="10" s="1"/>
  <c r="AL121" i="1"/>
  <c r="AK121" i="1"/>
  <c r="AN53" i="10" s="1"/>
  <c r="AJ121" i="1"/>
  <c r="AM53" i="10" s="1"/>
  <c r="AI121" i="1"/>
  <c r="AL53" i="10" s="1"/>
  <c r="AL53" i="14" s="1"/>
  <c r="AH121" i="1"/>
  <c r="AK53" i="10" s="1"/>
  <c r="AK53" i="14" s="1"/>
  <c r="AG121" i="1"/>
  <c r="AJ53" i="10" s="1"/>
  <c r="X31" i="10"/>
  <c r="AH139" i="14"/>
  <c r="AM139" i="14"/>
  <c r="AN139" i="14"/>
  <c r="AL139" i="14"/>
  <c r="AO164" i="14"/>
  <c r="AP164" i="14"/>
  <c r="AL164" i="14"/>
  <c r="AM164" i="14"/>
  <c r="AN164" i="14"/>
  <c r="X175" i="10"/>
  <c r="AH66" i="11"/>
  <c r="AI66" i="11"/>
  <c r="W80" i="11"/>
  <c r="W138" i="11"/>
  <c r="AJ122" i="1"/>
  <c r="AI122" i="1"/>
  <c r="AL54" i="10" s="1"/>
  <c r="AL122" i="1"/>
  <c r="AG122" i="1"/>
  <c r="AK122" i="1"/>
  <c r="AM122" i="1"/>
  <c r="AH122" i="1"/>
  <c r="AN122" i="1"/>
  <c r="AQ54" i="10" s="1"/>
  <c r="AF122" i="1"/>
  <c r="AK88" i="14"/>
  <c r="AN88" i="14"/>
  <c r="AM97" i="14"/>
  <c r="X108" i="10"/>
  <c r="AN114" i="14"/>
  <c r="W34" i="11"/>
  <c r="W47" i="11"/>
  <c r="W73" i="11"/>
  <c r="W88" i="11"/>
  <c r="W113" i="11"/>
  <c r="W163" i="11"/>
  <c r="W188" i="11"/>
  <c r="AI123" i="1"/>
  <c r="AL55" i="10" s="1"/>
  <c r="AM55" i="14" s="1"/>
  <c r="AJ123" i="1"/>
  <c r="AG123" i="1"/>
  <c r="AJ55" i="10" s="1"/>
  <c r="AK55" i="14" s="1"/>
  <c r="AH123" i="1"/>
  <c r="AN123" i="1"/>
  <c r="AM123" i="1"/>
  <c r="AF123" i="1"/>
  <c r="AI55" i="10" s="1"/>
  <c r="AL123" i="1"/>
  <c r="AK123" i="1"/>
  <c r="AN55" i="10" s="1"/>
  <c r="X158" i="10"/>
  <c r="AJ180" i="14"/>
  <c r="AK180" i="14"/>
  <c r="AL180" i="14"/>
  <c r="AH56" i="11"/>
  <c r="AI56" i="11"/>
  <c r="W96" i="11"/>
  <c r="W121" i="11"/>
  <c r="AP136" i="11"/>
  <c r="W146" i="11"/>
  <c r="AP113" i="5"/>
  <c r="AH113" i="5"/>
  <c r="AI113" i="5"/>
  <c r="AJ113" i="5"/>
  <c r="AK113" i="5"/>
  <c r="AL113" i="5"/>
  <c r="AM113" i="5"/>
  <c r="AN113" i="5"/>
  <c r="AO113" i="5"/>
  <c r="AN129" i="5"/>
  <c r="AO129" i="5"/>
  <c r="AH129" i="5"/>
  <c r="AI129" i="5"/>
  <c r="AJ129" i="5"/>
  <c r="AL129" i="5"/>
  <c r="AM129" i="5"/>
  <c r="AP129" i="5"/>
  <c r="AK129" i="5"/>
  <c r="AN161" i="5"/>
  <c r="AH161" i="5"/>
  <c r="AI161" i="5"/>
  <c r="AJ161" i="5"/>
  <c r="AK161" i="5"/>
  <c r="AL161" i="5"/>
  <c r="AM161" i="5"/>
  <c r="AO161" i="5"/>
  <c r="AP161" i="5"/>
  <c r="AH134" i="5"/>
  <c r="AI134" i="5"/>
  <c r="AJ134" i="5"/>
  <c r="AK134" i="5"/>
  <c r="AL134" i="5"/>
  <c r="AM134" i="5"/>
  <c r="AN134" i="5"/>
  <c r="AO134" i="5"/>
  <c r="AP134" i="5"/>
  <c r="AL125" i="1"/>
  <c r="AK125" i="1"/>
  <c r="AN125" i="1"/>
  <c r="AJ125" i="1"/>
  <c r="AF125" i="1"/>
  <c r="AH125" i="1"/>
  <c r="AG125" i="1"/>
  <c r="AI125" i="1"/>
  <c r="AM125" i="1"/>
  <c r="X34" i="10"/>
  <c r="X47" i="10"/>
  <c r="X99" i="10"/>
  <c r="X116" i="10"/>
  <c r="X124" i="10"/>
  <c r="AM138" i="14"/>
  <c r="AN155" i="14"/>
  <c r="AO155" i="14"/>
  <c r="AP155" i="14"/>
  <c r="AL155" i="14"/>
  <c r="AO188" i="14"/>
  <c r="AI188" i="14"/>
  <c r="P26" i="6"/>
  <c r="DW16" i="7" s="1"/>
  <c r="H26" i="6"/>
  <c r="I26" i="6"/>
  <c r="J26" i="6"/>
  <c r="K26" i="6"/>
  <c r="L26" i="6"/>
  <c r="M26" i="6"/>
  <c r="DT16" i="7" s="1"/>
  <c r="N26" i="6"/>
  <c r="DU16" i="7" s="1"/>
  <c r="O26" i="6"/>
  <c r="DV16" i="7" s="1"/>
  <c r="W50" i="11"/>
  <c r="AH69" i="11"/>
  <c r="AI69" i="11"/>
  <c r="W104" i="11"/>
  <c r="W129" i="11"/>
  <c r="W154" i="11"/>
  <c r="W171" i="11"/>
  <c r="AN186" i="11"/>
  <c r="AH186" i="11"/>
  <c r="AK126" i="1"/>
  <c r="AN58" i="10" s="1"/>
  <c r="AI126" i="1"/>
  <c r="AL58" i="10" s="1"/>
  <c r="AF126" i="1"/>
  <c r="AI58" i="10" s="1"/>
  <c r="AH126" i="1"/>
  <c r="AK58" i="10" s="1"/>
  <c r="AN126" i="1"/>
  <c r="AQ58" i="10" s="1"/>
  <c r="AG126" i="1"/>
  <c r="AJ58" i="10" s="1"/>
  <c r="AM126" i="1"/>
  <c r="AP58" i="10" s="1"/>
  <c r="AL126" i="1"/>
  <c r="AO58" i="10" s="1"/>
  <c r="AP58" i="14" s="1"/>
  <c r="AJ126" i="1"/>
  <c r="AM58" i="10" s="1"/>
  <c r="AN58" i="14" s="1"/>
  <c r="X81" i="10"/>
  <c r="X132" i="10"/>
  <c r="X174" i="10"/>
  <c r="X182" i="10"/>
  <c r="W37" i="11"/>
  <c r="AH59" i="11"/>
  <c r="AI59" i="11"/>
  <c r="W79" i="11"/>
  <c r="AI94" i="11"/>
  <c r="W137" i="11"/>
  <c r="AL127" i="1"/>
  <c r="AO59" i="10" s="1"/>
  <c r="AH127" i="1"/>
  <c r="AK59" i="10" s="1"/>
  <c r="AK127" i="1"/>
  <c r="AN59" i="10" s="1"/>
  <c r="AM127" i="1"/>
  <c r="AP59" i="10" s="1"/>
  <c r="AJ127" i="1"/>
  <c r="AM59" i="10" s="1"/>
  <c r="AI127" i="1"/>
  <c r="AL59" i="10" s="1"/>
  <c r="AG127" i="1"/>
  <c r="AF127" i="1"/>
  <c r="AI59" i="10" s="1"/>
  <c r="AN127" i="1"/>
  <c r="X37" i="10"/>
  <c r="X50" i="10"/>
  <c r="AM96" i="14"/>
  <c r="AN96" i="14"/>
  <c r="AN113" i="14"/>
  <c r="AO113" i="14"/>
  <c r="AP113" i="14"/>
  <c r="AH171" i="14"/>
  <c r="AJ171" i="14"/>
  <c r="AK171" i="14"/>
  <c r="AH46" i="11"/>
  <c r="AI46" i="11"/>
  <c r="AH72" i="11"/>
  <c r="AI72" i="11"/>
  <c r="W112" i="11"/>
  <c r="W162" i="11"/>
  <c r="W179" i="11"/>
  <c r="W182" i="5"/>
  <c r="AH128" i="5"/>
  <c r="AI128" i="5"/>
  <c r="AJ128" i="5"/>
  <c r="AK128" i="5"/>
  <c r="AL128" i="5"/>
  <c r="AM128" i="5"/>
  <c r="AN128" i="5"/>
  <c r="AO128" i="5"/>
  <c r="AP128" i="5"/>
  <c r="AI128" i="1"/>
  <c r="AL60" i="10" s="1"/>
  <c r="AM60" i="14" s="1"/>
  <c r="AH128" i="1"/>
  <c r="AG128" i="1"/>
  <c r="AJ60" i="10" s="1"/>
  <c r="AK60" i="14" s="1"/>
  <c r="AK128" i="1"/>
  <c r="AN60" i="10" s="1"/>
  <c r="AO60" i="14" s="1"/>
  <c r="AM128" i="1"/>
  <c r="AP60" i="10" s="1"/>
  <c r="AF128" i="1"/>
  <c r="AL128" i="1"/>
  <c r="AO60" i="10" s="1"/>
  <c r="AP60" i="14" s="1"/>
  <c r="AN128" i="1"/>
  <c r="AQ60" i="10" s="1"/>
  <c r="AJ128" i="1"/>
  <c r="AH129" i="14"/>
  <c r="AI129" i="14"/>
  <c r="AN129" i="14"/>
  <c r="X140" i="10"/>
  <c r="AL146" i="14"/>
  <c r="AM146" i="14"/>
  <c r="AJ146" i="14"/>
  <c r="AO154" i="14"/>
  <c r="AN179" i="14"/>
  <c r="X190" i="10"/>
  <c r="W40" i="11"/>
  <c r="W66" i="11"/>
  <c r="W95" i="11"/>
  <c r="AI110" i="11"/>
  <c r="W120" i="11"/>
  <c r="AP135" i="11"/>
  <c r="W145" i="11"/>
  <c r="AP177" i="11"/>
  <c r="AI129" i="1"/>
  <c r="AL61" i="10" s="1"/>
  <c r="AJ129" i="1"/>
  <c r="AM61" i="10" s="1"/>
  <c r="AK129" i="1"/>
  <c r="AN61" i="10" s="1"/>
  <c r="AG129" i="1"/>
  <c r="AJ61" i="10" s="1"/>
  <c r="AM129" i="1"/>
  <c r="AP61" i="10" s="1"/>
  <c r="AN129" i="1"/>
  <c r="AQ61" i="10" s="1"/>
  <c r="AH129" i="1"/>
  <c r="AK61" i="10" s="1"/>
  <c r="AL129" i="1"/>
  <c r="AO61" i="10" s="1"/>
  <c r="AF129" i="1"/>
  <c r="AI61" i="10" s="1"/>
  <c r="X73" i="10"/>
  <c r="X115" i="10"/>
  <c r="X123" i="10"/>
  <c r="AH137" i="14"/>
  <c r="AK137" i="14"/>
  <c r="AL137" i="14"/>
  <c r="W128" i="11"/>
  <c r="AL143" i="11"/>
  <c r="AJ143" i="11"/>
  <c r="W153" i="11"/>
  <c r="W72" i="5"/>
  <c r="W75" i="5"/>
  <c r="AK75" i="5" s="1"/>
  <c r="W91" i="5"/>
  <c r="W107" i="5"/>
  <c r="W123" i="5"/>
  <c r="W139" i="5"/>
  <c r="W155" i="5"/>
  <c r="W171" i="5"/>
  <c r="W187" i="5"/>
  <c r="AJ122" i="5"/>
  <c r="AL122" i="5"/>
  <c r="AO122" i="5"/>
  <c r="AP122" i="5"/>
  <c r="AM97" i="1"/>
  <c r="AI97" i="1"/>
  <c r="AG97" i="1"/>
  <c r="AL97" i="1"/>
  <c r="AK97" i="1"/>
  <c r="AF97" i="1"/>
  <c r="AH29" i="5" s="1"/>
  <c r="AN97" i="1"/>
  <c r="AH97" i="1"/>
  <c r="AJ97" i="1"/>
  <c r="AF130" i="1"/>
  <c r="AI62" i="10" s="1"/>
  <c r="AI130" i="1"/>
  <c r="AL62" i="10" s="1"/>
  <c r="AG130" i="1"/>
  <c r="AJ62" i="10" s="1"/>
  <c r="AN130" i="1"/>
  <c r="AQ62" i="10" s="1"/>
  <c r="AM130" i="1"/>
  <c r="AL130" i="1"/>
  <c r="AO62" i="10" s="1"/>
  <c r="AK130" i="1"/>
  <c r="AN62" i="10" s="1"/>
  <c r="AJ130" i="1"/>
  <c r="AM62" i="10" s="1"/>
  <c r="AH130" i="1"/>
  <c r="AK62" i="10" s="1"/>
  <c r="AL95" i="14"/>
  <c r="X148" i="10"/>
  <c r="AH36" i="11"/>
  <c r="AI36" i="11"/>
  <c r="W56" i="11"/>
  <c r="AL93" i="11"/>
  <c r="W136" i="11"/>
  <c r="W67" i="5"/>
  <c r="AJ96" i="5"/>
  <c r="AK96" i="5"/>
  <c r="AL96" i="5"/>
  <c r="AM96" i="5"/>
  <c r="AN96" i="5"/>
  <c r="AO96" i="5"/>
  <c r="AK98" i="1"/>
  <c r="AF98" i="1"/>
  <c r="AI30" i="10" s="1"/>
  <c r="AI98" i="1"/>
  <c r="AG98" i="1"/>
  <c r="AJ98" i="1"/>
  <c r="AH98" i="1"/>
  <c r="AK30" i="10" s="1"/>
  <c r="AN98" i="1"/>
  <c r="AQ30" i="10" s="1"/>
  <c r="AM98" i="1"/>
  <c r="AP30" i="10" s="1"/>
  <c r="AL98" i="1"/>
  <c r="AO30" i="10" s="1"/>
  <c r="AF131" i="1"/>
  <c r="AI63" i="10" s="1"/>
  <c r="AH131" i="1"/>
  <c r="AK63" i="10" s="1"/>
  <c r="AM131" i="1"/>
  <c r="AP63" i="10" s="1"/>
  <c r="AG131" i="1"/>
  <c r="AL131" i="1"/>
  <c r="AK131" i="1"/>
  <c r="AJ131" i="1"/>
  <c r="AI131" i="1"/>
  <c r="AN131" i="1"/>
  <c r="X43" i="10"/>
  <c r="AN120" i="14"/>
  <c r="AP145" i="14"/>
  <c r="X156" i="10"/>
  <c r="AH170" i="14"/>
  <c r="AI170" i="14"/>
  <c r="W161" i="11"/>
  <c r="W178" i="11"/>
  <c r="W186" i="11"/>
  <c r="AF99" i="1"/>
  <c r="AH99" i="1"/>
  <c r="AM99" i="1"/>
  <c r="AG99" i="1"/>
  <c r="AI99" i="1"/>
  <c r="AL99" i="1"/>
  <c r="AJ99" i="1"/>
  <c r="AM31" i="10" s="1"/>
  <c r="AK99" i="1"/>
  <c r="AN31" i="10" s="1"/>
  <c r="AN99" i="1"/>
  <c r="AQ31" i="10" s="1"/>
  <c r="AJ132" i="1"/>
  <c r="AN132" i="1"/>
  <c r="AQ64" i="10" s="1"/>
  <c r="AG132" i="1"/>
  <c r="AI132" i="1"/>
  <c r="AL64" i="10" s="1"/>
  <c r="AM132" i="1"/>
  <c r="AH132" i="1"/>
  <c r="AK64" i="10" s="1"/>
  <c r="AL132" i="1"/>
  <c r="AF132" i="1"/>
  <c r="AI64" i="10" s="1"/>
  <c r="AK132" i="1"/>
  <c r="AN64" i="10" s="1"/>
  <c r="AL128" i="14"/>
  <c r="X139" i="10"/>
  <c r="AP153" i="14"/>
  <c r="AN178" i="14"/>
  <c r="AN186" i="14"/>
  <c r="AH186" i="14"/>
  <c r="AH52" i="11"/>
  <c r="AI52" i="11"/>
  <c r="AH65" i="11"/>
  <c r="AI65" i="11"/>
  <c r="AH76" i="11"/>
  <c r="AH134" i="11"/>
  <c r="AI134" i="11"/>
  <c r="AJ134" i="11"/>
  <c r="AK134" i="11"/>
  <c r="AL134" i="11"/>
  <c r="AM134" i="11"/>
  <c r="AN134" i="11"/>
  <c r="AO134" i="11"/>
  <c r="W144" i="11"/>
  <c r="AI159" i="11"/>
  <c r="W194" i="11"/>
  <c r="W57" i="5"/>
  <c r="AN100" i="1"/>
  <c r="AQ32" i="10" s="1"/>
  <c r="AH100" i="1"/>
  <c r="AK32" i="10" s="1"/>
  <c r="AJ100" i="1"/>
  <c r="AM32" i="10" s="1"/>
  <c r="AG100" i="1"/>
  <c r="AJ32" i="10" s="1"/>
  <c r="AJ32" i="14" s="1"/>
  <c r="AM100" i="1"/>
  <c r="AP32" i="10" s="1"/>
  <c r="AP32" i="14" s="1"/>
  <c r="AF100" i="1"/>
  <c r="AL100" i="1"/>
  <c r="AI100" i="1"/>
  <c r="AL32" i="10" s="1"/>
  <c r="AL32" i="14" s="1"/>
  <c r="AK100" i="1"/>
  <c r="AN32" i="10" s="1"/>
  <c r="AN32" i="14" s="1"/>
  <c r="AI133" i="1"/>
  <c r="AL65" i="10" s="1"/>
  <c r="AJ133" i="1"/>
  <c r="AM65" i="10" s="1"/>
  <c r="AG133" i="1"/>
  <c r="AJ65" i="10" s="1"/>
  <c r="AH133" i="1"/>
  <c r="AK65" i="10" s="1"/>
  <c r="AN133" i="1"/>
  <c r="AQ65" i="10" s="1"/>
  <c r="AF133" i="1"/>
  <c r="AI65" i="10" s="1"/>
  <c r="AL133" i="1"/>
  <c r="AO65" i="10" s="1"/>
  <c r="AK133" i="1"/>
  <c r="AN65" i="10" s="1"/>
  <c r="AM133" i="1"/>
  <c r="AP65" i="10" s="1"/>
  <c r="X97" i="10"/>
  <c r="X122" i="10"/>
  <c r="AP136" i="14"/>
  <c r="W33" i="11"/>
  <c r="W72" i="11"/>
  <c r="AH84" i="11"/>
  <c r="AI84" i="11"/>
  <c r="W102" i="11"/>
  <c r="W127" i="11"/>
  <c r="W152" i="11"/>
  <c r="AJ184" i="11"/>
  <c r="AK184" i="11"/>
  <c r="W52" i="5"/>
  <c r="AK101" i="1"/>
  <c r="AN33" i="10" s="1"/>
  <c r="AJ101" i="1"/>
  <c r="AM33" i="10" s="1"/>
  <c r="AG101" i="1"/>
  <c r="AI101" i="1"/>
  <c r="AL33" i="10" s="1"/>
  <c r="AN101" i="1"/>
  <c r="AQ33" i="10" s="1"/>
  <c r="AH101" i="1"/>
  <c r="AK33" i="10" s="1"/>
  <c r="AF101" i="1"/>
  <c r="AI33" i="10" s="1"/>
  <c r="AM101" i="1"/>
  <c r="AP33" i="10" s="1"/>
  <c r="AL101" i="1"/>
  <c r="AL134" i="1"/>
  <c r="AO66" i="10" s="1"/>
  <c r="AK134" i="1"/>
  <c r="AN66" i="10" s="1"/>
  <c r="AH134" i="1"/>
  <c r="AK66" i="10" s="1"/>
  <c r="AJ134" i="1"/>
  <c r="AM66" i="10" s="1"/>
  <c r="AI134" i="1"/>
  <c r="AG134" i="1"/>
  <c r="AJ66" i="10" s="1"/>
  <c r="AN134" i="1"/>
  <c r="AQ66" i="10" s="1"/>
  <c r="AF134" i="1"/>
  <c r="AI66" i="10" s="1"/>
  <c r="AM134" i="1"/>
  <c r="AP66" i="10" s="1"/>
  <c r="AI94" i="14"/>
  <c r="AI111" i="14"/>
  <c r="X147" i="10"/>
  <c r="X180" i="10"/>
  <c r="AI194" i="14"/>
  <c r="AJ194" i="14"/>
  <c r="AO194" i="14"/>
  <c r="AP194" i="14"/>
  <c r="AL194" i="14"/>
  <c r="C31" i="11"/>
  <c r="AH42" i="11"/>
  <c r="AI42" i="11"/>
  <c r="AH55" i="11"/>
  <c r="AI55" i="11"/>
  <c r="W77" i="11"/>
  <c r="AI117" i="11"/>
  <c r="AJ117" i="11"/>
  <c r="AN117" i="11"/>
  <c r="AN167" i="11"/>
  <c r="AO167" i="11"/>
  <c r="AH192" i="11"/>
  <c r="W47" i="5"/>
  <c r="AM102" i="1"/>
  <c r="AP34" i="10" s="1"/>
  <c r="AP34" i="14" s="1"/>
  <c r="AL102" i="1"/>
  <c r="AO34" i="10" s="1"/>
  <c r="AO34" i="14" s="1"/>
  <c r="AH102" i="1"/>
  <c r="AK34" i="10" s="1"/>
  <c r="AK102" i="1"/>
  <c r="AN34" i="10" s="1"/>
  <c r="AN34" i="14" s="1"/>
  <c r="AG102" i="1"/>
  <c r="AJ34" i="10" s="1"/>
  <c r="AJ102" i="1"/>
  <c r="AI102" i="1"/>
  <c r="AL34" i="10" s="1"/>
  <c r="AN102" i="1"/>
  <c r="AQ34" i="10" s="1"/>
  <c r="AF102" i="1"/>
  <c r="AI34" i="10" s="1"/>
  <c r="AI34" i="14" s="1"/>
  <c r="AI135" i="1"/>
  <c r="AL67" i="10" s="1"/>
  <c r="AH135" i="1"/>
  <c r="AK67" i="10" s="1"/>
  <c r="AN135" i="1"/>
  <c r="AQ67" i="10" s="1"/>
  <c r="AM135" i="1"/>
  <c r="AP67" i="10" s="1"/>
  <c r="AL135" i="1"/>
  <c r="AO67" i="10" s="1"/>
  <c r="AG135" i="1"/>
  <c r="AK135" i="1"/>
  <c r="AJ135" i="1"/>
  <c r="AF135" i="1"/>
  <c r="X46" i="10"/>
  <c r="AH102" i="14"/>
  <c r="AK144" i="14"/>
  <c r="X155" i="10"/>
  <c r="W49" i="11"/>
  <c r="AH75" i="11"/>
  <c r="AJ100" i="11"/>
  <c r="AN125" i="11"/>
  <c r="AO125" i="11"/>
  <c r="AM150" i="11"/>
  <c r="AN150" i="11"/>
  <c r="AO150" i="11"/>
  <c r="AP150" i="11"/>
  <c r="W160" i="11"/>
  <c r="W42" i="5"/>
  <c r="AI103" i="1"/>
  <c r="AH103" i="1"/>
  <c r="AM103" i="1"/>
  <c r="AP35" i="10" s="1"/>
  <c r="AL103" i="1"/>
  <c r="AO35" i="10" s="1"/>
  <c r="AP35" i="14" s="1"/>
  <c r="AG103" i="1"/>
  <c r="AJ35" i="10" s="1"/>
  <c r="AK35" i="14" s="1"/>
  <c r="AK103" i="1"/>
  <c r="AN103" i="1"/>
  <c r="AQ35" i="10" s="1"/>
  <c r="AF103" i="1"/>
  <c r="AI35" i="10" s="1"/>
  <c r="AJ103" i="1"/>
  <c r="AK136" i="1"/>
  <c r="AM136" i="1"/>
  <c r="AP68" i="10" s="1"/>
  <c r="AN136" i="1"/>
  <c r="AQ68" i="10" s="1"/>
  <c r="AG136" i="1"/>
  <c r="AL136" i="1"/>
  <c r="AO68" i="10" s="1"/>
  <c r="AF136" i="1"/>
  <c r="AI68" i="10" s="1"/>
  <c r="AI136" i="1"/>
  <c r="AL68" i="10" s="1"/>
  <c r="AJ136" i="1"/>
  <c r="AM68" i="10" s="1"/>
  <c r="AH136" i="1"/>
  <c r="AK68" i="10" s="1"/>
  <c r="AN135" i="14"/>
  <c r="AO135" i="14"/>
  <c r="AP135" i="14"/>
  <c r="X163" i="10"/>
  <c r="AP177" i="14"/>
  <c r="AL185" i="14"/>
  <c r="AH185" i="14"/>
  <c r="AH58" i="11"/>
  <c r="AI58" i="11"/>
  <c r="AH83" i="11"/>
  <c r="AI83" i="11"/>
  <c r="W93" i="11"/>
  <c r="AK108" i="11"/>
  <c r="AL108" i="11"/>
  <c r="AM108" i="11"/>
  <c r="AI133" i="11"/>
  <c r="AJ133" i="11"/>
  <c r="AM133" i="11"/>
  <c r="AI158" i="11"/>
  <c r="AJ158" i="11"/>
  <c r="AK158" i="11"/>
  <c r="AO175" i="11"/>
  <c r="AP175" i="11"/>
  <c r="AI175" i="11"/>
  <c r="AJ175" i="11"/>
  <c r="AK175" i="11"/>
  <c r="W37" i="5"/>
  <c r="AG104" i="1"/>
  <c r="AJ36" i="10" s="1"/>
  <c r="AK104" i="1"/>
  <c r="AN36" i="10" s="1"/>
  <c r="AM104" i="1"/>
  <c r="AP36" i="10" s="1"/>
  <c r="AN104" i="1"/>
  <c r="AQ36" i="10" s="1"/>
  <c r="AL104" i="1"/>
  <c r="AO36" i="10" s="1"/>
  <c r="AF104" i="1"/>
  <c r="AI104" i="1"/>
  <c r="AL36" i="10" s="1"/>
  <c r="AJ104" i="1"/>
  <c r="AM36" i="10" s="1"/>
  <c r="AH104" i="1"/>
  <c r="AF137" i="1"/>
  <c r="AI69" i="10" s="1"/>
  <c r="AG137" i="1"/>
  <c r="AJ69" i="10" s="1"/>
  <c r="AH137" i="1"/>
  <c r="AK69" i="10" s="1"/>
  <c r="AI137" i="1"/>
  <c r="AL69" i="10" s="1"/>
  <c r="AJ137" i="1"/>
  <c r="AM69" i="10" s="1"/>
  <c r="AK137" i="1"/>
  <c r="AL137" i="1"/>
  <c r="AO69" i="10" s="1"/>
  <c r="AM137" i="1"/>
  <c r="AP69" i="10" s="1"/>
  <c r="AN137" i="1"/>
  <c r="AQ69" i="10" s="1"/>
  <c r="X36" i="10"/>
  <c r="X49" i="10"/>
  <c r="X78" i="10"/>
  <c r="AH93" i="14"/>
  <c r="AI93" i="14"/>
  <c r="X96" i="10"/>
  <c r="X104" i="10"/>
  <c r="X113" i="10"/>
  <c r="X121" i="10"/>
  <c r="X171" i="10"/>
  <c r="AH71" i="11"/>
  <c r="AI71" i="11"/>
  <c r="AI91" i="11"/>
  <c r="AO91" i="11"/>
  <c r="AH141" i="11"/>
  <c r="AP166" i="11"/>
  <c r="AP183" i="11"/>
  <c r="W32" i="5"/>
  <c r="W191" i="5"/>
  <c r="AF105" i="1"/>
  <c r="AI37" i="10" s="1"/>
  <c r="AH105" i="1"/>
  <c r="AK37" i="10" s="1"/>
  <c r="AI105" i="1"/>
  <c r="AJ105" i="1"/>
  <c r="AM37" i="10" s="1"/>
  <c r="AK105" i="1"/>
  <c r="AN37" i="10" s="1"/>
  <c r="AN37" i="14" s="1"/>
  <c r="AM105" i="1"/>
  <c r="AL105" i="1"/>
  <c r="AN105" i="1"/>
  <c r="AQ37" i="10" s="1"/>
  <c r="AM138" i="1"/>
  <c r="AP70" i="10" s="1"/>
  <c r="AN138" i="1"/>
  <c r="AQ70" i="10" s="1"/>
  <c r="AF138" i="1"/>
  <c r="AI70" i="10" s="1"/>
  <c r="AG138" i="1"/>
  <c r="AH138" i="1"/>
  <c r="AK70" i="10" s="1"/>
  <c r="AI138" i="1"/>
  <c r="AL70" i="10" s="1"/>
  <c r="AJ138" i="1"/>
  <c r="AM70" i="10" s="1"/>
  <c r="AK138" i="1"/>
  <c r="AN70" i="10" s="1"/>
  <c r="AL138" i="1"/>
  <c r="AO70" i="10" s="1"/>
  <c r="AH110" i="14"/>
  <c r="AI110" i="14"/>
  <c r="X129" i="10"/>
  <c r="X146" i="10"/>
  <c r="AO168" i="14"/>
  <c r="AP168" i="14"/>
  <c r="X179" i="10"/>
  <c r="W65" i="11"/>
  <c r="W76" i="11"/>
  <c r="AK99" i="11"/>
  <c r="AM99" i="11"/>
  <c r="AN99" i="11"/>
  <c r="W109" i="11"/>
  <c r="W176" i="11"/>
  <c r="AH191" i="11"/>
  <c r="AI100" i="5"/>
  <c r="AJ100" i="5"/>
  <c r="AK100" i="5"/>
  <c r="AL100" i="5"/>
  <c r="AM100" i="5"/>
  <c r="AN100" i="5"/>
  <c r="AO100" i="5"/>
  <c r="AH100" i="5"/>
  <c r="AP100" i="5"/>
  <c r="AO116" i="5"/>
  <c r="AP116" i="5"/>
  <c r="AH116" i="5"/>
  <c r="AI116" i="5"/>
  <c r="AJ116" i="5"/>
  <c r="AK116" i="5"/>
  <c r="AL116" i="5"/>
  <c r="AM116" i="5"/>
  <c r="AN116" i="5"/>
  <c r="AO132" i="5"/>
  <c r="AP132" i="5"/>
  <c r="AH132" i="5"/>
  <c r="AI132" i="5"/>
  <c r="AJ132" i="5"/>
  <c r="AK132" i="5"/>
  <c r="AL132" i="5"/>
  <c r="AM132" i="5"/>
  <c r="AN132" i="5"/>
  <c r="AH164" i="5"/>
  <c r="AI164" i="5"/>
  <c r="AJ164" i="5"/>
  <c r="AK164" i="5"/>
  <c r="AL164" i="5"/>
  <c r="AM164" i="5"/>
  <c r="AN164" i="5"/>
  <c r="AO164" i="5"/>
  <c r="AP164" i="5"/>
  <c r="AO180" i="5"/>
  <c r="AP180" i="5"/>
  <c r="AN180" i="5"/>
  <c r="AH180" i="5"/>
  <c r="AI180" i="5"/>
  <c r="AJ180" i="5"/>
  <c r="AK180" i="5"/>
  <c r="AL180" i="5"/>
  <c r="AM180" i="5"/>
  <c r="AF106" i="1"/>
  <c r="AI38" i="10" s="1"/>
  <c r="AG106" i="1"/>
  <c r="AJ38" i="10" s="1"/>
  <c r="AJ38" i="14" s="1"/>
  <c r="AH106" i="1"/>
  <c r="AK38" i="10" s="1"/>
  <c r="AK38" i="14" s="1"/>
  <c r="AI106" i="1"/>
  <c r="AL38" i="10" s="1"/>
  <c r="AL38" i="14" s="1"/>
  <c r="AJ106" i="1"/>
  <c r="AM38" i="10" s="1"/>
  <c r="AM38" i="14" s="1"/>
  <c r="AK106" i="1"/>
  <c r="AL106" i="1"/>
  <c r="AM106" i="1"/>
  <c r="AN106" i="1"/>
  <c r="AN139" i="1"/>
  <c r="AQ71" i="10" s="1"/>
  <c r="AM139" i="1"/>
  <c r="AP71" i="10" s="1"/>
  <c r="AL139" i="1"/>
  <c r="AJ139" i="1"/>
  <c r="AM71" i="10" s="1"/>
  <c r="AK139" i="1"/>
  <c r="AF139" i="1"/>
  <c r="AG139" i="1"/>
  <c r="AJ71" i="10" s="1"/>
  <c r="AH139" i="1"/>
  <c r="AK71" i="10" s="1"/>
  <c r="AI139" i="1"/>
  <c r="AL71" i="10" s="1"/>
  <c r="X72" i="10"/>
  <c r="AN101" i="14"/>
  <c r="AM118" i="14"/>
  <c r="AN118" i="14"/>
  <c r="AO118" i="14"/>
  <c r="AJ143" i="14"/>
  <c r="AK143" i="14"/>
  <c r="AL143" i="14"/>
  <c r="AH35" i="11"/>
  <c r="AI35" i="11"/>
  <c r="AH74" i="11"/>
  <c r="AI74" i="11"/>
  <c r="AP107" i="11"/>
  <c r="AK124" i="11"/>
  <c r="AI149" i="11"/>
  <c r="AJ149" i="11"/>
  <c r="AM149" i="11"/>
  <c r="W184" i="11"/>
  <c r="AK107" i="1"/>
  <c r="AN107" i="1"/>
  <c r="AM107" i="1"/>
  <c r="AL107" i="1"/>
  <c r="AJ107" i="1"/>
  <c r="AM39" i="10" s="1"/>
  <c r="AF107" i="1"/>
  <c r="AI39" i="10" s="1"/>
  <c r="AG107" i="1"/>
  <c r="AJ39" i="10" s="1"/>
  <c r="AH107" i="1"/>
  <c r="AI107" i="1"/>
  <c r="AK140" i="1"/>
  <c r="AN72" i="10" s="1"/>
  <c r="AJ140" i="1"/>
  <c r="AM72" i="10" s="1"/>
  <c r="AI140" i="1"/>
  <c r="AL72" i="10" s="1"/>
  <c r="AH140" i="1"/>
  <c r="AM140" i="1"/>
  <c r="AP72" i="10" s="1"/>
  <c r="AF140" i="1"/>
  <c r="AG140" i="1"/>
  <c r="AN140" i="1"/>
  <c r="AQ72" i="10" s="1"/>
  <c r="AL140" i="1"/>
  <c r="AL126" i="14"/>
  <c r="AH134" i="14"/>
  <c r="AI134" i="14"/>
  <c r="AJ134" i="14"/>
  <c r="AK134" i="14"/>
  <c r="AL134" i="14"/>
  <c r="AM134" i="14"/>
  <c r="AN134" i="14"/>
  <c r="AO134" i="14"/>
  <c r="AJ176" i="14"/>
  <c r="AJ184" i="14"/>
  <c r="AK184" i="14"/>
  <c r="W29" i="11"/>
  <c r="W42" i="11"/>
  <c r="W117" i="11"/>
  <c r="AO132" i="11"/>
  <c r="AH132" i="11"/>
  <c r="AI132" i="11"/>
  <c r="AJ132" i="11"/>
  <c r="AH157" i="11"/>
  <c r="AI157" i="11"/>
  <c r="AJ157" i="11"/>
  <c r="W192" i="11"/>
  <c r="AF108" i="1"/>
  <c r="AI40" i="10" s="1"/>
  <c r="AM108" i="1"/>
  <c r="AP40" i="10" s="1"/>
  <c r="AJ108" i="1"/>
  <c r="AM40" i="10" s="1"/>
  <c r="AK108" i="1"/>
  <c r="AN40" i="10" s="1"/>
  <c r="AN108" i="1"/>
  <c r="AQ40" i="10" s="1"/>
  <c r="AJ40" i="10"/>
  <c r="AI108" i="1"/>
  <c r="AL40" i="10" s="1"/>
  <c r="AL108" i="1"/>
  <c r="AH108" i="1"/>
  <c r="AK40" i="10" s="1"/>
  <c r="AN141" i="1"/>
  <c r="AI141" i="1"/>
  <c r="AL73" i="10" s="1"/>
  <c r="AM141" i="1"/>
  <c r="AL141" i="1"/>
  <c r="AO73" i="10" s="1"/>
  <c r="AJ141" i="1"/>
  <c r="AF141" i="1"/>
  <c r="AI73" i="10" s="1"/>
  <c r="AH141" i="1"/>
  <c r="AK73" i="10" s="1"/>
  <c r="AG141" i="1"/>
  <c r="AJ73" i="10" s="1"/>
  <c r="AK141" i="1"/>
  <c r="X42" i="10"/>
  <c r="X103" i="10"/>
  <c r="X120" i="10"/>
  <c r="AH51" i="11"/>
  <c r="AI51" i="11"/>
  <c r="W100" i="11"/>
  <c r="W125" i="11"/>
  <c r="AI165" i="11"/>
  <c r="AJ165" i="11"/>
  <c r="AK165" i="11"/>
  <c r="AL165" i="11"/>
  <c r="AM165" i="11"/>
  <c r="AN165" i="11"/>
  <c r="AO165" i="11"/>
  <c r="AN182" i="11"/>
  <c r="AO182" i="11"/>
  <c r="AH182" i="11"/>
  <c r="AJ182" i="11"/>
  <c r="AK190" i="11"/>
  <c r="AL190" i="11"/>
  <c r="AM190" i="11"/>
  <c r="AO190" i="11"/>
  <c r="AH68" i="11"/>
  <c r="AH64" i="11"/>
  <c r="I28" i="12"/>
  <c r="AH63" i="11"/>
  <c r="I27" i="12"/>
  <c r="AH62" i="11"/>
  <c r="AH61" i="11"/>
  <c r="AH57" i="11"/>
  <c r="AH54" i="11"/>
  <c r="AI79" i="5"/>
  <c r="AJ79" i="5"/>
  <c r="AK79" i="5"/>
  <c r="AL79" i="5"/>
  <c r="AM79" i="5"/>
  <c r="AN79" i="5"/>
  <c r="AO79" i="5"/>
  <c r="AP79" i="5"/>
  <c r="AL83" i="5"/>
  <c r="AN83" i="5"/>
  <c r="AP83" i="5"/>
  <c r="AK83" i="5"/>
  <c r="AI83" i="5"/>
  <c r="AJ83" i="5"/>
  <c r="AH83" i="5"/>
  <c r="AN82" i="5"/>
  <c r="AO82" i="5"/>
  <c r="AM80" i="5"/>
  <c r="AI80" i="5"/>
  <c r="AJ80" i="5"/>
  <c r="AN80" i="5"/>
  <c r="AO80" i="5"/>
  <c r="AH80" i="5"/>
  <c r="AO84" i="5"/>
  <c r="AP81" i="5"/>
  <c r="AJ81" i="5"/>
  <c r="I23" i="12"/>
  <c r="I55" i="12" s="1"/>
  <c r="AH53" i="11"/>
  <c r="AH50" i="11"/>
  <c r="AI50" i="11"/>
  <c r="AH49" i="11"/>
  <c r="AH48" i="11"/>
  <c r="AH45" i="11"/>
  <c r="AI45" i="11"/>
  <c r="AH43" i="11"/>
  <c r="I19" i="12"/>
  <c r="AH41" i="11"/>
  <c r="I18" i="12"/>
  <c r="AH40" i="11"/>
  <c r="I17" i="12"/>
  <c r="AH39" i="11"/>
  <c r="AH38" i="11"/>
  <c r="AH37" i="11"/>
  <c r="AH34" i="11"/>
  <c r="AH33" i="11"/>
  <c r="AH31" i="11"/>
  <c r="AT33" i="10"/>
  <c r="AU33" i="10" s="1"/>
  <c r="W148" i="11"/>
  <c r="W92" i="11"/>
  <c r="W150" i="11"/>
  <c r="W84" i="11"/>
  <c r="W169" i="11"/>
  <c r="W187" i="11"/>
  <c r="W86" i="11"/>
  <c r="W38" i="11"/>
  <c r="W69" i="11"/>
  <c r="AK16" i="11"/>
  <c r="AL16" i="11"/>
  <c r="W193" i="11"/>
  <c r="W60" i="11"/>
  <c r="W101" i="11"/>
  <c r="W124" i="11"/>
  <c r="W52" i="11"/>
  <c r="W116" i="11"/>
  <c r="W54" i="11"/>
  <c r="W118" i="11"/>
  <c r="AO16" i="11"/>
  <c r="AN16" i="11"/>
  <c r="AP16" i="11"/>
  <c r="AI16" i="11"/>
  <c r="AH16" i="11"/>
  <c r="W53" i="11"/>
  <c r="W132" i="11"/>
  <c r="W133" i="11"/>
  <c r="W68" i="11"/>
  <c r="W134" i="11"/>
  <c r="W85" i="11"/>
  <c r="W36" i="11"/>
  <c r="W108" i="11"/>
  <c r="W39" i="11"/>
  <c r="W55" i="11"/>
  <c r="W71" i="11"/>
  <c r="W87" i="11"/>
  <c r="W103" i="11"/>
  <c r="W119" i="11"/>
  <c r="W135" i="11"/>
  <c r="W151" i="11"/>
  <c r="W167" i="11"/>
  <c r="AJ16" i="11"/>
  <c r="W170" i="11"/>
  <c r="X193" i="10"/>
  <c r="X194" i="10"/>
  <c r="X62" i="10"/>
  <c r="X39" i="10"/>
  <c r="X40" i="10"/>
  <c r="X41" i="10"/>
  <c r="X57" i="10"/>
  <c r="X102" i="10"/>
  <c r="X65" i="10"/>
  <c r="AJ16" i="10"/>
  <c r="AK16" i="10"/>
  <c r="AO16" i="10"/>
  <c r="AN16" i="10"/>
  <c r="AM16" i="10"/>
  <c r="AL16" i="10"/>
  <c r="AQ16" i="10"/>
  <c r="X98" i="10"/>
  <c r="X106" i="10"/>
  <c r="X88" i="10"/>
  <c r="X89" i="10"/>
  <c r="X114" i="10"/>
  <c r="X188" i="10"/>
  <c r="X164" i="10"/>
  <c r="X150" i="10"/>
  <c r="X153" i="10"/>
  <c r="X170" i="10"/>
  <c r="X101" i="10"/>
  <c r="X59" i="10"/>
  <c r="X79" i="10"/>
  <c r="X82" i="10"/>
  <c r="X162" i="10"/>
  <c r="X178" i="10"/>
  <c r="X186" i="10"/>
  <c r="X130" i="10"/>
  <c r="X66" i="10"/>
  <c r="X53" i="10"/>
  <c r="W85" i="5"/>
  <c r="AI85" i="5" s="1"/>
  <c r="W101" i="5"/>
  <c r="W117" i="5"/>
  <c r="W133" i="5"/>
  <c r="W165" i="5"/>
  <c r="W181" i="5"/>
  <c r="W74" i="5"/>
  <c r="W106" i="5"/>
  <c r="W138" i="5"/>
  <c r="W170" i="5"/>
  <c r="W186" i="5"/>
  <c r="W69" i="5"/>
  <c r="W64" i="5"/>
  <c r="W95" i="5"/>
  <c r="W111" i="5"/>
  <c r="W127" i="5"/>
  <c r="W143" i="5"/>
  <c r="W159" i="5"/>
  <c r="W175" i="5"/>
  <c r="W59" i="5"/>
  <c r="W39" i="5"/>
  <c r="W70" i="5"/>
  <c r="W76" i="5"/>
  <c r="AH76" i="5" s="1"/>
  <c r="W108" i="5"/>
  <c r="W65" i="5"/>
  <c r="W60" i="5"/>
  <c r="W97" i="5"/>
  <c r="W145" i="5"/>
  <c r="W44" i="5"/>
  <c r="W49" i="5"/>
  <c r="W62" i="5"/>
  <c r="W144" i="5"/>
  <c r="W58" i="5"/>
  <c r="W98" i="5"/>
  <c r="W43" i="5"/>
  <c r="W48" i="5"/>
  <c r="W40" i="5"/>
  <c r="W45" i="5"/>
  <c r="W46" i="5"/>
  <c r="W61" i="5"/>
  <c r="W104" i="5"/>
  <c r="W136" i="5"/>
  <c r="W168" i="5"/>
  <c r="C30" i="5"/>
  <c r="AN16" i="5"/>
  <c r="AK16" i="5"/>
  <c r="AI16" i="5"/>
  <c r="AJ16" i="5"/>
  <c r="AL16" i="5"/>
  <c r="AP16" i="5"/>
  <c r="AO16" i="5"/>
  <c r="AH16" i="5"/>
  <c r="AM16" i="5"/>
  <c r="M20" i="4"/>
  <c r="M15" i="4"/>
  <c r="M16" i="4"/>
  <c r="M19" i="4"/>
  <c r="M18" i="4"/>
  <c r="M17" i="4"/>
  <c r="AJ75" i="5" l="1"/>
  <c r="AG10" i="1"/>
  <c r="AI29" i="10"/>
  <c r="AL100" i="14"/>
  <c r="AP87" i="14"/>
  <c r="AN97" i="11"/>
  <c r="AL78" i="5"/>
  <c r="AP82" i="5"/>
  <c r="C31" i="10"/>
  <c r="AK122" i="5"/>
  <c r="AL99" i="14"/>
  <c r="AO114" i="11"/>
  <c r="AO78" i="5"/>
  <c r="AL117" i="11"/>
  <c r="AH81" i="5"/>
  <c r="AI74" i="5"/>
  <c r="AI81" i="5"/>
  <c r="AN84" i="5"/>
  <c r="AJ82" i="5"/>
  <c r="AO83" i="5"/>
  <c r="AI96" i="5"/>
  <c r="AH122" i="5"/>
  <c r="AI114" i="5"/>
  <c r="AJ108" i="11"/>
  <c r="AI33" i="5"/>
  <c r="AK82" i="5"/>
  <c r="AI122" i="5"/>
  <c r="AO81" i="5"/>
  <c r="AP84" i="5"/>
  <c r="AI82" i="5"/>
  <c r="AK100" i="11"/>
  <c r="AH117" i="11"/>
  <c r="AH96" i="5"/>
  <c r="AN122" i="5"/>
  <c r="AN81" i="5"/>
  <c r="AI96" i="11"/>
  <c r="AM81" i="5"/>
  <c r="AM82" i="5"/>
  <c r="AL81" i="5"/>
  <c r="AL82" i="5"/>
  <c r="AN33" i="5"/>
  <c r="AJ96" i="14"/>
  <c r="DL68" i="7"/>
  <c r="DN68" i="7"/>
  <c r="DR68" i="7"/>
  <c r="DO68" i="7"/>
  <c r="DM68" i="7"/>
  <c r="DS68" i="7"/>
  <c r="DK68" i="7"/>
  <c r="DP68" i="7"/>
  <c r="DQ68" i="7"/>
  <c r="AH114" i="5"/>
  <c r="AH75" i="5"/>
  <c r="AO114" i="5"/>
  <c r="AI82" i="11"/>
  <c r="AI83" i="14"/>
  <c r="AP124" i="5"/>
  <c r="AH131" i="5"/>
  <c r="AL80" i="5"/>
  <c r="AK80" i="5"/>
  <c r="AP185" i="5"/>
  <c r="AJ137" i="5"/>
  <c r="AH193" i="5"/>
  <c r="AO188" i="5"/>
  <c r="AN169" i="5"/>
  <c r="AP86" i="5"/>
  <c r="AN188" i="5"/>
  <c r="AK86" i="5"/>
  <c r="AJ188" i="5"/>
  <c r="AL169" i="5"/>
  <c r="AO193" i="5"/>
  <c r="AI188" i="5"/>
  <c r="AK89" i="5"/>
  <c r="AH89" i="5"/>
  <c r="AK193" i="5"/>
  <c r="AN89" i="5"/>
  <c r="AJ86" i="5"/>
  <c r="AI89" i="5"/>
  <c r="AP89" i="5"/>
  <c r="AO89" i="5"/>
  <c r="AM89" i="5"/>
  <c r="AK92" i="5"/>
  <c r="AL89" i="5"/>
  <c r="AM102" i="5"/>
  <c r="AK121" i="5"/>
  <c r="AM86" i="5"/>
  <c r="AM114" i="11"/>
  <c r="AH94" i="14"/>
  <c r="AK96" i="14"/>
  <c r="AI108" i="14"/>
  <c r="AJ93" i="14"/>
  <c r="AI76" i="14"/>
  <c r="AI76" i="11"/>
  <c r="AO86" i="5"/>
  <c r="AP92" i="5"/>
  <c r="AO85" i="14"/>
  <c r="AN86" i="5"/>
  <c r="AO92" i="5"/>
  <c r="AO82" i="14"/>
  <c r="AL121" i="5"/>
  <c r="AL86" i="5"/>
  <c r="AJ92" i="5"/>
  <c r="AM105" i="5"/>
  <c r="AI92" i="5"/>
  <c r="AL105" i="5"/>
  <c r="AK105" i="5"/>
  <c r="AM112" i="5"/>
  <c r="AJ105" i="5"/>
  <c r="AP112" i="5"/>
  <c r="AO112" i="5"/>
  <c r="AI81" i="11"/>
  <c r="AO118" i="5"/>
  <c r="AL84" i="5"/>
  <c r="AM75" i="5"/>
  <c r="AO124" i="5"/>
  <c r="AN84" i="14"/>
  <c r="AJ84" i="5"/>
  <c r="AN124" i="5"/>
  <c r="AK84" i="5"/>
  <c r="AM124" i="5"/>
  <c r="AN82" i="14"/>
  <c r="AL84" i="14"/>
  <c r="AP121" i="5"/>
  <c r="AI105" i="5"/>
  <c r="AI124" i="5"/>
  <c r="AM82" i="14"/>
  <c r="AL80" i="14"/>
  <c r="AO121" i="5"/>
  <c r="AH105" i="5"/>
  <c r="AH124" i="5"/>
  <c r="AM121" i="5"/>
  <c r="AH84" i="5"/>
  <c r="AI75" i="5"/>
  <c r="AN54" i="5"/>
  <c r="AP105" i="5"/>
  <c r="AJ102" i="5"/>
  <c r="AN92" i="5"/>
  <c r="AL114" i="5"/>
  <c r="AJ85" i="14"/>
  <c r="AO105" i="5"/>
  <c r="AI102" i="5"/>
  <c r="AM92" i="5"/>
  <c r="AK114" i="5"/>
  <c r="AJ82" i="14"/>
  <c r="AN85" i="14"/>
  <c r="AM84" i="5"/>
  <c r="AI103" i="11"/>
  <c r="AN102" i="5"/>
  <c r="AL92" i="5"/>
  <c r="AO84" i="14"/>
  <c r="AP91" i="14"/>
  <c r="AK82" i="14"/>
  <c r="AI82" i="14"/>
  <c r="AM85" i="14"/>
  <c r="AP80" i="14"/>
  <c r="AL85" i="14"/>
  <c r="AO80" i="14"/>
  <c r="AH81" i="14"/>
  <c r="AP108" i="11"/>
  <c r="AP82" i="14"/>
  <c r="AN80" i="14"/>
  <c r="AH82" i="11"/>
  <c r="AH12" i="11" s="1"/>
  <c r="AJ88" i="14"/>
  <c r="AO99" i="11"/>
  <c r="AH96" i="11"/>
  <c r="AM84" i="14"/>
  <c r="AM80" i="14"/>
  <c r="AK80" i="14"/>
  <c r="AI80" i="14"/>
  <c r="AK84" i="14"/>
  <c r="AI84" i="14"/>
  <c r="AH82" i="14"/>
  <c r="AH85" i="11"/>
  <c r="AJ84" i="14"/>
  <c r="AJ80" i="14"/>
  <c r="AL82" i="14"/>
  <c r="AP84" i="14"/>
  <c r="AP85" i="14"/>
  <c r="AH85" i="14"/>
  <c r="AK85" i="14"/>
  <c r="AI85" i="14"/>
  <c r="AO78" i="14"/>
  <c r="AO75" i="14"/>
  <c r="AN40" i="5"/>
  <c r="AJ78" i="14"/>
  <c r="AH78" i="14"/>
  <c r="AH79" i="14"/>
  <c r="AN78" i="14"/>
  <c r="AM78" i="14"/>
  <c r="AL78" i="14"/>
  <c r="AH78" i="11"/>
  <c r="AI79" i="11"/>
  <c r="AK78" i="14"/>
  <c r="AI78" i="14"/>
  <c r="AP78" i="14"/>
  <c r="AH77" i="11"/>
  <c r="AK77" i="14"/>
  <c r="AO77" i="14"/>
  <c r="AN77" i="14"/>
  <c r="AP77" i="14"/>
  <c r="AJ77" i="14"/>
  <c r="AI77" i="14"/>
  <c r="AI77" i="11"/>
  <c r="AM77" i="14"/>
  <c r="AL77" i="14"/>
  <c r="AN76" i="5"/>
  <c r="AM76" i="5"/>
  <c r="AI76" i="5"/>
  <c r="AJ76" i="5"/>
  <c r="AO76" i="5"/>
  <c r="AP76" i="5"/>
  <c r="AK76" i="5"/>
  <c r="AL76" i="5"/>
  <c r="AN75" i="14"/>
  <c r="AL75" i="14"/>
  <c r="AP75" i="14"/>
  <c r="AM75" i="14"/>
  <c r="AK75" i="14"/>
  <c r="AJ75" i="14"/>
  <c r="AI75" i="14"/>
  <c r="DJ16" i="7"/>
  <c r="AK52" i="5"/>
  <c r="AL43" i="5"/>
  <c r="AI63" i="5"/>
  <c r="AJ42" i="5"/>
  <c r="AL52" i="5"/>
  <c r="AJ41" i="5"/>
  <c r="C100" i="1"/>
  <c r="C31" i="14"/>
  <c r="AO74" i="5"/>
  <c r="AN74" i="5"/>
  <c r="AO74" i="10"/>
  <c r="AN74" i="10"/>
  <c r="AO74" i="14" s="1"/>
  <c r="AP74" i="10"/>
  <c r="AM62" i="14"/>
  <c r="AK62" i="14"/>
  <c r="AL64" i="14"/>
  <c r="AO62" i="14"/>
  <c r="AN62" i="14"/>
  <c r="DK87" i="7"/>
  <c r="DK88" i="7"/>
  <c r="DK84" i="7"/>
  <c r="AP57" i="10"/>
  <c r="AM12" i="1"/>
  <c r="AM14" i="1"/>
  <c r="AM10" i="1"/>
  <c r="AL57" i="10"/>
  <c r="AI14" i="1"/>
  <c r="AI10" i="1"/>
  <c r="AI12" i="1"/>
  <c r="AJ57" i="10"/>
  <c r="AG14" i="1"/>
  <c r="AG12" i="1"/>
  <c r="AH14" i="1"/>
  <c r="AH10" i="1"/>
  <c r="AH12" i="1"/>
  <c r="AK14" i="1"/>
  <c r="AK12" i="1"/>
  <c r="AK10" i="1"/>
  <c r="AF14" i="1"/>
  <c r="AF12" i="1"/>
  <c r="DK80" i="7"/>
  <c r="DK79" i="7"/>
  <c r="DK78" i="7"/>
  <c r="AF10" i="1"/>
  <c r="AO57" i="10"/>
  <c r="AL12" i="1"/>
  <c r="AL10" i="1"/>
  <c r="AL14" i="1"/>
  <c r="AL57" i="5"/>
  <c r="AJ10" i="1"/>
  <c r="AJ12" i="1"/>
  <c r="AJ14" i="1"/>
  <c r="AQ57" i="10"/>
  <c r="AN12" i="1"/>
  <c r="AN14" i="1"/>
  <c r="AN10" i="1"/>
  <c r="AP41" i="5"/>
  <c r="AH41" i="5"/>
  <c r="AL41" i="5"/>
  <c r="DN66" i="7"/>
  <c r="DN67" i="7"/>
  <c r="DR66" i="7"/>
  <c r="DR67" i="7"/>
  <c r="DO67" i="7"/>
  <c r="DO66" i="7"/>
  <c r="DL66" i="7"/>
  <c r="DL67" i="7"/>
  <c r="DS66" i="7"/>
  <c r="DS67" i="7"/>
  <c r="DK67" i="7"/>
  <c r="DK66" i="7"/>
  <c r="DP66" i="7"/>
  <c r="DP67" i="7"/>
  <c r="DM67" i="7"/>
  <c r="DM66" i="7"/>
  <c r="DQ66" i="7"/>
  <c r="DQ67" i="7"/>
  <c r="AL29" i="10"/>
  <c r="AL29" i="14" s="1"/>
  <c r="DN55" i="7"/>
  <c r="F289" i="8" s="1"/>
  <c r="DN59" i="7"/>
  <c r="F293" i="8" s="1"/>
  <c r="DN56" i="7"/>
  <c r="F290" i="8" s="1"/>
  <c r="F263" i="8" s="1"/>
  <c r="DN57" i="7"/>
  <c r="F291" i="8" s="1"/>
  <c r="DN58" i="7"/>
  <c r="F292" i="8" s="1"/>
  <c r="AP29" i="10"/>
  <c r="DR58" i="7"/>
  <c r="J292" i="8" s="1"/>
  <c r="DR55" i="7"/>
  <c r="J289" i="8" s="1"/>
  <c r="DR59" i="7"/>
  <c r="J293" i="8" s="1"/>
  <c r="DR56" i="7"/>
  <c r="J290" i="8" s="1"/>
  <c r="J263" i="8" s="1"/>
  <c r="DR57" i="7"/>
  <c r="J291" i="8" s="1"/>
  <c r="AJ29" i="10"/>
  <c r="DL55" i="7"/>
  <c r="D289" i="8" s="1"/>
  <c r="DL59" i="7"/>
  <c r="D293" i="8" s="1"/>
  <c r="DL56" i="7"/>
  <c r="D290" i="8" s="1"/>
  <c r="D263" i="8" s="1"/>
  <c r="DL57" i="7"/>
  <c r="D291" i="8" s="1"/>
  <c r="DL58" i="7"/>
  <c r="D292" i="8" s="1"/>
  <c r="AM29" i="10"/>
  <c r="AM29" i="14" s="1"/>
  <c r="DO55" i="7"/>
  <c r="G289" i="8" s="1"/>
  <c r="DO59" i="7"/>
  <c r="G293" i="8" s="1"/>
  <c r="DO56" i="7"/>
  <c r="G290" i="8" s="1"/>
  <c r="G263" i="8" s="1"/>
  <c r="DO57" i="7"/>
  <c r="G291" i="8" s="1"/>
  <c r="DO58" i="7"/>
  <c r="G292" i="8" s="1"/>
  <c r="AK29" i="10"/>
  <c r="AK29" i="14" s="1"/>
  <c r="DM55" i="7"/>
  <c r="E289" i="8" s="1"/>
  <c r="DM59" i="7"/>
  <c r="E293" i="8" s="1"/>
  <c r="DM56" i="7"/>
  <c r="E290" i="8" s="1"/>
  <c r="E263" i="8" s="1"/>
  <c r="DM57" i="7"/>
  <c r="E291" i="8" s="1"/>
  <c r="DM58" i="7"/>
  <c r="E292" i="8" s="1"/>
  <c r="AQ29" i="10"/>
  <c r="DS56" i="7"/>
  <c r="K290" i="8" s="1"/>
  <c r="K263" i="8" s="1"/>
  <c r="DS58" i="7"/>
  <c r="K292" i="8" s="1"/>
  <c r="DS55" i="7"/>
  <c r="K289" i="8" s="1"/>
  <c r="DS59" i="7"/>
  <c r="K293" i="8" s="1"/>
  <c r="DS57" i="7"/>
  <c r="K291" i="8" s="1"/>
  <c r="AI29" i="11"/>
  <c r="DK57" i="7"/>
  <c r="C291" i="8" s="1"/>
  <c r="DK56" i="7"/>
  <c r="C290" i="8" s="1"/>
  <c r="C263" i="8" s="1"/>
  <c r="DK55" i="7"/>
  <c r="C289" i="8" s="1"/>
  <c r="DK59" i="7"/>
  <c r="C293" i="8" s="1"/>
  <c r="DK58" i="7"/>
  <c r="C292" i="8" s="1"/>
  <c r="AN29" i="10"/>
  <c r="DP56" i="7"/>
  <c r="H290" i="8" s="1"/>
  <c r="H263" i="8" s="1"/>
  <c r="DP55" i="7"/>
  <c r="H289" i="8" s="1"/>
  <c r="DP59" i="7"/>
  <c r="H293" i="8" s="1"/>
  <c r="DP57" i="7"/>
  <c r="H291" i="8" s="1"/>
  <c r="DP58" i="7"/>
  <c r="H292" i="8" s="1"/>
  <c r="AO29" i="10"/>
  <c r="AO29" i="14" s="1"/>
  <c r="DQ56" i="7"/>
  <c r="I290" i="8" s="1"/>
  <c r="I263" i="8" s="1"/>
  <c r="DQ55" i="7"/>
  <c r="I289" i="8" s="1"/>
  <c r="DQ59" i="7"/>
  <c r="I293" i="8" s="1"/>
  <c r="DQ57" i="7"/>
  <c r="I291" i="8" s="1"/>
  <c r="DQ58" i="7"/>
  <c r="I292" i="8" s="1"/>
  <c r="AK53" i="5"/>
  <c r="AO35" i="5"/>
  <c r="AH53" i="5"/>
  <c r="AI47" i="5"/>
  <c r="AJ47" i="5"/>
  <c r="AM52" i="5"/>
  <c r="AK32" i="5"/>
  <c r="AK74" i="14"/>
  <c r="AK38" i="5"/>
  <c r="AL38" i="5"/>
  <c r="AP46" i="5"/>
  <c r="AJ53" i="5"/>
  <c r="AI53" i="5"/>
  <c r="AI64" i="5"/>
  <c r="AH59" i="5"/>
  <c r="AN49" i="5"/>
  <c r="AI35" i="5"/>
  <c r="AN35" i="5"/>
  <c r="AL39" i="10"/>
  <c r="AL39" i="14" s="1"/>
  <c r="AK36" i="10"/>
  <c r="AL36" i="14" s="1"/>
  <c r="AO55" i="10"/>
  <c r="AP55" i="14" s="1"/>
  <c r="AK39" i="10"/>
  <c r="AK39" i="14" s="1"/>
  <c r="AP54" i="10"/>
  <c r="AP54" i="14" s="1"/>
  <c r="AO55" i="5"/>
  <c r="AP55" i="10"/>
  <c r="AH36" i="5"/>
  <c r="AI36" i="10"/>
  <c r="AJ36" i="14" s="1"/>
  <c r="AP55" i="5"/>
  <c r="AQ55" i="10"/>
  <c r="AI54" i="5"/>
  <c r="AJ54" i="10"/>
  <c r="AO54" i="10"/>
  <c r="AO54" i="14" s="1"/>
  <c r="AL55" i="5"/>
  <c r="AM55" i="10"/>
  <c r="AN55" i="14" s="1"/>
  <c r="AP38" i="5"/>
  <c r="AQ38" i="10"/>
  <c r="AO38" i="5"/>
  <c r="AP38" i="10"/>
  <c r="AL63" i="10"/>
  <c r="AL63" i="14" s="1"/>
  <c r="AL49" i="10"/>
  <c r="AL49" i="11" s="1"/>
  <c r="AN38" i="5"/>
  <c r="AO38" i="10"/>
  <c r="AO33" i="10"/>
  <c r="AO33" i="14" s="1"/>
  <c r="AM63" i="10"/>
  <c r="AK57" i="10"/>
  <c r="AP59" i="5"/>
  <c r="AQ59" i="10"/>
  <c r="AI32" i="10"/>
  <c r="AI32" i="14" s="1"/>
  <c r="AO64" i="10"/>
  <c r="AO64" i="14" s="1"/>
  <c r="AO63" i="10"/>
  <c r="AM57" i="10"/>
  <c r="AN50" i="5"/>
  <c r="AO50" i="10"/>
  <c r="AJ54" i="5"/>
  <c r="AK54" i="10"/>
  <c r="AK54" i="14" s="1"/>
  <c r="AI71" i="10"/>
  <c r="AJ71" i="14" s="1"/>
  <c r="AI60" i="10"/>
  <c r="AJ60" i="14" s="1"/>
  <c r="AN71" i="10"/>
  <c r="AO71" i="11" s="1"/>
  <c r="AM54" i="5"/>
  <c r="AN54" i="10"/>
  <c r="AO71" i="10"/>
  <c r="AP71" i="14" s="1"/>
  <c r="AK66" i="5"/>
  <c r="AL66" i="10"/>
  <c r="AJ55" i="5"/>
  <c r="AK55" i="10"/>
  <c r="AL55" i="14" s="1"/>
  <c r="AM43" i="10"/>
  <c r="AM43" i="14" s="1"/>
  <c r="AO39" i="10"/>
  <c r="AO39" i="14" s="1"/>
  <c r="AK60" i="10"/>
  <c r="AL60" i="14" s="1"/>
  <c r="AJ40" i="5"/>
  <c r="AO39" i="5"/>
  <c r="AP39" i="10"/>
  <c r="AP39" i="14" s="1"/>
  <c r="AL54" i="5"/>
  <c r="AM54" i="10"/>
  <c r="AM54" i="14" s="1"/>
  <c r="AO49" i="10"/>
  <c r="AO49" i="14" s="1"/>
  <c r="AJ38" i="5"/>
  <c r="AP39" i="5"/>
  <c r="AQ39" i="10"/>
  <c r="AP63" i="5"/>
  <c r="AQ63" i="10"/>
  <c r="AI38" i="5"/>
  <c r="AM39" i="5"/>
  <c r="AN39" i="10"/>
  <c r="AN39" i="14" s="1"/>
  <c r="AL58" i="5"/>
  <c r="AM73" i="5"/>
  <c r="AN73" i="10"/>
  <c r="AM38" i="5"/>
  <c r="AN38" i="10"/>
  <c r="AN38" i="14" s="1"/>
  <c r="AO32" i="10"/>
  <c r="AO32" i="14" s="1"/>
  <c r="AM63" i="5"/>
  <c r="AN63" i="10"/>
  <c r="AI57" i="10"/>
  <c r="AI57" i="14" s="1"/>
  <c r="AN62" i="5"/>
  <c r="AJ63" i="10"/>
  <c r="AJ63" i="14" s="1"/>
  <c r="AI59" i="5"/>
  <c r="AJ59" i="10"/>
  <c r="AM64" i="10"/>
  <c r="AM64" i="14" s="1"/>
  <c r="AJ67" i="10"/>
  <c r="AK67" i="14" s="1"/>
  <c r="AJ70" i="10"/>
  <c r="AK70" i="14" s="1"/>
  <c r="AJ41" i="10"/>
  <c r="AJ41" i="11" s="1"/>
  <c r="AO31" i="10"/>
  <c r="AO31" i="14" s="1"/>
  <c r="AL30" i="10"/>
  <c r="AL30" i="14" s="1"/>
  <c r="AH73" i="5"/>
  <c r="AK42" i="10"/>
  <c r="AL42" i="14" s="1"/>
  <c r="AI67" i="10"/>
  <c r="AJ67" i="14" s="1"/>
  <c r="AJ64" i="10"/>
  <c r="AJ64" i="11" s="1"/>
  <c r="AP73" i="5"/>
  <c r="AQ73" i="10"/>
  <c r="AL41" i="10"/>
  <c r="AL41" i="14" s="1"/>
  <c r="AO40" i="10"/>
  <c r="AO40" i="14" s="1"/>
  <c r="AM30" i="10"/>
  <c r="AM30" i="14" s="1"/>
  <c r="AL52" i="10"/>
  <c r="AM52" i="14" s="1"/>
  <c r="AM35" i="5"/>
  <c r="AN35" i="10"/>
  <c r="AO35" i="14" s="1"/>
  <c r="AJ30" i="10"/>
  <c r="AJ30" i="14" s="1"/>
  <c r="AK41" i="10"/>
  <c r="AK41" i="14" s="1"/>
  <c r="AO72" i="10"/>
  <c r="AP72" i="14" s="1"/>
  <c r="AO31" i="5"/>
  <c r="AP31" i="10"/>
  <c r="AP31" i="11" s="1"/>
  <c r="AN30" i="10"/>
  <c r="AN30" i="14" s="1"/>
  <c r="AM50" i="5"/>
  <c r="AN50" i="10"/>
  <c r="AM43" i="5"/>
  <c r="AJ33" i="10"/>
  <c r="AJ33" i="11" s="1"/>
  <c r="AO54" i="5"/>
  <c r="AN68" i="10"/>
  <c r="AN68" i="11" s="1"/>
  <c r="AP52" i="5"/>
  <c r="AJ59" i="5"/>
  <c r="AK35" i="5"/>
  <c r="AL35" i="10"/>
  <c r="AM35" i="14" s="1"/>
  <c r="AI31" i="10"/>
  <c r="AI31" i="11" s="1"/>
  <c r="AI55" i="5"/>
  <c r="AM34" i="10"/>
  <c r="AM34" i="14" s="1"/>
  <c r="AN53" i="5"/>
  <c r="AO53" i="10"/>
  <c r="AI50" i="5"/>
  <c r="AJ50" i="10"/>
  <c r="AL50" i="14" s="1"/>
  <c r="AJ72" i="10"/>
  <c r="AK72" i="14" s="1"/>
  <c r="AP37" i="10"/>
  <c r="AP37" i="14" s="1"/>
  <c r="AK35" i="10"/>
  <c r="AL35" i="14" s="1"/>
  <c r="AL46" i="10"/>
  <c r="AM46" i="11" s="1"/>
  <c r="AP64" i="10"/>
  <c r="AN57" i="10"/>
  <c r="AO57" i="11" s="1"/>
  <c r="AL73" i="5"/>
  <c r="AM73" i="10"/>
  <c r="AJ68" i="10"/>
  <c r="AJ68" i="14" s="1"/>
  <c r="AL42" i="5"/>
  <c r="AM42" i="10"/>
  <c r="AP54" i="5"/>
  <c r="AO73" i="5"/>
  <c r="AP73" i="10"/>
  <c r="AM67" i="10"/>
  <c r="AN67" i="11" s="1"/>
  <c r="AO52" i="10"/>
  <c r="AP52" i="11" s="1"/>
  <c r="AN67" i="10"/>
  <c r="AO67" i="11" s="1"/>
  <c r="AL35" i="5"/>
  <c r="AM35" i="10"/>
  <c r="AN41" i="5"/>
  <c r="AO41" i="10"/>
  <c r="AP62" i="10"/>
  <c r="AP62" i="14" s="1"/>
  <c r="AM52" i="10"/>
  <c r="AN52" i="14" s="1"/>
  <c r="AN15" i="14" s="1"/>
  <c r="AM57" i="5"/>
  <c r="AK31" i="5"/>
  <c r="AL31" i="10"/>
  <c r="AI31" i="5"/>
  <c r="AJ31" i="10"/>
  <c r="AO37" i="10"/>
  <c r="AK55" i="5"/>
  <c r="AI72" i="10"/>
  <c r="AJ72" i="11" s="1"/>
  <c r="AN69" i="10"/>
  <c r="AO69" i="14" s="1"/>
  <c r="AJ72" i="5"/>
  <c r="AK72" i="10"/>
  <c r="AL72" i="14" s="1"/>
  <c r="AI50" i="10"/>
  <c r="AL59" i="5"/>
  <c r="AJ31" i="5"/>
  <c r="AK31" i="10"/>
  <c r="AO50" i="5"/>
  <c r="AP50" i="10"/>
  <c r="AI47" i="10"/>
  <c r="AJ47" i="11" s="1"/>
  <c r="AL37" i="10"/>
  <c r="AL37" i="14" s="1"/>
  <c r="AJ50" i="5"/>
  <c r="AK50" i="10"/>
  <c r="AM50" i="14" s="1"/>
  <c r="AK50" i="5"/>
  <c r="AL50" i="10"/>
  <c r="AJ37" i="10"/>
  <c r="AJ37" i="14" s="1"/>
  <c r="AM60" i="10"/>
  <c r="AN60" i="14" s="1"/>
  <c r="AH54" i="5"/>
  <c r="AI54" i="10"/>
  <c r="AI54" i="11" s="1"/>
  <c r="AL50" i="5"/>
  <c r="AM50" i="10"/>
  <c r="AJ118" i="11"/>
  <c r="AJ118" i="14"/>
  <c r="AH124" i="11"/>
  <c r="AH124" i="14"/>
  <c r="AL92" i="11"/>
  <c r="AL92" i="14"/>
  <c r="AN162" i="11"/>
  <c r="AN162" i="14"/>
  <c r="AI169" i="11"/>
  <c r="AI169" i="14"/>
  <c r="AP140" i="11"/>
  <c r="AP140" i="14"/>
  <c r="M49" i="12"/>
  <c r="AL124" i="14"/>
  <c r="AL56" i="11"/>
  <c r="AL56" i="14"/>
  <c r="AO92" i="11"/>
  <c r="AO92" i="14"/>
  <c r="AH169" i="11"/>
  <c r="AH169" i="14"/>
  <c r="AM87" i="11"/>
  <c r="AM87" i="14"/>
  <c r="AI166" i="11"/>
  <c r="AI166" i="14"/>
  <c r="AL148" i="11"/>
  <c r="AL148" i="14"/>
  <c r="AH166" i="11"/>
  <c r="AH166" i="14"/>
  <c r="AL73" i="11"/>
  <c r="AL73" i="14"/>
  <c r="AM112" i="11"/>
  <c r="AM112" i="14"/>
  <c r="AO153" i="11"/>
  <c r="AO153" i="14"/>
  <c r="AM184" i="11"/>
  <c r="AM184" i="14"/>
  <c r="AL93" i="14"/>
  <c r="AP73" i="11"/>
  <c r="AP73" i="14"/>
  <c r="AK83" i="11"/>
  <c r="AK83" i="14"/>
  <c r="AH86" i="11"/>
  <c r="AH86" i="14"/>
  <c r="AM109" i="11"/>
  <c r="AM109" i="14"/>
  <c r="AH176" i="11"/>
  <c r="AH176" i="14"/>
  <c r="AI126" i="11"/>
  <c r="AI126" i="14"/>
  <c r="AP99" i="11"/>
  <c r="AJ160" i="11"/>
  <c r="AJ160" i="14"/>
  <c r="AI37" i="11"/>
  <c r="I23" i="6" s="1"/>
  <c r="AI37" i="14"/>
  <c r="AI15" i="14" s="1"/>
  <c r="AL133" i="11"/>
  <c r="AH177" i="11"/>
  <c r="AH177" i="14"/>
  <c r="AP144" i="11"/>
  <c r="AP144" i="14"/>
  <c r="AK194" i="11"/>
  <c r="AK194" i="14"/>
  <c r="AN111" i="11"/>
  <c r="AN111" i="14"/>
  <c r="AI128" i="11"/>
  <c r="AI128" i="14"/>
  <c r="AK170" i="11"/>
  <c r="AK170" i="14"/>
  <c r="AO118" i="11"/>
  <c r="AN95" i="11"/>
  <c r="AN95" i="14"/>
  <c r="AP179" i="11"/>
  <c r="AP179" i="14"/>
  <c r="AL129" i="14"/>
  <c r="AK94" i="11"/>
  <c r="AI147" i="11"/>
  <c r="AI147" i="14"/>
  <c r="AJ114" i="11"/>
  <c r="AJ114" i="14"/>
  <c r="AL189" i="11"/>
  <c r="AL189" i="14"/>
  <c r="AO131" i="11"/>
  <c r="AO131" i="14"/>
  <c r="AN115" i="14"/>
  <c r="AP190" i="11"/>
  <c r="AP190" i="14"/>
  <c r="AO88" i="11"/>
  <c r="AH150" i="11"/>
  <c r="AH150" i="14"/>
  <c r="AI142" i="11"/>
  <c r="AI142" i="14"/>
  <c r="AN192" i="11"/>
  <c r="AN192" i="14"/>
  <c r="AM151" i="11"/>
  <c r="AM151" i="14"/>
  <c r="AK169" i="11"/>
  <c r="AK169" i="14"/>
  <c r="AM140" i="11"/>
  <c r="AM140" i="14"/>
  <c r="AK76" i="11"/>
  <c r="AK76" i="14"/>
  <c r="AI118" i="11"/>
  <c r="AI118" i="14"/>
  <c r="AJ169" i="11"/>
  <c r="AJ169" i="14"/>
  <c r="AI154" i="11"/>
  <c r="AI154" i="14"/>
  <c r="AL121" i="11"/>
  <c r="AL121" i="14"/>
  <c r="AL163" i="11"/>
  <c r="AL163" i="14"/>
  <c r="AL138" i="11"/>
  <c r="AL138" i="14"/>
  <c r="AI172" i="11"/>
  <c r="AI172" i="14"/>
  <c r="AL140" i="11"/>
  <c r="AL140" i="14"/>
  <c r="AO174" i="11"/>
  <c r="AO174" i="14"/>
  <c r="AM135" i="11"/>
  <c r="AM135" i="14"/>
  <c r="AJ136" i="11"/>
  <c r="AJ136" i="14"/>
  <c r="AI183" i="11"/>
  <c r="AI183" i="14"/>
  <c r="AI120" i="11"/>
  <c r="AI120" i="14"/>
  <c r="AN140" i="11"/>
  <c r="AN140" i="14"/>
  <c r="AJ166" i="11"/>
  <c r="AJ166" i="14"/>
  <c r="AN168" i="11"/>
  <c r="AN168" i="14"/>
  <c r="AO97" i="11"/>
  <c r="AO97" i="14"/>
  <c r="AM91" i="11"/>
  <c r="AM91" i="14"/>
  <c r="AL175" i="11"/>
  <c r="AL175" i="14"/>
  <c r="AL91" i="11"/>
  <c r="AL91" i="14"/>
  <c r="AP76" i="11"/>
  <c r="AP76" i="14"/>
  <c r="AK117" i="11"/>
  <c r="AI88" i="11"/>
  <c r="AI88" i="14"/>
  <c r="AP46" i="11"/>
  <c r="AP46" i="14"/>
  <c r="AN184" i="11"/>
  <c r="AN184" i="14"/>
  <c r="AM93" i="14"/>
  <c r="AO65" i="11"/>
  <c r="AO65" i="14"/>
  <c r="AJ137" i="11"/>
  <c r="AJ137" i="14"/>
  <c r="AI113" i="11"/>
  <c r="AI113" i="14"/>
  <c r="AM180" i="11"/>
  <c r="AM180" i="14"/>
  <c r="AM116" i="11"/>
  <c r="AM116" i="14"/>
  <c r="AH168" i="11"/>
  <c r="AH168" i="14"/>
  <c r="AM102" i="11"/>
  <c r="AM102" i="14"/>
  <c r="AO44" i="11"/>
  <c r="AO44" i="14"/>
  <c r="AN59" i="11"/>
  <c r="AN59" i="14"/>
  <c r="AL184" i="11"/>
  <c r="AL184" i="14"/>
  <c r="AK93" i="14"/>
  <c r="AL86" i="11"/>
  <c r="AL86" i="14"/>
  <c r="AI184" i="11"/>
  <c r="AI184" i="14"/>
  <c r="AO160" i="11"/>
  <c r="AO160" i="14"/>
  <c r="AP133" i="11"/>
  <c r="AL177" i="11"/>
  <c r="AL177" i="14"/>
  <c r="AI127" i="11"/>
  <c r="AI127" i="14"/>
  <c r="L18" i="12"/>
  <c r="AK40" i="14"/>
  <c r="J23" i="12"/>
  <c r="J55" i="12" s="1"/>
  <c r="AI53" i="14"/>
  <c r="AL109" i="11"/>
  <c r="AL109" i="14"/>
  <c r="AP176" i="11"/>
  <c r="AP176" i="14"/>
  <c r="AH126" i="11"/>
  <c r="AH126" i="14"/>
  <c r="AI160" i="11"/>
  <c r="AI160" i="14"/>
  <c r="AK133" i="11"/>
  <c r="AO144" i="11"/>
  <c r="AO144" i="14"/>
  <c r="AH194" i="11"/>
  <c r="AH194" i="14"/>
  <c r="AM111" i="11"/>
  <c r="AM111" i="14"/>
  <c r="AM186" i="11"/>
  <c r="AM186" i="14"/>
  <c r="AH128" i="11"/>
  <c r="AH128" i="14"/>
  <c r="AJ170" i="11"/>
  <c r="AJ170" i="14"/>
  <c r="AN118" i="11"/>
  <c r="AM95" i="11"/>
  <c r="AM95" i="14"/>
  <c r="AO179" i="11"/>
  <c r="AO179" i="14"/>
  <c r="AK129" i="14"/>
  <c r="AP171" i="11"/>
  <c r="AP171" i="14"/>
  <c r="AJ94" i="11"/>
  <c r="AH188" i="11"/>
  <c r="AH188" i="14"/>
  <c r="AH147" i="11"/>
  <c r="AH147" i="14"/>
  <c r="AH114" i="11"/>
  <c r="AH114" i="14"/>
  <c r="AK139" i="11"/>
  <c r="AK139" i="14"/>
  <c r="AK189" i="11"/>
  <c r="AK189" i="14"/>
  <c r="AN131" i="11"/>
  <c r="AN131" i="14"/>
  <c r="AK171" i="11"/>
  <c r="AM115" i="14"/>
  <c r="AM138" i="11"/>
  <c r="AH149" i="11"/>
  <c r="AH149" i="14"/>
  <c r="AP155" i="11"/>
  <c r="AL181" i="11"/>
  <c r="AK150" i="11"/>
  <c r="AK150" i="14"/>
  <c r="AH142" i="11"/>
  <c r="AH142" i="14"/>
  <c r="AM192" i="11"/>
  <c r="AM192" i="14"/>
  <c r="AN149" i="11"/>
  <c r="AN149" i="14"/>
  <c r="AO155" i="11"/>
  <c r="AJ99" i="11"/>
  <c r="AJ99" i="14"/>
  <c r="AJ181" i="11"/>
  <c r="AM139" i="11"/>
  <c r="AJ150" i="11"/>
  <c r="AJ150" i="14"/>
  <c r="AN142" i="11"/>
  <c r="AN142" i="14"/>
  <c r="AI100" i="11"/>
  <c r="AI100" i="14"/>
  <c r="AL192" i="11"/>
  <c r="AL192" i="14"/>
  <c r="AI178" i="11"/>
  <c r="AI178" i="14"/>
  <c r="AL83" i="11"/>
  <c r="AL83" i="14"/>
  <c r="AK109" i="11"/>
  <c r="AK109" i="14"/>
  <c r="AH160" i="11"/>
  <c r="AH160" i="14"/>
  <c r="AN194" i="11"/>
  <c r="AN194" i="14"/>
  <c r="AJ129" i="14"/>
  <c r="AI114" i="11"/>
  <c r="AI114" i="14"/>
  <c r="AI143" i="11"/>
  <c r="AI143" i="14"/>
  <c r="AM144" i="11"/>
  <c r="AM144" i="14"/>
  <c r="AM179" i="11"/>
  <c r="AM179" i="14"/>
  <c r="AH155" i="11"/>
  <c r="AH155" i="14"/>
  <c r="AK130" i="11"/>
  <c r="AK130" i="14"/>
  <c r="AM105" i="11"/>
  <c r="AM105" i="14"/>
  <c r="AM156" i="11"/>
  <c r="AM156" i="14"/>
  <c r="AK181" i="11"/>
  <c r="AK181" i="14"/>
  <c r="AL106" i="11"/>
  <c r="AL106" i="14"/>
  <c r="AJ129" i="11"/>
  <c r="AL132" i="11"/>
  <c r="AL132" i="14"/>
  <c r="AL90" i="11"/>
  <c r="AL90" i="14"/>
  <c r="AM191" i="11"/>
  <c r="AM191" i="14"/>
  <c r="AN141" i="11"/>
  <c r="AN141" i="14"/>
  <c r="AL164" i="11"/>
  <c r="AM142" i="11"/>
  <c r="AM142" i="14"/>
  <c r="AI167" i="11"/>
  <c r="AI167" i="14"/>
  <c r="AN152" i="11"/>
  <c r="AN152" i="14"/>
  <c r="AJ189" i="11"/>
  <c r="AJ189" i="14"/>
  <c r="N18" i="12"/>
  <c r="AM40" i="14"/>
  <c r="AK95" i="11"/>
  <c r="AK95" i="14"/>
  <c r="AO171" i="11"/>
  <c r="AO171" i="14"/>
  <c r="J42" i="12"/>
  <c r="AI104" i="14"/>
  <c r="AP106" i="11"/>
  <c r="AP106" i="14"/>
  <c r="AI150" i="11"/>
  <c r="AI150" i="14"/>
  <c r="AJ192" i="11"/>
  <c r="AJ192" i="14"/>
  <c r="AN79" i="11"/>
  <c r="AN79" i="14"/>
  <c r="AI109" i="11"/>
  <c r="AI109" i="14"/>
  <c r="AP143" i="11"/>
  <c r="AP143" i="14"/>
  <c r="AH139" i="11"/>
  <c r="AK142" i="11"/>
  <c r="AK142" i="14"/>
  <c r="AO105" i="11"/>
  <c r="AO105" i="14"/>
  <c r="AO145" i="11"/>
  <c r="AO145" i="14"/>
  <c r="AM164" i="11"/>
  <c r="AJ83" i="11"/>
  <c r="AJ83" i="14"/>
  <c r="AN110" i="11"/>
  <c r="AN110" i="14"/>
  <c r="AL179" i="11"/>
  <c r="AL179" i="14"/>
  <c r="AK172" i="11"/>
  <c r="AK172" i="14"/>
  <c r="AK90" i="11"/>
  <c r="AK90" i="14"/>
  <c r="AH167" i="11"/>
  <c r="AH167" i="14"/>
  <c r="AL81" i="11"/>
  <c r="AL81" i="14"/>
  <c r="AL145" i="11"/>
  <c r="AL145" i="14"/>
  <c r="AN178" i="11"/>
  <c r="AI130" i="11"/>
  <c r="AI130" i="14"/>
  <c r="AH172" i="11"/>
  <c r="AH172" i="14"/>
  <c r="AK105" i="11"/>
  <c r="AK105" i="14"/>
  <c r="AK156" i="11"/>
  <c r="AK156" i="14"/>
  <c r="AJ106" i="11"/>
  <c r="AJ106" i="14"/>
  <c r="AL182" i="11"/>
  <c r="AL182" i="14"/>
  <c r="AJ90" i="11"/>
  <c r="AJ90" i="14"/>
  <c r="AO191" i="11"/>
  <c r="AO191" i="14"/>
  <c r="AL141" i="11"/>
  <c r="AL141" i="14"/>
  <c r="AP125" i="11"/>
  <c r="AP125" i="14"/>
  <c r="AP167" i="11"/>
  <c r="AP167" i="14"/>
  <c r="J19" i="12"/>
  <c r="AI41" i="14"/>
  <c r="AK81" i="11"/>
  <c r="AK81" i="14"/>
  <c r="AK79" i="11"/>
  <c r="AK79" i="14"/>
  <c r="AJ92" i="11"/>
  <c r="AJ92" i="14"/>
  <c r="AP157" i="11"/>
  <c r="AI151" i="11"/>
  <c r="AI151" i="14"/>
  <c r="AN193" i="11"/>
  <c r="AN193" i="14"/>
  <c r="AK110" i="11"/>
  <c r="AK110" i="14"/>
  <c r="AH91" i="11"/>
  <c r="AH152" i="11"/>
  <c r="AH152" i="14"/>
  <c r="AO119" i="11"/>
  <c r="AO119" i="14"/>
  <c r="AP169" i="11"/>
  <c r="AP169" i="14"/>
  <c r="AJ176" i="11"/>
  <c r="AM178" i="11"/>
  <c r="AM178" i="14"/>
  <c r="AK145" i="11"/>
  <c r="AK145" i="14"/>
  <c r="AI121" i="11"/>
  <c r="AI121" i="14"/>
  <c r="AJ163" i="11"/>
  <c r="AJ163" i="14"/>
  <c r="AK111" i="11"/>
  <c r="AH130" i="11"/>
  <c r="AH130" i="14"/>
  <c r="AP172" i="11"/>
  <c r="AP172" i="14"/>
  <c r="AJ105" i="11"/>
  <c r="AJ105" i="14"/>
  <c r="AN120" i="11"/>
  <c r="AJ156" i="11"/>
  <c r="AJ156" i="14"/>
  <c r="AI106" i="11"/>
  <c r="AI106" i="14"/>
  <c r="AK182" i="11"/>
  <c r="AK182" i="14"/>
  <c r="AI90" i="11"/>
  <c r="AI90" i="14"/>
  <c r="AN191" i="11"/>
  <c r="AN191" i="14"/>
  <c r="AK141" i="11"/>
  <c r="AK141" i="14"/>
  <c r="AO183" i="11"/>
  <c r="AO183" i="14"/>
  <c r="AK192" i="11"/>
  <c r="AN144" i="11"/>
  <c r="AN144" i="14"/>
  <c r="AL186" i="11"/>
  <c r="AL186" i="14"/>
  <c r="AI171" i="11"/>
  <c r="AI171" i="14"/>
  <c r="AP131" i="11"/>
  <c r="AP131" i="14"/>
  <c r="AK179" i="11"/>
  <c r="AK179" i="14"/>
  <c r="AI99" i="11"/>
  <c r="AI99" i="14"/>
  <c r="AO83" i="11"/>
  <c r="AO83" i="14"/>
  <c r="Q18" i="12"/>
  <c r="AP40" i="14"/>
  <c r="AL152" i="11"/>
  <c r="AL152" i="14"/>
  <c r="AL144" i="11"/>
  <c r="AL144" i="14"/>
  <c r="AJ95" i="11"/>
  <c r="AJ95" i="14"/>
  <c r="AN171" i="11"/>
  <c r="AN171" i="14"/>
  <c r="AO106" i="11"/>
  <c r="AO106" i="14"/>
  <c r="AK43" i="11"/>
  <c r="AK43" i="14"/>
  <c r="AO51" i="11"/>
  <c r="AO51" i="14"/>
  <c r="AM79" i="11"/>
  <c r="AM79" i="14"/>
  <c r="AP96" i="11"/>
  <c r="AP96" i="14"/>
  <c r="AN147" i="11"/>
  <c r="AN147" i="14"/>
  <c r="AI115" i="14"/>
  <c r="AP165" i="11"/>
  <c r="AP165" i="14"/>
  <c r="AN132" i="11"/>
  <c r="AN132" i="14"/>
  <c r="AN83" i="11"/>
  <c r="AN83" i="14"/>
  <c r="AM94" i="11"/>
  <c r="AM94" i="14"/>
  <c r="AO186" i="11"/>
  <c r="AO186" i="14"/>
  <c r="AH179" i="11"/>
  <c r="AH179" i="14"/>
  <c r="AL171" i="11"/>
  <c r="AL171" i="14"/>
  <c r="AO96" i="11"/>
  <c r="AO96" i="14"/>
  <c r="AL151" i="11"/>
  <c r="AL151" i="14"/>
  <c r="AO110" i="11"/>
  <c r="AO110" i="14"/>
  <c r="AP152" i="11"/>
  <c r="AP152" i="14"/>
  <c r="AI144" i="11"/>
  <c r="AI144" i="14"/>
  <c r="AN145" i="11"/>
  <c r="AN145" i="14"/>
  <c r="AP79" i="11"/>
  <c r="AP79" i="14"/>
  <c r="AH143" i="11"/>
  <c r="AH143" i="14"/>
  <c r="AP193" i="11"/>
  <c r="AP193" i="14"/>
  <c r="AJ91" i="11"/>
  <c r="AO152" i="11"/>
  <c r="AO152" i="14"/>
  <c r="AP145" i="11"/>
  <c r="AL156" i="11"/>
  <c r="AL156" i="14"/>
  <c r="AP154" i="11"/>
  <c r="AP154" i="14"/>
  <c r="AJ81" i="11"/>
  <c r="AJ81" i="14"/>
  <c r="AJ79" i="11"/>
  <c r="AJ79" i="14"/>
  <c r="AH119" i="11"/>
  <c r="AH119" i="14"/>
  <c r="AK159" i="11"/>
  <c r="AL178" i="11"/>
  <c r="AL178" i="14"/>
  <c r="AJ145" i="11"/>
  <c r="AJ145" i="14"/>
  <c r="AJ162" i="11"/>
  <c r="AJ162" i="14"/>
  <c r="AL185" i="11"/>
  <c r="AN154" i="11"/>
  <c r="AN154" i="14"/>
  <c r="AH121" i="11"/>
  <c r="AH121" i="14"/>
  <c r="AI163" i="11"/>
  <c r="AI163" i="14"/>
  <c r="AM155" i="11"/>
  <c r="AM155" i="14"/>
  <c r="AJ111" i="11"/>
  <c r="AP130" i="11"/>
  <c r="AP130" i="14"/>
  <c r="AO172" i="11"/>
  <c r="AO172" i="14"/>
  <c r="AI105" i="11"/>
  <c r="AI105" i="14"/>
  <c r="AK120" i="11"/>
  <c r="AI156" i="11"/>
  <c r="AI156" i="14"/>
  <c r="AP181" i="11"/>
  <c r="AP181" i="14"/>
  <c r="AH106" i="11"/>
  <c r="AH106" i="14"/>
  <c r="AP173" i="11"/>
  <c r="AP173" i="14"/>
  <c r="AH90" i="11"/>
  <c r="AH90" i="14"/>
  <c r="AL191" i="11"/>
  <c r="AL191" i="14"/>
  <c r="AJ141" i="11"/>
  <c r="AJ141" i="14"/>
  <c r="AN183" i="11"/>
  <c r="AN183" i="14"/>
  <c r="O18" i="12"/>
  <c r="AN40" i="14"/>
  <c r="AP83" i="11"/>
  <c r="AP83" i="14"/>
  <c r="AM194" i="11"/>
  <c r="AM194" i="14"/>
  <c r="AK186" i="11"/>
  <c r="AK186" i="14"/>
  <c r="AK115" i="14"/>
  <c r="AH100" i="11"/>
  <c r="AH100" i="14"/>
  <c r="AL155" i="11"/>
  <c r="AK152" i="11"/>
  <c r="AK152" i="14"/>
  <c r="AP186" i="11"/>
  <c r="AP186" i="14"/>
  <c r="AI95" i="11"/>
  <c r="AI95" i="14"/>
  <c r="AJ155" i="11"/>
  <c r="AJ155" i="14"/>
  <c r="AM98" i="11"/>
  <c r="AM98" i="14"/>
  <c r="AP178" i="11"/>
  <c r="AP178" i="14"/>
  <c r="AH144" i="11"/>
  <c r="AH144" i="14"/>
  <c r="AO178" i="11"/>
  <c r="AO178" i="14"/>
  <c r="AJ130" i="11"/>
  <c r="AJ130" i="14"/>
  <c r="AP191" i="11"/>
  <c r="AP191" i="14"/>
  <c r="AK49" i="11"/>
  <c r="AK49" i="14"/>
  <c r="AI92" i="11"/>
  <c r="AI92" i="14"/>
  <c r="AH151" i="11"/>
  <c r="AH151" i="14"/>
  <c r="AJ110" i="11"/>
  <c r="AJ110" i="14"/>
  <c r="AH135" i="11"/>
  <c r="AH135" i="14"/>
  <c r="AO169" i="11"/>
  <c r="AO169" i="14"/>
  <c r="AH92" i="11"/>
  <c r="AH92" i="14"/>
  <c r="AP151" i="11"/>
  <c r="AP151" i="14"/>
  <c r="AL193" i="11"/>
  <c r="AL193" i="14"/>
  <c r="AN119" i="11"/>
  <c r="AN119" i="14"/>
  <c r="AN169" i="11"/>
  <c r="AN169" i="14"/>
  <c r="AP94" i="11"/>
  <c r="AP94" i="14"/>
  <c r="AO136" i="11"/>
  <c r="AO136" i="14"/>
  <c r="AJ159" i="11"/>
  <c r="AK178" i="11"/>
  <c r="AK178" i="14"/>
  <c r="AI145" i="11"/>
  <c r="AI145" i="14"/>
  <c r="AI162" i="11"/>
  <c r="AI162" i="14"/>
  <c r="AH185" i="11"/>
  <c r="AO135" i="11"/>
  <c r="AM154" i="11"/>
  <c r="AM154" i="14"/>
  <c r="AP121" i="11"/>
  <c r="AP121" i="14"/>
  <c r="AH163" i="11"/>
  <c r="AH163" i="14"/>
  <c r="AP138" i="11"/>
  <c r="AP138" i="14"/>
  <c r="AI111" i="11"/>
  <c r="AO130" i="11"/>
  <c r="AO130" i="14"/>
  <c r="AN172" i="11"/>
  <c r="AN172" i="14"/>
  <c r="AH105" i="11"/>
  <c r="AH105" i="14"/>
  <c r="AJ120" i="11"/>
  <c r="AH156" i="11"/>
  <c r="AH156" i="14"/>
  <c r="AO181" i="11"/>
  <c r="AO181" i="14"/>
  <c r="AM51" i="11"/>
  <c r="AM51" i="14"/>
  <c r="AO173" i="11"/>
  <c r="AO173" i="14"/>
  <c r="AP98" i="11"/>
  <c r="AP98" i="14"/>
  <c r="AI182" i="11"/>
  <c r="AI182" i="14"/>
  <c r="AP107" i="14"/>
  <c r="AN124" i="11"/>
  <c r="AN124" i="14"/>
  <c r="AP90" i="11"/>
  <c r="AP90" i="14"/>
  <c r="AK191" i="11"/>
  <c r="AK191" i="14"/>
  <c r="AI141" i="11"/>
  <c r="AI141" i="14"/>
  <c r="AM183" i="11"/>
  <c r="AM183" i="14"/>
  <c r="AH133" i="11"/>
  <c r="AH133" i="14"/>
  <c r="AM125" i="11"/>
  <c r="AM125" i="14"/>
  <c r="AM167" i="11"/>
  <c r="AM167" i="14"/>
  <c r="K42" i="12"/>
  <c r="AJ104" i="14"/>
  <c r="AL147" i="11"/>
  <c r="AL147" i="14"/>
  <c r="AJ139" i="11"/>
  <c r="AJ139" i="14"/>
  <c r="AL115" i="14"/>
  <c r="AJ53" i="11"/>
  <c r="AJ53" i="14"/>
  <c r="AJ14" i="14" s="1"/>
  <c r="AP147" i="11"/>
  <c r="AP147" i="14"/>
  <c r="AI139" i="11"/>
  <c r="AI139" i="14"/>
  <c r="AI189" i="11"/>
  <c r="AI189" i="14"/>
  <c r="AJ115" i="14"/>
  <c r="AH109" i="11"/>
  <c r="AH109" i="14"/>
  <c r="AL176" i="11"/>
  <c r="AL176" i="14"/>
  <c r="AO143" i="11"/>
  <c r="AO143" i="14"/>
  <c r="AP156" i="11"/>
  <c r="AP156" i="14"/>
  <c r="AP141" i="11"/>
  <c r="AP141" i="14"/>
  <c r="AN164" i="11"/>
  <c r="AN51" i="11"/>
  <c r="AN51" i="14"/>
  <c r="AP109" i="11"/>
  <c r="AP109" i="14"/>
  <c r="AI155" i="11"/>
  <c r="AI155" i="14"/>
  <c r="AM90" i="11"/>
  <c r="AM90" i="14"/>
  <c r="AO141" i="11"/>
  <c r="AO141" i="14"/>
  <c r="AO142" i="11"/>
  <c r="AO142" i="14"/>
  <c r="AM143" i="11"/>
  <c r="AM143" i="14"/>
  <c r="AL94" i="11"/>
  <c r="AL94" i="14"/>
  <c r="AM81" i="11"/>
  <c r="AM81" i="14"/>
  <c r="AN109" i="11"/>
  <c r="AN109" i="14"/>
  <c r="AL105" i="11"/>
  <c r="AL105" i="14"/>
  <c r="AK106" i="11"/>
  <c r="AK106" i="14"/>
  <c r="AL79" i="11"/>
  <c r="AL79" i="14"/>
  <c r="AJ151" i="11"/>
  <c r="AJ151" i="14"/>
  <c r="AP118" i="11"/>
  <c r="AP118" i="14"/>
  <c r="AO193" i="11"/>
  <c r="AO193" i="14"/>
  <c r="AL110" i="11"/>
  <c r="AL110" i="14"/>
  <c r="AI152" i="11"/>
  <c r="AI152" i="14"/>
  <c r="AP119" i="11"/>
  <c r="AP119" i="14"/>
  <c r="AI38" i="11"/>
  <c r="AI38" i="14"/>
  <c r="AO81" i="11"/>
  <c r="AO81" i="14"/>
  <c r="AP92" i="11"/>
  <c r="AP92" i="14"/>
  <c r="AO151" i="11"/>
  <c r="AO151" i="14"/>
  <c r="AL118" i="11"/>
  <c r="AL118" i="14"/>
  <c r="AK193" i="11"/>
  <c r="AK193" i="14"/>
  <c r="AM119" i="11"/>
  <c r="AM119" i="14"/>
  <c r="AM169" i="11"/>
  <c r="AM169" i="14"/>
  <c r="AO94" i="11"/>
  <c r="AO94" i="14"/>
  <c r="AN136" i="11"/>
  <c r="AN136" i="14"/>
  <c r="AJ178" i="11"/>
  <c r="AJ178" i="14"/>
  <c r="AH145" i="11"/>
  <c r="AH145" i="14"/>
  <c r="AH162" i="11"/>
  <c r="AH162" i="14"/>
  <c r="AN135" i="11"/>
  <c r="AL154" i="11"/>
  <c r="AL154" i="14"/>
  <c r="AO121" i="11"/>
  <c r="AO121" i="14"/>
  <c r="AO163" i="11"/>
  <c r="AO163" i="14"/>
  <c r="AO138" i="11"/>
  <c r="AO138" i="14"/>
  <c r="AH111" i="11"/>
  <c r="AN130" i="11"/>
  <c r="AN130" i="14"/>
  <c r="AM172" i="11"/>
  <c r="AM172" i="14"/>
  <c r="AL95" i="11"/>
  <c r="AO156" i="11"/>
  <c r="AO156" i="14"/>
  <c r="AM181" i="11"/>
  <c r="AM181" i="14"/>
  <c r="AN173" i="11"/>
  <c r="AN173" i="14"/>
  <c r="AH165" i="11"/>
  <c r="AH165" i="14"/>
  <c r="AO107" i="14"/>
  <c r="AO90" i="11"/>
  <c r="AO90" i="14"/>
  <c r="AJ191" i="11"/>
  <c r="AJ191" i="14"/>
  <c r="AL183" i="11"/>
  <c r="AL183" i="14"/>
  <c r="AL125" i="11"/>
  <c r="AL125" i="14"/>
  <c r="AK167" i="11"/>
  <c r="AK167" i="14"/>
  <c r="AM92" i="11"/>
  <c r="AM92" i="14"/>
  <c r="AI193" i="11"/>
  <c r="AI193" i="14"/>
  <c r="AL120" i="11"/>
  <c r="AL120" i="14"/>
  <c r="AO176" i="11"/>
  <c r="AO176" i="14"/>
  <c r="AL111" i="11"/>
  <c r="AL111" i="14"/>
  <c r="AK128" i="11"/>
  <c r="AK128" i="14"/>
  <c r="AO79" i="11"/>
  <c r="AO79" i="14"/>
  <c r="AJ109" i="11"/>
  <c r="AJ109" i="14"/>
  <c r="AN176" i="11"/>
  <c r="AN176" i="14"/>
  <c r="AK160" i="11"/>
  <c r="AK160" i="14"/>
  <c r="AM152" i="11"/>
  <c r="AM152" i="14"/>
  <c r="AL142" i="11"/>
  <c r="AL142" i="14"/>
  <c r="AP51" i="11"/>
  <c r="AP51" i="14"/>
  <c r="AM176" i="11"/>
  <c r="AM176" i="14"/>
  <c r="AJ186" i="11"/>
  <c r="AJ186" i="14"/>
  <c r="AJ179" i="11"/>
  <c r="AJ179" i="14"/>
  <c r="AK155" i="11"/>
  <c r="AK155" i="14"/>
  <c r="AO147" i="11"/>
  <c r="AO147" i="14"/>
  <c r="AP105" i="11"/>
  <c r="AP105" i="14"/>
  <c r="AH189" i="11"/>
  <c r="AH189" i="14"/>
  <c r="AH99" i="11"/>
  <c r="AH99" i="14"/>
  <c r="AI192" i="11"/>
  <c r="AI192" i="14"/>
  <c r="AI179" i="11"/>
  <c r="AI179" i="14"/>
  <c r="AM171" i="11"/>
  <c r="AM171" i="14"/>
  <c r="AP142" i="11"/>
  <c r="AP142" i="14"/>
  <c r="AK176" i="11"/>
  <c r="AK176" i="14"/>
  <c r="AN143" i="11"/>
  <c r="AN143" i="14"/>
  <c r="AP110" i="11"/>
  <c r="AP110" i="14"/>
  <c r="AJ152" i="11"/>
  <c r="AJ152" i="14"/>
  <c r="AJ144" i="11"/>
  <c r="AJ144" i="14"/>
  <c r="AM147" i="11"/>
  <c r="AM147" i="14"/>
  <c r="AN105" i="11"/>
  <c r="AN105" i="14"/>
  <c r="AN156" i="11"/>
  <c r="AN156" i="14"/>
  <c r="AM132" i="11"/>
  <c r="AM132" i="14"/>
  <c r="AM83" i="11"/>
  <c r="AM83" i="14"/>
  <c r="AL51" i="11"/>
  <c r="AL51" i="14"/>
  <c r="AO109" i="11"/>
  <c r="AO109" i="14"/>
  <c r="AP43" i="11"/>
  <c r="AP43" i="14"/>
  <c r="AK151" i="11"/>
  <c r="AK151" i="14"/>
  <c r="AM145" i="11"/>
  <c r="AM145" i="14"/>
  <c r="AM182" i="11"/>
  <c r="AM182" i="14"/>
  <c r="AK132" i="11"/>
  <c r="AK132" i="14"/>
  <c r="AM141" i="11"/>
  <c r="AM141" i="14"/>
  <c r="AM193" i="11"/>
  <c r="AM193" i="14"/>
  <c r="AP81" i="11"/>
  <c r="AP81" i="14"/>
  <c r="AN81" i="11"/>
  <c r="AN81" i="14"/>
  <c r="AN92" i="11"/>
  <c r="AN92" i="14"/>
  <c r="AP132" i="11"/>
  <c r="AN151" i="11"/>
  <c r="AN151" i="14"/>
  <c r="AK118" i="11"/>
  <c r="AK118" i="14"/>
  <c r="AJ193" i="11"/>
  <c r="AJ193" i="14"/>
  <c r="AM110" i="11"/>
  <c r="AM110" i="14"/>
  <c r="AJ135" i="11"/>
  <c r="AJ135" i="14"/>
  <c r="AL119" i="11"/>
  <c r="AL119" i="14"/>
  <c r="AL169" i="11"/>
  <c r="AL169" i="14"/>
  <c r="AN94" i="11"/>
  <c r="AN94" i="14"/>
  <c r="AM136" i="11"/>
  <c r="AM136" i="14"/>
  <c r="AH159" i="11"/>
  <c r="AH178" i="11"/>
  <c r="AH178" i="14"/>
  <c r="AM120" i="11"/>
  <c r="AM120" i="14"/>
  <c r="AP162" i="11"/>
  <c r="AP162" i="14"/>
  <c r="AK143" i="11"/>
  <c r="AK154" i="11"/>
  <c r="AK154" i="14"/>
  <c r="AN121" i="11"/>
  <c r="AN121" i="14"/>
  <c r="AN163" i="11"/>
  <c r="AN163" i="14"/>
  <c r="AN138" i="11"/>
  <c r="AN138" i="14"/>
  <c r="AP111" i="11"/>
  <c r="AM130" i="11"/>
  <c r="AM130" i="14"/>
  <c r="AL172" i="11"/>
  <c r="AL172" i="14"/>
  <c r="AL97" i="11"/>
  <c r="AL97" i="14"/>
  <c r="AH95" i="11"/>
  <c r="AN181" i="11"/>
  <c r="AN181" i="14"/>
  <c r="AM173" i="11"/>
  <c r="AM173" i="14"/>
  <c r="AM146" i="11"/>
  <c r="AN157" i="11"/>
  <c r="AN157" i="14"/>
  <c r="AP182" i="11"/>
  <c r="AP182" i="14"/>
  <c r="AI124" i="11"/>
  <c r="AI124" i="14"/>
  <c r="AN90" i="11"/>
  <c r="AN90" i="14"/>
  <c r="AI191" i="11"/>
  <c r="AI191" i="14"/>
  <c r="AK183" i="11"/>
  <c r="AK183" i="14"/>
  <c r="AK125" i="11"/>
  <c r="AK125" i="14"/>
  <c r="AJ167" i="11"/>
  <c r="AJ167" i="14"/>
  <c r="AL89" i="11"/>
  <c r="AH183" i="11"/>
  <c r="AH183" i="14"/>
  <c r="AJ125" i="11"/>
  <c r="AJ125" i="14"/>
  <c r="AL167" i="11"/>
  <c r="AL167" i="14"/>
  <c r="AL162" i="11"/>
  <c r="AL162" i="14"/>
  <c r="AP146" i="11"/>
  <c r="AP146" i="14"/>
  <c r="AJ121" i="11"/>
  <c r="AJ121" i="14"/>
  <c r="AP163" i="11"/>
  <c r="AP163" i="14"/>
  <c r="AJ138" i="11"/>
  <c r="AJ138" i="14"/>
  <c r="AK122" i="11"/>
  <c r="AK122" i="14"/>
  <c r="AH97" i="11"/>
  <c r="AH97" i="14"/>
  <c r="AO148" i="11"/>
  <c r="AO148" i="14"/>
  <c r="AK51" i="11"/>
  <c r="AK51" i="14"/>
  <c r="AN89" i="11"/>
  <c r="AN89" i="14"/>
  <c r="AM96" i="11"/>
  <c r="AO140" i="11"/>
  <c r="AO140" i="14"/>
  <c r="AM157" i="11"/>
  <c r="AM157" i="14"/>
  <c r="AL174" i="11"/>
  <c r="AL174" i="14"/>
  <c r="AJ107" i="11"/>
  <c r="AJ107" i="14"/>
  <c r="L49" i="12"/>
  <c r="AK124" i="14"/>
  <c r="AK166" i="11"/>
  <c r="AK166" i="14"/>
  <c r="AH175" i="11"/>
  <c r="AH175" i="14"/>
  <c r="AO117" i="11"/>
  <c r="AO117" i="14"/>
  <c r="AH17" i="14"/>
  <c r="AP159" i="11"/>
  <c r="AP159" i="14"/>
  <c r="AP65" i="11"/>
  <c r="AP65" i="14"/>
  <c r="AJ153" i="11"/>
  <c r="AJ153" i="14"/>
  <c r="AP101" i="11"/>
  <c r="AO103" i="11"/>
  <c r="AO103" i="14"/>
  <c r="AK112" i="11"/>
  <c r="AK112" i="14"/>
  <c r="AI137" i="11"/>
  <c r="AI137" i="14"/>
  <c r="AO187" i="11"/>
  <c r="AO187" i="14"/>
  <c r="AH113" i="11"/>
  <c r="AH113" i="14"/>
  <c r="AP59" i="11"/>
  <c r="AP59" i="14"/>
  <c r="AI87" i="11"/>
  <c r="AI87" i="14"/>
  <c r="AN122" i="11"/>
  <c r="AN122" i="14"/>
  <c r="AP88" i="11"/>
  <c r="AP88" i="14"/>
  <c r="AI164" i="11"/>
  <c r="AI164" i="14"/>
  <c r="AI148" i="11"/>
  <c r="AI148" i="14"/>
  <c r="AM123" i="11"/>
  <c r="AM123" i="14"/>
  <c r="AJ89" i="11"/>
  <c r="AJ89" i="14"/>
  <c r="AL180" i="11"/>
  <c r="AL116" i="11"/>
  <c r="AL116" i="14"/>
  <c r="AM166" i="11"/>
  <c r="AM166" i="14"/>
  <c r="AP148" i="11"/>
  <c r="AL159" i="11"/>
  <c r="AL159" i="14"/>
  <c r="AK157" i="11"/>
  <c r="AK157" i="14"/>
  <c r="AH193" i="11"/>
  <c r="AH193" i="14"/>
  <c r="AN91" i="11"/>
  <c r="AN91" i="14"/>
  <c r="AM153" i="11"/>
  <c r="AM153" i="14"/>
  <c r="AJ59" i="11"/>
  <c r="AJ59" i="14"/>
  <c r="AJ173" i="11"/>
  <c r="AJ173" i="14"/>
  <c r="AO185" i="11"/>
  <c r="AO185" i="14"/>
  <c r="AN76" i="11"/>
  <c r="AN76" i="14"/>
  <c r="AL135" i="11"/>
  <c r="AL135" i="14"/>
  <c r="AP161" i="11"/>
  <c r="AP161" i="14"/>
  <c r="AH120" i="11"/>
  <c r="AH120" i="14"/>
  <c r="AI138" i="11"/>
  <c r="AI138" i="14"/>
  <c r="AP97" i="11"/>
  <c r="AP97" i="14"/>
  <c r="AJ51" i="11"/>
  <c r="AJ51" i="14"/>
  <c r="AI107" i="11"/>
  <c r="AI107" i="14"/>
  <c r="AM148" i="11"/>
  <c r="AM148" i="14"/>
  <c r="AP123" i="11"/>
  <c r="AP123" i="14"/>
  <c r="AM175" i="11"/>
  <c r="AM175" i="14"/>
  <c r="AP184" i="11"/>
  <c r="AP184" i="14"/>
  <c r="AI101" i="11"/>
  <c r="AI101" i="14"/>
  <c r="AO93" i="14"/>
  <c r="AP102" i="11"/>
  <c r="AP102" i="14"/>
  <c r="AN179" i="11"/>
  <c r="AK87" i="11"/>
  <c r="AK87" i="14"/>
  <c r="AH123" i="11"/>
  <c r="AH123" i="14"/>
  <c r="AP66" i="11"/>
  <c r="AP66" i="14"/>
  <c r="AO177" i="11"/>
  <c r="AO177" i="14"/>
  <c r="AL127" i="11"/>
  <c r="AL127" i="14"/>
  <c r="AJ65" i="11"/>
  <c r="AJ65" i="14"/>
  <c r="AN187" i="11"/>
  <c r="AN187" i="14"/>
  <c r="AM113" i="11"/>
  <c r="AM113" i="14"/>
  <c r="AH164" i="11"/>
  <c r="AH164" i="14"/>
  <c r="AH148" i="11"/>
  <c r="AH148" i="14"/>
  <c r="AL123" i="11"/>
  <c r="AL123" i="14"/>
  <c r="AK180" i="11"/>
  <c r="AK116" i="11"/>
  <c r="AK116" i="14"/>
  <c r="AJ46" i="11"/>
  <c r="AJ46" i="14"/>
  <c r="AL166" i="11"/>
  <c r="AL166" i="14"/>
  <c r="AN148" i="11"/>
  <c r="AL98" i="11"/>
  <c r="AH153" i="11"/>
  <c r="AH153" i="14"/>
  <c r="AL87" i="11"/>
  <c r="AL87" i="14"/>
  <c r="AH122" i="11"/>
  <c r="AH122" i="14"/>
  <c r="AO123" i="11"/>
  <c r="AO123" i="14"/>
  <c r="AI174" i="11"/>
  <c r="AI174" i="14"/>
  <c r="AN93" i="14"/>
  <c r="AP122" i="11"/>
  <c r="AP122" i="14"/>
  <c r="AI89" i="11"/>
  <c r="AI89" i="14"/>
  <c r="AJ185" i="11"/>
  <c r="AJ185" i="14"/>
  <c r="AN102" i="11"/>
  <c r="AN102" i="14"/>
  <c r="AP187" i="11"/>
  <c r="AP187" i="14"/>
  <c r="AH88" i="11"/>
  <c r="AH88" i="14"/>
  <c r="AH140" i="11"/>
  <c r="AH140" i="14"/>
  <c r="AH173" i="11"/>
  <c r="AM44" i="11"/>
  <c r="AM44" i="14"/>
  <c r="AO86" i="11"/>
  <c r="AO86" i="14"/>
  <c r="AH161" i="11"/>
  <c r="AH161" i="14"/>
  <c r="AO101" i="11"/>
  <c r="AJ112" i="11"/>
  <c r="AJ112" i="14"/>
  <c r="AH87" i="11"/>
  <c r="AH87" i="14"/>
  <c r="AM122" i="11"/>
  <c r="AM122" i="14"/>
  <c r="AL44" i="11"/>
  <c r="AL44" i="14"/>
  <c r="AO59" i="11"/>
  <c r="AO59" i="14"/>
  <c r="AN86" i="11"/>
  <c r="AN86" i="14"/>
  <c r="AJ115" i="11"/>
  <c r="AO126" i="11"/>
  <c r="AO126" i="14"/>
  <c r="AL107" i="11"/>
  <c r="AM101" i="11"/>
  <c r="AM101" i="14"/>
  <c r="AL168" i="11"/>
  <c r="AL168" i="14"/>
  <c r="AN177" i="11"/>
  <c r="AN177" i="14"/>
  <c r="AK127" i="11"/>
  <c r="AK127" i="14"/>
  <c r="L41" i="12"/>
  <c r="AK102" i="14"/>
  <c r="AJ161" i="11"/>
  <c r="AJ161" i="14"/>
  <c r="Q51" i="12"/>
  <c r="AP128" i="14"/>
  <c r="AN101" i="11"/>
  <c r="AM103" i="11"/>
  <c r="AM103" i="14"/>
  <c r="AI112" i="11"/>
  <c r="AI112" i="14"/>
  <c r="AP137" i="11"/>
  <c r="AP137" i="14"/>
  <c r="AM187" i="11"/>
  <c r="AM187" i="14"/>
  <c r="AI146" i="11"/>
  <c r="AI146" i="14"/>
  <c r="AH127" i="11"/>
  <c r="AL113" i="11"/>
  <c r="AL113" i="14"/>
  <c r="AO194" i="11"/>
  <c r="AP188" i="11"/>
  <c r="AP188" i="14"/>
  <c r="AI170" i="11"/>
  <c r="AH131" i="11"/>
  <c r="AH131" i="14"/>
  <c r="AK123" i="11"/>
  <c r="AK123" i="14"/>
  <c r="AJ180" i="11"/>
  <c r="AP149" i="11"/>
  <c r="AP149" i="14"/>
  <c r="AJ116" i="11"/>
  <c r="AJ116" i="14"/>
  <c r="AK98" i="11"/>
  <c r="AI136" i="11"/>
  <c r="AI136" i="14"/>
  <c r="AH136" i="11"/>
  <c r="AH136" i="14"/>
  <c r="AK162" i="11"/>
  <c r="AK162" i="14"/>
  <c r="AM59" i="11"/>
  <c r="AM59" i="14"/>
  <c r="AK174" i="11"/>
  <c r="AK174" i="14"/>
  <c r="AJ101" i="11"/>
  <c r="AJ101" i="14"/>
  <c r="AP93" i="14"/>
  <c r="AO127" i="11"/>
  <c r="AO127" i="14"/>
  <c r="AK73" i="11"/>
  <c r="AK73" i="14"/>
  <c r="AN112" i="11"/>
  <c r="AN112" i="14"/>
  <c r="AI125" i="11"/>
  <c r="AO188" i="11"/>
  <c r="AL59" i="11"/>
  <c r="AL59" i="14"/>
  <c r="AO122" i="11"/>
  <c r="AO122" i="14"/>
  <c r="AJ148" i="11"/>
  <c r="AJ148" i="14"/>
  <c r="AN123" i="11"/>
  <c r="AN123" i="14"/>
  <c r="AH89" i="11"/>
  <c r="AH89" i="14"/>
  <c r="AN108" i="11"/>
  <c r="AN108" i="14"/>
  <c r="AK161" i="11"/>
  <c r="AK161" i="14"/>
  <c r="AP126" i="11"/>
  <c r="AP126" i="14"/>
  <c r="AP194" i="11"/>
  <c r="AJ44" i="11"/>
  <c r="AJ44" i="14"/>
  <c r="AM86" i="11"/>
  <c r="AM86" i="14"/>
  <c r="AI115" i="11"/>
  <c r="AM73" i="11"/>
  <c r="AM73" i="14"/>
  <c r="AP160" i="11"/>
  <c r="AP160" i="14"/>
  <c r="AH158" i="11"/>
  <c r="AM177" i="11"/>
  <c r="AM177" i="14"/>
  <c r="AJ127" i="11"/>
  <c r="AJ127" i="14"/>
  <c r="AI161" i="11"/>
  <c r="AI161" i="14"/>
  <c r="AL65" i="11"/>
  <c r="AL65" i="14"/>
  <c r="P51" i="12"/>
  <c r="AO128" i="14"/>
  <c r="AP170" i="11"/>
  <c r="AP170" i="14"/>
  <c r="AK103" i="11"/>
  <c r="AK103" i="14"/>
  <c r="AH112" i="11"/>
  <c r="AH112" i="14"/>
  <c r="AO137" i="11"/>
  <c r="AO137" i="14"/>
  <c r="AL187" i="11"/>
  <c r="AL187" i="14"/>
  <c r="AK113" i="11"/>
  <c r="AK113" i="14"/>
  <c r="AL194" i="11"/>
  <c r="AO87" i="11"/>
  <c r="AO87" i="14"/>
  <c r="AN188" i="11"/>
  <c r="AN188" i="14"/>
  <c r="AI180" i="11"/>
  <c r="AI180" i="14"/>
  <c r="AH170" i="11"/>
  <c r="AM88" i="11"/>
  <c r="AM88" i="14"/>
  <c r="AO52" i="11"/>
  <c r="AO52" i="14"/>
  <c r="AM131" i="11"/>
  <c r="AM131" i="14"/>
  <c r="AJ123" i="11"/>
  <c r="AJ123" i="14"/>
  <c r="AN190" i="11"/>
  <c r="AN190" i="14"/>
  <c r="AO149" i="11"/>
  <c r="AO149" i="14"/>
  <c r="AI116" i="11"/>
  <c r="AI116" i="14"/>
  <c r="AP158" i="11"/>
  <c r="AP158" i="14"/>
  <c r="AN106" i="11"/>
  <c r="AP100" i="11"/>
  <c r="AP100" i="14"/>
  <c r="AJ98" i="11"/>
  <c r="AI135" i="11"/>
  <c r="AI135" i="14"/>
  <c r="AP174" i="11"/>
  <c r="AP174" i="14"/>
  <c r="AP134" i="11"/>
  <c r="AP134" i="14"/>
  <c r="AJ119" i="11"/>
  <c r="AJ119" i="14"/>
  <c r="AP89" i="11"/>
  <c r="AP89" i="14"/>
  <c r="AJ183" i="11"/>
  <c r="AJ183" i="14"/>
  <c r="AK92" i="11"/>
  <c r="AK92" i="14"/>
  <c r="AI97" i="11"/>
  <c r="AI97" i="14"/>
  <c r="AN174" i="11"/>
  <c r="AN174" i="14"/>
  <c r="AK135" i="11"/>
  <c r="AK135" i="14"/>
  <c r="AL153" i="11"/>
  <c r="AL153" i="14"/>
  <c r="AK101" i="11"/>
  <c r="AK101" i="14"/>
  <c r="AO161" i="11"/>
  <c r="AO161" i="14"/>
  <c r="AM137" i="11"/>
  <c r="AM137" i="14"/>
  <c r="AK65" i="11"/>
  <c r="AK65" i="14"/>
  <c r="O51" i="12"/>
  <c r="AN128" i="14"/>
  <c r="AO170" i="11"/>
  <c r="AO170" i="14"/>
  <c r="AJ103" i="11"/>
  <c r="AJ103" i="14"/>
  <c r="AP112" i="11"/>
  <c r="AP112" i="14"/>
  <c r="AN137" i="11"/>
  <c r="AN137" i="14"/>
  <c r="AK187" i="11"/>
  <c r="AK187" i="14"/>
  <c r="AP129" i="11"/>
  <c r="AP129" i="14"/>
  <c r="AK102" i="11"/>
  <c r="Q42" i="12"/>
  <c r="AP104" i="14"/>
  <c r="AJ194" i="11"/>
  <c r="AN87" i="11"/>
  <c r="AN87" i="14"/>
  <c r="AM188" i="11"/>
  <c r="AM188" i="14"/>
  <c r="AH180" i="11"/>
  <c r="AH180" i="14"/>
  <c r="AP189" i="11"/>
  <c r="AP189" i="14"/>
  <c r="AL137" i="11"/>
  <c r="AL131" i="11"/>
  <c r="AL131" i="14"/>
  <c r="AI123" i="11"/>
  <c r="AI123" i="14"/>
  <c r="AP113" i="11"/>
  <c r="AH116" i="11"/>
  <c r="AH116" i="14"/>
  <c r="AO158" i="11"/>
  <c r="AO158" i="14"/>
  <c r="AM106" i="11"/>
  <c r="AO100" i="11"/>
  <c r="AO100" i="14"/>
  <c r="AI98" i="11"/>
  <c r="AL136" i="11"/>
  <c r="AL136" i="14"/>
  <c r="AL130" i="11"/>
  <c r="AL130" i="14"/>
  <c r="AK136" i="11"/>
  <c r="AK136" i="14"/>
  <c r="AK173" i="11"/>
  <c r="AK173" i="14"/>
  <c r="AI119" i="11"/>
  <c r="AI119" i="14"/>
  <c r="AM162" i="11"/>
  <c r="AM162" i="14"/>
  <c r="AL122" i="11"/>
  <c r="AL122" i="14"/>
  <c r="AO146" i="11"/>
  <c r="AO146" i="14"/>
  <c r="AP180" i="11"/>
  <c r="AP180" i="14"/>
  <c r="AH108" i="11"/>
  <c r="AH108" i="14"/>
  <c r="AJ140" i="11"/>
  <c r="AJ140" i="14"/>
  <c r="AO184" i="11"/>
  <c r="AO184" i="14"/>
  <c r="AK164" i="11"/>
  <c r="AK164" i="14"/>
  <c r="AN103" i="11"/>
  <c r="AN103" i="14"/>
  <c r="AO133" i="11"/>
  <c r="AK177" i="11"/>
  <c r="AK177" i="14"/>
  <c r="AN65" i="11"/>
  <c r="AN65" i="14"/>
  <c r="AM128" i="11"/>
  <c r="AM128" i="14"/>
  <c r="AN170" i="11"/>
  <c r="AN170" i="14"/>
  <c r="AP168" i="11"/>
  <c r="AO112" i="11"/>
  <c r="AO112" i="14"/>
  <c r="AJ187" i="11"/>
  <c r="AJ187" i="14"/>
  <c r="AO129" i="11"/>
  <c r="AO129" i="14"/>
  <c r="AO104" i="11"/>
  <c r="AO104" i="14"/>
  <c r="AI194" i="11"/>
  <c r="AL188" i="11"/>
  <c r="AL188" i="14"/>
  <c r="AP153" i="11"/>
  <c r="AP139" i="11"/>
  <c r="AP139" i="14"/>
  <c r="AO189" i="11"/>
  <c r="AO189" i="14"/>
  <c r="AK137" i="11"/>
  <c r="AK131" i="11"/>
  <c r="AK131" i="14"/>
  <c r="AJ190" i="11"/>
  <c r="AJ190" i="14"/>
  <c r="AO113" i="11"/>
  <c r="AL149" i="11"/>
  <c r="AL149" i="14"/>
  <c r="AN158" i="11"/>
  <c r="AN158" i="14"/>
  <c r="AN100" i="11"/>
  <c r="AN100" i="14"/>
  <c r="AH98" i="11"/>
  <c r="AK119" i="11"/>
  <c r="AK119" i="14"/>
  <c r="AO162" i="11"/>
  <c r="AO162" i="14"/>
  <c r="AM121" i="11"/>
  <c r="AM121" i="14"/>
  <c r="AJ97" i="11"/>
  <c r="AJ97" i="14"/>
  <c r="AN70" i="11"/>
  <c r="AN70" i="14"/>
  <c r="AH154" i="11"/>
  <c r="AH154" i="14"/>
  <c r="AK66" i="11"/>
  <c r="AK66" i="14"/>
  <c r="AN185" i="11"/>
  <c r="AN185" i="14"/>
  <c r="AK153" i="11"/>
  <c r="AK153" i="14"/>
  <c r="AJ122" i="11"/>
  <c r="AJ122" i="14"/>
  <c r="AL157" i="11"/>
  <c r="AL157" i="14"/>
  <c r="AL76" i="11"/>
  <c r="AL76" i="14"/>
  <c r="AM185" i="11"/>
  <c r="AM185" i="14"/>
  <c r="AM117" i="11"/>
  <c r="AI153" i="11"/>
  <c r="AI153" i="14"/>
  <c r="AI122" i="11"/>
  <c r="AI122" i="14"/>
  <c r="AJ174" i="11"/>
  <c r="AJ174" i="14"/>
  <c r="AN161" i="11"/>
  <c r="AN161" i="14"/>
  <c r="AO120" i="11"/>
  <c r="AO120" i="14"/>
  <c r="AN180" i="11"/>
  <c r="AN180" i="14"/>
  <c r="AO166" i="11"/>
  <c r="AO166" i="14"/>
  <c r="AI168" i="11"/>
  <c r="AI168" i="14"/>
  <c r="AN127" i="11"/>
  <c r="AN127" i="14"/>
  <c r="AL161" i="11"/>
  <c r="AL161" i="14"/>
  <c r="AL112" i="11"/>
  <c r="AL112" i="14"/>
  <c r="AJ164" i="11"/>
  <c r="AJ164" i="14"/>
  <c r="AM174" i="11"/>
  <c r="AM174" i="14"/>
  <c r="AM159" i="11"/>
  <c r="AM159" i="14"/>
  <c r="AP86" i="11"/>
  <c r="AP86" i="14"/>
  <c r="AL102" i="11"/>
  <c r="AL102" i="14"/>
  <c r="AK86" i="11"/>
  <c r="AK86" i="14"/>
  <c r="AP116" i="11"/>
  <c r="AM65" i="11"/>
  <c r="AM65" i="14"/>
  <c r="AI186" i="11"/>
  <c r="AI186" i="14"/>
  <c r="AM170" i="11"/>
  <c r="AM170" i="14"/>
  <c r="AH103" i="11"/>
  <c r="AH103" i="14"/>
  <c r="AO168" i="11"/>
  <c r="AP95" i="11"/>
  <c r="AP95" i="14"/>
  <c r="AI187" i="11"/>
  <c r="AI187" i="14"/>
  <c r="AN104" i="11"/>
  <c r="AN104" i="14"/>
  <c r="AK144" i="11"/>
  <c r="AK188" i="11"/>
  <c r="AK188" i="14"/>
  <c r="AK147" i="11"/>
  <c r="AK147" i="14"/>
  <c r="AP128" i="11"/>
  <c r="AL114" i="11"/>
  <c r="AL114" i="14"/>
  <c r="AO139" i="11"/>
  <c r="AO139" i="14"/>
  <c r="AN189" i="11"/>
  <c r="AN189" i="14"/>
  <c r="AH137" i="11"/>
  <c r="AJ131" i="11"/>
  <c r="AJ131" i="14"/>
  <c r="AI190" i="11"/>
  <c r="AI190" i="14"/>
  <c r="AN113" i="11"/>
  <c r="AK149" i="11"/>
  <c r="AK149" i="14"/>
  <c r="AM158" i="11"/>
  <c r="AM158" i="14"/>
  <c r="AM100" i="11"/>
  <c r="AM100" i="14"/>
  <c r="AP192" i="11"/>
  <c r="AP192" i="14"/>
  <c r="AI185" i="11"/>
  <c r="AI185" i="14"/>
  <c r="AJ154" i="11"/>
  <c r="AJ154" i="14"/>
  <c r="AM163" i="11"/>
  <c r="AM163" i="14"/>
  <c r="AJ172" i="11"/>
  <c r="AJ172" i="14"/>
  <c r="AK97" i="11"/>
  <c r="AK97" i="14"/>
  <c r="AL173" i="11"/>
  <c r="AL173" i="14"/>
  <c r="AN153" i="11"/>
  <c r="AN153" i="14"/>
  <c r="AM124" i="11"/>
  <c r="AM124" i="14"/>
  <c r="AM76" i="11"/>
  <c r="AM76" i="14"/>
  <c r="AH118" i="11"/>
  <c r="AH118" i="14"/>
  <c r="AP185" i="11"/>
  <c r="AP185" i="14"/>
  <c r="AK121" i="11"/>
  <c r="AK121" i="14"/>
  <c r="AK163" i="11"/>
  <c r="AK163" i="14"/>
  <c r="AK138" i="11"/>
  <c r="AK138" i="14"/>
  <c r="AO89" i="11"/>
  <c r="AO89" i="14"/>
  <c r="AO157" i="11"/>
  <c r="AO157" i="14"/>
  <c r="AK107" i="11"/>
  <c r="AK107" i="14"/>
  <c r="AH125" i="11"/>
  <c r="AH125" i="14"/>
  <c r="AO76" i="11"/>
  <c r="AO76" i="14"/>
  <c r="AL101" i="11"/>
  <c r="AL101" i="14"/>
  <c r="AM89" i="11"/>
  <c r="AM89" i="14"/>
  <c r="AN175" i="11"/>
  <c r="AN175" i="14"/>
  <c r="AP120" i="11"/>
  <c r="AP120" i="14"/>
  <c r="AK146" i="11"/>
  <c r="AK146" i="14"/>
  <c r="AH138" i="11"/>
  <c r="AH138" i="14"/>
  <c r="AK140" i="11"/>
  <c r="AK140" i="14"/>
  <c r="AH107" i="11"/>
  <c r="AH107" i="14"/>
  <c r="AK168" i="11"/>
  <c r="AK168" i="14"/>
  <c r="AO180" i="11"/>
  <c r="AO180" i="14"/>
  <c r="AK89" i="11"/>
  <c r="AK89" i="14"/>
  <c r="AO159" i="11"/>
  <c r="AO159" i="14"/>
  <c r="AH101" i="11"/>
  <c r="AH101" i="14"/>
  <c r="AJ168" i="11"/>
  <c r="AJ168" i="14"/>
  <c r="AK185" i="11"/>
  <c r="AK185" i="14"/>
  <c r="AP127" i="11"/>
  <c r="AP127" i="14"/>
  <c r="AO102" i="11"/>
  <c r="AO102" i="14"/>
  <c r="AM161" i="11"/>
  <c r="AM161" i="14"/>
  <c r="AH146" i="11"/>
  <c r="AH146" i="14"/>
  <c r="AJ113" i="11"/>
  <c r="AJ113" i="14"/>
  <c r="AK148" i="11"/>
  <c r="AK148" i="14"/>
  <c r="AI140" i="11"/>
  <c r="AI140" i="14"/>
  <c r="AH174" i="11"/>
  <c r="AH174" i="14"/>
  <c r="AN116" i="11"/>
  <c r="AN116" i="14"/>
  <c r="AO108" i="11"/>
  <c r="AO108" i="14"/>
  <c r="AK91" i="11"/>
  <c r="AK91" i="14"/>
  <c r="AP117" i="11"/>
  <c r="AP117" i="14"/>
  <c r="AN159" i="11"/>
  <c r="AN159" i="14"/>
  <c r="AJ76" i="11"/>
  <c r="AJ76" i="14"/>
  <c r="AP103" i="11"/>
  <c r="AP103" i="14"/>
  <c r="AN146" i="11"/>
  <c r="AN146" i="14"/>
  <c r="AJ87" i="11"/>
  <c r="AJ87" i="14"/>
  <c r="AN166" i="11"/>
  <c r="AN166" i="14"/>
  <c r="AM127" i="11"/>
  <c r="AM127" i="14"/>
  <c r="AM168" i="11"/>
  <c r="AM168" i="14"/>
  <c r="AH184" i="11"/>
  <c r="AH184" i="14"/>
  <c r="AN160" i="11"/>
  <c r="AN160" i="14"/>
  <c r="AJ86" i="11"/>
  <c r="AJ86" i="14"/>
  <c r="AK126" i="11"/>
  <c r="AK126" i="14"/>
  <c r="AO116" i="11"/>
  <c r="AM160" i="11"/>
  <c r="AM160" i="14"/>
  <c r="AN133" i="11"/>
  <c r="AJ177" i="11"/>
  <c r="AJ177" i="14"/>
  <c r="AI86" i="11"/>
  <c r="AI86" i="14"/>
  <c r="AI176" i="11"/>
  <c r="AI176" i="14"/>
  <c r="AJ126" i="11"/>
  <c r="AJ126" i="14"/>
  <c r="AL160" i="11"/>
  <c r="AL160" i="14"/>
  <c r="AI177" i="11"/>
  <c r="AI177" i="14"/>
  <c r="AO111" i="11"/>
  <c r="AO111" i="14"/>
  <c r="AJ128" i="11"/>
  <c r="AJ128" i="14"/>
  <c r="AL170" i="11"/>
  <c r="AL170" i="14"/>
  <c r="AL103" i="11"/>
  <c r="AL103" i="14"/>
  <c r="AO95" i="11"/>
  <c r="AO95" i="14"/>
  <c r="AH187" i="11"/>
  <c r="AH187" i="14"/>
  <c r="AM129" i="11"/>
  <c r="AM129" i="14"/>
  <c r="N42" i="12"/>
  <c r="AM104" i="14"/>
  <c r="AJ188" i="11"/>
  <c r="AJ188" i="14"/>
  <c r="AJ147" i="11"/>
  <c r="AJ147" i="14"/>
  <c r="AO128" i="11"/>
  <c r="AK114" i="11"/>
  <c r="AK114" i="14"/>
  <c r="AM189" i="11"/>
  <c r="AM189" i="14"/>
  <c r="AI131" i="11"/>
  <c r="AI131" i="14"/>
  <c r="AH190" i="11"/>
  <c r="AH190" i="14"/>
  <c r="AL158" i="11"/>
  <c r="AL158" i="14"/>
  <c r="AL150" i="11"/>
  <c r="AL150" i="14"/>
  <c r="AJ142" i="11"/>
  <c r="AJ142" i="14"/>
  <c r="AO192" i="11"/>
  <c r="AO192" i="14"/>
  <c r="AH27" i="11"/>
  <c r="AP37" i="5"/>
  <c r="AK59" i="5"/>
  <c r="AH34" i="5"/>
  <c r="AH38" i="5"/>
  <c r="AN57" i="5"/>
  <c r="AJ35" i="5"/>
  <c r="AK70" i="5"/>
  <c r="AJ70" i="5"/>
  <c r="AH70" i="5"/>
  <c r="AL63" i="5"/>
  <c r="AK63" i="5"/>
  <c r="AN63" i="5"/>
  <c r="AJ71" i="5"/>
  <c r="AH72" i="5"/>
  <c r="AP70" i="5"/>
  <c r="AJ66" i="5"/>
  <c r="AN67" i="5"/>
  <c r="AN69" i="5"/>
  <c r="AJ67" i="5"/>
  <c r="AK67" i="5"/>
  <c r="AO67" i="5"/>
  <c r="AM64" i="5"/>
  <c r="AM70" i="5"/>
  <c r="AN73" i="5"/>
  <c r="AK73" i="5"/>
  <c r="AJ73" i="5"/>
  <c r="AI73" i="5"/>
  <c r="AO72" i="5"/>
  <c r="AH71" i="5"/>
  <c r="AL70" i="5"/>
  <c r="AM68" i="5"/>
  <c r="AN66" i="5"/>
  <c r="AL65" i="5"/>
  <c r="AK65" i="5"/>
  <c r="AP65" i="5"/>
  <c r="AH152" i="5"/>
  <c r="AI152" i="5"/>
  <c r="AL152" i="5"/>
  <c r="AN152" i="5"/>
  <c r="AM152" i="5"/>
  <c r="AJ152" i="5"/>
  <c r="AK152" i="5"/>
  <c r="AM120" i="5"/>
  <c r="AN120" i="5"/>
  <c r="AO120" i="5"/>
  <c r="AL120" i="5"/>
  <c r="AJ120" i="5"/>
  <c r="AK120" i="5"/>
  <c r="AP120" i="5"/>
  <c r="AH120" i="5"/>
  <c r="AI120" i="5"/>
  <c r="AJ68" i="5"/>
  <c r="AK115" i="5"/>
  <c r="AL115" i="5"/>
  <c r="AM115" i="5"/>
  <c r="AI115" i="5"/>
  <c r="AJ115" i="5"/>
  <c r="AH115" i="5"/>
  <c r="AN44" i="5"/>
  <c r="AP71" i="5"/>
  <c r="AM72" i="5"/>
  <c r="AL90" i="5"/>
  <c r="AO90" i="5"/>
  <c r="AP90" i="5"/>
  <c r="AK90" i="5"/>
  <c r="AN90" i="5"/>
  <c r="AH90" i="5"/>
  <c r="AI90" i="5"/>
  <c r="AJ90" i="5"/>
  <c r="AM90" i="5"/>
  <c r="AH88" i="5"/>
  <c r="AI88" i="5"/>
  <c r="AJ88" i="5"/>
  <c r="AK88" i="5"/>
  <c r="AL88" i="5"/>
  <c r="AM88" i="5"/>
  <c r="AN88" i="5"/>
  <c r="AO88" i="5"/>
  <c r="AP88" i="5"/>
  <c r="AO57" i="5"/>
  <c r="AK72" i="5"/>
  <c r="AL72" i="5"/>
  <c r="AO63" i="5"/>
  <c r="AJ44" i="5"/>
  <c r="AP44" i="5"/>
  <c r="AH63" i="5"/>
  <c r="AL53" i="5"/>
  <c r="AI93" i="11"/>
  <c r="AO152" i="5"/>
  <c r="AH93" i="11"/>
  <c r="AO184" i="5"/>
  <c r="AP184" i="5"/>
  <c r="AH184" i="5"/>
  <c r="AI184" i="5"/>
  <c r="AL184" i="5"/>
  <c r="AM184" i="5"/>
  <c r="AH51" i="5"/>
  <c r="AN51" i="5"/>
  <c r="AP51" i="5"/>
  <c r="AM147" i="5"/>
  <c r="AN147" i="5"/>
  <c r="AO147" i="5"/>
  <c r="AP147" i="5"/>
  <c r="AH147" i="5"/>
  <c r="AI147" i="5"/>
  <c r="AJ147" i="5"/>
  <c r="AK147" i="5"/>
  <c r="AL147" i="5"/>
  <c r="AO115" i="5"/>
  <c r="AM32" i="5"/>
  <c r="AK74" i="5"/>
  <c r="AO44" i="5"/>
  <c r="AI58" i="5"/>
  <c r="AP64" i="5"/>
  <c r="AO60" i="5"/>
  <c r="AK60" i="5"/>
  <c r="AI60" i="5"/>
  <c r="AJ60" i="5"/>
  <c r="AP31" i="5"/>
  <c r="AK51" i="5"/>
  <c r="AI37" i="5"/>
  <c r="AJ184" i="5"/>
  <c r="AH37" i="5"/>
  <c r="AN184" i="5"/>
  <c r="AN115" i="5"/>
  <c r="AL74" i="5"/>
  <c r="AM31" i="5"/>
  <c r="AL31" i="5"/>
  <c r="AL51" i="5"/>
  <c r="AN107" i="11"/>
  <c r="AM51" i="5"/>
  <c r="AK184" i="5"/>
  <c r="AJ77" i="5"/>
  <c r="AH77" i="5"/>
  <c r="AI77" i="5"/>
  <c r="AP152" i="5"/>
  <c r="AL44" i="5"/>
  <c r="AP115" i="11"/>
  <c r="AH74" i="5"/>
  <c r="AJ74" i="14"/>
  <c r="AM177" i="5"/>
  <c r="AL177" i="5"/>
  <c r="AN71" i="5"/>
  <c r="AP47" i="5"/>
  <c r="AM71" i="5"/>
  <c r="AK45" i="5"/>
  <c r="AH153" i="5"/>
  <c r="AI153" i="5"/>
  <c r="AJ153" i="5"/>
  <c r="AL153" i="5"/>
  <c r="AH118" i="5"/>
  <c r="AK118" i="5"/>
  <c r="AL118" i="5"/>
  <c r="AI118" i="5"/>
  <c r="AJ118" i="5"/>
  <c r="AO56" i="5"/>
  <c r="AH35" i="5"/>
  <c r="AP62" i="5"/>
  <c r="AL46" i="5"/>
  <c r="AP45" i="5"/>
  <c r="AN153" i="5"/>
  <c r="AN118" i="5"/>
  <c r="AM137" i="5"/>
  <c r="AN137" i="5"/>
  <c r="AO137" i="5"/>
  <c r="AM56" i="5"/>
  <c r="AK115" i="11"/>
  <c r="AP35" i="5"/>
  <c r="AP34" i="5"/>
  <c r="AO33" i="5"/>
  <c r="AI62" i="5"/>
  <c r="AL45" i="5"/>
  <c r="AH137" i="5"/>
  <c r="AM153" i="5"/>
  <c r="AM118" i="5"/>
  <c r="AL68" i="5"/>
  <c r="AN193" i="5"/>
  <c r="AM185" i="5"/>
  <c r="AN185" i="5"/>
  <c r="AJ56" i="5"/>
  <c r="AM66" i="5"/>
  <c r="AI45" i="5"/>
  <c r="AK56" i="5"/>
  <c r="AN56" i="5"/>
  <c r="AN70" i="5"/>
  <c r="AH33" i="5"/>
  <c r="AK62" i="5"/>
  <c r="AP102" i="5"/>
  <c r="AM135" i="5"/>
  <c r="AK46" i="5"/>
  <c r="AJ33" i="5"/>
  <c r="AM45" i="5"/>
  <c r="AL102" i="5"/>
  <c r="AL135" i="5"/>
  <c r="AK47" i="5"/>
  <c r="AN45" i="5"/>
  <c r="AK102" i="5"/>
  <c r="AK135" i="5"/>
  <c r="AL74" i="14"/>
  <c r="AJ74" i="5"/>
  <c r="AL56" i="5"/>
  <c r="AI56" i="5"/>
  <c r="AH56" i="5"/>
  <c r="AK68" i="5"/>
  <c r="AO115" i="11"/>
  <c r="AM44" i="5"/>
  <c r="AP66" i="5"/>
  <c r="AI112" i="5"/>
  <c r="AJ112" i="5"/>
  <c r="AK112" i="5"/>
  <c r="AL112" i="5"/>
  <c r="AO66" i="5"/>
  <c r="AL66" i="5"/>
  <c r="AN112" i="5"/>
  <c r="AI66" i="5"/>
  <c r="O50" i="12"/>
  <c r="AN126" i="11"/>
  <c r="AL124" i="11"/>
  <c r="AM104" i="11"/>
  <c r="AO135" i="5"/>
  <c r="H23" i="6"/>
  <c r="AM30" i="5"/>
  <c r="AO36" i="5"/>
  <c r="AL67" i="5"/>
  <c r="AH102" i="5"/>
  <c r="AI30" i="5"/>
  <c r="AP75" i="5"/>
  <c r="AL60" i="5"/>
  <c r="AN52" i="5"/>
  <c r="AI131" i="5"/>
  <c r="AL131" i="5"/>
  <c r="AM131" i="5"/>
  <c r="AJ131" i="5"/>
  <c r="AK131" i="5"/>
  <c r="AI36" i="5"/>
  <c r="AP60" i="5"/>
  <c r="AI177" i="5"/>
  <c r="AO177" i="5"/>
  <c r="AP177" i="5"/>
  <c r="AJ177" i="5"/>
  <c r="AN177" i="5"/>
  <c r="AN65" i="5"/>
  <c r="AJ51" i="5"/>
  <c r="AJ65" i="5"/>
  <c r="AN31" i="5"/>
  <c r="AI71" i="5"/>
  <c r="AM60" i="5"/>
  <c r="AK185" i="5"/>
  <c r="AO51" i="5"/>
  <c r="AI52" i="5"/>
  <c r="AJ185" i="5"/>
  <c r="AO65" i="5"/>
  <c r="AL71" i="14"/>
  <c r="AM59" i="5"/>
  <c r="AL71" i="5"/>
  <c r="AN71" i="14"/>
  <c r="AK37" i="5"/>
  <c r="AI185" i="5"/>
  <c r="AP131" i="5"/>
  <c r="AP192" i="5"/>
  <c r="AM107" i="11"/>
  <c r="AN60" i="5"/>
  <c r="AP135" i="5"/>
  <c r="AH135" i="5"/>
  <c r="AI135" i="5"/>
  <c r="AJ135" i="5"/>
  <c r="AK71" i="5"/>
  <c r="AM71" i="14"/>
  <c r="AH60" i="5"/>
  <c r="AL75" i="5"/>
  <c r="AK54" i="5"/>
  <c r="AL185" i="5"/>
  <c r="AI65" i="5"/>
  <c r="AO59" i="5"/>
  <c r="AJ32" i="5"/>
  <c r="AO52" i="5"/>
  <c r="AH65" i="5"/>
  <c r="AN59" i="5"/>
  <c r="AK41" i="5"/>
  <c r="AP32" i="5"/>
  <c r="AK71" i="14"/>
  <c r="AH67" i="5"/>
  <c r="AI72" i="5"/>
  <c r="AI41" i="5"/>
  <c r="AJ37" i="5"/>
  <c r="AJ55" i="14"/>
  <c r="AH55" i="5"/>
  <c r="AH185" i="5"/>
  <c r="AO131" i="5"/>
  <c r="AP42" i="5"/>
  <c r="AI42" i="5"/>
  <c r="AI86" i="5"/>
  <c r="AL124" i="5"/>
  <c r="AI49" i="5"/>
  <c r="AM41" i="5"/>
  <c r="AK124" i="5"/>
  <c r="AN115" i="11"/>
  <c r="AN58" i="5"/>
  <c r="AJ64" i="5"/>
  <c r="AJ121" i="5"/>
  <c r="AI121" i="5"/>
  <c r="AP33" i="5"/>
  <c r="AH121" i="5"/>
  <c r="AO70" i="5"/>
  <c r="AK64" i="5"/>
  <c r="AH52" i="5"/>
  <c r="AJ52" i="5"/>
  <c r="AL33" i="5"/>
  <c r="AH170" i="5"/>
  <c r="AI170" i="5"/>
  <c r="AJ170" i="5"/>
  <c r="AM170" i="5"/>
  <c r="AN170" i="5"/>
  <c r="AO170" i="5"/>
  <c r="AP170" i="5"/>
  <c r="AK170" i="5"/>
  <c r="AL170" i="5"/>
  <c r="AM53" i="5"/>
  <c r="AJ104" i="11"/>
  <c r="AM69" i="5"/>
  <c r="AN72" i="5"/>
  <c r="AO69" i="5"/>
  <c r="AJ36" i="5"/>
  <c r="AL37" i="5"/>
  <c r="AK57" i="5"/>
  <c r="AO42" i="5"/>
  <c r="AI126" i="5"/>
  <c r="AJ126" i="5"/>
  <c r="AH126" i="5"/>
  <c r="AK126" i="5"/>
  <c r="AL126" i="5"/>
  <c r="AM126" i="5"/>
  <c r="AN126" i="5"/>
  <c r="AO126" i="5"/>
  <c r="AP126" i="5"/>
  <c r="AO45" i="14"/>
  <c r="AM61" i="5"/>
  <c r="AN29" i="5"/>
  <c r="AO41" i="5"/>
  <c r="AJ85" i="5"/>
  <c r="AO85" i="5"/>
  <c r="AK34" i="5"/>
  <c r="AI51" i="5"/>
  <c r="AH109" i="5"/>
  <c r="AI109" i="5"/>
  <c r="AJ109" i="5"/>
  <c r="AN109" i="5"/>
  <c r="AO109" i="5"/>
  <c r="AP109" i="5"/>
  <c r="AK109" i="5"/>
  <c r="AL109" i="5"/>
  <c r="AM109" i="5"/>
  <c r="AL48" i="5"/>
  <c r="AO136" i="5"/>
  <c r="AP136" i="5"/>
  <c r="AM136" i="5"/>
  <c r="AN136" i="5"/>
  <c r="AH136" i="5"/>
  <c r="AI136" i="5"/>
  <c r="AJ136" i="5"/>
  <c r="AK136" i="5"/>
  <c r="AL136" i="5"/>
  <c r="L42" i="12"/>
  <c r="AK104" i="11"/>
  <c r="AO104" i="5"/>
  <c r="AP104" i="5"/>
  <c r="AJ104" i="5"/>
  <c r="AK104" i="5"/>
  <c r="AL104" i="5"/>
  <c r="AM104" i="5"/>
  <c r="AN104" i="5"/>
  <c r="AH104" i="5"/>
  <c r="AI104" i="5"/>
  <c r="AM186" i="5"/>
  <c r="AN186" i="5"/>
  <c r="AO186" i="5"/>
  <c r="AP186" i="5"/>
  <c r="AH186" i="5"/>
  <c r="AI186" i="5"/>
  <c r="AJ186" i="5"/>
  <c r="AK186" i="5"/>
  <c r="AL186" i="5"/>
  <c r="K41" i="12"/>
  <c r="AJ102" i="11"/>
  <c r="I42" i="12"/>
  <c r="I58" i="12" s="1"/>
  <c r="AH104" i="11"/>
  <c r="AN68" i="5"/>
  <c r="AJ69" i="5"/>
  <c r="AP68" i="5"/>
  <c r="AH69" i="5"/>
  <c r="AO68" i="5"/>
  <c r="AI68" i="5"/>
  <c r="AO40" i="5"/>
  <c r="G26" i="6"/>
  <c r="AO145" i="5"/>
  <c r="AP145" i="5"/>
  <c r="AH145" i="5"/>
  <c r="AI145" i="5"/>
  <c r="AJ145" i="5"/>
  <c r="AK145" i="5"/>
  <c r="AL145" i="5"/>
  <c r="AM145" i="5"/>
  <c r="AN145" i="5"/>
  <c r="AO71" i="5"/>
  <c r="AK58" i="5"/>
  <c r="AI158" i="5"/>
  <c r="AJ158" i="5"/>
  <c r="AK158" i="5"/>
  <c r="AL158" i="5"/>
  <c r="AM158" i="5"/>
  <c r="AN158" i="5"/>
  <c r="AO158" i="5"/>
  <c r="AH158" i="5"/>
  <c r="AP158" i="5"/>
  <c r="AL40" i="5"/>
  <c r="AL39" i="5"/>
  <c r="AI57" i="5"/>
  <c r="AH42" i="5"/>
  <c r="AI110" i="5"/>
  <c r="AJ110" i="5"/>
  <c r="AK110" i="5"/>
  <c r="AH110" i="5"/>
  <c r="AL110" i="5"/>
  <c r="AM110" i="5"/>
  <c r="AN110" i="5"/>
  <c r="AO110" i="5"/>
  <c r="AP110" i="5"/>
  <c r="AI29" i="5"/>
  <c r="AP78" i="5"/>
  <c r="AH78" i="5"/>
  <c r="AN78" i="5"/>
  <c r="AI78" i="5"/>
  <c r="AJ78" i="5"/>
  <c r="AM78" i="5"/>
  <c r="AM42" i="5"/>
  <c r="AM74" i="5"/>
  <c r="AN42" i="5"/>
  <c r="AP85" i="5"/>
  <c r="AM62" i="5"/>
  <c r="AN85" i="5"/>
  <c r="AL115" i="11"/>
  <c r="AP48" i="5"/>
  <c r="AH85" i="5"/>
  <c r="AI34" i="5"/>
  <c r="AL93" i="5"/>
  <c r="AM93" i="5"/>
  <c r="AN93" i="5"/>
  <c r="AO93" i="5"/>
  <c r="AP93" i="5"/>
  <c r="AH93" i="5"/>
  <c r="AI93" i="5"/>
  <c r="AJ93" i="5"/>
  <c r="AK93" i="5"/>
  <c r="AK39" i="5"/>
  <c r="AK77" i="5"/>
  <c r="AL77" i="5"/>
  <c r="AM77" i="5"/>
  <c r="AO77" i="5"/>
  <c r="AP77" i="5"/>
  <c r="AN77" i="5"/>
  <c r="AJ39" i="5"/>
  <c r="AL85" i="5"/>
  <c r="AP50" i="5"/>
  <c r="I41" i="12"/>
  <c r="I57" i="12" s="1"/>
  <c r="AH102" i="11"/>
  <c r="AL69" i="5"/>
  <c r="AH68" i="5"/>
  <c r="AO53" i="5"/>
  <c r="AJ45" i="5"/>
  <c r="AM45" i="14"/>
  <c r="AI69" i="5"/>
  <c r="AH61" i="5"/>
  <c r="AK36" i="5"/>
  <c r="AH62" i="5"/>
  <c r="AH58" i="5"/>
  <c r="AM40" i="5"/>
  <c r="AI39" i="5"/>
  <c r="AM55" i="5"/>
  <c r="AO55" i="14"/>
  <c r="AK42" i="5"/>
  <c r="AH39" i="5"/>
  <c r="AH142" i="5"/>
  <c r="AI142" i="5"/>
  <c r="AJ142" i="5"/>
  <c r="AK142" i="5"/>
  <c r="AL142" i="5"/>
  <c r="AM142" i="5"/>
  <c r="AN142" i="5"/>
  <c r="AO142" i="5"/>
  <c r="AP142" i="5"/>
  <c r="AH66" i="5"/>
  <c r="AN129" i="11"/>
  <c r="AI94" i="5"/>
  <c r="AJ94" i="5"/>
  <c r="AH94" i="5"/>
  <c r="AK94" i="5"/>
  <c r="AL94" i="5"/>
  <c r="AM94" i="5"/>
  <c r="AN94" i="5"/>
  <c r="AO94" i="5"/>
  <c r="AP94" i="5"/>
  <c r="AK61" i="5"/>
  <c r="AK85" i="5"/>
  <c r="AP74" i="5"/>
  <c r="AM115" i="11"/>
  <c r="AM47" i="5"/>
  <c r="Q49" i="12"/>
  <c r="AP124" i="11"/>
  <c r="AJ63" i="5"/>
  <c r="K49" i="12"/>
  <c r="AJ124" i="11"/>
  <c r="AM85" i="5"/>
  <c r="AO30" i="14"/>
  <c r="AN30" i="5"/>
  <c r="AO64" i="5"/>
  <c r="AJ52" i="14"/>
  <c r="AO34" i="5"/>
  <c r="AH31" i="5"/>
  <c r="AJ30" i="5"/>
  <c r="AP111" i="5"/>
  <c r="AH111" i="5"/>
  <c r="AI111" i="5"/>
  <c r="AJ111" i="5"/>
  <c r="AK111" i="5"/>
  <c r="AL111" i="5"/>
  <c r="AM111" i="5"/>
  <c r="AN111" i="5"/>
  <c r="AO111" i="5"/>
  <c r="AO49" i="5"/>
  <c r="AN55" i="5"/>
  <c r="N50" i="12"/>
  <c r="AM126" i="11"/>
  <c r="AH95" i="5"/>
  <c r="AI95" i="5"/>
  <c r="AJ95" i="5"/>
  <c r="AK95" i="5"/>
  <c r="AL95" i="5"/>
  <c r="AM95" i="5"/>
  <c r="AN95" i="5"/>
  <c r="AO95" i="5"/>
  <c r="AP95" i="5"/>
  <c r="AK40" i="5"/>
  <c r="M50" i="12"/>
  <c r="AL126" i="11"/>
  <c r="AK33" i="5"/>
  <c r="AL33" i="14"/>
  <c r="AH115" i="11"/>
  <c r="AM33" i="5"/>
  <c r="J41" i="12"/>
  <c r="AI102" i="11"/>
  <c r="AH40" i="5"/>
  <c r="AI104" i="11"/>
  <c r="AK69" i="5"/>
  <c r="AM32" i="14"/>
  <c r="AL32" i="5"/>
  <c r="AP53" i="5"/>
  <c r="AP40" i="5"/>
  <c r="AL36" i="5"/>
  <c r="AP58" i="5"/>
  <c r="AH64" i="5"/>
  <c r="AJ58" i="5"/>
  <c r="AM58" i="5"/>
  <c r="AI61" i="5"/>
  <c r="AN162" i="5"/>
  <c r="AO162" i="5"/>
  <c r="AP162" i="5"/>
  <c r="AJ162" i="5"/>
  <c r="AK162" i="5"/>
  <c r="AL162" i="5"/>
  <c r="AM162" i="5"/>
  <c r="AH162" i="5"/>
  <c r="AI162" i="5"/>
  <c r="AM48" i="5"/>
  <c r="AM61" i="14"/>
  <c r="AL61" i="5"/>
  <c r="AK29" i="5"/>
  <c r="AN39" i="5"/>
  <c r="AO29" i="5"/>
  <c r="AJ48" i="5"/>
  <c r="AL34" i="5"/>
  <c r="AM34" i="5"/>
  <c r="AJ34" i="5"/>
  <c r="AO30" i="5"/>
  <c r="AN64" i="5"/>
  <c r="AN34" i="5"/>
  <c r="AP30" i="5"/>
  <c r="AJ57" i="5"/>
  <c r="AH47" i="5"/>
  <c r="AO168" i="5"/>
  <c r="AH168" i="5"/>
  <c r="AI168" i="5"/>
  <c r="AJ168" i="5"/>
  <c r="AK168" i="5"/>
  <c r="AL168" i="5"/>
  <c r="AM168" i="5"/>
  <c r="AN168" i="5"/>
  <c r="AP168" i="5"/>
  <c r="AH44" i="5"/>
  <c r="AI40" i="5"/>
  <c r="M42" i="12"/>
  <c r="AL104" i="11"/>
  <c r="AL129" i="11"/>
  <c r="AL64" i="5"/>
  <c r="AL29" i="5"/>
  <c r="AI48" i="5"/>
  <c r="AJ29" i="5"/>
  <c r="AN61" i="5"/>
  <c r="AN48" i="5"/>
  <c r="AN47" i="5"/>
  <c r="AO47" i="5"/>
  <c r="AP29" i="5"/>
  <c r="AJ61" i="5"/>
  <c r="AK61" i="14"/>
  <c r="AH157" i="5"/>
  <c r="AI157" i="5"/>
  <c r="AJ157" i="5"/>
  <c r="AK157" i="5"/>
  <c r="AL157" i="5"/>
  <c r="AM157" i="5"/>
  <c r="AN157" i="5"/>
  <c r="AO157" i="5"/>
  <c r="AP157" i="5"/>
  <c r="AK48" i="5"/>
  <c r="AP72" i="5"/>
  <c r="AP61" i="5"/>
  <c r="AO58" i="5"/>
  <c r="AH141" i="5"/>
  <c r="AI141" i="5"/>
  <c r="AJ141" i="5"/>
  <c r="AK141" i="5"/>
  <c r="AL141" i="5"/>
  <c r="AM141" i="5"/>
  <c r="AN141" i="5"/>
  <c r="AO141" i="5"/>
  <c r="AP141" i="5"/>
  <c r="AH48" i="5"/>
  <c r="AL47" i="5"/>
  <c r="AM65" i="5"/>
  <c r="AP69" i="5"/>
  <c r="AM29" i="5"/>
  <c r="AO61" i="5"/>
  <c r="AJ125" i="5"/>
  <c r="AK125" i="5"/>
  <c r="AL125" i="5"/>
  <c r="AH125" i="5"/>
  <c r="AI125" i="5"/>
  <c r="AM125" i="5"/>
  <c r="AN125" i="5"/>
  <c r="AO125" i="5"/>
  <c r="AP125" i="5"/>
  <c r="AO48" i="5"/>
  <c r="AM174" i="5"/>
  <c r="AN174" i="5"/>
  <c r="AO174" i="5"/>
  <c r="AP174" i="5"/>
  <c r="AH174" i="5"/>
  <c r="AI174" i="5"/>
  <c r="AJ174" i="5"/>
  <c r="AK174" i="5"/>
  <c r="AL174" i="5"/>
  <c r="AH138" i="5"/>
  <c r="AI138" i="5"/>
  <c r="AJ138" i="5"/>
  <c r="AK138" i="5"/>
  <c r="AL138" i="5"/>
  <c r="AM138" i="5"/>
  <c r="AN138" i="5"/>
  <c r="AO138" i="5"/>
  <c r="AP138" i="5"/>
  <c r="AH46" i="5"/>
  <c r="AP36" i="5"/>
  <c r="AP49" i="5"/>
  <c r="AL30" i="5"/>
  <c r="AH30" i="5"/>
  <c r="AL49" i="5"/>
  <c r="AJ43" i="5"/>
  <c r="AP43" i="5"/>
  <c r="AI43" i="5"/>
  <c r="AJ165" i="5"/>
  <c r="AN165" i="5"/>
  <c r="AO165" i="5"/>
  <c r="AP165" i="5"/>
  <c r="AH165" i="5"/>
  <c r="AI165" i="5"/>
  <c r="AK165" i="5"/>
  <c r="AL165" i="5"/>
  <c r="AM165" i="5"/>
  <c r="AK30" i="5"/>
  <c r="AM46" i="5"/>
  <c r="AH191" i="5"/>
  <c r="AI191" i="5"/>
  <c r="AJ191" i="5"/>
  <c r="AK191" i="5"/>
  <c r="AL191" i="5"/>
  <c r="AM191" i="5"/>
  <c r="AN191" i="5"/>
  <c r="AO191" i="5"/>
  <c r="AP191" i="5"/>
  <c r="AM36" i="5"/>
  <c r="AJ49" i="5"/>
  <c r="AO98" i="5"/>
  <c r="AP98" i="5"/>
  <c r="AM98" i="5"/>
  <c r="AN98" i="5"/>
  <c r="AH98" i="5"/>
  <c r="AI98" i="5"/>
  <c r="AJ98" i="5"/>
  <c r="AK98" i="5"/>
  <c r="AL98" i="5"/>
  <c r="AJ133" i="5"/>
  <c r="AK133" i="5"/>
  <c r="AH133" i="5"/>
  <c r="AO133" i="5"/>
  <c r="AP133" i="5"/>
  <c r="AI133" i="5"/>
  <c r="AL133" i="5"/>
  <c r="AM133" i="5"/>
  <c r="AN133" i="5"/>
  <c r="AJ46" i="5"/>
  <c r="AM49" i="5"/>
  <c r="AN43" i="5"/>
  <c r="AK106" i="5"/>
  <c r="AL106" i="5"/>
  <c r="AM106" i="5"/>
  <c r="AH106" i="5"/>
  <c r="AI106" i="5"/>
  <c r="AJ106" i="5"/>
  <c r="AN106" i="5"/>
  <c r="AO106" i="5"/>
  <c r="AP106" i="5"/>
  <c r="AP57" i="5"/>
  <c r="AK49" i="5"/>
  <c r="AH181" i="5"/>
  <c r="AI181" i="5"/>
  <c r="AJ181" i="5"/>
  <c r="AK181" i="5"/>
  <c r="AL181" i="5"/>
  <c r="AM181" i="5"/>
  <c r="AN181" i="5"/>
  <c r="AO181" i="5"/>
  <c r="AP181" i="5"/>
  <c r="AI46" i="5"/>
  <c r="AH45" i="5"/>
  <c r="AK44" i="5"/>
  <c r="AO43" i="5"/>
  <c r="AN36" i="5"/>
  <c r="AO46" i="5"/>
  <c r="AH57" i="5"/>
  <c r="AN46" i="5"/>
  <c r="AN117" i="5"/>
  <c r="AO117" i="5"/>
  <c r="AP117" i="5"/>
  <c r="AH117" i="5"/>
  <c r="AI117" i="5"/>
  <c r="AJ117" i="5"/>
  <c r="AK117" i="5"/>
  <c r="AL117" i="5"/>
  <c r="AM117" i="5"/>
  <c r="AH144" i="5"/>
  <c r="AK144" i="5"/>
  <c r="AL144" i="5"/>
  <c r="AM144" i="5"/>
  <c r="AI144" i="5"/>
  <c r="AJ144" i="5"/>
  <c r="AN144" i="5"/>
  <c r="AO144" i="5"/>
  <c r="AP144" i="5"/>
  <c r="AJ101" i="5"/>
  <c r="AK101" i="5"/>
  <c r="AH101" i="5"/>
  <c r="AI101" i="5"/>
  <c r="AL101" i="5"/>
  <c r="AM101" i="5"/>
  <c r="AO101" i="5"/>
  <c r="AP101" i="5"/>
  <c r="AN101" i="5"/>
  <c r="AO45" i="5"/>
  <c r="AI44" i="5"/>
  <c r="AH43" i="5"/>
  <c r="AN97" i="5"/>
  <c r="AO97" i="5"/>
  <c r="AH97" i="5"/>
  <c r="AI97" i="5"/>
  <c r="AJ97" i="5"/>
  <c r="AK97" i="5"/>
  <c r="AL97" i="5"/>
  <c r="AM97" i="5"/>
  <c r="AP97" i="5"/>
  <c r="AI129" i="11"/>
  <c r="AO93" i="11"/>
  <c r="AN93" i="11"/>
  <c r="AO103" i="5"/>
  <c r="AP103" i="5"/>
  <c r="AH103" i="5"/>
  <c r="AI103" i="5"/>
  <c r="AJ103" i="5"/>
  <c r="AK103" i="5"/>
  <c r="AL103" i="5"/>
  <c r="AM103" i="5"/>
  <c r="AN103" i="5"/>
  <c r="P49" i="12"/>
  <c r="AO124" i="11"/>
  <c r="AK108" i="5"/>
  <c r="AL108" i="5"/>
  <c r="AM108" i="5"/>
  <c r="AN108" i="5"/>
  <c r="AO108" i="5"/>
  <c r="AP108" i="5"/>
  <c r="AH108" i="5"/>
  <c r="AI108" i="5"/>
  <c r="AJ108" i="5"/>
  <c r="AJ62" i="5"/>
  <c r="AP67" i="5"/>
  <c r="AI70" i="5"/>
  <c r="AN32" i="5"/>
  <c r="AL62" i="5"/>
  <c r="AJ91" i="5"/>
  <c r="AK91" i="5"/>
  <c r="AL91" i="5"/>
  <c r="AP91" i="5"/>
  <c r="AH91" i="5"/>
  <c r="AI91" i="5"/>
  <c r="AM91" i="5"/>
  <c r="AN91" i="5"/>
  <c r="AO91" i="5"/>
  <c r="AH163" i="5"/>
  <c r="AI163" i="5"/>
  <c r="AJ163" i="5"/>
  <c r="AK163" i="5"/>
  <c r="AL163" i="5"/>
  <c r="AM163" i="5"/>
  <c r="AN163" i="5"/>
  <c r="AP163" i="5"/>
  <c r="AO163" i="5"/>
  <c r="AH119" i="5"/>
  <c r="AI119" i="5"/>
  <c r="AJ119" i="5"/>
  <c r="AK119" i="5"/>
  <c r="AL119" i="5"/>
  <c r="AM119" i="5"/>
  <c r="AN119" i="5"/>
  <c r="AO119" i="5"/>
  <c r="AP119" i="5"/>
  <c r="AI67" i="5"/>
  <c r="AM67" i="5"/>
  <c r="AO37" i="5"/>
  <c r="AH32" i="5"/>
  <c r="AO75" i="5"/>
  <c r="AN75" i="5"/>
  <c r="AH49" i="5"/>
  <c r="AH167" i="5"/>
  <c r="AI167" i="5"/>
  <c r="AJ167" i="5"/>
  <c r="AK167" i="5"/>
  <c r="AL167" i="5"/>
  <c r="AM167" i="5"/>
  <c r="AN167" i="5"/>
  <c r="AO167" i="5"/>
  <c r="AP167" i="5"/>
  <c r="AP93" i="11"/>
  <c r="AH129" i="11"/>
  <c r="AH151" i="5"/>
  <c r="AN151" i="5"/>
  <c r="AO151" i="5"/>
  <c r="AP151" i="5"/>
  <c r="AJ151" i="5"/>
  <c r="AK151" i="5"/>
  <c r="AL151" i="5"/>
  <c r="AM151" i="5"/>
  <c r="AI151" i="5"/>
  <c r="AH87" i="5"/>
  <c r="AI87" i="5"/>
  <c r="AL87" i="5"/>
  <c r="AM87" i="5"/>
  <c r="AN87" i="5"/>
  <c r="AO87" i="5"/>
  <c r="AP87" i="5"/>
  <c r="AJ87" i="5"/>
  <c r="AK87" i="5"/>
  <c r="AH107" i="5"/>
  <c r="AI107" i="5"/>
  <c r="AJ107" i="5"/>
  <c r="AK107" i="5"/>
  <c r="AL107" i="5"/>
  <c r="AM107" i="5"/>
  <c r="AN107" i="5"/>
  <c r="AO107" i="5"/>
  <c r="AP107" i="5"/>
  <c r="AO32" i="5"/>
  <c r="AH189" i="5"/>
  <c r="AI189" i="5"/>
  <c r="AJ189" i="5"/>
  <c r="AK189" i="5"/>
  <c r="AL189" i="5"/>
  <c r="AM189" i="5"/>
  <c r="AN189" i="5"/>
  <c r="AO189" i="5"/>
  <c r="AP189" i="5"/>
  <c r="AH183" i="5"/>
  <c r="AI183" i="5"/>
  <c r="AJ183" i="5"/>
  <c r="AK183" i="5"/>
  <c r="AL183" i="5"/>
  <c r="AM183" i="5"/>
  <c r="AN183" i="5"/>
  <c r="AO183" i="5"/>
  <c r="AP183" i="5"/>
  <c r="AK43" i="5"/>
  <c r="AH123" i="5"/>
  <c r="AJ123" i="5"/>
  <c r="AK123" i="5"/>
  <c r="AL123" i="5"/>
  <c r="AM123" i="5"/>
  <c r="AN123" i="5"/>
  <c r="AO123" i="5"/>
  <c r="AP123" i="5"/>
  <c r="AI123" i="5"/>
  <c r="AN37" i="5"/>
  <c r="AM37" i="5"/>
  <c r="AI32" i="5"/>
  <c r="AO62" i="5"/>
  <c r="AN173" i="5"/>
  <c r="AO173" i="5"/>
  <c r="AP173" i="5"/>
  <c r="AH173" i="5"/>
  <c r="AJ173" i="5"/>
  <c r="AK173" i="5"/>
  <c r="AL173" i="5"/>
  <c r="AM173" i="5"/>
  <c r="AI173" i="5"/>
  <c r="AI190" i="5"/>
  <c r="AN190" i="5"/>
  <c r="AO190" i="5"/>
  <c r="AP190" i="5"/>
  <c r="AM190" i="5"/>
  <c r="AJ190" i="5"/>
  <c r="AK190" i="5"/>
  <c r="AL190" i="5"/>
  <c r="AH190" i="5"/>
  <c r="AP175" i="5"/>
  <c r="AH175" i="5"/>
  <c r="AI175" i="5"/>
  <c r="AJ175" i="5"/>
  <c r="AK175" i="5"/>
  <c r="AL175" i="5"/>
  <c r="AM175" i="5"/>
  <c r="AN175" i="5"/>
  <c r="AO175" i="5"/>
  <c r="AH159" i="5"/>
  <c r="AI159" i="5"/>
  <c r="AJ159" i="5"/>
  <c r="AK159" i="5"/>
  <c r="AL159" i="5"/>
  <c r="AM159" i="5"/>
  <c r="AN159" i="5"/>
  <c r="AO159" i="5"/>
  <c r="AP159" i="5"/>
  <c r="AH187" i="5"/>
  <c r="AI187" i="5"/>
  <c r="AJ187" i="5"/>
  <c r="AK187" i="5"/>
  <c r="AL187" i="5"/>
  <c r="AM187" i="5"/>
  <c r="AN187" i="5"/>
  <c r="AO187" i="5"/>
  <c r="AP187" i="5"/>
  <c r="AM182" i="5"/>
  <c r="AN182" i="5"/>
  <c r="AO182" i="5"/>
  <c r="AP182" i="5"/>
  <c r="AH182" i="5"/>
  <c r="AI182" i="5"/>
  <c r="AJ182" i="5"/>
  <c r="AK182" i="5"/>
  <c r="AL182" i="5"/>
  <c r="AH171" i="5"/>
  <c r="AI171" i="5"/>
  <c r="AK171" i="5"/>
  <c r="AL171" i="5"/>
  <c r="AM171" i="5"/>
  <c r="AN171" i="5"/>
  <c r="AO171" i="5"/>
  <c r="AP171" i="5"/>
  <c r="AJ171" i="5"/>
  <c r="AP143" i="5"/>
  <c r="AH143" i="5"/>
  <c r="AI143" i="5"/>
  <c r="AJ143" i="5"/>
  <c r="AK143" i="5"/>
  <c r="AM143" i="5"/>
  <c r="AN143" i="5"/>
  <c r="AO143" i="5"/>
  <c r="AL143" i="5"/>
  <c r="AH127" i="5"/>
  <c r="AI127" i="5"/>
  <c r="AJ127" i="5"/>
  <c r="AK127" i="5"/>
  <c r="AL127" i="5"/>
  <c r="AM127" i="5"/>
  <c r="AN127" i="5"/>
  <c r="AO127" i="5"/>
  <c r="AP127" i="5"/>
  <c r="AK155" i="5"/>
  <c r="AL155" i="5"/>
  <c r="AM155" i="5"/>
  <c r="AH155" i="5"/>
  <c r="AI155" i="5"/>
  <c r="AJ155" i="5"/>
  <c r="AN155" i="5"/>
  <c r="AO155" i="5"/>
  <c r="AP155" i="5"/>
  <c r="AH139" i="5"/>
  <c r="AI139" i="5"/>
  <c r="AJ139" i="5"/>
  <c r="AK139" i="5"/>
  <c r="AL139" i="5"/>
  <c r="AM139" i="5"/>
  <c r="AN139" i="5"/>
  <c r="AO139" i="5"/>
  <c r="AP139" i="5"/>
  <c r="O28" i="12"/>
  <c r="AL64" i="11"/>
  <c r="AM61" i="11"/>
  <c r="I59" i="12"/>
  <c r="AI53" i="11"/>
  <c r="AJ74" i="11"/>
  <c r="AK40" i="11"/>
  <c r="AN40" i="11"/>
  <c r="AI41" i="11"/>
  <c r="J17" i="12"/>
  <c r="AJ55" i="11"/>
  <c r="AP77" i="11"/>
  <c r="AN77" i="11"/>
  <c r="AJ85" i="11"/>
  <c r="AO77" i="11"/>
  <c r="AP75" i="11"/>
  <c r="AL85" i="11"/>
  <c r="AL75" i="11"/>
  <c r="O35" i="12"/>
  <c r="AN84" i="11"/>
  <c r="AM77" i="11"/>
  <c r="Q33" i="12"/>
  <c r="AP80" i="11"/>
  <c r="N35" i="12"/>
  <c r="AM84" i="11"/>
  <c r="AK75" i="11"/>
  <c r="AN75" i="11"/>
  <c r="Q34" i="12"/>
  <c r="AP82" i="11"/>
  <c r="M35" i="12"/>
  <c r="AL84" i="11"/>
  <c r="AP85" i="11"/>
  <c r="N33" i="12"/>
  <c r="AM80" i="11"/>
  <c r="M34" i="12"/>
  <c r="AL82" i="11"/>
  <c r="AJ84" i="11"/>
  <c r="L34" i="12"/>
  <c r="AK82" i="11"/>
  <c r="AP78" i="11"/>
  <c r="P34" i="12"/>
  <c r="AO82" i="11"/>
  <c r="AJ78" i="11"/>
  <c r="AK85" i="11"/>
  <c r="M33" i="12"/>
  <c r="AL80" i="11"/>
  <c r="AK47" i="11"/>
  <c r="AJ80" i="11"/>
  <c r="O34" i="12"/>
  <c r="AN82" i="11"/>
  <c r="AN78" i="11"/>
  <c r="P33" i="12"/>
  <c r="AO80" i="11"/>
  <c r="O33" i="12"/>
  <c r="AN80" i="11"/>
  <c r="L35" i="12"/>
  <c r="AK84" i="11"/>
  <c r="AM78" i="11"/>
  <c r="AN85" i="11"/>
  <c r="AL78" i="11"/>
  <c r="AM85" i="11"/>
  <c r="AP47" i="11"/>
  <c r="L33" i="12"/>
  <c r="AK80" i="11"/>
  <c r="AM75" i="11"/>
  <c r="P35" i="12"/>
  <c r="AO84" i="11"/>
  <c r="AO85" i="11"/>
  <c r="AL77" i="11"/>
  <c r="Q35" i="12"/>
  <c r="AP84" i="11"/>
  <c r="AO78" i="11"/>
  <c r="AK78" i="11"/>
  <c r="N28" i="12"/>
  <c r="AK77" i="11"/>
  <c r="N34" i="12"/>
  <c r="AM82" i="11"/>
  <c r="AN46" i="11"/>
  <c r="AJ77" i="11"/>
  <c r="AO75" i="11"/>
  <c r="AJ82" i="11"/>
  <c r="K31" i="12"/>
  <c r="AJ75" i="11"/>
  <c r="AO46" i="11"/>
  <c r="AI34" i="11"/>
  <c r="AK74" i="11"/>
  <c r="AL47" i="11"/>
  <c r="K18" i="12"/>
  <c r="AP40" i="11"/>
  <c r="AJ43" i="11"/>
  <c r="AM40" i="11"/>
  <c r="AN37" i="11"/>
  <c r="O17" i="12"/>
  <c r="AN43" i="11"/>
  <c r="I22" i="12"/>
  <c r="I21" i="12" s="1"/>
  <c r="H18" i="6" s="1"/>
  <c r="J22" i="12"/>
  <c r="I16" i="12"/>
  <c r="I56" i="12" s="1"/>
  <c r="AH15" i="11"/>
  <c r="AQ15" i="10"/>
  <c r="AN34" i="11"/>
  <c r="O16" i="12"/>
  <c r="Q28" i="12"/>
  <c r="L25" i="12"/>
  <c r="AN32" i="11"/>
  <c r="P25" i="12"/>
  <c r="AM56" i="11"/>
  <c r="N17" i="12"/>
  <c r="L27" i="12"/>
  <c r="AK62" i="11"/>
  <c r="L28" i="12"/>
  <c r="AJ50" i="11"/>
  <c r="Q17" i="12"/>
  <c r="Q26" i="12"/>
  <c r="AP60" i="11"/>
  <c r="AK46" i="11"/>
  <c r="N25" i="12"/>
  <c r="O19" i="12"/>
  <c r="AN41" i="11"/>
  <c r="O25" i="12"/>
  <c r="AN58" i="11"/>
  <c r="AK35" i="11"/>
  <c r="AK53" i="11"/>
  <c r="L17" i="12"/>
  <c r="AM55" i="11"/>
  <c r="M28" i="12"/>
  <c r="AK56" i="11"/>
  <c r="AP56" i="11"/>
  <c r="AK55" i="11"/>
  <c r="K26" i="12"/>
  <c r="AM49" i="11"/>
  <c r="O26" i="12"/>
  <c r="AL32" i="11"/>
  <c r="Q25" i="12"/>
  <c r="AP58" i="11"/>
  <c r="P28" i="12"/>
  <c r="M27" i="12"/>
  <c r="L16" i="12"/>
  <c r="AK38" i="11"/>
  <c r="P18" i="12"/>
  <c r="O27" i="12"/>
  <c r="AN62" i="11"/>
  <c r="AJ45" i="11"/>
  <c r="O23" i="12"/>
  <c r="P26" i="12"/>
  <c r="AO60" i="11"/>
  <c r="Q27" i="12"/>
  <c r="AP32" i="11"/>
  <c r="Q19" i="12"/>
  <c r="L19" i="12"/>
  <c r="AP34" i="11"/>
  <c r="K17" i="12"/>
  <c r="N26" i="12"/>
  <c r="AM60" i="11"/>
  <c r="AM38" i="11"/>
  <c r="AK45" i="11"/>
  <c r="AL48" i="11"/>
  <c r="AP35" i="11"/>
  <c r="K19" i="12"/>
  <c r="P17" i="12"/>
  <c r="AJ56" i="11"/>
  <c r="Q23" i="12"/>
  <c r="O15" i="12"/>
  <c r="AP49" i="11"/>
  <c r="M23" i="12"/>
  <c r="AL53" i="11"/>
  <c r="P27" i="12"/>
  <c r="AO62" i="11"/>
  <c r="AM32" i="11"/>
  <c r="M17" i="12"/>
  <c r="N27" i="12"/>
  <c r="AM62" i="11"/>
  <c r="M19" i="12"/>
  <c r="AO56" i="11"/>
  <c r="M25" i="12"/>
  <c r="M26" i="12"/>
  <c r="N23" i="12"/>
  <c r="AO34" i="11"/>
  <c r="AJ38" i="11"/>
  <c r="AL46" i="11"/>
  <c r="K25" i="12"/>
  <c r="AN56" i="11"/>
  <c r="P19" i="12"/>
  <c r="AJ32" i="11"/>
  <c r="AL38" i="11"/>
  <c r="L26" i="12"/>
  <c r="AK60" i="11"/>
  <c r="N19" i="12"/>
  <c r="AM41" i="11"/>
  <c r="AG16" i="11"/>
  <c r="AH16" i="10"/>
  <c r="AG16" i="5"/>
  <c r="X30" i="14"/>
  <c r="X98" i="1"/>
  <c r="Y30" i="14" s="1"/>
  <c r="Y98" i="1"/>
  <c r="Z30" i="14" s="1"/>
  <c r="Z98" i="1"/>
  <c r="AA30" i="14" s="1"/>
  <c r="AA98" i="1"/>
  <c r="AB30" i="14" s="1"/>
  <c r="AB98" i="1"/>
  <c r="AC30" i="14" s="1"/>
  <c r="X31" i="14"/>
  <c r="X99" i="1"/>
  <c r="Y31" i="14" s="1"/>
  <c r="Y99" i="1"/>
  <c r="Z31" i="14" s="1"/>
  <c r="Z99" i="1"/>
  <c r="AA31" i="14" s="1"/>
  <c r="AA99" i="1"/>
  <c r="AB31" i="14" s="1"/>
  <c r="AB99" i="1"/>
  <c r="AC31" i="14" s="1"/>
  <c r="X32" i="14"/>
  <c r="X100" i="1"/>
  <c r="Y32" i="14" s="1"/>
  <c r="Y100" i="1"/>
  <c r="Z32" i="14" s="1"/>
  <c r="Z100" i="1"/>
  <c r="AA32" i="14" s="1"/>
  <c r="AA100" i="1"/>
  <c r="AB32" i="14" s="1"/>
  <c r="AB100" i="1"/>
  <c r="AC32" i="14" s="1"/>
  <c r="X33" i="14"/>
  <c r="X101" i="1"/>
  <c r="Y33" i="14" s="1"/>
  <c r="Y101" i="1"/>
  <c r="Z33" i="14" s="1"/>
  <c r="Z101" i="1"/>
  <c r="AA33" i="14" s="1"/>
  <c r="AA101" i="1"/>
  <c r="AB33" i="14" s="1"/>
  <c r="AB101" i="1"/>
  <c r="AC33" i="14" s="1"/>
  <c r="X34" i="14"/>
  <c r="X102" i="1"/>
  <c r="Y34" i="14" s="1"/>
  <c r="Y102" i="1"/>
  <c r="Z34" i="14" s="1"/>
  <c r="Z102" i="1"/>
  <c r="AA34" i="14" s="1"/>
  <c r="AA102" i="1"/>
  <c r="AB34" i="14" s="1"/>
  <c r="AB102" i="1"/>
  <c r="AC34" i="14" s="1"/>
  <c r="X35" i="14"/>
  <c r="X103" i="1"/>
  <c r="Y35" i="14" s="1"/>
  <c r="Y103" i="1"/>
  <c r="Z35" i="14" s="1"/>
  <c r="Z103" i="1"/>
  <c r="AA35" i="14" s="1"/>
  <c r="AA103" i="1"/>
  <c r="AB35" i="14" s="1"/>
  <c r="AB103" i="1"/>
  <c r="AC35" i="14" s="1"/>
  <c r="X36" i="14"/>
  <c r="X104" i="1"/>
  <c r="Y36" i="14" s="1"/>
  <c r="Y104" i="1"/>
  <c r="Z36" i="14" s="1"/>
  <c r="Z104" i="1"/>
  <c r="AA36" i="14" s="1"/>
  <c r="AA104" i="1"/>
  <c r="AB36" i="14" s="1"/>
  <c r="AB104" i="1"/>
  <c r="AC36" i="14" s="1"/>
  <c r="X37" i="14"/>
  <c r="X105" i="1"/>
  <c r="Y37" i="14" s="1"/>
  <c r="Y105" i="1"/>
  <c r="Z37" i="14" s="1"/>
  <c r="Z105" i="1"/>
  <c r="AA37" i="14" s="1"/>
  <c r="AA105" i="1"/>
  <c r="AB37" i="14" s="1"/>
  <c r="AB105" i="1"/>
  <c r="AC37" i="14" s="1"/>
  <c r="X38" i="14"/>
  <c r="X106" i="1"/>
  <c r="Y38" i="14" s="1"/>
  <c r="Y106" i="1"/>
  <c r="Z38" i="14" s="1"/>
  <c r="Z106" i="1"/>
  <c r="AA38" i="14" s="1"/>
  <c r="AA106" i="1"/>
  <c r="AB38" i="14" s="1"/>
  <c r="AB106" i="1"/>
  <c r="AC38" i="14" s="1"/>
  <c r="X39" i="14"/>
  <c r="X107" i="1"/>
  <c r="Y39" i="14" s="1"/>
  <c r="Y107" i="1"/>
  <c r="Z39" i="14" s="1"/>
  <c r="Z107" i="1"/>
  <c r="AA39" i="14" s="1"/>
  <c r="AA107" i="1"/>
  <c r="AB39" i="14" s="1"/>
  <c r="AB107" i="1"/>
  <c r="AC39" i="14" s="1"/>
  <c r="X40" i="14"/>
  <c r="X108" i="1"/>
  <c r="Y40" i="14" s="1"/>
  <c r="Y108" i="1"/>
  <c r="Z40" i="14" s="1"/>
  <c r="Z108" i="1"/>
  <c r="AA40" i="14" s="1"/>
  <c r="AA108" i="1"/>
  <c r="AB40" i="14" s="1"/>
  <c r="AB108" i="1"/>
  <c r="AC40" i="14" s="1"/>
  <c r="X41" i="14"/>
  <c r="X109" i="1"/>
  <c r="Y41" i="14" s="1"/>
  <c r="Y109" i="1"/>
  <c r="Z41" i="14" s="1"/>
  <c r="Z109" i="1"/>
  <c r="AA41" i="14" s="1"/>
  <c r="AA109" i="1"/>
  <c r="AB41" i="14" s="1"/>
  <c r="AB109" i="1"/>
  <c r="AC41" i="14" s="1"/>
  <c r="X42" i="14"/>
  <c r="X110" i="1"/>
  <c r="Y42" i="14" s="1"/>
  <c r="Y110" i="1"/>
  <c r="Z42" i="14" s="1"/>
  <c r="Z110" i="1"/>
  <c r="AA42" i="14" s="1"/>
  <c r="AA110" i="1"/>
  <c r="AB42" i="14" s="1"/>
  <c r="AB110" i="1"/>
  <c r="AC42" i="14" s="1"/>
  <c r="X43" i="14"/>
  <c r="X111" i="1"/>
  <c r="Y43" i="14" s="1"/>
  <c r="Y111" i="1"/>
  <c r="Z43" i="14" s="1"/>
  <c r="Z111" i="1"/>
  <c r="AA43" i="14" s="1"/>
  <c r="AA111" i="1"/>
  <c r="AB43" i="14" s="1"/>
  <c r="AB111" i="1"/>
  <c r="AC43" i="14" s="1"/>
  <c r="X44" i="14"/>
  <c r="X112" i="1"/>
  <c r="Y44" i="14" s="1"/>
  <c r="Y112" i="1"/>
  <c r="Z44" i="14" s="1"/>
  <c r="Z112" i="1"/>
  <c r="AA44" i="14" s="1"/>
  <c r="AA112" i="1"/>
  <c r="AB44" i="14" s="1"/>
  <c r="AB112" i="1"/>
  <c r="AC44" i="14" s="1"/>
  <c r="X45" i="14"/>
  <c r="X113" i="1"/>
  <c r="Y45" i="14" s="1"/>
  <c r="Y113" i="1"/>
  <c r="Z45" i="14" s="1"/>
  <c r="Z113" i="1"/>
  <c r="AA45" i="14" s="1"/>
  <c r="AA113" i="1"/>
  <c r="AB45" i="14" s="1"/>
  <c r="AB113" i="1"/>
  <c r="AC45" i="14" s="1"/>
  <c r="X46" i="14"/>
  <c r="X114" i="1"/>
  <c r="Y46" i="14" s="1"/>
  <c r="Y114" i="1"/>
  <c r="Z46" i="14" s="1"/>
  <c r="Z114" i="1"/>
  <c r="AA46" i="14" s="1"/>
  <c r="AA114" i="1"/>
  <c r="AB46" i="14" s="1"/>
  <c r="AB114" i="1"/>
  <c r="AC46" i="14" s="1"/>
  <c r="X47" i="14"/>
  <c r="X115" i="1"/>
  <c r="Y47" i="14" s="1"/>
  <c r="Y115" i="1"/>
  <c r="Z47" i="14" s="1"/>
  <c r="Z115" i="1"/>
  <c r="AA47" i="14" s="1"/>
  <c r="AA115" i="1"/>
  <c r="AB47" i="14" s="1"/>
  <c r="AB115" i="1"/>
  <c r="AC47" i="14" s="1"/>
  <c r="X48" i="14"/>
  <c r="X116" i="1"/>
  <c r="Y48" i="14" s="1"/>
  <c r="Y116" i="1"/>
  <c r="Z48" i="14" s="1"/>
  <c r="Z116" i="1"/>
  <c r="AA48" i="14" s="1"/>
  <c r="AA116" i="1"/>
  <c r="AB48" i="14" s="1"/>
  <c r="AB116" i="1"/>
  <c r="AC48" i="14" s="1"/>
  <c r="X49" i="14"/>
  <c r="X117" i="1"/>
  <c r="Y49" i="14" s="1"/>
  <c r="Y117" i="1"/>
  <c r="Z49" i="14" s="1"/>
  <c r="Z117" i="1"/>
  <c r="AA49" i="14" s="1"/>
  <c r="AA117" i="1"/>
  <c r="AB49" i="14" s="1"/>
  <c r="AB117" i="1"/>
  <c r="AC49" i="14" s="1"/>
  <c r="X50" i="14"/>
  <c r="X118" i="1"/>
  <c r="Y50" i="14" s="1"/>
  <c r="Y118" i="1"/>
  <c r="Z50" i="14" s="1"/>
  <c r="Z118" i="1"/>
  <c r="AA50" i="14" s="1"/>
  <c r="AA118" i="1"/>
  <c r="AB50" i="14" s="1"/>
  <c r="AB118" i="1"/>
  <c r="AC50" i="14" s="1"/>
  <c r="X51" i="14"/>
  <c r="X119" i="1"/>
  <c r="Y51" i="14" s="1"/>
  <c r="Y119" i="1"/>
  <c r="Z51" i="14" s="1"/>
  <c r="Z119" i="1"/>
  <c r="AA51" i="14" s="1"/>
  <c r="AA119" i="1"/>
  <c r="AB51" i="14" s="1"/>
  <c r="AB119" i="1"/>
  <c r="AC51" i="14" s="1"/>
  <c r="X52" i="14"/>
  <c r="X120" i="1"/>
  <c r="Y52" i="14" s="1"/>
  <c r="Y120" i="1"/>
  <c r="Z52" i="14" s="1"/>
  <c r="Z120" i="1"/>
  <c r="AA52" i="14" s="1"/>
  <c r="AA120" i="1"/>
  <c r="AB52" i="14" s="1"/>
  <c r="AB120" i="1"/>
  <c r="AC52" i="14" s="1"/>
  <c r="X53" i="14"/>
  <c r="X121" i="1"/>
  <c r="Y53" i="14" s="1"/>
  <c r="Y121" i="1"/>
  <c r="Z53" i="14" s="1"/>
  <c r="Z121" i="1"/>
  <c r="AA53" i="14" s="1"/>
  <c r="AA121" i="1"/>
  <c r="AB53" i="14" s="1"/>
  <c r="AB121" i="1"/>
  <c r="AC53" i="14" s="1"/>
  <c r="X54" i="14"/>
  <c r="X122" i="1"/>
  <c r="Y54" i="14" s="1"/>
  <c r="Y122" i="1"/>
  <c r="Z54" i="14" s="1"/>
  <c r="Z122" i="1"/>
  <c r="AA54" i="14" s="1"/>
  <c r="AA122" i="1"/>
  <c r="AB54" i="14" s="1"/>
  <c r="AB122" i="1"/>
  <c r="AC54" i="14" s="1"/>
  <c r="X55" i="14"/>
  <c r="X123" i="1"/>
  <c r="Y55" i="14" s="1"/>
  <c r="Y123" i="1"/>
  <c r="Z55" i="14" s="1"/>
  <c r="Z123" i="1"/>
  <c r="AA55" i="14" s="1"/>
  <c r="AA123" i="1"/>
  <c r="AB55" i="14" s="1"/>
  <c r="AB123" i="1"/>
  <c r="AC55" i="14" s="1"/>
  <c r="X57" i="14"/>
  <c r="X125" i="1"/>
  <c r="Y57" i="14" s="1"/>
  <c r="Y125" i="1"/>
  <c r="Z57" i="14" s="1"/>
  <c r="Z125" i="1"/>
  <c r="AA57" i="14" s="1"/>
  <c r="AA125" i="1"/>
  <c r="AB57" i="14" s="1"/>
  <c r="AB125" i="1"/>
  <c r="AC57" i="14" s="1"/>
  <c r="X58" i="14"/>
  <c r="X126" i="1"/>
  <c r="Y58" i="14" s="1"/>
  <c r="Y126" i="1"/>
  <c r="Z58" i="14" s="1"/>
  <c r="Z126" i="1"/>
  <c r="AA58" i="14" s="1"/>
  <c r="AA126" i="1"/>
  <c r="AB58" i="14" s="1"/>
  <c r="AB126" i="1"/>
  <c r="AC58" i="14" s="1"/>
  <c r="X59" i="14"/>
  <c r="X127" i="1"/>
  <c r="Y59" i="14" s="1"/>
  <c r="Y127" i="1"/>
  <c r="Z59" i="14" s="1"/>
  <c r="Z127" i="1"/>
  <c r="AA59" i="14" s="1"/>
  <c r="AA127" i="1"/>
  <c r="AB59" i="14" s="1"/>
  <c r="AB127" i="1"/>
  <c r="AC59" i="14" s="1"/>
  <c r="X60" i="14"/>
  <c r="X128" i="1"/>
  <c r="Y60" i="14" s="1"/>
  <c r="Y128" i="1"/>
  <c r="Z60" i="14" s="1"/>
  <c r="Z128" i="1"/>
  <c r="AA60" i="14" s="1"/>
  <c r="AA128" i="1"/>
  <c r="AB60" i="14" s="1"/>
  <c r="AB128" i="1"/>
  <c r="AC60" i="14" s="1"/>
  <c r="X61" i="14"/>
  <c r="X129" i="1"/>
  <c r="Y61" i="14" s="1"/>
  <c r="Y129" i="1"/>
  <c r="Z61" i="14" s="1"/>
  <c r="Z129" i="1"/>
  <c r="AA61" i="14" s="1"/>
  <c r="AA129" i="1"/>
  <c r="AB61" i="14" s="1"/>
  <c r="AB129" i="1"/>
  <c r="AC61" i="14" s="1"/>
  <c r="X62" i="14"/>
  <c r="X130" i="1"/>
  <c r="Y62" i="14" s="1"/>
  <c r="Y130" i="1"/>
  <c r="Z62" i="14" s="1"/>
  <c r="Z130" i="1"/>
  <c r="AA62" i="14" s="1"/>
  <c r="AA130" i="1"/>
  <c r="AB62" i="14" s="1"/>
  <c r="AB130" i="1"/>
  <c r="AC62" i="14" s="1"/>
  <c r="X63" i="14"/>
  <c r="X131" i="1"/>
  <c r="Y63" i="14" s="1"/>
  <c r="Y131" i="1"/>
  <c r="Z63" i="14" s="1"/>
  <c r="Z131" i="1"/>
  <c r="AA63" i="14" s="1"/>
  <c r="AA131" i="1"/>
  <c r="AB63" i="14" s="1"/>
  <c r="AB131" i="1"/>
  <c r="AC63" i="14" s="1"/>
  <c r="X64" i="14"/>
  <c r="X132" i="1"/>
  <c r="Y64" i="14" s="1"/>
  <c r="Y132" i="1"/>
  <c r="Z64" i="14" s="1"/>
  <c r="Z132" i="1"/>
  <c r="AA64" i="14" s="1"/>
  <c r="AA132" i="1"/>
  <c r="AB64" i="14" s="1"/>
  <c r="AB132" i="1"/>
  <c r="AC64" i="14" s="1"/>
  <c r="X65" i="14"/>
  <c r="X133" i="1"/>
  <c r="Y65" i="14" s="1"/>
  <c r="Y133" i="1"/>
  <c r="Z65" i="14" s="1"/>
  <c r="Z133" i="1"/>
  <c r="AA65" i="14" s="1"/>
  <c r="AA133" i="1"/>
  <c r="AB65" i="14" s="1"/>
  <c r="AB133" i="1"/>
  <c r="AC65" i="14" s="1"/>
  <c r="X66" i="14"/>
  <c r="X134" i="1"/>
  <c r="Y66" i="14" s="1"/>
  <c r="Y134" i="1"/>
  <c r="Z66" i="14" s="1"/>
  <c r="Z134" i="1"/>
  <c r="AA66" i="14" s="1"/>
  <c r="AA134" i="1"/>
  <c r="AB66" i="14" s="1"/>
  <c r="AB134" i="1"/>
  <c r="AC66" i="14" s="1"/>
  <c r="X67" i="14"/>
  <c r="X135" i="1"/>
  <c r="Y67" i="14" s="1"/>
  <c r="Y135" i="1"/>
  <c r="Z67" i="14" s="1"/>
  <c r="Z135" i="1"/>
  <c r="AA67" i="14" s="1"/>
  <c r="AA135" i="1"/>
  <c r="AB67" i="14" s="1"/>
  <c r="AB135" i="1"/>
  <c r="AC67" i="14" s="1"/>
  <c r="X68" i="14"/>
  <c r="X136" i="1"/>
  <c r="Y68" i="14" s="1"/>
  <c r="Y136" i="1"/>
  <c r="Z68" i="14" s="1"/>
  <c r="Z136" i="1"/>
  <c r="AA68" i="14" s="1"/>
  <c r="AA136" i="1"/>
  <c r="AB68" i="14" s="1"/>
  <c r="AB136" i="1"/>
  <c r="AC68" i="14" s="1"/>
  <c r="X69" i="14"/>
  <c r="X137" i="1"/>
  <c r="Y69" i="14" s="1"/>
  <c r="Y137" i="1"/>
  <c r="Z69" i="14" s="1"/>
  <c r="Z137" i="1"/>
  <c r="AA69" i="14" s="1"/>
  <c r="AA137" i="1"/>
  <c r="AB69" i="14" s="1"/>
  <c r="AB137" i="1"/>
  <c r="AC69" i="14" s="1"/>
  <c r="X70" i="14"/>
  <c r="X138" i="1"/>
  <c r="Y70" i="14" s="1"/>
  <c r="Y138" i="1"/>
  <c r="Z70" i="14" s="1"/>
  <c r="Z138" i="1"/>
  <c r="AA70" i="14" s="1"/>
  <c r="AA138" i="1"/>
  <c r="AB70" i="14" s="1"/>
  <c r="AB138" i="1"/>
  <c r="AC70" i="14" s="1"/>
  <c r="X71" i="14"/>
  <c r="X139" i="1"/>
  <c r="Y71" i="14" s="1"/>
  <c r="Y139" i="1"/>
  <c r="Z71" i="14" s="1"/>
  <c r="Z139" i="1"/>
  <c r="AA71" i="14" s="1"/>
  <c r="AA139" i="1"/>
  <c r="AB71" i="14" s="1"/>
  <c r="AB139" i="1"/>
  <c r="AC71" i="14" s="1"/>
  <c r="X72" i="14"/>
  <c r="X140" i="1"/>
  <c r="Y72" i="14" s="1"/>
  <c r="Y140" i="1"/>
  <c r="Z72" i="14" s="1"/>
  <c r="Z140" i="1"/>
  <c r="AA72" i="14" s="1"/>
  <c r="AA140" i="1"/>
  <c r="AB72" i="14" s="1"/>
  <c r="AB140" i="1"/>
  <c r="AC72" i="14" s="1"/>
  <c r="X73" i="14"/>
  <c r="X141" i="1"/>
  <c r="Y73" i="14" s="1"/>
  <c r="Y141" i="1"/>
  <c r="Z73" i="14" s="1"/>
  <c r="Z141" i="1"/>
  <c r="AA73" i="14" s="1"/>
  <c r="AA141" i="1"/>
  <c r="AB73" i="14" s="1"/>
  <c r="AB141" i="1"/>
  <c r="AC73" i="14" s="1"/>
  <c r="AC29" i="14"/>
  <c r="AB29" i="14"/>
  <c r="AA29" i="14"/>
  <c r="Z29" i="14"/>
  <c r="Y29" i="14"/>
  <c r="X29" i="14"/>
  <c r="H14" i="6" l="1"/>
  <c r="H20" i="6"/>
  <c r="AH14" i="11"/>
  <c r="DQ69" i="7"/>
  <c r="DP69" i="7"/>
  <c r="DK69" i="7"/>
  <c r="DS69" i="7"/>
  <c r="DM69" i="7"/>
  <c r="DO69" i="7"/>
  <c r="DR69" i="7"/>
  <c r="DN69" i="7"/>
  <c r="DL69" i="7"/>
  <c r="DJ68" i="7"/>
  <c r="AH13" i="11"/>
  <c r="H17" i="6"/>
  <c r="H19" i="6" s="1"/>
  <c r="DL17" i="7"/>
  <c r="AN15" i="10"/>
  <c r="C32" i="10"/>
  <c r="C32" i="14"/>
  <c r="C101" i="1"/>
  <c r="C32" i="11"/>
  <c r="C32" i="5"/>
  <c r="AF23" i="1" a="1"/>
  <c r="AF23" i="1" s="1"/>
  <c r="AO74" i="11"/>
  <c r="J67" i="12"/>
  <c r="D262" i="8"/>
  <c r="D294" i="8"/>
  <c r="N67" i="12"/>
  <c r="H262" i="8"/>
  <c r="H294" i="8"/>
  <c r="I130" i="12"/>
  <c r="I38" i="12" s="1"/>
  <c r="C265" i="8"/>
  <c r="I144" i="12" s="1"/>
  <c r="P67" i="12"/>
  <c r="J262" i="8"/>
  <c r="J294" i="8"/>
  <c r="P130" i="12"/>
  <c r="P38" i="12" s="1"/>
  <c r="J265" i="8"/>
  <c r="P144" i="12" s="1"/>
  <c r="P44" i="12" s="1"/>
  <c r="I109" i="12"/>
  <c r="I30" i="12" s="1"/>
  <c r="C264" i="8"/>
  <c r="I123" i="12" s="1"/>
  <c r="I36" i="12" s="1"/>
  <c r="I151" i="12"/>
  <c r="I46" i="12" s="1"/>
  <c r="C266" i="8"/>
  <c r="I165" i="12" s="1"/>
  <c r="I67" i="12"/>
  <c r="C262" i="8"/>
  <c r="C294" i="8"/>
  <c r="F265" i="8"/>
  <c r="L144" i="12" s="1"/>
  <c r="L44" i="12" s="1"/>
  <c r="L130" i="12"/>
  <c r="L38" i="12" s="1"/>
  <c r="F264" i="8"/>
  <c r="L123" i="12" s="1"/>
  <c r="L36" i="12" s="1"/>
  <c r="L109" i="12"/>
  <c r="L30" i="12" s="1"/>
  <c r="K264" i="8"/>
  <c r="Q123" i="12" s="1"/>
  <c r="Q36" i="12" s="1"/>
  <c r="Q109" i="12"/>
  <c r="Q30" i="12" s="1"/>
  <c r="K266" i="8"/>
  <c r="Q165" i="12" s="1"/>
  <c r="Q52" i="12" s="1"/>
  <c r="Q151" i="12"/>
  <c r="Q46" i="12" s="1"/>
  <c r="F266" i="8"/>
  <c r="L165" i="12" s="1"/>
  <c r="L52" i="12" s="1"/>
  <c r="L151" i="12"/>
  <c r="L46" i="12" s="1"/>
  <c r="N151" i="12"/>
  <c r="N46" i="12" s="1"/>
  <c r="H266" i="8"/>
  <c r="N165" i="12" s="1"/>
  <c r="N52" i="12" s="1"/>
  <c r="P151" i="12"/>
  <c r="P46" i="12" s="1"/>
  <c r="J266" i="8"/>
  <c r="P165" i="12" s="1"/>
  <c r="P52" i="12" s="1"/>
  <c r="K262" i="8"/>
  <c r="Q67" i="12"/>
  <c r="K294" i="8"/>
  <c r="L67" i="12"/>
  <c r="F262" i="8"/>
  <c r="F294" i="8"/>
  <c r="D266" i="8"/>
  <c r="J165" i="12" s="1"/>
  <c r="J52" i="12" s="1"/>
  <c r="J151" i="12"/>
  <c r="J46" i="12" s="1"/>
  <c r="Q130" i="12"/>
  <c r="Q38" i="12" s="1"/>
  <c r="K265" i="8"/>
  <c r="Q144" i="12" s="1"/>
  <c r="Q44" i="12" s="1"/>
  <c r="P109" i="12"/>
  <c r="P30" i="12" s="1"/>
  <c r="J264" i="8"/>
  <c r="P123" i="12" s="1"/>
  <c r="P36" i="12" s="1"/>
  <c r="K67" i="12"/>
  <c r="E262" i="8"/>
  <c r="E294" i="8"/>
  <c r="N109" i="12"/>
  <c r="N30" i="12" s="1"/>
  <c r="H264" i="8"/>
  <c r="N123" i="12" s="1"/>
  <c r="N36" i="12" s="1"/>
  <c r="K109" i="12"/>
  <c r="K30" i="12" s="1"/>
  <c r="E264" i="8"/>
  <c r="K123" i="12" s="1"/>
  <c r="K36" i="12" s="1"/>
  <c r="G264" i="8"/>
  <c r="M123" i="12" s="1"/>
  <c r="M36" i="12" s="1"/>
  <c r="M109" i="12"/>
  <c r="M30" i="12" s="1"/>
  <c r="O130" i="12"/>
  <c r="O38" i="12" s="1"/>
  <c r="I265" i="8"/>
  <c r="O144" i="12" s="1"/>
  <c r="O44" i="12" s="1"/>
  <c r="M130" i="12"/>
  <c r="M38" i="12" s="1"/>
  <c r="G265" i="8"/>
  <c r="M144" i="12" s="1"/>
  <c r="M44" i="12" s="1"/>
  <c r="O151" i="12"/>
  <c r="O46" i="12" s="1"/>
  <c r="I266" i="8"/>
  <c r="O165" i="12" s="1"/>
  <c r="O52" i="12" s="1"/>
  <c r="O67" i="12"/>
  <c r="I262" i="8"/>
  <c r="I294" i="8"/>
  <c r="N130" i="12"/>
  <c r="N38" i="12" s="1"/>
  <c r="H265" i="8"/>
  <c r="N144" i="12" s="1"/>
  <c r="N44" i="12" s="1"/>
  <c r="E266" i="8"/>
  <c r="K165" i="12" s="1"/>
  <c r="K52" i="12" s="1"/>
  <c r="K151" i="12"/>
  <c r="K46" i="12" s="1"/>
  <c r="G266" i="8"/>
  <c r="M165" i="12" s="1"/>
  <c r="M52" i="12" s="1"/>
  <c r="M151" i="12"/>
  <c r="M46" i="12" s="1"/>
  <c r="D265" i="8"/>
  <c r="J144" i="12" s="1"/>
  <c r="J44" i="12" s="1"/>
  <c r="J130" i="12"/>
  <c r="J38" i="12" s="1"/>
  <c r="E265" i="8"/>
  <c r="K144" i="12" s="1"/>
  <c r="K44" i="12" s="1"/>
  <c r="K130" i="12"/>
  <c r="K38" i="12" s="1"/>
  <c r="I264" i="8"/>
  <c r="O123" i="12" s="1"/>
  <c r="O36" i="12" s="1"/>
  <c r="O109" i="12"/>
  <c r="O30" i="12" s="1"/>
  <c r="M67" i="12"/>
  <c r="G262" i="8"/>
  <c r="G294" i="8"/>
  <c r="J109" i="12"/>
  <c r="J30" i="12" s="1"/>
  <c r="D264" i="8"/>
  <c r="J123" i="12" s="1"/>
  <c r="J36" i="12" s="1"/>
  <c r="AK15" i="5"/>
  <c r="AL15" i="5"/>
  <c r="AM57" i="11"/>
  <c r="AO57" i="14"/>
  <c r="AM63" i="14"/>
  <c r="AP57" i="11"/>
  <c r="AK57" i="11"/>
  <c r="AN57" i="14"/>
  <c r="AO63" i="11"/>
  <c r="DK89" i="7"/>
  <c r="DK90" i="7" s="1"/>
  <c r="DK91" i="7" s="1"/>
  <c r="AP64" i="11"/>
  <c r="AP57" i="14"/>
  <c r="AF11" i="1"/>
  <c r="AF17" i="1" s="1"/>
  <c r="AF13" i="1"/>
  <c r="AF18" i="1" s="1"/>
  <c r="AK11" i="1"/>
  <c r="AF15" i="1"/>
  <c r="AF19" i="1" s="1"/>
  <c r="AK15" i="1"/>
  <c r="AK13" i="1"/>
  <c r="AN11" i="1"/>
  <c r="AH11" i="1"/>
  <c r="AN15" i="1"/>
  <c r="AN13" i="1"/>
  <c r="AG11" i="1"/>
  <c r="AJ11" i="1"/>
  <c r="AI11" i="1"/>
  <c r="AL15" i="1"/>
  <c r="AL11" i="1"/>
  <c r="AL13" i="1"/>
  <c r="AM11" i="1"/>
  <c r="AM15" i="1"/>
  <c r="DK81" i="7"/>
  <c r="AM13" i="1"/>
  <c r="AH13" i="1"/>
  <c r="AJ13" i="1"/>
  <c r="AH15" i="1"/>
  <c r="AJ15" i="1"/>
  <c r="AG13" i="1"/>
  <c r="AG15" i="1"/>
  <c r="AI13" i="1"/>
  <c r="AI15" i="1"/>
  <c r="DJ56" i="7"/>
  <c r="DJ67" i="7"/>
  <c r="DJ58" i="7"/>
  <c r="DJ57" i="7"/>
  <c r="DJ55" i="7"/>
  <c r="DJ66" i="7"/>
  <c r="DJ59" i="7"/>
  <c r="AK29" i="11"/>
  <c r="AN22" i="10" a="1"/>
  <c r="AN22" i="10" s="1"/>
  <c r="AO29" i="11"/>
  <c r="DO60" i="7"/>
  <c r="DS60" i="7"/>
  <c r="DK60" i="7"/>
  <c r="DQ60" i="7"/>
  <c r="AM15" i="5"/>
  <c r="AN29" i="14"/>
  <c r="DM60" i="7"/>
  <c r="AN21" i="10" a="1"/>
  <c r="AN21" i="10" s="1"/>
  <c r="AP15" i="10"/>
  <c r="AN60" i="11"/>
  <c r="H51" i="12"/>
  <c r="AM30" i="11"/>
  <c r="AK70" i="11"/>
  <c r="AL41" i="11"/>
  <c r="AJ63" i="11"/>
  <c r="AP62" i="11"/>
  <c r="AL39" i="11"/>
  <c r="AI32" i="11"/>
  <c r="AO39" i="11"/>
  <c r="AL36" i="11"/>
  <c r="AO35" i="11"/>
  <c r="AL35" i="11"/>
  <c r="AP15" i="5"/>
  <c r="AP31" i="14"/>
  <c r="AN57" i="11"/>
  <c r="AO40" i="11"/>
  <c r="AO64" i="11"/>
  <c r="AO15" i="10"/>
  <c r="AJ72" i="14"/>
  <c r="AL60" i="11"/>
  <c r="AL42" i="11"/>
  <c r="AK41" i="11"/>
  <c r="AM34" i="11"/>
  <c r="AK54" i="11"/>
  <c r="AM43" i="11"/>
  <c r="AO69" i="11"/>
  <c r="AJ68" i="11"/>
  <c r="AL50" i="11"/>
  <c r="AJ71" i="11"/>
  <c r="AN30" i="11"/>
  <c r="AO33" i="11"/>
  <c r="AO37" i="11"/>
  <c r="AL30" i="11"/>
  <c r="AP72" i="11"/>
  <c r="AJ67" i="11"/>
  <c r="AJ60" i="11"/>
  <c r="AK67" i="11"/>
  <c r="AL55" i="11"/>
  <c r="AO54" i="11"/>
  <c r="AO67" i="14"/>
  <c r="AP55" i="11"/>
  <c r="AP54" i="11"/>
  <c r="AK72" i="11"/>
  <c r="AI57" i="11"/>
  <c r="AK39" i="11"/>
  <c r="AL15" i="10"/>
  <c r="AL37" i="11"/>
  <c r="AM64" i="11"/>
  <c r="AJ37" i="11"/>
  <c r="AM54" i="11"/>
  <c r="AJ30" i="11"/>
  <c r="AM63" i="11"/>
  <c r="AI31" i="14"/>
  <c r="AL49" i="14"/>
  <c r="AN38" i="11"/>
  <c r="AJ64" i="14"/>
  <c r="AL63" i="11"/>
  <c r="AO71" i="14"/>
  <c r="AP71" i="11"/>
  <c r="AN52" i="11"/>
  <c r="AJ47" i="14"/>
  <c r="AN67" i="14"/>
  <c r="AN68" i="14"/>
  <c r="AJ33" i="14"/>
  <c r="AO31" i="11"/>
  <c r="AP37" i="11"/>
  <c r="AP64" i="14"/>
  <c r="AM57" i="14"/>
  <c r="AJ41" i="14"/>
  <c r="AI54" i="14"/>
  <c r="AJ15" i="14"/>
  <c r="AO32" i="11"/>
  <c r="AM46" i="14"/>
  <c r="AO63" i="14"/>
  <c r="AO49" i="11"/>
  <c r="AP52" i="14"/>
  <c r="AP15" i="14" s="1"/>
  <c r="AK57" i="14"/>
  <c r="AM52" i="11"/>
  <c r="AO37" i="14"/>
  <c r="AO15" i="14" s="1"/>
  <c r="AM35" i="11"/>
  <c r="AM50" i="11"/>
  <c r="AI15" i="11"/>
  <c r="AI14" i="14"/>
  <c r="AL72" i="11"/>
  <c r="AQ13" i="10"/>
  <c r="AP61" i="11"/>
  <c r="AP61" i="14"/>
  <c r="AK34" i="11"/>
  <c r="AK34" i="14"/>
  <c r="AP42" i="14"/>
  <c r="AJ69" i="11"/>
  <c r="AJ69" i="14"/>
  <c r="AM67" i="11"/>
  <c r="AM67" i="14"/>
  <c r="AP39" i="11"/>
  <c r="AK32" i="11"/>
  <c r="AK32" i="14"/>
  <c r="AK68" i="11"/>
  <c r="AK68" i="14"/>
  <c r="AN61" i="11"/>
  <c r="AN61" i="14"/>
  <c r="AO38" i="11"/>
  <c r="AO38" i="14"/>
  <c r="AM74" i="11"/>
  <c r="AM74" i="14"/>
  <c r="AM70" i="11"/>
  <c r="AM70" i="14"/>
  <c r="AO36" i="11"/>
  <c r="AO36" i="14"/>
  <c r="AO50" i="11"/>
  <c r="AO50" i="14"/>
  <c r="AM42" i="11"/>
  <c r="AM42" i="14"/>
  <c r="AL34" i="11"/>
  <c r="AL34" i="14"/>
  <c r="AO66" i="11"/>
  <c r="AO66" i="14"/>
  <c r="AP63" i="11"/>
  <c r="AP63" i="14"/>
  <c r="AP38" i="11"/>
  <c r="AP38" i="14"/>
  <c r="AJ57" i="11"/>
  <c r="AJ57" i="14"/>
  <c r="AI30" i="11"/>
  <c r="AI30" i="14"/>
  <c r="AJ62" i="11"/>
  <c r="AJ62" i="14"/>
  <c r="AO42" i="14"/>
  <c r="AL70" i="11"/>
  <c r="AL70" i="14"/>
  <c r="AL69" i="11"/>
  <c r="AL69" i="14"/>
  <c r="AL61" i="11"/>
  <c r="AL61" i="14"/>
  <c r="AN72" i="11"/>
  <c r="AN72" i="14"/>
  <c r="AM69" i="11"/>
  <c r="AM69" i="14"/>
  <c r="AN50" i="11"/>
  <c r="AN50" i="14"/>
  <c r="AK61" i="11"/>
  <c r="AN48" i="11"/>
  <c r="AN48" i="14"/>
  <c r="AM72" i="11"/>
  <c r="AM72" i="14"/>
  <c r="AN64" i="11"/>
  <c r="AN64" i="14"/>
  <c r="AI43" i="11"/>
  <c r="AI43" i="14"/>
  <c r="AO68" i="11"/>
  <c r="AO68" i="14"/>
  <c r="AL66" i="11"/>
  <c r="AL66" i="14"/>
  <c r="AN47" i="11"/>
  <c r="AN47" i="14"/>
  <c r="J27" i="12"/>
  <c r="J59" i="12" s="1"/>
  <c r="AI62" i="14"/>
  <c r="AK64" i="11"/>
  <c r="AK64" i="14"/>
  <c r="AL67" i="11"/>
  <c r="AL67" i="14"/>
  <c r="AJ73" i="11"/>
  <c r="AJ73" i="14"/>
  <c r="AP69" i="11"/>
  <c r="AP69" i="14"/>
  <c r="AP36" i="11"/>
  <c r="AP36" i="14"/>
  <c r="AN42" i="14"/>
  <c r="AN33" i="11"/>
  <c r="AN33" i="14"/>
  <c r="AP74" i="11"/>
  <c r="AP74" i="14"/>
  <c r="AJ31" i="11"/>
  <c r="AJ31" i="14"/>
  <c r="AN55" i="11"/>
  <c r="AN45" i="11"/>
  <c r="AN45" i="14"/>
  <c r="AL68" i="11"/>
  <c r="AL68" i="14"/>
  <c r="AJ54" i="11"/>
  <c r="AJ54" i="14"/>
  <c r="AN44" i="11"/>
  <c r="AN44" i="14"/>
  <c r="AL74" i="11"/>
  <c r="AO48" i="11"/>
  <c r="AO48" i="14"/>
  <c r="AK23" i="10" a="1"/>
  <c r="AK23" i="10" s="1"/>
  <c r="AK30" i="14"/>
  <c r="AM36" i="11"/>
  <c r="AM36" i="14"/>
  <c r="AP33" i="11"/>
  <c r="AP33" i="14"/>
  <c r="AJ39" i="11"/>
  <c r="AJ39" i="14"/>
  <c r="AK59" i="11"/>
  <c r="AK59" i="14"/>
  <c r="J18" i="12"/>
  <c r="J58" i="12" s="1"/>
  <c r="AI40" i="14"/>
  <c r="AM58" i="11"/>
  <c r="AM58" i="14"/>
  <c r="AN74" i="11"/>
  <c r="AN74" i="14"/>
  <c r="AP67" i="11"/>
  <c r="AP67" i="14"/>
  <c r="AI64" i="11"/>
  <c r="AI64" i="14"/>
  <c r="AI33" i="11"/>
  <c r="AI33" i="14"/>
  <c r="AN31" i="11"/>
  <c r="AN31" i="14"/>
  <c r="AN39" i="11"/>
  <c r="AN35" i="11"/>
  <c r="AN35" i="14"/>
  <c r="AO58" i="11"/>
  <c r="AO58" i="14"/>
  <c r="AL54" i="11"/>
  <c r="AL54" i="14"/>
  <c r="AL13" i="14" s="1"/>
  <c r="AK33" i="11"/>
  <c r="AK33" i="14"/>
  <c r="AN63" i="11"/>
  <c r="AN63" i="14"/>
  <c r="AM31" i="11"/>
  <c r="AM31" i="14"/>
  <c r="AO43" i="11"/>
  <c r="AO43" i="14"/>
  <c r="AP50" i="11"/>
  <c r="AP50" i="14"/>
  <c r="AJ15" i="10"/>
  <c r="AK52" i="14"/>
  <c r="AH23" i="14" a="1"/>
  <c r="AH23" i="14" s="1"/>
  <c r="AH22" i="14" a="1"/>
  <c r="AH22" i="14" s="1"/>
  <c r="AH21" i="14" a="1"/>
  <c r="AH21" i="14" s="1"/>
  <c r="AH20" i="14" a="1"/>
  <c r="AH20" i="14" s="1"/>
  <c r="AH24" i="14" a="1"/>
  <c r="AH24" i="14" s="1"/>
  <c r="AI68" i="11"/>
  <c r="AI68" i="14"/>
  <c r="AK44" i="11"/>
  <c r="AK44" i="14"/>
  <c r="AO61" i="11"/>
  <c r="AO61" i="14"/>
  <c r="AI48" i="11"/>
  <c r="AI48" i="14"/>
  <c r="AN73" i="11"/>
  <c r="AN73" i="14"/>
  <c r="AP30" i="11"/>
  <c r="AP30" i="14"/>
  <c r="AO41" i="11"/>
  <c r="AO41" i="14"/>
  <c r="AL62" i="11"/>
  <c r="AL62" i="14"/>
  <c r="AJ36" i="11"/>
  <c r="M18" i="12"/>
  <c r="M58" i="12" s="1"/>
  <c r="AL40" i="14"/>
  <c r="AM15" i="10"/>
  <c r="AM37" i="14"/>
  <c r="AM15" i="14" s="1"/>
  <c r="AM66" i="11"/>
  <c r="AM66" i="14"/>
  <c r="AK31" i="11"/>
  <c r="AK31" i="14"/>
  <c r="AR29" i="10"/>
  <c r="AI29" i="14"/>
  <c r="AK37" i="11"/>
  <c r="AK37" i="14"/>
  <c r="AM48" i="11"/>
  <c r="AM48" i="14"/>
  <c r="AN49" i="11"/>
  <c r="AN49" i="14"/>
  <c r="AJ58" i="11"/>
  <c r="AJ58" i="14"/>
  <c r="AJ29" i="11"/>
  <c r="AJ29" i="14"/>
  <c r="AM47" i="11"/>
  <c r="AM47" i="14"/>
  <c r="AJ66" i="11"/>
  <c r="AJ66" i="14"/>
  <c r="AJ48" i="11"/>
  <c r="AJ48" i="14"/>
  <c r="AK69" i="11"/>
  <c r="AK69" i="14"/>
  <c r="AK42" i="14"/>
  <c r="AP45" i="11"/>
  <c r="AP45" i="14"/>
  <c r="AJ70" i="11"/>
  <c r="AJ70" i="14"/>
  <c r="AM33" i="11"/>
  <c r="AM33" i="14"/>
  <c r="AJ61" i="11"/>
  <c r="AJ61" i="14"/>
  <c r="AL57" i="11"/>
  <c r="AL57" i="14"/>
  <c r="AP48" i="11"/>
  <c r="AP48" i="14"/>
  <c r="AL58" i="11"/>
  <c r="AL58" i="14"/>
  <c r="AP53" i="11"/>
  <c r="AP53" i="14"/>
  <c r="AJ34" i="11"/>
  <c r="AJ34" i="14"/>
  <c r="AM68" i="11"/>
  <c r="AM68" i="14"/>
  <c r="AO70" i="11"/>
  <c r="AO70" i="14"/>
  <c r="AJ42" i="11"/>
  <c r="AJ42" i="14"/>
  <c r="AK50" i="11"/>
  <c r="AK50" i="14"/>
  <c r="AK14" i="14" s="1"/>
  <c r="AJ49" i="11"/>
  <c r="AJ49" i="14"/>
  <c r="AN54" i="11"/>
  <c r="AN54" i="14"/>
  <c r="AN66" i="11"/>
  <c r="AN66" i="14"/>
  <c r="AK63" i="11"/>
  <c r="AK63" i="14"/>
  <c r="AI49" i="11"/>
  <c r="AI49" i="14"/>
  <c r="AI61" i="11"/>
  <c r="AI61" i="14"/>
  <c r="AL52" i="11"/>
  <c r="AL52" i="14"/>
  <c r="AL15" i="14" s="1"/>
  <c r="AN36" i="11"/>
  <c r="AN36" i="14"/>
  <c r="AO53" i="11"/>
  <c r="AO53" i="14"/>
  <c r="AP41" i="11"/>
  <c r="AP41" i="14"/>
  <c r="AK36" i="11"/>
  <c r="AK36" i="14"/>
  <c r="AL31" i="11"/>
  <c r="AL31" i="14"/>
  <c r="AK58" i="11"/>
  <c r="AK58" i="14"/>
  <c r="AM53" i="11"/>
  <c r="AM53" i="14"/>
  <c r="AM14" i="14" s="1"/>
  <c r="AK48" i="11"/>
  <c r="AK48" i="14"/>
  <c r="AL45" i="11"/>
  <c r="AL45" i="14"/>
  <c r="AL14" i="14" s="1"/>
  <c r="AP70" i="11"/>
  <c r="AP70" i="14"/>
  <c r="AN69" i="11"/>
  <c r="AN69" i="14"/>
  <c r="AO72" i="11"/>
  <c r="AO72" i="14"/>
  <c r="AL43" i="11"/>
  <c r="AL43" i="14"/>
  <c r="AO73" i="11"/>
  <c r="AO73" i="14"/>
  <c r="AJ40" i="11"/>
  <c r="AJ40" i="14"/>
  <c r="AP29" i="11"/>
  <c r="AP29" i="14"/>
  <c r="AO47" i="11"/>
  <c r="AO47" i="14"/>
  <c r="AN53" i="11"/>
  <c r="AN53" i="14"/>
  <c r="AJ35" i="11"/>
  <c r="AJ35" i="14"/>
  <c r="J28" i="12"/>
  <c r="AI63" i="14"/>
  <c r="AM39" i="11"/>
  <c r="AM39" i="14"/>
  <c r="AI39" i="11"/>
  <c r="I17" i="6" s="1"/>
  <c r="AI39" i="14"/>
  <c r="AP68" i="11"/>
  <c r="AP68" i="14"/>
  <c r="AP44" i="11"/>
  <c r="AP44" i="14"/>
  <c r="AN71" i="11"/>
  <c r="AI63" i="11"/>
  <c r="AL71" i="11"/>
  <c r="AK71" i="11"/>
  <c r="AK20" i="10" a="1"/>
  <c r="AK20" i="10" s="1"/>
  <c r="AH24" i="11" a="1"/>
  <c r="AH24" i="11" s="1"/>
  <c r="AO22" i="10" a="1"/>
  <c r="AO22" i="10" s="1"/>
  <c r="AO13" i="10"/>
  <c r="AL20" i="10" a="1"/>
  <c r="AL20" i="10" s="1"/>
  <c r="AN15" i="5"/>
  <c r="AO15" i="5"/>
  <c r="H42" i="12"/>
  <c r="AI14" i="5"/>
  <c r="AH15" i="5"/>
  <c r="H50" i="12"/>
  <c r="AI15" i="5"/>
  <c r="H49" i="12"/>
  <c r="J57" i="12"/>
  <c r="H41" i="12"/>
  <c r="AJ15" i="5"/>
  <c r="P45" i="12"/>
  <c r="O27" i="6" s="1"/>
  <c r="AQ14" i="10"/>
  <c r="AN12" i="10"/>
  <c r="AK52" i="11"/>
  <c r="AN29" i="11"/>
  <c r="AP12" i="10"/>
  <c r="AI40" i="11"/>
  <c r="AO23" i="10" a="1"/>
  <c r="AO23" i="10" s="1"/>
  <c r="AH22" i="11" a="1"/>
  <c r="AH22" i="11" s="1"/>
  <c r="AH20" i="11" a="1"/>
  <c r="AH20" i="11" s="1"/>
  <c r="AL12" i="10"/>
  <c r="AH23" i="11" a="1"/>
  <c r="AH23" i="11" s="1"/>
  <c r="AM14" i="10"/>
  <c r="AO24" i="10" a="1"/>
  <c r="AO24" i="10" s="1"/>
  <c r="AJ23" i="10" a="1"/>
  <c r="AJ23" i="10" s="1"/>
  <c r="AH21" i="11" a="1"/>
  <c r="AH21" i="11" s="1"/>
  <c r="AM37" i="11"/>
  <c r="AO45" i="11"/>
  <c r="AL29" i="11"/>
  <c r="AQ21" i="10" a="1"/>
  <c r="AQ21" i="10" s="1"/>
  <c r="AO21" i="10" a="1"/>
  <c r="AO21" i="10" s="1"/>
  <c r="AO55" i="11"/>
  <c r="AM12" i="10"/>
  <c r="AP14" i="10"/>
  <c r="AM71" i="11"/>
  <c r="AI24" i="10" a="1"/>
  <c r="AI24" i="10" s="1"/>
  <c r="AO14" i="10"/>
  <c r="AK14" i="10"/>
  <c r="AO20" i="10" a="1"/>
  <c r="AO20" i="10" s="1"/>
  <c r="AO42" i="11"/>
  <c r="AK15" i="10"/>
  <c r="AJ14" i="10"/>
  <c r="AN24" i="10" a="1"/>
  <c r="AN24" i="10" s="1"/>
  <c r="AQ24" i="10" a="1"/>
  <c r="AQ24" i="10" s="1"/>
  <c r="AQ20" i="10" a="1"/>
  <c r="AQ20" i="10" s="1"/>
  <c r="AQ23" i="10" a="1"/>
  <c r="AQ23" i="10" s="1"/>
  <c r="AQ22" i="10" a="1"/>
  <c r="AQ22" i="10" s="1"/>
  <c r="AL33" i="11"/>
  <c r="AO12" i="10"/>
  <c r="AM20" i="10" a="1"/>
  <c r="AM20" i="10" s="1"/>
  <c r="AI15" i="10"/>
  <c r="AK30" i="11"/>
  <c r="AI62" i="11"/>
  <c r="AN42" i="11"/>
  <c r="AM23" i="10" a="1"/>
  <c r="AM23" i="10" s="1"/>
  <c r="AM29" i="11"/>
  <c r="AL22" i="10" a="1"/>
  <c r="AL22" i="10" s="1"/>
  <c r="AO30" i="11"/>
  <c r="AJ12" i="10"/>
  <c r="AI22" i="10" a="1"/>
  <c r="AI22" i="10" s="1"/>
  <c r="AL23" i="10" a="1"/>
  <c r="AL23" i="10" s="1"/>
  <c r="AN14" i="10"/>
  <c r="AK42" i="11"/>
  <c r="AL14" i="10"/>
  <c r="AM45" i="11"/>
  <c r="AI12" i="10"/>
  <c r="AL40" i="11"/>
  <c r="AN23" i="10" a="1"/>
  <c r="AN23" i="10" s="1"/>
  <c r="AL21" i="10" a="1"/>
  <c r="AL21" i="10" s="1"/>
  <c r="AN20" i="10" a="1"/>
  <c r="AN20" i="10" s="1"/>
  <c r="AI14" i="10"/>
  <c r="AQ12" i="10"/>
  <c r="AJ52" i="11"/>
  <c r="AK12" i="10"/>
  <c r="AP42" i="11"/>
  <c r="Q31" i="12"/>
  <c r="M32" i="12"/>
  <c r="M31" i="12"/>
  <c r="P31" i="12"/>
  <c r="M24" i="12"/>
  <c r="L58" i="12"/>
  <c r="O31" i="12"/>
  <c r="O55" i="12" s="1"/>
  <c r="N58" i="12"/>
  <c r="Q58" i="12"/>
  <c r="K33" i="12"/>
  <c r="H33" i="12" s="1"/>
  <c r="H117" i="12"/>
  <c r="K34" i="12"/>
  <c r="H34" i="12" s="1"/>
  <c r="H119" i="12"/>
  <c r="H113" i="12"/>
  <c r="N32" i="12"/>
  <c r="O58" i="12"/>
  <c r="P32" i="12"/>
  <c r="L31" i="12"/>
  <c r="K35" i="12"/>
  <c r="H35" i="12" s="1"/>
  <c r="H121" i="12"/>
  <c r="L32" i="12"/>
  <c r="K32" i="12"/>
  <c r="H115" i="12"/>
  <c r="O32" i="12"/>
  <c r="N31" i="12"/>
  <c r="Q32" i="12"/>
  <c r="AH23" i="5" a="1"/>
  <c r="AH23" i="5" s="1"/>
  <c r="H112" i="12"/>
  <c r="P23" i="12"/>
  <c r="J16" i="12"/>
  <c r="J56" i="12" s="1"/>
  <c r="O57" i="12"/>
  <c r="AO24" i="5" a="1"/>
  <c r="AO24" i="5" s="1"/>
  <c r="P16" i="12"/>
  <c r="Q16" i="12"/>
  <c r="Q24" i="12"/>
  <c r="H108" i="12"/>
  <c r="H86" i="12"/>
  <c r="O59" i="12"/>
  <c r="L24" i="12"/>
  <c r="AJ14" i="5"/>
  <c r="AL12" i="5"/>
  <c r="AP21" i="5" a="1"/>
  <c r="AP21" i="5" s="1"/>
  <c r="AN24" i="5" a="1"/>
  <c r="AN24" i="5" s="1"/>
  <c r="AK14" i="5"/>
  <c r="M59" i="12"/>
  <c r="L23" i="12"/>
  <c r="L59" i="12"/>
  <c r="H75" i="12"/>
  <c r="M57" i="12"/>
  <c r="Q57" i="12"/>
  <c r="H87" i="12"/>
  <c r="H106" i="12"/>
  <c r="H92" i="12"/>
  <c r="O22" i="12"/>
  <c r="Q22" i="12"/>
  <c r="H85" i="12"/>
  <c r="Q59" i="12"/>
  <c r="P22" i="12"/>
  <c r="P59" i="12"/>
  <c r="N15" i="12"/>
  <c r="P15" i="12"/>
  <c r="H107" i="12"/>
  <c r="H64" i="12"/>
  <c r="N22" i="12"/>
  <c r="L57" i="12"/>
  <c r="L22" i="12"/>
  <c r="H71" i="12"/>
  <c r="K24" i="12"/>
  <c r="H94" i="12"/>
  <c r="H17" i="12"/>
  <c r="H88" i="12"/>
  <c r="L15" i="12"/>
  <c r="N59" i="12"/>
  <c r="H73" i="12"/>
  <c r="K16" i="12"/>
  <c r="M22" i="12"/>
  <c r="H105" i="12"/>
  <c r="H98" i="12"/>
  <c r="H26" i="12"/>
  <c r="H110" i="12"/>
  <c r="N16" i="12"/>
  <c r="H77" i="12"/>
  <c r="K28" i="12"/>
  <c r="H102" i="12"/>
  <c r="P57" i="12"/>
  <c r="M15" i="12"/>
  <c r="H25" i="12"/>
  <c r="M16" i="12"/>
  <c r="H79" i="12"/>
  <c r="P58" i="12"/>
  <c r="N24" i="12"/>
  <c r="H66" i="12"/>
  <c r="H70" i="12"/>
  <c r="H96" i="12"/>
  <c r="H19" i="12"/>
  <c r="N57" i="12"/>
  <c r="O24" i="12"/>
  <c r="Q15" i="12"/>
  <c r="K27" i="12"/>
  <c r="H100" i="12"/>
  <c r="P24" i="12"/>
  <c r="H89" i="12"/>
  <c r="H91" i="12"/>
  <c r="K23" i="12"/>
  <c r="H84" i="12"/>
  <c r="K22" i="12"/>
  <c r="H65" i="12"/>
  <c r="H63" i="12"/>
  <c r="AO20" i="5" a="1"/>
  <c r="AO20" i="5" s="1"/>
  <c r="AK23" i="5" a="1"/>
  <c r="AK23" i="5" s="1"/>
  <c r="AK22" i="5" a="1"/>
  <c r="AK22" i="5" s="1"/>
  <c r="AJ21" i="5" a="1"/>
  <c r="AJ21" i="5" s="1"/>
  <c r="AM13" i="5"/>
  <c r="AP20" i="5" a="1"/>
  <c r="AP20" i="5" s="1"/>
  <c r="AL21" i="5" a="1"/>
  <c r="AL21" i="5" s="1"/>
  <c r="AI13" i="5"/>
  <c r="AL13" i="5"/>
  <c r="AI23" i="5" a="1"/>
  <c r="AI23" i="5" s="1"/>
  <c r="AK13" i="5"/>
  <c r="AK12" i="5"/>
  <c r="AJ23" i="5" a="1"/>
  <c r="AJ23" i="5" s="1"/>
  <c r="AO23" i="5" a="1"/>
  <c r="AO23" i="5" s="1"/>
  <c r="AL23" i="5" a="1"/>
  <c r="AL23" i="5" s="1"/>
  <c r="AH22" i="5" a="1"/>
  <c r="AH22" i="5" s="1"/>
  <c r="AA29" i="5"/>
  <c r="AA29" i="11"/>
  <c r="AB29" i="10"/>
  <c r="X69" i="5"/>
  <c r="Y69" i="10"/>
  <c r="X69" i="11"/>
  <c r="AB63" i="5"/>
  <c r="AB63" i="11"/>
  <c r="AC63" i="10"/>
  <c r="Z58" i="5"/>
  <c r="Z58" i="11"/>
  <c r="AA58" i="10"/>
  <c r="X53" i="5"/>
  <c r="Y53" i="10"/>
  <c r="X53" i="11"/>
  <c r="AB47" i="5"/>
  <c r="AC47" i="10"/>
  <c r="AB47" i="11"/>
  <c r="Z42" i="5"/>
  <c r="Z42" i="11"/>
  <c r="AA42" i="10"/>
  <c r="X37" i="5"/>
  <c r="X37" i="11"/>
  <c r="Y37" i="10"/>
  <c r="AB31" i="5"/>
  <c r="AB31" i="11"/>
  <c r="AC31" i="10"/>
  <c r="AC68" i="5"/>
  <c r="AC68" i="11"/>
  <c r="AD68" i="10"/>
  <c r="Y42" i="5"/>
  <c r="Y42" i="11"/>
  <c r="Z42" i="10"/>
  <c r="AA31" i="5"/>
  <c r="AA31" i="11"/>
  <c r="AB31" i="10"/>
  <c r="AC29" i="5"/>
  <c r="AC29" i="11"/>
  <c r="AD29" i="10"/>
  <c r="AB68" i="5"/>
  <c r="AB68" i="11"/>
  <c r="AC68" i="10"/>
  <c r="Z63" i="5"/>
  <c r="Z63" i="11"/>
  <c r="AA63" i="10"/>
  <c r="X58" i="5"/>
  <c r="X58" i="11"/>
  <c r="Y58" i="10"/>
  <c r="AB52" i="5"/>
  <c r="AC52" i="10"/>
  <c r="AB52" i="11"/>
  <c r="Z47" i="5"/>
  <c r="AA47" i="10"/>
  <c r="Z47" i="11"/>
  <c r="X42" i="5"/>
  <c r="Y42" i="10"/>
  <c r="X42" i="11"/>
  <c r="AB36" i="5"/>
  <c r="AC36" i="10"/>
  <c r="AB36" i="11"/>
  <c r="Z31" i="5"/>
  <c r="AA31" i="10"/>
  <c r="Z31" i="11"/>
  <c r="AB29" i="5"/>
  <c r="AC29" i="10"/>
  <c r="AB29" i="11"/>
  <c r="AA63" i="5"/>
  <c r="AA63" i="11"/>
  <c r="AB63" i="10"/>
  <c r="Y58" i="5"/>
  <c r="Y58" i="11"/>
  <c r="Z58" i="10"/>
  <c r="AC52" i="5"/>
  <c r="AD52" i="10"/>
  <c r="AC52" i="11"/>
  <c r="AA47" i="5"/>
  <c r="AB47" i="10"/>
  <c r="AA47" i="11"/>
  <c r="AC36" i="5"/>
  <c r="AC36" i="11"/>
  <c r="AD36" i="10"/>
  <c r="AP22" i="5" a="1"/>
  <c r="AP22" i="5" s="1"/>
  <c r="AC73" i="5"/>
  <c r="AD73" i="10"/>
  <c r="AC73" i="11"/>
  <c r="AA68" i="5"/>
  <c r="AA68" i="11"/>
  <c r="AB68" i="10"/>
  <c r="Y63" i="5"/>
  <c r="Y63" i="11"/>
  <c r="Z63" i="10"/>
  <c r="AC57" i="5"/>
  <c r="AD57" i="10"/>
  <c r="AC57" i="11"/>
  <c r="AA52" i="5"/>
  <c r="AB52" i="10"/>
  <c r="AA52" i="11"/>
  <c r="Y47" i="5"/>
  <c r="Y47" i="11"/>
  <c r="Z47" i="10"/>
  <c r="AC41" i="5"/>
  <c r="AD41" i="10"/>
  <c r="AC41" i="11"/>
  <c r="AA36" i="5"/>
  <c r="AA36" i="11"/>
  <c r="AB36" i="10"/>
  <c r="Y31" i="5"/>
  <c r="Z31" i="10"/>
  <c r="Y31" i="11"/>
  <c r="AB72" i="5"/>
  <c r="AB72" i="11"/>
  <c r="AC72" i="10"/>
  <c r="Z67" i="5"/>
  <c r="Z67" i="11"/>
  <c r="AA67" i="10"/>
  <c r="X62" i="5"/>
  <c r="X62" i="11"/>
  <c r="Y62" i="10"/>
  <c r="AB56" i="5"/>
  <c r="AC56" i="10"/>
  <c r="AB56" i="11"/>
  <c r="Z51" i="5"/>
  <c r="Z51" i="11"/>
  <c r="AA51" i="10"/>
  <c r="X46" i="5"/>
  <c r="Y46" i="10"/>
  <c r="X46" i="11"/>
  <c r="AB40" i="5"/>
  <c r="AB40" i="11"/>
  <c r="AC40" i="10"/>
  <c r="Z35" i="5"/>
  <c r="AA35" i="10"/>
  <c r="Z35" i="11"/>
  <c r="X30" i="5"/>
  <c r="X30" i="11"/>
  <c r="Y30" i="10"/>
  <c r="AA72" i="5"/>
  <c r="AA72" i="11"/>
  <c r="AB72" i="10"/>
  <c r="AA56" i="5"/>
  <c r="AB56" i="10"/>
  <c r="AA56" i="11"/>
  <c r="Y35" i="5"/>
  <c r="Z35" i="10"/>
  <c r="Y35" i="11"/>
  <c r="Y67" i="5"/>
  <c r="Y67" i="11"/>
  <c r="Z67" i="10"/>
  <c r="AC61" i="5"/>
  <c r="AD61" i="10"/>
  <c r="AC61" i="11"/>
  <c r="Y51" i="5"/>
  <c r="Z51" i="10"/>
  <c r="Y51" i="11"/>
  <c r="AC45" i="5"/>
  <c r="AC45" i="11"/>
  <c r="AD45" i="10"/>
  <c r="AA40" i="5"/>
  <c r="AB40" i="10"/>
  <c r="AA40" i="11"/>
  <c r="Z72" i="5"/>
  <c r="Z72" i="11"/>
  <c r="AA72" i="10"/>
  <c r="AB61" i="5"/>
  <c r="AC61" i="10"/>
  <c r="AB61" i="11"/>
  <c r="Z56" i="5"/>
  <c r="AA56" i="10"/>
  <c r="Z56" i="11"/>
  <c r="AB45" i="5"/>
  <c r="AC45" i="10"/>
  <c r="AB45" i="11"/>
  <c r="Z40" i="5"/>
  <c r="AA40" i="10"/>
  <c r="Z40" i="11"/>
  <c r="X35" i="5"/>
  <c r="Y35" i="10"/>
  <c r="X35" i="11"/>
  <c r="X67" i="5"/>
  <c r="X67" i="11"/>
  <c r="Y67" i="10"/>
  <c r="X51" i="5"/>
  <c r="Y51" i="10"/>
  <c r="X51" i="11"/>
  <c r="AB73" i="5"/>
  <c r="AC73" i="10"/>
  <c r="AB73" i="11"/>
  <c r="Z68" i="5"/>
  <c r="AA68" i="10"/>
  <c r="Z68" i="11"/>
  <c r="X63" i="5"/>
  <c r="X63" i="11"/>
  <c r="Y63" i="10"/>
  <c r="AB57" i="5"/>
  <c r="AC57" i="10"/>
  <c r="AB57" i="11"/>
  <c r="Z52" i="5"/>
  <c r="AA52" i="10"/>
  <c r="Z52" i="11"/>
  <c r="X47" i="5"/>
  <c r="Y47" i="10"/>
  <c r="X47" i="11"/>
  <c r="AB41" i="5"/>
  <c r="AC41" i="10"/>
  <c r="AB41" i="11"/>
  <c r="Z36" i="5"/>
  <c r="Z36" i="11"/>
  <c r="AA36" i="10"/>
  <c r="X31" i="5"/>
  <c r="Y31" i="10"/>
  <c r="X31" i="11"/>
  <c r="Y72" i="5"/>
  <c r="Z72" i="10"/>
  <c r="Y72" i="11"/>
  <c r="AC66" i="5"/>
  <c r="AC66" i="11"/>
  <c r="AD66" i="10"/>
  <c r="AA61" i="5"/>
  <c r="AB61" i="10"/>
  <c r="AA61" i="11"/>
  <c r="Y56" i="5"/>
  <c r="Z56" i="10"/>
  <c r="Y56" i="11"/>
  <c r="AC50" i="5"/>
  <c r="AC50" i="11"/>
  <c r="AD50" i="10"/>
  <c r="AA45" i="5"/>
  <c r="AA45" i="11"/>
  <c r="AB45" i="10"/>
  <c r="Y40" i="5"/>
  <c r="Z40" i="10"/>
  <c r="Y40" i="11"/>
  <c r="AC34" i="5"/>
  <c r="AC34" i="11"/>
  <c r="AD34" i="10"/>
  <c r="AI12" i="5"/>
  <c r="AO12" i="5"/>
  <c r="AA73" i="5"/>
  <c r="AB73" i="10"/>
  <c r="AA73" i="11"/>
  <c r="Y68" i="5"/>
  <c r="Z68" i="10"/>
  <c r="Y68" i="11"/>
  <c r="AC62" i="5"/>
  <c r="AD62" i="10"/>
  <c r="AC62" i="11"/>
  <c r="AA57" i="5"/>
  <c r="AB57" i="10"/>
  <c r="AA57" i="11"/>
  <c r="Y52" i="5"/>
  <c r="Y52" i="11"/>
  <c r="Z52" i="10"/>
  <c r="AC46" i="5"/>
  <c r="AD46" i="10"/>
  <c r="AC46" i="11"/>
  <c r="AA41" i="5"/>
  <c r="AB41" i="10"/>
  <c r="AA41" i="11"/>
  <c r="Y36" i="5"/>
  <c r="Y36" i="11"/>
  <c r="Z36" i="10"/>
  <c r="AC30" i="5"/>
  <c r="AC30" i="11"/>
  <c r="AD30" i="10"/>
  <c r="Z73" i="5"/>
  <c r="AA73" i="10"/>
  <c r="Z73" i="11"/>
  <c r="X68" i="5"/>
  <c r="Y68" i="10"/>
  <c r="X68" i="11"/>
  <c r="AB62" i="5"/>
  <c r="AC62" i="10"/>
  <c r="AB62" i="11"/>
  <c r="Z57" i="5"/>
  <c r="AA57" i="10"/>
  <c r="Z57" i="11"/>
  <c r="X52" i="5"/>
  <c r="X52" i="11"/>
  <c r="Y52" i="10"/>
  <c r="AB46" i="5"/>
  <c r="AB46" i="11"/>
  <c r="AC46" i="10"/>
  <c r="Z41" i="5"/>
  <c r="Z41" i="11"/>
  <c r="AA41" i="10"/>
  <c r="X36" i="5"/>
  <c r="Y36" i="10"/>
  <c r="X36" i="11"/>
  <c r="AB30" i="5"/>
  <c r="AC30" i="10"/>
  <c r="AB30" i="11"/>
  <c r="Y73" i="5"/>
  <c r="Z73" i="10"/>
  <c r="Y73" i="11"/>
  <c r="AC67" i="5"/>
  <c r="AC67" i="11"/>
  <c r="AD67" i="10"/>
  <c r="AA62" i="5"/>
  <c r="AB62" i="10"/>
  <c r="AA62" i="11"/>
  <c r="Y57" i="5"/>
  <c r="Z57" i="10"/>
  <c r="Y57" i="11"/>
  <c r="AC51" i="5"/>
  <c r="AD51" i="10"/>
  <c r="AC51" i="11"/>
  <c r="AA46" i="5"/>
  <c r="AA46" i="11"/>
  <c r="AB46" i="10"/>
  <c r="Y41" i="5"/>
  <c r="Y41" i="11"/>
  <c r="Z41" i="10"/>
  <c r="AC35" i="5"/>
  <c r="AC35" i="11"/>
  <c r="AD35" i="10"/>
  <c r="AA30" i="5"/>
  <c r="AB30" i="10"/>
  <c r="AA30" i="11"/>
  <c r="AN13" i="5"/>
  <c r="X73" i="5"/>
  <c r="Y73" i="10"/>
  <c r="X73" i="11"/>
  <c r="AB67" i="5"/>
  <c r="AB67" i="11"/>
  <c r="AC67" i="10"/>
  <c r="Z62" i="5"/>
  <c r="Z62" i="11"/>
  <c r="AA62" i="10"/>
  <c r="X57" i="5"/>
  <c r="X57" i="11"/>
  <c r="Y57" i="10"/>
  <c r="AB51" i="5"/>
  <c r="AB51" i="11"/>
  <c r="AC51" i="10"/>
  <c r="Z46" i="5"/>
  <c r="Z46" i="11"/>
  <c r="AA46" i="10"/>
  <c r="X41" i="5"/>
  <c r="Y41" i="10"/>
  <c r="X41" i="11"/>
  <c r="AB35" i="5"/>
  <c r="AC35" i="10"/>
  <c r="AB35" i="11"/>
  <c r="Z30" i="5"/>
  <c r="AA30" i="10"/>
  <c r="Z30" i="11"/>
  <c r="AH21" i="5" a="1"/>
  <c r="AH21" i="5" s="1"/>
  <c r="Z69" i="5"/>
  <c r="AA69" i="10"/>
  <c r="Z69" i="11"/>
  <c r="AB58" i="5"/>
  <c r="AB58" i="11"/>
  <c r="AC58" i="10"/>
  <c r="Z53" i="5"/>
  <c r="AA53" i="10"/>
  <c r="Z53" i="11"/>
  <c r="Z37" i="5"/>
  <c r="AA37" i="10"/>
  <c r="Z37" i="11"/>
  <c r="Z29" i="5"/>
  <c r="Z29" i="11"/>
  <c r="AA29" i="10"/>
  <c r="AC63" i="5"/>
  <c r="AC63" i="11"/>
  <c r="AD63" i="10"/>
  <c r="AA58" i="5"/>
  <c r="AA58" i="11"/>
  <c r="AB58" i="10"/>
  <c r="Y53" i="5"/>
  <c r="Z53" i="10"/>
  <c r="Y53" i="11"/>
  <c r="AC47" i="5"/>
  <c r="AD47" i="10"/>
  <c r="AC47" i="11"/>
  <c r="AC31" i="5"/>
  <c r="AD31" i="10"/>
  <c r="AC31" i="11"/>
  <c r="X72" i="5"/>
  <c r="Y72" i="10"/>
  <c r="X72" i="11"/>
  <c r="AB66" i="5"/>
  <c r="AC66" i="10"/>
  <c r="AB66" i="11"/>
  <c r="Z61" i="5"/>
  <c r="AA61" i="10"/>
  <c r="Z61" i="11"/>
  <c r="X56" i="5"/>
  <c r="Y56" i="10"/>
  <c r="X56" i="11"/>
  <c r="AB50" i="5"/>
  <c r="AB50" i="11"/>
  <c r="AC50" i="10"/>
  <c r="Z45" i="5"/>
  <c r="Z45" i="11"/>
  <c r="AA45" i="10"/>
  <c r="X40" i="5"/>
  <c r="Y40" i="10"/>
  <c r="X40" i="11"/>
  <c r="AB34" i="5"/>
  <c r="AC34" i="10"/>
  <c r="AB34" i="11"/>
  <c r="AP12" i="5"/>
  <c r="AC71" i="5"/>
  <c r="AD71" i="10"/>
  <c r="AC71" i="11"/>
  <c r="AA66" i="5"/>
  <c r="AA66" i="11"/>
  <c r="AB66" i="10"/>
  <c r="Y61" i="5"/>
  <c r="Z61" i="10"/>
  <c r="Y61" i="11"/>
  <c r="AC55" i="5"/>
  <c r="AC55" i="11"/>
  <c r="AD55" i="10"/>
  <c r="AA50" i="5"/>
  <c r="AA50" i="11"/>
  <c r="AB50" i="10"/>
  <c r="Y45" i="5"/>
  <c r="Z45" i="10"/>
  <c r="Y45" i="11"/>
  <c r="AC39" i="5"/>
  <c r="AD39" i="10"/>
  <c r="AC39" i="11"/>
  <c r="AA34" i="5"/>
  <c r="AA34" i="11"/>
  <c r="AB34" i="10"/>
  <c r="AB71" i="5"/>
  <c r="AB71" i="11"/>
  <c r="AC71" i="10"/>
  <c r="Z66" i="5"/>
  <c r="Z66" i="11"/>
  <c r="AA66" i="10"/>
  <c r="X61" i="5"/>
  <c r="Y61" i="10"/>
  <c r="X61" i="11"/>
  <c r="AB55" i="5"/>
  <c r="AB55" i="11"/>
  <c r="AC55" i="10"/>
  <c r="Z50" i="5"/>
  <c r="AA50" i="10"/>
  <c r="Z50" i="11"/>
  <c r="X45" i="5"/>
  <c r="X45" i="11"/>
  <c r="Y45" i="10"/>
  <c r="AB39" i="5"/>
  <c r="AC39" i="10"/>
  <c r="AB39" i="11"/>
  <c r="Z34" i="5"/>
  <c r="Z34" i="11"/>
  <c r="AA34" i="10"/>
  <c r="Y66" i="5"/>
  <c r="Y66" i="11"/>
  <c r="Z66" i="10"/>
  <c r="Y50" i="5"/>
  <c r="Y50" i="11"/>
  <c r="Z50" i="10"/>
  <c r="Y34" i="5"/>
  <c r="Y34" i="11"/>
  <c r="Z34" i="10"/>
  <c r="AA70" i="5"/>
  <c r="AA70" i="11"/>
  <c r="AB70" i="10"/>
  <c r="AC59" i="5"/>
  <c r="AC59" i="11"/>
  <c r="AD59" i="10"/>
  <c r="Y49" i="5"/>
  <c r="Y49" i="11"/>
  <c r="Z49" i="10"/>
  <c r="AA38" i="5"/>
  <c r="AB38" i="10"/>
  <c r="AA38" i="11"/>
  <c r="Z70" i="5"/>
  <c r="Z70" i="11"/>
  <c r="AA70" i="10"/>
  <c r="AB59" i="5"/>
  <c r="AB59" i="11"/>
  <c r="AC59" i="10"/>
  <c r="X49" i="5"/>
  <c r="X49" i="11"/>
  <c r="Y49" i="10"/>
  <c r="X33" i="5"/>
  <c r="Y33" i="10"/>
  <c r="X33" i="11"/>
  <c r="Y69" i="5"/>
  <c r="Z69" i="10"/>
  <c r="Y69" i="11"/>
  <c r="Y37" i="5"/>
  <c r="Y37" i="11"/>
  <c r="Z37" i="10"/>
  <c r="Y65" i="5"/>
  <c r="Y65" i="11"/>
  <c r="Z65" i="10"/>
  <c r="AA54" i="5"/>
  <c r="AA54" i="11"/>
  <c r="AB54" i="10"/>
  <c r="AC43" i="5"/>
  <c r="AC43" i="11"/>
  <c r="AD43" i="10"/>
  <c r="Y33" i="5"/>
  <c r="Y33" i="11"/>
  <c r="Z33" i="10"/>
  <c r="X65" i="5"/>
  <c r="X65" i="11"/>
  <c r="Y65" i="10"/>
  <c r="Z54" i="5"/>
  <c r="Z54" i="11"/>
  <c r="AA54" i="10"/>
  <c r="AB43" i="5"/>
  <c r="AC43" i="10"/>
  <c r="AB43" i="11"/>
  <c r="Z38" i="5"/>
  <c r="AA38" i="10"/>
  <c r="Z38" i="11"/>
  <c r="Y29" i="5"/>
  <c r="Z29" i="10"/>
  <c r="Y29" i="11"/>
  <c r="X64" i="5"/>
  <c r="Y64" i="10"/>
  <c r="X64" i="11"/>
  <c r="X48" i="5"/>
  <c r="Y48" i="10"/>
  <c r="X48" i="11"/>
  <c r="AB42" i="5"/>
  <c r="AC42" i="10"/>
  <c r="AB42" i="11"/>
  <c r="X32" i="5"/>
  <c r="Y32" i="10"/>
  <c r="X32" i="11"/>
  <c r="AA42" i="5"/>
  <c r="AB42" i="10"/>
  <c r="AA42" i="11"/>
  <c r="AA71" i="5"/>
  <c r="AA71" i="11"/>
  <c r="AB71" i="10"/>
  <c r="AC60" i="5"/>
  <c r="AC60" i="11"/>
  <c r="AD60" i="10"/>
  <c r="AA55" i="5"/>
  <c r="AB55" i="10"/>
  <c r="AA55" i="11"/>
  <c r="AC44" i="5"/>
  <c r="AD44" i="10"/>
  <c r="AC44" i="11"/>
  <c r="AA39" i="5"/>
  <c r="AA39" i="11"/>
  <c r="AB39" i="10"/>
  <c r="AJ13" i="5"/>
  <c r="Z71" i="5"/>
  <c r="Z71" i="11"/>
  <c r="AA71" i="10"/>
  <c r="X66" i="5"/>
  <c r="X66" i="11"/>
  <c r="Y66" i="10"/>
  <c r="AB60" i="5"/>
  <c r="AC60" i="10"/>
  <c r="AB60" i="11"/>
  <c r="Z55" i="5"/>
  <c r="AA55" i="10"/>
  <c r="Z55" i="11"/>
  <c r="X50" i="5"/>
  <c r="Y50" i="10"/>
  <c r="X50" i="11"/>
  <c r="AB44" i="5"/>
  <c r="AB44" i="11"/>
  <c r="AC44" i="10"/>
  <c r="Z39" i="5"/>
  <c r="Z39" i="11"/>
  <c r="AA39" i="10"/>
  <c r="X34" i="5"/>
  <c r="Y34" i="10"/>
  <c r="X34" i="11"/>
  <c r="AO13" i="5"/>
  <c r="AC65" i="5"/>
  <c r="AD65" i="10"/>
  <c r="AC65" i="11"/>
  <c r="Y55" i="5"/>
  <c r="Z55" i="10"/>
  <c r="Y55" i="11"/>
  <c r="AA44" i="5"/>
  <c r="AA44" i="11"/>
  <c r="AB44" i="10"/>
  <c r="X71" i="5"/>
  <c r="X71" i="11"/>
  <c r="Y71" i="10"/>
  <c r="Z60" i="5"/>
  <c r="AA60" i="10"/>
  <c r="Z60" i="11"/>
  <c r="AB49" i="5"/>
  <c r="AB49" i="11"/>
  <c r="AC49" i="10"/>
  <c r="X39" i="5"/>
  <c r="X39" i="11"/>
  <c r="Y39" i="10"/>
  <c r="AH14" i="5"/>
  <c r="AC70" i="5"/>
  <c r="AD70" i="10"/>
  <c r="AC70" i="11"/>
  <c r="AA65" i="5"/>
  <c r="AA65" i="11"/>
  <c r="AB65" i="10"/>
  <c r="Y60" i="5"/>
  <c r="Z60" i="10"/>
  <c r="Y60" i="11"/>
  <c r="AC54" i="5"/>
  <c r="AC54" i="11"/>
  <c r="AD54" i="10"/>
  <c r="AA49" i="5"/>
  <c r="AA49" i="11"/>
  <c r="AB49" i="10"/>
  <c r="Y44" i="5"/>
  <c r="Y44" i="11"/>
  <c r="Z44" i="10"/>
  <c r="AC38" i="5"/>
  <c r="AC38" i="11"/>
  <c r="AD38" i="10"/>
  <c r="AA33" i="5"/>
  <c r="AA33" i="11"/>
  <c r="AB33" i="10"/>
  <c r="AC72" i="5"/>
  <c r="AC72" i="11"/>
  <c r="AD72" i="10"/>
  <c r="AA67" i="5"/>
  <c r="AA67" i="11"/>
  <c r="AB67" i="10"/>
  <c r="Y62" i="5"/>
  <c r="Y62" i="11"/>
  <c r="Z62" i="10"/>
  <c r="AC56" i="5"/>
  <c r="AD56" i="10"/>
  <c r="AC56" i="11"/>
  <c r="AA51" i="5"/>
  <c r="AA51" i="11"/>
  <c r="AB51" i="10"/>
  <c r="Y46" i="5"/>
  <c r="Z46" i="10"/>
  <c r="Y46" i="11"/>
  <c r="AC40" i="5"/>
  <c r="AC40" i="11"/>
  <c r="AD40" i="10"/>
  <c r="AA35" i="5"/>
  <c r="AB35" i="10"/>
  <c r="AA35" i="11"/>
  <c r="Y30" i="5"/>
  <c r="Z30" i="10"/>
  <c r="Y30" i="11"/>
  <c r="AJ20" i="5" a="1"/>
  <c r="AJ20" i="5" s="1"/>
  <c r="Y71" i="5"/>
  <c r="Y71" i="11"/>
  <c r="Z71" i="10"/>
  <c r="AA60" i="5"/>
  <c r="AB60" i="10"/>
  <c r="AA60" i="11"/>
  <c r="AC49" i="5"/>
  <c r="AC49" i="11"/>
  <c r="AD49" i="10"/>
  <c r="Y39" i="5"/>
  <c r="Z39" i="10"/>
  <c r="Y39" i="11"/>
  <c r="AC33" i="5"/>
  <c r="AD33" i="10"/>
  <c r="AC33" i="11"/>
  <c r="AB65" i="5"/>
  <c r="AC65" i="10"/>
  <c r="AB65" i="11"/>
  <c r="X55" i="5"/>
  <c r="Y55" i="10"/>
  <c r="X55" i="11"/>
  <c r="Z44" i="5"/>
  <c r="Z44" i="11"/>
  <c r="AA44" i="10"/>
  <c r="AB33" i="5"/>
  <c r="AC33" i="10"/>
  <c r="AB33" i="11"/>
  <c r="AB70" i="5"/>
  <c r="AC70" i="10"/>
  <c r="AB70" i="11"/>
  <c r="Z65" i="5"/>
  <c r="Z65" i="11"/>
  <c r="AA65" i="10"/>
  <c r="X60" i="5"/>
  <c r="Y60" i="10"/>
  <c r="X60" i="11"/>
  <c r="AB54" i="5"/>
  <c r="AB54" i="11"/>
  <c r="AC54" i="10"/>
  <c r="Z49" i="5"/>
  <c r="Z49" i="11"/>
  <c r="AA49" i="10"/>
  <c r="X44" i="5"/>
  <c r="Y44" i="10"/>
  <c r="X44" i="11"/>
  <c r="AB38" i="5"/>
  <c r="AB38" i="11"/>
  <c r="AC38" i="10"/>
  <c r="Z33" i="5"/>
  <c r="Z33" i="11"/>
  <c r="AA33" i="10"/>
  <c r="Y70" i="5"/>
  <c r="Y70" i="11"/>
  <c r="Z70" i="10"/>
  <c r="AC64" i="5"/>
  <c r="AC64" i="11"/>
  <c r="AD64" i="10"/>
  <c r="AA59" i="5"/>
  <c r="AB59" i="10"/>
  <c r="AA59" i="11"/>
  <c r="Y54" i="5"/>
  <c r="Y54" i="11"/>
  <c r="Z54" i="10"/>
  <c r="AC48" i="5"/>
  <c r="AD48" i="10"/>
  <c r="AC48" i="11"/>
  <c r="AA43" i="5"/>
  <c r="AB43" i="10"/>
  <c r="AA43" i="11"/>
  <c r="Y38" i="5"/>
  <c r="Z38" i="10"/>
  <c r="Y38" i="11"/>
  <c r="AC32" i="5"/>
  <c r="AD32" i="10"/>
  <c r="AC32" i="11"/>
  <c r="AN12" i="5"/>
  <c r="X70" i="5"/>
  <c r="X70" i="11"/>
  <c r="Y70" i="10"/>
  <c r="AB64" i="5"/>
  <c r="AB64" i="11"/>
  <c r="AC64" i="10"/>
  <c r="Z59" i="5"/>
  <c r="Z59" i="11"/>
  <c r="AA59" i="10"/>
  <c r="X54" i="5"/>
  <c r="X54" i="11"/>
  <c r="Y54" i="10"/>
  <c r="AB48" i="5"/>
  <c r="AC48" i="10"/>
  <c r="AB48" i="11"/>
  <c r="Z43" i="5"/>
  <c r="AA43" i="10"/>
  <c r="Z43" i="11"/>
  <c r="X38" i="5"/>
  <c r="Y38" i="10"/>
  <c r="X38" i="11"/>
  <c r="AB32" i="5"/>
  <c r="AC32" i="10"/>
  <c r="AB32" i="11"/>
  <c r="AH24" i="5" a="1"/>
  <c r="AH24" i="5" s="1"/>
  <c r="AC69" i="5"/>
  <c r="AD69" i="10"/>
  <c r="AC69" i="11"/>
  <c r="AA64" i="5"/>
  <c r="AB64" i="10"/>
  <c r="AA64" i="11"/>
  <c r="Y59" i="5"/>
  <c r="Y59" i="11"/>
  <c r="Z59" i="10"/>
  <c r="AC53" i="5"/>
  <c r="AC53" i="11"/>
  <c r="AD53" i="10"/>
  <c r="AA48" i="5"/>
  <c r="AB48" i="10"/>
  <c r="AA48" i="11"/>
  <c r="Y43" i="5"/>
  <c r="Z43" i="10"/>
  <c r="Y43" i="11"/>
  <c r="AC37" i="5"/>
  <c r="AC37" i="11"/>
  <c r="AD37" i="10"/>
  <c r="AA32" i="5"/>
  <c r="AB32" i="10"/>
  <c r="AA32" i="11"/>
  <c r="AM23" i="5" a="1"/>
  <c r="AM23" i="5" s="1"/>
  <c r="AP24" i="5" a="1"/>
  <c r="AP24" i="5" s="1"/>
  <c r="AN22" i="5" a="1"/>
  <c r="AN22" i="5" s="1"/>
  <c r="AB69" i="5"/>
  <c r="AC69" i="10"/>
  <c r="AB69" i="11"/>
  <c r="Z64" i="5"/>
  <c r="AA64" i="10"/>
  <c r="Z64" i="11"/>
  <c r="X59" i="5"/>
  <c r="Y59" i="10"/>
  <c r="X59" i="11"/>
  <c r="AB53" i="5"/>
  <c r="AC53" i="10"/>
  <c r="AB53" i="11"/>
  <c r="Z48" i="5"/>
  <c r="AA48" i="10"/>
  <c r="Z48" i="11"/>
  <c r="X43" i="5"/>
  <c r="X43" i="11"/>
  <c r="Y43" i="10"/>
  <c r="AB37" i="5"/>
  <c r="AC37" i="10"/>
  <c r="AB37" i="11"/>
  <c r="Z32" i="5"/>
  <c r="AA32" i="10"/>
  <c r="Z32" i="11"/>
  <c r="AL24" i="5" a="1"/>
  <c r="AL24" i="5" s="1"/>
  <c r="AK24" i="5" a="1"/>
  <c r="AK24" i="5" s="1"/>
  <c r="X29" i="5"/>
  <c r="Y29" i="10"/>
  <c r="X29" i="11"/>
  <c r="AA69" i="5"/>
  <c r="AB69" i="10"/>
  <c r="AA69" i="11"/>
  <c r="Y64" i="5"/>
  <c r="Z64" i="10"/>
  <c r="Y64" i="11"/>
  <c r="AC58" i="5"/>
  <c r="AD58" i="10"/>
  <c r="AC58" i="11"/>
  <c r="AA53" i="5"/>
  <c r="AB53" i="10"/>
  <c r="AA53" i="11"/>
  <c r="Y48" i="5"/>
  <c r="Z48" i="10"/>
  <c r="Y48" i="11"/>
  <c r="AC42" i="5"/>
  <c r="AC42" i="11"/>
  <c r="AD42" i="10"/>
  <c r="AA37" i="5"/>
  <c r="AB37" i="10"/>
  <c r="AA37" i="11"/>
  <c r="Y32" i="5"/>
  <c r="Z32" i="10"/>
  <c r="Y32" i="11"/>
  <c r="AJ22" i="10" a="1"/>
  <c r="AJ22" i="10" s="1"/>
  <c r="AJ24" i="10" a="1"/>
  <c r="AJ24" i="10" s="1"/>
  <c r="AJ21" i="10" a="1"/>
  <c r="AJ21" i="10" s="1"/>
  <c r="AJ13" i="10"/>
  <c r="AJ20" i="10" a="1"/>
  <c r="AJ20" i="10" s="1"/>
  <c r="AI21" i="10" a="1"/>
  <c r="AI21" i="10" s="1"/>
  <c r="AI23" i="10" a="1"/>
  <c r="AI23" i="10" s="1"/>
  <c r="AI20" i="10" a="1"/>
  <c r="AI20" i="10" s="1"/>
  <c r="AI13" i="10"/>
  <c r="AK22" i="10" a="1"/>
  <c r="AK22" i="10" s="1"/>
  <c r="AK24" i="10" a="1"/>
  <c r="AK24" i="10" s="1"/>
  <c r="AK13" i="10"/>
  <c r="AK21" i="10" a="1"/>
  <c r="AK21" i="10" s="1"/>
  <c r="AL13" i="10"/>
  <c r="AL24" i="10" a="1"/>
  <c r="AL24" i="10" s="1"/>
  <c r="AM22" i="10" a="1"/>
  <c r="AM22" i="10" s="1"/>
  <c r="AM21" i="10" a="1"/>
  <c r="AM21" i="10" s="1"/>
  <c r="AM24" i="10" a="1"/>
  <c r="AM24" i="10" s="1"/>
  <c r="AP24" i="10" a="1"/>
  <c r="AP24" i="10" s="1"/>
  <c r="AP23" i="10" a="1"/>
  <c r="AP23" i="10" s="1"/>
  <c r="AP21" i="10" a="1"/>
  <c r="AP21" i="10" s="1"/>
  <c r="AP22" i="10" a="1"/>
  <c r="AP22" i="10" s="1"/>
  <c r="AP20" i="10" a="1"/>
  <c r="AP20" i="10" s="1"/>
  <c r="AP13" i="10"/>
  <c r="AM13" i="10"/>
  <c r="AN13" i="10"/>
  <c r="AM24" i="5" a="1"/>
  <c r="AM24" i="5" s="1"/>
  <c r="AM14" i="5"/>
  <c r="AN23" i="5" a="1"/>
  <c r="AN23" i="5" s="1"/>
  <c r="AN14" i="5"/>
  <c r="AH20" i="5" a="1"/>
  <c r="AH20" i="5" s="1"/>
  <c r="AI24" i="5" a="1"/>
  <c r="AI24" i="5" s="1"/>
  <c r="AJ12" i="5"/>
  <c r="AL22" i="5" a="1"/>
  <c r="AL22" i="5" s="1"/>
  <c r="AJ22" i="5" a="1"/>
  <c r="AJ22" i="5" s="1"/>
  <c r="AI20" i="5" a="1"/>
  <c r="AI20" i="5" s="1"/>
  <c r="AH13" i="5"/>
  <c r="AM20" i="5" a="1"/>
  <c r="AM20" i="5" s="1"/>
  <c r="AJ24" i="5" a="1"/>
  <c r="AJ24" i="5" s="1"/>
  <c r="AN21" i="5" a="1"/>
  <c r="AN21" i="5" s="1"/>
  <c r="AI22" i="5" a="1"/>
  <c r="AI22" i="5" s="1"/>
  <c r="AM12" i="5"/>
  <c r="AM22" i="5" a="1"/>
  <c r="AM22" i="5" s="1"/>
  <c r="AI21" i="5" a="1"/>
  <c r="AI21" i="5" s="1"/>
  <c r="AK21" i="5" a="1"/>
  <c r="AK21" i="5" s="1"/>
  <c r="AO14" i="5"/>
  <c r="AO21" i="5" a="1"/>
  <c r="AO21" i="5" s="1"/>
  <c r="AN20" i="5" a="1"/>
  <c r="AN20" i="5" s="1"/>
  <c r="AP13" i="5"/>
  <c r="AO22" i="5" a="1"/>
  <c r="AO22" i="5" s="1"/>
  <c r="AL14" i="5"/>
  <c r="AP23" i="5" a="1"/>
  <c r="AP23" i="5" s="1"/>
  <c r="AP14" i="5"/>
  <c r="AH12" i="5"/>
  <c r="AL20" i="5" a="1"/>
  <c r="AL20" i="5" s="1"/>
  <c r="AK20" i="5" a="1"/>
  <c r="AK20" i="5" s="1"/>
  <c r="AM21" i="5" a="1"/>
  <c r="AM21" i="5" s="1"/>
  <c r="AI41" i="1" a="1"/>
  <c r="AI41" i="1" s="1"/>
  <c r="AF60" i="1" a="1"/>
  <c r="AF60" i="1" s="1"/>
  <c r="AK41" i="1" a="1"/>
  <c r="AK41" i="1" s="1"/>
  <c r="AJ41" i="1" a="1"/>
  <c r="AJ41" i="1" s="1"/>
  <c r="AI61" i="1" a="1"/>
  <c r="AI61" i="1" s="1"/>
  <c r="AK61" i="1" a="1"/>
  <c r="AK61" i="1" s="1"/>
  <c r="AM41" i="1" a="1"/>
  <c r="AM41" i="1" s="1"/>
  <c r="AN41" i="1" a="1"/>
  <c r="AN41" i="1" s="1"/>
  <c r="AF39" i="1" a="1"/>
  <c r="AF39" i="1" s="1"/>
  <c r="AM61" i="1" a="1"/>
  <c r="AM61" i="1" s="1"/>
  <c r="AG60" i="1" a="1"/>
  <c r="AG60" i="1" s="1"/>
  <c r="AG62" i="1" a="1"/>
  <c r="AG62" i="1" s="1"/>
  <c r="AH62" i="1" a="1"/>
  <c r="AH62" i="1" s="1"/>
  <c r="AH60" i="1" a="1"/>
  <c r="AH60" i="1" s="1"/>
  <c r="AI60" i="1" a="1"/>
  <c r="AI60" i="1" s="1"/>
  <c r="AI62" i="1" a="1"/>
  <c r="AI62" i="1" s="1"/>
  <c r="AK39" i="1" a="1"/>
  <c r="AK39" i="1" s="1"/>
  <c r="AF62" i="1" a="1"/>
  <c r="AF62" i="1" s="1"/>
  <c r="AM39" i="1" a="1"/>
  <c r="AM39" i="1" s="1"/>
  <c r="AM40" i="1" a="1"/>
  <c r="AM40" i="1" s="1"/>
  <c r="AI39" i="1" a="1"/>
  <c r="AI39" i="1" s="1"/>
  <c r="AK60" i="1" a="1"/>
  <c r="AK60" i="1" s="1"/>
  <c r="AG40" i="1" a="1"/>
  <c r="AG40" i="1" s="1"/>
  <c r="AK62" i="1" a="1"/>
  <c r="AK62" i="1" s="1"/>
  <c r="AM60" i="1" a="1"/>
  <c r="AM60" i="1" s="1"/>
  <c r="AK40" i="1" a="1"/>
  <c r="AK40" i="1" s="1"/>
  <c r="AI40" i="1" a="1"/>
  <c r="AI40" i="1" s="1"/>
  <c r="AM62" i="1" a="1"/>
  <c r="AM62" i="1" s="1"/>
  <c r="AF40" i="1" a="1"/>
  <c r="AF40" i="1" s="1"/>
  <c r="AG41" i="1" a="1"/>
  <c r="AG41" i="1" s="1"/>
  <c r="AG61" i="1" a="1"/>
  <c r="AG61" i="1" s="1"/>
  <c r="AG39" i="1" a="1"/>
  <c r="AG39" i="1" s="1"/>
  <c r="AH40" i="1" a="1"/>
  <c r="AH40" i="1" s="1"/>
  <c r="AG82" i="1" a="1"/>
  <c r="AG82" i="1" s="1"/>
  <c r="AL61" i="1" a="1"/>
  <c r="AL61" i="1" s="1"/>
  <c r="AF61" i="1" a="1"/>
  <c r="AF61" i="1" s="1"/>
  <c r="AN82" i="1" a="1"/>
  <c r="AN82" i="1" s="1"/>
  <c r="AK82" i="1" a="1"/>
  <c r="AK82" i="1" s="1"/>
  <c r="AL81" i="1" a="1"/>
  <c r="AL81" i="1" s="1"/>
  <c r="AJ62" i="1" a="1"/>
  <c r="AJ62" i="1" s="1"/>
  <c r="AM83" i="1" a="1"/>
  <c r="AM83" i="1" s="1"/>
  <c r="AL39" i="1" a="1"/>
  <c r="AL39" i="1" s="1"/>
  <c r="AH81" i="1" a="1"/>
  <c r="AH81" i="1" s="1"/>
  <c r="AN61" i="1" a="1"/>
  <c r="AN61" i="1" s="1"/>
  <c r="AF81" i="1" a="1"/>
  <c r="AF81" i="1" s="1"/>
  <c r="AJ82" i="1" a="1"/>
  <c r="AJ82" i="1" s="1"/>
  <c r="AN40" i="1" a="1"/>
  <c r="AN40" i="1" s="1"/>
  <c r="AI83" i="1" a="1"/>
  <c r="AI83" i="1" s="1"/>
  <c r="AH39" i="1" a="1"/>
  <c r="AH39" i="1" s="1"/>
  <c r="AK81" i="1" a="1"/>
  <c r="AK81" i="1" s="1"/>
  <c r="AJ40" i="1" a="1"/>
  <c r="AJ40" i="1" s="1"/>
  <c r="AF41" i="1" a="1"/>
  <c r="AF41" i="1" s="1"/>
  <c r="AG81" i="1" a="1"/>
  <c r="AG81" i="1" s="1"/>
  <c r="AM82" i="1" a="1"/>
  <c r="AM82" i="1" s="1"/>
  <c r="AF83" i="1" a="1"/>
  <c r="AF83" i="1" s="1"/>
  <c r="AN81" i="1" a="1"/>
  <c r="AN81" i="1" s="1"/>
  <c r="AN60" i="1" a="1"/>
  <c r="AN60" i="1" s="1"/>
  <c r="AL83" i="1" a="1"/>
  <c r="AL83" i="1" s="1"/>
  <c r="AH83" i="1" a="1"/>
  <c r="AH83" i="1" s="1"/>
  <c r="AN39" i="1" a="1"/>
  <c r="AN39" i="1" s="1"/>
  <c r="AL41" i="1" a="1"/>
  <c r="AL41" i="1" s="1"/>
  <c r="AJ81" i="1" a="1"/>
  <c r="AJ81" i="1" s="1"/>
  <c r="AL62" i="1" a="1"/>
  <c r="AL62" i="1" s="1"/>
  <c r="AF82" i="1" a="1"/>
  <c r="AF82" i="1" s="1"/>
  <c r="AH61" i="1" a="1"/>
  <c r="AH61" i="1" s="1"/>
  <c r="AI82" i="1" a="1"/>
  <c r="AI82" i="1" s="1"/>
  <c r="AK83" i="1" a="1"/>
  <c r="AK83" i="1" s="1"/>
  <c r="AH41" i="1" a="1"/>
  <c r="AH41" i="1" s="1"/>
  <c r="AJ60" i="1" a="1"/>
  <c r="AJ60" i="1" s="1"/>
  <c r="AJ39" i="1" a="1"/>
  <c r="AJ39" i="1" s="1"/>
  <c r="AJ61" i="1" a="1"/>
  <c r="AJ61" i="1" s="1"/>
  <c r="AG83" i="1" a="1"/>
  <c r="AG83" i="1" s="1"/>
  <c r="AL82" i="1" a="1"/>
  <c r="AL82" i="1" s="1"/>
  <c r="AM81" i="1" a="1"/>
  <c r="AM81" i="1" s="1"/>
  <c r="AN62" i="1" a="1"/>
  <c r="AN62" i="1" s="1"/>
  <c r="AH82" i="1" a="1"/>
  <c r="AH82" i="1" s="1"/>
  <c r="AL40" i="1" a="1"/>
  <c r="AL40" i="1" s="1"/>
  <c r="AI81" i="1" a="1"/>
  <c r="AI81" i="1" s="1"/>
  <c r="AN83" i="1" a="1"/>
  <c r="AN83" i="1" s="1"/>
  <c r="AL60" i="1" a="1"/>
  <c r="AL60" i="1" s="1"/>
  <c r="AJ83" i="1" a="1"/>
  <c r="AJ83" i="1" s="1"/>
  <c r="AI25" i="1" a="1"/>
  <c r="AI25" i="1" s="1"/>
  <c r="AK25" i="1" a="1"/>
  <c r="AK25" i="1" s="1"/>
  <c r="AM25" i="1" a="1"/>
  <c r="AM25" i="1" s="1"/>
  <c r="AF46" i="1" a="1"/>
  <c r="AF46" i="1" s="1"/>
  <c r="AF44" i="1" a="1"/>
  <c r="AF44" i="1" s="1"/>
  <c r="AH23" i="1" a="1"/>
  <c r="AH23" i="1" s="1"/>
  <c r="AI23" i="1" a="1"/>
  <c r="AI23" i="1" s="1"/>
  <c r="AJ23" i="1" a="1"/>
  <c r="AJ23" i="1" s="1"/>
  <c r="AF24" i="1" a="1"/>
  <c r="AF24" i="1" s="1"/>
  <c r="AG25" i="1" a="1"/>
  <c r="AG25" i="1" s="1"/>
  <c r="AG24" i="1" a="1"/>
  <c r="AG24" i="1" s="1"/>
  <c r="AK24" i="1" a="1"/>
  <c r="AK24" i="1" s="1"/>
  <c r="AI24" i="1" a="1"/>
  <c r="AI24" i="1" s="1"/>
  <c r="AM24" i="1" a="1"/>
  <c r="AM24" i="1" s="1"/>
  <c r="AL24" i="1" a="1"/>
  <c r="AL24" i="1" s="1"/>
  <c r="AJ67" i="1" a="1"/>
  <c r="AJ67" i="1" s="1"/>
  <c r="AI65" i="1" a="1"/>
  <c r="AI65" i="1" s="1"/>
  <c r="AJ25" i="1" a="1"/>
  <c r="AJ25" i="1" s="1"/>
  <c r="AH66" i="1" a="1"/>
  <c r="AH66" i="1" s="1"/>
  <c r="AN45" i="1" a="1"/>
  <c r="AN45" i="1" s="1"/>
  <c r="AH24" i="1" a="1"/>
  <c r="AH24" i="1" s="1"/>
  <c r="AF65" i="1" a="1"/>
  <c r="AF65" i="1" s="1"/>
  <c r="AH46" i="1" a="1"/>
  <c r="AH46" i="1" s="1"/>
  <c r="AL66" i="1" a="1"/>
  <c r="AL66" i="1" s="1"/>
  <c r="AL65" i="1" a="1"/>
  <c r="AL65" i="1" s="1"/>
  <c r="AF25" i="1" a="1"/>
  <c r="AF25" i="1" s="1"/>
  <c r="AH44" i="1" a="1"/>
  <c r="AH44" i="1" s="1"/>
  <c r="AK66" i="1" a="1"/>
  <c r="AK66" i="1" s="1"/>
  <c r="AM46" i="1" a="1"/>
  <c r="AM46" i="1" s="1"/>
  <c r="AL45" i="1" a="1"/>
  <c r="AL45" i="1" s="1"/>
  <c r="AM44" i="1" a="1"/>
  <c r="AM44" i="1" s="1"/>
  <c r="AM67" i="1" a="1"/>
  <c r="AM67" i="1" s="1"/>
  <c r="AG66" i="1" a="1"/>
  <c r="AG66" i="1" s="1"/>
  <c r="AM23" i="1" a="1"/>
  <c r="AM23" i="1" s="1"/>
  <c r="AK44" i="1" a="1"/>
  <c r="AK44" i="1" s="1"/>
  <c r="AH65" i="1" a="1"/>
  <c r="AH65" i="1" s="1"/>
  <c r="AJ45" i="1" a="1"/>
  <c r="AJ45" i="1" s="1"/>
  <c r="AN24" i="1" a="1"/>
  <c r="AN24" i="1" s="1"/>
  <c r="AK65" i="1" a="1"/>
  <c r="AK65" i="1" s="1"/>
  <c r="AI67" i="1" a="1"/>
  <c r="AI67" i="1" s="1"/>
  <c r="AJ66" i="1" a="1"/>
  <c r="AJ66" i="1" s="1"/>
  <c r="AF45" i="1" a="1"/>
  <c r="AF45" i="1" s="1"/>
  <c r="AJ24" i="1" a="1"/>
  <c r="AJ24" i="1" s="1"/>
  <c r="AF67" i="1" a="1"/>
  <c r="AF67" i="1" s="1"/>
  <c r="AN65" i="1" a="1"/>
  <c r="AN65" i="1" s="1"/>
  <c r="AK46" i="1" a="1"/>
  <c r="AK46" i="1" s="1"/>
  <c r="AI46" i="1" a="1"/>
  <c r="AI46" i="1" s="1"/>
  <c r="AG46" i="1" a="1"/>
  <c r="AG46" i="1" s="1"/>
  <c r="AL67" i="1" a="1"/>
  <c r="AL67" i="1" s="1"/>
  <c r="AI44" i="1" a="1"/>
  <c r="AI44" i="1" s="1"/>
  <c r="AG44" i="1" a="1"/>
  <c r="AG44" i="1" s="1"/>
  <c r="AH45" i="1" a="1"/>
  <c r="AH45" i="1" s="1"/>
  <c r="AG65" i="1" a="1"/>
  <c r="AG65" i="1" s="1"/>
  <c r="AM45" i="1" a="1"/>
  <c r="AM45" i="1" s="1"/>
  <c r="AJ65" i="1" a="1"/>
  <c r="AJ65" i="1" s="1"/>
  <c r="AF66" i="1" a="1"/>
  <c r="AF66" i="1" s="1"/>
  <c r="AL25" i="1" a="1"/>
  <c r="AL25" i="1" s="1"/>
  <c r="AM66" i="1" a="1"/>
  <c r="AM66" i="1" s="1"/>
  <c r="AN46" i="1" a="1"/>
  <c r="AN46" i="1" s="1"/>
  <c r="AH25" i="1" a="1"/>
  <c r="AH25" i="1" s="1"/>
  <c r="AN44" i="1" a="1"/>
  <c r="AN44" i="1" s="1"/>
  <c r="AL23" i="1" a="1"/>
  <c r="AL23" i="1" s="1"/>
  <c r="AK45" i="1" a="1"/>
  <c r="AK45" i="1" s="1"/>
  <c r="AL46" i="1" a="1"/>
  <c r="AL46" i="1" s="1"/>
  <c r="AN23" i="1" a="1"/>
  <c r="AN23" i="1" s="1"/>
  <c r="AK67" i="1" a="1"/>
  <c r="AK67" i="1" s="1"/>
  <c r="AH67" i="1" a="1"/>
  <c r="AH67" i="1" s="1"/>
  <c r="AG45" i="1" a="1"/>
  <c r="AG45" i="1" s="1"/>
  <c r="AI66" i="1" a="1"/>
  <c r="AI66" i="1" s="1"/>
  <c r="AL44" i="1" a="1"/>
  <c r="AL44" i="1" s="1"/>
  <c r="AG23" i="1" a="1"/>
  <c r="AG23" i="1" s="1"/>
  <c r="AM65" i="1" a="1"/>
  <c r="AM65" i="1" s="1"/>
  <c r="AK23" i="1" a="1"/>
  <c r="AK23" i="1" s="1"/>
  <c r="AN66" i="1" a="1"/>
  <c r="AN66" i="1" s="1"/>
  <c r="AN67" i="1" a="1"/>
  <c r="AN67" i="1" s="1"/>
  <c r="AJ46" i="1" a="1"/>
  <c r="AJ46" i="1" s="1"/>
  <c r="AN25" i="1" a="1"/>
  <c r="AN25" i="1" s="1"/>
  <c r="AJ44" i="1" a="1"/>
  <c r="AJ44" i="1" s="1"/>
  <c r="AI45" i="1" a="1"/>
  <c r="AI45" i="1" s="1"/>
  <c r="AG67" i="1" a="1"/>
  <c r="AG67" i="1" s="1"/>
  <c r="AK58" i="1" a="1"/>
  <c r="AK58" i="1" s="1"/>
  <c r="AI36" i="1" a="1"/>
  <c r="AI36" i="1" s="1"/>
  <c r="AF57" i="1" a="1"/>
  <c r="AF57" i="1" s="1"/>
  <c r="AK36" i="1" a="1"/>
  <c r="AK36" i="1" s="1"/>
  <c r="AM36" i="1" a="1"/>
  <c r="AM36" i="1" s="1"/>
  <c r="AG37" i="1" a="1"/>
  <c r="AG37" i="1" s="1"/>
  <c r="AG57" i="1" a="1"/>
  <c r="AG57" i="1" s="1"/>
  <c r="AI37" i="1" a="1"/>
  <c r="AI37" i="1" s="1"/>
  <c r="AF36" i="1" a="1"/>
  <c r="AF36" i="1" s="1"/>
  <c r="AK37" i="1" a="1"/>
  <c r="AK37" i="1" s="1"/>
  <c r="AI57" i="1" a="1"/>
  <c r="AI57" i="1" s="1"/>
  <c r="AM37" i="1" a="1"/>
  <c r="AM37" i="1" s="1"/>
  <c r="AK57" i="1" a="1"/>
  <c r="AK57" i="1" s="1"/>
  <c r="AL57" i="1" a="1"/>
  <c r="AL57" i="1" s="1"/>
  <c r="AG35" i="1" a="1"/>
  <c r="AG35" i="1" s="1"/>
  <c r="AG36" i="1" a="1"/>
  <c r="AG36" i="1" s="1"/>
  <c r="AI35" i="1" a="1"/>
  <c r="AI35" i="1" s="1"/>
  <c r="AK35" i="1" a="1"/>
  <c r="AK35" i="1" s="1"/>
  <c r="AF37" i="1" a="1"/>
  <c r="AF37" i="1" s="1"/>
  <c r="AI56" i="1" a="1"/>
  <c r="AI56" i="1" s="1"/>
  <c r="AI58" i="1" a="1"/>
  <c r="AI58" i="1" s="1"/>
  <c r="AM35" i="1" a="1"/>
  <c r="AM35" i="1" s="1"/>
  <c r="AK56" i="1" a="1"/>
  <c r="AK56" i="1" s="1"/>
  <c r="AJ77" i="1" a="1"/>
  <c r="AJ77" i="1" s="1"/>
  <c r="AJ79" i="1" a="1"/>
  <c r="AJ79" i="1" s="1"/>
  <c r="AJ78" i="1" a="1"/>
  <c r="AJ78" i="1" s="1"/>
  <c r="AK77" i="1" a="1"/>
  <c r="AK77" i="1" s="1"/>
  <c r="AH77" i="1" a="1"/>
  <c r="AH77" i="1" s="1"/>
  <c r="AH35" i="1" a="1"/>
  <c r="AH35" i="1" s="1"/>
  <c r="AG77" i="1" a="1"/>
  <c r="AG77" i="1" s="1"/>
  <c r="AM79" i="1" a="1"/>
  <c r="AM79" i="1" s="1"/>
  <c r="AN77" i="1" a="1"/>
  <c r="AN77" i="1" s="1"/>
  <c r="AN58" i="1" a="1"/>
  <c r="AN58" i="1" s="1"/>
  <c r="AF58" i="1" a="1"/>
  <c r="AF58" i="1" s="1"/>
  <c r="AM78" i="1" a="1"/>
  <c r="AM78" i="1" s="1"/>
  <c r="AI77" i="1" a="1"/>
  <c r="AI77" i="1" s="1"/>
  <c r="AG58" i="1" a="1"/>
  <c r="AG58" i="1" s="1"/>
  <c r="AI79" i="1" a="1"/>
  <c r="AI79" i="1" s="1"/>
  <c r="AL58" i="1" a="1"/>
  <c r="AL58" i="1" s="1"/>
  <c r="AN35" i="1" a="1"/>
  <c r="AN35" i="1" s="1"/>
  <c r="AF35" i="1" a="1"/>
  <c r="AF35" i="1" s="1"/>
  <c r="AI78" i="1" a="1"/>
  <c r="AI78" i="1" s="1"/>
  <c r="AL37" i="1" a="1"/>
  <c r="AL37" i="1" s="1"/>
  <c r="AF77" i="1" a="1"/>
  <c r="AF77" i="1" s="1"/>
  <c r="AJ35" i="1" a="1"/>
  <c r="AJ35" i="1" s="1"/>
  <c r="AL79" i="1" a="1"/>
  <c r="AL79" i="1" s="1"/>
  <c r="AH37" i="1" a="1"/>
  <c r="AH37" i="1" s="1"/>
  <c r="AM57" i="1" a="1"/>
  <c r="AM57" i="1" s="1"/>
  <c r="AL56" i="1" a="1"/>
  <c r="AL56" i="1" s="1"/>
  <c r="AG56" i="1" a="1"/>
  <c r="AG56" i="1" s="1"/>
  <c r="AH79" i="1" a="1"/>
  <c r="AH79" i="1" s="1"/>
  <c r="AJ58" i="1" a="1"/>
  <c r="AJ58" i="1" s="1"/>
  <c r="AL78" i="1" a="1"/>
  <c r="AL78" i="1" s="1"/>
  <c r="AJ56" i="1" a="1"/>
  <c r="AJ56" i="1" s="1"/>
  <c r="AL36" i="1" a="1"/>
  <c r="AL36" i="1" s="1"/>
  <c r="AH78" i="1" a="1"/>
  <c r="AH78" i="1" s="1"/>
  <c r="AH58" i="1" a="1"/>
  <c r="AH58" i="1" s="1"/>
  <c r="AF79" i="1" a="1"/>
  <c r="AF79" i="1" s="1"/>
  <c r="AF56" i="1" a="1"/>
  <c r="AF56" i="1" s="1"/>
  <c r="AM56" i="1" a="1"/>
  <c r="AM56" i="1" s="1"/>
  <c r="AJ36" i="1" a="1"/>
  <c r="AJ36" i="1" s="1"/>
  <c r="AK79" i="1" a="1"/>
  <c r="AK79" i="1" s="1"/>
  <c r="AG79" i="1" a="1"/>
  <c r="AG79" i="1" s="1"/>
  <c r="AN79" i="1" a="1"/>
  <c r="AN79" i="1" s="1"/>
  <c r="AN37" i="1" a="1"/>
  <c r="AN37" i="1" s="1"/>
  <c r="AK78" i="1" a="1"/>
  <c r="AK78" i="1" s="1"/>
  <c r="AJ37" i="1" a="1"/>
  <c r="AJ37" i="1" s="1"/>
  <c r="AH36" i="1" a="1"/>
  <c r="AH36" i="1" s="1"/>
  <c r="AN57" i="1" a="1"/>
  <c r="AN57" i="1" s="1"/>
  <c r="AN56" i="1" a="1"/>
  <c r="AN56" i="1" s="1"/>
  <c r="AG78" i="1" a="1"/>
  <c r="AG78" i="1" s="1"/>
  <c r="AL77" i="1" a="1"/>
  <c r="AL77" i="1" s="1"/>
  <c r="AN36" i="1" a="1"/>
  <c r="AN36" i="1" s="1"/>
  <c r="AM58" i="1" a="1"/>
  <c r="AM58" i="1" s="1"/>
  <c r="AL35" i="1" a="1"/>
  <c r="AL35" i="1" s="1"/>
  <c r="AN78" i="1" a="1"/>
  <c r="AN78" i="1" s="1"/>
  <c r="AH56" i="1" a="1"/>
  <c r="AH56" i="1" s="1"/>
  <c r="AF78" i="1" a="1"/>
  <c r="AF78" i="1" s="1"/>
  <c r="AJ57" i="1" a="1"/>
  <c r="AJ57" i="1" s="1"/>
  <c r="AH57" i="1" a="1"/>
  <c r="AH57" i="1" s="1"/>
  <c r="AM77" i="1" a="1"/>
  <c r="AM77" i="1" s="1"/>
  <c r="AK49" i="1" a="1"/>
  <c r="AK49" i="1" s="1"/>
  <c r="AG27" i="1" a="1"/>
  <c r="AG27" i="1" s="1"/>
  <c r="AI27" i="1" a="1"/>
  <c r="AI27" i="1" s="1"/>
  <c r="AF29" i="1" a="1"/>
  <c r="AF29" i="1" s="1"/>
  <c r="AF49" i="1" a="1"/>
  <c r="AF49" i="1" s="1"/>
  <c r="AI48" i="1" a="1"/>
  <c r="AI48" i="1" s="1"/>
  <c r="AI50" i="1" a="1"/>
  <c r="AI50" i="1" s="1"/>
  <c r="AM27" i="1" a="1"/>
  <c r="AM27" i="1" s="1"/>
  <c r="AK48" i="1" a="1"/>
  <c r="AK48" i="1" s="1"/>
  <c r="AK50" i="1" a="1"/>
  <c r="AK50" i="1" s="1"/>
  <c r="AF28" i="1" a="1"/>
  <c r="AF28" i="1" s="1"/>
  <c r="AK28" i="1" a="1"/>
  <c r="AK28" i="1" s="1"/>
  <c r="AM28" i="1" a="1"/>
  <c r="AM28" i="1" s="1"/>
  <c r="AI28" i="1" a="1"/>
  <c r="AI28" i="1" s="1"/>
  <c r="AG29" i="1" a="1"/>
  <c r="AG29" i="1" s="1"/>
  <c r="AK27" i="1" a="1"/>
  <c r="AK27" i="1" s="1"/>
  <c r="AI29" i="1" a="1"/>
  <c r="AI29" i="1" s="1"/>
  <c r="AI49" i="1" a="1"/>
  <c r="AI49" i="1" s="1"/>
  <c r="AK29" i="1" a="1"/>
  <c r="AK29" i="1" s="1"/>
  <c r="AG28" i="1" a="1"/>
  <c r="AG28" i="1" s="1"/>
  <c r="AM29" i="1" a="1"/>
  <c r="AM29" i="1" s="1"/>
  <c r="AJ50" i="1" a="1"/>
  <c r="AJ50" i="1" s="1"/>
  <c r="AJ48" i="1" a="1"/>
  <c r="AJ48" i="1" s="1"/>
  <c r="AH29" i="1" a="1"/>
  <c r="AH29" i="1" s="1"/>
  <c r="AL50" i="1" a="1"/>
  <c r="AL50" i="1" s="1"/>
  <c r="AM70" i="1" a="1"/>
  <c r="AM70" i="1" s="1"/>
  <c r="AJ70" i="1" a="1"/>
  <c r="AJ70" i="1" s="1"/>
  <c r="AK69" i="1" a="1"/>
  <c r="AK69" i="1" s="1"/>
  <c r="AL48" i="1" a="1"/>
  <c r="AL48" i="1" s="1"/>
  <c r="AN69" i="1" a="1"/>
  <c r="AN69" i="1" s="1"/>
  <c r="AL71" i="1" a="1"/>
  <c r="AL71" i="1" s="1"/>
  <c r="AH50" i="1" a="1"/>
  <c r="AH50" i="1" s="1"/>
  <c r="AH48" i="1" a="1"/>
  <c r="AH48" i="1" s="1"/>
  <c r="AG69" i="1" a="1"/>
  <c r="AG69" i="1" s="1"/>
  <c r="AI70" i="1" a="1"/>
  <c r="AI70" i="1" s="1"/>
  <c r="AF71" i="1" a="1"/>
  <c r="AF71" i="1" s="1"/>
  <c r="AN49" i="1" a="1"/>
  <c r="AN49" i="1" s="1"/>
  <c r="AL28" i="1" a="1"/>
  <c r="AL28" i="1" s="1"/>
  <c r="AH71" i="1" a="1"/>
  <c r="AH71" i="1" s="1"/>
  <c r="AJ69" i="1" a="1"/>
  <c r="AJ69" i="1" s="1"/>
  <c r="AN29" i="1" a="1"/>
  <c r="AN29" i="1" s="1"/>
  <c r="AH28" i="1" a="1"/>
  <c r="AH28" i="1" s="1"/>
  <c r="AL27" i="1" a="1"/>
  <c r="AL27" i="1" s="1"/>
  <c r="AJ29" i="1" a="1"/>
  <c r="AJ29" i="1" s="1"/>
  <c r="AF70" i="1" a="1"/>
  <c r="AF70" i="1" s="1"/>
  <c r="AL70" i="1" a="1"/>
  <c r="AL70" i="1" s="1"/>
  <c r="AH27" i="1" a="1"/>
  <c r="AH27" i="1" s="1"/>
  <c r="AM69" i="1" a="1"/>
  <c r="AM69" i="1" s="1"/>
  <c r="AM50" i="1" a="1"/>
  <c r="AM50" i="1" s="1"/>
  <c r="AG49" i="1" a="1"/>
  <c r="AG49" i="1" s="1"/>
  <c r="AM48" i="1" a="1"/>
  <c r="AM48" i="1" s="1"/>
  <c r="AK71" i="1" a="1"/>
  <c r="AK71" i="1" s="1"/>
  <c r="AF50" i="1" a="1"/>
  <c r="AF50" i="1" s="1"/>
  <c r="AL49" i="1" a="1"/>
  <c r="AL49" i="1" s="1"/>
  <c r="AI69" i="1" a="1"/>
  <c r="AI69" i="1" s="1"/>
  <c r="AG71" i="1" a="1"/>
  <c r="AG71" i="1" s="1"/>
  <c r="AN28" i="1" a="1"/>
  <c r="AN28" i="1" s="1"/>
  <c r="AN71" i="1" a="1"/>
  <c r="AN71" i="1" s="1"/>
  <c r="AJ49" i="1" a="1"/>
  <c r="AJ49" i="1" s="1"/>
  <c r="AG50" i="1" a="1"/>
  <c r="AG50" i="1" s="1"/>
  <c r="AH70" i="1" a="1"/>
  <c r="AH70" i="1" s="1"/>
  <c r="AJ71" i="1" a="1"/>
  <c r="AJ71" i="1" s="1"/>
  <c r="AG48" i="1" a="1"/>
  <c r="AG48" i="1" s="1"/>
  <c r="AH49" i="1" a="1"/>
  <c r="AH49" i="1" s="1"/>
  <c r="AG70" i="1" a="1"/>
  <c r="AG70" i="1" s="1"/>
  <c r="AF27" i="1" a="1"/>
  <c r="AF27" i="1" s="1"/>
  <c r="AK70" i="1" a="1"/>
  <c r="AK70" i="1" s="1"/>
  <c r="AN27" i="1" a="1"/>
  <c r="AN27" i="1" s="1"/>
  <c r="AN70" i="1" a="1"/>
  <c r="AN70" i="1" s="1"/>
  <c r="AL69" i="1" a="1"/>
  <c r="AL69" i="1" s="1"/>
  <c r="AJ28" i="1" a="1"/>
  <c r="AJ28" i="1" s="1"/>
  <c r="AJ27" i="1" a="1"/>
  <c r="AJ27" i="1" s="1"/>
  <c r="AM49" i="1" a="1"/>
  <c r="AM49" i="1" s="1"/>
  <c r="AH69" i="1" a="1"/>
  <c r="AH69" i="1" s="1"/>
  <c r="AN50" i="1" a="1"/>
  <c r="AN50" i="1" s="1"/>
  <c r="AM71" i="1" a="1"/>
  <c r="AM71" i="1" s="1"/>
  <c r="AF48" i="1" a="1"/>
  <c r="AF48" i="1" s="1"/>
  <c r="AN48" i="1" a="1"/>
  <c r="AN48" i="1" s="1"/>
  <c r="AF69" i="1" a="1"/>
  <c r="AF69" i="1" s="1"/>
  <c r="AI71" i="1" a="1"/>
  <c r="AI71" i="1" s="1"/>
  <c r="AL29" i="1" a="1"/>
  <c r="AL29" i="1" s="1"/>
  <c r="AG52" i="1" a="1"/>
  <c r="AG52" i="1" s="1"/>
  <c r="AG54" i="1" a="1"/>
  <c r="AG54" i="1" s="1"/>
  <c r="AI31" i="1" a="1"/>
  <c r="AI31" i="1" s="1"/>
  <c r="AG32" i="1" a="1"/>
  <c r="AG32" i="1" s="1"/>
  <c r="AI52" i="1" a="1"/>
  <c r="AI52" i="1" s="1"/>
  <c r="AI54" i="1" a="1"/>
  <c r="AI54" i="1" s="1"/>
  <c r="AK31" i="1" a="1"/>
  <c r="AK31" i="1" s="1"/>
  <c r="AI33" i="1" a="1"/>
  <c r="AI33" i="1" s="1"/>
  <c r="AM31" i="1" a="1"/>
  <c r="AM31" i="1" s="1"/>
  <c r="AF52" i="1" a="1"/>
  <c r="AF52" i="1" s="1"/>
  <c r="AK52" i="1" a="1"/>
  <c r="AK52" i="1" s="1"/>
  <c r="AK54" i="1" a="1"/>
  <c r="AK54" i="1" s="1"/>
  <c r="AI32" i="1" a="1"/>
  <c r="AI32" i="1" s="1"/>
  <c r="AM54" i="1" a="1"/>
  <c r="AM54" i="1" s="1"/>
  <c r="AK32" i="1" a="1"/>
  <c r="AK32" i="1" s="1"/>
  <c r="AG33" i="1" a="1"/>
  <c r="AG33" i="1" s="1"/>
  <c r="AM32" i="1" a="1"/>
  <c r="AM32" i="1" s="1"/>
  <c r="AF32" i="1" a="1"/>
  <c r="AF32" i="1" s="1"/>
  <c r="AF33" i="1" a="1"/>
  <c r="AF33" i="1" s="1"/>
  <c r="AG53" i="1" a="1"/>
  <c r="AG53" i="1" s="1"/>
  <c r="AK33" i="1" a="1"/>
  <c r="AK33" i="1" s="1"/>
  <c r="AI53" i="1" a="1"/>
  <c r="AI53" i="1" s="1"/>
  <c r="AM33" i="1" a="1"/>
  <c r="AM33" i="1" s="1"/>
  <c r="AG31" i="1" a="1"/>
  <c r="AG31" i="1" s="1"/>
  <c r="AF31" i="1" a="1"/>
  <c r="AF31" i="1" s="1"/>
  <c r="AG75" i="1" a="1"/>
  <c r="AG75" i="1" s="1"/>
  <c r="AG73" i="1" a="1"/>
  <c r="AG73" i="1" s="1"/>
  <c r="AJ73" i="1" a="1"/>
  <c r="AJ73" i="1" s="1"/>
  <c r="AI74" i="1" a="1"/>
  <c r="AI74" i="1" s="1"/>
  <c r="AH53" i="1" a="1"/>
  <c r="AH53" i="1" s="1"/>
  <c r="AF74" i="1" a="1"/>
  <c r="AF74" i="1" s="1"/>
  <c r="AL54" i="1" a="1"/>
  <c r="AL54" i="1" s="1"/>
  <c r="AJ31" i="1" a="1"/>
  <c r="AJ31" i="1" s="1"/>
  <c r="AL52" i="1" a="1"/>
  <c r="AL52" i="1" s="1"/>
  <c r="AM74" i="1" a="1"/>
  <c r="AM74" i="1" s="1"/>
  <c r="AJ54" i="1" a="1"/>
  <c r="AJ54" i="1" s="1"/>
  <c r="AM53" i="1" a="1"/>
  <c r="AM53" i="1" s="1"/>
  <c r="AK75" i="1" a="1"/>
  <c r="AK75" i="1" s="1"/>
  <c r="AM73" i="1" a="1"/>
  <c r="AM73" i="1" s="1"/>
  <c r="AL33" i="1" a="1"/>
  <c r="AL33" i="1" s="1"/>
  <c r="AJ74" i="1" a="1"/>
  <c r="AJ74" i="1" s="1"/>
  <c r="AN54" i="1" a="1"/>
  <c r="AN54" i="1" s="1"/>
  <c r="AK53" i="1" a="1"/>
  <c r="AK53" i="1" s="1"/>
  <c r="AN52" i="1" a="1"/>
  <c r="AN52" i="1" s="1"/>
  <c r="AH75" i="1" a="1"/>
  <c r="AH75" i="1" s="1"/>
  <c r="AN74" i="1" a="1"/>
  <c r="AN74" i="1" s="1"/>
  <c r="AH33" i="1" a="1"/>
  <c r="AH33" i="1" s="1"/>
  <c r="AL32" i="1" a="1"/>
  <c r="AL32" i="1" s="1"/>
  <c r="AH73" i="1" a="1"/>
  <c r="AH73" i="1" s="1"/>
  <c r="AG74" i="1" a="1"/>
  <c r="AG74" i="1" s="1"/>
  <c r="AF73" i="1" a="1"/>
  <c r="AF73" i="1" s="1"/>
  <c r="AL75" i="1" a="1"/>
  <c r="AL75" i="1" s="1"/>
  <c r="AH32" i="1" a="1"/>
  <c r="AH32" i="1" s="1"/>
  <c r="AH54" i="1" a="1"/>
  <c r="AH54" i="1" s="1"/>
  <c r="AK74" i="1" a="1"/>
  <c r="AK74" i="1" s="1"/>
  <c r="AF54" i="1" a="1"/>
  <c r="AF54" i="1" s="1"/>
  <c r="AL73" i="1" a="1"/>
  <c r="AL73" i="1" s="1"/>
  <c r="AN33" i="1" a="1"/>
  <c r="AN33" i="1" s="1"/>
  <c r="AI75" i="1" a="1"/>
  <c r="AI75" i="1" s="1"/>
  <c r="AM75" i="1" a="1"/>
  <c r="AM75" i="1" s="1"/>
  <c r="AM52" i="1" a="1"/>
  <c r="AM52" i="1" s="1"/>
  <c r="AN53" i="1" a="1"/>
  <c r="AN53" i="1" s="1"/>
  <c r="AL53" i="1" a="1"/>
  <c r="AL53" i="1" s="1"/>
  <c r="AF75" i="1" a="1"/>
  <c r="AF75" i="1" s="1"/>
  <c r="AK73" i="1" a="1"/>
  <c r="AK73" i="1" s="1"/>
  <c r="AI73" i="1" a="1"/>
  <c r="AI73" i="1" s="1"/>
  <c r="AJ52" i="1" a="1"/>
  <c r="AJ52" i="1" s="1"/>
  <c r="AH74" i="1" a="1"/>
  <c r="AH74" i="1" s="1"/>
  <c r="AN32" i="1" a="1"/>
  <c r="AN32" i="1" s="1"/>
  <c r="AH31" i="1" a="1"/>
  <c r="AH31" i="1" s="1"/>
  <c r="AH52" i="1" a="1"/>
  <c r="AH52" i="1" s="1"/>
  <c r="AL74" i="1" a="1"/>
  <c r="AL74" i="1" s="1"/>
  <c r="AJ33" i="1" a="1"/>
  <c r="AJ33" i="1" s="1"/>
  <c r="AJ32" i="1" a="1"/>
  <c r="AJ32" i="1" s="1"/>
  <c r="AN31" i="1" a="1"/>
  <c r="AN31" i="1" s="1"/>
  <c r="AJ53" i="1" a="1"/>
  <c r="AJ53" i="1" s="1"/>
  <c r="AN75" i="1" a="1"/>
  <c r="AN75" i="1" s="1"/>
  <c r="AJ75" i="1" a="1"/>
  <c r="AJ75" i="1" s="1"/>
  <c r="AL31" i="1" a="1"/>
  <c r="AL31" i="1" s="1"/>
  <c r="AF53" i="1" a="1"/>
  <c r="AF53" i="1" s="1"/>
  <c r="AN73" i="1" a="1"/>
  <c r="AN73" i="1" s="1"/>
  <c r="AI27" i="11" l="1"/>
  <c r="I14" i="6"/>
  <c r="AI12" i="11"/>
  <c r="AH17" i="11"/>
  <c r="DJ69" i="7"/>
  <c r="H29" i="6"/>
  <c r="N37" i="12"/>
  <c r="M24" i="6" s="1"/>
  <c r="DT23" i="7" s="1"/>
  <c r="DL46" i="7"/>
  <c r="N45" i="12"/>
  <c r="M27" i="6" s="1"/>
  <c r="M28" i="6" s="1"/>
  <c r="DT32" i="7" s="1"/>
  <c r="H130" i="12"/>
  <c r="H109" i="12"/>
  <c r="L37" i="12"/>
  <c r="K24" i="6" s="1"/>
  <c r="K37" i="12"/>
  <c r="J24" i="6" s="1"/>
  <c r="J45" i="12"/>
  <c r="I27" i="6" s="1"/>
  <c r="I28" i="6" s="1"/>
  <c r="K45" i="12"/>
  <c r="J27" i="6" s="1"/>
  <c r="J28" i="6" s="1"/>
  <c r="C33" i="14"/>
  <c r="C102" i="1"/>
  <c r="C33" i="11"/>
  <c r="C33" i="5"/>
  <c r="C33" i="10"/>
  <c r="H123" i="12"/>
  <c r="H67" i="12"/>
  <c r="O45" i="12"/>
  <c r="N27" i="6" s="1"/>
  <c r="N28" i="6" s="1"/>
  <c r="DU32" i="7" s="1"/>
  <c r="L45" i="12"/>
  <c r="K27" i="6" s="1"/>
  <c r="H151" i="12"/>
  <c r="P37" i="12"/>
  <c r="O24" i="6" s="1"/>
  <c r="DV23" i="7" s="1"/>
  <c r="J37" i="12"/>
  <c r="I24" i="6" s="1"/>
  <c r="Q45" i="12"/>
  <c r="P27" i="6" s="1"/>
  <c r="P28" i="6" s="1"/>
  <c r="DW32" i="7" s="1"/>
  <c r="Q37" i="12"/>
  <c r="P24" i="6" s="1"/>
  <c r="DW23" i="7" s="1"/>
  <c r="M45" i="12"/>
  <c r="L27" i="6" s="1"/>
  <c r="AN19" i="1"/>
  <c r="DS80" i="7"/>
  <c r="AH17" i="1"/>
  <c r="DM78" i="7"/>
  <c r="AI17" i="1"/>
  <c r="DN78" i="7"/>
  <c r="AI19" i="1"/>
  <c r="DN80" i="7"/>
  <c r="AM18" i="1"/>
  <c r="DR79" i="7"/>
  <c r="AI18" i="1"/>
  <c r="DN79" i="7"/>
  <c r="AG18" i="1"/>
  <c r="DL79" i="7"/>
  <c r="AJ19" i="1"/>
  <c r="DO80" i="7"/>
  <c r="AH19" i="1"/>
  <c r="DM80" i="7"/>
  <c r="AJ18" i="1"/>
  <c r="DO79" i="7"/>
  <c r="AH18" i="1"/>
  <c r="DM79" i="7"/>
  <c r="AM19" i="1"/>
  <c r="DR80" i="7"/>
  <c r="AM17" i="1"/>
  <c r="DR78" i="7"/>
  <c r="AL18" i="1"/>
  <c r="DQ79" i="7"/>
  <c r="AL17" i="1"/>
  <c r="DQ78" i="7"/>
  <c r="AG19" i="1"/>
  <c r="DL80" i="7"/>
  <c r="AG17" i="1"/>
  <c r="DL78" i="7"/>
  <c r="AN17" i="1"/>
  <c r="DS78" i="7"/>
  <c r="AK18" i="1"/>
  <c r="DP79" i="7"/>
  <c r="AJ17" i="1"/>
  <c r="DO78" i="7"/>
  <c r="AK19" i="1"/>
  <c r="DP80" i="7"/>
  <c r="AN18" i="1"/>
  <c r="DS79" i="7"/>
  <c r="AL19" i="1"/>
  <c r="DQ80" i="7"/>
  <c r="AK17" i="1"/>
  <c r="DP78" i="7"/>
  <c r="M37" i="12"/>
  <c r="L24" i="6" s="1"/>
  <c r="O37" i="12"/>
  <c r="N24" i="6" s="1"/>
  <c r="DU23" i="7" s="1"/>
  <c r="H38" i="12"/>
  <c r="J29" i="12"/>
  <c r="I21" i="6" s="1"/>
  <c r="I29" i="12"/>
  <c r="H21" i="6" s="1"/>
  <c r="H36" i="12"/>
  <c r="AO15" i="11"/>
  <c r="M81" i="12"/>
  <c r="M20" i="12" s="1"/>
  <c r="M60" i="12" s="1"/>
  <c r="G267" i="8"/>
  <c r="O81" i="12"/>
  <c r="O20" i="12" s="1"/>
  <c r="O60" i="12" s="1"/>
  <c r="I267" i="8"/>
  <c r="K81" i="12"/>
  <c r="K20" i="12" s="1"/>
  <c r="E267" i="8"/>
  <c r="L81" i="12"/>
  <c r="L20" i="12" s="1"/>
  <c r="L60" i="12" s="1"/>
  <c r="F267" i="8"/>
  <c r="Q81" i="12"/>
  <c r="Q20" i="12" s="1"/>
  <c r="Q60" i="12" s="1"/>
  <c r="K267" i="8"/>
  <c r="I81" i="12"/>
  <c r="C267" i="8"/>
  <c r="H165" i="12"/>
  <c r="I52" i="12"/>
  <c r="J267" i="8"/>
  <c r="P81" i="12"/>
  <c r="P20" i="12" s="1"/>
  <c r="P60" i="12" s="1"/>
  <c r="H144" i="12"/>
  <c r="I44" i="12"/>
  <c r="N81" i="12"/>
  <c r="N20" i="12" s="1"/>
  <c r="N60" i="12" s="1"/>
  <c r="H267" i="8"/>
  <c r="J81" i="12"/>
  <c r="J20" i="12" s="1"/>
  <c r="J60" i="12" s="1"/>
  <c r="D267" i="8"/>
  <c r="AP15" i="11"/>
  <c r="N23" i="6"/>
  <c r="DU15" i="7" s="1"/>
  <c r="O28" i="6"/>
  <c r="DV32" i="7" s="1"/>
  <c r="DV24" i="7"/>
  <c r="AQ17" i="10"/>
  <c r="O23" i="6"/>
  <c r="DV15" i="7" s="1"/>
  <c r="AK13" i="14"/>
  <c r="AK15" i="14"/>
  <c r="AG15" i="14" s="1"/>
  <c r="AL15" i="11"/>
  <c r="AI13" i="11"/>
  <c r="K17" i="6"/>
  <c r="AN15" i="11"/>
  <c r="P23" i="6"/>
  <c r="DW15" i="7" s="1"/>
  <c r="H18" i="12"/>
  <c r="AM15" i="11"/>
  <c r="H28" i="12"/>
  <c r="J21" i="12"/>
  <c r="I18" i="6" s="1"/>
  <c r="AI13" i="14"/>
  <c r="AG15" i="5"/>
  <c r="L17" i="6"/>
  <c r="DK13" i="7" s="1"/>
  <c r="AJ12" i="11"/>
  <c r="AJ24" i="11" a="1"/>
  <c r="AJ24" i="11" s="1"/>
  <c r="AO17" i="10"/>
  <c r="AL17" i="10"/>
  <c r="AL12" i="14"/>
  <c r="AL17" i="14" s="1"/>
  <c r="AN17" i="10"/>
  <c r="AJ13" i="14"/>
  <c r="AM24" i="14" a="1"/>
  <c r="AM24" i="14" s="1"/>
  <c r="AN24" i="14" a="1"/>
  <c r="AN24" i="14" s="1"/>
  <c r="P17" i="6"/>
  <c r="DW13" i="7" s="1"/>
  <c r="AM13" i="11"/>
  <c r="J17" i="6"/>
  <c r="AI14" i="11"/>
  <c r="AO14" i="14"/>
  <c r="AN13" i="11"/>
  <c r="AJ14" i="11"/>
  <c r="AJ13" i="11"/>
  <c r="L23" i="6"/>
  <c r="DK15" i="7" s="1"/>
  <c r="AP13" i="11"/>
  <c r="AP14" i="11"/>
  <c r="N17" i="6"/>
  <c r="DU13" i="7" s="1"/>
  <c r="N20" i="6"/>
  <c r="DU14" i="7" s="1"/>
  <c r="AN14" i="14"/>
  <c r="J14" i="6"/>
  <c r="AL13" i="11"/>
  <c r="M17" i="6"/>
  <c r="DT13" i="7" s="1"/>
  <c r="AM13" i="14"/>
  <c r="AK15" i="11"/>
  <c r="AM22" i="14" a="1"/>
  <c r="AM22" i="14" s="1"/>
  <c r="AM12" i="14"/>
  <c r="AK24" i="14" a="1"/>
  <c r="AK24" i="14" s="1"/>
  <c r="AK12" i="14"/>
  <c r="AK20" i="14" a="1"/>
  <c r="AK20" i="14" s="1"/>
  <c r="AK22" i="14" a="1"/>
  <c r="AK22" i="14" s="1"/>
  <c r="AK23" i="14" a="1"/>
  <c r="AK23" i="14" s="1"/>
  <c r="AK27" i="14"/>
  <c r="AK21" i="14" a="1"/>
  <c r="AK21" i="14" s="1"/>
  <c r="P20" i="6"/>
  <c r="DW14" i="7" s="1"/>
  <c r="AM21" i="14" a="1"/>
  <c r="AM21" i="14" s="1"/>
  <c r="J20" i="6"/>
  <c r="AH15" i="10"/>
  <c r="AM27" i="14"/>
  <c r="AO12" i="14"/>
  <c r="AM20" i="14" a="1"/>
  <c r="AM20" i="14" s="1"/>
  <c r="AM23" i="14" a="1"/>
  <c r="AM23" i="14" s="1"/>
  <c r="AL21" i="14" a="1"/>
  <c r="AL21" i="14" s="1"/>
  <c r="AL20" i="14" a="1"/>
  <c r="AL20" i="14" s="1"/>
  <c r="AL22" i="14" a="1"/>
  <c r="AL22" i="14" s="1"/>
  <c r="AL23" i="14" a="1"/>
  <c r="AL23" i="14" s="1"/>
  <c r="AN21" i="14" a="1"/>
  <c r="AN21" i="14" s="1"/>
  <c r="AL24" i="14" a="1"/>
  <c r="AL24" i="14" s="1"/>
  <c r="AJ27" i="14"/>
  <c r="AJ23" i="14" a="1"/>
  <c r="AJ23" i="14" s="1"/>
  <c r="AJ22" i="14" a="1"/>
  <c r="AJ22" i="14" s="1"/>
  <c r="AJ21" i="14" a="1"/>
  <c r="AJ21" i="14" s="1"/>
  <c r="AJ12" i="14"/>
  <c r="AJ24" i="14" a="1"/>
  <c r="AJ24" i="14" s="1"/>
  <c r="AL27" i="14"/>
  <c r="AJ17" i="10"/>
  <c r="AO13" i="11"/>
  <c r="AP14" i="14"/>
  <c r="AJ20" i="14" a="1"/>
  <c r="AJ20" i="14" s="1"/>
  <c r="AK13" i="11"/>
  <c r="O20" i="6"/>
  <c r="DV14" i="7" s="1"/>
  <c r="AN13" i="14"/>
  <c r="AH25" i="14"/>
  <c r="AP22" i="14" a="1"/>
  <c r="AP22" i="14" s="1"/>
  <c r="AP12" i="14"/>
  <c r="AP23" i="14" a="1"/>
  <c r="AP23" i="14" s="1"/>
  <c r="AP21" i="14" a="1"/>
  <c r="AP21" i="14" s="1"/>
  <c r="AP27" i="14"/>
  <c r="AP24" i="14" a="1"/>
  <c r="AP24" i="14" s="1"/>
  <c r="AP20" i="14" a="1"/>
  <c r="AP20" i="14" s="1"/>
  <c r="AI23" i="14" a="1"/>
  <c r="AI23" i="14" s="1"/>
  <c r="AI12" i="14"/>
  <c r="AI21" i="14" a="1"/>
  <c r="AI21" i="14" s="1"/>
  <c r="AI22" i="14" a="1"/>
  <c r="AI22" i="14" s="1"/>
  <c r="AI24" i="14" a="1"/>
  <c r="AI24" i="14" s="1"/>
  <c r="AI20" i="14" a="1"/>
  <c r="AI20" i="14" s="1"/>
  <c r="AI27" i="14"/>
  <c r="AM17" i="10"/>
  <c r="AP13" i="14"/>
  <c r="AN20" i="14" a="1"/>
  <c r="AN20" i="14" s="1"/>
  <c r="AP22" i="11" a="1"/>
  <c r="AP22" i="11" s="1"/>
  <c r="AN12" i="14"/>
  <c r="AN23" i="14" a="1"/>
  <c r="AN23" i="14" s="1"/>
  <c r="AO13" i="14"/>
  <c r="AO22" i="14" a="1"/>
  <c r="AO22" i="14" s="1"/>
  <c r="AO24" i="14" a="1"/>
  <c r="AO24" i="14" s="1"/>
  <c r="AO21" i="14" a="1"/>
  <c r="AO21" i="14" s="1"/>
  <c r="AO27" i="14"/>
  <c r="AO23" i="14" a="1"/>
  <c r="AO23" i="14" s="1"/>
  <c r="AO20" i="14" a="1"/>
  <c r="AO20" i="14" s="1"/>
  <c r="AN22" i="14" a="1"/>
  <c r="AN22" i="14" s="1"/>
  <c r="AK14" i="11"/>
  <c r="AN27" i="14"/>
  <c r="AL14" i="11"/>
  <c r="AL27" i="11"/>
  <c r="AO27" i="11"/>
  <c r="AK27" i="11"/>
  <c r="AM12" i="11"/>
  <c r="AM27" i="11"/>
  <c r="AN27" i="11"/>
  <c r="AJ27" i="11"/>
  <c r="AP27" i="11"/>
  <c r="L20" i="6"/>
  <c r="DK14" i="7" s="1"/>
  <c r="AN14" i="11"/>
  <c r="K20" i="6"/>
  <c r="AH14" i="10"/>
  <c r="AH12" i="10"/>
  <c r="AI23" i="11" a="1"/>
  <c r="AI23" i="11" s="1"/>
  <c r="AQ25" i="10"/>
  <c r="AN25" i="10"/>
  <c r="AP17" i="10"/>
  <c r="AL25" i="10"/>
  <c r="AO20" i="11" a="1"/>
  <c r="AO20" i="11" s="1"/>
  <c r="AL17" i="5"/>
  <c r="AO24" i="11" a="1"/>
  <c r="AO24" i="11" s="1"/>
  <c r="AO23" i="11" a="1"/>
  <c r="AO23" i="11" s="1"/>
  <c r="AK24" i="11" a="1"/>
  <c r="AK24" i="11" s="1"/>
  <c r="M20" i="6"/>
  <c r="DT14" i="7" s="1"/>
  <c r="M14" i="6"/>
  <c r="DT12" i="7" s="1"/>
  <c r="AM20" i="11" a="1"/>
  <c r="AM20" i="11" s="1"/>
  <c r="AK23" i="11" a="1"/>
  <c r="AK23" i="11" s="1"/>
  <c r="K23" i="6"/>
  <c r="AI21" i="11" a="1"/>
  <c r="AI21" i="11" s="1"/>
  <c r="AP12" i="11"/>
  <c r="AP23" i="11" a="1"/>
  <c r="AP23" i="11" s="1"/>
  <c r="P14" i="6"/>
  <c r="DW12" i="7" s="1"/>
  <c r="AP24" i="11" a="1"/>
  <c r="AP24" i="11" s="1"/>
  <c r="AM24" i="11" a="1"/>
  <c r="AM24" i="11" s="1"/>
  <c r="AP21" i="11" a="1"/>
  <c r="AP21" i="11" s="1"/>
  <c r="AP20" i="11" a="1"/>
  <c r="AP20" i="11" s="1"/>
  <c r="AN20" i="11" a="1"/>
  <c r="AN20" i="11" s="1"/>
  <c r="AO21" i="11" a="1"/>
  <c r="AO21" i="11" s="1"/>
  <c r="AK20" i="11" a="1"/>
  <c r="AK20" i="11" s="1"/>
  <c r="AM22" i="11" a="1"/>
  <c r="AM22" i="11" s="1"/>
  <c r="AL20" i="11" a="1"/>
  <c r="AL20" i="11" s="1"/>
  <c r="AH25" i="11"/>
  <c r="O17" i="6"/>
  <c r="DV13" i="7" s="1"/>
  <c r="AK21" i="11" a="1"/>
  <c r="AK21" i="11" s="1"/>
  <c r="K14" i="6"/>
  <c r="AO14" i="11"/>
  <c r="AM14" i="11"/>
  <c r="AM23" i="11" a="1"/>
  <c r="AM23" i="11" s="1"/>
  <c r="AK22" i="11" a="1"/>
  <c r="AK22" i="11" s="1"/>
  <c r="AL23" i="11" a="1"/>
  <c r="AL23" i="11" s="1"/>
  <c r="AO22" i="11" a="1"/>
  <c r="AO22" i="11" s="1"/>
  <c r="AM21" i="11" a="1"/>
  <c r="AM21" i="11" s="1"/>
  <c r="AL21" i="11" a="1"/>
  <c r="AL21" i="11" s="1"/>
  <c r="AL12" i="11"/>
  <c r="AN22" i="11" a="1"/>
  <c r="AN22" i="11" s="1"/>
  <c r="M23" i="6"/>
  <c r="DT15" i="7" s="1"/>
  <c r="AJ20" i="11" a="1"/>
  <c r="AJ20" i="11" s="1"/>
  <c r="AO25" i="10"/>
  <c r="N14" i="6"/>
  <c r="DU12" i="7" s="1"/>
  <c r="AL24" i="11" a="1"/>
  <c r="AL24" i="11" s="1"/>
  <c r="AI22" i="11" a="1"/>
  <c r="AI22" i="11" s="1"/>
  <c r="AN21" i="11" a="1"/>
  <c r="AN21" i="11" s="1"/>
  <c r="AN24" i="11" a="1"/>
  <c r="AN24" i="11" s="1"/>
  <c r="AN23" i="11" a="1"/>
  <c r="AN23" i="11" s="1"/>
  <c r="AJ21" i="11" a="1"/>
  <c r="AJ21" i="11" s="1"/>
  <c r="AK12" i="11"/>
  <c r="AL22" i="11" a="1"/>
  <c r="AL22" i="11" s="1"/>
  <c r="AN12" i="11"/>
  <c r="O14" i="6"/>
  <c r="DV12" i="7" s="1"/>
  <c r="AI20" i="11" a="1"/>
  <c r="AI20" i="11" s="1"/>
  <c r="AO17" i="5"/>
  <c r="I20" i="6"/>
  <c r="AI24" i="11" a="1"/>
  <c r="AI24" i="11" s="1"/>
  <c r="AK17" i="10"/>
  <c r="AJ22" i="11" a="1"/>
  <c r="AJ22" i="11" s="1"/>
  <c r="L14" i="6"/>
  <c r="DK12" i="7" s="1"/>
  <c r="DK17" i="7" s="1"/>
  <c r="AJ23" i="11" a="1"/>
  <c r="AJ23" i="11" s="1"/>
  <c r="AI17" i="5"/>
  <c r="AJ15" i="11"/>
  <c r="J23" i="6"/>
  <c r="AO12" i="11"/>
  <c r="I45" i="12"/>
  <c r="H46" i="12"/>
  <c r="Q55" i="12"/>
  <c r="M21" i="12"/>
  <c r="L18" i="6" s="1"/>
  <c r="AK17" i="5"/>
  <c r="M29" i="12"/>
  <c r="L21" i="6" s="1"/>
  <c r="M55" i="12"/>
  <c r="M56" i="12"/>
  <c r="K57" i="12"/>
  <c r="L29" i="12"/>
  <c r="K21" i="6" s="1"/>
  <c r="K58" i="12"/>
  <c r="K29" i="12"/>
  <c r="J21" i="6" s="1"/>
  <c r="H31" i="12"/>
  <c r="O56" i="12"/>
  <c r="O29" i="12"/>
  <c r="N21" i="6" s="1"/>
  <c r="L56" i="12"/>
  <c r="P55" i="12"/>
  <c r="N29" i="12"/>
  <c r="M21" i="6" s="1"/>
  <c r="DT22" i="7" s="1"/>
  <c r="N55" i="12"/>
  <c r="H32" i="12"/>
  <c r="P29" i="12"/>
  <c r="O21" i="6" s="1"/>
  <c r="Q29" i="12"/>
  <c r="P21" i="6" s="1"/>
  <c r="AG22" i="1"/>
  <c r="AN25" i="5"/>
  <c r="AN17" i="5"/>
  <c r="P56" i="12"/>
  <c r="AG12" i="5"/>
  <c r="AL25" i="5"/>
  <c r="AP25" i="5"/>
  <c r="AO25" i="5"/>
  <c r="AG14" i="5"/>
  <c r="AM25" i="5"/>
  <c r="Q56" i="12"/>
  <c r="Q21" i="12"/>
  <c r="P18" i="6" s="1"/>
  <c r="L21" i="12"/>
  <c r="K18" i="6" s="1"/>
  <c r="O21" i="12"/>
  <c r="N18" i="6" s="1"/>
  <c r="AP17" i="5"/>
  <c r="AM17" i="5"/>
  <c r="AG13" i="5"/>
  <c r="AI25" i="5"/>
  <c r="AG22" i="5"/>
  <c r="AG24" i="5"/>
  <c r="AG20" i="5"/>
  <c r="AK25" i="5"/>
  <c r="AG21" i="5"/>
  <c r="AG23" i="5"/>
  <c r="P21" i="12"/>
  <c r="O18" i="6" s="1"/>
  <c r="DV21" i="7" s="1"/>
  <c r="H15" i="12"/>
  <c r="L55" i="12"/>
  <c r="H57" i="12"/>
  <c r="N56" i="12"/>
  <c r="H24" i="12"/>
  <c r="K56" i="12"/>
  <c r="K21" i="12"/>
  <c r="H22" i="12"/>
  <c r="H23" i="12"/>
  <c r="K55" i="12"/>
  <c r="N21" i="12"/>
  <c r="M18" i="6" s="1"/>
  <c r="H16" i="12"/>
  <c r="K60" i="12"/>
  <c r="H27" i="12"/>
  <c r="H59" i="12" s="1"/>
  <c r="K59" i="12"/>
  <c r="H58" i="12"/>
  <c r="H30" i="12"/>
  <c r="AH25" i="5"/>
  <c r="AJ25" i="5"/>
  <c r="AH17" i="5"/>
  <c r="AJ17" i="5"/>
  <c r="AM25" i="10"/>
  <c r="AH22" i="10"/>
  <c r="AH13" i="10"/>
  <c r="AH24" i="10"/>
  <c r="AK25" i="10"/>
  <c r="AH20" i="10"/>
  <c r="AI25" i="10"/>
  <c r="AH23" i="10"/>
  <c r="AJ25" i="10"/>
  <c r="AH21" i="10"/>
  <c r="AP25" i="10"/>
  <c r="AI17" i="10"/>
  <c r="AF38" i="1"/>
  <c r="AF22" i="1"/>
  <c r="AN30" i="1"/>
  <c r="AL34" i="1"/>
  <c r="AL76" i="1"/>
  <c r="AL59" i="1"/>
  <c r="AH51" i="1"/>
  <c r="AF34" i="1"/>
  <c r="AM80" i="1"/>
  <c r="AN55" i="1"/>
  <c r="AK38" i="1"/>
  <c r="AF80" i="1"/>
  <c r="AF68" i="1"/>
  <c r="AL30" i="1"/>
  <c r="AH26" i="1"/>
  <c r="AK22" i="1"/>
  <c r="AF30" i="1"/>
  <c r="AK51" i="1"/>
  <c r="AN72" i="1"/>
  <c r="AH72" i="1"/>
  <c r="AJ38" i="1"/>
  <c r="AF26" i="1"/>
  <c r="AH76" i="1"/>
  <c r="AF51" i="1"/>
  <c r="AK47" i="1"/>
  <c r="AN38" i="1"/>
  <c r="AG68" i="1"/>
  <c r="AG47" i="1"/>
  <c r="AF72" i="1"/>
  <c r="AL47" i="1"/>
  <c r="AL22" i="1"/>
  <c r="AH43" i="1"/>
  <c r="AM68" i="1"/>
  <c r="AK26" i="1"/>
  <c r="AI64" i="1"/>
  <c r="AJ51" i="1"/>
  <c r="AI72" i="1"/>
  <c r="AL51" i="1"/>
  <c r="AN47" i="1"/>
  <c r="AK72" i="1"/>
  <c r="AJ30" i="1"/>
  <c r="AG51" i="1"/>
  <c r="AF47" i="1"/>
  <c r="AG76" i="1"/>
  <c r="AJ43" i="1"/>
  <c r="AG38" i="1"/>
  <c r="AH34" i="1"/>
  <c r="AN64" i="1"/>
  <c r="AL26" i="1"/>
  <c r="AM55" i="1"/>
  <c r="AJ80" i="1"/>
  <c r="AH68" i="1"/>
  <c r="AF55" i="1"/>
  <c r="AK76" i="1"/>
  <c r="AJ72" i="1"/>
  <c r="AJ26" i="1"/>
  <c r="AJ68" i="1"/>
  <c r="AM26" i="1"/>
  <c r="AG72" i="1"/>
  <c r="AJ76" i="1"/>
  <c r="AM64" i="1"/>
  <c r="AL68" i="1"/>
  <c r="AI47" i="1"/>
  <c r="AK55" i="1"/>
  <c r="AK64" i="1"/>
  <c r="AJ22" i="1"/>
  <c r="AN59" i="1"/>
  <c r="AM59" i="1"/>
  <c r="AM51" i="1"/>
  <c r="AL72" i="1"/>
  <c r="AJ55" i="1"/>
  <c r="AM34" i="1"/>
  <c r="AL43" i="1"/>
  <c r="AI22" i="1"/>
  <c r="AN80" i="1"/>
  <c r="AG30" i="1"/>
  <c r="AN26" i="1"/>
  <c r="AH22" i="1"/>
  <c r="AH30" i="1"/>
  <c r="AI26" i="1"/>
  <c r="AI55" i="1"/>
  <c r="AH64" i="1"/>
  <c r="AF43" i="1"/>
  <c r="AK59" i="1"/>
  <c r="AG26" i="1"/>
  <c r="AK43" i="1"/>
  <c r="AG80" i="1"/>
  <c r="AI38" i="1"/>
  <c r="AI30" i="1"/>
  <c r="AH47" i="1"/>
  <c r="AG55" i="1"/>
  <c r="AK34" i="1"/>
  <c r="AM22" i="1"/>
  <c r="AM76" i="1"/>
  <c r="AL55" i="1"/>
  <c r="AI34" i="1"/>
  <c r="AN22" i="1"/>
  <c r="AM38" i="1"/>
  <c r="AK80" i="1"/>
  <c r="AN68" i="1"/>
  <c r="AG34" i="1"/>
  <c r="AM43" i="1"/>
  <c r="AH38" i="1"/>
  <c r="AK68" i="1"/>
  <c r="AH55" i="1"/>
  <c r="AJ34" i="1"/>
  <c r="AN43" i="1"/>
  <c r="AI59" i="1"/>
  <c r="AF76" i="1"/>
  <c r="AI80" i="1"/>
  <c r="AH59" i="1"/>
  <c r="AN51" i="1"/>
  <c r="AL64" i="1"/>
  <c r="AH80" i="1"/>
  <c r="AG59" i="1"/>
  <c r="AI68" i="1"/>
  <c r="AJ47" i="1"/>
  <c r="AN34" i="1"/>
  <c r="AL38" i="1"/>
  <c r="AJ64" i="1"/>
  <c r="AF64" i="1"/>
  <c r="AG64" i="1"/>
  <c r="AL80" i="1"/>
  <c r="AM72" i="1"/>
  <c r="AK30" i="1"/>
  <c r="AM47" i="1"/>
  <c r="AI76" i="1"/>
  <c r="AM30" i="1"/>
  <c r="AG43" i="1"/>
  <c r="AJ59" i="1"/>
  <c r="AI51" i="1"/>
  <c r="AI43" i="1"/>
  <c r="AN76" i="1"/>
  <c r="AF59" i="1"/>
  <c r="AG20" i="11" l="1"/>
  <c r="AR17" i="10"/>
  <c r="AS17" i="10" s="1"/>
  <c r="AR25" i="10"/>
  <c r="AH25" i="10" s="1"/>
  <c r="C53" i="16"/>
  <c r="B53" i="16"/>
  <c r="D53" i="16"/>
  <c r="E53" i="16"/>
  <c r="DJ23" i="7"/>
  <c r="B15" i="16"/>
  <c r="DL48" i="7"/>
  <c r="DJ15" i="7"/>
  <c r="DJ13" i="7"/>
  <c r="DJ14" i="7"/>
  <c r="DJ12" i="7"/>
  <c r="DT24" i="7"/>
  <c r="DS17" i="7"/>
  <c r="DU24" i="7"/>
  <c r="I25" i="6"/>
  <c r="DW24" i="7"/>
  <c r="K28" i="6"/>
  <c r="C34" i="14"/>
  <c r="C34" i="5"/>
  <c r="C34" i="11"/>
  <c r="C103" i="1"/>
  <c r="C34" i="10"/>
  <c r="L28" i="6"/>
  <c r="H22" i="6"/>
  <c r="AF42" i="1"/>
  <c r="AG15" i="11"/>
  <c r="DW17" i="7"/>
  <c r="DU17" i="7"/>
  <c r="AN17" i="11"/>
  <c r="AG13" i="11"/>
  <c r="AG14" i="14"/>
  <c r="AI17" i="11"/>
  <c r="H44" i="12"/>
  <c r="I37" i="12"/>
  <c r="H52" i="12"/>
  <c r="I20" i="12"/>
  <c r="H20" i="12" s="1"/>
  <c r="H81" i="12"/>
  <c r="N25" i="6"/>
  <c r="DU31" i="7" s="1"/>
  <c r="AK17" i="11"/>
  <c r="O22" i="6"/>
  <c r="DV30" i="7" s="1"/>
  <c r="DV22" i="7"/>
  <c r="M19" i="6"/>
  <c r="DT29" i="7" s="1"/>
  <c r="DT21" i="7"/>
  <c r="P22" i="6"/>
  <c r="DW30" i="7" s="1"/>
  <c r="DW22" i="7"/>
  <c r="N22" i="6"/>
  <c r="DU30" i="7" s="1"/>
  <c r="DU22" i="7"/>
  <c r="L22" i="6"/>
  <c r="N19" i="6"/>
  <c r="DU29" i="7" s="1"/>
  <c r="DU21" i="7"/>
  <c r="L19" i="6"/>
  <c r="K19" i="6"/>
  <c r="P19" i="6"/>
  <c r="DW29" i="7" s="1"/>
  <c r="DW21" i="7"/>
  <c r="I19" i="6"/>
  <c r="DR17" i="7"/>
  <c r="DV17" i="7"/>
  <c r="DT17" i="7"/>
  <c r="DQ46" i="7"/>
  <c r="K22" i="6"/>
  <c r="G17" i="6"/>
  <c r="I22" i="6"/>
  <c r="P29" i="6"/>
  <c r="DW46" i="7" s="1"/>
  <c r="N29" i="6"/>
  <c r="DU46" i="7" s="1"/>
  <c r="K25" i="6"/>
  <c r="L29" i="6"/>
  <c r="DS46" i="7" s="1"/>
  <c r="M25" i="6"/>
  <c r="P25" i="6"/>
  <c r="J25" i="6"/>
  <c r="L25" i="6"/>
  <c r="O25" i="6"/>
  <c r="AK17" i="14"/>
  <c r="AJ17" i="14"/>
  <c r="AP17" i="11"/>
  <c r="AL17" i="11"/>
  <c r="AN17" i="14"/>
  <c r="AG21" i="14"/>
  <c r="AO17" i="14"/>
  <c r="AG23" i="14"/>
  <c r="AP25" i="14"/>
  <c r="AK25" i="14"/>
  <c r="AG13" i="14"/>
  <c r="AJ25" i="14"/>
  <c r="AG22" i="14"/>
  <c r="AN25" i="14"/>
  <c r="AI25" i="14"/>
  <c r="AI17" i="14"/>
  <c r="AG12" i="14"/>
  <c r="AL25" i="14"/>
  <c r="AM25" i="14"/>
  <c r="AP17" i="14"/>
  <c r="AG20" i="14"/>
  <c r="AO25" i="14"/>
  <c r="AG24" i="14"/>
  <c r="AM17" i="14"/>
  <c r="AM17" i="11"/>
  <c r="M22" i="6"/>
  <c r="DT30" i="7" s="1"/>
  <c r="K29" i="6"/>
  <c r="DR46" i="7" s="1"/>
  <c r="AO17" i="11"/>
  <c r="M29" i="6"/>
  <c r="DT46" i="7" s="1"/>
  <c r="AG14" i="11"/>
  <c r="AP25" i="11"/>
  <c r="AO25" i="11"/>
  <c r="O19" i="6"/>
  <c r="DV29" i="7" s="1"/>
  <c r="O29" i="6"/>
  <c r="DV46" i="7" s="1"/>
  <c r="AM25" i="11"/>
  <c r="AK25" i="11"/>
  <c r="AG22" i="11"/>
  <c r="AG23" i="11"/>
  <c r="AG24" i="11"/>
  <c r="AI25" i="11"/>
  <c r="G14" i="6"/>
  <c r="AL25" i="11"/>
  <c r="AG12" i="11"/>
  <c r="AJ25" i="11"/>
  <c r="AN25" i="11"/>
  <c r="G23" i="6"/>
  <c r="AJ17" i="11"/>
  <c r="G20" i="6"/>
  <c r="I29" i="6"/>
  <c r="J29" i="6"/>
  <c r="AG21" i="11"/>
  <c r="H27" i="6"/>
  <c r="H45" i="12"/>
  <c r="G21" i="6"/>
  <c r="H29" i="12"/>
  <c r="AG25" i="5"/>
  <c r="J22" i="6"/>
  <c r="H55" i="12"/>
  <c r="J18" i="6"/>
  <c r="H21" i="12"/>
  <c r="H56" i="12"/>
  <c r="AG17" i="5"/>
  <c r="AM84" i="1"/>
  <c r="AH42" i="1"/>
  <c r="AF63" i="1"/>
  <c r="AL84" i="1"/>
  <c r="AN84" i="1"/>
  <c r="AG42" i="1"/>
  <c r="AM63" i="1"/>
  <c r="AK84" i="1"/>
  <c r="AN63" i="1"/>
  <c r="AM42" i="1"/>
  <c r="AG63" i="1"/>
  <c r="AN42" i="1"/>
  <c r="AI84" i="1"/>
  <c r="AL63" i="1"/>
  <c r="AJ84" i="1"/>
  <c r="AF84" i="1"/>
  <c r="AL42" i="1"/>
  <c r="AK42" i="1"/>
  <c r="AJ42" i="1"/>
  <c r="AK63" i="1"/>
  <c r="AI63" i="1"/>
  <c r="AJ63" i="1"/>
  <c r="AI42" i="1"/>
  <c r="AG84" i="1"/>
  <c r="AH84" i="1"/>
  <c r="AH63" i="1"/>
  <c r="B9" i="21" l="1"/>
  <c r="DP46" i="7"/>
  <c r="DK46" i="7" s="1"/>
  <c r="I53" i="16"/>
  <c r="DK25" i="7"/>
  <c r="DP32" i="7"/>
  <c r="D57" i="16"/>
  <c r="D59" i="16" s="1"/>
  <c r="E57" i="16"/>
  <c r="E59" i="16" s="1"/>
  <c r="B57" i="16"/>
  <c r="B59" i="16" s="1"/>
  <c r="C57" i="16"/>
  <c r="C59" i="16" s="1"/>
  <c r="AH17" i="10"/>
  <c r="DJ22" i="7"/>
  <c r="B17" i="16"/>
  <c r="DJ24" i="7"/>
  <c r="DJ21" i="7"/>
  <c r="DQ39" i="7"/>
  <c r="DJ30" i="7"/>
  <c r="DJ17" i="7"/>
  <c r="C35" i="14"/>
  <c r="C35" i="11"/>
  <c r="C35" i="10"/>
  <c r="C35" i="5"/>
  <c r="C104" i="1"/>
  <c r="H60" i="12"/>
  <c r="I60" i="12"/>
  <c r="H24" i="6"/>
  <c r="H37" i="12"/>
  <c r="DJ78" i="7"/>
  <c r="DV31" i="7"/>
  <c r="DW31" i="7"/>
  <c r="DT31" i="7"/>
  <c r="AG25" i="14"/>
  <c r="AG17" i="14"/>
  <c r="G22" i="6"/>
  <c r="AG17" i="11"/>
  <c r="AG25" i="11"/>
  <c r="G29" i="6"/>
  <c r="G27" i="6"/>
  <c r="H28" i="6"/>
  <c r="G18" i="6"/>
  <c r="J19" i="6"/>
  <c r="B10" i="21" l="1"/>
  <c r="D10" i="21"/>
  <c r="E10" i="21"/>
  <c r="C10" i="21"/>
  <c r="DR39" i="7"/>
  <c r="DS39" i="7" s="1"/>
  <c r="DT39" i="7" s="1"/>
  <c r="DU39" i="7" s="1"/>
  <c r="DV39" i="7" s="1"/>
  <c r="DW39" i="7" s="1"/>
  <c r="DJ39" i="7" s="1"/>
  <c r="G53" i="16"/>
  <c r="H53" i="16"/>
  <c r="D36" i="16"/>
  <c r="E36" i="16" s="1"/>
  <c r="DJ46" i="7"/>
  <c r="DP41" i="7"/>
  <c r="DK33" i="7"/>
  <c r="DK34" i="7" s="1"/>
  <c r="DJ32" i="7"/>
  <c r="F53" i="16"/>
  <c r="C26" i="16"/>
  <c r="DQ40" i="7"/>
  <c r="DT40" i="7" s="1"/>
  <c r="DU40" i="7" s="1"/>
  <c r="DV40" i="7" s="1"/>
  <c r="DW40" i="7" s="1"/>
  <c r="DJ31" i="7"/>
  <c r="C36" i="14"/>
  <c r="C105" i="1"/>
  <c r="C36" i="11"/>
  <c r="C36" i="10"/>
  <c r="C36" i="5"/>
  <c r="DR81" i="7"/>
  <c r="DR91" i="7" s="1"/>
  <c r="G24" i="6"/>
  <c r="H25" i="6"/>
  <c r="DL81" i="7"/>
  <c r="DL91" i="7" s="1"/>
  <c r="DP81" i="7"/>
  <c r="DP91" i="7" s="1"/>
  <c r="DO81" i="7"/>
  <c r="DO91" i="7" s="1"/>
  <c r="DM81" i="7"/>
  <c r="DM91" i="7" s="1"/>
  <c r="DQ81" i="7"/>
  <c r="DQ91" i="7" s="1"/>
  <c r="DS81" i="7"/>
  <c r="DS91" i="7" s="1"/>
  <c r="DJ79" i="7"/>
  <c r="DJ80" i="7"/>
  <c r="DN81" i="7"/>
  <c r="G28" i="6"/>
  <c r="DJ29" i="7"/>
  <c r="G19" i="6"/>
  <c r="G26" i="16" l="1"/>
  <c r="I26" i="16"/>
  <c r="B38" i="21"/>
  <c r="P6" i="21"/>
  <c r="V15" i="21" s="1"/>
  <c r="W15" i="21" s="1"/>
  <c r="W16" i="21" s="1"/>
  <c r="Q6" i="21"/>
  <c r="D26" i="16"/>
  <c r="E26" i="16" s="1"/>
  <c r="DK41" i="7"/>
  <c r="DK42" i="7" s="1"/>
  <c r="DQ41" i="7"/>
  <c r="DT41" i="7" s="1"/>
  <c r="DU41" i="7" s="1"/>
  <c r="DV41" i="7" s="1"/>
  <c r="DW41" i="7" s="1"/>
  <c r="DJ41" i="7" s="1"/>
  <c r="DQ38" i="7"/>
  <c r="DT38" i="7" s="1"/>
  <c r="DU38" i="7" s="1"/>
  <c r="DV38" i="7" s="1"/>
  <c r="DW38" i="7" s="1"/>
  <c r="C37" i="14"/>
  <c r="C37" i="10"/>
  <c r="C37" i="11"/>
  <c r="C106" i="1"/>
  <c r="C37" i="5"/>
  <c r="G25" i="6"/>
  <c r="DJ81" i="7"/>
  <c r="DN91" i="7"/>
  <c r="DJ91" i="7" s="1"/>
  <c r="W18" i="21" l="1"/>
  <c r="C37" i="16"/>
  <c r="D37" i="16" s="1"/>
  <c r="E37" i="16" s="1"/>
  <c r="C38" i="14"/>
  <c r="C38" i="10"/>
  <c r="C107" i="1"/>
  <c r="C38" i="5"/>
  <c r="C38" i="11"/>
  <c r="O37" i="16" l="1"/>
  <c r="O36" i="16" s="1"/>
  <c r="P36" i="16" s="1"/>
  <c r="Q36" i="16" s="1"/>
  <c r="C39" i="14"/>
  <c r="C39" i="10"/>
  <c r="C39" i="5"/>
  <c r="C39" i="11"/>
  <c r="C108" i="1"/>
  <c r="C40" i="14" l="1"/>
  <c r="C40" i="11"/>
  <c r="C109" i="1"/>
  <c r="C40" i="10"/>
  <c r="C40" i="5"/>
  <c r="C41" i="14" l="1"/>
  <c r="C41" i="10"/>
  <c r="C41" i="11"/>
  <c r="C41" i="5"/>
  <c r="C110" i="1"/>
  <c r="C42" i="14" l="1"/>
  <c r="C42" i="10"/>
  <c r="C111" i="1"/>
  <c r="C42" i="5"/>
  <c r="C42" i="11"/>
  <c r="DJ40" i="7"/>
  <c r="C43" i="14" l="1"/>
  <c r="C43" i="11"/>
  <c r="C43" i="10"/>
  <c r="C43" i="5"/>
  <c r="C112" i="1"/>
  <c r="DJ38" i="7"/>
  <c r="C44" i="14" l="1"/>
  <c r="C44" i="10"/>
  <c r="C113" i="1"/>
  <c r="C44" i="5"/>
  <c r="C44" i="11"/>
  <c r="C45" i="14" l="1"/>
  <c r="C45" i="11"/>
  <c r="C45" i="10"/>
  <c r="C114" i="1"/>
  <c r="C45" i="5"/>
  <c r="C46" i="14" l="1"/>
  <c r="C46" i="11"/>
  <c r="C46" i="5"/>
  <c r="C115" i="1"/>
  <c r="C46" i="10"/>
  <c r="C47" i="14" l="1"/>
  <c r="C47" i="11"/>
  <c r="C47" i="10"/>
  <c r="C116" i="1"/>
  <c r="C47" i="5"/>
  <c r="C48" i="14" l="1"/>
  <c r="C48" i="10"/>
  <c r="C117" i="1"/>
  <c r="C48" i="11"/>
  <c r="C48" i="5"/>
  <c r="C49" i="14" l="1"/>
  <c r="C49" i="10"/>
  <c r="C49" i="11"/>
  <c r="C49" i="5"/>
  <c r="C118" i="1"/>
  <c r="C50" i="14" l="1"/>
  <c r="C50" i="11"/>
  <c r="C50" i="5"/>
  <c r="C119" i="1"/>
  <c r="C50" i="10"/>
  <c r="C51" i="14" l="1"/>
  <c r="C51" i="11"/>
  <c r="C120" i="1"/>
  <c r="C51" i="5"/>
  <c r="C51" i="10"/>
  <c r="C52" i="14" l="1"/>
  <c r="C52" i="10"/>
  <c r="C52" i="5"/>
  <c r="C52" i="11"/>
  <c r="C121" i="1"/>
  <c r="C53" i="14" l="1"/>
  <c r="C122" i="1"/>
  <c r="C53" i="10"/>
  <c r="C53" i="5"/>
  <c r="C53" i="11"/>
  <c r="C54" i="14" l="1"/>
  <c r="C123" i="1"/>
  <c r="C124" i="1" s="1"/>
  <c r="C54" i="5"/>
  <c r="C54" i="11"/>
  <c r="C54" i="10"/>
  <c r="C55" i="10" l="1"/>
  <c r="C55" i="11"/>
  <c r="C55" i="14"/>
  <c r="C55" i="5"/>
  <c r="C56" i="14" l="1"/>
  <c r="C125" i="1"/>
  <c r="C56" i="5"/>
  <c r="C56" i="10"/>
  <c r="C56" i="11"/>
  <c r="C57" i="14" l="1"/>
  <c r="C57" i="10"/>
  <c r="C57" i="11"/>
  <c r="C57" i="5"/>
  <c r="C126" i="1"/>
  <c r="C58" i="14" l="1"/>
  <c r="C127" i="1"/>
  <c r="C58" i="10"/>
  <c r="C58" i="5"/>
  <c r="C58" i="11"/>
  <c r="C59" i="14" l="1"/>
  <c r="C59" i="10"/>
  <c r="C59" i="11"/>
  <c r="C128" i="1"/>
  <c r="C59" i="5"/>
  <c r="C60" i="14" l="1"/>
  <c r="C60" i="10"/>
  <c r="C60" i="11"/>
  <c r="C129" i="1"/>
  <c r="C60" i="5"/>
  <c r="C61" i="14" l="1"/>
  <c r="C130" i="1"/>
  <c r="C61" i="5"/>
  <c r="C61" i="11"/>
  <c r="C61" i="10"/>
  <c r="C62" i="14" l="1"/>
  <c r="C62" i="10"/>
  <c r="C131" i="1"/>
  <c r="C62" i="11"/>
  <c r="C62" i="5"/>
  <c r="C63" i="14" l="1"/>
  <c r="C63" i="5"/>
  <c r="C63" i="10"/>
  <c r="C63" i="11"/>
  <c r="C132" i="1"/>
  <c r="C64" i="14" l="1"/>
  <c r="C64" i="10"/>
  <c r="C133" i="1"/>
  <c r="C64" i="5"/>
  <c r="C64" i="11"/>
  <c r="C65" i="14" l="1"/>
  <c r="C65" i="11"/>
  <c r="C65" i="5"/>
  <c r="C134" i="1"/>
  <c r="C65" i="10"/>
  <c r="C66" i="14" l="1"/>
  <c r="C66" i="11"/>
  <c r="C66" i="5"/>
  <c r="C66" i="10"/>
  <c r="C135" i="1"/>
  <c r="C67" i="14" l="1"/>
  <c r="C67" i="10"/>
  <c r="C136" i="1"/>
  <c r="C67" i="5"/>
  <c r="C67" i="11"/>
  <c r="C68" i="14" l="1"/>
  <c r="C68" i="11"/>
  <c r="C68" i="5"/>
  <c r="C68" i="10"/>
  <c r="C137" i="1"/>
  <c r="C69" i="14" l="1"/>
  <c r="C69" i="10"/>
  <c r="C69" i="5"/>
  <c r="C138" i="1"/>
  <c r="C69" i="11"/>
  <c r="AA140" i="8"/>
  <c r="N14" i="12"/>
  <c r="N13" i="12" s="1"/>
  <c r="Z140" i="8"/>
  <c r="M14" i="12"/>
  <c r="M13" i="12" s="1"/>
  <c r="Y140" i="8"/>
  <c r="L14" i="12"/>
  <c r="L54" i="12" s="1"/>
  <c r="AC140" i="8"/>
  <c r="P14" i="12"/>
  <c r="P13" i="12" s="1"/>
  <c r="W140" i="8"/>
  <c r="J14" i="12"/>
  <c r="J54" i="12" s="1"/>
  <c r="AB140" i="8"/>
  <c r="O14" i="12"/>
  <c r="O54" i="12" s="1"/>
  <c r="X140" i="8"/>
  <c r="K14" i="12"/>
  <c r="K13" i="12" s="1"/>
  <c r="AD140" i="8"/>
  <c r="Q14" i="12"/>
  <c r="Q13" i="12" s="1"/>
  <c r="V140" i="8"/>
  <c r="I14" i="12"/>
  <c r="I13" i="12" s="1"/>
  <c r="C70" i="14" l="1"/>
  <c r="C70" i="10"/>
  <c r="C70" i="11"/>
  <c r="C70" i="5"/>
  <c r="C139" i="1"/>
  <c r="H68" i="12"/>
  <c r="K53" i="12"/>
  <c r="J15" i="6"/>
  <c r="DQ25" i="7" s="1"/>
  <c r="I53" i="12"/>
  <c r="H15" i="6"/>
  <c r="P53" i="12"/>
  <c r="O15" i="6"/>
  <c r="DV20" i="7" s="1"/>
  <c r="DV25" i="7" s="1"/>
  <c r="DV26" i="7" s="1"/>
  <c r="Q53" i="12"/>
  <c r="P15" i="6"/>
  <c r="DW20" i="7" s="1"/>
  <c r="DW25" i="7" s="1"/>
  <c r="DW26" i="7" s="1"/>
  <c r="M53" i="12"/>
  <c r="L15" i="6"/>
  <c r="DS25" i="7" s="1"/>
  <c r="N53" i="12"/>
  <c r="M15" i="6"/>
  <c r="DT20" i="7" s="1"/>
  <c r="DT25" i="7" s="1"/>
  <c r="DT26" i="7" s="1"/>
  <c r="Q54" i="12"/>
  <c r="H14" i="12"/>
  <c r="H54" i="12" s="1"/>
  <c r="K54" i="12"/>
  <c r="N54" i="12"/>
  <c r="P54" i="12"/>
  <c r="O13" i="12"/>
  <c r="M54" i="12"/>
  <c r="L13" i="12"/>
  <c r="J13" i="12"/>
  <c r="I54" i="12"/>
  <c r="DS26" i="7" l="1"/>
  <c r="G8" i="21"/>
  <c r="G9" i="21" s="1"/>
  <c r="G15" i="16"/>
  <c r="G17" i="16" s="1"/>
  <c r="DQ26" i="7"/>
  <c r="DQ47" i="7"/>
  <c r="C71" i="14"/>
  <c r="C71" i="10"/>
  <c r="C71" i="11"/>
  <c r="C71" i="5"/>
  <c r="C140" i="1"/>
  <c r="H13" i="12"/>
  <c r="H53" i="12" s="1"/>
  <c r="K15" i="6"/>
  <c r="DR25" i="7" s="1"/>
  <c r="L53" i="12"/>
  <c r="P16" i="6"/>
  <c r="DW28" i="7" s="1"/>
  <c r="DW33" i="7" s="1"/>
  <c r="DW34" i="7" s="1"/>
  <c r="P30" i="6"/>
  <c r="DW47" i="7" s="1"/>
  <c r="DW48" i="7" s="1"/>
  <c r="L30" i="6"/>
  <c r="DS47" i="7" s="1"/>
  <c r="DS48" i="7" s="1"/>
  <c r="L16" i="6"/>
  <c r="DS33" i="7" s="1"/>
  <c r="DS34" i="7" s="1"/>
  <c r="I15" i="6"/>
  <c r="J53" i="12"/>
  <c r="O53" i="12"/>
  <c r="N15" i="6"/>
  <c r="DU20" i="7" s="1"/>
  <c r="DU25" i="7" s="1"/>
  <c r="DU26" i="7" s="1"/>
  <c r="M16" i="6"/>
  <c r="DT28" i="7" s="1"/>
  <c r="DT33" i="7" s="1"/>
  <c r="DT34" i="7" s="1"/>
  <c r="M30" i="6"/>
  <c r="DT47" i="7" s="1"/>
  <c r="DT48" i="7" s="1"/>
  <c r="O16" i="6"/>
  <c r="DV28" i="7" s="1"/>
  <c r="DV33" i="7" s="1"/>
  <c r="DV34" i="7" s="1"/>
  <c r="O30" i="6"/>
  <c r="DV47" i="7" s="1"/>
  <c r="DV48" i="7" s="1"/>
  <c r="H30" i="6"/>
  <c r="H16" i="6"/>
  <c r="DL33" i="7" s="1"/>
  <c r="DL34" i="7" s="1"/>
  <c r="J30" i="6"/>
  <c r="J16" i="6"/>
  <c r="DQ33" i="7" s="1"/>
  <c r="DQ34" i="7" s="1"/>
  <c r="I8" i="21" l="1"/>
  <c r="I9" i="21" s="1"/>
  <c r="I15" i="16"/>
  <c r="DR26" i="7"/>
  <c r="DQ48" i="7"/>
  <c r="DP25" i="7"/>
  <c r="DJ20" i="7"/>
  <c r="C72" i="14"/>
  <c r="C72" i="10"/>
  <c r="C141" i="1"/>
  <c r="C72" i="5"/>
  <c r="C72" i="11"/>
  <c r="DS49" i="7"/>
  <c r="DW49" i="7"/>
  <c r="DT49" i="7"/>
  <c r="DQ49" i="7"/>
  <c r="DV49" i="7"/>
  <c r="M31" i="6"/>
  <c r="L31" i="6"/>
  <c r="J31" i="6"/>
  <c r="O31" i="6"/>
  <c r="P31" i="6"/>
  <c r="G15" i="6"/>
  <c r="N16" i="6"/>
  <c r="DU28" i="7" s="1"/>
  <c r="DU33" i="7" s="1"/>
  <c r="DU34" i="7" s="1"/>
  <c r="N30" i="6"/>
  <c r="DU47" i="7" s="1"/>
  <c r="DU48" i="7" s="1"/>
  <c r="H31" i="6"/>
  <c r="DL42" i="7" s="1"/>
  <c r="I16" i="6"/>
  <c r="I30" i="6"/>
  <c r="K16" i="6"/>
  <c r="DR33" i="7" s="1"/>
  <c r="DR34" i="7" s="1"/>
  <c r="K30" i="6"/>
  <c r="DR47" i="7" s="1"/>
  <c r="DR48" i="7" s="1"/>
  <c r="I17" i="16" l="1"/>
  <c r="H8" i="21"/>
  <c r="H9" i="21" s="1"/>
  <c r="H15" i="16"/>
  <c r="DJ25" i="7"/>
  <c r="DP47" i="7"/>
  <c r="DK47" i="7" s="1"/>
  <c r="DK48" i="7" s="1"/>
  <c r="I55" i="16"/>
  <c r="DP26" i="7"/>
  <c r="DQ37" i="7"/>
  <c r="DT37" i="7" s="1"/>
  <c r="DU37" i="7" s="1"/>
  <c r="DV37" i="7" s="1"/>
  <c r="DW37" i="7" s="1"/>
  <c r="DJ28" i="7"/>
  <c r="C73" i="14"/>
  <c r="C73" i="11"/>
  <c r="C73" i="10"/>
  <c r="C73" i="5"/>
  <c r="C142" i="1"/>
  <c r="C143" i="1" s="1"/>
  <c r="DR49" i="7"/>
  <c r="DU49" i="7"/>
  <c r="DP33" i="7"/>
  <c r="I31" i="6"/>
  <c r="N31" i="6"/>
  <c r="K31" i="6"/>
  <c r="G30" i="6"/>
  <c r="G16" i="6"/>
  <c r="H17" i="16" l="1"/>
  <c r="H55" i="16"/>
  <c r="F8" i="21"/>
  <c r="Q8" i="21" s="1"/>
  <c r="G55" i="16"/>
  <c r="DP49" i="7"/>
  <c r="DP48" i="7"/>
  <c r="DJ48" i="7" s="1"/>
  <c r="DJ47" i="7"/>
  <c r="F55" i="16"/>
  <c r="C27" i="16"/>
  <c r="F15" i="16"/>
  <c r="C144" i="1"/>
  <c r="C75" i="14"/>
  <c r="C75" i="10"/>
  <c r="C75" i="11"/>
  <c r="C75" i="5"/>
  <c r="DP34" i="7"/>
  <c r="DJ33" i="7"/>
  <c r="DJ34" i="7" s="1"/>
  <c r="C74" i="14"/>
  <c r="C74" i="11"/>
  <c r="C74" i="10"/>
  <c r="C74" i="5"/>
  <c r="DQ42" i="7"/>
  <c r="DP42" i="7"/>
  <c r="G31" i="6"/>
  <c r="K57" i="16" l="1"/>
  <c r="K59" i="16" s="1"/>
  <c r="N17" i="16"/>
  <c r="I27" i="16"/>
  <c r="G27" i="16"/>
  <c r="I57" i="16"/>
  <c r="I59" i="16" s="1"/>
  <c r="J57" i="16"/>
  <c r="J59" i="16" s="1"/>
  <c r="L10" i="21"/>
  <c r="B39" i="21"/>
  <c r="Q7" i="21"/>
  <c r="P7" i="21"/>
  <c r="C38" i="16" s="1"/>
  <c r="C39" i="16" s="1"/>
  <c r="D39" i="16" s="1"/>
  <c r="E39" i="16" s="1"/>
  <c r="M10" i="21"/>
  <c r="P8" i="21"/>
  <c r="P9" i="21" s="1"/>
  <c r="B40" i="21"/>
  <c r="B41" i="21" s="1"/>
  <c r="F9" i="21"/>
  <c r="Q9" i="21" s="1"/>
  <c r="F10" i="21"/>
  <c r="H10" i="21"/>
  <c r="G10" i="21"/>
  <c r="K10" i="21"/>
  <c r="I10" i="21"/>
  <c r="H57" i="16"/>
  <c r="H59" i="16" s="1"/>
  <c r="J10" i="21"/>
  <c r="G57" i="16"/>
  <c r="G59" i="16" s="1"/>
  <c r="F17" i="16"/>
  <c r="F57" i="16"/>
  <c r="F59" i="16" s="1"/>
  <c r="D27" i="16"/>
  <c r="E27" i="16" s="1"/>
  <c r="C28" i="16"/>
  <c r="C145" i="1"/>
  <c r="C76" i="14"/>
  <c r="C76" i="5"/>
  <c r="C76" i="11"/>
  <c r="C76" i="10"/>
  <c r="DS42" i="7"/>
  <c r="DR42" i="7"/>
  <c r="I28" i="16" l="1"/>
  <c r="G28" i="16"/>
  <c r="C40" i="16"/>
  <c r="D40" i="16" s="1"/>
  <c r="E40" i="16" s="1"/>
  <c r="D38" i="16"/>
  <c r="E38" i="16" s="1"/>
  <c r="D28" i="16"/>
  <c r="E28" i="16" s="1"/>
  <c r="C29" i="16"/>
  <c r="D29" i="16" s="1"/>
  <c r="E29" i="16" s="1"/>
  <c r="C146" i="1"/>
  <c r="C77" i="14"/>
  <c r="C77" i="10"/>
  <c r="C77" i="11"/>
  <c r="C77" i="5"/>
  <c r="DT42" i="7"/>
  <c r="DL60" i="7"/>
  <c r="DN60" i="7"/>
  <c r="DR60" i="7"/>
  <c r="DP60" i="7"/>
  <c r="C147" i="1" l="1"/>
  <c r="C78" i="14"/>
  <c r="C78" i="11"/>
  <c r="C78" i="10"/>
  <c r="C78" i="5"/>
  <c r="DU42" i="7"/>
  <c r="DJ60" i="7"/>
  <c r="C148" i="1" l="1"/>
  <c r="C79" i="14"/>
  <c r="C79" i="10"/>
  <c r="C79" i="5"/>
  <c r="C79" i="11"/>
  <c r="DV42" i="7"/>
  <c r="DJ37" i="7"/>
  <c r="C149" i="1" l="1"/>
  <c r="C80" i="14"/>
  <c r="C80" i="5"/>
  <c r="C80" i="11"/>
  <c r="C80" i="10"/>
  <c r="DW42" i="7"/>
  <c r="DJ42" i="7" s="1"/>
  <c r="C150" i="1" l="1"/>
  <c r="C81" i="14"/>
  <c r="C81" i="11"/>
  <c r="C81" i="5"/>
  <c r="C81" i="10"/>
  <c r="C151" i="1" l="1"/>
  <c r="C82" i="14"/>
  <c r="C82" i="10"/>
  <c r="C82" i="5"/>
  <c r="C82" i="11"/>
  <c r="C152" i="1" l="1"/>
  <c r="C83" i="14"/>
  <c r="C83" i="10"/>
  <c r="C83" i="11"/>
  <c r="C83" i="5"/>
  <c r="C153" i="1" l="1"/>
  <c r="C84" i="14"/>
  <c r="C84" i="11"/>
  <c r="C84" i="5"/>
  <c r="C84" i="10"/>
  <c r="C154" i="1" l="1"/>
  <c r="C85" i="14"/>
  <c r="C85" i="10"/>
  <c r="C85" i="5"/>
  <c r="C85" i="11"/>
  <c r="C155" i="1" l="1"/>
  <c r="C86" i="14"/>
  <c r="C86" i="10"/>
  <c r="C86" i="5"/>
  <c r="C86" i="11"/>
  <c r="C156" i="1" l="1"/>
  <c r="C87" i="14"/>
  <c r="C87" i="11"/>
  <c r="C87" i="5"/>
  <c r="C87" i="10"/>
  <c r="C157" i="1" l="1"/>
  <c r="C88" i="14"/>
  <c r="C88" i="10"/>
  <c r="C88" i="5"/>
  <c r="C88" i="11"/>
  <c r="C158" i="1" l="1"/>
  <c r="C89" i="14"/>
  <c r="C89" i="10"/>
  <c r="C89" i="5"/>
  <c r="C89" i="11"/>
  <c r="C159" i="1" l="1"/>
  <c r="C90" i="14"/>
  <c r="C90" i="11"/>
  <c r="C90" i="5"/>
  <c r="C90" i="10"/>
  <c r="C160" i="1" l="1"/>
  <c r="C91" i="14"/>
  <c r="C91" i="10"/>
  <c r="C91" i="5"/>
  <c r="C91" i="11"/>
  <c r="C161" i="1" l="1"/>
  <c r="C92" i="14"/>
  <c r="C92" i="5"/>
  <c r="C92" i="10"/>
  <c r="C92" i="11"/>
  <c r="C162" i="1" l="1"/>
  <c r="C93" i="14"/>
  <c r="C93" i="11"/>
  <c r="C93" i="5"/>
  <c r="C93" i="10"/>
  <c r="C163" i="1" l="1"/>
  <c r="C94" i="14"/>
  <c r="C94" i="10"/>
  <c r="C94" i="5"/>
  <c r="C94" i="11"/>
  <c r="C164" i="1" l="1"/>
  <c r="C95" i="14"/>
  <c r="C95" i="5"/>
  <c r="C95" i="11"/>
  <c r="C95" i="10"/>
  <c r="C165" i="1" l="1"/>
  <c r="C96" i="14"/>
  <c r="C96" i="11"/>
  <c r="C96" i="10"/>
  <c r="C96" i="5"/>
  <c r="C166" i="1" l="1"/>
  <c r="C97" i="14"/>
  <c r="C97" i="10"/>
  <c r="C97" i="5"/>
  <c r="C97" i="11"/>
  <c r="C167" i="1" l="1"/>
  <c r="C98" i="14"/>
  <c r="C98" i="5"/>
  <c r="C98" i="10"/>
  <c r="C98" i="11"/>
  <c r="C168" i="1" l="1"/>
  <c r="C99" i="14"/>
  <c r="C99" i="11"/>
  <c r="C99" i="5"/>
  <c r="C99" i="10"/>
  <c r="C169" i="1" l="1"/>
  <c r="C100" i="14"/>
  <c r="C100" i="10"/>
  <c r="C100" i="5"/>
  <c r="C100" i="11"/>
  <c r="C170" i="1" l="1"/>
  <c r="C101" i="14"/>
  <c r="C101" i="10"/>
  <c r="C101" i="11"/>
  <c r="C101" i="5"/>
  <c r="C171" i="1" l="1"/>
  <c r="C102" i="14"/>
  <c r="C102" i="11"/>
  <c r="C102" i="10"/>
  <c r="C102" i="5"/>
  <c r="C172" i="1" l="1"/>
  <c r="C103" i="14"/>
  <c r="C103" i="10"/>
  <c r="C103" i="5"/>
  <c r="C103" i="11"/>
  <c r="C173" i="1" l="1"/>
  <c r="C104" i="14"/>
  <c r="C104" i="5"/>
  <c r="C104" i="10"/>
  <c r="C104" i="11"/>
  <c r="C174" i="1" l="1"/>
  <c r="C105" i="14"/>
  <c r="C105" i="11"/>
  <c r="C105" i="5"/>
  <c r="C105" i="10"/>
  <c r="C175" i="1" l="1"/>
  <c r="C106" i="14"/>
  <c r="C106" i="10"/>
  <c r="C106" i="5"/>
  <c r="C106" i="11"/>
  <c r="C176" i="1" l="1"/>
  <c r="C107" i="14"/>
  <c r="C107" i="10"/>
  <c r="C107" i="5"/>
  <c r="C107" i="11"/>
  <c r="C177" i="1" l="1"/>
  <c r="C108" i="14"/>
  <c r="C108" i="11"/>
  <c r="C108" i="10"/>
  <c r="C108" i="5"/>
  <c r="C178" i="1" l="1"/>
  <c r="C109" i="14"/>
  <c r="C109" i="10"/>
  <c r="C109" i="5"/>
  <c r="C109" i="11"/>
  <c r="C179" i="1" l="1"/>
  <c r="C110" i="14"/>
  <c r="C110" i="5"/>
  <c r="C110" i="10"/>
  <c r="C110" i="11"/>
  <c r="C180" i="1" l="1"/>
  <c r="C111" i="14"/>
  <c r="C111" i="11"/>
  <c r="C111" i="5"/>
  <c r="C111" i="10"/>
  <c r="C181" i="1" l="1"/>
  <c r="C112" i="14"/>
  <c r="C112" i="10"/>
  <c r="C112" i="11"/>
  <c r="C112" i="5"/>
  <c r="C182" i="1" l="1"/>
  <c r="C113" i="14"/>
  <c r="C113" i="10"/>
  <c r="C113" i="11"/>
  <c r="C113" i="5"/>
  <c r="C183" i="1" l="1"/>
  <c r="C114" i="14"/>
  <c r="C114" i="11"/>
  <c r="C114" i="10"/>
  <c r="C114" i="5"/>
  <c r="C184" i="1" l="1"/>
  <c r="C115" i="14"/>
  <c r="C115" i="10"/>
  <c r="C115" i="5"/>
  <c r="C115" i="11"/>
  <c r="C185" i="1" l="1"/>
  <c r="C116" i="14"/>
  <c r="C116" i="5"/>
  <c r="C116" i="10"/>
  <c r="C116" i="11"/>
  <c r="C186" i="1" l="1"/>
  <c r="C117" i="14"/>
  <c r="C117" i="11"/>
  <c r="C117" i="5"/>
  <c r="C117" i="10"/>
  <c r="C187" i="1" l="1"/>
  <c r="C118" i="14"/>
  <c r="C118" i="10"/>
  <c r="C118" i="5"/>
  <c r="C118" i="11"/>
  <c r="C188" i="1" l="1"/>
  <c r="C119" i="14"/>
  <c r="C119" i="10"/>
  <c r="C119" i="11"/>
  <c r="C119" i="5"/>
  <c r="C189" i="1" l="1"/>
  <c r="C120" i="14"/>
  <c r="C120" i="11"/>
  <c r="C120" i="10"/>
  <c r="C120" i="5"/>
  <c r="C190" i="1" l="1"/>
  <c r="C121" i="14"/>
  <c r="C121" i="10"/>
  <c r="C121" i="5"/>
  <c r="C121" i="11"/>
  <c r="C191" i="1" l="1"/>
  <c r="C122" i="14"/>
  <c r="C122" i="10"/>
  <c r="C122" i="5"/>
  <c r="C122" i="11"/>
  <c r="C192" i="1" l="1"/>
  <c r="C123" i="14"/>
  <c r="C123" i="11"/>
  <c r="C123" i="5"/>
  <c r="C123" i="10"/>
  <c r="C193" i="1" l="1"/>
  <c r="C124" i="14"/>
  <c r="C124" i="10"/>
  <c r="C124" i="5"/>
  <c r="C124" i="11"/>
  <c r="C194" i="1" l="1"/>
  <c r="C125" i="14"/>
  <c r="C125" i="10"/>
  <c r="C125" i="11"/>
  <c r="C125" i="5"/>
  <c r="C195" i="1" l="1"/>
  <c r="C126" i="14"/>
  <c r="C126" i="11"/>
  <c r="C126" i="10"/>
  <c r="C126" i="5"/>
  <c r="C196" i="1" l="1"/>
  <c r="C127" i="14"/>
  <c r="C127" i="10"/>
  <c r="C127" i="5"/>
  <c r="C127" i="11"/>
  <c r="C128" i="14" l="1"/>
  <c r="C128" i="5"/>
  <c r="C128" i="11"/>
  <c r="C128" i="10"/>
  <c r="Q4" i="21" l="1"/>
  <c r="C35" i="16" l="1"/>
  <c r="D35" i="16" s="1"/>
  <c r="E35" i="16" s="1"/>
  <c r="M109" i="1" l="1"/>
  <c r="O41" i="10" l="1"/>
  <c r="O41" i="5"/>
  <c r="O41" i="11"/>
  <c r="O41" i="14"/>
  <c r="M102" i="1" l="1"/>
  <c r="O34" i="10" l="1"/>
  <c r="O34" i="14"/>
  <c r="O34" i="5"/>
  <c r="O34" i="11"/>
  <c r="M113" i="1" l="1"/>
  <c r="M106" i="1"/>
  <c r="M105" i="1"/>
  <c r="O37" i="11" l="1"/>
  <c r="O37" i="10"/>
  <c r="O37" i="5"/>
  <c r="O37" i="14"/>
  <c r="O38" i="14"/>
  <c r="O38" i="5"/>
  <c r="O38" i="11"/>
  <c r="O38" i="10"/>
  <c r="O45" i="11"/>
  <c r="O45" i="10"/>
  <c r="O45" i="5"/>
  <c r="O45" i="14"/>
  <c r="M114" i="1" l="1"/>
  <c r="M107" i="1"/>
  <c r="M99" i="1"/>
  <c r="M103" i="1"/>
  <c r="M116" i="1"/>
  <c r="M111" i="1"/>
  <c r="O35" i="14" l="1"/>
  <c r="O35" i="10"/>
  <c r="O35" i="11"/>
  <c r="O35" i="5"/>
  <c r="O31" i="14"/>
  <c r="O31" i="10"/>
  <c r="O31" i="5"/>
  <c r="O31" i="11"/>
  <c r="O48" i="11"/>
  <c r="O48" i="5"/>
  <c r="O48" i="14"/>
  <c r="O48" i="10"/>
  <c r="O39" i="11"/>
  <c r="O39" i="14"/>
  <c r="O39" i="5"/>
  <c r="O39" i="10"/>
  <c r="O46" i="5"/>
  <c r="O46" i="10"/>
  <c r="O46" i="14"/>
  <c r="O46" i="11"/>
  <c r="O43" i="5"/>
  <c r="O43" i="11"/>
  <c r="O43" i="14"/>
  <c r="O43" i="10"/>
  <c r="M118" i="1" l="1"/>
  <c r="M101" i="1"/>
  <c r="M108" i="1"/>
  <c r="M100" i="1"/>
  <c r="O32" i="5" l="1"/>
  <c r="O32" i="10"/>
  <c r="O32" i="14"/>
  <c r="O32" i="11"/>
  <c r="O40" i="5"/>
  <c r="O40" i="14"/>
  <c r="O40" i="10"/>
  <c r="O40" i="11"/>
  <c r="O33" i="5"/>
  <c r="O33" i="10"/>
  <c r="O33" i="11"/>
  <c r="O33" i="14"/>
  <c r="O50" i="14"/>
  <c r="O50" i="5"/>
  <c r="O50" i="10"/>
  <c r="O50" i="11"/>
  <c r="M110" i="1" l="1"/>
  <c r="M119" i="1"/>
  <c r="M115" i="1"/>
  <c r="M117" i="1"/>
  <c r="M104" i="1"/>
  <c r="M112" i="1"/>
  <c r="M98" i="1"/>
  <c r="O30" i="5" l="1"/>
  <c r="O30" i="11"/>
  <c r="O30" i="14"/>
  <c r="O30" i="10"/>
  <c r="O44" i="14"/>
  <c r="O44" i="11"/>
  <c r="O44" i="10"/>
  <c r="O44" i="5"/>
  <c r="O36" i="14"/>
  <c r="O36" i="10"/>
  <c r="O36" i="5"/>
  <c r="O36" i="11"/>
  <c r="O49" i="5"/>
  <c r="O49" i="14"/>
  <c r="O49" i="11"/>
  <c r="O49" i="10"/>
  <c r="O47" i="14"/>
  <c r="O47" i="11"/>
  <c r="O47" i="10"/>
  <c r="O47" i="5"/>
  <c r="O51" i="5"/>
  <c r="O51" i="11"/>
  <c r="O51" i="14"/>
  <c r="O51" i="10"/>
  <c r="O42" i="5"/>
  <c r="O42" i="14"/>
  <c r="O42" i="11"/>
  <c r="O4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Cuero</author>
  </authors>
  <commentList>
    <comment ref="N30" authorId="0" shapeId="0" xr:uid="{B45AE5BE-873F-5344-8AFE-EA34C71E6E6C}">
      <text>
        <r>
          <rPr>
            <b/>
            <sz val="10"/>
            <color rgb="FF000000"/>
            <rFont val="Tahoma"/>
            <family val="2"/>
          </rPr>
          <t>Daniel Cuero: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No incluye la categoria 
</t>
        </r>
        <r>
          <rPr>
            <sz val="10"/>
            <color rgb="FF000000"/>
            <rFont val="Tahoma"/>
            <family val="2"/>
          </rPr>
          <t xml:space="preserve">"Adicional" de 202601_FLUJO REDCO 2025 - Cierre diciembre | Hoja tabla análisis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tc={94D1B4D2-AF17-435B-95CA-43AB4034B6D8}</author>
    <author>tc={9C4425D9-38B8-49B4-A8E1-D3092736F405}</author>
    <author>tc={300F013A-D0DE-4EAC-B04B-358C9E599D04}</author>
    <author>tc={791A26CB-F201-4D3C-857F-31B2FD5BFA1A}</author>
    <author>tc={B2367B22-1708-4555-AD0A-C8321F78B647}</author>
    <author>tc={1D730B60-E240-450E-BFF9-89684CA7D9F3}</author>
    <author>tc={DFCF23ED-B1C2-490A-B041-B4E46A38F058}</author>
  </authors>
  <commentList>
    <comment ref="E7" authorId="0" shapeId="0" xr:uid="{94D1B4D2-AF17-435B-95CA-43AB4034B6D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actualiza</t>
      </text>
    </comment>
    <comment ref="F7" authorId="1" shapeId="0" xr:uid="{9C4425D9-38B8-49B4-A8E1-D3092736F40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actualiza</t>
      </text>
    </comment>
    <comment ref="G7" authorId="2" shapeId="0" xr:uid="{300F013A-D0DE-4EAC-B04B-358C9E599D0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actualiza</t>
      </text>
    </comment>
    <comment ref="H7" authorId="3" shapeId="0" xr:uid="{791A26CB-F201-4D3C-857F-31B2FD5BFA1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actualiza</t>
      </text>
    </comment>
    <comment ref="I7" authorId="4" shapeId="0" xr:uid="{B2367B22-1708-4555-AD0A-C8321F78B64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actualiza</t>
      </text>
    </comment>
    <comment ref="G9" authorId="5" shapeId="0" xr:uid="{1D730B60-E240-450E-BFF9-89684CA7D9F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actualiza</t>
      </text>
    </comment>
    <comment ref="H9" authorId="6" shapeId="0" xr:uid="{DFCF23ED-B1C2-490A-B041-B4E46A38F05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actualiza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tc={E1A194FD-ED89-4A1F-BE68-AB6ADEB3FFAC}</author>
    <author>tc={4E3E1AFC-0C15-4CBC-A30B-B70A003E80ED}</author>
    <author>tc={4DF56718-822D-40CB-9C2E-8ED9997D0C7E}</author>
    <author>tc={33DD0C92-97C2-452C-AA03-FAE56B4EC41B}</author>
    <author>tc={F6B0BFC2-6AF6-459F-B1F0-D2887E2E4192}</author>
    <author>tc={8044E0A3-EF48-47F6-8DF2-73A6393CC344}</author>
  </authors>
  <commentList>
    <comment ref="DO14" authorId="0" shapeId="0" xr:uid="{E1A194FD-ED89-4A1F-BE68-AB6ADEB3FFA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Anterior 94.936 USD</t>
      </text>
    </comment>
    <comment ref="DN21" authorId="1" shapeId="0" xr:uid="{4E3E1AFC-0C15-4CBC-A30B-B70A003E80E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Anterior 93.566 USD</t>
      </text>
    </comment>
    <comment ref="DO21" authorId="2" shapeId="0" xr:uid="{4DF56718-822D-40CB-9C2E-8ED9997D0C7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Anterior 127.544 USD</t>
      </text>
    </comment>
    <comment ref="DP22" authorId="3" shapeId="0" xr:uid="{33DD0C92-97C2-452C-AA03-FAE56B4EC41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Hubo cambios</t>
      </text>
    </comment>
    <comment ref="DR22" authorId="4" shapeId="0" xr:uid="{F6B0BFC2-6AF6-459F-B1F0-D2887E2E419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Hubo cambios</t>
      </text>
    </comment>
    <comment ref="DR23" authorId="5" shapeId="0" xr:uid="{8044E0A3-EF48-47F6-8DF2-73A6393CC34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Hubo cambios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tc={177BDC91-662D-4566-B3FE-EE15FECB1DDB}</author>
    <author>tc={D3529713-1F65-4EAD-9F9A-7485E144DB5E}</author>
  </authors>
  <commentList>
    <comment ref="Q54" authorId="0" shapeId="0" xr:uid="{177BDC91-662D-4566-B3FE-EE15FECB1DD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@Pedro Aguiluz Por favor completar</t>
      </text>
    </comment>
    <comment ref="R55" authorId="1" shapeId="0" xr:uid="{D3529713-1F65-4EAD-9F9A-7485E144DB5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Tengo entendido que se harán otros trabajados antes de la PFS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tc={E49D85C3-74DB-4B6C-AE67-3A3749A07E9F}</author>
  </authors>
  <commentList>
    <comment ref="M15" authorId="0" shapeId="0" xr:uid="{E49D85C3-74DB-4B6C-AE67-3A3749A07E9F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Incluye a Rmiranda y Mfuentes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<sst xmlns="http://schemas.openxmlformats.org/spreadsheetml/2006/main" count="2936" uniqueCount="519">
  <si>
    <t>Modelo de Flujo REDCO</t>
  </si>
  <si>
    <t>Dashboard de Decisiones y Resultados</t>
  </si>
  <si>
    <t>Casos</t>
  </si>
  <si>
    <t>Actual</t>
  </si>
  <si>
    <t>Asignado</t>
  </si>
  <si>
    <t>No Asignado</t>
  </si>
  <si>
    <t>Proyectos Contemplados</t>
  </si>
  <si>
    <t>Personal Proyectado</t>
  </si>
  <si>
    <t>Personal Proyectado Chile</t>
  </si>
  <si>
    <t>Personal Proyectado Perú</t>
  </si>
  <si>
    <t>Personal Proyectado Brasil</t>
  </si>
  <si>
    <t>Personal Proyectado USA</t>
  </si>
  <si>
    <t>Personal Proyectado Otros</t>
  </si>
  <si>
    <t>Ferias</t>
  </si>
  <si>
    <t>Considerar (Si=1; No=0)</t>
  </si>
  <si>
    <t>Nombre Proyecto</t>
  </si>
  <si>
    <t>Nombre Compañía</t>
  </si>
  <si>
    <t>País Origen</t>
  </si>
  <si>
    <t>Nivel de Ingeniería</t>
  </si>
  <si>
    <t>Status General</t>
  </si>
  <si>
    <t>% Ingreso En base a Pbb Comercial</t>
  </si>
  <si>
    <t>Activo (1)/
Inactivo (0)</t>
  </si>
  <si>
    <t>Gerencia General (incluye RRHH)</t>
  </si>
  <si>
    <t>Gerencia Comercial</t>
  </si>
  <si>
    <t>Gerentes Ingeniera</t>
  </si>
  <si>
    <t>Director de Proyecto</t>
  </si>
  <si>
    <t>Ingeniero Principal</t>
  </si>
  <si>
    <t>Ingeniero Senior</t>
  </si>
  <si>
    <t>Ingeniero de Proyecto</t>
  </si>
  <si>
    <t>Ingeniero Junior</t>
  </si>
  <si>
    <t>Ingeniero P&amp;C</t>
  </si>
  <si>
    <t>Gerencia Contabilidad y Administracion</t>
  </si>
  <si>
    <t>Total</t>
  </si>
  <si>
    <t>Gerencia Ingeniera</t>
  </si>
  <si>
    <t>Item</t>
  </si>
  <si>
    <t>Feria</t>
  </si>
  <si>
    <t>Monto</t>
  </si>
  <si>
    <t>Mes</t>
  </si>
  <si>
    <t>Aplica (1), No Aplica (2)</t>
  </si>
  <si>
    <t>1. Resultados Flujo de Caja (Proyección desde Mayo)</t>
  </si>
  <si>
    <t>Actual --&gt;</t>
  </si>
  <si>
    <t>Chile</t>
  </si>
  <si>
    <t>Ingreso</t>
  </si>
  <si>
    <t>Acumulado</t>
  </si>
  <si>
    <t>Perú</t>
  </si>
  <si>
    <t>Brasil</t>
  </si>
  <si>
    <t>USA</t>
  </si>
  <si>
    <t>Otros</t>
  </si>
  <si>
    <t>Costo</t>
  </si>
  <si>
    <t>Margen</t>
  </si>
  <si>
    <t>%</t>
  </si>
  <si>
    <t>Margen Acum</t>
  </si>
  <si>
    <t>Flujo Total</t>
  </si>
  <si>
    <t>Costos</t>
  </si>
  <si>
    <t xml:space="preserve">2. Proyectos </t>
  </si>
  <si>
    <t># Proyectos</t>
  </si>
  <si>
    <t>3. Sobrecarga Personal (Módulos)</t>
  </si>
  <si>
    <t># Modulos Requeridos</t>
  </si>
  <si>
    <t>Personal Ingeniería</t>
  </si>
  <si>
    <t>Promedio</t>
  </si>
  <si>
    <t>Modulos Actuales</t>
  </si>
  <si>
    <t>Sobrecarga</t>
  </si>
  <si>
    <t>Listas y Parametros Modificables</t>
  </si>
  <si>
    <t>Listas</t>
  </si>
  <si>
    <t>Status Especifico</t>
  </si>
  <si>
    <t>Pais</t>
  </si>
  <si>
    <t>Tipo Mineria</t>
  </si>
  <si>
    <t>Tipo de Estudio</t>
  </si>
  <si>
    <t>Terceros</t>
  </si>
  <si>
    <t>Meses 2025</t>
  </si>
  <si>
    <t>7. Finalizado</t>
  </si>
  <si>
    <t>Open Pit</t>
  </si>
  <si>
    <t>Estudio Conceptual / LOM</t>
  </si>
  <si>
    <t>Si</t>
  </si>
  <si>
    <t>6. Cierre: +90%</t>
  </si>
  <si>
    <t>Subterránea</t>
  </si>
  <si>
    <t>Confiabilidad Planes</t>
  </si>
  <si>
    <t>No</t>
  </si>
  <si>
    <t>5. Avance: 75%</t>
  </si>
  <si>
    <t>Geomecánica</t>
  </si>
  <si>
    <t>Scoping</t>
  </si>
  <si>
    <t>4. Avance: 50%</t>
  </si>
  <si>
    <t>PFS</t>
  </si>
  <si>
    <t>3. Avance: 25%</t>
  </si>
  <si>
    <t>FS e Ing. Basica</t>
  </si>
  <si>
    <t>2. KOM</t>
  </si>
  <si>
    <t>Permisos / MEIA</t>
  </si>
  <si>
    <t>1. Proyectado: Asignado</t>
  </si>
  <si>
    <t>Consultoria y Due Dilligence</t>
  </si>
  <si>
    <t>1. Proyectado: No  Asignado</t>
  </si>
  <si>
    <t>PEA</t>
  </si>
  <si>
    <t>Parametros</t>
  </si>
  <si>
    <t>Modulo + Costos</t>
  </si>
  <si>
    <t>Geomecanica</t>
  </si>
  <si>
    <t>Turn Around</t>
  </si>
  <si>
    <t>Gerente</t>
  </si>
  <si>
    <t>Maxima Cantidad de Proyectos Abordables</t>
  </si>
  <si>
    <t>Personal Actual</t>
  </si>
  <si>
    <t>Max Proyectos</t>
  </si>
  <si>
    <t>% Ut Modulos</t>
  </si>
  <si>
    <t>Consultor</t>
  </si>
  <si>
    <t>Modulo</t>
  </si>
  <si>
    <t>EDP Mínimo</t>
  </si>
  <si>
    <t>Rentabilidad Mínima Esperada</t>
  </si>
  <si>
    <t xml:space="preserve">Cantidad Actual </t>
  </si>
  <si>
    <t># personal</t>
  </si>
  <si>
    <t>Permisos</t>
  </si>
  <si>
    <t>Costo Base</t>
  </si>
  <si>
    <t>Costo Total</t>
  </si>
  <si>
    <t xml:space="preserve">Gerente </t>
  </si>
  <si>
    <t>Personal Clave</t>
  </si>
  <si>
    <t>Max Cantidad de proyectos</t>
  </si>
  <si>
    <t>Costos por Personal</t>
  </si>
  <si>
    <t>Vectorizacion Temporal Costos</t>
  </si>
  <si>
    <t>#</t>
  </si>
  <si>
    <t>Personal</t>
  </si>
  <si>
    <t>Cargo</t>
  </si>
  <si>
    <t>Empresa</t>
  </si>
  <si>
    <t>País</t>
  </si>
  <si>
    <t xml:space="preserve">Tipo de Contrato </t>
  </si>
  <si>
    <t>Costo Empresa</t>
  </si>
  <si>
    <t>Gerencia</t>
  </si>
  <si>
    <t>Costo Real</t>
  </si>
  <si>
    <t>Cantidad</t>
  </si>
  <si>
    <t>Isabela Camisassa</t>
  </si>
  <si>
    <t>Country Manager Brasil</t>
  </si>
  <si>
    <t>REDCO</t>
  </si>
  <si>
    <t>Indefinido</t>
  </si>
  <si>
    <t>Maria Celia Fonseca</t>
  </si>
  <si>
    <t>Desarrollo de Negocios</t>
  </si>
  <si>
    <t>Ronald Leal</t>
  </si>
  <si>
    <t>Antonio Schettino</t>
  </si>
  <si>
    <t>Socio Consultor REDCO Brasil</t>
  </si>
  <si>
    <t>-</t>
  </si>
  <si>
    <t>Gerentes</t>
  </si>
  <si>
    <t>Enrique Rubio</t>
  </si>
  <si>
    <t>Gerente General</t>
  </si>
  <si>
    <t>Gladys Muñoz</t>
  </si>
  <si>
    <t>Aseo y Ornato</t>
  </si>
  <si>
    <t>Renan Argandoña</t>
  </si>
  <si>
    <t>Honorarios</t>
  </si>
  <si>
    <t>Isabel Marchant</t>
  </si>
  <si>
    <t xml:space="preserve">Contabilidad y Administración </t>
  </si>
  <si>
    <t>Alex Figueroa</t>
  </si>
  <si>
    <t>Carolina Arcos</t>
  </si>
  <si>
    <t>Claudio Hernandez</t>
  </si>
  <si>
    <t>Felipe Rojas</t>
  </si>
  <si>
    <t>Bonificaciones</t>
  </si>
  <si>
    <t>Gonzalo Díaz</t>
  </si>
  <si>
    <t>Rodrigo Valdes</t>
  </si>
  <si>
    <t>Gerente Comercial</t>
  </si>
  <si>
    <t>Christian Caviedes</t>
  </si>
  <si>
    <t>Matias Fuentes</t>
  </si>
  <si>
    <t>Benjamin Baeza</t>
  </si>
  <si>
    <t>Fijo</t>
  </si>
  <si>
    <t>Cristian Alarcon</t>
  </si>
  <si>
    <t>Daniela Oyarzo</t>
  </si>
  <si>
    <t>Isidora Figueroa</t>
  </si>
  <si>
    <t>Javier Salazar</t>
  </si>
  <si>
    <t>José Pizarro</t>
  </si>
  <si>
    <t>Martin Figueroa</t>
  </si>
  <si>
    <t>Matías Cid</t>
  </si>
  <si>
    <t>Nicolás Sanzana</t>
  </si>
  <si>
    <t>Victor Mohana</t>
  </si>
  <si>
    <t>Nicolas Ayarza</t>
  </si>
  <si>
    <t>Eduardo Cuevas</t>
  </si>
  <si>
    <t>Ratio (US$/t)</t>
  </si>
  <si>
    <t>Roxana Avilés</t>
  </si>
  <si>
    <t>Freddy Díaz</t>
  </si>
  <si>
    <t>Pablo Quiero</t>
  </si>
  <si>
    <t>Felipe Lira</t>
  </si>
  <si>
    <t>Rodrigo Baez</t>
  </si>
  <si>
    <t>Leonel Robledo</t>
  </si>
  <si>
    <t>Alex Pacheco</t>
  </si>
  <si>
    <t>Pedro Aguiluz</t>
  </si>
  <si>
    <t>Subgerente Comercial</t>
  </si>
  <si>
    <t>Olesya Dashavskaya</t>
  </si>
  <si>
    <t>Country Manager Rusia</t>
  </si>
  <si>
    <t>R+</t>
  </si>
  <si>
    <t>Ricardo Miranda</t>
  </si>
  <si>
    <t>Cristobal Concha</t>
  </si>
  <si>
    <t>Cristobal Poblete</t>
  </si>
  <si>
    <t>Cristobal Ventura</t>
  </si>
  <si>
    <t>Darwin Varas</t>
  </si>
  <si>
    <t>Diego Muñoz</t>
  </si>
  <si>
    <t>Erick Sanhueza</t>
  </si>
  <si>
    <t>Gerson Alfaro</t>
  </si>
  <si>
    <t>Marcelo Mendoza</t>
  </si>
  <si>
    <t>Claudio Delgado</t>
  </si>
  <si>
    <t>Eduardo Morales</t>
  </si>
  <si>
    <t>Eduardo Cepeda</t>
  </si>
  <si>
    <t>Gabriel Ojeda</t>
  </si>
  <si>
    <t>Juan de Vera</t>
  </si>
  <si>
    <t>Matias Guerrero</t>
  </si>
  <si>
    <t>Mauricio Peralta</t>
  </si>
  <si>
    <t>Rodrigo Andrae</t>
  </si>
  <si>
    <t>Emilio Sanchez</t>
  </si>
  <si>
    <t>German Soto</t>
  </si>
  <si>
    <t>Alberto Reinao</t>
  </si>
  <si>
    <t>Consultor Administración</t>
  </si>
  <si>
    <t>Carol Valdenegro</t>
  </si>
  <si>
    <t>Jefa Administración</t>
  </si>
  <si>
    <t>Vicente Jimenez</t>
  </si>
  <si>
    <t>Ingeniero Desarrollo de Negocios</t>
  </si>
  <si>
    <t>Maria Huaman</t>
  </si>
  <si>
    <t xml:space="preserve">REDCO </t>
  </si>
  <si>
    <t>Eduardo Lama</t>
  </si>
  <si>
    <t>Country Manager</t>
  </si>
  <si>
    <t>Arnold Tadeo</t>
  </si>
  <si>
    <t>Edward Torres</t>
  </si>
  <si>
    <t>Gino Espinoza</t>
  </si>
  <si>
    <t>Jarold Orna</t>
  </si>
  <si>
    <t>Jhonatan Huaynate</t>
  </si>
  <si>
    <t>Jhosep Livia</t>
  </si>
  <si>
    <t>Kevin Rios</t>
  </si>
  <si>
    <t>Luis Chumpitaz</t>
  </si>
  <si>
    <t>Manuel Palomino</t>
  </si>
  <si>
    <t>Mateo Villanueva</t>
  </si>
  <si>
    <t>Walter Lupinta</t>
  </si>
  <si>
    <t>Victor Arias</t>
  </si>
  <si>
    <t>Jorman Barrera</t>
  </si>
  <si>
    <t>Rodrigo Cori</t>
  </si>
  <si>
    <t>Carlos Catalan</t>
  </si>
  <si>
    <t>Johnny Pacheco</t>
  </si>
  <si>
    <t>Alejandra Montalvan</t>
  </si>
  <si>
    <t>Heidi La Rosa</t>
  </si>
  <si>
    <t>Nikolai Quispe</t>
  </si>
  <si>
    <t>Patricio Vergara</t>
  </si>
  <si>
    <t>Country Manager USA</t>
  </si>
  <si>
    <t>Peru</t>
  </si>
  <si>
    <t>Bonificaciones y Comisiones</t>
  </si>
  <si>
    <t>Costos por Oficina</t>
  </si>
  <si>
    <t>Monto Real</t>
  </si>
  <si>
    <t>Categoria</t>
  </si>
  <si>
    <t>Ratio</t>
  </si>
  <si>
    <t>Arriendo</t>
  </si>
  <si>
    <t>Otros (Oficina)</t>
  </si>
  <si>
    <t>Variable</t>
  </si>
  <si>
    <t>Costos por Viaje</t>
  </si>
  <si>
    <t>Costo Historico Promedio</t>
  </si>
  <si>
    <t>Gasto</t>
  </si>
  <si>
    <t xml:space="preserve">Costos Capacitaciones </t>
  </si>
  <si>
    <t>Costos Ferias</t>
  </si>
  <si>
    <t>The Electric Mine</t>
  </si>
  <si>
    <t>Gecamin-Mineplanning</t>
  </si>
  <si>
    <t>Congreso - IIMCH</t>
  </si>
  <si>
    <t>Mines and money UK</t>
  </si>
  <si>
    <t>Argentina Mining</t>
  </si>
  <si>
    <t>PERUMIN 36</t>
  </si>
  <si>
    <t>Exposibram 2025</t>
  </si>
  <si>
    <t>Congresso de Mineração Subterrânea</t>
  </si>
  <si>
    <t>MINExpo</t>
  </si>
  <si>
    <t>Costos Eventos</t>
  </si>
  <si>
    <t>Eventos Fin de Años y Fiestas Patrias</t>
  </si>
  <si>
    <t>Sueldo Extra Peru</t>
  </si>
  <si>
    <t>Pago Vacaciones</t>
  </si>
  <si>
    <t>Terceros (ratio por cantidad de Proyectos)</t>
  </si>
  <si>
    <t>Balance Terceros</t>
  </si>
  <si>
    <t>Media Proyectos 2024</t>
  </si>
  <si>
    <t>Monto terceros 2024</t>
  </si>
  <si>
    <t>Proyectos</t>
  </si>
  <si>
    <t>Cantidad Proyectos</t>
  </si>
  <si>
    <t>Cantidad de Modulos</t>
  </si>
  <si>
    <t>Actuales + Asignados</t>
  </si>
  <si>
    <t>Actuales + Asignados + No Asignados</t>
  </si>
  <si>
    <t>Capacidad Actual</t>
  </si>
  <si>
    <t>Actuales</t>
  </si>
  <si>
    <t>Modulos (Promedio Mes)</t>
  </si>
  <si>
    <t>Codigo</t>
  </si>
  <si>
    <t>ID</t>
  </si>
  <si>
    <t>País Ejecutor#1</t>
  </si>
  <si>
    <t>País Ejecutor#2</t>
  </si>
  <si>
    <t>Tipo de Minería</t>
  </si>
  <si>
    <t>Activo/
Inactivo</t>
  </si>
  <si>
    <t>Director</t>
  </si>
  <si>
    <t>Monto Contrato</t>
  </si>
  <si>
    <t>Monto Remanente</t>
  </si>
  <si>
    <t>Delay en pago</t>
  </si>
  <si>
    <t>Fecha Inicio</t>
  </si>
  <si>
    <t>Fecha Fin</t>
  </si>
  <si>
    <t>Cantidad de Meses Proyecto</t>
  </si>
  <si>
    <t>Monto Estimado Terceros</t>
  </si>
  <si>
    <t>Fecha Inicio Tercero</t>
  </si>
  <si>
    <t>Fecha Fin Tercero</t>
  </si>
  <si>
    <t>Cantidad de Meses Tercero</t>
  </si>
  <si>
    <t>Modulos</t>
  </si>
  <si>
    <t>CH-CMP-OP-OTR00-096-A</t>
  </si>
  <si>
    <t>CMP: Estrategia Minera para MLC Brownfield</t>
  </si>
  <si>
    <t>CMP</t>
  </si>
  <si>
    <t>FR</t>
  </si>
  <si>
    <t>CH-BHP-OP-OTR00-145-A</t>
  </si>
  <si>
    <t>Spence: Analisis proyecto SCUT</t>
  </si>
  <si>
    <t>BHP</t>
  </si>
  <si>
    <t>OT-RES-CS-OTR00-131-A</t>
  </si>
  <si>
    <t>Resolution: MinePlan Review (Scoping)</t>
  </si>
  <si>
    <t>CA</t>
  </si>
  <si>
    <t>OT-TWM-CS-FEL00-141-A</t>
  </si>
  <si>
    <t>Twin Metals: Analisis integrado con Northmet</t>
  </si>
  <si>
    <t>Twin Metals</t>
  </si>
  <si>
    <t>CH-CMP-OP-FEL00-106-A</t>
  </si>
  <si>
    <t>FEL3 CNN</t>
  </si>
  <si>
    <t>CH-CMP-UG-FEL03-093-A</t>
  </si>
  <si>
    <t>Estudio de Factibilidad Mina Romeral UG - Acceso Mina SLS</t>
  </si>
  <si>
    <t>RM</t>
  </si>
  <si>
    <t>CH-D&amp;P-CS-OTR00-137-A</t>
  </si>
  <si>
    <t>Cobre Panamá: Evaluación estratégica del activo</t>
  </si>
  <si>
    <t>Debevoise&amp;Plimpton</t>
  </si>
  <si>
    <t>GD</t>
  </si>
  <si>
    <t>PE-MMG-UG-FEL00-136-A</t>
  </si>
  <si>
    <t>Ferrobamba Scoping Study: Escenarios de sensibilidad</t>
  </si>
  <si>
    <t>Las Bambas</t>
  </si>
  <si>
    <t>OT-TWM-CS-FEL00-119-A</t>
  </si>
  <si>
    <t>Pre-PFS Twin Metals Birch Lake - Maturi</t>
  </si>
  <si>
    <t>JB</t>
  </si>
  <si>
    <t>BR-AUM-OU-FEL00-130-A</t>
  </si>
  <si>
    <t>Análisis Conceptual - Aura UG</t>
  </si>
  <si>
    <t>Aura Minerals</t>
  </si>
  <si>
    <t>RMI</t>
  </si>
  <si>
    <t>PE-CSC-UG-FEL2A-133-A</t>
  </si>
  <si>
    <t>Los Calatos - Extensión (v3)</t>
  </si>
  <si>
    <t>CD Capital</t>
  </si>
  <si>
    <t>AF</t>
  </si>
  <si>
    <t>CH-AMS-CS-OTR00-116-A</t>
  </si>
  <si>
    <t>Analisis Innovación Tecnologica Distrito Centinela</t>
  </si>
  <si>
    <t>AMSA</t>
  </si>
  <si>
    <t>CAR</t>
  </si>
  <si>
    <t>CH-BHP-OP-FEL00-135-A</t>
  </si>
  <si>
    <t>Cerro Colorado: Diseño Cierre de Botaderos</t>
  </si>
  <si>
    <t>CH-AAM-CS-OTR00-146-A</t>
  </si>
  <si>
    <t>Analisis de Productividad Los Bronces</t>
  </si>
  <si>
    <t>AngloAmerican</t>
  </si>
  <si>
    <t>CH-AAM-OT-FEL03-139-A</t>
  </si>
  <si>
    <t>Ingenieria implementacion HDD Los Bronces</t>
  </si>
  <si>
    <t>PE-MSR-UG-FEL00-142-A</t>
  </si>
  <si>
    <t>V MEIA San Rafael</t>
  </si>
  <si>
    <t>Minsur</t>
  </si>
  <si>
    <t>BR-MOS-UG-OTR00-098-A</t>
  </si>
  <si>
    <t>Fase 2 CTV: Modelamiento Recursos, Geomecanica y LOM actualizado</t>
  </si>
  <si>
    <t>Mosaic</t>
  </si>
  <si>
    <t>CH</t>
  </si>
  <si>
    <t>PE-OCP-CS-OTR00-138-A</t>
  </si>
  <si>
    <t>Estrategia de Valor para Mina Cobriza</t>
  </si>
  <si>
    <t>OCP</t>
  </si>
  <si>
    <t>MF</t>
  </si>
  <si>
    <t>PE-MMG-UG-FEL2A-143-A</t>
  </si>
  <si>
    <t>PFS Ferrobamba UG (MEIA)</t>
  </si>
  <si>
    <t>CH-BHP-UG-FEL01-074-A</t>
  </si>
  <si>
    <t>BHP: Análisis de accesibilidad para MEL UG</t>
  </si>
  <si>
    <t>MEL</t>
  </si>
  <si>
    <t>OT-RES-CS-OTR00-150-A</t>
  </si>
  <si>
    <t>Resolution: Análisis de Proyecto Túnel 68L</t>
  </si>
  <si>
    <t>BR-MOS-OU-FEL03-147-A</t>
  </si>
  <si>
    <t>Cajati: Actualización Ingeniería P1</t>
  </si>
  <si>
    <t>PE-MSR-UG-OTR00-151-A</t>
  </si>
  <si>
    <t>LOM Integrado San Rafael: 2025</t>
  </si>
  <si>
    <t>OT-THC-CS-OTR00-122-A</t>
  </si>
  <si>
    <t>Soporte Minero en Litigio OT - Gobierno Mongolia (Fase 2)</t>
  </si>
  <si>
    <t>ThreeCrowns</t>
  </si>
  <si>
    <t>BR-AUM-OU-FEL2A-130-B</t>
  </si>
  <si>
    <t>Aura: Ingeniería Túnel de Exploraciones</t>
  </si>
  <si>
    <t>Los Calatos - DFS</t>
  </si>
  <si>
    <t>Ferrobamba PFS</t>
  </si>
  <si>
    <t>Caserones: Implementacion NSR en Corto Plazo</t>
  </si>
  <si>
    <t>Lundin</t>
  </si>
  <si>
    <t>Caserones: Análisis Estratégico</t>
  </si>
  <si>
    <t>QuinnEmanuel: OT Allegation</t>
  </si>
  <si>
    <t>QuinnEmanuel</t>
  </si>
  <si>
    <t xml:space="preserve">DET: Ingeniería Perfil Sector Teniente 9 </t>
  </si>
  <si>
    <t>Codelco</t>
  </si>
  <si>
    <t>Ingeniería Basica Sistema Manejo Materiales Candelaria</t>
  </si>
  <si>
    <t>BR-ERC-UG-FEL00-152-A</t>
  </si>
  <si>
    <t>PEA Proyecto Furnas</t>
  </si>
  <si>
    <t>Ero Copper</t>
  </si>
  <si>
    <t xml:space="preserve">Cerro Blanco: FS Minería + Ing Detalle componentes </t>
  </si>
  <si>
    <t>Scoping Study Algarrobo UG</t>
  </si>
  <si>
    <t>Soporte Romeral, construcción túnel exploratorio</t>
  </si>
  <si>
    <t>Romeral</t>
  </si>
  <si>
    <t>Servicios de geología y planificación (3 años)</t>
  </si>
  <si>
    <t>Alcoa</t>
  </si>
  <si>
    <t>Evaluación de diferentes escenarios estrategicos (Cambio de producto)</t>
  </si>
  <si>
    <t>BCG</t>
  </si>
  <si>
    <t>Optimización proceso LOM + Implementación SIMPLAN</t>
  </si>
  <si>
    <t>LHG</t>
  </si>
  <si>
    <t>RL</t>
  </si>
  <si>
    <t>Servicio de Modelamiento Geotécnico Botaderos Parca</t>
  </si>
  <si>
    <t>Evaluación de cumplimiento de planes de corto plazo</t>
  </si>
  <si>
    <t>Antamina</t>
  </si>
  <si>
    <t xml:space="preserve"> Actualización del Estudio Geomecánico</t>
  </si>
  <si>
    <t>Nexa</t>
  </si>
  <si>
    <t>Ing detalle infraestructura Mina</t>
  </si>
  <si>
    <t>BR Nickel</t>
  </si>
  <si>
    <t>Estudio Geomecánico de Interacción Block Caving – Chancado Primario</t>
  </si>
  <si>
    <t>Servicio de revisón independiente de infraestructura (relaves)</t>
  </si>
  <si>
    <t>ERG</t>
  </si>
  <si>
    <t>Rockhaven Klaza Project (PFS)</t>
  </si>
  <si>
    <t>Rockhaven</t>
  </si>
  <si>
    <t>HILL OF VALUE AND OPTIMIZED CUT-OFF GRADE STRATEGY ANALYSIS</t>
  </si>
  <si>
    <t>South 32</t>
  </si>
  <si>
    <t>PV</t>
  </si>
  <si>
    <t>Analisis de confiafilidad de plan + Entrenamiento de usuario</t>
  </si>
  <si>
    <t>Capstone Copper</t>
  </si>
  <si>
    <t xml:space="preserve">Viabilidad Económica del proyecto </t>
  </si>
  <si>
    <t>PA</t>
  </si>
  <si>
    <t>Proyecto</t>
  </si>
  <si>
    <t xml:space="preserve">Cliente </t>
  </si>
  <si>
    <t>Monto USD</t>
  </si>
  <si>
    <t>Gastos Directos</t>
  </si>
  <si>
    <t>Gasto Directo</t>
  </si>
  <si>
    <t>Costo Por Pais de Origen</t>
  </si>
  <si>
    <t>Subtotal</t>
  </si>
  <si>
    <t>Costo Por Pais Ejecutor</t>
  </si>
  <si>
    <t>Distribución Gasto</t>
  </si>
  <si>
    <t>Mono Remanente</t>
  </si>
  <si>
    <t>Factor Multiplicador de Modulo</t>
  </si>
  <si>
    <t>EDP Por Pais de Origen</t>
  </si>
  <si>
    <t>EDP Por Pais Ejecutor</t>
  </si>
  <si>
    <t>% Probabilidad</t>
  </si>
  <si>
    <t>Costos Proyectados</t>
  </si>
  <si>
    <t>Gastos por Pais</t>
  </si>
  <si>
    <t>Gastos de Personal</t>
  </si>
  <si>
    <t>Gastos Oficina</t>
  </si>
  <si>
    <t xml:space="preserve">Gastos Viajes </t>
  </si>
  <si>
    <t>Gastos Capacitaciones</t>
  </si>
  <si>
    <t>Gastos Ferias</t>
  </si>
  <si>
    <t>Gastos Eventos</t>
  </si>
  <si>
    <t>Item de Gasto</t>
  </si>
  <si>
    <t>Subitem</t>
  </si>
  <si>
    <t>Viajes Comerciales + Ingeniera</t>
  </si>
  <si>
    <t>Capacitaciones Personal</t>
  </si>
  <si>
    <t>Geomin Mine Planning</t>
  </si>
  <si>
    <t>Eventos REDCO y/o Externos</t>
  </si>
  <si>
    <t>Calculo Flujos</t>
  </si>
  <si>
    <t>RESUMEN GESTIÓN</t>
  </si>
  <si>
    <t>Total Acum</t>
  </si>
  <si>
    <t>Venta Budget</t>
  </si>
  <si>
    <t>Venta Real</t>
  </si>
  <si>
    <t>EDP Budget</t>
  </si>
  <si>
    <t>EDP Real</t>
  </si>
  <si>
    <t>Facturación Budget</t>
  </si>
  <si>
    <t>Facturación Real</t>
  </si>
  <si>
    <t>Ingresos Budget</t>
  </si>
  <si>
    <t>Ingresos Real</t>
  </si>
  <si>
    <t>Gastos Budget</t>
  </si>
  <si>
    <t>Gastos Real</t>
  </si>
  <si>
    <t>% Margen Op. Budget</t>
  </si>
  <si>
    <t>% Margen Op. Real</t>
  </si>
  <si>
    <t>Budget</t>
  </si>
  <si>
    <t>Real Acum</t>
  </si>
  <si>
    <t>Dif.</t>
  </si>
  <si>
    <t>Var.%</t>
  </si>
  <si>
    <t>Ventas</t>
  </si>
  <si>
    <t>EDP</t>
  </si>
  <si>
    <t>Facturación</t>
  </si>
  <si>
    <t>Ingresos</t>
  </si>
  <si>
    <t>Gastos</t>
  </si>
  <si>
    <t>% Margen OP.</t>
  </si>
  <si>
    <t>PERSONAL DE REDCO / REDTEC / R+</t>
  </si>
  <si>
    <t>Competencia 1</t>
  </si>
  <si>
    <t>Competencia 2</t>
  </si>
  <si>
    <t>Competencia 3</t>
  </si>
  <si>
    <t>Consultor Geología y Recursos</t>
  </si>
  <si>
    <t>Gerente de Ingeniería</t>
  </si>
  <si>
    <t>Gerente Servicio Tecnicos</t>
  </si>
  <si>
    <t>Ingeniero Senior TI</t>
  </si>
  <si>
    <t>Gerente R+ / Director Proyecto</t>
  </si>
  <si>
    <t>Fernando Rodriguez</t>
  </si>
  <si>
    <t>Cynthia Ordoñez</t>
  </si>
  <si>
    <t>Jefe Recursos Humanos</t>
  </si>
  <si>
    <t>Jhonatan Mandujano</t>
  </si>
  <si>
    <t>Eduardo Sanchez</t>
  </si>
  <si>
    <t>Juan Cardenas</t>
  </si>
  <si>
    <t>Ing. Centro de Monitoreo</t>
  </si>
  <si>
    <t>REDTEC</t>
  </si>
  <si>
    <t>Eduardo Huatuco</t>
  </si>
  <si>
    <t>Ing. Supervisor Centro Monitoreo</t>
  </si>
  <si>
    <t>Alexander Rojas</t>
  </si>
  <si>
    <t>Ingeniero TI</t>
  </si>
  <si>
    <t>Ingeniería perfil Clavelinas</t>
  </si>
  <si>
    <t>Ingeniería de factibilidad Cristina</t>
  </si>
  <si>
    <t>Conceptual Chalcobamba UG</t>
  </si>
  <si>
    <t>Ingeniería a nivel factibilidad de desarrollo y profundización de labores subterráneas segunda meiad</t>
  </si>
  <si>
    <t>Insideo</t>
  </si>
  <si>
    <t>Cerro Pasco</t>
  </si>
  <si>
    <t>Corto plazo</t>
  </si>
  <si>
    <t>CMDIC</t>
  </si>
  <si>
    <t>Acompañamiento simplan Cajati</t>
  </si>
  <si>
    <t xml:space="preserve">Actualziación LOM </t>
  </si>
  <si>
    <t>Alpayana Estudio de Sismicidad</t>
  </si>
  <si>
    <t>Alpayana</t>
  </si>
  <si>
    <t>Caja Real REDCO</t>
  </si>
  <si>
    <t>Margen Operativo Budget</t>
  </si>
  <si>
    <t>Margen Operativo Real</t>
  </si>
  <si>
    <t>Margen Operativo</t>
  </si>
  <si>
    <t>Budget 25</t>
  </si>
  <si>
    <t>Forecast 25</t>
  </si>
  <si>
    <t>Año venta</t>
  </si>
  <si>
    <t>Ítem</t>
  </si>
  <si>
    <t>Propuestas</t>
  </si>
  <si>
    <t xml:space="preserve">Ventas </t>
  </si>
  <si>
    <t>POM</t>
  </si>
  <si>
    <t>Beneficio</t>
  </si>
  <si>
    <t>Margen %</t>
  </si>
  <si>
    <t>Acum</t>
  </si>
  <si>
    <t>Vale Gongo Soco</t>
  </si>
  <si>
    <t>Vale</t>
  </si>
  <si>
    <t>Factor EDP</t>
  </si>
  <si>
    <t>Factor Factura</t>
  </si>
  <si>
    <t>Var.% mes</t>
  </si>
  <si>
    <t>TABLA COMPARATIVA A DICIEMBRE 2025</t>
  </si>
  <si>
    <t>CumpMimiento A NOV</t>
  </si>
  <si>
    <t>CumpMimiento aM 2025</t>
  </si>
  <si>
    <t>TABMA COMPARATIVA AÑO 2025</t>
  </si>
  <si>
    <t>ReaM</t>
  </si>
  <si>
    <t>TABLA COMPARATIVA DICIEMBRE 2025</t>
  </si>
  <si>
    <t>Dado el tipo de estudio, me indica el nivel de participación de cada tipo de cargo</t>
  </si>
  <si>
    <t>Etiquetas de fila</t>
  </si>
  <si>
    <t>Total general</t>
  </si>
  <si>
    <t>Etiquetas de columna</t>
  </si>
  <si>
    <t>Cuenta de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</si>
</sst>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 &quot;$&quot;* #,##0_ ;_ &quot;$&quot;* \-#,##0_ ;_ &quot;$&quot;* &quot;-&quot;_ ;_ @_ "/>
    <numFmt numFmtId="41" formatCode="_ * #,##0_ ;_ * \-#,##0_ ;_ * &quot;-&quot;_ ;_ @_ "/>
    <numFmt numFmtId="164" formatCode="0.0"/>
    <numFmt numFmtId="165" formatCode="_ &quot;$&quot;* #,##0_ ;_ &quot;$&quot;* \-#,##0_ ;_ &quot;$&quot;* &quot;-&quot;??_ ;_ @_ "/>
    <numFmt numFmtId="166" formatCode="#,##0_ ;\-#,##0\ "/>
    <numFmt numFmtId="167" formatCode="0.000"/>
    <numFmt numFmtId="168" formatCode="0.0%"/>
    <numFmt numFmtId="169" formatCode="0.0000"/>
  </numFmts>
  <fonts count="59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D0D0D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4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name val="Calibri"/>
      <family val="2"/>
    </font>
    <font>
      <sz val="9"/>
      <color rgb="FF000000"/>
      <name val="Raleway"/>
    </font>
    <font>
      <b/>
      <sz val="9"/>
      <color theme="1"/>
      <name val="Raleway"/>
    </font>
    <font>
      <sz val="9"/>
      <color theme="1"/>
      <name val="Raleway"/>
    </font>
    <font>
      <i/>
      <sz val="9"/>
      <color theme="1"/>
      <name val="Raleway"/>
    </font>
    <font>
      <b/>
      <sz val="9"/>
      <color rgb="FFFFFFFF"/>
      <name val="Raleway"/>
    </font>
    <font>
      <strike/>
      <sz val="9"/>
      <color rgb="FFFF0000"/>
      <name val="Raleway"/>
    </font>
    <font>
      <b/>
      <u/>
      <sz val="11"/>
      <color theme="1"/>
      <name val="Aptos Narrow"/>
      <family val="2"/>
      <scheme val="minor"/>
    </font>
    <font>
      <sz val="9"/>
      <name val="Raleway"/>
    </font>
    <font>
      <b/>
      <sz val="9"/>
      <color rgb="FF000000"/>
      <name val="Raleway"/>
    </font>
    <font>
      <b/>
      <sz val="9"/>
      <name val="Raleway"/>
    </font>
    <font>
      <sz val="11"/>
      <color theme="1"/>
      <name val="Raleway"/>
    </font>
    <font>
      <sz val="8"/>
      <color theme="1"/>
      <name val="Raleway"/>
    </font>
    <font>
      <b/>
      <sz val="8"/>
      <color theme="1"/>
      <name val="Raleway"/>
    </font>
    <font>
      <b/>
      <sz val="8"/>
      <color rgb="FFFFFFFF"/>
      <name val="Raleway"/>
    </font>
    <font>
      <b/>
      <i/>
      <sz val="9"/>
      <color theme="1"/>
      <name val="Raleway"/>
    </font>
    <font>
      <sz val="9"/>
      <color theme="0" tint="-0.14999847407452621"/>
      <name val="Raleway"/>
    </font>
    <font>
      <sz val="9"/>
      <color theme="1"/>
      <name val="Aptos Narrow"/>
      <family val="2"/>
      <scheme val="minor"/>
    </font>
    <font>
      <i/>
      <sz val="9"/>
      <name val="Raleway"/>
    </font>
    <font>
      <sz val="10"/>
      <color theme="0" tint="-0.499984740745262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  <font>
      <sz val="8"/>
      <color rgb="FF000000"/>
      <name val="Raleway"/>
    </font>
    <font>
      <b/>
      <sz val="8"/>
      <color rgb="FF000000"/>
      <name val="Raleway"/>
    </font>
    <font>
      <sz val="8"/>
      <name val="Aptos Narrow"/>
      <family val="2"/>
      <scheme val="minor"/>
    </font>
    <font>
      <b/>
      <sz val="10"/>
      <color theme="1"/>
      <name val="Raleway"/>
    </font>
    <font>
      <i/>
      <sz val="9"/>
      <color theme="0"/>
      <name val="Raleway"/>
    </font>
    <font>
      <b/>
      <sz val="11"/>
      <color theme="1"/>
      <name val="Raleway"/>
    </font>
    <font>
      <i/>
      <sz val="8"/>
      <color theme="1"/>
      <name val="Raleway"/>
    </font>
    <font>
      <b/>
      <i/>
      <sz val="9"/>
      <color theme="0"/>
      <name val="Raleway"/>
    </font>
    <font>
      <i/>
      <sz val="11"/>
      <name val="Raleway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i/>
      <sz val="9"/>
      <name val="Raleway"/>
    </font>
    <font>
      <sz val="9"/>
      <color theme="0"/>
      <name val="Raleway"/>
    </font>
    <font>
      <b/>
      <u/>
      <sz val="11"/>
      <color theme="1"/>
      <name val="Raleway"/>
    </font>
    <font>
      <b/>
      <sz val="8"/>
      <color rgb="FF0070C0"/>
      <name val="Raleway"/>
    </font>
    <font>
      <b/>
      <sz val="9"/>
      <color theme="0"/>
      <name val="Raleway"/>
    </font>
    <font>
      <sz val="10"/>
      <color theme="1"/>
      <name val="Raleway"/>
    </font>
    <font>
      <sz val="11"/>
      <color theme="5" tint="-0.499984740745262"/>
      <name val="Raleway"/>
    </font>
    <font>
      <b/>
      <sz val="8"/>
      <color theme="5" tint="-0.499984740745262"/>
      <name val="Raleway"/>
    </font>
    <font>
      <sz val="8"/>
      <color theme="0" tint="-0.14999847407452621"/>
      <name val="Raleway"/>
    </font>
    <font>
      <b/>
      <i/>
      <sz val="8"/>
      <color rgb="FFC00000"/>
      <name val="Raleway"/>
    </font>
    <font>
      <b/>
      <sz val="8"/>
      <color rgb="FFC00000"/>
      <name val="Raleway"/>
    </font>
    <font>
      <sz val="8"/>
      <color theme="5"/>
      <name val="Raleway"/>
    </font>
    <font>
      <sz val="9"/>
      <color rgb="FFFF0000"/>
      <name val="Raleway"/>
    </font>
    <font>
      <sz val="8"/>
      <color rgb="FFFF0000"/>
      <name val="Raleway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42">
    <fill>
      <patternFill patternType="none"/>
    </fill>
    <fill>
      <patternFill patternType="gray125"/>
    </fill>
    <fill>
      <patternFill patternType="solid">
        <fgColor rgb="FF0B3040"/>
        <bgColor rgb="FF000000"/>
      </patternFill>
    </fill>
    <fill>
      <patternFill patternType="solid">
        <fgColor rgb="FFADD8E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9FBD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rgb="FF66FFCC"/>
        <bgColor indexed="64"/>
      </patternFill>
    </fill>
    <fill>
      <patternFill patternType="solid">
        <fgColor rgb="FFC9FFED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rgb="FFF9FBD5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medium">
        <color theme="0"/>
      </bottom>
      <diagonal/>
    </border>
  </borders>
  <cellStyleXfs count="4">
    <xf numFmtId="0" fontId="0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2" fontId="3" fillId="0" borderId="0" applyFont="0" applyFill="0" applyBorder="0" applyAlignment="0" applyProtection="0"/>
  </cellStyleXfs>
  <cellXfs count="67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11" borderId="12" xfId="0" applyFont="1" applyFill="1" applyBorder="1" applyAlignment="1">
      <alignment horizontal="center"/>
    </xf>
    <xf numFmtId="0" fontId="1" fillId="11" borderId="13" xfId="0" applyFont="1" applyFill="1" applyBorder="1" applyAlignment="1">
      <alignment horizontal="center"/>
    </xf>
    <xf numFmtId="0" fontId="1" fillId="11" borderId="14" xfId="0" applyFont="1" applyFill="1" applyBorder="1" applyAlignment="1">
      <alignment horizontal="center"/>
    </xf>
    <xf numFmtId="0" fontId="6" fillId="12" borderId="15" xfId="0" applyFont="1" applyFill="1" applyBorder="1" applyAlignment="1">
      <alignment horizontal="center"/>
    </xf>
    <xf numFmtId="9" fontId="2" fillId="0" borderId="16" xfId="2" applyFont="1" applyFill="1" applyBorder="1" applyAlignment="1">
      <alignment horizontal="center"/>
    </xf>
    <xf numFmtId="9" fontId="2" fillId="0" borderId="0" xfId="2" applyFont="1" applyFill="1" applyBorder="1" applyAlignment="1">
      <alignment horizontal="center"/>
    </xf>
    <xf numFmtId="9" fontId="2" fillId="0" borderId="5" xfId="2" applyFont="1" applyFill="1" applyBorder="1" applyAlignment="1">
      <alignment horizontal="center"/>
    </xf>
    <xf numFmtId="0" fontId="6" fillId="12" borderId="16" xfId="0" applyFont="1" applyFill="1" applyBorder="1" applyAlignment="1">
      <alignment horizontal="center"/>
    </xf>
    <xf numFmtId="9" fontId="2" fillId="13" borderId="16" xfId="2" applyFont="1" applyFill="1" applyBorder="1" applyAlignment="1">
      <alignment horizontal="center"/>
    </xf>
    <xf numFmtId="9" fontId="2" fillId="13" borderId="0" xfId="2" applyFont="1" applyFill="1" applyBorder="1" applyAlignment="1">
      <alignment horizontal="center"/>
    </xf>
    <xf numFmtId="9" fontId="2" fillId="13" borderId="5" xfId="2" applyFont="1" applyFill="1" applyBorder="1" applyAlignment="1">
      <alignment horizontal="center"/>
    </xf>
    <xf numFmtId="0" fontId="6" fillId="12" borderId="17" xfId="0" applyFont="1" applyFill="1" applyBorder="1" applyAlignment="1">
      <alignment horizontal="center"/>
    </xf>
    <xf numFmtId="9" fontId="8" fillId="14" borderId="16" xfId="0" applyNumberFormat="1" applyFont="1" applyFill="1" applyBorder="1" applyAlignment="1">
      <alignment horizontal="center"/>
    </xf>
    <xf numFmtId="9" fontId="8" fillId="14" borderId="0" xfId="0" applyNumberFormat="1" applyFont="1" applyFill="1" applyAlignment="1">
      <alignment horizontal="center"/>
    </xf>
    <xf numFmtId="9" fontId="8" fillId="14" borderId="5" xfId="0" applyNumberFormat="1" applyFont="1" applyFill="1" applyBorder="1" applyAlignment="1">
      <alignment horizontal="center"/>
    </xf>
    <xf numFmtId="164" fontId="8" fillId="14" borderId="12" xfId="1" applyNumberFormat="1" applyFont="1" applyFill="1" applyBorder="1" applyAlignment="1">
      <alignment horizontal="center"/>
    </xf>
    <xf numFmtId="164" fontId="8" fillId="14" borderId="13" xfId="1" applyNumberFormat="1" applyFont="1" applyFill="1" applyBorder="1" applyAlignment="1">
      <alignment horizontal="center"/>
    </xf>
    <xf numFmtId="164" fontId="8" fillId="14" borderId="14" xfId="1" applyNumberFormat="1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3" fontId="2" fillId="0" borderId="18" xfId="1" applyNumberFormat="1" applyFont="1" applyFill="1" applyBorder="1" applyAlignment="1">
      <alignment horizontal="center" vertical="center"/>
    </xf>
    <xf numFmtId="3" fontId="2" fillId="0" borderId="19" xfId="1" applyNumberFormat="1" applyFont="1" applyFill="1" applyBorder="1" applyAlignment="1">
      <alignment horizontal="center" vertical="center"/>
    </xf>
    <xf numFmtId="3" fontId="2" fillId="0" borderId="20" xfId="1" applyNumberFormat="1" applyFont="1" applyFill="1" applyBorder="1" applyAlignment="1">
      <alignment horizontal="center" vertical="center"/>
    </xf>
    <xf numFmtId="3" fontId="2" fillId="0" borderId="21" xfId="1" applyNumberFormat="1" applyFont="1" applyFill="1" applyBorder="1" applyAlignment="1">
      <alignment horizontal="center" vertical="center"/>
    </xf>
    <xf numFmtId="0" fontId="6" fillId="12" borderId="22" xfId="0" applyFont="1" applyFill="1" applyBorder="1" applyAlignment="1">
      <alignment horizontal="center"/>
    </xf>
    <xf numFmtId="3" fontId="2" fillId="0" borderId="23" xfId="1" applyNumberFormat="1" applyFont="1" applyFill="1" applyBorder="1" applyAlignment="1">
      <alignment horizontal="center" vertical="center"/>
    </xf>
    <xf numFmtId="3" fontId="2" fillId="0" borderId="24" xfId="1" applyNumberFormat="1" applyFont="1" applyFill="1" applyBorder="1" applyAlignment="1">
      <alignment horizontal="center" vertical="center"/>
    </xf>
    <xf numFmtId="3" fontId="2" fillId="0" borderId="25" xfId="1" applyNumberFormat="1" applyFont="1" applyFill="1" applyBorder="1" applyAlignment="1">
      <alignment horizontal="center" vertical="center"/>
    </xf>
    <xf numFmtId="3" fontId="2" fillId="0" borderId="26" xfId="1" applyNumberFormat="1" applyFont="1" applyFill="1" applyBorder="1" applyAlignment="1">
      <alignment horizontal="center" vertical="center"/>
    </xf>
    <xf numFmtId="41" fontId="8" fillId="15" borderId="12" xfId="0" applyNumberFormat="1" applyFont="1" applyFill="1" applyBorder="1"/>
    <xf numFmtId="0" fontId="6" fillId="12" borderId="12" xfId="0" applyFont="1" applyFill="1" applyBorder="1" applyAlignment="1">
      <alignment horizontal="center"/>
    </xf>
    <xf numFmtId="9" fontId="2" fillId="0" borderId="16" xfId="2" applyFont="1" applyFill="1" applyBorder="1" applyAlignment="1">
      <alignment horizontal="center" vertical="center"/>
    </xf>
    <xf numFmtId="9" fontId="2" fillId="0" borderId="27" xfId="2" applyFont="1" applyFill="1" applyBorder="1" applyAlignment="1">
      <alignment horizontal="center" vertical="center"/>
    </xf>
    <xf numFmtId="9" fontId="2" fillId="0" borderId="28" xfId="2" applyFont="1" applyFill="1" applyBorder="1" applyAlignment="1">
      <alignment horizontal="center" vertical="center"/>
    </xf>
    <xf numFmtId="9" fontId="2" fillId="0" borderId="29" xfId="2" applyFont="1" applyFill="1" applyBorder="1" applyAlignment="1">
      <alignment horizontal="center" vertical="center"/>
    </xf>
    <xf numFmtId="0" fontId="8" fillId="0" borderId="30" xfId="0" applyFont="1" applyBorder="1"/>
    <xf numFmtId="0" fontId="8" fillId="0" borderId="12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2" fillId="13" borderId="3" xfId="0" applyFont="1" applyFill="1" applyBorder="1"/>
    <xf numFmtId="0" fontId="2" fillId="13" borderId="16" xfId="0" applyFont="1" applyFill="1" applyBorder="1" applyAlignment="1">
      <alignment horizontal="center"/>
    </xf>
    <xf numFmtId="1" fontId="2" fillId="0" borderId="16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5" xfId="1" applyNumberFormat="1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16" xfId="0" applyFont="1" applyBorder="1" applyAlignment="1">
      <alignment horizontal="center"/>
    </xf>
    <xf numFmtId="0" fontId="2" fillId="0" borderId="6" xfId="0" applyFont="1" applyBorder="1"/>
    <xf numFmtId="0" fontId="2" fillId="0" borderId="17" xfId="0" applyFont="1" applyBorder="1" applyAlignment="1">
      <alignment horizontal="center"/>
    </xf>
    <xf numFmtId="1" fontId="2" fillId="0" borderId="8" xfId="1" applyNumberFormat="1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41" fontId="7" fillId="16" borderId="12" xfId="1" applyFont="1" applyFill="1" applyBorder="1" applyAlignment="1"/>
    <xf numFmtId="0" fontId="8" fillId="0" borderId="17" xfId="0" applyFont="1" applyBorder="1" applyAlignment="1">
      <alignment horizontal="center"/>
    </xf>
    <xf numFmtId="1" fontId="2" fillId="0" borderId="17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21" borderId="15" xfId="0" applyFont="1" applyFill="1" applyBorder="1" applyAlignment="1">
      <alignment horizontal="center" vertical="center"/>
    </xf>
    <xf numFmtId="0" fontId="10" fillId="21" borderId="9" xfId="0" applyFont="1" applyFill="1" applyBorder="1" applyAlignment="1">
      <alignment horizontal="center" vertical="center"/>
    </xf>
    <xf numFmtId="0" fontId="4" fillId="21" borderId="1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10" borderId="25" xfId="0" applyFill="1" applyBorder="1" applyAlignment="1">
      <alignment horizontal="center"/>
    </xf>
    <xf numFmtId="0" fontId="11" fillId="10" borderId="25" xfId="0" applyFont="1" applyFill="1" applyBorder="1" applyAlignment="1">
      <alignment horizontal="left"/>
    </xf>
    <xf numFmtId="0" fontId="11" fillId="10" borderId="25" xfId="0" applyFont="1" applyFill="1" applyBorder="1" applyAlignment="1">
      <alignment horizontal="center"/>
    </xf>
    <xf numFmtId="0" fontId="0" fillId="10" borderId="25" xfId="0" applyFill="1" applyBorder="1" applyAlignment="1">
      <alignment horizontal="center" vertical="top"/>
    </xf>
    <xf numFmtId="0" fontId="0" fillId="20" borderId="25" xfId="0" applyFill="1" applyBorder="1" applyAlignment="1">
      <alignment horizontal="center"/>
    </xf>
    <xf numFmtId="0" fontId="11" fillId="20" borderId="25" xfId="0" applyFont="1" applyFill="1" applyBorder="1" applyAlignment="1">
      <alignment horizontal="left"/>
    </xf>
    <xf numFmtId="0" fontId="11" fillId="20" borderId="25" xfId="0" applyFont="1" applyFill="1" applyBorder="1" applyAlignment="1">
      <alignment horizontal="center"/>
    </xf>
    <xf numFmtId="0" fontId="11" fillId="22" borderId="25" xfId="0" applyFont="1" applyFill="1" applyBorder="1" applyAlignment="1">
      <alignment horizontal="center"/>
    </xf>
    <xf numFmtId="0" fontId="11" fillId="22" borderId="25" xfId="0" applyFont="1" applyFill="1" applyBorder="1" applyAlignment="1">
      <alignment horizontal="left"/>
    </xf>
    <xf numFmtId="0" fontId="0" fillId="22" borderId="25" xfId="0" applyFill="1" applyBorder="1" applyAlignment="1">
      <alignment horizontal="center" vertical="top"/>
    </xf>
    <xf numFmtId="0" fontId="11" fillId="22" borderId="25" xfId="0" applyFont="1" applyFill="1" applyBorder="1"/>
    <xf numFmtId="0" fontId="11" fillId="7" borderId="25" xfId="0" applyFont="1" applyFill="1" applyBorder="1" applyAlignment="1">
      <alignment horizontal="center"/>
    </xf>
    <xf numFmtId="0" fontId="11" fillId="7" borderId="25" xfId="0" applyFont="1" applyFill="1" applyBorder="1" applyAlignment="1">
      <alignment horizontal="left"/>
    </xf>
    <xf numFmtId="0" fontId="0" fillId="7" borderId="25" xfId="0" applyFill="1" applyBorder="1" applyAlignment="1">
      <alignment horizontal="center" vertical="top"/>
    </xf>
    <xf numFmtId="0" fontId="0" fillId="0" borderId="16" xfId="0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5" fillId="8" borderId="30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/>
    </xf>
    <xf numFmtId="0" fontId="4" fillId="9" borderId="30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5" fillId="18" borderId="3" xfId="0" applyFont="1" applyFill="1" applyBorder="1" applyAlignment="1">
      <alignment horizontal="center"/>
    </xf>
    <xf numFmtId="0" fontId="13" fillId="18" borderId="15" xfId="0" applyFont="1" applyFill="1" applyBorder="1" applyAlignment="1">
      <alignment vertical="center"/>
    </xf>
    <xf numFmtId="1" fontId="14" fillId="0" borderId="10" xfId="0" applyNumberFormat="1" applyFont="1" applyBorder="1" applyAlignment="1">
      <alignment horizontal="center" vertical="center"/>
    </xf>
    <xf numFmtId="0" fontId="13" fillId="18" borderId="6" xfId="0" applyFont="1" applyFill="1" applyBorder="1" applyAlignment="1">
      <alignment horizontal="center" vertical="center" wrapText="1"/>
    </xf>
    <xf numFmtId="0" fontId="13" fillId="18" borderId="17" xfId="0" applyFont="1" applyFill="1" applyBorder="1" applyAlignment="1">
      <alignment vertical="center"/>
    </xf>
    <xf numFmtId="1" fontId="14" fillId="8" borderId="7" xfId="0" applyNumberFormat="1" applyFont="1" applyFill="1" applyBorder="1" applyAlignment="1">
      <alignment horizontal="center" vertical="center"/>
    </xf>
    <xf numFmtId="1" fontId="14" fillId="8" borderId="8" xfId="0" applyNumberFormat="1" applyFont="1" applyFill="1" applyBorder="1" applyAlignment="1">
      <alignment horizontal="center" vertical="center"/>
    </xf>
    <xf numFmtId="0" fontId="13" fillId="18" borderId="3" xfId="0" applyFont="1" applyFill="1" applyBorder="1" applyAlignment="1">
      <alignment horizontal="center" vertical="center" wrapText="1"/>
    </xf>
    <xf numFmtId="0" fontId="13" fillId="18" borderId="16" xfId="0" applyFont="1" applyFill="1" applyBorder="1" applyAlignment="1">
      <alignment vertical="center"/>
    </xf>
    <xf numFmtId="1" fontId="14" fillId="0" borderId="0" xfId="0" applyNumberFormat="1" applyFont="1" applyAlignment="1">
      <alignment horizontal="center" vertical="center"/>
    </xf>
    <xf numFmtId="1" fontId="14" fillId="0" borderId="5" xfId="0" applyNumberFormat="1" applyFont="1" applyBorder="1" applyAlignment="1">
      <alignment horizontal="center" vertical="center"/>
    </xf>
    <xf numFmtId="1" fontId="14" fillId="8" borderId="9" xfId="0" applyNumberFormat="1" applyFont="1" applyFill="1" applyBorder="1" applyAlignment="1">
      <alignment horizontal="center" vertical="center"/>
    </xf>
    <xf numFmtId="1" fontId="14" fillId="8" borderId="10" xfId="0" applyNumberFormat="1" applyFont="1" applyFill="1" applyBorder="1" applyAlignment="1">
      <alignment horizontal="center" vertical="center"/>
    </xf>
    <xf numFmtId="1" fontId="14" fillId="8" borderId="11" xfId="0" applyNumberFormat="1" applyFont="1" applyFill="1" applyBorder="1" applyAlignment="1">
      <alignment horizontal="center" vertical="center"/>
    </xf>
    <xf numFmtId="0" fontId="15" fillId="18" borderId="5" xfId="0" applyFont="1" applyFill="1" applyBorder="1" applyAlignment="1">
      <alignment horizontal="right" vertical="center"/>
    </xf>
    <xf numFmtId="1" fontId="14" fillId="8" borderId="3" xfId="0" applyNumberFormat="1" applyFont="1" applyFill="1" applyBorder="1" applyAlignment="1">
      <alignment horizontal="center" vertical="center"/>
    </xf>
    <xf numFmtId="1" fontId="14" fillId="8" borderId="5" xfId="0" applyNumberFormat="1" applyFont="1" applyFill="1" applyBorder="1" applyAlignment="1">
      <alignment horizontal="center" vertical="center"/>
    </xf>
    <xf numFmtId="0" fontId="15" fillId="18" borderId="8" xfId="0" applyFont="1" applyFill="1" applyBorder="1" applyAlignment="1">
      <alignment horizontal="right" vertical="center"/>
    </xf>
    <xf numFmtId="1" fontId="14" fillId="8" borderId="6" xfId="0" applyNumberFormat="1" applyFont="1" applyFill="1" applyBorder="1" applyAlignment="1">
      <alignment horizontal="center" vertical="center"/>
    </xf>
    <xf numFmtId="0" fontId="15" fillId="18" borderId="16" xfId="0" applyFont="1" applyFill="1" applyBorder="1" applyAlignment="1">
      <alignment horizontal="right" vertical="center"/>
    </xf>
    <xf numFmtId="0" fontId="13" fillId="18" borderId="12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17" fontId="14" fillId="3" borderId="9" xfId="0" applyNumberFormat="1" applyFont="1" applyFill="1" applyBorder="1" applyAlignment="1">
      <alignment horizontal="center" vertical="center"/>
    </xf>
    <xf numFmtId="17" fontId="14" fillId="3" borderId="10" xfId="0" applyNumberFormat="1" applyFont="1" applyFill="1" applyBorder="1" applyAlignment="1">
      <alignment horizontal="center" vertical="center"/>
    </xf>
    <xf numFmtId="17" fontId="14" fillId="3" borderId="1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2" fillId="4" borderId="0" xfId="0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164" fontId="12" fillId="17" borderId="0" xfId="0" applyNumberFormat="1" applyFont="1" applyFill="1" applyAlignment="1">
      <alignment horizontal="center" vertical="center"/>
    </xf>
    <xf numFmtId="164" fontId="12" fillId="19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1" fontId="13" fillId="20" borderId="9" xfId="0" applyNumberFormat="1" applyFont="1" applyFill="1" applyBorder="1" applyAlignment="1">
      <alignment horizontal="center" vertical="center"/>
    </xf>
    <xf numFmtId="1" fontId="13" fillId="20" borderId="10" xfId="0" applyNumberFormat="1" applyFont="1" applyFill="1" applyBorder="1" applyAlignment="1">
      <alignment horizontal="center" vertical="center"/>
    </xf>
    <xf numFmtId="1" fontId="13" fillId="20" borderId="11" xfId="0" applyNumberFormat="1" applyFont="1" applyFill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/>
    </xf>
    <xf numFmtId="1" fontId="14" fillId="0" borderId="7" xfId="0" applyNumberFormat="1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17" fontId="14" fillId="3" borderId="30" xfId="0" applyNumberFormat="1" applyFont="1" applyFill="1" applyBorder="1" applyAlignment="1">
      <alignment horizontal="center" vertical="center"/>
    </xf>
    <xf numFmtId="17" fontId="14" fillId="3" borderId="13" xfId="0" applyNumberFormat="1" applyFont="1" applyFill="1" applyBorder="1" applyAlignment="1">
      <alignment horizontal="center" vertical="center"/>
    </xf>
    <xf numFmtId="17" fontId="14" fillId="3" borderId="14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3" fillId="18" borderId="9" xfId="0" applyFont="1" applyFill="1" applyBorder="1" applyAlignment="1">
      <alignment vertical="center" wrapText="1"/>
    </xf>
    <xf numFmtId="0" fontId="13" fillId="18" borderId="11" xfId="0" applyFont="1" applyFill="1" applyBorder="1" applyAlignment="1">
      <alignment vertical="center" wrapText="1"/>
    </xf>
    <xf numFmtId="0" fontId="18" fillId="0" borderId="0" xfId="0" applyFont="1"/>
    <xf numFmtId="0" fontId="19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6" fillId="23" borderId="2" xfId="0" applyFont="1" applyFill="1" applyBorder="1" applyAlignment="1">
      <alignment horizontal="center" vertical="center" wrapText="1"/>
    </xf>
    <xf numFmtId="0" fontId="5" fillId="6" borderId="0" xfId="0" applyFont="1" applyFill="1"/>
    <xf numFmtId="0" fontId="18" fillId="0" borderId="0" xfId="0" applyFont="1" applyAlignment="1">
      <alignment horizontal="center"/>
    </xf>
    <xf numFmtId="164" fontId="12" fillId="24" borderId="0" xfId="0" applyNumberFormat="1" applyFont="1" applyFill="1" applyAlignment="1">
      <alignment horizontal="center" vertical="center"/>
    </xf>
    <xf numFmtId="0" fontId="12" fillId="24" borderId="0" xfId="0" applyFont="1" applyFill="1" applyAlignment="1">
      <alignment horizontal="center" vertical="center"/>
    </xf>
    <xf numFmtId="0" fontId="0" fillId="8" borderId="0" xfId="0" applyFill="1"/>
    <xf numFmtId="0" fontId="5" fillId="8" borderId="0" xfId="0" applyFont="1" applyFill="1"/>
    <xf numFmtId="14" fontId="12" fillId="25" borderId="0" xfId="0" applyNumberFormat="1" applyFont="1" applyFill="1" applyAlignment="1">
      <alignment horizontal="center" vertical="center"/>
    </xf>
    <xf numFmtId="0" fontId="14" fillId="6" borderId="0" xfId="0" applyFont="1" applyFill="1" applyAlignment="1">
      <alignment vertical="center"/>
    </xf>
    <xf numFmtId="0" fontId="14" fillId="27" borderId="9" xfId="0" applyFont="1" applyFill="1" applyBorder="1" applyAlignment="1">
      <alignment vertical="center"/>
    </xf>
    <xf numFmtId="0" fontId="14" fillId="27" borderId="10" xfId="0" applyFont="1" applyFill="1" applyBorder="1" applyAlignment="1">
      <alignment vertical="center"/>
    </xf>
    <xf numFmtId="0" fontId="14" fillId="27" borderId="3" xfId="0" applyFont="1" applyFill="1" applyBorder="1" applyAlignment="1">
      <alignment vertical="center"/>
    </xf>
    <xf numFmtId="0" fontId="14" fillId="27" borderId="0" xfId="0" applyFont="1" applyFill="1" applyAlignment="1">
      <alignment vertical="center"/>
    </xf>
    <xf numFmtId="0" fontId="14" fillId="27" borderId="6" xfId="0" applyFont="1" applyFill="1" applyBorder="1" applyAlignment="1">
      <alignment vertical="center"/>
    </xf>
    <xf numFmtId="0" fontId="14" fillId="27" borderId="7" xfId="0" applyFont="1" applyFill="1" applyBorder="1" applyAlignment="1">
      <alignment vertical="center"/>
    </xf>
    <xf numFmtId="0" fontId="14" fillId="27" borderId="0" xfId="0" applyFont="1" applyFill="1" applyAlignment="1">
      <alignment horizontal="left" vertical="center"/>
    </xf>
    <xf numFmtId="0" fontId="14" fillId="7" borderId="0" xfId="0" applyFont="1" applyFill="1" applyAlignment="1">
      <alignment vertical="center"/>
    </xf>
    <xf numFmtId="0" fontId="13" fillId="7" borderId="0" xfId="0" applyFont="1" applyFill="1" applyAlignment="1">
      <alignment vertical="center"/>
    </xf>
    <xf numFmtId="0" fontId="13" fillId="27" borderId="0" xfId="0" applyFont="1" applyFill="1" applyAlignment="1">
      <alignment horizontal="left" vertical="center"/>
    </xf>
    <xf numFmtId="42" fontId="0" fillId="0" borderId="0" xfId="3" applyFont="1" applyAlignment="1">
      <alignment horizontal="center"/>
    </xf>
    <xf numFmtId="42" fontId="14" fillId="0" borderId="0" xfId="3" applyFont="1" applyAlignment="1">
      <alignment horizontal="center" vertical="center"/>
    </xf>
    <xf numFmtId="42" fontId="14" fillId="0" borderId="5" xfId="3" applyFont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 wrapText="1"/>
    </xf>
    <xf numFmtId="9" fontId="12" fillId="5" borderId="0" xfId="0" applyNumberFormat="1" applyFont="1" applyFill="1" applyAlignment="1">
      <alignment horizontal="center" vertical="center"/>
    </xf>
    <xf numFmtId="0" fontId="16" fillId="2" borderId="12" xfId="0" applyFont="1" applyFill="1" applyBorder="1" applyAlignment="1">
      <alignment horizontal="center" vertical="center" wrapText="1"/>
    </xf>
    <xf numFmtId="9" fontId="12" fillId="5" borderId="15" xfId="0" applyNumberFormat="1" applyFont="1" applyFill="1" applyBorder="1" applyAlignment="1">
      <alignment horizontal="center" vertical="center"/>
    </xf>
    <xf numFmtId="9" fontId="12" fillId="5" borderId="16" xfId="0" applyNumberFormat="1" applyFont="1" applyFill="1" applyBorder="1" applyAlignment="1">
      <alignment horizontal="center" vertical="center"/>
    </xf>
    <xf numFmtId="9" fontId="12" fillId="5" borderId="17" xfId="0" applyNumberFormat="1" applyFont="1" applyFill="1" applyBorder="1" applyAlignment="1">
      <alignment horizontal="center" vertical="center"/>
    </xf>
    <xf numFmtId="9" fontId="20" fillId="5" borderId="17" xfId="0" applyNumberFormat="1" applyFont="1" applyFill="1" applyBorder="1" applyAlignment="1">
      <alignment horizontal="center" vertical="center"/>
    </xf>
    <xf numFmtId="42" fontId="12" fillId="5" borderId="15" xfId="0" applyNumberFormat="1" applyFont="1" applyFill="1" applyBorder="1" applyAlignment="1">
      <alignment horizontal="center" vertical="center"/>
    </xf>
    <xf numFmtId="42" fontId="12" fillId="5" borderId="16" xfId="0" applyNumberFormat="1" applyFont="1" applyFill="1" applyBorder="1" applyAlignment="1">
      <alignment horizontal="center" vertical="center"/>
    </xf>
    <xf numFmtId="42" fontId="12" fillId="5" borderId="17" xfId="0" applyNumberFormat="1" applyFont="1" applyFill="1" applyBorder="1" applyAlignment="1">
      <alignment horizontal="center" vertical="center"/>
    </xf>
    <xf numFmtId="42" fontId="20" fillId="5" borderId="17" xfId="0" applyNumberFormat="1" applyFont="1" applyFill="1" applyBorder="1" applyAlignment="1">
      <alignment horizontal="center" vertical="center"/>
    </xf>
    <xf numFmtId="42" fontId="14" fillId="0" borderId="10" xfId="0" applyNumberFormat="1" applyFont="1" applyBorder="1" applyAlignment="1">
      <alignment vertical="center"/>
    </xf>
    <xf numFmtId="42" fontId="14" fillId="0" borderId="11" xfId="0" applyNumberFormat="1" applyFont="1" applyBorder="1" applyAlignment="1">
      <alignment vertical="center"/>
    </xf>
    <xf numFmtId="42" fontId="14" fillId="0" borderId="0" xfId="0" applyNumberFormat="1" applyFont="1" applyAlignment="1">
      <alignment vertical="center"/>
    </xf>
    <xf numFmtId="42" fontId="14" fillId="0" borderId="5" xfId="0" applyNumberFormat="1" applyFont="1" applyBorder="1" applyAlignment="1">
      <alignment vertical="center"/>
    </xf>
    <xf numFmtId="42" fontId="14" fillId="0" borderId="7" xfId="0" applyNumberFormat="1" applyFont="1" applyBorder="1" applyAlignment="1">
      <alignment vertical="center"/>
    </xf>
    <xf numFmtId="42" fontId="14" fillId="0" borderId="8" xfId="0" applyNumberFormat="1" applyFont="1" applyBorder="1" applyAlignment="1">
      <alignment vertical="center"/>
    </xf>
    <xf numFmtId="0" fontId="21" fillId="30" borderId="2" xfId="0" applyFont="1" applyFill="1" applyBorder="1" applyAlignment="1">
      <alignment horizontal="center" vertical="center" wrapText="1"/>
    </xf>
    <xf numFmtId="9" fontId="12" fillId="0" borderId="0" xfId="2" applyFont="1" applyAlignment="1">
      <alignment horizontal="center" vertical="center"/>
    </xf>
    <xf numFmtId="9" fontId="14" fillId="0" borderId="0" xfId="2" applyFont="1" applyAlignment="1">
      <alignment vertical="center"/>
    </xf>
    <xf numFmtId="165" fontId="14" fillId="0" borderId="10" xfId="0" applyNumberFormat="1" applyFont="1" applyBorder="1" applyAlignment="1">
      <alignment vertical="center"/>
    </xf>
    <xf numFmtId="165" fontId="14" fillId="0" borderId="11" xfId="0" applyNumberFormat="1" applyFont="1" applyBorder="1" applyAlignment="1">
      <alignment vertical="center"/>
    </xf>
    <xf numFmtId="165" fontId="14" fillId="0" borderId="0" xfId="0" applyNumberFormat="1" applyFont="1" applyAlignment="1">
      <alignment vertical="center"/>
    </xf>
    <xf numFmtId="165" fontId="14" fillId="0" borderId="5" xfId="0" applyNumberFormat="1" applyFont="1" applyBorder="1" applyAlignment="1">
      <alignment vertical="center"/>
    </xf>
    <xf numFmtId="165" fontId="14" fillId="0" borderId="7" xfId="0" applyNumberFormat="1" applyFont="1" applyBorder="1" applyAlignment="1">
      <alignment vertical="center"/>
    </xf>
    <xf numFmtId="165" fontId="14" fillId="0" borderId="8" xfId="0" applyNumberFormat="1" applyFont="1" applyBorder="1" applyAlignment="1">
      <alignment vertical="center"/>
    </xf>
    <xf numFmtId="1" fontId="14" fillId="27" borderId="10" xfId="0" applyNumberFormat="1" applyFont="1" applyFill="1" applyBorder="1" applyAlignment="1">
      <alignment horizontal="center" vertical="center"/>
    </xf>
    <xf numFmtId="1" fontId="14" fillId="27" borderId="0" xfId="0" applyNumberFormat="1" applyFont="1" applyFill="1" applyAlignment="1">
      <alignment horizontal="center" vertical="center"/>
    </xf>
    <xf numFmtId="1" fontId="14" fillId="27" borderId="7" xfId="0" applyNumberFormat="1" applyFont="1" applyFill="1" applyBorder="1" applyAlignment="1">
      <alignment horizontal="center" vertical="center"/>
    </xf>
    <xf numFmtId="1" fontId="16" fillId="23" borderId="2" xfId="0" applyNumberFormat="1" applyFont="1" applyFill="1" applyBorder="1" applyAlignment="1">
      <alignment horizontal="center" vertical="center" wrapText="1"/>
    </xf>
    <xf numFmtId="1" fontId="12" fillId="25" borderId="0" xfId="1" applyNumberFormat="1" applyFont="1" applyFill="1" applyAlignment="1">
      <alignment horizontal="center" vertical="center"/>
    </xf>
    <xf numFmtId="1" fontId="12" fillId="25" borderId="0" xfId="0" applyNumberFormat="1" applyFont="1" applyFill="1" applyAlignment="1">
      <alignment horizontal="center" vertical="center"/>
    </xf>
    <xf numFmtId="1" fontId="14" fillId="6" borderId="0" xfId="0" applyNumberFormat="1" applyFont="1" applyFill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16" fillId="2" borderId="15" xfId="0" applyFont="1" applyFill="1" applyBorder="1" applyAlignment="1">
      <alignment horizontal="center" vertical="center" wrapText="1"/>
    </xf>
    <xf numFmtId="0" fontId="22" fillId="0" borderId="0" xfId="0" applyFont="1"/>
    <xf numFmtId="0" fontId="23" fillId="27" borderId="9" xfId="0" applyFont="1" applyFill="1" applyBorder="1" applyAlignment="1">
      <alignment vertical="center"/>
    </xf>
    <xf numFmtId="0" fontId="23" fillId="27" borderId="10" xfId="0" applyFont="1" applyFill="1" applyBorder="1" applyAlignment="1">
      <alignment vertical="center"/>
    </xf>
    <xf numFmtId="0" fontId="23" fillId="27" borderId="3" xfId="0" applyFont="1" applyFill="1" applyBorder="1" applyAlignment="1">
      <alignment vertical="center"/>
    </xf>
    <xf numFmtId="0" fontId="23" fillId="27" borderId="0" xfId="0" applyFont="1" applyFill="1" applyAlignment="1">
      <alignment vertical="center"/>
    </xf>
    <xf numFmtId="0" fontId="23" fillId="27" borderId="0" xfId="0" applyFont="1" applyFill="1" applyAlignment="1">
      <alignment horizontal="left" vertical="center"/>
    </xf>
    <xf numFmtId="0" fontId="24" fillId="27" borderId="0" xfId="0" applyFont="1" applyFill="1" applyAlignment="1">
      <alignment horizontal="left" vertical="center"/>
    </xf>
    <xf numFmtId="0" fontId="23" fillId="27" borderId="6" xfId="0" applyFont="1" applyFill="1" applyBorder="1" applyAlignment="1">
      <alignment vertical="center"/>
    </xf>
    <xf numFmtId="0" fontId="23" fillId="27" borderId="7" xfId="0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/>
    <xf numFmtId="0" fontId="25" fillId="2" borderId="9" xfId="0" applyFont="1" applyFill="1" applyBorder="1" applyAlignment="1">
      <alignment horizontal="center" vertical="center"/>
    </xf>
    <xf numFmtId="0" fontId="25" fillId="2" borderId="9" xfId="0" applyFont="1" applyFill="1" applyBorder="1" applyAlignment="1">
      <alignment horizontal="center" vertical="center" wrapText="1"/>
    </xf>
    <xf numFmtId="0" fontId="25" fillId="2" borderId="15" xfId="0" applyFont="1" applyFill="1" applyBorder="1" applyAlignment="1">
      <alignment horizontal="center" vertical="center" wrapText="1"/>
    </xf>
    <xf numFmtId="17" fontId="23" fillId="3" borderId="10" xfId="0" applyNumberFormat="1" applyFont="1" applyFill="1" applyBorder="1" applyAlignment="1">
      <alignment horizontal="center" vertical="center"/>
    </xf>
    <xf numFmtId="17" fontId="23" fillId="3" borderId="11" xfId="0" applyNumberFormat="1" applyFont="1" applyFill="1" applyBorder="1" applyAlignment="1">
      <alignment horizontal="center" vertical="center"/>
    </xf>
    <xf numFmtId="3" fontId="23" fillId="0" borderId="10" xfId="0" applyNumberFormat="1" applyFont="1" applyBorder="1"/>
    <xf numFmtId="3" fontId="23" fillId="0" borderId="11" xfId="0" applyNumberFormat="1" applyFont="1" applyBorder="1"/>
    <xf numFmtId="3" fontId="23" fillId="0" borderId="0" xfId="0" applyNumberFormat="1" applyFont="1"/>
    <xf numFmtId="3" fontId="23" fillId="0" borderId="5" xfId="0" applyNumberFormat="1" applyFont="1" applyBorder="1"/>
    <xf numFmtId="3" fontId="23" fillId="27" borderId="7" xfId="0" applyNumberFormat="1" applyFont="1" applyFill="1" applyBorder="1"/>
    <xf numFmtId="3" fontId="23" fillId="27" borderId="8" xfId="0" applyNumberFormat="1" applyFont="1" applyFill="1" applyBorder="1"/>
    <xf numFmtId="0" fontId="23" fillId="0" borderId="0" xfId="0" applyFont="1" applyAlignment="1">
      <alignment horizontal="center"/>
    </xf>
    <xf numFmtId="0" fontId="24" fillId="0" borderId="15" xfId="0" applyFont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4" fillId="27" borderId="17" xfId="0" applyFont="1" applyFill="1" applyBorder="1" applyAlignment="1">
      <alignment horizontal="center"/>
    </xf>
    <xf numFmtId="17" fontId="23" fillId="3" borderId="9" xfId="0" applyNumberFormat="1" applyFont="1" applyFill="1" applyBorder="1" applyAlignment="1">
      <alignment horizontal="center" vertical="center"/>
    </xf>
    <xf numFmtId="3" fontId="23" fillId="0" borderId="9" xfId="0" applyNumberFormat="1" applyFont="1" applyBorder="1"/>
    <xf numFmtId="3" fontId="23" fillId="0" borderId="3" xfId="0" applyNumberFormat="1" applyFont="1" applyBorder="1"/>
    <xf numFmtId="3" fontId="23" fillId="27" borderId="6" xfId="0" applyNumberFormat="1" applyFont="1" applyFill="1" applyBorder="1"/>
    <xf numFmtId="3" fontId="24" fillId="27" borderId="6" xfId="0" applyNumberFormat="1" applyFont="1" applyFill="1" applyBorder="1"/>
    <xf numFmtId="3" fontId="24" fillId="27" borderId="7" xfId="0" applyNumberFormat="1" applyFont="1" applyFill="1" applyBorder="1"/>
    <xf numFmtId="3" fontId="24" fillId="27" borderId="8" xfId="0" applyNumberFormat="1" applyFont="1" applyFill="1" applyBorder="1"/>
    <xf numFmtId="166" fontId="24" fillId="0" borderId="15" xfId="1" applyNumberFormat="1" applyFont="1" applyBorder="1" applyAlignment="1">
      <alignment horizontal="center"/>
    </xf>
    <xf numFmtId="166" fontId="24" fillId="0" borderId="16" xfId="1" applyNumberFormat="1" applyFont="1" applyBorder="1" applyAlignment="1">
      <alignment horizontal="center"/>
    </xf>
    <xf numFmtId="166" fontId="24" fillId="27" borderId="17" xfId="1" applyNumberFormat="1" applyFont="1" applyFill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24" fillId="8" borderId="3" xfId="0" applyFont="1" applyFill="1" applyBorder="1" applyAlignment="1">
      <alignment horizontal="center"/>
    </xf>
    <xf numFmtId="0" fontId="24" fillId="8" borderId="6" xfId="0" applyFont="1" applyFill="1" applyBorder="1" applyAlignment="1">
      <alignment horizontal="center"/>
    </xf>
    <xf numFmtId="0" fontId="24" fillId="8" borderId="16" xfId="0" applyFont="1" applyFill="1" applyBorder="1" applyAlignment="1">
      <alignment horizontal="center"/>
    </xf>
    <xf numFmtId="166" fontId="24" fillId="8" borderId="16" xfId="1" applyNumberFormat="1" applyFont="1" applyFill="1" applyBorder="1" applyAlignment="1">
      <alignment horizontal="center"/>
    </xf>
    <xf numFmtId="3" fontId="24" fillId="8" borderId="9" xfId="0" applyNumberFormat="1" applyFont="1" applyFill="1" applyBorder="1"/>
    <xf numFmtId="3" fontId="24" fillId="8" borderId="10" xfId="0" applyNumberFormat="1" applyFont="1" applyFill="1" applyBorder="1"/>
    <xf numFmtId="3" fontId="24" fillId="8" borderId="11" xfId="0" applyNumberFormat="1" applyFont="1" applyFill="1" applyBorder="1"/>
    <xf numFmtId="3" fontId="24" fillId="8" borderId="3" xfId="0" applyNumberFormat="1" applyFont="1" applyFill="1" applyBorder="1"/>
    <xf numFmtId="3" fontId="24" fillId="8" borderId="0" xfId="0" applyNumberFormat="1" applyFont="1" applyFill="1"/>
    <xf numFmtId="3" fontId="24" fillId="8" borderId="5" xfId="0" applyNumberFormat="1" applyFont="1" applyFill="1" applyBorder="1"/>
    <xf numFmtId="0" fontId="15" fillId="0" borderId="0" xfId="0" applyFont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42" fontId="14" fillId="0" borderId="10" xfId="3" applyFont="1" applyBorder="1" applyAlignment="1">
      <alignment horizontal="center" vertical="center"/>
    </xf>
    <xf numFmtId="42" fontId="14" fillId="0" borderId="11" xfId="3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2" fontId="14" fillId="0" borderId="0" xfId="3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42" fontId="14" fillId="0" borderId="7" xfId="3" applyFont="1" applyBorder="1" applyAlignment="1">
      <alignment horizontal="center" vertical="center"/>
    </xf>
    <xf numFmtId="42" fontId="14" fillId="0" borderId="8" xfId="3" applyFont="1" applyBorder="1" applyAlignment="1">
      <alignment horizontal="center" vertical="center"/>
    </xf>
    <xf numFmtId="9" fontId="20" fillId="31" borderId="15" xfId="0" applyNumberFormat="1" applyFont="1" applyFill="1" applyBorder="1" applyAlignment="1">
      <alignment horizontal="center" vertical="center"/>
    </xf>
    <xf numFmtId="42" fontId="20" fillId="31" borderId="15" xfId="0" applyNumberFormat="1" applyFont="1" applyFill="1" applyBorder="1" applyAlignment="1">
      <alignment horizontal="center" vertical="center"/>
    </xf>
    <xf numFmtId="165" fontId="13" fillId="8" borderId="10" xfId="0" applyNumberFormat="1" applyFont="1" applyFill="1" applyBorder="1" applyAlignment="1">
      <alignment vertical="center"/>
    </xf>
    <xf numFmtId="165" fontId="13" fillId="8" borderId="11" xfId="0" applyNumberFormat="1" applyFont="1" applyFill="1" applyBorder="1" applyAlignment="1">
      <alignment vertical="center"/>
    </xf>
    <xf numFmtId="42" fontId="20" fillId="5" borderId="16" xfId="0" applyNumberFormat="1" applyFont="1" applyFill="1" applyBorder="1" applyAlignment="1">
      <alignment horizontal="center" vertical="center"/>
    </xf>
    <xf numFmtId="9" fontId="20" fillId="32" borderId="15" xfId="0" applyNumberFormat="1" applyFont="1" applyFill="1" applyBorder="1" applyAlignment="1">
      <alignment horizontal="center" vertical="center"/>
    </xf>
    <xf numFmtId="42" fontId="20" fillId="32" borderId="15" xfId="0" applyNumberFormat="1" applyFont="1" applyFill="1" applyBorder="1" applyAlignment="1">
      <alignment horizontal="center" vertical="center"/>
    </xf>
    <xf numFmtId="165" fontId="13" fillId="7" borderId="10" xfId="0" applyNumberFormat="1" applyFont="1" applyFill="1" applyBorder="1" applyAlignment="1">
      <alignment vertical="center"/>
    </xf>
    <xf numFmtId="165" fontId="13" fillId="7" borderId="11" xfId="0" applyNumberFormat="1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9" fontId="27" fillId="5" borderId="16" xfId="0" applyNumberFormat="1" applyFont="1" applyFill="1" applyBorder="1" applyAlignment="1">
      <alignment horizontal="center" vertical="center"/>
    </xf>
    <xf numFmtId="9" fontId="27" fillId="5" borderId="17" xfId="0" applyNumberFormat="1" applyFont="1" applyFill="1" applyBorder="1" applyAlignment="1">
      <alignment horizontal="center" vertical="center"/>
    </xf>
    <xf numFmtId="42" fontId="12" fillId="0" borderId="15" xfId="0" applyNumberFormat="1" applyFont="1" applyBorder="1" applyAlignment="1">
      <alignment horizontal="center" vertical="center"/>
    </xf>
    <xf numFmtId="42" fontId="12" fillId="0" borderId="16" xfId="0" applyNumberFormat="1" applyFont="1" applyBorder="1" applyAlignment="1">
      <alignment horizontal="center" vertical="center"/>
    </xf>
    <xf numFmtId="42" fontId="12" fillId="0" borderId="17" xfId="0" applyNumberFormat="1" applyFont="1" applyBorder="1" applyAlignment="1">
      <alignment horizontal="center" vertical="center"/>
    </xf>
    <xf numFmtId="0" fontId="14" fillId="33" borderId="0" xfId="0" applyFont="1" applyFill="1" applyAlignment="1">
      <alignment vertical="center"/>
    </xf>
    <xf numFmtId="0" fontId="4" fillId="21" borderId="9" xfId="0" applyFont="1" applyFill="1" applyBorder="1" applyAlignment="1">
      <alignment horizontal="center" vertical="center"/>
    </xf>
    <xf numFmtId="0" fontId="4" fillId="21" borderId="10" xfId="0" applyFont="1" applyFill="1" applyBorder="1" applyAlignment="1">
      <alignment horizontal="center" vertical="center"/>
    </xf>
    <xf numFmtId="0" fontId="4" fillId="21" borderId="11" xfId="0" applyFont="1" applyFill="1" applyBorder="1" applyAlignment="1">
      <alignment horizontal="center" vertical="center"/>
    </xf>
    <xf numFmtId="0" fontId="29" fillId="0" borderId="15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/>
    </xf>
    <xf numFmtId="0" fontId="29" fillId="0" borderId="17" xfId="0" applyFont="1" applyBorder="1" applyAlignment="1">
      <alignment horizontal="left" vertical="center"/>
    </xf>
    <xf numFmtId="0" fontId="29" fillId="0" borderId="16" xfId="0" applyFont="1" applyBorder="1" applyAlignment="1">
      <alignment horizontal="right" vertical="center"/>
    </xf>
    <xf numFmtId="0" fontId="30" fillId="0" borderId="3" xfId="0" applyFont="1" applyBorder="1" applyAlignment="1">
      <alignment horizontal="right"/>
    </xf>
    <xf numFmtId="0" fontId="30" fillId="0" borderId="0" xfId="0" applyFont="1" applyAlignment="1">
      <alignment horizontal="right"/>
    </xf>
    <xf numFmtId="0" fontId="30" fillId="0" borderId="5" xfId="0" applyFont="1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3" fontId="12" fillId="6" borderId="0" xfId="0" applyNumberFormat="1" applyFont="1" applyFill="1" applyAlignment="1">
      <alignment horizontal="center" vertical="center"/>
    </xf>
    <xf numFmtId="0" fontId="0" fillId="6" borderId="11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30" fillId="6" borderId="5" xfId="0" applyFont="1" applyFill="1" applyBorder="1"/>
    <xf numFmtId="0" fontId="0" fillId="6" borderId="8" xfId="0" applyFill="1" applyBorder="1" applyAlignment="1">
      <alignment horizontal="center"/>
    </xf>
    <xf numFmtId="0" fontId="4" fillId="21" borderId="12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64" fontId="32" fillId="24" borderId="0" xfId="0" applyNumberFormat="1" applyFont="1" applyFill="1" applyAlignment="1">
      <alignment horizontal="center" vertical="center"/>
    </xf>
    <xf numFmtId="3" fontId="33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22" fillId="28" borderId="0" xfId="0" applyFont="1" applyFill="1"/>
    <xf numFmtId="0" fontId="35" fillId="6" borderId="0" xfId="0" applyFont="1" applyFill="1"/>
    <xf numFmtId="0" fontId="36" fillId="21" borderId="25" xfId="0" applyFont="1" applyFill="1" applyBorder="1" applyAlignment="1">
      <alignment horizontal="center" vertical="center" textRotation="90"/>
    </xf>
    <xf numFmtId="0" fontId="22" fillId="0" borderId="25" xfId="0" applyFont="1" applyBorder="1"/>
    <xf numFmtId="17" fontId="24" fillId="0" borderId="25" xfId="0" applyNumberFormat="1" applyFont="1" applyBorder="1" applyAlignment="1">
      <alignment horizontal="center"/>
    </xf>
    <xf numFmtId="0" fontId="25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/>
    </xf>
    <xf numFmtId="17" fontId="24" fillId="26" borderId="25" xfId="0" applyNumberFormat="1" applyFont="1" applyFill="1" applyBorder="1" applyAlignment="1">
      <alignment horizontal="center"/>
    </xf>
    <xf numFmtId="0" fontId="22" fillId="26" borderId="25" xfId="0" applyFont="1" applyFill="1" applyBorder="1" applyAlignment="1">
      <alignment horizontal="center"/>
    </xf>
    <xf numFmtId="0" fontId="39" fillId="21" borderId="25" xfId="0" applyFont="1" applyFill="1" applyBorder="1" applyAlignment="1">
      <alignment horizontal="center" vertical="center" textRotation="90"/>
    </xf>
    <xf numFmtId="0" fontId="37" fillId="26" borderId="25" xfId="0" applyFont="1" applyFill="1" applyBorder="1" applyAlignment="1">
      <alignment horizontal="center"/>
    </xf>
    <xf numFmtId="0" fontId="22" fillId="6" borderId="0" xfId="0" applyFont="1" applyFill="1"/>
    <xf numFmtId="167" fontId="14" fillId="0" borderId="0" xfId="0" applyNumberFormat="1" applyFont="1" applyAlignment="1">
      <alignment vertical="center"/>
    </xf>
    <xf numFmtId="0" fontId="4" fillId="9" borderId="25" xfId="0" applyFont="1" applyFill="1" applyBorder="1"/>
    <xf numFmtId="0" fontId="0" fillId="0" borderId="25" xfId="0" applyBorder="1"/>
    <xf numFmtId="2" fontId="0" fillId="0" borderId="3" xfId="0" applyNumberFormat="1" applyBorder="1" applyAlignment="1">
      <alignment horizontal="center"/>
    </xf>
    <xf numFmtId="0" fontId="14" fillId="0" borderId="3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28" fillId="34" borderId="0" xfId="0" applyFont="1" applyFill="1" applyAlignment="1">
      <alignment horizontal="center"/>
    </xf>
    <xf numFmtId="0" fontId="17" fillId="7" borderId="0" xfId="0" applyFont="1" applyFill="1" applyAlignment="1">
      <alignment horizontal="center" vertical="center"/>
    </xf>
    <xf numFmtId="42" fontId="0" fillId="0" borderId="3" xfId="0" applyNumberFormat="1" applyBorder="1"/>
    <xf numFmtId="42" fontId="0" fillId="0" borderId="0" xfId="0" applyNumberFormat="1"/>
    <xf numFmtId="42" fontId="0" fillId="0" borderId="5" xfId="0" applyNumberFormat="1" applyBorder="1"/>
    <xf numFmtId="42" fontId="0" fillId="0" borderId="6" xfId="0" applyNumberFormat="1" applyBorder="1"/>
    <xf numFmtId="42" fontId="0" fillId="0" borderId="7" xfId="0" applyNumberFormat="1" applyBorder="1"/>
    <xf numFmtId="42" fontId="0" fillId="0" borderId="8" xfId="0" applyNumberFormat="1" applyBorder="1"/>
    <xf numFmtId="0" fontId="0" fillId="35" borderId="0" xfId="0" applyFill="1"/>
    <xf numFmtId="0" fontId="40" fillId="0" borderId="25" xfId="0" applyFont="1" applyBorder="1" applyAlignment="1">
      <alignment horizontal="right" vertical="center"/>
    </xf>
    <xf numFmtId="3" fontId="0" fillId="20" borderId="25" xfId="0" applyNumberFormat="1" applyFill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6" borderId="5" xfId="0" applyNumberFormat="1" applyFill="1" applyBorder="1" applyAlignment="1">
      <alignment horizontal="center"/>
    </xf>
    <xf numFmtId="3" fontId="30" fillId="0" borderId="3" xfId="0" applyNumberFormat="1" applyFont="1" applyBorder="1"/>
    <xf numFmtId="3" fontId="30" fillId="0" borderId="0" xfId="0" applyNumberFormat="1" applyFont="1"/>
    <xf numFmtId="3" fontId="30" fillId="0" borderId="5" xfId="0" applyNumberFormat="1" applyFont="1" applyBorder="1"/>
    <xf numFmtId="3" fontId="30" fillId="6" borderId="5" xfId="0" applyNumberFormat="1" applyFont="1" applyFill="1" applyBorder="1"/>
    <xf numFmtId="3" fontId="0" fillId="0" borderId="6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6" borderId="8" xfId="0" applyNumberFormat="1" applyFill="1" applyBorder="1" applyAlignment="1">
      <alignment horizontal="center"/>
    </xf>
    <xf numFmtId="3" fontId="5" fillId="0" borderId="9" xfId="0" applyNumberFormat="1" applyFont="1" applyBorder="1" applyAlignment="1">
      <alignment horizontal="center"/>
    </xf>
    <xf numFmtId="3" fontId="5" fillId="0" borderId="10" xfId="0" applyNumberFormat="1" applyFont="1" applyBorder="1" applyAlignment="1">
      <alignment horizontal="center"/>
    </xf>
    <xf numFmtId="3" fontId="5" fillId="0" borderId="11" xfId="0" applyNumberFormat="1" applyFont="1" applyBorder="1" applyAlignment="1">
      <alignment horizontal="center"/>
    </xf>
    <xf numFmtId="3" fontId="5" fillId="0" borderId="3" xfId="0" applyNumberFormat="1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3" fontId="5" fillId="0" borderId="5" xfId="0" applyNumberFormat="1" applyFont="1" applyBorder="1" applyAlignment="1">
      <alignment horizontal="center"/>
    </xf>
    <xf numFmtId="3" fontId="31" fillId="0" borderId="3" xfId="0" applyNumberFormat="1" applyFont="1" applyBorder="1" applyAlignment="1">
      <alignment horizontal="right"/>
    </xf>
    <xf numFmtId="3" fontId="31" fillId="0" borderId="0" xfId="0" applyNumberFormat="1" applyFont="1" applyAlignment="1">
      <alignment horizontal="right"/>
    </xf>
    <xf numFmtId="3" fontId="31" fillId="0" borderId="5" xfId="0" applyNumberFormat="1" applyFont="1" applyBorder="1" applyAlignment="1">
      <alignment horizontal="right"/>
    </xf>
    <xf numFmtId="3" fontId="5" fillId="0" borderId="6" xfId="0" applyNumberFormat="1" applyFont="1" applyBorder="1" applyAlignment="1">
      <alignment horizontal="center"/>
    </xf>
    <xf numFmtId="3" fontId="5" fillId="0" borderId="7" xfId="0" applyNumberFormat="1" applyFont="1" applyBorder="1" applyAlignment="1">
      <alignment horizontal="center"/>
    </xf>
    <xf numFmtId="3" fontId="5" fillId="0" borderId="8" xfId="0" applyNumberFormat="1" applyFont="1" applyBorder="1" applyAlignment="1">
      <alignment horizontal="center"/>
    </xf>
    <xf numFmtId="3" fontId="0" fillId="22" borderId="25" xfId="0" applyNumberFormat="1" applyFill="1" applyBorder="1" applyAlignment="1">
      <alignment horizontal="center" vertical="top"/>
    </xf>
    <xf numFmtId="3" fontId="0" fillId="10" borderId="25" xfId="0" applyNumberFormat="1" applyFill="1" applyBorder="1" applyAlignment="1">
      <alignment horizontal="center" vertical="top"/>
    </xf>
    <xf numFmtId="166" fontId="0" fillId="22" borderId="25" xfId="1" applyNumberFormat="1" applyFont="1" applyFill="1" applyBorder="1" applyAlignment="1">
      <alignment horizontal="center" vertical="top"/>
    </xf>
    <xf numFmtId="166" fontId="0" fillId="7" borderId="25" xfId="1" applyNumberFormat="1" applyFont="1" applyFill="1" applyBorder="1" applyAlignment="1">
      <alignment horizontal="center" vertical="top"/>
    </xf>
    <xf numFmtId="42" fontId="0" fillId="34" borderId="3" xfId="0" applyNumberFormat="1" applyFill="1" applyBorder="1"/>
    <xf numFmtId="42" fontId="0" fillId="34" borderId="0" xfId="0" applyNumberFormat="1" applyFill="1"/>
    <xf numFmtId="42" fontId="0" fillId="34" borderId="5" xfId="0" applyNumberFormat="1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7" fontId="23" fillId="3" borderId="13" xfId="0" applyNumberFormat="1" applyFont="1" applyFill="1" applyBorder="1" applyAlignment="1">
      <alignment horizontal="center" vertical="center"/>
    </xf>
    <xf numFmtId="17" fontId="23" fillId="3" borderId="14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7" fontId="23" fillId="3" borderId="12" xfId="0" applyNumberFormat="1" applyFont="1" applyFill="1" applyBorder="1" applyAlignment="1">
      <alignment horizontal="center" vertical="center"/>
    </xf>
    <xf numFmtId="17" fontId="23" fillId="3" borderId="30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41" fontId="0" fillId="0" borderId="3" xfId="1" applyFont="1" applyBorder="1"/>
    <xf numFmtId="41" fontId="0" fillId="0" borderId="0" xfId="1" applyFont="1" applyBorder="1"/>
    <xf numFmtId="41" fontId="0" fillId="0" borderId="5" xfId="1" applyFont="1" applyBorder="1"/>
    <xf numFmtId="41" fontId="0" fillId="0" borderId="6" xfId="1" applyFont="1" applyBorder="1"/>
    <xf numFmtId="41" fontId="0" fillId="0" borderId="7" xfId="1" applyFont="1" applyBorder="1"/>
    <xf numFmtId="41" fontId="0" fillId="0" borderId="8" xfId="1" applyFont="1" applyBorder="1"/>
    <xf numFmtId="0" fontId="0" fillId="0" borderId="30" xfId="0" applyBorder="1"/>
    <xf numFmtId="41" fontId="0" fillId="0" borderId="30" xfId="1" applyFont="1" applyBorder="1"/>
    <xf numFmtId="41" fontId="0" fillId="0" borderId="13" xfId="1" applyFont="1" applyBorder="1"/>
    <xf numFmtId="41" fontId="0" fillId="0" borderId="14" xfId="1" applyFont="1" applyBorder="1"/>
    <xf numFmtId="3" fontId="0" fillId="0" borderId="15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3" fontId="0" fillId="0" borderId="12" xfId="0" applyNumberFormat="1" applyBorder="1"/>
    <xf numFmtId="0" fontId="41" fillId="0" borderId="0" xfId="0" applyFont="1"/>
    <xf numFmtId="3" fontId="0" fillId="0" borderId="0" xfId="0" applyNumberFormat="1"/>
    <xf numFmtId="17" fontId="23" fillId="0" borderId="0" xfId="0" applyNumberFormat="1" applyFont="1" applyAlignment="1">
      <alignment horizontal="center" vertical="center"/>
    </xf>
    <xf numFmtId="0" fontId="22" fillId="34" borderId="25" xfId="0" applyFont="1" applyFill="1" applyBorder="1"/>
    <xf numFmtId="0" fontId="40" fillId="34" borderId="25" xfId="0" applyFont="1" applyFill="1" applyBorder="1" applyAlignment="1">
      <alignment horizontal="right" vertical="center"/>
    </xf>
    <xf numFmtId="0" fontId="23" fillId="0" borderId="15" xfId="0" applyFont="1" applyBorder="1"/>
    <xf numFmtId="0" fontId="23" fillId="0" borderId="16" xfId="0" applyFont="1" applyBorder="1"/>
    <xf numFmtId="0" fontId="23" fillId="0" borderId="17" xfId="0" applyFont="1" applyBorder="1"/>
    <xf numFmtId="0" fontId="39" fillId="21" borderId="31" xfId="0" applyFont="1" applyFill="1" applyBorder="1" applyAlignment="1">
      <alignment horizontal="center" vertical="center" textRotation="90"/>
    </xf>
    <xf numFmtId="0" fontId="28" fillId="34" borderId="15" xfId="0" applyFont="1" applyFill="1" applyBorder="1" applyAlignment="1">
      <alignment horizontal="center"/>
    </xf>
    <xf numFmtId="0" fontId="28" fillId="34" borderId="16" xfId="0" applyFont="1" applyFill="1" applyBorder="1" applyAlignment="1">
      <alignment horizontal="center"/>
    </xf>
    <xf numFmtId="0" fontId="28" fillId="34" borderId="17" xfId="0" applyFont="1" applyFill="1" applyBorder="1" applyAlignment="1">
      <alignment horizontal="center"/>
    </xf>
    <xf numFmtId="41" fontId="0" fillId="0" borderId="9" xfId="1" applyFont="1" applyBorder="1"/>
    <xf numFmtId="17" fontId="23" fillId="3" borderId="15" xfId="0" applyNumberFormat="1" applyFont="1" applyFill="1" applyBorder="1" applyAlignment="1">
      <alignment horizontal="center" vertical="center"/>
    </xf>
    <xf numFmtId="0" fontId="0" fillId="7" borderId="15" xfId="0" applyFill="1" applyBorder="1"/>
    <xf numFmtId="0" fontId="0" fillId="7" borderId="16" xfId="0" applyFill="1" applyBorder="1"/>
    <xf numFmtId="41" fontId="0" fillId="0" borderId="10" xfId="1" applyFont="1" applyBorder="1"/>
    <xf numFmtId="41" fontId="0" fillId="0" borderId="11" xfId="1" applyFont="1" applyBorder="1"/>
    <xf numFmtId="0" fontId="5" fillId="0" borderId="3" xfId="0" applyFont="1" applyBorder="1"/>
    <xf numFmtId="0" fontId="5" fillId="0" borderId="6" xfId="0" applyFont="1" applyBorder="1"/>
    <xf numFmtId="0" fontId="5" fillId="0" borderId="30" xfId="0" applyFont="1" applyBorder="1"/>
    <xf numFmtId="41" fontId="0" fillId="8" borderId="9" xfId="1" applyFont="1" applyFill="1" applyBorder="1"/>
    <xf numFmtId="41" fontId="0" fillId="8" borderId="10" xfId="1" applyFont="1" applyFill="1" applyBorder="1"/>
    <xf numFmtId="41" fontId="0" fillId="8" borderId="11" xfId="1" applyFont="1" applyFill="1" applyBorder="1"/>
    <xf numFmtId="41" fontId="0" fillId="8" borderId="3" xfId="1" applyFont="1" applyFill="1" applyBorder="1"/>
    <xf numFmtId="41" fontId="0" fillId="8" borderId="0" xfId="1" applyFont="1" applyFill="1" applyBorder="1"/>
    <xf numFmtId="41" fontId="0" fillId="8" borderId="5" xfId="1" applyFont="1" applyFill="1" applyBorder="1"/>
    <xf numFmtId="41" fontId="5" fillId="8" borderId="30" xfId="1" applyFont="1" applyFill="1" applyBorder="1"/>
    <xf numFmtId="41" fontId="5" fillId="8" borderId="13" xfId="1" applyFont="1" applyFill="1" applyBorder="1"/>
    <xf numFmtId="41" fontId="5" fillId="8" borderId="14" xfId="1" applyFont="1" applyFill="1" applyBorder="1"/>
    <xf numFmtId="41" fontId="0" fillId="36" borderId="5" xfId="1" applyFont="1" applyFill="1" applyBorder="1"/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42" fillId="0" borderId="0" xfId="0" applyFont="1"/>
    <xf numFmtId="166" fontId="0" fillId="36" borderId="0" xfId="1" applyNumberFormat="1" applyFont="1" applyFill="1"/>
    <xf numFmtId="41" fontId="0" fillId="36" borderId="0" xfId="1" applyFont="1" applyFill="1"/>
    <xf numFmtId="166" fontId="0" fillId="0" borderId="0" xfId="1" applyNumberFormat="1" applyFont="1" applyFill="1" applyBorder="1"/>
    <xf numFmtId="41" fontId="0" fillId="0" borderId="0" xfId="1" applyFont="1" applyFill="1" applyBorder="1"/>
    <xf numFmtId="0" fontId="29" fillId="0" borderId="0" xfId="0" applyFont="1" applyAlignment="1">
      <alignment horizontal="center" vertical="center"/>
    </xf>
    <xf numFmtId="41" fontId="0" fillId="0" borderId="5" xfId="1" applyFont="1" applyFill="1" applyBorder="1"/>
    <xf numFmtId="9" fontId="0" fillId="0" borderId="0" xfId="2" applyFont="1"/>
    <xf numFmtId="42" fontId="14" fillId="0" borderId="9" xfId="3" applyFont="1" applyBorder="1" applyAlignment="1">
      <alignment horizontal="center" vertical="center"/>
    </xf>
    <xf numFmtId="42" fontId="14" fillId="0" borderId="3" xfId="3" applyFont="1" applyBorder="1" applyAlignment="1">
      <alignment horizontal="center" vertical="center"/>
    </xf>
    <xf numFmtId="42" fontId="14" fillId="0" borderId="6" xfId="3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19" fillId="36" borderId="0" xfId="0" applyFont="1" applyFill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9" fontId="12" fillId="0" borderId="0" xfId="2" applyFont="1" applyFill="1" applyAlignment="1">
      <alignment horizontal="center" vertical="center"/>
    </xf>
    <xf numFmtId="0" fontId="14" fillId="35" borderId="0" xfId="0" applyFont="1" applyFill="1" applyAlignment="1">
      <alignment vertical="center"/>
    </xf>
    <xf numFmtId="42" fontId="0" fillId="0" borderId="9" xfId="3" applyFont="1" applyBorder="1" applyAlignment="1">
      <alignment horizontal="center"/>
    </xf>
    <xf numFmtId="42" fontId="0" fillId="0" borderId="10" xfId="3" applyFont="1" applyBorder="1" applyAlignment="1">
      <alignment horizontal="center"/>
    </xf>
    <xf numFmtId="42" fontId="0" fillId="0" borderId="11" xfId="3" applyFont="1" applyBorder="1" applyAlignment="1">
      <alignment horizontal="center"/>
    </xf>
    <xf numFmtId="42" fontId="0" fillId="0" borderId="3" xfId="3" applyFont="1" applyBorder="1" applyAlignment="1">
      <alignment horizontal="center"/>
    </xf>
    <xf numFmtId="42" fontId="0" fillId="0" borderId="0" xfId="3" applyFont="1" applyBorder="1" applyAlignment="1">
      <alignment horizontal="center"/>
    </xf>
    <xf numFmtId="42" fontId="0" fillId="0" borderId="5" xfId="3" applyFont="1" applyBorder="1" applyAlignment="1">
      <alignment horizontal="center"/>
    </xf>
    <xf numFmtId="42" fontId="0" fillId="0" borderId="6" xfId="3" applyFont="1" applyBorder="1" applyAlignment="1">
      <alignment horizontal="center"/>
    </xf>
    <xf numFmtId="42" fontId="0" fillId="0" borderId="7" xfId="3" applyFont="1" applyBorder="1" applyAlignment="1">
      <alignment horizontal="center"/>
    </xf>
    <xf numFmtId="42" fontId="0" fillId="0" borderId="8" xfId="3" applyFont="1" applyBorder="1" applyAlignment="1">
      <alignment horizontal="center"/>
    </xf>
    <xf numFmtId="9" fontId="12" fillId="0" borderId="0" xfId="0" applyNumberFormat="1" applyFont="1" applyAlignment="1">
      <alignment horizontal="center" vertical="center"/>
    </xf>
    <xf numFmtId="0" fontId="35" fillId="6" borderId="30" xfId="0" applyFont="1" applyFill="1" applyBorder="1"/>
    <xf numFmtId="0" fontId="35" fillId="6" borderId="14" xfId="0" applyFont="1" applyFill="1" applyBorder="1"/>
    <xf numFmtId="0" fontId="14" fillId="27" borderId="10" xfId="0" applyFont="1" applyFill="1" applyBorder="1" applyAlignment="1">
      <alignment horizontal="center" vertical="center"/>
    </xf>
    <xf numFmtId="0" fontId="14" fillId="27" borderId="0" xfId="0" applyFont="1" applyFill="1" applyAlignment="1">
      <alignment horizontal="center" vertical="center"/>
    </xf>
    <xf numFmtId="0" fontId="14" fillId="27" borderId="7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0" fillId="0" borderId="3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44" fillId="21" borderId="25" xfId="0" applyFont="1" applyFill="1" applyBorder="1" applyAlignment="1">
      <alignment horizontal="center" vertical="center" textRotation="90"/>
    </xf>
    <xf numFmtId="0" fontId="45" fillId="0" borderId="0" xfId="0" applyFont="1" applyAlignment="1">
      <alignment horizontal="center" vertical="center"/>
    </xf>
    <xf numFmtId="17" fontId="46" fillId="3" borderId="12" xfId="0" applyNumberFormat="1" applyFont="1" applyFill="1" applyBorder="1" applyAlignment="1">
      <alignment horizontal="center" vertical="center"/>
    </xf>
    <xf numFmtId="17" fontId="24" fillId="3" borderId="30" xfId="0" applyNumberFormat="1" applyFont="1" applyFill="1" applyBorder="1" applyAlignment="1">
      <alignment horizontal="center" vertical="center"/>
    </xf>
    <xf numFmtId="17" fontId="24" fillId="3" borderId="13" xfId="0" applyNumberFormat="1" applyFont="1" applyFill="1" applyBorder="1" applyAlignment="1">
      <alignment horizontal="center" vertical="center"/>
    </xf>
    <xf numFmtId="17" fontId="24" fillId="3" borderId="14" xfId="0" applyNumberFormat="1" applyFont="1" applyFill="1" applyBorder="1" applyAlignment="1">
      <alignment horizontal="center" vertical="center"/>
    </xf>
    <xf numFmtId="41" fontId="23" fillId="0" borderId="3" xfId="1" applyFont="1" applyBorder="1" applyAlignment="1">
      <alignment horizontal="center"/>
    </xf>
    <xf numFmtId="41" fontId="23" fillId="0" borderId="0" xfId="1" applyFont="1" applyBorder="1" applyAlignment="1">
      <alignment horizontal="center"/>
    </xf>
    <xf numFmtId="41" fontId="23" fillId="0" borderId="5" xfId="1" applyFont="1" applyBorder="1" applyAlignment="1">
      <alignment horizontal="center"/>
    </xf>
    <xf numFmtId="41" fontId="23" fillId="0" borderId="30" xfId="1" applyFont="1" applyBorder="1" applyAlignment="1">
      <alignment horizontal="center"/>
    </xf>
    <xf numFmtId="41" fontId="23" fillId="0" borderId="13" xfId="1" applyFont="1" applyBorder="1" applyAlignment="1">
      <alignment horizontal="center"/>
    </xf>
    <xf numFmtId="41" fontId="23" fillId="0" borderId="14" xfId="1" applyFont="1" applyBorder="1" applyAlignment="1">
      <alignment horizontal="center"/>
    </xf>
    <xf numFmtId="0" fontId="24" fillId="18" borderId="3" xfId="0" applyFont="1" applyFill="1" applyBorder="1" applyAlignment="1">
      <alignment horizontal="center"/>
    </xf>
    <xf numFmtId="41" fontId="24" fillId="18" borderId="3" xfId="1" applyFont="1" applyFill="1" applyBorder="1" applyAlignment="1">
      <alignment horizontal="center"/>
    </xf>
    <xf numFmtId="0" fontId="24" fillId="18" borderId="6" xfId="0" applyFont="1" applyFill="1" applyBorder="1" applyAlignment="1">
      <alignment horizontal="center"/>
    </xf>
    <xf numFmtId="0" fontId="24" fillId="18" borderId="30" xfId="0" applyFont="1" applyFill="1" applyBorder="1" applyAlignment="1">
      <alignment horizontal="center"/>
    </xf>
    <xf numFmtId="41" fontId="24" fillId="18" borderId="30" xfId="1" applyFont="1" applyFill="1" applyBorder="1" applyAlignment="1">
      <alignment horizontal="center"/>
    </xf>
    <xf numFmtId="41" fontId="23" fillId="0" borderId="0" xfId="1" applyFont="1" applyAlignment="1">
      <alignment horizontal="center"/>
    </xf>
    <xf numFmtId="14" fontId="12" fillId="37" borderId="0" xfId="0" applyNumberFormat="1" applyFont="1" applyFill="1" applyAlignment="1">
      <alignment horizontal="center" vertical="center"/>
    </xf>
    <xf numFmtId="0" fontId="37" fillId="0" borderId="0" xfId="0" applyFont="1"/>
    <xf numFmtId="1" fontId="14" fillId="0" borderId="9" xfId="0" applyNumberFormat="1" applyFont="1" applyBorder="1" applyAlignment="1">
      <alignment horizontal="center" vertical="center"/>
    </xf>
    <xf numFmtId="1" fontId="14" fillId="0" borderId="11" xfId="0" applyNumberFormat="1" applyFont="1" applyBorder="1" applyAlignment="1">
      <alignment horizontal="center" vertical="center"/>
    </xf>
    <xf numFmtId="1" fontId="14" fillId="8" borderId="0" xfId="0" applyNumberFormat="1" applyFont="1" applyFill="1" applyAlignment="1">
      <alignment horizontal="center" vertical="center"/>
    </xf>
    <xf numFmtId="0" fontId="5" fillId="0" borderId="0" xfId="0" applyFont="1"/>
    <xf numFmtId="0" fontId="4" fillId="21" borderId="10" xfId="0" applyFont="1" applyFill="1" applyBorder="1" applyAlignment="1">
      <alignment horizontal="center" vertical="center" wrapText="1"/>
    </xf>
    <xf numFmtId="0" fontId="4" fillId="21" borderId="15" xfId="0" applyFont="1" applyFill="1" applyBorder="1" applyAlignment="1">
      <alignment horizontal="center" vertical="center" wrapText="1"/>
    </xf>
    <xf numFmtId="0" fontId="0" fillId="34" borderId="15" xfId="0" applyFill="1" applyBorder="1"/>
    <xf numFmtId="0" fontId="0" fillId="34" borderId="16" xfId="0" applyFill="1" applyBorder="1"/>
    <xf numFmtId="1" fontId="0" fillId="34" borderId="16" xfId="0" applyNumberFormat="1" applyFill="1" applyBorder="1"/>
    <xf numFmtId="0" fontId="0" fillId="34" borderId="17" xfId="0" applyFill="1" applyBorder="1"/>
    <xf numFmtId="9" fontId="0" fillId="0" borderId="16" xfId="2" applyFont="1" applyBorder="1"/>
    <xf numFmtId="9" fontId="0" fillId="0" borderId="17" xfId="2" applyFont="1" applyBorder="1"/>
    <xf numFmtId="9" fontId="0" fillId="0" borderId="16" xfId="2" applyFont="1" applyFill="1" applyBorder="1"/>
    <xf numFmtId="1" fontId="4" fillId="9" borderId="0" xfId="0" applyNumberFormat="1" applyFont="1" applyFill="1"/>
    <xf numFmtId="41" fontId="14" fillId="0" borderId="10" xfId="1" applyFont="1" applyBorder="1" applyAlignment="1">
      <alignment horizontal="center"/>
    </xf>
    <xf numFmtId="41" fontId="14" fillId="0" borderId="11" xfId="1" applyFont="1" applyBorder="1" applyAlignment="1">
      <alignment horizontal="center"/>
    </xf>
    <xf numFmtId="0" fontId="14" fillId="0" borderId="0" xfId="0" applyFont="1"/>
    <xf numFmtId="0" fontId="14" fillId="0" borderId="5" xfId="0" applyFont="1" applyBorder="1"/>
    <xf numFmtId="41" fontId="14" fillId="0" borderId="0" xfId="1" applyFont="1" applyBorder="1" applyAlignment="1">
      <alignment horizontal="center"/>
    </xf>
    <xf numFmtId="41" fontId="14" fillId="0" borderId="5" xfId="1" applyFont="1" applyBorder="1" applyAlignment="1">
      <alignment horizontal="center"/>
    </xf>
    <xf numFmtId="41" fontId="13" fillId="18" borderId="30" xfId="1" applyFont="1" applyFill="1" applyBorder="1" applyAlignment="1">
      <alignment horizontal="center"/>
    </xf>
    <xf numFmtId="41" fontId="14" fillId="0" borderId="30" xfId="1" applyFont="1" applyBorder="1" applyAlignment="1">
      <alignment horizontal="center"/>
    </xf>
    <xf numFmtId="41" fontId="14" fillId="0" borderId="13" xfId="1" applyFont="1" applyBorder="1" applyAlignment="1">
      <alignment horizontal="center"/>
    </xf>
    <xf numFmtId="41" fontId="14" fillId="0" borderId="14" xfId="1" applyFont="1" applyBorder="1" applyAlignment="1">
      <alignment horizontal="center"/>
    </xf>
    <xf numFmtId="0" fontId="22" fillId="21" borderId="25" xfId="0" applyFont="1" applyFill="1" applyBorder="1"/>
    <xf numFmtId="0" fontId="47" fillId="21" borderId="12" xfId="0" applyFont="1" applyFill="1" applyBorder="1" applyAlignment="1">
      <alignment horizontal="center"/>
    </xf>
    <xf numFmtId="9" fontId="14" fillId="0" borderId="13" xfId="2" applyFont="1" applyBorder="1" applyAlignment="1">
      <alignment horizontal="center"/>
    </xf>
    <xf numFmtId="9" fontId="14" fillId="0" borderId="14" xfId="2" applyFont="1" applyBorder="1" applyAlignment="1">
      <alignment horizontal="center"/>
    </xf>
    <xf numFmtId="9" fontId="24" fillId="18" borderId="30" xfId="2" applyFont="1" applyFill="1" applyBorder="1" applyAlignment="1">
      <alignment horizontal="center"/>
    </xf>
    <xf numFmtId="9" fontId="23" fillId="0" borderId="13" xfId="2" applyFont="1" applyBorder="1" applyAlignment="1">
      <alignment horizontal="center"/>
    </xf>
    <xf numFmtId="9" fontId="23" fillId="0" borderId="14" xfId="2" applyFont="1" applyBorder="1" applyAlignment="1">
      <alignment horizontal="center"/>
    </xf>
    <xf numFmtId="0" fontId="25" fillId="2" borderId="30" xfId="0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wrapText="1"/>
    </xf>
    <xf numFmtId="3" fontId="25" fillId="2" borderId="13" xfId="0" applyNumberFormat="1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9" fontId="48" fillId="34" borderId="0" xfId="2" applyFont="1" applyFill="1" applyAlignment="1">
      <alignment horizontal="center"/>
    </xf>
    <xf numFmtId="0" fontId="22" fillId="0" borderId="16" xfId="0" applyFont="1" applyBorder="1"/>
    <xf numFmtId="17" fontId="23" fillId="32" borderId="15" xfId="0" applyNumberFormat="1" applyFont="1" applyFill="1" applyBorder="1" applyAlignment="1">
      <alignment horizontal="center" vertical="center"/>
    </xf>
    <xf numFmtId="17" fontId="23" fillId="32" borderId="16" xfId="0" applyNumberFormat="1" applyFont="1" applyFill="1" applyBorder="1" applyAlignment="1">
      <alignment horizontal="center" vertical="center"/>
    </xf>
    <xf numFmtId="17" fontId="23" fillId="32" borderId="17" xfId="0" applyNumberFormat="1" applyFont="1" applyFill="1" applyBorder="1" applyAlignment="1">
      <alignment horizontal="center" vertical="center"/>
    </xf>
    <xf numFmtId="41" fontId="23" fillId="0" borderId="15" xfId="1" applyFont="1" applyBorder="1"/>
    <xf numFmtId="41" fontId="23" fillId="0" borderId="16" xfId="1" applyFont="1" applyBorder="1"/>
    <xf numFmtId="41" fontId="23" fillId="0" borderId="17" xfId="1" applyFont="1" applyBorder="1"/>
    <xf numFmtId="17" fontId="23" fillId="0" borderId="15" xfId="0" applyNumberFormat="1" applyFont="1" applyBorder="1"/>
    <xf numFmtId="17" fontId="23" fillId="0" borderId="16" xfId="0" applyNumberFormat="1" applyFont="1" applyBorder="1"/>
    <xf numFmtId="17" fontId="23" fillId="0" borderId="17" xfId="0" applyNumberFormat="1" applyFont="1" applyBorder="1"/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17" fontId="24" fillId="3" borderId="12" xfId="0" applyNumberFormat="1" applyFont="1" applyFill="1" applyBorder="1" applyAlignment="1">
      <alignment horizontal="center" vertical="center"/>
    </xf>
    <xf numFmtId="3" fontId="24" fillId="8" borderId="16" xfId="0" applyNumberFormat="1" applyFont="1" applyFill="1" applyBorder="1" applyAlignment="1">
      <alignment horizontal="center"/>
    </xf>
    <xf numFmtId="3" fontId="24" fillId="27" borderId="17" xfId="0" applyNumberFormat="1" applyFont="1" applyFill="1" applyBorder="1" applyAlignment="1">
      <alignment horizontal="center"/>
    </xf>
    <xf numFmtId="0" fontId="49" fillId="0" borderId="0" xfId="0" applyFont="1"/>
    <xf numFmtId="3" fontId="50" fillId="7" borderId="10" xfId="0" applyNumberFormat="1" applyFont="1" applyFill="1" applyBorder="1"/>
    <xf numFmtId="3" fontId="50" fillId="7" borderId="0" xfId="0" applyNumberFormat="1" applyFont="1" applyFill="1"/>
    <xf numFmtId="41" fontId="51" fillId="0" borderId="0" xfId="1" applyFont="1" applyAlignment="1">
      <alignment horizontal="center"/>
    </xf>
    <xf numFmtId="0" fontId="52" fillId="0" borderId="0" xfId="0" applyFont="1"/>
    <xf numFmtId="41" fontId="2" fillId="0" borderId="0" xfId="1" applyFont="1"/>
    <xf numFmtId="0" fontId="53" fillId="0" borderId="0" xfId="0" applyFont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0" fontId="53" fillId="0" borderId="0" xfId="0" applyFont="1"/>
    <xf numFmtId="164" fontId="53" fillId="24" borderId="0" xfId="0" applyNumberFormat="1" applyFont="1" applyFill="1" applyAlignment="1">
      <alignment horizontal="center" vertical="center"/>
    </xf>
    <xf numFmtId="0" fontId="12" fillId="34" borderId="0" xfId="0" applyFont="1" applyFill="1" applyAlignment="1">
      <alignment horizontal="center" vertical="center"/>
    </xf>
    <xf numFmtId="9" fontId="12" fillId="36" borderId="0" xfId="0" applyNumberFormat="1" applyFont="1" applyFill="1" applyAlignment="1">
      <alignment horizontal="center" vertical="center"/>
    </xf>
    <xf numFmtId="41" fontId="54" fillId="7" borderId="3" xfId="1" applyFont="1" applyFill="1" applyBorder="1" applyAlignment="1">
      <alignment horizontal="center"/>
    </xf>
    <xf numFmtId="41" fontId="54" fillId="7" borderId="0" xfId="1" applyFont="1" applyFill="1" applyBorder="1" applyAlignment="1">
      <alignment horizontal="center"/>
    </xf>
    <xf numFmtId="41" fontId="13" fillId="18" borderId="15" xfId="1" applyFont="1" applyFill="1" applyBorder="1" applyAlignment="1">
      <alignment horizontal="center"/>
    </xf>
    <xf numFmtId="41" fontId="13" fillId="18" borderId="16" xfId="1" applyFont="1" applyFill="1" applyBorder="1" applyAlignment="1">
      <alignment horizontal="center"/>
    </xf>
    <xf numFmtId="41" fontId="13" fillId="18" borderId="17" xfId="1" applyFont="1" applyFill="1" applyBorder="1" applyAlignment="1">
      <alignment horizontal="center"/>
    </xf>
    <xf numFmtId="17" fontId="0" fillId="0" borderId="0" xfId="0" applyNumberFormat="1"/>
    <xf numFmtId="17" fontId="5" fillId="0" borderId="0" xfId="0" applyNumberFormat="1" applyFont="1"/>
    <xf numFmtId="0" fontId="5" fillId="7" borderId="0" xfId="0" applyFont="1" applyFill="1"/>
    <xf numFmtId="3" fontId="5" fillId="0" borderId="0" xfId="0" applyNumberFormat="1" applyFont="1"/>
    <xf numFmtId="3" fontId="5" fillId="7" borderId="0" xfId="0" applyNumberFormat="1" applyFont="1" applyFill="1"/>
    <xf numFmtId="1" fontId="0" fillId="0" borderId="0" xfId="0" applyNumberFormat="1"/>
    <xf numFmtId="9" fontId="5" fillId="7" borderId="0" xfId="2" applyFont="1" applyFill="1"/>
    <xf numFmtId="3" fontId="0" fillId="0" borderId="25" xfId="0" applyNumberFormat="1" applyBorder="1"/>
    <xf numFmtId="9" fontId="0" fillId="0" borderId="26" xfId="2" applyFont="1" applyBorder="1"/>
    <xf numFmtId="3" fontId="0" fillId="0" borderId="20" xfId="0" applyNumberFormat="1" applyBorder="1"/>
    <xf numFmtId="9" fontId="0" fillId="0" borderId="21" xfId="2" applyFont="1" applyBorder="1"/>
    <xf numFmtId="0" fontId="4" fillId="9" borderId="35" xfId="0" applyFont="1" applyFill="1" applyBorder="1"/>
    <xf numFmtId="0" fontId="4" fillId="9" borderId="36" xfId="0" applyFont="1" applyFill="1" applyBorder="1"/>
    <xf numFmtId="0" fontId="4" fillId="9" borderId="37" xfId="0" applyFont="1" applyFill="1" applyBorder="1"/>
    <xf numFmtId="0" fontId="0" fillId="18" borderId="34" xfId="0" applyFill="1" applyBorder="1"/>
    <xf numFmtId="0" fontId="0" fillId="18" borderId="32" xfId="0" applyFill="1" applyBorder="1"/>
    <xf numFmtId="0" fontId="5" fillId="18" borderId="32" xfId="0" applyFont="1" applyFill="1" applyBorder="1"/>
    <xf numFmtId="3" fontId="5" fillId="0" borderId="25" xfId="0" applyNumberFormat="1" applyFont="1" applyBorder="1"/>
    <xf numFmtId="9" fontId="5" fillId="0" borderId="26" xfId="2" applyFont="1" applyBorder="1"/>
    <xf numFmtId="0" fontId="5" fillId="18" borderId="33" xfId="0" applyFont="1" applyFill="1" applyBorder="1"/>
    <xf numFmtId="9" fontId="5" fillId="0" borderId="28" xfId="2" applyFont="1" applyBorder="1"/>
    <xf numFmtId="9" fontId="5" fillId="0" borderId="29" xfId="2" applyFont="1" applyBorder="1"/>
    <xf numFmtId="3" fontId="14" fillId="0" borderId="0" xfId="0" applyNumberFormat="1" applyFont="1" applyAlignment="1">
      <alignment vertical="center"/>
    </xf>
    <xf numFmtId="168" fontId="0" fillId="0" borderId="0" xfId="2" applyNumberFormat="1" applyFont="1"/>
    <xf numFmtId="169" fontId="0" fillId="0" borderId="0" xfId="0" applyNumberFormat="1"/>
    <xf numFmtId="41" fontId="0" fillId="0" borderId="0" xfId="1" applyFont="1"/>
    <xf numFmtId="0" fontId="14" fillId="36" borderId="0" xfId="0" applyFont="1" applyFill="1" applyAlignment="1">
      <alignment vertical="center"/>
    </xf>
    <xf numFmtId="0" fontId="14" fillId="20" borderId="0" xfId="0" applyFont="1" applyFill="1" applyAlignment="1">
      <alignment horizontal="center" vertical="center"/>
    </xf>
    <xf numFmtId="0" fontId="55" fillId="7" borderId="0" xfId="0" applyFont="1" applyFill="1" applyAlignment="1">
      <alignment horizontal="center" vertical="center"/>
    </xf>
    <xf numFmtId="3" fontId="55" fillId="6" borderId="0" xfId="0" applyNumberFormat="1" applyFont="1" applyFill="1" applyAlignment="1">
      <alignment horizontal="center" vertical="center"/>
    </xf>
    <xf numFmtId="0" fontId="19" fillId="20" borderId="0" xfId="0" applyFont="1" applyFill="1" applyAlignment="1">
      <alignment horizontal="center" vertical="center"/>
    </xf>
    <xf numFmtId="9" fontId="12" fillId="20" borderId="0" xfId="0" applyNumberFormat="1" applyFont="1" applyFill="1" applyAlignment="1">
      <alignment horizontal="center" vertical="center"/>
    </xf>
    <xf numFmtId="0" fontId="12" fillId="20" borderId="0" xfId="0" applyFont="1" applyFill="1" applyAlignment="1">
      <alignment horizontal="center" vertical="center"/>
    </xf>
    <xf numFmtId="0" fontId="21" fillId="20" borderId="0" xfId="0" applyFont="1" applyFill="1" applyAlignment="1">
      <alignment horizontal="center" vertical="center"/>
    </xf>
    <xf numFmtId="9" fontId="12" fillId="20" borderId="0" xfId="2" applyFont="1" applyFill="1" applyAlignment="1">
      <alignment horizontal="center" vertical="center"/>
    </xf>
    <xf numFmtId="0" fontId="12" fillId="38" borderId="0" xfId="0" applyFont="1" applyFill="1" applyAlignment="1">
      <alignment horizontal="center" vertical="center"/>
    </xf>
    <xf numFmtId="0" fontId="55" fillId="36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9" fontId="14" fillId="35" borderId="0" xfId="2" applyFont="1" applyFill="1" applyAlignment="1">
      <alignment vertical="center"/>
    </xf>
    <xf numFmtId="1" fontId="12" fillId="0" borderId="0" xfId="1" applyNumberFormat="1" applyFont="1" applyFill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3" fontId="19" fillId="6" borderId="0" xfId="0" applyNumberFormat="1" applyFont="1" applyFill="1" applyAlignment="1">
      <alignment horizontal="center" vertical="center"/>
    </xf>
    <xf numFmtId="14" fontId="19" fillId="4" borderId="0" xfId="0" applyNumberFormat="1" applyFont="1" applyFill="1" applyAlignment="1">
      <alignment horizontal="center" vertical="center"/>
    </xf>
    <xf numFmtId="1" fontId="19" fillId="0" borderId="0" xfId="1" applyNumberFormat="1" applyFont="1" applyFill="1" applyAlignment="1">
      <alignment horizontal="center" vertical="center"/>
    </xf>
    <xf numFmtId="14" fontId="19" fillId="25" borderId="0" xfId="0" applyNumberFormat="1" applyFont="1" applyFill="1" applyAlignment="1">
      <alignment horizontal="center" vertical="center"/>
    </xf>
    <xf numFmtId="9" fontId="0" fillId="0" borderId="0" xfId="2" applyFont="1" applyBorder="1"/>
    <xf numFmtId="9" fontId="5" fillId="0" borderId="0" xfId="2" applyFont="1" applyBorder="1"/>
    <xf numFmtId="41" fontId="56" fillId="0" borderId="13" xfId="1" applyFont="1" applyBorder="1" applyAlignment="1">
      <alignment horizontal="center"/>
    </xf>
    <xf numFmtId="41" fontId="56" fillId="7" borderId="0" xfId="1" applyFont="1" applyFill="1" applyBorder="1" applyAlignment="1">
      <alignment horizontal="center"/>
    </xf>
    <xf numFmtId="41" fontId="24" fillId="18" borderId="16" xfId="1" applyFont="1" applyFill="1" applyBorder="1" applyAlignment="1">
      <alignment horizontal="center"/>
    </xf>
    <xf numFmtId="41" fontId="24" fillId="18" borderId="12" xfId="1" applyFont="1" applyFill="1" applyBorder="1" applyAlignment="1">
      <alignment horizontal="center"/>
    </xf>
    <xf numFmtId="9" fontId="24" fillId="18" borderId="12" xfId="2" applyFont="1" applyFill="1" applyBorder="1" applyAlignment="1">
      <alignment horizontal="center"/>
    </xf>
    <xf numFmtId="0" fontId="4" fillId="39" borderId="38" xfId="0" applyFont="1" applyFill="1" applyBorder="1"/>
    <xf numFmtId="17" fontId="4" fillId="39" borderId="39" xfId="0" applyNumberFormat="1" applyFont="1" applyFill="1" applyBorder="1"/>
    <xf numFmtId="17" fontId="4" fillId="39" borderId="40" xfId="0" applyNumberFormat="1" applyFont="1" applyFill="1" applyBorder="1"/>
    <xf numFmtId="0" fontId="4" fillId="39" borderId="39" xfId="0" applyFont="1" applyFill="1" applyBorder="1"/>
    <xf numFmtId="0" fontId="4" fillId="39" borderId="40" xfId="0" applyFont="1" applyFill="1" applyBorder="1"/>
    <xf numFmtId="0" fontId="0" fillId="40" borderId="32" xfId="0" applyFill="1" applyBorder="1"/>
    <xf numFmtId="3" fontId="0" fillId="0" borderId="26" xfId="0" applyNumberFormat="1" applyBorder="1"/>
    <xf numFmtId="1" fontId="0" fillId="0" borderId="26" xfId="0" applyNumberFormat="1" applyBorder="1"/>
    <xf numFmtId="0" fontId="0" fillId="40" borderId="33" xfId="0" applyFill="1" applyBorder="1"/>
    <xf numFmtId="9" fontId="0" fillId="0" borderId="29" xfId="2" applyFont="1" applyBorder="1"/>
    <xf numFmtId="3" fontId="0" fillId="10" borderId="25" xfId="0" applyNumberFormat="1" applyFill="1" applyBorder="1"/>
    <xf numFmtId="1" fontId="0" fillId="10" borderId="25" xfId="0" applyNumberFormat="1" applyFill="1" applyBorder="1"/>
    <xf numFmtId="3" fontId="0" fillId="7" borderId="25" xfId="0" applyNumberFormat="1" applyFill="1" applyBorder="1"/>
    <xf numFmtId="3" fontId="5" fillId="10" borderId="25" xfId="0" applyNumberFormat="1" applyFont="1" applyFill="1" applyBorder="1"/>
    <xf numFmtId="3" fontId="5" fillId="0" borderId="26" xfId="0" applyNumberFormat="1" applyFont="1" applyBorder="1"/>
    <xf numFmtId="42" fontId="55" fillId="0" borderId="0" xfId="3" applyFont="1" applyAlignment="1">
      <alignment horizontal="center" vertical="center"/>
    </xf>
    <xf numFmtId="42" fontId="55" fillId="0" borderId="5" xfId="3" applyFont="1" applyBorder="1" applyAlignment="1">
      <alignment horizontal="center" vertical="center"/>
    </xf>
    <xf numFmtId="9" fontId="0" fillId="0" borderId="26" xfId="2" applyFont="1" applyFill="1" applyBorder="1"/>
    <xf numFmtId="3" fontId="0" fillId="20" borderId="25" xfId="0" applyNumberFormat="1" applyFill="1" applyBorder="1"/>
    <xf numFmtId="1" fontId="0" fillId="20" borderId="25" xfId="0" applyNumberFormat="1" applyFill="1" applyBorder="1"/>
    <xf numFmtId="3" fontId="5" fillId="20" borderId="25" xfId="0" applyNumberFormat="1" applyFont="1" applyFill="1" applyBorder="1"/>
    <xf numFmtId="9" fontId="0" fillId="20" borderId="28" xfId="2" applyFont="1" applyFill="1" applyBorder="1"/>
    <xf numFmtId="10" fontId="0" fillId="0" borderId="0" xfId="2" applyNumberFormat="1" applyFont="1"/>
    <xf numFmtId="1" fontId="0" fillId="0" borderId="0" xfId="2" applyNumberFormat="1" applyFont="1"/>
    <xf numFmtId="10" fontId="0" fillId="0" borderId="0" xfId="2" applyNumberFormat="1" applyFont="1" applyBorder="1"/>
    <xf numFmtId="9" fontId="5" fillId="0" borderId="0" xfId="2" applyFont="1"/>
    <xf numFmtId="1" fontId="0" fillId="34" borderId="0" xfId="0" applyNumberFormat="1" applyFill="1"/>
    <xf numFmtId="0" fontId="4" fillId="39" borderId="41" xfId="0" applyFont="1" applyFill="1" applyBorder="1"/>
    <xf numFmtId="17" fontId="4" fillId="39" borderId="42" xfId="0" applyNumberFormat="1" applyFont="1" applyFill="1" applyBorder="1"/>
    <xf numFmtId="17" fontId="4" fillId="39" borderId="43" xfId="0" applyNumberFormat="1" applyFont="1" applyFill="1" applyBorder="1"/>
    <xf numFmtId="0" fontId="0" fillId="40" borderId="44" xfId="0" applyFill="1" applyBorder="1"/>
    <xf numFmtId="3" fontId="0" fillId="7" borderId="45" xfId="0" applyNumberFormat="1" applyFill="1" applyBorder="1"/>
    <xf numFmtId="3" fontId="0" fillId="41" borderId="45" xfId="0" applyNumberFormat="1" applyFill="1" applyBorder="1"/>
    <xf numFmtId="1" fontId="0" fillId="10" borderId="45" xfId="0" applyNumberFormat="1" applyFill="1" applyBorder="1"/>
    <xf numFmtId="3" fontId="0" fillId="10" borderId="45" xfId="0" applyNumberFormat="1" applyFill="1" applyBorder="1"/>
    <xf numFmtId="3" fontId="5" fillId="10" borderId="45" xfId="0" applyNumberFormat="1" applyFont="1" applyFill="1" applyBorder="1"/>
    <xf numFmtId="0" fontId="0" fillId="40" borderId="46" xfId="0" applyFill="1" applyBorder="1"/>
    <xf numFmtId="9" fontId="0" fillId="10" borderId="47" xfId="2" applyFont="1" applyFill="1" applyBorder="1"/>
    <xf numFmtId="9" fontId="0" fillId="10" borderId="48" xfId="2" applyFont="1" applyFill="1" applyBorder="1"/>
    <xf numFmtId="9" fontId="3" fillId="0" borderId="0" xfId="2" applyFont="1"/>
    <xf numFmtId="2" fontId="0" fillId="0" borderId="0" xfId="0" applyNumberFormat="1" applyAlignment="1">
      <alignment horizontal="center"/>
    </xf>
    <xf numFmtId="2" fontId="0" fillId="0" borderId="5" xfId="0" applyNumberFormat="1" applyBorder="1" applyAlignment="1">
      <alignment horizontal="center"/>
    </xf>
    <xf numFmtId="9" fontId="2" fillId="0" borderId="0" xfId="0" applyNumberFormat="1" applyFont="1"/>
    <xf numFmtId="0" fontId="13" fillId="18" borderId="9" xfId="0" applyFont="1" applyFill="1" applyBorder="1" applyAlignment="1">
      <alignment horizontal="center" vertical="center" wrapText="1"/>
    </xf>
    <xf numFmtId="0" fontId="13" fillId="18" borderId="3" xfId="0" applyFont="1" applyFill="1" applyBorder="1" applyAlignment="1">
      <alignment horizontal="center" vertical="center" wrapText="1"/>
    </xf>
    <xf numFmtId="0" fontId="13" fillId="18" borderId="6" xfId="0" applyFont="1" applyFill="1" applyBorder="1" applyAlignment="1">
      <alignment horizontal="center" vertical="center" wrapText="1"/>
    </xf>
    <xf numFmtId="0" fontId="13" fillId="29" borderId="30" xfId="0" applyFont="1" applyFill="1" applyBorder="1" applyAlignment="1">
      <alignment horizontal="center" vertical="center"/>
    </xf>
    <xf numFmtId="0" fontId="13" fillId="29" borderId="14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</cellXfs>
  <cellStyles count="4">
    <cellStyle name="Millares [0]" xfId="1" builtinId="6"/>
    <cellStyle name="Moneda [0]" xfId="3" builtinId="7"/>
    <cellStyle name="Normal" xfId="0" builtinId="0"/>
    <cellStyle name="Porcentaje" xfId="2" builtinId="5"/>
  </cellStyles>
  <dxfs count="14">
    <dxf>
      <font>
        <strike val="0"/>
        <color rgb="FFDAF2D0"/>
      </font>
      <fill>
        <patternFill>
          <bgColor rgb="FFDAF2D0"/>
        </patternFill>
      </fill>
    </dxf>
    <dxf>
      <font>
        <color rgb="FFFFFFFF"/>
      </font>
    </dxf>
    <dxf>
      <font>
        <strike val="0"/>
        <color theme="9" tint="0.79998168889431442"/>
      </font>
      <fill>
        <patternFill>
          <bgColor theme="9" tint="0.79998168889431442"/>
        </patternFill>
      </fill>
    </dxf>
    <dxf>
      <font>
        <color theme="0"/>
      </font>
    </dxf>
    <dxf>
      <font>
        <strike val="0"/>
        <color rgb="FFDAF2D0"/>
      </font>
      <fill>
        <patternFill>
          <bgColor rgb="FFDAF2D0"/>
        </patternFill>
      </fill>
    </dxf>
    <dxf>
      <font>
        <color rgb="FFFFFFFF"/>
      </font>
    </dxf>
    <dxf>
      <font>
        <strike val="0"/>
        <color theme="9" tint="0.79998168889431442"/>
      </font>
      <fill>
        <patternFill>
          <bgColor theme="9" tint="0.79998168889431442"/>
        </patternFill>
      </fill>
    </dxf>
    <dxf>
      <font>
        <color theme="0"/>
      </font>
    </dxf>
    <dxf>
      <font>
        <strike val="0"/>
        <color rgb="FFDAF2D0"/>
      </font>
      <fill>
        <patternFill>
          <bgColor rgb="FFDAF2D0"/>
        </patternFill>
      </fill>
    </dxf>
    <dxf>
      <font>
        <color rgb="FFFFFFFF"/>
      </font>
    </dxf>
    <dxf>
      <font>
        <strike val="0"/>
        <color theme="9" tint="0.79998168889431442"/>
      </font>
      <fill>
        <patternFill>
          <bgColor theme="9" tint="0.79998168889431442"/>
        </patternFill>
      </fill>
    </dxf>
    <dxf>
      <font>
        <color theme="0"/>
      </font>
    </dxf>
    <dxf>
      <font>
        <color rgb="FFC0000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9FFED"/>
      <color rgb="FFF9FBD5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2025 (kUS$) </a:t>
            </a:r>
          </a:p>
        </c:rich>
      </c:tx>
      <c:layout>
        <c:manualLayout>
          <c:xMode val="edge"/>
          <c:yMode val="edge"/>
          <c:x val="1.8035923993608392E-2"/>
          <c:y val="4.5070409206192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'Resumen Forecast 25´'!$A$3</c:f>
              <c:strCache>
                <c:ptCount val="1"/>
                <c:pt idx="0">
                  <c:v>Ventas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'Resumen Forecast 25´'!$B$1:$M$1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'Resumen Forecast 25´'!$B$3:$M$3</c:f>
              <c:numCache>
                <c:formatCode>#,##0</c:formatCode>
                <c:ptCount val="12"/>
                <c:pt idx="0">
                  <c:v>1056</c:v>
                </c:pt>
                <c:pt idx="1">
                  <c:v>1246</c:v>
                </c:pt>
                <c:pt idx="2">
                  <c:v>736</c:v>
                </c:pt>
                <c:pt idx="3">
                  <c:v>1013</c:v>
                </c:pt>
                <c:pt idx="4">
                  <c:v>968</c:v>
                </c:pt>
                <c:pt idx="5">
                  <c:v>696</c:v>
                </c:pt>
                <c:pt idx="6">
                  <c:v>658.6</c:v>
                </c:pt>
                <c:pt idx="7">
                  <c:v>880</c:v>
                </c:pt>
                <c:pt idx="8">
                  <c:v>633</c:v>
                </c:pt>
                <c:pt idx="9">
                  <c:v>433</c:v>
                </c:pt>
                <c:pt idx="10">
                  <c:v>599</c:v>
                </c:pt>
                <c:pt idx="11">
                  <c:v>1306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E-45B1-BB6D-2BE42D089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6953199"/>
        <c:axId val="456949359"/>
      </c:lineChart>
      <c:dateAx>
        <c:axId val="456953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6949359"/>
        <c:crosses val="autoZero"/>
        <c:auto val="1"/>
        <c:lblOffset val="100"/>
        <c:baseTimeUnit val="months"/>
      </c:dateAx>
      <c:valAx>
        <c:axId val="45694935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695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aseline="0"/>
              <a:t>Ingresos 2025 (kUS$)</a:t>
            </a:r>
            <a:endParaRPr lang="es-CL"/>
          </a:p>
        </c:rich>
      </c:tx>
      <c:layout>
        <c:manualLayout>
          <c:xMode val="edge"/>
          <c:yMode val="edge"/>
          <c:x val="2.1305522566007429E-2"/>
          <c:y val="4.532576555634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'Resumen Forecast 25´'!$A$6</c:f>
              <c:strCache>
                <c:ptCount val="1"/>
                <c:pt idx="0">
                  <c:v>Ingresos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bg2">
                    <a:lumMod val="75000"/>
                  </a:schemeClr>
                </a:solidFill>
              </a:ln>
              <a:effectLst/>
            </c:spPr>
          </c:marker>
          <c:cat>
            <c:numRef>
              <c:f>'Resumen Forecast 25´'!$B$1:$M$1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'Resumen Forecast 25´'!$B$6:$M$6</c:f>
              <c:numCache>
                <c:formatCode>#,##0</c:formatCode>
                <c:ptCount val="12"/>
                <c:pt idx="0">
                  <c:v>717.16573390557937</c:v>
                </c:pt>
                <c:pt idx="1">
                  <c:v>934.59482909871247</c:v>
                </c:pt>
                <c:pt idx="2">
                  <c:v>778.43045708154511</c:v>
                </c:pt>
                <c:pt idx="3">
                  <c:v>613.92118497854074</c:v>
                </c:pt>
                <c:pt idx="4">
                  <c:v>647.40508476394859</c:v>
                </c:pt>
                <c:pt idx="5">
                  <c:v>807.41107296137341</c:v>
                </c:pt>
                <c:pt idx="6">
                  <c:v>774.98974892703859</c:v>
                </c:pt>
                <c:pt idx="7">
                  <c:v>1032.2317371244635</c:v>
                </c:pt>
                <c:pt idx="8">
                  <c:v>620.64605042918458</c:v>
                </c:pt>
                <c:pt idx="9">
                  <c:v>793.7774603004292</c:v>
                </c:pt>
                <c:pt idx="10">
                  <c:v>584.50192596566524</c:v>
                </c:pt>
                <c:pt idx="11">
                  <c:v>845.54106042918454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AB-4ADA-90CF-404DF1801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2156063"/>
        <c:axId val="922161823"/>
      </c:lineChart>
      <c:dateAx>
        <c:axId val="9221560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22161823"/>
        <c:crosses val="autoZero"/>
        <c:auto val="1"/>
        <c:lblOffset val="100"/>
        <c:baseTimeUnit val="months"/>
      </c:dateAx>
      <c:valAx>
        <c:axId val="92216182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2215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Beneficio</a:t>
            </a:r>
            <a:r>
              <a:rPr lang="en-US" baseline="0"/>
              <a:t> Operacional</a:t>
            </a:r>
            <a:r>
              <a:rPr lang="en-US"/>
              <a:t> 2025 (kUS$) </a:t>
            </a:r>
          </a:p>
        </c:rich>
      </c:tx>
      <c:layout>
        <c:manualLayout>
          <c:xMode val="edge"/>
          <c:yMode val="edge"/>
          <c:x val="1.8035923993608392E-2"/>
          <c:y val="4.5070409206192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'Resumen Forecast 25´'!$A$8</c:f>
              <c:strCache>
                <c:ptCount val="1"/>
                <c:pt idx="0">
                  <c:v>Beneficio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'Resumen Forecast 25´'!$B$1:$M$1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'Resumen Forecast 25´'!$B$8:$M$8</c:f>
              <c:numCache>
                <c:formatCode>#,##0</c:formatCode>
                <c:ptCount val="12"/>
                <c:pt idx="0">
                  <c:v>214.18412520557928</c:v>
                </c:pt>
                <c:pt idx="1">
                  <c:v>424.82083249871238</c:v>
                </c:pt>
                <c:pt idx="2">
                  <c:v>242.54913988154522</c:v>
                </c:pt>
                <c:pt idx="3">
                  <c:v>64.084470978540821</c:v>
                </c:pt>
                <c:pt idx="4">
                  <c:v>96.733125363948375</c:v>
                </c:pt>
                <c:pt idx="5">
                  <c:v>168.65980896137341</c:v>
                </c:pt>
                <c:pt idx="6">
                  <c:v>177.07820652703856</c:v>
                </c:pt>
                <c:pt idx="7">
                  <c:v>367.54689852446347</c:v>
                </c:pt>
                <c:pt idx="8">
                  <c:v>-21.697895270815366</c:v>
                </c:pt>
                <c:pt idx="9">
                  <c:v>134.73712910042923</c:v>
                </c:pt>
                <c:pt idx="10">
                  <c:v>-38.802066934334903</c:v>
                </c:pt>
                <c:pt idx="11">
                  <c:v>-114.00191127081553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68-43D0-AAAA-771838A3F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6953199"/>
        <c:axId val="456949359"/>
      </c:lineChart>
      <c:dateAx>
        <c:axId val="456953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6949359"/>
        <c:crosses val="autoZero"/>
        <c:auto val="1"/>
        <c:lblOffset val="100"/>
        <c:baseTimeUnit val="months"/>
      </c:dateAx>
      <c:valAx>
        <c:axId val="45694935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695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aseline="0"/>
              <a:t>Gastos 2025 (kUS$)</a:t>
            </a:r>
            <a:endParaRPr lang="es-CL"/>
          </a:p>
        </c:rich>
      </c:tx>
      <c:layout>
        <c:manualLayout>
          <c:xMode val="edge"/>
          <c:yMode val="edge"/>
          <c:x val="2.1305522566007429E-2"/>
          <c:y val="4.532576555634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'Resumen Forecast 25´'!$A$7</c:f>
              <c:strCache>
                <c:ptCount val="1"/>
                <c:pt idx="0">
                  <c:v>Gasto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  <a:effectLst/>
            </c:spPr>
          </c:marker>
          <c:cat>
            <c:numRef>
              <c:f>'Resumen Forecast 25´'!$B$1:$M$1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'Resumen Forecast 25´'!$B$7:$M$7</c:f>
              <c:numCache>
                <c:formatCode>#,##0</c:formatCode>
                <c:ptCount val="12"/>
                <c:pt idx="0">
                  <c:v>502.98160870000009</c:v>
                </c:pt>
                <c:pt idx="1">
                  <c:v>509.77399660000009</c:v>
                </c:pt>
                <c:pt idx="2">
                  <c:v>535.8813171999999</c:v>
                </c:pt>
                <c:pt idx="3">
                  <c:v>549.83671399999992</c:v>
                </c:pt>
                <c:pt idx="4">
                  <c:v>550.67195940000022</c:v>
                </c:pt>
                <c:pt idx="5">
                  <c:v>638.75126399999999</c:v>
                </c:pt>
                <c:pt idx="6">
                  <c:v>597.91154240000003</c:v>
                </c:pt>
                <c:pt idx="7">
                  <c:v>664.68483860000003</c:v>
                </c:pt>
                <c:pt idx="8">
                  <c:v>642.34394569999995</c:v>
                </c:pt>
                <c:pt idx="9">
                  <c:v>659.04033119999997</c:v>
                </c:pt>
                <c:pt idx="10">
                  <c:v>623.30399290000014</c:v>
                </c:pt>
                <c:pt idx="11">
                  <c:v>959.54297170000007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3-451E-8F98-831EAF826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2156063"/>
        <c:axId val="922161823"/>
      </c:lineChart>
      <c:dateAx>
        <c:axId val="9221560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22161823"/>
        <c:crosses val="autoZero"/>
        <c:auto val="1"/>
        <c:lblOffset val="100"/>
        <c:baseTimeUnit val="months"/>
      </c:dateAx>
      <c:valAx>
        <c:axId val="92216182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2215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2025 (kUS$) </a:t>
            </a:r>
          </a:p>
        </c:rich>
      </c:tx>
      <c:layout>
        <c:manualLayout>
          <c:xMode val="edge"/>
          <c:yMode val="edge"/>
          <c:x val="1.8035923993608392E-2"/>
          <c:y val="4.5070409206192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'Resumen Budget 25´'!$A$3</c:f>
              <c:strCache>
                <c:ptCount val="1"/>
                <c:pt idx="0">
                  <c:v>Ventas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'Resumen Budget 25´'!$B$1:$M$1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'Resumen Budget 25´'!$B$3:$M$3</c:f>
              <c:numCache>
                <c:formatCode>#,##0</c:formatCode>
                <c:ptCount val="12"/>
                <c:pt idx="0">
                  <c:v>930</c:v>
                </c:pt>
                <c:pt idx="1">
                  <c:v>1008</c:v>
                </c:pt>
                <c:pt idx="2">
                  <c:v>1590</c:v>
                </c:pt>
                <c:pt idx="3">
                  <c:v>1406</c:v>
                </c:pt>
                <c:pt idx="4">
                  <c:v>732.35</c:v>
                </c:pt>
                <c:pt idx="5">
                  <c:v>732.35</c:v>
                </c:pt>
                <c:pt idx="6">
                  <c:v>732.35</c:v>
                </c:pt>
                <c:pt idx="7">
                  <c:v>732.35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536.6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E0-434B-A082-C36898AE1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6953199"/>
        <c:axId val="456949359"/>
      </c:lineChart>
      <c:dateAx>
        <c:axId val="456953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6949359"/>
        <c:crosses val="autoZero"/>
        <c:auto val="1"/>
        <c:lblOffset val="100"/>
        <c:baseTimeUnit val="months"/>
      </c:dateAx>
      <c:valAx>
        <c:axId val="45694935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695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aseline="0"/>
              <a:t>Ingresos 2025 (kUS$)</a:t>
            </a:r>
            <a:endParaRPr lang="es-CL"/>
          </a:p>
        </c:rich>
      </c:tx>
      <c:layout>
        <c:manualLayout>
          <c:xMode val="edge"/>
          <c:yMode val="edge"/>
          <c:x val="2.1305522566007429E-2"/>
          <c:y val="4.532576555634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'Resumen Budget 25´'!$A$6</c:f>
              <c:strCache>
                <c:ptCount val="1"/>
                <c:pt idx="0">
                  <c:v>Ingresos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bg2">
                    <a:lumMod val="75000"/>
                  </a:schemeClr>
                </a:solidFill>
              </a:ln>
              <a:effectLst/>
            </c:spPr>
          </c:marker>
          <c:cat>
            <c:numRef>
              <c:f>'Resumen Budget 25´'!$B$1:$M$1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'Resumen Budget 25´'!$B$6:$M$6</c:f>
              <c:numCache>
                <c:formatCode>#,##0</c:formatCode>
                <c:ptCount val="12"/>
                <c:pt idx="0">
                  <c:v>825</c:v>
                </c:pt>
                <c:pt idx="1">
                  <c:v>509</c:v>
                </c:pt>
                <c:pt idx="2">
                  <c:v>753.93700000000001</c:v>
                </c:pt>
                <c:pt idx="3">
                  <c:v>843.3806666666668</c:v>
                </c:pt>
                <c:pt idx="4">
                  <c:v>899.0443333333335</c:v>
                </c:pt>
                <c:pt idx="5">
                  <c:v>1040.2360000000001</c:v>
                </c:pt>
                <c:pt idx="6">
                  <c:v>859.26633333333336</c:v>
                </c:pt>
                <c:pt idx="7">
                  <c:v>724.37966666666671</c:v>
                </c:pt>
                <c:pt idx="8">
                  <c:v>845</c:v>
                </c:pt>
                <c:pt idx="9">
                  <c:v>845</c:v>
                </c:pt>
                <c:pt idx="10">
                  <c:v>845</c:v>
                </c:pt>
                <c:pt idx="11">
                  <c:v>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35-41AB-92E3-DD733B3C5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2156063"/>
        <c:axId val="922161823"/>
      </c:lineChart>
      <c:dateAx>
        <c:axId val="9221560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22161823"/>
        <c:crosses val="autoZero"/>
        <c:auto val="1"/>
        <c:lblOffset val="100"/>
        <c:baseTimeUnit val="months"/>
      </c:dateAx>
      <c:valAx>
        <c:axId val="92216182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2215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Beneficio</a:t>
            </a:r>
            <a:r>
              <a:rPr lang="en-US" baseline="0"/>
              <a:t> Operacional</a:t>
            </a:r>
            <a:r>
              <a:rPr lang="en-US"/>
              <a:t> 2025 (kUS$) </a:t>
            </a:r>
          </a:p>
        </c:rich>
      </c:tx>
      <c:layout>
        <c:manualLayout>
          <c:xMode val="edge"/>
          <c:yMode val="edge"/>
          <c:x val="1.8035923993608392E-2"/>
          <c:y val="4.5070409206192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'Resumen Budget 25´'!$A$8</c:f>
              <c:strCache>
                <c:ptCount val="1"/>
                <c:pt idx="0">
                  <c:v>Beneficio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'Resumen Budget 25´'!$B$1:$M$1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'Resumen Budget 25´'!$B$8:$M$8</c:f>
              <c:numCache>
                <c:formatCode>#,##0</c:formatCode>
                <c:ptCount val="12"/>
                <c:pt idx="0">
                  <c:v>129.71684427769515</c:v>
                </c:pt>
                <c:pt idx="1">
                  <c:v>1.385322538564651</c:v>
                </c:pt>
                <c:pt idx="2">
                  <c:v>234.82232253856466</c:v>
                </c:pt>
                <c:pt idx="3">
                  <c:v>328.98555442262273</c:v>
                </c:pt>
                <c:pt idx="4">
                  <c:v>351.58559771148293</c:v>
                </c:pt>
                <c:pt idx="5">
                  <c:v>493.12871384291282</c:v>
                </c:pt>
                <c:pt idx="6">
                  <c:v>268.94927868150239</c:v>
                </c:pt>
                <c:pt idx="7">
                  <c:v>182.30890224870961</c:v>
                </c:pt>
                <c:pt idx="8">
                  <c:v>308.47271384291253</c:v>
                </c:pt>
                <c:pt idx="9">
                  <c:v>294.12488775595602</c:v>
                </c:pt>
                <c:pt idx="10">
                  <c:v>280.52348176945395</c:v>
                </c:pt>
                <c:pt idx="11">
                  <c:v>251.16120621773439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57-4EE9-9701-E3308E4E4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6953199"/>
        <c:axId val="456949359"/>
      </c:lineChart>
      <c:dateAx>
        <c:axId val="456953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6949359"/>
        <c:crosses val="autoZero"/>
        <c:auto val="1"/>
        <c:lblOffset val="100"/>
        <c:baseTimeUnit val="months"/>
      </c:dateAx>
      <c:valAx>
        <c:axId val="45694935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695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aseline="0"/>
              <a:t>Gastos 2025 (kUS$)</a:t>
            </a:r>
            <a:endParaRPr lang="es-CL"/>
          </a:p>
        </c:rich>
      </c:tx>
      <c:layout>
        <c:manualLayout>
          <c:xMode val="edge"/>
          <c:yMode val="edge"/>
          <c:x val="2.1305522566007429E-2"/>
          <c:y val="4.532576555634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'Resumen Budget 25´'!$A$7</c:f>
              <c:strCache>
                <c:ptCount val="1"/>
                <c:pt idx="0">
                  <c:v>Gasto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  <a:effectLst/>
            </c:spPr>
          </c:marker>
          <c:cat>
            <c:numRef>
              <c:f>'Resumen Budget 25´'!$B$1:$M$1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'Resumen Budget 25´'!$B$7:$M$7</c:f>
              <c:numCache>
                <c:formatCode>#,##0</c:formatCode>
                <c:ptCount val="12"/>
                <c:pt idx="0">
                  <c:v>695.28315572230485</c:v>
                </c:pt>
                <c:pt idx="1">
                  <c:v>507.61467746143535</c:v>
                </c:pt>
                <c:pt idx="2">
                  <c:v>519.11467746143535</c:v>
                </c:pt>
                <c:pt idx="3">
                  <c:v>514.39511224404407</c:v>
                </c:pt>
                <c:pt idx="4">
                  <c:v>547.45873562185056</c:v>
                </c:pt>
                <c:pt idx="5">
                  <c:v>547.10728615708729</c:v>
                </c:pt>
                <c:pt idx="6">
                  <c:v>590.31705465183097</c:v>
                </c:pt>
                <c:pt idx="7">
                  <c:v>542.07076441795709</c:v>
                </c:pt>
                <c:pt idx="8">
                  <c:v>536.52728615708747</c:v>
                </c:pt>
                <c:pt idx="9">
                  <c:v>550.87511224404398</c:v>
                </c:pt>
                <c:pt idx="10">
                  <c:v>564.47651823054605</c:v>
                </c:pt>
                <c:pt idx="11">
                  <c:v>593.83879378226561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85-45AB-A4E3-E09610E72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2156063"/>
        <c:axId val="922161823"/>
      </c:lineChart>
      <c:dateAx>
        <c:axId val="9221560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22161823"/>
        <c:crosses val="autoZero"/>
        <c:auto val="1"/>
        <c:lblOffset val="100"/>
        <c:baseTimeUnit val="months"/>
      </c:dateAx>
      <c:valAx>
        <c:axId val="92216182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2215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sz="800" baseline="0"/>
              <a:t>Ventas - kUS$</a:t>
            </a:r>
            <a:endParaRPr lang="es-CL" sz="800"/>
          </a:p>
        </c:rich>
      </c:tx>
      <c:layout>
        <c:manualLayout>
          <c:xMode val="edge"/>
          <c:yMode val="edge"/>
          <c:x val="3.0835680751173683E-2"/>
          <c:y val="4.5070409206192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Resumen!$A$4</c:f>
              <c:strCache>
                <c:ptCount val="1"/>
                <c:pt idx="0">
                  <c:v>Venta Budget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noFill/>
              <a:prstDash val="sysDash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Resumen!$B$3:$M$3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45745</c:v>
                </c:pt>
                <c:pt idx="3">
                  <c:v>45774</c:v>
                </c:pt>
                <c:pt idx="4">
                  <c:v>45803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Resumen!$B$4:$M$4</c:f>
              <c:numCache>
                <c:formatCode>0</c:formatCode>
                <c:ptCount val="12"/>
                <c:pt idx="0">
                  <c:v>930</c:v>
                </c:pt>
                <c:pt idx="1">
                  <c:v>1008</c:v>
                </c:pt>
                <c:pt idx="2">
                  <c:v>1590</c:v>
                </c:pt>
                <c:pt idx="3">
                  <c:v>1406</c:v>
                </c:pt>
                <c:pt idx="4">
                  <c:v>732.35</c:v>
                </c:pt>
                <c:pt idx="5">
                  <c:v>732.35</c:v>
                </c:pt>
                <c:pt idx="6">
                  <c:v>732.35</c:v>
                </c:pt>
                <c:pt idx="7">
                  <c:v>732.35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536.6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3-4FE9-8FB2-509A07DE6B92}"/>
            </c:ext>
          </c:extLst>
        </c:ser>
        <c:ser>
          <c:idx val="1"/>
          <c:order val="1"/>
          <c:tx>
            <c:strRef>
              <c:f>Resumen!$A$5</c:f>
              <c:strCache>
                <c:ptCount val="1"/>
                <c:pt idx="0">
                  <c:v>Venta Real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2700" cap="rnd">
                <a:solidFill>
                  <a:schemeClr val="tx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Resumen!$B$3:$M$3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45745</c:v>
                </c:pt>
                <c:pt idx="3">
                  <c:v>45774</c:v>
                </c:pt>
                <c:pt idx="4">
                  <c:v>45803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Resumen!$B$5:$M$5</c:f>
              <c:numCache>
                <c:formatCode>#,##0</c:formatCode>
                <c:ptCount val="12"/>
                <c:pt idx="0">
                  <c:v>1056</c:v>
                </c:pt>
                <c:pt idx="1">
                  <c:v>1246</c:v>
                </c:pt>
                <c:pt idx="2">
                  <c:v>736</c:v>
                </c:pt>
                <c:pt idx="3">
                  <c:v>1013</c:v>
                </c:pt>
                <c:pt idx="4">
                  <c:v>968</c:v>
                </c:pt>
                <c:pt idx="5">
                  <c:v>696</c:v>
                </c:pt>
                <c:pt idx="6">
                  <c:v>658.6</c:v>
                </c:pt>
                <c:pt idx="7">
                  <c:v>880</c:v>
                </c:pt>
                <c:pt idx="8">
                  <c:v>633</c:v>
                </c:pt>
                <c:pt idx="9">
                  <c:v>433</c:v>
                </c:pt>
                <c:pt idx="10">
                  <c:v>599</c:v>
                </c:pt>
                <c:pt idx="11">
                  <c:v>1306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93-4FE9-8FB2-509A07DE6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4190528"/>
        <c:axId val="464191968"/>
      </c:barChart>
      <c:dateAx>
        <c:axId val="4641905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64191968"/>
        <c:crosses val="autoZero"/>
        <c:auto val="1"/>
        <c:lblOffset val="100"/>
        <c:baseTimeUnit val="months"/>
      </c:dateAx>
      <c:valAx>
        <c:axId val="464191968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46419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/>
              <a:t>Estados</a:t>
            </a:r>
            <a:r>
              <a:rPr lang="es-CL" baseline="0"/>
              <a:t> de Pago - kUS$</a:t>
            </a:r>
            <a:endParaRPr lang="es-CL"/>
          </a:p>
        </c:rich>
      </c:tx>
      <c:layout>
        <c:manualLayout>
          <c:xMode val="edge"/>
          <c:yMode val="edge"/>
          <c:x val="3.4591549295774619E-2"/>
          <c:y val="4.5070409206192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Resumen!$A$6</c:f>
              <c:strCache>
                <c:ptCount val="1"/>
                <c:pt idx="0">
                  <c:v>EDP Budget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noFill/>
              <a:prstDash val="sysDash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Resumen!$B$3:$M$3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45745</c:v>
                </c:pt>
                <c:pt idx="3">
                  <c:v>45774</c:v>
                </c:pt>
                <c:pt idx="4">
                  <c:v>45803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Resumen!$B$6:$M$6</c:f>
              <c:numCache>
                <c:formatCode>#,##0</c:formatCode>
                <c:ptCount val="12"/>
                <c:pt idx="0">
                  <c:v>753.93700000000001</c:v>
                </c:pt>
                <c:pt idx="1">
                  <c:v>843.3806666666668</c:v>
                </c:pt>
                <c:pt idx="2">
                  <c:v>899.0443333333335</c:v>
                </c:pt>
                <c:pt idx="3">
                  <c:v>1040.2360000000001</c:v>
                </c:pt>
                <c:pt idx="4">
                  <c:v>859.26633333333336</c:v>
                </c:pt>
                <c:pt idx="5">
                  <c:v>724.37966666666671</c:v>
                </c:pt>
                <c:pt idx="6">
                  <c:v>845</c:v>
                </c:pt>
                <c:pt idx="7">
                  <c:v>845</c:v>
                </c:pt>
                <c:pt idx="8">
                  <c:v>845</c:v>
                </c:pt>
                <c:pt idx="9">
                  <c:v>845</c:v>
                </c:pt>
                <c:pt idx="10">
                  <c:v>845</c:v>
                </c:pt>
                <c:pt idx="11">
                  <c:v>656.52200000000005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B1-4EFF-8B4F-E5DD8EC74468}"/>
            </c:ext>
          </c:extLst>
        </c:ser>
        <c:ser>
          <c:idx val="1"/>
          <c:order val="1"/>
          <c:tx>
            <c:strRef>
              <c:f>Resumen!$A$7</c:f>
              <c:strCache>
                <c:ptCount val="1"/>
                <c:pt idx="0">
                  <c:v>EDP Real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2700" cap="rnd">
                <a:solidFill>
                  <a:schemeClr val="tx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Resumen!$B$3:$M$3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45745</c:v>
                </c:pt>
                <c:pt idx="3">
                  <c:v>45774</c:v>
                </c:pt>
                <c:pt idx="4">
                  <c:v>45803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Resumen!$B$7:$M$7</c:f>
              <c:numCache>
                <c:formatCode>#,##0</c:formatCode>
                <c:ptCount val="12"/>
                <c:pt idx="0">
                  <c:v>669.09500000000003</c:v>
                </c:pt>
                <c:pt idx="1">
                  <c:v>891.9686999999999</c:v>
                </c:pt>
                <c:pt idx="2">
                  <c:v>693.81329000000005</c:v>
                </c:pt>
                <c:pt idx="3">
                  <c:v>704.04973000000007</c:v>
                </c:pt>
                <c:pt idx="4">
                  <c:v>730.25699999999995</c:v>
                </c:pt>
                <c:pt idx="5">
                  <c:v>1177.5465900000002</c:v>
                </c:pt>
                <c:pt idx="6">
                  <c:v>742.58685000000003</c:v>
                </c:pt>
                <c:pt idx="7">
                  <c:v>784.66300000000001</c:v>
                </c:pt>
                <c:pt idx="8">
                  <c:v>676.2380394999999</c:v>
                </c:pt>
                <c:pt idx="9">
                  <c:v>860.16681299999993</c:v>
                </c:pt>
                <c:pt idx="10">
                  <c:v>803.24289950000002</c:v>
                </c:pt>
                <c:pt idx="11">
                  <c:v>611.27200000000005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1-4EFF-8B4F-E5DD8EC74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4190528"/>
        <c:axId val="464191968"/>
      </c:barChart>
      <c:dateAx>
        <c:axId val="4641905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64191968"/>
        <c:crosses val="autoZero"/>
        <c:auto val="1"/>
        <c:lblOffset val="100"/>
        <c:baseTimeUnit val="months"/>
      </c:dateAx>
      <c:valAx>
        <c:axId val="46419196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6419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aseline="0"/>
              <a:t>Facturación - kUS$</a:t>
            </a:r>
            <a:endParaRPr lang="es-CL"/>
          </a:p>
        </c:rich>
      </c:tx>
      <c:layout>
        <c:manualLayout>
          <c:xMode val="edge"/>
          <c:yMode val="edge"/>
          <c:x val="3.4591549295774619E-2"/>
          <c:y val="4.5070409206192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Resumen!$A$8</c:f>
              <c:strCache>
                <c:ptCount val="1"/>
                <c:pt idx="0">
                  <c:v>Facturación Budget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noFill/>
              <a:prstDash val="sysDash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Resumen!$B$3:$M$3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45745</c:v>
                </c:pt>
                <c:pt idx="3">
                  <c:v>45774</c:v>
                </c:pt>
                <c:pt idx="4">
                  <c:v>45803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Resumen!$B$8:$M$8</c:f>
              <c:numCache>
                <c:formatCode>#,##0</c:formatCode>
                <c:ptCount val="12"/>
                <c:pt idx="0">
                  <c:v>509</c:v>
                </c:pt>
                <c:pt idx="1">
                  <c:v>753.93700000000001</c:v>
                </c:pt>
                <c:pt idx="2">
                  <c:v>843.3806666666668</c:v>
                </c:pt>
                <c:pt idx="3">
                  <c:v>899.0443333333335</c:v>
                </c:pt>
                <c:pt idx="4">
                  <c:v>1040.2360000000001</c:v>
                </c:pt>
                <c:pt idx="5">
                  <c:v>859.26633333333336</c:v>
                </c:pt>
                <c:pt idx="6">
                  <c:v>724.37966666666671</c:v>
                </c:pt>
                <c:pt idx="7">
                  <c:v>845</c:v>
                </c:pt>
                <c:pt idx="8">
                  <c:v>845</c:v>
                </c:pt>
                <c:pt idx="9">
                  <c:v>845</c:v>
                </c:pt>
                <c:pt idx="10">
                  <c:v>845</c:v>
                </c:pt>
                <c:pt idx="11">
                  <c:v>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FF-44D5-AFCE-AAF50FBEB5B1}"/>
            </c:ext>
          </c:extLst>
        </c:ser>
        <c:ser>
          <c:idx val="1"/>
          <c:order val="1"/>
          <c:tx>
            <c:strRef>
              <c:f>Resumen!$A$9</c:f>
              <c:strCache>
                <c:ptCount val="1"/>
                <c:pt idx="0">
                  <c:v>Facturación Real</c:v>
                </c:pt>
              </c:strCache>
            </c:strRef>
          </c:tx>
          <c:spPr>
            <a:solidFill>
              <a:srgbClr val="66FF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2700" cap="rnd">
                <a:solidFill>
                  <a:schemeClr val="tx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Resumen!$B$3:$M$3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45745</c:v>
                </c:pt>
                <c:pt idx="3">
                  <c:v>45774</c:v>
                </c:pt>
                <c:pt idx="4">
                  <c:v>45803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Resumen!$B$9:$M$9</c:f>
              <c:numCache>
                <c:formatCode>#,##0</c:formatCode>
                <c:ptCount val="12"/>
                <c:pt idx="0">
                  <c:v>822.53499999999997</c:v>
                </c:pt>
                <c:pt idx="1">
                  <c:v>313.029</c:v>
                </c:pt>
                <c:pt idx="2">
                  <c:v>798.15915999999993</c:v>
                </c:pt>
                <c:pt idx="3">
                  <c:v>702.12785999999994</c:v>
                </c:pt>
                <c:pt idx="4">
                  <c:v>916.26199999999994</c:v>
                </c:pt>
                <c:pt idx="5">
                  <c:v>782.34299999999996</c:v>
                </c:pt>
                <c:pt idx="6">
                  <c:v>894.86126000000002</c:v>
                </c:pt>
                <c:pt idx="7">
                  <c:v>1334.01459</c:v>
                </c:pt>
                <c:pt idx="8">
                  <c:v>726.92448587155957</c:v>
                </c:pt>
                <c:pt idx="9">
                  <c:v>884.48199999999997</c:v>
                </c:pt>
                <c:pt idx="10">
                  <c:v>735.77081818181807</c:v>
                </c:pt>
                <c:pt idx="11">
                  <c:v>886.41967729831151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F-44D5-AFCE-AAF50FBEB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4190528"/>
        <c:axId val="464191968"/>
      </c:barChart>
      <c:dateAx>
        <c:axId val="4641905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64191968"/>
        <c:crosses val="autoZero"/>
        <c:auto val="1"/>
        <c:lblOffset val="100"/>
        <c:baseTimeUnit val="months"/>
      </c:dateAx>
      <c:valAx>
        <c:axId val="46419196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6419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aseline="0"/>
              <a:t>Ingresos - kUS$</a:t>
            </a:r>
            <a:endParaRPr lang="es-CL"/>
          </a:p>
        </c:rich>
      </c:tx>
      <c:layout>
        <c:manualLayout>
          <c:xMode val="edge"/>
          <c:yMode val="edge"/>
          <c:x val="3.4591549295774619E-2"/>
          <c:y val="4.5070409206192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Resumen!$A$10</c:f>
              <c:strCache>
                <c:ptCount val="1"/>
                <c:pt idx="0">
                  <c:v>Ingresos Budget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noFill/>
              <a:prstDash val="sysDash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Resumen!$B$3:$M$3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45745</c:v>
                </c:pt>
                <c:pt idx="3">
                  <c:v>45774</c:v>
                </c:pt>
                <c:pt idx="4">
                  <c:v>45803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Resumen!$B$10:$M$10</c:f>
              <c:numCache>
                <c:formatCode>#,##0</c:formatCode>
                <c:ptCount val="12"/>
                <c:pt idx="0">
                  <c:v>825</c:v>
                </c:pt>
                <c:pt idx="1">
                  <c:v>509</c:v>
                </c:pt>
                <c:pt idx="2">
                  <c:v>753.93700000000001</c:v>
                </c:pt>
                <c:pt idx="3">
                  <c:v>843.3806666666668</c:v>
                </c:pt>
                <c:pt idx="4">
                  <c:v>899.0443333333335</c:v>
                </c:pt>
                <c:pt idx="5">
                  <c:v>1040.2360000000001</c:v>
                </c:pt>
                <c:pt idx="6">
                  <c:v>859</c:v>
                </c:pt>
                <c:pt idx="7">
                  <c:v>724.37966666666671</c:v>
                </c:pt>
                <c:pt idx="8">
                  <c:v>845</c:v>
                </c:pt>
                <c:pt idx="9">
                  <c:v>845</c:v>
                </c:pt>
                <c:pt idx="10">
                  <c:v>845</c:v>
                </c:pt>
                <c:pt idx="11">
                  <c:v>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54-4D1B-8B3F-4F5956856A55}"/>
            </c:ext>
          </c:extLst>
        </c:ser>
        <c:ser>
          <c:idx val="1"/>
          <c:order val="1"/>
          <c:tx>
            <c:strRef>
              <c:f>Resumen!$A$11</c:f>
              <c:strCache>
                <c:ptCount val="1"/>
                <c:pt idx="0">
                  <c:v>Ingresos Real</c:v>
                </c:pt>
              </c:strCache>
            </c:strRef>
          </c:tx>
          <c:spPr>
            <a:solidFill>
              <a:srgbClr val="C9FFE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2700" cap="rnd">
                <a:solidFill>
                  <a:sysClr val="windowText" lastClr="000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Resumen!$B$3:$M$3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45745</c:v>
                </c:pt>
                <c:pt idx="3">
                  <c:v>45774</c:v>
                </c:pt>
                <c:pt idx="4">
                  <c:v>45803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Resumen!$B$11:$M$11</c:f>
              <c:numCache>
                <c:formatCode>#,##0</c:formatCode>
                <c:ptCount val="12"/>
                <c:pt idx="0">
                  <c:v>717.16573390557937</c:v>
                </c:pt>
                <c:pt idx="1">
                  <c:v>934.59482909871247</c:v>
                </c:pt>
                <c:pt idx="2">
                  <c:v>778.43045708154511</c:v>
                </c:pt>
                <c:pt idx="3">
                  <c:v>613.92118497854074</c:v>
                </c:pt>
                <c:pt idx="4">
                  <c:v>647.40508476394859</c:v>
                </c:pt>
                <c:pt idx="5">
                  <c:v>807.41107296137341</c:v>
                </c:pt>
                <c:pt idx="6">
                  <c:v>774.98974892703859</c:v>
                </c:pt>
                <c:pt idx="7">
                  <c:v>1032.2317371244635</c:v>
                </c:pt>
                <c:pt idx="8">
                  <c:v>620.64605042918458</c:v>
                </c:pt>
                <c:pt idx="9">
                  <c:v>793.7774603004292</c:v>
                </c:pt>
                <c:pt idx="10">
                  <c:v>584.50192596566524</c:v>
                </c:pt>
                <c:pt idx="11">
                  <c:v>845.54106042918454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4-4D1B-8B3F-4F5956856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4190528"/>
        <c:axId val="464191968"/>
      </c:barChart>
      <c:dateAx>
        <c:axId val="4641905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64191968"/>
        <c:crosses val="autoZero"/>
        <c:auto val="1"/>
        <c:lblOffset val="100"/>
        <c:baseTimeUnit val="months"/>
      </c:dateAx>
      <c:valAx>
        <c:axId val="46419196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6419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aseline="0"/>
              <a:t>Gastos - kUS$</a:t>
            </a:r>
            <a:endParaRPr lang="es-CL"/>
          </a:p>
        </c:rich>
      </c:tx>
      <c:layout>
        <c:manualLayout>
          <c:xMode val="edge"/>
          <c:yMode val="edge"/>
          <c:x val="3.4591549295774619E-2"/>
          <c:y val="4.5070409206192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Resumen!$A$12</c:f>
              <c:strCache>
                <c:ptCount val="1"/>
                <c:pt idx="0">
                  <c:v>Gastos Budget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noFill/>
              <a:prstDash val="sysDash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Resumen!$B$3:$M$3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45745</c:v>
                </c:pt>
                <c:pt idx="3">
                  <c:v>45774</c:v>
                </c:pt>
                <c:pt idx="4">
                  <c:v>45803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Resumen!$B$12:$M$12</c:f>
              <c:numCache>
                <c:formatCode>#,##0</c:formatCode>
                <c:ptCount val="12"/>
                <c:pt idx="0">
                  <c:v>695.28315572230485</c:v>
                </c:pt>
                <c:pt idx="1">
                  <c:v>507.61467746143535</c:v>
                </c:pt>
                <c:pt idx="2">
                  <c:v>519.11467746143535</c:v>
                </c:pt>
                <c:pt idx="3">
                  <c:v>514.39511224404407</c:v>
                </c:pt>
                <c:pt idx="4">
                  <c:v>547.45873562185056</c:v>
                </c:pt>
                <c:pt idx="5">
                  <c:v>547.10728615708729</c:v>
                </c:pt>
                <c:pt idx="6">
                  <c:v>590.31705465183097</c:v>
                </c:pt>
                <c:pt idx="7">
                  <c:v>542.07076441795709</c:v>
                </c:pt>
                <c:pt idx="8">
                  <c:v>536.52728615708747</c:v>
                </c:pt>
                <c:pt idx="9">
                  <c:v>550.87511224404398</c:v>
                </c:pt>
                <c:pt idx="10">
                  <c:v>564.47651823054605</c:v>
                </c:pt>
                <c:pt idx="11">
                  <c:v>593.83879378226561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0F-4D50-805D-299139B4741E}"/>
            </c:ext>
          </c:extLst>
        </c:ser>
        <c:ser>
          <c:idx val="1"/>
          <c:order val="1"/>
          <c:tx>
            <c:strRef>
              <c:f>Resumen!$A$13</c:f>
              <c:strCache>
                <c:ptCount val="1"/>
                <c:pt idx="0">
                  <c:v>Gastos Real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2700" cap="rnd">
                <a:solidFill>
                  <a:sysClr val="windowText" lastClr="000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Resumen!$B$3:$M$3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45745</c:v>
                </c:pt>
                <c:pt idx="3">
                  <c:v>45774</c:v>
                </c:pt>
                <c:pt idx="4">
                  <c:v>45803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Resumen!$B$13:$M$13</c:f>
              <c:numCache>
                <c:formatCode>#,##0</c:formatCode>
                <c:ptCount val="12"/>
                <c:pt idx="0">
                  <c:v>502.98160870000009</c:v>
                </c:pt>
                <c:pt idx="1">
                  <c:v>509.77399660000009</c:v>
                </c:pt>
                <c:pt idx="2">
                  <c:v>535.8813171999999</c:v>
                </c:pt>
                <c:pt idx="3">
                  <c:v>549.83671399999992</c:v>
                </c:pt>
                <c:pt idx="4">
                  <c:v>550.67195940000022</c:v>
                </c:pt>
                <c:pt idx="5">
                  <c:v>638.75126399999999</c:v>
                </c:pt>
                <c:pt idx="6">
                  <c:v>597.91154240000003</c:v>
                </c:pt>
                <c:pt idx="7">
                  <c:v>664.68483860000003</c:v>
                </c:pt>
                <c:pt idx="8">
                  <c:v>642.34394569999995</c:v>
                </c:pt>
                <c:pt idx="9">
                  <c:v>659.04033119999997</c:v>
                </c:pt>
                <c:pt idx="10">
                  <c:v>623.30399290000014</c:v>
                </c:pt>
                <c:pt idx="11">
                  <c:v>959.54297170000007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F-4D50-805D-299139B47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4190528"/>
        <c:axId val="464191968"/>
      </c:barChart>
      <c:dateAx>
        <c:axId val="4641905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64191968"/>
        <c:crosses val="autoZero"/>
        <c:auto val="1"/>
        <c:lblOffset val="100"/>
        <c:baseTimeUnit val="months"/>
      </c:dateAx>
      <c:valAx>
        <c:axId val="46419196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6419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aseline="0"/>
              <a:t>Flujo Operativo - kUS$</a:t>
            </a:r>
            <a:endParaRPr lang="es-CL"/>
          </a:p>
        </c:rich>
      </c:tx>
      <c:layout>
        <c:manualLayout>
          <c:xMode val="edge"/>
          <c:yMode val="edge"/>
          <c:x val="3.4591549295774619E-2"/>
          <c:y val="4.5070409206192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Resumen!$A$14</c:f>
              <c:strCache>
                <c:ptCount val="1"/>
                <c:pt idx="0">
                  <c:v>Margen Operativo Budget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ysClr val="windowText" lastClr="000000"/>
                      </a:solidFill>
                      <a:latin typeface="Raleway" pitchFamily="2" charset="0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3ED-4400-9EFD-C091AB51454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ysClr val="windowText" lastClr="000000"/>
                      </a:solidFill>
                      <a:latin typeface="Raleway" pitchFamily="2" charset="0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3ED-4400-9EFD-C091AB5145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Resumen!$B$3:$M$3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45745</c:v>
                </c:pt>
                <c:pt idx="3">
                  <c:v>45774</c:v>
                </c:pt>
                <c:pt idx="4">
                  <c:v>45803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Resumen!$B$14:$M$14</c:f>
              <c:numCache>
                <c:formatCode>#,##0</c:formatCode>
                <c:ptCount val="12"/>
                <c:pt idx="0">
                  <c:v>129.71684427769515</c:v>
                </c:pt>
                <c:pt idx="1">
                  <c:v>1.385322538564651</c:v>
                </c:pt>
                <c:pt idx="2">
                  <c:v>234.82232253856466</c:v>
                </c:pt>
                <c:pt idx="3">
                  <c:v>328.98555442262273</c:v>
                </c:pt>
                <c:pt idx="4">
                  <c:v>351.58559771148293</c:v>
                </c:pt>
                <c:pt idx="5">
                  <c:v>493.12871384291282</c:v>
                </c:pt>
                <c:pt idx="6">
                  <c:v>268.68294534816903</c:v>
                </c:pt>
                <c:pt idx="7">
                  <c:v>182.30890224870961</c:v>
                </c:pt>
                <c:pt idx="8">
                  <c:v>308.47271384291253</c:v>
                </c:pt>
                <c:pt idx="9">
                  <c:v>294.12488775595602</c:v>
                </c:pt>
                <c:pt idx="10">
                  <c:v>280.52348176945395</c:v>
                </c:pt>
                <c:pt idx="11">
                  <c:v>251.16120621773439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AA-48F2-B6F3-AB319B2BA579}"/>
            </c:ext>
          </c:extLst>
        </c:ser>
        <c:ser>
          <c:idx val="1"/>
          <c:order val="1"/>
          <c:tx>
            <c:strRef>
              <c:f>Resumen!$A$15</c:f>
              <c:strCache>
                <c:ptCount val="1"/>
                <c:pt idx="0">
                  <c:v>Margen Operativo Real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2700" cap="rnd">
                <a:solidFill>
                  <a:sysClr val="windowText" lastClr="00000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Resumen!$B$3:$M$3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45745</c:v>
                </c:pt>
                <c:pt idx="3">
                  <c:v>45774</c:v>
                </c:pt>
                <c:pt idx="4">
                  <c:v>45803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Resumen!$B$15:$M$15</c:f>
              <c:numCache>
                <c:formatCode>#,##0</c:formatCode>
                <c:ptCount val="12"/>
                <c:pt idx="0">
                  <c:v>214.18412520557928</c:v>
                </c:pt>
                <c:pt idx="1">
                  <c:v>424.82083249871238</c:v>
                </c:pt>
                <c:pt idx="2">
                  <c:v>242.54913988154522</c:v>
                </c:pt>
                <c:pt idx="3">
                  <c:v>64.084470978540821</c:v>
                </c:pt>
                <c:pt idx="4">
                  <c:v>96.733125363948375</c:v>
                </c:pt>
                <c:pt idx="5">
                  <c:v>168.65980896137341</c:v>
                </c:pt>
                <c:pt idx="6">
                  <c:v>177.07820652703856</c:v>
                </c:pt>
                <c:pt idx="7">
                  <c:v>367.54689852446347</c:v>
                </c:pt>
                <c:pt idx="8">
                  <c:v>-21.697895270815366</c:v>
                </c:pt>
                <c:pt idx="9">
                  <c:v>134.73712910042923</c:v>
                </c:pt>
                <c:pt idx="10">
                  <c:v>-38.802066934334903</c:v>
                </c:pt>
                <c:pt idx="11">
                  <c:v>-114.00191127081553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A-48F2-B6F3-AB319B2BA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4190528"/>
        <c:axId val="464191968"/>
      </c:barChart>
      <c:dateAx>
        <c:axId val="4641905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64191968"/>
        <c:crosses val="autoZero"/>
        <c:auto val="1"/>
        <c:lblOffset val="100"/>
        <c:baseTimeUnit val="months"/>
      </c:dateAx>
      <c:valAx>
        <c:axId val="46419196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6419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aseline="0"/>
              <a:t>Venta Acumulada - kUS$</a:t>
            </a:r>
            <a:endParaRPr lang="es-CL"/>
          </a:p>
        </c:rich>
      </c:tx>
      <c:layout>
        <c:manualLayout>
          <c:xMode val="edge"/>
          <c:yMode val="edge"/>
          <c:x val="3.4591549295774619E-2"/>
          <c:y val="4.5070409206192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Resumen!$A$46</c:f>
              <c:strCache>
                <c:ptCount val="1"/>
                <c:pt idx="0">
                  <c:v>Venta Budget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prstDash val="sysDash"/>
                <a:round/>
              </a:ln>
              <a:effectLst/>
            </c:spPr>
          </c:marker>
          <c:cat>
            <c:numRef>
              <c:f>Resumen!$B$3:$M$3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45745</c:v>
                </c:pt>
                <c:pt idx="3">
                  <c:v>45774</c:v>
                </c:pt>
                <c:pt idx="4">
                  <c:v>45803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Resumen!$B$46:$M$46</c:f>
              <c:numCache>
                <c:formatCode>#,##0</c:formatCode>
                <c:ptCount val="12"/>
                <c:pt idx="0">
                  <c:v>930</c:v>
                </c:pt>
                <c:pt idx="1">
                  <c:v>1938</c:v>
                </c:pt>
                <c:pt idx="2">
                  <c:v>3528</c:v>
                </c:pt>
                <c:pt idx="3">
                  <c:v>4934</c:v>
                </c:pt>
                <c:pt idx="4">
                  <c:v>5666.35</c:v>
                </c:pt>
                <c:pt idx="5">
                  <c:v>6398.7000000000007</c:v>
                </c:pt>
                <c:pt idx="6">
                  <c:v>7131.0500000000011</c:v>
                </c:pt>
                <c:pt idx="7">
                  <c:v>7863.4000000000015</c:v>
                </c:pt>
                <c:pt idx="8">
                  <c:v>8663.4000000000015</c:v>
                </c:pt>
                <c:pt idx="9">
                  <c:v>9463.4000000000015</c:v>
                </c:pt>
                <c:pt idx="10">
                  <c:v>10263.400000000001</c:v>
                </c:pt>
                <c:pt idx="11">
                  <c:v>10800.000000000002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E8-42DB-8670-E42D92EC88CC}"/>
            </c:ext>
          </c:extLst>
        </c:ser>
        <c:ser>
          <c:idx val="1"/>
          <c:order val="1"/>
          <c:tx>
            <c:strRef>
              <c:f>Resumen!$A$47</c:f>
              <c:strCache>
                <c:ptCount val="1"/>
                <c:pt idx="0">
                  <c:v>Venta Real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numRef>
              <c:f>Resumen!$B$3:$M$3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45745</c:v>
                </c:pt>
                <c:pt idx="3">
                  <c:v>45774</c:v>
                </c:pt>
                <c:pt idx="4">
                  <c:v>45803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Resumen!$B$47:$M$47</c:f>
              <c:numCache>
                <c:formatCode>#,##0</c:formatCode>
                <c:ptCount val="12"/>
                <c:pt idx="0">
                  <c:v>1056</c:v>
                </c:pt>
                <c:pt idx="1">
                  <c:v>2302</c:v>
                </c:pt>
                <c:pt idx="2">
                  <c:v>3038</c:v>
                </c:pt>
                <c:pt idx="3">
                  <c:v>4051</c:v>
                </c:pt>
                <c:pt idx="4">
                  <c:v>5019</c:v>
                </c:pt>
                <c:pt idx="5">
                  <c:v>5715</c:v>
                </c:pt>
                <c:pt idx="6">
                  <c:v>6373.6</c:v>
                </c:pt>
                <c:pt idx="7">
                  <c:v>7253.6</c:v>
                </c:pt>
                <c:pt idx="8">
                  <c:v>7886.6</c:v>
                </c:pt>
                <c:pt idx="9">
                  <c:v>8319.6</c:v>
                </c:pt>
                <c:pt idx="10">
                  <c:v>8918.6</c:v>
                </c:pt>
                <c:pt idx="11">
                  <c:v>10224.6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E8-42DB-8670-E42D92EC8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190528"/>
        <c:axId val="464191968"/>
      </c:lineChart>
      <c:dateAx>
        <c:axId val="4641905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64191968"/>
        <c:crosses val="autoZero"/>
        <c:auto val="1"/>
        <c:lblOffset val="100"/>
        <c:baseTimeUnit val="months"/>
      </c:dateAx>
      <c:valAx>
        <c:axId val="46419196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6419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aseline="0"/>
              <a:t>EDP Acumulado - kUS$</a:t>
            </a:r>
            <a:endParaRPr lang="es-CL"/>
          </a:p>
        </c:rich>
      </c:tx>
      <c:layout>
        <c:manualLayout>
          <c:xMode val="edge"/>
          <c:yMode val="edge"/>
          <c:x val="3.4591549295774619E-2"/>
          <c:y val="4.5070409206192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Resumen!$A$48</c:f>
              <c:strCache>
                <c:ptCount val="1"/>
                <c:pt idx="0">
                  <c:v>EDP Budget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numRef>
              <c:f>Resumen!$B$3:$M$3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45745</c:v>
                </c:pt>
                <c:pt idx="3">
                  <c:v>45774</c:v>
                </c:pt>
                <c:pt idx="4">
                  <c:v>45803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Resumen!$B$48:$M$48</c:f>
              <c:numCache>
                <c:formatCode>#,##0</c:formatCode>
                <c:ptCount val="12"/>
                <c:pt idx="0">
                  <c:v>753.93700000000001</c:v>
                </c:pt>
                <c:pt idx="1">
                  <c:v>1597.3176666666668</c:v>
                </c:pt>
                <c:pt idx="2">
                  <c:v>2496.3620000000001</c:v>
                </c:pt>
                <c:pt idx="3">
                  <c:v>3536.598</c:v>
                </c:pt>
                <c:pt idx="4">
                  <c:v>4395.864333333333</c:v>
                </c:pt>
                <c:pt idx="5">
                  <c:v>5120.2439999999997</c:v>
                </c:pt>
                <c:pt idx="6">
                  <c:v>5965.2439999999997</c:v>
                </c:pt>
                <c:pt idx="7">
                  <c:v>6810.2439999999997</c:v>
                </c:pt>
                <c:pt idx="8">
                  <c:v>7655.2439999999997</c:v>
                </c:pt>
                <c:pt idx="9">
                  <c:v>8500.2439999999988</c:v>
                </c:pt>
                <c:pt idx="10">
                  <c:v>9345.2439999999988</c:v>
                </c:pt>
                <c:pt idx="11">
                  <c:v>10001.766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17-4AB7-AB41-C11A22AE1595}"/>
            </c:ext>
          </c:extLst>
        </c:ser>
        <c:ser>
          <c:idx val="1"/>
          <c:order val="1"/>
          <c:tx>
            <c:strRef>
              <c:f>Resumen!$A$49</c:f>
              <c:strCache>
                <c:ptCount val="1"/>
                <c:pt idx="0">
                  <c:v>EDP Real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numRef>
              <c:f>Resumen!$B$3:$M$3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45745</c:v>
                </c:pt>
                <c:pt idx="3">
                  <c:v>45774</c:v>
                </c:pt>
                <c:pt idx="4">
                  <c:v>45803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Resumen!$B$49:$M$49</c:f>
              <c:numCache>
                <c:formatCode>#,##0</c:formatCode>
                <c:ptCount val="12"/>
                <c:pt idx="0">
                  <c:v>669.09500000000003</c:v>
                </c:pt>
                <c:pt idx="1">
                  <c:v>1561.0636999999999</c:v>
                </c:pt>
                <c:pt idx="2">
                  <c:v>2254.8769899999998</c:v>
                </c:pt>
                <c:pt idx="3">
                  <c:v>2958.9267199999999</c:v>
                </c:pt>
                <c:pt idx="4">
                  <c:v>3689.18372</c:v>
                </c:pt>
                <c:pt idx="5">
                  <c:v>4866.7303099999999</c:v>
                </c:pt>
                <c:pt idx="6">
                  <c:v>5609.3171599999996</c:v>
                </c:pt>
                <c:pt idx="7">
                  <c:v>6393.9801599999992</c:v>
                </c:pt>
                <c:pt idx="8">
                  <c:v>7070.2181994999992</c:v>
                </c:pt>
                <c:pt idx="9">
                  <c:v>7930.385012499999</c:v>
                </c:pt>
                <c:pt idx="10">
                  <c:v>8733.6279119999999</c:v>
                </c:pt>
                <c:pt idx="11">
                  <c:v>9344.8999120000008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17-4AB7-AB41-C11A22AE1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190528"/>
        <c:axId val="464191968"/>
      </c:lineChart>
      <c:dateAx>
        <c:axId val="4641905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64191968"/>
        <c:crosses val="autoZero"/>
        <c:auto val="1"/>
        <c:lblOffset val="100"/>
        <c:baseTimeUnit val="months"/>
      </c:dateAx>
      <c:valAx>
        <c:axId val="46419196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6419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aseline="0"/>
              <a:t>Facturación Acumulada - kUS$</a:t>
            </a:r>
            <a:endParaRPr lang="es-CL"/>
          </a:p>
        </c:rich>
      </c:tx>
      <c:layout>
        <c:manualLayout>
          <c:xMode val="edge"/>
          <c:yMode val="edge"/>
          <c:x val="3.4591549295774619E-2"/>
          <c:y val="4.5070409206192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Resumen!$A$50</c:f>
              <c:strCache>
                <c:ptCount val="1"/>
                <c:pt idx="0">
                  <c:v>Facturación Budget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numRef>
              <c:f>Resumen!$B$3:$M$3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45745</c:v>
                </c:pt>
                <c:pt idx="3">
                  <c:v>45774</c:v>
                </c:pt>
                <c:pt idx="4">
                  <c:v>45803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Resumen!$B$50:$M$50</c:f>
              <c:numCache>
                <c:formatCode>#,##0</c:formatCode>
                <c:ptCount val="12"/>
                <c:pt idx="0">
                  <c:v>509</c:v>
                </c:pt>
                <c:pt idx="1">
                  <c:v>1262.9369999999999</c:v>
                </c:pt>
                <c:pt idx="2">
                  <c:v>2106.3176666666668</c:v>
                </c:pt>
                <c:pt idx="3">
                  <c:v>3005.3620000000001</c:v>
                </c:pt>
                <c:pt idx="4">
                  <c:v>4045.598</c:v>
                </c:pt>
                <c:pt idx="5">
                  <c:v>4904.864333333333</c:v>
                </c:pt>
                <c:pt idx="6">
                  <c:v>5629.2439999999997</c:v>
                </c:pt>
                <c:pt idx="7">
                  <c:v>6474.2439999999997</c:v>
                </c:pt>
                <c:pt idx="8">
                  <c:v>7319.2439999999997</c:v>
                </c:pt>
                <c:pt idx="9">
                  <c:v>8164.2439999999997</c:v>
                </c:pt>
                <c:pt idx="10">
                  <c:v>9009.2439999999988</c:v>
                </c:pt>
                <c:pt idx="11">
                  <c:v>9854.2439999999988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FEB-442D-A9D2-39F9DB5CFCEA}"/>
            </c:ext>
          </c:extLst>
        </c:ser>
        <c:ser>
          <c:idx val="1"/>
          <c:order val="1"/>
          <c:tx>
            <c:strRef>
              <c:f>Resumen!$A$51</c:f>
              <c:strCache>
                <c:ptCount val="1"/>
                <c:pt idx="0">
                  <c:v>Facturación Real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numRef>
              <c:f>Resumen!$B$3:$M$3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45745</c:v>
                </c:pt>
                <c:pt idx="3">
                  <c:v>45774</c:v>
                </c:pt>
                <c:pt idx="4">
                  <c:v>45803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Resumen!$B$51:$M$51</c:f>
              <c:numCache>
                <c:formatCode>#,##0</c:formatCode>
                <c:ptCount val="12"/>
                <c:pt idx="0">
                  <c:v>822.53499999999997</c:v>
                </c:pt>
                <c:pt idx="1">
                  <c:v>1135.5639999999999</c:v>
                </c:pt>
                <c:pt idx="2">
                  <c:v>1933.7231599999998</c:v>
                </c:pt>
                <c:pt idx="3">
                  <c:v>2635.8510199999996</c:v>
                </c:pt>
                <c:pt idx="4">
                  <c:v>3552.1130199999998</c:v>
                </c:pt>
                <c:pt idx="5">
                  <c:v>4334.4560199999996</c:v>
                </c:pt>
                <c:pt idx="6">
                  <c:v>5229.3172799999993</c:v>
                </c:pt>
                <c:pt idx="7">
                  <c:v>6563.3318699999991</c:v>
                </c:pt>
                <c:pt idx="8">
                  <c:v>7290.2563558715583</c:v>
                </c:pt>
                <c:pt idx="9">
                  <c:v>8174.7383558715583</c:v>
                </c:pt>
                <c:pt idx="10">
                  <c:v>8910.5091740533771</c:v>
                </c:pt>
                <c:pt idx="11">
                  <c:v>9796.9288513516894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FEB-442D-A9D2-39F9DB5CF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190528"/>
        <c:axId val="464191968"/>
      </c:lineChart>
      <c:dateAx>
        <c:axId val="4641905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64191968"/>
        <c:crosses val="autoZero"/>
        <c:auto val="1"/>
        <c:lblOffset val="100"/>
        <c:baseTimeUnit val="months"/>
      </c:dateAx>
      <c:valAx>
        <c:axId val="46419196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6419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aseline="0"/>
              <a:t>Ingreso Acumulado - kUS$</a:t>
            </a:r>
            <a:endParaRPr lang="es-CL"/>
          </a:p>
        </c:rich>
      </c:tx>
      <c:layout>
        <c:manualLayout>
          <c:xMode val="edge"/>
          <c:yMode val="edge"/>
          <c:x val="3.4591549295774619E-2"/>
          <c:y val="4.5070409206192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Resumen!$A$52</c:f>
              <c:strCache>
                <c:ptCount val="1"/>
                <c:pt idx="0">
                  <c:v>Ingresos Budget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numRef>
              <c:f>Resumen!$B$3:$M$3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45745</c:v>
                </c:pt>
                <c:pt idx="3">
                  <c:v>45774</c:v>
                </c:pt>
                <c:pt idx="4">
                  <c:v>45803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Resumen!$B$52:$M$52</c:f>
              <c:numCache>
                <c:formatCode>#,##0</c:formatCode>
                <c:ptCount val="12"/>
                <c:pt idx="0">
                  <c:v>825</c:v>
                </c:pt>
                <c:pt idx="1">
                  <c:v>1334</c:v>
                </c:pt>
                <c:pt idx="2">
                  <c:v>2087.9369999999999</c:v>
                </c:pt>
                <c:pt idx="3">
                  <c:v>2931.3176666666668</c:v>
                </c:pt>
                <c:pt idx="4">
                  <c:v>3830.3620000000001</c:v>
                </c:pt>
                <c:pt idx="5">
                  <c:v>4870.598</c:v>
                </c:pt>
                <c:pt idx="6">
                  <c:v>5729.598</c:v>
                </c:pt>
                <c:pt idx="7">
                  <c:v>6453.9776666666667</c:v>
                </c:pt>
                <c:pt idx="8">
                  <c:v>7298.9776666666667</c:v>
                </c:pt>
                <c:pt idx="9">
                  <c:v>8143.9776666666667</c:v>
                </c:pt>
                <c:pt idx="10">
                  <c:v>8988.9776666666658</c:v>
                </c:pt>
                <c:pt idx="11">
                  <c:v>9833.9776666666658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FF-4EFF-A828-732896E59DE2}"/>
            </c:ext>
          </c:extLst>
        </c:ser>
        <c:ser>
          <c:idx val="1"/>
          <c:order val="1"/>
          <c:tx>
            <c:strRef>
              <c:f>Resumen!$A$53</c:f>
              <c:strCache>
                <c:ptCount val="1"/>
                <c:pt idx="0">
                  <c:v>Ingresos Real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numRef>
              <c:f>Resumen!$B$3:$M$3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45745</c:v>
                </c:pt>
                <c:pt idx="3">
                  <c:v>45774</c:v>
                </c:pt>
                <c:pt idx="4">
                  <c:v>45803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Resumen!$B$53:$M$53</c:f>
              <c:numCache>
                <c:formatCode>#,##0</c:formatCode>
                <c:ptCount val="12"/>
                <c:pt idx="0">
                  <c:v>717.16573390557937</c:v>
                </c:pt>
                <c:pt idx="1">
                  <c:v>1651.7605630042917</c:v>
                </c:pt>
                <c:pt idx="2">
                  <c:v>2430.191020085837</c:v>
                </c:pt>
                <c:pt idx="3">
                  <c:v>3044.1122050643776</c:v>
                </c:pt>
                <c:pt idx="4">
                  <c:v>3691.5172898283263</c:v>
                </c:pt>
                <c:pt idx="5">
                  <c:v>4498.9283627896993</c:v>
                </c:pt>
                <c:pt idx="6">
                  <c:v>5273.9181117167382</c:v>
                </c:pt>
                <c:pt idx="7">
                  <c:v>6306.1498488412017</c:v>
                </c:pt>
                <c:pt idx="8">
                  <c:v>6926.7958992703861</c:v>
                </c:pt>
                <c:pt idx="9">
                  <c:v>7720.5733595708152</c:v>
                </c:pt>
                <c:pt idx="10">
                  <c:v>8305.0752855364808</c:v>
                </c:pt>
                <c:pt idx="11">
                  <c:v>9150.6163459656655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FF-4EFF-A828-732896E59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190528"/>
        <c:axId val="464191968"/>
      </c:lineChart>
      <c:dateAx>
        <c:axId val="4641905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64191968"/>
        <c:crosses val="autoZero"/>
        <c:auto val="1"/>
        <c:lblOffset val="100"/>
        <c:baseTimeUnit val="months"/>
      </c:dateAx>
      <c:valAx>
        <c:axId val="46419196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6419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aseline="0"/>
              <a:t>Gasto Acumulado - kUS$</a:t>
            </a:r>
            <a:endParaRPr lang="es-CL"/>
          </a:p>
        </c:rich>
      </c:tx>
      <c:layout>
        <c:manualLayout>
          <c:xMode val="edge"/>
          <c:yMode val="edge"/>
          <c:x val="3.4591549295774619E-2"/>
          <c:y val="4.5070409206192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Resumen!$A$54</c:f>
              <c:strCache>
                <c:ptCount val="1"/>
                <c:pt idx="0">
                  <c:v>Gastos Budget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numRef>
              <c:f>Resumen!$B$3:$M$3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45745</c:v>
                </c:pt>
                <c:pt idx="3">
                  <c:v>45774</c:v>
                </c:pt>
                <c:pt idx="4">
                  <c:v>45803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Resumen!$B$54:$M$54</c:f>
              <c:numCache>
                <c:formatCode>#,##0</c:formatCode>
                <c:ptCount val="12"/>
                <c:pt idx="0">
                  <c:v>695.28315572230485</c:v>
                </c:pt>
                <c:pt idx="1">
                  <c:v>1202.8978331837402</c:v>
                </c:pt>
                <c:pt idx="2">
                  <c:v>1722.0125106451756</c:v>
                </c:pt>
                <c:pt idx="3">
                  <c:v>2236.4076228892195</c:v>
                </c:pt>
                <c:pt idx="4">
                  <c:v>2783.8663585110698</c:v>
                </c:pt>
                <c:pt idx="5">
                  <c:v>3330.9736446681572</c:v>
                </c:pt>
                <c:pt idx="6">
                  <c:v>3921.2906993199881</c:v>
                </c:pt>
                <c:pt idx="7">
                  <c:v>4463.3614637379451</c:v>
                </c:pt>
                <c:pt idx="8">
                  <c:v>4999.8887498950326</c:v>
                </c:pt>
                <c:pt idx="9">
                  <c:v>5550.7638621390761</c:v>
                </c:pt>
                <c:pt idx="10">
                  <c:v>6115.2403803696225</c:v>
                </c:pt>
                <c:pt idx="11">
                  <c:v>6709.0791741518879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2B-46C3-82BD-5E70E4F29200}"/>
            </c:ext>
          </c:extLst>
        </c:ser>
        <c:ser>
          <c:idx val="1"/>
          <c:order val="1"/>
          <c:tx>
            <c:strRef>
              <c:f>Resumen!$A$55</c:f>
              <c:strCache>
                <c:ptCount val="1"/>
                <c:pt idx="0">
                  <c:v>Gastos Real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numRef>
              <c:f>Resumen!$B$3:$M$3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45745</c:v>
                </c:pt>
                <c:pt idx="3">
                  <c:v>45774</c:v>
                </c:pt>
                <c:pt idx="4">
                  <c:v>45803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Resumen!$B$55:$M$55</c:f>
              <c:numCache>
                <c:formatCode>#,##0</c:formatCode>
                <c:ptCount val="12"/>
                <c:pt idx="0">
                  <c:v>502.98160870000009</c:v>
                </c:pt>
                <c:pt idx="1">
                  <c:v>1012.7556053000002</c:v>
                </c:pt>
                <c:pt idx="2">
                  <c:v>1548.6369225000001</c:v>
                </c:pt>
                <c:pt idx="3">
                  <c:v>2098.4736364999999</c:v>
                </c:pt>
                <c:pt idx="4">
                  <c:v>2649.1455959</c:v>
                </c:pt>
                <c:pt idx="5">
                  <c:v>3287.8968599</c:v>
                </c:pt>
                <c:pt idx="6">
                  <c:v>3885.8084023000001</c:v>
                </c:pt>
                <c:pt idx="7">
                  <c:v>4550.4932409000003</c:v>
                </c:pt>
                <c:pt idx="8">
                  <c:v>5192.8371865999998</c:v>
                </c:pt>
                <c:pt idx="9">
                  <c:v>5851.8775177999996</c:v>
                </c:pt>
                <c:pt idx="10">
                  <c:v>6475.1815107000002</c:v>
                </c:pt>
                <c:pt idx="11">
                  <c:v>7434.7244823999999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2B-46C3-82BD-5E70E4F29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190528"/>
        <c:axId val="464191968"/>
      </c:lineChart>
      <c:dateAx>
        <c:axId val="4641905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64191968"/>
        <c:crosses val="autoZero"/>
        <c:auto val="1"/>
        <c:lblOffset val="100"/>
        <c:baseTimeUnit val="months"/>
      </c:dateAx>
      <c:valAx>
        <c:axId val="46419196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6419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aseline="0"/>
              <a:t>Margen Operativo Acumulado - kUS$</a:t>
            </a:r>
            <a:endParaRPr lang="es-CL"/>
          </a:p>
        </c:rich>
      </c:tx>
      <c:layout>
        <c:manualLayout>
          <c:xMode val="edge"/>
          <c:yMode val="edge"/>
          <c:x val="3.4591549295774619E-2"/>
          <c:y val="4.5070409206192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Resumen!$A$56</c:f>
              <c:strCache>
                <c:ptCount val="1"/>
                <c:pt idx="0">
                  <c:v>Margen Operativo Budget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numRef>
              <c:f>Resumen!$B$3:$M$3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45745</c:v>
                </c:pt>
                <c:pt idx="3">
                  <c:v>45774</c:v>
                </c:pt>
                <c:pt idx="4">
                  <c:v>45803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Resumen!$B$56:$M$56</c:f>
              <c:numCache>
                <c:formatCode>#,##0</c:formatCode>
                <c:ptCount val="12"/>
                <c:pt idx="0">
                  <c:v>129.71684427769515</c:v>
                </c:pt>
                <c:pt idx="1">
                  <c:v>131.1021668162598</c:v>
                </c:pt>
                <c:pt idx="2">
                  <c:v>365.92448935482446</c:v>
                </c:pt>
                <c:pt idx="3">
                  <c:v>694.91004377744719</c:v>
                </c:pt>
                <c:pt idx="4">
                  <c:v>1046.4956414889302</c:v>
                </c:pt>
                <c:pt idx="5">
                  <c:v>1539.6243553318432</c:v>
                </c:pt>
                <c:pt idx="6">
                  <c:v>1808.3073006800123</c:v>
                </c:pt>
                <c:pt idx="7">
                  <c:v>1990.616202928722</c:v>
                </c:pt>
                <c:pt idx="8">
                  <c:v>2299.0889167716346</c:v>
                </c:pt>
                <c:pt idx="9">
                  <c:v>2593.2138045275906</c:v>
                </c:pt>
                <c:pt idx="10">
                  <c:v>2873.7372862970446</c:v>
                </c:pt>
                <c:pt idx="11">
                  <c:v>3124.8984925147788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2-4B9D-8514-ACABDC67D133}"/>
            </c:ext>
          </c:extLst>
        </c:ser>
        <c:ser>
          <c:idx val="1"/>
          <c:order val="1"/>
          <c:tx>
            <c:strRef>
              <c:f>Resumen!$A$57</c:f>
              <c:strCache>
                <c:ptCount val="1"/>
                <c:pt idx="0">
                  <c:v>Margen Operativo Real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numRef>
              <c:f>Resumen!$B$3:$M$3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45745</c:v>
                </c:pt>
                <c:pt idx="3">
                  <c:v>45774</c:v>
                </c:pt>
                <c:pt idx="4">
                  <c:v>45803</c:v>
                </c:pt>
                <c:pt idx="5">
                  <c:v>45832</c:v>
                </c:pt>
                <c:pt idx="6">
                  <c:v>45862</c:v>
                </c:pt>
                <c:pt idx="7">
                  <c:v>45893</c:v>
                </c:pt>
                <c:pt idx="8">
                  <c:v>45924</c:v>
                </c:pt>
                <c:pt idx="9">
                  <c:v>45954</c:v>
                </c:pt>
                <c:pt idx="10">
                  <c:v>45985</c:v>
                </c:pt>
                <c:pt idx="11">
                  <c:v>46015</c:v>
                </c:pt>
              </c:numCache>
            </c:numRef>
          </c:cat>
          <c:val>
            <c:numRef>
              <c:f>Resumen!$B$57:$M$57</c:f>
              <c:numCache>
                <c:formatCode>#,##0</c:formatCode>
                <c:ptCount val="12"/>
                <c:pt idx="0">
                  <c:v>214.18412520557928</c:v>
                </c:pt>
                <c:pt idx="1">
                  <c:v>639.00495770429166</c:v>
                </c:pt>
                <c:pt idx="2">
                  <c:v>881.55409758583687</c:v>
                </c:pt>
                <c:pt idx="3">
                  <c:v>945.63856856437769</c:v>
                </c:pt>
                <c:pt idx="4">
                  <c:v>1042.3716939283261</c:v>
                </c:pt>
                <c:pt idx="5">
                  <c:v>1211.0315028896994</c:v>
                </c:pt>
                <c:pt idx="6">
                  <c:v>1388.109709416738</c:v>
                </c:pt>
                <c:pt idx="7">
                  <c:v>1755.6566079412014</c:v>
                </c:pt>
                <c:pt idx="8">
                  <c:v>1733.9587126703859</c:v>
                </c:pt>
                <c:pt idx="9">
                  <c:v>1868.6958417708152</c:v>
                </c:pt>
                <c:pt idx="10">
                  <c:v>1829.8937748364801</c:v>
                </c:pt>
                <c:pt idx="11">
                  <c:v>1715.8918635656646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2-4B9D-8514-ACABDC67D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190528"/>
        <c:axId val="464191968"/>
      </c:lineChart>
      <c:dateAx>
        <c:axId val="4641905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64191968"/>
        <c:crosses val="autoZero"/>
        <c:auto val="1"/>
        <c:lblOffset val="100"/>
        <c:baseTimeUnit val="months"/>
      </c:dateAx>
      <c:valAx>
        <c:axId val="46419196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2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6419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="1"/>
              <a:t>Flujo Operativo - US$</a:t>
            </a:r>
          </a:p>
        </c:rich>
      </c:tx>
      <c:layout>
        <c:manualLayout>
          <c:xMode val="edge"/>
          <c:yMode val="edge"/>
          <c:x val="2.8834467002776459E-2"/>
          <c:y val="2.9408082429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Dashboard!$DI$28</c:f>
              <c:strCache>
                <c:ptCount val="1"/>
                <c:pt idx="0">
                  <c:v>Chile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Dashboard!$DL$27:$DW$27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45746</c:v>
                </c:pt>
                <c:pt idx="3">
                  <c:v>45777</c:v>
                </c:pt>
                <c:pt idx="4">
                  <c:v>45807</c:v>
                </c:pt>
                <c:pt idx="5">
                  <c:v>45838</c:v>
                </c:pt>
                <c:pt idx="6">
                  <c:v>45868</c:v>
                </c:pt>
                <c:pt idx="7">
                  <c:v>45899</c:v>
                </c:pt>
                <c:pt idx="8">
                  <c:v>45930</c:v>
                </c:pt>
                <c:pt idx="9">
                  <c:v>45960</c:v>
                </c:pt>
                <c:pt idx="10">
                  <c:v>45991</c:v>
                </c:pt>
                <c:pt idx="11">
                  <c:v>46021</c:v>
                </c:pt>
              </c:numCache>
            </c:numRef>
          </c:cat>
          <c:val>
            <c:numRef>
              <c:f>Dashboard!$DL$28:$DW$28</c:f>
              <c:numCache>
                <c:formatCode>_(* #,##0_);_(* \(#,##0\);_(* "-"_);_(@_)</c:formatCode>
                <c:ptCount val="12"/>
                <c:pt idx="0">
                  <c:v>-34913.914163090114</c:v>
                </c:pt>
                <c:pt idx="1">
                  <c:v>125183.98175965663</c:v>
                </c:pt>
                <c:pt idx="2">
                  <c:v>-44905.919527896971</c:v>
                </c:pt>
                <c:pt idx="3">
                  <c:v>-93640.380901287601</c:v>
                </c:pt>
                <c:pt idx="4">
                  <c:v>-27204.209227467829</c:v>
                </c:pt>
                <c:pt idx="5">
                  <c:v>-122460.40021459234</c:v>
                </c:pt>
                <c:pt idx="6">
                  <c:v>147257.56115879829</c:v>
                </c:pt>
                <c:pt idx="7">
                  <c:v>-236693.0869098712</c:v>
                </c:pt>
                <c:pt idx="8">
                  <c:v>-209862.22670302755</c:v>
                </c:pt>
                <c:pt idx="9">
                  <c:v>-190134.95397575479</c:v>
                </c:pt>
                <c:pt idx="10">
                  <c:v>-275134.95397575479</c:v>
                </c:pt>
                <c:pt idx="11">
                  <c:v>-288271.31761211844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2-4783-9367-A84D16DA0CA6}"/>
            </c:ext>
          </c:extLst>
        </c:ser>
        <c:ser>
          <c:idx val="1"/>
          <c:order val="1"/>
          <c:tx>
            <c:strRef>
              <c:f>Dashboard!$DI$29</c:f>
              <c:strCache>
                <c:ptCount val="1"/>
                <c:pt idx="0">
                  <c:v>Perú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Dashboard!$DL$27:$DW$27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45746</c:v>
                </c:pt>
                <c:pt idx="3">
                  <c:v>45777</c:v>
                </c:pt>
                <c:pt idx="4">
                  <c:v>45807</c:v>
                </c:pt>
                <c:pt idx="5">
                  <c:v>45838</c:v>
                </c:pt>
                <c:pt idx="6">
                  <c:v>45868</c:v>
                </c:pt>
                <c:pt idx="7">
                  <c:v>45899</c:v>
                </c:pt>
                <c:pt idx="8">
                  <c:v>45930</c:v>
                </c:pt>
                <c:pt idx="9">
                  <c:v>45960</c:v>
                </c:pt>
                <c:pt idx="10">
                  <c:v>45991</c:v>
                </c:pt>
                <c:pt idx="11">
                  <c:v>46021</c:v>
                </c:pt>
              </c:numCache>
            </c:numRef>
          </c:cat>
          <c:val>
            <c:numRef>
              <c:f>Dashboard!$DL$29:$DW$29</c:f>
              <c:numCache>
                <c:formatCode>_(* #,##0_);_(* \(#,##0\);_(* "-"_);_(@_)</c:formatCode>
                <c:ptCount val="12"/>
                <c:pt idx="0">
                  <c:v>34385.149999999994</c:v>
                </c:pt>
                <c:pt idx="1">
                  <c:v>-19143</c:v>
                </c:pt>
                <c:pt idx="2">
                  <c:v>12622</c:v>
                </c:pt>
                <c:pt idx="3">
                  <c:v>-27595.299999999988</c:v>
                </c:pt>
                <c:pt idx="4">
                  <c:v>13686</c:v>
                </c:pt>
                <c:pt idx="5">
                  <c:v>76004</c:v>
                </c:pt>
                <c:pt idx="6">
                  <c:v>62578</c:v>
                </c:pt>
                <c:pt idx="7">
                  <c:v>429586</c:v>
                </c:pt>
                <c:pt idx="8">
                  <c:v>341494.44571428571</c:v>
                </c:pt>
                <c:pt idx="9">
                  <c:v>368577.77904761903</c:v>
                </c:pt>
                <c:pt idx="10">
                  <c:v>233292.06476190477</c:v>
                </c:pt>
                <c:pt idx="11">
                  <c:v>231042.06476190477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C2-4783-9367-A84D16DA0CA6}"/>
            </c:ext>
          </c:extLst>
        </c:ser>
        <c:ser>
          <c:idx val="2"/>
          <c:order val="2"/>
          <c:tx>
            <c:strRef>
              <c:f>Dashboard!$DI$30</c:f>
              <c:strCache>
                <c:ptCount val="1"/>
                <c:pt idx="0">
                  <c:v>Brasil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Dashboard!$DL$27:$DW$27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45746</c:v>
                </c:pt>
                <c:pt idx="3">
                  <c:v>45777</c:v>
                </c:pt>
                <c:pt idx="4">
                  <c:v>45807</c:v>
                </c:pt>
                <c:pt idx="5">
                  <c:v>45838</c:v>
                </c:pt>
                <c:pt idx="6">
                  <c:v>45868</c:v>
                </c:pt>
                <c:pt idx="7">
                  <c:v>45899</c:v>
                </c:pt>
                <c:pt idx="8">
                  <c:v>45930</c:v>
                </c:pt>
                <c:pt idx="9">
                  <c:v>45960</c:v>
                </c:pt>
                <c:pt idx="10">
                  <c:v>45991</c:v>
                </c:pt>
                <c:pt idx="11">
                  <c:v>46021</c:v>
                </c:pt>
              </c:numCache>
            </c:numRef>
          </c:cat>
          <c:val>
            <c:numRef>
              <c:f>Dashboard!$DL$30:$DW$30</c:f>
              <c:numCache>
                <c:formatCode>_(* #,##0_);_(* \(#,##0\);_(* "-"_);_(@_)</c:formatCode>
                <c:ptCount val="12"/>
                <c:pt idx="0">
                  <c:v>59479</c:v>
                </c:pt>
                <c:pt idx="1">
                  <c:v>31871</c:v>
                </c:pt>
                <c:pt idx="2">
                  <c:v>69897</c:v>
                </c:pt>
                <c:pt idx="3">
                  <c:v>45142.6</c:v>
                </c:pt>
                <c:pt idx="4">
                  <c:v>3745</c:v>
                </c:pt>
                <c:pt idx="5">
                  <c:v>-9818</c:v>
                </c:pt>
                <c:pt idx="6">
                  <c:v>16698</c:v>
                </c:pt>
                <c:pt idx="7">
                  <c:v>98177</c:v>
                </c:pt>
                <c:pt idx="8">
                  <c:v>273070.85101010103</c:v>
                </c:pt>
                <c:pt idx="9">
                  <c:v>245496.87373737377</c:v>
                </c:pt>
                <c:pt idx="10">
                  <c:v>236940.17676767675</c:v>
                </c:pt>
                <c:pt idx="11">
                  <c:v>153000.78282828283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C2-4783-9367-A84D16DA0CA6}"/>
            </c:ext>
          </c:extLst>
        </c:ser>
        <c:ser>
          <c:idx val="3"/>
          <c:order val="3"/>
          <c:tx>
            <c:strRef>
              <c:f>Dashboard!$DI$31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Dashboard!$DL$27:$DW$27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45746</c:v>
                </c:pt>
                <c:pt idx="3">
                  <c:v>45777</c:v>
                </c:pt>
                <c:pt idx="4">
                  <c:v>45807</c:v>
                </c:pt>
                <c:pt idx="5">
                  <c:v>45838</c:v>
                </c:pt>
                <c:pt idx="6">
                  <c:v>45868</c:v>
                </c:pt>
                <c:pt idx="7">
                  <c:v>45899</c:v>
                </c:pt>
                <c:pt idx="8">
                  <c:v>45930</c:v>
                </c:pt>
                <c:pt idx="9">
                  <c:v>45960</c:v>
                </c:pt>
                <c:pt idx="10">
                  <c:v>45991</c:v>
                </c:pt>
                <c:pt idx="11">
                  <c:v>46021</c:v>
                </c:pt>
              </c:numCache>
            </c:numRef>
          </c:cat>
          <c:val>
            <c:numRef>
              <c:f>Dashboard!$DL$31:$DW$31</c:f>
              <c:numCache>
                <c:formatCode>_(* #,##0_);_(* \(#,##0\);_(* "-"_);_(@_)</c:formatCode>
                <c:ptCount val="12"/>
                <c:pt idx="0">
                  <c:v>150438</c:v>
                </c:pt>
                <c:pt idx="1">
                  <c:v>241440.21</c:v>
                </c:pt>
                <c:pt idx="2">
                  <c:v>82798</c:v>
                </c:pt>
                <c:pt idx="3">
                  <c:v>159302</c:v>
                </c:pt>
                <c:pt idx="4">
                  <c:v>147424</c:v>
                </c:pt>
                <c:pt idx="5">
                  <c:v>57618</c:v>
                </c:pt>
                <c:pt idx="6">
                  <c:v>-10017</c:v>
                </c:pt>
                <c:pt idx="7">
                  <c:v>18985</c:v>
                </c:pt>
                <c:pt idx="8">
                  <c:v>-36269.641774891781</c:v>
                </c:pt>
                <c:pt idx="9">
                  <c:v>-36269.641774891781</c:v>
                </c:pt>
                <c:pt idx="10">
                  <c:v>-36269.641774891781</c:v>
                </c:pt>
                <c:pt idx="11">
                  <c:v>-41269.641774891781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C2-4783-9367-A84D16DA0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6514336"/>
        <c:axId val="1176516736"/>
        <c:extLst>
          <c:ext xmlns:c15="http://schemas.microsoft.com/office/drawing/2012/chart" uri="{02D57815-91ED-43cb-92C2-25804820EDAC}">
            <c15:filteredArea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Dashboard!$DI$32</c15:sqref>
                        </c15:formulaRef>
                      </c:ext>
                    </c:extLst>
                    <c:strCache>
                      <c:ptCount val="1"/>
                      <c:pt idx="0">
                        <c:v>Otros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Dashboard!$DL$27:$DW$27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45687</c:v>
                      </c:pt>
                      <c:pt idx="1">
                        <c:v>45716</c:v>
                      </c:pt>
                      <c:pt idx="2">
                        <c:v>45746</c:v>
                      </c:pt>
                      <c:pt idx="3">
                        <c:v>45777</c:v>
                      </c:pt>
                      <c:pt idx="4">
                        <c:v>45807</c:v>
                      </c:pt>
                      <c:pt idx="5">
                        <c:v>45838</c:v>
                      </c:pt>
                      <c:pt idx="6">
                        <c:v>45868</c:v>
                      </c:pt>
                      <c:pt idx="7">
                        <c:v>45899</c:v>
                      </c:pt>
                      <c:pt idx="8">
                        <c:v>45930</c:v>
                      </c:pt>
                      <c:pt idx="9">
                        <c:v>45960</c:v>
                      </c:pt>
                      <c:pt idx="10">
                        <c:v>45991</c:v>
                      </c:pt>
                      <c:pt idx="11">
                        <c:v>46021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Dashboard!$DL$32:$DW$32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0">
                        <c:v>-14044</c:v>
                      </c:pt>
                      <c:pt idx="1">
                        <c:v>21682</c:v>
                      </c:pt>
                      <c:pt idx="2">
                        <c:v>45478</c:v>
                      </c:pt>
                      <c:pt idx="3">
                        <c:v>-14380</c:v>
                      </c:pt>
                      <c:pt idx="4">
                        <c:v>-16000</c:v>
                      </c:pt>
                      <c:pt idx="5">
                        <c:v>166360.20000000001</c:v>
                      </c:pt>
                      <c:pt idx="6">
                        <c:v>-5684.8</c:v>
                      </c:pt>
                      <c:pt idx="7">
                        <c:v>93315.199999999997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B2C2-4783-9367-A84D16DA0CA6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5"/>
          <c:order val="5"/>
          <c:tx>
            <c:strRef>
              <c:f>Dashboard!$DI$33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6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Dashboard!$DL$33:$DW$33</c:f>
              <c:numCache>
                <c:formatCode>_(* #,##0_);_(* \(#,##0\);_(* "-"_);_(@_)</c:formatCode>
                <c:ptCount val="12"/>
                <c:pt idx="0">
                  <c:v>195344.23583690988</c:v>
                </c:pt>
                <c:pt idx="1">
                  <c:v>401034.19175965665</c:v>
                </c:pt>
                <c:pt idx="2">
                  <c:v>165889.08047210303</c:v>
                </c:pt>
                <c:pt idx="3">
                  <c:v>68828.919098712417</c:v>
                </c:pt>
                <c:pt idx="4">
                  <c:v>121650.79077253217</c:v>
                </c:pt>
                <c:pt idx="5">
                  <c:v>167703.79978540767</c:v>
                </c:pt>
                <c:pt idx="6">
                  <c:v>210831.7611587983</c:v>
                </c:pt>
                <c:pt idx="7">
                  <c:v>403370.11309012881</c:v>
                </c:pt>
                <c:pt idx="8">
                  <c:v>368433.42824646743</c:v>
                </c:pt>
                <c:pt idx="9">
                  <c:v>387670.05703434628</c:v>
                </c:pt>
                <c:pt idx="10">
                  <c:v>158827.64577893494</c:v>
                </c:pt>
                <c:pt idx="11">
                  <c:v>54501.888203177376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2C2-4783-9367-A84D16DA0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9568112"/>
        <c:axId val="1619584432"/>
      </c:lineChart>
      <c:dateAx>
        <c:axId val="11765143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176516736"/>
        <c:crosses val="autoZero"/>
        <c:auto val="1"/>
        <c:lblOffset val="100"/>
        <c:baseTimeUnit val="months"/>
      </c:dateAx>
      <c:valAx>
        <c:axId val="1176516736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176514336"/>
        <c:crosses val="autoZero"/>
        <c:crossBetween val="between"/>
      </c:valAx>
      <c:valAx>
        <c:axId val="1619584432"/>
        <c:scaling>
          <c:orientation val="minMax"/>
        </c:scaling>
        <c:delete val="1"/>
        <c:axPos val="r"/>
        <c:numFmt formatCode="_(* #,##0_);_(* \(#,##0\);_(* &quot;-&quot;_);_(@_)" sourceLinked="1"/>
        <c:majorTickMark val="out"/>
        <c:minorTickMark val="none"/>
        <c:tickLblPos val="nextTo"/>
        <c:crossAx val="1619568112"/>
        <c:crosses val="max"/>
        <c:crossBetween val="between"/>
      </c:valAx>
      <c:catAx>
        <c:axId val="1619568112"/>
        <c:scaling>
          <c:orientation val="minMax"/>
        </c:scaling>
        <c:delete val="1"/>
        <c:axPos val="b"/>
        <c:majorTickMark val="out"/>
        <c:minorTickMark val="none"/>
        <c:tickLblPos val="nextTo"/>
        <c:crossAx val="16195844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="1"/>
              <a:t>Ingreso</a:t>
            </a:r>
            <a:r>
              <a:rPr lang="es-CL" b="1" baseline="0"/>
              <a:t> y Costo - US$</a:t>
            </a:r>
            <a:endParaRPr lang="es-CL" b="1"/>
          </a:p>
        </c:rich>
      </c:tx>
      <c:layout>
        <c:manualLayout>
          <c:xMode val="edge"/>
          <c:yMode val="edge"/>
          <c:x val="2.067477948301958E-2"/>
          <c:y val="2.31482817147693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Dashboard!$DI$28</c:f>
              <c:strCache>
                <c:ptCount val="1"/>
                <c:pt idx="0">
                  <c:v>Chile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Dashboard!$DL$27:$DW$27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45746</c:v>
                </c:pt>
                <c:pt idx="3">
                  <c:v>45777</c:v>
                </c:pt>
                <c:pt idx="4">
                  <c:v>45807</c:v>
                </c:pt>
                <c:pt idx="5">
                  <c:v>45838</c:v>
                </c:pt>
                <c:pt idx="6">
                  <c:v>45868</c:v>
                </c:pt>
                <c:pt idx="7">
                  <c:v>45899</c:v>
                </c:pt>
                <c:pt idx="8">
                  <c:v>45930</c:v>
                </c:pt>
                <c:pt idx="9">
                  <c:v>45960</c:v>
                </c:pt>
                <c:pt idx="10">
                  <c:v>45991</c:v>
                </c:pt>
                <c:pt idx="11">
                  <c:v>46021</c:v>
                </c:pt>
              </c:numCache>
            </c:numRef>
          </c:cat>
          <c:val>
            <c:numRef>
              <c:f>Dashboard!$DL$12:$DW$12</c:f>
              <c:numCache>
                <c:formatCode>_(* #,##0_);_(* \(#,##0\);_(* "-"_);_(@_)</c:formatCode>
                <c:ptCount val="12"/>
                <c:pt idx="0">
                  <c:v>362362.73390557943</c:v>
                </c:pt>
                <c:pt idx="1">
                  <c:v>547310.61909871246</c:v>
                </c:pt>
                <c:pt idx="2">
                  <c:v>394993.25965665234</c:v>
                </c:pt>
                <c:pt idx="3">
                  <c:v>247866.96566523606</c:v>
                </c:pt>
                <c:pt idx="4">
                  <c:v>312930.59442060086</c:v>
                </c:pt>
                <c:pt idx="5">
                  <c:v>277419.07296137337</c:v>
                </c:pt>
                <c:pt idx="6">
                  <c:v>542984.74678111589</c:v>
                </c:pt>
                <c:pt idx="7">
                  <c:v>188555.81866952789</c:v>
                </c:pt>
                <c:pt idx="8">
                  <c:v>168877.68890109891</c:v>
                </c:pt>
                <c:pt idx="9">
                  <c:v>168877.68890109891</c:v>
                </c:pt>
                <c:pt idx="10">
                  <c:v>69877.688901098896</c:v>
                </c:pt>
                <c:pt idx="11">
                  <c:v>69877.688901098896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D-4DF9-9C53-957BB485ECDA}"/>
            </c:ext>
          </c:extLst>
        </c:ser>
        <c:ser>
          <c:idx val="1"/>
          <c:order val="1"/>
          <c:tx>
            <c:strRef>
              <c:f>Dashboard!$DI$29</c:f>
              <c:strCache>
                <c:ptCount val="1"/>
                <c:pt idx="0">
                  <c:v>Perú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Dashboard!$DL$27:$DW$27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45746</c:v>
                </c:pt>
                <c:pt idx="3">
                  <c:v>45777</c:v>
                </c:pt>
                <c:pt idx="4">
                  <c:v>45807</c:v>
                </c:pt>
                <c:pt idx="5">
                  <c:v>45838</c:v>
                </c:pt>
                <c:pt idx="6">
                  <c:v>45868</c:v>
                </c:pt>
                <c:pt idx="7">
                  <c:v>45899</c:v>
                </c:pt>
                <c:pt idx="8">
                  <c:v>45930</c:v>
                </c:pt>
                <c:pt idx="9">
                  <c:v>45960</c:v>
                </c:pt>
                <c:pt idx="10">
                  <c:v>45991</c:v>
                </c:pt>
                <c:pt idx="11">
                  <c:v>46021</c:v>
                </c:pt>
              </c:numCache>
            </c:numRef>
          </c:cat>
          <c:val>
            <c:numRef>
              <c:f>Dashboard!$DL$13:$DW$13</c:f>
              <c:numCache>
                <c:formatCode>_(* #,##0_);_(* \(#,##0\);_(* "-"_);_(@_)</c:formatCode>
                <c:ptCount val="12"/>
                <c:pt idx="0">
                  <c:v>123848</c:v>
                </c:pt>
                <c:pt idx="1">
                  <c:v>62454</c:v>
                </c:pt>
                <c:pt idx="2">
                  <c:v>105377</c:v>
                </c:pt>
                <c:pt idx="3">
                  <c:v>110077</c:v>
                </c:pt>
                <c:pt idx="4">
                  <c:v>142610</c:v>
                </c:pt>
                <c:pt idx="5">
                  <c:v>229588</c:v>
                </c:pt>
                <c:pt idx="6">
                  <c:v>251702</c:v>
                </c:pt>
                <c:pt idx="7">
                  <c:v>641573</c:v>
                </c:pt>
                <c:pt idx="8">
                  <c:v>393534.51428571431</c:v>
                </c:pt>
                <c:pt idx="9">
                  <c:v>420617.84761904762</c:v>
                </c:pt>
                <c:pt idx="10">
                  <c:v>285332.13333333336</c:v>
                </c:pt>
                <c:pt idx="11">
                  <c:v>283082.13333333336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4D-4DF9-9C53-957BB485ECDA}"/>
            </c:ext>
          </c:extLst>
        </c:ser>
        <c:ser>
          <c:idx val="2"/>
          <c:order val="2"/>
          <c:tx>
            <c:strRef>
              <c:f>Dashboard!$DI$30</c:f>
              <c:strCache>
                <c:ptCount val="1"/>
                <c:pt idx="0">
                  <c:v>Brasil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Dashboard!$DL$27:$DW$27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45746</c:v>
                </c:pt>
                <c:pt idx="3">
                  <c:v>45777</c:v>
                </c:pt>
                <c:pt idx="4">
                  <c:v>45807</c:v>
                </c:pt>
                <c:pt idx="5">
                  <c:v>45838</c:v>
                </c:pt>
                <c:pt idx="6">
                  <c:v>45868</c:v>
                </c:pt>
                <c:pt idx="7">
                  <c:v>45899</c:v>
                </c:pt>
                <c:pt idx="8">
                  <c:v>45930</c:v>
                </c:pt>
                <c:pt idx="9">
                  <c:v>45960</c:v>
                </c:pt>
                <c:pt idx="10">
                  <c:v>45991</c:v>
                </c:pt>
                <c:pt idx="11">
                  <c:v>46021</c:v>
                </c:pt>
              </c:numCache>
            </c:numRef>
          </c:cat>
          <c:val>
            <c:numRef>
              <c:f>Dashboard!$DL$14:$DW$14</c:f>
              <c:numCache>
                <c:formatCode>_(* #,##0_);_(* \(#,##0\);_(* "-"_);_(@_)</c:formatCode>
                <c:ptCount val="12"/>
                <c:pt idx="0">
                  <c:v>80502</c:v>
                </c:pt>
                <c:pt idx="1">
                  <c:v>59683</c:v>
                </c:pt>
                <c:pt idx="2">
                  <c:v>96322</c:v>
                </c:pt>
                <c:pt idx="3">
                  <c:v>97147</c:v>
                </c:pt>
                <c:pt idx="4">
                  <c:v>37074</c:v>
                </c:pt>
                <c:pt idx="5">
                  <c:v>66468</c:v>
                </c:pt>
                <c:pt idx="6">
                  <c:v>47717</c:v>
                </c:pt>
                <c:pt idx="7">
                  <c:v>119652</c:v>
                </c:pt>
                <c:pt idx="8">
                  <c:v>358235.47222222225</c:v>
                </c:pt>
                <c:pt idx="9">
                  <c:v>316934.22222222225</c:v>
                </c:pt>
                <c:pt idx="10">
                  <c:v>301513.88888888888</c:v>
                </c:pt>
                <c:pt idx="11">
                  <c:v>208847.22222222222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4D-4DF9-9C53-957BB485ECDA}"/>
            </c:ext>
          </c:extLst>
        </c:ser>
        <c:ser>
          <c:idx val="3"/>
          <c:order val="3"/>
          <c:tx>
            <c:strRef>
              <c:f>Dashboard!$DI$31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Dashboard!$DL$27:$DW$27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45746</c:v>
                </c:pt>
                <c:pt idx="3">
                  <c:v>45777</c:v>
                </c:pt>
                <c:pt idx="4">
                  <c:v>45807</c:v>
                </c:pt>
                <c:pt idx="5">
                  <c:v>45838</c:v>
                </c:pt>
                <c:pt idx="6">
                  <c:v>45868</c:v>
                </c:pt>
                <c:pt idx="7">
                  <c:v>45899</c:v>
                </c:pt>
                <c:pt idx="8">
                  <c:v>45930</c:v>
                </c:pt>
                <c:pt idx="9">
                  <c:v>45960</c:v>
                </c:pt>
                <c:pt idx="10">
                  <c:v>45991</c:v>
                </c:pt>
                <c:pt idx="11">
                  <c:v>46021</c:v>
                </c:pt>
              </c:numCache>
            </c:numRef>
          </c:cat>
          <c:val>
            <c:numRef>
              <c:f>Dashboard!$DL$15:$DW$15</c:f>
              <c:numCache>
                <c:formatCode>_(* #,##0_);_(* \(#,##0\);_(* "-"_);_(@_)</c:formatCode>
                <c:ptCount val="12"/>
                <c:pt idx="0">
                  <c:v>150453</c:v>
                </c:pt>
                <c:pt idx="1">
                  <c:v>243465.21</c:v>
                </c:pt>
                <c:pt idx="2">
                  <c:v>141526</c:v>
                </c:pt>
                <c:pt idx="3">
                  <c:v>169200</c:v>
                </c:pt>
                <c:pt idx="4">
                  <c:v>195090</c:v>
                </c:pt>
                <c:pt idx="5">
                  <c:v>61796</c:v>
                </c:pt>
                <c:pt idx="6">
                  <c:v>0</c:v>
                </c:pt>
                <c:pt idx="7">
                  <c:v>20000</c:v>
                </c:pt>
                <c:pt idx="8">
                  <c:v>4285.7142857142853</c:v>
                </c:pt>
                <c:pt idx="9">
                  <c:v>4285.7142857142853</c:v>
                </c:pt>
                <c:pt idx="10">
                  <c:v>4285.7142857142853</c:v>
                </c:pt>
                <c:pt idx="11">
                  <c:v>4285.7142857142853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4D-4DF9-9C53-957BB485E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6514336"/>
        <c:axId val="1176516736"/>
        <c:extLst>
          <c:ext xmlns:c15="http://schemas.microsoft.com/office/drawing/2012/chart" uri="{02D57815-91ED-43cb-92C2-25804820EDAC}">
            <c15:filteredArea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Dashboard!$DI$32</c15:sqref>
                        </c15:formulaRef>
                      </c:ext>
                    </c:extLst>
                    <c:strCache>
                      <c:ptCount val="1"/>
                      <c:pt idx="0">
                        <c:v>Otros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Dashboard!$DL$27:$DW$27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45687</c:v>
                      </c:pt>
                      <c:pt idx="1">
                        <c:v>45716</c:v>
                      </c:pt>
                      <c:pt idx="2">
                        <c:v>45746</c:v>
                      </c:pt>
                      <c:pt idx="3">
                        <c:v>45777</c:v>
                      </c:pt>
                      <c:pt idx="4">
                        <c:v>45807</c:v>
                      </c:pt>
                      <c:pt idx="5">
                        <c:v>45838</c:v>
                      </c:pt>
                      <c:pt idx="6">
                        <c:v>45868</c:v>
                      </c:pt>
                      <c:pt idx="7">
                        <c:v>45899</c:v>
                      </c:pt>
                      <c:pt idx="8">
                        <c:v>45930</c:v>
                      </c:pt>
                      <c:pt idx="9">
                        <c:v>45960</c:v>
                      </c:pt>
                      <c:pt idx="10">
                        <c:v>45991</c:v>
                      </c:pt>
                      <c:pt idx="11">
                        <c:v>46021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Dashboard!$DL$32:$DW$32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0">
                        <c:v>-14044</c:v>
                      </c:pt>
                      <c:pt idx="1">
                        <c:v>21682</c:v>
                      </c:pt>
                      <c:pt idx="2">
                        <c:v>45478</c:v>
                      </c:pt>
                      <c:pt idx="3">
                        <c:v>-14380</c:v>
                      </c:pt>
                      <c:pt idx="4">
                        <c:v>-16000</c:v>
                      </c:pt>
                      <c:pt idx="5">
                        <c:v>166360.20000000001</c:v>
                      </c:pt>
                      <c:pt idx="6">
                        <c:v>-5684.8</c:v>
                      </c:pt>
                      <c:pt idx="7">
                        <c:v>93315.199999999997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184D-4DF9-9C53-957BB485ECDA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5"/>
          <c:order val="5"/>
          <c:tx>
            <c:strRef>
              <c:f>Dashboard!$DI$33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6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Dashboard!$DL$17:$DW$17</c:f>
              <c:numCache>
                <c:formatCode>_(* #,##0_);_(* \(#,##0\);_(* "-"_);_(@_)</c:formatCode>
                <c:ptCount val="12"/>
                <c:pt idx="0">
                  <c:v>717165.73390557943</c:v>
                </c:pt>
                <c:pt idx="1">
                  <c:v>934594.82909871242</c:v>
                </c:pt>
                <c:pt idx="2">
                  <c:v>783696.25965665234</c:v>
                </c:pt>
                <c:pt idx="3">
                  <c:v>624290.96566523612</c:v>
                </c:pt>
                <c:pt idx="4">
                  <c:v>687704.59442060092</c:v>
                </c:pt>
                <c:pt idx="5">
                  <c:v>807316.07296137337</c:v>
                </c:pt>
                <c:pt idx="6">
                  <c:v>842403.74678111589</c:v>
                </c:pt>
                <c:pt idx="7">
                  <c:v>1068780.8186695278</c:v>
                </c:pt>
                <c:pt idx="8">
                  <c:v>924933.38969474984</c:v>
                </c:pt>
                <c:pt idx="9">
                  <c:v>910715.4730280831</c:v>
                </c:pt>
                <c:pt idx="10">
                  <c:v>661009.42540903552</c:v>
                </c:pt>
                <c:pt idx="11">
                  <c:v>566092.75874236878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4D-4DF9-9C53-957BB485ECDA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rgbClr val="C00000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Dashboard!$DL$26:$DW$26</c:f>
              <c:numCache>
                <c:formatCode>_(* #,##0_);_(* \(#,##0\);_(* "-"_);_(@_)</c:formatCode>
                <c:ptCount val="12"/>
                <c:pt idx="0">
                  <c:v>-521821.49806866958</c:v>
                </c:pt>
                <c:pt idx="1">
                  <c:v>-533560.63733905577</c:v>
                </c:pt>
                <c:pt idx="2">
                  <c:v>-617807.17918454926</c:v>
                </c:pt>
                <c:pt idx="3">
                  <c:v>-555462.04656652361</c:v>
                </c:pt>
                <c:pt idx="4">
                  <c:v>-566053.80364806869</c:v>
                </c:pt>
                <c:pt idx="5">
                  <c:v>-639612.27317596576</c:v>
                </c:pt>
                <c:pt idx="6">
                  <c:v>-631571.98562231765</c:v>
                </c:pt>
                <c:pt idx="7">
                  <c:v>-665410.70557939913</c:v>
                </c:pt>
                <c:pt idx="8">
                  <c:v>-556499.96144828235</c:v>
                </c:pt>
                <c:pt idx="9">
                  <c:v>-523045.41599373682</c:v>
                </c:pt>
                <c:pt idx="10">
                  <c:v>-502181.77963010047</c:v>
                </c:pt>
                <c:pt idx="11">
                  <c:v>-511590.87053919141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4D-4DF9-9C53-957BB485E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9568112"/>
        <c:axId val="1619584432"/>
      </c:lineChart>
      <c:dateAx>
        <c:axId val="11765143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176516736"/>
        <c:crosses val="autoZero"/>
        <c:auto val="1"/>
        <c:lblOffset val="100"/>
        <c:baseTimeUnit val="months"/>
      </c:dateAx>
      <c:valAx>
        <c:axId val="1176516736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176514336"/>
        <c:crosses val="autoZero"/>
        <c:crossBetween val="between"/>
      </c:valAx>
      <c:valAx>
        <c:axId val="1619584432"/>
        <c:scaling>
          <c:orientation val="minMax"/>
        </c:scaling>
        <c:delete val="1"/>
        <c:axPos val="r"/>
        <c:numFmt formatCode="_(* #,##0_);_(* \(#,##0\);_(* &quot;-&quot;_);_(@_)" sourceLinked="1"/>
        <c:majorTickMark val="out"/>
        <c:minorTickMark val="none"/>
        <c:tickLblPos val="nextTo"/>
        <c:crossAx val="1619568112"/>
        <c:crosses val="max"/>
        <c:crossBetween val="between"/>
      </c:valAx>
      <c:catAx>
        <c:axId val="1619568112"/>
        <c:scaling>
          <c:orientation val="minMax"/>
        </c:scaling>
        <c:delete val="1"/>
        <c:axPos val="b"/>
        <c:majorTickMark val="out"/>
        <c:minorTickMark val="none"/>
        <c:tickLblPos val="nextTo"/>
        <c:crossAx val="16195844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ayout>
        <c:manualLayout>
          <c:xMode val="edge"/>
          <c:yMode val="edge"/>
          <c:x val="6.2898731408573924E-2"/>
          <c:y val="0.93444901653072754"/>
          <c:w val="0.87420231846019247"/>
          <c:h val="6.55509834692724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="1"/>
              <a:t># Proyectos</a:t>
            </a:r>
            <a:r>
              <a:rPr lang="es-CL" b="1" baseline="0"/>
              <a:t> por País</a:t>
            </a:r>
          </a:p>
        </c:rich>
      </c:tx>
      <c:layout>
        <c:manualLayout>
          <c:xMode val="edge"/>
          <c:yMode val="edge"/>
          <c:x val="5.8972222222222197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Dashboard!$DI$55</c:f>
              <c:strCache>
                <c:ptCount val="1"/>
                <c:pt idx="0">
                  <c:v>Chile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Dashboard!$DK$54:$DS$54</c15:sqref>
                  </c15:fullRef>
                </c:ext>
              </c:extLst>
              <c:f>Dashboard!$DL$54:$DS$54</c:f>
              <c:numCache>
                <c:formatCode>mmm\-yy</c:formatCode>
                <c:ptCount val="8"/>
                <c:pt idx="0">
                  <c:v>45807</c:v>
                </c:pt>
                <c:pt idx="1">
                  <c:v>45838</c:v>
                </c:pt>
                <c:pt idx="2">
                  <c:v>45868</c:v>
                </c:pt>
                <c:pt idx="3">
                  <c:v>45899</c:v>
                </c:pt>
                <c:pt idx="4">
                  <c:v>45930</c:v>
                </c:pt>
                <c:pt idx="5">
                  <c:v>45960</c:v>
                </c:pt>
                <c:pt idx="6">
                  <c:v>45991</c:v>
                </c:pt>
                <c:pt idx="7">
                  <c:v>46021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Dashboard!$DK$55:$DS$55</c15:sqref>
                  </c15:fullRef>
                </c:ext>
              </c:extLst>
              <c:f>Dashboard!$DL$55:$DS$55</c:f>
              <c:numCache>
                <c:formatCode>_(* #,##0_);_(* \(#,##0\);_(* "-"_);_(@_)</c:formatCode>
                <c:ptCount val="8"/>
                <c:pt idx="0">
                  <c:v>8</c:v>
                </c:pt>
                <c:pt idx="1">
                  <c:v>6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D-4D63-9AC4-DA979239CB53}"/>
            </c:ext>
          </c:extLst>
        </c:ser>
        <c:ser>
          <c:idx val="1"/>
          <c:order val="1"/>
          <c:tx>
            <c:strRef>
              <c:f>Dashboard!$DI$56</c:f>
              <c:strCache>
                <c:ptCount val="1"/>
                <c:pt idx="0">
                  <c:v>Perú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Dashboard!$DK$54:$DS$54</c15:sqref>
                  </c15:fullRef>
                </c:ext>
              </c:extLst>
              <c:f>Dashboard!$DL$54:$DS$54</c:f>
              <c:numCache>
                <c:formatCode>mmm\-yy</c:formatCode>
                <c:ptCount val="8"/>
                <c:pt idx="0">
                  <c:v>45807</c:v>
                </c:pt>
                <c:pt idx="1">
                  <c:v>45838</c:v>
                </c:pt>
                <c:pt idx="2">
                  <c:v>45868</c:v>
                </c:pt>
                <c:pt idx="3">
                  <c:v>45899</c:v>
                </c:pt>
                <c:pt idx="4">
                  <c:v>45930</c:v>
                </c:pt>
                <c:pt idx="5">
                  <c:v>45960</c:v>
                </c:pt>
                <c:pt idx="6">
                  <c:v>45991</c:v>
                </c:pt>
                <c:pt idx="7">
                  <c:v>46021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Dashboard!$DK$56:$DS$56</c15:sqref>
                  </c15:fullRef>
                </c:ext>
              </c:extLst>
              <c:f>Dashboard!$DL$56:$DS$56</c:f>
              <c:numCache>
                <c:formatCode>_(* #,##0_);_(* \(#,##0\);_(* "-"_);_(@_)</c:formatCode>
                <c:ptCount val="8"/>
                <c:pt idx="0">
                  <c:v>6</c:v>
                </c:pt>
                <c:pt idx="1">
                  <c:v>7</c:v>
                </c:pt>
                <c:pt idx="2">
                  <c:v>11</c:v>
                </c:pt>
                <c:pt idx="3">
                  <c:v>11</c:v>
                </c:pt>
                <c:pt idx="4">
                  <c:v>7</c:v>
                </c:pt>
                <c:pt idx="5">
                  <c:v>6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CD-4D63-9AC4-DA979239CB53}"/>
            </c:ext>
          </c:extLst>
        </c:ser>
        <c:ser>
          <c:idx val="2"/>
          <c:order val="2"/>
          <c:tx>
            <c:strRef>
              <c:f>Dashboard!$DI$57</c:f>
              <c:strCache>
                <c:ptCount val="1"/>
                <c:pt idx="0">
                  <c:v>Brasil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Dashboard!$DK$54:$DS$54</c15:sqref>
                  </c15:fullRef>
                </c:ext>
              </c:extLst>
              <c:f>Dashboard!$DL$54:$DS$54</c:f>
              <c:numCache>
                <c:formatCode>mmm\-yy</c:formatCode>
                <c:ptCount val="8"/>
                <c:pt idx="0">
                  <c:v>45807</c:v>
                </c:pt>
                <c:pt idx="1">
                  <c:v>45838</c:v>
                </c:pt>
                <c:pt idx="2">
                  <c:v>45868</c:v>
                </c:pt>
                <c:pt idx="3">
                  <c:v>45899</c:v>
                </c:pt>
                <c:pt idx="4">
                  <c:v>45930</c:v>
                </c:pt>
                <c:pt idx="5">
                  <c:v>45960</c:v>
                </c:pt>
                <c:pt idx="6">
                  <c:v>45991</c:v>
                </c:pt>
                <c:pt idx="7">
                  <c:v>46021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Dashboard!$DK$57:$DS$57</c15:sqref>
                  </c15:fullRef>
                </c:ext>
              </c:extLst>
              <c:f>Dashboard!$DL$57:$DS$57</c:f>
              <c:numCache>
                <c:formatCode>_(* #,##0_);_(* \(#,##0\);_(* "-"_);_(@_)</c:formatCode>
                <c:ptCount val="8"/>
                <c:pt idx="0">
                  <c:v>5</c:v>
                </c:pt>
                <c:pt idx="1">
                  <c:v>5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CD-4D63-9AC4-DA979239CB53}"/>
            </c:ext>
          </c:extLst>
        </c:ser>
        <c:ser>
          <c:idx val="3"/>
          <c:order val="3"/>
          <c:tx>
            <c:strRef>
              <c:f>Dashboard!$DI$58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Dashboard!$DK$54:$DS$54</c15:sqref>
                  </c15:fullRef>
                </c:ext>
              </c:extLst>
              <c:f>Dashboard!$DL$54:$DS$54</c:f>
              <c:numCache>
                <c:formatCode>mmm\-yy</c:formatCode>
                <c:ptCount val="8"/>
                <c:pt idx="0">
                  <c:v>45807</c:v>
                </c:pt>
                <c:pt idx="1">
                  <c:v>45838</c:v>
                </c:pt>
                <c:pt idx="2">
                  <c:v>45868</c:v>
                </c:pt>
                <c:pt idx="3">
                  <c:v>45899</c:v>
                </c:pt>
                <c:pt idx="4">
                  <c:v>45930</c:v>
                </c:pt>
                <c:pt idx="5">
                  <c:v>45960</c:v>
                </c:pt>
                <c:pt idx="6">
                  <c:v>45991</c:v>
                </c:pt>
                <c:pt idx="7">
                  <c:v>46021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Dashboard!$DK$58:$DS$58</c15:sqref>
                  </c15:fullRef>
                </c:ext>
              </c:extLst>
              <c:f>Dashboard!$DL$58:$DS$58</c:f>
              <c:numCache>
                <c:formatCode>_(* #,##0_);_(* \(#,##0\);_(* "-"_);_(@_)</c:formatCode>
                <c:ptCount val="8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CD-4D63-9AC4-DA979239C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6514336"/>
        <c:axId val="1176516736"/>
        <c:extLst>
          <c:ext xmlns:c15="http://schemas.microsoft.com/office/drawing/2012/chart" uri="{02D57815-91ED-43cb-92C2-25804820EDAC}">
            <c15:filteredArea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Dashboard!$DI$59</c15:sqref>
                        </c15:formulaRef>
                      </c:ext>
                    </c:extLst>
                    <c:strCache>
                      <c:ptCount val="1"/>
                      <c:pt idx="0">
                        <c:v>Otros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ullRef>
                          <c15:sqref>Dashboard!$DK$54:$DS$54</c15:sqref>
                        </c15:fullRef>
                        <c15:formulaRef>
                          <c15:sqref>Dashboard!$DL$54:$DS$54</c15:sqref>
                        </c15:formulaRef>
                      </c:ext>
                    </c:extLst>
                    <c:numCache>
                      <c:formatCode>mmm\-yy</c:formatCode>
                      <c:ptCount val="8"/>
                      <c:pt idx="0">
                        <c:v>45807</c:v>
                      </c:pt>
                      <c:pt idx="1">
                        <c:v>45838</c:v>
                      </c:pt>
                      <c:pt idx="2">
                        <c:v>45868</c:v>
                      </c:pt>
                      <c:pt idx="3">
                        <c:v>45899</c:v>
                      </c:pt>
                      <c:pt idx="4">
                        <c:v>45930</c:v>
                      </c:pt>
                      <c:pt idx="5">
                        <c:v>45960</c:v>
                      </c:pt>
                      <c:pt idx="6">
                        <c:v>45991</c:v>
                      </c:pt>
                      <c:pt idx="7">
                        <c:v>46021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Dashboard!$DK$59:$DS$59</c15:sqref>
                        </c15:fullRef>
                        <c15:formulaRef>
                          <c15:sqref>Dashboard!$DL$59:$DS$59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2CD-4D63-9AC4-DA979239CB53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5"/>
          <c:order val="5"/>
          <c:tx>
            <c:strRef>
              <c:f>Dashboard!$DI$60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2">
                  <a:lumMod val="20000"/>
                  <a:lumOff val="80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Dashboard!$DL$27:$DW$27</c15:sqref>
                  </c15:fullRef>
                </c:ext>
              </c:extLst>
              <c:f>Dashboard!$DM$27:$DW$27</c:f>
              <c:numCache>
                <c:formatCode>mmm\-yy</c:formatCode>
                <c:ptCount val="11"/>
                <c:pt idx="0">
                  <c:v>45716</c:v>
                </c:pt>
                <c:pt idx="1">
                  <c:v>45746</c:v>
                </c:pt>
                <c:pt idx="2">
                  <c:v>45777</c:v>
                </c:pt>
                <c:pt idx="3">
                  <c:v>45807</c:v>
                </c:pt>
                <c:pt idx="4">
                  <c:v>45838</c:v>
                </c:pt>
                <c:pt idx="5">
                  <c:v>45868</c:v>
                </c:pt>
                <c:pt idx="6">
                  <c:v>45899</c:v>
                </c:pt>
                <c:pt idx="7">
                  <c:v>45930</c:v>
                </c:pt>
                <c:pt idx="8">
                  <c:v>45960</c:v>
                </c:pt>
                <c:pt idx="9">
                  <c:v>45991</c:v>
                </c:pt>
                <c:pt idx="10">
                  <c:v>46021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Dashboard!$DK$60:$DS$60</c15:sqref>
                  </c15:fullRef>
                </c:ext>
              </c:extLst>
              <c:f>Dashboard!$DL$60:$DS$60</c:f>
              <c:numCache>
                <c:formatCode>_(* #,##0_);_(* \(#,##0\);_(* "-"_);_(@_)</c:formatCode>
                <c:ptCount val="8"/>
                <c:pt idx="0">
                  <c:v>21</c:v>
                </c:pt>
                <c:pt idx="1">
                  <c:v>21</c:v>
                </c:pt>
                <c:pt idx="2">
                  <c:v>28</c:v>
                </c:pt>
                <c:pt idx="3">
                  <c:v>28</c:v>
                </c:pt>
                <c:pt idx="4">
                  <c:v>23</c:v>
                </c:pt>
                <c:pt idx="5">
                  <c:v>18</c:v>
                </c:pt>
                <c:pt idx="6">
                  <c:v>15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CD-4D63-9AC4-DA979239C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9568112"/>
        <c:axId val="1619584432"/>
      </c:lineChart>
      <c:dateAx>
        <c:axId val="11765143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176516736"/>
        <c:crosses val="autoZero"/>
        <c:auto val="1"/>
        <c:lblOffset val="100"/>
        <c:baseTimeUnit val="months"/>
      </c:dateAx>
      <c:valAx>
        <c:axId val="1176516736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176514336"/>
        <c:crosses val="autoZero"/>
        <c:crossBetween val="between"/>
      </c:valAx>
      <c:valAx>
        <c:axId val="1619584432"/>
        <c:scaling>
          <c:orientation val="minMax"/>
        </c:scaling>
        <c:delete val="1"/>
        <c:axPos val="r"/>
        <c:numFmt formatCode="_(* #,##0_);_(* \(#,##0\);_(* &quot;-&quot;_);_(@_)" sourceLinked="1"/>
        <c:majorTickMark val="out"/>
        <c:minorTickMark val="none"/>
        <c:tickLblPos val="nextTo"/>
        <c:crossAx val="1619568112"/>
        <c:crosses val="max"/>
        <c:crossBetween val="between"/>
      </c:valAx>
      <c:dateAx>
        <c:axId val="1619568112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1958443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="1"/>
              <a:t># Proyectos</a:t>
            </a:r>
            <a:r>
              <a:rPr lang="es-CL" b="1" baseline="0"/>
              <a:t> por Status</a:t>
            </a:r>
          </a:p>
        </c:rich>
      </c:tx>
      <c:layout>
        <c:manualLayout>
          <c:xMode val="edge"/>
          <c:yMode val="edge"/>
          <c:x val="5.8972222222222197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Dashboard!$DI$66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Dashboard!$DK$65:$DS$65</c15:sqref>
                  </c15:fullRef>
                </c:ext>
              </c:extLst>
              <c:f>Dashboard!$DL$65:$DS$65</c:f>
              <c:numCache>
                <c:formatCode>mmm\-yy</c:formatCode>
                <c:ptCount val="8"/>
                <c:pt idx="0">
                  <c:v>45807</c:v>
                </c:pt>
                <c:pt idx="1">
                  <c:v>45838</c:v>
                </c:pt>
                <c:pt idx="2">
                  <c:v>45868</c:v>
                </c:pt>
                <c:pt idx="3">
                  <c:v>45899</c:v>
                </c:pt>
                <c:pt idx="4">
                  <c:v>45930</c:v>
                </c:pt>
                <c:pt idx="5">
                  <c:v>45960</c:v>
                </c:pt>
                <c:pt idx="6">
                  <c:v>45991</c:v>
                </c:pt>
                <c:pt idx="7">
                  <c:v>46021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Dashboard!$DK$66:$DS$66</c15:sqref>
                  </c15:fullRef>
                </c:ext>
              </c:extLst>
              <c:f>Dashboard!$DL$66:$DS$66</c:f>
              <c:numCache>
                <c:formatCode>_(* #,##0_);_(* \(#,##0\);_(* "-"_);_(@_)</c:formatCode>
                <c:ptCount val="8"/>
                <c:pt idx="0">
                  <c:v>20</c:v>
                </c:pt>
                <c:pt idx="1">
                  <c:v>16</c:v>
                </c:pt>
                <c:pt idx="2">
                  <c:v>10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0-4FD0-92E0-570B247B1484}"/>
            </c:ext>
          </c:extLst>
        </c:ser>
        <c:ser>
          <c:idx val="1"/>
          <c:order val="1"/>
          <c:tx>
            <c:strRef>
              <c:f>Dashboard!$DI$67</c:f>
              <c:strCache>
                <c:ptCount val="1"/>
                <c:pt idx="0">
                  <c:v>Asignado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Dashboard!$DK$65:$DS$65</c15:sqref>
                  </c15:fullRef>
                </c:ext>
              </c:extLst>
              <c:f>Dashboard!$DL$65:$DS$65</c:f>
              <c:numCache>
                <c:formatCode>mmm\-yy</c:formatCode>
                <c:ptCount val="8"/>
                <c:pt idx="0">
                  <c:v>45807</c:v>
                </c:pt>
                <c:pt idx="1">
                  <c:v>45838</c:v>
                </c:pt>
                <c:pt idx="2">
                  <c:v>45868</c:v>
                </c:pt>
                <c:pt idx="3">
                  <c:v>45899</c:v>
                </c:pt>
                <c:pt idx="4">
                  <c:v>45930</c:v>
                </c:pt>
                <c:pt idx="5">
                  <c:v>45960</c:v>
                </c:pt>
                <c:pt idx="6">
                  <c:v>45991</c:v>
                </c:pt>
                <c:pt idx="7">
                  <c:v>46021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Dashboard!$DK$67:$DS$67</c15:sqref>
                  </c15:fullRef>
                </c:ext>
              </c:extLst>
              <c:f>Dashboard!$DL$67:$DS$67</c:f>
              <c:numCache>
                <c:formatCode>_(* #,##0_);_(* \(#,##0\);_(* "-"_);_(@_)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D0-4FD0-92E0-570B247B1484}"/>
            </c:ext>
          </c:extLst>
        </c:ser>
        <c:ser>
          <c:idx val="2"/>
          <c:order val="2"/>
          <c:tx>
            <c:strRef>
              <c:f>Dashboard!$DI$68</c:f>
              <c:strCache>
                <c:ptCount val="1"/>
                <c:pt idx="0">
                  <c:v>No Asignado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Dashboard!$DK$65:$DS$65</c15:sqref>
                  </c15:fullRef>
                </c:ext>
              </c:extLst>
              <c:f>Dashboard!$DL$65:$DS$65</c:f>
              <c:numCache>
                <c:formatCode>mmm\-yy</c:formatCode>
                <c:ptCount val="8"/>
                <c:pt idx="0">
                  <c:v>45807</c:v>
                </c:pt>
                <c:pt idx="1">
                  <c:v>45838</c:v>
                </c:pt>
                <c:pt idx="2">
                  <c:v>45868</c:v>
                </c:pt>
                <c:pt idx="3">
                  <c:v>45899</c:v>
                </c:pt>
                <c:pt idx="4">
                  <c:v>45930</c:v>
                </c:pt>
                <c:pt idx="5">
                  <c:v>45960</c:v>
                </c:pt>
                <c:pt idx="6">
                  <c:v>45991</c:v>
                </c:pt>
                <c:pt idx="7">
                  <c:v>46021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Dashboard!$DK$68:$DS$68</c15:sqref>
                  </c15:fullRef>
                </c:ext>
              </c:extLst>
              <c:f>Dashboard!$DL$68:$DS$68</c:f>
              <c:numCache>
                <c:formatCode>_(* #,##0_);_(* \(#,##0\);_(* "-"_);_(@_)</c:formatCode>
                <c:ptCount val="8"/>
                <c:pt idx="0">
                  <c:v>0</c:v>
                </c:pt>
                <c:pt idx="1">
                  <c:v>3</c:v>
                </c:pt>
                <c:pt idx="2">
                  <c:v>15</c:v>
                </c:pt>
                <c:pt idx="3">
                  <c:v>19</c:v>
                </c:pt>
                <c:pt idx="4">
                  <c:v>17</c:v>
                </c:pt>
                <c:pt idx="5">
                  <c:v>12</c:v>
                </c:pt>
                <c:pt idx="6">
                  <c:v>11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D0-4FD0-92E0-570B247B1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6514336"/>
        <c:axId val="1176516736"/>
      </c:areaChart>
      <c:lineChart>
        <c:grouping val="standard"/>
        <c:varyColors val="0"/>
        <c:ser>
          <c:idx val="3"/>
          <c:order val="3"/>
          <c:tx>
            <c:strRef>
              <c:f>Dashboard!$DI$69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Dashboard!$DL$27:$DW$27</c15:sqref>
                  </c15:fullRef>
                </c:ext>
              </c:extLst>
              <c:f>Dashboard!$DM$27:$DW$27</c:f>
              <c:numCache>
                <c:formatCode>mmm\-yy</c:formatCode>
                <c:ptCount val="11"/>
                <c:pt idx="0">
                  <c:v>45716</c:v>
                </c:pt>
                <c:pt idx="1">
                  <c:v>45746</c:v>
                </c:pt>
                <c:pt idx="2">
                  <c:v>45777</c:v>
                </c:pt>
                <c:pt idx="3">
                  <c:v>45807</c:v>
                </c:pt>
                <c:pt idx="4">
                  <c:v>45838</c:v>
                </c:pt>
                <c:pt idx="5">
                  <c:v>45868</c:v>
                </c:pt>
                <c:pt idx="6">
                  <c:v>45899</c:v>
                </c:pt>
                <c:pt idx="7">
                  <c:v>45930</c:v>
                </c:pt>
                <c:pt idx="8">
                  <c:v>45960</c:v>
                </c:pt>
                <c:pt idx="9">
                  <c:v>45991</c:v>
                </c:pt>
                <c:pt idx="10">
                  <c:v>46021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Dashboard!$DK$69:$DS$69</c15:sqref>
                  </c15:fullRef>
                </c:ext>
              </c:extLst>
              <c:f>Dashboard!$DL$69:$DS$69</c:f>
              <c:numCache>
                <c:formatCode>_(* #,##0_);_(* \(#,##0\);_(* "-"_);_(@_)</c:formatCode>
                <c:ptCount val="8"/>
                <c:pt idx="0">
                  <c:v>21</c:v>
                </c:pt>
                <c:pt idx="1">
                  <c:v>21</c:v>
                </c:pt>
                <c:pt idx="2">
                  <c:v>28</c:v>
                </c:pt>
                <c:pt idx="3">
                  <c:v>28</c:v>
                </c:pt>
                <c:pt idx="4">
                  <c:v>23</c:v>
                </c:pt>
                <c:pt idx="5">
                  <c:v>18</c:v>
                </c:pt>
                <c:pt idx="6">
                  <c:v>15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D0-4FD0-92E0-570B247B1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6514336"/>
        <c:axId val="1176516736"/>
      </c:lineChart>
      <c:dateAx>
        <c:axId val="11765143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176516736"/>
        <c:crosses val="autoZero"/>
        <c:auto val="1"/>
        <c:lblOffset val="100"/>
        <c:baseTimeUnit val="months"/>
      </c:dateAx>
      <c:valAx>
        <c:axId val="1176516736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17651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="1"/>
              <a:t>Flujo Op.</a:t>
            </a:r>
            <a:r>
              <a:rPr lang="es-CL" b="1" baseline="0"/>
              <a:t> </a:t>
            </a:r>
            <a:r>
              <a:rPr lang="es-CL" b="1"/>
              <a:t>Acumulado  - US$</a:t>
            </a:r>
          </a:p>
        </c:rich>
      </c:tx>
      <c:layout>
        <c:manualLayout>
          <c:xMode val="edge"/>
          <c:yMode val="edge"/>
          <c:x val="2.3307979460273787E-2"/>
          <c:y val="2.93710803075435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176514336"/>
        <c:axId val="1176516736"/>
        <c:extLst>
          <c:ext xmlns:c15="http://schemas.microsoft.com/office/drawing/2012/chart" uri="{02D57815-91ED-43cb-92C2-25804820EDAC}">
            <c15:filteredArea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Dashboard!$DI$41</c15:sqref>
                        </c15:formulaRef>
                      </c:ext>
                    </c:extLst>
                    <c:strCache>
                      <c:ptCount val="1"/>
                      <c:pt idx="0">
                        <c:v>Otros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Dashboard!$DL$27:$DW$27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45687</c:v>
                      </c:pt>
                      <c:pt idx="1">
                        <c:v>45716</c:v>
                      </c:pt>
                      <c:pt idx="2">
                        <c:v>45746</c:v>
                      </c:pt>
                      <c:pt idx="3">
                        <c:v>45777</c:v>
                      </c:pt>
                      <c:pt idx="4">
                        <c:v>45807</c:v>
                      </c:pt>
                      <c:pt idx="5">
                        <c:v>45838</c:v>
                      </c:pt>
                      <c:pt idx="6">
                        <c:v>45868</c:v>
                      </c:pt>
                      <c:pt idx="7">
                        <c:v>45899</c:v>
                      </c:pt>
                      <c:pt idx="8">
                        <c:v>45930</c:v>
                      </c:pt>
                      <c:pt idx="9">
                        <c:v>45960</c:v>
                      </c:pt>
                      <c:pt idx="10">
                        <c:v>45991</c:v>
                      </c:pt>
                      <c:pt idx="11">
                        <c:v>46021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Dashboard!$DL$41:$DW$41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0">
                        <c:v>-14044</c:v>
                      </c:pt>
                      <c:pt idx="1">
                        <c:v>7638</c:v>
                      </c:pt>
                      <c:pt idx="2">
                        <c:v>53116</c:v>
                      </c:pt>
                      <c:pt idx="3">
                        <c:v>38736</c:v>
                      </c:pt>
                      <c:pt idx="4">
                        <c:v>22736</c:v>
                      </c:pt>
                      <c:pt idx="5">
                        <c:v>189096.2</c:v>
                      </c:pt>
                      <c:pt idx="6">
                        <c:v>183411.40000000002</c:v>
                      </c:pt>
                      <c:pt idx="7">
                        <c:v>276726.60000000003</c:v>
                      </c:pt>
                      <c:pt idx="8">
                        <c:v>276726.60000000003</c:v>
                      </c:pt>
                      <c:pt idx="9">
                        <c:v>276726.60000000003</c:v>
                      </c:pt>
                      <c:pt idx="10">
                        <c:v>276726.60000000003</c:v>
                      </c:pt>
                      <c:pt idx="11">
                        <c:v>276726.60000000003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A60D-4259-85CF-351D0BBC4232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0"/>
          <c:order val="0"/>
          <c:tx>
            <c:strRef>
              <c:f>Dashboard!$DI$37</c:f>
              <c:strCache>
                <c:ptCount val="1"/>
                <c:pt idx="0">
                  <c:v>Chile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1.0185067526415994E-16"/>
                  <c:y val="7.36903641145333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26D-42A8-B266-11BFC393F1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Dashboard!$DL$27:$DW$27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45746</c:v>
                </c:pt>
                <c:pt idx="3">
                  <c:v>45777</c:v>
                </c:pt>
                <c:pt idx="4">
                  <c:v>45807</c:v>
                </c:pt>
                <c:pt idx="5">
                  <c:v>45838</c:v>
                </c:pt>
                <c:pt idx="6">
                  <c:v>45868</c:v>
                </c:pt>
                <c:pt idx="7">
                  <c:v>45899</c:v>
                </c:pt>
                <c:pt idx="8">
                  <c:v>45930</c:v>
                </c:pt>
                <c:pt idx="9">
                  <c:v>45960</c:v>
                </c:pt>
                <c:pt idx="10">
                  <c:v>45991</c:v>
                </c:pt>
                <c:pt idx="11">
                  <c:v>46021</c:v>
                </c:pt>
              </c:numCache>
            </c:numRef>
          </c:cat>
          <c:val>
            <c:numRef>
              <c:f>Dashboard!$DL$37:$DW$37</c:f>
              <c:numCache>
                <c:formatCode>_(* #,##0_);_(* \(#,##0\);_(* "-"_);_(@_)</c:formatCode>
                <c:ptCount val="12"/>
                <c:pt idx="0">
                  <c:v>-34913.914163090114</c:v>
                </c:pt>
                <c:pt idx="1">
                  <c:v>90270.067596566514</c:v>
                </c:pt>
                <c:pt idx="2">
                  <c:v>45364.148068669543</c:v>
                </c:pt>
                <c:pt idx="3">
                  <c:v>-48276.232832618058</c:v>
                </c:pt>
                <c:pt idx="4">
                  <c:v>-75480.442060085887</c:v>
                </c:pt>
                <c:pt idx="5">
                  <c:v>-197940.84227467823</c:v>
                </c:pt>
                <c:pt idx="6">
                  <c:v>-50683.281115879945</c:v>
                </c:pt>
                <c:pt idx="7">
                  <c:v>-287376.36802575114</c:v>
                </c:pt>
                <c:pt idx="8">
                  <c:v>-497238.5947287787</c:v>
                </c:pt>
                <c:pt idx="9">
                  <c:v>-687373.54870453349</c:v>
                </c:pt>
                <c:pt idx="10">
                  <c:v>-962508.50268028828</c:v>
                </c:pt>
                <c:pt idx="11">
                  <c:v>-1250779.8202924067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0D-4259-85CF-351D0BBC4232}"/>
            </c:ext>
          </c:extLst>
        </c:ser>
        <c:ser>
          <c:idx val="1"/>
          <c:order val="1"/>
          <c:tx>
            <c:strRef>
              <c:f>Dashboard!$DI$38</c:f>
              <c:strCache>
                <c:ptCount val="1"/>
                <c:pt idx="0">
                  <c:v>Perú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1.0973645321846432E-2"/>
                  <c:y val="-8.7507111122653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6D-42A8-B266-11BFC393F1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Dashboard!$DL$27:$DW$27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45746</c:v>
                </c:pt>
                <c:pt idx="3">
                  <c:v>45777</c:v>
                </c:pt>
                <c:pt idx="4">
                  <c:v>45807</c:v>
                </c:pt>
                <c:pt idx="5">
                  <c:v>45838</c:v>
                </c:pt>
                <c:pt idx="6">
                  <c:v>45868</c:v>
                </c:pt>
                <c:pt idx="7">
                  <c:v>45899</c:v>
                </c:pt>
                <c:pt idx="8">
                  <c:v>45930</c:v>
                </c:pt>
                <c:pt idx="9">
                  <c:v>45960</c:v>
                </c:pt>
                <c:pt idx="10">
                  <c:v>45991</c:v>
                </c:pt>
                <c:pt idx="11">
                  <c:v>46021</c:v>
                </c:pt>
              </c:numCache>
            </c:numRef>
          </c:cat>
          <c:val>
            <c:numRef>
              <c:f>Dashboard!$DL$38:$DW$38</c:f>
              <c:numCache>
                <c:formatCode>_(* #,##0_);_(* \(#,##0\);_(* "-"_);_(@_)</c:formatCode>
                <c:ptCount val="12"/>
                <c:pt idx="0">
                  <c:v>34385.149999999994</c:v>
                </c:pt>
                <c:pt idx="1">
                  <c:v>15242.149999999994</c:v>
                </c:pt>
                <c:pt idx="2">
                  <c:v>27864.149999999994</c:v>
                </c:pt>
                <c:pt idx="3">
                  <c:v>268.85000000000582</c:v>
                </c:pt>
                <c:pt idx="4">
                  <c:v>13954.850000000006</c:v>
                </c:pt>
                <c:pt idx="5">
                  <c:v>89958.85</c:v>
                </c:pt>
                <c:pt idx="6">
                  <c:v>152536.85</c:v>
                </c:pt>
                <c:pt idx="7">
                  <c:v>582122.85</c:v>
                </c:pt>
                <c:pt idx="8">
                  <c:v>923617.29571428569</c:v>
                </c:pt>
                <c:pt idx="9">
                  <c:v>1292195.0747619048</c:v>
                </c:pt>
                <c:pt idx="10">
                  <c:v>1525487.1395238095</c:v>
                </c:pt>
                <c:pt idx="11">
                  <c:v>1756529.2042857143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0D-4259-85CF-351D0BBC4232}"/>
            </c:ext>
          </c:extLst>
        </c:ser>
        <c:ser>
          <c:idx val="2"/>
          <c:order val="2"/>
          <c:tx>
            <c:strRef>
              <c:f>Dashboard!$DI$39</c:f>
              <c:strCache>
                <c:ptCount val="1"/>
                <c:pt idx="0">
                  <c:v>Brasil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1.0973645321846432E-2"/>
                  <c:y val="-3.50888884206668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6D-42A8-B266-11BFC393F1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Dashboard!$DL$27:$DW$27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45746</c:v>
                </c:pt>
                <c:pt idx="3">
                  <c:v>45777</c:v>
                </c:pt>
                <c:pt idx="4">
                  <c:v>45807</c:v>
                </c:pt>
                <c:pt idx="5">
                  <c:v>45838</c:v>
                </c:pt>
                <c:pt idx="6">
                  <c:v>45868</c:v>
                </c:pt>
                <c:pt idx="7">
                  <c:v>45899</c:v>
                </c:pt>
                <c:pt idx="8">
                  <c:v>45930</c:v>
                </c:pt>
                <c:pt idx="9">
                  <c:v>45960</c:v>
                </c:pt>
                <c:pt idx="10">
                  <c:v>45991</c:v>
                </c:pt>
                <c:pt idx="11">
                  <c:v>46021</c:v>
                </c:pt>
              </c:numCache>
            </c:numRef>
          </c:cat>
          <c:val>
            <c:numRef>
              <c:f>Dashboard!$DL$39:$DW$39</c:f>
              <c:numCache>
                <c:formatCode>_(* #,##0_);_(* \(#,##0\);_(* "-"_);_(@_)</c:formatCode>
                <c:ptCount val="12"/>
                <c:pt idx="0">
                  <c:v>59479</c:v>
                </c:pt>
                <c:pt idx="1">
                  <c:v>91350</c:v>
                </c:pt>
                <c:pt idx="2">
                  <c:v>161247</c:v>
                </c:pt>
                <c:pt idx="3">
                  <c:v>206389.6</c:v>
                </c:pt>
                <c:pt idx="4">
                  <c:v>210134.6</c:v>
                </c:pt>
                <c:pt idx="5">
                  <c:v>200316.6</c:v>
                </c:pt>
                <c:pt idx="6">
                  <c:v>217014.6</c:v>
                </c:pt>
                <c:pt idx="7">
                  <c:v>315191.59999999998</c:v>
                </c:pt>
                <c:pt idx="8">
                  <c:v>588262.45101010101</c:v>
                </c:pt>
                <c:pt idx="9">
                  <c:v>833759.32474747475</c:v>
                </c:pt>
                <c:pt idx="10">
                  <c:v>1070699.5015151515</c:v>
                </c:pt>
                <c:pt idx="11">
                  <c:v>1223700.2843434343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0D-4259-85CF-351D0BBC4232}"/>
            </c:ext>
          </c:extLst>
        </c:ser>
        <c:ser>
          <c:idx val="3"/>
          <c:order val="3"/>
          <c:tx>
            <c:strRef>
              <c:f>Dashboard!$DI$40</c:f>
              <c:strCache>
                <c:ptCount val="1"/>
                <c:pt idx="0">
                  <c:v>USA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2.7434113304617086E-3"/>
                  <c:y val="5.6746391273690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6D-42A8-B266-11BFC393F1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Dashboard!$DL$27:$DW$27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45746</c:v>
                </c:pt>
                <c:pt idx="3">
                  <c:v>45777</c:v>
                </c:pt>
                <c:pt idx="4">
                  <c:v>45807</c:v>
                </c:pt>
                <c:pt idx="5">
                  <c:v>45838</c:v>
                </c:pt>
                <c:pt idx="6">
                  <c:v>45868</c:v>
                </c:pt>
                <c:pt idx="7">
                  <c:v>45899</c:v>
                </c:pt>
                <c:pt idx="8">
                  <c:v>45930</c:v>
                </c:pt>
                <c:pt idx="9">
                  <c:v>45960</c:v>
                </c:pt>
                <c:pt idx="10">
                  <c:v>45991</c:v>
                </c:pt>
                <c:pt idx="11">
                  <c:v>46021</c:v>
                </c:pt>
              </c:numCache>
            </c:numRef>
          </c:cat>
          <c:val>
            <c:numRef>
              <c:f>Dashboard!$DL$40:$DW$40</c:f>
              <c:numCache>
                <c:formatCode>_(* #,##0_);_(* \(#,##0\);_(* "-"_);_(@_)</c:formatCode>
                <c:ptCount val="12"/>
                <c:pt idx="0">
                  <c:v>150438</c:v>
                </c:pt>
                <c:pt idx="1">
                  <c:v>391878.20999999996</c:v>
                </c:pt>
                <c:pt idx="2">
                  <c:v>474676.20999999996</c:v>
                </c:pt>
                <c:pt idx="3">
                  <c:v>633978.21</c:v>
                </c:pt>
                <c:pt idx="4">
                  <c:v>781402.21</c:v>
                </c:pt>
                <c:pt idx="5">
                  <c:v>839020.21</c:v>
                </c:pt>
                <c:pt idx="6">
                  <c:v>829003.21</c:v>
                </c:pt>
                <c:pt idx="7">
                  <c:v>847988.21</c:v>
                </c:pt>
                <c:pt idx="8">
                  <c:v>811718.5682251082</c:v>
                </c:pt>
                <c:pt idx="9">
                  <c:v>775448.92645021644</c:v>
                </c:pt>
                <c:pt idx="10">
                  <c:v>739179.28467532468</c:v>
                </c:pt>
                <c:pt idx="11">
                  <c:v>697909.64290043293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0D-4259-85CF-351D0BBC4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6514336"/>
        <c:axId val="1176516736"/>
      </c:lineChart>
      <c:dateAx>
        <c:axId val="11765143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176516736"/>
        <c:crosses val="autoZero"/>
        <c:auto val="1"/>
        <c:lblOffset val="100"/>
        <c:baseTimeUnit val="months"/>
      </c:dateAx>
      <c:valAx>
        <c:axId val="1176516736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17651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="1"/>
              <a:t># Modulos</a:t>
            </a:r>
            <a:r>
              <a:rPr lang="es-CL" b="1" baseline="0"/>
              <a:t> por Status</a:t>
            </a:r>
          </a:p>
        </c:rich>
      </c:tx>
      <c:layout>
        <c:manualLayout>
          <c:xMode val="edge"/>
          <c:yMode val="edge"/>
          <c:x val="5.8972222222222197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Dashboard!$DI$78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Dashboard!$DK$77:$DS$77</c15:sqref>
                  </c15:fullRef>
                </c:ext>
              </c:extLst>
              <c:f>Dashboard!$DL$77:$DS$77</c:f>
              <c:numCache>
                <c:formatCode>mmm\-yy</c:formatCode>
                <c:ptCount val="8"/>
                <c:pt idx="0">
                  <c:v>45807</c:v>
                </c:pt>
                <c:pt idx="1">
                  <c:v>45838</c:v>
                </c:pt>
                <c:pt idx="2">
                  <c:v>45868</c:v>
                </c:pt>
                <c:pt idx="3">
                  <c:v>45899</c:v>
                </c:pt>
                <c:pt idx="4">
                  <c:v>45930</c:v>
                </c:pt>
                <c:pt idx="5">
                  <c:v>45960</c:v>
                </c:pt>
                <c:pt idx="6">
                  <c:v>45991</c:v>
                </c:pt>
                <c:pt idx="7">
                  <c:v>46021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Dashboard!$DK$78:$DS$78</c15:sqref>
                  </c15:fullRef>
                </c:ext>
              </c:extLst>
              <c:f>Dashboard!$DL$78:$DS$78</c:f>
              <c:numCache>
                <c:formatCode>_(* #,##0_);_(* \(#,##0\);_(* "-"_);_(@_)</c:formatCode>
                <c:ptCount val="8"/>
                <c:pt idx="0">
                  <c:v>24.946308724832214</c:v>
                </c:pt>
                <c:pt idx="1">
                  <c:v>21.52572706935123</c:v>
                </c:pt>
                <c:pt idx="2">
                  <c:v>13.639821029082777</c:v>
                </c:pt>
                <c:pt idx="3">
                  <c:v>5.3154362416107404</c:v>
                </c:pt>
                <c:pt idx="4">
                  <c:v>2.8948545861297568</c:v>
                </c:pt>
                <c:pt idx="5">
                  <c:v>2.8948545861297568</c:v>
                </c:pt>
                <c:pt idx="6">
                  <c:v>2.8948545861297568</c:v>
                </c:pt>
                <c:pt idx="7">
                  <c:v>1.4474272930648768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8-4526-AE17-EE91637EB511}"/>
            </c:ext>
          </c:extLst>
        </c:ser>
        <c:ser>
          <c:idx val="1"/>
          <c:order val="1"/>
          <c:tx>
            <c:strRef>
              <c:f>Dashboard!$DI$79</c:f>
              <c:strCache>
                <c:ptCount val="1"/>
                <c:pt idx="0">
                  <c:v>Asignado</c:v>
                </c:pt>
              </c:strCache>
            </c:strRef>
          </c:tx>
          <c:spPr>
            <a:solidFill>
              <a:srgbClr val="C9FFED"/>
            </a:solidFill>
            <a:ln w="25400"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Dashboard!$DK$77:$DS$77</c15:sqref>
                  </c15:fullRef>
                </c:ext>
              </c:extLst>
              <c:f>Dashboard!$DL$77:$DS$77</c:f>
              <c:numCache>
                <c:formatCode>mmm\-yy</c:formatCode>
                <c:ptCount val="8"/>
                <c:pt idx="0">
                  <c:v>45807</c:v>
                </c:pt>
                <c:pt idx="1">
                  <c:v>45838</c:v>
                </c:pt>
                <c:pt idx="2">
                  <c:v>45868</c:v>
                </c:pt>
                <c:pt idx="3">
                  <c:v>45899</c:v>
                </c:pt>
                <c:pt idx="4">
                  <c:v>45930</c:v>
                </c:pt>
                <c:pt idx="5">
                  <c:v>45960</c:v>
                </c:pt>
                <c:pt idx="6">
                  <c:v>45991</c:v>
                </c:pt>
                <c:pt idx="7">
                  <c:v>46021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Dashboard!$DK$79:$DS$79</c15:sqref>
                  </c15:fullRef>
                </c:ext>
              </c:extLst>
              <c:f>Dashboard!$DL$79:$DS$79</c:f>
              <c:numCache>
                <c:formatCode>_(* #,##0_);_(* \(#,##0\);_(* "-"_);_(@_)</c:formatCode>
                <c:ptCount val="8"/>
                <c:pt idx="0">
                  <c:v>1</c:v>
                </c:pt>
                <c:pt idx="1">
                  <c:v>1.7203579418344503</c:v>
                </c:pt>
                <c:pt idx="2">
                  <c:v>5.8210290827740483</c:v>
                </c:pt>
                <c:pt idx="3">
                  <c:v>6.5413870246085004</c:v>
                </c:pt>
                <c:pt idx="4">
                  <c:v>6.5413870246085004</c:v>
                </c:pt>
                <c:pt idx="5">
                  <c:v>6.5413870246085004</c:v>
                </c:pt>
                <c:pt idx="6">
                  <c:v>3.2706935123042502</c:v>
                </c:pt>
                <c:pt idx="7">
                  <c:v>2.550335570469799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E8-4526-AE17-EE91637EB511}"/>
            </c:ext>
          </c:extLst>
        </c:ser>
        <c:ser>
          <c:idx val="2"/>
          <c:order val="2"/>
          <c:tx>
            <c:strRef>
              <c:f>Dashboard!$DI$80</c:f>
              <c:strCache>
                <c:ptCount val="1"/>
                <c:pt idx="0">
                  <c:v>No Asignado</c:v>
                </c:pt>
              </c:strCache>
            </c:strRef>
          </c:tx>
          <c:spPr>
            <a:pattFill prst="dkDnDiag">
              <a:fgClr>
                <a:schemeClr val="accent1">
                  <a:lumMod val="75000"/>
                </a:schemeClr>
              </a:fgClr>
              <a:bgClr>
                <a:schemeClr val="bg1"/>
              </a:bgClr>
            </a:pattFill>
            <a:ln w="25400"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Dashboard!$DK$77:$DS$77</c15:sqref>
                  </c15:fullRef>
                </c:ext>
              </c:extLst>
              <c:f>Dashboard!$DL$77:$DS$77</c:f>
              <c:numCache>
                <c:formatCode>mmm\-yy</c:formatCode>
                <c:ptCount val="8"/>
                <c:pt idx="0">
                  <c:v>45807</c:v>
                </c:pt>
                <c:pt idx="1">
                  <c:v>45838</c:v>
                </c:pt>
                <c:pt idx="2">
                  <c:v>45868</c:v>
                </c:pt>
                <c:pt idx="3">
                  <c:v>45899</c:v>
                </c:pt>
                <c:pt idx="4">
                  <c:v>45930</c:v>
                </c:pt>
                <c:pt idx="5">
                  <c:v>45960</c:v>
                </c:pt>
                <c:pt idx="6">
                  <c:v>45991</c:v>
                </c:pt>
                <c:pt idx="7">
                  <c:v>46021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Dashboard!$DK$80:$DS$80</c15:sqref>
                  </c15:fullRef>
                </c:ext>
              </c:extLst>
              <c:f>Dashboard!$DL$80:$DS$80</c:f>
              <c:numCache>
                <c:formatCode>_(* #,##0_);_(* \(#,##0\);_(* "-"_);_(@_)</c:formatCode>
                <c:ptCount val="8"/>
                <c:pt idx="0">
                  <c:v>0</c:v>
                </c:pt>
                <c:pt idx="1">
                  <c:v>0.24474272930648766</c:v>
                </c:pt>
                <c:pt idx="2">
                  <c:v>6.8237136465324362</c:v>
                </c:pt>
                <c:pt idx="3">
                  <c:v>8.3024608501118564</c:v>
                </c:pt>
                <c:pt idx="4">
                  <c:v>8.0853467561521271</c:v>
                </c:pt>
                <c:pt idx="5">
                  <c:v>6.1268456375838927</c:v>
                </c:pt>
                <c:pt idx="6">
                  <c:v>5.6268456375838927</c:v>
                </c:pt>
                <c:pt idx="7">
                  <c:v>4.3586129753914991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E8-4526-AE17-EE91637EB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6514336"/>
        <c:axId val="1176516736"/>
      </c:areaChart>
      <c:lineChart>
        <c:grouping val="standard"/>
        <c:varyColors val="0"/>
        <c:ser>
          <c:idx val="3"/>
          <c:order val="3"/>
          <c:tx>
            <c:strRef>
              <c:f>Dashboard!$DI$81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Dashboard!$DL$83:$DS$83</c15:sqref>
                  </c15:fullRef>
                </c:ext>
              </c:extLst>
              <c:f>Dashboard!$DM$83:$DS$83</c:f>
              <c:numCache>
                <c:formatCode>mmm\-yy</c:formatCode>
                <c:ptCount val="7"/>
                <c:pt idx="0">
                  <c:v>45838</c:v>
                </c:pt>
                <c:pt idx="1">
                  <c:v>45868</c:v>
                </c:pt>
                <c:pt idx="2">
                  <c:v>45899</c:v>
                </c:pt>
                <c:pt idx="3">
                  <c:v>45930</c:v>
                </c:pt>
                <c:pt idx="4">
                  <c:v>45960</c:v>
                </c:pt>
                <c:pt idx="5">
                  <c:v>45991</c:v>
                </c:pt>
                <c:pt idx="6">
                  <c:v>46021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Dashboard!$DK$81:$DS$81</c15:sqref>
                  </c15:fullRef>
                </c:ext>
              </c:extLst>
              <c:f>Dashboard!$DL$81:$DS$81</c:f>
              <c:numCache>
                <c:formatCode>_(* #,##0_);_(* \(#,##0\);_(* "-"_);_(@_)</c:formatCode>
                <c:ptCount val="8"/>
                <c:pt idx="0">
                  <c:v>25.946308724832214</c:v>
                </c:pt>
                <c:pt idx="1">
                  <c:v>23.490827740492168</c:v>
                </c:pt>
                <c:pt idx="2">
                  <c:v>26.284563758389261</c:v>
                </c:pt>
                <c:pt idx="3">
                  <c:v>20.159284116331097</c:v>
                </c:pt>
                <c:pt idx="4">
                  <c:v>17.521588366890384</c:v>
                </c:pt>
                <c:pt idx="5">
                  <c:v>15.56308724832215</c:v>
                </c:pt>
                <c:pt idx="6">
                  <c:v>11.7923937360179</c:v>
                </c:pt>
                <c:pt idx="7">
                  <c:v>8.3563758389261746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E8-4526-AE17-EE91637EB511}"/>
            </c:ext>
          </c:extLst>
        </c:ser>
        <c:ser>
          <c:idx val="4"/>
          <c:order val="4"/>
          <c:tx>
            <c:strRef>
              <c:f>Dashboard!$DI$90</c:f>
              <c:strCache>
                <c:ptCount val="1"/>
                <c:pt idx="0">
                  <c:v>Modulos Actuales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Dashboard!$DL$83:$DS$83</c15:sqref>
                  </c15:fullRef>
                </c:ext>
              </c:extLst>
              <c:f>Dashboard!$DM$83:$DS$83</c:f>
              <c:numCache>
                <c:formatCode>mmm\-yy</c:formatCode>
                <c:ptCount val="7"/>
                <c:pt idx="0">
                  <c:v>45838</c:v>
                </c:pt>
                <c:pt idx="1">
                  <c:v>45868</c:v>
                </c:pt>
                <c:pt idx="2">
                  <c:v>45899</c:v>
                </c:pt>
                <c:pt idx="3">
                  <c:v>45930</c:v>
                </c:pt>
                <c:pt idx="4">
                  <c:v>45960</c:v>
                </c:pt>
                <c:pt idx="5">
                  <c:v>45991</c:v>
                </c:pt>
                <c:pt idx="6">
                  <c:v>46021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Dashboard!$DL$90:$DS$90</c15:sqref>
                  </c15:fullRef>
                </c:ext>
              </c:extLst>
              <c:f>Dashboard!$DM$90:$DS$90</c:f>
              <c:numCache>
                <c:formatCode>_(* #,##0_);_(* \(#,##0\);_(* "-"_);_(@_)</c:formatCode>
                <c:ptCount val="7"/>
                <c:pt idx="0">
                  <c:v>26.666666666666668</c:v>
                </c:pt>
                <c:pt idx="1">
                  <c:v>26.666666666666668</c:v>
                </c:pt>
                <c:pt idx="2">
                  <c:v>26.666666666666668</c:v>
                </c:pt>
                <c:pt idx="3">
                  <c:v>26.666666666666668</c:v>
                </c:pt>
                <c:pt idx="4">
                  <c:v>26.666666666666668</c:v>
                </c:pt>
                <c:pt idx="5">
                  <c:v>26.666666666666668</c:v>
                </c:pt>
                <c:pt idx="6">
                  <c:v>26.666666666666668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E8-4526-AE17-EE91637EB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6514336"/>
        <c:axId val="1176516736"/>
      </c:lineChart>
      <c:dateAx>
        <c:axId val="11765143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176516736"/>
        <c:crosses val="autoZero"/>
        <c:auto val="1"/>
        <c:lblOffset val="100"/>
        <c:baseTimeUnit val="months"/>
      </c:dateAx>
      <c:valAx>
        <c:axId val="1176516736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17651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b="1"/>
              <a:t>Ingreso</a:t>
            </a:r>
            <a:r>
              <a:rPr lang="es-CL" b="1" baseline="0"/>
              <a:t> y Costo Total</a:t>
            </a:r>
            <a:endParaRPr lang="es-CL" b="1"/>
          </a:p>
        </c:rich>
      </c:tx>
      <c:layout>
        <c:manualLayout>
          <c:xMode val="edge"/>
          <c:yMode val="edge"/>
          <c:x val="5.8972222222222197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2"/>
          <c:order val="0"/>
          <c:tx>
            <c:strRef>
              <c:f>Dashboard!$DI$30</c:f>
              <c:strCache>
                <c:ptCount val="1"/>
                <c:pt idx="0">
                  <c:v>Brasil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Dashboard!$DL$45:$DW$45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45746</c:v>
                </c:pt>
                <c:pt idx="3">
                  <c:v>45777</c:v>
                </c:pt>
                <c:pt idx="4">
                  <c:v>45807</c:v>
                </c:pt>
                <c:pt idx="5">
                  <c:v>45838</c:v>
                </c:pt>
                <c:pt idx="6">
                  <c:v>45868</c:v>
                </c:pt>
                <c:pt idx="7">
                  <c:v>45899</c:v>
                </c:pt>
                <c:pt idx="8">
                  <c:v>45930</c:v>
                </c:pt>
                <c:pt idx="9">
                  <c:v>45960</c:v>
                </c:pt>
                <c:pt idx="10">
                  <c:v>45991</c:v>
                </c:pt>
                <c:pt idx="11">
                  <c:v>46021</c:v>
                </c:pt>
              </c:numCache>
            </c:numRef>
          </c:cat>
          <c:val>
            <c:numRef>
              <c:f>Dashboard!$DL$46:$DW$46</c:f>
              <c:numCache>
                <c:formatCode>#,##0</c:formatCode>
                <c:ptCount val="12"/>
                <c:pt idx="0">
                  <c:v>717165.73390557943</c:v>
                </c:pt>
                <c:pt idx="1">
                  <c:v>934594.82909871242</c:v>
                </c:pt>
                <c:pt idx="2">
                  <c:v>783696.25965665234</c:v>
                </c:pt>
                <c:pt idx="3">
                  <c:v>624290.96566523612</c:v>
                </c:pt>
                <c:pt idx="4">
                  <c:v>687704.59442060092</c:v>
                </c:pt>
                <c:pt idx="5">
                  <c:v>807316.07296137337</c:v>
                </c:pt>
                <c:pt idx="6">
                  <c:v>1002475.0698534797</c:v>
                </c:pt>
                <c:pt idx="7">
                  <c:v>874898.8817582418</c:v>
                </c:pt>
                <c:pt idx="8">
                  <c:v>924933.38969474973</c:v>
                </c:pt>
                <c:pt idx="9">
                  <c:v>910715.4730280831</c:v>
                </c:pt>
                <c:pt idx="10">
                  <c:v>661009.42540903541</c:v>
                </c:pt>
                <c:pt idx="11">
                  <c:v>566092.75874236878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D5-400D-82F5-68B9AAB2D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6514336"/>
        <c:axId val="1176516736"/>
      </c:areaChart>
      <c:lineChart>
        <c:grouping val="standard"/>
        <c:varyColors val="0"/>
        <c:ser>
          <c:idx val="4"/>
          <c:order val="1"/>
          <c:tx>
            <c:strRef>
              <c:f>Dashboard!$DI$46</c:f>
              <c:strCache>
                <c:ptCount val="1"/>
                <c:pt idx="0">
                  <c:v>Ingreso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Dashboard!$DL$45:$DW$45</c:f>
              <c:numCache>
                <c:formatCode>mmm\-yy</c:formatCode>
                <c:ptCount val="12"/>
                <c:pt idx="0">
                  <c:v>45687</c:v>
                </c:pt>
                <c:pt idx="1">
                  <c:v>45716</c:v>
                </c:pt>
                <c:pt idx="2">
                  <c:v>45746</c:v>
                </c:pt>
                <c:pt idx="3">
                  <c:v>45777</c:v>
                </c:pt>
                <c:pt idx="4">
                  <c:v>45807</c:v>
                </c:pt>
                <c:pt idx="5">
                  <c:v>45838</c:v>
                </c:pt>
                <c:pt idx="6">
                  <c:v>45868</c:v>
                </c:pt>
                <c:pt idx="7">
                  <c:v>45899</c:v>
                </c:pt>
                <c:pt idx="8">
                  <c:v>45930</c:v>
                </c:pt>
                <c:pt idx="9">
                  <c:v>45960</c:v>
                </c:pt>
                <c:pt idx="10">
                  <c:v>45991</c:v>
                </c:pt>
                <c:pt idx="11">
                  <c:v>46021</c:v>
                </c:pt>
              </c:numCache>
            </c:numRef>
          </c:cat>
          <c:val>
            <c:numRef>
              <c:f>Dashboard!$DL$46:$DW$46</c:f>
              <c:numCache>
                <c:formatCode>#,##0</c:formatCode>
                <c:ptCount val="12"/>
                <c:pt idx="0">
                  <c:v>717165.73390557943</c:v>
                </c:pt>
                <c:pt idx="1">
                  <c:v>934594.82909871242</c:v>
                </c:pt>
                <c:pt idx="2">
                  <c:v>783696.25965665234</c:v>
                </c:pt>
                <c:pt idx="3">
                  <c:v>624290.96566523612</c:v>
                </c:pt>
                <c:pt idx="4">
                  <c:v>687704.59442060092</c:v>
                </c:pt>
                <c:pt idx="5">
                  <c:v>807316.07296137337</c:v>
                </c:pt>
                <c:pt idx="6">
                  <c:v>1002475.0698534797</c:v>
                </c:pt>
                <c:pt idx="7">
                  <c:v>874898.8817582418</c:v>
                </c:pt>
                <c:pt idx="8">
                  <c:v>924933.38969474973</c:v>
                </c:pt>
                <c:pt idx="9">
                  <c:v>910715.4730280831</c:v>
                </c:pt>
                <c:pt idx="10">
                  <c:v>661009.42540903541</c:v>
                </c:pt>
                <c:pt idx="11">
                  <c:v>566092.75874236878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D5-400D-82F5-68B9AAB2D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6514336"/>
        <c:axId val="1176516736"/>
      </c:lineChart>
      <c:lineChart>
        <c:grouping val="standard"/>
        <c:varyColors val="0"/>
        <c:ser>
          <c:idx val="6"/>
          <c:order val="2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907949767194036"/>
                      <c:h val="5.758421004094311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0D5-400D-82F5-68B9AAB2D32A}"/>
                </c:ext>
              </c:extLst>
            </c:dLbl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672366880157104"/>
                      <c:h val="5.758421004094311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20D5-400D-82F5-68B9AAB2D32A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927236366933959"/>
                      <c:h val="5.758421004094311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0D5-400D-82F5-68B9AAB2D32A}"/>
                </c:ext>
              </c:extLst>
            </c:dLbl>
            <c:dLbl>
              <c:idx val="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920337448241839"/>
                      <c:h val="5.758421004094311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20D5-400D-82F5-68B9AAB2D32A}"/>
                </c:ext>
              </c:extLst>
            </c:dLbl>
            <c:dLbl>
              <c:idx val="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48231338533411"/>
                      <c:h val="5.758421004094311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20D5-400D-82F5-68B9AAB2D32A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789474940220219"/>
                      <c:h val="5.758421004094311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20D5-400D-82F5-68B9AAB2D32A}"/>
                </c:ext>
              </c:extLst>
            </c:dLbl>
            <c:dLbl>
              <c:idx val="6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031935051236404"/>
                      <c:h val="5.758421004094311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20D5-400D-82F5-68B9AAB2D32A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120102364333198"/>
                      <c:h val="5.758421004094311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20D5-400D-82F5-68B9AAB2D32A}"/>
                </c:ext>
              </c:extLst>
            </c:dLbl>
            <c:dLbl>
              <c:idx val="8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036057046681381"/>
                      <c:h val="5.758421004094311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20D5-400D-82F5-68B9AAB2D32A}"/>
                </c:ext>
              </c:extLst>
            </c:dLbl>
            <c:dLbl>
              <c:idx val="9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921725909865411"/>
                      <c:h val="5.758421004094311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20D5-400D-82F5-68B9AAB2D32A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7384923649797"/>
                      <c:h val="5.758421004094311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20D5-400D-82F5-68B9AAB2D32A}"/>
                </c:ext>
              </c:extLst>
            </c:dLbl>
            <c:dLbl>
              <c:idx val="1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697185631678446"/>
                      <c:h val="5.758421004094311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2-20D5-400D-82F5-68B9AAB2D3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2700000" spcFirstLastPara="1" vertOverflow="overflow" horzOverflow="overflow" vert="horz" wrap="square" lIns="38100" tIns="19050" rIns="38100" bIns="19050" anchor="ctr" anchorCtr="1">
                <a:noAutofit/>
              </a:bodyPr>
              <a:lstStyle/>
              <a:p>
                <a:pPr>
                  <a:defRPr sz="600" b="0" i="0" u="none" strike="noStrike" kern="1200" baseline="0">
                    <a:solidFill>
                      <a:srgbClr val="C00000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Dashboard!$DL$49:$DW$49</c:f>
              <c:numCache>
                <c:formatCode>_(* #,##0_);_(* \(#,##0\);_(* "-"_);_(@_)</c:formatCode>
                <c:ptCount val="12"/>
                <c:pt idx="0">
                  <c:v>-521821.49806866958</c:v>
                </c:pt>
                <c:pt idx="1">
                  <c:v>-533560.63733905577</c:v>
                </c:pt>
                <c:pt idx="2">
                  <c:v>-617807.17918454926</c:v>
                </c:pt>
                <c:pt idx="3">
                  <c:v>-555462.04656652361</c:v>
                </c:pt>
                <c:pt idx="4">
                  <c:v>-566053.80364806869</c:v>
                </c:pt>
                <c:pt idx="5">
                  <c:v>-639612.27317596576</c:v>
                </c:pt>
                <c:pt idx="6">
                  <c:v>-632463.59781191871</c:v>
                </c:pt>
                <c:pt idx="7">
                  <c:v>-543363.59781191871</c:v>
                </c:pt>
                <c:pt idx="8">
                  <c:v>-556499.96144828235</c:v>
                </c:pt>
                <c:pt idx="9">
                  <c:v>-523045.41599373682</c:v>
                </c:pt>
                <c:pt idx="10">
                  <c:v>-502181.77963010047</c:v>
                </c:pt>
                <c:pt idx="11">
                  <c:v>-511590.87053919141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D5-400D-82F5-68B9AAB2D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9568112"/>
        <c:axId val="1619584432"/>
      </c:lineChart>
      <c:dateAx>
        <c:axId val="11765143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176516736"/>
        <c:crosses val="autoZero"/>
        <c:auto val="1"/>
        <c:lblOffset val="100"/>
        <c:baseTimeUnit val="months"/>
      </c:dateAx>
      <c:valAx>
        <c:axId val="117651673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176514336"/>
        <c:crosses val="autoZero"/>
        <c:crossBetween val="between"/>
      </c:valAx>
      <c:valAx>
        <c:axId val="1619584432"/>
        <c:scaling>
          <c:orientation val="minMax"/>
        </c:scaling>
        <c:delete val="1"/>
        <c:axPos val="r"/>
        <c:numFmt formatCode="_(* #,##0_);_(* \(#,##0\);_(* &quot;-&quot;_);_(@_)" sourceLinked="1"/>
        <c:majorTickMark val="out"/>
        <c:minorTickMark val="none"/>
        <c:tickLblPos val="nextTo"/>
        <c:crossAx val="1619568112"/>
        <c:crosses val="max"/>
        <c:crossBetween val="between"/>
      </c:valAx>
      <c:catAx>
        <c:axId val="1619568112"/>
        <c:scaling>
          <c:orientation val="minMax"/>
        </c:scaling>
        <c:delete val="1"/>
        <c:axPos val="b"/>
        <c:majorTickMark val="out"/>
        <c:minorTickMark val="none"/>
        <c:tickLblPos val="nextTo"/>
        <c:crossAx val="16195844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sz="1000" b="1"/>
              <a:t>Distribución flujo 2025</a:t>
            </a:r>
          </a:p>
        </c:rich>
      </c:tx>
      <c:layout>
        <c:manualLayout>
          <c:xMode val="edge"/>
          <c:yMode val="edge"/>
          <c:x val="1.8291602976804978E-2"/>
          <c:y val="3.60096452381598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0A-4DCA-A0E1-316F77E3E15D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0E0A-4DCA-A0E1-316F77E3E15D}"/>
              </c:ext>
            </c:extLst>
          </c:dPt>
          <c:dPt>
            <c:idx val="2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0A-4DCA-A0E1-316F77E3E15D}"/>
              </c:ext>
            </c:extLst>
          </c:dPt>
          <c:dPt>
            <c:idx val="3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0E0A-4DCA-A0E1-316F77E3E1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Dashboard!$DI$37:$DI$41</c15:sqref>
                  </c15:fullRef>
                </c:ext>
              </c:extLst>
              <c:f>Dashboard!$DI$37:$DI$40</c:f>
              <c:strCache>
                <c:ptCount val="4"/>
                <c:pt idx="0">
                  <c:v>Chile</c:v>
                </c:pt>
                <c:pt idx="1">
                  <c:v>Perú</c:v>
                </c:pt>
                <c:pt idx="2">
                  <c:v>Brasil</c:v>
                </c:pt>
                <c:pt idx="3">
                  <c:v>USA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Dashboard!$DJ$37:$DJ$41</c15:sqref>
                  </c15:fullRef>
                </c:ext>
              </c:extLst>
              <c:f>Dashboard!$DJ$37:$DJ$40</c:f>
              <c:numCache>
                <c:formatCode>_(* #,##0_);_(* \(#,##0\);_(* "-"_);_(@_)</c:formatCode>
                <c:ptCount val="4"/>
                <c:pt idx="0">
                  <c:v>-1250779.8202924067</c:v>
                </c:pt>
                <c:pt idx="1">
                  <c:v>1756529.2042857143</c:v>
                </c:pt>
                <c:pt idx="2">
                  <c:v>1223700.2843434343</c:v>
                </c:pt>
                <c:pt idx="3">
                  <c:v>697909.64290043293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0E0A-4DCA-A0E1-316F77E3E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/>
              <a:t>Proyección</a:t>
            </a:r>
            <a:r>
              <a:rPr lang="es-CL" b="1" baseline="0"/>
              <a:t> Módulos</a:t>
            </a:r>
            <a:endParaRPr lang="es-CL" b="1"/>
          </a:p>
        </c:rich>
      </c:tx>
      <c:layout>
        <c:manualLayout>
          <c:xMode val="edge"/>
          <c:yMode val="edge"/>
          <c:x val="2.1505941062247878E-2"/>
          <c:y val="2.24528269641361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'Gantt Proyectos'!$AD$10:$AD$11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'Gantt Proyectos'!$AF$96:$AN$96</c:f>
              <c:numCache>
                <c:formatCode>mmm\-yy</c:formatCode>
                <c:ptCount val="8"/>
                <c:pt idx="0">
                  <c:v>45807</c:v>
                </c:pt>
                <c:pt idx="1">
                  <c:v>45838</c:v>
                </c:pt>
                <c:pt idx="2">
                  <c:v>45868</c:v>
                </c:pt>
                <c:pt idx="3">
                  <c:v>45899</c:v>
                </c:pt>
                <c:pt idx="4">
                  <c:v>45930</c:v>
                </c:pt>
                <c:pt idx="5">
                  <c:v>45960</c:v>
                </c:pt>
                <c:pt idx="6">
                  <c:v>45991</c:v>
                </c:pt>
                <c:pt idx="7">
                  <c:v>46021</c:v>
                </c:pt>
              </c:numCache>
            </c:numRef>
          </c:cat>
          <c:val>
            <c:numRef>
              <c:f>'Gantt Proyectos'!$AF$11:$AN$11</c:f>
              <c:numCache>
                <c:formatCode>0</c:formatCode>
                <c:ptCount val="8"/>
                <c:pt idx="0">
                  <c:v>24.946308724832214</c:v>
                </c:pt>
                <c:pt idx="1">
                  <c:v>21.52572706935123</c:v>
                </c:pt>
                <c:pt idx="2">
                  <c:v>13.639821029082777</c:v>
                </c:pt>
                <c:pt idx="3">
                  <c:v>5.3154362416107404</c:v>
                </c:pt>
                <c:pt idx="4">
                  <c:v>2.8948545861297568</c:v>
                </c:pt>
                <c:pt idx="5">
                  <c:v>2.8948545861297568</c:v>
                </c:pt>
                <c:pt idx="6">
                  <c:v>2.8948545861297568</c:v>
                </c:pt>
                <c:pt idx="7">
                  <c:v>1.4474272930648768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00-44C9-9EEB-6CCBA1AAD67B}"/>
            </c:ext>
          </c:extLst>
        </c:ser>
        <c:ser>
          <c:idx val="1"/>
          <c:order val="1"/>
          <c:tx>
            <c:strRef>
              <c:f>'Gantt Proyectos'!$AD$12:$AD$13</c:f>
              <c:strCache>
                <c:ptCount val="1"/>
                <c:pt idx="0">
                  <c:v>Actuales + Asignados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'Gantt Proyectos'!$AF$96:$AN$96</c:f>
              <c:numCache>
                <c:formatCode>mmm\-yy</c:formatCode>
                <c:ptCount val="8"/>
                <c:pt idx="0">
                  <c:v>45807</c:v>
                </c:pt>
                <c:pt idx="1">
                  <c:v>45838</c:v>
                </c:pt>
                <c:pt idx="2">
                  <c:v>45868</c:v>
                </c:pt>
                <c:pt idx="3">
                  <c:v>45899</c:v>
                </c:pt>
                <c:pt idx="4">
                  <c:v>45930</c:v>
                </c:pt>
                <c:pt idx="5">
                  <c:v>45960</c:v>
                </c:pt>
                <c:pt idx="6">
                  <c:v>45991</c:v>
                </c:pt>
                <c:pt idx="7">
                  <c:v>46021</c:v>
                </c:pt>
              </c:numCache>
            </c:numRef>
          </c:cat>
          <c:val>
            <c:numRef>
              <c:f>'Gantt Proyectos'!$AF$13:$AN$13</c:f>
              <c:numCache>
                <c:formatCode>0</c:formatCode>
                <c:ptCount val="8"/>
                <c:pt idx="0">
                  <c:v>25.946308724832214</c:v>
                </c:pt>
                <c:pt idx="1">
                  <c:v>23.246085011185681</c:v>
                </c:pt>
                <c:pt idx="2">
                  <c:v>19.460850111856825</c:v>
                </c:pt>
                <c:pt idx="3">
                  <c:v>11.856823266219241</c:v>
                </c:pt>
                <c:pt idx="4">
                  <c:v>9.4362416107382572</c:v>
                </c:pt>
                <c:pt idx="5">
                  <c:v>9.4362416107382572</c:v>
                </c:pt>
                <c:pt idx="6">
                  <c:v>6.165548098434007</c:v>
                </c:pt>
                <c:pt idx="7">
                  <c:v>3.9977628635346756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00-44C9-9EEB-6CCBA1AAD67B}"/>
            </c:ext>
          </c:extLst>
        </c:ser>
        <c:ser>
          <c:idx val="2"/>
          <c:order val="2"/>
          <c:tx>
            <c:strRef>
              <c:f>'Gantt Proyectos'!$AD$14:$AD$15</c:f>
              <c:strCache>
                <c:ptCount val="1"/>
                <c:pt idx="0">
                  <c:v>Actuales + Asignados + No Asignados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'Gantt Proyectos'!$AF$96:$AN$96</c:f>
              <c:numCache>
                <c:formatCode>mmm\-yy</c:formatCode>
                <c:ptCount val="8"/>
                <c:pt idx="0">
                  <c:v>45807</c:v>
                </c:pt>
                <c:pt idx="1">
                  <c:v>45838</c:v>
                </c:pt>
                <c:pt idx="2">
                  <c:v>45868</c:v>
                </c:pt>
                <c:pt idx="3">
                  <c:v>45899</c:v>
                </c:pt>
                <c:pt idx="4">
                  <c:v>45930</c:v>
                </c:pt>
                <c:pt idx="5">
                  <c:v>45960</c:v>
                </c:pt>
                <c:pt idx="6">
                  <c:v>45991</c:v>
                </c:pt>
                <c:pt idx="7">
                  <c:v>46021</c:v>
                </c:pt>
              </c:numCache>
            </c:numRef>
          </c:cat>
          <c:val>
            <c:numRef>
              <c:f>'Gantt Proyectos'!$AF$15:$AN$15</c:f>
              <c:numCache>
                <c:formatCode>0</c:formatCode>
                <c:ptCount val="8"/>
                <c:pt idx="0">
                  <c:v>25.946308724832214</c:v>
                </c:pt>
                <c:pt idx="1">
                  <c:v>23.490827740492168</c:v>
                </c:pt>
                <c:pt idx="2">
                  <c:v>26.284563758389261</c:v>
                </c:pt>
                <c:pt idx="3">
                  <c:v>20.159284116331097</c:v>
                </c:pt>
                <c:pt idx="4">
                  <c:v>17.521588366890384</c:v>
                </c:pt>
                <c:pt idx="5">
                  <c:v>15.56308724832215</c:v>
                </c:pt>
                <c:pt idx="6">
                  <c:v>11.7923937360179</c:v>
                </c:pt>
                <c:pt idx="7">
                  <c:v>8.3563758389261746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00-44C9-9EEB-6CCBA1AAD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626992"/>
        <c:axId val="833625072"/>
      </c:lineChart>
      <c:dateAx>
        <c:axId val="83362699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625072"/>
        <c:crosses val="autoZero"/>
        <c:auto val="1"/>
        <c:lblOffset val="100"/>
        <c:baseTimeUnit val="months"/>
      </c:dateAx>
      <c:valAx>
        <c:axId val="833625072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62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sz="900" b="1"/>
              <a:t>Distribución Personal</a:t>
            </a:r>
          </a:p>
        </c:rich>
      </c:tx>
      <c:layout>
        <c:manualLayout>
          <c:xMode val="edge"/>
          <c:yMode val="edge"/>
          <c:x val="1.9527777777777779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92-4F19-BF76-F457B043155C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92-4F19-BF76-F457B043155C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92-4F19-BF76-F457B043155C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692-4F19-BF76-F457B043155C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692-4F19-BF76-F457B04315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Personal!$L$15:$L$19</c:f>
              <c:strCache>
                <c:ptCount val="5"/>
                <c:pt idx="0">
                  <c:v>Director de Proyecto</c:v>
                </c:pt>
                <c:pt idx="1">
                  <c:v>Ingeniero Principal</c:v>
                </c:pt>
                <c:pt idx="2">
                  <c:v>Ingeniero Senior</c:v>
                </c:pt>
                <c:pt idx="3">
                  <c:v>Ingeniero de Proyecto</c:v>
                </c:pt>
                <c:pt idx="4">
                  <c:v>Ingeniero Junior</c:v>
                </c:pt>
              </c:strCache>
            </c:strRef>
          </c:cat>
          <c:val>
            <c:numRef>
              <c:f>Personal!$M$15:$M$19</c:f>
              <c:numCache>
                <c:formatCode>General</c:formatCode>
                <c:ptCount val="5"/>
                <c:pt idx="0">
                  <c:v>8</c:v>
                </c:pt>
                <c:pt idx="1">
                  <c:v>10</c:v>
                </c:pt>
                <c:pt idx="2">
                  <c:v>10</c:v>
                </c:pt>
                <c:pt idx="3">
                  <c:v>22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4-4CBF-BB61-2BAC6A1BDA8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2" Type="http://schemas.openxmlformats.org/officeDocument/2006/relationships/chart" Target="../charts/chart21.xml"/><Relationship Id="rId1" Type="http://schemas.openxmlformats.org/officeDocument/2006/relationships/image" Target="../media/image1.png"/><Relationship Id="rId6" Type="http://schemas.openxmlformats.org/officeDocument/2006/relationships/chart" Target="../charts/chart25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12</xdr:row>
      <xdr:rowOff>4763</xdr:rowOff>
    </xdr:from>
    <xdr:to>
      <xdr:col>6</xdr:col>
      <xdr:colOff>114299</xdr:colOff>
      <xdr:row>20</xdr:row>
      <xdr:rowOff>171451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FDBD11-80D0-47AD-B758-710A6D2786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204787</xdr:colOff>
      <xdr:row>12</xdr:row>
      <xdr:rowOff>14287</xdr:rowOff>
    </xdr:from>
    <xdr:to>
      <xdr:col>11</xdr:col>
      <xdr:colOff>285750</xdr:colOff>
      <xdr:row>20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6E38FF0-F3F2-4845-BCE7-A0FA82593E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228600</xdr:colOff>
      <xdr:row>22</xdr:row>
      <xdr:rowOff>66675</xdr:rowOff>
    </xdr:from>
    <xdr:to>
      <xdr:col>11</xdr:col>
      <xdr:colOff>314325</xdr:colOff>
      <xdr:row>31</xdr:row>
      <xdr:rowOff>42863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AAB3AA5-FDE5-4324-BD78-39BF067A4C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342900</xdr:colOff>
      <xdr:row>12</xdr:row>
      <xdr:rowOff>9525</xdr:rowOff>
    </xdr:from>
    <xdr:to>
      <xdr:col>16</xdr:col>
      <xdr:colOff>423863</xdr:colOff>
      <xdr:row>20</xdr:row>
      <xdr:rowOff>166688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23BD929-1933-4E2B-BB2C-D154258815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11</xdr:row>
      <xdr:rowOff>4763</xdr:rowOff>
    </xdr:from>
    <xdr:to>
      <xdr:col>6</xdr:col>
      <xdr:colOff>114299</xdr:colOff>
      <xdr:row>19</xdr:row>
      <xdr:rowOff>171451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0E2C77-965D-46E0-9604-D5A9E2F4C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204787</xdr:colOff>
      <xdr:row>11</xdr:row>
      <xdr:rowOff>14287</xdr:rowOff>
    </xdr:from>
    <xdr:to>
      <xdr:col>11</xdr:col>
      <xdr:colOff>285750</xdr:colOff>
      <xdr:row>19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3E49DEB-75FC-42D7-B98C-09CAD128D0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514350</xdr:colOff>
      <xdr:row>20</xdr:row>
      <xdr:rowOff>161925</xdr:rowOff>
    </xdr:from>
    <xdr:to>
      <xdr:col>16</xdr:col>
      <xdr:colOff>600075</xdr:colOff>
      <xdr:row>29</xdr:row>
      <xdr:rowOff>138113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75D4A25-8406-43D5-944E-7BC0D5C4A3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342900</xdr:colOff>
      <xdr:row>11</xdr:row>
      <xdr:rowOff>9525</xdr:rowOff>
    </xdr:from>
    <xdr:to>
      <xdr:col>16</xdr:col>
      <xdr:colOff>423863</xdr:colOff>
      <xdr:row>19</xdr:row>
      <xdr:rowOff>166688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6B9FADC-D7CA-4A12-A19B-8686656BDF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75799</xdr:colOff>
      <xdr:row>2</xdr:row>
      <xdr:rowOff>8095</xdr:rowOff>
    </xdr:from>
    <xdr:to>
      <xdr:col>21</xdr:col>
      <xdr:colOff>402191</xdr:colOff>
      <xdr:row>10</xdr:row>
      <xdr:rowOff>178116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0E1A86-37C5-3C16-3F2E-3D2D0A9EB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75800</xdr:colOff>
      <xdr:row>11</xdr:row>
      <xdr:rowOff>9048</xdr:rowOff>
    </xdr:from>
    <xdr:to>
      <xdr:col>21</xdr:col>
      <xdr:colOff>402192</xdr:colOff>
      <xdr:row>20</xdr:row>
      <xdr:rowOff>23548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3824663-3590-4BF4-9D6E-F01A70B83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69450</xdr:colOff>
      <xdr:row>20</xdr:row>
      <xdr:rowOff>28750</xdr:rowOff>
    </xdr:from>
    <xdr:to>
      <xdr:col>21</xdr:col>
      <xdr:colOff>402192</xdr:colOff>
      <xdr:row>28</xdr:row>
      <xdr:rowOff>174060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104173F-0134-4907-968C-4AF2EAE908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21</xdr:col>
      <xdr:colOff>447911</xdr:colOff>
      <xdr:row>2</xdr:row>
      <xdr:rowOff>5238</xdr:rowOff>
    </xdr:from>
    <xdr:to>
      <xdr:col>26</xdr:col>
      <xdr:colOff>25635</xdr:colOff>
      <xdr:row>10</xdr:row>
      <xdr:rowOff>178116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CFC90FB-20DD-4BE9-B7FF-F00FAC3C1D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21</xdr:col>
      <xdr:colOff>448546</xdr:colOff>
      <xdr:row>11</xdr:row>
      <xdr:rowOff>6507</xdr:rowOff>
    </xdr:from>
    <xdr:to>
      <xdr:col>26</xdr:col>
      <xdr:colOff>21190</xdr:colOff>
      <xdr:row>20</xdr:row>
      <xdr:rowOff>24288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AADB584-AF71-4918-95EC-D271B09048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21</xdr:col>
      <xdr:colOff>447911</xdr:colOff>
      <xdr:row>20</xdr:row>
      <xdr:rowOff>28750</xdr:rowOff>
    </xdr:from>
    <xdr:to>
      <xdr:col>26</xdr:col>
      <xdr:colOff>25635</xdr:colOff>
      <xdr:row>28</xdr:row>
      <xdr:rowOff>174060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329173B-F9EB-423F-9CD5-1A0F3C154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13</xdr:col>
      <xdr:colOff>440690</xdr:colOff>
      <xdr:row>44</xdr:row>
      <xdr:rowOff>12488</xdr:rowOff>
    </xdr:from>
    <xdr:to>
      <xdr:col>17</xdr:col>
      <xdr:colOff>749933</xdr:colOff>
      <xdr:row>53</xdr:row>
      <xdr:rowOff>25718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E7786FA-E80F-462E-BE34-7AD137C851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13</xdr:col>
      <xdr:colOff>440691</xdr:colOff>
      <xdr:row>53</xdr:row>
      <xdr:rowOff>74083</xdr:rowOff>
    </xdr:from>
    <xdr:to>
      <xdr:col>17</xdr:col>
      <xdr:colOff>761364</xdr:colOff>
      <xdr:row>62</xdr:row>
      <xdr:rowOff>63818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6AF6223-165B-447B-8F5A-C0922ADA1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13</xdr:col>
      <xdr:colOff>437727</xdr:colOff>
      <xdr:row>62</xdr:row>
      <xdr:rowOff>103929</xdr:rowOff>
    </xdr:from>
    <xdr:to>
      <xdr:col>17</xdr:col>
      <xdr:colOff>746335</xdr:colOff>
      <xdr:row>71</xdr:row>
      <xdr:rowOff>60644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4A37D65E-9657-4EFB-96F3-52C2B7E611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18</xdr:col>
      <xdr:colOff>29846</xdr:colOff>
      <xdr:row>44</xdr:row>
      <xdr:rowOff>12489</xdr:rowOff>
    </xdr:from>
    <xdr:to>
      <xdr:col>22</xdr:col>
      <xdr:colOff>401321</xdr:colOff>
      <xdr:row>53</xdr:row>
      <xdr:rowOff>2224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76566E01-5C01-4B1B-BEDD-118AA3AA74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18</xdr:col>
      <xdr:colOff>29845</xdr:colOff>
      <xdr:row>53</xdr:row>
      <xdr:rowOff>86572</xdr:rowOff>
    </xdr:from>
    <xdr:to>
      <xdr:col>22</xdr:col>
      <xdr:colOff>401320</xdr:colOff>
      <xdr:row>62</xdr:row>
      <xdr:rowOff>78212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B3CB9AA9-6E15-4508-8E7F-C983BE669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18</xdr:col>
      <xdr:colOff>17356</xdr:colOff>
      <xdr:row>62</xdr:row>
      <xdr:rowOff>116417</xdr:rowOff>
    </xdr:from>
    <xdr:to>
      <xdr:col>22</xdr:col>
      <xdr:colOff>406611</xdr:colOff>
      <xdr:row>71</xdr:row>
      <xdr:rowOff>62337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7A04A0FF-1A53-47AD-97A8-9F0C0A81F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175260</xdr:colOff>
      <xdr:row>1</xdr:row>
      <xdr:rowOff>75278</xdr:rowOff>
    </xdr:from>
    <xdr:to>
      <xdr:col>2</xdr:col>
      <xdr:colOff>2019300</xdr:colOff>
      <xdr:row>3</xdr:row>
      <xdr:rowOff>134449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FB8F18-62BA-1968-B0B0-1407DF67F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75260" y="258158"/>
          <a:ext cx="1844040" cy="447791"/>
        </a:xfrm>
        <a:prstGeom prst="rect">
          <a:avLst/>
        </a:prstGeom>
      </xdr:spPr>
    </xdr:pic>
    <xdr:clientData/>
  </xdr:twoCellAnchor>
  <xdr:twoCellAnchor>
    <xdr:from>
      <xdr:col>127</xdr:col>
      <xdr:colOff>340396</xdr:colOff>
      <xdr:row>17</xdr:row>
      <xdr:rowOff>237913</xdr:rowOff>
    </xdr:from>
    <xdr:to>
      <xdr:col>133</xdr:col>
      <xdr:colOff>345913</xdr:colOff>
      <xdr:row>26</xdr:row>
      <xdr:rowOff>132627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E9CAE9F-B592-4D1F-CA51-D533B2C05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127</xdr:col>
      <xdr:colOff>341522</xdr:colOff>
      <xdr:row>9</xdr:row>
      <xdr:rowOff>1986085</xdr:rowOff>
    </xdr:from>
    <xdr:to>
      <xdr:col>133</xdr:col>
      <xdr:colOff>354262</xdr:colOff>
      <xdr:row>17</xdr:row>
      <xdr:rowOff>148776</xdr:rowOff>
    </xdr:to>
    <xdr:graphicFrame macro="">
      <xdr:nvGraphicFramePr>
        <xdr:cNvPr id="7" name="Gráfico 5">
          <a:extLst>
            <a:ext uri="{FF2B5EF4-FFF2-40B4-BE49-F238E27FC236}">
              <a16:creationId xmlns:a16="http://schemas.microsoft.com/office/drawing/2014/main" id="{72E08C5C-B7FC-4A4E-BFDC-F957C5FF5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123</xdr:col>
      <xdr:colOff>230002</xdr:colOff>
      <xdr:row>50</xdr:row>
      <xdr:rowOff>345</xdr:rowOff>
    </xdr:from>
    <xdr:to>
      <xdr:col>129</xdr:col>
      <xdr:colOff>68636</xdr:colOff>
      <xdr:row>62</xdr:row>
      <xdr:rowOff>26156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D9DF51A-6F08-41E3-89E6-3028FA5E67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123</xdr:col>
      <xdr:colOff>230001</xdr:colOff>
      <xdr:row>62</xdr:row>
      <xdr:rowOff>132666</xdr:rowOff>
    </xdr:from>
    <xdr:to>
      <xdr:col>129</xdr:col>
      <xdr:colOff>68635</xdr:colOff>
      <xdr:row>74</xdr:row>
      <xdr:rowOff>158477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AFF24DB-B4EB-49AF-9658-14722A024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127</xdr:col>
      <xdr:colOff>349652</xdr:colOff>
      <xdr:row>26</xdr:row>
      <xdr:rowOff>218990</xdr:rowOff>
    </xdr:from>
    <xdr:to>
      <xdr:col>133</xdr:col>
      <xdr:colOff>349052</xdr:colOff>
      <xdr:row>35</xdr:row>
      <xdr:rowOff>125725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F41DEEF-704C-4A9B-9056-4C68A06D7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123</xdr:col>
      <xdr:colOff>208358</xdr:colOff>
      <xdr:row>76</xdr:row>
      <xdr:rowOff>19150</xdr:rowOff>
    </xdr:from>
    <xdr:to>
      <xdr:col>129</xdr:col>
      <xdr:colOff>37601</xdr:colOff>
      <xdr:row>88</xdr:row>
      <xdr:rowOff>27032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0E8FC02-2D58-428E-AF57-4CD810B1D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127</xdr:col>
      <xdr:colOff>361710</xdr:colOff>
      <xdr:row>36</xdr:row>
      <xdr:rowOff>168796</xdr:rowOff>
    </xdr:from>
    <xdr:to>
      <xdr:col>136</xdr:col>
      <xdr:colOff>361710</xdr:colOff>
      <xdr:row>48</xdr:row>
      <xdr:rowOff>195716</xdr:rowOff>
    </xdr:to>
    <xdr:graphicFrame macro="">
      <xdr:nvGraphicFramePr>
        <xdr:cNvPr id="12" name="Gráfico 5">
          <a:extLst>
            <a:ext uri="{FF2B5EF4-FFF2-40B4-BE49-F238E27FC236}">
              <a16:creationId xmlns:a16="http://schemas.microsoft.com/office/drawing/2014/main" id="{49763529-5EAE-491F-A7FA-1EA6935F2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133</xdr:col>
      <xdr:colOff>432843</xdr:colOff>
      <xdr:row>26</xdr:row>
      <xdr:rowOff>217025</xdr:rowOff>
    </xdr:from>
    <xdr:to>
      <xdr:col>139</xdr:col>
      <xdr:colOff>409936</xdr:colOff>
      <xdr:row>35</xdr:row>
      <xdr:rowOff>93562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2BB0F8-EFBB-161A-184B-8B450A0D7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359229</xdr:colOff>
      <xdr:row>2</xdr:row>
      <xdr:rowOff>87086</xdr:rowOff>
    </xdr:from>
    <xdr:ext cx="1839686" cy="443436"/>
    <xdr:pic>
      <xdr:nvPicPr>
        <xdr:cNvPr id="2" name="Imagen 1">
          <a:extLst>
            <a:ext uri="{FF2B5EF4-FFF2-40B4-BE49-F238E27FC236}">
              <a16:creationId xmlns:a16="http://schemas.microsoft.com/office/drawing/2014/main" id="{B34E3C37-9D4C-4D8B-947B-2FE8F4AEB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59229" y="452846"/>
          <a:ext cx="1839686" cy="44343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511628</xdr:colOff>
      <xdr:row>9</xdr:row>
      <xdr:rowOff>152400</xdr:rowOff>
    </xdr:from>
    <xdr:to>
      <xdr:col>59</xdr:col>
      <xdr:colOff>63395</xdr:colOff>
      <xdr:row>36</xdr:row>
      <xdr:rowOff>119743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C5914A4-071F-461D-99C7-F9D94C2E0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359229</xdr:colOff>
      <xdr:row>2</xdr:row>
      <xdr:rowOff>87086</xdr:rowOff>
    </xdr:from>
    <xdr:to>
      <xdr:col>1</xdr:col>
      <xdr:colOff>1408612</xdr:colOff>
      <xdr:row>4</xdr:row>
      <xdr:rowOff>134282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A8FDC9D-C88F-4C20-8C44-12F8D6C85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59229" y="457200"/>
          <a:ext cx="1844040" cy="4477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315685</xdr:colOff>
      <xdr:row>2</xdr:row>
      <xdr:rowOff>54429</xdr:rowOff>
    </xdr:from>
    <xdr:to>
      <xdr:col>2</xdr:col>
      <xdr:colOff>570411</xdr:colOff>
      <xdr:row>5</xdr:row>
      <xdr:rowOff>1048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33E493-DEC5-4BA7-80C1-1AE578C88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15685" y="424543"/>
          <a:ext cx="1844040" cy="44779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315685</xdr:colOff>
      <xdr:row>2</xdr:row>
      <xdr:rowOff>54429</xdr:rowOff>
    </xdr:from>
    <xdr:to>
      <xdr:col>2</xdr:col>
      <xdr:colOff>534692</xdr:colOff>
      <xdr:row>4</xdr:row>
      <xdr:rowOff>136550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5478C5-075F-4696-8F8F-4E5800C23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15685" y="420189"/>
          <a:ext cx="1839686" cy="44343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315685</xdr:colOff>
      <xdr:row>2</xdr:row>
      <xdr:rowOff>54429</xdr:rowOff>
    </xdr:from>
    <xdr:to>
      <xdr:col>2</xdr:col>
      <xdr:colOff>570411</xdr:colOff>
      <xdr:row>4</xdr:row>
      <xdr:rowOff>132105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76BCB3-2DF9-45EA-B9B3-0BF02181F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15685" y="420189"/>
          <a:ext cx="1839686" cy="44343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315685</xdr:colOff>
      <xdr:row>2</xdr:row>
      <xdr:rowOff>54429</xdr:rowOff>
    </xdr:from>
    <xdr:to>
      <xdr:col>2</xdr:col>
      <xdr:colOff>570411</xdr:colOff>
      <xdr:row>4</xdr:row>
      <xdr:rowOff>132105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58392C-BE73-4AEA-8D5C-0F5A999F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15685" y="420189"/>
          <a:ext cx="1839686" cy="44343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2</xdr:row>
      <xdr:rowOff>60960</xdr:rowOff>
    </xdr:from>
    <xdr:to>
      <xdr:col>2</xdr:col>
      <xdr:colOff>548640</xdr:colOff>
      <xdr:row>5</xdr:row>
      <xdr:rowOff>28691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B6C821-4B8E-4161-8CE8-298073C6F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289560" y="426720"/>
          <a:ext cx="1844040" cy="44779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315685</xdr:colOff>
      <xdr:row>2</xdr:row>
      <xdr:rowOff>54429</xdr:rowOff>
    </xdr:from>
    <xdr:to>
      <xdr:col>2</xdr:col>
      <xdr:colOff>528501</xdr:colOff>
      <xdr:row>4</xdr:row>
      <xdr:rowOff>147345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2C3AB0-7940-4F6D-9B8E-DE068059B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15685" y="435429"/>
          <a:ext cx="1797776" cy="45867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847553</xdr:colOff>
      <xdr:row>2</xdr:row>
      <xdr:rowOff>167305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047B6F-A449-48F0-84E9-340E79B5224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61113" cy="533065"/>
        </a:xfrm>
        <a:prstGeom prst="rect">
          <a:avLst/>
        </a:prstGeom>
      </xdr:spPr>
    </xdr:pic>
    <xdr:clientData/>
  </xdr:twoCellAnchor>
  <xdr:twoCellAnchor>
    <xdr:from>
      <xdr:col>10</xdr:col>
      <xdr:colOff>259080</xdr:colOff>
      <xdr:row>22</xdr:row>
      <xdr:rowOff>19050</xdr:rowOff>
    </xdr:from>
    <xdr:to>
      <xdr:col>15</xdr:col>
      <xdr:colOff>106680</xdr:colOff>
      <xdr:row>37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90CA18C-FA30-F1CC-CE1D-9E76CABC6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dcoglobalcl.sharepoint.com/sites/GestinEstratgicaREDCO/Shared%20Documents/General/Presupuesto%202025%20REDCO/Respaldo%20Budget%202025_v1.xlsx" TargetMode="External"/><Relationship Id="rId1" Type="http://schemas.openxmlformats.org/officeDocument/2006/relationships/externalLinkPath" Target="https://redcoglobalcl.sharepoint.com/sites/GestinEstratgicaREDCO/Shared%20Documents/General/Presupuesto%202025%20REDCO/Respaldo%20Budget%202025_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dcoglobalcl.sharepoint.com/sites/GestinREDCO/Shared%20Documents/General/Registro%20de%20Proyectos.xlsx" TargetMode="External"/><Relationship Id="rId1" Type="http://schemas.openxmlformats.org/officeDocument/2006/relationships/externalLinkPath" Target="https://redcoglobalcl.sharepoint.com/sites/GestinREDCO/Shared%20Documents/General/Registro%20de%20Proyecto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dcoglobalcl.sharepoint.com/sites/GestinREDCO/Shared%20Documents/General/POM%202024/POM%202024.xlsx" TargetMode="External"/><Relationship Id="rId1" Type="http://schemas.openxmlformats.org/officeDocument/2006/relationships/externalLinkPath" Target="https://redcoglobalcl.sharepoint.com/sites/GestinREDCO/Shared%20Documents/General/POM%202024/POM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rix Forecast 25´"/>
      <sheetName val="Matrix Budget 25´"/>
      <sheetName val="Resumen Budget 25´"/>
      <sheetName val="Budget 25´x Pais"/>
      <sheetName val="Forecast 25´x Pais"/>
      <sheetName val="Gasto total_Análisis 2024 (2)"/>
      <sheetName val="Forecast 2025"/>
      <sheetName val="Resumen 2025"/>
      <sheetName val="Gastos 2025"/>
      <sheetName val="Dotación 202501"/>
      <sheetName val="Comparativa"/>
      <sheetName val="Resumen 2024"/>
      <sheetName val="Ingresos 2024"/>
      <sheetName val="Facturación 2024"/>
      <sheetName val="CicloEdP_2023_v1"/>
      <sheetName val="Gasto total_Análisis 2024"/>
      <sheetName val="POM 2025"/>
      <sheetName val="Remanente contratos"/>
      <sheetName val="Ppto RRHH 20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1">
          <cell r="C11">
            <v>753.93700000000001</v>
          </cell>
          <cell r="D11">
            <v>843.3806666666668</v>
          </cell>
          <cell r="E11">
            <v>899.0443333333335</v>
          </cell>
          <cell r="F11">
            <v>1040.2360000000001</v>
          </cell>
          <cell r="G11">
            <v>859.26633333333336</v>
          </cell>
          <cell r="H11">
            <v>724.37966666666671</v>
          </cell>
          <cell r="I11">
            <v>845</v>
          </cell>
          <cell r="J11">
            <v>845</v>
          </cell>
          <cell r="K11">
            <v>845</v>
          </cell>
          <cell r="L11">
            <v>845</v>
          </cell>
          <cell r="M11">
            <v>845</v>
          </cell>
          <cell r="N11">
            <v>656.52200000000005</v>
          </cell>
        </row>
        <row r="12">
          <cell r="C12">
            <v>509</v>
          </cell>
          <cell r="D12">
            <v>753.93700000000001</v>
          </cell>
          <cell r="E12">
            <v>843.3806666666668</v>
          </cell>
          <cell r="F12">
            <v>899.0443333333335</v>
          </cell>
          <cell r="G12">
            <v>1040.2360000000001</v>
          </cell>
          <cell r="H12">
            <v>859.26633333333336</v>
          </cell>
          <cell r="I12">
            <v>724.37966666666671</v>
          </cell>
          <cell r="J12">
            <v>845</v>
          </cell>
          <cell r="K12">
            <v>845</v>
          </cell>
          <cell r="L12">
            <v>845</v>
          </cell>
          <cell r="M12">
            <v>845</v>
          </cell>
          <cell r="N12">
            <v>845</v>
          </cell>
        </row>
        <row r="13">
          <cell r="C13">
            <v>825</v>
          </cell>
          <cell r="D13">
            <v>509</v>
          </cell>
          <cell r="E13">
            <v>753.93700000000001</v>
          </cell>
          <cell r="F13">
            <v>843.3806666666668</v>
          </cell>
          <cell r="G13">
            <v>899.0443333333335</v>
          </cell>
          <cell r="H13">
            <v>1040.2360000000001</v>
          </cell>
          <cell r="I13">
            <v>859.26633333333336</v>
          </cell>
          <cell r="J13">
            <v>724.37966666666671</v>
          </cell>
          <cell r="K13">
            <v>845</v>
          </cell>
          <cell r="L13">
            <v>845</v>
          </cell>
          <cell r="M13">
            <v>845</v>
          </cell>
          <cell r="N13">
            <v>845</v>
          </cell>
        </row>
        <row r="15">
          <cell r="C15">
            <v>695.28315572230485</v>
          </cell>
          <cell r="D15">
            <v>507.61467746143535</v>
          </cell>
          <cell r="E15">
            <v>519.11467746143535</v>
          </cell>
          <cell r="F15">
            <v>514.39511224404407</v>
          </cell>
          <cell r="G15">
            <v>547.45873562185056</v>
          </cell>
          <cell r="H15">
            <v>547.10728615708729</v>
          </cell>
          <cell r="I15">
            <v>590.31705465183097</v>
          </cell>
          <cell r="J15">
            <v>542.07076441795709</v>
          </cell>
          <cell r="K15">
            <v>536.52728615708747</v>
          </cell>
          <cell r="L15">
            <v>550.87511224404398</v>
          </cell>
          <cell r="M15">
            <v>564.47651823054605</v>
          </cell>
          <cell r="N15">
            <v>593.83879378226561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NiFLNqqH3UiNQ52w4MjHkaJekJNSkitOjf-Us92CSmxxGzt9tJH6TI48Zmid9mwi" itemId="01X4HTLNCMVR5IX53OFBFKQNG4BGLQPHFN">
      <xxl21:absoluteUrl r:id="rId2"/>
    </xxl21:alternateUrls>
    <sheetNames>
      <sheetName val="Hoja1"/>
      <sheetName val="Códigos"/>
      <sheetName val="Índice de Planillas"/>
      <sheetName val="Proyectos (NO FILTRAR)"/>
      <sheetName val="Proyectos Manejo de información"/>
      <sheetName val="Tabla Resumen"/>
      <sheetName val="Hoja Base"/>
    </sheetNames>
    <sheetDataSet>
      <sheetData sheetId="0"/>
      <sheetData sheetId="1"/>
      <sheetData sheetId="2"/>
      <sheetData sheetId="3">
        <row r="2">
          <cell r="B2" t="str">
            <v>Código Total</v>
          </cell>
          <cell r="O2" t="str">
            <v>Monto Total
(US$)</v>
          </cell>
        </row>
        <row r="3">
          <cell r="B3" t="str">
            <v>CH-CMP-OU-FEL00-001-A</v>
          </cell>
          <cell r="O3">
            <v>179433</v>
          </cell>
        </row>
        <row r="4">
          <cell r="B4" t="str">
            <v>CH-CMP-OT-FEL00-001-B</v>
          </cell>
          <cell r="O4">
            <v>52447</v>
          </cell>
        </row>
        <row r="5">
          <cell r="B5" t="str">
            <v>CH-CMP-OT-FEL03-002-A</v>
          </cell>
          <cell r="O5">
            <v>443032</v>
          </cell>
        </row>
        <row r="6">
          <cell r="B6" t="str">
            <v>CH-BHP-CD-OTR00-003-A</v>
          </cell>
          <cell r="O6">
            <v>50688</v>
          </cell>
        </row>
        <row r="7">
          <cell r="B7" t="str">
            <v>CH-LUN-CS-OTR00-004-A</v>
          </cell>
          <cell r="O7">
            <v>260550</v>
          </cell>
        </row>
        <row r="8">
          <cell r="B8" t="str">
            <v>CH-LUN-GM-OTR00-005-A</v>
          </cell>
          <cell r="O8">
            <v>74080</v>
          </cell>
        </row>
        <row r="9">
          <cell r="B9" t="str">
            <v>CH-CMP-CS-OTR00-006-A</v>
          </cell>
          <cell r="O9">
            <v>296990</v>
          </cell>
        </row>
        <row r="10">
          <cell r="B10" t="str">
            <v>CH-LUN-CS-OTR00-007-A</v>
          </cell>
          <cell r="O10">
            <v>183024</v>
          </cell>
        </row>
        <row r="11">
          <cell r="B11" t="str">
            <v>PE-MSR-UG-FEL03-008-A</v>
          </cell>
          <cell r="O11">
            <v>165237</v>
          </cell>
        </row>
        <row r="12">
          <cell r="B12" t="str">
            <v>PE-MSR-OT-OTR00-009-A</v>
          </cell>
          <cell r="O12">
            <v>45815</v>
          </cell>
        </row>
        <row r="13">
          <cell r="B13" t="str">
            <v>CH-CMP-OP-FEL03-010-A</v>
          </cell>
          <cell r="O13">
            <v>40859.57</v>
          </cell>
        </row>
        <row r="14">
          <cell r="B14" t="str">
            <v>CH-CMP-OP-FEL03-011-A</v>
          </cell>
          <cell r="O14">
            <v>27860.87</v>
          </cell>
        </row>
        <row r="15">
          <cell r="B15" t="str">
            <v>CH-GLE-OP-FEL01-012-A</v>
          </cell>
          <cell r="O15">
            <v>294845.56</v>
          </cell>
        </row>
        <row r="16">
          <cell r="B16" t="str">
            <v>CH-FLU-CD-OTR00-013-A</v>
          </cell>
          <cell r="O16">
            <v>67800</v>
          </cell>
        </row>
        <row r="17">
          <cell r="B17" t="str">
            <v>CH-AMS-OP-FEL01-014-A</v>
          </cell>
          <cell r="O17">
            <v>369697.48</v>
          </cell>
        </row>
        <row r="18">
          <cell r="B18" t="str">
            <v>RU-OTR-UG-FEL2A-015-A</v>
          </cell>
          <cell r="O18">
            <v>45656</v>
          </cell>
        </row>
        <row r="19">
          <cell r="B19" t="str">
            <v>RU-OTR-GM-FEL01-016-A</v>
          </cell>
          <cell r="O19">
            <v>180263</v>
          </cell>
        </row>
        <row r="20">
          <cell r="B20" t="str">
            <v>RU-OTR-GM-FEL01-017-A</v>
          </cell>
          <cell r="O20">
            <v>123973</v>
          </cell>
        </row>
        <row r="21">
          <cell r="B21" t="str">
            <v>CH-COD-UG-OTR00-003-B</v>
          </cell>
          <cell r="O21">
            <v>92002.260000000009</v>
          </cell>
        </row>
        <row r="22">
          <cell r="B22" t="str">
            <v>CH-CMP-OP-OTR00-018-A</v>
          </cell>
          <cell r="O22">
            <v>442325</v>
          </cell>
        </row>
        <row r="23">
          <cell r="B23" t="str">
            <v>PE-MSR-OT-OTR00-019-A</v>
          </cell>
          <cell r="O23">
            <v>130565.63500000001</v>
          </cell>
        </row>
        <row r="24">
          <cell r="B24" t="str">
            <v>CH-BHP-CD-OTR00-020-A</v>
          </cell>
          <cell r="O24">
            <v>79918</v>
          </cell>
        </row>
        <row r="25">
          <cell r="B25" t="str">
            <v>PE-SME-UG-OTR00-021-A</v>
          </cell>
          <cell r="O25">
            <v>18991</v>
          </cell>
        </row>
        <row r="26">
          <cell r="B26" t="str">
            <v>PE-MMG-OU-FEL00-022-A</v>
          </cell>
          <cell r="O26">
            <v>165789</v>
          </cell>
        </row>
        <row r="27">
          <cell r="B27" t="str">
            <v>PE-CSC-UG-FEL2A-023-A</v>
          </cell>
          <cell r="O27">
            <v>917313</v>
          </cell>
        </row>
        <row r="28">
          <cell r="B28" t="str">
            <v>PE-MSR-OP-OTR00-024-A</v>
          </cell>
          <cell r="O28">
            <v>137832</v>
          </cell>
        </row>
        <row r="29">
          <cell r="B29" t="str">
            <v>CH-CMP-OT-OTR00-002-B</v>
          </cell>
          <cell r="O29">
            <v>182615</v>
          </cell>
        </row>
        <row r="30">
          <cell r="B30" t="str">
            <v>CH-CMP-OT-OTR00-002-C</v>
          </cell>
          <cell r="O30">
            <v>58723</v>
          </cell>
        </row>
        <row r="31">
          <cell r="B31" t="str">
            <v>CH-CMP-OT-OTR00-025-A</v>
          </cell>
          <cell r="O31">
            <v>44990</v>
          </cell>
        </row>
        <row r="32">
          <cell r="B32" t="str">
            <v>BR-MOS-OU-FEL03-026-A</v>
          </cell>
          <cell r="O32">
            <v>555021</v>
          </cell>
        </row>
        <row r="33">
          <cell r="B33" t="str">
            <v>BR-NEX-UG-FEL2A-027-A</v>
          </cell>
          <cell r="O33">
            <v>203609</v>
          </cell>
        </row>
        <row r="34">
          <cell r="B34" t="str">
            <v>BR-MOS-UG-FEL01-028-A</v>
          </cell>
          <cell r="O34">
            <v>284633</v>
          </cell>
        </row>
        <row r="35">
          <cell r="B35" t="str">
            <v>CH-AMS-CS-OTR00-029-A</v>
          </cell>
          <cell r="O35">
            <v>427230</v>
          </cell>
        </row>
        <row r="36">
          <cell r="B36" t="str">
            <v>CH-COD-OT-OTR00-030-A</v>
          </cell>
          <cell r="O36">
            <v>75000</v>
          </cell>
        </row>
        <row r="37">
          <cell r="B37" t="str">
            <v>CH-COD-UG-FEL01-031-A</v>
          </cell>
          <cell r="O37">
            <v>93503</v>
          </cell>
        </row>
        <row r="38">
          <cell r="B38" t="str">
            <v>CH-COD-UG-FEL01-032-A</v>
          </cell>
          <cell r="O38">
            <v>87154</v>
          </cell>
        </row>
        <row r="39">
          <cell r="B39" t="str">
            <v>CH-CMP-OU-FEL2A-033-A</v>
          </cell>
          <cell r="O39">
            <v>540939</v>
          </cell>
        </row>
        <row r="40">
          <cell r="B40" t="str">
            <v>CH-CMP-OU-FEL2A-033-B</v>
          </cell>
          <cell r="O40">
            <v>46513</v>
          </cell>
        </row>
        <row r="41">
          <cell r="B41" t="str">
            <v>CH-CSH-OP-FEL00-034-A</v>
          </cell>
          <cell r="O41">
            <v>114390</v>
          </cell>
        </row>
        <row r="42">
          <cell r="B42" t="str">
            <v>PE-COR-UG-FEL2A-035-A</v>
          </cell>
          <cell r="O42">
            <v>47960</v>
          </cell>
        </row>
        <row r="43">
          <cell r="B43" t="str">
            <v>PE-MSR-UG-FEL03-036-A</v>
          </cell>
          <cell r="O43">
            <v>65088</v>
          </cell>
        </row>
        <row r="44">
          <cell r="B44" t="str">
            <v>PE-MSR-UG-OTR00-003-C</v>
          </cell>
          <cell r="O44">
            <v>14112</v>
          </cell>
        </row>
        <row r="45">
          <cell r="B45" t="str">
            <v>CH-COD-UG-FEL00-037-A</v>
          </cell>
          <cell r="O45">
            <v>82787</v>
          </cell>
        </row>
        <row r="46">
          <cell r="B46" t="str">
            <v>CH-CMP-CS-FEL00-038-A</v>
          </cell>
          <cell r="O46">
            <v>92369.53</v>
          </cell>
        </row>
        <row r="47">
          <cell r="B47" t="str">
            <v>CH-COD-UG-FEL01-039-A</v>
          </cell>
          <cell r="O47">
            <v>147000</v>
          </cell>
        </row>
        <row r="48">
          <cell r="B48" t="str">
            <v>CH-CMP-CS-FEL00-040-A</v>
          </cell>
          <cell r="O48">
            <v>18800</v>
          </cell>
        </row>
        <row r="49">
          <cell r="B49" t="str">
            <v>CH-CMP-OU-FEL2A-041-A</v>
          </cell>
          <cell r="O49">
            <v>370245</v>
          </cell>
        </row>
        <row r="50">
          <cell r="B50" t="str">
            <v>PE-BRO-OT-OTR00-003-D</v>
          </cell>
          <cell r="O50">
            <v>50219.75</v>
          </cell>
        </row>
        <row r="51">
          <cell r="B51" t="str">
            <v>PE-MSR-OT-OTR00-003-E</v>
          </cell>
          <cell r="O51">
            <v>64800</v>
          </cell>
        </row>
        <row r="52">
          <cell r="B52" t="str">
            <v>PE-SME-UG-OTR00-003-F</v>
          </cell>
          <cell r="O52">
            <v>39681</v>
          </cell>
        </row>
        <row r="53">
          <cell r="B53" t="str">
            <v>PE-MSR-UG-OTR00-042-A</v>
          </cell>
          <cell r="O53">
            <v>252096</v>
          </cell>
        </row>
        <row r="54">
          <cell r="B54" t="str">
            <v>PE-MSR-UG-OTR00-043-A</v>
          </cell>
          <cell r="O54">
            <v>85000</v>
          </cell>
        </row>
        <row r="55">
          <cell r="B55" t="str">
            <v>PE-MSR-UG-OTR00-044-A</v>
          </cell>
          <cell r="O55">
            <v>263544</v>
          </cell>
        </row>
        <row r="56">
          <cell r="B56" t="str">
            <v>PE-MSR-UG-OTR00-045-A</v>
          </cell>
          <cell r="O56">
            <v>82144</v>
          </cell>
        </row>
        <row r="57">
          <cell r="B57" t="str">
            <v>PE-SME-UG-FEL2A-046-A</v>
          </cell>
          <cell r="O57">
            <v>56630</v>
          </cell>
        </row>
        <row r="58">
          <cell r="B58" t="str">
            <v>PE-MMA-OP-FEL00-047-A</v>
          </cell>
          <cell r="O58">
            <v>115136</v>
          </cell>
        </row>
        <row r="59">
          <cell r="B59" t="str">
            <v>BR-J&amp;F-UG-FEL03-048-A</v>
          </cell>
          <cell r="O59">
            <v>239308</v>
          </cell>
        </row>
        <row r="60">
          <cell r="B60" t="str">
            <v>CH-COD-UG-OTR00-049-A</v>
          </cell>
          <cell r="O60">
            <v>50000</v>
          </cell>
        </row>
        <row r="61">
          <cell r="B61" t="str">
            <v>PE-AES-OT-OTR00-050-A</v>
          </cell>
          <cell r="O61">
            <v>100000</v>
          </cell>
        </row>
        <row r="62">
          <cell r="B62" t="str">
            <v>PE-ANT-OU-FEL2A-051-A</v>
          </cell>
          <cell r="O62">
            <v>340000</v>
          </cell>
        </row>
        <row r="63">
          <cell r="B63" t="str">
            <v>CH-BSA-CS-OTR00-052-A</v>
          </cell>
          <cell r="O63">
            <v>87000</v>
          </cell>
        </row>
        <row r="64">
          <cell r="B64" t="str">
            <v>PE-MSR-CS-OTR00-053-A</v>
          </cell>
          <cell r="O64">
            <v>60000</v>
          </cell>
        </row>
        <row r="65">
          <cell r="B65" t="str">
            <v>PE-GLE-OP-FEL2A-054-A</v>
          </cell>
          <cell r="O65">
            <v>198000</v>
          </cell>
        </row>
        <row r="66">
          <cell r="B66" t="str">
            <v>PE-MSR-UG-OTR00-055-A</v>
          </cell>
          <cell r="O66">
            <v>500000</v>
          </cell>
        </row>
        <row r="67">
          <cell r="B67" t="str">
            <v>CH-CMP-CS-OTR00-056-A</v>
          </cell>
          <cell r="O67">
            <v>140000</v>
          </cell>
        </row>
        <row r="68">
          <cell r="B68" t="str">
            <v>BR-VAL-OP-PIPEL-057-A</v>
          </cell>
          <cell r="O68">
            <v>500000</v>
          </cell>
        </row>
        <row r="69">
          <cell r="B69" t="str">
            <v>RU-ALR-UG-PIPEL-058-A</v>
          </cell>
          <cell r="O69">
            <v>395000</v>
          </cell>
        </row>
        <row r="70">
          <cell r="B70" t="str">
            <v>RU-EVR-OT-OTR00-059-A</v>
          </cell>
          <cell r="O70">
            <v>750000</v>
          </cell>
        </row>
        <row r="71">
          <cell r="B71" t="str">
            <v>OT-IEL-UG-FEL2A-060-A</v>
          </cell>
          <cell r="O71">
            <v>536410</v>
          </cell>
        </row>
        <row r="72">
          <cell r="B72" t="str">
            <v>CH-ZUB-CS-OTR00-061-A</v>
          </cell>
          <cell r="O72">
            <v>130000</v>
          </cell>
        </row>
        <row r="73">
          <cell r="B73" t="str">
            <v>PE-MSR-CS-OTR00-062-A</v>
          </cell>
          <cell r="O73">
            <v>15000</v>
          </cell>
        </row>
        <row r="74">
          <cell r="B74" t="str">
            <v>CH-AMS-CS-OTR00-063-A</v>
          </cell>
          <cell r="O74">
            <v>91650</v>
          </cell>
        </row>
        <row r="75">
          <cell r="B75" t="str">
            <v>BR-MOS-UG-FEL2A-064-A</v>
          </cell>
          <cell r="O75">
            <v>52744</v>
          </cell>
        </row>
        <row r="76">
          <cell r="B76" t="str">
            <v>BR-MOS-UG-FEL2A-065-A</v>
          </cell>
          <cell r="O76">
            <v>120000</v>
          </cell>
        </row>
        <row r="77">
          <cell r="B77" t="str">
            <v>BR-MOS-UG-FEL2A-066-A</v>
          </cell>
          <cell r="O77">
            <v>140000</v>
          </cell>
        </row>
        <row r="78">
          <cell r="B78" t="str">
            <v>CH-CMP-CS-FEL00-067-A</v>
          </cell>
          <cell r="O78">
            <v>19997</v>
          </cell>
        </row>
        <row r="79">
          <cell r="B79" t="str">
            <v>CH-LUN-OP-FEL00-068-A</v>
          </cell>
          <cell r="O79">
            <v>532000</v>
          </cell>
        </row>
        <row r="80">
          <cell r="B80" t="str">
            <v>CH-LUN-CS-OTR00-069-A</v>
          </cell>
          <cell r="O80">
            <v>199645</v>
          </cell>
        </row>
        <row r="81">
          <cell r="B81" t="str">
            <v>PE-MSR-CS-OTR00-070-A</v>
          </cell>
          <cell r="O81">
            <v>80000</v>
          </cell>
        </row>
        <row r="82">
          <cell r="B82" t="str">
            <v>PE-MSR-UG-FEL00-071-A</v>
          </cell>
          <cell r="O82">
            <v>25600</v>
          </cell>
        </row>
        <row r="83">
          <cell r="B83" t="str">
            <v>RU-SEL-UG-FEL2A-072-A</v>
          </cell>
          <cell r="O83">
            <v>4339988</v>
          </cell>
        </row>
        <row r="84">
          <cell r="B84" t="str">
            <v>CH-CMP-OU-FEL2A-033-C</v>
          </cell>
          <cell r="O84">
            <v>37723</v>
          </cell>
        </row>
        <row r="85">
          <cell r="B85" t="str">
            <v>CH-CMP-OU-FEL2A-033-D</v>
          </cell>
          <cell r="O85">
            <v>48615</v>
          </cell>
        </row>
        <row r="86">
          <cell r="B86" t="str">
            <v>CH-CMP-OU-FEL2A-033-E</v>
          </cell>
          <cell r="O86">
            <v>15204</v>
          </cell>
        </row>
        <row r="87">
          <cell r="B87" t="str">
            <v>BR-MOS-OU-FEL03-026-B</v>
          </cell>
          <cell r="O87">
            <v>78000</v>
          </cell>
        </row>
        <row r="88">
          <cell r="B88" t="str">
            <v>CH-CMP-OP-OTR00-018-B</v>
          </cell>
          <cell r="O88">
            <v>12277</v>
          </cell>
        </row>
        <row r="89">
          <cell r="B89" t="str">
            <v>CH-CMP-OP-OTR00-018-C</v>
          </cell>
          <cell r="O89">
            <v>86828</v>
          </cell>
        </row>
        <row r="90">
          <cell r="B90" t="str">
            <v>CH-CMP-OP-OTR00-018-D</v>
          </cell>
          <cell r="O90">
            <v>96320</v>
          </cell>
        </row>
        <row r="91">
          <cell r="B91" t="str">
            <v>PE-CSC-UG-FEL2A-023-B</v>
          </cell>
          <cell r="O91">
            <v>31657</v>
          </cell>
        </row>
        <row r="92">
          <cell r="B92" t="str">
            <v>CH-CMP-OT-OTR00-002-D</v>
          </cell>
          <cell r="O92">
            <v>89891.27</v>
          </cell>
        </row>
        <row r="93">
          <cell r="B93" t="str">
            <v>CH-CMP-OT-FEL00-001-C</v>
          </cell>
          <cell r="O93">
            <v>18042</v>
          </cell>
        </row>
        <row r="94">
          <cell r="B94" t="str">
            <v>CH-BSC-UG-OTR00-073-A</v>
          </cell>
          <cell r="O94">
            <v>65109</v>
          </cell>
        </row>
        <row r="95">
          <cell r="B95" t="str">
            <v>CH-BHP-UG-FEL01-074-A</v>
          </cell>
          <cell r="O95">
            <v>198920</v>
          </cell>
        </row>
        <row r="96">
          <cell r="B96" t="str">
            <v>CH-AMS-CS-OTR00-075-A</v>
          </cell>
          <cell r="O96">
            <v>225451</v>
          </cell>
        </row>
        <row r="97">
          <cell r="B97" t="str">
            <v>PE-MMG-OU-FEL00-022-B</v>
          </cell>
          <cell r="O97">
            <v>38162</v>
          </cell>
        </row>
        <row r="98">
          <cell r="B98" t="str">
            <v>PE-COR-UG-FEL00-076-A</v>
          </cell>
          <cell r="O98">
            <v>105000</v>
          </cell>
        </row>
        <row r="99">
          <cell r="B99" t="str">
            <v>PE-MSR-UG-OTR00-077-A</v>
          </cell>
          <cell r="O99">
            <v>119862</v>
          </cell>
        </row>
        <row r="100">
          <cell r="B100" t="str">
            <v>CH-CCO-OP-FEL00-078-A</v>
          </cell>
          <cell r="O100">
            <v>261986</v>
          </cell>
        </row>
        <row r="101">
          <cell r="B101" t="str">
            <v>PE-MSR-UG-FEL00-079-A</v>
          </cell>
          <cell r="O101">
            <v>53339</v>
          </cell>
        </row>
        <row r="102">
          <cell r="B102" t="str">
            <v>OT-MCA-CS-OTR00-080-A</v>
          </cell>
          <cell r="O102">
            <v>611100</v>
          </cell>
        </row>
        <row r="103">
          <cell r="B103" t="str">
            <v>RU-ECH-UG-FEL00-081-A</v>
          </cell>
          <cell r="O103">
            <v>152100</v>
          </cell>
        </row>
        <row r="104">
          <cell r="B104" t="str">
            <v>CH-BSC-UG-OTR00-082-A</v>
          </cell>
          <cell r="O104">
            <v>40000</v>
          </cell>
        </row>
        <row r="105">
          <cell r="B105" t="str">
            <v>CH-CMP-OP-OTR00-083-A</v>
          </cell>
          <cell r="O105">
            <v>36205</v>
          </cell>
        </row>
        <row r="106">
          <cell r="B106" t="str">
            <v>CH-CMP-OP-OTR00-084-A</v>
          </cell>
          <cell r="O106">
            <v>62985</v>
          </cell>
        </row>
        <row r="107">
          <cell r="B107" t="str">
            <v>CH-BHP-OP-OTR00-085-A</v>
          </cell>
          <cell r="O107">
            <v>35000</v>
          </cell>
        </row>
        <row r="108">
          <cell r="B108" t="str">
            <v>PE-MSR-UG-FEL00-086-A</v>
          </cell>
          <cell r="O108">
            <v>95283</v>
          </cell>
        </row>
        <row r="109">
          <cell r="B109" t="str">
            <v>OT-EMX-CS-OTR00-087-A</v>
          </cell>
          <cell r="O109">
            <v>159694</v>
          </cell>
        </row>
        <row r="110">
          <cell r="B110" t="str">
            <v>OT-IEL-UG-FEL2A-088-A</v>
          </cell>
          <cell r="O110">
            <v>196720</v>
          </cell>
        </row>
        <row r="111">
          <cell r="B111" t="str">
            <v>CH-MCI-OP-OTR00-089-A</v>
          </cell>
          <cell r="O111">
            <v>239000</v>
          </cell>
        </row>
        <row r="112">
          <cell r="B112" t="str">
            <v>PE-MSR-CS-OTR00-090-A</v>
          </cell>
          <cell r="O112">
            <v>8000</v>
          </cell>
        </row>
        <row r="113">
          <cell r="B113" t="str">
            <v>OT-EMX-CS-OTR00-091-A</v>
          </cell>
          <cell r="O113">
            <v>14850</v>
          </cell>
        </row>
        <row r="114">
          <cell r="B114" t="str">
            <v>PE-MSR-GM-OTR00-092-A</v>
          </cell>
          <cell r="O114">
            <v>25000</v>
          </cell>
        </row>
        <row r="115">
          <cell r="B115" t="str">
            <v>CH-CMP-UG-FEL03-093-A</v>
          </cell>
          <cell r="O115">
            <v>900007.88</v>
          </cell>
        </row>
        <row r="116">
          <cell r="B116" t="str">
            <v>CH-GLE-CS-OTR00-094-A</v>
          </cell>
          <cell r="O116">
            <v>12000</v>
          </cell>
        </row>
        <row r="117">
          <cell r="B117" t="str">
            <v>CH-CMP-UG-OTR00-095-A</v>
          </cell>
          <cell r="O117">
            <v>94854</v>
          </cell>
        </row>
        <row r="118">
          <cell r="B118" t="str">
            <v>CH-CMP-OP-OTR00-096-A</v>
          </cell>
          <cell r="O118">
            <v>36143</v>
          </cell>
        </row>
        <row r="119">
          <cell r="B119" t="str">
            <v>PE-MSR-UG-OTR00-097-A</v>
          </cell>
          <cell r="O119">
            <v>64935</v>
          </cell>
        </row>
        <row r="120">
          <cell r="B120" t="str">
            <v>BR-MOS-UG-OTR00-098-A</v>
          </cell>
          <cell r="O120">
            <v>330410</v>
          </cell>
        </row>
        <row r="121">
          <cell r="B121" t="str">
            <v>CH-CMP-OU-FEL2A-033-F</v>
          </cell>
          <cell r="O121">
            <v>20155.189999999999</v>
          </cell>
        </row>
        <row r="122">
          <cell r="B122" t="str">
            <v>PE-SME-CS-OTR00-099-A</v>
          </cell>
          <cell r="O122">
            <v>83610</v>
          </cell>
        </row>
        <row r="123">
          <cell r="B123" t="str">
            <v>BR-J&amp;F-CS-OTR00-100-A</v>
          </cell>
          <cell r="O123">
            <v>112664</v>
          </cell>
        </row>
        <row r="124">
          <cell r="B124" t="str">
            <v>CH-RED-CS-OTR00-101-A</v>
          </cell>
          <cell r="O124">
            <v>0</v>
          </cell>
        </row>
        <row r="125">
          <cell r="B125" t="str">
            <v>PE-MMG-OU-FEL00-022-C</v>
          </cell>
          <cell r="O125">
            <v>26000</v>
          </cell>
        </row>
        <row r="126">
          <cell r="B126" t="str">
            <v>BR-MOS-OP-FEL2A-102-A</v>
          </cell>
          <cell r="O126">
            <v>79900</v>
          </cell>
        </row>
        <row r="127">
          <cell r="B127" t="str">
            <v>CH-BHP-OP-FEL00-103-A</v>
          </cell>
          <cell r="O127">
            <v>70000</v>
          </cell>
        </row>
        <row r="128">
          <cell r="B128" t="str">
            <v>PE-MSR-CS-OTR00-104-A</v>
          </cell>
          <cell r="O128">
            <v>132800</v>
          </cell>
        </row>
        <row r="129">
          <cell r="B129" t="str">
            <v>PE-HUD-GM-FEL00-105-A</v>
          </cell>
          <cell r="O129">
            <v>64800</v>
          </cell>
        </row>
        <row r="130">
          <cell r="B130" t="str">
            <v>CH-CMP-OP-FEL00-106-A</v>
          </cell>
          <cell r="O130">
            <v>121038.49</v>
          </cell>
        </row>
        <row r="131">
          <cell r="B131" t="str">
            <v>CH-CMP-OT-OTR00-107-A</v>
          </cell>
          <cell r="O131">
            <v>112506</v>
          </cell>
        </row>
        <row r="132">
          <cell r="B132" t="str">
            <v>CH-AMS-OT-OTR00-108-A</v>
          </cell>
          <cell r="O132">
            <v>191000</v>
          </cell>
        </row>
        <row r="133">
          <cell r="B133" t="str">
            <v>PE-MSR-GM-OTR00-109-A</v>
          </cell>
          <cell r="O133">
            <v>13797</v>
          </cell>
        </row>
        <row r="134">
          <cell r="B134" t="str">
            <v>CH-LUN-OP-FEL00-110-A</v>
          </cell>
          <cell r="O134">
            <v>123240</v>
          </cell>
        </row>
        <row r="135">
          <cell r="B135" t="str">
            <v>BR-MOS-CS-OTR00-111-A</v>
          </cell>
          <cell r="O135">
            <v>60000</v>
          </cell>
        </row>
        <row r="136">
          <cell r="B136" t="str">
            <v>CH-COD-OU-FEL00-112-A</v>
          </cell>
          <cell r="O136">
            <v>85362.89</v>
          </cell>
        </row>
        <row r="137">
          <cell r="B137" t="str">
            <v>CH-LUN-CS-OTR00-113-A</v>
          </cell>
          <cell r="O137">
            <v>61650</v>
          </cell>
        </row>
        <row r="138">
          <cell r="B138" t="str">
            <v>PE-MAR-OU-FEL01-114-A</v>
          </cell>
          <cell r="O138">
            <v>161778</v>
          </cell>
        </row>
        <row r="139">
          <cell r="B139" t="str">
            <v>BR-MOS-CS-OTR00-115-A</v>
          </cell>
          <cell r="O139">
            <v>60100.34</v>
          </cell>
        </row>
        <row r="140">
          <cell r="B140" t="str">
            <v>PE-CSC-UG-FEL2A-023-C</v>
          </cell>
          <cell r="O140">
            <v>25000</v>
          </cell>
        </row>
        <row r="141">
          <cell r="B141" t="str">
            <v>PE-CSC-UG-FEL2A-023-D</v>
          </cell>
          <cell r="O141">
            <v>14015</v>
          </cell>
        </row>
        <row r="142">
          <cell r="B142" t="str">
            <v>CH-AMS-CS-OTR00-116-A</v>
          </cell>
          <cell r="O142">
            <v>134445.66999999998</v>
          </cell>
        </row>
        <row r="143">
          <cell r="B143" t="str">
            <v>CH-CCO-CS-FEL00-117-A</v>
          </cell>
          <cell r="O143">
            <v>196000.3</v>
          </cell>
        </row>
        <row r="144">
          <cell r="B144" t="str">
            <v>PE-CMC-CD-OTR00-118-A</v>
          </cell>
          <cell r="O144">
            <v>19700</v>
          </cell>
        </row>
        <row r="145">
          <cell r="B145" t="str">
            <v>OT-TWM-CS-FEL00-119-A</v>
          </cell>
          <cell r="O145">
            <v>481541</v>
          </cell>
        </row>
        <row r="146">
          <cell r="B146" t="str">
            <v>CH-CMP-CS-FEL00-120-A</v>
          </cell>
        </row>
        <row r="147">
          <cell r="B147" t="str">
            <v>CH-CMP-UG-FEL00-121-A</v>
          </cell>
        </row>
        <row r="148">
          <cell r="B148" t="str">
            <v>OT-THC-CS-OTR00-122-A</v>
          </cell>
          <cell r="O148">
            <v>645700</v>
          </cell>
        </row>
        <row r="149">
          <cell r="B149" t="str">
            <v>PE-MMG-OU-FEL2A-123-A</v>
          </cell>
        </row>
        <row r="150">
          <cell r="B150" t="str">
            <v>CH-COD-CS-OTR00-124-A</v>
          </cell>
          <cell r="O150">
            <v>14342</v>
          </cell>
        </row>
        <row r="151">
          <cell r="B151" t="str">
            <v>CH-COD-CS-OTR00-125-A</v>
          </cell>
        </row>
        <row r="152">
          <cell r="B152" t="str">
            <v>PE-VLC-CS-OTR00-126-A</v>
          </cell>
        </row>
        <row r="153">
          <cell r="B153" t="str">
            <v>CH-AAM-CS-OTR00-127-A</v>
          </cell>
        </row>
        <row r="154">
          <cell r="B154" t="str">
            <v>PE-CSC-UG-FEL2A-023-E</v>
          </cell>
          <cell r="O154">
            <v>46760</v>
          </cell>
        </row>
        <row r="155">
          <cell r="B155" t="str">
            <v>CH-COD-CS-OTR00-128-A</v>
          </cell>
          <cell r="O155">
            <v>36418</v>
          </cell>
        </row>
        <row r="156">
          <cell r="B156" t="str">
            <v>CH-COD-CS-OTR00-129-A</v>
          </cell>
          <cell r="O156">
            <v>63381.369999999995</v>
          </cell>
        </row>
        <row r="157">
          <cell r="B157" t="str">
            <v>BR-AUM-OU-FEL00-130-A</v>
          </cell>
          <cell r="O157">
            <v>310000</v>
          </cell>
        </row>
        <row r="158">
          <cell r="B158" t="str">
            <v>OT-RES-CS-OTR00-131-A</v>
          </cell>
          <cell r="O158">
            <v>254012</v>
          </cell>
        </row>
        <row r="159">
          <cell r="B159" t="str">
            <v>CH-COD-UG-FEL00-132-A</v>
          </cell>
        </row>
        <row r="160">
          <cell r="B160" t="str">
            <v>PE-CSC-UG-FEL2A-133-A</v>
          </cell>
          <cell r="O160">
            <v>295769</v>
          </cell>
        </row>
        <row r="161">
          <cell r="B161" t="str">
            <v>PE-MSR-UG-OTR00-134-A</v>
          </cell>
          <cell r="O161">
            <v>51870</v>
          </cell>
        </row>
        <row r="162">
          <cell r="B162" t="str">
            <v>CH-BHP-OP-FEL00-135-A</v>
          </cell>
          <cell r="O162">
            <v>904853</v>
          </cell>
        </row>
        <row r="163">
          <cell r="B163" t="str">
            <v>CH-CMP-UG-OTR00-095-B</v>
          </cell>
          <cell r="O163">
            <v>46011.26</v>
          </cell>
        </row>
        <row r="164">
          <cell r="B164" t="str">
            <v>CH-CMP-OP-OTR00-096-B</v>
          </cell>
          <cell r="O164">
            <v>36107</v>
          </cell>
        </row>
        <row r="165">
          <cell r="B165" t="str">
            <v>PE-MMG-UG-FEL00-136-A</v>
          </cell>
          <cell r="O165">
            <v>87520</v>
          </cell>
        </row>
        <row r="166">
          <cell r="B166" t="str">
            <v>CH-D&amp;P-CS-OTR00-137-A</v>
          </cell>
          <cell r="O166">
            <v>272200.59999999998</v>
          </cell>
        </row>
        <row r="167">
          <cell r="B167" t="str">
            <v>PE-OCP-CS-OTR00-138-A</v>
          </cell>
          <cell r="O167">
            <v>184000</v>
          </cell>
        </row>
        <row r="168">
          <cell r="B168" t="str">
            <v>CH-AAM-OT-FEL03-139-A</v>
          </cell>
          <cell r="O168">
            <v>183430</v>
          </cell>
        </row>
        <row r="169">
          <cell r="B169" t="str">
            <v>CH-BHP-OP-OTR00-140-A</v>
          </cell>
          <cell r="O169">
            <v>37400</v>
          </cell>
        </row>
        <row r="170">
          <cell r="B170" t="str">
            <v>OT-TWM-CS-FEL00-141-A</v>
          </cell>
          <cell r="O170">
            <v>132000</v>
          </cell>
        </row>
        <row r="171">
          <cell r="B171" t="str">
            <v>PE-MSR-UG-FEL00-142-A</v>
          </cell>
          <cell r="O171">
            <v>248031</v>
          </cell>
        </row>
        <row r="172">
          <cell r="B172" t="str">
            <v>PE-MMG-UG-FEL2A-143-A</v>
          </cell>
          <cell r="O172">
            <v>1061121</v>
          </cell>
        </row>
        <row r="173">
          <cell r="B173" t="str">
            <v>PE--CS-OTR00-144-A</v>
          </cell>
          <cell r="O173">
            <v>60000</v>
          </cell>
        </row>
        <row r="174">
          <cell r="B174" t="str">
            <v>CH-BHP-OP-OTR00-145-A</v>
          </cell>
          <cell r="O174">
            <v>47590</v>
          </cell>
        </row>
        <row r="175">
          <cell r="B175" t="str">
            <v>CH-AAM-CS-OTR00-146-A</v>
          </cell>
          <cell r="O175">
            <v>62417</v>
          </cell>
        </row>
        <row r="176">
          <cell r="B176" t="str">
            <v>BR-MOS-OU-FEL03-147-A</v>
          </cell>
          <cell r="O176">
            <v>147935</v>
          </cell>
        </row>
        <row r="177">
          <cell r="B177" t="str">
            <v>CH-CMP-OP-OTR00-096-C</v>
          </cell>
          <cell r="O177">
            <v>17498</v>
          </cell>
        </row>
        <row r="178">
          <cell r="B178" t="str">
            <v>RU-ATL-OP-FEL00-148-A</v>
          </cell>
          <cell r="O178">
            <v>225000</v>
          </cell>
        </row>
        <row r="179">
          <cell r="B179" t="str">
            <v>RU-POL-OP-FEL00-149-A</v>
          </cell>
          <cell r="O179">
            <v>153748</v>
          </cell>
        </row>
        <row r="180">
          <cell r="B180" t="str">
            <v>OT-RES-CS-OTR00-150-A</v>
          </cell>
          <cell r="O180">
            <v>47808</v>
          </cell>
        </row>
        <row r="181">
          <cell r="B181" t="str">
            <v>PE-MSR-UG-OTR00-151-A</v>
          </cell>
          <cell r="O181">
            <v>60000</v>
          </cell>
        </row>
        <row r="182">
          <cell r="B182" t="str">
            <v>BR-ERC-UG-FEL00-152-A</v>
          </cell>
          <cell r="O182">
            <v>562180</v>
          </cell>
        </row>
        <row r="183">
          <cell r="B183" t="str">
            <v>BR-AUM-OU-FEL2A-130-B</v>
          </cell>
          <cell r="O183">
            <v>108000</v>
          </cell>
        </row>
        <row r="184">
          <cell r="B184" t="str">
            <v>PE-HUD-GM-FEL00-153-A</v>
          </cell>
          <cell r="O184">
            <v>36720</v>
          </cell>
        </row>
        <row r="185">
          <cell r="B185" t="str">
            <v>CH-LUN-CS-OTR00-154-A</v>
          </cell>
          <cell r="O185">
            <v>299270</v>
          </cell>
        </row>
        <row r="186">
          <cell r="B186" t="str">
            <v>CH-BHP-OP-FEL00-135-B</v>
          </cell>
          <cell r="O186">
            <v>42940</v>
          </cell>
        </row>
        <row r="187">
          <cell r="B187" t="str">
            <v>CH-BHP-OP-FEL00-135-C</v>
          </cell>
          <cell r="O187">
            <v>226030</v>
          </cell>
        </row>
        <row r="188">
          <cell r="B188" t="str">
            <v>PE-MMG-UG-FEL00-136-B</v>
          </cell>
          <cell r="O188">
            <v>18360</v>
          </cell>
        </row>
        <row r="189">
          <cell r="B189" t="str">
            <v>PE-CSC-UG-FEL2A-133-B</v>
          </cell>
          <cell r="O189">
            <v>152618</v>
          </cell>
        </row>
        <row r="190">
          <cell r="B190" t="str">
            <v>CH-CMP-OP-FEL00-155-A</v>
          </cell>
          <cell r="O190">
            <v>20733</v>
          </cell>
        </row>
        <row r="191">
          <cell r="B191" t="str">
            <v>PE-ALP-GM-FEL00-156-A</v>
          </cell>
          <cell r="O191">
            <v>187619</v>
          </cell>
        </row>
        <row r="192">
          <cell r="B192" t="str">
            <v>PE-VLC-GM-FEL00-157-A</v>
          </cell>
          <cell r="O192">
            <v>24440</v>
          </cell>
        </row>
        <row r="193">
          <cell r="B193" t="str">
            <v>BR-TAB-OP-FEL00-158-A</v>
          </cell>
          <cell r="O193">
            <v>180000</v>
          </cell>
        </row>
        <row r="194">
          <cell r="B194" t="str">
            <v>CH-CCO-CS-OTR00-159-A</v>
          </cell>
          <cell r="O194">
            <v>148281</v>
          </cell>
        </row>
        <row r="195">
          <cell r="B195" t="str">
            <v>PE-SPM-UG-FEL03-160-A</v>
          </cell>
          <cell r="O195">
            <v>122239</v>
          </cell>
        </row>
        <row r="196">
          <cell r="B196" t="str">
            <v>BR-LHG-UG-OTR00-161-A</v>
          </cell>
          <cell r="O196">
            <v>113137</v>
          </cell>
        </row>
        <row r="197">
          <cell r="B197" t="str">
            <v>PE-MSR-UG-OTR00-162-A</v>
          </cell>
          <cell r="O197">
            <v>35690</v>
          </cell>
        </row>
        <row r="198">
          <cell r="B198" t="str">
            <v>PE-MSR-CS-OTR00-163-A</v>
          </cell>
          <cell r="O198">
            <v>64060</v>
          </cell>
        </row>
        <row r="199">
          <cell r="B199" t="str">
            <v>BR-CBM-CS-OTR00-164-A</v>
          </cell>
          <cell r="O199">
            <v>80293</v>
          </cell>
        </row>
        <row r="200">
          <cell r="B200" t="str">
            <v>CH-AMS-CS-OTR00-165-A</v>
          </cell>
          <cell r="O200">
            <v>80125</v>
          </cell>
        </row>
        <row r="201">
          <cell r="B201" t="str">
            <v>PE-VLC-GM-FEL00-166-A</v>
          </cell>
          <cell r="O201">
            <v>38209</v>
          </cell>
        </row>
        <row r="202">
          <cell r="B202" t="str">
            <v>PE-NEX-GM-FEL00-167-A</v>
          </cell>
          <cell r="O202">
            <v>80283</v>
          </cell>
        </row>
        <row r="203">
          <cell r="B203" t="str">
            <v>PE-NEX-CS-OTR00-168-A</v>
          </cell>
          <cell r="O203">
            <v>29716</v>
          </cell>
        </row>
        <row r="204">
          <cell r="B204" t="str">
            <v>CH-CRF-CS-FEL00-169-A</v>
          </cell>
          <cell r="O204">
            <v>40000</v>
          </cell>
        </row>
        <row r="205">
          <cell r="B205" t="str">
            <v>CH-PUC-CS-OTR00-170-A</v>
          </cell>
          <cell r="O205">
            <v>20350</v>
          </cell>
        </row>
        <row r="206">
          <cell r="B206" t="str">
            <v>CH-AMS-OP-FEL00-171-A</v>
          </cell>
          <cell r="O206">
            <v>153605.26</v>
          </cell>
        </row>
        <row r="207">
          <cell r="B207" t="str">
            <v>BR-EQG-UG-FEL03-172-A</v>
          </cell>
          <cell r="O207">
            <v>353992.61</v>
          </cell>
        </row>
        <row r="208">
          <cell r="B208" t="str">
            <v>RU-POL-OP-FEL00-173-A</v>
          </cell>
          <cell r="O208">
            <v>178686</v>
          </cell>
        </row>
        <row r="209">
          <cell r="B209" t="str">
            <v>CH-COD-UG-FEL00-174-A</v>
          </cell>
          <cell r="O209">
            <v>85371</v>
          </cell>
        </row>
        <row r="210">
          <cell r="B210" t="str">
            <v>CH-COL-OT-FEL2A-175-A</v>
          </cell>
        </row>
        <row r="211">
          <cell r="B211" t="str">
            <v>OT-FNE-CS-OTR00-176-A</v>
          </cell>
          <cell r="O211">
            <v>52400</v>
          </cell>
        </row>
        <row r="212">
          <cell r="B212" t="str">
            <v>OT-RES-CS-OTR00-177-A</v>
          </cell>
        </row>
        <row r="213">
          <cell r="B213" t="str">
            <v>OT-RES-CS-OTR00-178-A</v>
          </cell>
          <cell r="O213">
            <v>217777</v>
          </cell>
        </row>
        <row r="214">
          <cell r="B214" t="str">
            <v>CH-AAM-CS-OTR00-179-A</v>
          </cell>
          <cell r="O214">
            <v>84870</v>
          </cell>
        </row>
        <row r="215">
          <cell r="B215" t="str">
            <v>CH-COL-CS-OTR00-180-A</v>
          </cell>
          <cell r="O215">
            <v>52492</v>
          </cell>
        </row>
        <row r="216">
          <cell r="B216" t="str">
            <v>BR-AUM-UG-FEL2A-181-A</v>
          </cell>
          <cell r="O216">
            <v>192082.19</v>
          </cell>
        </row>
        <row r="217">
          <cell r="B217" t="str">
            <v>PE-MMA-OP-FEL00-182-A</v>
          </cell>
          <cell r="O217">
            <v>141747</v>
          </cell>
        </row>
        <row r="218">
          <cell r="B218" t="str">
            <v>CH-GLE-CS-OTR00-183-A</v>
          </cell>
          <cell r="O218">
            <v>198640</v>
          </cell>
        </row>
        <row r="219">
          <cell r="B219" t="str">
            <v>CH-CAP-CS-OTR00-184-A</v>
          </cell>
          <cell r="O219">
            <v>142000</v>
          </cell>
        </row>
        <row r="220">
          <cell r="B220" t="str">
            <v>CH-COL-CS-OTR00-185-A</v>
          </cell>
          <cell r="O220">
            <v>40120</v>
          </cell>
        </row>
        <row r="221">
          <cell r="B221" t="str">
            <v>CH-ERG-GM-FEL00-186-A</v>
          </cell>
          <cell r="O221">
            <v>229330</v>
          </cell>
        </row>
        <row r="222">
          <cell r="B222" t="str">
            <v>PE-CSC-CS-OTR00-187-A</v>
          </cell>
          <cell r="O222">
            <v>134500</v>
          </cell>
        </row>
        <row r="223">
          <cell r="B223" t="str">
            <v>PE-ECR-UG-FEL00-188-A</v>
          </cell>
          <cell r="O223">
            <v>187113</v>
          </cell>
        </row>
        <row r="224">
          <cell r="B224" t="str">
            <v>CH-ERG-GM-FEL00-189-A</v>
          </cell>
          <cell r="O224">
            <v>0</v>
          </cell>
        </row>
        <row r="225">
          <cell r="B225" t="str">
            <v>PE-HCS-UG-FEL00-190-A</v>
          </cell>
          <cell r="O225">
            <v>92800</v>
          </cell>
        </row>
        <row r="226">
          <cell r="B226" t="str">
            <v>PE-BRO-GM-FEL00-191-A</v>
          </cell>
          <cell r="O226">
            <v>214363</v>
          </cell>
        </row>
        <row r="227">
          <cell r="B227" t="str">
            <v>PE-CSC-CS-OTR00-192-A</v>
          </cell>
          <cell r="O227">
            <v>61505</v>
          </cell>
        </row>
        <row r="228">
          <cell r="B228" t="str">
            <v>CH-COD-CS-OTR00-193-A</v>
          </cell>
          <cell r="O228">
            <v>257988</v>
          </cell>
        </row>
        <row r="229">
          <cell r="B229" t="str">
            <v>CH-COL-CS-OTR00-194-A</v>
          </cell>
          <cell r="O229">
            <v>100665</v>
          </cell>
        </row>
        <row r="230">
          <cell r="B230" t="str">
            <v>CH-BRR-CS-OTR00-195-A</v>
          </cell>
          <cell r="O230">
            <v>74196</v>
          </cell>
        </row>
        <row r="231">
          <cell r="B231" t="str">
            <v>OT-FPT-OU-FEL00-196-A</v>
          </cell>
          <cell r="O231">
            <v>499350</v>
          </cell>
        </row>
        <row r="232">
          <cell r="B232" t="str">
            <v>BR-MOS-OU-FEL00-197-A</v>
          </cell>
          <cell r="O232">
            <v>92135</v>
          </cell>
        </row>
        <row r="233">
          <cell r="B233" t="str">
            <v>PE-CSC-OT-OTR00-198-A</v>
          </cell>
          <cell r="O233">
            <v>24635</v>
          </cell>
        </row>
        <row r="234">
          <cell r="B234" t="str">
            <v>CH-GLE-CS-OTR00-199-A</v>
          </cell>
          <cell r="O234">
            <v>80200</v>
          </cell>
        </row>
        <row r="235">
          <cell r="B235" t="str">
            <v>PE-MSR-UG-OTR00-200-A</v>
          </cell>
          <cell r="O235">
            <v>149120</v>
          </cell>
        </row>
        <row r="236">
          <cell r="B236" t="str">
            <v>OT-STH-CS-OTR00-201-A</v>
          </cell>
          <cell r="O236">
            <v>165650</v>
          </cell>
        </row>
        <row r="237">
          <cell r="B237" t="str">
            <v>OT-HCL-CS-OTR00-202-A</v>
          </cell>
          <cell r="O237">
            <v>47360</v>
          </cell>
        </row>
        <row r="238">
          <cell r="B238" t="str">
            <v>PE-AES-UG-FEL00-203-A</v>
          </cell>
          <cell r="O238">
            <v>19302</v>
          </cell>
        </row>
        <row r="239">
          <cell r="B239" t="str">
            <v>PE-HCS-UG-OTR00-204-A</v>
          </cell>
          <cell r="O239">
            <v>15900</v>
          </cell>
        </row>
        <row r="240">
          <cell r="B240" t="str">
            <v>PE-MMA-CS-OTR00-205-A</v>
          </cell>
          <cell r="O240">
            <v>77298</v>
          </cell>
        </row>
        <row r="241">
          <cell r="B241" t="str">
            <v>PE-HUD-GM-FEL00-206-A</v>
          </cell>
          <cell r="O241">
            <v>18420</v>
          </cell>
        </row>
        <row r="242">
          <cell r="B242" t="str">
            <v>BR-MOS-GM-FEL00-207-A</v>
          </cell>
          <cell r="O242">
            <v>43200</v>
          </cell>
        </row>
        <row r="243">
          <cell r="B243" t="str">
            <v>BR-ERC-GM-FEL00-208-A</v>
          </cell>
          <cell r="O243">
            <v>80620</v>
          </cell>
        </row>
        <row r="244">
          <cell r="B244" t="str">
            <v>CH-MIN-CS-FEL00-209-A</v>
          </cell>
          <cell r="O244">
            <v>194815</v>
          </cell>
        </row>
        <row r="245">
          <cell r="B245" t="str">
            <v>OT-STC-UG-FEL03-210-A</v>
          </cell>
          <cell r="O245">
            <v>746000</v>
          </cell>
        </row>
        <row r="246">
          <cell r="B246" t="str">
            <v>CH-COD-OP-FEL00-211-A</v>
          </cell>
          <cell r="O246">
            <v>228378</v>
          </cell>
        </row>
        <row r="247">
          <cell r="B247" t="str">
            <v>CH-COL-CS-OTR00-212-A</v>
          </cell>
          <cell r="O247">
            <v>99000</v>
          </cell>
        </row>
        <row r="248">
          <cell r="B248" t="str">
            <v>CD-SGO-CS-OTR00-213-A</v>
          </cell>
          <cell r="O248">
            <v>133713</v>
          </cell>
        </row>
        <row r="249">
          <cell r="B249" t="str">
            <v>BR-ERC-UG-FEL00-214-A</v>
          </cell>
          <cell r="O249">
            <v>372552</v>
          </cell>
        </row>
        <row r="250">
          <cell r="B250" t="str">
            <v>CH-COD-CS-OTR00-215-A</v>
          </cell>
          <cell r="O250">
            <v>55000</v>
          </cell>
        </row>
        <row r="251">
          <cell r="B251" t="str">
            <v>BR-ERC-UG-FEL00-216-A</v>
          </cell>
          <cell r="O251">
            <v>151500</v>
          </cell>
        </row>
        <row r="252">
          <cell r="B252" t="str">
            <v>PE-HSI-GM-OTR00-217-A</v>
          </cell>
          <cell r="O252">
            <v>60740</v>
          </cell>
        </row>
        <row r="253">
          <cell r="B253" t="str">
            <v>PE-FMI-GM-OTR00-218-A</v>
          </cell>
          <cell r="O253">
            <v>146540</v>
          </cell>
        </row>
        <row r="254">
          <cell r="B254" t="str">
            <v>PE-VLC-CS-OTR00-219-A</v>
          </cell>
          <cell r="O254">
            <v>58440</v>
          </cell>
        </row>
        <row r="255">
          <cell r="B255" t="str">
            <v>PE-MSR-UG-OTR00-220-A</v>
          </cell>
          <cell r="O255">
            <v>57683</v>
          </cell>
        </row>
        <row r="256">
          <cell r="B256" t="str">
            <v>OT-STH-CS-OTR00-221-A</v>
          </cell>
          <cell r="O256">
            <v>70200</v>
          </cell>
        </row>
        <row r="257">
          <cell r="B257" t="str">
            <v>----222-!</v>
          </cell>
        </row>
        <row r="258">
          <cell r="B258" t="str">
            <v>----223-!</v>
          </cell>
        </row>
        <row r="259">
          <cell r="B259" t="str">
            <v>----224-!</v>
          </cell>
        </row>
        <row r="260">
          <cell r="B260" t="str">
            <v>----225-!</v>
          </cell>
        </row>
        <row r="261">
          <cell r="B261" t="str">
            <v>----226-!</v>
          </cell>
        </row>
        <row r="262">
          <cell r="B262" t="str">
            <v>----227-!</v>
          </cell>
        </row>
        <row r="263">
          <cell r="B263" t="str">
            <v>----228-!</v>
          </cell>
        </row>
        <row r="264">
          <cell r="B264" t="str">
            <v>----229-!</v>
          </cell>
        </row>
        <row r="265">
          <cell r="B265" t="str">
            <v>----230-!</v>
          </cell>
        </row>
        <row r="266">
          <cell r="B266" t="str">
            <v>----231-!</v>
          </cell>
        </row>
        <row r="267">
          <cell r="B267" t="str">
            <v>----232-!</v>
          </cell>
        </row>
        <row r="268">
          <cell r="B268" t="str">
            <v>----233-!</v>
          </cell>
        </row>
        <row r="269">
          <cell r="B269" t="str">
            <v>----234-!</v>
          </cell>
        </row>
        <row r="270">
          <cell r="B270" t="str">
            <v>----235-!</v>
          </cell>
        </row>
        <row r="271">
          <cell r="B271" t="str">
            <v>----236-!</v>
          </cell>
        </row>
        <row r="272">
          <cell r="B272" t="str">
            <v>----237-!</v>
          </cell>
        </row>
        <row r="273">
          <cell r="B273" t="str">
            <v>----238-!</v>
          </cell>
        </row>
        <row r="274">
          <cell r="B274" t="str">
            <v>----239-!</v>
          </cell>
        </row>
        <row r="275">
          <cell r="B275" t="str">
            <v>----240-!</v>
          </cell>
        </row>
        <row r="276">
          <cell r="B276" t="str">
            <v>----241-!</v>
          </cell>
        </row>
        <row r="277">
          <cell r="B277" t="str">
            <v>----242-!</v>
          </cell>
        </row>
        <row r="278">
          <cell r="B278" t="str">
            <v>----243-!</v>
          </cell>
        </row>
        <row r="279">
          <cell r="B279" t="str">
            <v>----244-!</v>
          </cell>
        </row>
        <row r="280">
          <cell r="B280" t="str">
            <v>----245-!</v>
          </cell>
        </row>
        <row r="281">
          <cell r="B281" t="str">
            <v>----246-!</v>
          </cell>
        </row>
        <row r="282">
          <cell r="B282" t="str">
            <v>----247-!</v>
          </cell>
        </row>
        <row r="283">
          <cell r="B283" t="str">
            <v>----248-!</v>
          </cell>
        </row>
        <row r="284">
          <cell r="B284" t="str">
            <v>----249-!</v>
          </cell>
        </row>
        <row r="285">
          <cell r="B285" t="str">
            <v>----250-!</v>
          </cell>
        </row>
        <row r="286">
          <cell r="B286" t="str">
            <v>----251-!</v>
          </cell>
        </row>
        <row r="287">
          <cell r="B287" t="str">
            <v>----252-!</v>
          </cell>
        </row>
        <row r="288">
          <cell r="B288" t="str">
            <v>----253-!</v>
          </cell>
        </row>
        <row r="289">
          <cell r="B289" t="str">
            <v>----254-!</v>
          </cell>
        </row>
        <row r="290">
          <cell r="B290" t="str">
            <v>----255-!</v>
          </cell>
        </row>
        <row r="291">
          <cell r="B291" t="str">
            <v>----256-!</v>
          </cell>
        </row>
        <row r="292">
          <cell r="B292" t="str">
            <v>----257-!</v>
          </cell>
        </row>
        <row r="293">
          <cell r="B293" t="str">
            <v>----258-!</v>
          </cell>
        </row>
        <row r="294">
          <cell r="B294" t="str">
            <v>----259-!</v>
          </cell>
        </row>
        <row r="295">
          <cell r="B295" t="str">
            <v>----260-!</v>
          </cell>
        </row>
        <row r="296">
          <cell r="B296" t="str">
            <v>----261-!</v>
          </cell>
        </row>
        <row r="297">
          <cell r="B297" t="str">
            <v>----262-!</v>
          </cell>
        </row>
        <row r="298">
          <cell r="B298" t="str">
            <v>----263-!</v>
          </cell>
        </row>
        <row r="299">
          <cell r="B299" t="str">
            <v>----264-!</v>
          </cell>
        </row>
        <row r="300">
          <cell r="B300" t="str">
            <v>----265-!</v>
          </cell>
        </row>
      </sheetData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NiFLNqqH3UiNQ52w4MjHkaJekJNSkitOjf-Us92CSmxxGzt9tJH6TI48Zmid9mwi" itemId="01X4HTLNE7BMBSTCJXC5G3B52MIIFT4TKW">
      <xxl21:absoluteUrl r:id="rId2"/>
    </xxl21:alternateUrls>
    <sheetNames>
      <sheetName val="May_2024"/>
      <sheetName val="Jun_2024"/>
      <sheetName val="Jul_2024"/>
      <sheetName val="Curva S"/>
      <sheetName val="Ene_2024"/>
      <sheetName val="Feb_2024"/>
      <sheetName val="Noviembre 2023"/>
      <sheetName val="RESUMEN NOV"/>
      <sheetName val="RESUMEN SEPT"/>
      <sheetName val="Mar_2024"/>
      <sheetName val="Abr_2024"/>
      <sheetName val="POM 2024"/>
      <sheetName val="POM 2025"/>
      <sheetName val="POM 2026"/>
      <sheetName val="Proyectos Vigentes"/>
      <sheetName val="Ploteo"/>
      <sheetName val="Feb25"/>
      <sheetName val="Mar25"/>
      <sheetName val="Abr25"/>
      <sheetName val="Jun25"/>
      <sheetName val="Jul25"/>
      <sheetName val="Ago25"/>
      <sheetName val="Sept25"/>
      <sheetName val="Resumen EDPS_Corregido"/>
      <sheetName val="Noviembre (2)"/>
      <sheetName val="Resumen EDPS"/>
      <sheetName val="Formato reporte EDP_2024"/>
      <sheetName val="Formato Backlog_Sept25"/>
      <sheetName val="POM 2025__old"/>
      <sheetName val="EDP ene-26"/>
      <sheetName val="Comparación ene-26"/>
      <sheetName val="260209__Información ER"/>
      <sheetName val="Proyectos Vigentes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>
            <v>1</v>
          </cell>
        </row>
        <row r="2">
          <cell r="A2" t="str">
            <v>Código</v>
          </cell>
          <cell r="L2" t="str">
            <v>Saldo [USD]</v>
          </cell>
        </row>
        <row r="3">
          <cell r="A3" t="str">
            <v>CH-BHP-OP-FEL00-135-A</v>
          </cell>
          <cell r="L3">
            <v>469229.57888888888</v>
          </cell>
        </row>
        <row r="4">
          <cell r="A4" t="str">
            <v>CH-CMP-UG-FEL03-093-A</v>
          </cell>
          <cell r="L4">
            <v>530757</v>
          </cell>
        </row>
        <row r="5">
          <cell r="A5" t="str">
            <v>OT-THC-CS-OTR00-122-A</v>
          </cell>
          <cell r="L5">
            <v>634587</v>
          </cell>
        </row>
        <row r="6">
          <cell r="A6" t="str">
            <v>OT-TWM-CS-FEL00-119-A</v>
          </cell>
          <cell r="L6">
            <v>1108886.5899999999</v>
          </cell>
        </row>
        <row r="7">
          <cell r="A7" t="str">
            <v>BR-MOS-UG-OTR00-098-A</v>
          </cell>
          <cell r="L7">
            <v>0</v>
          </cell>
        </row>
        <row r="8">
          <cell r="A8" t="str">
            <v>BR-AUM-OU-FEL00-130-A</v>
          </cell>
          <cell r="L8">
            <v>86592</v>
          </cell>
        </row>
        <row r="9">
          <cell r="A9" t="str">
            <v>CH-LUN-CS-OTR00-154-A</v>
          </cell>
          <cell r="L9">
            <v>2830052.1688888888</v>
          </cell>
        </row>
        <row r="10">
          <cell r="A10" t="str">
            <v>PE-CSC-UG-FEL2A-133-A</v>
          </cell>
          <cell r="L10">
            <v>11920</v>
          </cell>
        </row>
        <row r="11">
          <cell r="A11" t="str">
            <v>CH-D&amp;P-CS-OTR00-137-A</v>
          </cell>
          <cell r="L11">
            <v>2841972.1688888888</v>
          </cell>
        </row>
        <row r="12">
          <cell r="A12" t="str">
            <v>OT-RES-CS-OTR00-131-A</v>
          </cell>
        </row>
        <row r="13">
          <cell r="A13" t="str">
            <v>BR-J&amp;F-UG-FEL03-048-A</v>
          </cell>
        </row>
        <row r="14">
          <cell r="A14" t="str">
            <v>CH-MCI-OP-OTR00-089-A</v>
          </cell>
        </row>
        <row r="15">
          <cell r="A15" t="str">
            <v>CH-BHP-UG-FEL01-074-A</v>
          </cell>
          <cell r="L15" t="str">
            <v>Saldo [USD]</v>
          </cell>
        </row>
        <row r="16">
          <cell r="A16" t="str">
            <v>CH-CCO-CS-FEL00-117-A</v>
          </cell>
        </row>
        <row r="17">
          <cell r="A17" t="str">
            <v>CH-AMS-OT-OTR00-108-A</v>
          </cell>
        </row>
        <row r="18">
          <cell r="A18" t="str">
            <v>PE-OCP-CS-OTR00-138-A</v>
          </cell>
        </row>
        <row r="19">
          <cell r="A19" t="str">
            <v>CH-AAM-OT-FEL03-139-A</v>
          </cell>
        </row>
        <row r="20">
          <cell r="A20" t="str">
            <v>BR-TAB-OP-FEL00-158-A</v>
          </cell>
        </row>
        <row r="21">
          <cell r="A21" t="str">
            <v>PE-MAR-OU-FEL01-114-A</v>
          </cell>
        </row>
        <row r="22">
          <cell r="A22" t="str">
            <v>CH-CCO-CS-OTR00-159-A</v>
          </cell>
        </row>
        <row r="23">
          <cell r="A23" t="str">
            <v>BR-MOS-OU-FEL03-147-A</v>
          </cell>
        </row>
        <row r="24">
          <cell r="A24" t="str">
            <v>CH-AMS-CS-OTR00-116-A</v>
          </cell>
        </row>
        <row r="25">
          <cell r="A25" t="str">
            <v>OT-TWM-CS-FEL00-141-A</v>
          </cell>
        </row>
        <row r="26">
          <cell r="A26" t="str">
            <v>CH-CMP-OP-FEL00-106-A</v>
          </cell>
        </row>
        <row r="27">
          <cell r="A27" t="str">
            <v>BR-LHG-UG-OTR00-161-A</v>
          </cell>
        </row>
        <row r="28">
          <cell r="A28" t="str">
            <v>CH-CMP-OP-OTR00-096-A</v>
          </cell>
        </row>
        <row r="29">
          <cell r="A29" t="str">
            <v>CH-CMP-OT-OTR00-107-A</v>
          </cell>
        </row>
        <row r="30">
          <cell r="A30" t="str">
            <v>CH-CMP-UG-OTR00-095-A</v>
          </cell>
        </row>
        <row r="31">
          <cell r="A31" t="str">
            <v>PE-MMG-UG-FEL00-136-A</v>
          </cell>
        </row>
        <row r="32">
          <cell r="A32" t="str">
            <v>CH-COD-OU-FEL00-112-A</v>
          </cell>
        </row>
        <row r="33">
          <cell r="A33" t="str">
            <v>CH-AAM-CS-OTR00-179-A</v>
          </cell>
        </row>
        <row r="34">
          <cell r="A34" t="str">
            <v>CH-AMS-CS-OTR00-165-A</v>
          </cell>
        </row>
        <row r="35">
          <cell r="A35" t="str">
            <v>BR-MOS-OP-FEL2A-102-A</v>
          </cell>
        </row>
        <row r="36">
          <cell r="A36" t="str">
            <v>BR-CBM-CS-OTR00-164-A</v>
          </cell>
        </row>
        <row r="37">
          <cell r="A37" t="str">
            <v>CH-BHP-OP-FEL00-103-A</v>
          </cell>
        </row>
        <row r="38">
          <cell r="A38" t="str">
            <v>CH-COD-CS-OTR00-129-A</v>
          </cell>
        </row>
        <row r="39">
          <cell r="A39" t="str">
            <v>CH-AAM-CS-OTR00-146-A</v>
          </cell>
        </row>
        <row r="40">
          <cell r="A40" t="str">
            <v>BR-MOS-CS-OTR00-115-A</v>
          </cell>
        </row>
        <row r="41">
          <cell r="A41" t="str">
            <v>PE-MSR-UG-OTR00-151-A</v>
          </cell>
        </row>
        <row r="42">
          <cell r="A42" t="str">
            <v>OT-FNE-CS-OTR00-176-A</v>
          </cell>
        </row>
        <row r="43">
          <cell r="A43" t="str">
            <v>PE-MSR-UG-OTR00-134-A</v>
          </cell>
        </row>
        <row r="44">
          <cell r="A44" t="str">
            <v>OT-RES-CS-OTR00-150-A</v>
          </cell>
        </row>
        <row r="45">
          <cell r="A45" t="str">
            <v>CH-BHP-OP-OTR00-145-A</v>
          </cell>
        </row>
        <row r="46">
          <cell r="A46" t="str">
            <v>PE-VLC-GM-FEL00-166-A</v>
          </cell>
        </row>
        <row r="47">
          <cell r="A47" t="str">
            <v>CH-BHP-OP-OTR00-140-A</v>
          </cell>
        </row>
        <row r="48">
          <cell r="A48" t="str">
            <v>PE-HUD-GM-FEL00-153-A</v>
          </cell>
        </row>
        <row r="49">
          <cell r="A49" t="str">
            <v>CH-COD-CS-OTR00-128-A</v>
          </cell>
        </row>
        <row r="50">
          <cell r="A50" t="str">
            <v>PE-MSR-UG-OTR00-162-A</v>
          </cell>
        </row>
        <row r="51">
          <cell r="A51" t="str">
            <v>PE-NEX-CS-OTR00-168-A</v>
          </cell>
        </row>
        <row r="52">
          <cell r="A52" t="str">
            <v>PE-VLC-GM-FEL00-157-A</v>
          </cell>
        </row>
        <row r="53">
          <cell r="A53" t="str">
            <v>CH-CMP-OP-FEL00-155-A</v>
          </cell>
        </row>
        <row r="54">
          <cell r="A54" t="str">
            <v>CH-PUC-CS-OTR00-170-A</v>
          </cell>
        </row>
        <row r="55">
          <cell r="A55" t="str">
            <v>CH-COL-CS-OTR00-180-A</v>
          </cell>
        </row>
        <row r="56">
          <cell r="A56" t="str">
            <v>CH-CRF-CS-FEL00-169-A</v>
          </cell>
        </row>
        <row r="57">
          <cell r="A57" t="str">
            <v>CH-GLE-CS-OTR00-183-A</v>
          </cell>
        </row>
        <row r="58">
          <cell r="A58" t="str">
            <v>PE-NEX-GM-FEL00-167-A</v>
          </cell>
        </row>
        <row r="59">
          <cell r="A59" t="str">
            <v>PE-MSR-UG-FEL00-142-A</v>
          </cell>
        </row>
        <row r="60">
          <cell r="A60" t="str">
            <v>PE-MMG-UG-FEL2A-143-A</v>
          </cell>
          <cell r="L60">
            <v>62911.409999999916</v>
          </cell>
        </row>
        <row r="61">
          <cell r="A61" t="str">
            <v>BR-ERC-UG-FEL00-152-A</v>
          </cell>
          <cell r="L61">
            <v>110076</v>
          </cell>
        </row>
        <row r="62">
          <cell r="A62" t="str">
            <v>PE-ECR-UG-FEL00-188-A</v>
          </cell>
          <cell r="L62">
            <v>346000</v>
          </cell>
        </row>
        <row r="63">
          <cell r="A63" t="str">
            <v>BR-EQG-UG-FEL03-172-A</v>
          </cell>
          <cell r="L63">
            <v>45167.609999999986</v>
          </cell>
        </row>
        <row r="64">
          <cell r="A64" t="str">
            <v>CH-COD-CS-OTR00-193-A</v>
          </cell>
          <cell r="L64">
            <v>245000</v>
          </cell>
        </row>
        <row r="65">
          <cell r="A65" t="str">
            <v>BR-AUM-UG-FEL2A-181-A</v>
          </cell>
          <cell r="L65">
            <v>159558.19</v>
          </cell>
        </row>
        <row r="66">
          <cell r="A66" t="str">
            <v>PE-ALP-GM-FEL00-156-A</v>
          </cell>
          <cell r="L66">
            <v>56306</v>
          </cell>
        </row>
        <row r="67">
          <cell r="A67" t="str">
            <v>OT-RES-CS-OTR00-178-A</v>
          </cell>
          <cell r="L67">
            <v>30994</v>
          </cell>
        </row>
        <row r="68">
          <cell r="A68" t="str">
            <v>PE-BRO-GM-FEL00-191-A</v>
          </cell>
          <cell r="L68">
            <v>214363</v>
          </cell>
        </row>
        <row r="69">
          <cell r="A69" t="str">
            <v>CH-ERG-GM-FEL00-186-A</v>
          </cell>
          <cell r="L69">
            <v>229330</v>
          </cell>
        </row>
        <row r="70">
          <cell r="A70" t="str">
            <v>PE-MMA-OP-FEL00-182-A</v>
          </cell>
          <cell r="L70">
            <v>97714</v>
          </cell>
        </row>
        <row r="71">
          <cell r="A71" t="str">
            <v>CH-AMS-OP-FEL00-171-A</v>
          </cell>
          <cell r="L71">
            <v>11964.260000000009</v>
          </cell>
        </row>
        <row r="72">
          <cell r="A72" t="str">
            <v>PE-SPM-UG-FEL03-160-A</v>
          </cell>
          <cell r="L72">
            <v>5034</v>
          </cell>
        </row>
        <row r="73">
          <cell r="A73" t="str">
            <v>PE-HCS-UG-FEL00-190-A</v>
          </cell>
          <cell r="L73">
            <v>92800</v>
          </cell>
        </row>
        <row r="74">
          <cell r="A74" t="str">
            <v>CH-COD-UG-FEL00-174-A</v>
          </cell>
          <cell r="L74">
            <v>17056.248000000007</v>
          </cell>
        </row>
        <row r="75">
          <cell r="A75" t="str">
            <v>CH-ERG-GM-FEL00-189-A</v>
          </cell>
          <cell r="L75">
            <v>0</v>
          </cell>
        </row>
        <row r="76">
          <cell r="A76" t="str">
            <v>PE-CSC-CS-OTR00-192-A</v>
          </cell>
          <cell r="L76">
            <v>51605</v>
          </cell>
        </row>
        <row r="77">
          <cell r="A77" t="str">
            <v>CH-COL-CS-OTR00-185-A</v>
          </cell>
          <cell r="L77">
            <v>40120</v>
          </cell>
        </row>
        <row r="78">
          <cell r="A78" t="str">
            <v>RU-POL-OP-FEL00-149-A</v>
          </cell>
          <cell r="L78">
            <v>153748</v>
          </cell>
        </row>
        <row r="79">
          <cell r="A79" t="str">
            <v>RU-POL-OP-FEL00-173-A</v>
          </cell>
          <cell r="L79">
            <v>3617</v>
          </cell>
        </row>
        <row r="80">
          <cell r="A80" t="str">
            <v>RU-SEL-UG-FEL2A-072-A</v>
          </cell>
          <cell r="L80">
            <v>1343879</v>
          </cell>
        </row>
        <row r="81">
          <cell r="A81" t="str">
            <v>RU-ATL-OP-FEL00-148-A</v>
          </cell>
          <cell r="L81">
            <v>10000</v>
          </cell>
        </row>
        <row r="82">
          <cell r="L82">
            <v>3502312.7179999999</v>
          </cell>
        </row>
        <row r="84">
          <cell r="L84">
            <v>71960</v>
          </cell>
        </row>
        <row r="85">
          <cell r="L85">
            <v>89094</v>
          </cell>
        </row>
        <row r="86">
          <cell r="L86">
            <v>2799</v>
          </cell>
        </row>
        <row r="94">
          <cell r="L94">
            <v>30100.008888888886</v>
          </cell>
        </row>
        <row r="95">
          <cell r="L95">
            <v>259506</v>
          </cell>
        </row>
        <row r="97">
          <cell r="L97">
            <v>32190</v>
          </cell>
        </row>
        <row r="100">
          <cell r="L100">
            <v>108849</v>
          </cell>
        </row>
        <row r="101">
          <cell r="L101">
            <v>14571</v>
          </cell>
        </row>
        <row r="102">
          <cell r="L102">
            <v>56414</v>
          </cell>
        </row>
        <row r="105">
          <cell r="L105">
            <v>45595</v>
          </cell>
        </row>
        <row r="107">
          <cell r="L107">
            <v>1935</v>
          </cell>
        </row>
        <row r="108">
          <cell r="L108">
            <v>76410</v>
          </cell>
        </row>
        <row r="109">
          <cell r="L109">
            <v>84100.57</v>
          </cell>
        </row>
        <row r="110">
          <cell r="L110">
            <v>708195.59</v>
          </cell>
        </row>
        <row r="111">
          <cell r="L111">
            <v>210935</v>
          </cell>
        </row>
        <row r="113">
          <cell r="L113">
            <v>86592</v>
          </cell>
        </row>
        <row r="114">
          <cell r="L114">
            <v>372552</v>
          </cell>
        </row>
        <row r="115">
          <cell r="L115">
            <v>55000</v>
          </cell>
        </row>
        <row r="116">
          <cell r="L116">
            <v>151500</v>
          </cell>
        </row>
        <row r="117">
          <cell r="L117">
            <v>45801</v>
          </cell>
        </row>
        <row r="118">
          <cell r="L118">
            <v>146540</v>
          </cell>
        </row>
        <row r="119">
          <cell r="L119">
            <v>58440</v>
          </cell>
        </row>
        <row r="120">
          <cell r="L120">
            <v>47156</v>
          </cell>
        </row>
        <row r="121">
          <cell r="L121">
            <v>70200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edro Aguiluz" id="{0D8A0F38-319B-45BA-BE2A-AA6D8C6AAC67}" userId="paguiluz@redcoglobal.com" providerId="PeoplePicker"/>
  <person displayName="Eduardo Cuevas" id="{8A97DFA8-98F1-4997-8BBB-220CDF41A902}" userId="S::ecuevas@redcoglobal.com::1895eeda-fe30-4958-a15c-75961a407efe" providerId="AD"/>
  <person displayName="Matías Fuentes" id="{0ED87241-0D0C-4495-9DD0-BDF43BB43CFA}" userId="S::mfuentes@redcoglobal.com::c54cce07-0cb8-4d1f-96ff-8461043c8b7f" providerId="AD"/>
  <person displayName="Pedro Aguiluz" id="{9D253EA2-6145-4721-A53C-89016657B3F2}" userId="S::paguiluz@redcoglobal.com::86d19a04-0507-4d06-bd77-f95e1bb8ebd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Cuero" refreshedDate="46210.007081597221" createdVersion="8" refreshedVersion="8" minRefreshableVersion="3" recordCount="84" xr:uid="{6A09014F-6FF6-C94E-8342-668B80E26439}">
  <cacheSource type="worksheet">
    <worksheetSource ref="A63:H147" sheet="Listas y Parametros"/>
  </cacheSource>
  <cacheFields count="8">
    <cacheField name="#" numFmtId="0">
      <sharedItems containsString="0" containsBlank="1" containsNumber="1" containsInteger="1" minValue="1" maxValue="84"/>
    </cacheField>
    <cacheField name="Personal" numFmtId="0">
      <sharedItems containsBlank="1" count="82">
        <s v="Isabela Camisassa"/>
        <s v="Maria Celia Fonseca"/>
        <s v="Ronald Leal"/>
        <s v="Antonio Schettino"/>
        <s v="Enrique Rubio"/>
        <s v="Gladys Muñoz"/>
        <s v="Renan Argandoña"/>
        <s v="Isabel Marchant"/>
        <s v="Alex Figueroa"/>
        <s v="Carolina Arcos"/>
        <s v="Claudio Hernandez"/>
        <s v="Felipe Rojas"/>
        <s v="Gonzalo Díaz"/>
        <s v="Rodrigo Valdes"/>
        <s v="Christian Caviedes"/>
        <s v="Matias Fuentes"/>
        <s v="Benjamin Baeza"/>
        <s v="Cristian Alarcon"/>
        <s v="Daniela Oyarzo"/>
        <s v="Isidora Figueroa"/>
        <s v="Javier Salazar"/>
        <s v="José Pizarro"/>
        <s v="Martin Figueroa"/>
        <s v="Matías Cid"/>
        <s v="Nicolás Sanzana"/>
        <s v="Victor Mohana"/>
        <s v="Nicolas Ayarza"/>
        <s v="Eduardo Cuevas"/>
        <s v="Roxana Avilés"/>
        <s v="Freddy Díaz"/>
        <s v="Pablo Quiero"/>
        <s v="Felipe Lira"/>
        <s v="Rodrigo Baez"/>
        <s v="Leonel Robledo"/>
        <s v="Alex Pacheco"/>
        <s v="Pedro Aguiluz"/>
        <s v="Olesya Dashavskaya"/>
        <s v="Ricardo Miranda"/>
        <s v="Cristobal Concha"/>
        <s v="Cristobal Poblete"/>
        <s v="Cristobal Ventura"/>
        <s v="Darwin Varas"/>
        <s v="Diego Muñoz"/>
        <s v="Erick Sanhueza"/>
        <s v="Gerson Alfaro"/>
        <s v="Marcelo Mendoza"/>
        <s v="Claudio Delgado"/>
        <s v="Eduardo Morales"/>
        <s v="Eduardo Cepeda"/>
        <s v="Gabriel Ojeda"/>
        <s v="Juan de Vera"/>
        <s v="Matias Guerrero"/>
        <s v="Mauricio Peralta"/>
        <s v="Rodrigo Andrae"/>
        <s v="Emilio Sanchez"/>
        <m/>
        <s v="German Soto"/>
        <s v="Alberto Reinao"/>
        <s v="Carol Valdenegro"/>
        <s v="Vicente Jimenez"/>
        <s v="Maria Huaman"/>
        <s v="Eduardo Lama"/>
        <s v="Arnold Tadeo"/>
        <s v="Edward Torres"/>
        <s v="Gino Espinoza"/>
        <s v="Jarold Orna"/>
        <s v="Jhonatan Huaynate"/>
        <s v="Jhosep Livia"/>
        <s v="Kevin Rios"/>
        <s v="Luis Chumpitaz"/>
        <s v="Manuel Palomino"/>
        <s v="Mateo Villanueva"/>
        <s v="Walter Lupinta"/>
        <s v="Victor Arias"/>
        <s v="Jorman Barrera"/>
        <s v="Rodrigo Cori"/>
        <s v="Carlos Catalan"/>
        <s v="Johnny Pacheco"/>
        <s v="Alejandra Montalvan"/>
        <s v="Heidi La Rosa"/>
        <s v="Nikolai Quispe"/>
        <s v="Patricio Vergara"/>
      </sharedItems>
    </cacheField>
    <cacheField name="Cargo" numFmtId="0">
      <sharedItems containsBlank="1" count="22">
        <s v="Country Manager Brasil"/>
        <s v="Desarrollo de Negocios"/>
        <s v="Director de Proyecto"/>
        <s v="Socio Consultor REDCO Brasil"/>
        <s v="Gerente General"/>
        <s v="Aseo y Ornato"/>
        <s v="Ingeniero Senior"/>
        <s v="Contabilidad y Administración "/>
        <s v="Gerente Comercial"/>
        <s v="Gerentes"/>
        <s v="Ingeniero Junior"/>
        <s v="Ingeniero de Proyecto"/>
        <s v="Ingeniero Principal"/>
        <s v="Ingeniero P&amp;C"/>
        <s v="Subgerente Comercial"/>
        <s v="Country Manager Rusia"/>
        <m/>
        <s v="Consultor Administración"/>
        <s v="Jefa Administración"/>
        <s v="Ingeniero Desarrollo de Negocios"/>
        <s v="Country Manager"/>
        <s v="Country Manager USA"/>
      </sharedItems>
    </cacheField>
    <cacheField name="Empresa" numFmtId="0">
      <sharedItems containsBlank="1"/>
    </cacheField>
    <cacheField name="País" numFmtId="0">
      <sharedItems containsBlank="1" count="5">
        <s v="Brasil"/>
        <s v="Chile"/>
        <m/>
        <s v="Perú"/>
        <s v="USA"/>
      </sharedItems>
    </cacheField>
    <cacheField name="Tipo de Contrato " numFmtId="0">
      <sharedItems containsBlank="1"/>
    </cacheField>
    <cacheField name="Costo Empresa" numFmtId="0">
      <sharedItems containsString="0" containsBlank="1" containsNumber="1" minValue="450" maxValue="25000"/>
    </cacheField>
    <cacheField name="Gerenci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n v="1"/>
    <x v="0"/>
    <x v="0"/>
    <s v="REDCO"/>
    <x v="0"/>
    <s v="Indefinido"/>
    <n v="4270"/>
    <s v="Gerencia General (incluye RRHH)"/>
  </r>
  <r>
    <n v="2"/>
    <x v="1"/>
    <x v="1"/>
    <s v="REDCO"/>
    <x v="0"/>
    <s v="Indefinido"/>
    <n v="1100"/>
    <s v="Gerencia Contabilidad y Administracion"/>
  </r>
  <r>
    <n v="3"/>
    <x v="2"/>
    <x v="2"/>
    <s v="REDCO"/>
    <x v="0"/>
    <s v="Indefinido"/>
    <n v="3700"/>
    <m/>
  </r>
  <r>
    <n v="4"/>
    <x v="3"/>
    <x v="3"/>
    <s v="REDCO"/>
    <x v="0"/>
    <s v="-"/>
    <n v="4650"/>
    <s v="Gerencia General (incluye RRHH)"/>
  </r>
  <r>
    <n v="5"/>
    <x v="4"/>
    <x v="4"/>
    <s v="REDCO"/>
    <x v="1"/>
    <s v="Indefinido"/>
    <n v="18628.633207201961"/>
    <s v="Gerencia General (incluye RRHH)"/>
  </r>
  <r>
    <n v="6"/>
    <x v="5"/>
    <x v="5"/>
    <s v="REDCO"/>
    <x v="1"/>
    <s v="Indefinido"/>
    <n v="1061"/>
    <s v="Gerencia Contabilidad y Administracion"/>
  </r>
  <r>
    <n v="7"/>
    <x v="6"/>
    <x v="6"/>
    <s v="REDCO"/>
    <x v="1"/>
    <s v="Honorarios"/>
    <n v="4858"/>
    <m/>
  </r>
  <r>
    <n v="8"/>
    <x v="7"/>
    <x v="7"/>
    <s v="REDCO"/>
    <x v="1"/>
    <s v="Indefinido"/>
    <n v="3466"/>
    <s v="Gerencia Contabilidad y Administracion"/>
  </r>
  <r>
    <n v="9"/>
    <x v="8"/>
    <x v="2"/>
    <s v="REDCO"/>
    <x v="1"/>
    <s v="Indefinido"/>
    <n v="8820"/>
    <m/>
  </r>
  <r>
    <n v="10"/>
    <x v="9"/>
    <x v="2"/>
    <s v="REDCO"/>
    <x v="1"/>
    <s v="Indefinido"/>
    <n v="7975"/>
    <m/>
  </r>
  <r>
    <n v="11"/>
    <x v="10"/>
    <x v="2"/>
    <s v="REDCO"/>
    <x v="1"/>
    <s v="Indefinido"/>
    <n v="9514"/>
    <m/>
  </r>
  <r>
    <n v="12"/>
    <x v="11"/>
    <x v="2"/>
    <s v="REDCO"/>
    <x v="1"/>
    <s v="Indefinido"/>
    <n v="7930"/>
    <m/>
  </r>
  <r>
    <n v="13"/>
    <x v="12"/>
    <x v="2"/>
    <s v="REDCO"/>
    <x v="1"/>
    <s v="Honorarios"/>
    <n v="6000"/>
    <m/>
  </r>
  <r>
    <n v="14"/>
    <x v="13"/>
    <x v="8"/>
    <s v="REDCO"/>
    <x v="1"/>
    <s v="Indefinido"/>
    <n v="8666"/>
    <s v="Gerencia Comercial"/>
  </r>
  <r>
    <n v="15"/>
    <x v="14"/>
    <x v="9"/>
    <s v="REDCO"/>
    <x v="1"/>
    <s v="Indefinido"/>
    <n v="17249"/>
    <m/>
  </r>
  <r>
    <n v="16"/>
    <x v="15"/>
    <x v="9"/>
    <s v="REDCO"/>
    <x v="1"/>
    <s v="Indefinido"/>
    <n v="10196"/>
    <m/>
  </r>
  <r>
    <n v="17"/>
    <x v="16"/>
    <x v="10"/>
    <s v="REDCO"/>
    <x v="1"/>
    <s v="Fijo"/>
    <n v="1735"/>
    <m/>
  </r>
  <r>
    <n v="18"/>
    <x v="17"/>
    <x v="11"/>
    <s v="REDCO"/>
    <x v="1"/>
    <s v="Indefinido"/>
    <n v="2345.3675412699072"/>
    <m/>
  </r>
  <r>
    <n v="19"/>
    <x v="18"/>
    <x v="11"/>
    <s v="REDCO"/>
    <x v="1"/>
    <s v="Indefinido"/>
    <n v="2345.3675412699072"/>
    <m/>
  </r>
  <r>
    <n v="20"/>
    <x v="19"/>
    <x v="11"/>
    <s v="REDCO"/>
    <x v="1"/>
    <s v="Indefinido"/>
    <n v="2147"/>
    <m/>
  </r>
  <r>
    <n v="21"/>
    <x v="20"/>
    <x v="10"/>
    <s v="REDCO"/>
    <x v="1"/>
    <s v="Fijo"/>
    <n v="1355.3661274897086"/>
    <m/>
  </r>
  <r>
    <n v="22"/>
    <x v="21"/>
    <x v="11"/>
    <s v="REDCO"/>
    <x v="1"/>
    <s v="Indefinido"/>
    <n v="2270"/>
    <m/>
  </r>
  <r>
    <n v="23"/>
    <x v="22"/>
    <x v="11"/>
    <s v="REDCO"/>
    <x v="1"/>
    <s v="Fijo"/>
    <n v="2001"/>
    <m/>
  </r>
  <r>
    <n v="24"/>
    <x v="23"/>
    <x v="11"/>
    <s v="REDCO"/>
    <x v="1"/>
    <s v="Indefinido"/>
    <n v="1716"/>
    <m/>
  </r>
  <r>
    <n v="25"/>
    <x v="24"/>
    <x v="11"/>
    <s v="REDCO"/>
    <x v="1"/>
    <s v="Indefinido"/>
    <n v="2152"/>
    <m/>
  </r>
  <r>
    <n v="26"/>
    <x v="25"/>
    <x v="11"/>
    <s v="REDCO"/>
    <x v="1"/>
    <s v="Indefinido"/>
    <n v="2384"/>
    <m/>
  </r>
  <r>
    <n v="27"/>
    <x v="26"/>
    <x v="12"/>
    <s v="REDCO"/>
    <x v="1"/>
    <s v="Indefinido"/>
    <n v="3940"/>
    <m/>
  </r>
  <r>
    <n v="28"/>
    <x v="27"/>
    <x v="13"/>
    <s v="REDCO"/>
    <x v="1"/>
    <s v="Indefinido"/>
    <n v="3345"/>
    <m/>
  </r>
  <r>
    <n v="29"/>
    <x v="28"/>
    <x v="13"/>
    <s v="REDCO"/>
    <x v="1"/>
    <s v="Indefinido"/>
    <n v="2190"/>
    <m/>
  </r>
  <r>
    <n v="30"/>
    <x v="29"/>
    <x v="12"/>
    <s v="REDCO"/>
    <x v="1"/>
    <s v="Indefinido"/>
    <n v="5800"/>
    <m/>
  </r>
  <r>
    <n v="31"/>
    <x v="30"/>
    <x v="12"/>
    <s v="REDCO"/>
    <x v="1"/>
    <s v="Indefinido"/>
    <n v="5515"/>
    <m/>
  </r>
  <r>
    <n v="32"/>
    <x v="31"/>
    <x v="6"/>
    <s v="REDCO"/>
    <x v="1"/>
    <s v="Indefinido"/>
    <n v="4367"/>
    <m/>
  </r>
  <r>
    <n v="33"/>
    <x v="32"/>
    <x v="12"/>
    <s v="REDCO"/>
    <x v="1"/>
    <s v="Indefinido"/>
    <n v="6698"/>
    <m/>
  </r>
  <r>
    <n v="34"/>
    <x v="33"/>
    <x v="6"/>
    <s v="REDCO"/>
    <x v="1"/>
    <s v="Honorarios"/>
    <n v="4444"/>
    <m/>
  </r>
  <r>
    <n v="35"/>
    <x v="34"/>
    <x v="6"/>
    <s v="REDCO"/>
    <x v="1"/>
    <s v="Indefinido"/>
    <n v="2704"/>
    <m/>
  </r>
  <r>
    <n v="36"/>
    <x v="35"/>
    <x v="14"/>
    <s v="REDCO"/>
    <x v="1"/>
    <s v="Indefinido"/>
    <n v="3959"/>
    <s v="Gerencia Comercial"/>
  </r>
  <r>
    <n v="37"/>
    <x v="36"/>
    <x v="15"/>
    <s v="R+"/>
    <x v="1"/>
    <s v="Indefinido"/>
    <n v="4656"/>
    <s v="Gerencia General (incluye RRHH)"/>
  </r>
  <r>
    <n v="38"/>
    <x v="37"/>
    <x v="2"/>
    <s v="R+"/>
    <x v="1"/>
    <s v="Indefinido"/>
    <n v="13353"/>
    <m/>
  </r>
  <r>
    <n v="39"/>
    <x v="38"/>
    <x v="10"/>
    <s v="R+"/>
    <x v="1"/>
    <s v="Fijo"/>
    <n v="1462"/>
    <m/>
  </r>
  <r>
    <n v="40"/>
    <x v="39"/>
    <x v="10"/>
    <s v="R+"/>
    <x v="1"/>
    <s v="Fijo"/>
    <n v="1733"/>
    <m/>
  </r>
  <r>
    <n v="41"/>
    <x v="40"/>
    <x v="11"/>
    <s v="R+"/>
    <x v="1"/>
    <s v="Indefinido"/>
    <n v="1458"/>
    <m/>
  </r>
  <r>
    <n v="42"/>
    <x v="41"/>
    <x v="11"/>
    <s v="R+"/>
    <x v="1"/>
    <s v="Fijo"/>
    <n v="1868"/>
    <m/>
  </r>
  <r>
    <n v="43"/>
    <x v="42"/>
    <x v="11"/>
    <s v="R+"/>
    <x v="1"/>
    <s v="Indefinido"/>
    <n v="2152"/>
    <m/>
  </r>
  <r>
    <n v="44"/>
    <x v="43"/>
    <x v="11"/>
    <s v="R+"/>
    <x v="1"/>
    <s v="Fijo"/>
    <n v="3576"/>
    <m/>
  </r>
  <r>
    <n v="45"/>
    <x v="44"/>
    <x v="12"/>
    <s v="R+"/>
    <x v="1"/>
    <s v="Indefinido"/>
    <n v="5996"/>
    <m/>
  </r>
  <r>
    <n v="46"/>
    <x v="45"/>
    <x v="11"/>
    <s v="R+"/>
    <x v="1"/>
    <s v="Indefinido"/>
    <n v="1705"/>
    <m/>
  </r>
  <r>
    <n v="47"/>
    <x v="46"/>
    <x v="6"/>
    <s v="R+"/>
    <x v="1"/>
    <s v="Fijo"/>
    <n v="6590"/>
    <m/>
  </r>
  <r>
    <n v="48"/>
    <x v="47"/>
    <x v="12"/>
    <s v="R+"/>
    <x v="1"/>
    <s v="Indefinido"/>
    <n v="7975"/>
    <m/>
  </r>
  <r>
    <n v="49"/>
    <x v="48"/>
    <x v="10"/>
    <s v="R+"/>
    <x v="1"/>
    <s v="Fijo"/>
    <n v="2324"/>
    <m/>
  </r>
  <r>
    <n v="50"/>
    <x v="49"/>
    <x v="10"/>
    <s v="R+"/>
    <x v="1"/>
    <s v="Fijo"/>
    <n v="2395"/>
    <m/>
  </r>
  <r>
    <n v="51"/>
    <x v="50"/>
    <x v="6"/>
    <s v="R+"/>
    <x v="1"/>
    <s v="Honorarios"/>
    <n v="4158"/>
    <m/>
  </r>
  <r>
    <n v="52"/>
    <x v="51"/>
    <x v="10"/>
    <s v="R+"/>
    <x v="1"/>
    <s v="Fijo"/>
    <n v="1331"/>
    <m/>
  </r>
  <r>
    <n v="53"/>
    <x v="52"/>
    <x v="10"/>
    <s v="R+"/>
    <x v="1"/>
    <s v="Fijo"/>
    <n v="1730"/>
    <m/>
  </r>
  <r>
    <n v="54"/>
    <x v="53"/>
    <x v="6"/>
    <s v="R+"/>
    <x v="1"/>
    <s v="Fijo"/>
    <n v="3295"/>
    <m/>
  </r>
  <r>
    <n v="55"/>
    <x v="54"/>
    <x v="6"/>
    <s v="R+"/>
    <x v="1"/>
    <s v="Indefinido"/>
    <n v="5869"/>
    <m/>
  </r>
  <r>
    <m/>
    <x v="55"/>
    <x v="16"/>
    <m/>
    <x v="2"/>
    <m/>
    <m/>
    <m/>
  </r>
  <r>
    <n v="57"/>
    <x v="56"/>
    <x v="6"/>
    <s v="R+"/>
    <x v="1"/>
    <s v="Fijo"/>
    <n v="4975"/>
    <m/>
  </r>
  <r>
    <m/>
    <x v="55"/>
    <x v="16"/>
    <m/>
    <x v="2"/>
    <m/>
    <m/>
    <m/>
  </r>
  <r>
    <n v="59"/>
    <x v="57"/>
    <x v="17"/>
    <s v="REDCO"/>
    <x v="1"/>
    <s v="Honorarios"/>
    <n v="1663"/>
    <s v="Gerencia Contabilidad y Administracion"/>
  </r>
  <r>
    <n v="60"/>
    <x v="58"/>
    <x v="18"/>
    <s v="REDCO"/>
    <x v="1"/>
    <s v="Fijo"/>
    <n v="2128.9866522516527"/>
    <s v="Gerencia Contabilidad y Administracion"/>
  </r>
  <r>
    <n v="61"/>
    <x v="59"/>
    <x v="19"/>
    <s v="REDCO"/>
    <x v="1"/>
    <s v="Fijo"/>
    <n v="1596.7399891887396"/>
    <s v="Gerencia Comercial"/>
  </r>
  <r>
    <n v="62"/>
    <x v="60"/>
    <x v="10"/>
    <s v="REDCO "/>
    <x v="3"/>
    <s v="Honorarios"/>
    <n v="450"/>
    <m/>
  </r>
  <r>
    <n v="63"/>
    <x v="61"/>
    <x v="20"/>
    <s v="REDCO"/>
    <x v="3"/>
    <s v="Fijo"/>
    <n v="3285.76"/>
    <s v="Gerencia General (incluye RRHH)"/>
  </r>
  <r>
    <n v="64"/>
    <x v="62"/>
    <x v="11"/>
    <s v="REDCO"/>
    <x v="3"/>
    <s v="Fijo"/>
    <n v="1315.84"/>
    <m/>
  </r>
  <r>
    <n v="65"/>
    <x v="63"/>
    <x v="11"/>
    <s v="REDCO"/>
    <x v="3"/>
    <s v="Fijo"/>
    <n v="1212.1600000000001"/>
    <m/>
  </r>
  <r>
    <n v="66"/>
    <x v="64"/>
    <x v="11"/>
    <s v="REDCO"/>
    <x v="3"/>
    <s v="Fijo"/>
    <n v="1815.04"/>
    <m/>
  </r>
  <r>
    <n v="67"/>
    <x v="65"/>
    <x v="11"/>
    <s v="REDCO"/>
    <x v="3"/>
    <s v="Fijo"/>
    <n v="2415.36"/>
    <m/>
  </r>
  <r>
    <n v="68"/>
    <x v="66"/>
    <x v="11"/>
    <s v="REDCO"/>
    <x v="3"/>
    <s v="Fijo"/>
    <n v="1565.44"/>
    <m/>
  </r>
  <r>
    <m/>
    <x v="55"/>
    <x v="16"/>
    <m/>
    <x v="2"/>
    <m/>
    <m/>
    <m/>
  </r>
  <r>
    <n v="70"/>
    <x v="67"/>
    <x v="10"/>
    <s v="REDCO"/>
    <x v="3"/>
    <s v="Fijo"/>
    <n v="1583.3600000000001"/>
    <m/>
  </r>
  <r>
    <n v="71"/>
    <x v="68"/>
    <x v="12"/>
    <s v="REDCO"/>
    <x v="3"/>
    <s v="Indefinido"/>
    <n v="3156.48"/>
    <m/>
  </r>
  <r>
    <n v="72"/>
    <x v="69"/>
    <x v="11"/>
    <s v="REDCO"/>
    <x v="3"/>
    <s v="Fijo"/>
    <n v="1315.84"/>
    <m/>
  </r>
  <r>
    <n v="73"/>
    <x v="70"/>
    <x v="10"/>
    <s v="REDCO"/>
    <x v="3"/>
    <s v="Honorarios"/>
    <n v="1210"/>
    <m/>
  </r>
  <r>
    <n v="74"/>
    <x v="71"/>
    <x v="11"/>
    <s v="REDCO"/>
    <x v="3"/>
    <s v="Fijo"/>
    <n v="960"/>
    <m/>
  </r>
  <r>
    <n v="75"/>
    <x v="72"/>
    <x v="11"/>
    <s v="REDCO"/>
    <x v="3"/>
    <s v="Fijo"/>
    <n v="2336"/>
    <m/>
  </r>
  <r>
    <n v="76"/>
    <x v="73"/>
    <x v="13"/>
    <s v="REDCO"/>
    <x v="3"/>
    <s v="Fijo"/>
    <n v="2508.8000000000002"/>
    <m/>
  </r>
  <r>
    <n v="77"/>
    <x v="74"/>
    <x v="12"/>
    <s v="REDCO"/>
    <x v="3"/>
    <s v="Indefinido"/>
    <n v="4936.96"/>
    <m/>
  </r>
  <r>
    <n v="78"/>
    <x v="75"/>
    <x v="6"/>
    <s v="REDCO"/>
    <x v="3"/>
    <s v="Indefinido"/>
    <n v="6727.68"/>
    <m/>
  </r>
  <r>
    <n v="79"/>
    <x v="76"/>
    <x v="6"/>
    <s v="REDCO"/>
    <x v="3"/>
    <s v="Indefinido"/>
    <n v="3301.12"/>
    <m/>
  </r>
  <r>
    <n v="80"/>
    <x v="77"/>
    <x v="6"/>
    <s v="REDCO"/>
    <x v="3"/>
    <s v="Fijo"/>
    <n v="3052.8"/>
    <m/>
  </r>
  <r>
    <n v="81"/>
    <x v="78"/>
    <x v="19"/>
    <s v="REDCO"/>
    <x v="3"/>
    <s v="Honorarios"/>
    <n v="1000"/>
    <s v="Gerencia Comercial"/>
  </r>
  <r>
    <n v="82"/>
    <x v="79"/>
    <x v="10"/>
    <s v="REDCO"/>
    <x v="3"/>
    <s v="Honorarios"/>
    <n v="500"/>
    <m/>
  </r>
  <r>
    <n v="83"/>
    <x v="80"/>
    <x v="10"/>
    <s v="REDCO"/>
    <x v="3"/>
    <s v="Honorarios"/>
    <n v="500"/>
    <m/>
  </r>
  <r>
    <n v="84"/>
    <x v="81"/>
    <x v="21"/>
    <s v="REDCO"/>
    <x v="4"/>
    <s v="-"/>
    <n v="25000"/>
    <s v="Gerencia General (incluye RRHH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971818-7B7C-1244-8B64-A361B664DCB9}" name="TablaDinámica8" cacheId="1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106" firstHeaderRow="1" firstDataRow="2" firstDataCol="1"/>
  <pivotFields count="8">
    <pivotField dataField="1" showAll="0"/>
    <pivotField axis="axisRow" showAll="0">
      <items count="83">
        <item x="57"/>
        <item x="78"/>
        <item x="8"/>
        <item x="34"/>
        <item x="3"/>
        <item x="62"/>
        <item x="16"/>
        <item x="76"/>
        <item x="58"/>
        <item x="9"/>
        <item x="14"/>
        <item x="46"/>
        <item x="10"/>
        <item x="17"/>
        <item x="38"/>
        <item x="39"/>
        <item x="40"/>
        <item x="18"/>
        <item x="41"/>
        <item x="42"/>
        <item x="48"/>
        <item x="27"/>
        <item x="61"/>
        <item x="47"/>
        <item x="63"/>
        <item x="54"/>
        <item x="4"/>
        <item x="43"/>
        <item x="31"/>
        <item x="11"/>
        <item x="29"/>
        <item x="49"/>
        <item x="56"/>
        <item x="44"/>
        <item x="64"/>
        <item x="5"/>
        <item x="12"/>
        <item x="79"/>
        <item x="7"/>
        <item x="0"/>
        <item x="19"/>
        <item x="65"/>
        <item x="20"/>
        <item x="66"/>
        <item x="67"/>
        <item x="77"/>
        <item x="74"/>
        <item x="21"/>
        <item x="50"/>
        <item x="68"/>
        <item x="33"/>
        <item x="69"/>
        <item x="70"/>
        <item x="45"/>
        <item x="1"/>
        <item x="60"/>
        <item x="22"/>
        <item x="71"/>
        <item x="23"/>
        <item x="15"/>
        <item x="51"/>
        <item x="52"/>
        <item x="26"/>
        <item x="24"/>
        <item x="80"/>
        <item x="36"/>
        <item x="30"/>
        <item x="81"/>
        <item x="35"/>
        <item x="6"/>
        <item x="37"/>
        <item x="53"/>
        <item x="32"/>
        <item x="75"/>
        <item x="13"/>
        <item x="2"/>
        <item x="28"/>
        <item x="59"/>
        <item x="73"/>
        <item x="25"/>
        <item x="72"/>
        <item x="55"/>
        <item t="default"/>
      </items>
    </pivotField>
    <pivotField axis="axisRow" showAll="0" defaultSubtotal="0">
      <items count="22">
        <item sd="0" x="5"/>
        <item x="17"/>
        <item x="7"/>
        <item x="20"/>
        <item x="0"/>
        <item x="15"/>
        <item x="21"/>
        <item x="1"/>
        <item x="2"/>
        <item x="8"/>
        <item x="4"/>
        <item x="9"/>
        <item x="11"/>
        <item x="19"/>
        <item x="10"/>
        <item x="13"/>
        <item x="12"/>
        <item x="6"/>
        <item x="18"/>
        <item x="3"/>
        <item x="14"/>
        <item x="16"/>
      </items>
    </pivotField>
    <pivotField showAll="0"/>
    <pivotField axis="axisCol" showAll="0">
      <items count="6">
        <item x="0"/>
        <item x="1"/>
        <item x="3"/>
        <item x="4"/>
        <item h="1" x="2"/>
        <item t="default"/>
      </items>
    </pivotField>
    <pivotField showAll="0"/>
    <pivotField showAll="0"/>
    <pivotField showAll="0"/>
  </pivotFields>
  <rowFields count="2">
    <field x="2"/>
    <field x="1"/>
  </rowFields>
  <rowItems count="102">
    <i>
      <x/>
    </i>
    <i>
      <x v="1"/>
    </i>
    <i r="1">
      <x/>
    </i>
    <i>
      <x v="2"/>
    </i>
    <i r="1">
      <x v="38"/>
    </i>
    <i>
      <x v="3"/>
    </i>
    <i r="1">
      <x v="22"/>
    </i>
    <i>
      <x v="4"/>
    </i>
    <i r="1">
      <x v="39"/>
    </i>
    <i>
      <x v="5"/>
    </i>
    <i r="1">
      <x v="65"/>
    </i>
    <i>
      <x v="6"/>
    </i>
    <i r="1">
      <x v="67"/>
    </i>
    <i>
      <x v="7"/>
    </i>
    <i r="1">
      <x v="54"/>
    </i>
    <i>
      <x v="8"/>
    </i>
    <i r="1">
      <x v="2"/>
    </i>
    <i r="1">
      <x v="9"/>
    </i>
    <i r="1">
      <x v="12"/>
    </i>
    <i r="1">
      <x v="29"/>
    </i>
    <i r="1">
      <x v="36"/>
    </i>
    <i r="1">
      <x v="70"/>
    </i>
    <i r="1">
      <x v="75"/>
    </i>
    <i>
      <x v="9"/>
    </i>
    <i r="1">
      <x v="74"/>
    </i>
    <i>
      <x v="10"/>
    </i>
    <i r="1">
      <x v="26"/>
    </i>
    <i>
      <x v="11"/>
    </i>
    <i r="1">
      <x v="10"/>
    </i>
    <i r="1">
      <x v="59"/>
    </i>
    <i>
      <x v="12"/>
    </i>
    <i r="1">
      <x v="5"/>
    </i>
    <i r="1">
      <x v="13"/>
    </i>
    <i r="1">
      <x v="16"/>
    </i>
    <i r="1">
      <x v="17"/>
    </i>
    <i r="1">
      <x v="18"/>
    </i>
    <i r="1">
      <x v="19"/>
    </i>
    <i r="1">
      <x v="24"/>
    </i>
    <i r="1">
      <x v="27"/>
    </i>
    <i r="1">
      <x v="34"/>
    </i>
    <i r="1">
      <x v="40"/>
    </i>
    <i r="1">
      <x v="41"/>
    </i>
    <i r="1">
      <x v="43"/>
    </i>
    <i r="1">
      <x v="47"/>
    </i>
    <i r="1">
      <x v="51"/>
    </i>
    <i r="1">
      <x v="53"/>
    </i>
    <i r="1">
      <x v="56"/>
    </i>
    <i r="1">
      <x v="57"/>
    </i>
    <i r="1">
      <x v="58"/>
    </i>
    <i r="1">
      <x v="63"/>
    </i>
    <i r="1">
      <x v="79"/>
    </i>
    <i r="1">
      <x v="80"/>
    </i>
    <i>
      <x v="13"/>
    </i>
    <i r="1">
      <x v="1"/>
    </i>
    <i r="1">
      <x v="77"/>
    </i>
    <i>
      <x v="14"/>
    </i>
    <i r="1">
      <x v="6"/>
    </i>
    <i r="1">
      <x v="14"/>
    </i>
    <i r="1">
      <x v="15"/>
    </i>
    <i r="1">
      <x v="20"/>
    </i>
    <i r="1">
      <x v="31"/>
    </i>
    <i r="1">
      <x v="37"/>
    </i>
    <i r="1">
      <x v="42"/>
    </i>
    <i r="1">
      <x v="44"/>
    </i>
    <i r="1">
      <x v="52"/>
    </i>
    <i r="1">
      <x v="55"/>
    </i>
    <i r="1">
      <x v="60"/>
    </i>
    <i r="1">
      <x v="61"/>
    </i>
    <i r="1">
      <x v="64"/>
    </i>
    <i>
      <x v="15"/>
    </i>
    <i r="1">
      <x v="21"/>
    </i>
    <i r="1">
      <x v="76"/>
    </i>
    <i r="1">
      <x v="78"/>
    </i>
    <i>
      <x v="16"/>
    </i>
    <i r="1">
      <x v="23"/>
    </i>
    <i r="1">
      <x v="30"/>
    </i>
    <i r="1">
      <x v="33"/>
    </i>
    <i r="1">
      <x v="46"/>
    </i>
    <i r="1">
      <x v="49"/>
    </i>
    <i r="1">
      <x v="62"/>
    </i>
    <i r="1">
      <x v="66"/>
    </i>
    <i r="1">
      <x v="72"/>
    </i>
    <i>
      <x v="17"/>
    </i>
    <i r="1">
      <x v="3"/>
    </i>
    <i r="1">
      <x v="7"/>
    </i>
    <i r="1">
      <x v="11"/>
    </i>
    <i r="1">
      <x v="25"/>
    </i>
    <i r="1">
      <x v="28"/>
    </i>
    <i r="1">
      <x v="32"/>
    </i>
    <i r="1">
      <x v="45"/>
    </i>
    <i r="1">
      <x v="48"/>
    </i>
    <i r="1">
      <x v="50"/>
    </i>
    <i r="1">
      <x v="69"/>
    </i>
    <i r="1">
      <x v="71"/>
    </i>
    <i r="1">
      <x v="73"/>
    </i>
    <i>
      <x v="18"/>
    </i>
    <i r="1">
      <x v="8"/>
    </i>
    <i>
      <x v="19"/>
    </i>
    <i r="1">
      <x v="4"/>
    </i>
    <i>
      <x v="20"/>
    </i>
    <i r="1">
      <x v="68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#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5-09-09T19:19:10.99" personId="{8A97DFA8-98F1-4997-8BBB-220CDF41A902}" id="{94D1B4D2-AF17-435B-95CA-43AB4034B6D8}">
    <text>Se actualiza</text>
  </threadedComment>
  <threadedComment ref="F7" dT="2025-09-09T19:19:27.64" personId="{8A97DFA8-98F1-4997-8BBB-220CDF41A902}" id="{9C4425D9-38B8-49B4-A8E1-D3092736F405}">
    <text>Se actualiza</text>
  </threadedComment>
  <threadedComment ref="G7" dT="2025-09-09T19:19:48.82" personId="{8A97DFA8-98F1-4997-8BBB-220CDF41A902}" id="{300F013A-D0DE-4EAC-B04B-358C9E599D04}">
    <text>Se actualiza</text>
  </threadedComment>
  <threadedComment ref="H7" dT="2025-09-09T19:20:10.95" personId="{8A97DFA8-98F1-4997-8BBB-220CDF41A902}" id="{791A26CB-F201-4D3C-857F-31B2FD5BFA1A}">
    <text>Se actualiza</text>
  </threadedComment>
  <threadedComment ref="I7" dT="2025-10-14T15:57:38.00" personId="{8A97DFA8-98F1-4997-8BBB-220CDF41A902}" id="{B2367B22-1708-4555-AD0A-C8321F78B647}">
    <text>Se actualiza</text>
  </threadedComment>
  <threadedComment ref="G9" dT="2025-09-09T19:21:29.55" personId="{8A97DFA8-98F1-4997-8BBB-220CDF41A902}" id="{1D730B60-E240-450E-BFF9-89684CA7D9F3}">
    <text>Se actualiza</text>
  </threadedComment>
  <threadedComment ref="H9" dT="2025-09-09T19:22:13.10" personId="{8A97DFA8-98F1-4997-8BBB-220CDF41A902}" id="{DFCF23ED-B1C2-490A-B041-B4E46A38F058}">
    <text>Se actualiza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O14" dT="2025-06-10T17:49:01.53" personId="{8A97DFA8-98F1-4997-8BBB-220CDF41A902}" id="{E1A194FD-ED89-4A1F-BE68-AB6ADEB3FFAC}">
    <text>Anterior 94.936 USD</text>
  </threadedComment>
  <threadedComment ref="DN21" dT="2025-06-10T17:46:42.12" personId="{8A97DFA8-98F1-4997-8BBB-220CDF41A902}" id="{4E3E1AFC-0C15-4CBC-A30B-B70A003E80ED}">
    <text>Anterior 93.566 USD</text>
  </threadedComment>
  <threadedComment ref="DO21" dT="2025-06-10T17:46:57.05" personId="{8A97DFA8-98F1-4997-8BBB-220CDF41A902}" id="{4DF56718-822D-40CB-9C2E-8ED9997D0C7E}">
    <text>Anterior 127.544 USD</text>
  </threadedComment>
  <threadedComment ref="DP22" dT="2025-09-10T20:02:40.11" personId="{8A97DFA8-98F1-4997-8BBB-220CDF41A902}" id="{33DD0C92-97C2-452C-AA03-FAE56B4EC41B}">
    <text>Hubo cambios</text>
  </threadedComment>
  <threadedComment ref="DR22" dT="2025-09-10T20:01:34.91" personId="{8A97DFA8-98F1-4997-8BBB-220CDF41A902}" id="{F6B0BFC2-6AF6-459F-B1F0-D2887E2E4192}">
    <text>Hubo cambios</text>
  </threadedComment>
  <threadedComment ref="DR23" dT="2025-09-10T20:01:43.01" personId="{8A97DFA8-98F1-4997-8BBB-220CDF41A902}" id="{8044E0A3-EF48-47F6-8DF2-73A6393CC344}">
    <text>Hubo cambios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54" dT="2025-05-07T17:40:33.54" personId="{0ED87241-0D0C-4495-9DD0-BDF43BB43CFA}" id="{177BDC91-662D-4566-B3FE-EE15FECB1DDB}">
    <text>@Pedro Aguiluz Por favor completar</text>
    <mentions>
      <mention mentionpersonId="{0D8A0F38-319B-45BA-BE2A-AA6D8C6AAC67}" mentionId="{326D017F-1CE4-43D1-B763-CEF843BFCA3A}" startIndex="0" length="14"/>
    </mentions>
  </threadedComment>
  <threadedComment ref="R55" dT="2025-05-07T19:21:04.31" personId="{9D253EA2-6145-4721-A53C-89016657B3F2}" id="{D3529713-1F65-4EAD-9F9A-7485E144DB5E}">
    <text>Tengo entendido que se harán otros trabajados antes de la PFS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M15" dT="2025-04-25T16:21:39.37" personId="{0ED87241-0D0C-4495-9DD0-BDF43BB43CFA}" id="{E49D85C3-74DB-4B6C-AE67-3A3749A07E9F}">
    <text xml:space="preserve">Incluye a Rmiranda y Mfuentes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8.xml"/><Relationship Id="rId4" Type="http://schemas.microsoft.com/office/2017/10/relationships/threadedComment" Target="../threadedComments/threadedComment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3.xml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D9C0-AAF0-4534-9F6A-D67DF4F00CD9}">
  <dimension ref="A1:AA46"/>
  <sheetViews>
    <sheetView tabSelected="1" topLeftCell="E1" zoomScale="110" zoomScaleNormal="80" workbookViewId="0">
      <selection activeCell="F1" sqref="F1:F1048576"/>
    </sheetView>
  </sheetViews>
  <sheetFormatPr baseColWidth="10" defaultRowHeight="15" x14ac:dyDescent="0.2"/>
  <cols>
    <col min="1" max="1" width="11.5" bestFit="1" customWidth="1"/>
    <col min="22" max="22" width="13.83203125" bestFit="1" customWidth="1"/>
  </cols>
  <sheetData>
    <row r="1" spans="1:26" x14ac:dyDescent="0.2">
      <c r="A1" s="652" t="s">
        <v>496</v>
      </c>
      <c r="B1" s="653">
        <v>45658</v>
      </c>
      <c r="C1" s="653">
        <v>45689</v>
      </c>
      <c r="D1" s="653">
        <v>45717</v>
      </c>
      <c r="E1" s="653">
        <v>45748</v>
      </c>
      <c r="F1" s="653">
        <v>45778</v>
      </c>
      <c r="G1" s="653">
        <v>45809</v>
      </c>
      <c r="H1" s="653">
        <v>45839</v>
      </c>
      <c r="I1" s="653">
        <v>45870</v>
      </c>
      <c r="J1" s="653">
        <v>45901</v>
      </c>
      <c r="K1" s="653">
        <v>45931</v>
      </c>
      <c r="L1" s="653">
        <v>45962</v>
      </c>
      <c r="M1" s="654">
        <v>45992</v>
      </c>
      <c r="O1" s="625" t="s">
        <v>496</v>
      </c>
      <c r="P1" s="628" t="s">
        <v>32</v>
      </c>
      <c r="Q1" s="629" t="s">
        <v>59</v>
      </c>
    </row>
    <row r="2" spans="1:26" x14ac:dyDescent="0.2">
      <c r="A2" s="655" t="s">
        <v>497</v>
      </c>
      <c r="B2" s="635">
        <v>2212</v>
      </c>
      <c r="C2" s="635">
        <v>2571</v>
      </c>
      <c r="D2" s="635">
        <v>6130</v>
      </c>
      <c r="E2" s="635">
        <v>4378</v>
      </c>
      <c r="F2" s="635">
        <v>3026</v>
      </c>
      <c r="G2" s="637">
        <f t="shared" ref="G2:M2" si="0">+G3/0.43</f>
        <v>1618.6046511627908</v>
      </c>
      <c r="H2" s="637">
        <f t="shared" si="0"/>
        <v>1531.6279069767443</v>
      </c>
      <c r="I2" s="637">
        <f t="shared" si="0"/>
        <v>2046.5116279069769</v>
      </c>
      <c r="J2" s="637">
        <f t="shared" si="0"/>
        <v>1472.0930232558139</v>
      </c>
      <c r="K2" s="637">
        <f t="shared" si="0"/>
        <v>1006.9767441860465</v>
      </c>
      <c r="L2" s="637">
        <f t="shared" si="0"/>
        <v>1393.0232558139535</v>
      </c>
      <c r="M2" s="656">
        <f t="shared" si="0"/>
        <v>3037.2093023255816</v>
      </c>
      <c r="O2" s="630" t="s">
        <v>497</v>
      </c>
      <c r="P2" s="579">
        <f t="shared" ref="P2:P8" si="1">+SUM(B2:M2)</f>
        <v>30423.046511627905</v>
      </c>
      <c r="Q2" s="631">
        <f t="shared" ref="Q2:Q9" si="2">+AVERAGE(B2:M2)</f>
        <v>2535.2538759689919</v>
      </c>
    </row>
    <row r="3" spans="1:26" x14ac:dyDescent="0.2">
      <c r="A3" s="655" t="s">
        <v>498</v>
      </c>
      <c r="B3" s="635">
        <v>1056</v>
      </c>
      <c r="C3" s="635">
        <v>1246</v>
      </c>
      <c r="D3" s="635">
        <v>736</v>
      </c>
      <c r="E3" s="635">
        <v>1013</v>
      </c>
      <c r="F3" s="635">
        <v>968</v>
      </c>
      <c r="G3" s="635">
        <v>696</v>
      </c>
      <c r="H3" s="635">
        <v>658.6</v>
      </c>
      <c r="I3" s="635">
        <v>880</v>
      </c>
      <c r="J3" s="635">
        <v>633</v>
      </c>
      <c r="K3" s="635">
        <v>433</v>
      </c>
      <c r="L3" s="635">
        <v>599</v>
      </c>
      <c r="M3" s="657">
        <v>1306</v>
      </c>
      <c r="O3" s="630" t="s">
        <v>498</v>
      </c>
      <c r="P3" s="579">
        <f>+SUM(B3:M3)</f>
        <v>10224.6</v>
      </c>
      <c r="Q3" s="631">
        <f t="shared" si="2"/>
        <v>852.05000000000007</v>
      </c>
      <c r="R3" s="343"/>
      <c r="V3" t="s">
        <v>505</v>
      </c>
      <c r="W3" s="595">
        <v>1.227908572139855</v>
      </c>
    </row>
    <row r="4" spans="1:26" x14ac:dyDescent="0.2">
      <c r="A4" s="655" t="s">
        <v>451</v>
      </c>
      <c r="B4" s="636">
        <f>+O34</f>
        <v>669.09500000000003</v>
      </c>
      <c r="C4" s="636">
        <f t="shared" ref="C4:M4" si="3">+P34</f>
        <v>891.9686999999999</v>
      </c>
      <c r="D4" s="636">
        <f t="shared" si="3"/>
        <v>693.81329000000005</v>
      </c>
      <c r="E4" s="636">
        <f t="shared" si="3"/>
        <v>704.04973000000007</v>
      </c>
      <c r="F4" s="636">
        <f t="shared" si="3"/>
        <v>730.25699999999995</v>
      </c>
      <c r="G4" s="636">
        <f t="shared" si="3"/>
        <v>1177.5465900000002</v>
      </c>
      <c r="H4" s="636">
        <f t="shared" si="3"/>
        <v>742.58685000000003</v>
      </c>
      <c r="I4" s="636">
        <f t="shared" si="3"/>
        <v>784.66300000000001</v>
      </c>
      <c r="J4" s="636">
        <f t="shared" si="3"/>
        <v>676.2380394999999</v>
      </c>
      <c r="K4" s="636">
        <f t="shared" si="3"/>
        <v>860.16681299999993</v>
      </c>
      <c r="L4" s="636">
        <f t="shared" si="3"/>
        <v>803.24289950000002</v>
      </c>
      <c r="M4" s="658">
        <f t="shared" si="3"/>
        <v>611.27200000000005</v>
      </c>
      <c r="O4" s="630" t="s">
        <v>451</v>
      </c>
      <c r="P4" s="579">
        <f>+SUM(B4:M4)</f>
        <v>9344.8999120000008</v>
      </c>
      <c r="Q4" s="631">
        <f t="shared" si="2"/>
        <v>778.74165933333336</v>
      </c>
      <c r="S4" s="414">
        <v>10596.5520005336</v>
      </c>
      <c r="T4" s="648">
        <f>+S4-SUM(B4:H4)</f>
        <v>4987.2348405336006</v>
      </c>
      <c r="V4" t="s">
        <v>506</v>
      </c>
      <c r="W4" s="595">
        <v>0.98376234646215888</v>
      </c>
    </row>
    <row r="5" spans="1:26" x14ac:dyDescent="0.2">
      <c r="A5" s="655" t="s">
        <v>452</v>
      </c>
      <c r="B5" s="635">
        <f>+O37</f>
        <v>822.53499999999997</v>
      </c>
      <c r="C5" s="635">
        <f t="shared" ref="C5:M5" si="4">+P37</f>
        <v>313.029</v>
      </c>
      <c r="D5" s="635">
        <f t="shared" si="4"/>
        <v>798.15915999999993</v>
      </c>
      <c r="E5" s="635">
        <f t="shared" si="4"/>
        <v>702.12785999999994</v>
      </c>
      <c r="F5" s="635">
        <f t="shared" si="4"/>
        <v>916.26199999999994</v>
      </c>
      <c r="G5" s="635">
        <f t="shared" si="4"/>
        <v>782.34299999999996</v>
      </c>
      <c r="H5" s="635">
        <f t="shared" si="4"/>
        <v>894.86126000000002</v>
      </c>
      <c r="I5" s="635">
        <f t="shared" si="4"/>
        <v>1334.01459</v>
      </c>
      <c r="J5" s="635">
        <f t="shared" si="4"/>
        <v>726.92448587155957</v>
      </c>
      <c r="K5" s="635">
        <f t="shared" si="4"/>
        <v>884.48199999999997</v>
      </c>
      <c r="L5" s="635">
        <f t="shared" si="4"/>
        <v>735.77081818181807</v>
      </c>
      <c r="M5" s="659">
        <f t="shared" si="4"/>
        <v>886.41967729831151</v>
      </c>
      <c r="O5" s="630" t="s">
        <v>452</v>
      </c>
      <c r="P5" s="579">
        <f t="shared" si="1"/>
        <v>9796.9288513516894</v>
      </c>
      <c r="Q5" s="631">
        <f t="shared" si="2"/>
        <v>816.41073761264079</v>
      </c>
      <c r="S5" s="414">
        <v>10440.2571477823</v>
      </c>
      <c r="T5" s="648">
        <f>+T4/5</f>
        <v>997.44696810672008</v>
      </c>
    </row>
    <row r="6" spans="1:26" x14ac:dyDescent="0.2">
      <c r="A6" s="655" t="s">
        <v>453</v>
      </c>
      <c r="B6" s="635">
        <f>+O28</f>
        <v>717.16573390557937</v>
      </c>
      <c r="C6" s="635">
        <f t="shared" ref="C6:M6" si="5">+P28</f>
        <v>934.59482909871247</v>
      </c>
      <c r="D6" s="635">
        <f t="shared" si="5"/>
        <v>778.43045708154511</v>
      </c>
      <c r="E6" s="635">
        <f t="shared" si="5"/>
        <v>613.92118497854074</v>
      </c>
      <c r="F6" s="635">
        <f t="shared" si="5"/>
        <v>647.40508476394859</v>
      </c>
      <c r="G6" s="635">
        <f t="shared" si="5"/>
        <v>807.41107296137341</v>
      </c>
      <c r="H6" s="635">
        <f t="shared" si="5"/>
        <v>774.98974892703859</v>
      </c>
      <c r="I6" s="635">
        <f t="shared" si="5"/>
        <v>1032.2317371244635</v>
      </c>
      <c r="J6" s="635">
        <f t="shared" si="5"/>
        <v>620.64605042918458</v>
      </c>
      <c r="K6" s="635">
        <f t="shared" si="5"/>
        <v>793.7774603004292</v>
      </c>
      <c r="L6" s="635">
        <f t="shared" si="5"/>
        <v>584.50192596566524</v>
      </c>
      <c r="M6" s="659">
        <f t="shared" si="5"/>
        <v>845.54106042918454</v>
      </c>
      <c r="O6" s="630" t="s">
        <v>453</v>
      </c>
      <c r="P6" s="579">
        <f>+SUM(B6:M6)</f>
        <v>9150.6163459656655</v>
      </c>
      <c r="Q6" s="631">
        <f t="shared" si="2"/>
        <v>762.55136216380549</v>
      </c>
      <c r="R6" s="343"/>
      <c r="T6">
        <v>845</v>
      </c>
      <c r="U6">
        <f>+T5/T6</f>
        <v>1.1804106131440475</v>
      </c>
    </row>
    <row r="7" spans="1:26" x14ac:dyDescent="0.2">
      <c r="A7" s="655" t="s">
        <v>240</v>
      </c>
      <c r="B7" s="635">
        <f>+O31</f>
        <v>502.98160870000009</v>
      </c>
      <c r="C7" s="635">
        <f t="shared" ref="C7:M7" si="6">+P31</f>
        <v>509.77399660000009</v>
      </c>
      <c r="D7" s="635">
        <f t="shared" si="6"/>
        <v>535.8813171999999</v>
      </c>
      <c r="E7" s="635">
        <f t="shared" si="6"/>
        <v>549.83671399999992</v>
      </c>
      <c r="F7" s="635">
        <f t="shared" si="6"/>
        <v>550.67195940000022</v>
      </c>
      <c r="G7" s="635">
        <f t="shared" si="6"/>
        <v>638.75126399999999</v>
      </c>
      <c r="H7" s="635">
        <f t="shared" si="6"/>
        <v>597.91154240000003</v>
      </c>
      <c r="I7" s="635">
        <f t="shared" si="6"/>
        <v>664.68483860000003</v>
      </c>
      <c r="J7" s="635">
        <f t="shared" si="6"/>
        <v>642.34394569999995</v>
      </c>
      <c r="K7" s="635">
        <f t="shared" si="6"/>
        <v>659.04033119999997</v>
      </c>
      <c r="L7" s="635">
        <f t="shared" si="6"/>
        <v>623.30399290000014</v>
      </c>
      <c r="M7" s="659">
        <f t="shared" si="6"/>
        <v>959.54297170000007</v>
      </c>
      <c r="O7" s="630" t="s">
        <v>240</v>
      </c>
      <c r="P7" s="579">
        <f t="shared" si="1"/>
        <v>7434.7244823999999</v>
      </c>
      <c r="Q7" s="631">
        <f t="shared" si="2"/>
        <v>619.56037353333329</v>
      </c>
      <c r="R7" s="343"/>
      <c r="S7" s="577">
        <f>+SUM(B5:H5)</f>
        <v>5229.3172799999993</v>
      </c>
      <c r="T7" s="577">
        <f>+S5-S7</f>
        <v>5210.939867782301</v>
      </c>
      <c r="U7">
        <f>+T7/5</f>
        <v>1042.1879735564603</v>
      </c>
    </row>
    <row r="8" spans="1:26" x14ac:dyDescent="0.2">
      <c r="A8" s="655" t="s">
        <v>500</v>
      </c>
      <c r="B8" s="638">
        <f>+B6-B7</f>
        <v>214.18412520557928</v>
      </c>
      <c r="C8" s="638">
        <f t="shared" ref="C8:L8" si="7">+C6-C7</f>
        <v>424.82083249871238</v>
      </c>
      <c r="D8" s="638">
        <f t="shared" si="7"/>
        <v>242.54913988154522</v>
      </c>
      <c r="E8" s="638">
        <f t="shared" si="7"/>
        <v>64.084470978540821</v>
      </c>
      <c r="F8" s="638">
        <f t="shared" si="7"/>
        <v>96.733125363948375</v>
      </c>
      <c r="G8" s="638">
        <f t="shared" ref="G8:I8" si="8">+G6-G7</f>
        <v>168.65980896137341</v>
      </c>
      <c r="H8" s="638">
        <f t="shared" si="8"/>
        <v>177.07820652703856</v>
      </c>
      <c r="I8" s="638">
        <f t="shared" si="8"/>
        <v>367.54689852446347</v>
      </c>
      <c r="J8" s="638">
        <f t="shared" si="7"/>
        <v>-21.697895270815366</v>
      </c>
      <c r="K8" s="638">
        <f t="shared" si="7"/>
        <v>134.73712910042923</v>
      </c>
      <c r="L8" s="638">
        <f t="shared" si="7"/>
        <v>-38.802066934334903</v>
      </c>
      <c r="M8" s="660">
        <f t="shared" ref="M8" si="9">+M6-M7</f>
        <v>-114.00191127081553</v>
      </c>
      <c r="O8" s="630" t="s">
        <v>500</v>
      </c>
      <c r="P8" s="579">
        <f t="shared" si="1"/>
        <v>1715.8918635656646</v>
      </c>
      <c r="Q8" s="631">
        <f t="shared" si="2"/>
        <v>142.99098863047206</v>
      </c>
      <c r="R8" s="343"/>
      <c r="T8" s="577">
        <f>+SUM(I5:M5)</f>
        <v>4567.6115713516892</v>
      </c>
      <c r="U8">
        <v>845</v>
      </c>
    </row>
    <row r="9" spans="1:26" ht="16" thickBot="1" x14ac:dyDescent="0.25">
      <c r="A9" s="661" t="s">
        <v>501</v>
      </c>
      <c r="B9" s="662">
        <f>+B8/B6</f>
        <v>0.29865359578624029</v>
      </c>
      <c r="C9" s="662">
        <f t="shared" ref="C9:L9" si="10">+C8/C6</f>
        <v>0.4545508056238588</v>
      </c>
      <c r="D9" s="662">
        <f t="shared" si="10"/>
        <v>0.31158742271069279</v>
      </c>
      <c r="E9" s="662">
        <f t="shared" si="10"/>
        <v>0.10438550183079422</v>
      </c>
      <c r="F9" s="662">
        <f t="shared" si="10"/>
        <v>0.14941669078675587</v>
      </c>
      <c r="G9" s="662">
        <f t="shared" ref="G9:I9" si="11">+G8/G6</f>
        <v>0.20888964074120656</v>
      </c>
      <c r="H9" s="662">
        <f t="shared" si="11"/>
        <v>0.22849103071647156</v>
      </c>
      <c r="I9" s="662">
        <f t="shared" si="11"/>
        <v>0.35607013939365606</v>
      </c>
      <c r="J9" s="662">
        <f t="shared" si="10"/>
        <v>-3.496017618385068E-2</v>
      </c>
      <c r="K9" s="662">
        <f t="shared" si="10"/>
        <v>0.16974169189615673</v>
      </c>
      <c r="L9" s="662">
        <f t="shared" si="10"/>
        <v>-6.6384840170080478E-2</v>
      </c>
      <c r="M9" s="663">
        <f t="shared" ref="M9" si="12">+M8/M6</f>
        <v>-0.13482717351768794</v>
      </c>
      <c r="O9" s="633" t="s">
        <v>501</v>
      </c>
      <c r="P9" s="592">
        <f>+P8/P6</f>
        <v>0.18751653426298098</v>
      </c>
      <c r="Q9" s="593">
        <f t="shared" si="2"/>
        <v>0.17046786080118448</v>
      </c>
      <c r="R9" s="343"/>
      <c r="T9" s="595">
        <f>+T7/T8</f>
        <v>1.1408456665767295</v>
      </c>
      <c r="U9">
        <f>+U7/U8</f>
        <v>1.2333585485875269</v>
      </c>
    </row>
    <row r="10" spans="1:26" x14ac:dyDescent="0.2">
      <c r="B10" s="414">
        <f>+SUM($B$8:B8)</f>
        <v>214.18412520557928</v>
      </c>
      <c r="C10" s="414">
        <f>+SUM($B$8:C8)</f>
        <v>639.00495770429166</v>
      </c>
      <c r="D10" s="414">
        <f>+SUM($B$8:D8)</f>
        <v>881.55409758583687</v>
      </c>
      <c r="E10" s="414">
        <f>+SUM($B$8:E8)</f>
        <v>945.63856856437769</v>
      </c>
      <c r="F10" s="414">
        <f>+SUM($B$8:F8)</f>
        <v>1042.3716939283261</v>
      </c>
      <c r="G10" s="414">
        <f>+SUM($B$8:G8)</f>
        <v>1211.0315028896994</v>
      </c>
      <c r="H10" s="414">
        <f>+SUM($B$8:H8)</f>
        <v>1388.109709416738</v>
      </c>
      <c r="I10" s="414">
        <f>+SUM($B$8:I8)</f>
        <v>1755.6566079412014</v>
      </c>
      <c r="J10" s="414">
        <f>+SUM($B$8:J8)</f>
        <v>1733.9587126703859</v>
      </c>
      <c r="K10" s="414">
        <f>+SUM($B$8:K8)</f>
        <v>1868.6958417708152</v>
      </c>
      <c r="L10" s="414">
        <f>+SUM($B$8:L8)</f>
        <v>1829.8937748364801</v>
      </c>
      <c r="M10" s="414">
        <f>+SUM($B$8:M8)</f>
        <v>1715.8918635656646</v>
      </c>
    </row>
    <row r="11" spans="1:26" x14ac:dyDescent="0.2">
      <c r="B11" s="453"/>
      <c r="C11" s="453"/>
      <c r="D11" s="453"/>
      <c r="E11" s="453"/>
      <c r="F11" s="453"/>
      <c r="G11" s="453"/>
      <c r="H11" s="453"/>
      <c r="I11" s="453"/>
      <c r="J11" s="414"/>
      <c r="K11" s="414"/>
      <c r="L11" s="414"/>
      <c r="M11" s="414"/>
      <c r="S11">
        <f>+S5*'Resumen Budget 25´'!S4</f>
        <v>10596.552000533577</v>
      </c>
      <c r="T11" s="577"/>
    </row>
    <row r="15" spans="1:26" x14ac:dyDescent="0.2">
      <c r="V15" s="597">
        <f>+P6*Resumen!G36</f>
        <v>9169.2260455947689</v>
      </c>
      <c r="W15" s="414">
        <f>+V15-SUM(B5:K5)</f>
        <v>994.48768972321068</v>
      </c>
      <c r="Y15">
        <f>+P5*Resumen!G35</f>
        <v>9943.5928205013388</v>
      </c>
      <c r="Z15" s="577">
        <f>+Y15-SUM(B4:K4)</f>
        <v>2013.2078080013398</v>
      </c>
    </row>
    <row r="16" spans="1:26" x14ac:dyDescent="0.2">
      <c r="W16">
        <f>+W15/2</f>
        <v>497.24384486160534</v>
      </c>
      <c r="Z16">
        <f>+Z15/2</f>
        <v>1006.6039040006699</v>
      </c>
    </row>
    <row r="17" spans="14:27" x14ac:dyDescent="0.2">
      <c r="W17" s="414">
        <f>+'Resumen Budget 25´'!K5</f>
        <v>845</v>
      </c>
      <c r="Z17" s="651">
        <v>845</v>
      </c>
    </row>
    <row r="18" spans="14:27" x14ac:dyDescent="0.2">
      <c r="W18">
        <f>+W16/W17</f>
        <v>0.58845425427408915</v>
      </c>
      <c r="Z18">
        <f>+Z16/Z17</f>
        <v>1.1912472236694318</v>
      </c>
    </row>
    <row r="21" spans="14:27" x14ac:dyDescent="0.2">
      <c r="W21" s="647"/>
    </row>
    <row r="22" spans="14:27" x14ac:dyDescent="0.2">
      <c r="W22" s="647"/>
    </row>
    <row r="27" spans="14:27" x14ac:dyDescent="0.2">
      <c r="N27" t="s">
        <v>42</v>
      </c>
      <c r="O27">
        <v>717165.73390557943</v>
      </c>
      <c r="P27">
        <v>934594.82909871242</v>
      </c>
      <c r="Q27">
        <v>778430.45708154514</v>
      </c>
      <c r="R27">
        <v>613921.18497854075</v>
      </c>
      <c r="S27">
        <v>647405.08476394857</v>
      </c>
      <c r="T27">
        <v>807411.07296137337</v>
      </c>
      <c r="U27">
        <v>774989.74892703863</v>
      </c>
      <c r="V27">
        <v>1032231.7371244635</v>
      </c>
      <c r="W27">
        <v>620646.05042918457</v>
      </c>
      <c r="X27">
        <v>793777.46030042914</v>
      </c>
      <c r="Y27">
        <v>584501.92596566526</v>
      </c>
      <c r="Z27">
        <v>845541.06042918458</v>
      </c>
      <c r="AA27" s="597">
        <f>+SUM(O27:Z27)</f>
        <v>9150616.3459656648</v>
      </c>
    </row>
    <row r="28" spans="14:27" x14ac:dyDescent="0.2">
      <c r="O28" s="577">
        <f>+O27/1000</f>
        <v>717.16573390557937</v>
      </c>
      <c r="P28" s="577">
        <f t="shared" ref="P28:Z28" si="13">+P27/1000</f>
        <v>934.59482909871247</v>
      </c>
      <c r="Q28" s="577">
        <f t="shared" si="13"/>
        <v>778.43045708154511</v>
      </c>
      <c r="R28" s="577">
        <f t="shared" si="13"/>
        <v>613.92118497854074</v>
      </c>
      <c r="S28" s="577">
        <f t="shared" si="13"/>
        <v>647.40508476394859</v>
      </c>
      <c r="T28" s="577">
        <f t="shared" si="13"/>
        <v>807.41107296137341</v>
      </c>
      <c r="U28" s="577">
        <f t="shared" si="13"/>
        <v>774.98974892703859</v>
      </c>
      <c r="V28" s="577">
        <f t="shared" si="13"/>
        <v>1032.2317371244635</v>
      </c>
      <c r="W28" s="577">
        <f t="shared" si="13"/>
        <v>620.64605042918458</v>
      </c>
      <c r="X28" s="577">
        <f t="shared" si="13"/>
        <v>793.7774603004292</v>
      </c>
      <c r="Y28" s="577">
        <f t="shared" si="13"/>
        <v>584.50192596566524</v>
      </c>
      <c r="Z28" s="577">
        <f t="shared" si="13"/>
        <v>845.54106042918454</v>
      </c>
    </row>
    <row r="30" spans="14:27" x14ac:dyDescent="0.2">
      <c r="N30" t="s">
        <v>240</v>
      </c>
      <c r="O30">
        <v>502981.6087000001</v>
      </c>
      <c r="P30">
        <v>509773.99660000007</v>
      </c>
      <c r="Q30">
        <v>535881.31719999993</v>
      </c>
      <c r="R30">
        <v>549836.71399999992</v>
      </c>
      <c r="S30">
        <v>550671.95940000017</v>
      </c>
      <c r="T30">
        <v>638751.26399999997</v>
      </c>
      <c r="U30">
        <v>597911.54240000003</v>
      </c>
      <c r="V30">
        <v>664684.83860000002</v>
      </c>
      <c r="W30">
        <v>642343.94569999992</v>
      </c>
      <c r="X30">
        <v>659040.33120000002</v>
      </c>
      <c r="Y30">
        <v>623303.99290000019</v>
      </c>
      <c r="Z30">
        <v>959542.97170000011</v>
      </c>
      <c r="AA30">
        <f>+SUM(O30:Z30)</f>
        <v>7434724.4824000001</v>
      </c>
    </row>
    <row r="31" spans="14:27" x14ac:dyDescent="0.2">
      <c r="O31" s="577">
        <f>+O30/1000</f>
        <v>502.98160870000009</v>
      </c>
      <c r="P31" s="577">
        <f t="shared" ref="P31:Z31" si="14">+P30/1000</f>
        <v>509.77399660000009</v>
      </c>
      <c r="Q31" s="577">
        <f t="shared" si="14"/>
        <v>535.8813171999999</v>
      </c>
      <c r="R31" s="577">
        <f t="shared" si="14"/>
        <v>549.83671399999992</v>
      </c>
      <c r="S31" s="577">
        <f t="shared" si="14"/>
        <v>550.67195940000022</v>
      </c>
      <c r="T31" s="577">
        <f t="shared" si="14"/>
        <v>638.75126399999999</v>
      </c>
      <c r="U31" s="577">
        <f t="shared" si="14"/>
        <v>597.91154240000003</v>
      </c>
      <c r="V31" s="577">
        <f t="shared" si="14"/>
        <v>664.68483860000003</v>
      </c>
      <c r="W31" s="577">
        <f t="shared" si="14"/>
        <v>642.34394569999995</v>
      </c>
      <c r="X31" s="577">
        <f t="shared" si="14"/>
        <v>659.04033119999997</v>
      </c>
      <c r="Y31" s="577">
        <f t="shared" si="14"/>
        <v>623.30399290000014</v>
      </c>
      <c r="Z31" s="577">
        <f t="shared" si="14"/>
        <v>959.54297170000007</v>
      </c>
    </row>
    <row r="33" spans="1:27" x14ac:dyDescent="0.2">
      <c r="A33" t="s">
        <v>34</v>
      </c>
      <c r="B33" t="s">
        <v>502</v>
      </c>
      <c r="N33" t="s">
        <v>451</v>
      </c>
      <c r="O33">
        <v>669095</v>
      </c>
      <c r="P33">
        <v>891968.7</v>
      </c>
      <c r="Q33">
        <v>693813.29</v>
      </c>
      <c r="R33">
        <v>704049.7300000001</v>
      </c>
      <c r="S33">
        <v>730257</v>
      </c>
      <c r="T33">
        <v>1177546.5900000001</v>
      </c>
      <c r="U33">
        <v>742586.85</v>
      </c>
      <c r="V33">
        <v>784663</v>
      </c>
      <c r="W33">
        <v>676238.03949999996</v>
      </c>
      <c r="X33">
        <v>860166.81299999997</v>
      </c>
      <c r="Y33">
        <v>803242.89950000006</v>
      </c>
      <c r="Z33">
        <v>611272</v>
      </c>
      <c r="AA33">
        <f>+SUM(O33:Z33)</f>
        <v>9344899.9120000005</v>
      </c>
    </row>
    <row r="34" spans="1:27" x14ac:dyDescent="0.2">
      <c r="A34" t="s">
        <v>497</v>
      </c>
      <c r="B34" s="414">
        <f>+SUM($B2:F2)</f>
        <v>18317</v>
      </c>
      <c r="O34" s="577">
        <f>+O33/1000</f>
        <v>669.09500000000003</v>
      </c>
      <c r="P34" s="577">
        <f t="shared" ref="P34:Z34" si="15">+P33/1000</f>
        <v>891.9686999999999</v>
      </c>
      <c r="Q34" s="577">
        <f t="shared" si="15"/>
        <v>693.81329000000005</v>
      </c>
      <c r="R34" s="577">
        <f t="shared" si="15"/>
        <v>704.04973000000007</v>
      </c>
      <c r="S34" s="577">
        <f t="shared" si="15"/>
        <v>730.25699999999995</v>
      </c>
      <c r="T34" s="577">
        <f t="shared" si="15"/>
        <v>1177.5465900000002</v>
      </c>
      <c r="U34" s="577">
        <f t="shared" si="15"/>
        <v>742.58685000000003</v>
      </c>
      <c r="V34" s="577">
        <f t="shared" si="15"/>
        <v>784.66300000000001</v>
      </c>
      <c r="W34" s="577">
        <f t="shared" si="15"/>
        <v>676.2380394999999</v>
      </c>
      <c r="X34" s="577">
        <f t="shared" si="15"/>
        <v>860.16681299999993</v>
      </c>
      <c r="Y34" s="577">
        <f t="shared" si="15"/>
        <v>803.24289950000002</v>
      </c>
      <c r="Z34" s="577">
        <f t="shared" si="15"/>
        <v>611.27200000000005</v>
      </c>
    </row>
    <row r="35" spans="1:27" x14ac:dyDescent="0.2">
      <c r="A35" t="s">
        <v>498</v>
      </c>
      <c r="B35" s="414">
        <f>+SUM($B3:F3)</f>
        <v>5019</v>
      </c>
    </row>
    <row r="36" spans="1:27" x14ac:dyDescent="0.2">
      <c r="A36" t="s">
        <v>451</v>
      </c>
      <c r="B36" s="414">
        <f>+SUM($B4:F4)</f>
        <v>3689.18372</v>
      </c>
      <c r="N36" t="s">
        <v>452</v>
      </c>
      <c r="O36">
        <v>822535</v>
      </c>
      <c r="P36">
        <v>313029</v>
      </c>
      <c r="Q36">
        <v>798159.15999999992</v>
      </c>
      <c r="R36">
        <v>702127.86</v>
      </c>
      <c r="S36">
        <v>916262</v>
      </c>
      <c r="T36">
        <v>782343</v>
      </c>
      <c r="U36">
        <v>894861.26</v>
      </c>
      <c r="V36">
        <v>1334014.5900000001</v>
      </c>
      <c r="W36">
        <v>726924.48587155959</v>
      </c>
      <c r="X36">
        <v>884482</v>
      </c>
      <c r="Y36">
        <v>735770.81818181812</v>
      </c>
      <c r="Z36">
        <v>886419.67729831149</v>
      </c>
      <c r="AA36">
        <f>+SUM(O36:Z36)</f>
        <v>9796928.8513516877</v>
      </c>
    </row>
    <row r="37" spans="1:27" x14ac:dyDescent="0.2">
      <c r="A37" t="s">
        <v>452</v>
      </c>
      <c r="B37" s="414">
        <f>+SUM($B5:F5)</f>
        <v>3552.1130199999998</v>
      </c>
      <c r="O37" s="577">
        <f>+O36/1000</f>
        <v>822.53499999999997</v>
      </c>
      <c r="P37" s="577">
        <f t="shared" ref="P37:Z37" si="16">+P36/1000</f>
        <v>313.029</v>
      </c>
      <c r="Q37" s="577">
        <f t="shared" si="16"/>
        <v>798.15915999999993</v>
      </c>
      <c r="R37" s="577">
        <f t="shared" si="16"/>
        <v>702.12785999999994</v>
      </c>
      <c r="S37" s="577">
        <f t="shared" si="16"/>
        <v>916.26199999999994</v>
      </c>
      <c r="T37" s="577">
        <f t="shared" si="16"/>
        <v>782.34299999999996</v>
      </c>
      <c r="U37" s="577">
        <f t="shared" si="16"/>
        <v>894.86126000000002</v>
      </c>
      <c r="V37" s="577">
        <f t="shared" si="16"/>
        <v>1334.01459</v>
      </c>
      <c r="W37" s="577">
        <f t="shared" si="16"/>
        <v>726.92448587155957</v>
      </c>
      <c r="X37" s="577">
        <f t="shared" si="16"/>
        <v>884.48199999999997</v>
      </c>
      <c r="Y37" s="577">
        <f t="shared" si="16"/>
        <v>735.77081818181807</v>
      </c>
      <c r="Z37" s="577">
        <f t="shared" si="16"/>
        <v>886.41967729831151</v>
      </c>
    </row>
    <row r="38" spans="1:27" x14ac:dyDescent="0.2">
      <c r="A38" t="s">
        <v>453</v>
      </c>
      <c r="B38" s="414">
        <f>+SUM($B6:F6)</f>
        <v>3691.5172898283263</v>
      </c>
    </row>
    <row r="39" spans="1:27" x14ac:dyDescent="0.2">
      <c r="A39" t="s">
        <v>240</v>
      </c>
      <c r="B39" s="414">
        <f>+SUM($B7:F7)</f>
        <v>2649.1455959</v>
      </c>
    </row>
    <row r="40" spans="1:27" x14ac:dyDescent="0.2">
      <c r="A40" t="s">
        <v>500</v>
      </c>
      <c r="B40" s="414">
        <f>+SUM($B8:F8)</f>
        <v>1042.3716939283261</v>
      </c>
    </row>
    <row r="41" spans="1:27" x14ac:dyDescent="0.2">
      <c r="A41" t="s">
        <v>501</v>
      </c>
      <c r="B41" s="453">
        <f>+B40/B38</f>
        <v>0.28236944651471524</v>
      </c>
    </row>
    <row r="46" spans="1:27" x14ac:dyDescent="0.2">
      <c r="B46" s="414"/>
      <c r="C46" s="414"/>
      <c r="D46" s="414"/>
      <c r="E46" s="414"/>
      <c r="F46" s="414"/>
      <c r="G46" s="414"/>
      <c r="H46" s="414"/>
      <c r="I46" s="414"/>
      <c r="J46" s="414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64CD2-6607-44A1-80E9-79C752CF8391}">
  <dimension ref="A1:T40"/>
  <sheetViews>
    <sheetView zoomScale="94" zoomScaleNormal="80" workbookViewId="0">
      <selection activeCell="B3" sqref="B3"/>
    </sheetView>
  </sheetViews>
  <sheetFormatPr baseColWidth="10" defaultRowHeight="15" x14ac:dyDescent="0.2"/>
  <cols>
    <col min="1" max="1" width="11.5" bestFit="1" customWidth="1"/>
  </cols>
  <sheetData>
    <row r="1" spans="1:20" x14ac:dyDescent="0.2">
      <c r="A1" s="625" t="s">
        <v>496</v>
      </c>
      <c r="B1" s="626">
        <v>45658</v>
      </c>
      <c r="C1" s="626">
        <v>45689</v>
      </c>
      <c r="D1" s="626">
        <v>45717</v>
      </c>
      <c r="E1" s="626">
        <v>45748</v>
      </c>
      <c r="F1" s="626">
        <v>45778</v>
      </c>
      <c r="G1" s="626">
        <v>45809</v>
      </c>
      <c r="H1" s="626">
        <v>45839</v>
      </c>
      <c r="I1" s="626">
        <v>45870</v>
      </c>
      <c r="J1" s="626">
        <v>45901</v>
      </c>
      <c r="K1" s="626">
        <v>45931</v>
      </c>
      <c r="L1" s="626">
        <v>45962</v>
      </c>
      <c r="M1" s="627">
        <v>45992</v>
      </c>
      <c r="O1" s="625" t="s">
        <v>496</v>
      </c>
      <c r="P1" s="628" t="s">
        <v>32</v>
      </c>
      <c r="Q1" s="629" t="s">
        <v>59</v>
      </c>
    </row>
    <row r="2" spans="1:20" x14ac:dyDescent="0.2">
      <c r="A2" s="630" t="s">
        <v>497</v>
      </c>
      <c r="B2" s="579">
        <f>+B3/0.43</f>
        <v>2162.7906976744184</v>
      </c>
      <c r="C2" s="579">
        <f t="shared" ref="C2:M2" si="0">+C3/0.43</f>
        <v>2344.1860465116279</v>
      </c>
      <c r="D2" s="579">
        <f t="shared" si="0"/>
        <v>3697.6744186046512</v>
      </c>
      <c r="E2" s="579">
        <f t="shared" si="0"/>
        <v>3269.7674418604652</v>
      </c>
      <c r="F2" s="579">
        <f t="shared" si="0"/>
        <v>1703.1395348837209</v>
      </c>
      <c r="G2" s="579">
        <f t="shared" si="0"/>
        <v>1703.1395348837209</v>
      </c>
      <c r="H2" s="579">
        <f t="shared" si="0"/>
        <v>1703.1395348837209</v>
      </c>
      <c r="I2" s="579">
        <f t="shared" si="0"/>
        <v>1703.1395348837209</v>
      </c>
      <c r="J2" s="579">
        <f t="shared" si="0"/>
        <v>1860.4651162790699</v>
      </c>
      <c r="K2" s="579">
        <f t="shared" si="0"/>
        <v>1860.4651162790699</v>
      </c>
      <c r="L2" s="579">
        <f t="shared" si="0"/>
        <v>1860.4651162790699</v>
      </c>
      <c r="M2" s="631">
        <f t="shared" si="0"/>
        <v>1247.9069767441861</v>
      </c>
      <c r="O2" s="630" t="s">
        <v>497</v>
      </c>
      <c r="P2" s="579">
        <f t="shared" ref="P2:P8" si="1">+SUM(B2:M2)</f>
        <v>25116.279069767439</v>
      </c>
      <c r="Q2" s="631">
        <f t="shared" ref="Q2:Q9" si="2">+AVERAGE(B2:M2)</f>
        <v>2093.0232558139533</v>
      </c>
    </row>
    <row r="3" spans="1:20" x14ac:dyDescent="0.2">
      <c r="A3" s="630" t="s">
        <v>498</v>
      </c>
      <c r="B3" s="643">
        <v>930</v>
      </c>
      <c r="C3" s="643">
        <v>1008</v>
      </c>
      <c r="D3" s="643">
        <v>1590</v>
      </c>
      <c r="E3" s="643">
        <v>1406</v>
      </c>
      <c r="F3" s="643">
        <v>732.35</v>
      </c>
      <c r="G3" s="643">
        <v>732.35</v>
      </c>
      <c r="H3" s="643">
        <v>732.35</v>
      </c>
      <c r="I3" s="643">
        <v>732.35</v>
      </c>
      <c r="J3" s="643">
        <v>800</v>
      </c>
      <c r="K3" s="643">
        <v>800</v>
      </c>
      <c r="L3" s="643">
        <v>800</v>
      </c>
      <c r="M3" s="631">
        <v>536.6</v>
      </c>
      <c r="O3" s="630" t="s">
        <v>498</v>
      </c>
      <c r="P3" s="579">
        <f t="shared" si="1"/>
        <v>10800.000000000002</v>
      </c>
      <c r="Q3" s="631">
        <f t="shared" si="2"/>
        <v>900.00000000000011</v>
      </c>
    </row>
    <row r="4" spans="1:20" x14ac:dyDescent="0.2">
      <c r="A4" s="630" t="s">
        <v>451</v>
      </c>
      <c r="B4" s="644">
        <f>+'[1]Resumen 2025'!C11</f>
        <v>753.93700000000001</v>
      </c>
      <c r="C4" s="644">
        <f>+'[1]Resumen 2025'!D11</f>
        <v>843.3806666666668</v>
      </c>
      <c r="D4" s="644">
        <f>+'[1]Resumen 2025'!E11</f>
        <v>899.0443333333335</v>
      </c>
      <c r="E4" s="644">
        <f>+'[1]Resumen 2025'!F11</f>
        <v>1040.2360000000001</v>
      </c>
      <c r="F4" s="644">
        <f>+'[1]Resumen 2025'!G11</f>
        <v>859.26633333333336</v>
      </c>
      <c r="G4" s="644">
        <f>+'[1]Resumen 2025'!H11</f>
        <v>724.37966666666671</v>
      </c>
      <c r="H4" s="644">
        <f>+'[1]Resumen 2025'!I11</f>
        <v>845</v>
      </c>
      <c r="I4" s="644">
        <f>+'[1]Resumen 2025'!J11</f>
        <v>845</v>
      </c>
      <c r="J4" s="644">
        <f>+'[1]Resumen 2025'!K11</f>
        <v>845</v>
      </c>
      <c r="K4" s="644">
        <f>+'[1]Resumen 2025'!L11</f>
        <v>845</v>
      </c>
      <c r="L4" s="644">
        <f>+'[1]Resumen 2025'!M11</f>
        <v>845</v>
      </c>
      <c r="M4" s="632">
        <f>+'[1]Resumen 2025'!N11</f>
        <v>656.52200000000005</v>
      </c>
      <c r="O4" s="630" t="s">
        <v>499</v>
      </c>
      <c r="P4" s="579">
        <f t="shared" si="1"/>
        <v>10001.766</v>
      </c>
      <c r="Q4" s="631">
        <f t="shared" si="2"/>
        <v>833.48050000000001</v>
      </c>
      <c r="S4">
        <f>+P4/P5</f>
        <v>1.0149704026001387</v>
      </c>
    </row>
    <row r="5" spans="1:20" x14ac:dyDescent="0.2">
      <c r="A5" s="630" t="s">
        <v>452</v>
      </c>
      <c r="B5" s="643">
        <f>+'[1]Resumen 2025'!C12</f>
        <v>509</v>
      </c>
      <c r="C5" s="643">
        <f>+'[1]Resumen 2025'!D12</f>
        <v>753.93700000000001</v>
      </c>
      <c r="D5" s="643">
        <f>+'[1]Resumen 2025'!E12</f>
        <v>843.3806666666668</v>
      </c>
      <c r="E5" s="643">
        <f>+'[1]Resumen 2025'!F12</f>
        <v>899.0443333333335</v>
      </c>
      <c r="F5" s="643">
        <f>+'[1]Resumen 2025'!G12</f>
        <v>1040.2360000000001</v>
      </c>
      <c r="G5" s="643">
        <f>+'[1]Resumen 2025'!H12</f>
        <v>859.26633333333336</v>
      </c>
      <c r="H5" s="643">
        <f>+'[1]Resumen 2025'!I12</f>
        <v>724.37966666666671</v>
      </c>
      <c r="I5" s="643">
        <f>+'[1]Resumen 2025'!J12</f>
        <v>845</v>
      </c>
      <c r="J5" s="643">
        <f>+'[1]Resumen 2025'!K12</f>
        <v>845</v>
      </c>
      <c r="K5" s="643">
        <f>+'[1]Resumen 2025'!L12</f>
        <v>845</v>
      </c>
      <c r="L5" s="643">
        <f>+'[1]Resumen 2025'!M12</f>
        <v>845</v>
      </c>
      <c r="M5" s="631">
        <f>+'[1]Resumen 2025'!N12</f>
        <v>845</v>
      </c>
      <c r="O5" s="630" t="s">
        <v>452</v>
      </c>
      <c r="P5" s="579">
        <f t="shared" si="1"/>
        <v>9854.2439999999988</v>
      </c>
      <c r="Q5" s="631">
        <f t="shared" si="2"/>
        <v>821.1869999999999</v>
      </c>
    </row>
    <row r="6" spans="1:20" x14ac:dyDescent="0.2">
      <c r="A6" s="630" t="s">
        <v>453</v>
      </c>
      <c r="B6" s="643">
        <f>+'[1]Resumen 2025'!C13</f>
        <v>825</v>
      </c>
      <c r="C6" s="643">
        <f>+'[1]Resumen 2025'!D13</f>
        <v>509</v>
      </c>
      <c r="D6" s="643">
        <f>+'[1]Resumen 2025'!E13</f>
        <v>753.93700000000001</v>
      </c>
      <c r="E6" s="643">
        <f>+'[1]Resumen 2025'!F13</f>
        <v>843.3806666666668</v>
      </c>
      <c r="F6" s="643">
        <f>+'[1]Resumen 2025'!G13</f>
        <v>899.0443333333335</v>
      </c>
      <c r="G6" s="643">
        <f>+'[1]Resumen 2025'!H13</f>
        <v>1040.2360000000001</v>
      </c>
      <c r="H6" s="643">
        <f>+'[1]Resumen 2025'!I13</f>
        <v>859.26633333333336</v>
      </c>
      <c r="I6" s="643">
        <f>+'[1]Resumen 2025'!J13</f>
        <v>724.37966666666671</v>
      </c>
      <c r="J6" s="643">
        <f>+'[1]Resumen 2025'!K13</f>
        <v>845</v>
      </c>
      <c r="K6" s="643">
        <f>+'[1]Resumen 2025'!L13</f>
        <v>845</v>
      </c>
      <c r="L6" s="643">
        <f>+'[1]Resumen 2025'!M13</f>
        <v>845</v>
      </c>
      <c r="M6" s="631">
        <f>+'[1]Resumen 2025'!N13</f>
        <v>845</v>
      </c>
      <c r="O6" s="630" t="s">
        <v>453</v>
      </c>
      <c r="P6" s="579">
        <f t="shared" si="1"/>
        <v>9834.2439999999988</v>
      </c>
      <c r="Q6" s="631">
        <f t="shared" si="2"/>
        <v>819.52033333333327</v>
      </c>
      <c r="T6" s="453"/>
    </row>
    <row r="7" spans="1:20" x14ac:dyDescent="0.2">
      <c r="A7" s="630" t="s">
        <v>240</v>
      </c>
      <c r="B7" s="643">
        <f>+'[1]Resumen 2025'!C15</f>
        <v>695.28315572230485</v>
      </c>
      <c r="C7" s="643">
        <f>+'[1]Resumen 2025'!D15</f>
        <v>507.61467746143535</v>
      </c>
      <c r="D7" s="643">
        <f>+'[1]Resumen 2025'!E15</f>
        <v>519.11467746143535</v>
      </c>
      <c r="E7" s="643">
        <f>+'[1]Resumen 2025'!F15</f>
        <v>514.39511224404407</v>
      </c>
      <c r="F7" s="643">
        <f>+'[1]Resumen 2025'!G15</f>
        <v>547.45873562185056</v>
      </c>
      <c r="G7" s="643">
        <f>+'[1]Resumen 2025'!H15</f>
        <v>547.10728615708729</v>
      </c>
      <c r="H7" s="643">
        <f>+'[1]Resumen 2025'!I15</f>
        <v>590.31705465183097</v>
      </c>
      <c r="I7" s="643">
        <f>+'[1]Resumen 2025'!J15</f>
        <v>542.07076441795709</v>
      </c>
      <c r="J7" s="643">
        <f>+'[1]Resumen 2025'!K15</f>
        <v>536.52728615708747</v>
      </c>
      <c r="K7" s="643">
        <f>+'[1]Resumen 2025'!L15</f>
        <v>550.87511224404398</v>
      </c>
      <c r="L7" s="643">
        <f>+'[1]Resumen 2025'!M15</f>
        <v>564.47651823054605</v>
      </c>
      <c r="M7" s="631">
        <f>+'[1]Resumen 2025'!N15</f>
        <v>593.83879378226561</v>
      </c>
      <c r="O7" s="630" t="s">
        <v>240</v>
      </c>
      <c r="P7" s="579">
        <f t="shared" si="1"/>
        <v>6709.0791741518879</v>
      </c>
      <c r="Q7" s="631">
        <f t="shared" si="2"/>
        <v>559.08993117932403</v>
      </c>
    </row>
    <row r="8" spans="1:20" x14ac:dyDescent="0.2">
      <c r="A8" s="630" t="s">
        <v>500</v>
      </c>
      <c r="B8" s="645">
        <f>+B6-B7</f>
        <v>129.71684427769515</v>
      </c>
      <c r="C8" s="645">
        <f t="shared" ref="C8:M8" si="3">+C6-C7</f>
        <v>1.385322538564651</v>
      </c>
      <c r="D8" s="645">
        <f t="shared" si="3"/>
        <v>234.82232253856466</v>
      </c>
      <c r="E8" s="645">
        <f t="shared" si="3"/>
        <v>328.98555442262273</v>
      </c>
      <c r="F8" s="645">
        <f t="shared" si="3"/>
        <v>351.58559771148293</v>
      </c>
      <c r="G8" s="645">
        <f t="shared" si="3"/>
        <v>493.12871384291282</v>
      </c>
      <c r="H8" s="645">
        <f t="shared" si="3"/>
        <v>268.94927868150239</v>
      </c>
      <c r="I8" s="645">
        <f t="shared" si="3"/>
        <v>182.30890224870961</v>
      </c>
      <c r="J8" s="645">
        <f t="shared" si="3"/>
        <v>308.47271384291253</v>
      </c>
      <c r="K8" s="645">
        <f t="shared" si="3"/>
        <v>294.12488775595602</v>
      </c>
      <c r="L8" s="645">
        <f t="shared" si="3"/>
        <v>280.52348176945395</v>
      </c>
      <c r="M8" s="639">
        <f t="shared" si="3"/>
        <v>251.16120621773439</v>
      </c>
      <c r="O8" s="630" t="s">
        <v>500</v>
      </c>
      <c r="P8" s="579">
        <f t="shared" si="1"/>
        <v>3125.1648258481118</v>
      </c>
      <c r="Q8" s="631">
        <f t="shared" si="2"/>
        <v>260.4304021540093</v>
      </c>
    </row>
    <row r="9" spans="1:20" ht="16" thickBot="1" x14ac:dyDescent="0.25">
      <c r="A9" s="633" t="s">
        <v>501</v>
      </c>
      <c r="B9" s="646">
        <f>+B8/B6</f>
        <v>0.15723253851841837</v>
      </c>
      <c r="C9" s="646">
        <f t="shared" ref="C9:M9" si="4">+C8/C6</f>
        <v>2.7216552820523597E-3</v>
      </c>
      <c r="D9" s="646">
        <f t="shared" si="4"/>
        <v>0.31146146500114025</v>
      </c>
      <c r="E9" s="646">
        <f t="shared" si="4"/>
        <v>0.39007955413880646</v>
      </c>
      <c r="F9" s="646">
        <f t="shared" si="4"/>
        <v>0.39106591819329956</v>
      </c>
      <c r="G9" s="646">
        <f t="shared" si="4"/>
        <v>0.47405465090894061</v>
      </c>
      <c r="H9" s="646">
        <f t="shared" si="4"/>
        <v>0.31299873886385521</v>
      </c>
      <c r="I9" s="646">
        <f t="shared" si="4"/>
        <v>0.25167589682304209</v>
      </c>
      <c r="J9" s="646">
        <f t="shared" si="4"/>
        <v>0.365056466086287</v>
      </c>
      <c r="K9" s="646">
        <f t="shared" si="4"/>
        <v>0.34807679024373495</v>
      </c>
      <c r="L9" s="646">
        <f t="shared" si="4"/>
        <v>0.33198045179817037</v>
      </c>
      <c r="M9" s="634">
        <f t="shared" si="4"/>
        <v>0.29723219670737799</v>
      </c>
      <c r="O9" s="633" t="s">
        <v>501</v>
      </c>
      <c r="P9" s="592">
        <f>+P8/P6</f>
        <v>0.31778394209540789</v>
      </c>
      <c r="Q9" s="593">
        <f t="shared" si="2"/>
        <v>0.3028030268804271</v>
      </c>
    </row>
    <row r="10" spans="1:20" x14ac:dyDescent="0.2">
      <c r="B10" s="414">
        <f>+SUM($B$8:B8)</f>
        <v>129.71684427769515</v>
      </c>
      <c r="C10" s="414">
        <f>+SUM($B$8:C8)</f>
        <v>131.1021668162598</v>
      </c>
      <c r="D10" s="414">
        <f>+SUM($B$8:D8)</f>
        <v>365.92448935482446</v>
      </c>
      <c r="E10" s="414">
        <f>+SUM($B$8:E8)</f>
        <v>694.91004377744719</v>
      </c>
      <c r="F10" s="414">
        <f>+SUM($B$8:F8)</f>
        <v>1046.4956414889302</v>
      </c>
      <c r="G10" s="414">
        <f>+SUM($B$8:G8)</f>
        <v>1539.6243553318432</v>
      </c>
      <c r="H10" s="414">
        <f>+SUM($B$8:H8)</f>
        <v>1808.5736340133456</v>
      </c>
      <c r="I10" s="414">
        <f>+SUM($B$8:I8)</f>
        <v>1990.8825362620551</v>
      </c>
      <c r="J10" s="414">
        <f>+SUM($B$8:J8)</f>
        <v>2299.3552501049676</v>
      </c>
      <c r="K10" s="414">
        <f>+SUM($B$8:K8)</f>
        <v>2593.4801378609236</v>
      </c>
      <c r="L10" s="414">
        <f>+SUM($B$8:L8)</f>
        <v>2874.0036196303777</v>
      </c>
      <c r="M10" s="414">
        <f>+SUM($B$8:M8)</f>
        <v>3125.1648258481118</v>
      </c>
    </row>
    <row r="33" spans="1:2" x14ac:dyDescent="0.2">
      <c r="A33" t="s">
        <v>497</v>
      </c>
      <c r="B33" s="414">
        <f>+SUM($B2:F2)</f>
        <v>13177.558139534884</v>
      </c>
    </row>
    <row r="34" spans="1:2" x14ac:dyDescent="0.2">
      <c r="A34" t="s">
        <v>498</v>
      </c>
      <c r="B34" s="414">
        <f>+SUM($B3:F3)</f>
        <v>5666.35</v>
      </c>
    </row>
    <row r="35" spans="1:2" x14ac:dyDescent="0.2">
      <c r="A35" t="s">
        <v>451</v>
      </c>
      <c r="B35" s="414">
        <f>+SUM($B4:F4)</f>
        <v>4395.864333333333</v>
      </c>
    </row>
    <row r="36" spans="1:2" x14ac:dyDescent="0.2">
      <c r="A36" t="s">
        <v>452</v>
      </c>
      <c r="B36" s="414">
        <f>+SUM($B5:F5)</f>
        <v>4045.598</v>
      </c>
    </row>
    <row r="37" spans="1:2" x14ac:dyDescent="0.2">
      <c r="A37" t="s">
        <v>453</v>
      </c>
      <c r="B37" s="414">
        <f>+SUM($B6:F6)</f>
        <v>3830.3620000000001</v>
      </c>
    </row>
    <row r="38" spans="1:2" x14ac:dyDescent="0.2">
      <c r="A38" t="s">
        <v>240</v>
      </c>
      <c r="B38" s="414">
        <f>+SUM($B7:F7)</f>
        <v>2783.8663585110698</v>
      </c>
    </row>
    <row r="39" spans="1:2" x14ac:dyDescent="0.2">
      <c r="A39" t="s">
        <v>500</v>
      </c>
      <c r="B39" s="414">
        <f>+SUM($B8:F8)</f>
        <v>1046.4956414889302</v>
      </c>
    </row>
    <row r="40" spans="1:2" x14ac:dyDescent="0.2">
      <c r="A40" t="s">
        <v>501</v>
      </c>
      <c r="B40" s="453">
        <f>+B39/B37</f>
        <v>0.27321063687686181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9129F-58AF-4F0E-9FDB-55B3210898F3}">
  <dimension ref="A1:V71"/>
  <sheetViews>
    <sheetView zoomScale="90" zoomScaleNormal="90" workbookViewId="0">
      <selection activeCell="N32" sqref="N32"/>
    </sheetView>
  </sheetViews>
  <sheetFormatPr baseColWidth="10" defaultColWidth="11.5" defaultRowHeight="15" x14ac:dyDescent="0.2"/>
  <cols>
    <col min="1" max="1" width="21.83203125" bestFit="1" customWidth="1"/>
    <col min="14" max="14" width="11.83203125" bestFit="1" customWidth="1"/>
  </cols>
  <sheetData>
    <row r="1" spans="1:22" x14ac:dyDescent="0.2">
      <c r="A1" s="505" t="s">
        <v>432</v>
      </c>
      <c r="P1" s="414"/>
    </row>
    <row r="3" spans="1:22" x14ac:dyDescent="0.2">
      <c r="A3" s="505" t="s">
        <v>34</v>
      </c>
      <c r="B3" s="573">
        <v>45687</v>
      </c>
      <c r="C3" s="573">
        <v>45716</v>
      </c>
      <c r="D3" s="573">
        <v>45745</v>
      </c>
      <c r="E3" s="573">
        <v>45774</v>
      </c>
      <c r="F3" s="573">
        <v>45803</v>
      </c>
      <c r="G3" s="573">
        <v>45832</v>
      </c>
      <c r="H3" s="573">
        <v>45862</v>
      </c>
      <c r="I3" s="573">
        <v>45893</v>
      </c>
      <c r="J3" s="573">
        <v>45924</v>
      </c>
      <c r="K3" s="573">
        <v>45954</v>
      </c>
      <c r="L3" s="573">
        <v>45985</v>
      </c>
      <c r="M3" s="573">
        <v>46015</v>
      </c>
      <c r="N3" s="505" t="s">
        <v>433</v>
      </c>
      <c r="O3" t="s">
        <v>59</v>
      </c>
      <c r="P3" s="572" t="s">
        <v>507</v>
      </c>
      <c r="Q3" s="572"/>
      <c r="R3" s="572"/>
      <c r="S3" s="572"/>
      <c r="T3" s="572"/>
      <c r="U3" s="572"/>
      <c r="V3" s="572"/>
    </row>
    <row r="4" spans="1:22" x14ac:dyDescent="0.2">
      <c r="A4" t="s">
        <v>434</v>
      </c>
      <c r="B4" s="577">
        <f>+'Resumen Budget 25´'!B3</f>
        <v>930</v>
      </c>
      <c r="C4" s="577">
        <f>+'Resumen Budget 25´'!C3</f>
        <v>1008</v>
      </c>
      <c r="D4" s="577">
        <f>+'Resumen Budget 25´'!D3</f>
        <v>1590</v>
      </c>
      <c r="E4" s="577">
        <f>+'Resumen Budget 25´'!E3</f>
        <v>1406</v>
      </c>
      <c r="F4" s="577">
        <f>+'Resumen Budget 25´'!F3</f>
        <v>732.35</v>
      </c>
      <c r="G4" s="577">
        <f>+'Resumen Budget 25´'!G3</f>
        <v>732.35</v>
      </c>
      <c r="H4" s="577">
        <f>+'Resumen Budget 25´'!H3</f>
        <v>732.35</v>
      </c>
      <c r="I4" s="577">
        <f>+'Resumen Budget 25´'!I3</f>
        <v>732.35</v>
      </c>
      <c r="J4" s="577">
        <f>+'Resumen Budget 25´'!J3</f>
        <v>800</v>
      </c>
      <c r="K4" s="577">
        <f>+'Resumen Budget 25´'!K3</f>
        <v>800</v>
      </c>
      <c r="L4" s="577">
        <f>+'Resumen Budget 25´'!L3</f>
        <v>800</v>
      </c>
      <c r="M4" s="577">
        <f>+'Resumen Budget 25´'!M3</f>
        <v>536.6</v>
      </c>
      <c r="N4" s="414">
        <f>+SUM(B4:M4)</f>
        <v>10800.000000000002</v>
      </c>
      <c r="O4" s="414">
        <f>+AVERAGE(B4:M4)</f>
        <v>900.00000000000011</v>
      </c>
      <c r="P4" s="577">
        <f>+K5-K4</f>
        <v>-367</v>
      </c>
      <c r="Q4" s="572"/>
      <c r="R4" s="572"/>
      <c r="S4" s="572"/>
      <c r="T4" s="572"/>
      <c r="U4" s="572"/>
      <c r="V4" s="572"/>
    </row>
    <row r="5" spans="1:22" x14ac:dyDescent="0.2">
      <c r="A5" s="574" t="s">
        <v>435</v>
      </c>
      <c r="B5" s="576">
        <f>+'Resumen Forecast 25´'!B3</f>
        <v>1056</v>
      </c>
      <c r="C5" s="576">
        <f>+'Resumen Forecast 25´'!C3</f>
        <v>1246</v>
      </c>
      <c r="D5" s="576">
        <f>+'Resumen Forecast 25´'!D3</f>
        <v>736</v>
      </c>
      <c r="E5" s="576">
        <f>+'Resumen Forecast 25´'!E3</f>
        <v>1013</v>
      </c>
      <c r="F5" s="576">
        <f>+'Resumen Forecast 25´'!F3</f>
        <v>968</v>
      </c>
      <c r="G5" s="576">
        <f>+'Resumen Forecast 25´'!G3</f>
        <v>696</v>
      </c>
      <c r="H5" s="576">
        <f>+'Resumen Forecast 25´'!H3</f>
        <v>658.6</v>
      </c>
      <c r="I5" s="576">
        <f>+'Resumen Forecast 25´'!I3</f>
        <v>880</v>
      </c>
      <c r="J5" s="576">
        <f>+'Resumen Forecast 25´'!J3</f>
        <v>633</v>
      </c>
      <c r="K5" s="576">
        <f>+'Resumen Forecast 25´'!K3</f>
        <v>433</v>
      </c>
      <c r="L5" s="576">
        <f>+'Resumen Forecast 25´'!L3</f>
        <v>599</v>
      </c>
      <c r="M5" s="576">
        <f>+'Resumen Forecast 25´'!M3</f>
        <v>1306</v>
      </c>
      <c r="N5" s="576">
        <f t="shared" ref="N5:N13" si="0">+SUM(B5:M5)</f>
        <v>10224.6</v>
      </c>
      <c r="O5" s="575">
        <f t="shared" ref="O5:O15" si="1">+AVERAGE(B5:M5)</f>
        <v>852.05000000000007</v>
      </c>
      <c r="P5" s="453">
        <f>+P4/K4</f>
        <v>-0.45874999999999999</v>
      </c>
    </row>
    <row r="6" spans="1:22" x14ac:dyDescent="0.2">
      <c r="A6" t="s">
        <v>436</v>
      </c>
      <c r="B6" s="414">
        <v>753.93700000000001</v>
      </c>
      <c r="C6" s="414">
        <v>843.3806666666668</v>
      </c>
      <c r="D6" s="414">
        <v>899.0443333333335</v>
      </c>
      <c r="E6" s="414">
        <v>1040.2360000000001</v>
      </c>
      <c r="F6" s="414">
        <v>859.26633333333336</v>
      </c>
      <c r="G6" s="414">
        <v>724.37966666666671</v>
      </c>
      <c r="H6" s="414">
        <v>845</v>
      </c>
      <c r="I6" s="414">
        <f>+'Resumen Budget 25´'!I4</f>
        <v>845</v>
      </c>
      <c r="J6" s="414">
        <f>+'Resumen Budget 25´'!J4</f>
        <v>845</v>
      </c>
      <c r="K6" s="414">
        <f>+'Resumen Budget 25´'!K4</f>
        <v>845</v>
      </c>
      <c r="L6" s="414">
        <f>+'Resumen Budget 25´'!L4</f>
        <v>845</v>
      </c>
      <c r="M6" s="414">
        <f>+'Resumen Budget 25´'!M4</f>
        <v>656.52200000000005</v>
      </c>
      <c r="N6" s="414">
        <f t="shared" si="0"/>
        <v>10001.766</v>
      </c>
      <c r="O6" s="414">
        <f t="shared" si="1"/>
        <v>833.48050000000001</v>
      </c>
      <c r="P6" s="577">
        <f>+K7-K6</f>
        <v>15.166812999999934</v>
      </c>
    </row>
    <row r="7" spans="1:22" x14ac:dyDescent="0.2">
      <c r="A7" s="574" t="s">
        <v>437</v>
      </c>
      <c r="B7" s="576">
        <f>+'Resumen Forecast 25´'!B4</f>
        <v>669.09500000000003</v>
      </c>
      <c r="C7" s="576">
        <f>+'Resumen Forecast 25´'!C4</f>
        <v>891.9686999999999</v>
      </c>
      <c r="D7" s="576">
        <f>+'Resumen Forecast 25´'!D4</f>
        <v>693.81329000000005</v>
      </c>
      <c r="E7" s="576">
        <f>+'Resumen Forecast 25´'!E4</f>
        <v>704.04973000000007</v>
      </c>
      <c r="F7" s="576">
        <f>+'Resumen Forecast 25´'!F4</f>
        <v>730.25699999999995</v>
      </c>
      <c r="G7" s="576">
        <f>+'Resumen Forecast 25´'!G4</f>
        <v>1177.5465900000002</v>
      </c>
      <c r="H7" s="576">
        <f>+'Resumen Forecast 25´'!H4</f>
        <v>742.58685000000003</v>
      </c>
      <c r="I7" s="576">
        <f>+'Resumen Forecast 25´'!I4</f>
        <v>784.66300000000001</v>
      </c>
      <c r="J7" s="576">
        <f>+'Resumen Forecast 25´'!J4</f>
        <v>676.2380394999999</v>
      </c>
      <c r="K7" s="576">
        <f>+'Resumen Forecast 25´'!K4</f>
        <v>860.16681299999993</v>
      </c>
      <c r="L7" s="576">
        <f>+'Resumen Forecast 25´'!L4</f>
        <v>803.24289950000002</v>
      </c>
      <c r="M7" s="576">
        <f>+'Resumen Forecast 25´'!M4</f>
        <v>611.27200000000005</v>
      </c>
      <c r="N7" s="576">
        <f t="shared" si="0"/>
        <v>9344.8999120000008</v>
      </c>
      <c r="O7" s="575">
        <f t="shared" si="1"/>
        <v>778.74165933333336</v>
      </c>
      <c r="P7" s="453">
        <f>+P6/K6</f>
        <v>1.7948891124260277E-2</v>
      </c>
    </row>
    <row r="8" spans="1:22" x14ac:dyDescent="0.2">
      <c r="A8" t="s">
        <v>438</v>
      </c>
      <c r="B8" s="414">
        <v>509</v>
      </c>
      <c r="C8" s="414">
        <v>753.93700000000001</v>
      </c>
      <c r="D8" s="414">
        <v>843.3806666666668</v>
      </c>
      <c r="E8" s="414">
        <v>899.0443333333335</v>
      </c>
      <c r="F8" s="414">
        <v>1040.2360000000001</v>
      </c>
      <c r="G8" s="414">
        <v>859.26633333333336</v>
      </c>
      <c r="H8" s="414">
        <v>724.37966666666671</v>
      </c>
      <c r="I8" s="414">
        <f>+'Resumen Budget 25´'!I5</f>
        <v>845</v>
      </c>
      <c r="J8" s="414">
        <f>+'Resumen Budget 25´'!J5</f>
        <v>845</v>
      </c>
      <c r="K8" s="414">
        <f>+'Resumen Budget 25´'!K5</f>
        <v>845</v>
      </c>
      <c r="L8" s="414">
        <f>+'Resumen Budget 25´'!L5</f>
        <v>845</v>
      </c>
      <c r="M8" s="414">
        <f>+'Resumen Budget 25´'!M5</f>
        <v>845</v>
      </c>
      <c r="N8" s="414">
        <f t="shared" si="0"/>
        <v>9854.2439999999988</v>
      </c>
      <c r="O8" s="414">
        <f t="shared" si="1"/>
        <v>821.1869999999999</v>
      </c>
      <c r="P8" s="577">
        <f>+K9-K8</f>
        <v>39.481999999999971</v>
      </c>
    </row>
    <row r="9" spans="1:22" x14ac:dyDescent="0.2">
      <c r="A9" s="574" t="s">
        <v>439</v>
      </c>
      <c r="B9" s="576">
        <f>+'Resumen Forecast 25´'!B5</f>
        <v>822.53499999999997</v>
      </c>
      <c r="C9" s="576">
        <f>+'Resumen Forecast 25´'!C5</f>
        <v>313.029</v>
      </c>
      <c r="D9" s="576">
        <f>+'Resumen Forecast 25´'!D5</f>
        <v>798.15915999999993</v>
      </c>
      <c r="E9" s="576">
        <f>+'Resumen Forecast 25´'!E5</f>
        <v>702.12785999999994</v>
      </c>
      <c r="F9" s="576">
        <f>+'Resumen Forecast 25´'!F5</f>
        <v>916.26199999999994</v>
      </c>
      <c r="G9" s="576">
        <f>+'Resumen Forecast 25´'!G5</f>
        <v>782.34299999999996</v>
      </c>
      <c r="H9" s="576">
        <f>+'Resumen Forecast 25´'!H5</f>
        <v>894.86126000000002</v>
      </c>
      <c r="I9" s="576">
        <f>+'Resumen Forecast 25´'!I5</f>
        <v>1334.01459</v>
      </c>
      <c r="J9" s="576">
        <f>+'Resumen Forecast 25´'!J5</f>
        <v>726.92448587155957</v>
      </c>
      <c r="K9" s="576">
        <f>+'Resumen Forecast 25´'!K5</f>
        <v>884.48199999999997</v>
      </c>
      <c r="L9" s="576">
        <f>+'Resumen Forecast 25´'!L5</f>
        <v>735.77081818181807</v>
      </c>
      <c r="M9" s="576">
        <f>+'Resumen Forecast 25´'!M5</f>
        <v>886.41967729831151</v>
      </c>
      <c r="N9" s="576">
        <f t="shared" si="0"/>
        <v>9796.9288513516894</v>
      </c>
      <c r="O9" s="575">
        <f t="shared" si="1"/>
        <v>816.41073761264079</v>
      </c>
      <c r="P9" s="453">
        <f>+P8/K8</f>
        <v>4.6724260355029551E-2</v>
      </c>
    </row>
    <row r="10" spans="1:22" x14ac:dyDescent="0.2">
      <c r="A10" t="s">
        <v>440</v>
      </c>
      <c r="B10" s="414">
        <v>825</v>
      </c>
      <c r="C10" s="414">
        <v>509</v>
      </c>
      <c r="D10" s="414">
        <v>753.93700000000001</v>
      </c>
      <c r="E10" s="414">
        <v>843.3806666666668</v>
      </c>
      <c r="F10" s="414">
        <v>899.0443333333335</v>
      </c>
      <c r="G10" s="414">
        <v>1040.2360000000001</v>
      </c>
      <c r="H10" s="414">
        <v>859</v>
      </c>
      <c r="I10" s="414">
        <f>+'Resumen Budget 25´'!I6</f>
        <v>724.37966666666671</v>
      </c>
      <c r="J10" s="414">
        <f>+'Resumen Budget 25´'!J6</f>
        <v>845</v>
      </c>
      <c r="K10" s="414">
        <f>+'Resumen Budget 25´'!K6</f>
        <v>845</v>
      </c>
      <c r="L10" s="414">
        <f>+'Resumen Budget 25´'!L6</f>
        <v>845</v>
      </c>
      <c r="M10" s="414">
        <f>+'Resumen Budget 25´'!M6</f>
        <v>845</v>
      </c>
      <c r="N10" s="414">
        <f t="shared" si="0"/>
        <v>9833.9776666666658</v>
      </c>
      <c r="O10" s="414">
        <f t="shared" si="1"/>
        <v>819.49813888888877</v>
      </c>
      <c r="P10" s="577">
        <f>+K11-K10</f>
        <v>-51.222539699570802</v>
      </c>
    </row>
    <row r="11" spans="1:22" x14ac:dyDescent="0.2">
      <c r="A11" s="574" t="s">
        <v>441</v>
      </c>
      <c r="B11" s="576">
        <f>+'Resumen Forecast 25´'!B6</f>
        <v>717.16573390557937</v>
      </c>
      <c r="C11" s="576">
        <f>+'Resumen Forecast 25´'!C6</f>
        <v>934.59482909871247</v>
      </c>
      <c r="D11" s="576">
        <f>+'Resumen Forecast 25´'!D6</f>
        <v>778.43045708154511</v>
      </c>
      <c r="E11" s="576">
        <f>+'Resumen Forecast 25´'!E6</f>
        <v>613.92118497854074</v>
      </c>
      <c r="F11" s="576">
        <f>+'Resumen Forecast 25´'!F6</f>
        <v>647.40508476394859</v>
      </c>
      <c r="G11" s="576">
        <f>+'Resumen Forecast 25´'!G6</f>
        <v>807.41107296137341</v>
      </c>
      <c r="H11" s="576">
        <f>+'Resumen Forecast 25´'!H6</f>
        <v>774.98974892703859</v>
      </c>
      <c r="I11" s="576">
        <f>+'Resumen Forecast 25´'!I6</f>
        <v>1032.2317371244635</v>
      </c>
      <c r="J11" s="576">
        <f>+'Resumen Forecast 25´'!J6</f>
        <v>620.64605042918458</v>
      </c>
      <c r="K11" s="576">
        <f>+'Resumen Forecast 25´'!K6</f>
        <v>793.7774603004292</v>
      </c>
      <c r="L11" s="576">
        <f>+'Resumen Forecast 25´'!L6</f>
        <v>584.50192596566524</v>
      </c>
      <c r="M11" s="576">
        <f>+'Resumen Forecast 25´'!M6</f>
        <v>845.54106042918454</v>
      </c>
      <c r="N11" s="576">
        <f t="shared" si="0"/>
        <v>9150.6163459656655</v>
      </c>
      <c r="O11" s="575">
        <f t="shared" si="1"/>
        <v>762.55136216380549</v>
      </c>
      <c r="P11" s="453">
        <f>+P10/K10</f>
        <v>-6.0618390177006869E-2</v>
      </c>
    </row>
    <row r="12" spans="1:22" x14ac:dyDescent="0.2">
      <c r="A12" t="s">
        <v>442</v>
      </c>
      <c r="B12" s="414">
        <v>695.28315572230485</v>
      </c>
      <c r="C12" s="414">
        <v>507.61467746143535</v>
      </c>
      <c r="D12" s="414">
        <v>519.11467746143535</v>
      </c>
      <c r="E12" s="414">
        <v>514.39511224404407</v>
      </c>
      <c r="F12" s="414">
        <v>547.45873562185056</v>
      </c>
      <c r="G12" s="414">
        <v>547.10728615708729</v>
      </c>
      <c r="H12" s="414">
        <v>590.31705465183097</v>
      </c>
      <c r="I12" s="414">
        <f>+'Resumen Budget 25´'!I7</f>
        <v>542.07076441795709</v>
      </c>
      <c r="J12" s="414">
        <f>+'Resumen Budget 25´'!J7</f>
        <v>536.52728615708747</v>
      </c>
      <c r="K12" s="414">
        <f>+'Resumen Budget 25´'!K7</f>
        <v>550.87511224404398</v>
      </c>
      <c r="L12" s="414">
        <f>+'Resumen Budget 25´'!L7</f>
        <v>564.47651823054605</v>
      </c>
      <c r="M12" s="414">
        <f>+'Resumen Budget 25´'!M7</f>
        <v>593.83879378226561</v>
      </c>
      <c r="N12" s="414">
        <f t="shared" si="0"/>
        <v>6709.0791741518879</v>
      </c>
      <c r="O12" s="414">
        <f t="shared" si="1"/>
        <v>559.08993117932403</v>
      </c>
      <c r="P12" s="577">
        <f>+K13-K12</f>
        <v>108.16521895595599</v>
      </c>
    </row>
    <row r="13" spans="1:22" x14ac:dyDescent="0.2">
      <c r="A13" s="574" t="s">
        <v>443</v>
      </c>
      <c r="B13" s="576">
        <f>+'Resumen Forecast 25´'!B7</f>
        <v>502.98160870000009</v>
      </c>
      <c r="C13" s="576">
        <f>+'Resumen Forecast 25´'!C7</f>
        <v>509.77399660000009</v>
      </c>
      <c r="D13" s="576">
        <f>+'Resumen Forecast 25´'!D7</f>
        <v>535.8813171999999</v>
      </c>
      <c r="E13" s="576">
        <f>+'Resumen Forecast 25´'!E7</f>
        <v>549.83671399999992</v>
      </c>
      <c r="F13" s="576">
        <f>+'Resumen Forecast 25´'!F7</f>
        <v>550.67195940000022</v>
      </c>
      <c r="G13" s="576">
        <f>+'Resumen Forecast 25´'!G7</f>
        <v>638.75126399999999</v>
      </c>
      <c r="H13" s="576">
        <f>+'Resumen Forecast 25´'!H7</f>
        <v>597.91154240000003</v>
      </c>
      <c r="I13" s="576">
        <f>+'Resumen Forecast 25´'!I7</f>
        <v>664.68483860000003</v>
      </c>
      <c r="J13" s="576">
        <f>+'Resumen Forecast 25´'!J7</f>
        <v>642.34394569999995</v>
      </c>
      <c r="K13" s="576">
        <f>+'Resumen Forecast 25´'!K7</f>
        <v>659.04033119999997</v>
      </c>
      <c r="L13" s="576">
        <f>+'Resumen Forecast 25´'!L7</f>
        <v>623.30399290000014</v>
      </c>
      <c r="M13" s="576">
        <f>+'Resumen Forecast 25´'!M7</f>
        <v>959.54297170000007</v>
      </c>
      <c r="N13" s="576">
        <f t="shared" si="0"/>
        <v>7434.7244823999999</v>
      </c>
      <c r="O13" s="575">
        <f t="shared" si="1"/>
        <v>619.56037353333329</v>
      </c>
      <c r="P13" s="453">
        <f>+P12/K12</f>
        <v>0.19635161682170452</v>
      </c>
    </row>
    <row r="14" spans="1:22" x14ac:dyDescent="0.2">
      <c r="A14" t="s">
        <v>490</v>
      </c>
      <c r="B14" s="414">
        <f>+B10-B12</f>
        <v>129.71684427769515</v>
      </c>
      <c r="C14" s="414">
        <f t="shared" ref="C14:F14" si="2">+C10-C12</f>
        <v>1.385322538564651</v>
      </c>
      <c r="D14" s="414">
        <f t="shared" si="2"/>
        <v>234.82232253856466</v>
      </c>
      <c r="E14" s="414">
        <f t="shared" si="2"/>
        <v>328.98555442262273</v>
      </c>
      <c r="F14" s="414">
        <f t="shared" si="2"/>
        <v>351.58559771148293</v>
      </c>
      <c r="G14" s="414">
        <f t="shared" ref="G14:J14" si="3">+G10-G12</f>
        <v>493.12871384291282</v>
      </c>
      <c r="H14" s="414">
        <f t="shared" si="3"/>
        <v>268.68294534816903</v>
      </c>
      <c r="I14" s="414">
        <f t="shared" si="3"/>
        <v>182.30890224870961</v>
      </c>
      <c r="J14" s="414">
        <f t="shared" si="3"/>
        <v>308.47271384291253</v>
      </c>
      <c r="K14" s="414">
        <f t="shared" ref="K14" si="4">+K10-K12</f>
        <v>294.12488775595602</v>
      </c>
      <c r="L14" s="414">
        <f t="shared" ref="L14:M14" si="5">+L10-L12</f>
        <v>280.52348176945395</v>
      </c>
      <c r="M14" s="414">
        <f t="shared" si="5"/>
        <v>251.16120621773439</v>
      </c>
      <c r="N14" s="414">
        <f>+SUM(B14:M14)</f>
        <v>3124.8984925147788</v>
      </c>
      <c r="O14" s="414">
        <f t="shared" si="1"/>
        <v>260.40820770956492</v>
      </c>
      <c r="P14" s="577">
        <f>+K15-K14</f>
        <v>-159.3877586555268</v>
      </c>
    </row>
    <row r="15" spans="1:22" x14ac:dyDescent="0.2">
      <c r="A15" s="574" t="s">
        <v>491</v>
      </c>
      <c r="B15" s="576">
        <f>+B11-B13</f>
        <v>214.18412520557928</v>
      </c>
      <c r="C15" s="576">
        <f t="shared" ref="C15:F15" si="6">+C11-C13</f>
        <v>424.82083249871238</v>
      </c>
      <c r="D15" s="576">
        <f t="shared" si="6"/>
        <v>242.54913988154522</v>
      </c>
      <c r="E15" s="576">
        <f t="shared" si="6"/>
        <v>64.084470978540821</v>
      </c>
      <c r="F15" s="576">
        <f t="shared" si="6"/>
        <v>96.733125363948375</v>
      </c>
      <c r="G15" s="576">
        <f t="shared" ref="G15:J15" si="7">+G11-G13</f>
        <v>168.65980896137341</v>
      </c>
      <c r="H15" s="576">
        <f t="shared" si="7"/>
        <v>177.07820652703856</v>
      </c>
      <c r="I15" s="576">
        <f t="shared" si="7"/>
        <v>367.54689852446347</v>
      </c>
      <c r="J15" s="576">
        <f t="shared" si="7"/>
        <v>-21.697895270815366</v>
      </c>
      <c r="K15" s="576">
        <f t="shared" ref="K15" si="8">+K11-K13</f>
        <v>134.73712910042923</v>
      </c>
      <c r="L15" s="576">
        <f t="shared" ref="L15:M15" si="9">+L11-L13</f>
        <v>-38.802066934334903</v>
      </c>
      <c r="M15" s="576">
        <f t="shared" si="9"/>
        <v>-114.00191127081553</v>
      </c>
      <c r="N15" s="576">
        <f>+SUM(B15:M15)</f>
        <v>1715.8918635656646</v>
      </c>
      <c r="O15" s="575">
        <f t="shared" si="1"/>
        <v>142.99098863047206</v>
      </c>
      <c r="P15" s="453">
        <f>+P14/K14</f>
        <v>-0.54190503860991002</v>
      </c>
    </row>
    <row r="16" spans="1:22" x14ac:dyDescent="0.2">
      <c r="A16" t="s">
        <v>444</v>
      </c>
      <c r="B16" s="453">
        <f>+B14/B10</f>
        <v>0.15723253851841837</v>
      </c>
      <c r="C16" s="453">
        <f t="shared" ref="C16:F16" si="10">+C14/C10</f>
        <v>2.7216552820523597E-3</v>
      </c>
      <c r="D16" s="453">
        <f t="shared" si="10"/>
        <v>0.31146146500114025</v>
      </c>
      <c r="E16" s="453">
        <f t="shared" si="10"/>
        <v>0.39007955413880646</v>
      </c>
      <c r="F16" s="453">
        <f t="shared" si="10"/>
        <v>0.39106591819329956</v>
      </c>
      <c r="G16" s="453">
        <f t="shared" ref="G16:J16" si="11">+G14/G10</f>
        <v>0.47405465090894061</v>
      </c>
      <c r="H16" s="453">
        <f t="shared" si="11"/>
        <v>0.31278573381626196</v>
      </c>
      <c r="I16" s="453">
        <f t="shared" si="11"/>
        <v>0.25167589682304209</v>
      </c>
      <c r="J16" s="453">
        <f t="shared" si="11"/>
        <v>0.365056466086287</v>
      </c>
      <c r="K16" s="453">
        <f t="shared" ref="K16" si="12">+K14/K10</f>
        <v>0.34807679024373495</v>
      </c>
      <c r="L16" s="453">
        <f t="shared" ref="L16:M16" si="13">+L14/L10</f>
        <v>0.33198045179817037</v>
      </c>
      <c r="M16" s="453">
        <f t="shared" si="13"/>
        <v>0.29723219670737799</v>
      </c>
      <c r="N16" s="453">
        <f t="shared" ref="N16" si="14">+N14/N10</f>
        <v>0.31776546565760072</v>
      </c>
      <c r="O16" s="664">
        <f>+AVERAGE(B16:M16)</f>
        <v>0.30278527645979431</v>
      </c>
    </row>
    <row r="17" spans="1:15" x14ac:dyDescent="0.2">
      <c r="A17" s="574" t="s">
        <v>445</v>
      </c>
      <c r="B17" s="578">
        <f>+B15/B11</f>
        <v>0.29865359578624029</v>
      </c>
      <c r="C17" s="578">
        <f t="shared" ref="C17:F17" si="15">+C15/C11</f>
        <v>0.4545508056238588</v>
      </c>
      <c r="D17" s="578">
        <f t="shared" si="15"/>
        <v>0.31158742271069279</v>
      </c>
      <c r="E17" s="578">
        <f t="shared" si="15"/>
        <v>0.10438550183079422</v>
      </c>
      <c r="F17" s="578">
        <f t="shared" si="15"/>
        <v>0.14941669078675587</v>
      </c>
      <c r="G17" s="578">
        <f t="shared" ref="G17:J17" si="16">+G15/G11</f>
        <v>0.20888964074120656</v>
      </c>
      <c r="H17" s="578">
        <f t="shared" si="16"/>
        <v>0.22849103071647156</v>
      </c>
      <c r="I17" s="578">
        <f t="shared" si="16"/>
        <v>0.35607013939365606</v>
      </c>
      <c r="J17" s="578">
        <f t="shared" si="16"/>
        <v>-3.496017618385068E-2</v>
      </c>
      <c r="K17" s="578">
        <f t="shared" ref="K17" si="17">+K15/K11</f>
        <v>0.16974169189615673</v>
      </c>
      <c r="L17" s="578">
        <f t="shared" ref="L17:M17" si="18">+L15/L11</f>
        <v>-6.6384840170080478E-2</v>
      </c>
      <c r="M17" s="578">
        <f t="shared" si="18"/>
        <v>-0.13482717351768794</v>
      </c>
      <c r="N17" s="578">
        <f t="shared" ref="N17" si="19">+N15/N11</f>
        <v>0.18751653426298098</v>
      </c>
      <c r="O17" s="650">
        <f>+AVERAGE(B17:M17)</f>
        <v>0.17046786080118448</v>
      </c>
    </row>
    <row r="19" spans="1:15" x14ac:dyDescent="0.2">
      <c r="A19" s="574" t="s">
        <v>489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>
        <f>+F19</f>
        <v>0</v>
      </c>
    </row>
    <row r="21" spans="1:15" ht="16" thickBot="1" x14ac:dyDescent="0.25">
      <c r="A21" s="505" t="s">
        <v>508</v>
      </c>
    </row>
    <row r="22" spans="1:15" ht="16" thickBot="1" x14ac:dyDescent="0.25">
      <c r="A22" s="583"/>
      <c r="B22" s="584" t="s">
        <v>446</v>
      </c>
      <c r="C22" s="584" t="s">
        <v>447</v>
      </c>
      <c r="D22" s="584" t="s">
        <v>448</v>
      </c>
      <c r="E22" s="585" t="s">
        <v>449</v>
      </c>
      <c r="F22" s="618"/>
      <c r="G22" s="618" t="s">
        <v>509</v>
      </c>
      <c r="H22" s="618"/>
      <c r="I22" s="618" t="s">
        <v>510</v>
      </c>
      <c r="J22" s="618"/>
      <c r="K22" s="618"/>
      <c r="L22" s="618"/>
      <c r="M22" s="618"/>
    </row>
    <row r="23" spans="1:15" x14ac:dyDescent="0.2">
      <c r="A23" s="586" t="s">
        <v>450</v>
      </c>
      <c r="B23" s="581">
        <f>+N4</f>
        <v>10800.000000000002</v>
      </c>
      <c r="C23" s="581">
        <f>+N5</f>
        <v>10224.6</v>
      </c>
      <c r="D23" s="581">
        <f>+C23-B23</f>
        <v>-575.40000000000146</v>
      </c>
      <c r="E23" s="582">
        <f>+D23/B23</f>
        <v>-5.3277777777777903E-2</v>
      </c>
      <c r="F23" s="618"/>
      <c r="G23" s="618">
        <f>+C23/B23</f>
        <v>0.94672222222222213</v>
      </c>
      <c r="H23" s="618"/>
      <c r="I23" s="618">
        <f>+C23/B34</f>
        <v>0.94672222222222224</v>
      </c>
      <c r="J23" s="618"/>
      <c r="K23" s="618"/>
      <c r="L23" s="618"/>
      <c r="M23" s="618"/>
    </row>
    <row r="24" spans="1:15" x14ac:dyDescent="0.2">
      <c r="A24" s="587" t="s">
        <v>451</v>
      </c>
      <c r="B24" s="579">
        <f>+N6</f>
        <v>10001.766</v>
      </c>
      <c r="C24" s="579">
        <f>+N7</f>
        <v>9344.8999120000008</v>
      </c>
      <c r="D24" s="579">
        <f t="shared" ref="D24:D29" si="20">+C24-B24</f>
        <v>-656.86608799999885</v>
      </c>
      <c r="E24" s="580">
        <f t="shared" ref="E24:E29" si="21">+D24/B24</f>
        <v>-6.5675010593129135E-2</v>
      </c>
      <c r="F24" s="618"/>
      <c r="G24" s="618">
        <f t="shared" ref="G24:G28" si="22">+C24/B24</f>
        <v>0.93432498940687081</v>
      </c>
      <c r="H24" s="618"/>
      <c r="I24" s="618">
        <f t="shared" ref="I24:I28" si="23">+C24/B35</f>
        <v>0.93432498940687081</v>
      </c>
      <c r="J24" s="618"/>
      <c r="K24" s="618"/>
      <c r="L24" s="618"/>
      <c r="M24" s="618"/>
      <c r="N24" s="414"/>
    </row>
    <row r="25" spans="1:15" x14ac:dyDescent="0.2">
      <c r="A25" s="587" t="s">
        <v>452</v>
      </c>
      <c r="B25" s="579">
        <f>+N8</f>
        <v>9854.2439999999988</v>
      </c>
      <c r="C25" s="579">
        <f>+N9</f>
        <v>9796.9288513516894</v>
      </c>
      <c r="D25" s="579">
        <f t="shared" si="20"/>
        <v>-57.315148648309332</v>
      </c>
      <c r="E25" s="580">
        <f t="shared" si="21"/>
        <v>-5.8162907929121032E-3</v>
      </c>
      <c r="F25" s="618"/>
      <c r="G25" s="618">
        <f>+C25/B25</f>
        <v>0.99418370920708787</v>
      </c>
      <c r="H25" s="618"/>
      <c r="I25" s="618">
        <f t="shared" si="23"/>
        <v>0.99418370920708787</v>
      </c>
      <c r="J25" s="618"/>
      <c r="K25" s="618"/>
      <c r="L25" s="618"/>
      <c r="M25" s="618"/>
      <c r="N25" s="414"/>
    </row>
    <row r="26" spans="1:15" x14ac:dyDescent="0.2">
      <c r="A26" s="587" t="s">
        <v>453</v>
      </c>
      <c r="B26" s="579">
        <f>+N10</f>
        <v>9833.9776666666658</v>
      </c>
      <c r="C26" s="579">
        <f>+N11</f>
        <v>9150.6163459656655</v>
      </c>
      <c r="D26" s="579">
        <f t="shared" si="20"/>
        <v>-683.3613207010003</v>
      </c>
      <c r="E26" s="580">
        <f t="shared" si="21"/>
        <v>-6.9489818246926432E-2</v>
      </c>
      <c r="F26" s="618"/>
      <c r="G26" s="618">
        <f t="shared" si="22"/>
        <v>0.93051018175307354</v>
      </c>
      <c r="H26" s="618"/>
      <c r="I26" s="618">
        <f t="shared" si="23"/>
        <v>0.93048498145517511</v>
      </c>
      <c r="J26" s="618"/>
      <c r="K26" s="618"/>
      <c r="L26" s="618"/>
      <c r="M26" s="618"/>
      <c r="N26" s="414"/>
    </row>
    <row r="27" spans="1:15" x14ac:dyDescent="0.2">
      <c r="A27" s="587" t="s">
        <v>454</v>
      </c>
      <c r="B27" s="579">
        <f>+N12</f>
        <v>6709.0791741518879</v>
      </c>
      <c r="C27" s="579">
        <f>+N13</f>
        <v>7434.7244823999999</v>
      </c>
      <c r="D27" s="579">
        <f t="shared" si="20"/>
        <v>725.64530824811209</v>
      </c>
      <c r="E27" s="580">
        <f t="shared" si="21"/>
        <v>0.10815870396101605</v>
      </c>
      <c r="F27" s="618"/>
      <c r="G27" s="618">
        <f t="shared" si="22"/>
        <v>1.1081587039610161</v>
      </c>
      <c r="H27" s="618"/>
      <c r="I27" s="618">
        <f t="shared" si="23"/>
        <v>1.1081587039610161</v>
      </c>
      <c r="J27" s="618"/>
      <c r="K27" s="618"/>
      <c r="L27" s="618"/>
      <c r="M27" s="618"/>
    </row>
    <row r="28" spans="1:15" x14ac:dyDescent="0.2">
      <c r="A28" s="588" t="s">
        <v>492</v>
      </c>
      <c r="B28" s="589">
        <f>+B26-B27</f>
        <v>3124.8984925147779</v>
      </c>
      <c r="C28" s="589">
        <f>+C26-C27</f>
        <v>1715.8918635656655</v>
      </c>
      <c r="D28" s="589">
        <f t="shared" si="20"/>
        <v>-1409.0066289491124</v>
      </c>
      <c r="E28" s="590">
        <f t="shared" si="21"/>
        <v>-0.45089676747074342</v>
      </c>
      <c r="F28" s="619"/>
      <c r="G28" s="618">
        <f t="shared" si="22"/>
        <v>0.54910323252925664</v>
      </c>
      <c r="H28" s="619"/>
      <c r="I28" s="618">
        <f t="shared" si="23"/>
        <v>0.54905643675930105</v>
      </c>
      <c r="J28" s="619"/>
      <c r="K28" s="619"/>
      <c r="L28" s="619"/>
      <c r="M28" s="619"/>
    </row>
    <row r="29" spans="1:15" ht="16" thickBot="1" x14ac:dyDescent="0.25">
      <c r="A29" s="591" t="s">
        <v>455</v>
      </c>
      <c r="B29" s="592">
        <f>+B28/B26</f>
        <v>0.31776546565760061</v>
      </c>
      <c r="C29" s="592">
        <f>+C28/C26</f>
        <v>0.18751653426298109</v>
      </c>
      <c r="D29" s="592">
        <f t="shared" si="20"/>
        <v>-0.13024893139461952</v>
      </c>
      <c r="E29" s="593">
        <f t="shared" si="21"/>
        <v>-0.40989014059496842</v>
      </c>
      <c r="F29" s="619"/>
      <c r="G29" s="619"/>
      <c r="H29" s="619"/>
      <c r="I29" s="619"/>
      <c r="J29" s="619"/>
      <c r="K29" s="619"/>
      <c r="L29" s="619"/>
      <c r="M29" s="619"/>
    </row>
    <row r="31" spans="1:15" x14ac:dyDescent="0.2">
      <c r="F31" s="414"/>
      <c r="G31" s="414"/>
      <c r="H31" s="414"/>
      <c r="I31" s="414"/>
      <c r="J31" s="414"/>
      <c r="K31" s="414"/>
      <c r="L31" s="414"/>
      <c r="M31" s="414"/>
    </row>
    <row r="32" spans="1:15" ht="16" thickBot="1" x14ac:dyDescent="0.25">
      <c r="A32" s="505" t="s">
        <v>511</v>
      </c>
    </row>
    <row r="33" spans="1:17" ht="16" thickBot="1" x14ac:dyDescent="0.25">
      <c r="A33" s="583"/>
      <c r="B33" s="584" t="s">
        <v>493</v>
      </c>
      <c r="C33" s="584" t="s">
        <v>494</v>
      </c>
      <c r="D33" s="584" t="s">
        <v>448</v>
      </c>
      <c r="E33" s="585" t="s">
        <v>449</v>
      </c>
      <c r="F33" s="618"/>
      <c r="G33" s="618"/>
      <c r="H33" s="618"/>
      <c r="I33" s="618"/>
      <c r="J33" s="618"/>
      <c r="K33" s="618"/>
      <c r="L33" s="618"/>
      <c r="M33" s="618"/>
    </row>
    <row r="34" spans="1:17" x14ac:dyDescent="0.2">
      <c r="A34" s="586" t="s">
        <v>450</v>
      </c>
      <c r="B34" s="581">
        <v>10800</v>
      </c>
      <c r="C34" s="581">
        <f>+'Resumen Forecast 25´'!P3</f>
        <v>10224.6</v>
      </c>
      <c r="D34" s="581">
        <f>+C34-B34</f>
        <v>-575.39999999999964</v>
      </c>
      <c r="E34" s="582">
        <f>+D34/B34</f>
        <v>-5.3277777777777743E-2</v>
      </c>
      <c r="F34" s="618"/>
      <c r="G34" s="618"/>
      <c r="H34" s="618"/>
      <c r="I34" s="618"/>
      <c r="J34" s="618"/>
      <c r="K34" s="618"/>
      <c r="L34" s="618"/>
      <c r="M34" s="618"/>
      <c r="P34" s="414"/>
    </row>
    <row r="35" spans="1:17" x14ac:dyDescent="0.2">
      <c r="A35" s="587" t="s">
        <v>451</v>
      </c>
      <c r="B35" s="579">
        <v>10001.766</v>
      </c>
      <c r="C35" s="581">
        <f>+'Resumen Forecast 25´'!P4</f>
        <v>9344.8999120000008</v>
      </c>
      <c r="D35" s="579">
        <f t="shared" ref="D35:D40" si="24">+C35-B35</f>
        <v>-656.86608799999885</v>
      </c>
      <c r="E35" s="580">
        <f t="shared" ref="E35:E40" si="25">+D35/B35</f>
        <v>-6.5675010593129135E-2</v>
      </c>
      <c r="F35" s="618"/>
      <c r="G35" s="649">
        <f>+B35/B36</f>
        <v>1.0149704026001387</v>
      </c>
      <c r="H35" s="618"/>
      <c r="I35" s="618"/>
      <c r="J35" s="618"/>
      <c r="K35" s="618"/>
      <c r="L35" s="618"/>
      <c r="M35" s="618"/>
    </row>
    <row r="36" spans="1:17" x14ac:dyDescent="0.2">
      <c r="A36" s="587" t="s">
        <v>452</v>
      </c>
      <c r="B36" s="579">
        <v>9854.2439999999988</v>
      </c>
      <c r="C36" s="581">
        <f>+'Resumen Forecast 25´'!P5</f>
        <v>9796.9288513516894</v>
      </c>
      <c r="D36" s="579">
        <f t="shared" si="24"/>
        <v>-57.315148648309332</v>
      </c>
      <c r="E36" s="580">
        <f t="shared" si="25"/>
        <v>-5.8162907929121032E-3</v>
      </c>
      <c r="F36" s="618"/>
      <c r="G36" s="649">
        <f>+B36/B37</f>
        <v>1.0020337099628605</v>
      </c>
      <c r="H36" s="618"/>
      <c r="I36" s="618"/>
      <c r="J36" s="618"/>
      <c r="K36" s="618"/>
      <c r="L36" s="618"/>
      <c r="M36" s="618"/>
      <c r="O36" s="596">
        <f>+B36*O37</f>
        <v>9169.2260455947689</v>
      </c>
      <c r="P36" s="414">
        <f>+O36-N9</f>
        <v>-627.7028057569205</v>
      </c>
      <c r="Q36">
        <f>+P36/8</f>
        <v>-78.462850719615062</v>
      </c>
    </row>
    <row r="37" spans="1:17" x14ac:dyDescent="0.2">
      <c r="A37" s="587" t="s">
        <v>453</v>
      </c>
      <c r="B37" s="579">
        <v>9834.2439999999988</v>
      </c>
      <c r="C37" s="581">
        <f>+'Resumen Forecast 25´'!P6</f>
        <v>9150.6163459656655</v>
      </c>
      <c r="D37" s="579">
        <f t="shared" si="24"/>
        <v>-683.62765403433332</v>
      </c>
      <c r="E37" s="580">
        <f t="shared" si="25"/>
        <v>-6.9515018544824947E-2</v>
      </c>
      <c r="F37" s="618"/>
      <c r="G37" s="618"/>
      <c r="H37" s="618"/>
      <c r="I37" s="618"/>
      <c r="J37" s="618"/>
      <c r="K37" s="618"/>
      <c r="L37" s="618"/>
      <c r="M37" s="618"/>
      <c r="O37" s="647">
        <f>+C37/B37</f>
        <v>0.93048498145517511</v>
      </c>
    </row>
    <row r="38" spans="1:17" x14ac:dyDescent="0.2">
      <c r="A38" s="587" t="s">
        <v>454</v>
      </c>
      <c r="B38" s="579">
        <v>6709.0791741518879</v>
      </c>
      <c r="C38" s="581">
        <f>+'Resumen Forecast 25´'!P7</f>
        <v>7434.7244823999999</v>
      </c>
      <c r="D38" s="579">
        <f t="shared" si="24"/>
        <v>725.64530824811209</v>
      </c>
      <c r="E38" s="642">
        <f t="shared" si="25"/>
        <v>0.10815870396101605</v>
      </c>
      <c r="F38" s="618"/>
      <c r="H38" s="618"/>
      <c r="I38" s="618"/>
      <c r="J38" s="618"/>
      <c r="K38" s="618"/>
      <c r="L38" s="618"/>
      <c r="M38" s="618"/>
    </row>
    <row r="39" spans="1:17" x14ac:dyDescent="0.2">
      <c r="A39" s="588" t="s">
        <v>492</v>
      </c>
      <c r="B39" s="589">
        <f>+B37-B38</f>
        <v>3125.1648258481109</v>
      </c>
      <c r="C39" s="589">
        <f>+C37-C38</f>
        <v>1715.8918635656655</v>
      </c>
      <c r="D39" s="589">
        <f t="shared" si="24"/>
        <v>-1409.2729622824454</v>
      </c>
      <c r="E39" s="590">
        <f t="shared" si="25"/>
        <v>-0.4509435632406989</v>
      </c>
      <c r="F39" s="619"/>
      <c r="G39" s="619"/>
      <c r="H39" s="619"/>
      <c r="I39" s="619"/>
      <c r="J39" s="619"/>
      <c r="K39" s="619"/>
      <c r="L39" s="619"/>
      <c r="M39" s="619"/>
    </row>
    <row r="40" spans="1:17" ht="16" thickBot="1" x14ac:dyDescent="0.25">
      <c r="A40" s="591" t="s">
        <v>455</v>
      </c>
      <c r="B40" s="592">
        <f>+B39/B37</f>
        <v>0.31778394209540778</v>
      </c>
      <c r="C40" s="592">
        <f>+C39/C37</f>
        <v>0.18751653426298109</v>
      </c>
      <c r="D40" s="592">
        <f t="shared" si="24"/>
        <v>-0.13026740783242668</v>
      </c>
      <c r="E40" s="593">
        <f t="shared" si="25"/>
        <v>-0.40992445047244302</v>
      </c>
      <c r="F40" s="619"/>
      <c r="G40" s="619"/>
      <c r="H40" s="619"/>
      <c r="I40" s="619"/>
      <c r="J40" s="619"/>
      <c r="K40" s="619"/>
      <c r="L40" s="619"/>
      <c r="M40" s="619"/>
    </row>
    <row r="42" spans="1:17" x14ac:dyDescent="0.2">
      <c r="B42">
        <f>+B35/B36</f>
        <v>1.0149704026001387</v>
      </c>
      <c r="C42">
        <f>+C36*B42</f>
        <v>9943.5928205013388</v>
      </c>
    </row>
    <row r="43" spans="1:17" x14ac:dyDescent="0.2">
      <c r="A43" s="505" t="s">
        <v>432</v>
      </c>
    </row>
    <row r="45" spans="1:17" x14ac:dyDescent="0.2">
      <c r="A45" s="505" t="s">
        <v>34</v>
      </c>
      <c r="B45" s="573">
        <v>45687</v>
      </c>
      <c r="C45" s="573">
        <v>45716</v>
      </c>
      <c r="D45" s="573">
        <v>45746</v>
      </c>
      <c r="E45" s="573">
        <v>45777</v>
      </c>
      <c r="F45" s="573">
        <v>45808</v>
      </c>
      <c r="G45" s="573">
        <v>45838</v>
      </c>
      <c r="H45" s="573">
        <v>45869</v>
      </c>
      <c r="I45" s="573">
        <v>45900</v>
      </c>
      <c r="J45" s="573">
        <v>45930</v>
      </c>
      <c r="K45" s="573">
        <v>45961</v>
      </c>
      <c r="L45" s="573">
        <v>45991</v>
      </c>
      <c r="M45" s="573">
        <v>46022</v>
      </c>
      <c r="N45" s="505"/>
    </row>
    <row r="46" spans="1:17" x14ac:dyDescent="0.2">
      <c r="A46" t="s">
        <v>434</v>
      </c>
      <c r="B46" s="414">
        <f>+SUM($B$4:B4)</f>
        <v>930</v>
      </c>
      <c r="C46" s="414">
        <f>+SUM($B$4:C4)</f>
        <v>1938</v>
      </c>
      <c r="D46" s="414">
        <f>+SUM($B$4:D4)</f>
        <v>3528</v>
      </c>
      <c r="E46" s="414">
        <f>+SUM($B$4:E4)</f>
        <v>4934</v>
      </c>
      <c r="F46" s="414">
        <f>+SUM($B$4:F4)</f>
        <v>5666.35</v>
      </c>
      <c r="G46" s="414">
        <f>+SUM($B$4:G4)</f>
        <v>6398.7000000000007</v>
      </c>
      <c r="H46" s="414">
        <f>+SUM($B$4:H4)</f>
        <v>7131.0500000000011</v>
      </c>
      <c r="I46" s="414">
        <f>+SUM($B$4:I4)</f>
        <v>7863.4000000000015</v>
      </c>
      <c r="J46" s="414">
        <f>+SUM($B$4:J4)</f>
        <v>8663.4000000000015</v>
      </c>
      <c r="K46" s="414">
        <f>+SUM($B$4:K4)</f>
        <v>9463.4000000000015</v>
      </c>
      <c r="L46" s="414">
        <f>+SUM($B$4:L4)</f>
        <v>10263.400000000001</v>
      </c>
      <c r="M46" s="414">
        <f>+SUM($B$4:M4)</f>
        <v>10800.000000000002</v>
      </c>
    </row>
    <row r="47" spans="1:17" x14ac:dyDescent="0.2">
      <c r="A47" s="574" t="s">
        <v>435</v>
      </c>
      <c r="B47" s="576">
        <f>+SUM($B$5:B5)</f>
        <v>1056</v>
      </c>
      <c r="C47" s="576">
        <f>+SUM($B$5:C5)</f>
        <v>2302</v>
      </c>
      <c r="D47" s="576">
        <f>+SUM($B$5:D5)</f>
        <v>3038</v>
      </c>
      <c r="E47" s="576">
        <f>+SUM($B$5:E5)</f>
        <v>4051</v>
      </c>
      <c r="F47" s="576">
        <f>+SUM($B$5:F5)</f>
        <v>5019</v>
      </c>
      <c r="G47" s="576">
        <f>+SUM($B$5:G5)</f>
        <v>5715</v>
      </c>
      <c r="H47" s="576">
        <f>+SUM($B$5:H5)</f>
        <v>6373.6</v>
      </c>
      <c r="I47" s="576">
        <f>+SUM($B$5:I5)</f>
        <v>7253.6</v>
      </c>
      <c r="J47" s="576">
        <f>+SUM($B$5:J5)</f>
        <v>7886.6</v>
      </c>
      <c r="K47" s="576">
        <f>+SUM($B$5:K5)</f>
        <v>8319.6</v>
      </c>
      <c r="L47" s="576">
        <f>+SUM($B$5:L5)</f>
        <v>8918.6</v>
      </c>
      <c r="M47" s="576">
        <f>+SUM($B$5:M5)</f>
        <v>10224.6</v>
      </c>
    </row>
    <row r="48" spans="1:17" x14ac:dyDescent="0.2">
      <c r="A48" t="s">
        <v>436</v>
      </c>
      <c r="B48" s="414">
        <f>+SUM($B$6:B6)</f>
        <v>753.93700000000001</v>
      </c>
      <c r="C48" s="414">
        <f>+SUM($B$6:C6)</f>
        <v>1597.3176666666668</v>
      </c>
      <c r="D48" s="414">
        <f>+SUM($B$6:D6)</f>
        <v>2496.3620000000001</v>
      </c>
      <c r="E48" s="414">
        <f>+SUM($B$6:E6)</f>
        <v>3536.598</v>
      </c>
      <c r="F48" s="414">
        <f>+SUM($B$6:F6)</f>
        <v>4395.864333333333</v>
      </c>
      <c r="G48" s="414">
        <f>+SUM($B$6:G6)</f>
        <v>5120.2439999999997</v>
      </c>
      <c r="H48" s="414">
        <f>+SUM($B$6:H6)</f>
        <v>5965.2439999999997</v>
      </c>
      <c r="I48" s="414">
        <f>+SUM($B$6:I6)</f>
        <v>6810.2439999999997</v>
      </c>
      <c r="J48" s="414">
        <f>+SUM($B$6:J6)</f>
        <v>7655.2439999999997</v>
      </c>
      <c r="K48" s="414">
        <f>+SUM($B$6:K6)</f>
        <v>8500.2439999999988</v>
      </c>
      <c r="L48" s="414">
        <f>+SUM($B$6:L6)</f>
        <v>9345.2439999999988</v>
      </c>
      <c r="M48" s="414">
        <f>+SUM($B$6:M6)</f>
        <v>10001.766</v>
      </c>
    </row>
    <row r="49" spans="1:13" x14ac:dyDescent="0.2">
      <c r="A49" s="574" t="s">
        <v>437</v>
      </c>
      <c r="B49" s="576">
        <f>+SUM($B$7:B7)</f>
        <v>669.09500000000003</v>
      </c>
      <c r="C49" s="576">
        <f>+SUM($B$7:C7)</f>
        <v>1561.0636999999999</v>
      </c>
      <c r="D49" s="576">
        <f>+SUM($B$7:D7)</f>
        <v>2254.8769899999998</v>
      </c>
      <c r="E49" s="576">
        <f>+SUM($B$7:E7)</f>
        <v>2958.9267199999999</v>
      </c>
      <c r="F49" s="576">
        <f>+SUM($B$7:F7)</f>
        <v>3689.18372</v>
      </c>
      <c r="G49" s="576">
        <f>+SUM($B$7:G7)</f>
        <v>4866.7303099999999</v>
      </c>
      <c r="H49" s="576">
        <f>+SUM($B$7:H7)</f>
        <v>5609.3171599999996</v>
      </c>
      <c r="I49" s="576">
        <f>+SUM($B$7:I7)</f>
        <v>6393.9801599999992</v>
      </c>
      <c r="J49" s="576">
        <f>+SUM($B$7:J7)</f>
        <v>7070.2181994999992</v>
      </c>
      <c r="K49" s="576">
        <f>+SUM($B$7:K7)</f>
        <v>7930.385012499999</v>
      </c>
      <c r="L49" s="576">
        <f>+SUM($B$7:L7)</f>
        <v>8733.6279119999999</v>
      </c>
      <c r="M49" s="576">
        <f>+SUM($B$7:M7)</f>
        <v>9344.8999120000008</v>
      </c>
    </row>
    <row r="50" spans="1:13" x14ac:dyDescent="0.2">
      <c r="A50" t="s">
        <v>438</v>
      </c>
      <c r="B50" s="414">
        <f>+SUM($B$8:B8)</f>
        <v>509</v>
      </c>
      <c r="C50" s="414">
        <f>+SUM($B$8:C8)</f>
        <v>1262.9369999999999</v>
      </c>
      <c r="D50" s="414">
        <f>+SUM($B$8:D8)</f>
        <v>2106.3176666666668</v>
      </c>
      <c r="E50" s="414">
        <f>+SUM($B$8:E8)</f>
        <v>3005.3620000000001</v>
      </c>
      <c r="F50" s="414">
        <f>+SUM($B$8:F8)</f>
        <v>4045.598</v>
      </c>
      <c r="G50" s="414">
        <f>+SUM($B$8:G8)</f>
        <v>4904.864333333333</v>
      </c>
      <c r="H50" s="414">
        <f>+SUM($B$8:H8)</f>
        <v>5629.2439999999997</v>
      </c>
      <c r="I50" s="414">
        <f>+SUM($B$8:I8)</f>
        <v>6474.2439999999997</v>
      </c>
      <c r="J50" s="414">
        <f>+SUM($B$8:J8)</f>
        <v>7319.2439999999997</v>
      </c>
      <c r="K50" s="414">
        <f>+SUM($B$8:K8)</f>
        <v>8164.2439999999997</v>
      </c>
      <c r="L50" s="414">
        <f>+SUM($B$8:L8)</f>
        <v>9009.2439999999988</v>
      </c>
      <c r="M50" s="414">
        <f>+SUM($B$8:M8)</f>
        <v>9854.2439999999988</v>
      </c>
    </row>
    <row r="51" spans="1:13" x14ac:dyDescent="0.2">
      <c r="A51" s="574" t="s">
        <v>439</v>
      </c>
      <c r="B51" s="576">
        <f>+SUM($B$9:B9)</f>
        <v>822.53499999999997</v>
      </c>
      <c r="C51" s="576">
        <f>+SUM($B$9:C9)</f>
        <v>1135.5639999999999</v>
      </c>
      <c r="D51" s="576">
        <f>+SUM($B$9:D9)</f>
        <v>1933.7231599999998</v>
      </c>
      <c r="E51" s="576">
        <f>+SUM($B$9:E9)</f>
        <v>2635.8510199999996</v>
      </c>
      <c r="F51" s="576">
        <f>+SUM($B$9:F9)</f>
        <v>3552.1130199999998</v>
      </c>
      <c r="G51" s="576">
        <f>+SUM($B$9:G9)</f>
        <v>4334.4560199999996</v>
      </c>
      <c r="H51" s="576">
        <f>+SUM($B$9:H9)</f>
        <v>5229.3172799999993</v>
      </c>
      <c r="I51" s="576">
        <f>+SUM($B$9:I9)</f>
        <v>6563.3318699999991</v>
      </c>
      <c r="J51" s="576">
        <f>+SUM($B$9:J9)</f>
        <v>7290.2563558715583</v>
      </c>
      <c r="K51" s="576">
        <f>+SUM($B$9:K9)</f>
        <v>8174.7383558715583</v>
      </c>
      <c r="L51" s="576">
        <f>+SUM($B$9:L9)</f>
        <v>8910.5091740533771</v>
      </c>
      <c r="M51" s="576">
        <f>+SUM($B$9:M9)</f>
        <v>9796.9288513516894</v>
      </c>
    </row>
    <row r="52" spans="1:13" x14ac:dyDescent="0.2">
      <c r="A52" t="s">
        <v>440</v>
      </c>
      <c r="B52" s="414">
        <f>+SUM($B$10:B10)</f>
        <v>825</v>
      </c>
      <c r="C52" s="414">
        <f>+SUM($B$10:C10)</f>
        <v>1334</v>
      </c>
      <c r="D52" s="414">
        <f>+SUM($B$10:D10)</f>
        <v>2087.9369999999999</v>
      </c>
      <c r="E52" s="414">
        <f>+SUM($B$10:E10)</f>
        <v>2931.3176666666668</v>
      </c>
      <c r="F52" s="414">
        <f>+SUM($B$10:F10)</f>
        <v>3830.3620000000001</v>
      </c>
      <c r="G52" s="414">
        <f>+SUM($B$10:G10)</f>
        <v>4870.598</v>
      </c>
      <c r="H52" s="414">
        <f>+SUM($B$10:H10)</f>
        <v>5729.598</v>
      </c>
      <c r="I52" s="414">
        <f>+SUM($B$10:I10)</f>
        <v>6453.9776666666667</v>
      </c>
      <c r="J52" s="414">
        <f>+SUM($B$10:J10)</f>
        <v>7298.9776666666667</v>
      </c>
      <c r="K52" s="414">
        <f>+SUM($B$10:K10)</f>
        <v>8143.9776666666667</v>
      </c>
      <c r="L52" s="414">
        <f>+SUM($B$10:L10)</f>
        <v>8988.9776666666658</v>
      </c>
      <c r="M52" s="414">
        <f>+SUM($B$10:M10)</f>
        <v>9833.9776666666658</v>
      </c>
    </row>
    <row r="53" spans="1:13" x14ac:dyDescent="0.2">
      <c r="A53" s="574" t="s">
        <v>441</v>
      </c>
      <c r="B53" s="576">
        <f>+SUM($B$11:B11)</f>
        <v>717.16573390557937</v>
      </c>
      <c r="C53" s="576">
        <f>+SUM($B$11:C11)</f>
        <v>1651.7605630042917</v>
      </c>
      <c r="D53" s="576">
        <f>+SUM($B$11:D11)</f>
        <v>2430.191020085837</v>
      </c>
      <c r="E53" s="576">
        <f>+SUM($B$11:E11)</f>
        <v>3044.1122050643776</v>
      </c>
      <c r="F53" s="576">
        <f>+SUM($B$11:F11)</f>
        <v>3691.5172898283263</v>
      </c>
      <c r="G53" s="576">
        <f>+SUM($B$11:G11)</f>
        <v>4498.9283627896993</v>
      </c>
      <c r="H53" s="576">
        <f>+SUM($B$11:H11)</f>
        <v>5273.9181117167382</v>
      </c>
      <c r="I53" s="576">
        <f>+SUM($B$11:I11)</f>
        <v>6306.1498488412017</v>
      </c>
      <c r="J53" s="576">
        <f>+SUM($B$11:J11)</f>
        <v>6926.7958992703861</v>
      </c>
      <c r="K53" s="576">
        <f>+SUM($B$11:K11)</f>
        <v>7720.5733595708152</v>
      </c>
      <c r="L53" s="576">
        <f>+SUM($B$11:L11)</f>
        <v>8305.0752855364808</v>
      </c>
      <c r="M53" s="576">
        <f>+SUM($B$11:M11)</f>
        <v>9150.6163459656655</v>
      </c>
    </row>
    <row r="54" spans="1:13" x14ac:dyDescent="0.2">
      <c r="A54" t="s">
        <v>442</v>
      </c>
      <c r="B54" s="414">
        <f>+SUM($B$12:B12)</f>
        <v>695.28315572230485</v>
      </c>
      <c r="C54" s="414">
        <f>+SUM($B$12:C12)</f>
        <v>1202.8978331837402</v>
      </c>
      <c r="D54" s="414">
        <f>+SUM($B$12:D12)</f>
        <v>1722.0125106451756</v>
      </c>
      <c r="E54" s="414">
        <f>+SUM($B$12:E12)</f>
        <v>2236.4076228892195</v>
      </c>
      <c r="F54" s="414">
        <f>+SUM($B$12:F12)</f>
        <v>2783.8663585110698</v>
      </c>
      <c r="G54" s="414">
        <f>+SUM($B$12:G12)</f>
        <v>3330.9736446681572</v>
      </c>
      <c r="H54" s="414">
        <f>+SUM($B$12:H12)</f>
        <v>3921.2906993199881</v>
      </c>
      <c r="I54" s="414">
        <f>+SUM($B$12:I12)</f>
        <v>4463.3614637379451</v>
      </c>
      <c r="J54" s="414">
        <f>+SUM($B$12:J12)</f>
        <v>4999.8887498950326</v>
      </c>
      <c r="K54" s="414">
        <f>+SUM($B$12:K12)</f>
        <v>5550.7638621390761</v>
      </c>
      <c r="L54" s="414">
        <f>+SUM($B$12:L12)</f>
        <v>6115.2403803696225</v>
      </c>
      <c r="M54" s="414">
        <f>+SUM($B$12:M12)</f>
        <v>6709.0791741518879</v>
      </c>
    </row>
    <row r="55" spans="1:13" x14ac:dyDescent="0.2">
      <c r="A55" s="574" t="s">
        <v>443</v>
      </c>
      <c r="B55" s="576">
        <f>+SUM($B$13:B13)</f>
        <v>502.98160870000009</v>
      </c>
      <c r="C55" s="576">
        <f>+SUM($B$13:C13)</f>
        <v>1012.7556053000002</v>
      </c>
      <c r="D55" s="576">
        <f>+SUM($B$13:D13)</f>
        <v>1548.6369225000001</v>
      </c>
      <c r="E55" s="576">
        <f>+SUM($B$13:E13)</f>
        <v>2098.4736364999999</v>
      </c>
      <c r="F55" s="576">
        <f>+SUM($B$13:F13)</f>
        <v>2649.1455959</v>
      </c>
      <c r="G55" s="576">
        <f>+SUM($B$13:G13)</f>
        <v>3287.8968599</v>
      </c>
      <c r="H55" s="576">
        <f>+SUM($B$13:H13)</f>
        <v>3885.8084023000001</v>
      </c>
      <c r="I55" s="576">
        <f>+SUM($B$13:I13)</f>
        <v>4550.4932409000003</v>
      </c>
      <c r="J55" s="576">
        <f>+SUM($B$13:J13)</f>
        <v>5192.8371865999998</v>
      </c>
      <c r="K55" s="576">
        <f>+SUM($B$13:K13)</f>
        <v>5851.8775177999996</v>
      </c>
      <c r="L55" s="576">
        <f>+SUM($B$13:L13)</f>
        <v>6475.1815107000002</v>
      </c>
      <c r="M55" s="576">
        <f>+SUM($B$13:M13)</f>
        <v>7434.7244823999999</v>
      </c>
    </row>
    <row r="56" spans="1:13" x14ac:dyDescent="0.2">
      <c r="A56" t="s">
        <v>490</v>
      </c>
      <c r="B56" s="414">
        <f>+SUM($B$14:B14)</f>
        <v>129.71684427769515</v>
      </c>
      <c r="C56" s="414">
        <f>+SUM($B$14:C14)</f>
        <v>131.1021668162598</v>
      </c>
      <c r="D56" s="414">
        <f>+SUM($B$14:D14)</f>
        <v>365.92448935482446</v>
      </c>
      <c r="E56" s="414">
        <f>+SUM($B$14:E14)</f>
        <v>694.91004377744719</v>
      </c>
      <c r="F56" s="414">
        <f>+SUM($B$14:F14)</f>
        <v>1046.4956414889302</v>
      </c>
      <c r="G56" s="414">
        <f>+SUM($B$14:G14)</f>
        <v>1539.6243553318432</v>
      </c>
      <c r="H56" s="414">
        <f>+SUM($B$14:H14)</f>
        <v>1808.3073006800123</v>
      </c>
      <c r="I56" s="414">
        <f>+SUM($B$14:I14)</f>
        <v>1990.616202928722</v>
      </c>
      <c r="J56" s="414">
        <f>+SUM($B$14:J14)</f>
        <v>2299.0889167716346</v>
      </c>
      <c r="K56" s="414">
        <f>+SUM($B$14:K14)</f>
        <v>2593.2138045275906</v>
      </c>
      <c r="L56" s="414">
        <f>+SUM($B$14:L14)</f>
        <v>2873.7372862970446</v>
      </c>
      <c r="M56" s="414">
        <f>+SUM($B$14:M14)</f>
        <v>3124.8984925147788</v>
      </c>
    </row>
    <row r="57" spans="1:13" x14ac:dyDescent="0.2">
      <c r="A57" s="574" t="s">
        <v>491</v>
      </c>
      <c r="B57" s="576">
        <f>+SUM($B$15:B15)</f>
        <v>214.18412520557928</v>
      </c>
      <c r="C57" s="576">
        <f>+SUM($B$15:C15)</f>
        <v>639.00495770429166</v>
      </c>
      <c r="D57" s="576">
        <f>+SUM($B$15:D15)</f>
        <v>881.55409758583687</v>
      </c>
      <c r="E57" s="576">
        <f>+SUM($B$15:E15)</f>
        <v>945.63856856437769</v>
      </c>
      <c r="F57" s="576">
        <f>+SUM($B$15:F15)</f>
        <v>1042.3716939283261</v>
      </c>
      <c r="G57" s="576">
        <f>+SUM($B$15:G15)</f>
        <v>1211.0315028896994</v>
      </c>
      <c r="H57" s="576">
        <f>+SUM($B$15:H15)</f>
        <v>1388.109709416738</v>
      </c>
      <c r="I57" s="576">
        <f>+SUM($B$15:I15)</f>
        <v>1755.6566079412014</v>
      </c>
      <c r="J57" s="576">
        <f>+SUM($B$15:J15)</f>
        <v>1733.9587126703859</v>
      </c>
      <c r="K57" s="576">
        <f>+SUM($B$15:K15)</f>
        <v>1868.6958417708152</v>
      </c>
      <c r="L57" s="576">
        <f>+SUM($B$15:L15)</f>
        <v>1829.8937748364801</v>
      </c>
      <c r="M57" s="576">
        <f>+SUM($B$15:M15)</f>
        <v>1715.8918635656646</v>
      </c>
    </row>
    <row r="58" spans="1:13" x14ac:dyDescent="0.2">
      <c r="A58" t="s">
        <v>444</v>
      </c>
      <c r="B58" s="453">
        <f>+B56/B52</f>
        <v>0.15723253851841837</v>
      </c>
      <c r="C58" s="453">
        <f t="shared" ref="C58:F58" si="26">+C56/C52</f>
        <v>9.8277486369010347E-2</v>
      </c>
      <c r="D58" s="453">
        <f t="shared" si="26"/>
        <v>0.17525648013078196</v>
      </c>
      <c r="E58" s="453">
        <f t="shared" si="26"/>
        <v>0.2370640520062299</v>
      </c>
      <c r="F58" s="453">
        <f t="shared" si="26"/>
        <v>0.27321063687686181</v>
      </c>
      <c r="G58" s="453">
        <f t="shared" ref="G58:H58" si="27">+G56/G52</f>
        <v>0.31610581602748639</v>
      </c>
      <c r="H58" s="453">
        <f t="shared" si="27"/>
        <v>0.31560805848508261</v>
      </c>
      <c r="I58" s="453">
        <f t="shared" ref="I58:J58" si="28">+I56/I52</f>
        <v>0.3084324591344349</v>
      </c>
      <c r="J58" s="453">
        <f t="shared" si="28"/>
        <v>0.31498779990398218</v>
      </c>
      <c r="K58" s="453">
        <f t="shared" ref="K58" si="29">+K56/K52</f>
        <v>0.31842103584611059</v>
      </c>
      <c r="L58" s="453">
        <f t="shared" ref="L58:M58" si="30">+L56/L52</f>
        <v>0.31969567539961385</v>
      </c>
      <c r="M58" s="453">
        <f t="shared" si="30"/>
        <v>0.31776546565760072</v>
      </c>
    </row>
    <row r="59" spans="1:13" x14ac:dyDescent="0.2">
      <c r="A59" s="574" t="s">
        <v>445</v>
      </c>
      <c r="B59" s="578">
        <f>+B57/B53</f>
        <v>0.29865359578624029</v>
      </c>
      <c r="C59" s="578">
        <f t="shared" ref="C59:F59" si="31">+C57/C53</f>
        <v>0.38686294612945749</v>
      </c>
      <c r="D59" s="578">
        <f t="shared" si="31"/>
        <v>0.36275094850556211</v>
      </c>
      <c r="E59" s="578">
        <f t="shared" si="31"/>
        <v>0.31064510926737643</v>
      </c>
      <c r="F59" s="578">
        <f t="shared" si="31"/>
        <v>0.28236944651471524</v>
      </c>
      <c r="G59" s="578">
        <f t="shared" ref="G59:H59" si="32">+G57/G53</f>
        <v>0.26918221523731084</v>
      </c>
      <c r="H59" s="578">
        <f t="shared" si="32"/>
        <v>0.2632027422520764</v>
      </c>
      <c r="I59" s="578">
        <f t="shared" ref="I59:J59" si="33">+I57/I53</f>
        <v>0.2784038835144102</v>
      </c>
      <c r="J59" s="578">
        <f t="shared" si="33"/>
        <v>0.25032623133201132</v>
      </c>
      <c r="K59" s="578">
        <f t="shared" ref="K59" si="34">+K57/K53</f>
        <v>0.24204107062259628</v>
      </c>
      <c r="L59" s="578">
        <f t="shared" ref="L59:M59" si="35">+L57/L53</f>
        <v>0.22033439937905089</v>
      </c>
      <c r="M59" s="578">
        <f t="shared" si="35"/>
        <v>0.18751653426298098</v>
      </c>
    </row>
    <row r="63" spans="1:13" ht="16" thickBot="1" x14ac:dyDescent="0.25">
      <c r="A63" s="505" t="s">
        <v>513</v>
      </c>
    </row>
    <row r="64" spans="1:13" ht="16" thickBot="1" x14ac:dyDescent="0.25">
      <c r="A64" s="583"/>
      <c r="B64" s="584" t="s">
        <v>446</v>
      </c>
      <c r="C64" s="584" t="s">
        <v>512</v>
      </c>
      <c r="D64" s="584" t="s">
        <v>448</v>
      </c>
      <c r="E64" s="585" t="s">
        <v>449</v>
      </c>
    </row>
    <row r="65" spans="1:5" x14ac:dyDescent="0.2">
      <c r="A65" s="586" t="s">
        <v>450</v>
      </c>
      <c r="B65" s="581">
        <f>+M4</f>
        <v>536.6</v>
      </c>
      <c r="C65" s="581">
        <f>+M5</f>
        <v>1306</v>
      </c>
      <c r="D65" s="581">
        <f>+C65-B65</f>
        <v>769.4</v>
      </c>
      <c r="E65" s="582">
        <f>+D65/B65</f>
        <v>1.433842713380544</v>
      </c>
    </row>
    <row r="66" spans="1:5" x14ac:dyDescent="0.2">
      <c r="A66" s="587" t="s">
        <v>451</v>
      </c>
      <c r="B66" s="579">
        <f>+M6</f>
        <v>656.52200000000005</v>
      </c>
      <c r="C66" s="579">
        <f>+M7</f>
        <v>611.27200000000005</v>
      </c>
      <c r="D66" s="579">
        <f t="shared" ref="D66:D71" si="36">+C66-B66</f>
        <v>-45.25</v>
      </c>
      <c r="E66" s="580">
        <f t="shared" ref="E66:E71" si="37">+D66/B66</f>
        <v>-6.892381367265682E-2</v>
      </c>
    </row>
    <row r="67" spans="1:5" x14ac:dyDescent="0.2">
      <c r="A67" s="587" t="s">
        <v>452</v>
      </c>
      <c r="B67" s="579">
        <f>+M8</f>
        <v>845</v>
      </c>
      <c r="C67" s="579">
        <f>+M9</f>
        <v>886.41967729831151</v>
      </c>
      <c r="D67" s="579">
        <f t="shared" si="36"/>
        <v>41.419677298311512</v>
      </c>
      <c r="E67" s="580">
        <f t="shared" si="37"/>
        <v>4.9017369583800603E-2</v>
      </c>
    </row>
    <row r="68" spans="1:5" x14ac:dyDescent="0.2">
      <c r="A68" s="587" t="s">
        <v>453</v>
      </c>
      <c r="B68" s="579">
        <f>+M10</f>
        <v>845</v>
      </c>
      <c r="C68" s="579">
        <f>+M11</f>
        <v>845.54106042918454</v>
      </c>
      <c r="D68" s="579">
        <f t="shared" si="36"/>
        <v>0.54106042918454023</v>
      </c>
      <c r="E68" s="580">
        <f t="shared" si="37"/>
        <v>6.4030820021839083E-4</v>
      </c>
    </row>
    <row r="69" spans="1:5" x14ac:dyDescent="0.2">
      <c r="A69" s="587" t="s">
        <v>454</v>
      </c>
      <c r="B69" s="579">
        <f>+M12</f>
        <v>593.83879378226561</v>
      </c>
      <c r="C69" s="579">
        <f>+M13</f>
        <v>959.54297170000007</v>
      </c>
      <c r="D69" s="579">
        <f t="shared" si="36"/>
        <v>365.70417791773446</v>
      </c>
      <c r="E69" s="580">
        <f t="shared" si="37"/>
        <v>0.61583073006817057</v>
      </c>
    </row>
    <row r="70" spans="1:5" x14ac:dyDescent="0.2">
      <c r="A70" s="588" t="s">
        <v>492</v>
      </c>
      <c r="B70" s="589">
        <f>+B68-B69</f>
        <v>251.16120621773439</v>
      </c>
      <c r="C70" s="589">
        <f>+C68-C69</f>
        <v>-114.00191127081553</v>
      </c>
      <c r="D70" s="589">
        <f t="shared" si="36"/>
        <v>-365.16311748854991</v>
      </c>
      <c r="E70" s="590">
        <f t="shared" si="37"/>
        <v>-1.4538993620375673</v>
      </c>
    </row>
    <row r="71" spans="1:5" ht="16" thickBot="1" x14ac:dyDescent="0.25">
      <c r="A71" s="591" t="s">
        <v>455</v>
      </c>
      <c r="B71" s="592">
        <f>+B70/B68</f>
        <v>0.29723219670737799</v>
      </c>
      <c r="C71" s="592">
        <f>+C70/C68</f>
        <v>-0.13482717351768794</v>
      </c>
      <c r="D71" s="592">
        <f t="shared" si="36"/>
        <v>-0.43205937022506591</v>
      </c>
      <c r="E71" s="593">
        <f t="shared" si="37"/>
        <v>-1.4536089125311813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E0F4-FC97-4F15-A850-AD6340041E84}">
  <sheetPr>
    <tabColor rgb="FF66FFCC"/>
  </sheetPr>
  <dimension ref="B1:EA91"/>
  <sheetViews>
    <sheetView showGridLines="0" topLeftCell="DI8" zoomScale="125" zoomScaleNormal="85" workbookViewId="0">
      <selection activeCell="DQ10" sqref="DQ10"/>
    </sheetView>
  </sheetViews>
  <sheetFormatPr baseColWidth="10" defaultColWidth="11.5" defaultRowHeight="15" outlineLevelCol="1" x14ac:dyDescent="0.2"/>
  <cols>
    <col min="1" max="1" width="11.5" style="212"/>
    <col min="2" max="2" width="5.83203125" style="212" customWidth="1"/>
    <col min="3" max="3" width="91" style="222" bestFit="1" customWidth="1"/>
    <col min="4" max="4" width="17.1640625" style="222" customWidth="1" outlineLevel="1"/>
    <col min="5" max="6" width="10.1640625" style="222" customWidth="1" outlineLevel="1"/>
    <col min="7" max="8" width="23" style="222" customWidth="1" outlineLevel="1"/>
    <col min="9" max="9" width="15.1640625" customWidth="1" outlineLevel="1"/>
    <col min="10" max="10" width="11.5" style="222"/>
    <col min="11" max="11" width="4.5" style="222" customWidth="1"/>
    <col min="12" max="13" width="11.5" style="212"/>
    <col min="14" max="17" width="3.1640625" style="212" customWidth="1"/>
    <col min="18" max="20" width="3.83203125" style="212" customWidth="1"/>
    <col min="21" max="23" width="3.5" style="212" customWidth="1"/>
    <col min="24" max="24" width="5.1640625" style="212" bestFit="1" customWidth="1"/>
    <col min="25" max="25" width="3.83203125" style="212" customWidth="1" outlineLevel="1"/>
    <col min="26" max="26" width="6.83203125" style="212" customWidth="1" outlineLevel="1"/>
    <col min="27" max="37" width="3.83203125" style="212" customWidth="1" outlineLevel="1"/>
    <col min="38" max="38" width="5.1640625" style="212" customWidth="1" outlineLevel="1"/>
    <col min="39" max="95" width="3.83203125" style="212" customWidth="1" outlineLevel="1"/>
    <col min="96" max="96" width="3.83203125" style="212" customWidth="1"/>
    <col min="97" max="97" width="6.5" style="212" bestFit="1" customWidth="1"/>
    <col min="98" max="98" width="28.5" style="212" customWidth="1"/>
    <col min="99" max="99" width="8" style="212" bestFit="1" customWidth="1"/>
    <col min="100" max="100" width="5.83203125" style="212" bestFit="1" customWidth="1"/>
    <col min="101" max="101" width="4.1640625" style="212" bestFit="1" customWidth="1"/>
    <col min="102" max="109" width="3.83203125" style="212" customWidth="1"/>
    <col min="110" max="110" width="2.1640625" style="317" customWidth="1"/>
    <col min="111" max="112" width="11.5" style="212"/>
    <col min="113" max="113" width="21.83203125" style="212" customWidth="1"/>
    <col min="114" max="114" width="14" style="478" customWidth="1"/>
    <col min="115" max="115" width="10.83203125" style="212" bestFit="1" customWidth="1"/>
    <col min="116" max="116" width="13.1640625" style="212" bestFit="1" customWidth="1"/>
    <col min="117" max="16384" width="11.5" style="212"/>
  </cols>
  <sheetData>
    <row r="1" spans="2:131" s="159" customFormat="1" ht="11" x14ac:dyDescent="0.2">
      <c r="C1" s="214"/>
      <c r="D1" s="214"/>
      <c r="E1" s="214"/>
      <c r="F1" s="214"/>
      <c r="G1" s="214"/>
      <c r="H1" s="214"/>
      <c r="I1" s="214"/>
      <c r="J1" s="214"/>
      <c r="K1" s="214"/>
      <c r="DJ1" s="475"/>
    </row>
    <row r="2" spans="2:131" s="161" customFormat="1" ht="11" x14ac:dyDescent="0.2">
      <c r="C2" s="216"/>
      <c r="D2" s="216"/>
      <c r="E2" s="216"/>
      <c r="F2" s="216"/>
      <c r="G2" s="216"/>
      <c r="H2" s="216"/>
      <c r="I2" s="216"/>
      <c r="J2" s="216"/>
      <c r="K2" s="216"/>
      <c r="L2" s="164" t="s">
        <v>0</v>
      </c>
      <c r="M2" s="164"/>
      <c r="N2" s="164"/>
      <c r="DJ2" s="476"/>
    </row>
    <row r="3" spans="2:131" s="161" customFormat="1" ht="11" x14ac:dyDescent="0.2">
      <c r="C3" s="216"/>
      <c r="D3" s="216"/>
      <c r="E3" s="216"/>
      <c r="F3" s="216"/>
      <c r="G3" s="216"/>
      <c r="H3" s="216"/>
      <c r="I3" s="216"/>
      <c r="J3" s="216"/>
      <c r="K3" s="216"/>
      <c r="L3" s="164">
        <v>2025</v>
      </c>
      <c r="M3" s="164"/>
      <c r="N3" s="164"/>
      <c r="DJ3" s="476"/>
    </row>
    <row r="4" spans="2:131" s="161" customFormat="1" ht="11" x14ac:dyDescent="0.2">
      <c r="C4" s="216"/>
      <c r="D4" s="216"/>
      <c r="E4" s="216"/>
      <c r="F4" s="216"/>
      <c r="G4" s="216"/>
      <c r="H4" s="216"/>
      <c r="I4" s="216"/>
      <c r="J4" s="216"/>
      <c r="K4" s="216"/>
      <c r="L4" s="167" t="s">
        <v>1</v>
      </c>
      <c r="M4" s="167"/>
      <c r="N4" s="167"/>
      <c r="DJ4" s="476"/>
    </row>
    <row r="5" spans="2:131" s="161" customFormat="1" ht="11" x14ac:dyDescent="0.2">
      <c r="C5" s="216"/>
      <c r="D5" s="216"/>
      <c r="E5" s="216"/>
      <c r="F5" s="216"/>
      <c r="G5" s="216"/>
      <c r="H5" s="216"/>
      <c r="I5" s="216"/>
      <c r="J5" s="216"/>
      <c r="K5" s="216"/>
      <c r="DJ5" s="476"/>
    </row>
    <row r="6" spans="2:131" s="163" customFormat="1" ht="12" thickBot="1" x14ac:dyDescent="0.25">
      <c r="C6" s="220"/>
      <c r="D6" s="220"/>
      <c r="E6" s="220"/>
      <c r="F6" s="220"/>
      <c r="G6" s="220"/>
      <c r="H6" s="220"/>
      <c r="I6" s="220"/>
      <c r="J6" s="220"/>
      <c r="K6" s="220"/>
      <c r="DJ6" s="477"/>
    </row>
    <row r="7" spans="2:131" s="110" customFormat="1" thickBot="1" x14ac:dyDescent="0.25">
      <c r="C7" s="221"/>
      <c r="D7" s="221"/>
      <c r="E7" s="221"/>
      <c r="F7" s="221"/>
      <c r="G7" s="221"/>
      <c r="H7" s="221"/>
      <c r="I7" s="221"/>
      <c r="J7" s="221"/>
      <c r="K7" s="221"/>
      <c r="DF7" s="317"/>
      <c r="DJ7" s="286"/>
    </row>
    <row r="8" spans="2:131" s="110" customFormat="1" thickBot="1" x14ac:dyDescent="0.25">
      <c r="C8" s="221"/>
      <c r="D8" s="221"/>
      <c r="E8" s="221"/>
      <c r="F8" s="221"/>
      <c r="G8" s="221"/>
      <c r="H8" s="221"/>
      <c r="I8" s="221"/>
      <c r="J8" s="221"/>
      <c r="K8" s="221"/>
      <c r="DF8" s="317"/>
      <c r="DL8" s="473" t="s">
        <v>2</v>
      </c>
      <c r="DM8" s="474"/>
      <c r="DN8" s="527" t="s">
        <v>3</v>
      </c>
      <c r="DO8" s="527" t="s">
        <v>4</v>
      </c>
      <c r="DP8" s="527" t="s">
        <v>5</v>
      </c>
    </row>
    <row r="9" spans="2:131" ht="16" thickBot="1" x14ac:dyDescent="0.25">
      <c r="C9" s="318" t="s">
        <v>6</v>
      </c>
      <c r="I9" s="222"/>
      <c r="N9" s="318" t="s">
        <v>7</v>
      </c>
      <c r="O9" s="328"/>
      <c r="P9" s="328"/>
      <c r="Q9" s="328"/>
      <c r="R9" s="328"/>
      <c r="S9" s="328"/>
      <c r="AA9" s="318" t="s">
        <v>8</v>
      </c>
      <c r="AB9" s="328"/>
      <c r="AC9" s="328"/>
      <c r="AD9" s="328"/>
      <c r="AE9" s="328"/>
      <c r="AF9" s="328"/>
      <c r="AG9" s="328"/>
      <c r="AO9" s="318" t="s">
        <v>9</v>
      </c>
      <c r="AP9" s="328"/>
      <c r="AQ9" s="328"/>
      <c r="AR9" s="328"/>
      <c r="AS9" s="328"/>
      <c r="AT9" s="328"/>
      <c r="AU9" s="328"/>
      <c r="BC9" s="318" t="s">
        <v>10</v>
      </c>
      <c r="BD9" s="328"/>
      <c r="BE9" s="328"/>
      <c r="BF9" s="328"/>
      <c r="BG9" s="328"/>
      <c r="BH9" s="328"/>
      <c r="BI9" s="328"/>
      <c r="BQ9" s="318" t="s">
        <v>11</v>
      </c>
      <c r="BR9" s="328"/>
      <c r="BS9" s="328"/>
      <c r="BT9" s="328"/>
      <c r="BU9" s="328"/>
      <c r="BV9" s="328"/>
      <c r="BW9" s="328"/>
      <c r="CE9" s="318" t="s">
        <v>12</v>
      </c>
      <c r="CF9" s="328"/>
      <c r="CG9" s="328"/>
      <c r="CH9" s="328"/>
      <c r="CI9" s="328"/>
      <c r="CJ9" s="328"/>
      <c r="CK9" s="328"/>
      <c r="CS9" s="318" t="s">
        <v>13</v>
      </c>
      <c r="CT9" s="328"/>
      <c r="CU9" s="328"/>
      <c r="CV9" s="328"/>
      <c r="DL9" s="473" t="s">
        <v>14</v>
      </c>
      <c r="DM9" s="474"/>
      <c r="DN9" s="479">
        <v>1</v>
      </c>
      <c r="DO9" s="480">
        <v>1</v>
      </c>
      <c r="DP9" s="481">
        <v>1</v>
      </c>
    </row>
    <row r="10" spans="2:131" ht="171" thickBot="1" x14ac:dyDescent="0.25">
      <c r="B10" s="533" t="s">
        <v>495</v>
      </c>
      <c r="C10" s="534" t="s">
        <v>15</v>
      </c>
      <c r="D10" s="534" t="s">
        <v>16</v>
      </c>
      <c r="E10" s="534" t="s">
        <v>17</v>
      </c>
      <c r="F10" s="535" t="str">
        <f>+'Gantt Proyectos'!L96</f>
        <v>Monto Contrato</v>
      </c>
      <c r="G10" s="534" t="s">
        <v>18</v>
      </c>
      <c r="H10" s="536" t="s">
        <v>19</v>
      </c>
      <c r="I10" s="536" t="s">
        <v>20</v>
      </c>
      <c r="J10" s="537" t="s">
        <v>21</v>
      </c>
      <c r="K10" s="322"/>
      <c r="N10" s="482" t="s">
        <v>22</v>
      </c>
      <c r="O10" s="482" t="s">
        <v>23</v>
      </c>
      <c r="P10" s="482" t="s">
        <v>24</v>
      </c>
      <c r="Q10" s="482" t="s">
        <v>25</v>
      </c>
      <c r="R10" s="482" t="s">
        <v>26</v>
      </c>
      <c r="S10" s="482" t="s">
        <v>27</v>
      </c>
      <c r="T10" s="482" t="s">
        <v>28</v>
      </c>
      <c r="U10" s="482" t="s">
        <v>29</v>
      </c>
      <c r="V10" s="482" t="s">
        <v>30</v>
      </c>
      <c r="W10" s="482" t="s">
        <v>31</v>
      </c>
      <c r="X10" s="326" t="s">
        <v>32</v>
      </c>
      <c r="AA10" s="319" t="s">
        <v>22</v>
      </c>
      <c r="AB10" s="319" t="s">
        <v>23</v>
      </c>
      <c r="AC10" s="319" t="s">
        <v>33</v>
      </c>
      <c r="AD10" s="319" t="s">
        <v>24</v>
      </c>
      <c r="AE10" s="319" t="s">
        <v>25</v>
      </c>
      <c r="AF10" s="319" t="s">
        <v>26</v>
      </c>
      <c r="AG10" s="319" t="s">
        <v>27</v>
      </c>
      <c r="AH10" s="319" t="s">
        <v>28</v>
      </c>
      <c r="AI10" s="319" t="s">
        <v>29</v>
      </c>
      <c r="AJ10" s="319" t="s">
        <v>30</v>
      </c>
      <c r="AK10" s="319" t="s">
        <v>31</v>
      </c>
      <c r="AL10" s="326" t="s">
        <v>32</v>
      </c>
      <c r="AO10" s="319" t="s">
        <v>22</v>
      </c>
      <c r="AP10" s="319" t="s">
        <v>23</v>
      </c>
      <c r="AQ10" s="319" t="s">
        <v>33</v>
      </c>
      <c r="AR10" s="319" t="s">
        <v>24</v>
      </c>
      <c r="AS10" s="319" t="s">
        <v>25</v>
      </c>
      <c r="AT10" s="319" t="s">
        <v>26</v>
      </c>
      <c r="AU10" s="319" t="s">
        <v>27</v>
      </c>
      <c r="AV10" s="319" t="s">
        <v>28</v>
      </c>
      <c r="AW10" s="319" t="s">
        <v>29</v>
      </c>
      <c r="AX10" s="319" t="s">
        <v>30</v>
      </c>
      <c r="AY10" s="319" t="s">
        <v>31</v>
      </c>
      <c r="AZ10" s="326" t="s">
        <v>32</v>
      </c>
      <c r="BC10" s="319" t="s">
        <v>22</v>
      </c>
      <c r="BD10" s="319" t="s">
        <v>23</v>
      </c>
      <c r="BE10" s="319" t="s">
        <v>33</v>
      </c>
      <c r="BF10" s="319" t="s">
        <v>24</v>
      </c>
      <c r="BG10" s="319" t="s">
        <v>25</v>
      </c>
      <c r="BH10" s="319" t="s">
        <v>26</v>
      </c>
      <c r="BI10" s="319" t="s">
        <v>27</v>
      </c>
      <c r="BJ10" s="319" t="s">
        <v>28</v>
      </c>
      <c r="BK10" s="319" t="s">
        <v>29</v>
      </c>
      <c r="BL10" s="319" t="s">
        <v>30</v>
      </c>
      <c r="BM10" s="319" t="s">
        <v>31</v>
      </c>
      <c r="BN10" s="326" t="s">
        <v>32</v>
      </c>
      <c r="BQ10" s="319" t="s">
        <v>22</v>
      </c>
      <c r="BR10" s="319" t="s">
        <v>23</v>
      </c>
      <c r="BS10" s="319" t="s">
        <v>33</v>
      </c>
      <c r="BT10" s="319" t="s">
        <v>24</v>
      </c>
      <c r="BU10" s="319" t="s">
        <v>25</v>
      </c>
      <c r="BV10" s="319" t="s">
        <v>26</v>
      </c>
      <c r="BW10" s="319" t="s">
        <v>27</v>
      </c>
      <c r="BX10" s="319" t="s">
        <v>28</v>
      </c>
      <c r="BY10" s="319" t="s">
        <v>29</v>
      </c>
      <c r="BZ10" s="319" t="s">
        <v>30</v>
      </c>
      <c r="CA10" s="319" t="s">
        <v>31</v>
      </c>
      <c r="CB10" s="326" t="s">
        <v>32</v>
      </c>
      <c r="CE10" s="319" t="s">
        <v>22</v>
      </c>
      <c r="CF10" s="319" t="s">
        <v>23</v>
      </c>
      <c r="CG10" s="319" t="s">
        <v>33</v>
      </c>
      <c r="CH10" s="319" t="s">
        <v>24</v>
      </c>
      <c r="CI10" s="319" t="s">
        <v>25</v>
      </c>
      <c r="CJ10" s="319" t="s">
        <v>26</v>
      </c>
      <c r="CK10" s="319" t="s">
        <v>27</v>
      </c>
      <c r="CL10" s="319" t="s">
        <v>28</v>
      </c>
      <c r="CM10" s="319" t="s">
        <v>29</v>
      </c>
      <c r="CN10" s="319" t="s">
        <v>30</v>
      </c>
      <c r="CO10" s="319" t="s">
        <v>31</v>
      </c>
      <c r="CP10" s="326" t="s">
        <v>32</v>
      </c>
      <c r="CS10" s="482" t="s">
        <v>34</v>
      </c>
      <c r="CT10" s="482" t="s">
        <v>35</v>
      </c>
      <c r="CU10" s="482" t="s">
        <v>36</v>
      </c>
      <c r="CV10" s="482" t="s">
        <v>37</v>
      </c>
      <c r="CW10" s="421" t="s">
        <v>38</v>
      </c>
      <c r="CX10" s="222"/>
      <c r="CY10" s="222"/>
      <c r="CZ10" s="222"/>
      <c r="DI10" s="483" t="s">
        <v>39</v>
      </c>
    </row>
    <row r="11" spans="2:131" ht="16" thickBot="1" x14ac:dyDescent="0.25">
      <c r="C11" s="222" t="str">
        <f>+'Gantt Proyectos'!D97</f>
        <v>CMP: Estrategia Minera para MLC Brownfield</v>
      </c>
      <c r="D11" s="312" t="str">
        <f>+'Gantt Proyectos'!E97</f>
        <v>CMP</v>
      </c>
      <c r="E11" s="313" t="str">
        <f>+'Gantt Proyectos'!F97</f>
        <v>Chile</v>
      </c>
      <c r="F11" s="315">
        <f>+'Gantt Proyectos'!L97</f>
        <v>36143</v>
      </c>
      <c r="G11" s="314" t="str">
        <f>+'Gantt Proyectos'!AC97</f>
        <v>Estudio Conceptual / LOM</v>
      </c>
      <c r="H11" s="314" t="str">
        <f>+'Gantt Proyectos'!AD97</f>
        <v>Actual</v>
      </c>
      <c r="I11" s="538">
        <v>1</v>
      </c>
      <c r="J11" s="335">
        <v>1</v>
      </c>
      <c r="K11" s="312"/>
      <c r="L11" s="323" t="s">
        <v>40</v>
      </c>
      <c r="M11" s="324">
        <v>45748</v>
      </c>
      <c r="N11" s="325">
        <f>+'Listas y Parametros'!Q78</f>
        <v>6</v>
      </c>
      <c r="O11" s="325">
        <f>+'Listas y Parametros'!Q79</f>
        <v>4</v>
      </c>
      <c r="P11" s="325">
        <f>+'Listas y Parametros'!Q81</f>
        <v>2</v>
      </c>
      <c r="Q11" s="325">
        <f>+'Listas y Parametros'!Q82</f>
        <v>7</v>
      </c>
      <c r="R11" s="325">
        <f>+'Listas y Parametros'!Q83</f>
        <v>8</v>
      </c>
      <c r="S11" s="325">
        <f>+'Listas y Parametros'!Q84</f>
        <v>12</v>
      </c>
      <c r="T11" s="325">
        <f>+'Listas y Parametros'!Q85</f>
        <v>21</v>
      </c>
      <c r="U11" s="325">
        <f>+'Listas y Parametros'!Q86</f>
        <v>13</v>
      </c>
      <c r="V11" s="325">
        <f>+'Listas y Parametros'!Q87</f>
        <v>3</v>
      </c>
      <c r="W11" s="325">
        <f>+'Listas y Parametros'!Q88</f>
        <v>5</v>
      </c>
      <c r="X11" s="327">
        <f>+SUM(N11:W11)</f>
        <v>81</v>
      </c>
      <c r="Y11" s="323"/>
      <c r="Z11" s="324">
        <v>45748</v>
      </c>
      <c r="AA11" s="325">
        <f t="array" ref="AA11:AK11">TRANSPOSE('Listas y Parametros'!L78:L88)</f>
        <v>2</v>
      </c>
      <c r="AB11" s="325">
        <v>3</v>
      </c>
      <c r="AC11" s="325">
        <v>46</v>
      </c>
      <c r="AD11" s="325">
        <v>2</v>
      </c>
      <c r="AE11" s="325">
        <v>6</v>
      </c>
      <c r="AF11" s="325">
        <v>6</v>
      </c>
      <c r="AG11" s="325">
        <v>9</v>
      </c>
      <c r="AH11" s="325">
        <v>13</v>
      </c>
      <c r="AI11" s="325">
        <v>8</v>
      </c>
      <c r="AJ11" s="325">
        <v>2</v>
      </c>
      <c r="AK11" s="325">
        <v>4</v>
      </c>
      <c r="AL11" s="327">
        <f>+SUM(AA11:AB11,AD11:AK11)</f>
        <v>55</v>
      </c>
      <c r="AM11" s="323"/>
      <c r="AN11" s="324">
        <v>45748</v>
      </c>
      <c r="AO11" s="325">
        <f t="array" ref="AO11:AY11">+TRANSPOSE('Listas y Parametros'!M78:M88)</f>
        <v>1</v>
      </c>
      <c r="AP11" s="325">
        <v>1</v>
      </c>
      <c r="AQ11" s="325">
        <v>19</v>
      </c>
      <c r="AR11" s="325">
        <v>0</v>
      </c>
      <c r="AS11" s="325">
        <v>0</v>
      </c>
      <c r="AT11" s="325">
        <v>2</v>
      </c>
      <c r="AU11" s="325">
        <v>3</v>
      </c>
      <c r="AV11" s="325">
        <v>8</v>
      </c>
      <c r="AW11" s="325">
        <v>5</v>
      </c>
      <c r="AX11" s="325">
        <v>1</v>
      </c>
      <c r="AY11" s="325">
        <v>0</v>
      </c>
      <c r="AZ11" s="327">
        <f>+SUM(AO11:AP11,AR11:AY11)</f>
        <v>21</v>
      </c>
      <c r="BA11" s="323"/>
      <c r="BB11" s="324">
        <v>45748</v>
      </c>
      <c r="BC11" s="325">
        <f t="array" ref="BC11:BM11">+TRANSPOSE('Listas y Parametros'!N78:N88)</f>
        <v>2</v>
      </c>
      <c r="BD11" s="325">
        <v>0</v>
      </c>
      <c r="BE11" s="325">
        <v>1</v>
      </c>
      <c r="BF11" s="325">
        <v>0</v>
      </c>
      <c r="BG11" s="325">
        <v>1</v>
      </c>
      <c r="BH11" s="325">
        <v>0</v>
      </c>
      <c r="BI11" s="325">
        <v>0</v>
      </c>
      <c r="BJ11" s="325">
        <v>0</v>
      </c>
      <c r="BK11" s="325">
        <v>0</v>
      </c>
      <c r="BL11" s="325">
        <v>0</v>
      </c>
      <c r="BM11" s="325">
        <v>1</v>
      </c>
      <c r="BN11" s="327">
        <f>+SUM(BC11:BD11,BF11:BM11)</f>
        <v>4</v>
      </c>
      <c r="BO11" s="323"/>
      <c r="BP11" s="324">
        <v>45748</v>
      </c>
      <c r="BQ11" s="325">
        <f t="array" ref="BQ11:CA11">+TRANSPOSE('Listas y Parametros'!O78:O88)</f>
        <v>1</v>
      </c>
      <c r="BR11" s="325">
        <v>0</v>
      </c>
      <c r="BS11" s="325">
        <v>0</v>
      </c>
      <c r="BT11" s="325">
        <v>0</v>
      </c>
      <c r="BU11" s="325">
        <v>0</v>
      </c>
      <c r="BV11" s="325">
        <v>0</v>
      </c>
      <c r="BW11" s="325">
        <v>0</v>
      </c>
      <c r="BX11" s="325">
        <v>0</v>
      </c>
      <c r="BY11" s="325">
        <v>0</v>
      </c>
      <c r="BZ11" s="325">
        <v>0</v>
      </c>
      <c r="CA11" s="325">
        <v>0</v>
      </c>
      <c r="CB11" s="327">
        <f>+SUM(BQ11:BR11,BT11:CA11)</f>
        <v>1</v>
      </c>
      <c r="CD11" s="324">
        <v>45748</v>
      </c>
      <c r="CE11" s="325">
        <f t="array" ref="CE11:CO11">+TRANSPOSE('Listas y Parametros'!P78:P88)</f>
        <v>0</v>
      </c>
      <c r="CF11" s="325">
        <v>0</v>
      </c>
      <c r="CG11" s="325">
        <v>0</v>
      </c>
      <c r="CH11" s="325">
        <v>0</v>
      </c>
      <c r="CI11" s="325">
        <v>0</v>
      </c>
      <c r="CJ11" s="325">
        <v>0</v>
      </c>
      <c r="CK11" s="325">
        <v>0</v>
      </c>
      <c r="CL11" s="325">
        <v>0</v>
      </c>
      <c r="CM11" s="325">
        <v>0</v>
      </c>
      <c r="CN11" s="325">
        <v>0</v>
      </c>
      <c r="CO11" s="325">
        <v>0</v>
      </c>
      <c r="CP11" s="327">
        <f>+SUM(CE11:CF11,CH11:CO11)</f>
        <v>0</v>
      </c>
      <c r="CS11" s="418" t="s">
        <v>41</v>
      </c>
      <c r="CT11" s="549" t="str">
        <f>+'Listas y Parametros'!C219</f>
        <v>The Electric Mine</v>
      </c>
      <c r="CU11" s="543">
        <f>+'Listas y Parametros'!D219</f>
        <v>2000</v>
      </c>
      <c r="CV11" s="546">
        <f>+'Listas y Parametros'!E219</f>
        <v>45777</v>
      </c>
      <c r="CW11" s="422">
        <v>1</v>
      </c>
      <c r="CX11" s="222"/>
      <c r="CY11" s="222"/>
      <c r="CZ11" s="222"/>
      <c r="DH11"/>
      <c r="DI11" s="484" t="s">
        <v>42</v>
      </c>
      <c r="DJ11" s="485" t="s">
        <v>32</v>
      </c>
      <c r="DK11" s="485" t="s">
        <v>43</v>
      </c>
      <c r="DL11" s="485">
        <v>45687</v>
      </c>
      <c r="DM11" s="486">
        <v>45716</v>
      </c>
      <c r="DN11" s="486">
        <v>45746</v>
      </c>
      <c r="DO11" s="486">
        <v>45777</v>
      </c>
      <c r="DP11" s="486">
        <v>45807</v>
      </c>
      <c r="DQ11" s="486">
        <v>45838</v>
      </c>
      <c r="DR11" s="486">
        <v>45868</v>
      </c>
      <c r="DS11" s="486">
        <v>45899</v>
      </c>
      <c r="DT11" s="486">
        <v>45930</v>
      </c>
      <c r="DU11" s="486">
        <v>45960</v>
      </c>
      <c r="DV11" s="486">
        <v>45991</v>
      </c>
      <c r="DW11" s="487">
        <v>46021</v>
      </c>
      <c r="DX11"/>
      <c r="DY11"/>
      <c r="DZ11"/>
      <c r="EA11"/>
    </row>
    <row r="12" spans="2:131" x14ac:dyDescent="0.2">
      <c r="C12" s="222" t="str">
        <f>+'Gantt Proyectos'!D98</f>
        <v>Spence: Analisis proyecto SCUT</v>
      </c>
      <c r="D12" s="312" t="str">
        <f>+'Gantt Proyectos'!E98</f>
        <v>BHP</v>
      </c>
      <c r="E12" s="313" t="str">
        <f>+'Gantt Proyectos'!F98</f>
        <v>Chile</v>
      </c>
      <c r="F12" s="315">
        <f>+'Gantt Proyectos'!L98</f>
        <v>47590</v>
      </c>
      <c r="G12" s="314" t="str">
        <f>+'Gantt Proyectos'!AC98</f>
        <v>Confiabilidad Planes</v>
      </c>
      <c r="H12" s="314" t="str">
        <f>+'Gantt Proyectos'!AD98</f>
        <v>Actual</v>
      </c>
      <c r="I12" s="538">
        <v>1</v>
      </c>
      <c r="J12" s="335">
        <v>1</v>
      </c>
      <c r="K12" s="312"/>
      <c r="M12" s="321">
        <v>45778</v>
      </c>
      <c r="N12" s="320">
        <f>+AA12+AO12+BC12+BQ12+CE12</f>
        <v>6</v>
      </c>
      <c r="O12" s="320">
        <f t="shared" ref="O12" si="0">+AB12+AP12+BD12+BR12+CF12</f>
        <v>4</v>
      </c>
      <c r="P12" s="344">
        <f>+AD12+AR12+BF12+BT12+CH12</f>
        <v>2</v>
      </c>
      <c r="Q12" s="344">
        <f t="shared" ref="Q12:W12" si="1">+AE12+AS12+BG12+BU12+CI12</f>
        <v>7</v>
      </c>
      <c r="R12" s="344">
        <f t="shared" si="1"/>
        <v>8</v>
      </c>
      <c r="S12" s="344">
        <f t="shared" si="1"/>
        <v>12</v>
      </c>
      <c r="T12" s="344">
        <f t="shared" si="1"/>
        <v>21</v>
      </c>
      <c r="U12" s="344">
        <f t="shared" si="1"/>
        <v>13</v>
      </c>
      <c r="V12" s="344">
        <f t="shared" si="1"/>
        <v>3</v>
      </c>
      <c r="W12" s="344">
        <f t="shared" si="1"/>
        <v>5</v>
      </c>
      <c r="X12" s="327">
        <f t="shared" ref="X12:X19" si="2">+SUM(N12:W12)</f>
        <v>81</v>
      </c>
      <c r="Z12" s="321">
        <v>45778</v>
      </c>
      <c r="AA12" s="416">
        <v>2</v>
      </c>
      <c r="AB12" s="416">
        <v>3</v>
      </c>
      <c r="AC12" s="526">
        <v>46</v>
      </c>
      <c r="AD12" s="417">
        <v>2</v>
      </c>
      <c r="AE12" s="417">
        <v>6</v>
      </c>
      <c r="AF12" s="417">
        <v>6</v>
      </c>
      <c r="AG12" s="417">
        <v>9</v>
      </c>
      <c r="AH12" s="417">
        <v>13</v>
      </c>
      <c r="AI12" s="417">
        <v>8</v>
      </c>
      <c r="AJ12" s="417">
        <v>2</v>
      </c>
      <c r="AK12" s="416">
        <v>4</v>
      </c>
      <c r="AL12" s="327">
        <f t="shared" ref="AL12:AL19" si="3">+SUM(AA12:AB12,AD12:AK12)</f>
        <v>55</v>
      </c>
      <c r="AN12" s="321">
        <v>45778</v>
      </c>
      <c r="AO12" s="416">
        <v>1</v>
      </c>
      <c r="AP12" s="416">
        <v>1</v>
      </c>
      <c r="AQ12" s="526">
        <v>19</v>
      </c>
      <c r="AR12" s="417">
        <v>0</v>
      </c>
      <c r="AS12" s="417">
        <v>0</v>
      </c>
      <c r="AT12" s="417">
        <v>2</v>
      </c>
      <c r="AU12" s="417">
        <v>3</v>
      </c>
      <c r="AV12" s="417">
        <v>8</v>
      </c>
      <c r="AW12" s="417">
        <v>5</v>
      </c>
      <c r="AX12" s="417">
        <v>1</v>
      </c>
      <c r="AY12" s="416">
        <v>0</v>
      </c>
      <c r="AZ12" s="327">
        <f t="shared" ref="AZ12:AZ19" si="4">+SUM(AO12:AP12,AR12:AY12)</f>
        <v>21</v>
      </c>
      <c r="BB12" s="321">
        <v>45778</v>
      </c>
      <c r="BC12" s="416">
        <v>2</v>
      </c>
      <c r="BD12" s="416">
        <v>0</v>
      </c>
      <c r="BE12" s="526">
        <v>1</v>
      </c>
      <c r="BF12" s="417">
        <v>0</v>
      </c>
      <c r="BG12" s="417">
        <v>1</v>
      </c>
      <c r="BH12" s="417">
        <v>0</v>
      </c>
      <c r="BI12" s="417">
        <v>0</v>
      </c>
      <c r="BJ12" s="417">
        <v>0</v>
      </c>
      <c r="BK12" s="417">
        <v>0</v>
      </c>
      <c r="BL12" s="417">
        <v>0</v>
      </c>
      <c r="BM12" s="416">
        <v>1</v>
      </c>
      <c r="BN12" s="327">
        <f t="shared" ref="BN12:BN19" si="5">+SUM(BC12:BD12,BF12:BM12)</f>
        <v>4</v>
      </c>
      <c r="BP12" s="321">
        <v>45778</v>
      </c>
      <c r="BQ12" s="416">
        <v>1</v>
      </c>
      <c r="BR12" s="416">
        <v>0</v>
      </c>
      <c r="BS12" s="526">
        <v>0</v>
      </c>
      <c r="BT12" s="417">
        <v>0</v>
      </c>
      <c r="BU12" s="417">
        <v>0</v>
      </c>
      <c r="BV12" s="417">
        <v>0</v>
      </c>
      <c r="BW12" s="417">
        <v>0</v>
      </c>
      <c r="BX12" s="417">
        <v>0</v>
      </c>
      <c r="BY12" s="417">
        <v>0</v>
      </c>
      <c r="BZ12" s="417">
        <v>0</v>
      </c>
      <c r="CA12" s="416">
        <v>0</v>
      </c>
      <c r="CB12" s="327">
        <f t="shared" ref="CB12:CB19" si="6">+SUM(BQ12:BR12,BT12:CA12)</f>
        <v>1</v>
      </c>
      <c r="CD12" s="321">
        <v>45778</v>
      </c>
      <c r="CE12" s="416">
        <v>0</v>
      </c>
      <c r="CF12" s="416">
        <v>0</v>
      </c>
      <c r="CG12" s="526">
        <v>0</v>
      </c>
      <c r="CH12" s="417">
        <v>0</v>
      </c>
      <c r="CI12" s="417">
        <v>0</v>
      </c>
      <c r="CJ12" s="417">
        <v>0</v>
      </c>
      <c r="CK12" s="417">
        <v>0</v>
      </c>
      <c r="CL12" s="417">
        <v>0</v>
      </c>
      <c r="CM12" s="417">
        <v>0</v>
      </c>
      <c r="CN12" s="417">
        <v>0</v>
      </c>
      <c r="CO12" s="416">
        <v>0</v>
      </c>
      <c r="CP12" s="327">
        <f t="shared" ref="CP12:CP19" si="7">+SUM(CE12:CF12,CH12:CO12)</f>
        <v>0</v>
      </c>
      <c r="CS12" s="419"/>
      <c r="CT12" s="550" t="str">
        <f>+'Listas y Parametros'!C220</f>
        <v>Gecamin-Mineplanning</v>
      </c>
      <c r="CU12" s="544">
        <f>+'Listas y Parametros'!D220</f>
        <v>9000</v>
      </c>
      <c r="CV12" s="547">
        <f>+'Listas y Parametros'!E220</f>
        <v>45777</v>
      </c>
      <c r="CW12" s="423">
        <v>1</v>
      </c>
      <c r="CX12" s="222"/>
      <c r="CY12" s="222"/>
      <c r="CZ12" s="222"/>
      <c r="DH12"/>
      <c r="DI12" s="494" t="s">
        <v>41</v>
      </c>
      <c r="DJ12" s="495">
        <f ca="1">+SUM(DL12:DW12)</f>
        <v>3351934.5667631938</v>
      </c>
      <c r="DK12" s="495">
        <f>+SUM(DL12:DS12)</f>
        <v>2874423.8111587982</v>
      </c>
      <c r="DL12" s="567">
        <v>362362.73390557943</v>
      </c>
      <c r="DM12" s="568">
        <v>547310.61909871246</v>
      </c>
      <c r="DN12" s="568">
        <v>394993.25965665234</v>
      </c>
      <c r="DO12" s="568">
        <v>247866.96566523606</v>
      </c>
      <c r="DP12" s="568">
        <v>312930.59442060086</v>
      </c>
      <c r="DQ12" s="568">
        <v>277419.07296137337</v>
      </c>
      <c r="DR12" s="568">
        <v>542984.74678111589</v>
      </c>
      <c r="DS12" s="568">
        <v>188555.81866952789</v>
      </c>
      <c r="DT12" s="499">
        <f ca="1">+'Flujo Caja'!M14</f>
        <v>168877.68890109891</v>
      </c>
      <c r="DU12" s="499">
        <f ca="1">+'Flujo Caja'!N14</f>
        <v>168877.68890109891</v>
      </c>
      <c r="DV12" s="499">
        <f ca="1">+'Flujo Caja'!O14</f>
        <v>69877.688901098896</v>
      </c>
      <c r="DW12" s="490">
        <f ca="1">+'Flujo Caja'!P14</f>
        <v>69877.688901098896</v>
      </c>
      <c r="DX12"/>
      <c r="DY12"/>
      <c r="DZ12"/>
      <c r="EA12"/>
    </row>
    <row r="13" spans="2:131" x14ac:dyDescent="0.2">
      <c r="C13" s="222" t="str">
        <f>+'Gantt Proyectos'!D99</f>
        <v>Resolution: MinePlan Review (Scoping)</v>
      </c>
      <c r="D13" s="312" t="str">
        <f>+'Gantt Proyectos'!E99</f>
        <v>BHP</v>
      </c>
      <c r="E13" s="313" t="str">
        <f>+'Gantt Proyectos'!F99</f>
        <v>Chile</v>
      </c>
      <c r="F13" s="315">
        <f>+'Gantt Proyectos'!L99</f>
        <v>254012</v>
      </c>
      <c r="G13" s="314" t="str">
        <f>+'Gantt Proyectos'!AC99</f>
        <v>Scoping</v>
      </c>
      <c r="H13" s="314" t="str">
        <f>+'Gantt Proyectos'!AD99</f>
        <v>Actual</v>
      </c>
      <c r="I13" s="538">
        <v>1</v>
      </c>
      <c r="J13" s="335">
        <v>1</v>
      </c>
      <c r="K13" s="312"/>
      <c r="M13" s="321">
        <v>45809</v>
      </c>
      <c r="N13" s="320">
        <f t="shared" ref="N13:N19" si="8">+AA13+AO13+BC13+BQ13+CE13</f>
        <v>6</v>
      </c>
      <c r="O13" s="320">
        <f t="shared" ref="O13:O19" si="9">+AB13+AP13+BD13+BR13+CF13</f>
        <v>4</v>
      </c>
      <c r="P13" s="344">
        <f t="shared" ref="P13:P19" si="10">+AD13+AR13+BF13+BT13+CH13</f>
        <v>2</v>
      </c>
      <c r="Q13" s="344">
        <f t="shared" ref="Q13:Q19" si="11">+AE13+AS13+BG13+BU13+CI13</f>
        <v>7</v>
      </c>
      <c r="R13" s="344">
        <f t="shared" ref="R13:R19" si="12">+AF13+AT13+BH13+BV13+CJ13</f>
        <v>8</v>
      </c>
      <c r="S13" s="344">
        <f t="shared" ref="S13:S19" si="13">+AG13+AU13+BI13+BW13+CK13</f>
        <v>12</v>
      </c>
      <c r="T13" s="344">
        <f t="shared" ref="T13:T19" si="14">+AH13+AV13+BJ13+BX13+CL13</f>
        <v>21</v>
      </c>
      <c r="U13" s="344">
        <f t="shared" ref="U13:U19" si="15">+AI13+AW13+BK13+BY13+CM13</f>
        <v>13</v>
      </c>
      <c r="V13" s="344">
        <f t="shared" ref="V13:V19" si="16">+AJ13+AX13+BL13+BZ13+CN13</f>
        <v>3</v>
      </c>
      <c r="W13" s="320">
        <f t="shared" ref="W13:W19" si="17">+AK13+AY13+BM13+CA13+CO13</f>
        <v>5</v>
      </c>
      <c r="X13" s="327">
        <f t="shared" si="2"/>
        <v>81</v>
      </c>
      <c r="Z13" s="321">
        <v>45809</v>
      </c>
      <c r="AA13" s="416">
        <v>2</v>
      </c>
      <c r="AB13" s="416">
        <v>3</v>
      </c>
      <c r="AC13" s="526">
        <v>46</v>
      </c>
      <c r="AD13" s="417">
        <v>2</v>
      </c>
      <c r="AE13" s="417">
        <v>6</v>
      </c>
      <c r="AF13" s="417">
        <v>6</v>
      </c>
      <c r="AG13" s="417">
        <v>9</v>
      </c>
      <c r="AH13" s="417">
        <v>13</v>
      </c>
      <c r="AI13" s="417">
        <v>8</v>
      </c>
      <c r="AJ13" s="417">
        <v>2</v>
      </c>
      <c r="AK13" s="416">
        <v>4</v>
      </c>
      <c r="AL13" s="327">
        <f t="shared" si="3"/>
        <v>55</v>
      </c>
      <c r="AN13" s="321">
        <v>45809</v>
      </c>
      <c r="AO13" s="416">
        <v>1</v>
      </c>
      <c r="AP13" s="416">
        <v>1</v>
      </c>
      <c r="AQ13" s="526">
        <v>19</v>
      </c>
      <c r="AR13" s="417">
        <v>0</v>
      </c>
      <c r="AS13" s="417">
        <v>0</v>
      </c>
      <c r="AT13" s="417">
        <v>2</v>
      </c>
      <c r="AU13" s="417">
        <v>3</v>
      </c>
      <c r="AV13" s="417">
        <v>8</v>
      </c>
      <c r="AW13" s="417">
        <v>5</v>
      </c>
      <c r="AX13" s="417">
        <v>1</v>
      </c>
      <c r="AY13" s="416">
        <v>0</v>
      </c>
      <c r="AZ13" s="327">
        <f t="shared" si="4"/>
        <v>21</v>
      </c>
      <c r="BB13" s="321">
        <v>45809</v>
      </c>
      <c r="BC13" s="416">
        <v>2</v>
      </c>
      <c r="BD13" s="416">
        <v>0</v>
      </c>
      <c r="BE13" s="526">
        <v>1</v>
      </c>
      <c r="BF13" s="417">
        <v>0</v>
      </c>
      <c r="BG13" s="417">
        <v>1</v>
      </c>
      <c r="BH13" s="417">
        <v>0</v>
      </c>
      <c r="BI13" s="417">
        <v>0</v>
      </c>
      <c r="BJ13" s="417">
        <v>0</v>
      </c>
      <c r="BK13" s="417">
        <v>0</v>
      </c>
      <c r="BL13" s="417">
        <v>0</v>
      </c>
      <c r="BM13" s="416">
        <v>1</v>
      </c>
      <c r="BN13" s="327">
        <f t="shared" si="5"/>
        <v>4</v>
      </c>
      <c r="BP13" s="321">
        <v>45809</v>
      </c>
      <c r="BQ13" s="416">
        <v>1</v>
      </c>
      <c r="BR13" s="416">
        <v>0</v>
      </c>
      <c r="BS13" s="526">
        <v>0</v>
      </c>
      <c r="BT13" s="417">
        <v>0</v>
      </c>
      <c r="BU13" s="417">
        <v>0</v>
      </c>
      <c r="BV13" s="417">
        <v>0</v>
      </c>
      <c r="BW13" s="417">
        <v>0</v>
      </c>
      <c r="BX13" s="417">
        <v>0</v>
      </c>
      <c r="BY13" s="417">
        <v>0</v>
      </c>
      <c r="BZ13" s="417">
        <v>0</v>
      </c>
      <c r="CA13" s="416">
        <v>0</v>
      </c>
      <c r="CB13" s="327">
        <f t="shared" si="6"/>
        <v>1</v>
      </c>
      <c r="CD13" s="321">
        <v>45809</v>
      </c>
      <c r="CE13" s="416">
        <v>0</v>
      </c>
      <c r="CF13" s="416">
        <v>0</v>
      </c>
      <c r="CG13" s="526">
        <v>0</v>
      </c>
      <c r="CH13" s="417">
        <v>0</v>
      </c>
      <c r="CI13" s="417">
        <v>0</v>
      </c>
      <c r="CJ13" s="417">
        <v>0</v>
      </c>
      <c r="CK13" s="417">
        <v>0</v>
      </c>
      <c r="CL13" s="417">
        <v>0</v>
      </c>
      <c r="CM13" s="417">
        <v>0</v>
      </c>
      <c r="CN13" s="417">
        <v>0</v>
      </c>
      <c r="CO13" s="416">
        <v>0</v>
      </c>
      <c r="CP13" s="327">
        <f t="shared" si="7"/>
        <v>0</v>
      </c>
      <c r="CS13" s="419"/>
      <c r="CT13" s="550" t="str">
        <f>+'Listas y Parametros'!C221</f>
        <v>Congreso - IIMCH</v>
      </c>
      <c r="CU13" s="544">
        <f>+'Listas y Parametros'!D222</f>
        <v>13000</v>
      </c>
      <c r="CV13" s="547">
        <f>+'Listas y Parametros'!E221</f>
        <v>45960</v>
      </c>
      <c r="CW13" s="423">
        <v>1</v>
      </c>
      <c r="CX13" s="222"/>
      <c r="CY13" s="222"/>
      <c r="CZ13" s="222"/>
      <c r="DH13"/>
      <c r="DI13" s="494" t="s">
        <v>44</v>
      </c>
      <c r="DJ13" s="495">
        <f t="shared" ref="DJ13:DJ16" ca="1" si="18">+SUM(DL13:DW13)</f>
        <v>3049795.6285714284</v>
      </c>
      <c r="DK13" s="495">
        <f t="shared" ref="DK13:DK16" si="19">+SUM(DL13:DS13)</f>
        <v>1667229</v>
      </c>
      <c r="DL13" s="567">
        <v>123848</v>
      </c>
      <c r="DM13" s="568">
        <v>62454</v>
      </c>
      <c r="DN13" s="568">
        <v>105377</v>
      </c>
      <c r="DO13" s="568">
        <v>110077</v>
      </c>
      <c r="DP13" s="568">
        <v>142610</v>
      </c>
      <c r="DQ13" s="568">
        <v>229588</v>
      </c>
      <c r="DR13" s="568">
        <v>251702</v>
      </c>
      <c r="DS13" s="568">
        <v>641573</v>
      </c>
      <c r="DT13" s="499">
        <f ca="1">+'Flujo Caja'!M17</f>
        <v>393534.51428571431</v>
      </c>
      <c r="DU13" s="499">
        <f ca="1">+'Flujo Caja'!N17</f>
        <v>420617.84761904762</v>
      </c>
      <c r="DV13" s="499">
        <f ca="1">+'Flujo Caja'!O17</f>
        <v>285332.13333333336</v>
      </c>
      <c r="DW13" s="490">
        <f ca="1">+'Flujo Caja'!P17</f>
        <v>283082.13333333336</v>
      </c>
      <c r="DX13"/>
      <c r="DY13"/>
      <c r="DZ13"/>
      <c r="EA13"/>
    </row>
    <row r="14" spans="2:131" x14ac:dyDescent="0.2">
      <c r="C14" s="222" t="str">
        <f>+'Gantt Proyectos'!D100</f>
        <v>Twin Metals: Analisis integrado con Northmet</v>
      </c>
      <c r="D14" s="312" t="str">
        <f>+'Gantt Proyectos'!E100</f>
        <v>Twin Metals</v>
      </c>
      <c r="E14" s="313" t="str">
        <f>+'Gantt Proyectos'!F100</f>
        <v>Chile</v>
      </c>
      <c r="F14" s="315">
        <f>+'Gantt Proyectos'!L100</f>
        <v>132000</v>
      </c>
      <c r="G14" s="314" t="str">
        <f>+'Gantt Proyectos'!AC100</f>
        <v>Estudio Conceptual / LOM</v>
      </c>
      <c r="H14" s="314" t="str">
        <f>+'Gantt Proyectos'!AD100</f>
        <v>Actual</v>
      </c>
      <c r="I14" s="538">
        <v>1</v>
      </c>
      <c r="J14" s="335">
        <v>1</v>
      </c>
      <c r="K14" s="312"/>
      <c r="M14" s="321">
        <v>45839</v>
      </c>
      <c r="N14" s="320">
        <f t="shared" si="8"/>
        <v>6</v>
      </c>
      <c r="O14" s="320">
        <f t="shared" si="9"/>
        <v>4</v>
      </c>
      <c r="P14" s="344">
        <f t="shared" si="10"/>
        <v>2</v>
      </c>
      <c r="Q14" s="344">
        <f t="shared" si="11"/>
        <v>7</v>
      </c>
      <c r="R14" s="344">
        <f t="shared" si="12"/>
        <v>8</v>
      </c>
      <c r="S14" s="344">
        <f t="shared" si="13"/>
        <v>12</v>
      </c>
      <c r="T14" s="344">
        <f t="shared" si="14"/>
        <v>21</v>
      </c>
      <c r="U14" s="344">
        <f t="shared" si="15"/>
        <v>13</v>
      </c>
      <c r="V14" s="344">
        <f t="shared" si="16"/>
        <v>3</v>
      </c>
      <c r="W14" s="320">
        <f t="shared" si="17"/>
        <v>5</v>
      </c>
      <c r="X14" s="327">
        <f t="shared" si="2"/>
        <v>81</v>
      </c>
      <c r="Z14" s="321">
        <v>45839</v>
      </c>
      <c r="AA14" s="416">
        <v>2</v>
      </c>
      <c r="AB14" s="416">
        <v>3</v>
      </c>
      <c r="AC14" s="526">
        <v>46</v>
      </c>
      <c r="AD14" s="417">
        <v>2</v>
      </c>
      <c r="AE14" s="417">
        <v>6</v>
      </c>
      <c r="AF14" s="417">
        <v>6</v>
      </c>
      <c r="AG14" s="417">
        <v>9</v>
      </c>
      <c r="AH14" s="417">
        <v>13</v>
      </c>
      <c r="AI14" s="417">
        <v>8</v>
      </c>
      <c r="AJ14" s="417">
        <v>2</v>
      </c>
      <c r="AK14" s="416">
        <v>4</v>
      </c>
      <c r="AL14" s="327">
        <f t="shared" si="3"/>
        <v>55</v>
      </c>
      <c r="AN14" s="321">
        <v>45839</v>
      </c>
      <c r="AO14" s="416">
        <v>1</v>
      </c>
      <c r="AP14" s="416">
        <v>1</v>
      </c>
      <c r="AQ14" s="526">
        <v>19</v>
      </c>
      <c r="AR14" s="417">
        <v>0</v>
      </c>
      <c r="AS14" s="417">
        <v>0</v>
      </c>
      <c r="AT14" s="417">
        <v>2</v>
      </c>
      <c r="AU14" s="417">
        <v>3</v>
      </c>
      <c r="AV14" s="417">
        <v>8</v>
      </c>
      <c r="AW14" s="417">
        <v>5</v>
      </c>
      <c r="AX14" s="417">
        <v>1</v>
      </c>
      <c r="AY14" s="416">
        <v>0</v>
      </c>
      <c r="AZ14" s="327">
        <f t="shared" si="4"/>
        <v>21</v>
      </c>
      <c r="BB14" s="321">
        <v>45839</v>
      </c>
      <c r="BC14" s="416">
        <v>2</v>
      </c>
      <c r="BD14" s="416">
        <v>0</v>
      </c>
      <c r="BE14" s="526">
        <v>1</v>
      </c>
      <c r="BF14" s="417">
        <v>0</v>
      </c>
      <c r="BG14" s="417">
        <v>1</v>
      </c>
      <c r="BH14" s="417">
        <v>0</v>
      </c>
      <c r="BI14" s="417">
        <v>0</v>
      </c>
      <c r="BJ14" s="417">
        <v>0</v>
      </c>
      <c r="BK14" s="417">
        <v>0</v>
      </c>
      <c r="BL14" s="417">
        <v>0</v>
      </c>
      <c r="BM14" s="416">
        <v>1</v>
      </c>
      <c r="BN14" s="327">
        <f t="shared" si="5"/>
        <v>4</v>
      </c>
      <c r="BP14" s="321">
        <v>45839</v>
      </c>
      <c r="BQ14" s="416">
        <v>1</v>
      </c>
      <c r="BR14" s="416">
        <v>0</v>
      </c>
      <c r="BS14" s="526">
        <v>0</v>
      </c>
      <c r="BT14" s="417">
        <v>0</v>
      </c>
      <c r="BU14" s="417">
        <v>0</v>
      </c>
      <c r="BV14" s="417">
        <v>0</v>
      </c>
      <c r="BW14" s="417">
        <v>0</v>
      </c>
      <c r="BX14" s="417">
        <v>0</v>
      </c>
      <c r="BY14" s="417">
        <v>0</v>
      </c>
      <c r="BZ14" s="417">
        <v>0</v>
      </c>
      <c r="CA14" s="416">
        <v>0</v>
      </c>
      <c r="CB14" s="327">
        <f t="shared" si="6"/>
        <v>1</v>
      </c>
      <c r="CD14" s="321">
        <v>45839</v>
      </c>
      <c r="CE14" s="416">
        <v>0</v>
      </c>
      <c r="CF14" s="416">
        <v>0</v>
      </c>
      <c r="CG14" s="526">
        <v>0</v>
      </c>
      <c r="CH14" s="417">
        <v>0</v>
      </c>
      <c r="CI14" s="417">
        <v>0</v>
      </c>
      <c r="CJ14" s="417">
        <v>0</v>
      </c>
      <c r="CK14" s="417">
        <v>0</v>
      </c>
      <c r="CL14" s="417">
        <v>0</v>
      </c>
      <c r="CM14" s="417">
        <v>0</v>
      </c>
      <c r="CN14" s="417">
        <v>0</v>
      </c>
      <c r="CO14" s="416">
        <v>0</v>
      </c>
      <c r="CP14" s="327">
        <f t="shared" si="7"/>
        <v>0</v>
      </c>
      <c r="CS14" s="539"/>
      <c r="CT14" s="550" t="str">
        <f>+'Listas y Parametros'!C222</f>
        <v>Mines and money UK</v>
      </c>
      <c r="CU14" s="544">
        <f>+'Listas y Parametros'!D223</f>
        <v>10000</v>
      </c>
      <c r="CV14" s="547">
        <f>+'Listas y Parametros'!E222</f>
        <v>45960</v>
      </c>
      <c r="CW14" s="423">
        <v>1</v>
      </c>
      <c r="CX14" s="222"/>
      <c r="CY14" s="222"/>
      <c r="CZ14" s="222"/>
      <c r="DH14"/>
      <c r="DI14" s="494" t="s">
        <v>45</v>
      </c>
      <c r="DJ14" s="495">
        <f t="shared" ca="1" si="18"/>
        <v>1790095.8055555557</v>
      </c>
      <c r="DK14" s="495">
        <f t="shared" si="19"/>
        <v>604565</v>
      </c>
      <c r="DL14" s="567">
        <v>80502</v>
      </c>
      <c r="DM14" s="568">
        <v>59683</v>
      </c>
      <c r="DN14" s="568">
        <v>96322</v>
      </c>
      <c r="DO14" s="621">
        <v>97147</v>
      </c>
      <c r="DP14" s="568">
        <v>37074</v>
      </c>
      <c r="DQ14" s="568">
        <v>66468</v>
      </c>
      <c r="DR14" s="568">
        <v>47717</v>
      </c>
      <c r="DS14" s="568">
        <v>119652</v>
      </c>
      <c r="DT14" s="499">
        <f ca="1">+'Flujo Caja'!M20</f>
        <v>358235.47222222225</v>
      </c>
      <c r="DU14" s="499">
        <f ca="1">+'Flujo Caja'!N20</f>
        <v>316934.22222222225</v>
      </c>
      <c r="DV14" s="499">
        <f ca="1">+'Flujo Caja'!O20</f>
        <v>301513.88888888888</v>
      </c>
      <c r="DW14" s="490">
        <f ca="1">+'Flujo Caja'!P20</f>
        <v>208847.22222222222</v>
      </c>
      <c r="DX14"/>
      <c r="DY14"/>
      <c r="DZ14"/>
      <c r="EA14"/>
    </row>
    <row r="15" spans="2:131" ht="16" thickBot="1" x14ac:dyDescent="0.25">
      <c r="C15" s="222" t="str">
        <f>+'Gantt Proyectos'!D101</f>
        <v>FEL3 CNN</v>
      </c>
      <c r="D15" s="312" t="str">
        <f>+'Gantt Proyectos'!E101</f>
        <v>CMP</v>
      </c>
      <c r="E15" s="313" t="str">
        <f>+'Gantt Proyectos'!F101</f>
        <v>Chile</v>
      </c>
      <c r="F15" s="315">
        <f>+'Gantt Proyectos'!L101</f>
        <v>121038.49</v>
      </c>
      <c r="G15" s="314" t="str">
        <f>+'Gantt Proyectos'!AC101</f>
        <v>PFS</v>
      </c>
      <c r="H15" s="314" t="str">
        <f>+'Gantt Proyectos'!AD101</f>
        <v>Actual</v>
      </c>
      <c r="I15" s="538">
        <v>1</v>
      </c>
      <c r="J15" s="335">
        <v>1</v>
      </c>
      <c r="K15" s="312"/>
      <c r="M15" s="321">
        <v>45870</v>
      </c>
      <c r="N15" s="320">
        <f t="shared" si="8"/>
        <v>6</v>
      </c>
      <c r="O15" s="320">
        <f t="shared" si="9"/>
        <v>4</v>
      </c>
      <c r="P15" s="344">
        <f t="shared" si="10"/>
        <v>2</v>
      </c>
      <c r="Q15" s="344">
        <f t="shared" si="11"/>
        <v>7</v>
      </c>
      <c r="R15" s="344">
        <f t="shared" si="12"/>
        <v>8</v>
      </c>
      <c r="S15" s="344">
        <f t="shared" si="13"/>
        <v>12</v>
      </c>
      <c r="T15" s="344">
        <f t="shared" si="14"/>
        <v>21</v>
      </c>
      <c r="U15" s="344">
        <f t="shared" si="15"/>
        <v>13</v>
      </c>
      <c r="V15" s="344">
        <f t="shared" si="16"/>
        <v>3</v>
      </c>
      <c r="W15" s="320">
        <f t="shared" si="17"/>
        <v>5</v>
      </c>
      <c r="X15" s="327">
        <f t="shared" si="2"/>
        <v>81</v>
      </c>
      <c r="Z15" s="321">
        <v>45870</v>
      </c>
      <c r="AA15" s="416">
        <v>2</v>
      </c>
      <c r="AB15" s="416">
        <v>3</v>
      </c>
      <c r="AC15" s="526">
        <v>46</v>
      </c>
      <c r="AD15" s="417">
        <v>2</v>
      </c>
      <c r="AE15" s="417">
        <v>6</v>
      </c>
      <c r="AF15" s="417">
        <v>6</v>
      </c>
      <c r="AG15" s="417">
        <v>9</v>
      </c>
      <c r="AH15" s="417">
        <v>13</v>
      </c>
      <c r="AI15" s="417">
        <v>8</v>
      </c>
      <c r="AJ15" s="417">
        <v>2</v>
      </c>
      <c r="AK15" s="416">
        <v>4</v>
      </c>
      <c r="AL15" s="327">
        <f t="shared" si="3"/>
        <v>55</v>
      </c>
      <c r="AN15" s="321">
        <v>45870</v>
      </c>
      <c r="AO15" s="416">
        <v>1</v>
      </c>
      <c r="AP15" s="416">
        <v>1</v>
      </c>
      <c r="AQ15" s="526">
        <v>19</v>
      </c>
      <c r="AR15" s="417">
        <v>0</v>
      </c>
      <c r="AS15" s="417">
        <v>0</v>
      </c>
      <c r="AT15" s="417">
        <v>2</v>
      </c>
      <c r="AU15" s="417">
        <v>3</v>
      </c>
      <c r="AV15" s="417">
        <v>8</v>
      </c>
      <c r="AW15" s="417">
        <v>5</v>
      </c>
      <c r="AX15" s="417">
        <v>1</v>
      </c>
      <c r="AY15" s="416">
        <v>0</v>
      </c>
      <c r="AZ15" s="327">
        <f t="shared" si="4"/>
        <v>21</v>
      </c>
      <c r="BB15" s="321">
        <v>45870</v>
      </c>
      <c r="BC15" s="416">
        <v>2</v>
      </c>
      <c r="BD15" s="416">
        <v>0</v>
      </c>
      <c r="BE15" s="526">
        <v>1</v>
      </c>
      <c r="BF15" s="417">
        <v>0</v>
      </c>
      <c r="BG15" s="417">
        <v>1</v>
      </c>
      <c r="BH15" s="417">
        <v>0</v>
      </c>
      <c r="BI15" s="417">
        <v>0</v>
      </c>
      <c r="BJ15" s="417">
        <v>0</v>
      </c>
      <c r="BK15" s="417">
        <v>0</v>
      </c>
      <c r="BL15" s="417">
        <v>0</v>
      </c>
      <c r="BM15" s="416">
        <v>1</v>
      </c>
      <c r="BN15" s="327">
        <f t="shared" si="5"/>
        <v>4</v>
      </c>
      <c r="BP15" s="321">
        <v>45870</v>
      </c>
      <c r="BQ15" s="416">
        <v>1</v>
      </c>
      <c r="BR15" s="416">
        <v>0</v>
      </c>
      <c r="BS15" s="526">
        <v>0</v>
      </c>
      <c r="BT15" s="417">
        <v>0</v>
      </c>
      <c r="BU15" s="417">
        <v>0</v>
      </c>
      <c r="BV15" s="417">
        <v>0</v>
      </c>
      <c r="BW15" s="417">
        <v>0</v>
      </c>
      <c r="BX15" s="417">
        <v>0</v>
      </c>
      <c r="BY15" s="417">
        <v>0</v>
      </c>
      <c r="BZ15" s="417">
        <v>0</v>
      </c>
      <c r="CA15" s="416">
        <v>0</v>
      </c>
      <c r="CB15" s="327">
        <f t="shared" si="6"/>
        <v>1</v>
      </c>
      <c r="CD15" s="321">
        <v>45870</v>
      </c>
      <c r="CE15" s="416">
        <v>0</v>
      </c>
      <c r="CF15" s="416">
        <v>0</v>
      </c>
      <c r="CG15" s="526">
        <v>0</v>
      </c>
      <c r="CH15" s="417">
        <v>0</v>
      </c>
      <c r="CI15" s="417">
        <v>0</v>
      </c>
      <c r="CJ15" s="417">
        <v>0</v>
      </c>
      <c r="CK15" s="417">
        <v>0</v>
      </c>
      <c r="CL15" s="417">
        <v>0</v>
      </c>
      <c r="CM15" s="417">
        <v>0</v>
      </c>
      <c r="CN15" s="417">
        <v>0</v>
      </c>
      <c r="CO15" s="416">
        <v>0</v>
      </c>
      <c r="CP15" s="327">
        <f t="shared" si="7"/>
        <v>0</v>
      </c>
      <c r="CS15" s="420"/>
      <c r="CT15" s="551" t="str">
        <f>+'Listas y Parametros'!C223</f>
        <v>Argentina Mining</v>
      </c>
      <c r="CU15" s="545">
        <f>+'Listas y Parametros'!D224</f>
        <v>15000</v>
      </c>
      <c r="CV15" s="548">
        <f>+'Listas y Parametros'!E223</f>
        <v>45868</v>
      </c>
      <c r="CW15" s="424">
        <v>1</v>
      </c>
      <c r="CX15" s="222"/>
      <c r="CY15" s="222"/>
      <c r="CZ15" s="222"/>
      <c r="DH15"/>
      <c r="DI15" s="494" t="s">
        <v>46</v>
      </c>
      <c r="DJ15" s="495">
        <f t="shared" ca="1" si="18"/>
        <v>998673.06714285724</v>
      </c>
      <c r="DK15" s="495">
        <f t="shared" si="19"/>
        <v>981530.21</v>
      </c>
      <c r="DL15" s="567">
        <v>150453</v>
      </c>
      <c r="DM15" s="568">
        <v>243465.21</v>
      </c>
      <c r="DN15" s="568">
        <v>141526</v>
      </c>
      <c r="DO15" s="568">
        <v>169200</v>
      </c>
      <c r="DP15" s="568">
        <v>195090</v>
      </c>
      <c r="DQ15" s="568">
        <v>61796</v>
      </c>
      <c r="DR15" s="568">
        <v>0</v>
      </c>
      <c r="DS15" s="568">
        <v>20000</v>
      </c>
      <c r="DT15" s="499">
        <f ca="1">+'Flujo Caja'!M23</f>
        <v>4285.7142857142853</v>
      </c>
      <c r="DU15" s="499">
        <f ca="1">+'Flujo Caja'!N23</f>
        <v>4285.7142857142853</v>
      </c>
      <c r="DV15" s="499">
        <f ca="1">+'Flujo Caja'!O23</f>
        <v>4285.7142857142853</v>
      </c>
      <c r="DW15" s="490">
        <f ca="1">+'Flujo Caja'!P23</f>
        <v>4285.7142857142853</v>
      </c>
      <c r="DX15"/>
      <c r="DY15"/>
      <c r="DZ15"/>
      <c r="EA15"/>
    </row>
    <row r="16" spans="2:131" ht="16" thickBot="1" x14ac:dyDescent="0.25">
      <c r="C16" s="222" t="str">
        <f>+'Gantt Proyectos'!D102</f>
        <v>Estudio de Factibilidad Mina Romeral UG - Acceso Mina SLS</v>
      </c>
      <c r="D16" s="312" t="str">
        <f>+'Gantt Proyectos'!E102</f>
        <v>CMP</v>
      </c>
      <c r="E16" s="313" t="str">
        <f>+'Gantt Proyectos'!F102</f>
        <v>Chile</v>
      </c>
      <c r="F16" s="315">
        <f>+'Gantt Proyectos'!L102</f>
        <v>900007.88</v>
      </c>
      <c r="G16" s="314" t="str">
        <f>+'Gantt Proyectos'!AC102</f>
        <v>FS e Ing. Basica</v>
      </c>
      <c r="H16" s="314" t="str">
        <f>+'Gantt Proyectos'!AD102</f>
        <v>Actual</v>
      </c>
      <c r="I16" s="538">
        <v>1</v>
      </c>
      <c r="J16" s="335">
        <v>1</v>
      </c>
      <c r="K16" s="312"/>
      <c r="M16" s="321">
        <v>45901</v>
      </c>
      <c r="N16" s="320">
        <f t="shared" si="8"/>
        <v>6</v>
      </c>
      <c r="O16" s="320">
        <f t="shared" si="9"/>
        <v>4</v>
      </c>
      <c r="P16" s="344">
        <f t="shared" si="10"/>
        <v>2</v>
      </c>
      <c r="Q16" s="344">
        <f t="shared" si="11"/>
        <v>7</v>
      </c>
      <c r="R16" s="344">
        <f t="shared" si="12"/>
        <v>8</v>
      </c>
      <c r="S16" s="344">
        <f t="shared" si="13"/>
        <v>12</v>
      </c>
      <c r="T16" s="344">
        <f t="shared" si="14"/>
        <v>21</v>
      </c>
      <c r="U16" s="344">
        <f t="shared" si="15"/>
        <v>13</v>
      </c>
      <c r="V16" s="344">
        <f t="shared" si="16"/>
        <v>3</v>
      </c>
      <c r="W16" s="320">
        <f t="shared" si="17"/>
        <v>5</v>
      </c>
      <c r="X16" s="327">
        <f t="shared" si="2"/>
        <v>81</v>
      </c>
      <c r="Z16" s="321">
        <v>45901</v>
      </c>
      <c r="AA16" s="416">
        <v>2</v>
      </c>
      <c r="AB16" s="416">
        <v>3</v>
      </c>
      <c r="AC16" s="526">
        <v>46</v>
      </c>
      <c r="AD16" s="417">
        <v>2</v>
      </c>
      <c r="AE16" s="417">
        <v>6</v>
      </c>
      <c r="AF16" s="417">
        <v>6</v>
      </c>
      <c r="AG16" s="417">
        <v>9</v>
      </c>
      <c r="AH16" s="417">
        <v>13</v>
      </c>
      <c r="AI16" s="417">
        <v>8</v>
      </c>
      <c r="AJ16" s="417">
        <v>2</v>
      </c>
      <c r="AK16" s="416">
        <v>4</v>
      </c>
      <c r="AL16" s="327">
        <f t="shared" si="3"/>
        <v>55</v>
      </c>
      <c r="AN16" s="321">
        <v>45901</v>
      </c>
      <c r="AO16" s="416">
        <v>1</v>
      </c>
      <c r="AP16" s="416">
        <v>1</v>
      </c>
      <c r="AQ16" s="526">
        <v>19</v>
      </c>
      <c r="AR16" s="417">
        <v>0</v>
      </c>
      <c r="AS16" s="417">
        <v>0</v>
      </c>
      <c r="AT16" s="417">
        <v>2</v>
      </c>
      <c r="AU16" s="417">
        <v>3</v>
      </c>
      <c r="AV16" s="417">
        <v>8</v>
      </c>
      <c r="AW16" s="417">
        <v>5</v>
      </c>
      <c r="AX16" s="417">
        <v>1</v>
      </c>
      <c r="AY16" s="416">
        <v>0</v>
      </c>
      <c r="AZ16" s="327">
        <f t="shared" si="4"/>
        <v>21</v>
      </c>
      <c r="BB16" s="321">
        <v>45901</v>
      </c>
      <c r="BC16" s="416">
        <v>2</v>
      </c>
      <c r="BD16" s="416">
        <v>0</v>
      </c>
      <c r="BE16" s="526">
        <v>1</v>
      </c>
      <c r="BF16" s="417">
        <v>0</v>
      </c>
      <c r="BG16" s="417">
        <v>1</v>
      </c>
      <c r="BH16" s="417">
        <v>0</v>
      </c>
      <c r="BI16" s="417">
        <v>0</v>
      </c>
      <c r="BJ16" s="417">
        <v>0</v>
      </c>
      <c r="BK16" s="417">
        <v>0</v>
      </c>
      <c r="BL16" s="417">
        <v>0</v>
      </c>
      <c r="BM16" s="416">
        <v>1</v>
      </c>
      <c r="BN16" s="327">
        <f t="shared" si="5"/>
        <v>4</v>
      </c>
      <c r="BP16" s="321">
        <v>45901</v>
      </c>
      <c r="BQ16" s="416">
        <v>1</v>
      </c>
      <c r="BR16" s="416">
        <v>0</v>
      </c>
      <c r="BS16" s="526">
        <v>0</v>
      </c>
      <c r="BT16" s="417">
        <v>0</v>
      </c>
      <c r="BU16" s="417">
        <v>0</v>
      </c>
      <c r="BV16" s="417">
        <v>0</v>
      </c>
      <c r="BW16" s="417">
        <v>0</v>
      </c>
      <c r="BX16" s="417">
        <v>0</v>
      </c>
      <c r="BY16" s="417">
        <v>0</v>
      </c>
      <c r="BZ16" s="417">
        <v>0</v>
      </c>
      <c r="CA16" s="416">
        <v>0</v>
      </c>
      <c r="CB16" s="327">
        <f t="shared" si="6"/>
        <v>1</v>
      </c>
      <c r="CD16" s="321">
        <v>45901</v>
      </c>
      <c r="CE16" s="416">
        <v>0</v>
      </c>
      <c r="CF16" s="416">
        <v>0</v>
      </c>
      <c r="CG16" s="526">
        <v>0</v>
      </c>
      <c r="CH16" s="417">
        <v>0</v>
      </c>
      <c r="CI16" s="417">
        <v>0</v>
      </c>
      <c r="CJ16" s="417">
        <v>0</v>
      </c>
      <c r="CK16" s="417">
        <v>0</v>
      </c>
      <c r="CL16" s="417">
        <v>0</v>
      </c>
      <c r="CM16" s="417">
        <v>0</v>
      </c>
      <c r="CN16" s="417">
        <v>0</v>
      </c>
      <c r="CO16" s="416">
        <v>0</v>
      </c>
      <c r="CP16" s="327">
        <f t="shared" si="7"/>
        <v>0</v>
      </c>
      <c r="CS16" s="419" t="s">
        <v>44</v>
      </c>
      <c r="CT16" s="550" t="str">
        <f>+'Listas y Parametros'!C224</f>
        <v>PERUMIN 36</v>
      </c>
      <c r="CU16" s="544">
        <f>+'Listas y Parametros'!D224</f>
        <v>15000</v>
      </c>
      <c r="CV16" s="547">
        <f>+'Listas y Parametros'!E224</f>
        <v>45777</v>
      </c>
      <c r="CW16" s="423">
        <v>1</v>
      </c>
      <c r="CX16" s="222"/>
      <c r="CY16" s="222"/>
      <c r="CZ16" s="222"/>
      <c r="DH16"/>
      <c r="DI16" s="496" t="s">
        <v>47</v>
      </c>
      <c r="DJ16" s="495">
        <f t="shared" si="18"/>
        <v>338205</v>
      </c>
      <c r="DK16" s="495">
        <f t="shared" si="19"/>
        <v>338205</v>
      </c>
      <c r="DL16" s="567">
        <v>0</v>
      </c>
      <c r="DM16" s="568">
        <v>21682</v>
      </c>
      <c r="DN16" s="568">
        <v>45478</v>
      </c>
      <c r="DO16" s="568">
        <v>0</v>
      </c>
      <c r="DP16" s="568">
        <v>0</v>
      </c>
      <c r="DQ16" s="568">
        <v>172045</v>
      </c>
      <c r="DR16" s="568">
        <v>0</v>
      </c>
      <c r="DS16" s="568">
        <v>99000</v>
      </c>
      <c r="DT16" s="499">
        <f>+'Flujo Caja'!M26</f>
        <v>0</v>
      </c>
      <c r="DU16" s="499">
        <f>+'Flujo Caja'!N26</f>
        <v>0</v>
      </c>
      <c r="DV16" s="499">
        <f>+'Flujo Caja'!O26</f>
        <v>0</v>
      </c>
      <c r="DW16" s="490">
        <f>+'Flujo Caja'!P26</f>
        <v>0</v>
      </c>
      <c r="DX16"/>
      <c r="DY16"/>
      <c r="DZ16"/>
      <c r="EA16"/>
    </row>
    <row r="17" spans="3:131" ht="16" thickBot="1" x14ac:dyDescent="0.25">
      <c r="C17" s="222" t="str">
        <f>+'Gantt Proyectos'!D103</f>
        <v>Cobre Panamá: Evaluación estratégica del activo</v>
      </c>
      <c r="D17" s="312" t="str">
        <f>+'Gantt Proyectos'!E103</f>
        <v>Debevoise&amp;Plimpton</v>
      </c>
      <c r="E17" s="313" t="str">
        <f>+'Gantt Proyectos'!F103</f>
        <v>Chile</v>
      </c>
      <c r="F17" s="315">
        <f>+'Gantt Proyectos'!L103</f>
        <v>272200.59999999998</v>
      </c>
      <c r="G17" s="314" t="str">
        <f>+'Gantt Proyectos'!AC103</f>
        <v>Estudio Conceptual / LOM</v>
      </c>
      <c r="H17" s="314" t="str">
        <f>+'Gantt Proyectos'!AD103</f>
        <v>Actual</v>
      </c>
      <c r="I17" s="538">
        <v>1</v>
      </c>
      <c r="J17" s="335">
        <v>1</v>
      </c>
      <c r="K17" s="312"/>
      <c r="M17" s="321">
        <v>45931</v>
      </c>
      <c r="N17" s="320">
        <f t="shared" si="8"/>
        <v>6</v>
      </c>
      <c r="O17" s="320">
        <f t="shared" si="9"/>
        <v>4</v>
      </c>
      <c r="P17" s="320">
        <f t="shared" si="10"/>
        <v>2</v>
      </c>
      <c r="Q17" s="320">
        <f t="shared" si="11"/>
        <v>7</v>
      </c>
      <c r="R17" s="320">
        <f t="shared" si="12"/>
        <v>8</v>
      </c>
      <c r="S17" s="320">
        <f t="shared" si="13"/>
        <v>12</v>
      </c>
      <c r="T17" s="320">
        <f t="shared" si="14"/>
        <v>21</v>
      </c>
      <c r="U17" s="320">
        <f t="shared" si="15"/>
        <v>13</v>
      </c>
      <c r="V17" s="320">
        <f t="shared" si="16"/>
        <v>3</v>
      </c>
      <c r="W17" s="320">
        <f t="shared" si="17"/>
        <v>5</v>
      </c>
      <c r="X17" s="327">
        <f t="shared" si="2"/>
        <v>81</v>
      </c>
      <c r="Z17" s="321">
        <v>45931</v>
      </c>
      <c r="AA17" s="416">
        <v>2</v>
      </c>
      <c r="AB17" s="416">
        <v>3</v>
      </c>
      <c r="AC17" s="526">
        <v>46</v>
      </c>
      <c r="AD17" s="416">
        <v>2</v>
      </c>
      <c r="AE17" s="416">
        <v>6</v>
      </c>
      <c r="AF17" s="416">
        <v>6</v>
      </c>
      <c r="AG17" s="416">
        <v>9</v>
      </c>
      <c r="AH17" s="416">
        <v>13</v>
      </c>
      <c r="AI17" s="416">
        <v>8</v>
      </c>
      <c r="AJ17" s="416">
        <v>2</v>
      </c>
      <c r="AK17" s="416">
        <v>4</v>
      </c>
      <c r="AL17" s="327">
        <f t="shared" si="3"/>
        <v>55</v>
      </c>
      <c r="AN17" s="321">
        <v>45931</v>
      </c>
      <c r="AO17" s="416">
        <v>1</v>
      </c>
      <c r="AP17" s="416">
        <v>1</v>
      </c>
      <c r="AQ17" s="526">
        <v>19</v>
      </c>
      <c r="AR17" s="416">
        <v>0</v>
      </c>
      <c r="AS17" s="416">
        <v>0</v>
      </c>
      <c r="AT17" s="416">
        <v>2</v>
      </c>
      <c r="AU17" s="416">
        <v>3</v>
      </c>
      <c r="AV17" s="416">
        <v>8</v>
      </c>
      <c r="AW17" s="416">
        <v>5</v>
      </c>
      <c r="AX17" s="416">
        <v>1</v>
      </c>
      <c r="AY17" s="416">
        <v>0</v>
      </c>
      <c r="AZ17" s="327">
        <f t="shared" si="4"/>
        <v>21</v>
      </c>
      <c r="BB17" s="321">
        <v>45931</v>
      </c>
      <c r="BC17" s="416">
        <v>2</v>
      </c>
      <c r="BD17" s="416">
        <v>0</v>
      </c>
      <c r="BE17" s="526">
        <v>1</v>
      </c>
      <c r="BF17" s="416">
        <v>0</v>
      </c>
      <c r="BG17" s="416">
        <v>1</v>
      </c>
      <c r="BH17" s="416">
        <v>0</v>
      </c>
      <c r="BI17" s="416">
        <v>0</v>
      </c>
      <c r="BJ17" s="416">
        <v>0</v>
      </c>
      <c r="BK17" s="416">
        <v>0</v>
      </c>
      <c r="BL17" s="416">
        <v>0</v>
      </c>
      <c r="BM17" s="416">
        <v>1</v>
      </c>
      <c r="BN17" s="327">
        <f t="shared" si="5"/>
        <v>4</v>
      </c>
      <c r="BP17" s="321">
        <v>45931</v>
      </c>
      <c r="BQ17" s="416">
        <v>1</v>
      </c>
      <c r="BR17" s="416">
        <v>0</v>
      </c>
      <c r="BS17" s="526">
        <v>0</v>
      </c>
      <c r="BT17" s="416">
        <v>0</v>
      </c>
      <c r="BU17" s="416">
        <v>0</v>
      </c>
      <c r="BV17" s="416">
        <v>0</v>
      </c>
      <c r="BW17" s="416">
        <v>0</v>
      </c>
      <c r="BX17" s="416">
        <v>0</v>
      </c>
      <c r="BY17" s="416">
        <v>0</v>
      </c>
      <c r="BZ17" s="416">
        <v>0</v>
      </c>
      <c r="CA17" s="416">
        <v>0</v>
      </c>
      <c r="CB17" s="327">
        <f t="shared" si="6"/>
        <v>1</v>
      </c>
      <c r="CD17" s="321">
        <v>45931</v>
      </c>
      <c r="CE17" s="416">
        <v>0</v>
      </c>
      <c r="CF17" s="416">
        <v>0</v>
      </c>
      <c r="CG17" s="526">
        <v>0</v>
      </c>
      <c r="CH17" s="416">
        <v>0</v>
      </c>
      <c r="CI17" s="416">
        <v>0</v>
      </c>
      <c r="CJ17" s="416">
        <v>0</v>
      </c>
      <c r="CK17" s="416">
        <v>0</v>
      </c>
      <c r="CL17" s="416">
        <v>0</v>
      </c>
      <c r="CM17" s="416">
        <v>0</v>
      </c>
      <c r="CN17" s="416">
        <v>0</v>
      </c>
      <c r="CO17" s="416">
        <v>0</v>
      </c>
      <c r="CP17" s="327">
        <f t="shared" si="7"/>
        <v>0</v>
      </c>
      <c r="CS17" s="419"/>
      <c r="CT17" s="550">
        <f>+'Listas y Parametros'!C225</f>
        <v>0</v>
      </c>
      <c r="CU17" s="544">
        <f>+'Listas y Parametros'!D225</f>
        <v>0</v>
      </c>
      <c r="CV17" s="547">
        <f>+'Listas y Parametros'!E225</f>
        <v>0</v>
      </c>
      <c r="CW17" s="423">
        <v>1</v>
      </c>
      <c r="CX17" s="222"/>
      <c r="CY17" s="222"/>
      <c r="CZ17" s="222"/>
      <c r="DH17"/>
      <c r="DI17" s="497" t="s">
        <v>32</v>
      </c>
      <c r="DJ17" s="498">
        <f ca="1">+SUM(DL17:DW17)</f>
        <v>9528704.0680330358</v>
      </c>
      <c r="DK17" s="498">
        <f>+SUM(DK12:DK16)</f>
        <v>6465953.0211587986</v>
      </c>
      <c r="DL17" s="491">
        <f t="shared" ref="DL17:DW17" si="20">+SUM(DL12:DL16)</f>
        <v>717165.73390557943</v>
      </c>
      <c r="DM17" s="492">
        <f t="shared" si="20"/>
        <v>934594.82909871242</v>
      </c>
      <c r="DN17" s="492">
        <f t="shared" si="20"/>
        <v>783696.25965665234</v>
      </c>
      <c r="DO17" s="492">
        <f t="shared" si="20"/>
        <v>624290.96566523612</v>
      </c>
      <c r="DP17" s="492">
        <f t="shared" si="20"/>
        <v>687704.59442060092</v>
      </c>
      <c r="DQ17" s="492">
        <f t="shared" si="20"/>
        <v>807316.07296137337</v>
      </c>
      <c r="DR17" s="492">
        <f t="shared" si="20"/>
        <v>842403.74678111589</v>
      </c>
      <c r="DS17" s="492">
        <f t="shared" si="20"/>
        <v>1068780.8186695278</v>
      </c>
      <c r="DT17" s="492">
        <f t="shared" ca="1" si="20"/>
        <v>924933.38969474984</v>
      </c>
      <c r="DU17" s="492">
        <f t="shared" ca="1" si="20"/>
        <v>910715.4730280831</v>
      </c>
      <c r="DV17" s="492">
        <f t="shared" ca="1" si="20"/>
        <v>661009.42540903552</v>
      </c>
      <c r="DW17" s="493">
        <f t="shared" ca="1" si="20"/>
        <v>566092.75874236878</v>
      </c>
      <c r="DX17"/>
      <c r="DY17"/>
      <c r="DZ17"/>
      <c r="EA17"/>
    </row>
    <row r="18" spans="3:131" ht="16" thickBot="1" x14ac:dyDescent="0.25">
      <c r="C18" s="222" t="str">
        <f>+'Gantt Proyectos'!D104</f>
        <v>Ferrobamba Scoping Study: Escenarios de sensibilidad</v>
      </c>
      <c r="D18" s="312" t="str">
        <f>+'Gantt Proyectos'!E104</f>
        <v>Las Bambas</v>
      </c>
      <c r="E18" s="313" t="str">
        <f>+'Gantt Proyectos'!F104</f>
        <v>Perú</v>
      </c>
      <c r="F18" s="315">
        <f>+'Gantt Proyectos'!L104</f>
        <v>87520</v>
      </c>
      <c r="G18" s="314" t="str">
        <f>+'Gantt Proyectos'!AC104</f>
        <v>Estudio Conceptual / LOM</v>
      </c>
      <c r="H18" s="314" t="str">
        <f>+'Gantt Proyectos'!AD104</f>
        <v>Actual</v>
      </c>
      <c r="I18" s="538">
        <v>1</v>
      </c>
      <c r="J18" s="335">
        <v>1</v>
      </c>
      <c r="K18" s="312"/>
      <c r="M18" s="321">
        <v>45962</v>
      </c>
      <c r="N18" s="320">
        <f t="shared" si="8"/>
        <v>6</v>
      </c>
      <c r="O18" s="320">
        <f t="shared" si="9"/>
        <v>4</v>
      </c>
      <c r="P18" s="320">
        <f t="shared" si="10"/>
        <v>2</v>
      </c>
      <c r="Q18" s="320">
        <f t="shared" si="11"/>
        <v>7</v>
      </c>
      <c r="R18" s="320">
        <f t="shared" si="12"/>
        <v>8</v>
      </c>
      <c r="S18" s="320">
        <f t="shared" si="13"/>
        <v>12</v>
      </c>
      <c r="T18" s="320">
        <f t="shared" si="14"/>
        <v>21</v>
      </c>
      <c r="U18" s="320">
        <f t="shared" si="15"/>
        <v>13</v>
      </c>
      <c r="V18" s="320">
        <f t="shared" si="16"/>
        <v>3</v>
      </c>
      <c r="W18" s="320">
        <f t="shared" si="17"/>
        <v>5</v>
      </c>
      <c r="X18" s="327">
        <f t="shared" si="2"/>
        <v>81</v>
      </c>
      <c r="Z18" s="321">
        <v>45962</v>
      </c>
      <c r="AA18" s="416">
        <v>2</v>
      </c>
      <c r="AB18" s="416">
        <v>3</v>
      </c>
      <c r="AC18" s="526">
        <v>46</v>
      </c>
      <c r="AD18" s="416">
        <v>2</v>
      </c>
      <c r="AE18" s="416">
        <v>6</v>
      </c>
      <c r="AF18" s="416">
        <v>6</v>
      </c>
      <c r="AG18" s="416">
        <v>9</v>
      </c>
      <c r="AH18" s="416">
        <v>13</v>
      </c>
      <c r="AI18" s="416">
        <v>8</v>
      </c>
      <c r="AJ18" s="416">
        <v>2</v>
      </c>
      <c r="AK18" s="416">
        <v>4</v>
      </c>
      <c r="AL18" s="327">
        <f t="shared" si="3"/>
        <v>55</v>
      </c>
      <c r="AN18" s="321">
        <v>45962</v>
      </c>
      <c r="AO18" s="416">
        <v>1</v>
      </c>
      <c r="AP18" s="416">
        <v>1</v>
      </c>
      <c r="AQ18" s="526">
        <v>19</v>
      </c>
      <c r="AR18" s="416">
        <v>0</v>
      </c>
      <c r="AS18" s="416">
        <v>0</v>
      </c>
      <c r="AT18" s="416">
        <v>2</v>
      </c>
      <c r="AU18" s="416">
        <v>3</v>
      </c>
      <c r="AV18" s="416">
        <v>8</v>
      </c>
      <c r="AW18" s="416">
        <v>5</v>
      </c>
      <c r="AX18" s="416">
        <v>1</v>
      </c>
      <c r="AY18" s="416">
        <v>0</v>
      </c>
      <c r="AZ18" s="327">
        <f t="shared" si="4"/>
        <v>21</v>
      </c>
      <c r="BB18" s="321">
        <v>45962</v>
      </c>
      <c r="BC18" s="416">
        <v>2</v>
      </c>
      <c r="BD18" s="416">
        <v>0</v>
      </c>
      <c r="BE18" s="526">
        <v>1</v>
      </c>
      <c r="BF18" s="416">
        <v>0</v>
      </c>
      <c r="BG18" s="416">
        <v>1</v>
      </c>
      <c r="BH18" s="416">
        <v>0</v>
      </c>
      <c r="BI18" s="416">
        <v>0</v>
      </c>
      <c r="BJ18" s="416">
        <v>0</v>
      </c>
      <c r="BK18" s="416">
        <v>0</v>
      </c>
      <c r="BL18" s="416">
        <v>0</v>
      </c>
      <c r="BM18" s="416">
        <v>1</v>
      </c>
      <c r="BN18" s="327">
        <f t="shared" si="5"/>
        <v>4</v>
      </c>
      <c r="BP18" s="321">
        <v>45962</v>
      </c>
      <c r="BQ18" s="416">
        <v>1</v>
      </c>
      <c r="BR18" s="416">
        <v>0</v>
      </c>
      <c r="BS18" s="526">
        <v>0</v>
      </c>
      <c r="BT18" s="416">
        <v>0</v>
      </c>
      <c r="BU18" s="416">
        <v>0</v>
      </c>
      <c r="BV18" s="416">
        <v>0</v>
      </c>
      <c r="BW18" s="416">
        <v>0</v>
      </c>
      <c r="BX18" s="416">
        <v>0</v>
      </c>
      <c r="BY18" s="416">
        <v>0</v>
      </c>
      <c r="BZ18" s="416">
        <v>0</v>
      </c>
      <c r="CA18" s="416">
        <v>0</v>
      </c>
      <c r="CB18" s="327">
        <f t="shared" si="6"/>
        <v>1</v>
      </c>
      <c r="CD18" s="321">
        <v>45962</v>
      </c>
      <c r="CE18" s="416">
        <v>0</v>
      </c>
      <c r="CF18" s="416">
        <v>0</v>
      </c>
      <c r="CG18" s="526">
        <v>0</v>
      </c>
      <c r="CH18" s="416">
        <v>0</v>
      </c>
      <c r="CI18" s="416">
        <v>0</v>
      </c>
      <c r="CJ18" s="416">
        <v>0</v>
      </c>
      <c r="CK18" s="416">
        <v>0</v>
      </c>
      <c r="CL18" s="416">
        <v>0</v>
      </c>
      <c r="CM18" s="416">
        <v>0</v>
      </c>
      <c r="CN18" s="416">
        <v>0</v>
      </c>
      <c r="CO18" s="416">
        <v>0</v>
      </c>
      <c r="CP18" s="327">
        <f t="shared" si="7"/>
        <v>0</v>
      </c>
      <c r="CS18" s="419"/>
      <c r="CT18" s="550">
        <f>+'Listas y Parametros'!C226</f>
        <v>0</v>
      </c>
      <c r="CU18" s="544">
        <f>+'Listas y Parametros'!D226</f>
        <v>0</v>
      </c>
      <c r="CV18" s="547">
        <f>+'Listas y Parametros'!E226</f>
        <v>0</v>
      </c>
      <c r="CW18" s="423">
        <v>1</v>
      </c>
      <c r="CX18" s="222"/>
      <c r="CY18" s="222"/>
      <c r="CZ18" s="222"/>
      <c r="DH18"/>
      <c r="DI18" s="234"/>
      <c r="DJ18" s="234"/>
      <c r="DK18" s="234"/>
      <c r="DL18" s="234"/>
      <c r="DM18" s="234"/>
      <c r="DN18" s="234"/>
      <c r="DO18" s="234"/>
      <c r="DP18" s="234"/>
      <c r="DQ18" s="234"/>
      <c r="DR18" s="234"/>
      <c r="DS18" s="234"/>
      <c r="DT18"/>
      <c r="DU18"/>
      <c r="DV18"/>
      <c r="DW18"/>
    </row>
    <row r="19" spans="3:131" ht="16" thickBot="1" x14ac:dyDescent="0.25">
      <c r="C19" s="222" t="str">
        <f>+'Gantt Proyectos'!D105</f>
        <v>Pre-PFS Twin Metals Birch Lake - Maturi</v>
      </c>
      <c r="D19" s="312" t="str">
        <f>+'Gantt Proyectos'!E105</f>
        <v>Twin Metals</v>
      </c>
      <c r="E19" s="313" t="str">
        <f>+'Gantt Proyectos'!F105</f>
        <v>USA</v>
      </c>
      <c r="F19" s="315">
        <f>+'Gantt Proyectos'!L105</f>
        <v>481541</v>
      </c>
      <c r="G19" s="314" t="str">
        <f>+'Gantt Proyectos'!AC105</f>
        <v>PFS</v>
      </c>
      <c r="H19" s="314" t="str">
        <f>+'Gantt Proyectos'!AD105</f>
        <v>Actual</v>
      </c>
      <c r="I19" s="538">
        <v>1</v>
      </c>
      <c r="J19" s="335">
        <v>1</v>
      </c>
      <c r="K19" s="312"/>
      <c r="M19" s="321">
        <v>45992</v>
      </c>
      <c r="N19" s="320">
        <f t="shared" si="8"/>
        <v>6</v>
      </c>
      <c r="O19" s="320">
        <f t="shared" si="9"/>
        <v>4</v>
      </c>
      <c r="P19" s="320">
        <f t="shared" si="10"/>
        <v>2</v>
      </c>
      <c r="Q19" s="320">
        <f t="shared" si="11"/>
        <v>7</v>
      </c>
      <c r="R19" s="320">
        <f t="shared" si="12"/>
        <v>8</v>
      </c>
      <c r="S19" s="320">
        <f t="shared" si="13"/>
        <v>12</v>
      </c>
      <c r="T19" s="320">
        <f t="shared" si="14"/>
        <v>21</v>
      </c>
      <c r="U19" s="320">
        <f t="shared" si="15"/>
        <v>13</v>
      </c>
      <c r="V19" s="320">
        <f t="shared" si="16"/>
        <v>3</v>
      </c>
      <c r="W19" s="320">
        <f t="shared" si="17"/>
        <v>5</v>
      </c>
      <c r="X19" s="327">
        <f t="shared" si="2"/>
        <v>81</v>
      </c>
      <c r="Z19" s="321">
        <v>45992</v>
      </c>
      <c r="AA19" s="416">
        <v>2</v>
      </c>
      <c r="AB19" s="416">
        <v>3</v>
      </c>
      <c r="AC19" s="526">
        <v>46</v>
      </c>
      <c r="AD19" s="416">
        <v>2</v>
      </c>
      <c r="AE19" s="416">
        <v>6</v>
      </c>
      <c r="AF19" s="416">
        <v>6</v>
      </c>
      <c r="AG19" s="416">
        <v>9</v>
      </c>
      <c r="AH19" s="416">
        <v>13</v>
      </c>
      <c r="AI19" s="416">
        <v>8</v>
      </c>
      <c r="AJ19" s="416">
        <v>2</v>
      </c>
      <c r="AK19" s="416">
        <v>4</v>
      </c>
      <c r="AL19" s="327">
        <f t="shared" si="3"/>
        <v>55</v>
      </c>
      <c r="AN19" s="321">
        <v>45992</v>
      </c>
      <c r="AO19" s="416">
        <v>1</v>
      </c>
      <c r="AP19" s="416">
        <v>1</v>
      </c>
      <c r="AQ19" s="526">
        <v>19</v>
      </c>
      <c r="AR19" s="416">
        <v>0</v>
      </c>
      <c r="AS19" s="416">
        <v>0</v>
      </c>
      <c r="AT19" s="416">
        <v>2</v>
      </c>
      <c r="AU19" s="416">
        <v>3</v>
      </c>
      <c r="AV19" s="416">
        <v>8</v>
      </c>
      <c r="AW19" s="416">
        <v>5</v>
      </c>
      <c r="AX19" s="416">
        <v>1</v>
      </c>
      <c r="AY19" s="416">
        <v>0</v>
      </c>
      <c r="AZ19" s="327">
        <f t="shared" si="4"/>
        <v>21</v>
      </c>
      <c r="BB19" s="321">
        <v>45992</v>
      </c>
      <c r="BC19" s="416">
        <v>2</v>
      </c>
      <c r="BD19" s="416">
        <v>0</v>
      </c>
      <c r="BE19" s="526">
        <v>1</v>
      </c>
      <c r="BF19" s="416">
        <v>0</v>
      </c>
      <c r="BG19" s="416">
        <v>1</v>
      </c>
      <c r="BH19" s="416">
        <v>0</v>
      </c>
      <c r="BI19" s="416">
        <v>0</v>
      </c>
      <c r="BJ19" s="416">
        <v>0</v>
      </c>
      <c r="BK19" s="416">
        <v>0</v>
      </c>
      <c r="BL19" s="416">
        <v>0</v>
      </c>
      <c r="BM19" s="416">
        <v>1</v>
      </c>
      <c r="BN19" s="327">
        <f t="shared" si="5"/>
        <v>4</v>
      </c>
      <c r="BP19" s="321">
        <v>45992</v>
      </c>
      <c r="BQ19" s="416">
        <v>1</v>
      </c>
      <c r="BR19" s="416">
        <v>0</v>
      </c>
      <c r="BS19" s="526">
        <v>0</v>
      </c>
      <c r="BT19" s="416">
        <v>0</v>
      </c>
      <c r="BU19" s="416">
        <v>0</v>
      </c>
      <c r="BV19" s="416">
        <v>0</v>
      </c>
      <c r="BW19" s="416">
        <v>0</v>
      </c>
      <c r="BX19" s="416">
        <v>0</v>
      </c>
      <c r="BY19" s="416">
        <v>0</v>
      </c>
      <c r="BZ19" s="416">
        <v>0</v>
      </c>
      <c r="CA19" s="416">
        <v>0</v>
      </c>
      <c r="CB19" s="327">
        <f t="shared" si="6"/>
        <v>1</v>
      </c>
      <c r="CD19" s="321">
        <v>45992</v>
      </c>
      <c r="CE19" s="416">
        <v>0</v>
      </c>
      <c r="CF19" s="416">
        <v>0</v>
      </c>
      <c r="CG19" s="526">
        <v>0</v>
      </c>
      <c r="CH19" s="416">
        <v>0</v>
      </c>
      <c r="CI19" s="416">
        <v>0</v>
      </c>
      <c r="CJ19" s="416">
        <v>0</v>
      </c>
      <c r="CK19" s="416">
        <v>0</v>
      </c>
      <c r="CL19" s="416">
        <v>0</v>
      </c>
      <c r="CM19" s="416">
        <v>0</v>
      </c>
      <c r="CN19" s="416">
        <v>0</v>
      </c>
      <c r="CO19" s="416">
        <v>0</v>
      </c>
      <c r="CP19" s="327">
        <f t="shared" si="7"/>
        <v>0</v>
      </c>
      <c r="CS19" s="420"/>
      <c r="CT19" s="551">
        <f>+'Listas y Parametros'!C227</f>
        <v>0</v>
      </c>
      <c r="CU19" s="545">
        <f>+'Listas y Parametros'!D227</f>
        <v>0</v>
      </c>
      <c r="CV19" s="548">
        <f>+'Listas y Parametros'!E227</f>
        <v>0</v>
      </c>
      <c r="CW19" s="424">
        <v>1</v>
      </c>
      <c r="CX19" s="222"/>
      <c r="CY19" s="222"/>
      <c r="CZ19" s="222"/>
      <c r="DH19"/>
      <c r="DI19" s="484" t="s">
        <v>48</v>
      </c>
      <c r="DJ19" s="485" t="s">
        <v>32</v>
      </c>
      <c r="DK19" s="485" t="s">
        <v>43</v>
      </c>
      <c r="DL19" s="485">
        <v>45687</v>
      </c>
      <c r="DM19" s="486">
        <v>45716</v>
      </c>
      <c r="DN19" s="486">
        <v>45746</v>
      </c>
      <c r="DO19" s="486">
        <v>45777</v>
      </c>
      <c r="DP19" s="486">
        <v>45807</v>
      </c>
      <c r="DQ19" s="486">
        <v>45838</v>
      </c>
      <c r="DR19" s="486">
        <v>45868</v>
      </c>
      <c r="DS19" s="486">
        <v>45899</v>
      </c>
      <c r="DT19" s="486">
        <v>45930</v>
      </c>
      <c r="DU19" s="486">
        <v>45960</v>
      </c>
      <c r="DV19" s="486">
        <v>45991</v>
      </c>
      <c r="DW19" s="487">
        <v>46021</v>
      </c>
      <c r="DX19"/>
      <c r="DY19"/>
      <c r="DZ19"/>
      <c r="EA19"/>
    </row>
    <row r="20" spans="3:131" x14ac:dyDescent="0.2">
      <c r="C20" s="222" t="str">
        <f>+'Gantt Proyectos'!D106</f>
        <v>Análisis Conceptual - Aura UG</v>
      </c>
      <c r="D20" s="312" t="str">
        <f>+'Gantt Proyectos'!E106</f>
        <v>Aura Minerals</v>
      </c>
      <c r="E20" s="313" t="str">
        <f>+'Gantt Proyectos'!F106</f>
        <v>Brasil</v>
      </c>
      <c r="F20" s="315">
        <f>+'Gantt Proyectos'!L106</f>
        <v>310000</v>
      </c>
      <c r="G20" s="314" t="str">
        <f>+'Gantt Proyectos'!AC106</f>
        <v>Scoping</v>
      </c>
      <c r="H20" s="314" t="str">
        <f>+'Gantt Proyectos'!AD106</f>
        <v>Actual</v>
      </c>
      <c r="I20" s="538">
        <v>1</v>
      </c>
      <c r="J20" s="335">
        <v>1</v>
      </c>
      <c r="K20" s="312"/>
      <c r="CS20" s="419" t="s">
        <v>45</v>
      </c>
      <c r="CT20" s="550" t="str">
        <f>+'Listas y Parametros'!C228</f>
        <v>Exposibram 2025</v>
      </c>
      <c r="CU20" s="544">
        <f>+'Listas y Parametros'!D228</f>
        <v>20000</v>
      </c>
      <c r="CV20" s="547">
        <f>+'Listas y Parametros'!E228</f>
        <v>45868</v>
      </c>
      <c r="CW20" s="423">
        <v>1</v>
      </c>
      <c r="CX20" s="222"/>
      <c r="CY20" s="222"/>
      <c r="CZ20" s="222"/>
      <c r="DH20"/>
      <c r="DI20" s="494" t="s">
        <v>41</v>
      </c>
      <c r="DJ20" s="495">
        <f>+SUM(DL20:DW20)</f>
        <v>4602714.387055601</v>
      </c>
      <c r="DK20" s="495">
        <f>+SUM(DL20:DS20)</f>
        <v>3161800.1791845495</v>
      </c>
      <c r="DL20" s="567">
        <v>397276.64806866954</v>
      </c>
      <c r="DM20" s="568">
        <v>422126.63733905583</v>
      </c>
      <c r="DN20" s="568">
        <v>439899.17918454931</v>
      </c>
      <c r="DO20" s="568">
        <v>341507.34656652366</v>
      </c>
      <c r="DP20" s="568">
        <v>340134.80364806869</v>
      </c>
      <c r="DQ20" s="568">
        <v>399879.47317596572</v>
      </c>
      <c r="DR20" s="568">
        <v>395727.1856223176</v>
      </c>
      <c r="DS20" s="568">
        <v>425248.90557939908</v>
      </c>
      <c r="DT20" s="499">
        <f>+'Flujo Caja'!M15</f>
        <v>378739.91560412647</v>
      </c>
      <c r="DU20" s="499">
        <f>+'Flujo Caja'!N15</f>
        <v>359012.6428768537</v>
      </c>
      <c r="DV20" s="499">
        <f>+'Flujo Caja'!O15</f>
        <v>345012.6428768537</v>
      </c>
      <c r="DW20" s="490">
        <f>+'Flujo Caja'!P15</f>
        <v>358149.00651321735</v>
      </c>
      <c r="DX20"/>
      <c r="DY20"/>
      <c r="DZ20"/>
      <c r="EA20"/>
    </row>
    <row r="21" spans="3:131" x14ac:dyDescent="0.2">
      <c r="C21" s="222" t="str">
        <f>+'Gantt Proyectos'!D107</f>
        <v>Los Calatos - Extensión (v3)</v>
      </c>
      <c r="D21" s="312" t="str">
        <f>+'Gantt Proyectos'!E107</f>
        <v>CD Capital</v>
      </c>
      <c r="E21" s="313" t="str">
        <f>+'Gantt Proyectos'!F107</f>
        <v>Perú</v>
      </c>
      <c r="F21" s="315">
        <f>+'Gantt Proyectos'!L107</f>
        <v>295769</v>
      </c>
      <c r="G21" s="314" t="str">
        <f>+'Gantt Proyectos'!AC107</f>
        <v>PFS</v>
      </c>
      <c r="H21" s="314" t="str">
        <f>+'Gantt Proyectos'!AD107</f>
        <v>Actual</v>
      </c>
      <c r="I21" s="538">
        <v>1</v>
      </c>
      <c r="J21" s="335">
        <v>1</v>
      </c>
      <c r="K21" s="312"/>
      <c r="CS21" s="419"/>
      <c r="CT21" s="550" t="str">
        <f>+'Listas y Parametros'!C229</f>
        <v>Congresso de Mineração Subterrânea</v>
      </c>
      <c r="CU21" s="544">
        <f>+'Listas y Parametros'!D229</f>
        <v>5000</v>
      </c>
      <c r="CV21" s="547">
        <f>+'Listas y Parametros'!E229</f>
        <v>45868</v>
      </c>
      <c r="CW21" s="423">
        <v>1</v>
      </c>
      <c r="CX21" s="222"/>
      <c r="CY21" s="222"/>
      <c r="CZ21" s="222"/>
      <c r="DH21"/>
      <c r="DI21" s="494" t="s">
        <v>44</v>
      </c>
      <c r="DJ21" s="495">
        <f t="shared" ref="DJ21:DJ24" si="21">+SUM(DL21:DW21)</f>
        <v>1293266.424285714</v>
      </c>
      <c r="DK21" s="495">
        <f t="shared" ref="DK21:DK24" si="22">+SUM(DL21:DS21)</f>
        <v>1085106.1499999999</v>
      </c>
      <c r="DL21" s="567">
        <v>89462.85</v>
      </c>
      <c r="DM21" s="568">
        <v>81597</v>
      </c>
      <c r="DN21" s="621">
        <v>92755</v>
      </c>
      <c r="DO21" s="621">
        <v>137672.29999999999</v>
      </c>
      <c r="DP21" s="568">
        <v>128924</v>
      </c>
      <c r="DQ21" s="568">
        <v>153584</v>
      </c>
      <c r="DR21" s="568">
        <v>189124</v>
      </c>
      <c r="DS21" s="568">
        <v>211987</v>
      </c>
      <c r="DT21" s="499">
        <f>+'Flujo Caja'!M18</f>
        <v>52040.068571428579</v>
      </c>
      <c r="DU21" s="499">
        <f>+'Flujo Caja'!N18</f>
        <v>52040.068571428579</v>
      </c>
      <c r="DV21" s="499">
        <f>+'Flujo Caja'!O18</f>
        <v>52040.068571428579</v>
      </c>
      <c r="DW21" s="490">
        <f>+'Flujo Caja'!P18</f>
        <v>52040.068571428579</v>
      </c>
      <c r="DX21"/>
      <c r="DY21"/>
      <c r="DZ21"/>
      <c r="EA21"/>
    </row>
    <row r="22" spans="3:131" x14ac:dyDescent="0.2">
      <c r="C22" s="222" t="str">
        <f>+'Gantt Proyectos'!D108</f>
        <v>Analisis Innovación Tecnologica Distrito Centinela</v>
      </c>
      <c r="D22" s="312" t="str">
        <f>+'Gantt Proyectos'!E108</f>
        <v>AMSA</v>
      </c>
      <c r="E22" s="313" t="str">
        <f>+'Gantt Proyectos'!F108</f>
        <v>Chile</v>
      </c>
      <c r="F22" s="315">
        <f>+'Gantt Proyectos'!L108</f>
        <v>134445.66999999998</v>
      </c>
      <c r="G22" s="314" t="str">
        <f>+'Gantt Proyectos'!AC108</f>
        <v>Scoping</v>
      </c>
      <c r="H22" s="314" t="str">
        <f>+'Gantt Proyectos'!AD108</f>
        <v>Actual</v>
      </c>
      <c r="I22" s="538">
        <v>1</v>
      </c>
      <c r="J22" s="335">
        <v>1</v>
      </c>
      <c r="K22" s="312"/>
      <c r="CS22" s="419"/>
      <c r="CT22" s="550">
        <f>+'Listas y Parametros'!C230</f>
        <v>0</v>
      </c>
      <c r="CU22" s="544">
        <f>+'Listas y Parametros'!D230</f>
        <v>0</v>
      </c>
      <c r="CV22" s="547">
        <f>+'Listas y Parametros'!E230</f>
        <v>0</v>
      </c>
      <c r="CW22" s="423">
        <v>1</v>
      </c>
      <c r="CX22" s="222"/>
      <c r="CY22" s="222"/>
      <c r="CZ22" s="222"/>
      <c r="DH22"/>
      <c r="DI22" s="494" t="s">
        <v>45</v>
      </c>
      <c r="DJ22" s="495">
        <f t="shared" si="21"/>
        <v>566395.52121212124</v>
      </c>
      <c r="DK22" s="495">
        <f t="shared" si="22"/>
        <v>289373.40000000002</v>
      </c>
      <c r="DL22" s="567">
        <v>21023</v>
      </c>
      <c r="DM22" s="568">
        <v>27812</v>
      </c>
      <c r="DN22" s="568">
        <v>26425</v>
      </c>
      <c r="DO22" s="568">
        <v>52004.4</v>
      </c>
      <c r="DP22" s="568">
        <v>33329</v>
      </c>
      <c r="DQ22" s="568">
        <v>76286</v>
      </c>
      <c r="DR22" s="568">
        <v>31019</v>
      </c>
      <c r="DS22" s="568">
        <v>21475</v>
      </c>
      <c r="DT22" s="499">
        <f>+'Flujo Caja'!M21</f>
        <v>85164.621212121216</v>
      </c>
      <c r="DU22" s="499">
        <f>+'Flujo Caja'!N21</f>
        <v>71437.34848484848</v>
      </c>
      <c r="DV22" s="499">
        <f>+'Flujo Caja'!O21</f>
        <v>64573.71212121212</v>
      </c>
      <c r="DW22" s="490">
        <f>+'Flujo Caja'!P21</f>
        <v>55846.439393939392</v>
      </c>
      <c r="DX22"/>
      <c r="DY22"/>
      <c r="DZ22"/>
      <c r="EA22"/>
    </row>
    <row r="23" spans="3:131" ht="16" thickBot="1" x14ac:dyDescent="0.25">
      <c r="C23" s="222" t="str">
        <f>+'Gantt Proyectos'!D109</f>
        <v>Cerro Colorado: Diseño Cierre de Botaderos</v>
      </c>
      <c r="D23" s="312" t="str">
        <f>+'Gantt Proyectos'!E109</f>
        <v>BHP</v>
      </c>
      <c r="E23" s="313" t="str">
        <f>+'Gantt Proyectos'!F109</f>
        <v>Chile</v>
      </c>
      <c r="F23" s="315">
        <f>+'Gantt Proyectos'!L109</f>
        <v>904853</v>
      </c>
      <c r="G23" s="314" t="str">
        <f>+'Gantt Proyectos'!AC109</f>
        <v>FS e Ing. Basica</v>
      </c>
      <c r="H23" s="314" t="str">
        <f>+'Gantt Proyectos'!AD109</f>
        <v>Actual</v>
      </c>
      <c r="I23" s="538">
        <v>1</v>
      </c>
      <c r="J23" s="335">
        <v>1</v>
      </c>
      <c r="K23" s="312"/>
      <c r="CS23" s="420"/>
      <c r="CT23" s="551">
        <f>+'Listas y Parametros'!C231</f>
        <v>0</v>
      </c>
      <c r="CU23" s="545">
        <f>+'Listas y Parametros'!D231</f>
        <v>0</v>
      </c>
      <c r="CV23" s="548">
        <f>+'Listas y Parametros'!E231</f>
        <v>0</v>
      </c>
      <c r="CW23" s="424">
        <v>1</v>
      </c>
      <c r="CX23" s="222"/>
      <c r="CY23" s="222"/>
      <c r="CZ23" s="222"/>
      <c r="DH23"/>
      <c r="DI23" s="494" t="s">
        <v>46</v>
      </c>
      <c r="DJ23" s="495">
        <f t="shared" si="21"/>
        <v>300763.42424242431</v>
      </c>
      <c r="DK23" s="495">
        <f t="shared" si="22"/>
        <v>133542</v>
      </c>
      <c r="DL23" s="567">
        <v>15</v>
      </c>
      <c r="DM23" s="568">
        <v>2025</v>
      </c>
      <c r="DN23" s="568">
        <v>58728</v>
      </c>
      <c r="DO23" s="568">
        <v>9898</v>
      </c>
      <c r="DP23" s="568">
        <v>47666</v>
      </c>
      <c r="DQ23" s="568">
        <v>4178</v>
      </c>
      <c r="DR23" s="568">
        <v>10017</v>
      </c>
      <c r="DS23" s="568">
        <v>1015</v>
      </c>
      <c r="DT23" s="499">
        <f>+'Flujo Caja'!M24</f>
        <v>40555.356060606064</v>
      </c>
      <c r="DU23" s="499">
        <f>+'Flujo Caja'!N24</f>
        <v>40555.356060606064</v>
      </c>
      <c r="DV23" s="499">
        <f>+'Flujo Caja'!O24</f>
        <v>40555.356060606064</v>
      </c>
      <c r="DW23" s="490">
        <f>+'Flujo Caja'!P24</f>
        <v>45555.356060606064</v>
      </c>
      <c r="DX23"/>
      <c r="DY23"/>
      <c r="DZ23"/>
      <c r="EA23"/>
    </row>
    <row r="24" spans="3:131" ht="16" thickBot="1" x14ac:dyDescent="0.25">
      <c r="C24" s="222" t="str">
        <f>+'Gantt Proyectos'!D110</f>
        <v>Analisis de Productividad Los Bronces</v>
      </c>
      <c r="D24" s="312" t="str">
        <f>+'Gantt Proyectos'!E110</f>
        <v>AngloAmerican</v>
      </c>
      <c r="E24" s="313" t="str">
        <f>+'Gantt Proyectos'!F110</f>
        <v>Chile</v>
      </c>
      <c r="F24" s="315">
        <f>+'Gantt Proyectos'!L110</f>
        <v>62417</v>
      </c>
      <c r="G24" s="314" t="str">
        <f>+'Gantt Proyectos'!AC110</f>
        <v>Confiabilidad Planes</v>
      </c>
      <c r="H24" s="314" t="str">
        <f>+'Gantt Proyectos'!AD110</f>
        <v>Actual</v>
      </c>
      <c r="I24" s="538">
        <v>1</v>
      </c>
      <c r="J24" s="335">
        <v>1</v>
      </c>
      <c r="K24" s="312"/>
      <c r="CS24" s="419" t="s">
        <v>46</v>
      </c>
      <c r="CT24" s="550" t="str">
        <f>+'Listas y Parametros'!C232</f>
        <v>MINExpo</v>
      </c>
      <c r="CU24" s="544">
        <f>+'Listas y Parametros'!D232</f>
        <v>19500</v>
      </c>
      <c r="CV24" s="547">
        <f>+'Listas y Parametros'!E232</f>
        <v>45838</v>
      </c>
      <c r="CW24" s="423">
        <v>1</v>
      </c>
      <c r="CX24" s="222"/>
      <c r="CY24" s="222"/>
      <c r="CZ24" s="222"/>
      <c r="DH24"/>
      <c r="DI24" s="496" t="s">
        <v>47</v>
      </c>
      <c r="DJ24" s="495">
        <f t="shared" si="21"/>
        <v>61478.400000000009</v>
      </c>
      <c r="DK24" s="495">
        <f t="shared" si="22"/>
        <v>61478.400000000009</v>
      </c>
      <c r="DL24" s="567">
        <v>14044</v>
      </c>
      <c r="DM24" s="568">
        <v>0</v>
      </c>
      <c r="DN24" s="568">
        <v>0</v>
      </c>
      <c r="DO24" s="568">
        <v>14380</v>
      </c>
      <c r="DP24" s="568">
        <v>16000</v>
      </c>
      <c r="DQ24" s="568">
        <v>5684.8</v>
      </c>
      <c r="DR24" s="568">
        <v>5684.8</v>
      </c>
      <c r="DS24" s="568">
        <v>5684.8</v>
      </c>
      <c r="DT24" s="499">
        <f>+'Flujo Caja'!M27</f>
        <v>0</v>
      </c>
      <c r="DU24" s="499">
        <f>+'Flujo Caja'!N27</f>
        <v>0</v>
      </c>
      <c r="DV24" s="499">
        <f>+'Flujo Caja'!O27</f>
        <v>0</v>
      </c>
      <c r="DW24" s="490">
        <f>+'Flujo Caja'!P27</f>
        <v>0</v>
      </c>
      <c r="DY24"/>
      <c r="DZ24"/>
      <c r="EA24"/>
    </row>
    <row r="25" spans="3:131" ht="16" thickBot="1" x14ac:dyDescent="0.25">
      <c r="C25" s="222" t="str">
        <f>+'Gantt Proyectos'!D111</f>
        <v>Ingenieria implementacion HDD Los Bronces</v>
      </c>
      <c r="D25" s="312" t="str">
        <f>+'Gantt Proyectos'!E111</f>
        <v>AngloAmerican</v>
      </c>
      <c r="E25" s="313" t="str">
        <f>+'Gantt Proyectos'!F111</f>
        <v>Chile</v>
      </c>
      <c r="F25" s="315">
        <f>+'Gantt Proyectos'!L111</f>
        <v>183430</v>
      </c>
      <c r="G25" s="314" t="str">
        <f>+'Gantt Proyectos'!AC111</f>
        <v>Estudio Conceptual / LOM</v>
      </c>
      <c r="H25" s="314" t="str">
        <f>+'Gantt Proyectos'!AD111</f>
        <v>Actual</v>
      </c>
      <c r="I25" s="538">
        <v>1</v>
      </c>
      <c r="J25" s="335">
        <v>1</v>
      </c>
      <c r="K25" s="312"/>
      <c r="CS25" s="419"/>
      <c r="CT25" s="550">
        <f>+'Listas y Parametros'!C233</f>
        <v>0</v>
      </c>
      <c r="CU25" s="544">
        <f>+'Listas y Parametros'!D233</f>
        <v>0</v>
      </c>
      <c r="CV25" s="547">
        <f>+'Listas y Parametros'!E233</f>
        <v>0</v>
      </c>
      <c r="CW25" s="423">
        <v>1</v>
      </c>
      <c r="CX25" s="222"/>
      <c r="CY25" s="222"/>
      <c r="CZ25" s="222"/>
      <c r="DH25"/>
      <c r="DI25" s="497" t="s">
        <v>32</v>
      </c>
      <c r="DJ25" s="498">
        <f>+ABS(SUM(DL25:DW25))</f>
        <v>6824618.1567958603</v>
      </c>
      <c r="DK25" s="498">
        <f>+SUM(DK20:DK24)</f>
        <v>4731300.1291845497</v>
      </c>
      <c r="DL25" s="491">
        <f t="shared" ref="DL25:DO25" si="23">SUM(DL20:DL24)</f>
        <v>521821.49806866958</v>
      </c>
      <c r="DM25" s="492">
        <f t="shared" si="23"/>
        <v>533560.63733905577</v>
      </c>
      <c r="DN25" s="620">
        <f t="shared" si="23"/>
        <v>617807.17918454926</v>
      </c>
      <c r="DO25" s="620">
        <f t="shared" si="23"/>
        <v>555462.04656652361</v>
      </c>
      <c r="DP25" s="492">
        <f>SUM(DP20:DP24)</f>
        <v>566053.80364806869</v>
      </c>
      <c r="DQ25" s="492">
        <f t="shared" ref="DQ25:DW25" si="24">SUM(DQ20:DQ24)</f>
        <v>639612.27317596576</v>
      </c>
      <c r="DR25" s="492">
        <f t="shared" si="24"/>
        <v>631571.98562231765</v>
      </c>
      <c r="DS25" s="492">
        <f t="shared" si="24"/>
        <v>665410.70557939913</v>
      </c>
      <c r="DT25" s="492">
        <f t="shared" si="24"/>
        <v>556499.96144828235</v>
      </c>
      <c r="DU25" s="492">
        <f t="shared" si="24"/>
        <v>523045.41599373682</v>
      </c>
      <c r="DV25" s="492">
        <f t="shared" si="24"/>
        <v>502181.77963010047</v>
      </c>
      <c r="DW25" s="493">
        <f t="shared" si="24"/>
        <v>511590.87053919141</v>
      </c>
      <c r="DX25"/>
      <c r="DY25"/>
      <c r="DZ25"/>
      <c r="EA25"/>
    </row>
    <row r="26" spans="3:131" ht="16" thickBot="1" x14ac:dyDescent="0.25">
      <c r="C26" s="222" t="str">
        <f>+'Gantt Proyectos'!D112</f>
        <v>V MEIA San Rafael</v>
      </c>
      <c r="D26" s="312" t="str">
        <f>+'Gantt Proyectos'!E112</f>
        <v>Minsur</v>
      </c>
      <c r="E26" s="313" t="str">
        <f>+'Gantt Proyectos'!F112</f>
        <v>Perú</v>
      </c>
      <c r="F26" s="315">
        <f>+'Gantt Proyectos'!L112</f>
        <v>248031</v>
      </c>
      <c r="G26" s="314" t="str">
        <f>+'Gantt Proyectos'!AC112</f>
        <v>Permisos / MEIA</v>
      </c>
      <c r="H26" s="314" t="str">
        <f>+'Gantt Proyectos'!AD112</f>
        <v>Actual</v>
      </c>
      <c r="I26" s="538">
        <v>1</v>
      </c>
      <c r="J26" s="335">
        <v>1</v>
      </c>
      <c r="K26" s="312"/>
      <c r="CS26" s="419"/>
      <c r="CT26" s="550">
        <f>+'Listas y Parametros'!C234</f>
        <v>0</v>
      </c>
      <c r="CU26" s="544">
        <f>+'Listas y Parametros'!D234</f>
        <v>0</v>
      </c>
      <c r="CV26" s="547">
        <f>+'Listas y Parametros'!E234</f>
        <v>0</v>
      </c>
      <c r="CW26" s="423">
        <v>1</v>
      </c>
      <c r="CX26" s="222"/>
      <c r="CY26" s="222"/>
      <c r="CZ26" s="222"/>
      <c r="DB26" s="555"/>
      <c r="DH26"/>
      <c r="DI26" s="234"/>
      <c r="DJ26" s="234"/>
      <c r="DK26" s="234"/>
      <c r="DL26" s="558">
        <f t="shared" ref="DL26:DO26" si="25">-DL25</f>
        <v>-521821.49806866958</v>
      </c>
      <c r="DM26" s="558">
        <f t="shared" si="25"/>
        <v>-533560.63733905577</v>
      </c>
      <c r="DN26" s="558">
        <f t="shared" si="25"/>
        <v>-617807.17918454926</v>
      </c>
      <c r="DO26" s="558">
        <f t="shared" si="25"/>
        <v>-555462.04656652361</v>
      </c>
      <c r="DP26" s="558">
        <f t="shared" ref="DP26:DW26" si="26">-DP25</f>
        <v>-566053.80364806869</v>
      </c>
      <c r="DQ26" s="558">
        <f t="shared" si="26"/>
        <v>-639612.27317596576</v>
      </c>
      <c r="DR26" s="558">
        <f t="shared" si="26"/>
        <v>-631571.98562231765</v>
      </c>
      <c r="DS26" s="558">
        <f t="shared" si="26"/>
        <v>-665410.70557939913</v>
      </c>
      <c r="DT26" s="558">
        <f t="shared" si="26"/>
        <v>-556499.96144828235</v>
      </c>
      <c r="DU26" s="558">
        <f t="shared" si="26"/>
        <v>-523045.41599373682</v>
      </c>
      <c r="DV26" s="558">
        <f t="shared" si="26"/>
        <v>-502181.77963010047</v>
      </c>
      <c r="DW26" s="558">
        <f t="shared" si="26"/>
        <v>-511590.87053919141</v>
      </c>
    </row>
    <row r="27" spans="3:131" ht="16" thickBot="1" x14ac:dyDescent="0.25">
      <c r="C27" s="222" t="str">
        <f>+'Gantt Proyectos'!D113</f>
        <v>Fase 2 CTV: Modelamiento Recursos, Geomecanica y LOM actualizado</v>
      </c>
      <c r="D27" s="312" t="str">
        <f>+'Gantt Proyectos'!E113</f>
        <v>Mosaic</v>
      </c>
      <c r="E27" s="313" t="str">
        <f>+'Gantt Proyectos'!F113</f>
        <v>Brasil</v>
      </c>
      <c r="F27" s="315">
        <f>+'Gantt Proyectos'!L113</f>
        <v>330410</v>
      </c>
      <c r="G27" s="314" t="str">
        <f>+'Gantt Proyectos'!AC113</f>
        <v>Scoping</v>
      </c>
      <c r="H27" s="314" t="str">
        <f>+'Gantt Proyectos'!AD113</f>
        <v>Actual</v>
      </c>
      <c r="I27" s="538">
        <v>1</v>
      </c>
      <c r="J27" s="335">
        <v>1</v>
      </c>
      <c r="K27" s="312"/>
      <c r="CS27" s="420"/>
      <c r="CT27" s="551">
        <f>+'Listas y Parametros'!C235</f>
        <v>0</v>
      </c>
      <c r="CU27" s="545">
        <f>+'Listas y Parametros'!D235</f>
        <v>0</v>
      </c>
      <c r="CV27" s="548">
        <f>+'Listas y Parametros'!E235</f>
        <v>0</v>
      </c>
      <c r="CW27" s="424">
        <v>1</v>
      </c>
      <c r="CX27" s="222"/>
      <c r="CY27" s="222"/>
      <c r="CZ27" s="222"/>
      <c r="DH27"/>
      <c r="DI27" s="484" t="s">
        <v>49</v>
      </c>
      <c r="DJ27" s="485" t="s">
        <v>32</v>
      </c>
      <c r="DK27" s="552" t="s">
        <v>43</v>
      </c>
      <c r="DL27" s="486">
        <v>45687</v>
      </c>
      <c r="DM27" s="486">
        <v>45716</v>
      </c>
      <c r="DN27" s="486">
        <v>45746</v>
      </c>
      <c r="DO27" s="486">
        <v>45777</v>
      </c>
      <c r="DP27" s="486">
        <v>45807</v>
      </c>
      <c r="DQ27" s="486">
        <v>45838</v>
      </c>
      <c r="DR27" s="486">
        <v>45868</v>
      </c>
      <c r="DS27" s="486">
        <v>45899</v>
      </c>
      <c r="DT27" s="486">
        <v>45930</v>
      </c>
      <c r="DU27" s="486">
        <v>45960</v>
      </c>
      <c r="DV27" s="486">
        <v>45991</v>
      </c>
      <c r="DW27" s="487">
        <v>46021</v>
      </c>
      <c r="DX27"/>
      <c r="DY27"/>
      <c r="DZ27"/>
      <c r="EA27"/>
    </row>
    <row r="28" spans="3:131" x14ac:dyDescent="0.2">
      <c r="C28" s="222" t="str">
        <f>+'Gantt Proyectos'!D114</f>
        <v>Estrategia de Valor para Mina Cobriza</v>
      </c>
      <c r="D28" s="312" t="str">
        <f>+'Gantt Proyectos'!E114</f>
        <v>OCP</v>
      </c>
      <c r="E28" s="313" t="str">
        <f>+'Gantt Proyectos'!F114</f>
        <v>Perú</v>
      </c>
      <c r="F28" s="315">
        <f>+'Gantt Proyectos'!L114</f>
        <v>184000</v>
      </c>
      <c r="G28" s="314" t="str">
        <f>+'Gantt Proyectos'!AC114</f>
        <v>Estudio Conceptual / LOM</v>
      </c>
      <c r="H28" s="314" t="str">
        <f>+'Gantt Proyectos'!AD114</f>
        <v>Actual</v>
      </c>
      <c r="I28" s="538">
        <v>1</v>
      </c>
      <c r="J28" s="335">
        <v>1</v>
      </c>
      <c r="K28" s="312"/>
      <c r="CS28" s="419" t="s">
        <v>47</v>
      </c>
      <c r="CT28" s="550">
        <f>+'Listas y Parametros'!C236</f>
        <v>0</v>
      </c>
      <c r="CU28" s="544">
        <f>+'Listas y Parametros'!D236</f>
        <v>0</v>
      </c>
      <c r="CV28" s="547">
        <f>+'Listas y Parametros'!E236</f>
        <v>0</v>
      </c>
      <c r="CW28" s="423">
        <v>1</v>
      </c>
      <c r="CX28" s="222"/>
      <c r="CY28" s="222"/>
      <c r="CZ28" s="222"/>
      <c r="DH28"/>
      <c r="DI28" s="494" t="s">
        <v>41</v>
      </c>
      <c r="DJ28" s="495">
        <f ca="1">+SUM(DL28:DW28)</f>
        <v>-1250779.8202924067</v>
      </c>
      <c r="DK28" s="622">
        <f>+SUM(DL28:DS28)</f>
        <v>-287376.36802575114</v>
      </c>
      <c r="DL28" s="568">
        <f>+DL12-DL20</f>
        <v>-34913.914163090114</v>
      </c>
      <c r="DM28" s="568">
        <f t="shared" ref="DM28:DO28" si="27">+DM12-DM20</f>
        <v>125183.98175965663</v>
      </c>
      <c r="DN28" s="568">
        <f t="shared" si="27"/>
        <v>-44905.919527896971</v>
      </c>
      <c r="DO28" s="568">
        <f t="shared" si="27"/>
        <v>-93640.380901287601</v>
      </c>
      <c r="DP28" s="568">
        <f t="shared" ref="DP28:DQ28" si="28">+DP12-DP20</f>
        <v>-27204.209227467829</v>
      </c>
      <c r="DQ28" s="568">
        <f t="shared" si="28"/>
        <v>-122460.40021459234</v>
      </c>
      <c r="DR28" s="568">
        <f t="shared" ref="DR28:DS28" si="29">+DR12-DR20</f>
        <v>147257.56115879829</v>
      </c>
      <c r="DS28" s="568">
        <f t="shared" si="29"/>
        <v>-236693.0869098712</v>
      </c>
      <c r="DT28" s="489">
        <f ca="1">+'Flujo Caja'!M16</f>
        <v>-209862.22670302755</v>
      </c>
      <c r="DU28" s="489">
        <f ca="1">+'Flujo Caja'!N16</f>
        <v>-190134.95397575479</v>
      </c>
      <c r="DV28" s="489">
        <f ca="1">+'Flujo Caja'!O16</f>
        <v>-275134.95397575479</v>
      </c>
      <c r="DW28" s="490">
        <f ca="1">+'Flujo Caja'!P16</f>
        <v>-288271.31761211844</v>
      </c>
      <c r="DX28"/>
      <c r="DY28"/>
      <c r="DZ28"/>
      <c r="EA28"/>
    </row>
    <row r="29" spans="3:131" x14ac:dyDescent="0.2">
      <c r="C29" s="222" t="str">
        <f>+'Gantt Proyectos'!D115</f>
        <v>PFS Ferrobamba UG (MEIA)</v>
      </c>
      <c r="D29" s="312" t="str">
        <f>+'Gantt Proyectos'!E115</f>
        <v>Las Bambas</v>
      </c>
      <c r="E29" s="313" t="str">
        <f>+'Gantt Proyectos'!F115</f>
        <v>Perú</v>
      </c>
      <c r="F29" s="315">
        <f>+'Gantt Proyectos'!L115</f>
        <v>600000</v>
      </c>
      <c r="G29" s="314" t="str">
        <f>+'Gantt Proyectos'!AC115</f>
        <v>Permisos / MEIA</v>
      </c>
      <c r="H29" s="314" t="str">
        <f>+'Gantt Proyectos'!AD115</f>
        <v>Actual</v>
      </c>
      <c r="I29" s="538">
        <v>1</v>
      </c>
      <c r="J29" s="335">
        <v>1</v>
      </c>
      <c r="K29" s="312"/>
      <c r="CS29" s="419"/>
      <c r="CT29" s="550">
        <f>+'Listas y Parametros'!C237</f>
        <v>0</v>
      </c>
      <c r="CU29" s="544">
        <f>+'Listas y Parametros'!D237</f>
        <v>0</v>
      </c>
      <c r="CV29" s="547">
        <f>+'Listas y Parametros'!E237</f>
        <v>0</v>
      </c>
      <c r="CW29" s="423">
        <v>1</v>
      </c>
      <c r="CX29" s="222"/>
      <c r="CY29" s="222"/>
      <c r="CZ29" s="222"/>
      <c r="DH29"/>
      <c r="DI29" s="494" t="s">
        <v>44</v>
      </c>
      <c r="DJ29" s="495">
        <f t="shared" ref="DJ29:DJ32" ca="1" si="30">+SUM(DL29:DW29)</f>
        <v>1756529.2042857143</v>
      </c>
      <c r="DK29" s="622">
        <f t="shared" ref="DK29:DK32" si="31">+SUM(DL29:DS29)</f>
        <v>582122.85</v>
      </c>
      <c r="DL29" s="568">
        <f t="shared" ref="DL29:DO29" si="32">+DL13-DL21</f>
        <v>34385.149999999994</v>
      </c>
      <c r="DM29" s="568">
        <f t="shared" si="32"/>
        <v>-19143</v>
      </c>
      <c r="DN29" s="568">
        <f t="shared" si="32"/>
        <v>12622</v>
      </c>
      <c r="DO29" s="568">
        <f t="shared" si="32"/>
        <v>-27595.299999999988</v>
      </c>
      <c r="DP29" s="568">
        <f t="shared" ref="DP29:DQ29" si="33">+DP13-DP21</f>
        <v>13686</v>
      </c>
      <c r="DQ29" s="568">
        <f t="shared" si="33"/>
        <v>76004</v>
      </c>
      <c r="DR29" s="568">
        <f t="shared" ref="DR29:DS29" si="34">+DR13-DR21</f>
        <v>62578</v>
      </c>
      <c r="DS29" s="568">
        <f t="shared" si="34"/>
        <v>429586</v>
      </c>
      <c r="DT29" s="489">
        <f ca="1">+'Flujo Caja'!M19</f>
        <v>341494.44571428571</v>
      </c>
      <c r="DU29" s="489">
        <f ca="1">+'Flujo Caja'!N19</f>
        <v>368577.77904761903</v>
      </c>
      <c r="DV29" s="489">
        <f ca="1">+'Flujo Caja'!O19</f>
        <v>233292.06476190477</v>
      </c>
      <c r="DW29" s="490">
        <f ca="1">+'Flujo Caja'!P19</f>
        <v>231042.06476190477</v>
      </c>
      <c r="DX29"/>
      <c r="DY29"/>
      <c r="DZ29"/>
      <c r="EA29"/>
    </row>
    <row r="30" spans="3:131" ht="14" x14ac:dyDescent="0.2">
      <c r="C30" s="222" t="str">
        <f>+'Gantt Proyectos'!D116</f>
        <v>BHP: Análisis de accesibilidad para MEL UG</v>
      </c>
      <c r="D30" s="312" t="str">
        <f>+'Gantt Proyectos'!E116</f>
        <v>MEL</v>
      </c>
      <c r="E30" s="313" t="str">
        <f>+'Gantt Proyectos'!F116</f>
        <v>Chile</v>
      </c>
      <c r="F30" s="315">
        <f>+'Gantt Proyectos'!L116</f>
        <v>198920</v>
      </c>
      <c r="G30" s="314" t="str">
        <f>+'Gantt Proyectos'!AC116</f>
        <v>Scoping</v>
      </c>
      <c r="H30" s="314" t="str">
        <f>+'Gantt Proyectos'!AD116</f>
        <v>Actual</v>
      </c>
      <c r="I30" s="538">
        <v>1</v>
      </c>
      <c r="J30" s="335">
        <v>1</v>
      </c>
      <c r="K30" s="312"/>
      <c r="CS30" s="419"/>
      <c r="CT30" s="550">
        <f>+'Listas y Parametros'!C238</f>
        <v>0</v>
      </c>
      <c r="CU30" s="544">
        <f>+'Listas y Parametros'!D238</f>
        <v>0</v>
      </c>
      <c r="CV30" s="547">
        <f>+'Listas y Parametros'!E238</f>
        <v>0</v>
      </c>
      <c r="CW30" s="423">
        <v>1</v>
      </c>
      <c r="CX30" s="222"/>
      <c r="CY30" s="222"/>
      <c r="CZ30" s="222"/>
      <c r="DI30" s="494" t="s">
        <v>45</v>
      </c>
      <c r="DJ30" s="495">
        <f t="shared" ca="1" si="30"/>
        <v>1223700.2843434343</v>
      </c>
      <c r="DK30" s="622">
        <f t="shared" si="31"/>
        <v>315191.59999999998</v>
      </c>
      <c r="DL30" s="568">
        <f t="shared" ref="DL30:DO30" si="35">+DL14-DL22</f>
        <v>59479</v>
      </c>
      <c r="DM30" s="568">
        <f t="shared" si="35"/>
        <v>31871</v>
      </c>
      <c r="DN30" s="568">
        <f t="shared" si="35"/>
        <v>69897</v>
      </c>
      <c r="DO30" s="568">
        <f t="shared" si="35"/>
        <v>45142.6</v>
      </c>
      <c r="DP30" s="568">
        <f t="shared" ref="DP30:DQ30" si="36">+DP14-DP22</f>
        <v>3745</v>
      </c>
      <c r="DQ30" s="568">
        <f t="shared" si="36"/>
        <v>-9818</v>
      </c>
      <c r="DR30" s="568">
        <f t="shared" ref="DR30:DS30" si="37">+DR14-DR22</f>
        <v>16698</v>
      </c>
      <c r="DS30" s="568">
        <f t="shared" si="37"/>
        <v>98177</v>
      </c>
      <c r="DT30" s="489">
        <f ca="1">+'Flujo Caja'!M22</f>
        <v>273070.85101010103</v>
      </c>
      <c r="DU30" s="489">
        <f ca="1">+'Flujo Caja'!N22</f>
        <v>245496.87373737377</v>
      </c>
      <c r="DV30" s="489">
        <f ca="1">+'Flujo Caja'!O22</f>
        <v>236940.17676767675</v>
      </c>
      <c r="DW30" s="490">
        <f ca="1">+'Flujo Caja'!P22</f>
        <v>153000.78282828283</v>
      </c>
    </row>
    <row r="31" spans="3:131" thickBot="1" x14ac:dyDescent="0.25">
      <c r="C31" s="222" t="str">
        <f>+'Gantt Proyectos'!D117</f>
        <v>Resolution: Análisis de Proyecto Túnel 68L</v>
      </c>
      <c r="D31" s="312" t="str">
        <f>+'Gantt Proyectos'!E117</f>
        <v>BHP</v>
      </c>
      <c r="E31" s="313" t="str">
        <f>+'Gantt Proyectos'!F117</f>
        <v>Chile</v>
      </c>
      <c r="F31" s="315">
        <f>+'Gantt Proyectos'!L117</f>
        <v>47808</v>
      </c>
      <c r="G31" s="314" t="str">
        <f>+'Gantt Proyectos'!AC117</f>
        <v>Consultoria y Due Dilligence</v>
      </c>
      <c r="H31" s="314" t="str">
        <f>+'Gantt Proyectos'!AD117</f>
        <v>Actual</v>
      </c>
      <c r="I31" s="538">
        <v>1</v>
      </c>
      <c r="J31" s="335">
        <v>1</v>
      </c>
      <c r="K31" s="312"/>
      <c r="CS31" s="420"/>
      <c r="CT31" s="551">
        <f>+'Listas y Parametros'!C239</f>
        <v>0</v>
      </c>
      <c r="CU31" s="545">
        <f>+'Listas y Parametros'!D239</f>
        <v>0</v>
      </c>
      <c r="CV31" s="548">
        <f>+'Listas y Parametros'!E239</f>
        <v>0</v>
      </c>
      <c r="CW31" s="424">
        <v>1</v>
      </c>
      <c r="CX31" s="222"/>
      <c r="CY31" s="222"/>
      <c r="CZ31" s="222"/>
      <c r="DI31" s="494" t="s">
        <v>46</v>
      </c>
      <c r="DJ31" s="495">
        <f t="shared" ca="1" si="30"/>
        <v>697909.64290043293</v>
      </c>
      <c r="DK31" s="622">
        <f t="shared" si="31"/>
        <v>847988.21</v>
      </c>
      <c r="DL31" s="568">
        <f t="shared" ref="DL31:DO31" si="38">+DL15-DL23</f>
        <v>150438</v>
      </c>
      <c r="DM31" s="568">
        <f t="shared" si="38"/>
        <v>241440.21</v>
      </c>
      <c r="DN31" s="568">
        <f t="shared" si="38"/>
        <v>82798</v>
      </c>
      <c r="DO31" s="568">
        <f t="shared" si="38"/>
        <v>159302</v>
      </c>
      <c r="DP31" s="568">
        <f t="shared" ref="DP31:DQ31" si="39">+DP15-DP23</f>
        <v>147424</v>
      </c>
      <c r="DQ31" s="568">
        <f t="shared" si="39"/>
        <v>57618</v>
      </c>
      <c r="DR31" s="568">
        <f t="shared" ref="DR31:DS31" si="40">+DR15-DR23</f>
        <v>-10017</v>
      </c>
      <c r="DS31" s="568">
        <f t="shared" si="40"/>
        <v>18985</v>
      </c>
      <c r="DT31" s="489">
        <f ca="1">+'Flujo Caja'!M25</f>
        <v>-36269.641774891781</v>
      </c>
      <c r="DU31" s="489">
        <f ca="1">+'Flujo Caja'!N25</f>
        <v>-36269.641774891781</v>
      </c>
      <c r="DV31" s="489">
        <f ca="1">+'Flujo Caja'!O25</f>
        <v>-36269.641774891781</v>
      </c>
      <c r="DW31" s="490">
        <f ca="1">+'Flujo Caja'!P25</f>
        <v>-41269.641774891781</v>
      </c>
    </row>
    <row r="32" spans="3:131" thickBot="1" x14ac:dyDescent="0.25">
      <c r="C32" s="222" t="str">
        <f>+'Gantt Proyectos'!D118</f>
        <v>Cajati: Actualización Ingeniería P1</v>
      </c>
      <c r="D32" s="312" t="str">
        <f>+'Gantt Proyectos'!E118</f>
        <v>Mosaic</v>
      </c>
      <c r="E32" s="313" t="str">
        <f>+'Gantt Proyectos'!F118</f>
        <v>Brasil</v>
      </c>
      <c r="F32" s="315">
        <f>+'Gantt Proyectos'!L118</f>
        <v>147935</v>
      </c>
      <c r="G32" s="314" t="str">
        <f>+'Gantt Proyectos'!AC118</f>
        <v>FS e Ing. Basica</v>
      </c>
      <c r="H32" s="314" t="str">
        <f>+'Gantt Proyectos'!AD118</f>
        <v>Actual</v>
      </c>
      <c r="I32" s="538">
        <v>1</v>
      </c>
      <c r="J32" s="335">
        <v>1</v>
      </c>
      <c r="K32" s="312"/>
      <c r="CS32" s="222"/>
      <c r="CT32" s="234"/>
      <c r="CU32" s="222"/>
      <c r="CV32" s="222"/>
      <c r="CW32" s="222"/>
      <c r="CX32" s="222"/>
      <c r="CY32" s="222"/>
      <c r="CZ32" s="222"/>
      <c r="DI32" s="496" t="s">
        <v>47</v>
      </c>
      <c r="DJ32" s="495">
        <f t="shared" si="30"/>
        <v>276726.60000000003</v>
      </c>
      <c r="DK32" s="622">
        <f t="shared" si="31"/>
        <v>276726.60000000003</v>
      </c>
      <c r="DL32" s="568">
        <f t="shared" ref="DL32:DO32" si="41">+DL16-DL24</f>
        <v>-14044</v>
      </c>
      <c r="DM32" s="568">
        <f t="shared" si="41"/>
        <v>21682</v>
      </c>
      <c r="DN32" s="568">
        <f t="shared" si="41"/>
        <v>45478</v>
      </c>
      <c r="DO32" s="568">
        <f t="shared" si="41"/>
        <v>-14380</v>
      </c>
      <c r="DP32" s="568">
        <f t="shared" ref="DP32:DQ32" si="42">+DP16-DP24</f>
        <v>-16000</v>
      </c>
      <c r="DQ32" s="568">
        <f t="shared" si="42"/>
        <v>166360.20000000001</v>
      </c>
      <c r="DR32" s="568">
        <f t="shared" ref="DR32:DS32" si="43">+DR16-DR24</f>
        <v>-5684.8</v>
      </c>
      <c r="DS32" s="568">
        <f t="shared" si="43"/>
        <v>93315.199999999997</v>
      </c>
      <c r="DT32" s="489">
        <f>+'Flujo Caja'!M28</f>
        <v>0</v>
      </c>
      <c r="DU32" s="489">
        <f>+'Flujo Caja'!N28</f>
        <v>0</v>
      </c>
      <c r="DV32" s="489">
        <f>+'Flujo Caja'!O28</f>
        <v>0</v>
      </c>
      <c r="DW32" s="490">
        <f>+'Flujo Caja'!P28</f>
        <v>0</v>
      </c>
    </row>
    <row r="33" spans="3:127" thickBot="1" x14ac:dyDescent="0.25">
      <c r="C33" s="222" t="str">
        <f>+'Gantt Proyectos'!D119</f>
        <v>LOM Integrado San Rafael: 2025</v>
      </c>
      <c r="D33" s="312" t="str">
        <f>+'Gantt Proyectos'!E119</f>
        <v>Minsur</v>
      </c>
      <c r="E33" s="313" t="str">
        <f>+'Gantt Proyectos'!F119</f>
        <v>Perú</v>
      </c>
      <c r="F33" s="315">
        <f>+'Gantt Proyectos'!L119</f>
        <v>60000</v>
      </c>
      <c r="G33" s="314" t="str">
        <f>+'Gantt Proyectos'!AC119</f>
        <v>Estudio Conceptual / LOM</v>
      </c>
      <c r="H33" s="314" t="str">
        <f>+'Gantt Proyectos'!AD119</f>
        <v>Actual</v>
      </c>
      <c r="I33" s="538">
        <v>1</v>
      </c>
      <c r="J33" s="335">
        <v>1</v>
      </c>
      <c r="K33" s="312"/>
      <c r="DI33" s="497" t="s">
        <v>32</v>
      </c>
      <c r="DJ33" s="498">
        <f ca="1">+SUM(DL33:DW33)</f>
        <v>2704085.9112371756</v>
      </c>
      <c r="DK33" s="623">
        <f>+SUM(DK28:DK32)</f>
        <v>1734652.8919742489</v>
      </c>
      <c r="DL33" s="492">
        <f t="shared" ref="DL33:DO33" si="44">+SUM(DL28:DL32)</f>
        <v>195344.23583690988</v>
      </c>
      <c r="DM33" s="492">
        <f t="shared" si="44"/>
        <v>401034.19175965665</v>
      </c>
      <c r="DN33" s="492">
        <f t="shared" si="44"/>
        <v>165889.08047210303</v>
      </c>
      <c r="DO33" s="492">
        <f t="shared" si="44"/>
        <v>68828.919098712417</v>
      </c>
      <c r="DP33" s="492">
        <f t="shared" ref="DP33:DW33" si="45">+SUM(DP28:DP32)</f>
        <v>121650.79077253217</v>
      </c>
      <c r="DQ33" s="492">
        <f t="shared" si="45"/>
        <v>167703.79978540767</v>
      </c>
      <c r="DR33" s="492">
        <f t="shared" si="45"/>
        <v>210831.7611587983</v>
      </c>
      <c r="DS33" s="492">
        <f t="shared" si="45"/>
        <v>403370.11309012881</v>
      </c>
      <c r="DT33" s="492">
        <f t="shared" ca="1" si="45"/>
        <v>368433.42824646743</v>
      </c>
      <c r="DU33" s="492">
        <f t="shared" ca="1" si="45"/>
        <v>387670.05703434628</v>
      </c>
      <c r="DV33" s="492">
        <f t="shared" ca="1" si="45"/>
        <v>158827.64577893494</v>
      </c>
      <c r="DW33" s="493">
        <f t="shared" ca="1" si="45"/>
        <v>54501.888203177376</v>
      </c>
    </row>
    <row r="34" spans="3:127" thickBot="1" x14ac:dyDescent="0.25">
      <c r="C34" s="222" t="str">
        <f>+'Gantt Proyectos'!D120</f>
        <v>Soporte Minero en Litigio OT - Gobierno Mongolia (Fase 2)</v>
      </c>
      <c r="D34" s="312" t="str">
        <f>+'Gantt Proyectos'!E120</f>
        <v>ThreeCrowns</v>
      </c>
      <c r="E34" s="313" t="str">
        <f>+'Gantt Proyectos'!F120</f>
        <v>USA</v>
      </c>
      <c r="F34" s="315">
        <f>+'Gantt Proyectos'!L120</f>
        <v>350000</v>
      </c>
      <c r="G34" s="314" t="str">
        <f>+'Gantt Proyectos'!AC120</f>
        <v>Consultoria y Due Dilligence</v>
      </c>
      <c r="H34" s="314" t="str">
        <f>+'Gantt Proyectos'!AD120</f>
        <v>Actual</v>
      </c>
      <c r="I34" s="538">
        <v>1</v>
      </c>
      <c r="J34" s="335">
        <v>1</v>
      </c>
      <c r="K34" s="312"/>
      <c r="DI34" s="497" t="s">
        <v>50</v>
      </c>
      <c r="DJ34" s="530">
        <f ca="1">+DJ33/DJ17</f>
        <v>0.28378317680248483</v>
      </c>
      <c r="DK34" s="624">
        <f>+DK33/DK17</f>
        <v>0.26827489873462956</v>
      </c>
      <c r="DL34" s="531">
        <f t="shared" ref="DL34:DO34" si="46">+DL33/DL17</f>
        <v>0.27238367172549338</v>
      </c>
      <c r="DM34" s="531">
        <f t="shared" si="46"/>
        <v>0.42909951914285543</v>
      </c>
      <c r="DN34" s="531">
        <f t="shared" si="46"/>
        <v>0.2116752229298392</v>
      </c>
      <c r="DO34" s="531">
        <f t="shared" si="46"/>
        <v>0.11025134574127504</v>
      </c>
      <c r="DP34" s="531">
        <f t="shared" ref="DP34:DW34" si="47">+DP33/DP17</f>
        <v>0.17689396255237233</v>
      </c>
      <c r="DQ34" s="531">
        <f t="shared" si="47"/>
        <v>0.20773003957451444</v>
      </c>
      <c r="DR34" s="531">
        <f t="shared" si="47"/>
        <v>0.25027400692886437</v>
      </c>
      <c r="DS34" s="531">
        <f t="shared" si="47"/>
        <v>0.37741144493242706</v>
      </c>
      <c r="DT34" s="531">
        <f t="shared" ca="1" si="47"/>
        <v>0.39833509347960644</v>
      </c>
      <c r="DU34" s="531">
        <f t="shared" ca="1" si="47"/>
        <v>0.42567637040947909</v>
      </c>
      <c r="DV34" s="531">
        <f t="shared" ca="1" si="47"/>
        <v>0.24028045542716989</v>
      </c>
      <c r="DW34" s="532">
        <f t="shared" ca="1" si="47"/>
        <v>9.6277310319705781E-2</v>
      </c>
    </row>
    <row r="35" spans="3:127" thickBot="1" x14ac:dyDescent="0.25">
      <c r="C35" s="222" t="str">
        <f>+'Gantt Proyectos'!D121</f>
        <v>Aura: Ingeniería Túnel de Exploraciones</v>
      </c>
      <c r="D35" s="312" t="str">
        <f>+'Gantt Proyectos'!E121</f>
        <v>Aura Minerals</v>
      </c>
      <c r="E35" s="313" t="str">
        <f>+'Gantt Proyectos'!F121</f>
        <v>Brasil</v>
      </c>
      <c r="F35" s="315">
        <f>+'Gantt Proyectos'!L121</f>
        <v>108000</v>
      </c>
      <c r="G35" s="314" t="str">
        <f>+'Gantt Proyectos'!AC121</f>
        <v>Scoping</v>
      </c>
      <c r="H35" s="314" t="str">
        <f>+'Gantt Proyectos'!AD121</f>
        <v>Actual</v>
      </c>
      <c r="I35" s="538">
        <v>1</v>
      </c>
      <c r="J35" s="335">
        <v>1</v>
      </c>
      <c r="K35" s="312"/>
    </row>
    <row r="36" spans="3:127" thickBot="1" x14ac:dyDescent="0.25">
      <c r="C36" s="222" t="str">
        <f>+'Gantt Proyectos'!D122</f>
        <v>Los Calatos - DFS</v>
      </c>
      <c r="D36" s="312" t="str">
        <f>+'Gantt Proyectos'!E122</f>
        <v>CD Capital</v>
      </c>
      <c r="E36" s="313" t="str">
        <f>+'Gantt Proyectos'!F122</f>
        <v>Perú</v>
      </c>
      <c r="F36" s="315">
        <f>+'Gantt Proyectos'!L122</f>
        <v>1100000</v>
      </c>
      <c r="G36" s="314" t="str">
        <f>+'Gantt Proyectos'!AC122</f>
        <v>FS e Ing. Basica</v>
      </c>
      <c r="H36" s="314" t="str">
        <f>+'Gantt Proyectos'!AD122</f>
        <v>Asignado</v>
      </c>
      <c r="I36" s="538">
        <v>1</v>
      </c>
      <c r="J36" s="335">
        <v>1</v>
      </c>
      <c r="K36" s="312"/>
      <c r="DI36" s="484" t="s">
        <v>51</v>
      </c>
      <c r="DJ36" s="485" t="s">
        <v>32</v>
      </c>
      <c r="DK36" s="485" t="s">
        <v>43</v>
      </c>
      <c r="DL36" s="485">
        <v>45687</v>
      </c>
      <c r="DM36" s="486">
        <v>45716</v>
      </c>
      <c r="DN36" s="486">
        <v>45746</v>
      </c>
      <c r="DO36" s="486">
        <v>45777</v>
      </c>
      <c r="DP36" s="486">
        <v>45807</v>
      </c>
      <c r="DQ36" s="486">
        <v>45838</v>
      </c>
      <c r="DR36" s="486">
        <v>45868</v>
      </c>
      <c r="DS36" s="486">
        <v>45899</v>
      </c>
      <c r="DT36" s="486">
        <v>45930</v>
      </c>
      <c r="DU36" s="486">
        <v>45960</v>
      </c>
      <c r="DV36" s="486">
        <v>45991</v>
      </c>
      <c r="DW36" s="487">
        <v>46021</v>
      </c>
    </row>
    <row r="37" spans="3:127" ht="14" x14ac:dyDescent="0.2">
      <c r="C37" s="563" t="str">
        <f>+'Gantt Proyectos'!D123</f>
        <v>Ferrobamba PFS</v>
      </c>
      <c r="D37" s="561" t="str">
        <f>+'Gantt Proyectos'!E123</f>
        <v>Las Bambas</v>
      </c>
      <c r="E37" s="561" t="str">
        <f>+'Gantt Proyectos'!F123</f>
        <v>Perú</v>
      </c>
      <c r="F37" s="562">
        <f>+'Gantt Proyectos'!L123</f>
        <v>600000</v>
      </c>
      <c r="G37" s="564" t="str">
        <f>+'Gantt Proyectos'!AC123</f>
        <v>PFS</v>
      </c>
      <c r="H37" s="564" t="str">
        <f>+'Gantt Proyectos'!AD123</f>
        <v>No Asignado</v>
      </c>
      <c r="I37" s="538">
        <v>0.7</v>
      </c>
      <c r="J37" s="335">
        <v>1</v>
      </c>
      <c r="K37" s="312"/>
      <c r="DI37" s="494" t="s">
        <v>41</v>
      </c>
      <c r="DJ37" s="495">
        <f t="shared" ref="DJ37:DJ42" ca="1" si="48">+DW37</f>
        <v>-1250779.8202924067</v>
      </c>
      <c r="DK37" s="495">
        <f>+DP37</f>
        <v>-75480.442060085887</v>
      </c>
      <c r="DL37" s="567">
        <f>+DL28</f>
        <v>-34913.914163090114</v>
      </c>
      <c r="DM37" s="568">
        <f>+DL37+DM28</f>
        <v>90270.067596566514</v>
      </c>
      <c r="DN37" s="568">
        <f t="shared" ref="DN37:DW37" si="49">+DM37+DN28</f>
        <v>45364.148068669543</v>
      </c>
      <c r="DO37" s="568">
        <f t="shared" si="49"/>
        <v>-48276.232832618058</v>
      </c>
      <c r="DP37" s="568">
        <f t="shared" si="49"/>
        <v>-75480.442060085887</v>
      </c>
      <c r="DQ37" s="568">
        <f t="shared" si="49"/>
        <v>-197940.84227467823</v>
      </c>
      <c r="DR37" s="568">
        <f t="shared" ref="DR37:DR41" si="50">+DQ37+DR28</f>
        <v>-50683.281115879945</v>
      </c>
      <c r="DS37" s="568">
        <f t="shared" ref="DS37:DS41" si="51">+DR37+DS28</f>
        <v>-287376.36802575114</v>
      </c>
      <c r="DT37" s="489">
        <f t="shared" ca="1" si="49"/>
        <v>-497238.5947287787</v>
      </c>
      <c r="DU37" s="489">
        <f t="shared" ca="1" si="49"/>
        <v>-687373.54870453349</v>
      </c>
      <c r="DV37" s="489">
        <f t="shared" ca="1" si="49"/>
        <v>-962508.50268028828</v>
      </c>
      <c r="DW37" s="490">
        <f t="shared" ca="1" si="49"/>
        <v>-1250779.8202924067</v>
      </c>
    </row>
    <row r="38" spans="3:127" ht="14" x14ac:dyDescent="0.2">
      <c r="C38" s="563" t="str">
        <f>+'Gantt Proyectos'!D124</f>
        <v>Caserones: Implementacion NSR en Corto Plazo</v>
      </c>
      <c r="D38" s="561" t="str">
        <f>+'Gantt Proyectos'!E124</f>
        <v>Lundin</v>
      </c>
      <c r="E38" s="561" t="str">
        <f>+'Gantt Proyectos'!F124</f>
        <v>Chile</v>
      </c>
      <c r="F38" s="562">
        <f>+'Gantt Proyectos'!L124</f>
        <v>0</v>
      </c>
      <c r="G38" s="564" t="str">
        <f>+'Gantt Proyectos'!AC124</f>
        <v>Consultoria y Due Dilligence</v>
      </c>
      <c r="H38" s="564" t="str">
        <f>+'Gantt Proyectos'!AD124</f>
        <v>No Asignado</v>
      </c>
      <c r="I38" s="538">
        <v>0</v>
      </c>
      <c r="J38" s="335">
        <v>0</v>
      </c>
      <c r="K38" s="312"/>
      <c r="DI38" s="494" t="s">
        <v>44</v>
      </c>
      <c r="DJ38" s="495">
        <f t="shared" ca="1" si="48"/>
        <v>1756529.2042857143</v>
      </c>
      <c r="DK38" s="495">
        <f t="shared" ref="DK38:DK41" si="52">+DP38</f>
        <v>13954.850000000006</v>
      </c>
      <c r="DL38" s="567">
        <f t="shared" ref="DL38:DL41" si="53">+DL29</f>
        <v>34385.149999999994</v>
      </c>
      <c r="DM38" s="568">
        <f t="shared" ref="DM38:DW38" si="54">+DL38+DM29</f>
        <v>15242.149999999994</v>
      </c>
      <c r="DN38" s="568">
        <f t="shared" si="54"/>
        <v>27864.149999999994</v>
      </c>
      <c r="DO38" s="568">
        <f t="shared" si="54"/>
        <v>268.85000000000582</v>
      </c>
      <c r="DP38" s="568">
        <f t="shared" si="54"/>
        <v>13954.850000000006</v>
      </c>
      <c r="DQ38" s="568">
        <f t="shared" si="54"/>
        <v>89958.85</v>
      </c>
      <c r="DR38" s="568">
        <f t="shared" si="50"/>
        <v>152536.85</v>
      </c>
      <c r="DS38" s="568">
        <f t="shared" si="51"/>
        <v>582122.85</v>
      </c>
      <c r="DT38" s="489">
        <f t="shared" ca="1" si="54"/>
        <v>923617.29571428569</v>
      </c>
      <c r="DU38" s="489">
        <f t="shared" ca="1" si="54"/>
        <v>1292195.0747619048</v>
      </c>
      <c r="DV38" s="489">
        <f t="shared" ca="1" si="54"/>
        <v>1525487.1395238095</v>
      </c>
      <c r="DW38" s="490">
        <f t="shared" ca="1" si="54"/>
        <v>1756529.2042857143</v>
      </c>
    </row>
    <row r="39" spans="3:127" ht="14" x14ac:dyDescent="0.2">
      <c r="C39" s="222" t="str">
        <f>+'Gantt Proyectos'!D125</f>
        <v>Caserones: Análisis Estratégico</v>
      </c>
      <c r="D39" s="312" t="str">
        <f>+'Gantt Proyectos'!E125</f>
        <v>Lundin</v>
      </c>
      <c r="E39" s="313" t="str">
        <f>+'Gantt Proyectos'!F125</f>
        <v>Chile</v>
      </c>
      <c r="F39" s="315">
        <f>+'Gantt Proyectos'!L125</f>
        <v>300000</v>
      </c>
      <c r="G39" s="314" t="str">
        <f>+'Gantt Proyectos'!AC125</f>
        <v>Estudio Conceptual / LOM</v>
      </c>
      <c r="H39" s="314" t="str">
        <f>+'Gantt Proyectos'!AD125</f>
        <v>Actual</v>
      </c>
      <c r="I39" s="538">
        <v>1</v>
      </c>
      <c r="J39" s="335">
        <v>1</v>
      </c>
      <c r="K39" s="312"/>
      <c r="DI39" s="494" t="s">
        <v>45</v>
      </c>
      <c r="DJ39" s="495">
        <f t="shared" ca="1" si="48"/>
        <v>1223700.2843434343</v>
      </c>
      <c r="DK39" s="495">
        <f t="shared" si="52"/>
        <v>210134.6</v>
      </c>
      <c r="DL39" s="567">
        <f t="shared" si="53"/>
        <v>59479</v>
      </c>
      <c r="DM39" s="568">
        <f t="shared" ref="DM39:DW39" si="55">+DL39+DM30</f>
        <v>91350</v>
      </c>
      <c r="DN39" s="568">
        <f t="shared" si="55"/>
        <v>161247</v>
      </c>
      <c r="DO39" s="568">
        <f t="shared" si="55"/>
        <v>206389.6</v>
      </c>
      <c r="DP39" s="568">
        <f t="shared" si="55"/>
        <v>210134.6</v>
      </c>
      <c r="DQ39" s="568">
        <f t="shared" si="55"/>
        <v>200316.6</v>
      </c>
      <c r="DR39" s="568">
        <f t="shared" si="50"/>
        <v>217014.6</v>
      </c>
      <c r="DS39" s="568">
        <f t="shared" si="51"/>
        <v>315191.59999999998</v>
      </c>
      <c r="DT39" s="489">
        <f t="shared" ca="1" si="55"/>
        <v>588262.45101010101</v>
      </c>
      <c r="DU39" s="489">
        <f t="shared" ca="1" si="55"/>
        <v>833759.32474747475</v>
      </c>
      <c r="DV39" s="489">
        <f t="shared" ca="1" si="55"/>
        <v>1070699.5015151515</v>
      </c>
      <c r="DW39" s="490">
        <f t="shared" ca="1" si="55"/>
        <v>1223700.2843434343</v>
      </c>
    </row>
    <row r="40" spans="3:127" ht="14" x14ac:dyDescent="0.2">
      <c r="C40" s="563" t="str">
        <f>+'Gantt Proyectos'!D126</f>
        <v>QuinnEmanuel: OT Allegation</v>
      </c>
      <c r="D40" s="561" t="str">
        <f>+'Gantt Proyectos'!E126</f>
        <v>QuinnEmanuel</v>
      </c>
      <c r="E40" s="561" t="str">
        <f>+'Gantt Proyectos'!F126</f>
        <v>USA</v>
      </c>
      <c r="F40" s="562">
        <f>+'Gantt Proyectos'!L126</f>
        <v>300000</v>
      </c>
      <c r="G40" s="564" t="str">
        <f>+'Gantt Proyectos'!AC126</f>
        <v>Consultoria y Due Dilligence</v>
      </c>
      <c r="H40" s="564" t="str">
        <f>+'Gantt Proyectos'!AD126</f>
        <v>No Asignado</v>
      </c>
      <c r="I40" s="538">
        <v>0.1</v>
      </c>
      <c r="J40" s="335">
        <v>1</v>
      </c>
      <c r="K40" s="312"/>
      <c r="DI40" s="494" t="s">
        <v>46</v>
      </c>
      <c r="DJ40" s="495">
        <f t="shared" ca="1" si="48"/>
        <v>697909.64290043293</v>
      </c>
      <c r="DK40" s="495">
        <f t="shared" si="52"/>
        <v>781402.21</v>
      </c>
      <c r="DL40" s="567">
        <f t="shared" si="53"/>
        <v>150438</v>
      </c>
      <c r="DM40" s="568">
        <f t="shared" ref="DM40:DW40" si="56">+DL40+DM31</f>
        <v>391878.20999999996</v>
      </c>
      <c r="DN40" s="568">
        <f t="shared" si="56"/>
        <v>474676.20999999996</v>
      </c>
      <c r="DO40" s="568">
        <f t="shared" si="56"/>
        <v>633978.21</v>
      </c>
      <c r="DP40" s="568">
        <f t="shared" si="56"/>
        <v>781402.21</v>
      </c>
      <c r="DQ40" s="568">
        <f t="shared" si="56"/>
        <v>839020.21</v>
      </c>
      <c r="DR40" s="568">
        <f t="shared" si="50"/>
        <v>829003.21</v>
      </c>
      <c r="DS40" s="568">
        <f t="shared" si="51"/>
        <v>847988.21</v>
      </c>
      <c r="DT40" s="489">
        <f t="shared" ca="1" si="56"/>
        <v>811718.5682251082</v>
      </c>
      <c r="DU40" s="489">
        <f t="shared" ca="1" si="56"/>
        <v>775448.92645021644</v>
      </c>
      <c r="DV40" s="489">
        <f t="shared" ca="1" si="56"/>
        <v>739179.28467532468</v>
      </c>
      <c r="DW40" s="490">
        <f t="shared" ca="1" si="56"/>
        <v>697909.64290043293</v>
      </c>
    </row>
    <row r="41" spans="3:127" thickBot="1" x14ac:dyDescent="0.25">
      <c r="C41" s="563" t="str">
        <f>+'Gantt Proyectos'!D127</f>
        <v xml:space="preserve">DET: Ingeniería Perfil Sector Teniente 9 </v>
      </c>
      <c r="D41" s="561" t="str">
        <f>+'Gantt Proyectos'!E127</f>
        <v>Codelco</v>
      </c>
      <c r="E41" s="561" t="str">
        <f>+'Gantt Proyectos'!F127</f>
        <v>Chile</v>
      </c>
      <c r="F41" s="562">
        <f>+'Gantt Proyectos'!L127</f>
        <v>300000</v>
      </c>
      <c r="G41" s="564" t="str">
        <f>+'Gantt Proyectos'!AC127</f>
        <v>Scoping</v>
      </c>
      <c r="H41" s="564" t="str">
        <f>+'Gantt Proyectos'!AD127</f>
        <v>No Asignado</v>
      </c>
      <c r="I41" s="538">
        <v>0.2</v>
      </c>
      <c r="J41" s="335">
        <v>1</v>
      </c>
      <c r="K41" s="312"/>
      <c r="DI41" s="496" t="s">
        <v>47</v>
      </c>
      <c r="DJ41" s="495">
        <f t="shared" si="48"/>
        <v>276726.60000000003</v>
      </c>
      <c r="DK41" s="495">
        <f t="shared" si="52"/>
        <v>22736</v>
      </c>
      <c r="DL41" s="567">
        <f t="shared" si="53"/>
        <v>-14044</v>
      </c>
      <c r="DM41" s="568">
        <f t="shared" ref="DM41:DW41" si="57">+DL41+DM32</f>
        <v>7638</v>
      </c>
      <c r="DN41" s="568">
        <f t="shared" si="57"/>
        <v>53116</v>
      </c>
      <c r="DO41" s="568">
        <f t="shared" si="57"/>
        <v>38736</v>
      </c>
      <c r="DP41" s="568">
        <f t="shared" si="57"/>
        <v>22736</v>
      </c>
      <c r="DQ41" s="568">
        <f t="shared" si="57"/>
        <v>189096.2</v>
      </c>
      <c r="DR41" s="568">
        <f t="shared" si="50"/>
        <v>183411.40000000002</v>
      </c>
      <c r="DS41" s="568">
        <f t="shared" si="51"/>
        <v>276726.60000000003</v>
      </c>
      <c r="DT41" s="489">
        <f t="shared" si="57"/>
        <v>276726.60000000003</v>
      </c>
      <c r="DU41" s="489">
        <f t="shared" si="57"/>
        <v>276726.60000000003</v>
      </c>
      <c r="DV41" s="489">
        <f t="shared" si="57"/>
        <v>276726.60000000003</v>
      </c>
      <c r="DW41" s="490">
        <f t="shared" si="57"/>
        <v>276726.60000000003</v>
      </c>
    </row>
    <row r="42" spans="3:127" thickBot="1" x14ac:dyDescent="0.25">
      <c r="C42" s="563" t="str">
        <f>+'Gantt Proyectos'!D128</f>
        <v>Ingeniería Basica Sistema Manejo Materiales Candelaria</v>
      </c>
      <c r="D42" s="561" t="str">
        <f>+'Gantt Proyectos'!E128</f>
        <v>Lundin</v>
      </c>
      <c r="E42" s="561" t="str">
        <f>+'Gantt Proyectos'!F128</f>
        <v>Chile</v>
      </c>
      <c r="F42" s="562">
        <f>+'Gantt Proyectos'!L128</f>
        <v>1300000</v>
      </c>
      <c r="G42" s="564" t="str">
        <f>+'Gantt Proyectos'!AC128</f>
        <v>FS e Ing. Basica</v>
      </c>
      <c r="H42" s="564" t="str">
        <f>+'Gantt Proyectos'!AD128</f>
        <v>No Asignado</v>
      </c>
      <c r="I42" s="538">
        <v>0</v>
      </c>
      <c r="J42" s="335">
        <v>0</v>
      </c>
      <c r="K42" s="312"/>
      <c r="DI42" s="497" t="s">
        <v>32</v>
      </c>
      <c r="DJ42" s="498">
        <f t="shared" ca="1" si="48"/>
        <v>2704085.9112371751</v>
      </c>
      <c r="DK42" s="498">
        <f>+SUM(DK37:DK41)</f>
        <v>952747.21793991409</v>
      </c>
      <c r="DL42" s="491">
        <f t="shared" ref="DL42:DO42" si="58">+SUM(DL37:DL41)</f>
        <v>195344.23583690988</v>
      </c>
      <c r="DM42" s="492">
        <f t="shared" si="58"/>
        <v>596378.4275965665</v>
      </c>
      <c r="DN42" s="492">
        <f t="shared" si="58"/>
        <v>762267.50806866947</v>
      </c>
      <c r="DO42" s="492">
        <f t="shared" si="58"/>
        <v>831096.42716738186</v>
      </c>
      <c r="DP42" s="492">
        <f t="shared" ref="DP42:DW42" si="59">+SUM(DP37:DP41)</f>
        <v>952747.21793991409</v>
      </c>
      <c r="DQ42" s="492">
        <f t="shared" si="59"/>
        <v>1120451.0177253217</v>
      </c>
      <c r="DR42" s="492">
        <f t="shared" si="59"/>
        <v>1331282.7788841198</v>
      </c>
      <c r="DS42" s="492">
        <f t="shared" si="59"/>
        <v>1734652.8919742489</v>
      </c>
      <c r="DT42" s="492">
        <f t="shared" ca="1" si="59"/>
        <v>2103086.3202207163</v>
      </c>
      <c r="DU42" s="492">
        <f t="shared" ca="1" si="59"/>
        <v>2490756.3772550626</v>
      </c>
      <c r="DV42" s="492">
        <f t="shared" ca="1" si="59"/>
        <v>2649584.0230339975</v>
      </c>
      <c r="DW42" s="493">
        <f t="shared" ca="1" si="59"/>
        <v>2704085.9112371751</v>
      </c>
    </row>
    <row r="43" spans="3:127" ht="14" x14ac:dyDescent="0.2">
      <c r="C43" s="222" t="str">
        <f>+'Gantt Proyectos'!D129</f>
        <v>PEA Proyecto Furnas</v>
      </c>
      <c r="D43" s="312" t="str">
        <f>+'Gantt Proyectos'!E129</f>
        <v>Ero Copper</v>
      </c>
      <c r="E43" s="313" t="str">
        <f>+'Gantt Proyectos'!F129</f>
        <v>Brasil</v>
      </c>
      <c r="F43" s="315">
        <f>+'Gantt Proyectos'!L129</f>
        <v>490000</v>
      </c>
      <c r="G43" s="314" t="str">
        <f>+'Gantt Proyectos'!AC129</f>
        <v>PEA</v>
      </c>
      <c r="H43" s="314" t="str">
        <f>+'Gantt Proyectos'!AD129</f>
        <v>Actual</v>
      </c>
      <c r="I43" s="538">
        <v>1</v>
      </c>
      <c r="J43" s="335">
        <v>1</v>
      </c>
      <c r="K43" s="312"/>
    </row>
    <row r="44" spans="3:127" thickBot="1" x14ac:dyDescent="0.25">
      <c r="C44" s="563" t="str">
        <f>+'Gantt Proyectos'!D130</f>
        <v xml:space="preserve">Cerro Blanco: FS Minería + Ing Detalle componentes </v>
      </c>
      <c r="D44" s="561" t="str">
        <f>+'Gantt Proyectos'!E130</f>
        <v>Aura Minerals</v>
      </c>
      <c r="E44" s="561" t="str">
        <f>+'Gantt Proyectos'!F130</f>
        <v>Brasil</v>
      </c>
      <c r="F44" s="562">
        <f>+'Gantt Proyectos'!L130</f>
        <v>2400000</v>
      </c>
      <c r="G44" s="564" t="str">
        <f>+'Gantt Proyectos'!AC130</f>
        <v>FS e Ing. Basica</v>
      </c>
      <c r="H44" s="564" t="str">
        <f>+'Gantt Proyectos'!AD130</f>
        <v>No Asignado</v>
      </c>
      <c r="I44" s="538">
        <v>0.2</v>
      </c>
      <c r="J44" s="335">
        <v>1</v>
      </c>
      <c r="K44" s="312"/>
    </row>
    <row r="45" spans="3:127" thickBot="1" x14ac:dyDescent="0.25">
      <c r="C45" s="563" t="str">
        <f>+'Gantt Proyectos'!D131</f>
        <v>Scoping Study Algarrobo UG</v>
      </c>
      <c r="D45" s="561" t="str">
        <f>+'Gantt Proyectos'!E131</f>
        <v>CMP</v>
      </c>
      <c r="E45" s="561" t="str">
        <f>+'Gantt Proyectos'!F131</f>
        <v>Chile</v>
      </c>
      <c r="F45" s="562">
        <f>+'Gantt Proyectos'!L131</f>
        <v>160000</v>
      </c>
      <c r="G45" s="564" t="str">
        <f>+'Gantt Proyectos'!AC131</f>
        <v>Scoping</v>
      </c>
      <c r="H45" s="564" t="str">
        <f>+'Gantt Proyectos'!AD131</f>
        <v>No Asignado</v>
      </c>
      <c r="I45" s="538">
        <v>0.1</v>
      </c>
      <c r="J45" s="335">
        <v>1</v>
      </c>
      <c r="K45" s="312"/>
      <c r="DI45" s="484" t="s">
        <v>52</v>
      </c>
      <c r="DJ45" s="552" t="s">
        <v>32</v>
      </c>
      <c r="DK45" s="552" t="s">
        <v>43</v>
      </c>
      <c r="DL45" s="486">
        <v>45687</v>
      </c>
      <c r="DM45" s="486">
        <v>45716</v>
      </c>
      <c r="DN45" s="486">
        <v>45746</v>
      </c>
      <c r="DO45" s="486">
        <v>45777</v>
      </c>
      <c r="DP45" s="486">
        <v>45807</v>
      </c>
      <c r="DQ45" s="486">
        <v>45838</v>
      </c>
      <c r="DR45" s="486">
        <v>45868</v>
      </c>
      <c r="DS45" s="486">
        <v>45899</v>
      </c>
      <c r="DT45" s="486">
        <v>45930</v>
      </c>
      <c r="DU45" s="486">
        <v>45960</v>
      </c>
      <c r="DV45" s="486">
        <v>45991</v>
      </c>
      <c r="DW45" s="487">
        <v>46021</v>
      </c>
    </row>
    <row r="46" spans="3:127" ht="14" x14ac:dyDescent="0.2">
      <c r="C46" s="563" t="str">
        <f>+'Gantt Proyectos'!D132</f>
        <v>Soporte Romeral, construcción túnel exploratorio</v>
      </c>
      <c r="D46" s="561" t="str">
        <f>+'Gantt Proyectos'!E132</f>
        <v>Romeral</v>
      </c>
      <c r="E46" s="561" t="str">
        <f>+'Gantt Proyectos'!F132</f>
        <v>Chile</v>
      </c>
      <c r="F46" s="562">
        <f>+'Gantt Proyectos'!L132</f>
        <v>500000</v>
      </c>
      <c r="G46" s="564" t="str">
        <f>+'Gantt Proyectos'!AC132</f>
        <v>Consultoria y Due Dilligence</v>
      </c>
      <c r="H46" s="564" t="str">
        <f>+'Gantt Proyectos'!AD132</f>
        <v>No Asignado</v>
      </c>
      <c r="I46" s="538">
        <v>0.3</v>
      </c>
      <c r="J46" s="335">
        <v>1</v>
      </c>
      <c r="K46" s="312"/>
      <c r="DI46" s="253" t="s">
        <v>42</v>
      </c>
      <c r="DJ46" s="553">
        <f ca="1">+SUM(DL46:DW46)</f>
        <v>9494893.4541941136</v>
      </c>
      <c r="DK46" s="254">
        <f>+SUM(DL46:DP46)</f>
        <v>3747452.3827467812</v>
      </c>
      <c r="DL46" s="556">
        <f t="shared" ref="DL46:DP46" si="60">DL17</f>
        <v>717165.73390557943</v>
      </c>
      <c r="DM46" s="556">
        <f t="shared" si="60"/>
        <v>934594.82909871242</v>
      </c>
      <c r="DN46" s="556">
        <f t="shared" si="60"/>
        <v>783696.25965665234</v>
      </c>
      <c r="DO46" s="556">
        <f t="shared" si="60"/>
        <v>624290.96566523612</v>
      </c>
      <c r="DP46" s="556">
        <f t="shared" si="60"/>
        <v>687704.59442060092</v>
      </c>
      <c r="DQ46" s="556">
        <f t="shared" ref="DQ46" si="61">DQ17</f>
        <v>807316.07296137337</v>
      </c>
      <c r="DR46" s="256">
        <f ca="1">+'Flujo Caja'!K29</f>
        <v>1002475.0698534797</v>
      </c>
      <c r="DS46" s="256">
        <f ca="1">+'Flujo Caja'!L29</f>
        <v>874898.8817582418</v>
      </c>
      <c r="DT46" s="256">
        <f ca="1">+'Flujo Caja'!M29</f>
        <v>924933.38969474973</v>
      </c>
      <c r="DU46" s="256">
        <f ca="1">+'Flujo Caja'!N29</f>
        <v>910715.4730280831</v>
      </c>
      <c r="DV46" s="256">
        <f ca="1">+'Flujo Caja'!O29</f>
        <v>661009.42540903541</v>
      </c>
      <c r="DW46" s="257">
        <f ca="1">+'Flujo Caja'!P29</f>
        <v>566092.75874236878</v>
      </c>
    </row>
    <row r="47" spans="3:127" ht="14" x14ac:dyDescent="0.2">
      <c r="C47" s="563" t="str">
        <f>+'Gantt Proyectos'!D133</f>
        <v>Servicios de geología y planificación (3 años)</v>
      </c>
      <c r="D47" s="561" t="str">
        <f>+'Gantt Proyectos'!E133</f>
        <v>Alcoa</v>
      </c>
      <c r="E47" s="561" t="str">
        <f>+'Gantt Proyectos'!F133</f>
        <v>Brasil</v>
      </c>
      <c r="F47" s="562">
        <f>+'Gantt Proyectos'!L133</f>
        <v>890000</v>
      </c>
      <c r="G47" s="564" t="str">
        <f>+'Gantt Proyectos'!AC133</f>
        <v>FS e Ing. Basica</v>
      </c>
      <c r="H47" s="564" t="str">
        <f>+'Gantt Proyectos'!AD133</f>
        <v>No Asignado</v>
      </c>
      <c r="I47" s="538">
        <v>0.35</v>
      </c>
      <c r="J47" s="335">
        <v>1</v>
      </c>
      <c r="K47" s="312"/>
      <c r="DI47" s="253" t="s">
        <v>53</v>
      </c>
      <c r="DJ47" s="553">
        <f>+SUM(DL47:DW47)</f>
        <v>6703462.661217981</v>
      </c>
      <c r="DK47" s="254">
        <f>+SUM(DL47:DP47)</f>
        <v>2794705.164806867</v>
      </c>
      <c r="DL47" s="557">
        <f t="shared" ref="DL47:DP47" si="62">DL25</f>
        <v>521821.49806866958</v>
      </c>
      <c r="DM47" s="557">
        <f t="shared" si="62"/>
        <v>533560.63733905577</v>
      </c>
      <c r="DN47" s="557">
        <f t="shared" si="62"/>
        <v>617807.17918454926</v>
      </c>
      <c r="DO47" s="557">
        <f t="shared" si="62"/>
        <v>555462.04656652361</v>
      </c>
      <c r="DP47" s="557">
        <f t="shared" si="62"/>
        <v>566053.80364806869</v>
      </c>
      <c r="DQ47" s="557">
        <f t="shared" ref="DQ47" si="63">DQ25</f>
        <v>639612.27317596576</v>
      </c>
      <c r="DR47" s="259">
        <f>+'Flujo Caja'!K30</f>
        <v>632463.59781191871</v>
      </c>
      <c r="DS47" s="259">
        <f>+'Flujo Caja'!L30</f>
        <v>543363.59781191871</v>
      </c>
      <c r="DT47" s="259">
        <f>+'Flujo Caja'!M30</f>
        <v>556499.96144828235</v>
      </c>
      <c r="DU47" s="259">
        <f>+'Flujo Caja'!N30</f>
        <v>523045.41599373682</v>
      </c>
      <c r="DV47" s="259">
        <f>+'Flujo Caja'!O30</f>
        <v>502181.77963010047</v>
      </c>
      <c r="DW47" s="260">
        <f>+'Flujo Caja'!P30</f>
        <v>511590.87053919141</v>
      </c>
    </row>
    <row r="48" spans="3:127" thickBot="1" x14ac:dyDescent="0.25">
      <c r="C48" s="563" t="str">
        <f>+'Gantt Proyectos'!D134</f>
        <v>Evaluación de diferentes escenarios estrategicos (Cambio de producto)</v>
      </c>
      <c r="D48" s="561" t="str">
        <f>+'Gantt Proyectos'!E134</f>
        <v>BCG</v>
      </c>
      <c r="E48" s="561" t="str">
        <f>+'Gantt Proyectos'!F134</f>
        <v>Brasil</v>
      </c>
      <c r="F48" s="562">
        <f>+'Gantt Proyectos'!L134</f>
        <v>180000</v>
      </c>
      <c r="G48" s="564" t="str">
        <f>+'Gantt Proyectos'!AC134</f>
        <v>Consultoria y Due Dilligence</v>
      </c>
      <c r="H48" s="564" t="str">
        <f>+'Gantt Proyectos'!AD134</f>
        <v>No Asignado</v>
      </c>
      <c r="I48" s="538">
        <v>0.9</v>
      </c>
      <c r="J48" s="335">
        <v>1</v>
      </c>
      <c r="K48" s="312"/>
      <c r="DI48" s="237" t="s">
        <v>49</v>
      </c>
      <c r="DJ48" s="554">
        <f ca="1">+SUM(DL48:DW48)</f>
        <v>2791430.7929761317</v>
      </c>
      <c r="DK48" s="247">
        <f>+DK46-DK47</f>
        <v>952747.2179399142</v>
      </c>
      <c r="DL48" s="243">
        <f>+DL46-DL47</f>
        <v>195344.23583690985</v>
      </c>
      <c r="DM48" s="243">
        <f t="shared" ref="DM48:DW48" si="64">+DM46-DM47</f>
        <v>401034.19175965665</v>
      </c>
      <c r="DN48" s="243">
        <f t="shared" si="64"/>
        <v>165889.08047210309</v>
      </c>
      <c r="DO48" s="243">
        <f t="shared" si="64"/>
        <v>68828.919098712504</v>
      </c>
      <c r="DP48" s="243">
        <f t="shared" si="64"/>
        <v>121650.79077253223</v>
      </c>
      <c r="DQ48" s="243">
        <f t="shared" si="64"/>
        <v>167703.79978540761</v>
      </c>
      <c r="DR48" s="243">
        <f t="shared" ca="1" si="64"/>
        <v>370011.47204156104</v>
      </c>
      <c r="DS48" s="243">
        <f t="shared" ca="1" si="64"/>
        <v>331535.28394632309</v>
      </c>
      <c r="DT48" s="243">
        <f t="shared" ca="1" si="64"/>
        <v>368433.42824646737</v>
      </c>
      <c r="DU48" s="243">
        <f t="shared" ca="1" si="64"/>
        <v>387670.05703434628</v>
      </c>
      <c r="DV48" s="243">
        <f t="shared" ca="1" si="64"/>
        <v>158827.64577893494</v>
      </c>
      <c r="DW48" s="244">
        <f t="shared" ca="1" si="64"/>
        <v>54501.888203177368</v>
      </c>
    </row>
    <row r="49" spans="3:127" ht="14" x14ac:dyDescent="0.2">
      <c r="C49" s="563" t="str">
        <f>+'Gantt Proyectos'!D135</f>
        <v>Optimización proceso LOM + Implementación SIMPLAN</v>
      </c>
      <c r="D49" s="561" t="str">
        <f>+'Gantt Proyectos'!E135</f>
        <v>LHG</v>
      </c>
      <c r="E49" s="561" t="str">
        <f>+'Gantt Proyectos'!F135</f>
        <v>Brasil</v>
      </c>
      <c r="F49" s="562">
        <f>+'Gantt Proyectos'!L135</f>
        <v>150000</v>
      </c>
      <c r="G49" s="564" t="str">
        <f>+'Gantt Proyectos'!AC135</f>
        <v>Consultoria y Due Dilligence</v>
      </c>
      <c r="H49" s="564" t="str">
        <f>+'Gantt Proyectos'!AD135</f>
        <v>No Asignado</v>
      </c>
      <c r="I49" s="538">
        <v>0</v>
      </c>
      <c r="J49" s="335">
        <v>0</v>
      </c>
      <c r="K49" s="312"/>
      <c r="DL49" s="558">
        <f t="shared" ref="DL49:DW49" si="65">-DL47</f>
        <v>-521821.49806866958</v>
      </c>
      <c r="DM49" s="558">
        <f t="shared" si="65"/>
        <v>-533560.63733905577</v>
      </c>
      <c r="DN49" s="558">
        <f t="shared" si="65"/>
        <v>-617807.17918454926</v>
      </c>
      <c r="DO49" s="558">
        <f t="shared" si="65"/>
        <v>-555462.04656652361</v>
      </c>
      <c r="DP49" s="558">
        <f t="shared" si="65"/>
        <v>-566053.80364806869</v>
      </c>
      <c r="DQ49" s="558">
        <f t="shared" si="65"/>
        <v>-639612.27317596576</v>
      </c>
      <c r="DR49" s="558">
        <f t="shared" si="65"/>
        <v>-632463.59781191871</v>
      </c>
      <c r="DS49" s="558">
        <f t="shared" si="65"/>
        <v>-543363.59781191871</v>
      </c>
      <c r="DT49" s="558">
        <f t="shared" si="65"/>
        <v>-556499.96144828235</v>
      </c>
      <c r="DU49" s="558">
        <f t="shared" si="65"/>
        <v>-523045.41599373682</v>
      </c>
      <c r="DV49" s="558">
        <f t="shared" si="65"/>
        <v>-502181.77963010047</v>
      </c>
      <c r="DW49" s="558">
        <f t="shared" si="65"/>
        <v>-511590.87053919141</v>
      </c>
    </row>
    <row r="50" spans="3:127" ht="14" x14ac:dyDescent="0.2">
      <c r="C50" s="563" t="str">
        <f>+'Gantt Proyectos'!D136</f>
        <v>Servicio de Modelamiento Geotécnico Botaderos Parca</v>
      </c>
      <c r="D50" s="561" t="str">
        <f>+'Gantt Proyectos'!E136</f>
        <v>BHP</v>
      </c>
      <c r="E50" s="561" t="str">
        <f>+'Gantt Proyectos'!F136</f>
        <v>Chile</v>
      </c>
      <c r="F50" s="562">
        <f>+'Gantt Proyectos'!L136</f>
        <v>300000</v>
      </c>
      <c r="G50" s="564" t="str">
        <f>+'Gantt Proyectos'!AC136</f>
        <v>FS e Ing. Basica</v>
      </c>
      <c r="H50" s="564" t="str">
        <f>+'Gantt Proyectos'!AD136</f>
        <v>No Asignado</v>
      </c>
      <c r="I50" s="538">
        <v>0</v>
      </c>
      <c r="J50" s="335">
        <v>0</v>
      </c>
      <c r="K50" s="312"/>
      <c r="DO50" s="559">
        <v>830</v>
      </c>
    </row>
    <row r="51" spans="3:127" ht="14" x14ac:dyDescent="0.2">
      <c r="C51" s="563" t="str">
        <f>+'Gantt Proyectos'!D137</f>
        <v>Evaluación de cumplimiento de planes de corto plazo</v>
      </c>
      <c r="D51" s="561" t="str">
        <f>+'Gantt Proyectos'!E137</f>
        <v>Antamina</v>
      </c>
      <c r="E51" s="561" t="str">
        <f>+'Gantt Proyectos'!F137</f>
        <v>Perú</v>
      </c>
      <c r="F51" s="562">
        <f>+'Gantt Proyectos'!L137</f>
        <v>180000</v>
      </c>
      <c r="G51" s="564" t="str">
        <f>+'Gantt Proyectos'!AC137</f>
        <v>Consultoria y Due Dilligence</v>
      </c>
      <c r="H51" s="564" t="str">
        <f>+'Gantt Proyectos'!AD137</f>
        <v>No Asignado</v>
      </c>
      <c r="I51" s="538">
        <v>0.05</v>
      </c>
      <c r="J51" s="335">
        <v>1</v>
      </c>
      <c r="K51" s="312"/>
    </row>
    <row r="52" spans="3:127" ht="14" x14ac:dyDescent="0.2">
      <c r="C52" s="563" t="str">
        <f>+'Gantt Proyectos'!D138</f>
        <v xml:space="preserve"> Actualización del Estudio Geomecánico</v>
      </c>
      <c r="D52" s="561" t="str">
        <f>+'Gantt Proyectos'!E138</f>
        <v>Nexa</v>
      </c>
      <c r="E52" s="561" t="str">
        <f>+'Gantt Proyectos'!F138</f>
        <v>Perú</v>
      </c>
      <c r="F52" s="562">
        <f>+'Gantt Proyectos'!L138</f>
        <v>120000</v>
      </c>
      <c r="G52" s="564" t="str">
        <f>+'Gantt Proyectos'!AC138</f>
        <v>Consultoria y Due Dilligence</v>
      </c>
      <c r="H52" s="564" t="str">
        <f>+'Gantt Proyectos'!AD138</f>
        <v>No Asignado</v>
      </c>
      <c r="I52" s="538">
        <v>0</v>
      </c>
      <c r="J52" s="335">
        <v>0</v>
      </c>
      <c r="K52" s="312"/>
      <c r="DH52" s="501" t="s">
        <v>54</v>
      </c>
    </row>
    <row r="53" spans="3:127" thickBot="1" x14ac:dyDescent="0.25">
      <c r="C53" s="563" t="str">
        <f>+'Gantt Proyectos'!D139</f>
        <v>Ing detalle infraestructura Mina</v>
      </c>
      <c r="D53" s="561" t="str">
        <f>+'Gantt Proyectos'!E139</f>
        <v>BR Nickel</v>
      </c>
      <c r="E53" s="561" t="str">
        <f>+'Gantt Proyectos'!F139</f>
        <v>Brasil</v>
      </c>
      <c r="F53" s="562">
        <f>+'Gantt Proyectos'!L139</f>
        <v>700000</v>
      </c>
      <c r="G53" s="564" t="str">
        <f>+'Gantt Proyectos'!AC139</f>
        <v>FS e Ing. Basica</v>
      </c>
      <c r="H53" s="564" t="str">
        <f>+'Gantt Proyectos'!AD139</f>
        <v>No Asignado</v>
      </c>
      <c r="I53" s="538">
        <v>0</v>
      </c>
      <c r="J53" s="335">
        <v>0</v>
      </c>
      <c r="K53" s="312"/>
    </row>
    <row r="54" spans="3:127" thickBot="1" x14ac:dyDescent="0.25">
      <c r="C54" s="563" t="str">
        <f>+'Gantt Proyectos'!D140</f>
        <v>Estudio Geomecánico de Interacción Block Caving – Chancado Primario</v>
      </c>
      <c r="D54" s="561" t="str">
        <f>+'Gantt Proyectos'!E140</f>
        <v>Nexa</v>
      </c>
      <c r="E54" s="561" t="str">
        <f>+'Gantt Proyectos'!F140</f>
        <v>Perú</v>
      </c>
      <c r="F54" s="562">
        <f>+'Gantt Proyectos'!L140</f>
        <v>150000</v>
      </c>
      <c r="G54" s="564" t="str">
        <f>+'Gantt Proyectos'!AC140</f>
        <v>Consultoria y Due Dilligence</v>
      </c>
      <c r="H54" s="564" t="str">
        <f>+'Gantt Proyectos'!AD140</f>
        <v>No Asignado</v>
      </c>
      <c r="I54" s="538">
        <v>0</v>
      </c>
      <c r="J54" s="335">
        <v>0</v>
      </c>
      <c r="K54" s="312"/>
      <c r="DI54" s="484" t="s">
        <v>55</v>
      </c>
      <c r="DJ54" s="485" t="s">
        <v>32</v>
      </c>
      <c r="DK54" s="485">
        <v>45777</v>
      </c>
      <c r="DL54" s="486">
        <v>45807</v>
      </c>
      <c r="DM54" s="486">
        <v>45838</v>
      </c>
      <c r="DN54" s="486">
        <v>45868</v>
      </c>
      <c r="DO54" s="486">
        <v>45899</v>
      </c>
      <c r="DP54" s="486">
        <v>45930</v>
      </c>
      <c r="DQ54" s="486">
        <v>45960</v>
      </c>
      <c r="DR54" s="486">
        <v>45991</v>
      </c>
      <c r="DS54" s="487">
        <v>46021</v>
      </c>
    </row>
    <row r="55" spans="3:127" ht="14" x14ac:dyDescent="0.2">
      <c r="C55" s="563" t="str">
        <f>+'Gantt Proyectos'!D141</f>
        <v>Servicio de revisón independiente de infraestructura (relaves)</v>
      </c>
      <c r="D55" s="561" t="str">
        <f>+'Gantt Proyectos'!E141</f>
        <v>ERG</v>
      </c>
      <c r="E55" s="561" t="str">
        <f>+'Gantt Proyectos'!F141</f>
        <v>Brasil</v>
      </c>
      <c r="F55" s="562">
        <f>+'Gantt Proyectos'!L141</f>
        <v>490000</v>
      </c>
      <c r="G55" s="564" t="str">
        <f>+'Gantt Proyectos'!AC141</f>
        <v>Consultoria y Due Dilligence</v>
      </c>
      <c r="H55" s="564" t="str">
        <f>+'Gantt Proyectos'!AD141</f>
        <v>No Asignado</v>
      </c>
      <c r="I55" s="538">
        <v>0</v>
      </c>
      <c r="J55" s="335">
        <v>0</v>
      </c>
      <c r="K55" s="312"/>
      <c r="DI55" s="494" t="s">
        <v>41</v>
      </c>
      <c r="DJ55" s="495">
        <f>+AVERAGE(DL55:DS55)</f>
        <v>6.5</v>
      </c>
      <c r="DK55" s="488">
        <f>+COUNTIFS('Gantt Proyectos'!AF$97:AF$1048576,"&gt;"&amp;0,'Gantt Proyectos'!$F$97:$F$1048576,Dashboard!$DI55)</f>
        <v>13</v>
      </c>
      <c r="DL55" s="499">
        <f>+COUNTIFS('Gantt Proyectos'!AG$97:AG$1048576,"&gt;"&amp;0,'Gantt Proyectos'!$F$97:$F$1048576,Dashboard!$DI55)</f>
        <v>8</v>
      </c>
      <c r="DM55" s="499">
        <f>+COUNTIFS('Gantt Proyectos'!AH$97:AH$1048576,"&gt;"&amp;0,'Gantt Proyectos'!$F$97:$F$1048576,Dashboard!$DI55)</f>
        <v>6</v>
      </c>
      <c r="DN55" s="499">
        <f>+COUNTIFS('Gantt Proyectos'!AI$97:AI$1048576,"&gt;"&amp;0,'Gantt Proyectos'!$F$97:$F$1048576,Dashboard!$DI55)</f>
        <v>9</v>
      </c>
      <c r="DO55" s="499">
        <f>+COUNTIFS('Gantt Proyectos'!AJ$97:AJ$1048576,"&gt;"&amp;0,'Gantt Proyectos'!$F$97:$F$1048576,Dashboard!$DI55)</f>
        <v>8</v>
      </c>
      <c r="DP55" s="499">
        <f>+COUNTIFS('Gantt Proyectos'!AK$97:AK$1048576,"&gt;"&amp;0,'Gantt Proyectos'!$F$97:$F$1048576,Dashboard!$DI55)</f>
        <v>7</v>
      </c>
      <c r="DQ55" s="499">
        <f>+COUNTIFS('Gantt Proyectos'!AL$97:AL$1048576,"&gt;"&amp;0,'Gantt Proyectos'!$F$97:$F$1048576,Dashboard!$DI55)</f>
        <v>5</v>
      </c>
      <c r="DR55" s="499">
        <f>+COUNTIFS('Gantt Proyectos'!AM$97:AM$1048576,"&gt;"&amp;0,'Gantt Proyectos'!$F$97:$F$1048576,Dashboard!$DI55)</f>
        <v>5</v>
      </c>
      <c r="DS55" s="490">
        <f>+COUNTIFS('Gantt Proyectos'!AN$97:AN$1048576,"&gt;"&amp;0,'Gantt Proyectos'!$F$97:$F$1048576,Dashboard!$DI55)</f>
        <v>4</v>
      </c>
    </row>
    <row r="56" spans="3:127" ht="14" x14ac:dyDescent="0.2">
      <c r="C56" s="563" t="str">
        <f>+'Gantt Proyectos'!D142</f>
        <v>Rockhaven Klaza Project (PFS)</v>
      </c>
      <c r="D56" s="561" t="str">
        <f>+'Gantt Proyectos'!E142</f>
        <v>Rockhaven</v>
      </c>
      <c r="E56" s="561" t="str">
        <f>+'Gantt Proyectos'!F142</f>
        <v>USA</v>
      </c>
      <c r="F56" s="562">
        <f>+'Gantt Proyectos'!L142</f>
        <v>1500000</v>
      </c>
      <c r="G56" s="564" t="str">
        <f>+'Gantt Proyectos'!AC142</f>
        <v>PFS</v>
      </c>
      <c r="H56" s="564" t="str">
        <f>+'Gantt Proyectos'!AD142</f>
        <v>No Asignado</v>
      </c>
      <c r="I56" s="538">
        <v>0</v>
      </c>
      <c r="J56" s="335">
        <v>0</v>
      </c>
      <c r="DI56" s="494" t="s">
        <v>44</v>
      </c>
      <c r="DJ56" s="495">
        <f t="shared" ref="DJ56:DJ60" si="66">+AVERAGE(DL56:DS56)</f>
        <v>6.75</v>
      </c>
      <c r="DK56" s="488">
        <f>+COUNTIFS('Gantt Proyectos'!AF$97:AF$1048576,"&gt;"&amp;0,'Gantt Proyectos'!$F$97:$F$1048576,Dashboard!$DI56)</f>
        <v>6</v>
      </c>
      <c r="DL56" s="499">
        <f>+COUNTIFS('Gantt Proyectos'!AG$97:AG$1048576,"&gt;"&amp;0,'Gantt Proyectos'!$F$97:$F$1048576,Dashboard!$DI56)</f>
        <v>6</v>
      </c>
      <c r="DM56" s="499">
        <f>+COUNTIFS('Gantt Proyectos'!AH$97:AH$1048576,"&gt;"&amp;0,'Gantt Proyectos'!$F$97:$F$1048576,Dashboard!$DI56)</f>
        <v>7</v>
      </c>
      <c r="DN56" s="499">
        <f>+COUNTIFS('Gantt Proyectos'!AI$97:AI$1048576,"&gt;"&amp;0,'Gantt Proyectos'!$F$97:$F$1048576,Dashboard!$DI56)</f>
        <v>11</v>
      </c>
      <c r="DO56" s="499">
        <f>+COUNTIFS('Gantt Proyectos'!AJ$97:AJ$1048576,"&gt;"&amp;0,'Gantt Proyectos'!$F$97:$F$1048576,Dashboard!$DI56)</f>
        <v>11</v>
      </c>
      <c r="DP56" s="499">
        <f>+COUNTIFS('Gantt Proyectos'!AK$97:AK$1048576,"&gt;"&amp;0,'Gantt Proyectos'!$F$97:$F$1048576,Dashboard!$DI56)</f>
        <v>7</v>
      </c>
      <c r="DQ56" s="499">
        <f>+COUNTIFS('Gantt Proyectos'!AL$97:AL$1048576,"&gt;"&amp;0,'Gantt Proyectos'!$F$97:$F$1048576,Dashboard!$DI56)</f>
        <v>6</v>
      </c>
      <c r="DR56" s="499">
        <f>+COUNTIFS('Gantt Proyectos'!AM$97:AM$1048576,"&gt;"&amp;0,'Gantt Proyectos'!$F$97:$F$1048576,Dashboard!$DI56)</f>
        <v>4</v>
      </c>
      <c r="DS56" s="490">
        <f>+COUNTIFS('Gantt Proyectos'!AN$97:AN$1048576,"&gt;"&amp;0,'Gantt Proyectos'!$F$97:$F$1048576,Dashboard!$DI56)</f>
        <v>2</v>
      </c>
    </row>
    <row r="57" spans="3:127" ht="14" x14ac:dyDescent="0.2">
      <c r="C57" s="222" t="str">
        <f>+'Gantt Proyectos'!D143</f>
        <v>HILL OF VALUE AND OPTIMIZED CUT-OFF GRADE STRATEGY ANALYSIS</v>
      </c>
      <c r="D57" s="312" t="str">
        <f>+'Gantt Proyectos'!E143</f>
        <v>South 32</v>
      </c>
      <c r="E57" s="313" t="str">
        <f>+'Gantt Proyectos'!F143</f>
        <v>USA</v>
      </c>
      <c r="F57" s="315">
        <f>+'Gantt Proyectos'!L143</f>
        <v>40000</v>
      </c>
      <c r="G57" s="314" t="str">
        <f>+'Gantt Proyectos'!AC143</f>
        <v>Consultoria y Due Dilligence</v>
      </c>
      <c r="H57" s="314" t="str">
        <f>+'Gantt Proyectos'!AD143</f>
        <v>Asignado</v>
      </c>
      <c r="I57" s="538">
        <v>1</v>
      </c>
      <c r="J57" s="335">
        <v>1</v>
      </c>
      <c r="DI57" s="494" t="s">
        <v>45</v>
      </c>
      <c r="DJ57" s="495">
        <f t="shared" si="66"/>
        <v>5.25</v>
      </c>
      <c r="DK57" s="488">
        <f>+COUNTIFS('Gantt Proyectos'!AF$97:AF$1048576,"&gt;"&amp;0,'Gantt Proyectos'!$F$97:$F$1048576,Dashboard!$DI57)</f>
        <v>4</v>
      </c>
      <c r="DL57" s="499">
        <f>+COUNTIFS('Gantt Proyectos'!AG$97:AG$1048576,"&gt;"&amp;0,'Gantt Proyectos'!$F$97:$F$1048576,Dashboard!$DI57)</f>
        <v>5</v>
      </c>
      <c r="DM57" s="499">
        <f>+COUNTIFS('Gantt Proyectos'!AH$97:AH$1048576,"&gt;"&amp;0,'Gantt Proyectos'!$F$97:$F$1048576,Dashboard!$DI57)</f>
        <v>5</v>
      </c>
      <c r="DN57" s="499">
        <f>+COUNTIFS('Gantt Proyectos'!AI$97:AI$1048576,"&gt;"&amp;0,'Gantt Proyectos'!$F$97:$F$1048576,Dashboard!$DI57)</f>
        <v>7</v>
      </c>
      <c r="DO57" s="499">
        <f>+COUNTIFS('Gantt Proyectos'!AJ$97:AJ$1048576,"&gt;"&amp;0,'Gantt Proyectos'!$F$97:$F$1048576,Dashboard!$DI57)</f>
        <v>7</v>
      </c>
      <c r="DP57" s="499">
        <f>+COUNTIFS('Gantt Proyectos'!AK$97:AK$1048576,"&gt;"&amp;0,'Gantt Proyectos'!$F$97:$F$1048576,Dashboard!$DI57)</f>
        <v>7</v>
      </c>
      <c r="DQ57" s="499">
        <f>+COUNTIFS('Gantt Proyectos'!AL$97:AL$1048576,"&gt;"&amp;0,'Gantt Proyectos'!$F$97:$F$1048576,Dashboard!$DI57)</f>
        <v>5</v>
      </c>
      <c r="DR57" s="499">
        <f>+COUNTIFS('Gantt Proyectos'!AM$97:AM$1048576,"&gt;"&amp;0,'Gantt Proyectos'!$F$97:$F$1048576,Dashboard!$DI57)</f>
        <v>4</v>
      </c>
      <c r="DS57" s="490">
        <f>+COUNTIFS('Gantt Proyectos'!AN$97:AN$1048576,"&gt;"&amp;0,'Gantt Proyectos'!$F$97:$F$1048576,Dashboard!$DI57)</f>
        <v>2</v>
      </c>
    </row>
    <row r="58" spans="3:127" ht="14" x14ac:dyDescent="0.2">
      <c r="C58" s="563" t="str">
        <f>+'Gantt Proyectos'!D144</f>
        <v>Analisis de confiafilidad de plan + Entrenamiento de usuario</v>
      </c>
      <c r="D58" s="561" t="str">
        <f>+'Gantt Proyectos'!E144</f>
        <v>Capstone Copper</v>
      </c>
      <c r="E58" s="561" t="str">
        <f>+'Gantt Proyectos'!F144</f>
        <v>Chile</v>
      </c>
      <c r="F58" s="562">
        <f>+'Gantt Proyectos'!L144</f>
        <v>200000</v>
      </c>
      <c r="G58" s="564" t="str">
        <f>+'Gantt Proyectos'!AC144</f>
        <v>Consultoria y Due Dilligence</v>
      </c>
      <c r="H58" s="564" t="str">
        <f>+'Gantt Proyectos'!AD144</f>
        <v>No Asignado</v>
      </c>
      <c r="I58" s="538">
        <v>0.9</v>
      </c>
      <c r="J58" s="335">
        <v>1</v>
      </c>
      <c r="DI58" s="494" t="s">
        <v>46</v>
      </c>
      <c r="DJ58" s="495">
        <f t="shared" si="66"/>
        <v>2</v>
      </c>
      <c r="DK58" s="488">
        <f>+COUNTIFS('Gantt Proyectos'!AF$97:AF$1048576,"&gt;"&amp;0,'Gantt Proyectos'!$F$97:$F$1048576,Dashboard!$DI58)</f>
        <v>2</v>
      </c>
      <c r="DL58" s="499">
        <f>+COUNTIFS('Gantt Proyectos'!AG$97:AG$1048576,"&gt;"&amp;0,'Gantt Proyectos'!$F$97:$F$1048576,Dashboard!$DI58)</f>
        <v>2</v>
      </c>
      <c r="DM58" s="499">
        <f>+COUNTIFS('Gantt Proyectos'!AH$97:AH$1048576,"&gt;"&amp;0,'Gantt Proyectos'!$F$97:$F$1048576,Dashboard!$DI58)</f>
        <v>3</v>
      </c>
      <c r="DN58" s="499">
        <f>+COUNTIFS('Gantt Proyectos'!AI$97:AI$1048576,"&gt;"&amp;0,'Gantt Proyectos'!$F$97:$F$1048576,Dashboard!$DI58)</f>
        <v>1</v>
      </c>
      <c r="DO58" s="499">
        <f>+COUNTIFS('Gantt Proyectos'!AJ$97:AJ$1048576,"&gt;"&amp;0,'Gantt Proyectos'!$F$97:$F$1048576,Dashboard!$DI58)</f>
        <v>2</v>
      </c>
      <c r="DP58" s="499">
        <f>+COUNTIFS('Gantt Proyectos'!AK$97:AK$1048576,"&gt;"&amp;0,'Gantt Proyectos'!$F$97:$F$1048576,Dashboard!$DI58)</f>
        <v>2</v>
      </c>
      <c r="DQ58" s="499">
        <f>+COUNTIFS('Gantt Proyectos'!AL$97:AL$1048576,"&gt;"&amp;0,'Gantt Proyectos'!$F$97:$F$1048576,Dashboard!$DI58)</f>
        <v>2</v>
      </c>
      <c r="DR58" s="499">
        <f>+COUNTIFS('Gantt Proyectos'!AM$97:AM$1048576,"&gt;"&amp;0,'Gantt Proyectos'!$F$97:$F$1048576,Dashboard!$DI58)</f>
        <v>2</v>
      </c>
      <c r="DS58" s="490">
        <f>+COUNTIFS('Gantt Proyectos'!AN$97:AN$1048576,"&gt;"&amp;0,'Gantt Proyectos'!$F$97:$F$1048576,Dashboard!$DI58)</f>
        <v>2</v>
      </c>
    </row>
    <row r="59" spans="3:127" thickBot="1" x14ac:dyDescent="0.25">
      <c r="C59" s="563" t="str">
        <f>+'Gantt Proyectos'!D145</f>
        <v xml:space="preserve">Viabilidad Económica del proyecto </v>
      </c>
      <c r="D59" s="561" t="str">
        <f>+'Gantt Proyectos'!E145</f>
        <v>Minsur</v>
      </c>
      <c r="E59" s="561" t="str">
        <f>+'Gantt Proyectos'!F145</f>
        <v>Perú</v>
      </c>
      <c r="F59" s="562">
        <f>+'Gantt Proyectos'!L145</f>
        <v>150000</v>
      </c>
      <c r="G59" s="564" t="str">
        <f>+'Gantt Proyectos'!AC145</f>
        <v>Consultoria y Due Dilligence</v>
      </c>
      <c r="H59" s="564" t="str">
        <f>+'Gantt Proyectos'!AD145</f>
        <v>No Asignado</v>
      </c>
      <c r="I59" s="538">
        <v>0</v>
      </c>
      <c r="J59" s="335">
        <v>0</v>
      </c>
      <c r="DI59" s="496" t="s">
        <v>47</v>
      </c>
      <c r="DJ59" s="495">
        <f t="shared" si="66"/>
        <v>0</v>
      </c>
      <c r="DK59" s="488">
        <f>+COUNTIFS('Gantt Proyectos'!AF$97:AF$1048576,"&gt;"&amp;0,'Gantt Proyectos'!$F$97:$F$1048576,Dashboard!$DI59)</f>
        <v>0</v>
      </c>
      <c r="DL59" s="499">
        <f>+COUNTIFS('Gantt Proyectos'!AG$97:AG$1048576,"&gt;"&amp;0,'Gantt Proyectos'!$F$97:$F$1048576,Dashboard!$DI59)</f>
        <v>0</v>
      </c>
      <c r="DM59" s="499">
        <f>+COUNTIFS('Gantt Proyectos'!AH$97:AH$1048576,"&gt;"&amp;0,'Gantt Proyectos'!$F$97:$F$1048576,Dashboard!$DI59)</f>
        <v>0</v>
      </c>
      <c r="DN59" s="499">
        <f>+COUNTIFS('Gantt Proyectos'!AI$97:AI$1048576,"&gt;"&amp;0,'Gantt Proyectos'!$F$97:$F$1048576,Dashboard!$DI59)</f>
        <v>0</v>
      </c>
      <c r="DO59" s="499">
        <f>+COUNTIFS('Gantt Proyectos'!AJ$97:AJ$1048576,"&gt;"&amp;0,'Gantt Proyectos'!$F$97:$F$1048576,Dashboard!$DI59)</f>
        <v>0</v>
      </c>
      <c r="DP59" s="499">
        <f>+COUNTIFS('Gantt Proyectos'!AK$97:AK$1048576,"&gt;"&amp;0,'Gantt Proyectos'!$F$97:$F$1048576,Dashboard!$DI59)</f>
        <v>0</v>
      </c>
      <c r="DQ59" s="499">
        <f>+COUNTIFS('Gantt Proyectos'!AL$97:AL$1048576,"&gt;"&amp;0,'Gantt Proyectos'!$F$97:$F$1048576,Dashboard!$DI59)</f>
        <v>0</v>
      </c>
      <c r="DR59" s="499">
        <f>+COUNTIFS('Gantt Proyectos'!AM$97:AM$1048576,"&gt;"&amp;0,'Gantt Proyectos'!$F$97:$F$1048576,Dashboard!$DI59)</f>
        <v>0</v>
      </c>
      <c r="DS59" s="490">
        <f>+COUNTIFS('Gantt Proyectos'!AN$97:AN$1048576,"&gt;"&amp;0,'Gantt Proyectos'!$F$97:$F$1048576,Dashboard!$DI59)</f>
        <v>0</v>
      </c>
    </row>
    <row r="60" spans="3:127" thickBot="1" x14ac:dyDescent="0.25">
      <c r="C60" s="563" t="str">
        <f>+'Gantt Proyectos'!D146</f>
        <v>Ingeniería perfil Clavelinas</v>
      </c>
      <c r="D60" s="561" t="str">
        <f>+'Gantt Proyectos'!E146</f>
        <v>Minsur</v>
      </c>
      <c r="E60" s="561" t="str">
        <f>+'Gantt Proyectos'!F146</f>
        <v>Perú</v>
      </c>
      <c r="F60" s="562">
        <f>+'Gantt Proyectos'!L146</f>
        <v>180000</v>
      </c>
      <c r="G60" s="564" t="str">
        <f>+'Gantt Proyectos'!AC146</f>
        <v>Scoping</v>
      </c>
      <c r="H60" s="564" t="str">
        <f>+'Gantt Proyectos'!AD146</f>
        <v>No Asignado</v>
      </c>
      <c r="I60" s="538">
        <v>0.15</v>
      </c>
      <c r="J60" s="335">
        <v>1</v>
      </c>
      <c r="DI60" s="497" t="s">
        <v>32</v>
      </c>
      <c r="DJ60" s="498">
        <f t="shared" si="66"/>
        <v>20.5</v>
      </c>
      <c r="DK60" s="491">
        <f t="shared" ref="DK60:DS60" si="67">+SUM(DK55:DK59)</f>
        <v>25</v>
      </c>
      <c r="DL60" s="492">
        <f t="shared" si="67"/>
        <v>21</v>
      </c>
      <c r="DM60" s="492">
        <f t="shared" si="67"/>
        <v>21</v>
      </c>
      <c r="DN60" s="492">
        <f t="shared" si="67"/>
        <v>28</v>
      </c>
      <c r="DO60" s="492">
        <f t="shared" si="67"/>
        <v>28</v>
      </c>
      <c r="DP60" s="492">
        <f t="shared" si="67"/>
        <v>23</v>
      </c>
      <c r="DQ60" s="492">
        <f t="shared" si="67"/>
        <v>18</v>
      </c>
      <c r="DR60" s="492">
        <f t="shared" si="67"/>
        <v>15</v>
      </c>
      <c r="DS60" s="493">
        <f t="shared" si="67"/>
        <v>10</v>
      </c>
    </row>
    <row r="61" spans="3:127" ht="14" x14ac:dyDescent="0.2">
      <c r="C61" s="563" t="str">
        <f>+'Gantt Proyectos'!D147</f>
        <v>Ingeniería de factibilidad Cristina</v>
      </c>
      <c r="D61" s="561" t="str">
        <f>+'Gantt Proyectos'!E147</f>
        <v>Insideo</v>
      </c>
      <c r="E61" s="561" t="str">
        <f>+'Gantt Proyectos'!F147</f>
        <v>Perú</v>
      </c>
      <c r="F61" s="562">
        <f>+'Gantt Proyectos'!L147</f>
        <v>350000</v>
      </c>
      <c r="G61" s="564" t="str">
        <f>+'Gantt Proyectos'!AC147</f>
        <v>FS e Ing. Basica</v>
      </c>
      <c r="H61" s="564" t="str">
        <f>+'Gantt Proyectos'!AD147</f>
        <v>No Asignado</v>
      </c>
      <c r="I61" s="538">
        <v>0.1</v>
      </c>
      <c r="J61" s="335">
        <v>1</v>
      </c>
    </row>
    <row r="62" spans="3:127" ht="14" x14ac:dyDescent="0.2">
      <c r="C62" s="222" t="str">
        <f>+'Gantt Proyectos'!D148</f>
        <v>Conceptual Chalcobamba UG</v>
      </c>
      <c r="D62" s="312" t="str">
        <f>+'Gantt Proyectos'!E148</f>
        <v>Las Bambas</v>
      </c>
      <c r="E62" s="313" t="str">
        <f>+'Gantt Proyectos'!F148</f>
        <v>Perú</v>
      </c>
      <c r="F62" s="315">
        <f>+'Gantt Proyectos'!L148</f>
        <v>91000</v>
      </c>
      <c r="G62" s="314" t="str">
        <f>+'Gantt Proyectos'!AC148</f>
        <v>Estudio Conceptual / LOM</v>
      </c>
      <c r="H62" s="314" t="str">
        <f>+'Gantt Proyectos'!AD148</f>
        <v>Asignado</v>
      </c>
      <c r="I62" s="538">
        <v>1</v>
      </c>
      <c r="J62" s="335">
        <v>1</v>
      </c>
    </row>
    <row r="63" spans="3:127" ht="14" x14ac:dyDescent="0.2">
      <c r="C63" s="222" t="str">
        <f>+'Gantt Proyectos'!D149</f>
        <v>Ingeniería a nivel factibilidad de desarrollo y profundización de labores subterráneas segunda meiad</v>
      </c>
      <c r="D63" s="312" t="str">
        <f>+'Gantt Proyectos'!E149</f>
        <v>Cerro Pasco</v>
      </c>
      <c r="E63" s="313" t="str">
        <f>+'Gantt Proyectos'!F149</f>
        <v>Perú</v>
      </c>
      <c r="F63" s="315">
        <f>+'Gantt Proyectos'!L149</f>
        <v>100000</v>
      </c>
      <c r="G63" s="314" t="str">
        <f>+'Gantt Proyectos'!AC149</f>
        <v>FS e Ing. Basica</v>
      </c>
      <c r="H63" s="314" t="str">
        <f>+'Gantt Proyectos'!AD149</f>
        <v>Asignado</v>
      </c>
      <c r="I63" s="538">
        <v>1</v>
      </c>
      <c r="J63" s="335">
        <v>1</v>
      </c>
    </row>
    <row r="64" spans="3:127" thickBot="1" x14ac:dyDescent="0.25">
      <c r="C64" s="563" t="str">
        <f>+'Gantt Proyectos'!D150</f>
        <v>Corto plazo</v>
      </c>
      <c r="D64" s="561" t="str">
        <f>+'Gantt Proyectos'!E150</f>
        <v>CMDIC</v>
      </c>
      <c r="E64" s="561" t="str">
        <f>+'Gantt Proyectos'!F150</f>
        <v>Chile</v>
      </c>
      <c r="F64" s="562">
        <f>+'Gantt Proyectos'!L150</f>
        <v>120000</v>
      </c>
      <c r="G64" s="564" t="str">
        <f>+'Gantt Proyectos'!AC150</f>
        <v>Estudio Conceptual / LOM</v>
      </c>
      <c r="H64" s="564" t="str">
        <f>+'Gantt Proyectos'!AD150</f>
        <v>No Asignado</v>
      </c>
      <c r="I64" s="538">
        <v>0.3</v>
      </c>
      <c r="J64" s="335">
        <v>1</v>
      </c>
    </row>
    <row r="65" spans="3:123" thickBot="1" x14ac:dyDescent="0.25">
      <c r="C65" s="563" t="str">
        <f>+'Gantt Proyectos'!D151</f>
        <v>Corto plazo</v>
      </c>
      <c r="D65" s="561" t="str">
        <f>+'Gantt Proyectos'!E151</f>
        <v>AMSA</v>
      </c>
      <c r="E65" s="561" t="str">
        <f>+'Gantt Proyectos'!F151</f>
        <v>Chile</v>
      </c>
      <c r="F65" s="562">
        <f>+'Gantt Proyectos'!L151</f>
        <v>120000</v>
      </c>
      <c r="G65" s="564" t="str">
        <f>+'Gantt Proyectos'!AC151</f>
        <v>Estudio Conceptual / LOM</v>
      </c>
      <c r="H65" s="564" t="str">
        <f>+'Gantt Proyectos'!AD151</f>
        <v>No Asignado</v>
      </c>
      <c r="I65" s="538">
        <v>0.3</v>
      </c>
      <c r="J65" s="335">
        <v>1</v>
      </c>
      <c r="DI65" s="484" t="s">
        <v>55</v>
      </c>
      <c r="DJ65" s="485" t="s">
        <v>32</v>
      </c>
      <c r="DK65" s="485">
        <v>45777</v>
      </c>
      <c r="DL65" s="486">
        <v>45807</v>
      </c>
      <c r="DM65" s="486">
        <v>45838</v>
      </c>
      <c r="DN65" s="486">
        <v>45868</v>
      </c>
      <c r="DO65" s="486">
        <v>45899</v>
      </c>
      <c r="DP65" s="486">
        <v>45930</v>
      </c>
      <c r="DQ65" s="486">
        <v>45960</v>
      </c>
      <c r="DR65" s="486">
        <v>45991</v>
      </c>
      <c r="DS65" s="487">
        <v>46021</v>
      </c>
    </row>
    <row r="66" spans="3:123" ht="14" x14ac:dyDescent="0.2">
      <c r="C66" s="563" t="str">
        <f>+'Gantt Proyectos'!D152</f>
        <v>Acompañamiento simplan Cajati</v>
      </c>
      <c r="D66" s="561" t="str">
        <f>+'Gantt Proyectos'!E152</f>
        <v>Mosaic</v>
      </c>
      <c r="E66" s="561" t="str">
        <f>+'Gantt Proyectos'!F152</f>
        <v>Brasil</v>
      </c>
      <c r="F66" s="562">
        <f>+'Gantt Proyectos'!L152</f>
        <v>85000</v>
      </c>
      <c r="G66" s="564" t="str">
        <f>+'Gantt Proyectos'!AC152</f>
        <v>Consultoria y Due Dilligence</v>
      </c>
      <c r="H66" s="564" t="str">
        <f>+'Gantt Proyectos'!AD152</f>
        <v>No Asignado</v>
      </c>
      <c r="I66" s="538">
        <v>0.5</v>
      </c>
      <c r="J66" s="335">
        <v>1</v>
      </c>
      <c r="DI66" s="494" t="s">
        <v>3</v>
      </c>
      <c r="DJ66" s="495">
        <f>+AVERAGE(DL66:DS66)</f>
        <v>7.25</v>
      </c>
      <c r="DK66" s="488">
        <f>+COUNTIFS('Gantt Proyectos'!AF$97:AF$1048576,"&gt;"&amp;0,'Gantt Proyectos'!$AD$97:$AD$1048576,Dashboard!$DI66)</f>
        <v>25</v>
      </c>
      <c r="DL66" s="499">
        <f>+COUNTIFS('Gantt Proyectos'!AG$97:AG$1048576,"&gt;"&amp;0,'Gantt Proyectos'!$AD$97:$AD$1048576,Dashboard!$DI66)</f>
        <v>20</v>
      </c>
      <c r="DM66" s="499">
        <f>+COUNTIFS('Gantt Proyectos'!AH$97:AH$1048576,"&gt;"&amp;0,'Gantt Proyectos'!$AD$97:$AD$1048576,Dashboard!$DI66)</f>
        <v>16</v>
      </c>
      <c r="DN66" s="499">
        <f>+COUNTIFS('Gantt Proyectos'!AI$97:AI$1048576,"&gt;"&amp;0,'Gantt Proyectos'!$AD$97:$AD$1048576,Dashboard!$DI66)</f>
        <v>10</v>
      </c>
      <c r="DO66" s="499">
        <f>+COUNTIFS('Gantt Proyectos'!AJ$97:AJ$1048576,"&gt;"&amp;0,'Gantt Proyectos'!$AD$97:$AD$1048576,Dashboard!$DI66)</f>
        <v>5</v>
      </c>
      <c r="DP66" s="499">
        <f>+COUNTIFS('Gantt Proyectos'!AK$97:AK$1048576,"&gt;"&amp;0,'Gantt Proyectos'!$AD$97:$AD$1048576,Dashboard!$DI66)</f>
        <v>2</v>
      </c>
      <c r="DQ66" s="499">
        <f>+COUNTIFS('Gantt Proyectos'!AL$97:AL$1048576,"&gt;"&amp;0,'Gantt Proyectos'!$AD$97:$AD$1048576,Dashboard!$DI66)</f>
        <v>2</v>
      </c>
      <c r="DR66" s="499">
        <f>+COUNTIFS('Gantt Proyectos'!AM$97:AM$1048576,"&gt;"&amp;0,'Gantt Proyectos'!$AD$97:$AD$1048576,Dashboard!$DI66)</f>
        <v>2</v>
      </c>
      <c r="DS66" s="490">
        <f>+COUNTIFS('Gantt Proyectos'!AN$97:AN$1048576,"&gt;"&amp;0,'Gantt Proyectos'!$AD$97:$AD$1048576,Dashboard!$DI66)</f>
        <v>1</v>
      </c>
    </row>
    <row r="67" spans="3:123" ht="14" x14ac:dyDescent="0.2">
      <c r="C67" s="563" t="str">
        <f>+'Gantt Proyectos'!D153</f>
        <v xml:space="preserve">Actualziación LOM </v>
      </c>
      <c r="D67" s="561" t="str">
        <f>+'Gantt Proyectos'!E153</f>
        <v>LHG</v>
      </c>
      <c r="E67" s="561" t="str">
        <f>+'Gantt Proyectos'!F153</f>
        <v>Brasil</v>
      </c>
      <c r="F67" s="562">
        <f>+'Gantt Proyectos'!L153</f>
        <v>145000</v>
      </c>
      <c r="G67" s="564" t="str">
        <f>+'Gantt Proyectos'!AC153</f>
        <v>Estudio Conceptual / LOM</v>
      </c>
      <c r="H67" s="564" t="str">
        <f>+'Gantt Proyectos'!AD153</f>
        <v>No Asignado</v>
      </c>
      <c r="I67" s="538">
        <v>0.8</v>
      </c>
      <c r="J67" s="335">
        <v>1</v>
      </c>
      <c r="DI67" s="494" t="s">
        <v>4</v>
      </c>
      <c r="DJ67" s="495">
        <f t="shared" ref="DJ67:DJ69" si="68">+AVERAGE(DL67:DS67)</f>
        <v>2.625</v>
      </c>
      <c r="DK67" s="488">
        <f>+COUNTIFS('Gantt Proyectos'!AF$97:AF$1048576,"&gt;"&amp;0,'Gantt Proyectos'!$AD$97:$AD$1048576,Dashboard!$DI67)</f>
        <v>0</v>
      </c>
      <c r="DL67" s="499">
        <f>+COUNTIFS('Gantt Proyectos'!AG$97:AG$1048576,"&gt;"&amp;0,'Gantt Proyectos'!$AD$97:$AD$1048576,Dashboard!$DI67)</f>
        <v>1</v>
      </c>
      <c r="DM67" s="499">
        <f>+COUNTIFS('Gantt Proyectos'!AH$97:AH$1048576,"&gt;"&amp;0,'Gantt Proyectos'!$AD$97:$AD$1048576,Dashboard!$DI67)</f>
        <v>2</v>
      </c>
      <c r="DN67" s="499">
        <f>+COUNTIFS('Gantt Proyectos'!AI$97:AI$1048576,"&gt;"&amp;0,'Gantt Proyectos'!$AD$97:$AD$1048576,Dashboard!$DI67)</f>
        <v>3</v>
      </c>
      <c r="DO67" s="499">
        <f>+COUNTIFS('Gantt Proyectos'!AJ$97:AJ$1048576,"&gt;"&amp;0,'Gantt Proyectos'!$AD$97:$AD$1048576,Dashboard!$DI67)</f>
        <v>4</v>
      </c>
      <c r="DP67" s="499">
        <f>+COUNTIFS('Gantt Proyectos'!AK$97:AK$1048576,"&gt;"&amp;0,'Gantt Proyectos'!$AD$97:$AD$1048576,Dashboard!$DI67)</f>
        <v>4</v>
      </c>
      <c r="DQ67" s="499">
        <f>+COUNTIFS('Gantt Proyectos'!AL$97:AL$1048576,"&gt;"&amp;0,'Gantt Proyectos'!$AD$97:$AD$1048576,Dashboard!$DI67)</f>
        <v>4</v>
      </c>
      <c r="DR67" s="499">
        <f>+COUNTIFS('Gantt Proyectos'!AM$97:AM$1048576,"&gt;"&amp;0,'Gantt Proyectos'!$AD$97:$AD$1048576,Dashboard!$DI67)</f>
        <v>2</v>
      </c>
      <c r="DS67" s="490">
        <f>+COUNTIFS('Gantt Proyectos'!AN$97:AN$1048576,"&gt;"&amp;0,'Gantt Proyectos'!$AD$97:$AD$1048576,Dashboard!$DI67)</f>
        <v>1</v>
      </c>
    </row>
    <row r="68" spans="3:123" thickBot="1" x14ac:dyDescent="0.25">
      <c r="C68" s="222" t="str">
        <f>+'Gantt Proyectos'!D154</f>
        <v>Alpayana Estudio de Sismicidad</v>
      </c>
      <c r="D68" s="312" t="str">
        <f>+'Gantt Proyectos'!E154</f>
        <v>Alpayana</v>
      </c>
      <c r="E68" s="313" t="str">
        <f>+'Gantt Proyectos'!F154</f>
        <v>Perú</v>
      </c>
      <c r="F68" s="315">
        <f>+'Gantt Proyectos'!L154</f>
        <v>197494</v>
      </c>
      <c r="G68" s="314" t="str">
        <f>+'Gantt Proyectos'!AC154</f>
        <v>Estudio Conceptual / LOM</v>
      </c>
      <c r="H68" s="314" t="str">
        <f>+'Gantt Proyectos'!AD154</f>
        <v>Asignado</v>
      </c>
      <c r="I68" s="538">
        <v>1</v>
      </c>
      <c r="J68" s="335">
        <v>1</v>
      </c>
      <c r="DI68" s="494" t="s">
        <v>5</v>
      </c>
      <c r="DJ68" s="495">
        <f t="shared" si="68"/>
        <v>10.625</v>
      </c>
      <c r="DK68" s="488">
        <f>+COUNTIFS('Gantt Proyectos'!AF$97:AF$1048576,"&gt;"&amp;0,'Gantt Proyectos'!$AD$97:$AD$1048576,Dashboard!$DI68)</f>
        <v>0</v>
      </c>
      <c r="DL68" s="499">
        <f>+COUNTIFS('Gantt Proyectos'!AG$97:AG$1048576,"&gt;"&amp;0,'Gantt Proyectos'!$AD$97:$AD$1048576,Dashboard!$DI68)</f>
        <v>0</v>
      </c>
      <c r="DM68" s="499">
        <f>+COUNTIFS('Gantt Proyectos'!AH$97:AH$1048576,"&gt;"&amp;0,'Gantt Proyectos'!$AD$97:$AD$1048576,Dashboard!$DI68)</f>
        <v>3</v>
      </c>
      <c r="DN68" s="499">
        <f>+COUNTIFS('Gantt Proyectos'!AI$97:AI$1048576,"&gt;"&amp;0,'Gantt Proyectos'!$AD$97:$AD$1048576,Dashboard!$DI68)</f>
        <v>15</v>
      </c>
      <c r="DO68" s="499">
        <f>+COUNTIFS('Gantt Proyectos'!AJ$97:AJ$1048576,"&gt;"&amp;0,'Gantt Proyectos'!$AD$97:$AD$1048576,Dashboard!$DI68)</f>
        <v>19</v>
      </c>
      <c r="DP68" s="499">
        <f>+COUNTIFS('Gantt Proyectos'!AK$97:AK$1048576,"&gt;"&amp;0,'Gantt Proyectos'!$AD$97:$AD$1048576,Dashboard!$DI68)</f>
        <v>17</v>
      </c>
      <c r="DQ68" s="499">
        <f>+COUNTIFS('Gantt Proyectos'!AL$97:AL$1048576,"&gt;"&amp;0,'Gantt Proyectos'!$AD$97:$AD$1048576,Dashboard!$DI68)</f>
        <v>12</v>
      </c>
      <c r="DR68" s="499">
        <f>+COUNTIFS('Gantt Proyectos'!AM$97:AM$1048576,"&gt;"&amp;0,'Gantt Proyectos'!$AD$97:$AD$1048576,Dashboard!$DI68)</f>
        <v>11</v>
      </c>
      <c r="DS68" s="490">
        <f>+COUNTIFS('Gantt Proyectos'!AN$97:AN$1048576,"&gt;"&amp;0,'Gantt Proyectos'!$AD$97:$AD$1048576,Dashboard!$DI68)</f>
        <v>8</v>
      </c>
    </row>
    <row r="69" spans="3:123" thickBot="1" x14ac:dyDescent="0.25">
      <c r="C69" s="563" t="str">
        <f>+'Gantt Proyectos'!D155</f>
        <v>Vale Gongo Soco</v>
      </c>
      <c r="D69" s="561" t="str">
        <f>+'Gantt Proyectos'!E155</f>
        <v>Vale</v>
      </c>
      <c r="E69" s="561" t="str">
        <f>+'Gantt Proyectos'!F155</f>
        <v>Brasil</v>
      </c>
      <c r="F69" s="562">
        <f>+'Gantt Proyectos'!L155</f>
        <v>475000</v>
      </c>
      <c r="G69" s="564" t="str">
        <f>+'Gantt Proyectos'!AC155</f>
        <v>Scoping</v>
      </c>
      <c r="H69" s="564" t="str">
        <f>+'Gantt Proyectos'!AD155</f>
        <v>No Asignado</v>
      </c>
      <c r="I69" s="538">
        <v>0.5</v>
      </c>
      <c r="J69" s="335">
        <v>1</v>
      </c>
      <c r="DI69" s="497" t="s">
        <v>32</v>
      </c>
      <c r="DJ69" s="498">
        <f t="shared" si="68"/>
        <v>20.5</v>
      </c>
      <c r="DK69" s="491">
        <f t="shared" ref="DK69:DS69" si="69">+SUM(DK66:DK68)</f>
        <v>25</v>
      </c>
      <c r="DL69" s="492">
        <f t="shared" si="69"/>
        <v>21</v>
      </c>
      <c r="DM69" s="492">
        <f t="shared" si="69"/>
        <v>21</v>
      </c>
      <c r="DN69" s="492">
        <f t="shared" si="69"/>
        <v>28</v>
      </c>
      <c r="DO69" s="492">
        <f t="shared" si="69"/>
        <v>28</v>
      </c>
      <c r="DP69" s="492">
        <f t="shared" si="69"/>
        <v>23</v>
      </c>
      <c r="DQ69" s="492">
        <f t="shared" si="69"/>
        <v>18</v>
      </c>
      <c r="DR69" s="492">
        <f t="shared" si="69"/>
        <v>15</v>
      </c>
      <c r="DS69" s="493">
        <f t="shared" si="69"/>
        <v>10</v>
      </c>
    </row>
    <row r="70" spans="3:123" x14ac:dyDescent="0.2">
      <c r="DJ70" s="212"/>
    </row>
    <row r="74" spans="3:123" x14ac:dyDescent="0.2">
      <c r="DH74" s="501" t="s">
        <v>56</v>
      </c>
    </row>
    <row r="76" spans="3:123" ht="16" thickBot="1" x14ac:dyDescent="0.25"/>
    <row r="77" spans="3:123" ht="16" thickBot="1" x14ac:dyDescent="0.25">
      <c r="DI77" s="484" t="s">
        <v>57</v>
      </c>
      <c r="DJ77" s="485" t="s">
        <v>32</v>
      </c>
      <c r="DK77" s="485">
        <v>45777</v>
      </c>
      <c r="DL77" s="486">
        <v>45807</v>
      </c>
      <c r="DM77" s="486">
        <v>45838</v>
      </c>
      <c r="DN77" s="486">
        <v>45868</v>
      </c>
      <c r="DO77" s="486">
        <v>45899</v>
      </c>
      <c r="DP77" s="486">
        <v>45930</v>
      </c>
      <c r="DQ77" s="486">
        <v>45960</v>
      </c>
      <c r="DR77" s="486">
        <v>45991</v>
      </c>
      <c r="DS77" s="487">
        <v>46021</v>
      </c>
    </row>
    <row r="78" spans="3:123" x14ac:dyDescent="0.2">
      <c r="DI78" s="494" t="s">
        <v>3</v>
      </c>
      <c r="DJ78" s="495">
        <f>+AVERAGE(DL78:DS78)</f>
        <v>9.4449105145413856</v>
      </c>
      <c r="DK78" s="488">
        <f>+COUNTIFS('Gantt Proyectos'!AF$97:AF$1048576,"&gt;"&amp;0,'Gantt Proyectos'!$AD$97:$AD$1048576,Dashboard!$DI78)</f>
        <v>25</v>
      </c>
      <c r="DL78" s="489">
        <f>+'Gantt Proyectos'!AG11</f>
        <v>24.946308724832214</v>
      </c>
      <c r="DM78" s="489">
        <f>+'Gantt Proyectos'!AH11</f>
        <v>21.52572706935123</v>
      </c>
      <c r="DN78" s="489">
        <f>+'Gantt Proyectos'!AI11</f>
        <v>13.639821029082777</v>
      </c>
      <c r="DO78" s="489">
        <f>+'Gantt Proyectos'!AJ11</f>
        <v>5.3154362416107404</v>
      </c>
      <c r="DP78" s="489">
        <f>+'Gantt Proyectos'!AK11</f>
        <v>2.8948545861297568</v>
      </c>
      <c r="DQ78" s="489">
        <f>+'Gantt Proyectos'!AL11</f>
        <v>2.8948545861297568</v>
      </c>
      <c r="DR78" s="489">
        <f>+'Gantt Proyectos'!AM11</f>
        <v>2.8948545861297568</v>
      </c>
      <c r="DS78" s="490">
        <f>+'Gantt Proyectos'!AN11</f>
        <v>1.4474272930648768</v>
      </c>
    </row>
    <row r="79" spans="3:123" x14ac:dyDescent="0.2">
      <c r="DI79" s="494" t="s">
        <v>4</v>
      </c>
      <c r="DJ79" s="495">
        <f t="shared" ref="DJ79:DJ81" si="70">+AVERAGE(DL79:DS79)</f>
        <v>4.248322147651006</v>
      </c>
      <c r="DK79" s="488">
        <f>+COUNTIFS('Gantt Proyectos'!AF$97:AF$1048576,"&gt;"&amp;0,'Gantt Proyectos'!$AD$97:$AD$1048576,Dashboard!$DI79)</f>
        <v>0</v>
      </c>
      <c r="DL79" s="489">
        <f>+'Gantt Proyectos'!AG13-'Gantt Proyectos'!AG11</f>
        <v>1</v>
      </c>
      <c r="DM79" s="489">
        <f>+'Gantt Proyectos'!AH13-'Gantt Proyectos'!AH11</f>
        <v>1.7203579418344503</v>
      </c>
      <c r="DN79" s="489">
        <f>+'Gantt Proyectos'!AI13-'Gantt Proyectos'!AI11</f>
        <v>5.8210290827740483</v>
      </c>
      <c r="DO79" s="489">
        <f>+'Gantt Proyectos'!AJ13-'Gantt Proyectos'!AJ11</f>
        <v>6.5413870246085004</v>
      </c>
      <c r="DP79" s="489">
        <f>+'Gantt Proyectos'!AK13-'Gantt Proyectos'!AK11</f>
        <v>6.5413870246085004</v>
      </c>
      <c r="DQ79" s="489">
        <f>+'Gantt Proyectos'!AL13-'Gantt Proyectos'!AL11</f>
        <v>6.5413870246085004</v>
      </c>
      <c r="DR79" s="489">
        <f>+'Gantt Proyectos'!AM13-'Gantt Proyectos'!AM11</f>
        <v>3.2706935123042502</v>
      </c>
      <c r="DS79" s="490">
        <f>+'Gantt Proyectos'!AN13-'Gantt Proyectos'!AN11</f>
        <v>2.550335570469799</v>
      </c>
    </row>
    <row r="80" spans="3:123" ht="16" thickBot="1" x14ac:dyDescent="0.25">
      <c r="DI80" s="494" t="s">
        <v>5</v>
      </c>
      <c r="DJ80" s="495">
        <f t="shared" si="70"/>
        <v>4.9460710290827743</v>
      </c>
      <c r="DK80" s="488">
        <f>+COUNTIFS('Gantt Proyectos'!AF$97:AF$1048576,"&gt;"&amp;0,'Gantt Proyectos'!$AD$97:$AD$1048576,Dashboard!$DI80)</f>
        <v>0</v>
      </c>
      <c r="DL80" s="489">
        <f>+'Gantt Proyectos'!AG15-'Gantt Proyectos'!AG13</f>
        <v>0</v>
      </c>
      <c r="DM80" s="489">
        <f>+'Gantt Proyectos'!AH15-'Gantt Proyectos'!AH13</f>
        <v>0.24474272930648766</v>
      </c>
      <c r="DN80" s="489">
        <f>+'Gantt Proyectos'!AI15-'Gantt Proyectos'!AI13</f>
        <v>6.8237136465324362</v>
      </c>
      <c r="DO80" s="489">
        <f>+'Gantt Proyectos'!AJ15-'Gantt Proyectos'!AJ13</f>
        <v>8.3024608501118564</v>
      </c>
      <c r="DP80" s="489">
        <f>+'Gantt Proyectos'!AK15-'Gantt Proyectos'!AK13</f>
        <v>8.0853467561521271</v>
      </c>
      <c r="DQ80" s="489">
        <f>+'Gantt Proyectos'!AL15-'Gantt Proyectos'!AL13</f>
        <v>6.1268456375838927</v>
      </c>
      <c r="DR80" s="489">
        <f>+'Gantt Proyectos'!AM15-'Gantt Proyectos'!AM13</f>
        <v>5.6268456375838927</v>
      </c>
      <c r="DS80" s="490">
        <f>+'Gantt Proyectos'!AN15-'Gantt Proyectos'!AN13</f>
        <v>4.3586129753914991</v>
      </c>
    </row>
    <row r="81" spans="113:123" ht="16" thickBot="1" x14ac:dyDescent="0.25">
      <c r="DI81" s="497" t="s">
        <v>32</v>
      </c>
      <c r="DJ81" s="498">
        <f t="shared" si="70"/>
        <v>18.639303691275167</v>
      </c>
      <c r="DK81" s="491">
        <f t="shared" ref="DK81:DS81" si="71">+SUM(DK78:DK80)</f>
        <v>25</v>
      </c>
      <c r="DL81" s="492">
        <f t="shared" si="71"/>
        <v>25.946308724832214</v>
      </c>
      <c r="DM81" s="492">
        <f t="shared" si="71"/>
        <v>23.490827740492168</v>
      </c>
      <c r="DN81" s="492">
        <f t="shared" si="71"/>
        <v>26.284563758389261</v>
      </c>
      <c r="DO81" s="492">
        <f t="shared" si="71"/>
        <v>20.159284116331097</v>
      </c>
      <c r="DP81" s="492">
        <f t="shared" si="71"/>
        <v>17.521588366890384</v>
      </c>
      <c r="DQ81" s="492">
        <f t="shared" si="71"/>
        <v>15.56308724832215</v>
      </c>
      <c r="DR81" s="492">
        <f t="shared" si="71"/>
        <v>11.7923937360179</v>
      </c>
      <c r="DS81" s="493">
        <f t="shared" si="71"/>
        <v>8.3563758389261746</v>
      </c>
    </row>
    <row r="82" spans="113:123" ht="16" thickBot="1" x14ac:dyDescent="0.25"/>
    <row r="83" spans="113:123" ht="16" thickBot="1" x14ac:dyDescent="0.25">
      <c r="DI83" s="484" t="s">
        <v>58</v>
      </c>
      <c r="DJ83" s="485" t="s">
        <v>59</v>
      </c>
      <c r="DK83" s="485">
        <v>45777</v>
      </c>
      <c r="DL83" s="486">
        <v>45807</v>
      </c>
      <c r="DM83" s="486">
        <v>45838</v>
      </c>
      <c r="DN83" s="486">
        <v>45868</v>
      </c>
      <c r="DO83" s="486">
        <v>45899</v>
      </c>
      <c r="DP83" s="486">
        <v>45930</v>
      </c>
      <c r="DQ83" s="486">
        <v>45960</v>
      </c>
      <c r="DR83" s="486">
        <v>45991</v>
      </c>
      <c r="DS83" s="487">
        <v>46021</v>
      </c>
    </row>
    <row r="84" spans="113:123" x14ac:dyDescent="0.2">
      <c r="DI84" s="300" t="s">
        <v>25</v>
      </c>
      <c r="DJ84" s="569">
        <f>+AVERAGE(DL84:DS84)</f>
        <v>7</v>
      </c>
      <c r="DK84" s="516">
        <f>+COUNTIFS('Gantt Proyectos'!AF$97:AF$1048576,"&gt;"&amp;0,'Gantt Proyectos'!$AD$97:$AD$1048576,Dashboard!$DI84)</f>
        <v>0</v>
      </c>
      <c r="DL84" s="516">
        <f t="array" ref="DL84:DS88">+TRANSPOSE(Q12:U19)</f>
        <v>7</v>
      </c>
      <c r="DM84" s="516">
        <v>7</v>
      </c>
      <c r="DN84" s="516">
        <v>7</v>
      </c>
      <c r="DO84" s="516">
        <v>7</v>
      </c>
      <c r="DP84" s="516">
        <v>7</v>
      </c>
      <c r="DQ84" s="516">
        <v>7</v>
      </c>
      <c r="DR84" s="516">
        <v>7</v>
      </c>
      <c r="DS84" s="517">
        <v>7</v>
      </c>
    </row>
    <row r="85" spans="113:123" x14ac:dyDescent="0.2">
      <c r="DI85" s="300" t="s">
        <v>26</v>
      </c>
      <c r="DJ85" s="570">
        <f t="shared" ref="DJ85:DJ89" si="72">+AVERAGE(DL85:DS85)</f>
        <v>8</v>
      </c>
      <c r="DK85" s="518"/>
      <c r="DL85" s="518">
        <v>8</v>
      </c>
      <c r="DM85" s="518">
        <v>8</v>
      </c>
      <c r="DN85" s="518">
        <v>8</v>
      </c>
      <c r="DO85" s="518">
        <v>8</v>
      </c>
      <c r="DP85" s="518">
        <v>8</v>
      </c>
      <c r="DQ85" s="518">
        <v>8</v>
      </c>
      <c r="DR85" s="518">
        <v>8</v>
      </c>
      <c r="DS85" s="519">
        <v>8</v>
      </c>
    </row>
    <row r="86" spans="113:123" x14ac:dyDescent="0.2">
      <c r="DI86" s="300" t="s">
        <v>27</v>
      </c>
      <c r="DJ86" s="570">
        <f t="shared" si="72"/>
        <v>12</v>
      </c>
      <c r="DK86" s="518"/>
      <c r="DL86" s="518">
        <v>12</v>
      </c>
      <c r="DM86" s="518">
        <v>12</v>
      </c>
      <c r="DN86" s="518">
        <v>12</v>
      </c>
      <c r="DO86" s="518">
        <v>12</v>
      </c>
      <c r="DP86" s="518">
        <v>12</v>
      </c>
      <c r="DQ86" s="518">
        <v>12</v>
      </c>
      <c r="DR86" s="518">
        <v>12</v>
      </c>
      <c r="DS86" s="519">
        <v>12</v>
      </c>
    </row>
    <row r="87" spans="113:123" x14ac:dyDescent="0.2">
      <c r="DI87" s="300" t="s">
        <v>28</v>
      </c>
      <c r="DJ87" s="570">
        <f t="shared" si="72"/>
        <v>21</v>
      </c>
      <c r="DK87" s="520">
        <f>+COUNTIFS('Gantt Proyectos'!AF$97:AF$1048576,"&gt;"&amp;0,'Gantt Proyectos'!$AD$97:$AD$1048576,Dashboard!$DI87)</f>
        <v>0</v>
      </c>
      <c r="DL87" s="520">
        <v>21</v>
      </c>
      <c r="DM87" s="520">
        <v>21</v>
      </c>
      <c r="DN87" s="520">
        <v>21</v>
      </c>
      <c r="DO87" s="520">
        <v>21</v>
      </c>
      <c r="DP87" s="520">
        <v>21</v>
      </c>
      <c r="DQ87" s="520">
        <v>21</v>
      </c>
      <c r="DR87" s="520">
        <v>21</v>
      </c>
      <c r="DS87" s="521">
        <v>21</v>
      </c>
    </row>
    <row r="88" spans="113:123" ht="16" thickBot="1" x14ac:dyDescent="0.25">
      <c r="DI88" s="300" t="s">
        <v>29</v>
      </c>
      <c r="DJ88" s="571">
        <f t="shared" si="72"/>
        <v>13</v>
      </c>
      <c r="DK88" s="520">
        <f>+COUNTIFS('Gantt Proyectos'!AF$97:AF$1048576,"&gt;"&amp;0,'Gantt Proyectos'!$AD$97:$AD$1048576,Dashboard!$DI88)</f>
        <v>0</v>
      </c>
      <c r="DL88" s="520">
        <v>13</v>
      </c>
      <c r="DM88" s="520">
        <v>13</v>
      </c>
      <c r="DN88" s="520">
        <v>13</v>
      </c>
      <c r="DO88" s="520">
        <v>13</v>
      </c>
      <c r="DP88" s="520">
        <v>13</v>
      </c>
      <c r="DQ88" s="520">
        <v>13</v>
      </c>
      <c r="DR88" s="520">
        <v>13</v>
      </c>
      <c r="DS88" s="521">
        <v>13</v>
      </c>
    </row>
    <row r="89" spans="113:123" ht="16" thickBot="1" x14ac:dyDescent="0.25">
      <c r="DI89" s="497" t="s">
        <v>32</v>
      </c>
      <c r="DJ89" s="522">
        <f t="shared" si="72"/>
        <v>61</v>
      </c>
      <c r="DK89" s="523">
        <f>+SUM(DK84:DK88)</f>
        <v>0</v>
      </c>
      <c r="DL89" s="524">
        <f>+SUM(DL84:DL88)</f>
        <v>61</v>
      </c>
      <c r="DM89" s="524">
        <f t="shared" ref="DM89:DS89" si="73">+SUM(DM84:DM88)</f>
        <v>61</v>
      </c>
      <c r="DN89" s="524">
        <f t="shared" si="73"/>
        <v>61</v>
      </c>
      <c r="DO89" s="524">
        <f t="shared" si="73"/>
        <v>61</v>
      </c>
      <c r="DP89" s="524">
        <f t="shared" si="73"/>
        <v>61</v>
      </c>
      <c r="DQ89" s="524">
        <f t="shared" si="73"/>
        <v>61</v>
      </c>
      <c r="DR89" s="524">
        <f t="shared" si="73"/>
        <v>61</v>
      </c>
      <c r="DS89" s="525">
        <f t="shared" si="73"/>
        <v>61</v>
      </c>
    </row>
    <row r="90" spans="113:123" ht="16" thickBot="1" x14ac:dyDescent="0.25">
      <c r="DI90" s="497" t="s">
        <v>60</v>
      </c>
      <c r="DJ90" s="522">
        <f t="shared" ref="DJ90" si="74">+AVERAGE(DL90:DS90)</f>
        <v>26.666666666666664</v>
      </c>
      <c r="DK90" s="523">
        <f>+SUM(DK85:DK89)</f>
        <v>0</v>
      </c>
      <c r="DL90" s="524">
        <f>+AVERAGE(DL84*'Listas y Parametros'!$Q$39,'Listas y Parametros'!$Q$40*Dashboard!DL85,'Listas y Parametros'!$Q$42*Dashboard!DL87)</f>
        <v>26.666666666666668</v>
      </c>
      <c r="DM90" s="524">
        <f>+AVERAGE(DM84*'Listas y Parametros'!$Q$39,'Listas y Parametros'!$Q$40*Dashboard!DM85,'Listas y Parametros'!$Q$42*Dashboard!DM87)</f>
        <v>26.666666666666668</v>
      </c>
      <c r="DN90" s="524">
        <f>+AVERAGE(DN84*'Listas y Parametros'!$Q$39,'Listas y Parametros'!$Q$40*Dashboard!DN85,'Listas y Parametros'!$Q$42*Dashboard!DN87)</f>
        <v>26.666666666666668</v>
      </c>
      <c r="DO90" s="524">
        <f>+AVERAGE(DO84*'Listas y Parametros'!$Q$39,'Listas y Parametros'!$Q$40*Dashboard!DO85,'Listas y Parametros'!$Q$42*Dashboard!DO87)</f>
        <v>26.666666666666668</v>
      </c>
      <c r="DP90" s="524">
        <f>+AVERAGE(DP84*'Listas y Parametros'!$Q$39,'Listas y Parametros'!$Q$40*Dashboard!DP85,'Listas y Parametros'!$Q$42*Dashboard!DP87)</f>
        <v>26.666666666666668</v>
      </c>
      <c r="DQ90" s="524">
        <f>+AVERAGE(DQ84*'Listas y Parametros'!$Q$39,'Listas y Parametros'!$Q$40*Dashboard!DQ85,'Listas y Parametros'!$Q$42*Dashboard!DQ87)</f>
        <v>26.666666666666668</v>
      </c>
      <c r="DR90" s="524">
        <f>+AVERAGE(DR84*'Listas y Parametros'!$Q$39,'Listas y Parametros'!$Q$40*Dashboard!DR85,'Listas y Parametros'!$Q$42*Dashboard!DR87)</f>
        <v>26.666666666666668</v>
      </c>
      <c r="DS90" s="525">
        <f>+AVERAGE(DS84*'Listas y Parametros'!$Q$39,'Listas y Parametros'!$Q$40*Dashboard!DS85,'Listas y Parametros'!$Q$42*Dashboard!DS87)</f>
        <v>26.666666666666668</v>
      </c>
    </row>
    <row r="91" spans="113:123" ht="16" thickBot="1" x14ac:dyDescent="0.25">
      <c r="DI91" s="497" t="s">
        <v>61</v>
      </c>
      <c r="DJ91" s="522">
        <f t="shared" ref="DJ91" si="75">+AVERAGE(DL91:DS91)</f>
        <v>0.69897388842281893</v>
      </c>
      <c r="DK91" s="523">
        <f>+SUM(DK86:DK90)</f>
        <v>0</v>
      </c>
      <c r="DL91" s="528">
        <f>+DL81/DL90</f>
        <v>0.97298657718120796</v>
      </c>
      <c r="DM91" s="528">
        <f t="shared" ref="DM91:DS91" si="76">+DM81/DM90</f>
        <v>0.88090604026845631</v>
      </c>
      <c r="DN91" s="528">
        <f t="shared" si="76"/>
        <v>0.98567114093959729</v>
      </c>
      <c r="DO91" s="528">
        <f t="shared" si="76"/>
        <v>0.75597315436241608</v>
      </c>
      <c r="DP91" s="528">
        <f t="shared" si="76"/>
        <v>0.65705956375838936</v>
      </c>
      <c r="DQ91" s="528">
        <f t="shared" si="76"/>
        <v>0.58361577181208057</v>
      </c>
      <c r="DR91" s="528">
        <f t="shared" si="76"/>
        <v>0.4422147651006712</v>
      </c>
      <c r="DS91" s="529">
        <f t="shared" si="76"/>
        <v>0.31336409395973153</v>
      </c>
    </row>
  </sheetData>
  <autoFilter ref="B10:J69" xr:uid="{96AFE0F4-FC97-4F15-A850-AD6340041E84}"/>
  <dataConsolidate/>
  <phoneticPr fontId="34" type="noConversion"/>
  <conditionalFormatting sqref="CW11:CW31 J11:J69">
    <cfRule type="cellIs" dxfId="13" priority="5" operator="equal">
      <formula>0</formula>
    </cfRule>
  </conditionalFormatting>
  <conditionalFormatting sqref="DL91:DS9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L34:DW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DL17 DL25:DO25" formulaRange="1"/>
  </ignoredErrors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76EAA2AD-BD09-4142-AFFD-59633C84E3E5}">
          <x14:formula1>
            <xm:f>'Listas y Parametros'!$E$14:$E$16</xm:f>
          </x14:formula1>
          <xm:sqref>K19:K55 K11:K17</xm:sqref>
        </x14:dataValidation>
        <x14:dataValidation type="list" allowBlank="1" showInputMessage="1" showErrorMessage="1" xr:uid="{55FDC03C-5B6D-4788-AA77-1A82DCDFD976}">
          <x14:formula1>
            <xm:f>'Listas y Parametros'!$F$14:$F$21</xm:f>
          </x14:formula1>
          <xm:sqref>G11:H69</xm:sqref>
        </x14:dataValidation>
        <x14:dataValidation type="list" allowBlank="1" showInputMessage="1" showErrorMessage="1" xr:uid="{F27C2570-9AD7-42B7-9305-08A272794CD8}">
          <x14:formula1>
            <xm:f>'Listas y Parametros'!$B$14:$B$16</xm:f>
          </x14:formula1>
          <xm:sqref>DN8:DP8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993E1-19A0-42B1-A8F3-624D59A49110}">
  <sheetPr>
    <tabColor theme="2" tint="-0.249977111117893"/>
  </sheetPr>
  <dimension ref="A1"/>
  <sheetViews>
    <sheetView showGridLines="0" workbookViewId="0">
      <selection activeCell="B16" sqref="B16"/>
    </sheetView>
  </sheetViews>
  <sheetFormatPr baseColWidth="10" defaultColWidth="11.5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2D065-1B15-DA4D-906C-1B8BCBA9499C}">
  <dimension ref="A3:F106"/>
  <sheetViews>
    <sheetView zoomScale="63" workbookViewId="0">
      <selection activeCell="E4" sqref="A4:E106"/>
    </sheetView>
  </sheetViews>
  <sheetFormatPr baseColWidth="10" defaultRowHeight="15" x14ac:dyDescent="0.2"/>
  <cols>
    <col min="1" max="1" width="29.1640625" bestFit="1" customWidth="1"/>
    <col min="2" max="2" width="20.6640625" bestFit="1" customWidth="1"/>
    <col min="3" max="3" width="5.33203125" bestFit="1" customWidth="1"/>
    <col min="4" max="4" width="4.6640625" bestFit="1" customWidth="1"/>
    <col min="5" max="5" width="4.33203125" bestFit="1" customWidth="1"/>
    <col min="6" max="7" width="11.1640625" bestFit="1" customWidth="1"/>
  </cols>
  <sheetData>
    <row r="3" spans="1:6" x14ac:dyDescent="0.2">
      <c r="A3" s="673" t="s">
        <v>518</v>
      </c>
      <c r="B3" s="673" t="s">
        <v>517</v>
      </c>
    </row>
    <row r="4" spans="1:6" x14ac:dyDescent="0.2">
      <c r="A4" s="673" t="s">
        <v>515</v>
      </c>
      <c r="B4" t="s">
        <v>45</v>
      </c>
      <c r="C4" t="s">
        <v>41</v>
      </c>
      <c r="D4" t="s">
        <v>44</v>
      </c>
      <c r="E4" t="s">
        <v>46</v>
      </c>
      <c r="F4" t="s">
        <v>516</v>
      </c>
    </row>
    <row r="5" spans="1:6" x14ac:dyDescent="0.2">
      <c r="A5" s="64" t="s">
        <v>138</v>
      </c>
      <c r="B5" s="674"/>
      <c r="C5" s="674">
        <v>1</v>
      </c>
      <c r="D5" s="674"/>
      <c r="E5" s="674"/>
      <c r="F5" s="674">
        <v>1</v>
      </c>
    </row>
    <row r="6" spans="1:6" x14ac:dyDescent="0.2">
      <c r="A6" s="64" t="s">
        <v>199</v>
      </c>
      <c r="B6" s="674"/>
      <c r="C6" s="674"/>
      <c r="D6" s="674"/>
      <c r="E6" s="674"/>
      <c r="F6" s="674"/>
    </row>
    <row r="7" spans="1:6" x14ac:dyDescent="0.2">
      <c r="A7" s="675" t="s">
        <v>198</v>
      </c>
      <c r="B7" s="674"/>
      <c r="C7" s="674">
        <v>1</v>
      </c>
      <c r="D7" s="674"/>
      <c r="E7" s="674"/>
      <c r="F7" s="674">
        <v>1</v>
      </c>
    </row>
    <row r="8" spans="1:6" x14ac:dyDescent="0.2">
      <c r="A8" s="64" t="s">
        <v>142</v>
      </c>
      <c r="B8" s="674"/>
      <c r="C8" s="674"/>
      <c r="D8" s="674"/>
      <c r="E8" s="674"/>
      <c r="F8" s="674"/>
    </row>
    <row r="9" spans="1:6" x14ac:dyDescent="0.2">
      <c r="A9" s="675" t="s">
        <v>141</v>
      </c>
      <c r="B9" s="674"/>
      <c r="C9" s="674">
        <v>1</v>
      </c>
      <c r="D9" s="674"/>
      <c r="E9" s="674"/>
      <c r="F9" s="674">
        <v>1</v>
      </c>
    </row>
    <row r="10" spans="1:6" x14ac:dyDescent="0.2">
      <c r="A10" s="64" t="s">
        <v>207</v>
      </c>
      <c r="B10" s="674"/>
      <c r="C10" s="674"/>
      <c r="D10" s="674"/>
      <c r="E10" s="674"/>
      <c r="F10" s="674"/>
    </row>
    <row r="11" spans="1:6" x14ac:dyDescent="0.2">
      <c r="A11" s="675" t="s">
        <v>206</v>
      </c>
      <c r="B11" s="674"/>
      <c r="C11" s="674"/>
      <c r="D11" s="674">
        <v>1</v>
      </c>
      <c r="E11" s="674"/>
      <c r="F11" s="674">
        <v>1</v>
      </c>
    </row>
    <row r="12" spans="1:6" x14ac:dyDescent="0.2">
      <c r="A12" s="64" t="s">
        <v>125</v>
      </c>
      <c r="B12" s="674"/>
      <c r="C12" s="674"/>
      <c r="D12" s="674"/>
      <c r="E12" s="674"/>
      <c r="F12" s="674"/>
    </row>
    <row r="13" spans="1:6" x14ac:dyDescent="0.2">
      <c r="A13" s="675" t="s">
        <v>124</v>
      </c>
      <c r="B13" s="674">
        <v>1</v>
      </c>
      <c r="C13" s="674"/>
      <c r="D13" s="674"/>
      <c r="E13" s="674"/>
      <c r="F13" s="674">
        <v>1</v>
      </c>
    </row>
    <row r="14" spans="1:6" x14ac:dyDescent="0.2">
      <c r="A14" s="64" t="s">
        <v>177</v>
      </c>
      <c r="B14" s="674"/>
      <c r="C14" s="674"/>
      <c r="D14" s="674"/>
      <c r="E14" s="674"/>
      <c r="F14" s="674"/>
    </row>
    <row r="15" spans="1:6" x14ac:dyDescent="0.2">
      <c r="A15" s="675" t="s">
        <v>176</v>
      </c>
      <c r="B15" s="674"/>
      <c r="C15" s="674">
        <v>1</v>
      </c>
      <c r="D15" s="674"/>
      <c r="E15" s="674"/>
      <c r="F15" s="674">
        <v>1</v>
      </c>
    </row>
    <row r="16" spans="1:6" x14ac:dyDescent="0.2">
      <c r="A16" s="64" t="s">
        <v>228</v>
      </c>
      <c r="B16" s="674"/>
      <c r="C16" s="674"/>
      <c r="D16" s="674"/>
      <c r="E16" s="674"/>
      <c r="F16" s="674"/>
    </row>
    <row r="17" spans="1:6" x14ac:dyDescent="0.2">
      <c r="A17" s="675" t="s">
        <v>227</v>
      </c>
      <c r="B17" s="674"/>
      <c r="C17" s="674"/>
      <c r="D17" s="674"/>
      <c r="E17" s="674">
        <v>1</v>
      </c>
      <c r="F17" s="674">
        <v>1</v>
      </c>
    </row>
    <row r="18" spans="1:6" x14ac:dyDescent="0.2">
      <c r="A18" s="64" t="s">
        <v>129</v>
      </c>
      <c r="B18" s="674"/>
      <c r="C18" s="674"/>
      <c r="D18" s="674"/>
      <c r="E18" s="674"/>
      <c r="F18" s="674"/>
    </row>
    <row r="19" spans="1:6" x14ac:dyDescent="0.2">
      <c r="A19" s="675" t="s">
        <v>128</v>
      </c>
      <c r="B19" s="674">
        <v>1</v>
      </c>
      <c r="C19" s="674"/>
      <c r="D19" s="674"/>
      <c r="E19" s="674"/>
      <c r="F19" s="674">
        <v>1</v>
      </c>
    </row>
    <row r="20" spans="1:6" x14ac:dyDescent="0.2">
      <c r="A20" s="64" t="s">
        <v>25</v>
      </c>
      <c r="B20" s="674"/>
      <c r="C20" s="674"/>
      <c r="D20" s="674"/>
      <c r="E20" s="674"/>
      <c r="F20" s="674"/>
    </row>
    <row r="21" spans="1:6" x14ac:dyDescent="0.2">
      <c r="A21" s="675" t="s">
        <v>143</v>
      </c>
      <c r="B21" s="674"/>
      <c r="C21" s="674">
        <v>1</v>
      </c>
      <c r="D21" s="674"/>
      <c r="E21" s="674"/>
      <c r="F21" s="674">
        <v>1</v>
      </c>
    </row>
    <row r="22" spans="1:6" x14ac:dyDescent="0.2">
      <c r="A22" s="675" t="s">
        <v>144</v>
      </c>
      <c r="B22" s="674"/>
      <c r="C22" s="674">
        <v>1</v>
      </c>
      <c r="D22" s="674"/>
      <c r="E22" s="674"/>
      <c r="F22" s="674">
        <v>1</v>
      </c>
    </row>
    <row r="23" spans="1:6" x14ac:dyDescent="0.2">
      <c r="A23" s="675" t="s">
        <v>145</v>
      </c>
      <c r="B23" s="674"/>
      <c r="C23" s="674">
        <v>1</v>
      </c>
      <c r="D23" s="674"/>
      <c r="E23" s="674"/>
      <c r="F23" s="674">
        <v>1</v>
      </c>
    </row>
    <row r="24" spans="1:6" x14ac:dyDescent="0.2">
      <c r="A24" s="675" t="s">
        <v>146</v>
      </c>
      <c r="B24" s="674"/>
      <c r="C24" s="674">
        <v>1</v>
      </c>
      <c r="D24" s="674"/>
      <c r="E24" s="674"/>
      <c r="F24" s="674">
        <v>1</v>
      </c>
    </row>
    <row r="25" spans="1:6" x14ac:dyDescent="0.2">
      <c r="A25" s="675" t="s">
        <v>148</v>
      </c>
      <c r="B25" s="674"/>
      <c r="C25" s="674">
        <v>1</v>
      </c>
      <c r="D25" s="674"/>
      <c r="E25" s="674"/>
      <c r="F25" s="674">
        <v>1</v>
      </c>
    </row>
    <row r="26" spans="1:6" x14ac:dyDescent="0.2">
      <c r="A26" s="675" t="s">
        <v>179</v>
      </c>
      <c r="B26" s="674"/>
      <c r="C26" s="674">
        <v>1</v>
      </c>
      <c r="D26" s="674"/>
      <c r="E26" s="674"/>
      <c r="F26" s="674">
        <v>1</v>
      </c>
    </row>
    <row r="27" spans="1:6" x14ac:dyDescent="0.2">
      <c r="A27" s="675" t="s">
        <v>130</v>
      </c>
      <c r="B27" s="674">
        <v>1</v>
      </c>
      <c r="C27" s="674"/>
      <c r="D27" s="674"/>
      <c r="E27" s="674"/>
      <c r="F27" s="674">
        <v>1</v>
      </c>
    </row>
    <row r="28" spans="1:6" x14ac:dyDescent="0.2">
      <c r="A28" s="64" t="s">
        <v>150</v>
      </c>
      <c r="B28" s="674"/>
      <c r="C28" s="674"/>
      <c r="D28" s="674"/>
      <c r="E28" s="674"/>
      <c r="F28" s="674"/>
    </row>
    <row r="29" spans="1:6" x14ac:dyDescent="0.2">
      <c r="A29" s="675" t="s">
        <v>149</v>
      </c>
      <c r="B29" s="674"/>
      <c r="C29" s="674">
        <v>1</v>
      </c>
      <c r="D29" s="674"/>
      <c r="E29" s="674"/>
      <c r="F29" s="674">
        <v>1</v>
      </c>
    </row>
    <row r="30" spans="1:6" x14ac:dyDescent="0.2">
      <c r="A30" s="64" t="s">
        <v>136</v>
      </c>
      <c r="B30" s="674"/>
      <c r="C30" s="674"/>
      <c r="D30" s="674"/>
      <c r="E30" s="674"/>
      <c r="F30" s="674"/>
    </row>
    <row r="31" spans="1:6" x14ac:dyDescent="0.2">
      <c r="A31" s="675" t="s">
        <v>135</v>
      </c>
      <c r="B31" s="674"/>
      <c r="C31" s="674">
        <v>1</v>
      </c>
      <c r="D31" s="674"/>
      <c r="E31" s="674"/>
      <c r="F31" s="674">
        <v>1</v>
      </c>
    </row>
    <row r="32" spans="1:6" x14ac:dyDescent="0.2">
      <c r="A32" s="64" t="s">
        <v>134</v>
      </c>
      <c r="B32" s="674"/>
      <c r="C32" s="674"/>
      <c r="D32" s="674"/>
      <c r="E32" s="674"/>
      <c r="F32" s="674"/>
    </row>
    <row r="33" spans="1:6" x14ac:dyDescent="0.2">
      <c r="A33" s="675" t="s">
        <v>151</v>
      </c>
      <c r="B33" s="674"/>
      <c r="C33" s="674">
        <v>1</v>
      </c>
      <c r="D33" s="674"/>
      <c r="E33" s="674"/>
      <c r="F33" s="674">
        <v>1</v>
      </c>
    </row>
    <row r="34" spans="1:6" x14ac:dyDescent="0.2">
      <c r="A34" s="675" t="s">
        <v>152</v>
      </c>
      <c r="B34" s="674"/>
      <c r="C34" s="674">
        <v>1</v>
      </c>
      <c r="D34" s="674"/>
      <c r="E34" s="674"/>
      <c r="F34" s="674">
        <v>1</v>
      </c>
    </row>
    <row r="35" spans="1:6" x14ac:dyDescent="0.2">
      <c r="A35" s="64" t="s">
        <v>28</v>
      </c>
      <c r="B35" s="674"/>
      <c r="C35" s="674"/>
      <c r="D35" s="674"/>
      <c r="E35" s="674"/>
      <c r="F35" s="674"/>
    </row>
    <row r="36" spans="1:6" x14ac:dyDescent="0.2">
      <c r="A36" s="675" t="s">
        <v>208</v>
      </c>
      <c r="B36" s="674"/>
      <c r="C36" s="674"/>
      <c r="D36" s="674">
        <v>1</v>
      </c>
      <c r="E36" s="674"/>
      <c r="F36" s="674">
        <v>1</v>
      </c>
    </row>
    <row r="37" spans="1:6" x14ac:dyDescent="0.2">
      <c r="A37" s="675" t="s">
        <v>155</v>
      </c>
      <c r="B37" s="674"/>
      <c r="C37" s="674">
        <v>1</v>
      </c>
      <c r="D37" s="674"/>
      <c r="E37" s="674"/>
      <c r="F37" s="674">
        <v>1</v>
      </c>
    </row>
    <row r="38" spans="1:6" x14ac:dyDescent="0.2">
      <c r="A38" s="675" t="s">
        <v>182</v>
      </c>
      <c r="B38" s="674"/>
      <c r="C38" s="674">
        <v>1</v>
      </c>
      <c r="D38" s="674"/>
      <c r="E38" s="674"/>
      <c r="F38" s="674">
        <v>1</v>
      </c>
    </row>
    <row r="39" spans="1:6" x14ac:dyDescent="0.2">
      <c r="A39" s="675" t="s">
        <v>156</v>
      </c>
      <c r="B39" s="674"/>
      <c r="C39" s="674">
        <v>1</v>
      </c>
      <c r="D39" s="674"/>
      <c r="E39" s="674"/>
      <c r="F39" s="674">
        <v>1</v>
      </c>
    </row>
    <row r="40" spans="1:6" x14ac:dyDescent="0.2">
      <c r="A40" s="675" t="s">
        <v>183</v>
      </c>
      <c r="B40" s="674"/>
      <c r="C40" s="674">
        <v>1</v>
      </c>
      <c r="D40" s="674"/>
      <c r="E40" s="674"/>
      <c r="F40" s="674">
        <v>1</v>
      </c>
    </row>
    <row r="41" spans="1:6" x14ac:dyDescent="0.2">
      <c r="A41" s="675" t="s">
        <v>184</v>
      </c>
      <c r="B41" s="674"/>
      <c r="C41" s="674">
        <v>1</v>
      </c>
      <c r="D41" s="674"/>
      <c r="E41" s="674"/>
      <c r="F41" s="674">
        <v>1</v>
      </c>
    </row>
    <row r="42" spans="1:6" x14ac:dyDescent="0.2">
      <c r="A42" s="675" t="s">
        <v>209</v>
      </c>
      <c r="B42" s="674"/>
      <c r="C42" s="674"/>
      <c r="D42" s="674">
        <v>1</v>
      </c>
      <c r="E42" s="674"/>
      <c r="F42" s="674">
        <v>1</v>
      </c>
    </row>
    <row r="43" spans="1:6" x14ac:dyDescent="0.2">
      <c r="A43" s="675" t="s">
        <v>185</v>
      </c>
      <c r="B43" s="674"/>
      <c r="C43" s="674">
        <v>1</v>
      </c>
      <c r="D43" s="674"/>
      <c r="E43" s="674"/>
      <c r="F43" s="674">
        <v>1</v>
      </c>
    </row>
    <row r="44" spans="1:6" x14ac:dyDescent="0.2">
      <c r="A44" s="675" t="s">
        <v>210</v>
      </c>
      <c r="B44" s="674"/>
      <c r="C44" s="674"/>
      <c r="D44" s="674">
        <v>1</v>
      </c>
      <c r="E44" s="674"/>
      <c r="F44" s="674">
        <v>1</v>
      </c>
    </row>
    <row r="45" spans="1:6" x14ac:dyDescent="0.2">
      <c r="A45" s="675" t="s">
        <v>157</v>
      </c>
      <c r="B45" s="674"/>
      <c r="C45" s="674">
        <v>1</v>
      </c>
      <c r="D45" s="674"/>
      <c r="E45" s="674"/>
      <c r="F45" s="674">
        <v>1</v>
      </c>
    </row>
    <row r="46" spans="1:6" x14ac:dyDescent="0.2">
      <c r="A46" s="675" t="s">
        <v>211</v>
      </c>
      <c r="B46" s="674"/>
      <c r="C46" s="674"/>
      <c r="D46" s="674">
        <v>1</v>
      </c>
      <c r="E46" s="674"/>
      <c r="F46" s="674">
        <v>1</v>
      </c>
    </row>
    <row r="47" spans="1:6" x14ac:dyDescent="0.2">
      <c r="A47" s="675" t="s">
        <v>212</v>
      </c>
      <c r="B47" s="674"/>
      <c r="C47" s="674"/>
      <c r="D47" s="674">
        <v>1</v>
      </c>
      <c r="E47" s="674"/>
      <c r="F47" s="674">
        <v>1</v>
      </c>
    </row>
    <row r="48" spans="1:6" x14ac:dyDescent="0.2">
      <c r="A48" s="675" t="s">
        <v>159</v>
      </c>
      <c r="B48" s="674"/>
      <c r="C48" s="674">
        <v>1</v>
      </c>
      <c r="D48" s="674"/>
      <c r="E48" s="674"/>
      <c r="F48" s="674">
        <v>1</v>
      </c>
    </row>
    <row r="49" spans="1:6" x14ac:dyDescent="0.2">
      <c r="A49" s="675" t="s">
        <v>215</v>
      </c>
      <c r="B49" s="674"/>
      <c r="C49" s="674"/>
      <c r="D49" s="674">
        <v>1</v>
      </c>
      <c r="E49" s="674"/>
      <c r="F49" s="674">
        <v>1</v>
      </c>
    </row>
    <row r="50" spans="1:6" x14ac:dyDescent="0.2">
      <c r="A50" s="675" t="s">
        <v>187</v>
      </c>
      <c r="B50" s="674"/>
      <c r="C50" s="674">
        <v>1</v>
      </c>
      <c r="D50" s="674"/>
      <c r="E50" s="674"/>
      <c r="F50" s="674">
        <v>1</v>
      </c>
    </row>
    <row r="51" spans="1:6" x14ac:dyDescent="0.2">
      <c r="A51" s="675" t="s">
        <v>160</v>
      </c>
      <c r="B51" s="674"/>
      <c r="C51" s="674">
        <v>1</v>
      </c>
      <c r="D51" s="674"/>
      <c r="E51" s="674"/>
      <c r="F51" s="674">
        <v>1</v>
      </c>
    </row>
    <row r="52" spans="1:6" x14ac:dyDescent="0.2">
      <c r="A52" s="675" t="s">
        <v>217</v>
      </c>
      <c r="B52" s="674"/>
      <c r="C52" s="674"/>
      <c r="D52" s="674">
        <v>1</v>
      </c>
      <c r="E52" s="674"/>
      <c r="F52" s="674">
        <v>1</v>
      </c>
    </row>
    <row r="53" spans="1:6" x14ac:dyDescent="0.2">
      <c r="A53" s="675" t="s">
        <v>161</v>
      </c>
      <c r="B53" s="674"/>
      <c r="C53" s="674">
        <v>1</v>
      </c>
      <c r="D53" s="674"/>
      <c r="E53" s="674"/>
      <c r="F53" s="674">
        <v>1</v>
      </c>
    </row>
    <row r="54" spans="1:6" x14ac:dyDescent="0.2">
      <c r="A54" s="675" t="s">
        <v>162</v>
      </c>
      <c r="B54" s="674"/>
      <c r="C54" s="674">
        <v>1</v>
      </c>
      <c r="D54" s="674"/>
      <c r="E54" s="674"/>
      <c r="F54" s="674">
        <v>1</v>
      </c>
    </row>
    <row r="55" spans="1:6" x14ac:dyDescent="0.2">
      <c r="A55" s="675" t="s">
        <v>163</v>
      </c>
      <c r="B55" s="674"/>
      <c r="C55" s="674">
        <v>1</v>
      </c>
      <c r="D55" s="674"/>
      <c r="E55" s="674"/>
      <c r="F55" s="674">
        <v>1</v>
      </c>
    </row>
    <row r="56" spans="1:6" x14ac:dyDescent="0.2">
      <c r="A56" s="675" t="s">
        <v>218</v>
      </c>
      <c r="B56" s="674"/>
      <c r="C56" s="674"/>
      <c r="D56" s="674">
        <v>1</v>
      </c>
      <c r="E56" s="674"/>
      <c r="F56" s="674">
        <v>1</v>
      </c>
    </row>
    <row r="57" spans="1:6" x14ac:dyDescent="0.2">
      <c r="A57" s="64" t="s">
        <v>203</v>
      </c>
      <c r="B57" s="674"/>
      <c r="C57" s="674"/>
      <c r="D57" s="674"/>
      <c r="E57" s="674"/>
      <c r="F57" s="674"/>
    </row>
    <row r="58" spans="1:6" x14ac:dyDescent="0.2">
      <c r="A58" s="675" t="s">
        <v>224</v>
      </c>
      <c r="B58" s="674"/>
      <c r="C58" s="674"/>
      <c r="D58" s="674">
        <v>1</v>
      </c>
      <c r="E58" s="674"/>
      <c r="F58" s="674">
        <v>1</v>
      </c>
    </row>
    <row r="59" spans="1:6" x14ac:dyDescent="0.2">
      <c r="A59" s="675" t="s">
        <v>202</v>
      </c>
      <c r="B59" s="674"/>
      <c r="C59" s="674">
        <v>1</v>
      </c>
      <c r="D59" s="674"/>
      <c r="E59" s="674"/>
      <c r="F59" s="674">
        <v>1</v>
      </c>
    </row>
    <row r="60" spans="1:6" x14ac:dyDescent="0.2">
      <c r="A60" s="64" t="s">
        <v>29</v>
      </c>
      <c r="B60" s="674"/>
      <c r="C60" s="674"/>
      <c r="D60" s="674"/>
      <c r="E60" s="674"/>
      <c r="F60" s="674"/>
    </row>
    <row r="61" spans="1:6" x14ac:dyDescent="0.2">
      <c r="A61" s="675" t="s">
        <v>153</v>
      </c>
      <c r="B61" s="674"/>
      <c r="C61" s="674">
        <v>1</v>
      </c>
      <c r="D61" s="674"/>
      <c r="E61" s="674"/>
      <c r="F61" s="674">
        <v>1</v>
      </c>
    </row>
    <row r="62" spans="1:6" x14ac:dyDescent="0.2">
      <c r="A62" s="675" t="s">
        <v>180</v>
      </c>
      <c r="B62" s="674"/>
      <c r="C62" s="674">
        <v>1</v>
      </c>
      <c r="D62" s="674"/>
      <c r="E62" s="674"/>
      <c r="F62" s="674">
        <v>1</v>
      </c>
    </row>
    <row r="63" spans="1:6" x14ac:dyDescent="0.2">
      <c r="A63" s="675" t="s">
        <v>181</v>
      </c>
      <c r="B63" s="674"/>
      <c r="C63" s="674">
        <v>1</v>
      </c>
      <c r="D63" s="674"/>
      <c r="E63" s="674"/>
      <c r="F63" s="674">
        <v>1</v>
      </c>
    </row>
    <row r="64" spans="1:6" x14ac:dyDescent="0.2">
      <c r="A64" s="675" t="s">
        <v>190</v>
      </c>
      <c r="B64" s="674"/>
      <c r="C64" s="674">
        <v>1</v>
      </c>
      <c r="D64" s="674"/>
      <c r="E64" s="674"/>
      <c r="F64" s="674">
        <v>1</v>
      </c>
    </row>
    <row r="65" spans="1:6" x14ac:dyDescent="0.2">
      <c r="A65" s="675" t="s">
        <v>191</v>
      </c>
      <c r="B65" s="674"/>
      <c r="C65" s="674">
        <v>1</v>
      </c>
      <c r="D65" s="674"/>
      <c r="E65" s="674"/>
      <c r="F65" s="674">
        <v>1</v>
      </c>
    </row>
    <row r="66" spans="1:6" x14ac:dyDescent="0.2">
      <c r="A66" s="675" t="s">
        <v>225</v>
      </c>
      <c r="B66" s="674"/>
      <c r="C66" s="674"/>
      <c r="D66" s="674">
        <v>1</v>
      </c>
      <c r="E66" s="674"/>
      <c r="F66" s="674">
        <v>1</v>
      </c>
    </row>
    <row r="67" spans="1:6" x14ac:dyDescent="0.2">
      <c r="A67" s="675" t="s">
        <v>158</v>
      </c>
      <c r="B67" s="674"/>
      <c r="C67" s="674">
        <v>1</v>
      </c>
      <c r="D67" s="674"/>
      <c r="E67" s="674"/>
      <c r="F67" s="674">
        <v>1</v>
      </c>
    </row>
    <row r="68" spans="1:6" x14ac:dyDescent="0.2">
      <c r="A68" s="675" t="s">
        <v>213</v>
      </c>
      <c r="B68" s="674"/>
      <c r="C68" s="674"/>
      <c r="D68" s="674">
        <v>1</v>
      </c>
      <c r="E68" s="674"/>
      <c r="F68" s="674">
        <v>1</v>
      </c>
    </row>
    <row r="69" spans="1:6" x14ac:dyDescent="0.2">
      <c r="A69" s="675" t="s">
        <v>216</v>
      </c>
      <c r="B69" s="674"/>
      <c r="C69" s="674"/>
      <c r="D69" s="674">
        <v>1</v>
      </c>
      <c r="E69" s="674"/>
      <c r="F69" s="674">
        <v>1</v>
      </c>
    </row>
    <row r="70" spans="1:6" x14ac:dyDescent="0.2">
      <c r="A70" s="675" t="s">
        <v>204</v>
      </c>
      <c r="B70" s="674"/>
      <c r="C70" s="674"/>
      <c r="D70" s="674">
        <v>1</v>
      </c>
      <c r="E70" s="674"/>
      <c r="F70" s="674">
        <v>1</v>
      </c>
    </row>
    <row r="71" spans="1:6" x14ac:dyDescent="0.2">
      <c r="A71" s="675" t="s">
        <v>193</v>
      </c>
      <c r="B71" s="674"/>
      <c r="C71" s="674">
        <v>1</v>
      </c>
      <c r="D71" s="674"/>
      <c r="E71" s="674"/>
      <c r="F71" s="674">
        <v>1</v>
      </c>
    </row>
    <row r="72" spans="1:6" x14ac:dyDescent="0.2">
      <c r="A72" s="675" t="s">
        <v>194</v>
      </c>
      <c r="B72" s="674"/>
      <c r="C72" s="674">
        <v>1</v>
      </c>
      <c r="D72" s="674"/>
      <c r="E72" s="674"/>
      <c r="F72" s="674">
        <v>1</v>
      </c>
    </row>
    <row r="73" spans="1:6" x14ac:dyDescent="0.2">
      <c r="A73" s="675" t="s">
        <v>226</v>
      </c>
      <c r="B73" s="674"/>
      <c r="C73" s="674"/>
      <c r="D73" s="674">
        <v>1</v>
      </c>
      <c r="E73" s="674"/>
      <c r="F73" s="674">
        <v>1</v>
      </c>
    </row>
    <row r="74" spans="1:6" x14ac:dyDescent="0.2">
      <c r="A74" s="64" t="s">
        <v>30</v>
      </c>
      <c r="B74" s="674"/>
      <c r="C74" s="674"/>
      <c r="D74" s="674"/>
      <c r="E74" s="674"/>
      <c r="F74" s="674"/>
    </row>
    <row r="75" spans="1:6" x14ac:dyDescent="0.2">
      <c r="A75" s="675" t="s">
        <v>165</v>
      </c>
      <c r="B75" s="674"/>
      <c r="C75" s="674">
        <v>1</v>
      </c>
      <c r="D75" s="674"/>
      <c r="E75" s="674"/>
      <c r="F75" s="674">
        <v>1</v>
      </c>
    </row>
    <row r="76" spans="1:6" x14ac:dyDescent="0.2">
      <c r="A76" s="675" t="s">
        <v>167</v>
      </c>
      <c r="B76" s="674"/>
      <c r="C76" s="674">
        <v>1</v>
      </c>
      <c r="D76" s="674"/>
      <c r="E76" s="674"/>
      <c r="F76" s="674">
        <v>1</v>
      </c>
    </row>
    <row r="77" spans="1:6" x14ac:dyDescent="0.2">
      <c r="A77" s="675" t="s">
        <v>219</v>
      </c>
      <c r="B77" s="674"/>
      <c r="C77" s="674"/>
      <c r="D77" s="674">
        <v>1</v>
      </c>
      <c r="E77" s="674"/>
      <c r="F77" s="674">
        <v>1</v>
      </c>
    </row>
    <row r="78" spans="1:6" x14ac:dyDescent="0.2">
      <c r="A78" s="64" t="s">
        <v>26</v>
      </c>
      <c r="B78" s="674"/>
      <c r="C78" s="674"/>
      <c r="D78" s="674"/>
      <c r="E78" s="674"/>
      <c r="F78" s="674"/>
    </row>
    <row r="79" spans="1:6" x14ac:dyDescent="0.2">
      <c r="A79" s="675" t="s">
        <v>189</v>
      </c>
      <c r="B79" s="674"/>
      <c r="C79" s="674">
        <v>1</v>
      </c>
      <c r="D79" s="674"/>
      <c r="E79" s="674"/>
      <c r="F79" s="674">
        <v>1</v>
      </c>
    </row>
    <row r="80" spans="1:6" x14ac:dyDescent="0.2">
      <c r="A80" s="675" t="s">
        <v>168</v>
      </c>
      <c r="B80" s="674"/>
      <c r="C80" s="674">
        <v>1</v>
      </c>
      <c r="D80" s="674"/>
      <c r="E80" s="674"/>
      <c r="F80" s="674">
        <v>1</v>
      </c>
    </row>
    <row r="81" spans="1:6" x14ac:dyDescent="0.2">
      <c r="A81" s="675" t="s">
        <v>186</v>
      </c>
      <c r="B81" s="674"/>
      <c r="C81" s="674">
        <v>1</v>
      </c>
      <c r="D81" s="674"/>
      <c r="E81" s="674"/>
      <c r="F81" s="674">
        <v>1</v>
      </c>
    </row>
    <row r="82" spans="1:6" x14ac:dyDescent="0.2">
      <c r="A82" s="675" t="s">
        <v>220</v>
      </c>
      <c r="B82" s="674"/>
      <c r="C82" s="674"/>
      <c r="D82" s="674">
        <v>1</v>
      </c>
      <c r="E82" s="674"/>
      <c r="F82" s="674">
        <v>1</v>
      </c>
    </row>
    <row r="83" spans="1:6" x14ac:dyDescent="0.2">
      <c r="A83" s="675" t="s">
        <v>214</v>
      </c>
      <c r="B83" s="674"/>
      <c r="C83" s="674"/>
      <c r="D83" s="674">
        <v>1</v>
      </c>
      <c r="E83" s="674"/>
      <c r="F83" s="674">
        <v>1</v>
      </c>
    </row>
    <row r="84" spans="1:6" x14ac:dyDescent="0.2">
      <c r="A84" s="675" t="s">
        <v>164</v>
      </c>
      <c r="B84" s="674"/>
      <c r="C84" s="674">
        <v>1</v>
      </c>
      <c r="D84" s="674"/>
      <c r="E84" s="674"/>
      <c r="F84" s="674">
        <v>1</v>
      </c>
    </row>
    <row r="85" spans="1:6" x14ac:dyDescent="0.2">
      <c r="A85" s="675" t="s">
        <v>169</v>
      </c>
      <c r="B85" s="674"/>
      <c r="C85" s="674">
        <v>1</v>
      </c>
      <c r="D85" s="674"/>
      <c r="E85" s="674"/>
      <c r="F85" s="674">
        <v>1</v>
      </c>
    </row>
    <row r="86" spans="1:6" x14ac:dyDescent="0.2">
      <c r="A86" s="675" t="s">
        <v>171</v>
      </c>
      <c r="B86" s="674"/>
      <c r="C86" s="674">
        <v>1</v>
      </c>
      <c r="D86" s="674"/>
      <c r="E86" s="674"/>
      <c r="F86" s="674">
        <v>1</v>
      </c>
    </row>
    <row r="87" spans="1:6" x14ac:dyDescent="0.2">
      <c r="A87" s="64" t="s">
        <v>27</v>
      </c>
      <c r="B87" s="674"/>
      <c r="C87" s="674"/>
      <c r="D87" s="674"/>
      <c r="E87" s="674"/>
      <c r="F87" s="674"/>
    </row>
    <row r="88" spans="1:6" x14ac:dyDescent="0.2">
      <c r="A88" s="675" t="s">
        <v>173</v>
      </c>
      <c r="B88" s="674"/>
      <c r="C88" s="674">
        <v>1</v>
      </c>
      <c r="D88" s="674"/>
      <c r="E88" s="674"/>
      <c r="F88" s="674">
        <v>1</v>
      </c>
    </row>
    <row r="89" spans="1:6" x14ac:dyDescent="0.2">
      <c r="A89" s="675" t="s">
        <v>222</v>
      </c>
      <c r="B89" s="674"/>
      <c r="C89" s="674"/>
      <c r="D89" s="674">
        <v>1</v>
      </c>
      <c r="E89" s="674"/>
      <c r="F89" s="674">
        <v>1</v>
      </c>
    </row>
    <row r="90" spans="1:6" x14ac:dyDescent="0.2">
      <c r="A90" s="675" t="s">
        <v>188</v>
      </c>
      <c r="B90" s="674"/>
      <c r="C90" s="674">
        <v>1</v>
      </c>
      <c r="D90" s="674"/>
      <c r="E90" s="674"/>
      <c r="F90" s="674">
        <v>1</v>
      </c>
    </row>
    <row r="91" spans="1:6" x14ac:dyDescent="0.2">
      <c r="A91" s="675" t="s">
        <v>196</v>
      </c>
      <c r="B91" s="674"/>
      <c r="C91" s="674">
        <v>1</v>
      </c>
      <c r="D91" s="674"/>
      <c r="E91" s="674"/>
      <c r="F91" s="674">
        <v>1</v>
      </c>
    </row>
    <row r="92" spans="1:6" x14ac:dyDescent="0.2">
      <c r="A92" s="675" t="s">
        <v>170</v>
      </c>
      <c r="B92" s="674"/>
      <c r="C92" s="674">
        <v>1</v>
      </c>
      <c r="D92" s="674"/>
      <c r="E92" s="674"/>
      <c r="F92" s="674">
        <v>1</v>
      </c>
    </row>
    <row r="93" spans="1:6" x14ac:dyDescent="0.2">
      <c r="A93" s="675" t="s">
        <v>197</v>
      </c>
      <c r="B93" s="674"/>
      <c r="C93" s="674">
        <v>1</v>
      </c>
      <c r="D93" s="674"/>
      <c r="E93" s="674"/>
      <c r="F93" s="674">
        <v>1</v>
      </c>
    </row>
    <row r="94" spans="1:6" x14ac:dyDescent="0.2">
      <c r="A94" s="675" t="s">
        <v>223</v>
      </c>
      <c r="B94" s="674"/>
      <c r="C94" s="674"/>
      <c r="D94" s="674">
        <v>1</v>
      </c>
      <c r="E94" s="674"/>
      <c r="F94" s="674">
        <v>1</v>
      </c>
    </row>
    <row r="95" spans="1:6" x14ac:dyDescent="0.2">
      <c r="A95" s="675" t="s">
        <v>192</v>
      </c>
      <c r="B95" s="674"/>
      <c r="C95" s="674">
        <v>1</v>
      </c>
      <c r="D95" s="674"/>
      <c r="E95" s="674"/>
      <c r="F95" s="674">
        <v>1</v>
      </c>
    </row>
    <row r="96" spans="1:6" x14ac:dyDescent="0.2">
      <c r="A96" s="675" t="s">
        <v>172</v>
      </c>
      <c r="B96" s="674"/>
      <c r="C96" s="674">
        <v>1</v>
      </c>
      <c r="D96" s="674"/>
      <c r="E96" s="674"/>
      <c r="F96" s="674">
        <v>1</v>
      </c>
    </row>
    <row r="97" spans="1:6" x14ac:dyDescent="0.2">
      <c r="A97" s="675" t="s">
        <v>139</v>
      </c>
      <c r="B97" s="674"/>
      <c r="C97" s="674">
        <v>1</v>
      </c>
      <c r="D97" s="674"/>
      <c r="E97" s="674"/>
      <c r="F97" s="674">
        <v>1</v>
      </c>
    </row>
    <row r="98" spans="1:6" x14ac:dyDescent="0.2">
      <c r="A98" s="675" t="s">
        <v>195</v>
      </c>
      <c r="B98" s="674"/>
      <c r="C98" s="674">
        <v>1</v>
      </c>
      <c r="D98" s="674"/>
      <c r="E98" s="674"/>
      <c r="F98" s="674">
        <v>1</v>
      </c>
    </row>
    <row r="99" spans="1:6" x14ac:dyDescent="0.2">
      <c r="A99" s="675" t="s">
        <v>221</v>
      </c>
      <c r="B99" s="674"/>
      <c r="C99" s="674"/>
      <c r="D99" s="674">
        <v>1</v>
      </c>
      <c r="E99" s="674"/>
      <c r="F99" s="674">
        <v>1</v>
      </c>
    </row>
    <row r="100" spans="1:6" x14ac:dyDescent="0.2">
      <c r="A100" s="64" t="s">
        <v>201</v>
      </c>
      <c r="B100" s="674"/>
      <c r="C100" s="674"/>
      <c r="D100" s="674"/>
      <c r="E100" s="674"/>
      <c r="F100" s="674"/>
    </row>
    <row r="101" spans="1:6" x14ac:dyDescent="0.2">
      <c r="A101" s="675" t="s">
        <v>200</v>
      </c>
      <c r="B101" s="674"/>
      <c r="C101" s="674">
        <v>1</v>
      </c>
      <c r="D101" s="674"/>
      <c r="E101" s="674"/>
      <c r="F101" s="674">
        <v>1</v>
      </c>
    </row>
    <row r="102" spans="1:6" x14ac:dyDescent="0.2">
      <c r="A102" s="64" t="s">
        <v>132</v>
      </c>
      <c r="B102" s="674"/>
      <c r="C102" s="674"/>
      <c r="D102" s="674"/>
      <c r="E102" s="674"/>
      <c r="F102" s="674"/>
    </row>
    <row r="103" spans="1:6" x14ac:dyDescent="0.2">
      <c r="A103" s="675" t="s">
        <v>131</v>
      </c>
      <c r="B103" s="674">
        <v>1</v>
      </c>
      <c r="C103" s="674"/>
      <c r="D103" s="674"/>
      <c r="E103" s="674"/>
      <c r="F103" s="674">
        <v>1</v>
      </c>
    </row>
    <row r="104" spans="1:6" x14ac:dyDescent="0.2">
      <c r="A104" s="64" t="s">
        <v>175</v>
      </c>
      <c r="B104" s="674"/>
      <c r="C104" s="674"/>
      <c r="D104" s="674"/>
      <c r="E104" s="674"/>
      <c r="F104" s="674"/>
    </row>
    <row r="105" spans="1:6" x14ac:dyDescent="0.2">
      <c r="A105" s="675" t="s">
        <v>174</v>
      </c>
      <c r="B105" s="674"/>
      <c r="C105" s="674">
        <v>1</v>
      </c>
      <c r="D105" s="674"/>
      <c r="E105" s="674"/>
      <c r="F105" s="674">
        <v>1</v>
      </c>
    </row>
    <row r="106" spans="1:6" x14ac:dyDescent="0.2">
      <c r="A106" s="64" t="s">
        <v>516</v>
      </c>
      <c r="B106" s="674">
        <v>4</v>
      </c>
      <c r="C106" s="674">
        <v>55</v>
      </c>
      <c r="D106" s="674">
        <v>21</v>
      </c>
      <c r="E106" s="674">
        <v>1</v>
      </c>
      <c r="F106" s="674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E60F9-0A7D-4B3B-8CAF-88DC00D2AC7D}">
  <sheetPr>
    <tabColor theme="6" tint="0.79998168889431442"/>
  </sheetPr>
  <dimension ref="A1:AD295"/>
  <sheetViews>
    <sheetView showGridLines="0" topLeftCell="A63" zoomScale="90" zoomScaleNormal="80" workbookViewId="0">
      <selection activeCell="H63" sqref="A63:H147"/>
    </sheetView>
  </sheetViews>
  <sheetFormatPr baseColWidth="10" defaultColWidth="11.5" defaultRowHeight="15" outlineLevelRow="1" x14ac:dyDescent="0.2"/>
  <cols>
    <col min="1" max="1" width="18.1640625" bestFit="1" customWidth="1"/>
    <col min="2" max="2" width="26.83203125" bestFit="1" customWidth="1"/>
    <col min="3" max="3" width="23.5" bestFit="1" customWidth="1"/>
    <col min="6" max="6" width="23" bestFit="1" customWidth="1"/>
    <col min="7" max="7" width="18.1640625" bestFit="1" customWidth="1"/>
    <col min="8" max="8" width="32.83203125" bestFit="1" customWidth="1"/>
    <col min="9" max="10" width="11.5" bestFit="1" customWidth="1"/>
    <col min="11" max="11" width="31.5" bestFit="1" customWidth="1"/>
    <col min="12" max="16" width="15.5" customWidth="1"/>
    <col min="17" max="17" width="11.5" customWidth="1"/>
    <col min="21" max="21" width="36.5" bestFit="1" customWidth="1"/>
  </cols>
  <sheetData>
    <row r="1" spans="1:9" s="159" customFormat="1" ht="11" x14ac:dyDescent="0.2">
      <c r="A1" s="158"/>
    </row>
    <row r="2" spans="1:9" s="161" customFormat="1" ht="11" x14ac:dyDescent="0.2">
      <c r="A2" s="160"/>
    </row>
    <row r="3" spans="1:9" s="161" customFormat="1" ht="11" x14ac:dyDescent="0.2">
      <c r="A3" s="160"/>
      <c r="D3" s="164" t="s">
        <v>0</v>
      </c>
    </row>
    <row r="4" spans="1:9" s="161" customFormat="1" ht="11" x14ac:dyDescent="0.2">
      <c r="A4" s="160"/>
      <c r="D4" s="164">
        <v>2025</v>
      </c>
    </row>
    <row r="5" spans="1:9" s="161" customFormat="1" ht="11" x14ac:dyDescent="0.2">
      <c r="A5" s="160"/>
      <c r="D5" s="167" t="s">
        <v>62</v>
      </c>
    </row>
    <row r="6" spans="1:9" s="161" customFormat="1" ht="11" x14ac:dyDescent="0.2">
      <c r="A6" s="160"/>
    </row>
    <row r="7" spans="1:9" s="163" customFormat="1" ht="12" thickBot="1" x14ac:dyDescent="0.25">
      <c r="A7" s="162"/>
    </row>
    <row r="8" spans="1:9" s="110" customFormat="1" ht="11" x14ac:dyDescent="0.2"/>
    <row r="11" spans="1:9" s="150" customFormat="1" x14ac:dyDescent="0.2">
      <c r="A11" s="150" t="s">
        <v>63</v>
      </c>
    </row>
    <row r="12" spans="1:9" x14ac:dyDescent="0.2">
      <c r="B12" s="2"/>
      <c r="C12" s="2"/>
      <c r="D12" s="2"/>
      <c r="E12" s="2"/>
      <c r="F12" s="2"/>
      <c r="G12" s="2"/>
      <c r="H12" s="2"/>
    </row>
    <row r="13" spans="1:9" x14ac:dyDescent="0.2">
      <c r="B13" s="151" t="s">
        <v>19</v>
      </c>
      <c r="C13" s="151" t="s">
        <v>64</v>
      </c>
      <c r="D13" s="151" t="s">
        <v>65</v>
      </c>
      <c r="E13" s="151" t="s">
        <v>66</v>
      </c>
      <c r="F13" s="151" t="s">
        <v>67</v>
      </c>
      <c r="G13" s="151" t="s">
        <v>68</v>
      </c>
      <c r="H13" s="151" t="s">
        <v>69</v>
      </c>
      <c r="I13" s="151"/>
    </row>
    <row r="14" spans="1:9" x14ac:dyDescent="0.2">
      <c r="A14" s="118"/>
      <c r="B14" s="118" t="s">
        <v>3</v>
      </c>
      <c r="C14" s="118" t="s">
        <v>70</v>
      </c>
      <c r="D14" s="118" t="s">
        <v>41</v>
      </c>
      <c r="E14" s="118" t="s">
        <v>71</v>
      </c>
      <c r="F14" s="118" t="s">
        <v>72</v>
      </c>
      <c r="G14" s="118" t="s">
        <v>73</v>
      </c>
      <c r="H14" s="415">
        <v>45777</v>
      </c>
      <c r="I14" s="415"/>
    </row>
    <row r="15" spans="1:9" x14ac:dyDescent="0.2">
      <c r="A15" s="118"/>
      <c r="B15" s="118" t="s">
        <v>4</v>
      </c>
      <c r="C15" s="118" t="s">
        <v>74</v>
      </c>
      <c r="D15" s="118" t="s">
        <v>44</v>
      </c>
      <c r="E15" s="118" t="s">
        <v>75</v>
      </c>
      <c r="F15" s="118" t="s">
        <v>76</v>
      </c>
      <c r="G15" s="118" t="s">
        <v>77</v>
      </c>
      <c r="H15" s="415">
        <v>45807</v>
      </c>
      <c r="I15" s="415"/>
    </row>
    <row r="16" spans="1:9" x14ac:dyDescent="0.2">
      <c r="A16" s="118"/>
      <c r="B16" s="118" t="s">
        <v>5</v>
      </c>
      <c r="C16" s="118" t="s">
        <v>78</v>
      </c>
      <c r="D16" s="118" t="s">
        <v>45</v>
      </c>
      <c r="E16" s="145" t="s">
        <v>79</v>
      </c>
      <c r="F16" s="118" t="s">
        <v>80</v>
      </c>
      <c r="G16" s="2"/>
      <c r="H16" s="415">
        <v>45838</v>
      </c>
      <c r="I16" s="415"/>
    </row>
    <row r="17" spans="1:8" x14ac:dyDescent="0.2">
      <c r="A17" s="118"/>
      <c r="B17" s="118"/>
      <c r="C17" s="118" t="s">
        <v>81</v>
      </c>
      <c r="D17" s="118" t="s">
        <v>46</v>
      </c>
      <c r="E17" s="2"/>
      <c r="F17" s="118" t="s">
        <v>82</v>
      </c>
      <c r="G17" s="2"/>
      <c r="H17" s="415">
        <v>45868</v>
      </c>
    </row>
    <row r="18" spans="1:8" x14ac:dyDescent="0.2">
      <c r="A18" s="118"/>
      <c r="B18" s="118"/>
      <c r="C18" s="118" t="s">
        <v>83</v>
      </c>
      <c r="D18" s="118" t="s">
        <v>47</v>
      </c>
      <c r="E18" s="2"/>
      <c r="F18" s="118" t="s">
        <v>84</v>
      </c>
      <c r="G18" s="2"/>
      <c r="H18" s="415">
        <v>45899</v>
      </c>
    </row>
    <row r="19" spans="1:8" x14ac:dyDescent="0.2">
      <c r="A19" s="118"/>
      <c r="B19" s="118"/>
      <c r="C19" s="118" t="s">
        <v>85</v>
      </c>
      <c r="D19" s="118"/>
      <c r="E19" s="2"/>
      <c r="F19" s="118" t="s">
        <v>86</v>
      </c>
      <c r="G19" s="2"/>
      <c r="H19" s="415">
        <v>45930</v>
      </c>
    </row>
    <row r="20" spans="1:8" x14ac:dyDescent="0.2">
      <c r="A20" s="118"/>
      <c r="B20" s="118"/>
      <c r="C20" s="118" t="s">
        <v>87</v>
      </c>
      <c r="D20" s="118"/>
      <c r="E20" s="2"/>
      <c r="F20" s="118" t="s">
        <v>88</v>
      </c>
      <c r="G20" s="2"/>
      <c r="H20" s="415">
        <v>45960</v>
      </c>
    </row>
    <row r="21" spans="1:8" x14ac:dyDescent="0.2">
      <c r="A21" s="118"/>
      <c r="B21" s="118"/>
      <c r="C21" s="118" t="s">
        <v>89</v>
      </c>
      <c r="D21" s="118"/>
      <c r="E21" s="2"/>
      <c r="F21" s="118" t="s">
        <v>90</v>
      </c>
      <c r="G21" s="2"/>
      <c r="H21" s="415">
        <v>45991</v>
      </c>
    </row>
    <row r="22" spans="1:8" x14ac:dyDescent="0.2">
      <c r="A22" s="118"/>
      <c r="B22" s="118"/>
      <c r="C22" s="118"/>
      <c r="D22" s="118"/>
      <c r="E22" s="2"/>
      <c r="F22" s="118"/>
      <c r="G22" s="2"/>
      <c r="H22" s="415">
        <v>46021</v>
      </c>
    </row>
    <row r="23" spans="1:8" x14ac:dyDescent="0.2">
      <c r="A23" s="118"/>
      <c r="B23" s="118"/>
      <c r="C23" s="118"/>
      <c r="D23" s="118"/>
      <c r="E23" s="2"/>
      <c r="F23" s="2"/>
      <c r="G23" s="2"/>
      <c r="H23" s="2"/>
    </row>
    <row r="24" spans="1:8" x14ac:dyDescent="0.2">
      <c r="A24" s="118"/>
      <c r="B24" s="118"/>
      <c r="C24" s="118"/>
      <c r="D24" s="118"/>
      <c r="E24" s="2"/>
      <c r="F24" s="2"/>
      <c r="G24" s="2"/>
      <c r="H24" s="2"/>
    </row>
    <row r="25" spans="1:8" x14ac:dyDescent="0.2">
      <c r="B25" s="2"/>
      <c r="C25" s="2"/>
      <c r="D25" s="2"/>
      <c r="E25" s="2"/>
      <c r="F25" s="2"/>
      <c r="G25" s="2"/>
      <c r="H25" s="2"/>
    </row>
    <row r="30" spans="1:8" s="150" customFormat="1" x14ac:dyDescent="0.2">
      <c r="A30" s="150" t="s">
        <v>91</v>
      </c>
    </row>
    <row r="32" spans="1:8" s="154" customFormat="1" ht="15" customHeight="1" x14ac:dyDescent="0.2">
      <c r="A32" s="155" t="s">
        <v>92</v>
      </c>
    </row>
    <row r="33" spans="1:20" outlineLevel="1" x14ac:dyDescent="0.2">
      <c r="B33" t="s">
        <v>514</v>
      </c>
    </row>
    <row r="34" spans="1:20" ht="16" outlineLevel="1" thickBot="1" x14ac:dyDescent="0.25"/>
    <row r="35" spans="1:20" ht="16" outlineLevel="1" thickBot="1" x14ac:dyDescent="0.25">
      <c r="A35" s="3"/>
      <c r="B35" s="1"/>
      <c r="C35" s="4" t="s">
        <v>90</v>
      </c>
      <c r="D35" s="5" t="s">
        <v>80</v>
      </c>
      <c r="E35" s="5" t="s">
        <v>82</v>
      </c>
      <c r="F35" s="5" t="s">
        <v>84</v>
      </c>
      <c r="G35" s="5" t="s">
        <v>76</v>
      </c>
      <c r="H35" s="5" t="s">
        <v>93</v>
      </c>
      <c r="I35" s="5" t="s">
        <v>72</v>
      </c>
      <c r="J35" s="5" t="s">
        <v>94</v>
      </c>
      <c r="K35" s="5" t="s">
        <v>88</v>
      </c>
      <c r="L35" s="6" t="s">
        <v>86</v>
      </c>
      <c r="M35" s="3"/>
      <c r="N35" s="3"/>
    </row>
    <row r="36" spans="1:20" ht="65" outlineLevel="1" thickBot="1" x14ac:dyDescent="0.25">
      <c r="A36" s="3"/>
      <c r="B36" s="7" t="s">
        <v>95</v>
      </c>
      <c r="C36" s="8">
        <v>7.4999999999999997E-2</v>
      </c>
      <c r="D36" s="9">
        <v>7.4999999999999997E-2</v>
      </c>
      <c r="E36" s="9">
        <v>7.4999999999999997E-2</v>
      </c>
      <c r="F36" s="9">
        <v>0.03</v>
      </c>
      <c r="G36" s="9">
        <v>0.03</v>
      </c>
      <c r="H36" s="9">
        <v>0.03</v>
      </c>
      <c r="I36" s="9">
        <v>0.03</v>
      </c>
      <c r="J36" s="9">
        <v>7.4999999999999997E-2</v>
      </c>
      <c r="K36" s="9">
        <v>7.4999999999999997E-2</v>
      </c>
      <c r="L36" s="10">
        <v>0.03</v>
      </c>
      <c r="M36" s="3"/>
      <c r="N36" s="3"/>
      <c r="Q36" s="506" t="s">
        <v>96</v>
      </c>
      <c r="R36" s="507" t="s">
        <v>97</v>
      </c>
      <c r="S36" s="507" t="s">
        <v>98</v>
      </c>
      <c r="T36" s="507" t="s">
        <v>99</v>
      </c>
    </row>
    <row r="37" spans="1:20" outlineLevel="1" x14ac:dyDescent="0.2">
      <c r="A37" s="3"/>
      <c r="B37" s="11" t="s">
        <v>100</v>
      </c>
      <c r="C37" s="12"/>
      <c r="D37" s="13"/>
      <c r="E37" s="13"/>
      <c r="F37" s="13"/>
      <c r="G37" s="13"/>
      <c r="H37" s="13"/>
      <c r="I37" s="13"/>
      <c r="J37" s="13"/>
      <c r="K37" s="13"/>
      <c r="L37" s="14"/>
      <c r="M37" s="3"/>
      <c r="N37" s="3"/>
      <c r="P37" s="7" t="s">
        <v>95</v>
      </c>
      <c r="Q37" s="386">
        <v>15</v>
      </c>
      <c r="R37" s="381">
        <f>+Q81</f>
        <v>2</v>
      </c>
      <c r="S37" s="508">
        <f>+R37*Q37</f>
        <v>30</v>
      </c>
      <c r="T37" s="427"/>
    </row>
    <row r="38" spans="1:20" outlineLevel="1" x14ac:dyDescent="0.2">
      <c r="A38" s="3"/>
      <c r="B38" s="11" t="s">
        <v>25</v>
      </c>
      <c r="C38" s="8">
        <v>0.33</v>
      </c>
      <c r="D38" s="9">
        <v>0.33</v>
      </c>
      <c r="E38" s="9">
        <v>0.5</v>
      </c>
      <c r="F38" s="9">
        <v>0.5</v>
      </c>
      <c r="G38" s="9">
        <v>0.25</v>
      </c>
      <c r="H38" s="9">
        <v>0.25</v>
      </c>
      <c r="I38" s="9">
        <v>0.25</v>
      </c>
      <c r="J38" s="9">
        <v>0.5</v>
      </c>
      <c r="K38" s="9">
        <v>0.33</v>
      </c>
      <c r="L38" s="10">
        <v>0.33</v>
      </c>
      <c r="M38" s="3"/>
      <c r="N38" s="3"/>
      <c r="P38" s="11" t="s">
        <v>100</v>
      </c>
      <c r="Q38" s="389"/>
      <c r="R38" s="382"/>
      <c r="S38" s="509"/>
      <c r="T38" s="428"/>
    </row>
    <row r="39" spans="1:20" outlineLevel="1" x14ac:dyDescent="0.2">
      <c r="A39" s="3"/>
      <c r="B39" s="11" t="s">
        <v>26</v>
      </c>
      <c r="C39" s="8">
        <v>0.5</v>
      </c>
      <c r="D39" s="9">
        <v>0.5</v>
      </c>
      <c r="E39" s="9">
        <v>0.5</v>
      </c>
      <c r="F39" s="9">
        <v>0.67</v>
      </c>
      <c r="G39" s="9">
        <v>0.33</v>
      </c>
      <c r="H39" s="9">
        <v>0.33</v>
      </c>
      <c r="I39" s="9">
        <v>0.33</v>
      </c>
      <c r="J39" s="9">
        <v>0.5</v>
      </c>
      <c r="K39" s="9">
        <v>0.5</v>
      </c>
      <c r="L39" s="10">
        <v>0.33</v>
      </c>
      <c r="M39" s="3"/>
      <c r="N39" s="3"/>
      <c r="P39" s="11" t="s">
        <v>25</v>
      </c>
      <c r="Q39" s="389">
        <v>3.5</v>
      </c>
      <c r="R39" s="382">
        <f>+Q82</f>
        <v>7</v>
      </c>
      <c r="S39" s="510">
        <f>+R39*Q39</f>
        <v>24.5</v>
      </c>
      <c r="T39" s="512">
        <f>+K38*R39</f>
        <v>2.31</v>
      </c>
    </row>
    <row r="40" spans="1:20" outlineLevel="1" x14ac:dyDescent="0.2">
      <c r="A40" s="3"/>
      <c r="B40" s="11" t="s">
        <v>27</v>
      </c>
      <c r="C40" s="8">
        <v>0.33</v>
      </c>
      <c r="D40" s="9">
        <v>0.33</v>
      </c>
      <c r="E40" s="9">
        <v>0.75</v>
      </c>
      <c r="F40" s="9">
        <v>1</v>
      </c>
      <c r="G40" s="9"/>
      <c r="H40" s="9"/>
      <c r="I40" s="9"/>
      <c r="J40" s="9">
        <v>0.5</v>
      </c>
      <c r="K40" s="9">
        <v>0.33</v>
      </c>
      <c r="L40" s="10">
        <v>0.5</v>
      </c>
      <c r="M40" s="3"/>
      <c r="N40" s="3"/>
      <c r="P40" s="11" t="s">
        <v>26</v>
      </c>
      <c r="Q40" s="389">
        <v>3</v>
      </c>
      <c r="R40" s="382">
        <f>+Q83</f>
        <v>8</v>
      </c>
      <c r="S40" s="509">
        <f>+R40*Q40</f>
        <v>24</v>
      </c>
      <c r="T40" s="512">
        <f t="shared" ref="T40:T42" si="0">+K39*R40</f>
        <v>4</v>
      </c>
    </row>
    <row r="41" spans="1:20" outlineLevel="1" x14ac:dyDescent="0.2">
      <c r="A41" s="3"/>
      <c r="B41" s="11" t="s">
        <v>28</v>
      </c>
      <c r="C41" s="8">
        <v>1</v>
      </c>
      <c r="D41" s="9">
        <v>1</v>
      </c>
      <c r="E41" s="9">
        <v>2</v>
      </c>
      <c r="F41" s="9">
        <v>2.5</v>
      </c>
      <c r="G41" s="9">
        <v>0.5</v>
      </c>
      <c r="H41" s="9">
        <v>0.5</v>
      </c>
      <c r="I41" s="9">
        <v>0.5</v>
      </c>
      <c r="J41" s="9">
        <v>1</v>
      </c>
      <c r="K41" s="9">
        <v>1</v>
      </c>
      <c r="L41" s="10">
        <v>1</v>
      </c>
      <c r="M41" s="3"/>
      <c r="N41" s="3"/>
      <c r="P41" s="11" t="s">
        <v>27</v>
      </c>
      <c r="Q41" s="389">
        <v>4</v>
      </c>
      <c r="R41" s="382">
        <f>+Q84</f>
        <v>12</v>
      </c>
      <c r="S41" s="509">
        <f t="shared" ref="S41:S42" si="1">+R41*Q41</f>
        <v>48</v>
      </c>
      <c r="T41" s="512">
        <f t="shared" si="0"/>
        <v>3.96</v>
      </c>
    </row>
    <row r="42" spans="1:20" ht="16" outlineLevel="1" thickBot="1" x14ac:dyDescent="0.25">
      <c r="A42" s="667"/>
      <c r="B42" s="15" t="s">
        <v>29</v>
      </c>
      <c r="C42" s="8">
        <v>1</v>
      </c>
      <c r="D42" s="9">
        <v>1</v>
      </c>
      <c r="E42" s="9">
        <v>1</v>
      </c>
      <c r="F42" s="9">
        <v>1</v>
      </c>
      <c r="G42" s="9">
        <v>0.5</v>
      </c>
      <c r="H42" s="9">
        <v>0.5</v>
      </c>
      <c r="I42" s="9">
        <v>0.5</v>
      </c>
      <c r="J42" s="9"/>
      <c r="K42" s="9"/>
      <c r="L42" s="10"/>
      <c r="M42" s="3"/>
      <c r="N42" s="3"/>
      <c r="P42" s="11" t="s">
        <v>28</v>
      </c>
      <c r="Q42" s="389">
        <v>1.5</v>
      </c>
      <c r="R42" s="382">
        <f>+Q85</f>
        <v>21</v>
      </c>
      <c r="S42" s="510">
        <f t="shared" si="1"/>
        <v>31.5</v>
      </c>
      <c r="T42" s="512">
        <f t="shared" si="0"/>
        <v>21</v>
      </c>
    </row>
    <row r="43" spans="1:20" ht="16" outlineLevel="1" thickBot="1" x14ac:dyDescent="0.25">
      <c r="A43" s="3"/>
      <c r="B43" s="11"/>
      <c r="C43" s="16">
        <v>3.2350000000000003</v>
      </c>
      <c r="D43" s="17">
        <v>3.2350000000000003</v>
      </c>
      <c r="E43" s="17">
        <v>4.8250000000000002</v>
      </c>
      <c r="F43" s="17">
        <v>5.7</v>
      </c>
      <c r="G43" s="17">
        <v>1.61</v>
      </c>
      <c r="H43" s="17">
        <v>1.61</v>
      </c>
      <c r="I43" s="17">
        <v>1.61</v>
      </c>
      <c r="J43" s="17">
        <v>2.5750000000000002</v>
      </c>
      <c r="K43" s="17">
        <v>2.2349999999999999</v>
      </c>
      <c r="L43" s="18">
        <v>2.19</v>
      </c>
      <c r="M43" s="3"/>
      <c r="N43" s="3"/>
      <c r="P43" s="15" t="s">
        <v>29</v>
      </c>
      <c r="Q43" s="391">
        <v>1</v>
      </c>
      <c r="R43" s="383">
        <f>+Q86</f>
        <v>13</v>
      </c>
      <c r="S43" s="511">
        <f>+R43*Q43</f>
        <v>13</v>
      </c>
      <c r="T43" s="513">
        <f>+K41*R43</f>
        <v>13</v>
      </c>
    </row>
    <row r="44" spans="1:20" ht="16" outlineLevel="1" thickBot="1" x14ac:dyDescent="0.25">
      <c r="A44" s="3"/>
      <c r="B44" s="7" t="s">
        <v>101</v>
      </c>
      <c r="C44" s="19">
        <v>1.4474272930648799</v>
      </c>
      <c r="D44" s="20">
        <v>1.4474272930648768</v>
      </c>
      <c r="E44" s="20">
        <v>2.1588366890380311</v>
      </c>
      <c r="F44" s="20">
        <v>2.5503355704697985</v>
      </c>
      <c r="G44" s="20">
        <v>0.72035794183445179</v>
      </c>
      <c r="H44" s="20">
        <v>0.72035794183445179</v>
      </c>
      <c r="I44" s="20">
        <v>0.72035794183445179</v>
      </c>
      <c r="J44" s="20">
        <v>1.152125279642058</v>
      </c>
      <c r="K44" s="20">
        <v>1</v>
      </c>
      <c r="L44" s="21">
        <v>0.97986577181208034</v>
      </c>
      <c r="M44" s="3"/>
      <c r="N44" s="3"/>
      <c r="S44" s="515">
        <f>+AVERAGE(S39:S40,S42)</f>
        <v>26.666666666666668</v>
      </c>
      <c r="T44" s="514">
        <f>+SUM(T39:T43)/K43</f>
        <v>19.807606263982102</v>
      </c>
    </row>
    <row r="45" spans="1:20" ht="16" outlineLevel="1" thickBot="1" x14ac:dyDescent="0.25">
      <c r="A45" s="3"/>
      <c r="B45" s="22" t="s">
        <v>48</v>
      </c>
      <c r="C45" s="23">
        <v>22950.644528513381</v>
      </c>
      <c r="D45" s="24">
        <v>22950.644528513381</v>
      </c>
      <c r="E45" s="25">
        <v>35650.48339638504</v>
      </c>
      <c r="F45" s="25">
        <v>42832.247442903179</v>
      </c>
      <c r="G45" s="25">
        <v>11999.746041754239</v>
      </c>
      <c r="H45" s="25">
        <v>11999.746041754239</v>
      </c>
      <c r="I45" s="25">
        <v>11999.746041754239</v>
      </c>
      <c r="J45" s="25">
        <v>23766.988930923359</v>
      </c>
      <c r="K45" s="25">
        <v>19463.097239736584</v>
      </c>
      <c r="L45" s="26">
        <v>19375.262715426652</v>
      </c>
      <c r="M45" s="3"/>
      <c r="N45" s="560">
        <f>80000*8</f>
        <v>640000</v>
      </c>
    </row>
    <row r="46" spans="1:20" ht="16" outlineLevel="1" thickBot="1" x14ac:dyDescent="0.25">
      <c r="A46" s="3"/>
      <c r="B46" s="27" t="s">
        <v>102</v>
      </c>
      <c r="C46" s="28">
        <v>35000</v>
      </c>
      <c r="D46" s="29">
        <v>35000</v>
      </c>
      <c r="E46" s="30">
        <v>75559.28411633108</v>
      </c>
      <c r="F46" s="30">
        <v>89261.744966442944</v>
      </c>
      <c r="G46" s="30">
        <v>25000</v>
      </c>
      <c r="H46" s="30">
        <v>25000</v>
      </c>
      <c r="I46" s="30">
        <v>25000</v>
      </c>
      <c r="J46" s="30">
        <v>40324.38478747203</v>
      </c>
      <c r="K46" s="30">
        <v>35000</v>
      </c>
      <c r="L46" s="31">
        <v>35000</v>
      </c>
      <c r="M46" s="32">
        <v>42014.541387024597</v>
      </c>
      <c r="N46" s="3"/>
    </row>
    <row r="47" spans="1:20" ht="16" outlineLevel="1" thickBot="1" x14ac:dyDescent="0.25">
      <c r="A47" s="3"/>
      <c r="B47" s="33" t="s">
        <v>103</v>
      </c>
      <c r="C47" s="34">
        <v>0.34426729918533194</v>
      </c>
      <c r="D47" s="35">
        <v>0.34426729918533194</v>
      </c>
      <c r="E47" s="36">
        <v>0.52817865053488922</v>
      </c>
      <c r="F47" s="36">
        <v>0.52015000985018234</v>
      </c>
      <c r="G47" s="36">
        <v>0.52001015832983044</v>
      </c>
      <c r="H47" s="36">
        <v>0.52001015832983044</v>
      </c>
      <c r="I47" s="36">
        <v>0.52001015832983044</v>
      </c>
      <c r="J47" s="36">
        <v>0.41060504565199762</v>
      </c>
      <c r="K47" s="36">
        <v>0.44391150743609759</v>
      </c>
      <c r="L47" s="37">
        <v>0.44642106527352421</v>
      </c>
      <c r="M47" s="3"/>
      <c r="N47" s="3"/>
    </row>
    <row r="48" spans="1:20" ht="16" outlineLevel="1" thickBot="1" x14ac:dyDescent="0.25">
      <c r="A48" s="38" t="s">
        <v>104</v>
      </c>
      <c r="B48" s="39" t="s">
        <v>105</v>
      </c>
      <c r="C48" s="39" t="s">
        <v>90</v>
      </c>
      <c r="D48" s="40" t="s">
        <v>80</v>
      </c>
      <c r="E48" s="40" t="s">
        <v>82</v>
      </c>
      <c r="F48" s="40" t="s">
        <v>84</v>
      </c>
      <c r="G48" s="40" t="s">
        <v>76</v>
      </c>
      <c r="H48" s="40" t="s">
        <v>93</v>
      </c>
      <c r="I48" s="40" t="s">
        <v>72</v>
      </c>
      <c r="J48" s="40" t="s">
        <v>94</v>
      </c>
      <c r="K48" s="40" t="s">
        <v>88</v>
      </c>
      <c r="L48" s="41" t="s">
        <v>106</v>
      </c>
      <c r="M48" s="42" t="s">
        <v>107</v>
      </c>
      <c r="N48" s="41" t="s">
        <v>108</v>
      </c>
    </row>
    <row r="49" spans="1:30" outlineLevel="1" x14ac:dyDescent="0.2">
      <c r="A49" s="43" t="s">
        <v>109</v>
      </c>
      <c r="B49" s="44">
        <v>1.5</v>
      </c>
      <c r="C49" s="45">
        <v>20</v>
      </c>
      <c r="D49" s="46">
        <v>20</v>
      </c>
      <c r="E49" s="46">
        <v>20</v>
      </c>
      <c r="F49" s="46">
        <v>50</v>
      </c>
      <c r="G49" s="46">
        <v>50</v>
      </c>
      <c r="H49" s="46">
        <v>50</v>
      </c>
      <c r="I49" s="46">
        <v>50</v>
      </c>
      <c r="J49" s="46">
        <v>20</v>
      </c>
      <c r="K49" s="46">
        <v>20</v>
      </c>
      <c r="L49" s="47">
        <v>50</v>
      </c>
      <c r="M49" s="48">
        <v>8000</v>
      </c>
      <c r="N49" s="47">
        <v>19812</v>
      </c>
    </row>
    <row r="50" spans="1:30" outlineLevel="1" x14ac:dyDescent="0.2">
      <c r="A50" s="43" t="s">
        <v>100</v>
      </c>
      <c r="B50" s="44">
        <v>3</v>
      </c>
      <c r="C50" s="45">
        <v>0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7">
        <v>0</v>
      </c>
      <c r="M50" s="48">
        <v>10000</v>
      </c>
      <c r="N50" s="47">
        <v>49530</v>
      </c>
    </row>
    <row r="51" spans="1:30" outlineLevel="1" x14ac:dyDescent="0.2">
      <c r="A51" s="48" t="s">
        <v>25</v>
      </c>
      <c r="B51" s="49">
        <v>6</v>
      </c>
      <c r="C51" s="45">
        <v>18.18181818181818</v>
      </c>
      <c r="D51" s="46">
        <v>18.18181818181818</v>
      </c>
      <c r="E51" s="46">
        <v>12</v>
      </c>
      <c r="F51" s="46">
        <v>12</v>
      </c>
      <c r="G51" s="46">
        <v>24</v>
      </c>
      <c r="H51" s="46">
        <v>24</v>
      </c>
      <c r="I51" s="46">
        <v>24</v>
      </c>
      <c r="J51" s="46">
        <v>12</v>
      </c>
      <c r="K51" s="46">
        <v>18.18181818181818</v>
      </c>
      <c r="L51" s="47">
        <v>18.18181818181818</v>
      </c>
      <c r="M51" s="48">
        <v>6000</v>
      </c>
      <c r="N51" s="47">
        <v>59436</v>
      </c>
    </row>
    <row r="52" spans="1:30" outlineLevel="1" x14ac:dyDescent="0.2">
      <c r="A52" s="48" t="s">
        <v>26</v>
      </c>
      <c r="B52" s="49">
        <v>8</v>
      </c>
      <c r="C52" s="45">
        <v>16</v>
      </c>
      <c r="D52" s="46">
        <v>16</v>
      </c>
      <c r="E52" s="46">
        <v>16</v>
      </c>
      <c r="F52" s="46">
        <v>11.940298507462686</v>
      </c>
      <c r="G52" s="46">
        <v>24.242424242424242</v>
      </c>
      <c r="H52" s="46">
        <v>24.242424242424242</v>
      </c>
      <c r="I52" s="46">
        <v>24.242424242424242</v>
      </c>
      <c r="J52" s="46">
        <v>16</v>
      </c>
      <c r="K52" s="46">
        <v>16</v>
      </c>
      <c r="L52" s="47">
        <v>24.242424242424242</v>
      </c>
      <c r="M52" s="48">
        <v>4000</v>
      </c>
      <c r="N52" s="47">
        <v>52832</v>
      </c>
    </row>
    <row r="53" spans="1:30" outlineLevel="1" x14ac:dyDescent="0.2">
      <c r="A53" s="48" t="s">
        <v>27</v>
      </c>
      <c r="B53" s="49">
        <v>7</v>
      </c>
      <c r="C53" s="45">
        <v>21.212121212121211</v>
      </c>
      <c r="D53" s="46">
        <v>21.212121212121211</v>
      </c>
      <c r="E53" s="46">
        <v>9.3333333333333339</v>
      </c>
      <c r="F53" s="46">
        <v>7</v>
      </c>
      <c r="G53" s="46">
        <v>0</v>
      </c>
      <c r="H53" s="46">
        <v>0</v>
      </c>
      <c r="I53" s="46">
        <v>0</v>
      </c>
      <c r="J53" s="46">
        <v>14</v>
      </c>
      <c r="K53" s="46">
        <v>21.212121212121211</v>
      </c>
      <c r="L53" s="47">
        <v>14</v>
      </c>
      <c r="M53" s="48">
        <v>3800</v>
      </c>
      <c r="N53" s="47">
        <v>43916.6</v>
      </c>
    </row>
    <row r="54" spans="1:30" outlineLevel="1" x14ac:dyDescent="0.2">
      <c r="A54" s="48" t="s">
        <v>28</v>
      </c>
      <c r="B54" s="49">
        <v>19</v>
      </c>
      <c r="C54" s="45">
        <v>19</v>
      </c>
      <c r="D54" s="46">
        <v>19</v>
      </c>
      <c r="E54" s="46">
        <v>9.5</v>
      </c>
      <c r="F54" s="46">
        <v>7.6</v>
      </c>
      <c r="G54" s="46">
        <v>38</v>
      </c>
      <c r="H54" s="46">
        <v>38</v>
      </c>
      <c r="I54" s="46">
        <v>38</v>
      </c>
      <c r="J54" s="46">
        <v>19</v>
      </c>
      <c r="K54" s="46">
        <v>19</v>
      </c>
      <c r="L54" s="47">
        <v>19</v>
      </c>
      <c r="M54" s="48">
        <v>2300</v>
      </c>
      <c r="N54" s="47">
        <v>72148.7</v>
      </c>
    </row>
    <row r="55" spans="1:30" ht="16" outlineLevel="1" thickBot="1" x14ac:dyDescent="0.25">
      <c r="A55" s="50" t="s">
        <v>29</v>
      </c>
      <c r="B55" s="51">
        <v>6</v>
      </c>
      <c r="C55" s="45">
        <v>6</v>
      </c>
      <c r="D55" s="46">
        <v>6</v>
      </c>
      <c r="E55" s="46">
        <v>6</v>
      </c>
      <c r="F55" s="46">
        <v>6</v>
      </c>
      <c r="G55" s="46">
        <v>12</v>
      </c>
      <c r="H55" s="46">
        <v>12</v>
      </c>
      <c r="I55" s="46">
        <v>12</v>
      </c>
      <c r="J55" s="46">
        <v>0</v>
      </c>
      <c r="K55" s="46">
        <v>0</v>
      </c>
      <c r="L55" s="47">
        <v>0</v>
      </c>
      <c r="M55" s="50">
        <v>1350</v>
      </c>
      <c r="N55" s="52">
        <v>13373.099999999999</v>
      </c>
    </row>
    <row r="56" spans="1:30" ht="16" outlineLevel="1" thickBot="1" x14ac:dyDescent="0.25">
      <c r="A56" s="3"/>
      <c r="B56" s="53" t="s">
        <v>110</v>
      </c>
      <c r="C56" s="54" t="s">
        <v>29</v>
      </c>
      <c r="D56" s="55" t="s">
        <v>29</v>
      </c>
      <c r="E56" s="55" t="s">
        <v>29</v>
      </c>
      <c r="F56" s="55" t="s">
        <v>29</v>
      </c>
      <c r="G56" s="55" t="s">
        <v>29</v>
      </c>
      <c r="H56" s="55" t="s">
        <v>29</v>
      </c>
      <c r="I56" s="55" t="s">
        <v>29</v>
      </c>
      <c r="J56" s="55" t="s">
        <v>25</v>
      </c>
      <c r="K56" s="55" t="s">
        <v>26</v>
      </c>
      <c r="L56" s="56" t="s">
        <v>27</v>
      </c>
      <c r="M56" s="3"/>
      <c r="N56" s="57">
        <v>241706.4</v>
      </c>
    </row>
    <row r="57" spans="1:30" ht="16" outlineLevel="1" thickBot="1" x14ac:dyDescent="0.25">
      <c r="A57" s="3"/>
      <c r="B57" s="58" t="s">
        <v>111</v>
      </c>
      <c r="C57" s="59">
        <v>6</v>
      </c>
      <c r="D57" s="60">
        <v>6</v>
      </c>
      <c r="E57" s="60">
        <v>6</v>
      </c>
      <c r="F57" s="60">
        <v>6</v>
      </c>
      <c r="G57" s="60">
        <v>12</v>
      </c>
      <c r="H57" s="60">
        <v>12</v>
      </c>
      <c r="I57" s="60">
        <v>12</v>
      </c>
      <c r="J57" s="60">
        <v>12</v>
      </c>
      <c r="K57" s="60">
        <v>16</v>
      </c>
      <c r="L57" s="61">
        <v>14</v>
      </c>
      <c r="M57" s="3"/>
      <c r="N57" s="3"/>
    </row>
    <row r="58" spans="1:30" outlineLevel="1" x14ac:dyDescent="0.2"/>
    <row r="59" spans="1:30" outlineLevel="1" x14ac:dyDescent="0.2"/>
    <row r="60" spans="1:30" s="154" customFormat="1" ht="15" customHeight="1" x14ac:dyDescent="0.2">
      <c r="A60" s="155" t="s">
        <v>112</v>
      </c>
    </row>
    <row r="61" spans="1:30" x14ac:dyDescent="0.2">
      <c r="G61">
        <v>1.28</v>
      </c>
      <c r="U61" s="143" t="s">
        <v>113</v>
      </c>
    </row>
    <row r="62" spans="1:30" ht="16" thickBot="1" x14ac:dyDescent="0.25">
      <c r="G62" s="343"/>
      <c r="V62">
        <v>10</v>
      </c>
      <c r="W62">
        <v>11</v>
      </c>
      <c r="X62">
        <v>12</v>
      </c>
      <c r="Y62">
        <v>13</v>
      </c>
      <c r="Z62">
        <v>14</v>
      </c>
      <c r="AA62">
        <v>15</v>
      </c>
      <c r="AB62">
        <v>16</v>
      </c>
      <c r="AC62">
        <v>17</v>
      </c>
      <c r="AD62">
        <v>18</v>
      </c>
    </row>
    <row r="63" spans="1:30" ht="17" thickBot="1" x14ac:dyDescent="0.25">
      <c r="A63" s="65" t="s">
        <v>114</v>
      </c>
      <c r="B63" s="66" t="s">
        <v>115</v>
      </c>
      <c r="C63" s="66" t="s">
        <v>116</v>
      </c>
      <c r="D63" s="65" t="s">
        <v>117</v>
      </c>
      <c r="E63" s="67" t="s">
        <v>118</v>
      </c>
      <c r="F63" s="67" t="s">
        <v>119</v>
      </c>
      <c r="G63" s="67" t="s">
        <v>120</v>
      </c>
      <c r="H63" s="67" t="s">
        <v>121</v>
      </c>
      <c r="K63" s="294" t="s">
        <v>122</v>
      </c>
      <c r="L63" s="295" t="s">
        <v>41</v>
      </c>
      <c r="M63" s="295" t="s">
        <v>44</v>
      </c>
      <c r="N63" s="295" t="s">
        <v>45</v>
      </c>
      <c r="O63" s="295" t="s">
        <v>46</v>
      </c>
      <c r="P63" s="296" t="s">
        <v>47</v>
      </c>
      <c r="Q63" s="296" t="s">
        <v>32</v>
      </c>
      <c r="T63" s="311" t="s">
        <v>41</v>
      </c>
      <c r="U63" s="294" t="s">
        <v>123</v>
      </c>
      <c r="V63" s="238">
        <v>45777</v>
      </c>
      <c r="W63" s="226">
        <v>45807</v>
      </c>
      <c r="X63" s="226">
        <v>45838</v>
      </c>
      <c r="Y63" s="226">
        <v>45868</v>
      </c>
      <c r="Z63" s="226">
        <v>45899</v>
      </c>
      <c r="AA63" s="226">
        <v>45930</v>
      </c>
      <c r="AB63" s="226">
        <v>45960</v>
      </c>
      <c r="AC63" s="226">
        <v>45991</v>
      </c>
      <c r="AD63" s="227">
        <v>46021</v>
      </c>
    </row>
    <row r="64" spans="1:30" x14ac:dyDescent="0.2">
      <c r="A64" s="69">
        <v>1</v>
      </c>
      <c r="B64" s="70" t="s">
        <v>124</v>
      </c>
      <c r="C64" s="70" t="s">
        <v>125</v>
      </c>
      <c r="D64" s="71" t="s">
        <v>126</v>
      </c>
      <c r="E64" s="72" t="s">
        <v>45</v>
      </c>
      <c r="F64" s="72" t="s">
        <v>127</v>
      </c>
      <c r="G64" s="375">
        <v>4270</v>
      </c>
      <c r="H64" s="72" t="s">
        <v>22</v>
      </c>
      <c r="K64" s="297" t="s">
        <v>22</v>
      </c>
      <c r="L64" s="346">
        <f t="shared" ref="L64:P65" si="2">+SUMIFS($G$64:$G$147,$H$64:$H$147,$K64,$E$64:$E$147,L$63)</f>
        <v>23284.633207201961</v>
      </c>
      <c r="M64" s="347">
        <f t="shared" si="2"/>
        <v>3285.76</v>
      </c>
      <c r="N64" s="347">
        <f t="shared" si="2"/>
        <v>8920</v>
      </c>
      <c r="O64" s="347">
        <f t="shared" si="2"/>
        <v>25000</v>
      </c>
      <c r="P64" s="348">
        <f t="shared" si="2"/>
        <v>0</v>
      </c>
      <c r="Q64" s="349">
        <f>+SUM(L64:P64)</f>
        <v>60490.39320720196</v>
      </c>
      <c r="U64" s="297" t="s">
        <v>22</v>
      </c>
      <c r="V64" s="337">
        <f t="array" ref="V64:V74">+$L$92:$L$102*TRANSPOSE(Dashboard!$AA$11:$AK$11)</f>
        <v>23284.633207201961</v>
      </c>
      <c r="W64" s="338">
        <f t="array" ref="W64:W74">+$L$92:$L$102*TRANSPOSE(Dashboard!$AA$12:$AK$12)</f>
        <v>23284.633207201961</v>
      </c>
      <c r="X64" s="338">
        <f t="array" ref="X64:X74">+$L$92:$L$102*TRANSPOSE(Dashboard!$AA$13:$AK$13)</f>
        <v>23284.633207201961</v>
      </c>
      <c r="Y64" s="338">
        <f t="array" ref="Y64:Y74">+$L$92:$L$102*TRANSPOSE(Dashboard!$AA$14:$AK$14)</f>
        <v>23284.633207201961</v>
      </c>
      <c r="Z64" s="338">
        <f t="array" ref="Z64:Z74">+$L$92:$L$102*TRANSPOSE(Dashboard!$AA$15:$AK$15)</f>
        <v>23284.633207201961</v>
      </c>
      <c r="AA64" s="338">
        <f t="array" ref="AA64:AA74">+$L$92:$L$102*TRANSPOSE(Dashboard!$AA$16:$AK$16)</f>
        <v>23284.633207201961</v>
      </c>
      <c r="AB64" s="338">
        <f t="array" ref="AB64:AB74">+$L$92:$L$102*TRANSPOSE(Dashboard!$AA$17:$AK$17)</f>
        <v>23284.633207201961</v>
      </c>
      <c r="AC64" s="338">
        <f t="array" ref="AC64:AC74">+$L$92:$L$102*TRANSPOSE(Dashboard!$AA$18:$AK$18)</f>
        <v>23284.633207201961</v>
      </c>
      <c r="AD64" s="339">
        <f t="array" ref="AD64:AD74">+$L$92:$L$102*TRANSPOSE(Dashboard!$AA$19:$AK$19)</f>
        <v>23284.633207201961</v>
      </c>
    </row>
    <row r="65" spans="1:30" x14ac:dyDescent="0.2">
      <c r="A65" s="69">
        <v>2</v>
      </c>
      <c r="B65" s="70" t="s">
        <v>128</v>
      </c>
      <c r="C65" s="70" t="s">
        <v>129</v>
      </c>
      <c r="D65" s="71" t="s">
        <v>126</v>
      </c>
      <c r="E65" s="72" t="s">
        <v>45</v>
      </c>
      <c r="F65" s="72" t="s">
        <v>127</v>
      </c>
      <c r="G65" s="375">
        <v>1100</v>
      </c>
      <c r="H65" s="72" t="s">
        <v>31</v>
      </c>
      <c r="K65" s="298" t="s">
        <v>23</v>
      </c>
      <c r="L65" s="350">
        <f t="shared" si="2"/>
        <v>14221.73998918874</v>
      </c>
      <c r="M65" s="351">
        <f t="shared" si="2"/>
        <v>1000</v>
      </c>
      <c r="N65" s="351">
        <f t="shared" si="2"/>
        <v>0</v>
      </c>
      <c r="O65" s="351">
        <f t="shared" si="2"/>
        <v>0</v>
      </c>
      <c r="P65" s="352">
        <f t="shared" si="2"/>
        <v>0</v>
      </c>
      <c r="Q65" s="353">
        <f t="shared" ref="Q65:Q75" si="3">+SUM(L65:P65)</f>
        <v>15221.73998918874</v>
      </c>
      <c r="U65" s="298" t="s">
        <v>23</v>
      </c>
      <c r="V65" s="337">
        <v>14221.73998918874</v>
      </c>
      <c r="W65" s="338">
        <v>14221.73998918874</v>
      </c>
      <c r="X65" s="338">
        <v>14221.73998918874</v>
      </c>
      <c r="Y65" s="338">
        <v>14221.73998918874</v>
      </c>
      <c r="Z65" s="338">
        <v>14221.73998918874</v>
      </c>
      <c r="AA65" s="338">
        <v>14221.73998918874</v>
      </c>
      <c r="AB65" s="338">
        <v>14221.73998918874</v>
      </c>
      <c r="AC65" s="338">
        <v>14221.73998918874</v>
      </c>
      <c r="AD65" s="339">
        <v>14221.73998918874</v>
      </c>
    </row>
    <row r="66" spans="1:30" x14ac:dyDescent="0.2">
      <c r="A66" s="69">
        <v>3</v>
      </c>
      <c r="B66" s="70" t="s">
        <v>130</v>
      </c>
      <c r="C66" s="70" t="s">
        <v>25</v>
      </c>
      <c r="D66" s="71" t="s">
        <v>126</v>
      </c>
      <c r="E66" s="72" t="s">
        <v>45</v>
      </c>
      <c r="F66" s="72" t="s">
        <v>127</v>
      </c>
      <c r="G66" s="375">
        <v>3700</v>
      </c>
      <c r="H66" s="72"/>
      <c r="K66" s="298" t="s">
        <v>33</v>
      </c>
      <c r="L66" s="350">
        <f>+SUM(L67:L73)</f>
        <v>205941.10121002953</v>
      </c>
      <c r="M66" s="351">
        <f t="shared" ref="M66:Q66" si="4">+SUM(M67:M73)</f>
        <v>40862.880000000005</v>
      </c>
      <c r="N66" s="351">
        <f t="shared" si="4"/>
        <v>3700</v>
      </c>
      <c r="O66" s="351">
        <f t="shared" si="4"/>
        <v>0</v>
      </c>
      <c r="P66" s="352">
        <f t="shared" si="4"/>
        <v>0</v>
      </c>
      <c r="Q66" s="353">
        <f t="shared" si="4"/>
        <v>250503.98121002951</v>
      </c>
      <c r="U66" s="298" t="s">
        <v>33</v>
      </c>
      <c r="V66" s="337">
        <v>205941.10121002956</v>
      </c>
      <c r="W66" s="338">
        <v>205941.10121002956</v>
      </c>
      <c r="X66" s="338">
        <v>205941.10121002956</v>
      </c>
      <c r="Y66" s="338">
        <v>205941.10121002956</v>
      </c>
      <c r="Z66" s="338">
        <v>205941.10121002956</v>
      </c>
      <c r="AA66" s="338">
        <v>205941.10121002956</v>
      </c>
      <c r="AB66" s="338">
        <v>205941.10121002956</v>
      </c>
      <c r="AC66" s="338">
        <v>205941.10121002956</v>
      </c>
      <c r="AD66" s="339">
        <v>205941.10121002956</v>
      </c>
    </row>
    <row r="67" spans="1:30" x14ac:dyDescent="0.2">
      <c r="A67" s="69">
        <v>4</v>
      </c>
      <c r="B67" s="70" t="s">
        <v>131</v>
      </c>
      <c r="C67" s="70" t="s">
        <v>132</v>
      </c>
      <c r="D67" s="71" t="s">
        <v>126</v>
      </c>
      <c r="E67" s="72" t="s">
        <v>45</v>
      </c>
      <c r="F67" s="72" t="s">
        <v>133</v>
      </c>
      <c r="G67" s="375">
        <v>4650</v>
      </c>
      <c r="H67" s="72" t="s">
        <v>22</v>
      </c>
      <c r="K67" s="300" t="s">
        <v>134</v>
      </c>
      <c r="L67" s="354">
        <f t="shared" ref="L67:P73" si="5">+SUMIFS($G$64:$G$147,$C$64:$C$147,$K67,$E$64:$E$147,L$63)</f>
        <v>27445</v>
      </c>
      <c r="M67" s="355">
        <f t="shared" si="5"/>
        <v>0</v>
      </c>
      <c r="N67" s="355">
        <f t="shared" si="5"/>
        <v>0</v>
      </c>
      <c r="O67" s="355">
        <f t="shared" si="5"/>
        <v>0</v>
      </c>
      <c r="P67" s="356">
        <f t="shared" si="5"/>
        <v>0</v>
      </c>
      <c r="Q67" s="357">
        <f t="shared" si="3"/>
        <v>27445</v>
      </c>
      <c r="U67" s="300" t="s">
        <v>134</v>
      </c>
      <c r="V67" s="337">
        <v>27445</v>
      </c>
      <c r="W67" s="338">
        <v>27445</v>
      </c>
      <c r="X67" s="338">
        <v>27445</v>
      </c>
      <c r="Y67" s="338">
        <v>27445</v>
      </c>
      <c r="Z67" s="338">
        <v>27445</v>
      </c>
      <c r="AA67" s="338">
        <v>27445</v>
      </c>
      <c r="AB67" s="338">
        <v>27445</v>
      </c>
      <c r="AC67" s="338">
        <v>27445</v>
      </c>
      <c r="AD67" s="339">
        <v>27445</v>
      </c>
    </row>
    <row r="68" spans="1:30" x14ac:dyDescent="0.2">
      <c r="A68" s="73">
        <v>5</v>
      </c>
      <c r="B68" s="74" t="s">
        <v>135</v>
      </c>
      <c r="C68" s="74" t="s">
        <v>136</v>
      </c>
      <c r="D68" s="75" t="s">
        <v>126</v>
      </c>
      <c r="E68" s="73" t="s">
        <v>41</v>
      </c>
      <c r="F68" s="73" t="s">
        <v>127</v>
      </c>
      <c r="G68" s="345">
        <v>18628.633207201961</v>
      </c>
      <c r="H68" s="73" t="s">
        <v>22</v>
      </c>
      <c r="K68" s="300" t="s">
        <v>25</v>
      </c>
      <c r="L68" s="354">
        <f>+SUMIFS($G$64:$G$147,$C$64:$C$147,$K68,$E$64:$E$147,L$63)</f>
        <v>53592</v>
      </c>
      <c r="M68" s="355">
        <f t="shared" si="5"/>
        <v>0</v>
      </c>
      <c r="N68" s="355">
        <f t="shared" si="5"/>
        <v>3700</v>
      </c>
      <c r="O68" s="355">
        <f t="shared" si="5"/>
        <v>0</v>
      </c>
      <c r="P68" s="356">
        <f t="shared" si="5"/>
        <v>0</v>
      </c>
      <c r="Q68" s="357">
        <f t="shared" si="3"/>
        <v>57292</v>
      </c>
      <c r="U68" s="300" t="s">
        <v>25</v>
      </c>
      <c r="V68" s="337">
        <v>53592</v>
      </c>
      <c r="W68" s="338">
        <v>53592</v>
      </c>
      <c r="X68" s="338">
        <v>53592</v>
      </c>
      <c r="Y68" s="338">
        <v>53592</v>
      </c>
      <c r="Z68" s="338">
        <v>53592</v>
      </c>
      <c r="AA68" s="338">
        <v>53592</v>
      </c>
      <c r="AB68" s="338">
        <v>53592</v>
      </c>
      <c r="AC68" s="338">
        <v>53592</v>
      </c>
      <c r="AD68" s="339">
        <v>53592</v>
      </c>
    </row>
    <row r="69" spans="1:30" x14ac:dyDescent="0.2">
      <c r="A69" s="73">
        <v>6</v>
      </c>
      <c r="B69" s="74" t="s">
        <v>137</v>
      </c>
      <c r="C69" s="74" t="s">
        <v>138</v>
      </c>
      <c r="D69" s="75" t="s">
        <v>126</v>
      </c>
      <c r="E69" s="73" t="s">
        <v>41</v>
      </c>
      <c r="F69" s="73" t="s">
        <v>127</v>
      </c>
      <c r="G69" s="345">
        <v>1061</v>
      </c>
      <c r="H69" s="73" t="s">
        <v>31</v>
      </c>
      <c r="K69" s="300" t="s">
        <v>26</v>
      </c>
      <c r="L69" s="354">
        <f t="shared" si="5"/>
        <v>35924</v>
      </c>
      <c r="M69" s="355">
        <f t="shared" si="5"/>
        <v>8093.4400000000005</v>
      </c>
      <c r="N69" s="355">
        <f t="shared" si="5"/>
        <v>0</v>
      </c>
      <c r="O69" s="355">
        <f t="shared" si="5"/>
        <v>0</v>
      </c>
      <c r="P69" s="356">
        <f t="shared" si="5"/>
        <v>0</v>
      </c>
      <c r="Q69" s="357">
        <f t="shared" si="3"/>
        <v>44017.440000000002</v>
      </c>
      <c r="U69" s="300" t="s">
        <v>26</v>
      </c>
      <c r="V69" s="337">
        <v>35924</v>
      </c>
      <c r="W69" s="338">
        <v>35924</v>
      </c>
      <c r="X69" s="338">
        <v>35924</v>
      </c>
      <c r="Y69" s="338">
        <v>35924</v>
      </c>
      <c r="Z69" s="338">
        <v>35924</v>
      </c>
      <c r="AA69" s="338">
        <v>35924</v>
      </c>
      <c r="AB69" s="338">
        <v>35924</v>
      </c>
      <c r="AC69" s="338">
        <v>35924</v>
      </c>
      <c r="AD69" s="339">
        <v>35924</v>
      </c>
    </row>
    <row r="70" spans="1:30" x14ac:dyDescent="0.2">
      <c r="A70" s="73">
        <v>7</v>
      </c>
      <c r="B70" s="74" t="s">
        <v>139</v>
      </c>
      <c r="C70" s="74" t="s">
        <v>27</v>
      </c>
      <c r="D70" s="75" t="s">
        <v>126</v>
      </c>
      <c r="E70" s="73" t="s">
        <v>41</v>
      </c>
      <c r="F70" s="73" t="s">
        <v>140</v>
      </c>
      <c r="G70" s="345">
        <v>4858</v>
      </c>
      <c r="H70" s="73"/>
      <c r="K70" s="300" t="s">
        <v>27</v>
      </c>
      <c r="L70" s="354">
        <f t="shared" si="5"/>
        <v>41260</v>
      </c>
      <c r="M70" s="355">
        <f t="shared" si="5"/>
        <v>13081.599999999999</v>
      </c>
      <c r="N70" s="355">
        <f t="shared" si="5"/>
        <v>0</v>
      </c>
      <c r="O70" s="355">
        <f t="shared" si="5"/>
        <v>0</v>
      </c>
      <c r="P70" s="356">
        <f t="shared" si="5"/>
        <v>0</v>
      </c>
      <c r="Q70" s="357">
        <f t="shared" si="3"/>
        <v>54341.599999999999</v>
      </c>
      <c r="U70" s="300" t="s">
        <v>27</v>
      </c>
      <c r="V70" s="337">
        <v>41260</v>
      </c>
      <c r="W70" s="338">
        <v>41260</v>
      </c>
      <c r="X70" s="338">
        <v>41260</v>
      </c>
      <c r="Y70" s="338">
        <v>41260</v>
      </c>
      <c r="Z70" s="338">
        <v>41260</v>
      </c>
      <c r="AA70" s="338">
        <v>41260</v>
      </c>
      <c r="AB70" s="338">
        <v>41260</v>
      </c>
      <c r="AC70" s="338">
        <v>41260</v>
      </c>
      <c r="AD70" s="339">
        <v>41260</v>
      </c>
    </row>
    <row r="71" spans="1:30" x14ac:dyDescent="0.2">
      <c r="A71" s="73">
        <v>8</v>
      </c>
      <c r="B71" s="74" t="s">
        <v>141</v>
      </c>
      <c r="C71" s="74" t="s">
        <v>142</v>
      </c>
      <c r="D71" s="75" t="s">
        <v>126</v>
      </c>
      <c r="E71" s="73" t="s">
        <v>41</v>
      </c>
      <c r="F71" s="73" t="s">
        <v>127</v>
      </c>
      <c r="G71" s="345">
        <v>3466</v>
      </c>
      <c r="H71" s="73" t="s">
        <v>31</v>
      </c>
      <c r="K71" s="300" t="s">
        <v>28</v>
      </c>
      <c r="L71" s="354">
        <f t="shared" si="5"/>
        <v>28119.735082539813</v>
      </c>
      <c r="M71" s="355">
        <f t="shared" si="5"/>
        <v>12935.68</v>
      </c>
      <c r="N71" s="355">
        <f t="shared" si="5"/>
        <v>0</v>
      </c>
      <c r="O71" s="355">
        <f t="shared" si="5"/>
        <v>0</v>
      </c>
      <c r="P71" s="356">
        <f t="shared" si="5"/>
        <v>0</v>
      </c>
      <c r="Q71" s="357">
        <f t="shared" si="3"/>
        <v>41055.41508253981</v>
      </c>
      <c r="U71" s="300" t="s">
        <v>28</v>
      </c>
      <c r="V71" s="337">
        <v>28119.735082539813</v>
      </c>
      <c r="W71" s="338">
        <v>28119.735082539813</v>
      </c>
      <c r="X71" s="338">
        <v>28119.735082539813</v>
      </c>
      <c r="Y71" s="338">
        <v>28119.735082539813</v>
      </c>
      <c r="Z71" s="338">
        <v>28119.735082539813</v>
      </c>
      <c r="AA71" s="338">
        <v>28119.735082539813</v>
      </c>
      <c r="AB71" s="338">
        <v>28119.735082539813</v>
      </c>
      <c r="AC71" s="338">
        <v>28119.735082539813</v>
      </c>
      <c r="AD71" s="339">
        <v>28119.735082539813</v>
      </c>
    </row>
    <row r="72" spans="1:30" x14ac:dyDescent="0.2">
      <c r="A72" s="73">
        <v>9</v>
      </c>
      <c r="B72" s="74" t="s">
        <v>143</v>
      </c>
      <c r="C72" s="74" t="s">
        <v>25</v>
      </c>
      <c r="D72" s="75" t="s">
        <v>126</v>
      </c>
      <c r="E72" s="73" t="s">
        <v>41</v>
      </c>
      <c r="F72" s="73" t="s">
        <v>127</v>
      </c>
      <c r="G72" s="345">
        <v>8820</v>
      </c>
      <c r="H72" s="73"/>
      <c r="K72" s="300" t="s">
        <v>29</v>
      </c>
      <c r="L72" s="354">
        <f>+SUMIFS($G$64:$G$147,$C$64:$C$147,$K72,$E$64:$E$147,L$63)</f>
        <v>14065.366127489709</v>
      </c>
      <c r="M72" s="355">
        <f t="shared" si="5"/>
        <v>4243.3600000000006</v>
      </c>
      <c r="N72" s="355">
        <f t="shared" si="5"/>
        <v>0</v>
      </c>
      <c r="O72" s="355">
        <f t="shared" si="5"/>
        <v>0</v>
      </c>
      <c r="P72" s="356">
        <f t="shared" si="5"/>
        <v>0</v>
      </c>
      <c r="Q72" s="357">
        <f t="shared" si="3"/>
        <v>18308.72612748971</v>
      </c>
      <c r="U72" s="300" t="s">
        <v>29</v>
      </c>
      <c r="V72" s="337">
        <v>14065.366127489709</v>
      </c>
      <c r="W72" s="338">
        <v>14065.366127489709</v>
      </c>
      <c r="X72" s="338">
        <v>14065.366127489709</v>
      </c>
      <c r="Y72" s="338">
        <v>14065.366127489709</v>
      </c>
      <c r="Z72" s="338">
        <v>14065.366127489709</v>
      </c>
      <c r="AA72" s="338">
        <v>14065.366127489709</v>
      </c>
      <c r="AB72" s="338">
        <v>14065.366127489709</v>
      </c>
      <c r="AC72" s="338">
        <v>14065.366127489709</v>
      </c>
      <c r="AD72" s="339">
        <v>14065.366127489709</v>
      </c>
    </row>
    <row r="73" spans="1:30" x14ac:dyDescent="0.2">
      <c r="A73" s="73">
        <v>10</v>
      </c>
      <c r="B73" s="74" t="s">
        <v>144</v>
      </c>
      <c r="C73" s="74" t="s">
        <v>25</v>
      </c>
      <c r="D73" s="75" t="s">
        <v>126</v>
      </c>
      <c r="E73" s="73" t="s">
        <v>41</v>
      </c>
      <c r="F73" s="73" t="s">
        <v>127</v>
      </c>
      <c r="G73" s="345">
        <v>7975</v>
      </c>
      <c r="H73" s="73"/>
      <c r="K73" s="300" t="s">
        <v>30</v>
      </c>
      <c r="L73" s="354">
        <f t="shared" si="5"/>
        <v>5535</v>
      </c>
      <c r="M73" s="355">
        <f t="shared" si="5"/>
        <v>2508.8000000000002</v>
      </c>
      <c r="N73" s="355">
        <f t="shared" si="5"/>
        <v>0</v>
      </c>
      <c r="O73" s="355">
        <f t="shared" si="5"/>
        <v>0</v>
      </c>
      <c r="P73" s="356">
        <f t="shared" si="5"/>
        <v>0</v>
      </c>
      <c r="Q73" s="357">
        <f t="shared" si="3"/>
        <v>8043.8</v>
      </c>
      <c r="U73" s="300" t="s">
        <v>30</v>
      </c>
      <c r="V73" s="337">
        <v>5535</v>
      </c>
      <c r="W73" s="338">
        <v>5535</v>
      </c>
      <c r="X73" s="338">
        <v>5535</v>
      </c>
      <c r="Y73" s="338">
        <v>5535</v>
      </c>
      <c r="Z73" s="338">
        <v>5535</v>
      </c>
      <c r="AA73" s="338">
        <v>5535</v>
      </c>
      <c r="AB73" s="338">
        <v>5535</v>
      </c>
      <c r="AC73" s="338">
        <v>5535</v>
      </c>
      <c r="AD73" s="339">
        <v>5535</v>
      </c>
    </row>
    <row r="74" spans="1:30" x14ac:dyDescent="0.2">
      <c r="A74" s="73">
        <v>11</v>
      </c>
      <c r="B74" s="74" t="s">
        <v>145</v>
      </c>
      <c r="C74" s="74" t="s">
        <v>25</v>
      </c>
      <c r="D74" s="75" t="s">
        <v>126</v>
      </c>
      <c r="E74" s="73" t="s">
        <v>41</v>
      </c>
      <c r="F74" s="73" t="s">
        <v>127</v>
      </c>
      <c r="G74" s="345">
        <v>9514</v>
      </c>
      <c r="H74" s="73"/>
      <c r="K74" s="298" t="s">
        <v>31</v>
      </c>
      <c r="L74" s="350">
        <f>+SUMIFS($G$64:$G$147,$H$64:$H$147,$K74,$E$64:$E$147,L$63)</f>
        <v>8318.9866522516531</v>
      </c>
      <c r="M74" s="351">
        <f>+SUMIFS($G$64:$G$147,$H$64:$H$147,$K74,$E$64:$E$147,M$63)</f>
        <v>0</v>
      </c>
      <c r="N74" s="351">
        <f>+SUMIFS($G$64:$G$147,$H$64:$H$147,$K74,$E$64:$E$147,N$63)</f>
        <v>1100</v>
      </c>
      <c r="O74" s="351">
        <f>+SUMIFS($G$64:$G$147,$H$64:$H$147,$K74,$E$64:$E$147,O$63)</f>
        <v>0</v>
      </c>
      <c r="P74" s="352">
        <f>+SUMIFS($G$64:$G$147,$H$64:$H$147,$K74,$E$64:$E$147,P$63)</f>
        <v>0</v>
      </c>
      <c r="Q74" s="353">
        <f t="shared" si="3"/>
        <v>9418.9866522516531</v>
      </c>
      <c r="U74" s="298" t="s">
        <v>31</v>
      </c>
      <c r="V74" s="337">
        <v>8318.9866522516531</v>
      </c>
      <c r="W74" s="338">
        <v>8318.9866522516531</v>
      </c>
      <c r="X74" s="338">
        <v>8318.9866522516531</v>
      </c>
      <c r="Y74" s="338">
        <v>8318.9866522516531</v>
      </c>
      <c r="Z74" s="338">
        <v>8318.9866522516531</v>
      </c>
      <c r="AA74" s="338">
        <v>8318.9866522516531</v>
      </c>
      <c r="AB74" s="338">
        <v>8318.9866522516531</v>
      </c>
      <c r="AC74" s="338">
        <v>8318.9866522516531</v>
      </c>
      <c r="AD74" s="339">
        <v>8318.9866522516531</v>
      </c>
    </row>
    <row r="75" spans="1:30" ht="16" thickBot="1" x14ac:dyDescent="0.25">
      <c r="A75" s="73">
        <v>12</v>
      </c>
      <c r="B75" s="74" t="s">
        <v>146</v>
      </c>
      <c r="C75" s="74" t="s">
        <v>25</v>
      </c>
      <c r="D75" s="75" t="s">
        <v>126</v>
      </c>
      <c r="E75" s="73" t="s">
        <v>41</v>
      </c>
      <c r="F75" s="73" t="s">
        <v>127</v>
      </c>
      <c r="G75" s="345">
        <v>7930</v>
      </c>
      <c r="H75" s="73"/>
      <c r="K75" s="299" t="s">
        <v>147</v>
      </c>
      <c r="L75" s="358"/>
      <c r="M75" s="359"/>
      <c r="N75" s="359"/>
      <c r="O75" s="359"/>
      <c r="P75" s="360"/>
      <c r="Q75" s="361">
        <f t="shared" si="3"/>
        <v>0</v>
      </c>
      <c r="U75" s="299" t="s">
        <v>147</v>
      </c>
      <c r="V75" s="340"/>
      <c r="W75" s="341"/>
      <c r="X75" s="341"/>
      <c r="Y75" s="341"/>
      <c r="Z75" s="341"/>
      <c r="AA75" s="341"/>
      <c r="AB75" s="341"/>
      <c r="AC75" s="341"/>
      <c r="AD75" s="342"/>
    </row>
    <row r="76" spans="1:30" ht="16" thickBot="1" x14ac:dyDescent="0.25">
      <c r="A76" s="73">
        <v>13</v>
      </c>
      <c r="B76" s="74" t="s">
        <v>148</v>
      </c>
      <c r="C76" s="74" t="s">
        <v>25</v>
      </c>
      <c r="D76" s="75" t="s">
        <v>126</v>
      </c>
      <c r="E76" s="73" t="s">
        <v>41</v>
      </c>
      <c r="F76" s="73" t="s">
        <v>140</v>
      </c>
      <c r="G76" s="345">
        <v>6000</v>
      </c>
      <c r="H76" s="73"/>
      <c r="T76" s="311" t="s">
        <v>44</v>
      </c>
      <c r="U76" s="294" t="s">
        <v>123</v>
      </c>
      <c r="V76" s="238">
        <v>45777</v>
      </c>
      <c r="W76" s="226">
        <v>45807</v>
      </c>
      <c r="X76" s="226">
        <v>45838</v>
      </c>
      <c r="Y76" s="226">
        <v>45868</v>
      </c>
      <c r="Z76" s="226">
        <v>45899</v>
      </c>
      <c r="AA76" s="226">
        <v>45930</v>
      </c>
      <c r="AB76" s="226">
        <v>45960</v>
      </c>
      <c r="AC76" s="226">
        <v>45991</v>
      </c>
      <c r="AD76" s="227">
        <v>46021</v>
      </c>
    </row>
    <row r="77" spans="1:30" ht="16" thickBot="1" x14ac:dyDescent="0.25">
      <c r="A77" s="73">
        <v>14</v>
      </c>
      <c r="B77" s="74" t="s">
        <v>149</v>
      </c>
      <c r="C77" s="74" t="s">
        <v>150</v>
      </c>
      <c r="D77" s="75" t="s">
        <v>126</v>
      </c>
      <c r="E77" s="73" t="s">
        <v>41</v>
      </c>
      <c r="F77" s="73" t="s">
        <v>127</v>
      </c>
      <c r="G77" s="345">
        <v>8666</v>
      </c>
      <c r="H77" s="73" t="s">
        <v>23</v>
      </c>
      <c r="K77" s="294" t="s">
        <v>123</v>
      </c>
      <c r="L77" s="295" t="s">
        <v>41</v>
      </c>
      <c r="M77" s="295" t="s">
        <v>44</v>
      </c>
      <c r="N77" s="295" t="s">
        <v>45</v>
      </c>
      <c r="O77" s="295" t="s">
        <v>46</v>
      </c>
      <c r="P77" s="296" t="s">
        <v>47</v>
      </c>
      <c r="Q77" s="296" t="s">
        <v>32</v>
      </c>
      <c r="U77" s="297" t="s">
        <v>22</v>
      </c>
      <c r="V77" s="337">
        <f t="array" ref="V77:V87">+$M$92:$M$102*TRANSPOSE(Dashboard!$AO$11:$AZ$11)</f>
        <v>3285.76</v>
      </c>
      <c r="W77" s="338">
        <f t="array" ref="W77:W87">+$M$92:$M$102*TRANSPOSE(Dashboard!$AO$12:$AZ$12)</f>
        <v>3285.76</v>
      </c>
      <c r="X77" s="338">
        <f t="array" ref="X77:X87">+$M$92:$M$102*TRANSPOSE(Dashboard!$AO$13:$AZ$13)</f>
        <v>3285.76</v>
      </c>
      <c r="Y77" s="338">
        <f t="array" ref="Y77:Y87">+$M$92:$M$102*TRANSPOSE(Dashboard!$AO$14:$AZ$14)</f>
        <v>3285.76</v>
      </c>
      <c r="Z77" s="338">
        <f t="array" ref="Z77:Z87">+$M$92:$M$102*TRANSPOSE(Dashboard!$AO$15:$AZ$15)</f>
        <v>3285.76</v>
      </c>
      <c r="AA77" s="338">
        <f t="array" ref="AA77:AA87">+$M$92:$M$102*TRANSPOSE(Dashboard!$AO$16:$AZ$16)</f>
        <v>3285.76</v>
      </c>
      <c r="AB77" s="338">
        <f t="array" ref="AB77:AB87">+$M$92:$M$102*TRANSPOSE(Dashboard!$AO$17:$AZ$17)</f>
        <v>3285.76</v>
      </c>
      <c r="AC77" s="338">
        <f t="array" ref="AC77:AC87">+$M$92:$M$102*TRANSPOSE(Dashboard!$AO$18:$AZ$18)</f>
        <v>3285.76</v>
      </c>
      <c r="AD77" s="339">
        <f t="array" ref="AD77:AD87">+$M$92:$M$102*TRANSPOSE(Dashboard!$AO$19:$AZ$19)</f>
        <v>3285.76</v>
      </c>
    </row>
    <row r="78" spans="1:30" x14ac:dyDescent="0.2">
      <c r="A78" s="73">
        <v>15</v>
      </c>
      <c r="B78" s="74" t="s">
        <v>151</v>
      </c>
      <c r="C78" s="74" t="s">
        <v>134</v>
      </c>
      <c r="D78" s="75" t="s">
        <v>126</v>
      </c>
      <c r="E78" s="73" t="s">
        <v>41</v>
      </c>
      <c r="F78" s="73" t="s">
        <v>127</v>
      </c>
      <c r="G78" s="345">
        <v>17249</v>
      </c>
      <c r="H78" s="73"/>
      <c r="K78" s="297" t="s">
        <v>22</v>
      </c>
      <c r="L78" s="205">
        <f t="shared" ref="L78:P79" si="6">+COUNTIFS($H$64:$H$147,$K78,$E$64:$E$147,L$63)</f>
        <v>2</v>
      </c>
      <c r="M78" s="304">
        <f t="shared" si="6"/>
        <v>1</v>
      </c>
      <c r="N78" s="304">
        <f t="shared" si="6"/>
        <v>2</v>
      </c>
      <c r="O78" s="304">
        <f t="shared" si="6"/>
        <v>1</v>
      </c>
      <c r="P78" s="206">
        <f t="shared" si="6"/>
        <v>0</v>
      </c>
      <c r="Q78" s="307">
        <f>+SUM(L78:P78)</f>
        <v>6</v>
      </c>
      <c r="U78" s="298" t="s">
        <v>23</v>
      </c>
      <c r="V78" s="337">
        <v>1000</v>
      </c>
      <c r="W78" s="338">
        <v>1000</v>
      </c>
      <c r="X78" s="338">
        <v>1000</v>
      </c>
      <c r="Y78" s="338">
        <v>1000</v>
      </c>
      <c r="Z78" s="338">
        <v>1000</v>
      </c>
      <c r="AA78" s="338">
        <v>1000</v>
      </c>
      <c r="AB78" s="338">
        <v>1000</v>
      </c>
      <c r="AC78" s="338">
        <v>1000</v>
      </c>
      <c r="AD78" s="339">
        <v>1000</v>
      </c>
    </row>
    <row r="79" spans="1:30" x14ac:dyDescent="0.2">
      <c r="A79" s="73">
        <v>16</v>
      </c>
      <c r="B79" s="74" t="s">
        <v>152</v>
      </c>
      <c r="C79" s="74" t="s">
        <v>134</v>
      </c>
      <c r="D79" s="75" t="s">
        <v>126</v>
      </c>
      <c r="E79" s="73" t="s">
        <v>41</v>
      </c>
      <c r="F79" s="73" t="s">
        <v>127</v>
      </c>
      <c r="G79" s="345">
        <v>10196</v>
      </c>
      <c r="H79" s="73"/>
      <c r="K79" s="298" t="s">
        <v>23</v>
      </c>
      <c r="L79" s="207">
        <f t="shared" si="6"/>
        <v>3</v>
      </c>
      <c r="M79" s="2">
        <f t="shared" si="6"/>
        <v>1</v>
      </c>
      <c r="N79" s="2">
        <f t="shared" si="6"/>
        <v>0</v>
      </c>
      <c r="O79" s="2">
        <f t="shared" si="6"/>
        <v>0</v>
      </c>
      <c r="P79" s="208">
        <f t="shared" si="6"/>
        <v>0</v>
      </c>
      <c r="Q79" s="308">
        <f t="shared" ref="Q79:Q89" si="7">+SUM(L79:P79)</f>
        <v>4</v>
      </c>
      <c r="U79" s="298" t="s">
        <v>33</v>
      </c>
      <c r="V79" s="337">
        <v>40862.880000000005</v>
      </c>
      <c r="W79" s="338">
        <v>40862.880000000005</v>
      </c>
      <c r="X79" s="338">
        <v>40862.880000000005</v>
      </c>
      <c r="Y79" s="338">
        <v>40862.880000000005</v>
      </c>
      <c r="Z79" s="338">
        <v>40862.880000000005</v>
      </c>
      <c r="AA79" s="338">
        <v>40862.880000000005</v>
      </c>
      <c r="AB79" s="338">
        <v>40862.880000000005</v>
      </c>
      <c r="AC79" s="338">
        <v>40862.880000000005</v>
      </c>
      <c r="AD79" s="339">
        <v>40862.880000000005</v>
      </c>
    </row>
    <row r="80" spans="1:30" x14ac:dyDescent="0.2">
      <c r="A80" s="73">
        <v>17</v>
      </c>
      <c r="B80" s="74" t="s">
        <v>153</v>
      </c>
      <c r="C80" s="74" t="s">
        <v>29</v>
      </c>
      <c r="D80" s="75" t="s">
        <v>126</v>
      </c>
      <c r="E80" s="73" t="s">
        <v>41</v>
      </c>
      <c r="F80" s="73" t="s">
        <v>154</v>
      </c>
      <c r="G80" s="345">
        <v>1735</v>
      </c>
      <c r="H80" s="73"/>
      <c r="K80" s="298" t="s">
        <v>33</v>
      </c>
      <c r="L80" s="207">
        <f>+SUM(L81:L87)</f>
        <v>46</v>
      </c>
      <c r="M80" s="2">
        <f t="shared" ref="M80" si="8">+SUM(M81:M87)</f>
        <v>19</v>
      </c>
      <c r="N80" s="2">
        <f t="shared" ref="N80" si="9">+SUM(N81:N87)</f>
        <v>1</v>
      </c>
      <c r="O80" s="2">
        <f t="shared" ref="O80" si="10">+SUM(O81:O87)</f>
        <v>0</v>
      </c>
      <c r="P80" s="208">
        <f t="shared" ref="P80" si="11">+SUM(P81:P87)</f>
        <v>0</v>
      </c>
      <c r="Q80" s="308">
        <f t="shared" si="7"/>
        <v>66</v>
      </c>
      <c r="U80" s="300" t="s">
        <v>134</v>
      </c>
      <c r="V80" s="337">
        <v>0</v>
      </c>
      <c r="W80" s="338">
        <v>0</v>
      </c>
      <c r="X80" s="338">
        <v>0</v>
      </c>
      <c r="Y80" s="338">
        <v>0</v>
      </c>
      <c r="Z80" s="338">
        <v>0</v>
      </c>
      <c r="AA80" s="338">
        <v>0</v>
      </c>
      <c r="AB80" s="338">
        <v>0</v>
      </c>
      <c r="AC80" s="338">
        <v>0</v>
      </c>
      <c r="AD80" s="339">
        <v>0</v>
      </c>
    </row>
    <row r="81" spans="1:30" x14ac:dyDescent="0.2">
      <c r="A81" s="73">
        <v>18</v>
      </c>
      <c r="B81" s="74" t="s">
        <v>155</v>
      </c>
      <c r="C81" s="74" t="s">
        <v>28</v>
      </c>
      <c r="D81" s="75" t="s">
        <v>126</v>
      </c>
      <c r="E81" s="73" t="s">
        <v>41</v>
      </c>
      <c r="F81" s="73" t="s">
        <v>127</v>
      </c>
      <c r="G81" s="345">
        <v>2345.3675412699072</v>
      </c>
      <c r="H81" s="73"/>
      <c r="K81" s="300" t="s">
        <v>134</v>
      </c>
      <c r="L81" s="301">
        <f t="shared" ref="L81:P87" si="12">+COUNTIFS($C$64:$C$147,$K81,$E$64:$E$147,L$63)</f>
        <v>2</v>
      </c>
      <c r="M81" s="302">
        <f t="shared" si="12"/>
        <v>0</v>
      </c>
      <c r="N81" s="302">
        <f t="shared" si="12"/>
        <v>0</v>
      </c>
      <c r="O81" s="302">
        <f t="shared" si="12"/>
        <v>0</v>
      </c>
      <c r="P81" s="303">
        <f t="shared" si="12"/>
        <v>0</v>
      </c>
      <c r="Q81" s="309">
        <f t="shared" si="7"/>
        <v>2</v>
      </c>
      <c r="U81" s="300" t="s">
        <v>25</v>
      </c>
      <c r="V81" s="337">
        <v>0</v>
      </c>
      <c r="W81" s="338">
        <v>0</v>
      </c>
      <c r="X81" s="338">
        <v>0</v>
      </c>
      <c r="Y81" s="338">
        <v>0</v>
      </c>
      <c r="Z81" s="338">
        <v>0</v>
      </c>
      <c r="AA81" s="338">
        <v>0</v>
      </c>
      <c r="AB81" s="338">
        <v>0</v>
      </c>
      <c r="AC81" s="338">
        <v>0</v>
      </c>
      <c r="AD81" s="339">
        <v>0</v>
      </c>
    </row>
    <row r="82" spans="1:30" x14ac:dyDescent="0.2">
      <c r="A82" s="73">
        <v>19</v>
      </c>
      <c r="B82" s="74" t="s">
        <v>156</v>
      </c>
      <c r="C82" s="74" t="s">
        <v>28</v>
      </c>
      <c r="D82" s="75" t="s">
        <v>126</v>
      </c>
      <c r="E82" s="73" t="s">
        <v>41</v>
      </c>
      <c r="F82" s="73" t="s">
        <v>127</v>
      </c>
      <c r="G82" s="345">
        <v>2345.3675412699072</v>
      </c>
      <c r="H82" s="73"/>
      <c r="K82" s="300" t="s">
        <v>25</v>
      </c>
      <c r="L82" s="301">
        <f t="shared" si="12"/>
        <v>6</v>
      </c>
      <c r="M82" s="302">
        <f t="shared" si="12"/>
        <v>0</v>
      </c>
      <c r="N82" s="302">
        <f t="shared" si="12"/>
        <v>1</v>
      </c>
      <c r="O82" s="302">
        <f t="shared" si="12"/>
        <v>0</v>
      </c>
      <c r="P82" s="303">
        <f t="shared" si="12"/>
        <v>0</v>
      </c>
      <c r="Q82" s="309">
        <f t="shared" si="7"/>
        <v>7</v>
      </c>
      <c r="U82" s="300" t="s">
        <v>26</v>
      </c>
      <c r="V82" s="337">
        <v>8093.4400000000005</v>
      </c>
      <c r="W82" s="338">
        <v>8093.4400000000005</v>
      </c>
      <c r="X82" s="338">
        <v>8093.4400000000005</v>
      </c>
      <c r="Y82" s="338">
        <v>8093.4400000000005</v>
      </c>
      <c r="Z82" s="338">
        <v>8093.4400000000005</v>
      </c>
      <c r="AA82" s="338">
        <v>8093.4400000000005</v>
      </c>
      <c r="AB82" s="338">
        <v>8093.4400000000005</v>
      </c>
      <c r="AC82" s="338">
        <v>8093.4400000000005</v>
      </c>
      <c r="AD82" s="339">
        <v>8093.4400000000005</v>
      </c>
    </row>
    <row r="83" spans="1:30" x14ac:dyDescent="0.2">
      <c r="A83" s="73">
        <v>20</v>
      </c>
      <c r="B83" s="74" t="s">
        <v>157</v>
      </c>
      <c r="C83" s="74" t="s">
        <v>28</v>
      </c>
      <c r="D83" s="75" t="s">
        <v>126</v>
      </c>
      <c r="E83" s="73" t="s">
        <v>41</v>
      </c>
      <c r="F83" s="73" t="s">
        <v>127</v>
      </c>
      <c r="G83" s="345">
        <v>2147</v>
      </c>
      <c r="H83" s="73"/>
      <c r="K83" s="300" t="s">
        <v>26</v>
      </c>
      <c r="L83" s="301">
        <f t="shared" si="12"/>
        <v>6</v>
      </c>
      <c r="M83" s="302">
        <f t="shared" si="12"/>
        <v>2</v>
      </c>
      <c r="N83" s="302">
        <f t="shared" si="12"/>
        <v>0</v>
      </c>
      <c r="O83" s="302">
        <f t="shared" si="12"/>
        <v>0</v>
      </c>
      <c r="P83" s="303">
        <f t="shared" si="12"/>
        <v>0</v>
      </c>
      <c r="Q83" s="309">
        <f t="shared" si="7"/>
        <v>8</v>
      </c>
      <c r="U83" s="300" t="s">
        <v>27</v>
      </c>
      <c r="V83" s="337">
        <v>13081.599999999999</v>
      </c>
      <c r="W83" s="338">
        <v>13081.599999999999</v>
      </c>
      <c r="X83" s="338">
        <v>13081.599999999999</v>
      </c>
      <c r="Y83" s="338">
        <v>13081.599999999999</v>
      </c>
      <c r="Z83" s="338">
        <v>13081.599999999999</v>
      </c>
      <c r="AA83" s="338">
        <v>13081.599999999999</v>
      </c>
      <c r="AB83" s="338">
        <v>13081.599999999999</v>
      </c>
      <c r="AC83" s="338">
        <v>13081.599999999999</v>
      </c>
      <c r="AD83" s="339">
        <v>13081.599999999999</v>
      </c>
    </row>
    <row r="84" spans="1:30" x14ac:dyDescent="0.2">
      <c r="A84" s="73">
        <v>21</v>
      </c>
      <c r="B84" s="74" t="s">
        <v>158</v>
      </c>
      <c r="C84" s="74" t="s">
        <v>29</v>
      </c>
      <c r="D84" s="75" t="s">
        <v>126</v>
      </c>
      <c r="E84" s="73" t="s">
        <v>41</v>
      </c>
      <c r="F84" s="73" t="s">
        <v>154</v>
      </c>
      <c r="G84" s="345">
        <v>1355.3661274897086</v>
      </c>
      <c r="H84" s="73"/>
      <c r="K84" s="300" t="s">
        <v>27</v>
      </c>
      <c r="L84" s="301">
        <f t="shared" si="12"/>
        <v>9</v>
      </c>
      <c r="M84" s="302">
        <f t="shared" si="12"/>
        <v>3</v>
      </c>
      <c r="N84" s="302">
        <f t="shared" si="12"/>
        <v>0</v>
      </c>
      <c r="O84" s="302">
        <f t="shared" si="12"/>
        <v>0</v>
      </c>
      <c r="P84" s="303">
        <f t="shared" si="12"/>
        <v>0</v>
      </c>
      <c r="Q84" s="309">
        <f t="shared" si="7"/>
        <v>12</v>
      </c>
      <c r="U84" s="300" t="s">
        <v>28</v>
      </c>
      <c r="V84" s="337">
        <v>12935.68</v>
      </c>
      <c r="W84" s="338">
        <v>12935.68</v>
      </c>
      <c r="X84" s="338">
        <v>12935.68</v>
      </c>
      <c r="Y84" s="338">
        <v>12935.68</v>
      </c>
      <c r="Z84" s="338">
        <v>12935.68</v>
      </c>
      <c r="AA84" s="338">
        <v>12935.68</v>
      </c>
      <c r="AB84" s="338">
        <v>12935.68</v>
      </c>
      <c r="AC84" s="338">
        <v>12935.68</v>
      </c>
      <c r="AD84" s="339">
        <v>12935.68</v>
      </c>
    </row>
    <row r="85" spans="1:30" x14ac:dyDescent="0.2">
      <c r="A85" s="73">
        <v>22</v>
      </c>
      <c r="B85" s="74" t="s">
        <v>159</v>
      </c>
      <c r="C85" s="74" t="s">
        <v>28</v>
      </c>
      <c r="D85" s="75" t="s">
        <v>126</v>
      </c>
      <c r="E85" s="73" t="s">
        <v>41</v>
      </c>
      <c r="F85" s="73" t="s">
        <v>127</v>
      </c>
      <c r="G85" s="345">
        <v>2270</v>
      </c>
      <c r="H85" s="73"/>
      <c r="K85" s="300" t="s">
        <v>28</v>
      </c>
      <c r="L85" s="301">
        <f t="shared" si="12"/>
        <v>13</v>
      </c>
      <c r="M85" s="302">
        <f t="shared" si="12"/>
        <v>8</v>
      </c>
      <c r="N85" s="302">
        <f t="shared" si="12"/>
        <v>0</v>
      </c>
      <c r="O85" s="302">
        <f t="shared" si="12"/>
        <v>0</v>
      </c>
      <c r="P85" s="303">
        <f t="shared" si="12"/>
        <v>0</v>
      </c>
      <c r="Q85" s="309">
        <f t="shared" si="7"/>
        <v>21</v>
      </c>
      <c r="U85" s="300" t="s">
        <v>29</v>
      </c>
      <c r="V85" s="337">
        <v>4243.3600000000006</v>
      </c>
      <c r="W85" s="338">
        <v>4243.3600000000006</v>
      </c>
      <c r="X85" s="338">
        <v>4243.3600000000006</v>
      </c>
      <c r="Y85" s="338">
        <v>4243.3600000000006</v>
      </c>
      <c r="Z85" s="338">
        <v>4243.3600000000006</v>
      </c>
      <c r="AA85" s="338">
        <v>4243.3600000000006</v>
      </c>
      <c r="AB85" s="338">
        <v>4243.3600000000006</v>
      </c>
      <c r="AC85" s="338">
        <v>4243.3600000000006</v>
      </c>
      <c r="AD85" s="339">
        <v>4243.3600000000006</v>
      </c>
    </row>
    <row r="86" spans="1:30" x14ac:dyDescent="0.2">
      <c r="A86" s="73">
        <v>23</v>
      </c>
      <c r="B86" s="74" t="s">
        <v>160</v>
      </c>
      <c r="C86" s="74" t="s">
        <v>28</v>
      </c>
      <c r="D86" s="75" t="s">
        <v>126</v>
      </c>
      <c r="E86" s="73" t="s">
        <v>41</v>
      </c>
      <c r="F86" s="73" t="s">
        <v>154</v>
      </c>
      <c r="G86" s="345">
        <v>2001</v>
      </c>
      <c r="H86" s="73"/>
      <c r="K86" s="300" t="s">
        <v>29</v>
      </c>
      <c r="L86" s="301">
        <f t="shared" si="12"/>
        <v>8</v>
      </c>
      <c r="M86" s="302">
        <f t="shared" si="12"/>
        <v>5</v>
      </c>
      <c r="N86" s="302">
        <f t="shared" si="12"/>
        <v>0</v>
      </c>
      <c r="O86" s="302">
        <f t="shared" si="12"/>
        <v>0</v>
      </c>
      <c r="P86" s="303">
        <f t="shared" si="12"/>
        <v>0</v>
      </c>
      <c r="Q86" s="309">
        <f t="shared" si="7"/>
        <v>13</v>
      </c>
      <c r="U86" s="300" t="s">
        <v>30</v>
      </c>
      <c r="V86" s="337">
        <v>2508.8000000000002</v>
      </c>
      <c r="W86" s="338">
        <v>2508.8000000000002</v>
      </c>
      <c r="X86" s="338">
        <v>2508.8000000000002</v>
      </c>
      <c r="Y86" s="338">
        <v>2508.8000000000002</v>
      </c>
      <c r="Z86" s="338">
        <v>2508.8000000000002</v>
      </c>
      <c r="AA86" s="338">
        <v>2508.8000000000002</v>
      </c>
      <c r="AB86" s="338">
        <v>2508.8000000000002</v>
      </c>
      <c r="AC86" s="338">
        <v>2508.8000000000002</v>
      </c>
      <c r="AD86" s="339">
        <v>2508.8000000000002</v>
      </c>
    </row>
    <row r="87" spans="1:30" x14ac:dyDescent="0.2">
      <c r="A87" s="73">
        <v>24</v>
      </c>
      <c r="B87" s="74" t="s">
        <v>161</v>
      </c>
      <c r="C87" s="74" t="s">
        <v>28</v>
      </c>
      <c r="D87" s="75" t="s">
        <v>126</v>
      </c>
      <c r="E87" s="73" t="s">
        <v>41</v>
      </c>
      <c r="F87" s="73" t="s">
        <v>127</v>
      </c>
      <c r="G87" s="345">
        <v>1716</v>
      </c>
      <c r="H87" s="73"/>
      <c r="K87" s="300" t="s">
        <v>30</v>
      </c>
      <c r="L87" s="301">
        <f t="shared" si="12"/>
        <v>2</v>
      </c>
      <c r="M87" s="302">
        <f t="shared" si="12"/>
        <v>1</v>
      </c>
      <c r="N87" s="302">
        <f t="shared" si="12"/>
        <v>0</v>
      </c>
      <c r="O87" s="302">
        <f t="shared" si="12"/>
        <v>0</v>
      </c>
      <c r="P87" s="303">
        <f t="shared" si="12"/>
        <v>0</v>
      </c>
      <c r="Q87" s="309">
        <f t="shared" si="7"/>
        <v>3</v>
      </c>
      <c r="U87" s="298" t="s">
        <v>31</v>
      </c>
      <c r="V87" s="337">
        <v>0</v>
      </c>
      <c r="W87" s="338">
        <v>0</v>
      </c>
      <c r="X87" s="338">
        <v>0</v>
      </c>
      <c r="Y87" s="338">
        <v>0</v>
      </c>
      <c r="Z87" s="338">
        <v>0</v>
      </c>
      <c r="AA87" s="338">
        <v>0</v>
      </c>
      <c r="AB87" s="338">
        <v>0</v>
      </c>
      <c r="AC87" s="338">
        <v>0</v>
      </c>
      <c r="AD87" s="339">
        <v>0</v>
      </c>
    </row>
    <row r="88" spans="1:30" ht="16" thickBot="1" x14ac:dyDescent="0.25">
      <c r="A88" s="73">
        <v>25</v>
      </c>
      <c r="B88" s="74" t="s">
        <v>162</v>
      </c>
      <c r="C88" s="74" t="s">
        <v>28</v>
      </c>
      <c r="D88" s="75" t="s">
        <v>126</v>
      </c>
      <c r="E88" s="73" t="s">
        <v>41</v>
      </c>
      <c r="F88" s="73" t="s">
        <v>127</v>
      </c>
      <c r="G88" s="345">
        <v>2152</v>
      </c>
      <c r="H88" s="73"/>
      <c r="K88" s="298" t="s">
        <v>31</v>
      </c>
      <c r="L88" s="207">
        <f>+COUNTIFS($H$64:$H$147,$K88,$E$64:$E$147,L$63)</f>
        <v>4</v>
      </c>
      <c r="M88" s="2">
        <f>+COUNTIFS($H$64:$H$147,$K88,$E$64:$E$147,M$63)</f>
        <v>0</v>
      </c>
      <c r="N88" s="2">
        <f>+COUNTIFS($H$64:$H$147,$K88,$E$64:$E$147,N$63)</f>
        <v>1</v>
      </c>
      <c r="O88" s="2">
        <f>+COUNTIFS($H$64:$H$147,$K88,$E$64:$E$147,O$63)</f>
        <v>0</v>
      </c>
      <c r="P88" s="208">
        <f>+COUNTIFS($H$64:$H$147,$K88,$E$64:$E$147,P$63)</f>
        <v>0</v>
      </c>
      <c r="Q88" s="308">
        <f t="shared" si="7"/>
        <v>5</v>
      </c>
      <c r="U88" s="299" t="s">
        <v>147</v>
      </c>
      <c r="V88" s="340"/>
      <c r="W88" s="341"/>
      <c r="X88" s="341"/>
      <c r="Y88" s="341"/>
      <c r="Z88" s="341"/>
      <c r="AA88" s="341"/>
      <c r="AB88" s="341"/>
      <c r="AC88" s="341"/>
      <c r="AD88" s="342"/>
    </row>
    <row r="89" spans="1:30" ht="16" thickBot="1" x14ac:dyDescent="0.25">
      <c r="A89" s="73">
        <v>26</v>
      </c>
      <c r="B89" s="74" t="s">
        <v>163</v>
      </c>
      <c r="C89" s="74" t="s">
        <v>28</v>
      </c>
      <c r="D89" s="75" t="s">
        <v>126</v>
      </c>
      <c r="E89" s="73" t="s">
        <v>41</v>
      </c>
      <c r="F89" s="73" t="s">
        <v>127</v>
      </c>
      <c r="G89" s="345">
        <v>2384</v>
      </c>
      <c r="H89" s="73"/>
      <c r="K89" s="299" t="s">
        <v>147</v>
      </c>
      <c r="L89" s="209"/>
      <c r="M89" s="305"/>
      <c r="N89" s="305"/>
      <c r="O89" s="305"/>
      <c r="P89" s="210"/>
      <c r="Q89" s="310">
        <f t="shared" si="7"/>
        <v>0</v>
      </c>
      <c r="T89" s="311" t="s">
        <v>45</v>
      </c>
      <c r="U89" s="294" t="s">
        <v>123</v>
      </c>
      <c r="V89" s="238">
        <v>45777</v>
      </c>
      <c r="W89" s="226">
        <v>45807</v>
      </c>
      <c r="X89" s="226">
        <v>45838</v>
      </c>
      <c r="Y89" s="226">
        <v>45868</v>
      </c>
      <c r="Z89" s="226">
        <v>45899</v>
      </c>
      <c r="AA89" s="226">
        <v>45930</v>
      </c>
      <c r="AB89" s="226">
        <v>45960</v>
      </c>
      <c r="AC89" s="226">
        <v>45991</v>
      </c>
      <c r="AD89" s="227">
        <v>46021</v>
      </c>
    </row>
    <row r="90" spans="1:30" ht="16" thickBot="1" x14ac:dyDescent="0.25">
      <c r="A90" s="73">
        <v>27</v>
      </c>
      <c r="B90" s="74" t="s">
        <v>164</v>
      </c>
      <c r="C90" s="74" t="s">
        <v>26</v>
      </c>
      <c r="D90" s="75" t="s">
        <v>126</v>
      </c>
      <c r="E90" s="73" t="s">
        <v>41</v>
      </c>
      <c r="F90" s="73" t="s">
        <v>127</v>
      </c>
      <c r="G90" s="345">
        <v>3940</v>
      </c>
      <c r="H90" s="73"/>
      <c r="U90" s="297" t="s">
        <v>22</v>
      </c>
      <c r="V90" s="337">
        <f t="array" ref="V90:V100">+$N$92:$N$102*TRANSPOSE(Dashboard!$BC$11:$BM$11)</f>
        <v>8920</v>
      </c>
      <c r="W90" s="338">
        <f t="array" ref="W90:W100">+$N$92:$N$102*TRANSPOSE(Dashboard!$BC$12:$BM$12)</f>
        <v>8920</v>
      </c>
      <c r="X90" s="338">
        <f t="array" ref="X90:X100">+$N$92:$N$102*TRANSPOSE(Dashboard!$BC$13:$BM$13)</f>
        <v>8920</v>
      </c>
      <c r="Y90" s="338">
        <f t="array" ref="Y90:Y100">+$N$92:$N$102*TRANSPOSE(Dashboard!$BC$14:$BM$14)</f>
        <v>8920</v>
      </c>
      <c r="Z90" s="338">
        <f t="array" ref="Z90:Z100">+$N$92:$N$102*TRANSPOSE(Dashboard!$BC$15:$BM$15)</f>
        <v>8920</v>
      </c>
      <c r="AA90" s="338">
        <f t="array" ref="AA90:AA100">+$N$92:$N$102*TRANSPOSE(Dashboard!$BC$16:$BM$16)</f>
        <v>8920</v>
      </c>
      <c r="AB90" s="338">
        <f t="array" ref="AB90:AB100">+$N$92:$N$102*TRANSPOSE(Dashboard!$BC$17:$BM$17)</f>
        <v>8920</v>
      </c>
      <c r="AC90" s="338">
        <f t="array" ref="AC90:AC100">+$N$92:$N$102*TRANSPOSE(Dashboard!$BC$18:$BM$18)</f>
        <v>8920</v>
      </c>
      <c r="AD90" s="339">
        <f t="array" ref="AD90:AD100">+$N$92:$N$102*TRANSPOSE(Dashboard!$BC$19:$BM$19)</f>
        <v>8920</v>
      </c>
    </row>
    <row r="91" spans="1:30" ht="16" thickBot="1" x14ac:dyDescent="0.25">
      <c r="A91" s="73">
        <v>28</v>
      </c>
      <c r="B91" s="74" t="s">
        <v>165</v>
      </c>
      <c r="C91" s="74" t="s">
        <v>30</v>
      </c>
      <c r="D91" s="75" t="s">
        <v>126</v>
      </c>
      <c r="E91" s="73" t="s">
        <v>41</v>
      </c>
      <c r="F91" s="73" t="s">
        <v>127</v>
      </c>
      <c r="G91" s="345">
        <v>3345</v>
      </c>
      <c r="H91" s="73"/>
      <c r="K91" s="294" t="s">
        <v>166</v>
      </c>
      <c r="L91" s="295" t="s">
        <v>41</v>
      </c>
      <c r="M91" s="295" t="s">
        <v>44</v>
      </c>
      <c r="N91" s="295" t="s">
        <v>45</v>
      </c>
      <c r="O91" s="295" t="s">
        <v>46</v>
      </c>
      <c r="P91" s="296" t="s">
        <v>47</v>
      </c>
      <c r="Q91" s="296" t="s">
        <v>32</v>
      </c>
      <c r="U91" s="298" t="s">
        <v>23</v>
      </c>
      <c r="V91" s="337">
        <v>0</v>
      </c>
      <c r="W91" s="338">
        <v>0</v>
      </c>
      <c r="X91" s="338">
        <v>0</v>
      </c>
      <c r="Y91" s="338">
        <v>0</v>
      </c>
      <c r="Z91" s="338">
        <v>0</v>
      </c>
      <c r="AA91" s="338">
        <v>0</v>
      </c>
      <c r="AB91" s="338">
        <v>0</v>
      </c>
      <c r="AC91" s="338">
        <v>0</v>
      </c>
      <c r="AD91" s="339">
        <v>0</v>
      </c>
    </row>
    <row r="92" spans="1:30" x14ac:dyDescent="0.2">
      <c r="A92" s="73">
        <v>29</v>
      </c>
      <c r="B92" s="74" t="s">
        <v>167</v>
      </c>
      <c r="C92" s="74" t="s">
        <v>30</v>
      </c>
      <c r="D92" s="75" t="s">
        <v>126</v>
      </c>
      <c r="E92" s="73" t="s">
        <v>41</v>
      </c>
      <c r="F92" s="73" t="s">
        <v>127</v>
      </c>
      <c r="G92" s="345">
        <v>2190</v>
      </c>
      <c r="H92" s="73"/>
      <c r="K92" s="297" t="s">
        <v>22</v>
      </c>
      <c r="L92" s="362">
        <f t="shared" ref="L92:L93" si="13">+IFERROR(L64/L78,0)</f>
        <v>11642.316603600981</v>
      </c>
      <c r="M92" s="363">
        <f t="shared" ref="M92:P92" si="14">+IFERROR(M64/M78,0)</f>
        <v>3285.76</v>
      </c>
      <c r="N92" s="363">
        <f t="shared" si="14"/>
        <v>4460</v>
      </c>
      <c r="O92" s="363">
        <f t="shared" si="14"/>
        <v>25000</v>
      </c>
      <c r="P92" s="364">
        <f t="shared" si="14"/>
        <v>0</v>
      </c>
      <c r="Q92" s="364">
        <f t="shared" ref="Q92" si="15">+IFERROR(Q64/Q78,0)</f>
        <v>10081.732201200326</v>
      </c>
      <c r="U92" s="298" t="s">
        <v>33</v>
      </c>
      <c r="V92" s="337">
        <v>3700</v>
      </c>
      <c r="W92" s="338">
        <v>3700</v>
      </c>
      <c r="X92" s="338">
        <v>3700</v>
      </c>
      <c r="Y92" s="338">
        <v>3700</v>
      </c>
      <c r="Z92" s="338">
        <v>3700</v>
      </c>
      <c r="AA92" s="338">
        <v>3700</v>
      </c>
      <c r="AB92" s="338">
        <v>3700</v>
      </c>
      <c r="AC92" s="338">
        <v>3700</v>
      </c>
      <c r="AD92" s="339">
        <v>3700</v>
      </c>
    </row>
    <row r="93" spans="1:30" x14ac:dyDescent="0.2">
      <c r="A93" s="73">
        <v>30</v>
      </c>
      <c r="B93" s="74" t="s">
        <v>168</v>
      </c>
      <c r="C93" s="74" t="s">
        <v>26</v>
      </c>
      <c r="D93" s="75" t="s">
        <v>126</v>
      </c>
      <c r="E93" s="73" t="s">
        <v>41</v>
      </c>
      <c r="F93" s="73" t="s">
        <v>127</v>
      </c>
      <c r="G93" s="345">
        <v>5800</v>
      </c>
      <c r="H93" s="73"/>
      <c r="K93" s="298" t="s">
        <v>23</v>
      </c>
      <c r="L93" s="365">
        <f t="shared" si="13"/>
        <v>4740.5799963962463</v>
      </c>
      <c r="M93" s="366">
        <f t="shared" ref="M93:P93" si="16">+IFERROR(M65/M79,0)</f>
        <v>1000</v>
      </c>
      <c r="N93" s="366">
        <f t="shared" si="16"/>
        <v>0</v>
      </c>
      <c r="O93" s="366">
        <f t="shared" si="16"/>
        <v>0</v>
      </c>
      <c r="P93" s="367">
        <f t="shared" si="16"/>
        <v>0</v>
      </c>
      <c r="Q93" s="367">
        <f t="shared" ref="Q93" si="17">+IFERROR(Q65/Q79,0)</f>
        <v>3805.434997297185</v>
      </c>
      <c r="U93" s="300" t="s">
        <v>134</v>
      </c>
      <c r="V93" s="337">
        <v>0</v>
      </c>
      <c r="W93" s="338">
        <v>0</v>
      </c>
      <c r="X93" s="338">
        <v>0</v>
      </c>
      <c r="Y93" s="338">
        <v>0</v>
      </c>
      <c r="Z93" s="338">
        <v>0</v>
      </c>
      <c r="AA93" s="338">
        <v>0</v>
      </c>
      <c r="AB93" s="338">
        <v>0</v>
      </c>
      <c r="AC93" s="338">
        <v>0</v>
      </c>
      <c r="AD93" s="339">
        <v>0</v>
      </c>
    </row>
    <row r="94" spans="1:30" x14ac:dyDescent="0.2">
      <c r="A94" s="73">
        <v>31</v>
      </c>
      <c r="B94" s="74" t="s">
        <v>169</v>
      </c>
      <c r="C94" s="74" t="s">
        <v>26</v>
      </c>
      <c r="D94" s="75" t="s">
        <v>126</v>
      </c>
      <c r="E94" s="73" t="s">
        <v>41</v>
      </c>
      <c r="F94" s="73" t="s">
        <v>127</v>
      </c>
      <c r="G94" s="345">
        <v>5515</v>
      </c>
      <c r="H94" s="73"/>
      <c r="K94" s="298" t="s">
        <v>33</v>
      </c>
      <c r="L94" s="365">
        <f>+IFERROR(L66/L80,0)</f>
        <v>4476.980461087599</v>
      </c>
      <c r="M94" s="366">
        <f t="shared" ref="M94:P94" si="18">+IFERROR(M66/M80,0)</f>
        <v>2150.6778947368425</v>
      </c>
      <c r="N94" s="366">
        <f t="shared" si="18"/>
        <v>3700</v>
      </c>
      <c r="O94" s="366">
        <f t="shared" si="18"/>
        <v>0</v>
      </c>
      <c r="P94" s="367">
        <f t="shared" si="18"/>
        <v>0</v>
      </c>
      <c r="Q94" s="367">
        <f t="shared" ref="Q94" si="19">+IFERROR(Q66/Q80,0)</f>
        <v>3795.5148668186289</v>
      </c>
      <c r="U94" s="300" t="s">
        <v>25</v>
      </c>
      <c r="V94" s="337">
        <v>3700</v>
      </c>
      <c r="W94" s="338">
        <v>3700</v>
      </c>
      <c r="X94" s="338">
        <v>3700</v>
      </c>
      <c r="Y94" s="338">
        <v>3700</v>
      </c>
      <c r="Z94" s="338">
        <v>3700</v>
      </c>
      <c r="AA94" s="338">
        <v>3700</v>
      </c>
      <c r="AB94" s="338">
        <v>3700</v>
      </c>
      <c r="AC94" s="338">
        <v>3700</v>
      </c>
      <c r="AD94" s="339">
        <v>3700</v>
      </c>
    </row>
    <row r="95" spans="1:30" x14ac:dyDescent="0.2">
      <c r="A95" s="73">
        <v>32</v>
      </c>
      <c r="B95" s="74" t="s">
        <v>170</v>
      </c>
      <c r="C95" s="74" t="s">
        <v>27</v>
      </c>
      <c r="D95" s="75" t="s">
        <v>126</v>
      </c>
      <c r="E95" s="73" t="s">
        <v>41</v>
      </c>
      <c r="F95" s="73" t="s">
        <v>127</v>
      </c>
      <c r="G95" s="345">
        <v>4367</v>
      </c>
      <c r="H95" s="73"/>
      <c r="K95" s="300" t="s">
        <v>134</v>
      </c>
      <c r="L95" s="368">
        <f t="shared" ref="L95:P95" si="20">+IFERROR(L67/L81,0)</f>
        <v>13722.5</v>
      </c>
      <c r="M95" s="369">
        <f t="shared" si="20"/>
        <v>0</v>
      </c>
      <c r="N95" s="369">
        <f t="shared" si="20"/>
        <v>0</v>
      </c>
      <c r="O95" s="369">
        <f t="shared" si="20"/>
        <v>0</v>
      </c>
      <c r="P95" s="370">
        <f t="shared" si="20"/>
        <v>0</v>
      </c>
      <c r="Q95" s="370">
        <f t="shared" ref="Q95" si="21">+IFERROR(Q67/Q81,0)</f>
        <v>13722.5</v>
      </c>
      <c r="U95" s="300" t="s">
        <v>26</v>
      </c>
      <c r="V95" s="337">
        <v>0</v>
      </c>
      <c r="W95" s="338">
        <v>0</v>
      </c>
      <c r="X95" s="338">
        <v>0</v>
      </c>
      <c r="Y95" s="338">
        <v>0</v>
      </c>
      <c r="Z95" s="338">
        <v>0</v>
      </c>
      <c r="AA95" s="338">
        <v>0</v>
      </c>
      <c r="AB95" s="338">
        <v>0</v>
      </c>
      <c r="AC95" s="338">
        <v>0</v>
      </c>
      <c r="AD95" s="339">
        <v>0</v>
      </c>
    </row>
    <row r="96" spans="1:30" x14ac:dyDescent="0.2">
      <c r="A96" s="73">
        <v>33</v>
      </c>
      <c r="B96" s="74" t="s">
        <v>171</v>
      </c>
      <c r="C96" s="74" t="s">
        <v>26</v>
      </c>
      <c r="D96" s="75" t="s">
        <v>126</v>
      </c>
      <c r="E96" s="73" t="s">
        <v>41</v>
      </c>
      <c r="F96" s="73" t="s">
        <v>127</v>
      </c>
      <c r="G96" s="345">
        <v>6698</v>
      </c>
      <c r="H96" s="73"/>
      <c r="K96" s="300" t="s">
        <v>25</v>
      </c>
      <c r="L96" s="368">
        <f t="shared" ref="L96:P96" si="22">+IFERROR(L68/L82,0)</f>
        <v>8932</v>
      </c>
      <c r="M96" s="369">
        <f t="shared" si="22"/>
        <v>0</v>
      </c>
      <c r="N96" s="369">
        <f t="shared" si="22"/>
        <v>3700</v>
      </c>
      <c r="O96" s="369">
        <f t="shared" si="22"/>
        <v>0</v>
      </c>
      <c r="P96" s="370">
        <f t="shared" si="22"/>
        <v>0</v>
      </c>
      <c r="Q96" s="370">
        <f t="shared" ref="Q96" si="23">+IFERROR(Q68/Q82,0)</f>
        <v>8184.5714285714284</v>
      </c>
      <c r="U96" s="300" t="s">
        <v>27</v>
      </c>
      <c r="V96" s="337">
        <v>0</v>
      </c>
      <c r="W96" s="338">
        <v>0</v>
      </c>
      <c r="X96" s="338">
        <v>0</v>
      </c>
      <c r="Y96" s="338">
        <v>0</v>
      </c>
      <c r="Z96" s="338">
        <v>0</v>
      </c>
      <c r="AA96" s="338">
        <v>0</v>
      </c>
      <c r="AB96" s="338">
        <v>0</v>
      </c>
      <c r="AC96" s="338">
        <v>0</v>
      </c>
      <c r="AD96" s="339">
        <v>0</v>
      </c>
    </row>
    <row r="97" spans="1:30" x14ac:dyDescent="0.2">
      <c r="A97" s="73">
        <v>34</v>
      </c>
      <c r="B97" s="74" t="s">
        <v>172</v>
      </c>
      <c r="C97" s="74" t="s">
        <v>27</v>
      </c>
      <c r="D97" s="75" t="s">
        <v>126</v>
      </c>
      <c r="E97" s="73" t="s">
        <v>41</v>
      </c>
      <c r="F97" s="73" t="s">
        <v>140</v>
      </c>
      <c r="G97" s="345">
        <v>4444</v>
      </c>
      <c r="H97" s="73"/>
      <c r="K97" s="300" t="s">
        <v>26</v>
      </c>
      <c r="L97" s="368">
        <f t="shared" ref="L97:P97" si="24">+IFERROR(L69/L83,0)</f>
        <v>5987.333333333333</v>
      </c>
      <c r="M97" s="369">
        <f t="shared" si="24"/>
        <v>4046.7200000000003</v>
      </c>
      <c r="N97" s="369">
        <f t="shared" si="24"/>
        <v>0</v>
      </c>
      <c r="O97" s="369">
        <f t="shared" si="24"/>
        <v>0</v>
      </c>
      <c r="P97" s="370">
        <f t="shared" si="24"/>
        <v>0</v>
      </c>
      <c r="Q97" s="370">
        <f t="shared" ref="Q97" si="25">+IFERROR(Q69/Q83,0)</f>
        <v>5502.18</v>
      </c>
      <c r="U97" s="300" t="s">
        <v>28</v>
      </c>
      <c r="V97" s="337">
        <v>0</v>
      </c>
      <c r="W97" s="338">
        <v>0</v>
      </c>
      <c r="X97" s="338">
        <v>0</v>
      </c>
      <c r="Y97" s="338">
        <v>0</v>
      </c>
      <c r="Z97" s="338">
        <v>0</v>
      </c>
      <c r="AA97" s="338">
        <v>0</v>
      </c>
      <c r="AB97" s="338">
        <v>0</v>
      </c>
      <c r="AC97" s="338">
        <v>0</v>
      </c>
      <c r="AD97" s="339">
        <v>0</v>
      </c>
    </row>
    <row r="98" spans="1:30" x14ac:dyDescent="0.2">
      <c r="A98" s="73">
        <v>35</v>
      </c>
      <c r="B98" s="74" t="s">
        <v>173</v>
      </c>
      <c r="C98" s="74" t="s">
        <v>27</v>
      </c>
      <c r="D98" s="75" t="s">
        <v>126</v>
      </c>
      <c r="E98" s="73" t="s">
        <v>41</v>
      </c>
      <c r="F98" s="73" t="s">
        <v>127</v>
      </c>
      <c r="G98" s="345">
        <v>2704</v>
      </c>
      <c r="H98" s="73"/>
      <c r="K98" s="300" t="s">
        <v>27</v>
      </c>
      <c r="L98" s="368">
        <f t="shared" ref="L98:P98" si="26">+IFERROR(L70/L84,0)</f>
        <v>4584.4444444444443</v>
      </c>
      <c r="M98" s="369">
        <f t="shared" si="26"/>
        <v>4360.5333333333328</v>
      </c>
      <c r="N98" s="369">
        <f t="shared" si="26"/>
        <v>0</v>
      </c>
      <c r="O98" s="369">
        <f t="shared" si="26"/>
        <v>0</v>
      </c>
      <c r="P98" s="370">
        <f t="shared" si="26"/>
        <v>0</v>
      </c>
      <c r="Q98" s="370">
        <f t="shared" ref="Q98" si="27">+IFERROR(Q70/Q84,0)</f>
        <v>4528.4666666666662</v>
      </c>
      <c r="U98" s="300" t="s">
        <v>29</v>
      </c>
      <c r="V98" s="337">
        <v>0</v>
      </c>
      <c r="W98" s="338">
        <v>0</v>
      </c>
      <c r="X98" s="338">
        <v>0</v>
      </c>
      <c r="Y98" s="338">
        <v>0</v>
      </c>
      <c r="Z98" s="338">
        <v>0</v>
      </c>
      <c r="AA98" s="338">
        <v>0</v>
      </c>
      <c r="AB98" s="338">
        <v>0</v>
      </c>
      <c r="AC98" s="338">
        <v>0</v>
      </c>
      <c r="AD98" s="339">
        <v>0</v>
      </c>
    </row>
    <row r="99" spans="1:30" x14ac:dyDescent="0.2">
      <c r="A99" s="73">
        <v>36</v>
      </c>
      <c r="B99" s="74" t="s">
        <v>174</v>
      </c>
      <c r="C99" s="74" t="s">
        <v>175</v>
      </c>
      <c r="D99" s="75" t="s">
        <v>126</v>
      </c>
      <c r="E99" s="73" t="s">
        <v>41</v>
      </c>
      <c r="F99" s="73" t="s">
        <v>127</v>
      </c>
      <c r="G99" s="345">
        <v>3959</v>
      </c>
      <c r="H99" s="73" t="s">
        <v>23</v>
      </c>
      <c r="K99" s="300" t="s">
        <v>28</v>
      </c>
      <c r="L99" s="368">
        <f t="shared" ref="L99:P99" si="28">+IFERROR(L71/L85,0)</f>
        <v>2163.056544810755</v>
      </c>
      <c r="M99" s="369">
        <f t="shared" si="28"/>
        <v>1616.96</v>
      </c>
      <c r="N99" s="369">
        <f t="shared" si="28"/>
        <v>0</v>
      </c>
      <c r="O99" s="369">
        <f t="shared" si="28"/>
        <v>0</v>
      </c>
      <c r="P99" s="370">
        <f t="shared" si="28"/>
        <v>0</v>
      </c>
      <c r="Q99" s="370">
        <f t="shared" ref="Q99" si="29">+IFERROR(Q71/Q85,0)</f>
        <v>1955.019765835229</v>
      </c>
      <c r="U99" s="300" t="s">
        <v>30</v>
      </c>
      <c r="V99" s="337">
        <v>0</v>
      </c>
      <c r="W99" s="338">
        <v>0</v>
      </c>
      <c r="X99" s="338">
        <v>0</v>
      </c>
      <c r="Y99" s="338">
        <v>0</v>
      </c>
      <c r="Z99" s="338">
        <v>0</v>
      </c>
      <c r="AA99" s="338">
        <v>0</v>
      </c>
      <c r="AB99" s="338">
        <v>0</v>
      </c>
      <c r="AC99" s="338">
        <v>0</v>
      </c>
      <c r="AD99" s="339">
        <v>0</v>
      </c>
    </row>
    <row r="100" spans="1:30" x14ac:dyDescent="0.2">
      <c r="A100" s="73">
        <v>37</v>
      </c>
      <c r="B100" s="74" t="s">
        <v>176</v>
      </c>
      <c r="C100" s="74" t="s">
        <v>177</v>
      </c>
      <c r="D100" s="75" t="s">
        <v>178</v>
      </c>
      <c r="E100" s="73" t="s">
        <v>41</v>
      </c>
      <c r="F100" s="73" t="s">
        <v>127</v>
      </c>
      <c r="G100" s="345">
        <v>4656</v>
      </c>
      <c r="H100" s="73" t="s">
        <v>22</v>
      </c>
      <c r="K100" s="300" t="s">
        <v>29</v>
      </c>
      <c r="L100" s="368">
        <f t="shared" ref="L100:P100" si="30">+IFERROR(L72/L86,0)</f>
        <v>1758.1707659362137</v>
      </c>
      <c r="M100" s="369">
        <f t="shared" si="30"/>
        <v>848.67200000000014</v>
      </c>
      <c r="N100" s="369">
        <f t="shared" si="30"/>
        <v>0</v>
      </c>
      <c r="O100" s="369">
        <f t="shared" si="30"/>
        <v>0</v>
      </c>
      <c r="P100" s="370">
        <f t="shared" si="30"/>
        <v>0</v>
      </c>
      <c r="Q100" s="370">
        <f t="shared" ref="Q100" si="31">+IFERROR(Q72/Q86,0)</f>
        <v>1408.3635482684392</v>
      </c>
      <c r="U100" s="298" t="s">
        <v>31</v>
      </c>
      <c r="V100" s="337">
        <v>1100</v>
      </c>
      <c r="W100" s="338">
        <v>1100</v>
      </c>
      <c r="X100" s="338">
        <v>1100</v>
      </c>
      <c r="Y100" s="338">
        <v>1100</v>
      </c>
      <c r="Z100" s="338">
        <v>1100</v>
      </c>
      <c r="AA100" s="338">
        <v>1100</v>
      </c>
      <c r="AB100" s="338">
        <v>1100</v>
      </c>
      <c r="AC100" s="338">
        <v>1100</v>
      </c>
      <c r="AD100" s="339">
        <v>1100</v>
      </c>
    </row>
    <row r="101" spans="1:30" ht="16" thickBot="1" x14ac:dyDescent="0.25">
      <c r="A101" s="73">
        <v>38</v>
      </c>
      <c r="B101" s="74" t="s">
        <v>179</v>
      </c>
      <c r="C101" s="74" t="s">
        <v>25</v>
      </c>
      <c r="D101" s="75" t="s">
        <v>178</v>
      </c>
      <c r="E101" s="73" t="s">
        <v>41</v>
      </c>
      <c r="F101" s="73" t="s">
        <v>127</v>
      </c>
      <c r="G101" s="345">
        <v>13353</v>
      </c>
      <c r="H101" s="73"/>
      <c r="K101" s="300" t="s">
        <v>30</v>
      </c>
      <c r="L101" s="368">
        <f t="shared" ref="L101:P101" si="32">+IFERROR(L73/L87,0)</f>
        <v>2767.5</v>
      </c>
      <c r="M101" s="369">
        <f t="shared" si="32"/>
        <v>2508.8000000000002</v>
      </c>
      <c r="N101" s="369">
        <f t="shared" si="32"/>
        <v>0</v>
      </c>
      <c r="O101" s="369">
        <f t="shared" si="32"/>
        <v>0</v>
      </c>
      <c r="P101" s="370">
        <f t="shared" si="32"/>
        <v>0</v>
      </c>
      <c r="Q101" s="370">
        <f t="shared" ref="Q101" si="33">+IFERROR(Q73/Q87,0)</f>
        <v>2681.2666666666669</v>
      </c>
      <c r="U101" s="299" t="s">
        <v>147</v>
      </c>
      <c r="V101" s="340"/>
      <c r="W101" s="341"/>
      <c r="X101" s="341"/>
      <c r="Y101" s="341"/>
      <c r="Z101" s="341"/>
      <c r="AA101" s="341"/>
      <c r="AB101" s="341"/>
      <c r="AC101" s="341"/>
      <c r="AD101" s="342"/>
    </row>
    <row r="102" spans="1:30" ht="16" thickBot="1" x14ac:dyDescent="0.25">
      <c r="A102" s="73">
        <v>39</v>
      </c>
      <c r="B102" s="74" t="s">
        <v>180</v>
      </c>
      <c r="C102" s="74" t="s">
        <v>29</v>
      </c>
      <c r="D102" s="75" t="s">
        <v>178</v>
      </c>
      <c r="E102" s="73" t="s">
        <v>41</v>
      </c>
      <c r="F102" s="73" t="s">
        <v>154</v>
      </c>
      <c r="G102" s="345">
        <v>1462</v>
      </c>
      <c r="H102" s="73"/>
      <c r="K102" s="298" t="s">
        <v>31</v>
      </c>
      <c r="L102" s="365">
        <f t="shared" ref="L102:P102" si="34">+IFERROR(L74/L88,0)</f>
        <v>2079.7466630629133</v>
      </c>
      <c r="M102" s="366">
        <f t="shared" si="34"/>
        <v>0</v>
      </c>
      <c r="N102" s="366">
        <f t="shared" si="34"/>
        <v>1100</v>
      </c>
      <c r="O102" s="366">
        <f t="shared" si="34"/>
        <v>0</v>
      </c>
      <c r="P102" s="367">
        <f t="shared" si="34"/>
        <v>0</v>
      </c>
      <c r="Q102" s="367">
        <f t="shared" ref="Q102" si="35">+IFERROR(Q74/Q88,0)</f>
        <v>1883.7973304503307</v>
      </c>
      <c r="T102" s="311" t="s">
        <v>46</v>
      </c>
      <c r="U102" s="294" t="s">
        <v>123</v>
      </c>
      <c r="V102" s="238">
        <v>45777</v>
      </c>
      <c r="W102" s="226">
        <v>45807</v>
      </c>
      <c r="X102" s="226">
        <v>45838</v>
      </c>
      <c r="Y102" s="226">
        <v>45868</v>
      </c>
      <c r="Z102" s="226">
        <v>45899</v>
      </c>
      <c r="AA102" s="226">
        <v>45930</v>
      </c>
      <c r="AB102" s="226">
        <v>45960</v>
      </c>
      <c r="AC102" s="226">
        <v>45991</v>
      </c>
      <c r="AD102" s="227">
        <v>46021</v>
      </c>
    </row>
    <row r="103" spans="1:30" ht="16" thickBot="1" x14ac:dyDescent="0.25">
      <c r="A103" s="73">
        <v>40</v>
      </c>
      <c r="B103" s="74" t="s">
        <v>181</v>
      </c>
      <c r="C103" s="74" t="s">
        <v>29</v>
      </c>
      <c r="D103" s="75" t="s">
        <v>178</v>
      </c>
      <c r="E103" s="73" t="s">
        <v>41</v>
      </c>
      <c r="F103" s="73" t="s">
        <v>154</v>
      </c>
      <c r="G103" s="345">
        <v>1733</v>
      </c>
      <c r="H103" s="73"/>
      <c r="K103" s="299" t="s">
        <v>147</v>
      </c>
      <c r="L103" s="371">
        <f t="shared" ref="L103:P103" si="36">+IFERROR(L75/L89,0)</f>
        <v>0</v>
      </c>
      <c r="M103" s="372">
        <f t="shared" si="36"/>
        <v>0</v>
      </c>
      <c r="N103" s="372">
        <f t="shared" si="36"/>
        <v>0</v>
      </c>
      <c r="O103" s="372">
        <f t="shared" si="36"/>
        <v>0</v>
      </c>
      <c r="P103" s="373">
        <f t="shared" si="36"/>
        <v>0</v>
      </c>
      <c r="Q103" s="373">
        <f t="shared" ref="Q103" si="37">+IFERROR(Q75/Q89,0)</f>
        <v>0</v>
      </c>
      <c r="U103" s="297" t="s">
        <v>22</v>
      </c>
      <c r="V103" s="337">
        <f t="array" ref="V103:V113">+$O$92:$O$102*TRANSPOSE(Dashboard!$BQ$11:$CA$11)</f>
        <v>25000</v>
      </c>
      <c r="W103" s="338">
        <f t="array" ref="W103:W113">+$O$92:$O$102*TRANSPOSE(Dashboard!$BQ$12:$CA$12)</f>
        <v>25000</v>
      </c>
      <c r="X103" s="338">
        <f t="array" ref="X103:X113">+$O$92:$O$102*TRANSPOSE(Dashboard!$BQ$13:$CA$13)</f>
        <v>25000</v>
      </c>
      <c r="Y103" s="338">
        <f t="array" ref="Y103:Y113">+$O$92:$O$102*TRANSPOSE(Dashboard!$BQ$14:$CA$14)</f>
        <v>25000</v>
      </c>
      <c r="Z103" s="338">
        <f t="array" ref="Z103:Z113">+$O$92:$O$102*TRANSPOSE(Dashboard!$BQ$15:$CA$15)</f>
        <v>25000</v>
      </c>
      <c r="AA103" s="338">
        <f t="array" ref="AA103:AA113">+$O$92:$O$102*TRANSPOSE(Dashboard!$BQ$16:$CA$16)</f>
        <v>25000</v>
      </c>
      <c r="AB103" s="338">
        <f t="array" ref="AB103:AB113">+$O$92:$O$102*TRANSPOSE(Dashboard!$BQ$17:$CA$17)</f>
        <v>25000</v>
      </c>
      <c r="AC103" s="338">
        <f t="array" ref="AC103:AC113">+$O$92:$O$102*TRANSPOSE(Dashboard!$BQ$18:$CA$18)</f>
        <v>25000</v>
      </c>
      <c r="AD103" s="339">
        <f t="array" ref="AD103:AD113">+$O$92:$O$102*TRANSPOSE(Dashboard!$BQ$19:$CA$19)</f>
        <v>25000</v>
      </c>
    </row>
    <row r="104" spans="1:30" x14ac:dyDescent="0.2">
      <c r="A104" s="73">
        <v>41</v>
      </c>
      <c r="B104" s="74" t="s">
        <v>182</v>
      </c>
      <c r="C104" s="74" t="s">
        <v>28</v>
      </c>
      <c r="D104" s="75" t="s">
        <v>178</v>
      </c>
      <c r="E104" s="73" t="s">
        <v>41</v>
      </c>
      <c r="F104" s="73" t="s">
        <v>127</v>
      </c>
      <c r="G104" s="345">
        <v>1458</v>
      </c>
      <c r="H104" s="73"/>
      <c r="U104" s="298" t="s">
        <v>23</v>
      </c>
      <c r="V104" s="337">
        <v>0</v>
      </c>
      <c r="W104" s="338">
        <v>0</v>
      </c>
      <c r="X104" s="338">
        <v>0</v>
      </c>
      <c r="Y104" s="338">
        <v>0</v>
      </c>
      <c r="Z104" s="338">
        <v>0</v>
      </c>
      <c r="AA104" s="338">
        <v>0</v>
      </c>
      <c r="AB104" s="338">
        <v>0</v>
      </c>
      <c r="AC104" s="338">
        <v>0</v>
      </c>
      <c r="AD104" s="339">
        <v>0</v>
      </c>
    </row>
    <row r="105" spans="1:30" x14ac:dyDescent="0.2">
      <c r="A105" s="73">
        <v>42</v>
      </c>
      <c r="B105" s="74" t="s">
        <v>183</v>
      </c>
      <c r="C105" s="74" t="s">
        <v>28</v>
      </c>
      <c r="D105" s="75" t="s">
        <v>178</v>
      </c>
      <c r="E105" s="73" t="s">
        <v>41</v>
      </c>
      <c r="F105" s="73" t="s">
        <v>154</v>
      </c>
      <c r="G105" s="345">
        <v>1868</v>
      </c>
      <c r="H105" s="73"/>
      <c r="U105" s="298" t="s">
        <v>33</v>
      </c>
      <c r="V105" s="337">
        <v>0</v>
      </c>
      <c r="W105" s="338">
        <v>0</v>
      </c>
      <c r="X105" s="338">
        <v>0</v>
      </c>
      <c r="Y105" s="338">
        <v>0</v>
      </c>
      <c r="Z105" s="338">
        <v>0</v>
      </c>
      <c r="AA105" s="338">
        <v>0</v>
      </c>
      <c r="AB105" s="338">
        <v>0</v>
      </c>
      <c r="AC105" s="338">
        <v>0</v>
      </c>
      <c r="AD105" s="339">
        <v>0</v>
      </c>
    </row>
    <row r="106" spans="1:30" x14ac:dyDescent="0.2">
      <c r="A106" s="73">
        <v>43</v>
      </c>
      <c r="B106" s="74" t="s">
        <v>184</v>
      </c>
      <c r="C106" s="74" t="s">
        <v>28</v>
      </c>
      <c r="D106" s="75" t="s">
        <v>178</v>
      </c>
      <c r="E106" s="73" t="s">
        <v>41</v>
      </c>
      <c r="F106" s="73" t="s">
        <v>127</v>
      </c>
      <c r="G106" s="345">
        <v>2152</v>
      </c>
      <c r="H106" s="73"/>
      <c r="U106" s="300" t="s">
        <v>134</v>
      </c>
      <c r="V106" s="337">
        <v>0</v>
      </c>
      <c r="W106" s="338">
        <v>0</v>
      </c>
      <c r="X106" s="338">
        <v>0</v>
      </c>
      <c r="Y106" s="338">
        <v>0</v>
      </c>
      <c r="Z106" s="338">
        <v>0</v>
      </c>
      <c r="AA106" s="338">
        <v>0</v>
      </c>
      <c r="AB106" s="338">
        <v>0</v>
      </c>
      <c r="AC106" s="338">
        <v>0</v>
      </c>
      <c r="AD106" s="339">
        <v>0</v>
      </c>
    </row>
    <row r="107" spans="1:30" x14ac:dyDescent="0.2">
      <c r="A107" s="73">
        <v>44</v>
      </c>
      <c r="B107" s="74" t="s">
        <v>185</v>
      </c>
      <c r="C107" s="74" t="s">
        <v>28</v>
      </c>
      <c r="D107" s="75" t="s">
        <v>178</v>
      </c>
      <c r="E107" s="73" t="s">
        <v>41</v>
      </c>
      <c r="F107" s="73" t="s">
        <v>154</v>
      </c>
      <c r="G107" s="345">
        <v>3576</v>
      </c>
      <c r="H107" s="73"/>
      <c r="U107" s="300" t="s">
        <v>25</v>
      </c>
      <c r="V107" s="337">
        <v>0</v>
      </c>
      <c r="W107" s="338">
        <v>0</v>
      </c>
      <c r="X107" s="338">
        <v>0</v>
      </c>
      <c r="Y107" s="338">
        <v>0</v>
      </c>
      <c r="Z107" s="338">
        <v>0</v>
      </c>
      <c r="AA107" s="338">
        <v>0</v>
      </c>
      <c r="AB107" s="338">
        <v>0</v>
      </c>
      <c r="AC107" s="338">
        <v>0</v>
      </c>
      <c r="AD107" s="339">
        <v>0</v>
      </c>
    </row>
    <row r="108" spans="1:30" x14ac:dyDescent="0.2">
      <c r="A108" s="73">
        <v>45</v>
      </c>
      <c r="B108" s="74" t="s">
        <v>186</v>
      </c>
      <c r="C108" s="74" t="s">
        <v>26</v>
      </c>
      <c r="D108" s="75" t="s">
        <v>178</v>
      </c>
      <c r="E108" s="73" t="s">
        <v>41</v>
      </c>
      <c r="F108" s="73" t="s">
        <v>127</v>
      </c>
      <c r="G108" s="345">
        <v>5996</v>
      </c>
      <c r="H108" s="73"/>
      <c r="U108" s="300" t="s">
        <v>26</v>
      </c>
      <c r="V108" s="337">
        <v>0</v>
      </c>
      <c r="W108" s="338">
        <v>0</v>
      </c>
      <c r="X108" s="338">
        <v>0</v>
      </c>
      <c r="Y108" s="338">
        <v>0</v>
      </c>
      <c r="Z108" s="338">
        <v>0</v>
      </c>
      <c r="AA108" s="338">
        <v>0</v>
      </c>
      <c r="AB108" s="338">
        <v>0</v>
      </c>
      <c r="AC108" s="338">
        <v>0</v>
      </c>
      <c r="AD108" s="339">
        <v>0</v>
      </c>
    </row>
    <row r="109" spans="1:30" x14ac:dyDescent="0.2">
      <c r="A109" s="73">
        <v>46</v>
      </c>
      <c r="B109" s="74" t="s">
        <v>187</v>
      </c>
      <c r="C109" s="74" t="s">
        <v>28</v>
      </c>
      <c r="D109" s="75" t="s">
        <v>178</v>
      </c>
      <c r="E109" s="73" t="s">
        <v>41</v>
      </c>
      <c r="F109" s="73" t="s">
        <v>127</v>
      </c>
      <c r="G109" s="345">
        <v>1705</v>
      </c>
      <c r="H109" s="73"/>
      <c r="U109" s="300" t="s">
        <v>27</v>
      </c>
      <c r="V109" s="337">
        <v>0</v>
      </c>
      <c r="W109" s="338">
        <v>0</v>
      </c>
      <c r="X109" s="338">
        <v>0</v>
      </c>
      <c r="Y109" s="338">
        <v>0</v>
      </c>
      <c r="Z109" s="338">
        <v>0</v>
      </c>
      <c r="AA109" s="338">
        <v>0</v>
      </c>
      <c r="AB109" s="338">
        <v>0</v>
      </c>
      <c r="AC109" s="338">
        <v>0</v>
      </c>
      <c r="AD109" s="339">
        <v>0</v>
      </c>
    </row>
    <row r="110" spans="1:30" x14ac:dyDescent="0.2">
      <c r="A110" s="73">
        <v>47</v>
      </c>
      <c r="B110" s="74" t="s">
        <v>188</v>
      </c>
      <c r="C110" s="74" t="s">
        <v>27</v>
      </c>
      <c r="D110" s="75" t="s">
        <v>178</v>
      </c>
      <c r="E110" s="73" t="s">
        <v>41</v>
      </c>
      <c r="F110" s="73" t="s">
        <v>154</v>
      </c>
      <c r="G110" s="345">
        <v>6590</v>
      </c>
      <c r="H110" s="73"/>
      <c r="U110" s="300" t="s">
        <v>28</v>
      </c>
      <c r="V110" s="337">
        <v>0</v>
      </c>
      <c r="W110" s="338">
        <v>0</v>
      </c>
      <c r="X110" s="338">
        <v>0</v>
      </c>
      <c r="Y110" s="338">
        <v>0</v>
      </c>
      <c r="Z110" s="338">
        <v>0</v>
      </c>
      <c r="AA110" s="338">
        <v>0</v>
      </c>
      <c r="AB110" s="338">
        <v>0</v>
      </c>
      <c r="AC110" s="338">
        <v>0</v>
      </c>
      <c r="AD110" s="339">
        <v>0</v>
      </c>
    </row>
    <row r="111" spans="1:30" x14ac:dyDescent="0.2">
      <c r="A111" s="73">
        <v>48</v>
      </c>
      <c r="B111" s="74" t="s">
        <v>189</v>
      </c>
      <c r="C111" s="74" t="s">
        <v>26</v>
      </c>
      <c r="D111" s="75" t="s">
        <v>178</v>
      </c>
      <c r="E111" s="73" t="s">
        <v>41</v>
      </c>
      <c r="F111" s="73" t="s">
        <v>127</v>
      </c>
      <c r="G111" s="345">
        <v>7975</v>
      </c>
      <c r="H111" s="73"/>
      <c r="U111" s="300" t="s">
        <v>29</v>
      </c>
      <c r="V111" s="337">
        <v>0</v>
      </c>
      <c r="W111" s="338">
        <v>0</v>
      </c>
      <c r="X111" s="338">
        <v>0</v>
      </c>
      <c r="Y111" s="338">
        <v>0</v>
      </c>
      <c r="Z111" s="338">
        <v>0</v>
      </c>
      <c r="AA111" s="338">
        <v>0</v>
      </c>
      <c r="AB111" s="338">
        <v>0</v>
      </c>
      <c r="AC111" s="338">
        <v>0</v>
      </c>
      <c r="AD111" s="339">
        <v>0</v>
      </c>
    </row>
    <row r="112" spans="1:30" x14ac:dyDescent="0.2">
      <c r="A112" s="73">
        <v>49</v>
      </c>
      <c r="B112" s="74" t="s">
        <v>190</v>
      </c>
      <c r="C112" s="74" t="s">
        <v>29</v>
      </c>
      <c r="D112" s="75" t="s">
        <v>178</v>
      </c>
      <c r="E112" s="73" t="s">
        <v>41</v>
      </c>
      <c r="F112" s="73" t="s">
        <v>154</v>
      </c>
      <c r="G112" s="345">
        <v>2324</v>
      </c>
      <c r="H112" s="73"/>
      <c r="U112" s="300" t="s">
        <v>30</v>
      </c>
      <c r="V112" s="337">
        <v>0</v>
      </c>
      <c r="W112" s="338">
        <v>0</v>
      </c>
      <c r="X112" s="338">
        <v>0</v>
      </c>
      <c r="Y112" s="338">
        <v>0</v>
      </c>
      <c r="Z112" s="338">
        <v>0</v>
      </c>
      <c r="AA112" s="338">
        <v>0</v>
      </c>
      <c r="AB112" s="338">
        <v>0</v>
      </c>
      <c r="AC112" s="338">
        <v>0</v>
      </c>
      <c r="AD112" s="339">
        <v>0</v>
      </c>
    </row>
    <row r="113" spans="1:30" x14ac:dyDescent="0.2">
      <c r="A113" s="73">
        <v>50</v>
      </c>
      <c r="B113" s="74" t="s">
        <v>191</v>
      </c>
      <c r="C113" s="74" t="s">
        <v>29</v>
      </c>
      <c r="D113" s="75" t="s">
        <v>178</v>
      </c>
      <c r="E113" s="73" t="s">
        <v>41</v>
      </c>
      <c r="F113" s="73" t="s">
        <v>154</v>
      </c>
      <c r="G113" s="345">
        <v>2395</v>
      </c>
      <c r="H113" s="73"/>
      <c r="U113" s="298" t="s">
        <v>31</v>
      </c>
      <c r="V113" s="337">
        <v>0</v>
      </c>
      <c r="W113" s="338">
        <v>0</v>
      </c>
      <c r="X113" s="338">
        <v>0</v>
      </c>
      <c r="Y113" s="338">
        <v>0</v>
      </c>
      <c r="Z113" s="338">
        <v>0</v>
      </c>
      <c r="AA113" s="338">
        <v>0</v>
      </c>
      <c r="AB113" s="338">
        <v>0</v>
      </c>
      <c r="AC113" s="338">
        <v>0</v>
      </c>
      <c r="AD113" s="339">
        <v>0</v>
      </c>
    </row>
    <row r="114" spans="1:30" ht="16" thickBot="1" x14ac:dyDescent="0.25">
      <c r="A114" s="73">
        <v>51</v>
      </c>
      <c r="B114" s="74" t="s">
        <v>192</v>
      </c>
      <c r="C114" s="74" t="s">
        <v>27</v>
      </c>
      <c r="D114" s="75" t="s">
        <v>178</v>
      </c>
      <c r="E114" s="73" t="s">
        <v>41</v>
      </c>
      <c r="F114" s="73" t="s">
        <v>140</v>
      </c>
      <c r="G114" s="345">
        <v>4158</v>
      </c>
      <c r="H114" s="73"/>
      <c r="U114" s="299" t="s">
        <v>147</v>
      </c>
      <c r="V114" s="340"/>
      <c r="W114" s="341"/>
      <c r="X114" s="341"/>
      <c r="Y114" s="341"/>
      <c r="Z114" s="341"/>
      <c r="AA114" s="341"/>
      <c r="AB114" s="341"/>
      <c r="AC114" s="341"/>
      <c r="AD114" s="342"/>
    </row>
    <row r="115" spans="1:30" ht="16" thickBot="1" x14ac:dyDescent="0.25">
      <c r="A115" s="73">
        <v>52</v>
      </c>
      <c r="B115" s="74" t="s">
        <v>193</v>
      </c>
      <c r="C115" s="74" t="s">
        <v>29</v>
      </c>
      <c r="D115" s="75" t="s">
        <v>178</v>
      </c>
      <c r="E115" s="73" t="s">
        <v>41</v>
      </c>
      <c r="F115" s="73" t="s">
        <v>154</v>
      </c>
      <c r="G115" s="345">
        <v>1331</v>
      </c>
      <c r="H115" s="73"/>
      <c r="T115" s="311" t="s">
        <v>47</v>
      </c>
      <c r="U115" s="294" t="s">
        <v>123</v>
      </c>
      <c r="V115" s="238">
        <v>45777</v>
      </c>
      <c r="W115" s="226">
        <v>45807</v>
      </c>
      <c r="X115" s="226">
        <v>45838</v>
      </c>
      <c r="Y115" s="226">
        <v>45868</v>
      </c>
      <c r="Z115" s="226">
        <v>45899</v>
      </c>
      <c r="AA115" s="226">
        <v>45930</v>
      </c>
      <c r="AB115" s="226">
        <v>45960</v>
      </c>
      <c r="AC115" s="226">
        <v>45991</v>
      </c>
      <c r="AD115" s="227">
        <v>46021</v>
      </c>
    </row>
    <row r="116" spans="1:30" x14ac:dyDescent="0.2">
      <c r="A116" s="73">
        <v>53</v>
      </c>
      <c r="B116" s="74" t="s">
        <v>194</v>
      </c>
      <c r="C116" s="74" t="s">
        <v>29</v>
      </c>
      <c r="D116" s="75" t="s">
        <v>178</v>
      </c>
      <c r="E116" s="73" t="s">
        <v>41</v>
      </c>
      <c r="F116" s="73" t="s">
        <v>154</v>
      </c>
      <c r="G116" s="345">
        <v>1730</v>
      </c>
      <c r="H116" s="73"/>
      <c r="U116" s="297" t="s">
        <v>22</v>
      </c>
      <c r="V116" s="337">
        <f t="array" ref="V116:V126">+$P$92:$P$102*TRANSPOSE(Dashboard!$CE$11:$CO$11)</f>
        <v>0</v>
      </c>
      <c r="W116" s="338">
        <f t="array" ref="W116:W126">+$P$92:$P$102*TRANSPOSE(Dashboard!$CE$12:$CO$12)</f>
        <v>0</v>
      </c>
      <c r="X116" s="338">
        <f t="array" ref="X116:X126">+$P$92:$P$102*TRANSPOSE(Dashboard!$CE$13:$CO$13)</f>
        <v>0</v>
      </c>
      <c r="Y116" s="338">
        <f t="array" ref="Y116:Y126">+$P$92:$P$102*TRANSPOSE(Dashboard!$CE$14:$CO$14)</f>
        <v>0</v>
      </c>
      <c r="Z116" s="338">
        <f t="array" ref="Z116:Z126">+$P$92:$P$102*TRANSPOSE(Dashboard!$CE$15:$CO$15)</f>
        <v>0</v>
      </c>
      <c r="AA116" s="338">
        <f t="array" ref="AA116:AA126">+$P$92:$P$102*TRANSPOSE(Dashboard!$CE$16:$CO$16)</f>
        <v>0</v>
      </c>
      <c r="AB116" s="338">
        <f t="array" ref="AB116:AB126">+$P$92:$P$102*TRANSPOSE(Dashboard!$CE$17:$CO$17)</f>
        <v>0</v>
      </c>
      <c r="AC116" s="338">
        <f t="array" ref="AC116:AC126">+$P$92:$P$102*TRANSPOSE(Dashboard!$CE$18:$CO$18)</f>
        <v>0</v>
      </c>
      <c r="AD116" s="339">
        <f t="array" ref="AD116:AD126">+$P$92:$P$102*TRANSPOSE(Dashboard!$CE$19:$CO$19)</f>
        <v>0</v>
      </c>
    </row>
    <row r="117" spans="1:30" x14ac:dyDescent="0.2">
      <c r="A117" s="73">
        <v>54</v>
      </c>
      <c r="B117" s="74" t="s">
        <v>195</v>
      </c>
      <c r="C117" s="74" t="s">
        <v>27</v>
      </c>
      <c r="D117" s="75" t="s">
        <v>178</v>
      </c>
      <c r="E117" s="73" t="s">
        <v>41</v>
      </c>
      <c r="F117" s="73" t="s">
        <v>154</v>
      </c>
      <c r="G117" s="345">
        <v>3295</v>
      </c>
      <c r="H117" s="73"/>
      <c r="U117" s="298" t="s">
        <v>23</v>
      </c>
      <c r="V117" s="337">
        <v>0</v>
      </c>
      <c r="W117" s="338">
        <v>0</v>
      </c>
      <c r="X117" s="338">
        <v>0</v>
      </c>
      <c r="Y117" s="338">
        <v>0</v>
      </c>
      <c r="Z117" s="338">
        <v>0</v>
      </c>
      <c r="AA117" s="338">
        <v>0</v>
      </c>
      <c r="AB117" s="338">
        <v>0</v>
      </c>
      <c r="AC117" s="338">
        <v>0</v>
      </c>
      <c r="AD117" s="339">
        <v>0</v>
      </c>
    </row>
    <row r="118" spans="1:30" x14ac:dyDescent="0.2">
      <c r="A118" s="73">
        <v>55</v>
      </c>
      <c r="B118" s="74" t="s">
        <v>196</v>
      </c>
      <c r="C118" s="74" t="s">
        <v>27</v>
      </c>
      <c r="D118" s="75" t="s">
        <v>178</v>
      </c>
      <c r="E118" s="73" t="s">
        <v>41</v>
      </c>
      <c r="F118" s="73" t="s">
        <v>127</v>
      </c>
      <c r="G118" s="345">
        <v>5869</v>
      </c>
      <c r="H118" s="73"/>
      <c r="U118" s="298" t="s">
        <v>33</v>
      </c>
      <c r="V118" s="337">
        <v>0</v>
      </c>
      <c r="W118" s="338">
        <v>0</v>
      </c>
      <c r="X118" s="338">
        <v>0</v>
      </c>
      <c r="Y118" s="338">
        <v>0</v>
      </c>
      <c r="Z118" s="338">
        <v>0</v>
      </c>
      <c r="AA118" s="338">
        <v>0</v>
      </c>
      <c r="AB118" s="338">
        <v>0</v>
      </c>
      <c r="AC118" s="338">
        <v>0</v>
      </c>
      <c r="AD118" s="339">
        <v>0</v>
      </c>
    </row>
    <row r="119" spans="1:30" x14ac:dyDescent="0.2">
      <c r="A119" s="73"/>
      <c r="B119" s="74"/>
      <c r="C119" s="74"/>
      <c r="D119" s="75"/>
      <c r="E119" s="73"/>
      <c r="F119" s="73"/>
      <c r="G119" s="345"/>
      <c r="H119" s="73"/>
      <c r="U119" s="300" t="s">
        <v>134</v>
      </c>
      <c r="V119" s="337">
        <v>0</v>
      </c>
      <c r="W119" s="338">
        <v>0</v>
      </c>
      <c r="X119" s="338">
        <v>0</v>
      </c>
      <c r="Y119" s="338">
        <v>0</v>
      </c>
      <c r="Z119" s="338">
        <v>0</v>
      </c>
      <c r="AA119" s="338">
        <v>0</v>
      </c>
      <c r="AB119" s="338">
        <v>0</v>
      </c>
      <c r="AC119" s="338">
        <v>0</v>
      </c>
      <c r="AD119" s="339">
        <v>0</v>
      </c>
    </row>
    <row r="120" spans="1:30" x14ac:dyDescent="0.2">
      <c r="A120" s="73">
        <v>57</v>
      </c>
      <c r="B120" s="74" t="s">
        <v>197</v>
      </c>
      <c r="C120" s="74" t="s">
        <v>27</v>
      </c>
      <c r="D120" s="75" t="s">
        <v>178</v>
      </c>
      <c r="E120" s="73" t="s">
        <v>41</v>
      </c>
      <c r="F120" s="73" t="s">
        <v>154</v>
      </c>
      <c r="G120" s="345">
        <v>4975</v>
      </c>
      <c r="H120" s="73"/>
      <c r="U120" s="300" t="s">
        <v>25</v>
      </c>
      <c r="V120" s="337">
        <v>0</v>
      </c>
      <c r="W120" s="338">
        <v>0</v>
      </c>
      <c r="X120" s="338">
        <v>0</v>
      </c>
      <c r="Y120" s="338">
        <v>0</v>
      </c>
      <c r="Z120" s="338">
        <v>0</v>
      </c>
      <c r="AA120" s="338">
        <v>0</v>
      </c>
      <c r="AB120" s="338">
        <v>0</v>
      </c>
      <c r="AC120" s="338">
        <v>0</v>
      </c>
      <c r="AD120" s="339">
        <v>0</v>
      </c>
    </row>
    <row r="121" spans="1:30" x14ac:dyDescent="0.2">
      <c r="A121" s="73"/>
      <c r="B121" s="74"/>
      <c r="C121" s="74"/>
      <c r="D121" s="75"/>
      <c r="E121" s="73"/>
      <c r="F121" s="73"/>
      <c r="G121" s="345"/>
      <c r="H121" s="73"/>
      <c r="U121" s="300" t="s">
        <v>26</v>
      </c>
      <c r="V121" s="337">
        <v>0</v>
      </c>
      <c r="W121" s="338">
        <v>0</v>
      </c>
      <c r="X121" s="338">
        <v>0</v>
      </c>
      <c r="Y121" s="338">
        <v>0</v>
      </c>
      <c r="Z121" s="338">
        <v>0</v>
      </c>
      <c r="AA121" s="338">
        <v>0</v>
      </c>
      <c r="AB121" s="338">
        <v>0</v>
      </c>
      <c r="AC121" s="338">
        <v>0</v>
      </c>
      <c r="AD121" s="339">
        <v>0</v>
      </c>
    </row>
    <row r="122" spans="1:30" x14ac:dyDescent="0.2">
      <c r="A122" s="73">
        <v>59</v>
      </c>
      <c r="B122" s="74" t="s">
        <v>198</v>
      </c>
      <c r="C122" s="74" t="s">
        <v>199</v>
      </c>
      <c r="D122" s="75" t="s">
        <v>126</v>
      </c>
      <c r="E122" s="73" t="s">
        <v>41</v>
      </c>
      <c r="F122" s="73" t="s">
        <v>140</v>
      </c>
      <c r="G122" s="345">
        <v>1663</v>
      </c>
      <c r="H122" s="73" t="s">
        <v>31</v>
      </c>
      <c r="U122" s="300" t="s">
        <v>27</v>
      </c>
      <c r="V122" s="337">
        <v>0</v>
      </c>
      <c r="W122" s="338">
        <v>0</v>
      </c>
      <c r="X122" s="338">
        <v>0</v>
      </c>
      <c r="Y122" s="338">
        <v>0</v>
      </c>
      <c r="Z122" s="338">
        <v>0</v>
      </c>
      <c r="AA122" s="338">
        <v>0</v>
      </c>
      <c r="AB122" s="338">
        <v>0</v>
      </c>
      <c r="AC122" s="338">
        <v>0</v>
      </c>
      <c r="AD122" s="339">
        <v>0</v>
      </c>
    </row>
    <row r="123" spans="1:30" x14ac:dyDescent="0.2">
      <c r="A123" s="73">
        <v>60</v>
      </c>
      <c r="B123" s="74" t="s">
        <v>200</v>
      </c>
      <c r="C123" s="74" t="s">
        <v>201</v>
      </c>
      <c r="D123" s="75" t="s">
        <v>126</v>
      </c>
      <c r="E123" s="73" t="s">
        <v>41</v>
      </c>
      <c r="F123" s="73" t="s">
        <v>154</v>
      </c>
      <c r="G123" s="345">
        <f>+(1600000/961.96)*(1.28)</f>
        <v>2128.9866522516527</v>
      </c>
      <c r="H123" s="73" t="s">
        <v>31</v>
      </c>
      <c r="U123" s="300" t="s">
        <v>28</v>
      </c>
      <c r="V123" s="337">
        <v>0</v>
      </c>
      <c r="W123" s="338">
        <v>0</v>
      </c>
      <c r="X123" s="338">
        <v>0</v>
      </c>
      <c r="Y123" s="338">
        <v>0</v>
      </c>
      <c r="Z123" s="338">
        <v>0</v>
      </c>
      <c r="AA123" s="338">
        <v>0</v>
      </c>
      <c r="AB123" s="338">
        <v>0</v>
      </c>
      <c r="AC123" s="338">
        <v>0</v>
      </c>
      <c r="AD123" s="339">
        <v>0</v>
      </c>
    </row>
    <row r="124" spans="1:30" x14ac:dyDescent="0.2">
      <c r="A124" s="73">
        <v>61</v>
      </c>
      <c r="B124" s="74" t="s">
        <v>202</v>
      </c>
      <c r="C124" s="74" t="s">
        <v>203</v>
      </c>
      <c r="D124" s="75" t="s">
        <v>126</v>
      </c>
      <c r="E124" s="73" t="s">
        <v>41</v>
      </c>
      <c r="F124" s="73" t="s">
        <v>154</v>
      </c>
      <c r="G124" s="345">
        <f>+(1200000/961.96)*1.28</f>
        <v>1596.7399891887396</v>
      </c>
      <c r="H124" s="73" t="s">
        <v>23</v>
      </c>
      <c r="U124" s="300" t="s">
        <v>29</v>
      </c>
      <c r="V124" s="337">
        <v>0</v>
      </c>
      <c r="W124" s="338">
        <v>0</v>
      </c>
      <c r="X124" s="338">
        <v>0</v>
      </c>
      <c r="Y124" s="338">
        <v>0</v>
      </c>
      <c r="Z124" s="338">
        <v>0</v>
      </c>
      <c r="AA124" s="338">
        <v>0</v>
      </c>
      <c r="AB124" s="338">
        <v>0</v>
      </c>
      <c r="AC124" s="338">
        <v>0</v>
      </c>
      <c r="AD124" s="339">
        <v>0</v>
      </c>
    </row>
    <row r="125" spans="1:30" x14ac:dyDescent="0.2">
      <c r="A125" s="76">
        <v>62</v>
      </c>
      <c r="B125" s="77" t="s">
        <v>204</v>
      </c>
      <c r="C125" s="77" t="s">
        <v>29</v>
      </c>
      <c r="D125" s="76" t="s">
        <v>205</v>
      </c>
      <c r="E125" s="78" t="s">
        <v>44</v>
      </c>
      <c r="F125" s="78" t="s">
        <v>140</v>
      </c>
      <c r="G125" s="374">
        <v>450</v>
      </c>
      <c r="H125" s="78"/>
      <c r="U125" s="300" t="s">
        <v>30</v>
      </c>
      <c r="V125" s="337">
        <v>0</v>
      </c>
      <c r="W125" s="338">
        <v>0</v>
      </c>
      <c r="X125" s="338">
        <v>0</v>
      </c>
      <c r="Y125" s="338">
        <v>0</v>
      </c>
      <c r="Z125" s="338">
        <v>0</v>
      </c>
      <c r="AA125" s="338">
        <v>0</v>
      </c>
      <c r="AB125" s="338">
        <v>0</v>
      </c>
      <c r="AC125" s="338">
        <v>0</v>
      </c>
      <c r="AD125" s="339">
        <v>0</v>
      </c>
    </row>
    <row r="126" spans="1:30" x14ac:dyDescent="0.2">
      <c r="A126" s="76">
        <v>63</v>
      </c>
      <c r="B126" s="77" t="s">
        <v>206</v>
      </c>
      <c r="C126" s="77" t="s">
        <v>207</v>
      </c>
      <c r="D126" s="76" t="s">
        <v>126</v>
      </c>
      <c r="E126" s="78" t="s">
        <v>44</v>
      </c>
      <c r="F126" s="78" t="s">
        <v>154</v>
      </c>
      <c r="G126" s="374">
        <v>3285.76</v>
      </c>
      <c r="H126" s="78" t="s">
        <v>22</v>
      </c>
      <c r="U126" s="298" t="s">
        <v>31</v>
      </c>
      <c r="V126" s="337">
        <v>0</v>
      </c>
      <c r="W126" s="338">
        <v>0</v>
      </c>
      <c r="X126" s="338">
        <v>0</v>
      </c>
      <c r="Y126" s="338">
        <v>0</v>
      </c>
      <c r="Z126" s="338">
        <v>0</v>
      </c>
      <c r="AA126" s="338">
        <v>0</v>
      </c>
      <c r="AB126" s="338">
        <v>0</v>
      </c>
      <c r="AC126" s="338">
        <v>0</v>
      </c>
      <c r="AD126" s="339">
        <v>0</v>
      </c>
    </row>
    <row r="127" spans="1:30" ht="16" thickBot="1" x14ac:dyDescent="0.25">
      <c r="A127" s="76">
        <v>64</v>
      </c>
      <c r="B127" s="77" t="s">
        <v>208</v>
      </c>
      <c r="C127" s="77" t="s">
        <v>28</v>
      </c>
      <c r="D127" s="76" t="s">
        <v>126</v>
      </c>
      <c r="E127" s="78" t="s">
        <v>44</v>
      </c>
      <c r="F127" s="78" t="s">
        <v>154</v>
      </c>
      <c r="G127" s="374">
        <v>1315.84</v>
      </c>
      <c r="H127" s="78"/>
      <c r="U127" s="299" t="s">
        <v>147</v>
      </c>
      <c r="V127" s="340"/>
      <c r="W127" s="341"/>
      <c r="X127" s="341"/>
      <c r="Y127" s="341"/>
      <c r="Z127" s="341"/>
      <c r="AA127" s="341"/>
      <c r="AB127" s="341"/>
      <c r="AC127" s="341"/>
      <c r="AD127" s="342"/>
    </row>
    <row r="128" spans="1:30" ht="16" thickBot="1" x14ac:dyDescent="0.25">
      <c r="A128" s="76">
        <v>65</v>
      </c>
      <c r="B128" s="79" t="s">
        <v>209</v>
      </c>
      <c r="C128" s="79" t="s">
        <v>28</v>
      </c>
      <c r="D128" s="76" t="s">
        <v>126</v>
      </c>
      <c r="E128" s="78" t="s">
        <v>44</v>
      </c>
      <c r="F128" s="78" t="s">
        <v>154</v>
      </c>
      <c r="G128" s="374">
        <v>1212.1600000000001</v>
      </c>
      <c r="H128" s="78"/>
      <c r="T128" s="311" t="s">
        <v>32</v>
      </c>
      <c r="U128" s="294" t="s">
        <v>123</v>
      </c>
      <c r="V128" s="238">
        <v>45777</v>
      </c>
      <c r="W128" s="226">
        <v>45807</v>
      </c>
      <c r="X128" s="226">
        <v>45838</v>
      </c>
      <c r="Y128" s="226">
        <v>45868</v>
      </c>
      <c r="Z128" s="226">
        <v>45899</v>
      </c>
      <c r="AA128" s="226">
        <v>45930</v>
      </c>
      <c r="AB128" s="226">
        <v>45960</v>
      </c>
      <c r="AC128" s="226">
        <v>45991</v>
      </c>
      <c r="AD128" s="227">
        <v>46021</v>
      </c>
    </row>
    <row r="129" spans="1:30" x14ac:dyDescent="0.2">
      <c r="A129" s="76">
        <v>66</v>
      </c>
      <c r="B129" s="79" t="s">
        <v>210</v>
      </c>
      <c r="C129" s="79" t="s">
        <v>28</v>
      </c>
      <c r="D129" s="76" t="s">
        <v>126</v>
      </c>
      <c r="E129" s="78" t="s">
        <v>44</v>
      </c>
      <c r="F129" s="78" t="s">
        <v>154</v>
      </c>
      <c r="G129" s="374">
        <v>1815.04</v>
      </c>
      <c r="H129" s="78"/>
      <c r="U129" s="297" t="s">
        <v>22</v>
      </c>
      <c r="V129" s="378">
        <f>+V116+V103+V90+V77+V64</f>
        <v>60490.393207201967</v>
      </c>
      <c r="W129" s="379">
        <f t="shared" ref="W129:AD129" si="38">+W116+W103+W90+W77+W64</f>
        <v>60490.393207201967</v>
      </c>
      <c r="X129" s="379">
        <f t="shared" si="38"/>
        <v>60490.393207201967</v>
      </c>
      <c r="Y129" s="379">
        <f t="shared" si="38"/>
        <v>60490.393207201967</v>
      </c>
      <c r="Z129" s="379">
        <f t="shared" si="38"/>
        <v>60490.393207201967</v>
      </c>
      <c r="AA129" s="379">
        <f t="shared" si="38"/>
        <v>60490.393207201967</v>
      </c>
      <c r="AB129" s="379">
        <f t="shared" si="38"/>
        <v>60490.393207201967</v>
      </c>
      <c r="AC129" s="379">
        <f t="shared" si="38"/>
        <v>60490.393207201967</v>
      </c>
      <c r="AD129" s="380">
        <f t="shared" si="38"/>
        <v>60490.393207201967</v>
      </c>
    </row>
    <row r="130" spans="1:30" x14ac:dyDescent="0.2">
      <c r="A130" s="76">
        <v>67</v>
      </c>
      <c r="B130" s="77" t="s">
        <v>211</v>
      </c>
      <c r="C130" s="77" t="s">
        <v>28</v>
      </c>
      <c r="D130" s="76" t="s">
        <v>126</v>
      </c>
      <c r="E130" s="78" t="s">
        <v>44</v>
      </c>
      <c r="F130" s="78" t="s">
        <v>154</v>
      </c>
      <c r="G130" s="374">
        <v>2415.36</v>
      </c>
      <c r="H130" s="78"/>
      <c r="U130" s="298" t="s">
        <v>23</v>
      </c>
      <c r="V130" s="378">
        <f t="shared" ref="V130:AD130" si="39">+V117+V104+V91+V78+V65</f>
        <v>15221.73998918874</v>
      </c>
      <c r="W130" s="379">
        <f t="shared" si="39"/>
        <v>15221.73998918874</v>
      </c>
      <c r="X130" s="379">
        <f t="shared" si="39"/>
        <v>15221.73998918874</v>
      </c>
      <c r="Y130" s="379">
        <f t="shared" si="39"/>
        <v>15221.73998918874</v>
      </c>
      <c r="Z130" s="379">
        <f t="shared" si="39"/>
        <v>15221.73998918874</v>
      </c>
      <c r="AA130" s="379">
        <f t="shared" si="39"/>
        <v>15221.73998918874</v>
      </c>
      <c r="AB130" s="379">
        <f t="shared" si="39"/>
        <v>15221.73998918874</v>
      </c>
      <c r="AC130" s="379">
        <f t="shared" si="39"/>
        <v>15221.73998918874</v>
      </c>
      <c r="AD130" s="380">
        <f t="shared" si="39"/>
        <v>15221.73998918874</v>
      </c>
    </row>
    <row r="131" spans="1:30" x14ac:dyDescent="0.2">
      <c r="A131" s="76">
        <v>68</v>
      </c>
      <c r="B131" s="77" t="s">
        <v>212</v>
      </c>
      <c r="C131" s="77" t="s">
        <v>28</v>
      </c>
      <c r="D131" s="76" t="s">
        <v>126</v>
      </c>
      <c r="E131" s="78" t="s">
        <v>44</v>
      </c>
      <c r="F131" s="78" t="s">
        <v>154</v>
      </c>
      <c r="G131" s="374">
        <v>1565.44</v>
      </c>
      <c r="H131" s="78"/>
      <c r="U131" s="298" t="s">
        <v>33</v>
      </c>
      <c r="V131" s="378">
        <f t="shared" ref="V131:AD131" si="40">+V118+V105+V92+V79+V66</f>
        <v>250503.98121002957</v>
      </c>
      <c r="W131" s="379">
        <f t="shared" si="40"/>
        <v>250503.98121002957</v>
      </c>
      <c r="X131" s="379">
        <f t="shared" si="40"/>
        <v>250503.98121002957</v>
      </c>
      <c r="Y131" s="379">
        <f t="shared" si="40"/>
        <v>250503.98121002957</v>
      </c>
      <c r="Z131" s="379">
        <f t="shared" si="40"/>
        <v>250503.98121002957</v>
      </c>
      <c r="AA131" s="379">
        <f t="shared" si="40"/>
        <v>250503.98121002957</v>
      </c>
      <c r="AB131" s="379">
        <f t="shared" si="40"/>
        <v>250503.98121002957</v>
      </c>
      <c r="AC131" s="379">
        <f t="shared" si="40"/>
        <v>250503.98121002957</v>
      </c>
      <c r="AD131" s="380">
        <f t="shared" si="40"/>
        <v>250503.98121002957</v>
      </c>
    </row>
    <row r="132" spans="1:30" x14ac:dyDescent="0.2">
      <c r="A132" s="76"/>
      <c r="B132" s="77"/>
      <c r="C132" s="77"/>
      <c r="D132" s="76"/>
      <c r="E132" s="78"/>
      <c r="F132" s="78"/>
      <c r="G132" s="374"/>
      <c r="H132" s="78"/>
      <c r="U132" s="300" t="s">
        <v>134</v>
      </c>
      <c r="V132" s="337">
        <f t="shared" ref="V132:AD132" si="41">+V119+V106+V93+V80+V67</f>
        <v>27445</v>
      </c>
      <c r="W132" s="338">
        <f t="shared" si="41"/>
        <v>27445</v>
      </c>
      <c r="X132" s="338">
        <f t="shared" si="41"/>
        <v>27445</v>
      </c>
      <c r="Y132" s="338">
        <f t="shared" si="41"/>
        <v>27445</v>
      </c>
      <c r="Z132" s="338">
        <f t="shared" si="41"/>
        <v>27445</v>
      </c>
      <c r="AA132" s="338">
        <f t="shared" si="41"/>
        <v>27445</v>
      </c>
      <c r="AB132" s="338">
        <f t="shared" si="41"/>
        <v>27445</v>
      </c>
      <c r="AC132" s="338">
        <f t="shared" si="41"/>
        <v>27445</v>
      </c>
      <c r="AD132" s="339">
        <f t="shared" si="41"/>
        <v>27445</v>
      </c>
    </row>
    <row r="133" spans="1:30" x14ac:dyDescent="0.2">
      <c r="A133" s="76">
        <v>70</v>
      </c>
      <c r="B133" s="77" t="s">
        <v>213</v>
      </c>
      <c r="C133" s="77" t="s">
        <v>29</v>
      </c>
      <c r="D133" s="76" t="s">
        <v>126</v>
      </c>
      <c r="E133" s="78" t="s">
        <v>44</v>
      </c>
      <c r="F133" s="78" t="s">
        <v>154</v>
      </c>
      <c r="G133" s="374">
        <v>1583.3600000000001</v>
      </c>
      <c r="H133" s="78"/>
      <c r="U133" s="300" t="s">
        <v>25</v>
      </c>
      <c r="V133" s="337">
        <f t="shared" ref="V133:AD133" si="42">+V120+V107+V94+V81+V68</f>
        <v>57292</v>
      </c>
      <c r="W133" s="338">
        <f t="shared" si="42"/>
        <v>57292</v>
      </c>
      <c r="X133" s="338">
        <f t="shared" si="42"/>
        <v>57292</v>
      </c>
      <c r="Y133" s="338">
        <f t="shared" si="42"/>
        <v>57292</v>
      </c>
      <c r="Z133" s="338">
        <f t="shared" si="42"/>
        <v>57292</v>
      </c>
      <c r="AA133" s="338">
        <f t="shared" si="42"/>
        <v>57292</v>
      </c>
      <c r="AB133" s="338">
        <f t="shared" si="42"/>
        <v>57292</v>
      </c>
      <c r="AC133" s="338">
        <f t="shared" si="42"/>
        <v>57292</v>
      </c>
      <c r="AD133" s="339">
        <f t="shared" si="42"/>
        <v>57292</v>
      </c>
    </row>
    <row r="134" spans="1:30" x14ac:dyDescent="0.2">
      <c r="A134" s="76">
        <v>71</v>
      </c>
      <c r="B134" s="79" t="s">
        <v>214</v>
      </c>
      <c r="C134" s="79" t="s">
        <v>26</v>
      </c>
      <c r="D134" s="76" t="s">
        <v>126</v>
      </c>
      <c r="E134" s="78" t="s">
        <v>44</v>
      </c>
      <c r="F134" s="78" t="s">
        <v>127</v>
      </c>
      <c r="G134" s="374">
        <v>3156.48</v>
      </c>
      <c r="H134" s="78"/>
      <c r="U134" s="300" t="s">
        <v>26</v>
      </c>
      <c r="V134" s="337">
        <f t="shared" ref="V134:AD134" si="43">+V121+V108+V95+V82+V69</f>
        <v>44017.440000000002</v>
      </c>
      <c r="W134" s="338">
        <f t="shared" si="43"/>
        <v>44017.440000000002</v>
      </c>
      <c r="X134" s="338">
        <f t="shared" si="43"/>
        <v>44017.440000000002</v>
      </c>
      <c r="Y134" s="338">
        <f t="shared" si="43"/>
        <v>44017.440000000002</v>
      </c>
      <c r="Z134" s="338">
        <f t="shared" si="43"/>
        <v>44017.440000000002</v>
      </c>
      <c r="AA134" s="338">
        <f t="shared" si="43"/>
        <v>44017.440000000002</v>
      </c>
      <c r="AB134" s="338">
        <f t="shared" si="43"/>
        <v>44017.440000000002</v>
      </c>
      <c r="AC134" s="338">
        <f t="shared" si="43"/>
        <v>44017.440000000002</v>
      </c>
      <c r="AD134" s="339">
        <f t="shared" si="43"/>
        <v>44017.440000000002</v>
      </c>
    </row>
    <row r="135" spans="1:30" x14ac:dyDescent="0.2">
      <c r="A135" s="76">
        <v>72</v>
      </c>
      <c r="B135" s="77" t="s">
        <v>215</v>
      </c>
      <c r="C135" s="77" t="s">
        <v>28</v>
      </c>
      <c r="D135" s="76" t="s">
        <v>126</v>
      </c>
      <c r="E135" s="78" t="s">
        <v>44</v>
      </c>
      <c r="F135" s="78" t="s">
        <v>154</v>
      </c>
      <c r="G135" s="374">
        <v>1315.84</v>
      </c>
      <c r="H135" s="78"/>
      <c r="U135" s="300" t="s">
        <v>27</v>
      </c>
      <c r="V135" s="337">
        <f t="shared" ref="V135:AD135" si="44">+V122+V109+V96+V83+V70</f>
        <v>54341.599999999999</v>
      </c>
      <c r="W135" s="338">
        <f t="shared" si="44"/>
        <v>54341.599999999999</v>
      </c>
      <c r="X135" s="338">
        <f t="shared" si="44"/>
        <v>54341.599999999999</v>
      </c>
      <c r="Y135" s="338">
        <f t="shared" si="44"/>
        <v>54341.599999999999</v>
      </c>
      <c r="Z135" s="338">
        <f t="shared" si="44"/>
        <v>54341.599999999999</v>
      </c>
      <c r="AA135" s="338">
        <f t="shared" si="44"/>
        <v>54341.599999999999</v>
      </c>
      <c r="AB135" s="338">
        <f t="shared" si="44"/>
        <v>54341.599999999999</v>
      </c>
      <c r="AC135" s="338">
        <f t="shared" si="44"/>
        <v>54341.599999999999</v>
      </c>
      <c r="AD135" s="339">
        <f t="shared" si="44"/>
        <v>54341.599999999999</v>
      </c>
    </row>
    <row r="136" spans="1:30" x14ac:dyDescent="0.2">
      <c r="A136" s="76">
        <v>73</v>
      </c>
      <c r="B136" s="77" t="s">
        <v>216</v>
      </c>
      <c r="C136" s="77" t="s">
        <v>29</v>
      </c>
      <c r="D136" s="76" t="s">
        <v>126</v>
      </c>
      <c r="E136" s="78" t="s">
        <v>44</v>
      </c>
      <c r="F136" s="78" t="s">
        <v>140</v>
      </c>
      <c r="G136" s="374">
        <v>1210</v>
      </c>
      <c r="H136" s="78"/>
      <c r="U136" s="300" t="s">
        <v>28</v>
      </c>
      <c r="V136" s="337">
        <f t="shared" ref="V136:AD136" si="45">+V123+V110+V97+V84+V71</f>
        <v>41055.41508253981</v>
      </c>
      <c r="W136" s="338">
        <f t="shared" si="45"/>
        <v>41055.41508253981</v>
      </c>
      <c r="X136" s="338">
        <f t="shared" si="45"/>
        <v>41055.41508253981</v>
      </c>
      <c r="Y136" s="338">
        <f t="shared" si="45"/>
        <v>41055.41508253981</v>
      </c>
      <c r="Z136" s="338">
        <f t="shared" si="45"/>
        <v>41055.41508253981</v>
      </c>
      <c r="AA136" s="338">
        <f t="shared" si="45"/>
        <v>41055.41508253981</v>
      </c>
      <c r="AB136" s="338">
        <f t="shared" si="45"/>
        <v>41055.41508253981</v>
      </c>
      <c r="AC136" s="338">
        <f t="shared" si="45"/>
        <v>41055.41508253981</v>
      </c>
      <c r="AD136" s="339">
        <f t="shared" si="45"/>
        <v>41055.41508253981</v>
      </c>
    </row>
    <row r="137" spans="1:30" x14ac:dyDescent="0.2">
      <c r="A137" s="76">
        <v>74</v>
      </c>
      <c r="B137" s="77" t="s">
        <v>217</v>
      </c>
      <c r="C137" s="77" t="s">
        <v>28</v>
      </c>
      <c r="D137" s="76" t="s">
        <v>126</v>
      </c>
      <c r="E137" s="78" t="s">
        <v>44</v>
      </c>
      <c r="F137" s="78" t="s">
        <v>154</v>
      </c>
      <c r="G137" s="374">
        <v>960</v>
      </c>
      <c r="H137" s="78"/>
      <c r="U137" s="300" t="s">
        <v>29</v>
      </c>
      <c r="V137" s="337">
        <f t="shared" ref="V137:AD137" si="46">+V124+V111+V98+V85+V72</f>
        <v>18308.72612748971</v>
      </c>
      <c r="W137" s="338">
        <f t="shared" si="46"/>
        <v>18308.72612748971</v>
      </c>
      <c r="X137" s="338">
        <f t="shared" si="46"/>
        <v>18308.72612748971</v>
      </c>
      <c r="Y137" s="338">
        <f t="shared" si="46"/>
        <v>18308.72612748971</v>
      </c>
      <c r="Z137" s="338">
        <f t="shared" si="46"/>
        <v>18308.72612748971</v>
      </c>
      <c r="AA137" s="338">
        <f t="shared" si="46"/>
        <v>18308.72612748971</v>
      </c>
      <c r="AB137" s="338">
        <f t="shared" si="46"/>
        <v>18308.72612748971</v>
      </c>
      <c r="AC137" s="338">
        <f t="shared" si="46"/>
        <v>18308.72612748971</v>
      </c>
      <c r="AD137" s="339">
        <f t="shared" si="46"/>
        <v>18308.72612748971</v>
      </c>
    </row>
    <row r="138" spans="1:30" x14ac:dyDescent="0.2">
      <c r="A138" s="76">
        <v>75</v>
      </c>
      <c r="B138" s="77" t="s">
        <v>218</v>
      </c>
      <c r="C138" s="77" t="s">
        <v>28</v>
      </c>
      <c r="D138" s="76" t="s">
        <v>126</v>
      </c>
      <c r="E138" s="78" t="s">
        <v>44</v>
      </c>
      <c r="F138" s="78" t="s">
        <v>154</v>
      </c>
      <c r="G138" s="374">
        <v>2336</v>
      </c>
      <c r="H138" s="78"/>
      <c r="U138" s="300" t="s">
        <v>30</v>
      </c>
      <c r="V138" s="337">
        <f t="shared" ref="V138:AD138" si="47">+V125+V112+V99+V86+V73</f>
        <v>8043.8</v>
      </c>
      <c r="W138" s="338">
        <f t="shared" si="47"/>
        <v>8043.8</v>
      </c>
      <c r="X138" s="338">
        <f t="shared" si="47"/>
        <v>8043.8</v>
      </c>
      <c r="Y138" s="338">
        <f t="shared" si="47"/>
        <v>8043.8</v>
      </c>
      <c r="Z138" s="338">
        <f t="shared" si="47"/>
        <v>8043.8</v>
      </c>
      <c r="AA138" s="338">
        <f t="shared" si="47"/>
        <v>8043.8</v>
      </c>
      <c r="AB138" s="338">
        <f t="shared" si="47"/>
        <v>8043.8</v>
      </c>
      <c r="AC138" s="338">
        <f t="shared" si="47"/>
        <v>8043.8</v>
      </c>
      <c r="AD138" s="339">
        <f t="shared" si="47"/>
        <v>8043.8</v>
      </c>
    </row>
    <row r="139" spans="1:30" x14ac:dyDescent="0.2">
      <c r="A139" s="76">
        <v>76</v>
      </c>
      <c r="B139" s="77" t="s">
        <v>219</v>
      </c>
      <c r="C139" s="77" t="s">
        <v>30</v>
      </c>
      <c r="D139" s="76" t="s">
        <v>126</v>
      </c>
      <c r="E139" s="78" t="s">
        <v>44</v>
      </c>
      <c r="F139" s="78" t="s">
        <v>154</v>
      </c>
      <c r="G139" s="374">
        <v>2508.8000000000002</v>
      </c>
      <c r="H139" s="78"/>
      <c r="U139" s="298" t="s">
        <v>31</v>
      </c>
      <c r="V139" s="378">
        <f t="shared" ref="V139:AD139" si="48">+V126+V113+V100+V87+V74</f>
        <v>9418.9866522516531</v>
      </c>
      <c r="W139" s="379">
        <f t="shared" si="48"/>
        <v>9418.9866522516531</v>
      </c>
      <c r="X139" s="379">
        <f t="shared" si="48"/>
        <v>9418.9866522516531</v>
      </c>
      <c r="Y139" s="379">
        <f t="shared" si="48"/>
        <v>9418.9866522516531</v>
      </c>
      <c r="Z139" s="379">
        <f t="shared" si="48"/>
        <v>9418.9866522516531</v>
      </c>
      <c r="AA139" s="379">
        <f t="shared" si="48"/>
        <v>9418.9866522516531</v>
      </c>
      <c r="AB139" s="379">
        <f t="shared" si="48"/>
        <v>9418.9866522516531</v>
      </c>
      <c r="AC139" s="379">
        <f t="shared" si="48"/>
        <v>9418.9866522516531</v>
      </c>
      <c r="AD139" s="380">
        <f t="shared" si="48"/>
        <v>9418.9866522516531</v>
      </c>
    </row>
    <row r="140" spans="1:30" ht="16" thickBot="1" x14ac:dyDescent="0.25">
      <c r="A140" s="76">
        <v>77</v>
      </c>
      <c r="B140" s="77" t="s">
        <v>220</v>
      </c>
      <c r="C140" s="77" t="s">
        <v>26</v>
      </c>
      <c r="D140" s="76" t="s">
        <v>126</v>
      </c>
      <c r="E140" s="78" t="s">
        <v>44</v>
      </c>
      <c r="F140" s="78" t="s">
        <v>127</v>
      </c>
      <c r="G140" s="374">
        <v>4936.96</v>
      </c>
      <c r="H140" s="78"/>
      <c r="U140" s="299" t="s">
        <v>147</v>
      </c>
      <c r="V140" s="340">
        <f t="shared" ref="V140:AD140" si="49">+V127+V114+V101+V88+V75</f>
        <v>0</v>
      </c>
      <c r="W140" s="341">
        <f t="shared" si="49"/>
        <v>0</v>
      </c>
      <c r="X140" s="341">
        <f t="shared" si="49"/>
        <v>0</v>
      </c>
      <c r="Y140" s="341">
        <f t="shared" si="49"/>
        <v>0</v>
      </c>
      <c r="Z140" s="341">
        <f t="shared" si="49"/>
        <v>0</v>
      </c>
      <c r="AA140" s="341">
        <f t="shared" si="49"/>
        <v>0</v>
      </c>
      <c r="AB140" s="341">
        <f t="shared" si="49"/>
        <v>0</v>
      </c>
      <c r="AC140" s="341">
        <f t="shared" si="49"/>
        <v>0</v>
      </c>
      <c r="AD140" s="342">
        <f t="shared" si="49"/>
        <v>0</v>
      </c>
    </row>
    <row r="141" spans="1:30" x14ac:dyDescent="0.2">
      <c r="A141" s="76">
        <v>78</v>
      </c>
      <c r="B141" s="79" t="s">
        <v>221</v>
      </c>
      <c r="C141" s="77" t="s">
        <v>27</v>
      </c>
      <c r="D141" s="76" t="s">
        <v>126</v>
      </c>
      <c r="E141" s="78" t="s">
        <v>44</v>
      </c>
      <c r="F141" s="78" t="s">
        <v>127</v>
      </c>
      <c r="G141" s="374">
        <v>6727.68</v>
      </c>
      <c r="H141" s="78"/>
    </row>
    <row r="142" spans="1:30" x14ac:dyDescent="0.2">
      <c r="A142" s="76">
        <v>79</v>
      </c>
      <c r="B142" s="77" t="s">
        <v>222</v>
      </c>
      <c r="C142" s="77" t="s">
        <v>27</v>
      </c>
      <c r="D142" s="76" t="s">
        <v>126</v>
      </c>
      <c r="E142" s="78" t="s">
        <v>44</v>
      </c>
      <c r="F142" s="78" t="s">
        <v>127</v>
      </c>
      <c r="G142" s="374">
        <v>3301.12</v>
      </c>
      <c r="H142" s="78"/>
    </row>
    <row r="143" spans="1:30" x14ac:dyDescent="0.2">
      <c r="A143" s="76">
        <v>80</v>
      </c>
      <c r="B143" s="77" t="s">
        <v>223</v>
      </c>
      <c r="C143" s="77" t="s">
        <v>27</v>
      </c>
      <c r="D143" s="76" t="s">
        <v>126</v>
      </c>
      <c r="E143" s="78" t="s">
        <v>44</v>
      </c>
      <c r="F143" s="78" t="s">
        <v>154</v>
      </c>
      <c r="G143" s="374">
        <v>3052.8</v>
      </c>
      <c r="H143" s="78"/>
    </row>
    <row r="144" spans="1:30" x14ac:dyDescent="0.2">
      <c r="A144" s="76">
        <v>81</v>
      </c>
      <c r="B144" s="77" t="s">
        <v>224</v>
      </c>
      <c r="C144" s="77" t="s">
        <v>203</v>
      </c>
      <c r="D144" s="76" t="s">
        <v>126</v>
      </c>
      <c r="E144" s="78" t="s">
        <v>44</v>
      </c>
      <c r="F144" s="78" t="s">
        <v>140</v>
      </c>
      <c r="G144" s="374">
        <v>1000</v>
      </c>
      <c r="H144" s="78" t="s">
        <v>23</v>
      </c>
    </row>
    <row r="145" spans="1:11" x14ac:dyDescent="0.2">
      <c r="A145" s="76">
        <v>82</v>
      </c>
      <c r="B145" s="77" t="s">
        <v>225</v>
      </c>
      <c r="C145" s="77" t="s">
        <v>29</v>
      </c>
      <c r="D145" s="76" t="s">
        <v>126</v>
      </c>
      <c r="E145" s="78" t="s">
        <v>44</v>
      </c>
      <c r="F145" s="78" t="s">
        <v>140</v>
      </c>
      <c r="G145" s="374">
        <v>500</v>
      </c>
      <c r="H145" s="78"/>
    </row>
    <row r="146" spans="1:11" x14ac:dyDescent="0.2">
      <c r="A146" s="76">
        <v>83</v>
      </c>
      <c r="B146" s="77" t="s">
        <v>226</v>
      </c>
      <c r="C146" s="77" t="s">
        <v>29</v>
      </c>
      <c r="D146" s="76" t="s">
        <v>126</v>
      </c>
      <c r="E146" s="78" t="s">
        <v>44</v>
      </c>
      <c r="F146" s="78" t="s">
        <v>140</v>
      </c>
      <c r="G146" s="376">
        <v>500</v>
      </c>
      <c r="H146" s="78"/>
    </row>
    <row r="147" spans="1:11" x14ac:dyDescent="0.2">
      <c r="A147" s="80">
        <v>84</v>
      </c>
      <c r="B147" s="81" t="s">
        <v>227</v>
      </c>
      <c r="C147" s="81" t="s">
        <v>228</v>
      </c>
      <c r="D147" s="80" t="s">
        <v>126</v>
      </c>
      <c r="E147" s="82" t="s">
        <v>46</v>
      </c>
      <c r="F147" s="82" t="s">
        <v>133</v>
      </c>
      <c r="G147" s="377">
        <v>25000</v>
      </c>
      <c r="H147" s="82" t="s">
        <v>22</v>
      </c>
    </row>
    <row r="152" spans="1:11" s="154" customFormat="1" ht="15" customHeight="1" x14ac:dyDescent="0.2">
      <c r="A152" s="155" t="s">
        <v>7</v>
      </c>
    </row>
    <row r="153" spans="1:11" ht="16" thickBot="1" x14ac:dyDescent="0.25"/>
    <row r="154" spans="1:11" ht="16" thickBot="1" x14ac:dyDescent="0.25">
      <c r="B154" s="384" t="s">
        <v>34</v>
      </c>
      <c r="C154" s="384">
        <v>45777</v>
      </c>
      <c r="D154" s="384">
        <v>45807</v>
      </c>
      <c r="E154" s="384">
        <v>45838</v>
      </c>
      <c r="F154" s="384">
        <v>45868</v>
      </c>
      <c r="G154" s="384">
        <v>45899</v>
      </c>
      <c r="H154" s="384">
        <v>45930</v>
      </c>
      <c r="I154" s="384">
        <v>45960</v>
      </c>
      <c r="J154" s="384">
        <v>45991</v>
      </c>
      <c r="K154" s="385">
        <v>46021</v>
      </c>
    </row>
    <row r="155" spans="1:11" x14ac:dyDescent="0.2">
      <c r="B155" s="382" t="s">
        <v>41</v>
      </c>
      <c r="C155">
        <f t="array" ref="C155:K155">+TRANSPOSE(Dashboard!AL$11:AL$19)</f>
        <v>55</v>
      </c>
      <c r="D155">
        <v>55</v>
      </c>
      <c r="E155">
        <v>55</v>
      </c>
      <c r="F155">
        <v>55</v>
      </c>
      <c r="G155">
        <v>55</v>
      </c>
      <c r="H155">
        <v>55</v>
      </c>
      <c r="I155">
        <v>55</v>
      </c>
      <c r="J155">
        <v>55</v>
      </c>
      <c r="K155" s="390">
        <v>55</v>
      </c>
    </row>
    <row r="156" spans="1:11" x14ac:dyDescent="0.2">
      <c r="B156" s="382" t="s">
        <v>229</v>
      </c>
      <c r="C156">
        <f t="array" ref="C156:K156">+TRANSPOSE(Dashboard!AZ$11:AZ$19)</f>
        <v>21</v>
      </c>
      <c r="D156">
        <v>21</v>
      </c>
      <c r="E156">
        <v>21</v>
      </c>
      <c r="F156">
        <v>21</v>
      </c>
      <c r="G156">
        <v>21</v>
      </c>
      <c r="H156">
        <v>21</v>
      </c>
      <c r="I156">
        <v>21</v>
      </c>
      <c r="J156">
        <v>21</v>
      </c>
      <c r="K156" s="390">
        <v>21</v>
      </c>
    </row>
    <row r="157" spans="1:11" x14ac:dyDescent="0.2">
      <c r="B157" s="382" t="s">
        <v>45</v>
      </c>
      <c r="C157">
        <f t="array" ref="C157:K157">+TRANSPOSE(Dashboard!BN$11:BN$19)</f>
        <v>4</v>
      </c>
      <c r="D157">
        <v>4</v>
      </c>
      <c r="E157">
        <v>4</v>
      </c>
      <c r="F157">
        <v>4</v>
      </c>
      <c r="G157">
        <v>4</v>
      </c>
      <c r="H157">
        <v>4</v>
      </c>
      <c r="I157">
        <v>4</v>
      </c>
      <c r="J157">
        <v>4</v>
      </c>
      <c r="K157" s="390">
        <v>4</v>
      </c>
    </row>
    <row r="158" spans="1:11" x14ac:dyDescent="0.2">
      <c r="B158" s="382" t="s">
        <v>46</v>
      </c>
      <c r="C158">
        <f t="array" ref="C158:K158">+TRANSPOSE(Dashboard!CB$11:CB$19)</f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 s="390">
        <v>1</v>
      </c>
    </row>
    <row r="159" spans="1:11" ht="16" thickBot="1" x14ac:dyDescent="0.25">
      <c r="B159" s="383" t="s">
        <v>47</v>
      </c>
      <c r="C159" s="392">
        <f t="array" ref="C159:K159">+TRANSPOSE(Dashboard!CP$11:CP$19)</f>
        <v>0</v>
      </c>
      <c r="D159" s="392">
        <v>0</v>
      </c>
      <c r="E159" s="392">
        <v>0</v>
      </c>
      <c r="F159" s="392">
        <v>0</v>
      </c>
      <c r="G159" s="392">
        <v>0</v>
      </c>
      <c r="H159" s="392">
        <v>0</v>
      </c>
      <c r="I159" s="392">
        <v>0</v>
      </c>
      <c r="J159" s="392">
        <v>0</v>
      </c>
      <c r="K159" s="393">
        <v>0</v>
      </c>
    </row>
    <row r="160" spans="1:11" ht="16" thickBot="1" x14ac:dyDescent="0.25">
      <c r="B160" s="396" t="s">
        <v>32</v>
      </c>
      <c r="C160" s="397">
        <f>+SUM(C155:C159)</f>
        <v>81</v>
      </c>
      <c r="D160" s="397">
        <f t="shared" ref="D160:K160" si="50">+SUM(D155:D159)</f>
        <v>81</v>
      </c>
      <c r="E160" s="397">
        <f t="shared" si="50"/>
        <v>81</v>
      </c>
      <c r="F160" s="397">
        <f t="shared" si="50"/>
        <v>81</v>
      </c>
      <c r="G160" s="397">
        <f t="shared" si="50"/>
        <v>81</v>
      </c>
      <c r="H160" s="397">
        <f t="shared" si="50"/>
        <v>81</v>
      </c>
      <c r="I160" s="397">
        <f t="shared" si="50"/>
        <v>81</v>
      </c>
      <c r="J160" s="397">
        <f t="shared" si="50"/>
        <v>81</v>
      </c>
      <c r="K160" s="398">
        <f t="shared" si="50"/>
        <v>81</v>
      </c>
    </row>
    <row r="163" spans="1:12" s="154" customFormat="1" ht="15" customHeight="1" x14ac:dyDescent="0.2">
      <c r="A163" s="155" t="s">
        <v>230</v>
      </c>
    </row>
    <row r="164" spans="1:12" ht="16" thickBot="1" x14ac:dyDescent="0.25"/>
    <row r="165" spans="1:12" ht="16" thickBot="1" x14ac:dyDescent="0.25">
      <c r="B165" s="384" t="s">
        <v>34</v>
      </c>
      <c r="C165" s="384">
        <v>45777</v>
      </c>
      <c r="D165" s="384">
        <v>45807</v>
      </c>
      <c r="E165" s="384">
        <v>45838</v>
      </c>
      <c r="F165" s="384">
        <v>45868</v>
      </c>
      <c r="G165" s="384">
        <v>45899</v>
      </c>
      <c r="H165" s="384">
        <v>45930</v>
      </c>
      <c r="I165" s="384">
        <v>45960</v>
      </c>
      <c r="J165" s="384">
        <v>45991</v>
      </c>
      <c r="K165" s="385">
        <v>46021</v>
      </c>
      <c r="L165" s="385">
        <v>46052</v>
      </c>
    </row>
    <row r="166" spans="1:12" x14ac:dyDescent="0.2">
      <c r="B166" s="382" t="s">
        <v>41</v>
      </c>
      <c r="C166" s="386"/>
      <c r="D166" s="387"/>
      <c r="E166" s="387"/>
      <c r="F166" s="387">
        <v>50000</v>
      </c>
      <c r="G166" s="387"/>
      <c r="H166" s="387"/>
      <c r="I166" s="387"/>
      <c r="J166" s="387"/>
      <c r="K166" s="388"/>
      <c r="L166" s="388">
        <v>150000</v>
      </c>
    </row>
    <row r="167" spans="1:12" x14ac:dyDescent="0.2">
      <c r="B167" s="382" t="s">
        <v>44</v>
      </c>
      <c r="C167" s="389"/>
      <c r="K167" s="390"/>
      <c r="L167" s="390"/>
    </row>
    <row r="168" spans="1:12" x14ac:dyDescent="0.2">
      <c r="B168" s="382" t="s">
        <v>45</v>
      </c>
      <c r="C168" s="389"/>
      <c r="K168" s="390"/>
      <c r="L168" s="390"/>
    </row>
    <row r="169" spans="1:12" x14ac:dyDescent="0.2">
      <c r="B169" s="382" t="s">
        <v>46</v>
      </c>
      <c r="C169" s="389"/>
      <c r="K169" s="390"/>
      <c r="L169" s="390"/>
    </row>
    <row r="170" spans="1:12" ht="16" thickBot="1" x14ac:dyDescent="0.25">
      <c r="B170" s="383" t="s">
        <v>47</v>
      </c>
      <c r="C170" s="391"/>
      <c r="D170" s="392"/>
      <c r="E170" s="392"/>
      <c r="F170" s="392"/>
      <c r="G170" s="392"/>
      <c r="H170" s="392"/>
      <c r="I170" s="392"/>
      <c r="J170" s="392"/>
      <c r="K170" s="393"/>
      <c r="L170" s="393"/>
    </row>
    <row r="176" spans="1:12" s="154" customFormat="1" ht="15" customHeight="1" x14ac:dyDescent="0.2">
      <c r="A176" s="155" t="s">
        <v>231</v>
      </c>
    </row>
    <row r="177" spans="1:18" ht="16" thickBot="1" x14ac:dyDescent="0.25"/>
    <row r="178" spans="1:18" ht="16" thickBot="1" x14ac:dyDescent="0.25">
      <c r="B178" s="384" t="s">
        <v>34</v>
      </c>
      <c r="C178" s="394" t="s">
        <v>232</v>
      </c>
      <c r="D178" s="394" t="s">
        <v>233</v>
      </c>
      <c r="E178" s="394" t="s">
        <v>36</v>
      </c>
      <c r="F178" s="394" t="s">
        <v>234</v>
      </c>
      <c r="H178" s="394" t="s">
        <v>34</v>
      </c>
      <c r="I178" s="394" t="s">
        <v>232</v>
      </c>
      <c r="J178" s="395">
        <v>45777</v>
      </c>
      <c r="K178" s="384">
        <v>45807</v>
      </c>
      <c r="L178" s="384">
        <v>45838</v>
      </c>
      <c r="M178" s="384">
        <v>45868</v>
      </c>
      <c r="N178" s="384">
        <v>45899</v>
      </c>
      <c r="O178" s="384">
        <v>45930</v>
      </c>
      <c r="P178" s="384">
        <v>45960</v>
      </c>
      <c r="Q178" s="384">
        <v>45991</v>
      </c>
      <c r="R178" s="385">
        <v>46021</v>
      </c>
    </row>
    <row r="179" spans="1:18" x14ac:dyDescent="0.2">
      <c r="B179" s="382" t="s">
        <v>41</v>
      </c>
      <c r="C179" s="381" t="s">
        <v>235</v>
      </c>
      <c r="D179" s="381" t="s">
        <v>154</v>
      </c>
      <c r="E179" s="409">
        <v>0</v>
      </c>
      <c r="F179" s="409"/>
      <c r="H179" s="382" t="s">
        <v>41</v>
      </c>
      <c r="I179" s="381" t="s">
        <v>235</v>
      </c>
      <c r="J179" s="399">
        <f>+E179</f>
        <v>0</v>
      </c>
      <c r="K179" s="400">
        <f>+J179</f>
        <v>0</v>
      </c>
      <c r="L179" s="400">
        <f t="shared" ref="L179:R179" si="51">+K179</f>
        <v>0</v>
      </c>
      <c r="M179" s="400">
        <f t="shared" si="51"/>
        <v>0</v>
      </c>
      <c r="N179" s="400">
        <f t="shared" si="51"/>
        <v>0</v>
      </c>
      <c r="O179" s="400">
        <f t="shared" si="51"/>
        <v>0</v>
      </c>
      <c r="P179" s="400">
        <f t="shared" si="51"/>
        <v>0</v>
      </c>
      <c r="Q179" s="400">
        <f t="shared" si="51"/>
        <v>0</v>
      </c>
      <c r="R179" s="401">
        <f t="shared" si="51"/>
        <v>0</v>
      </c>
    </row>
    <row r="180" spans="1:18" ht="16" thickBot="1" x14ac:dyDescent="0.25">
      <c r="B180" s="382"/>
      <c r="C180" s="382" t="s">
        <v>236</v>
      </c>
      <c r="D180" s="382" t="s">
        <v>237</v>
      </c>
      <c r="E180" s="410">
        <v>51678</v>
      </c>
      <c r="F180" s="410">
        <f>+IFERROR(E180/SUM($L$78:$L$80,$L$88),0)</f>
        <v>939.6</v>
      </c>
      <c r="H180" s="382" t="str">
        <f>+H179</f>
        <v>Chile</v>
      </c>
      <c r="I180" s="382" t="s">
        <v>236</v>
      </c>
      <c r="J180" s="399">
        <f t="shared" ref="J180:R180" si="52">+C155*$F180</f>
        <v>51678</v>
      </c>
      <c r="K180" s="400">
        <f t="shared" si="52"/>
        <v>51678</v>
      </c>
      <c r="L180" s="400">
        <f t="shared" si="52"/>
        <v>51678</v>
      </c>
      <c r="M180" s="400">
        <f t="shared" si="52"/>
        <v>51678</v>
      </c>
      <c r="N180" s="400">
        <f t="shared" si="52"/>
        <v>51678</v>
      </c>
      <c r="O180" s="400">
        <f t="shared" si="52"/>
        <v>51678</v>
      </c>
      <c r="P180" s="400">
        <f t="shared" si="52"/>
        <v>51678</v>
      </c>
      <c r="Q180" s="400">
        <f t="shared" si="52"/>
        <v>51678</v>
      </c>
      <c r="R180" s="401">
        <f t="shared" si="52"/>
        <v>51678</v>
      </c>
    </row>
    <row r="181" spans="1:18" x14ac:dyDescent="0.2">
      <c r="B181" s="382" t="s">
        <v>44</v>
      </c>
      <c r="C181" s="381" t="s">
        <v>235</v>
      </c>
      <c r="D181" s="381" t="s">
        <v>154</v>
      </c>
      <c r="E181" s="409">
        <v>4544</v>
      </c>
      <c r="F181" s="409"/>
      <c r="H181" s="382" t="s">
        <v>44</v>
      </c>
      <c r="I181" s="381" t="s">
        <v>235</v>
      </c>
      <c r="J181" s="399">
        <f>+E181</f>
        <v>4544</v>
      </c>
      <c r="K181" s="400">
        <f>+J181</f>
        <v>4544</v>
      </c>
      <c r="L181" s="400">
        <f t="shared" ref="L181:R181" si="53">+K181</f>
        <v>4544</v>
      </c>
      <c r="M181" s="400">
        <f t="shared" si="53"/>
        <v>4544</v>
      </c>
      <c r="N181" s="400">
        <f t="shared" si="53"/>
        <v>4544</v>
      </c>
      <c r="O181" s="400">
        <f t="shared" si="53"/>
        <v>4544</v>
      </c>
      <c r="P181" s="400">
        <f t="shared" si="53"/>
        <v>4544</v>
      </c>
      <c r="Q181" s="400">
        <f t="shared" si="53"/>
        <v>4544</v>
      </c>
      <c r="R181" s="401">
        <f t="shared" si="53"/>
        <v>4544</v>
      </c>
    </row>
    <row r="182" spans="1:18" ht="16" thickBot="1" x14ac:dyDescent="0.25">
      <c r="B182" s="382"/>
      <c r="C182" s="382" t="s">
        <v>236</v>
      </c>
      <c r="D182" s="382" t="s">
        <v>237</v>
      </c>
      <c r="E182" s="410">
        <v>12324</v>
      </c>
      <c r="F182" s="410">
        <f>+IFERROR(E182/SUM($M$78:$M$80,$M$88),0)</f>
        <v>586.85714285714289</v>
      </c>
      <c r="H182" s="382" t="str">
        <f>+H181</f>
        <v>Perú</v>
      </c>
      <c r="I182" s="382" t="s">
        <v>236</v>
      </c>
      <c r="J182" s="399">
        <f t="shared" ref="J182:R182" si="54">+C157*$F182</f>
        <v>2347.4285714285716</v>
      </c>
      <c r="K182" s="400">
        <f t="shared" si="54"/>
        <v>2347.4285714285716</v>
      </c>
      <c r="L182" s="400">
        <f t="shared" si="54"/>
        <v>2347.4285714285716</v>
      </c>
      <c r="M182" s="400">
        <f t="shared" si="54"/>
        <v>2347.4285714285716</v>
      </c>
      <c r="N182" s="400">
        <f t="shared" si="54"/>
        <v>2347.4285714285716</v>
      </c>
      <c r="O182" s="400">
        <f t="shared" si="54"/>
        <v>2347.4285714285716</v>
      </c>
      <c r="P182" s="400">
        <f t="shared" si="54"/>
        <v>2347.4285714285716</v>
      </c>
      <c r="Q182" s="400">
        <f t="shared" si="54"/>
        <v>2347.4285714285716</v>
      </c>
      <c r="R182" s="401">
        <f t="shared" si="54"/>
        <v>2347.4285714285716</v>
      </c>
    </row>
    <row r="183" spans="1:18" x14ac:dyDescent="0.2">
      <c r="B183" s="382" t="s">
        <v>45</v>
      </c>
      <c r="C183" s="381" t="s">
        <v>235</v>
      </c>
      <c r="D183" s="381" t="s">
        <v>154</v>
      </c>
      <c r="E183" s="409">
        <v>1619</v>
      </c>
      <c r="F183" s="409"/>
      <c r="H183" s="382" t="s">
        <v>45</v>
      </c>
      <c r="I183" s="381" t="s">
        <v>235</v>
      </c>
      <c r="J183" s="399">
        <f>+E183</f>
        <v>1619</v>
      </c>
      <c r="K183" s="400">
        <f>+J183</f>
        <v>1619</v>
      </c>
      <c r="L183" s="400">
        <f t="shared" ref="L183:R183" si="55">+K183</f>
        <v>1619</v>
      </c>
      <c r="M183" s="400">
        <f t="shared" si="55"/>
        <v>1619</v>
      </c>
      <c r="N183" s="400">
        <f t="shared" si="55"/>
        <v>1619</v>
      </c>
      <c r="O183" s="400">
        <f t="shared" si="55"/>
        <v>1619</v>
      </c>
      <c r="P183" s="400">
        <f t="shared" si="55"/>
        <v>1619</v>
      </c>
      <c r="Q183" s="400">
        <f t="shared" si="55"/>
        <v>1619</v>
      </c>
      <c r="R183" s="401">
        <f t="shared" si="55"/>
        <v>1619</v>
      </c>
    </row>
    <row r="184" spans="1:18" ht="16" thickBot="1" x14ac:dyDescent="0.25">
      <c r="B184" s="382"/>
      <c r="C184" s="382" t="s">
        <v>236</v>
      </c>
      <c r="D184" s="382" t="s">
        <v>237</v>
      </c>
      <c r="E184" s="410">
        <v>11105</v>
      </c>
      <c r="F184" s="410">
        <f>+IFERROR(E184/SUM($N$78:$N$80,$N$87),0)</f>
        <v>3701.6666666666665</v>
      </c>
      <c r="H184" s="382" t="str">
        <f>+H183</f>
        <v>Brasil</v>
      </c>
      <c r="I184" s="382" t="s">
        <v>236</v>
      </c>
      <c r="J184" s="399">
        <f t="shared" ref="J184:R184" si="56">+C157*$F184</f>
        <v>14806.666666666666</v>
      </c>
      <c r="K184" s="400">
        <f t="shared" si="56"/>
        <v>14806.666666666666</v>
      </c>
      <c r="L184" s="400">
        <f t="shared" si="56"/>
        <v>14806.666666666666</v>
      </c>
      <c r="M184" s="400">
        <f t="shared" si="56"/>
        <v>14806.666666666666</v>
      </c>
      <c r="N184" s="400">
        <f t="shared" si="56"/>
        <v>14806.666666666666</v>
      </c>
      <c r="O184" s="400">
        <f t="shared" si="56"/>
        <v>14806.666666666666</v>
      </c>
      <c r="P184" s="400">
        <f t="shared" si="56"/>
        <v>14806.666666666666</v>
      </c>
      <c r="Q184" s="400">
        <f t="shared" si="56"/>
        <v>14806.666666666666</v>
      </c>
      <c r="R184" s="401">
        <f t="shared" si="56"/>
        <v>14806.666666666666</v>
      </c>
    </row>
    <row r="185" spans="1:18" x14ac:dyDescent="0.2">
      <c r="B185" s="382" t="s">
        <v>46</v>
      </c>
      <c r="C185" s="381" t="s">
        <v>235</v>
      </c>
      <c r="D185" s="381" t="s">
        <v>154</v>
      </c>
      <c r="E185" s="409">
        <v>0</v>
      </c>
      <c r="F185" s="409"/>
      <c r="H185" s="382" t="s">
        <v>46</v>
      </c>
      <c r="I185" s="381" t="s">
        <v>235</v>
      </c>
      <c r="J185" s="399">
        <f>+E185</f>
        <v>0</v>
      </c>
      <c r="K185" s="400">
        <f>+J185</f>
        <v>0</v>
      </c>
      <c r="L185" s="400">
        <f t="shared" ref="L185:R185" si="57">+K185</f>
        <v>0</v>
      </c>
      <c r="M185" s="400">
        <f t="shared" si="57"/>
        <v>0</v>
      </c>
      <c r="N185" s="400">
        <f t="shared" si="57"/>
        <v>0</v>
      </c>
      <c r="O185" s="400">
        <f t="shared" si="57"/>
        <v>0</v>
      </c>
      <c r="P185" s="400">
        <f t="shared" si="57"/>
        <v>0</v>
      </c>
      <c r="Q185" s="400">
        <f t="shared" si="57"/>
        <v>0</v>
      </c>
      <c r="R185" s="401">
        <f t="shared" si="57"/>
        <v>0</v>
      </c>
    </row>
    <row r="186" spans="1:18" ht="16" thickBot="1" x14ac:dyDescent="0.25">
      <c r="B186" s="382"/>
      <c r="C186" s="382" t="s">
        <v>236</v>
      </c>
      <c r="D186" s="382" t="s">
        <v>237</v>
      </c>
      <c r="E186" s="410">
        <v>50</v>
      </c>
      <c r="F186" s="410">
        <f>+IFERROR(E186/SUM($O$78:$O$80,$O$88),0)</f>
        <v>50</v>
      </c>
      <c r="H186" s="382" t="str">
        <f>+H185</f>
        <v>USA</v>
      </c>
      <c r="I186" s="382" t="s">
        <v>236</v>
      </c>
      <c r="J186" s="399">
        <f t="shared" ref="J186:R186" si="58">+C158*$F186</f>
        <v>50</v>
      </c>
      <c r="K186" s="400">
        <f t="shared" si="58"/>
        <v>50</v>
      </c>
      <c r="L186" s="400">
        <f t="shared" si="58"/>
        <v>50</v>
      </c>
      <c r="M186" s="400">
        <f t="shared" si="58"/>
        <v>50</v>
      </c>
      <c r="N186" s="400">
        <f t="shared" si="58"/>
        <v>50</v>
      </c>
      <c r="O186" s="400">
        <f t="shared" si="58"/>
        <v>50</v>
      </c>
      <c r="P186" s="400">
        <f t="shared" si="58"/>
        <v>50</v>
      </c>
      <c r="Q186" s="400">
        <f t="shared" si="58"/>
        <v>50</v>
      </c>
      <c r="R186" s="401">
        <f t="shared" si="58"/>
        <v>50</v>
      </c>
    </row>
    <row r="187" spans="1:18" x14ac:dyDescent="0.2">
      <c r="B187" s="382" t="s">
        <v>47</v>
      </c>
      <c r="C187" s="381" t="s">
        <v>235</v>
      </c>
      <c r="D187" s="381" t="s">
        <v>154</v>
      </c>
      <c r="E187" s="409">
        <v>0</v>
      </c>
      <c r="F187" s="409"/>
      <c r="H187" s="382" t="s">
        <v>47</v>
      </c>
      <c r="I187" s="381" t="s">
        <v>235</v>
      </c>
      <c r="J187" s="399">
        <f>+E187</f>
        <v>0</v>
      </c>
      <c r="K187" s="400">
        <f>+J187</f>
        <v>0</v>
      </c>
      <c r="L187" s="400">
        <f t="shared" ref="L187:R187" si="59">+K187</f>
        <v>0</v>
      </c>
      <c r="M187" s="400">
        <f t="shared" si="59"/>
        <v>0</v>
      </c>
      <c r="N187" s="400">
        <f t="shared" si="59"/>
        <v>0</v>
      </c>
      <c r="O187" s="400">
        <f t="shared" si="59"/>
        <v>0</v>
      </c>
      <c r="P187" s="400">
        <f t="shared" si="59"/>
        <v>0</v>
      </c>
      <c r="Q187" s="400">
        <f t="shared" si="59"/>
        <v>0</v>
      </c>
      <c r="R187" s="401">
        <f t="shared" si="59"/>
        <v>0</v>
      </c>
    </row>
    <row r="188" spans="1:18" ht="16" thickBot="1" x14ac:dyDescent="0.25">
      <c r="B188" s="383"/>
      <c r="C188" s="383" t="s">
        <v>236</v>
      </c>
      <c r="D188" s="383" t="s">
        <v>237</v>
      </c>
      <c r="E188" s="411">
        <v>0</v>
      </c>
      <c r="F188" s="411">
        <f>+IFERROR(E188/SUM($P$78:$P$80,$P$88),0)</f>
        <v>0</v>
      </c>
      <c r="H188" s="383" t="str">
        <f>+H187</f>
        <v>Otros</v>
      </c>
      <c r="I188" s="383" t="s">
        <v>236</v>
      </c>
      <c r="J188" s="402">
        <f t="shared" ref="J188:R188" si="60">+C159*$F188</f>
        <v>0</v>
      </c>
      <c r="K188" s="403">
        <f t="shared" si="60"/>
        <v>0</v>
      </c>
      <c r="L188" s="403">
        <f t="shared" si="60"/>
        <v>0</v>
      </c>
      <c r="M188" s="403">
        <f t="shared" si="60"/>
        <v>0</v>
      </c>
      <c r="N188" s="403">
        <f t="shared" si="60"/>
        <v>0</v>
      </c>
      <c r="O188" s="403">
        <f t="shared" si="60"/>
        <v>0</v>
      </c>
      <c r="P188" s="403">
        <f t="shared" si="60"/>
        <v>0</v>
      </c>
      <c r="Q188" s="403">
        <f t="shared" si="60"/>
        <v>0</v>
      </c>
      <c r="R188" s="404">
        <f t="shared" si="60"/>
        <v>0</v>
      </c>
    </row>
    <row r="189" spans="1:18" ht="16" thickBot="1" x14ac:dyDescent="0.25">
      <c r="I189" s="405" t="s">
        <v>32</v>
      </c>
      <c r="J189" s="406">
        <f>+SUM(J179:J188)</f>
        <v>75045.095238095237</v>
      </c>
      <c r="K189" s="407">
        <f t="shared" ref="K189:R189" si="61">+SUM(K179:K188)</f>
        <v>75045.095238095237</v>
      </c>
      <c r="L189" s="407">
        <f t="shared" si="61"/>
        <v>75045.095238095237</v>
      </c>
      <c r="M189" s="407">
        <f t="shared" si="61"/>
        <v>75045.095238095237</v>
      </c>
      <c r="N189" s="407">
        <f t="shared" si="61"/>
        <v>75045.095238095237</v>
      </c>
      <c r="O189" s="407">
        <f t="shared" si="61"/>
        <v>75045.095238095237</v>
      </c>
      <c r="P189" s="407">
        <f t="shared" si="61"/>
        <v>75045.095238095237</v>
      </c>
      <c r="Q189" s="407">
        <f t="shared" si="61"/>
        <v>75045.095238095237</v>
      </c>
      <c r="R189" s="408">
        <f t="shared" si="61"/>
        <v>75045.095238095237</v>
      </c>
    </row>
    <row r="191" spans="1:18" s="154" customFormat="1" ht="15" customHeight="1" x14ac:dyDescent="0.2">
      <c r="A191" s="155" t="s">
        <v>238</v>
      </c>
    </row>
    <row r="193" spans="1:18" ht="16" thickBot="1" x14ac:dyDescent="0.25"/>
    <row r="194" spans="1:18" ht="16" thickBot="1" x14ac:dyDescent="0.25">
      <c r="B194" s="395" t="s">
        <v>34</v>
      </c>
      <c r="C194" s="384" t="s">
        <v>239</v>
      </c>
      <c r="D194" s="394" t="s">
        <v>234</v>
      </c>
      <c r="I194" s="394" t="s">
        <v>240</v>
      </c>
      <c r="J194" s="395">
        <v>45777</v>
      </c>
      <c r="K194" s="384">
        <v>45807</v>
      </c>
      <c r="L194" s="384">
        <v>45838</v>
      </c>
      <c r="M194" s="384">
        <v>45868</v>
      </c>
      <c r="N194" s="384">
        <v>45899</v>
      </c>
      <c r="O194" s="384">
        <v>45930</v>
      </c>
      <c r="P194" s="384">
        <v>45960</v>
      </c>
      <c r="Q194" s="384">
        <v>45991</v>
      </c>
      <c r="R194" s="385">
        <v>46021</v>
      </c>
    </row>
    <row r="195" spans="1:18" x14ac:dyDescent="0.2">
      <c r="B195" s="382" t="s">
        <v>41</v>
      </c>
      <c r="C195" s="414">
        <v>7250</v>
      </c>
      <c r="D195" s="410">
        <f>+IFERROR(C195/C155,0)</f>
        <v>131.81818181818181</v>
      </c>
      <c r="I195" s="389" t="s">
        <v>41</v>
      </c>
      <c r="J195" s="399">
        <f t="shared" ref="J195:R199" si="62">+$D195*C155</f>
        <v>7250</v>
      </c>
      <c r="K195" s="400">
        <f>+$D195*D155</f>
        <v>7250</v>
      </c>
      <c r="L195" s="400">
        <f t="shared" si="62"/>
        <v>7250</v>
      </c>
      <c r="M195" s="400">
        <f t="shared" si="62"/>
        <v>7250</v>
      </c>
      <c r="N195" s="400">
        <f t="shared" si="62"/>
        <v>7250</v>
      </c>
      <c r="O195" s="400">
        <f t="shared" si="62"/>
        <v>7250</v>
      </c>
      <c r="P195" s="400">
        <f t="shared" si="62"/>
        <v>7250</v>
      </c>
      <c r="Q195" s="400">
        <f t="shared" si="62"/>
        <v>7250</v>
      </c>
      <c r="R195" s="401">
        <f t="shared" si="62"/>
        <v>7250</v>
      </c>
    </row>
    <row r="196" spans="1:18" x14ac:dyDescent="0.2">
      <c r="B196" s="382" t="s">
        <v>229</v>
      </c>
      <c r="C196" s="414">
        <v>1778.0833333333333</v>
      </c>
      <c r="D196" s="410">
        <f>+IFERROR(C196/C156,0)</f>
        <v>84.67063492063491</v>
      </c>
      <c r="I196" s="389" t="s">
        <v>229</v>
      </c>
      <c r="J196" s="399">
        <f t="shared" si="62"/>
        <v>1778.083333333333</v>
      </c>
      <c r="K196" s="400">
        <f t="shared" si="62"/>
        <v>1778.083333333333</v>
      </c>
      <c r="L196" s="400">
        <f t="shared" si="62"/>
        <v>1778.083333333333</v>
      </c>
      <c r="M196" s="400">
        <f t="shared" si="62"/>
        <v>1778.083333333333</v>
      </c>
      <c r="N196" s="400">
        <f t="shared" si="62"/>
        <v>1778.083333333333</v>
      </c>
      <c r="O196" s="400">
        <f t="shared" si="62"/>
        <v>1778.083333333333</v>
      </c>
      <c r="P196" s="400">
        <f t="shared" si="62"/>
        <v>1778.083333333333</v>
      </c>
      <c r="Q196" s="400">
        <f t="shared" si="62"/>
        <v>1778.083333333333</v>
      </c>
      <c r="R196" s="401">
        <f t="shared" si="62"/>
        <v>1778.083333333333</v>
      </c>
    </row>
    <row r="197" spans="1:18" x14ac:dyDescent="0.2">
      <c r="B197" s="382" t="s">
        <v>45</v>
      </c>
      <c r="C197" s="414">
        <v>6973.5</v>
      </c>
      <c r="D197" s="410">
        <f>+IFERROR(C197/C157,0)</f>
        <v>1743.375</v>
      </c>
      <c r="I197" s="389" t="s">
        <v>45</v>
      </c>
      <c r="J197" s="399">
        <f t="shared" si="62"/>
        <v>6973.5</v>
      </c>
      <c r="K197" s="400">
        <f t="shared" si="62"/>
        <v>6973.5</v>
      </c>
      <c r="L197" s="400">
        <f t="shared" si="62"/>
        <v>6973.5</v>
      </c>
      <c r="M197" s="400">
        <f t="shared" si="62"/>
        <v>6973.5</v>
      </c>
      <c r="N197" s="400">
        <f t="shared" si="62"/>
        <v>6973.5</v>
      </c>
      <c r="O197" s="400">
        <f t="shared" si="62"/>
        <v>6973.5</v>
      </c>
      <c r="P197" s="400">
        <f t="shared" si="62"/>
        <v>6973.5</v>
      </c>
      <c r="Q197" s="400">
        <f t="shared" si="62"/>
        <v>6973.5</v>
      </c>
      <c r="R197" s="401">
        <f t="shared" si="62"/>
        <v>6973.5</v>
      </c>
    </row>
    <row r="198" spans="1:18" x14ac:dyDescent="0.2">
      <c r="B198" s="382" t="s">
        <v>46</v>
      </c>
      <c r="C198" s="414">
        <v>1778.0833333333333</v>
      </c>
      <c r="D198" s="410">
        <f>+IFERROR(C198/C158,0)</f>
        <v>1778.0833333333333</v>
      </c>
      <c r="I198" s="389" t="s">
        <v>46</v>
      </c>
      <c r="J198" s="399">
        <f t="shared" si="62"/>
        <v>1778.0833333333333</v>
      </c>
      <c r="K198" s="400">
        <f t="shared" si="62"/>
        <v>1778.0833333333333</v>
      </c>
      <c r="L198" s="400">
        <f t="shared" si="62"/>
        <v>1778.0833333333333</v>
      </c>
      <c r="M198" s="400">
        <f t="shared" si="62"/>
        <v>1778.0833333333333</v>
      </c>
      <c r="N198" s="400">
        <f t="shared" si="62"/>
        <v>1778.0833333333333</v>
      </c>
      <c r="O198" s="400">
        <f t="shared" si="62"/>
        <v>1778.0833333333333</v>
      </c>
      <c r="P198" s="400">
        <f t="shared" si="62"/>
        <v>1778.0833333333333</v>
      </c>
      <c r="Q198" s="400">
        <f t="shared" si="62"/>
        <v>1778.0833333333333</v>
      </c>
      <c r="R198" s="401">
        <f t="shared" si="62"/>
        <v>1778.0833333333333</v>
      </c>
    </row>
    <row r="199" spans="1:18" ht="16" thickBot="1" x14ac:dyDescent="0.25">
      <c r="B199" s="383" t="s">
        <v>47</v>
      </c>
      <c r="C199" s="414">
        <v>0</v>
      </c>
      <c r="D199" s="411">
        <f>+IFERROR(C199/C159,0)</f>
        <v>0</v>
      </c>
      <c r="I199" s="391" t="s">
        <v>47</v>
      </c>
      <c r="J199" s="399">
        <f t="shared" si="62"/>
        <v>0</v>
      </c>
      <c r="K199" s="400">
        <f t="shared" si="62"/>
        <v>0</v>
      </c>
      <c r="L199" s="400">
        <f t="shared" si="62"/>
        <v>0</v>
      </c>
      <c r="M199" s="400">
        <f t="shared" si="62"/>
        <v>0</v>
      </c>
      <c r="N199" s="400">
        <f t="shared" si="62"/>
        <v>0</v>
      </c>
      <c r="O199" s="400">
        <f t="shared" si="62"/>
        <v>0</v>
      </c>
      <c r="P199" s="400">
        <f t="shared" si="62"/>
        <v>0</v>
      </c>
      <c r="Q199" s="400">
        <f t="shared" si="62"/>
        <v>0</v>
      </c>
      <c r="R199" s="401">
        <f t="shared" si="62"/>
        <v>0</v>
      </c>
    </row>
    <row r="200" spans="1:18" ht="16" thickBot="1" x14ac:dyDescent="0.25">
      <c r="B200" s="396" t="s">
        <v>32</v>
      </c>
      <c r="C200" s="412">
        <f>+SUM(C195:C199)</f>
        <v>17779.666666666668</v>
      </c>
      <c r="F200" s="413"/>
      <c r="I200" s="405" t="s">
        <v>32</v>
      </c>
      <c r="J200" s="406">
        <f>+SUM(J195:J199)</f>
        <v>17779.666666666664</v>
      </c>
      <c r="K200" s="407">
        <f t="shared" ref="K200:R200" si="63">+SUM(K195:K199)</f>
        <v>17779.666666666664</v>
      </c>
      <c r="L200" s="407">
        <f t="shared" si="63"/>
        <v>17779.666666666664</v>
      </c>
      <c r="M200" s="407">
        <f t="shared" si="63"/>
        <v>17779.666666666664</v>
      </c>
      <c r="N200" s="407">
        <f t="shared" si="63"/>
        <v>17779.666666666664</v>
      </c>
      <c r="O200" s="407">
        <f t="shared" si="63"/>
        <v>17779.666666666664</v>
      </c>
      <c r="P200" s="407">
        <f t="shared" si="63"/>
        <v>17779.666666666664</v>
      </c>
      <c r="Q200" s="407">
        <f t="shared" si="63"/>
        <v>17779.666666666664</v>
      </c>
      <c r="R200" s="408">
        <f t="shared" si="63"/>
        <v>17779.666666666664</v>
      </c>
    </row>
    <row r="201" spans="1:18" x14ac:dyDescent="0.2">
      <c r="F201" s="413"/>
    </row>
    <row r="203" spans="1:18" s="154" customFormat="1" ht="15" customHeight="1" x14ac:dyDescent="0.2">
      <c r="A203" s="155" t="s">
        <v>241</v>
      </c>
    </row>
    <row r="205" spans="1:18" ht="16" thickBot="1" x14ac:dyDescent="0.25"/>
    <row r="206" spans="1:18" ht="16" thickBot="1" x14ac:dyDescent="0.25">
      <c r="I206" s="394" t="s">
        <v>240</v>
      </c>
      <c r="J206" s="395">
        <v>45777</v>
      </c>
      <c r="K206" s="384">
        <v>45807</v>
      </c>
      <c r="L206" s="384">
        <v>45838</v>
      </c>
      <c r="M206" s="384">
        <v>45868</v>
      </c>
      <c r="N206" s="384">
        <v>45899</v>
      </c>
      <c r="O206" s="384">
        <v>45930</v>
      </c>
      <c r="P206" s="384">
        <v>45960</v>
      </c>
      <c r="Q206" s="384">
        <v>45991</v>
      </c>
      <c r="R206" s="385">
        <v>46021</v>
      </c>
    </row>
    <row r="207" spans="1:18" x14ac:dyDescent="0.2">
      <c r="I207" s="389" t="s">
        <v>41</v>
      </c>
      <c r="J207" s="399">
        <f t="shared" ref="J207:R211" si="64">+$D207*C167</f>
        <v>0</v>
      </c>
      <c r="K207" s="400">
        <f t="shared" si="64"/>
        <v>0</v>
      </c>
      <c r="L207" s="400">
        <f t="shared" si="64"/>
        <v>0</v>
      </c>
      <c r="M207" s="400">
        <f t="shared" si="64"/>
        <v>0</v>
      </c>
      <c r="N207" s="400">
        <f t="shared" si="64"/>
        <v>0</v>
      </c>
      <c r="O207" s="400">
        <f t="shared" si="64"/>
        <v>0</v>
      </c>
      <c r="P207" s="400">
        <f t="shared" si="64"/>
        <v>0</v>
      </c>
      <c r="Q207" s="400">
        <f t="shared" si="64"/>
        <v>0</v>
      </c>
      <c r="R207" s="401">
        <f t="shared" si="64"/>
        <v>0</v>
      </c>
    </row>
    <row r="208" spans="1:18" x14ac:dyDescent="0.2">
      <c r="I208" s="389" t="s">
        <v>229</v>
      </c>
      <c r="J208" s="399">
        <f t="shared" si="64"/>
        <v>0</v>
      </c>
      <c r="K208" s="400">
        <f t="shared" si="64"/>
        <v>0</v>
      </c>
      <c r="L208" s="400">
        <f t="shared" si="64"/>
        <v>0</v>
      </c>
      <c r="M208" s="400">
        <f t="shared" si="64"/>
        <v>0</v>
      </c>
      <c r="N208" s="400">
        <f t="shared" si="64"/>
        <v>0</v>
      </c>
      <c r="O208" s="400">
        <f t="shared" si="64"/>
        <v>0</v>
      </c>
      <c r="P208" s="400">
        <f t="shared" si="64"/>
        <v>0</v>
      </c>
      <c r="Q208" s="400">
        <f t="shared" si="64"/>
        <v>0</v>
      </c>
      <c r="R208" s="401">
        <f t="shared" si="64"/>
        <v>0</v>
      </c>
    </row>
    <row r="209" spans="1:18" x14ac:dyDescent="0.2">
      <c r="I209" s="389" t="s">
        <v>45</v>
      </c>
      <c r="J209" s="399">
        <f t="shared" si="64"/>
        <v>0</v>
      </c>
      <c r="K209" s="400">
        <f t="shared" si="64"/>
        <v>0</v>
      </c>
      <c r="L209" s="400">
        <f t="shared" si="64"/>
        <v>0</v>
      </c>
      <c r="M209" s="400">
        <f t="shared" si="64"/>
        <v>0</v>
      </c>
      <c r="N209" s="400">
        <f t="shared" si="64"/>
        <v>0</v>
      </c>
      <c r="O209" s="400">
        <f t="shared" si="64"/>
        <v>0</v>
      </c>
      <c r="P209" s="400">
        <f t="shared" si="64"/>
        <v>0</v>
      </c>
      <c r="Q209" s="400">
        <f t="shared" si="64"/>
        <v>0</v>
      </c>
      <c r="R209" s="401">
        <f t="shared" si="64"/>
        <v>0</v>
      </c>
    </row>
    <row r="210" spans="1:18" x14ac:dyDescent="0.2">
      <c r="I210" s="389" t="s">
        <v>46</v>
      </c>
      <c r="J210" s="399">
        <f t="shared" si="64"/>
        <v>0</v>
      </c>
      <c r="K210" s="400">
        <f t="shared" si="64"/>
        <v>0</v>
      </c>
      <c r="L210" s="400">
        <f t="shared" si="64"/>
        <v>0</v>
      </c>
      <c r="M210" s="400">
        <f t="shared" si="64"/>
        <v>0</v>
      </c>
      <c r="N210" s="400">
        <f t="shared" si="64"/>
        <v>0</v>
      </c>
      <c r="O210" s="400">
        <f t="shared" si="64"/>
        <v>0</v>
      </c>
      <c r="P210" s="400">
        <f t="shared" si="64"/>
        <v>0</v>
      </c>
      <c r="Q210" s="400">
        <f t="shared" si="64"/>
        <v>0</v>
      </c>
      <c r="R210" s="401">
        <f t="shared" si="64"/>
        <v>0</v>
      </c>
    </row>
    <row r="211" spans="1:18" ht="16" thickBot="1" x14ac:dyDescent="0.25">
      <c r="I211" s="391" t="s">
        <v>47</v>
      </c>
      <c r="J211" s="399">
        <f t="shared" si="64"/>
        <v>0</v>
      </c>
      <c r="K211" s="400">
        <f t="shared" si="64"/>
        <v>0</v>
      </c>
      <c r="L211" s="400">
        <f t="shared" si="64"/>
        <v>0</v>
      </c>
      <c r="M211" s="400">
        <f t="shared" si="64"/>
        <v>0</v>
      </c>
      <c r="N211" s="400">
        <f t="shared" si="64"/>
        <v>0</v>
      </c>
      <c r="O211" s="400">
        <f t="shared" si="64"/>
        <v>0</v>
      </c>
      <c r="P211" s="400">
        <f t="shared" si="64"/>
        <v>0</v>
      </c>
      <c r="Q211" s="400">
        <f t="shared" si="64"/>
        <v>0</v>
      </c>
      <c r="R211" s="401">
        <f t="shared" si="64"/>
        <v>0</v>
      </c>
    </row>
    <row r="212" spans="1:18" ht="16" thickBot="1" x14ac:dyDescent="0.25">
      <c r="I212" s="405" t="s">
        <v>32</v>
      </c>
      <c r="J212" s="406">
        <f>+SUM(J207:J211)</f>
        <v>0</v>
      </c>
      <c r="K212" s="407">
        <f t="shared" ref="K212" si="65">+SUM(K207:K211)</f>
        <v>0</v>
      </c>
      <c r="L212" s="407">
        <f t="shared" ref="L212" si="66">+SUM(L207:L211)</f>
        <v>0</v>
      </c>
      <c r="M212" s="407">
        <f t="shared" ref="M212" si="67">+SUM(M207:M211)</f>
        <v>0</v>
      </c>
      <c r="N212" s="407">
        <f t="shared" ref="N212" si="68">+SUM(N207:N211)</f>
        <v>0</v>
      </c>
      <c r="O212" s="407">
        <f t="shared" ref="O212" si="69">+SUM(O207:O211)</f>
        <v>0</v>
      </c>
      <c r="P212" s="407">
        <f t="shared" ref="P212" si="70">+SUM(P207:P211)</f>
        <v>0</v>
      </c>
      <c r="Q212" s="407">
        <f t="shared" ref="Q212" si="71">+SUM(Q207:Q211)</f>
        <v>0</v>
      </c>
      <c r="R212" s="408">
        <f t="shared" ref="R212" si="72">+SUM(R207:R211)</f>
        <v>0</v>
      </c>
    </row>
    <row r="216" spans="1:18" s="154" customFormat="1" ht="15" customHeight="1" x14ac:dyDescent="0.2">
      <c r="A216" s="155" t="s">
        <v>242</v>
      </c>
    </row>
    <row r="217" spans="1:18" ht="16" thickBot="1" x14ac:dyDescent="0.25"/>
    <row r="218" spans="1:18" ht="16" thickBot="1" x14ac:dyDescent="0.25">
      <c r="B218" s="395" t="s">
        <v>34</v>
      </c>
      <c r="C218" s="394" t="s">
        <v>35</v>
      </c>
      <c r="D218" s="394" t="s">
        <v>36</v>
      </c>
      <c r="E218" s="426" t="s">
        <v>37</v>
      </c>
      <c r="F218" s="394" t="s">
        <v>38</v>
      </c>
    </row>
    <row r="219" spans="1:18" x14ac:dyDescent="0.2">
      <c r="B219" s="381" t="s">
        <v>41</v>
      </c>
      <c r="C219" s="444" t="s">
        <v>243</v>
      </c>
      <c r="D219" s="205">
        <v>2000</v>
      </c>
      <c r="E219" s="540">
        <v>45777</v>
      </c>
      <c r="F219" s="206">
        <f>+Dashboard!CW11</f>
        <v>1</v>
      </c>
    </row>
    <row r="220" spans="1:18" x14ac:dyDescent="0.2">
      <c r="B220" s="382" t="str">
        <f>+B219</f>
        <v>Chile</v>
      </c>
      <c r="C220" s="83" t="s">
        <v>244</v>
      </c>
      <c r="D220" s="207">
        <v>9000</v>
      </c>
      <c r="E220" s="541">
        <v>45777</v>
      </c>
      <c r="F220" s="208">
        <f>+Dashboard!CW12</f>
        <v>1</v>
      </c>
    </row>
    <row r="221" spans="1:18" x14ac:dyDescent="0.2">
      <c r="B221" s="382" t="str">
        <f>+B220</f>
        <v>Chile</v>
      </c>
      <c r="C221" s="83" t="s">
        <v>245</v>
      </c>
      <c r="D221" s="207">
        <v>1000</v>
      </c>
      <c r="E221" s="541">
        <v>45960</v>
      </c>
      <c r="F221" s="208">
        <f>+Dashboard!CW13</f>
        <v>1</v>
      </c>
    </row>
    <row r="222" spans="1:18" ht="16" thickBot="1" x14ac:dyDescent="0.25">
      <c r="B222" s="382" t="str">
        <f t="shared" ref="B222:B223" si="73">+B221</f>
        <v>Chile</v>
      </c>
      <c r="C222" s="83" t="s">
        <v>246</v>
      </c>
      <c r="D222" s="207">
        <v>13000</v>
      </c>
      <c r="E222" s="541">
        <v>45960</v>
      </c>
      <c r="F222" s="208">
        <f>+Dashboard!CW13</f>
        <v>1</v>
      </c>
    </row>
    <row r="223" spans="1:18" ht="16" thickBot="1" x14ac:dyDescent="0.25">
      <c r="B223" s="383" t="str">
        <f t="shared" si="73"/>
        <v>Chile</v>
      </c>
      <c r="C223" s="445" t="s">
        <v>247</v>
      </c>
      <c r="D223" s="209">
        <v>10000</v>
      </c>
      <c r="E223" s="541">
        <v>45868</v>
      </c>
      <c r="F223" s="210">
        <f>+Dashboard!CW15</f>
        <v>1</v>
      </c>
      <c r="I223" s="394" t="s">
        <v>240</v>
      </c>
      <c r="J223" s="238">
        <v>45777</v>
      </c>
      <c r="K223" s="226">
        <v>45807</v>
      </c>
      <c r="L223" s="226">
        <v>45838</v>
      </c>
      <c r="M223" s="226">
        <v>45868</v>
      </c>
      <c r="N223" s="226">
        <v>45899</v>
      </c>
      <c r="O223" s="226">
        <v>45930</v>
      </c>
      <c r="P223" s="226">
        <v>45960</v>
      </c>
      <c r="Q223" s="226">
        <v>45991</v>
      </c>
      <c r="R223" s="227">
        <v>46021</v>
      </c>
    </row>
    <row r="224" spans="1:18" x14ac:dyDescent="0.2">
      <c r="B224" s="382" t="s">
        <v>44</v>
      </c>
      <c r="C224" s="83" t="s">
        <v>248</v>
      </c>
      <c r="D224" s="207">
        <v>15000</v>
      </c>
      <c r="E224" s="540">
        <v>45777</v>
      </c>
      <c r="F224" s="208">
        <f>+Dashboard!CW16</f>
        <v>1</v>
      </c>
      <c r="I224" s="389" t="s">
        <v>41</v>
      </c>
      <c r="J224" s="425">
        <f t="shared" ref="J224:R224" si="74">+SUMIFS($D$219:$D$239,$E$219:$E$239,J$223,$B$219:$B$239,$I224)*$F219</f>
        <v>11000</v>
      </c>
      <c r="K224" s="429">
        <f t="shared" si="74"/>
        <v>0</v>
      </c>
      <c r="L224" s="429">
        <f t="shared" si="74"/>
        <v>0</v>
      </c>
      <c r="M224" s="429">
        <f t="shared" si="74"/>
        <v>10000</v>
      </c>
      <c r="N224" s="429">
        <f t="shared" si="74"/>
        <v>0</v>
      </c>
      <c r="O224" s="429">
        <f t="shared" si="74"/>
        <v>0</v>
      </c>
      <c r="P224" s="429">
        <f t="shared" si="74"/>
        <v>14000</v>
      </c>
      <c r="Q224" s="429">
        <f t="shared" si="74"/>
        <v>0</v>
      </c>
      <c r="R224" s="430">
        <f t="shared" si="74"/>
        <v>0</v>
      </c>
    </row>
    <row r="225" spans="2:18" x14ac:dyDescent="0.2">
      <c r="B225" s="382" t="str">
        <f>+B224</f>
        <v>Perú</v>
      </c>
      <c r="C225" s="83"/>
      <c r="D225" s="207"/>
      <c r="E225" s="541"/>
      <c r="F225" s="208">
        <f>+Dashboard!CW17</f>
        <v>1</v>
      </c>
      <c r="I225" s="389" t="s">
        <v>229</v>
      </c>
      <c r="J225" s="399">
        <f t="shared" ref="J225:R225" si="75">+SUMIFS($D$219:$D$239,$E$219:$E$239,J$223,$B$219:$B$239,$I225)*$F220</f>
        <v>0</v>
      </c>
      <c r="K225" s="400">
        <f t="shared" si="75"/>
        <v>0</v>
      </c>
      <c r="L225" s="400">
        <f t="shared" si="75"/>
        <v>0</v>
      </c>
      <c r="M225" s="400">
        <f t="shared" si="75"/>
        <v>0</v>
      </c>
      <c r="N225" s="400">
        <f t="shared" si="75"/>
        <v>0</v>
      </c>
      <c r="O225" s="400">
        <f t="shared" si="75"/>
        <v>0</v>
      </c>
      <c r="P225" s="400">
        <f t="shared" si="75"/>
        <v>0</v>
      </c>
      <c r="Q225" s="400">
        <f t="shared" si="75"/>
        <v>0</v>
      </c>
      <c r="R225" s="401">
        <f t="shared" si="75"/>
        <v>0</v>
      </c>
    </row>
    <row r="226" spans="2:18" x14ac:dyDescent="0.2">
      <c r="B226" s="382" t="str">
        <f t="shared" ref="B226:B227" si="76">+B225</f>
        <v>Perú</v>
      </c>
      <c r="C226" s="83"/>
      <c r="D226" s="207"/>
      <c r="E226" s="541"/>
      <c r="F226" s="208">
        <f>+Dashboard!CW18</f>
        <v>1</v>
      </c>
      <c r="I226" s="389" t="s">
        <v>45</v>
      </c>
      <c r="J226" s="399">
        <f t="shared" ref="J226:R226" si="77">+SUMIFS($D$219:$D$239,$E$219:$E$239,J$223,$B$219:$B$239,$I226)*$F222</f>
        <v>0</v>
      </c>
      <c r="K226" s="400">
        <f t="shared" si="77"/>
        <v>0</v>
      </c>
      <c r="L226" s="400">
        <f t="shared" si="77"/>
        <v>0</v>
      </c>
      <c r="M226" s="400">
        <f t="shared" si="77"/>
        <v>25000</v>
      </c>
      <c r="N226" s="400">
        <f t="shared" si="77"/>
        <v>0</v>
      </c>
      <c r="O226" s="400">
        <f t="shared" si="77"/>
        <v>0</v>
      </c>
      <c r="P226" s="400">
        <f t="shared" si="77"/>
        <v>0</v>
      </c>
      <c r="Q226" s="400">
        <f t="shared" si="77"/>
        <v>0</v>
      </c>
      <c r="R226" s="401">
        <f t="shared" si="77"/>
        <v>0</v>
      </c>
    </row>
    <row r="227" spans="2:18" ht="16" thickBot="1" x14ac:dyDescent="0.25">
      <c r="B227" s="383" t="str">
        <f t="shared" si="76"/>
        <v>Perú</v>
      </c>
      <c r="C227" s="445"/>
      <c r="D227" s="209"/>
      <c r="E227" s="542"/>
      <c r="F227" s="210">
        <f>+Dashboard!CW19</f>
        <v>1</v>
      </c>
      <c r="I227" s="389" t="s">
        <v>46</v>
      </c>
      <c r="J227" s="399">
        <f t="shared" ref="J227:R227" si="78">+SUMIFS($D$219:$D$239,$E$219:$E$239,J$223,$B$219:$B$239,$I227)*$F223</f>
        <v>0</v>
      </c>
      <c r="K227" s="400">
        <f t="shared" si="78"/>
        <v>0</v>
      </c>
      <c r="L227" s="400">
        <f t="shared" si="78"/>
        <v>19500</v>
      </c>
      <c r="M227" s="400">
        <f t="shared" si="78"/>
        <v>0</v>
      </c>
      <c r="N227" s="400">
        <f t="shared" si="78"/>
        <v>0</v>
      </c>
      <c r="O227" s="400">
        <f t="shared" si="78"/>
        <v>0</v>
      </c>
      <c r="P227" s="400">
        <f t="shared" si="78"/>
        <v>0</v>
      </c>
      <c r="Q227" s="400">
        <f t="shared" si="78"/>
        <v>0</v>
      </c>
      <c r="R227" s="401">
        <f t="shared" si="78"/>
        <v>0</v>
      </c>
    </row>
    <row r="228" spans="2:18" ht="16" thickBot="1" x14ac:dyDescent="0.25">
      <c r="B228" s="382" t="s">
        <v>45</v>
      </c>
      <c r="C228" s="83" t="s">
        <v>249</v>
      </c>
      <c r="D228" s="83">
        <v>20000</v>
      </c>
      <c r="E228" s="540">
        <v>45868</v>
      </c>
      <c r="F228" s="208">
        <f>+Dashboard!CW20</f>
        <v>1</v>
      </c>
      <c r="I228" s="391" t="s">
        <v>47</v>
      </c>
      <c r="J228" s="402">
        <f t="shared" ref="J228:R228" si="79">+SUMIFS($D$219:$D$239,$E$219:$E$239,J$223,$B$219:$B$239,$I228)*$F224</f>
        <v>0</v>
      </c>
      <c r="K228" s="403">
        <f t="shared" si="79"/>
        <v>0</v>
      </c>
      <c r="L228" s="403">
        <f t="shared" si="79"/>
        <v>0</v>
      </c>
      <c r="M228" s="403">
        <f t="shared" si="79"/>
        <v>0</v>
      </c>
      <c r="N228" s="403">
        <f t="shared" si="79"/>
        <v>0</v>
      </c>
      <c r="O228" s="403">
        <f t="shared" si="79"/>
        <v>0</v>
      </c>
      <c r="P228" s="403">
        <f t="shared" si="79"/>
        <v>0</v>
      </c>
      <c r="Q228" s="403">
        <f t="shared" si="79"/>
        <v>0</v>
      </c>
      <c r="R228" s="404">
        <f t="shared" si="79"/>
        <v>0</v>
      </c>
    </row>
    <row r="229" spans="2:18" ht="16" thickBot="1" x14ac:dyDescent="0.25">
      <c r="B229" s="382" t="str">
        <f>+B228</f>
        <v>Brasil</v>
      </c>
      <c r="C229" s="83" t="s">
        <v>250</v>
      </c>
      <c r="D229" s="83">
        <v>5000</v>
      </c>
      <c r="E229" s="541">
        <v>45868</v>
      </c>
      <c r="F229" s="208">
        <f>+Dashboard!CW21</f>
        <v>1</v>
      </c>
      <c r="I229" s="405" t="s">
        <v>32</v>
      </c>
      <c r="J229" s="402">
        <f>+SUM(J224:J228)</f>
        <v>11000</v>
      </c>
      <c r="K229" s="403">
        <f t="shared" ref="K229" si="80">+SUM(K224:K228)</f>
        <v>0</v>
      </c>
      <c r="L229" s="403">
        <f t="shared" ref="L229" si="81">+SUM(L224:L228)</f>
        <v>19500</v>
      </c>
      <c r="M229" s="403">
        <f t="shared" ref="M229" si="82">+SUM(M224:M228)</f>
        <v>35000</v>
      </c>
      <c r="N229" s="403">
        <f t="shared" ref="N229" si="83">+SUM(N224:N228)</f>
        <v>0</v>
      </c>
      <c r="O229" s="403">
        <f t="shared" ref="O229" si="84">+SUM(O224:O228)</f>
        <v>0</v>
      </c>
      <c r="P229" s="403">
        <f t="shared" ref="P229" si="85">+SUM(P224:P228)</f>
        <v>14000</v>
      </c>
      <c r="Q229" s="403">
        <f t="shared" ref="Q229" si="86">+SUM(Q224:Q228)</f>
        <v>0</v>
      </c>
      <c r="R229" s="404">
        <f t="shared" ref="R229" si="87">+SUM(R224:R228)</f>
        <v>0</v>
      </c>
    </row>
    <row r="230" spans="2:18" x14ac:dyDescent="0.2">
      <c r="B230" s="382" t="str">
        <f t="shared" ref="B230:B231" si="88">+B229</f>
        <v>Brasil</v>
      </c>
      <c r="C230" s="83"/>
      <c r="D230" s="83"/>
      <c r="E230" s="541"/>
      <c r="F230" s="208">
        <f>+Dashboard!CW22</f>
        <v>1</v>
      </c>
    </row>
    <row r="231" spans="2:18" ht="16" thickBot="1" x14ac:dyDescent="0.25">
      <c r="B231" s="383" t="str">
        <f t="shared" si="88"/>
        <v>Brasil</v>
      </c>
      <c r="C231" s="445"/>
      <c r="D231" s="445"/>
      <c r="E231" s="542"/>
      <c r="F231" s="210">
        <f>+Dashboard!CW23</f>
        <v>1</v>
      </c>
    </row>
    <row r="232" spans="2:18" x14ac:dyDescent="0.2">
      <c r="B232" s="382" t="s">
        <v>46</v>
      </c>
      <c r="C232" s="83" t="s">
        <v>251</v>
      </c>
      <c r="D232" s="83">
        <v>19500</v>
      </c>
      <c r="E232" s="540">
        <v>45838</v>
      </c>
      <c r="F232" s="208">
        <f>+Dashboard!CW24</f>
        <v>1</v>
      </c>
    </row>
    <row r="233" spans="2:18" x14ac:dyDescent="0.2">
      <c r="B233" s="382" t="str">
        <f>+B232</f>
        <v>USA</v>
      </c>
      <c r="C233" s="83"/>
      <c r="D233" s="83"/>
      <c r="E233" s="541"/>
      <c r="F233" s="208">
        <f>+Dashboard!CW25</f>
        <v>1</v>
      </c>
    </row>
    <row r="234" spans="2:18" x14ac:dyDescent="0.2">
      <c r="B234" s="382" t="str">
        <f t="shared" ref="B234:B235" si="89">+B233</f>
        <v>USA</v>
      </c>
      <c r="C234" s="83"/>
      <c r="D234" s="83"/>
      <c r="E234" s="541"/>
      <c r="F234" s="208">
        <f>+Dashboard!CW26</f>
        <v>1</v>
      </c>
    </row>
    <row r="235" spans="2:18" ht="16" thickBot="1" x14ac:dyDescent="0.25">
      <c r="B235" s="383" t="str">
        <f t="shared" si="89"/>
        <v>USA</v>
      </c>
      <c r="C235" s="445"/>
      <c r="D235" s="445"/>
      <c r="E235" s="542"/>
      <c r="F235" s="210">
        <f>+Dashboard!CW27</f>
        <v>1</v>
      </c>
    </row>
    <row r="236" spans="2:18" x14ac:dyDescent="0.2">
      <c r="B236" s="382" t="s">
        <v>47</v>
      </c>
      <c r="C236" s="83"/>
      <c r="D236" s="83"/>
      <c r="E236" s="540"/>
      <c r="F236" s="208">
        <f>+Dashboard!CW28</f>
        <v>1</v>
      </c>
    </row>
    <row r="237" spans="2:18" x14ac:dyDescent="0.2">
      <c r="B237" s="382" t="str">
        <f>+B236</f>
        <v>Otros</v>
      </c>
      <c r="C237" s="83"/>
      <c r="D237" s="83"/>
      <c r="E237" s="541"/>
      <c r="F237" s="208">
        <f>+Dashboard!CW29</f>
        <v>1</v>
      </c>
    </row>
    <row r="238" spans="2:18" x14ac:dyDescent="0.2">
      <c r="B238" s="382" t="str">
        <f t="shared" ref="B238:B239" si="90">+B237</f>
        <v>Otros</v>
      </c>
      <c r="C238" s="83"/>
      <c r="D238" s="83"/>
      <c r="E238" s="541"/>
      <c r="F238" s="208">
        <f>+Dashboard!CW30</f>
        <v>1</v>
      </c>
    </row>
    <row r="239" spans="2:18" ht="16" thickBot="1" x14ac:dyDescent="0.25">
      <c r="B239" s="383" t="str">
        <f t="shared" si="90"/>
        <v>Otros</v>
      </c>
      <c r="C239" s="445"/>
      <c r="D239" s="445"/>
      <c r="E239" s="542"/>
      <c r="F239" s="210">
        <f>+Dashboard!CW31</f>
        <v>1</v>
      </c>
    </row>
    <row r="241" spans="1:13" s="154" customFormat="1" ht="15" customHeight="1" x14ac:dyDescent="0.2">
      <c r="A241" s="155" t="s">
        <v>252</v>
      </c>
    </row>
    <row r="243" spans="1:13" ht="16" thickBot="1" x14ac:dyDescent="0.25">
      <c r="B243" t="s">
        <v>253</v>
      </c>
    </row>
    <row r="244" spans="1:13" ht="16" thickBot="1" x14ac:dyDescent="0.25">
      <c r="B244" s="394" t="s">
        <v>240</v>
      </c>
      <c r="C244" s="395">
        <v>45777</v>
      </c>
      <c r="D244" s="384">
        <v>45807</v>
      </c>
      <c r="E244" s="384">
        <v>45838</v>
      </c>
      <c r="F244" s="384">
        <v>45868</v>
      </c>
      <c r="G244" s="384">
        <v>45899</v>
      </c>
      <c r="H244" s="384">
        <v>45930</v>
      </c>
      <c r="I244" s="384">
        <v>45960</v>
      </c>
      <c r="J244" s="384">
        <v>45991</v>
      </c>
      <c r="K244" s="385">
        <v>46021</v>
      </c>
    </row>
    <row r="245" spans="1:13" x14ac:dyDescent="0.2">
      <c r="B245" s="389" t="s">
        <v>41</v>
      </c>
      <c r="C245" s="399"/>
      <c r="D245" s="400"/>
      <c r="E245" s="400"/>
      <c r="F245" s="400"/>
      <c r="G245" s="400"/>
      <c r="H245" s="400">
        <v>20000</v>
      </c>
      <c r="I245" s="400"/>
      <c r="J245" s="400"/>
      <c r="K245" s="401">
        <v>20000</v>
      </c>
    </row>
    <row r="246" spans="1:13" x14ac:dyDescent="0.2">
      <c r="B246" s="389" t="s">
        <v>229</v>
      </c>
      <c r="C246" s="399"/>
      <c r="D246" s="449"/>
      <c r="E246" s="450"/>
      <c r="F246" s="450"/>
      <c r="G246" s="400"/>
      <c r="I246" s="400"/>
      <c r="J246" s="450">
        <f>+D246</f>
        <v>0</v>
      </c>
      <c r="K246" s="452">
        <f>+F246</f>
        <v>0</v>
      </c>
      <c r="L246" s="446"/>
      <c r="M246" s="446"/>
    </row>
    <row r="247" spans="1:13" x14ac:dyDescent="0.2">
      <c r="B247" s="389" t="s">
        <v>45</v>
      </c>
      <c r="C247" s="399"/>
      <c r="D247" s="400"/>
      <c r="E247" s="400"/>
      <c r="F247" s="400"/>
      <c r="G247" s="400"/>
      <c r="H247" s="400"/>
      <c r="I247" s="400"/>
      <c r="J247" s="400"/>
      <c r="K247" s="401">
        <v>5000</v>
      </c>
      <c r="L247" s="446"/>
      <c r="M247" s="446"/>
    </row>
    <row r="248" spans="1:13" x14ac:dyDescent="0.2">
      <c r="B248" s="389" t="s">
        <v>46</v>
      </c>
      <c r="C248" s="399"/>
      <c r="D248" s="400"/>
      <c r="E248" s="400"/>
      <c r="F248" s="400"/>
      <c r="G248" s="400"/>
      <c r="H248" s="400"/>
      <c r="I248" s="400"/>
      <c r="J248" s="400"/>
      <c r="K248" s="401">
        <v>5000</v>
      </c>
    </row>
    <row r="249" spans="1:13" ht="16" thickBot="1" x14ac:dyDescent="0.25">
      <c r="B249" s="391" t="s">
        <v>47</v>
      </c>
      <c r="C249" s="399"/>
      <c r="D249" s="400"/>
      <c r="E249" s="400"/>
      <c r="F249" s="400"/>
      <c r="G249" s="400"/>
      <c r="H249" s="400"/>
      <c r="I249" s="400"/>
      <c r="J249" s="400"/>
      <c r="K249" s="401">
        <v>0</v>
      </c>
    </row>
    <row r="250" spans="1:13" ht="16" thickBot="1" x14ac:dyDescent="0.25">
      <c r="B250" s="405" t="s">
        <v>32</v>
      </c>
      <c r="C250" s="406">
        <f>+SUM(C245:C249)</f>
        <v>0</v>
      </c>
      <c r="D250" s="407">
        <f t="shared" ref="D250" si="91">+SUM(D245:D249)</f>
        <v>0</v>
      </c>
      <c r="E250" s="407">
        <f t="shared" ref="E250" si="92">+SUM(E245:E249)</f>
        <v>0</v>
      </c>
      <c r="F250" s="407">
        <f t="shared" ref="F250" si="93">+SUM(F245:F249)</f>
        <v>0</v>
      </c>
      <c r="G250" s="407">
        <f t="shared" ref="G250" si="94">+SUM(G245:G249)</f>
        <v>0</v>
      </c>
      <c r="H250" s="407">
        <f t="shared" ref="H250" si="95">+SUM(H245:H249)</f>
        <v>20000</v>
      </c>
      <c r="I250" s="407">
        <f t="shared" ref="I250" si="96">+SUM(I245:I249)</f>
        <v>0</v>
      </c>
      <c r="J250" s="407">
        <f t="shared" ref="J250" si="97">+SUM(J245:J249)</f>
        <v>0</v>
      </c>
      <c r="K250" s="408">
        <f t="shared" ref="K250" si="98">+SUM(K245:K249)</f>
        <v>30000</v>
      </c>
    </row>
    <row r="258" spans="1:11" s="154" customFormat="1" ht="15" customHeight="1" x14ac:dyDescent="0.2">
      <c r="A258" s="155" t="s">
        <v>47</v>
      </c>
    </row>
    <row r="260" spans="1:11" ht="16" thickBot="1" x14ac:dyDescent="0.25">
      <c r="B260" t="s">
        <v>32</v>
      </c>
    </row>
    <row r="261" spans="1:11" ht="16" thickBot="1" x14ac:dyDescent="0.25">
      <c r="B261" s="394" t="s">
        <v>240</v>
      </c>
      <c r="C261" s="395">
        <v>45777</v>
      </c>
      <c r="D261" s="384">
        <v>45807</v>
      </c>
      <c r="E261" s="384">
        <v>45838</v>
      </c>
      <c r="F261" s="384">
        <v>45868</v>
      </c>
      <c r="G261" s="384">
        <v>45899</v>
      </c>
      <c r="H261" s="384">
        <v>45930</v>
      </c>
      <c r="I261" s="384">
        <v>45960</v>
      </c>
      <c r="J261" s="384">
        <v>45991</v>
      </c>
      <c r="K261" s="385">
        <v>46021</v>
      </c>
    </row>
    <row r="262" spans="1:11" x14ac:dyDescent="0.2">
      <c r="B262" s="431" t="s">
        <v>41</v>
      </c>
      <c r="C262" s="434">
        <f t="shared" ref="C262:K266" si="99">+SUMIFS(C$271:C$1048576,$B$271:$B$1048576,$B262)</f>
        <v>44613.636363636368</v>
      </c>
      <c r="D262" s="435">
        <f t="shared" si="99"/>
        <v>27454.545454545456</v>
      </c>
      <c r="E262" s="435">
        <f t="shared" si="99"/>
        <v>24690.909090909092</v>
      </c>
      <c r="F262" s="435">
        <f t="shared" si="99"/>
        <v>34986.36363636364</v>
      </c>
      <c r="G262" s="435">
        <f t="shared" si="99"/>
        <v>27454.545454545456</v>
      </c>
      <c r="H262" s="435">
        <f t="shared" si="99"/>
        <v>24022.727272727272</v>
      </c>
      <c r="I262" s="435">
        <f t="shared" si="99"/>
        <v>17159.090909090912</v>
      </c>
      <c r="J262" s="435">
        <f t="shared" si="99"/>
        <v>17159.090909090912</v>
      </c>
      <c r="K262" s="436">
        <f t="shared" si="99"/>
        <v>13727.272727272728</v>
      </c>
    </row>
    <row r="263" spans="1:11" x14ac:dyDescent="0.2">
      <c r="B263" s="431" t="s">
        <v>229</v>
      </c>
      <c r="C263" s="437">
        <f t="shared" si="99"/>
        <v>20590.909090909092</v>
      </c>
      <c r="D263" s="438">
        <f t="shared" si="99"/>
        <v>44108.409090909088</v>
      </c>
      <c r="E263" s="438">
        <f t="shared" si="99"/>
        <v>39022.727272727272</v>
      </c>
      <c r="F263" s="438">
        <f t="shared" si="99"/>
        <v>99782</v>
      </c>
      <c r="G263" s="438">
        <f t="shared" si="99"/>
        <v>37750</v>
      </c>
      <c r="H263" s="438">
        <f t="shared" si="99"/>
        <v>24022.727272727272</v>
      </c>
      <c r="I263" s="438">
        <f t="shared" si="99"/>
        <v>20590.909090909092</v>
      </c>
      <c r="J263" s="438">
        <f t="shared" si="99"/>
        <v>37244.772727272728</v>
      </c>
      <c r="K263" s="439">
        <f t="shared" si="99"/>
        <v>53895.636363636368</v>
      </c>
    </row>
    <row r="264" spans="1:11" x14ac:dyDescent="0.2">
      <c r="B264" s="431" t="s">
        <v>45</v>
      </c>
      <c r="C264" s="437">
        <f t="shared" si="99"/>
        <v>13727.272727272728</v>
      </c>
      <c r="D264" s="438">
        <f t="shared" si="99"/>
        <v>17159.090909090912</v>
      </c>
      <c r="E264" s="438">
        <f t="shared" si="99"/>
        <v>17159.090909090912</v>
      </c>
      <c r="F264" s="438">
        <f t="shared" si="99"/>
        <v>24022.727272727272</v>
      </c>
      <c r="G264" s="438">
        <f t="shared" si="99"/>
        <v>24022.727272727272</v>
      </c>
      <c r="H264" s="438">
        <f t="shared" si="99"/>
        <v>24022.727272727272</v>
      </c>
      <c r="I264" s="438">
        <f t="shared" si="99"/>
        <v>17159.090909090912</v>
      </c>
      <c r="J264" s="438">
        <f t="shared" si="99"/>
        <v>13727.272727272728</v>
      </c>
      <c r="K264" s="439">
        <f t="shared" si="99"/>
        <v>6863.636363636364</v>
      </c>
    </row>
    <row r="265" spans="1:11" x14ac:dyDescent="0.2">
      <c r="B265" s="431" t="s">
        <v>46</v>
      </c>
      <c r="C265" s="437">
        <f t="shared" si="99"/>
        <v>6863.636363636364</v>
      </c>
      <c r="D265" s="438">
        <f t="shared" si="99"/>
        <v>6863.636363636364</v>
      </c>
      <c r="E265" s="438">
        <f t="shared" si="99"/>
        <v>10295.454545454546</v>
      </c>
      <c r="F265" s="438">
        <f t="shared" si="99"/>
        <v>3431.818181818182</v>
      </c>
      <c r="G265" s="438">
        <f t="shared" si="99"/>
        <v>6863.636363636364</v>
      </c>
      <c r="H265" s="438">
        <f t="shared" si="99"/>
        <v>6863.636363636364</v>
      </c>
      <c r="I265" s="438">
        <f t="shared" si="99"/>
        <v>6863.636363636364</v>
      </c>
      <c r="J265" s="438">
        <f t="shared" si="99"/>
        <v>6863.636363636364</v>
      </c>
      <c r="K265" s="439">
        <f t="shared" si="99"/>
        <v>6863.636363636364</v>
      </c>
    </row>
    <row r="266" spans="1:11" ht="16" thickBot="1" x14ac:dyDescent="0.25">
      <c r="B266" s="432" t="s">
        <v>47</v>
      </c>
      <c r="C266" s="437">
        <f t="shared" si="99"/>
        <v>0</v>
      </c>
      <c r="D266" s="438">
        <f t="shared" si="99"/>
        <v>0</v>
      </c>
      <c r="E266" s="438">
        <f t="shared" si="99"/>
        <v>0</v>
      </c>
      <c r="F266" s="438">
        <f t="shared" si="99"/>
        <v>0</v>
      </c>
      <c r="G266" s="438">
        <f t="shared" si="99"/>
        <v>0</v>
      </c>
      <c r="H266" s="438">
        <f t="shared" si="99"/>
        <v>0</v>
      </c>
      <c r="I266" s="438">
        <f t="shared" si="99"/>
        <v>0</v>
      </c>
      <c r="J266" s="438">
        <f t="shared" si="99"/>
        <v>0</v>
      </c>
      <c r="K266" s="439">
        <f t="shared" si="99"/>
        <v>0</v>
      </c>
    </row>
    <row r="267" spans="1:11" ht="16" thickBot="1" x14ac:dyDescent="0.25">
      <c r="B267" s="433" t="s">
        <v>32</v>
      </c>
      <c r="C267" s="440">
        <f>+SUM(C262:C266)</f>
        <v>85795.454545454544</v>
      </c>
      <c r="D267" s="441">
        <f t="shared" ref="D267:K267" si="100">+SUM(D262:D266)</f>
        <v>95585.681818181823</v>
      </c>
      <c r="E267" s="441">
        <f t="shared" si="100"/>
        <v>91168.181818181823</v>
      </c>
      <c r="F267" s="441">
        <f t="shared" si="100"/>
        <v>162222.90909090909</v>
      </c>
      <c r="G267" s="441">
        <f t="shared" si="100"/>
        <v>96090.909090909103</v>
      </c>
      <c r="H267" s="441">
        <f t="shared" si="100"/>
        <v>78931.818181818191</v>
      </c>
      <c r="I267" s="441">
        <f t="shared" si="100"/>
        <v>61772.727272727279</v>
      </c>
      <c r="J267" s="441">
        <f t="shared" si="100"/>
        <v>74994.772727272735</v>
      </c>
      <c r="K267" s="442">
        <f t="shared" si="100"/>
        <v>81350.181818181823</v>
      </c>
    </row>
    <row r="269" spans="1:11" ht="16" thickBot="1" x14ac:dyDescent="0.25">
      <c r="B269" t="s">
        <v>254</v>
      </c>
    </row>
    <row r="270" spans="1:11" ht="16" thickBot="1" x14ac:dyDescent="0.25">
      <c r="B270" s="394" t="s">
        <v>240</v>
      </c>
      <c r="C270" s="395">
        <v>45777</v>
      </c>
      <c r="D270" s="384">
        <v>45807</v>
      </c>
      <c r="E270" s="384">
        <v>45838</v>
      </c>
      <c r="F270" s="384">
        <v>45868</v>
      </c>
      <c r="G270" s="384">
        <v>45899</v>
      </c>
      <c r="H270" s="384">
        <v>45930</v>
      </c>
      <c r="I270" s="384">
        <v>45960</v>
      </c>
      <c r="J270" s="384">
        <v>45991</v>
      </c>
      <c r="K270" s="385">
        <v>46021</v>
      </c>
    </row>
    <row r="271" spans="1:11" x14ac:dyDescent="0.2">
      <c r="B271" s="389" t="s">
        <v>41</v>
      </c>
      <c r="C271" s="399"/>
      <c r="D271" s="400"/>
      <c r="E271" s="400"/>
      <c r="F271" s="400"/>
      <c r="G271" s="400"/>
      <c r="H271" s="400"/>
      <c r="I271" s="400"/>
      <c r="J271" s="400"/>
      <c r="K271" s="401"/>
    </row>
    <row r="272" spans="1:11" x14ac:dyDescent="0.2">
      <c r="B272" s="389" t="s">
        <v>229</v>
      </c>
      <c r="C272" s="399"/>
      <c r="D272" s="447">
        <f>47035*0.5</f>
        <v>23517.5</v>
      </c>
      <c r="E272" s="400"/>
      <c r="F272" s="448">
        <v>47032</v>
      </c>
      <c r="G272" s="400"/>
      <c r="I272" s="400"/>
      <c r="J272" s="448">
        <f>+D272</f>
        <v>23517.5</v>
      </c>
      <c r="K272" s="443">
        <f>+F272</f>
        <v>47032</v>
      </c>
    </row>
    <row r="273" spans="2:13" x14ac:dyDescent="0.2">
      <c r="B273" s="389" t="s">
        <v>45</v>
      </c>
      <c r="C273" s="399"/>
      <c r="D273" s="400"/>
      <c r="E273" s="400"/>
      <c r="F273" s="400"/>
      <c r="G273" s="400"/>
      <c r="H273" s="400"/>
      <c r="I273" s="400"/>
      <c r="J273" s="400"/>
      <c r="K273" s="401"/>
    </row>
    <row r="274" spans="2:13" x14ac:dyDescent="0.2">
      <c r="B274" s="389" t="s">
        <v>46</v>
      </c>
      <c r="C274" s="399"/>
      <c r="D274" s="400"/>
      <c r="E274" s="400"/>
      <c r="F274" s="400"/>
      <c r="G274" s="400"/>
      <c r="H274" s="400"/>
      <c r="I274" s="400"/>
      <c r="J274" s="400"/>
      <c r="K274" s="401"/>
    </row>
    <row r="275" spans="2:13" ht="16" thickBot="1" x14ac:dyDescent="0.25">
      <c r="B275" s="391" t="s">
        <v>47</v>
      </c>
      <c r="C275" s="399"/>
      <c r="D275" s="400"/>
      <c r="E275" s="400"/>
      <c r="F275" s="400"/>
      <c r="G275" s="400"/>
      <c r="H275" s="400"/>
      <c r="I275" s="400"/>
      <c r="J275" s="400"/>
      <c r="K275" s="401"/>
    </row>
    <row r="276" spans="2:13" ht="16" thickBot="1" x14ac:dyDescent="0.25">
      <c r="B276" s="405" t="s">
        <v>32</v>
      </c>
      <c r="C276" s="406">
        <f>+SUM(C271:C275)</f>
        <v>0</v>
      </c>
      <c r="D276" s="407">
        <f t="shared" ref="D276" si="101">+SUM(D271:D275)</f>
        <v>23517.5</v>
      </c>
      <c r="E276" s="407">
        <f t="shared" ref="E276" si="102">+SUM(E271:E275)</f>
        <v>0</v>
      </c>
      <c r="F276" s="407">
        <f t="shared" ref="F276" si="103">+SUM(F271:F275)</f>
        <v>47032</v>
      </c>
      <c r="G276" s="407">
        <f t="shared" ref="G276" si="104">+SUM(G271:G275)</f>
        <v>0</v>
      </c>
      <c r="H276" s="407"/>
      <c r="I276" s="407"/>
      <c r="J276" s="407"/>
      <c r="K276" s="408"/>
    </row>
    <row r="278" spans="2:13" ht="16" thickBot="1" x14ac:dyDescent="0.25">
      <c r="B278" t="s">
        <v>255</v>
      </c>
    </row>
    <row r="279" spans="2:13" ht="16" thickBot="1" x14ac:dyDescent="0.25">
      <c r="B279" s="394" t="s">
        <v>240</v>
      </c>
      <c r="C279" s="395">
        <v>45777</v>
      </c>
      <c r="D279" s="384">
        <v>45807</v>
      </c>
      <c r="E279" s="384">
        <v>45838</v>
      </c>
      <c r="F279" s="384">
        <v>45868</v>
      </c>
      <c r="G279" s="384">
        <v>45899</v>
      </c>
      <c r="H279" s="384">
        <v>45930</v>
      </c>
      <c r="I279" s="384">
        <v>45960</v>
      </c>
      <c r="J279" s="384">
        <v>45991</v>
      </c>
      <c r="K279" s="385">
        <v>46021</v>
      </c>
    </row>
    <row r="280" spans="2:13" x14ac:dyDescent="0.2">
      <c r="B280" s="389" t="s">
        <v>41</v>
      </c>
      <c r="C280" s="399"/>
      <c r="D280" s="400"/>
      <c r="E280" s="400">
        <v>4100</v>
      </c>
      <c r="F280" s="400">
        <v>4100</v>
      </c>
      <c r="G280" s="400"/>
      <c r="H280" s="400"/>
      <c r="I280" s="400"/>
      <c r="J280" s="400"/>
      <c r="K280" s="401"/>
    </row>
    <row r="281" spans="2:13" x14ac:dyDescent="0.2">
      <c r="B281" s="389" t="s">
        <v>229</v>
      </c>
      <c r="C281" s="399"/>
      <c r="D281" s="400"/>
      <c r="E281" s="400">
        <v>15000</v>
      </c>
      <c r="F281" s="400">
        <v>15000</v>
      </c>
      <c r="G281" s="400"/>
      <c r="H281" s="400"/>
      <c r="I281" s="400"/>
      <c r="J281" s="400"/>
      <c r="K281" s="401"/>
    </row>
    <row r="282" spans="2:13" x14ac:dyDescent="0.2">
      <c r="B282" s="389" t="s">
        <v>45</v>
      </c>
      <c r="C282" s="399"/>
      <c r="D282" s="400"/>
      <c r="E282" s="400"/>
      <c r="F282" s="400"/>
      <c r="G282" s="400"/>
      <c r="H282" s="400"/>
      <c r="I282" s="400"/>
      <c r="J282" s="400"/>
      <c r="K282" s="401"/>
    </row>
    <row r="283" spans="2:13" x14ac:dyDescent="0.2">
      <c r="B283" s="389" t="s">
        <v>46</v>
      </c>
      <c r="C283" s="399"/>
      <c r="D283" s="400"/>
      <c r="E283" s="400"/>
      <c r="F283" s="400"/>
      <c r="G283" s="400"/>
      <c r="H283" s="400"/>
      <c r="I283" s="400"/>
      <c r="J283" s="400"/>
      <c r="K283" s="401"/>
    </row>
    <row r="284" spans="2:13" ht="16" thickBot="1" x14ac:dyDescent="0.25">
      <c r="B284" s="391" t="s">
        <v>47</v>
      </c>
      <c r="C284" s="399"/>
      <c r="D284" s="400"/>
      <c r="E284" s="400"/>
      <c r="F284" s="400"/>
      <c r="G284" s="400"/>
      <c r="H284" s="400"/>
      <c r="I284" s="400"/>
      <c r="J284" s="400"/>
      <c r="K284" s="401"/>
    </row>
    <row r="285" spans="2:13" ht="16" thickBot="1" x14ac:dyDescent="0.25">
      <c r="B285" s="405" t="s">
        <v>32</v>
      </c>
      <c r="C285" s="406">
        <f t="shared" ref="C285:K285" si="105">+SUM(C280:C284)</f>
        <v>0</v>
      </c>
      <c r="D285" s="407">
        <f t="shared" si="105"/>
        <v>0</v>
      </c>
      <c r="E285" s="407">
        <f t="shared" si="105"/>
        <v>19100</v>
      </c>
      <c r="F285" s="407">
        <f t="shared" si="105"/>
        <v>19100</v>
      </c>
      <c r="G285" s="407">
        <f t="shared" si="105"/>
        <v>0</v>
      </c>
      <c r="H285" s="407">
        <f t="shared" si="105"/>
        <v>0</v>
      </c>
      <c r="I285" s="407">
        <f t="shared" si="105"/>
        <v>0</v>
      </c>
      <c r="J285" s="407">
        <f t="shared" si="105"/>
        <v>0</v>
      </c>
      <c r="K285" s="408">
        <f t="shared" si="105"/>
        <v>0</v>
      </c>
    </row>
    <row r="287" spans="2:13" ht="16" thickBot="1" x14ac:dyDescent="0.25">
      <c r="B287" t="s">
        <v>256</v>
      </c>
    </row>
    <row r="288" spans="2:13" ht="16" thickBot="1" x14ac:dyDescent="0.25">
      <c r="B288" s="394" t="s">
        <v>240</v>
      </c>
      <c r="C288" s="395">
        <v>45777</v>
      </c>
      <c r="D288" s="384">
        <v>45807</v>
      </c>
      <c r="E288" s="384">
        <v>45838</v>
      </c>
      <c r="F288" s="384">
        <v>45868</v>
      </c>
      <c r="G288" s="384">
        <v>45899</v>
      </c>
      <c r="H288" s="384">
        <v>45930</v>
      </c>
      <c r="I288" s="384">
        <v>45960</v>
      </c>
      <c r="J288" s="384">
        <v>45991</v>
      </c>
      <c r="K288" s="385">
        <v>46021</v>
      </c>
      <c r="M288" s="505" t="s">
        <v>257</v>
      </c>
    </row>
    <row r="289" spans="2:15" x14ac:dyDescent="0.2">
      <c r="B289" s="389" t="s">
        <v>41</v>
      </c>
      <c r="C289" s="399">
        <f>+$N$295*Dashboard!DK55</f>
        <v>44613.636363636368</v>
      </c>
      <c r="D289" s="400">
        <f>+$N$295*Dashboard!DL55</f>
        <v>27454.545454545456</v>
      </c>
      <c r="E289" s="400">
        <f>+$N$295*Dashboard!DM55</f>
        <v>20590.909090909092</v>
      </c>
      <c r="F289" s="400">
        <f>+$N$295*Dashboard!DN55</f>
        <v>30886.36363636364</v>
      </c>
      <c r="G289" s="400">
        <f>+$N$295*Dashboard!DO55</f>
        <v>27454.545454545456</v>
      </c>
      <c r="H289" s="400">
        <f>+$N$295*Dashboard!DP55</f>
        <v>24022.727272727272</v>
      </c>
      <c r="I289" s="400">
        <f>+$N$295*Dashboard!DQ55</f>
        <v>17159.090909090912</v>
      </c>
      <c r="J289" s="400">
        <f>+$N$295*Dashboard!DR55</f>
        <v>17159.090909090912</v>
      </c>
      <c r="K289" s="401">
        <f>+$N$295*Dashboard!DS55</f>
        <v>13727.272727272728</v>
      </c>
      <c r="M289" t="s">
        <v>258</v>
      </c>
      <c r="N289" s="414">
        <v>22</v>
      </c>
    </row>
    <row r="290" spans="2:15" x14ac:dyDescent="0.2">
      <c r="B290" s="389" t="s">
        <v>229</v>
      </c>
      <c r="C290" s="399">
        <f>+$N$295*Dashboard!DK56</f>
        <v>20590.909090909092</v>
      </c>
      <c r="D290" s="400">
        <f>+$N$295*Dashboard!DL56</f>
        <v>20590.909090909092</v>
      </c>
      <c r="E290" s="400">
        <f>+$N$295*Dashboard!DM56</f>
        <v>24022.727272727272</v>
      </c>
      <c r="F290" s="400">
        <f>+$N$295*Dashboard!DN56</f>
        <v>37750</v>
      </c>
      <c r="G290" s="400">
        <f>+$N$295*Dashboard!DO56</f>
        <v>37750</v>
      </c>
      <c r="H290" s="400">
        <f>+$N$295*Dashboard!DP56</f>
        <v>24022.727272727272</v>
      </c>
      <c r="I290" s="400">
        <f>+$N$295*Dashboard!DQ56</f>
        <v>20590.909090909092</v>
      </c>
      <c r="J290" s="400">
        <f>+$N$295*Dashboard!DR56</f>
        <v>13727.272727272728</v>
      </c>
      <c r="K290" s="401">
        <f>+$N$295*Dashboard!DS56</f>
        <v>6863.636363636364</v>
      </c>
      <c r="M290" t="s">
        <v>41</v>
      </c>
      <c r="N290">
        <v>8</v>
      </c>
      <c r="O290" s="453">
        <f>+N290/$N$289</f>
        <v>0.36363636363636365</v>
      </c>
    </row>
    <row r="291" spans="2:15" x14ac:dyDescent="0.2">
      <c r="B291" s="389" t="s">
        <v>45</v>
      </c>
      <c r="C291" s="399">
        <f>+$N$295*Dashboard!DK57</f>
        <v>13727.272727272728</v>
      </c>
      <c r="D291" s="400">
        <f>+$N$295*Dashboard!DL57</f>
        <v>17159.090909090912</v>
      </c>
      <c r="E291" s="400">
        <f>+$N$295*Dashboard!DM57</f>
        <v>17159.090909090912</v>
      </c>
      <c r="F291" s="400">
        <f>+$N$295*Dashboard!DN57</f>
        <v>24022.727272727272</v>
      </c>
      <c r="G291" s="400">
        <f>+$N$295*Dashboard!DO57</f>
        <v>24022.727272727272</v>
      </c>
      <c r="H291" s="400">
        <f>+$N$295*Dashboard!DP57</f>
        <v>24022.727272727272</v>
      </c>
      <c r="I291" s="400">
        <f>+$N$295*Dashboard!DQ57</f>
        <v>17159.090909090912</v>
      </c>
      <c r="J291" s="400">
        <f>+$N$295*Dashboard!DR57</f>
        <v>13727.272727272728</v>
      </c>
      <c r="K291" s="401">
        <f>+$N$295*Dashboard!DS57</f>
        <v>6863.636363636364</v>
      </c>
      <c r="M291" t="s">
        <v>44</v>
      </c>
      <c r="N291">
        <v>5</v>
      </c>
      <c r="O291" s="453">
        <f>+N291/$N$289</f>
        <v>0.22727272727272727</v>
      </c>
    </row>
    <row r="292" spans="2:15" x14ac:dyDescent="0.2">
      <c r="B292" s="389" t="s">
        <v>46</v>
      </c>
      <c r="C292" s="399">
        <f>+$N$295*Dashboard!DK58</f>
        <v>6863.636363636364</v>
      </c>
      <c r="D292" s="400">
        <f>+$N$295*Dashboard!DL58</f>
        <v>6863.636363636364</v>
      </c>
      <c r="E292" s="400">
        <f>+$N$295*Dashboard!DM58</f>
        <v>10295.454545454546</v>
      </c>
      <c r="F292" s="400">
        <f>+$N$295*Dashboard!DN58</f>
        <v>3431.818181818182</v>
      </c>
      <c r="G292" s="400">
        <f>+$N$295*Dashboard!DO58</f>
        <v>6863.636363636364</v>
      </c>
      <c r="H292" s="400">
        <f>+$N$295*Dashboard!DP58</f>
        <v>6863.636363636364</v>
      </c>
      <c r="I292" s="400">
        <f>+$N$295*Dashboard!DQ58</f>
        <v>6863.636363636364</v>
      </c>
      <c r="J292" s="400">
        <f>+$N$295*Dashboard!DR58</f>
        <v>6863.636363636364</v>
      </c>
      <c r="K292" s="401">
        <f>+$N$295*Dashboard!DS58</f>
        <v>6863.636363636364</v>
      </c>
      <c r="M292" t="s">
        <v>45</v>
      </c>
      <c r="N292">
        <v>3</v>
      </c>
      <c r="O292" s="453">
        <f>+N292/$N$289</f>
        <v>0.13636363636363635</v>
      </c>
    </row>
    <row r="293" spans="2:15" ht="16" thickBot="1" x14ac:dyDescent="0.25">
      <c r="B293" s="391" t="s">
        <v>47</v>
      </c>
      <c r="C293" s="399">
        <f>+$N$295*Dashboard!DK59</f>
        <v>0</v>
      </c>
      <c r="D293" s="400">
        <f>+$N$295*Dashboard!DL59</f>
        <v>0</v>
      </c>
      <c r="E293" s="400">
        <f>+$N$295*Dashboard!DM59</f>
        <v>0</v>
      </c>
      <c r="F293" s="400">
        <f>+$N$295*Dashboard!DN59</f>
        <v>0</v>
      </c>
      <c r="G293" s="400">
        <f>+$N$295*Dashboard!DO59</f>
        <v>0</v>
      </c>
      <c r="H293" s="400">
        <f>+$N$295*Dashboard!DP59</f>
        <v>0</v>
      </c>
      <c r="I293" s="400">
        <f>+$N$295*Dashboard!DQ59</f>
        <v>0</v>
      </c>
      <c r="J293" s="400">
        <f>+$N$295*Dashboard!DR59</f>
        <v>0</v>
      </c>
      <c r="K293" s="401">
        <f>+$N$295*Dashboard!DS59</f>
        <v>0</v>
      </c>
      <c r="M293" t="s">
        <v>46</v>
      </c>
      <c r="N293">
        <v>1</v>
      </c>
      <c r="O293" s="453">
        <f>+N293/$N$289</f>
        <v>4.5454545454545456E-2</v>
      </c>
    </row>
    <row r="294" spans="2:15" ht="16" thickBot="1" x14ac:dyDescent="0.25">
      <c r="B294" s="405" t="s">
        <v>32</v>
      </c>
      <c r="C294" s="406">
        <f t="shared" ref="C294:K294" si="106">+SUM(C289:C293)</f>
        <v>85795.454545454544</v>
      </c>
      <c r="D294" s="407">
        <f t="shared" si="106"/>
        <v>72068.181818181823</v>
      </c>
      <c r="E294" s="407">
        <f t="shared" si="106"/>
        <v>72068.181818181823</v>
      </c>
      <c r="F294" s="407">
        <f t="shared" si="106"/>
        <v>96090.909090909088</v>
      </c>
      <c r="G294" s="407">
        <f t="shared" si="106"/>
        <v>96090.909090909103</v>
      </c>
      <c r="H294" s="407">
        <f t="shared" si="106"/>
        <v>78931.818181818191</v>
      </c>
      <c r="I294" s="407">
        <f t="shared" si="106"/>
        <v>61772.727272727279</v>
      </c>
      <c r="J294" s="407">
        <f t="shared" si="106"/>
        <v>51477.272727272735</v>
      </c>
      <c r="K294" s="408">
        <f t="shared" si="106"/>
        <v>34318.181818181823</v>
      </c>
      <c r="M294" t="s">
        <v>259</v>
      </c>
      <c r="N294" s="414">
        <v>1359000</v>
      </c>
    </row>
    <row r="295" spans="2:15" x14ac:dyDescent="0.2">
      <c r="M295" t="s">
        <v>234</v>
      </c>
      <c r="N295" s="414">
        <f>+N294/(N289*12)*8/12</f>
        <v>3431.818181818182</v>
      </c>
    </row>
  </sheetData>
  <autoFilter ref="A63:AD148" xr:uid="{05EE60F9-0A7D-4B3B-8CAF-88DC00D2AC7D}"/>
  <phoneticPr fontId="34" type="noConversion"/>
  <dataValidations count="1">
    <dataValidation type="list" allowBlank="1" showInputMessage="1" showErrorMessage="1" sqref="E219:E239" xr:uid="{89C824DD-C524-47E2-9995-BF8B880C2D7D}">
      <formula1>$H$14:$H$22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05A1-333C-4996-A00C-8F0340BCB575}">
  <sheetPr codeName="Hoja1">
    <tabColor rgb="FFFFC000"/>
  </sheetPr>
  <dimension ref="A1:AW279"/>
  <sheetViews>
    <sheetView showGridLines="0" topLeftCell="A117" zoomScaleNormal="80" workbookViewId="0">
      <selection activeCell="I115" sqref="I115"/>
    </sheetView>
  </sheetViews>
  <sheetFormatPr baseColWidth="10" defaultColWidth="11.5" defaultRowHeight="11" outlineLevelRow="2" outlineLevelCol="1" x14ac:dyDescent="0.2"/>
  <cols>
    <col min="1" max="1" width="11.5" style="110"/>
    <col min="2" max="2" width="24.1640625" style="110" bestFit="1" customWidth="1"/>
    <col min="3" max="3" width="11.83203125" style="110" customWidth="1"/>
    <col min="4" max="4" width="60.5" style="110" bestFit="1" customWidth="1"/>
    <col min="5" max="5" width="20.83203125" style="110" customWidth="1"/>
    <col min="6" max="9" width="15" style="110" customWidth="1"/>
    <col min="10" max="18" width="11.5" style="110" customWidth="1"/>
    <col min="19" max="19" width="11.83203125" style="110" customWidth="1"/>
    <col min="20" max="21" width="11.5" style="157" customWidth="1"/>
    <col min="22" max="22" width="11.5" style="203" customWidth="1"/>
    <col min="23" max="23" width="11.5" style="110" customWidth="1"/>
    <col min="24" max="28" width="11.5" style="110" hidden="1" customWidth="1" outlineLevel="1"/>
    <col min="29" max="29" width="39.1640625" style="110" customWidth="1" collapsed="1"/>
    <col min="30" max="30" width="39.1640625" style="110" customWidth="1"/>
    <col min="31" max="31" width="26.5" style="110" customWidth="1"/>
    <col min="32" max="32" width="19.83203125" style="333" hidden="1" customWidth="1"/>
    <col min="33" max="39" width="11.5" style="110"/>
    <col min="40" max="40" width="19.83203125" style="334" bestFit="1" customWidth="1"/>
    <col min="41" max="16384" width="11.5" style="110"/>
  </cols>
  <sheetData>
    <row r="1" spans="1:40" s="159" customFormat="1" x14ac:dyDescent="0.2">
      <c r="A1" s="158"/>
      <c r="V1" s="197"/>
    </row>
    <row r="2" spans="1:40" s="161" customFormat="1" x14ac:dyDescent="0.2">
      <c r="A2" s="160"/>
      <c r="V2" s="198"/>
    </row>
    <row r="3" spans="1:40" s="161" customFormat="1" x14ac:dyDescent="0.2">
      <c r="A3" s="160"/>
      <c r="D3" s="164" t="s">
        <v>0</v>
      </c>
      <c r="V3" s="198"/>
    </row>
    <row r="4" spans="1:40" s="161" customFormat="1" x14ac:dyDescent="0.2">
      <c r="A4" s="160"/>
      <c r="D4" s="164">
        <v>2025</v>
      </c>
      <c r="V4" s="198"/>
    </row>
    <row r="5" spans="1:40" s="161" customFormat="1" x14ac:dyDescent="0.2">
      <c r="A5" s="160"/>
      <c r="D5" s="167" t="s">
        <v>260</v>
      </c>
      <c r="V5" s="198"/>
    </row>
    <row r="6" spans="1:40" s="161" customFormat="1" x14ac:dyDescent="0.2">
      <c r="A6" s="160"/>
      <c r="V6" s="198"/>
    </row>
    <row r="7" spans="1:40" s="163" customFormat="1" ht="12" thickBot="1" x14ac:dyDescent="0.25">
      <c r="A7" s="162"/>
      <c r="V7" s="199"/>
    </row>
    <row r="8" spans="1:40" ht="12" thickBot="1" x14ac:dyDescent="0.25">
      <c r="T8" s="110"/>
      <c r="U8" s="110"/>
      <c r="V8" s="98"/>
      <c r="AF8" s="110"/>
      <c r="AN8" s="110"/>
    </row>
    <row r="9" spans="1:40" ht="12" thickBot="1" x14ac:dyDescent="0.25">
      <c r="T9" s="110"/>
      <c r="U9" s="110"/>
      <c r="V9" s="98"/>
      <c r="AF9" s="137">
        <v>45777</v>
      </c>
      <c r="AG9" s="138">
        <v>45807</v>
      </c>
      <c r="AH9" s="138">
        <v>45838</v>
      </c>
      <c r="AI9" s="138">
        <v>45868</v>
      </c>
      <c r="AJ9" s="138">
        <v>45899</v>
      </c>
      <c r="AK9" s="138">
        <v>45930</v>
      </c>
      <c r="AL9" s="138">
        <v>45960</v>
      </c>
      <c r="AM9" s="138">
        <v>45991</v>
      </c>
      <c r="AN9" s="139">
        <v>46021</v>
      </c>
    </row>
    <row r="10" spans="1:40" x14ac:dyDescent="0.2">
      <c r="T10" s="110"/>
      <c r="U10" s="110"/>
      <c r="V10" s="98"/>
      <c r="AD10" s="668" t="s">
        <v>3</v>
      </c>
      <c r="AE10" s="90" t="s">
        <v>261</v>
      </c>
      <c r="AF10" s="502">
        <f>+COUNTIFS(AF$97:AF$100005,"&gt;0",$AD$97:$AD$100005,"Actual")</f>
        <v>25</v>
      </c>
      <c r="AG10" s="91">
        <f>+COUNTIFS(AG$97:AG$100005,"&gt;0",$AD$97:$AD$100005,"Actual")</f>
        <v>20</v>
      </c>
      <c r="AH10" s="91">
        <f t="shared" ref="AG10:AN14" si="0">+COUNTIFS(AH$97:AH$100005,"&gt;0",$AD$97:$AD$100005,"Actual")</f>
        <v>16</v>
      </c>
      <c r="AI10" s="91">
        <f t="shared" si="0"/>
        <v>10</v>
      </c>
      <c r="AJ10" s="91">
        <f t="shared" si="0"/>
        <v>5</v>
      </c>
      <c r="AK10" s="91">
        <f t="shared" si="0"/>
        <v>2</v>
      </c>
      <c r="AL10" s="91">
        <f t="shared" si="0"/>
        <v>2</v>
      </c>
      <c r="AM10" s="91">
        <f t="shared" si="0"/>
        <v>2</v>
      </c>
      <c r="AN10" s="503">
        <f t="shared" si="0"/>
        <v>1</v>
      </c>
    </row>
    <row r="11" spans="1:40" ht="12" thickBot="1" x14ac:dyDescent="0.25">
      <c r="T11" s="110"/>
      <c r="U11" s="110"/>
      <c r="V11" s="98"/>
      <c r="AD11" s="670"/>
      <c r="AE11" s="93" t="s">
        <v>262</v>
      </c>
      <c r="AF11" s="107">
        <f>+SUMIFS($W$97:$W$1048576,AF$97:AF$1048576,"&gt;0",$AD$97:$AD$1048576,"Actual")</f>
        <v>33.255033557046971</v>
      </c>
      <c r="AG11" s="94">
        <f t="shared" ref="AG11:AN11" si="1">+SUMIFS($W$97:$W$1048576,AG$97:AG$1048576,"&gt;0",$AD$97:$AD$1048576,"Actual")</f>
        <v>24.946308724832214</v>
      </c>
      <c r="AH11" s="94">
        <f t="shared" si="1"/>
        <v>21.52572706935123</v>
      </c>
      <c r="AI11" s="94">
        <f t="shared" si="1"/>
        <v>13.639821029082777</v>
      </c>
      <c r="AJ11" s="94">
        <f t="shared" si="1"/>
        <v>5.3154362416107404</v>
      </c>
      <c r="AK11" s="94">
        <f t="shared" si="1"/>
        <v>2.8948545861297568</v>
      </c>
      <c r="AL11" s="94">
        <f t="shared" si="1"/>
        <v>2.8948545861297568</v>
      </c>
      <c r="AM11" s="94">
        <f t="shared" si="1"/>
        <v>2.8948545861297568</v>
      </c>
      <c r="AN11" s="95">
        <f t="shared" si="1"/>
        <v>1.4474272930648768</v>
      </c>
    </row>
    <row r="12" spans="1:40" x14ac:dyDescent="0.2">
      <c r="T12" s="110"/>
      <c r="U12" s="110"/>
      <c r="V12" s="98"/>
      <c r="AD12" s="669" t="s">
        <v>263</v>
      </c>
      <c r="AE12" s="97" t="s">
        <v>261</v>
      </c>
      <c r="AF12" s="502">
        <f>+COUNTIFS(AF$97:AF$100005,"&gt;0",$AD$97:$AD$100005,"Actual")</f>
        <v>25</v>
      </c>
      <c r="AG12" s="91">
        <f t="shared" si="0"/>
        <v>20</v>
      </c>
      <c r="AH12" s="91">
        <f t="shared" si="0"/>
        <v>16</v>
      </c>
      <c r="AI12" s="91">
        <f t="shared" si="0"/>
        <v>10</v>
      </c>
      <c r="AJ12" s="91">
        <f t="shared" si="0"/>
        <v>5</v>
      </c>
      <c r="AK12" s="91">
        <f t="shared" si="0"/>
        <v>2</v>
      </c>
      <c r="AL12" s="91">
        <f t="shared" si="0"/>
        <v>2</v>
      </c>
      <c r="AM12" s="91">
        <f t="shared" si="0"/>
        <v>2</v>
      </c>
      <c r="AN12" s="503">
        <f t="shared" si="0"/>
        <v>1</v>
      </c>
    </row>
    <row r="13" spans="1:40" ht="12" thickBot="1" x14ac:dyDescent="0.25">
      <c r="T13" s="110"/>
      <c r="U13" s="110"/>
      <c r="V13" s="98"/>
      <c r="AD13" s="670"/>
      <c r="AE13" s="93" t="s">
        <v>262</v>
      </c>
      <c r="AF13" s="107">
        <f>+SUMIFS($W$97:$W$1048576,AF$97:AF$1048576,"&gt;0",$AD$97:$AD$1048576,"Actual")+SUMIFS($W$97:$W$1048576,AF$97:AF$1048576,"&gt;0",$AD$97:$AD$1048576,"Asignado")</f>
        <v>33.255033557046971</v>
      </c>
      <c r="AG13" s="94">
        <f t="shared" ref="AG13:AN13" si="2">+SUMIFS($W$97:$W$1048576,AG$97:AG$1048576,"&gt;0",$AD$97:$AD$1048576,"Actual")+SUMIFS($W$97:$W$1048576,AG$97:AG$1048576,"&gt;0",$AD$97:$AD$1048576,"Asignado")</f>
        <v>25.946308724832214</v>
      </c>
      <c r="AH13" s="94">
        <f t="shared" si="2"/>
        <v>23.246085011185681</v>
      </c>
      <c r="AI13" s="94">
        <f t="shared" si="2"/>
        <v>19.460850111856825</v>
      </c>
      <c r="AJ13" s="94">
        <f t="shared" si="2"/>
        <v>11.856823266219241</v>
      </c>
      <c r="AK13" s="94">
        <f t="shared" si="2"/>
        <v>9.4362416107382572</v>
      </c>
      <c r="AL13" s="94">
        <f t="shared" si="2"/>
        <v>9.4362416107382572</v>
      </c>
      <c r="AM13" s="94">
        <f t="shared" si="2"/>
        <v>6.165548098434007</v>
      </c>
      <c r="AN13" s="95">
        <f t="shared" si="2"/>
        <v>3.9977628635346756</v>
      </c>
    </row>
    <row r="14" spans="1:40" x14ac:dyDescent="0.2">
      <c r="T14" s="110"/>
      <c r="U14" s="110"/>
      <c r="V14" s="98"/>
      <c r="AD14" s="669" t="s">
        <v>264</v>
      </c>
      <c r="AE14" s="97" t="s">
        <v>261</v>
      </c>
      <c r="AF14" s="502">
        <f>+COUNTIFS(AF$97:AF$100005,"&gt;0",$AD$97:$AD$100005,"Actual")</f>
        <v>25</v>
      </c>
      <c r="AG14" s="91">
        <f t="shared" si="0"/>
        <v>20</v>
      </c>
      <c r="AH14" s="91">
        <f t="shared" si="0"/>
        <v>16</v>
      </c>
      <c r="AI14" s="91">
        <f t="shared" si="0"/>
        <v>10</v>
      </c>
      <c r="AJ14" s="91">
        <f t="shared" si="0"/>
        <v>5</v>
      </c>
      <c r="AK14" s="91">
        <f t="shared" si="0"/>
        <v>2</v>
      </c>
      <c r="AL14" s="91">
        <f t="shared" si="0"/>
        <v>2</v>
      </c>
      <c r="AM14" s="91">
        <f t="shared" si="0"/>
        <v>2</v>
      </c>
      <c r="AN14" s="503">
        <f t="shared" si="0"/>
        <v>1</v>
      </c>
    </row>
    <row r="15" spans="1:40" ht="12" thickBot="1" x14ac:dyDescent="0.25">
      <c r="T15" s="110"/>
      <c r="U15" s="110"/>
      <c r="V15" s="98"/>
      <c r="AD15" s="670"/>
      <c r="AE15" s="93" t="s">
        <v>262</v>
      </c>
      <c r="AF15" s="107">
        <f>+SUMIFS($W$97:$W$1048576,AF$97:AF$1048576,"&gt;0",$AD$97:$AD$1048576,"Actual")+SUMIFS($W$97:$W$1048576,AF$97:AF$1048576,"&gt;0",$AD$97:$AD$1048576,"Asignado")+SUMIFS($W$97:$W$1048576,AF$97:AF$1048576,"&gt;0",$AD$97:$AD$1048576,"No Asignado")</f>
        <v>33.255033557046971</v>
      </c>
      <c r="AG15" s="94">
        <f t="shared" ref="AG15:AN15" si="3">+SUMIFS($W$97:$W$1048576,AG$97:AG$1048576,"&gt;0",$AD$97:$AD$1048576,"Actual")+SUMIFS($W$97:$W$1048576,AG$97:AG$1048576,"&gt;0",$AD$97:$AD$1048576,"Asignado")+SUMIFS($W$97:$W$1048576,AG$97:AG$1048576,"&gt;0",$AD$97:$AD$1048576,"No Asignado")</f>
        <v>25.946308724832214</v>
      </c>
      <c r="AH15" s="94">
        <f t="shared" si="3"/>
        <v>23.490827740492168</v>
      </c>
      <c r="AI15" s="94">
        <f t="shared" si="3"/>
        <v>26.284563758389261</v>
      </c>
      <c r="AJ15" s="94">
        <f t="shared" si="3"/>
        <v>20.159284116331097</v>
      </c>
      <c r="AK15" s="94">
        <f t="shared" si="3"/>
        <v>17.521588366890384</v>
      </c>
      <c r="AL15" s="94">
        <f t="shared" si="3"/>
        <v>15.56308724832215</v>
      </c>
      <c r="AM15" s="94">
        <f t="shared" si="3"/>
        <v>11.7923937360179</v>
      </c>
      <c r="AN15" s="95">
        <f t="shared" si="3"/>
        <v>8.3563758389261746</v>
      </c>
    </row>
    <row r="16" spans="1:40" ht="12" x14ac:dyDescent="0.2">
      <c r="T16" s="110"/>
      <c r="U16" s="110"/>
      <c r="V16" s="98"/>
      <c r="AD16" s="141" t="s">
        <v>265</v>
      </c>
      <c r="AE16" s="142"/>
      <c r="AF16" s="100"/>
      <c r="AG16" s="101"/>
      <c r="AH16" s="101"/>
      <c r="AI16" s="101"/>
      <c r="AJ16" s="101"/>
      <c r="AK16" s="101"/>
      <c r="AL16" s="101"/>
      <c r="AM16" s="101"/>
      <c r="AN16" s="102"/>
    </row>
    <row r="17" spans="20:40" x14ac:dyDescent="0.2">
      <c r="T17" s="110"/>
      <c r="U17" s="110"/>
      <c r="V17" s="98"/>
      <c r="AD17" s="96"/>
      <c r="AE17" s="103" t="s">
        <v>266</v>
      </c>
      <c r="AF17" s="104">
        <f>+AF11</f>
        <v>33.255033557046971</v>
      </c>
      <c r="AG17" s="504">
        <f t="shared" ref="AG17:AN17" si="4">+AG11</f>
        <v>24.946308724832214</v>
      </c>
      <c r="AH17" s="504">
        <f t="shared" si="4"/>
        <v>21.52572706935123</v>
      </c>
      <c r="AI17" s="504">
        <f t="shared" si="4"/>
        <v>13.639821029082777</v>
      </c>
      <c r="AJ17" s="504">
        <f t="shared" si="4"/>
        <v>5.3154362416107404</v>
      </c>
      <c r="AK17" s="504">
        <f t="shared" si="4"/>
        <v>2.8948545861297568</v>
      </c>
      <c r="AL17" s="504">
        <f t="shared" si="4"/>
        <v>2.8948545861297568</v>
      </c>
      <c r="AM17" s="504">
        <f t="shared" si="4"/>
        <v>2.8948545861297568</v>
      </c>
      <c r="AN17" s="105">
        <f t="shared" si="4"/>
        <v>1.4474272930648768</v>
      </c>
    </row>
    <row r="18" spans="20:40" x14ac:dyDescent="0.2">
      <c r="T18" s="110"/>
      <c r="U18" s="110"/>
      <c r="V18" s="98"/>
      <c r="AD18" s="96"/>
      <c r="AE18" s="103" t="s">
        <v>263</v>
      </c>
      <c r="AF18" s="104">
        <f>+AF13</f>
        <v>33.255033557046971</v>
      </c>
      <c r="AG18" s="504">
        <f t="shared" ref="AG18:AN18" si="5">+AG13</f>
        <v>25.946308724832214</v>
      </c>
      <c r="AH18" s="504">
        <f t="shared" si="5"/>
        <v>23.246085011185681</v>
      </c>
      <c r="AI18" s="504">
        <f t="shared" si="5"/>
        <v>19.460850111856825</v>
      </c>
      <c r="AJ18" s="504">
        <f t="shared" si="5"/>
        <v>11.856823266219241</v>
      </c>
      <c r="AK18" s="504">
        <f t="shared" si="5"/>
        <v>9.4362416107382572</v>
      </c>
      <c r="AL18" s="504">
        <f t="shared" si="5"/>
        <v>9.4362416107382572</v>
      </c>
      <c r="AM18" s="504">
        <f t="shared" si="5"/>
        <v>6.165548098434007</v>
      </c>
      <c r="AN18" s="105">
        <f t="shared" si="5"/>
        <v>3.9977628635346756</v>
      </c>
    </row>
    <row r="19" spans="20:40" ht="12" thickBot="1" x14ac:dyDescent="0.25">
      <c r="T19" s="110"/>
      <c r="U19" s="110"/>
      <c r="V19" s="98"/>
      <c r="AD19" s="92"/>
      <c r="AE19" s="106" t="s">
        <v>264</v>
      </c>
      <c r="AF19" s="107">
        <f>+AF15</f>
        <v>33.255033557046971</v>
      </c>
      <c r="AG19" s="94">
        <f t="shared" ref="AG19:AN19" si="6">+AG15</f>
        <v>25.946308724832214</v>
      </c>
      <c r="AH19" s="94">
        <f t="shared" si="6"/>
        <v>23.490827740492168</v>
      </c>
      <c r="AI19" s="94">
        <f t="shared" si="6"/>
        <v>26.284563758389261</v>
      </c>
      <c r="AJ19" s="94">
        <f t="shared" si="6"/>
        <v>20.159284116331097</v>
      </c>
      <c r="AK19" s="94">
        <f t="shared" si="6"/>
        <v>17.521588366890384</v>
      </c>
      <c r="AL19" s="94">
        <f t="shared" si="6"/>
        <v>15.56308724832215</v>
      </c>
      <c r="AM19" s="94">
        <f t="shared" si="6"/>
        <v>11.7923937360179</v>
      </c>
      <c r="AN19" s="95">
        <f t="shared" si="6"/>
        <v>8.3563758389261746</v>
      </c>
    </row>
    <row r="20" spans="20:40" ht="12" thickBot="1" x14ac:dyDescent="0.25">
      <c r="T20" s="110"/>
      <c r="U20" s="110"/>
      <c r="V20" s="98"/>
      <c r="AF20" s="110"/>
      <c r="AN20" s="110"/>
    </row>
    <row r="21" spans="20:40" ht="12" outlineLevel="1" thickBot="1" x14ac:dyDescent="0.25">
      <c r="T21" s="110"/>
      <c r="U21" s="110"/>
      <c r="V21" s="98"/>
      <c r="AF21" s="114">
        <v>45777</v>
      </c>
      <c r="AG21" s="115">
        <v>45807</v>
      </c>
      <c r="AH21" s="115">
        <v>45838</v>
      </c>
      <c r="AI21" s="115">
        <v>45868</v>
      </c>
      <c r="AJ21" s="115">
        <v>45899</v>
      </c>
      <c r="AK21" s="115">
        <v>45930</v>
      </c>
      <c r="AL21" s="115">
        <v>45960</v>
      </c>
      <c r="AM21" s="115">
        <v>45991</v>
      </c>
      <c r="AN21" s="116">
        <v>46021</v>
      </c>
    </row>
    <row r="22" spans="20:40" hidden="1" outlineLevel="2" x14ac:dyDescent="0.2">
      <c r="T22" s="110"/>
      <c r="U22" s="110"/>
      <c r="V22" s="98"/>
      <c r="AD22" s="668" t="s">
        <v>266</v>
      </c>
      <c r="AE22" s="90" t="s">
        <v>25</v>
      </c>
      <c r="AF22" s="128">
        <f>+SUM(AF23:AF25)</f>
        <v>3</v>
      </c>
      <c r="AG22" s="129">
        <f t="shared" ref="AG22:AN22" si="7">+SUM(AG23:AG25)</f>
        <v>3</v>
      </c>
      <c r="AH22" s="129">
        <f t="shared" si="7"/>
        <v>2</v>
      </c>
      <c r="AI22" s="129">
        <f t="shared" si="7"/>
        <v>2</v>
      </c>
      <c r="AJ22" s="129">
        <f t="shared" si="7"/>
        <v>2</v>
      </c>
      <c r="AK22" s="129">
        <f t="shared" si="7"/>
        <v>2</v>
      </c>
      <c r="AL22" s="129">
        <f t="shared" si="7"/>
        <v>2</v>
      </c>
      <c r="AM22" s="129">
        <f t="shared" si="7"/>
        <v>2</v>
      </c>
      <c r="AN22" s="130">
        <f t="shared" si="7"/>
        <v>1</v>
      </c>
    </row>
    <row r="23" spans="20:40" hidden="1" outlineLevel="2" x14ac:dyDescent="0.2">
      <c r="T23" s="110"/>
      <c r="U23" s="110"/>
      <c r="V23" s="98"/>
      <c r="AD23" s="669"/>
      <c r="AE23" s="108" t="s">
        <v>71</v>
      </c>
      <c r="AF23" s="131" cm="1">
        <f t="array" ref="AF23">ROUNDUP(SUMPRODUCT(($I$97:$I$100005=$AE23)*($AD$97:$AD$100005="Actual")*AF$97:AF$100005*$X$97:$X$100005),0)</f>
        <v>1</v>
      </c>
      <c r="AG23" s="98" cm="1">
        <f t="array" ref="AG23">ROUNDUP(SUMPRODUCT(($I$97:$I$100005=$AE23)*($AD$97:$AD$100005="Actual")*AG$97:AG$100005*$X$97:$X$100005),0)</f>
        <v>1</v>
      </c>
      <c r="AH23" s="98" cm="1">
        <f t="array" ref="AH23">ROUNDUP(SUMPRODUCT(($I$97:$I$100005=$AE23)*($AD$97:$AD$100005="Actual")*AH$97:AH$100005*$X$97:$X$100005),0)</f>
        <v>1</v>
      </c>
      <c r="AI23" s="98" cm="1">
        <f t="array" ref="AI23">ROUNDUP(SUMPRODUCT(($I$97:$I$100005=$AE23)*($AD$97:$AD$100005="Actual")*AI$97:AI$100005*$X$97:$X$100005),0)</f>
        <v>1</v>
      </c>
      <c r="AJ23" s="98" cm="1">
        <f t="array" ref="AJ23">ROUNDUP(SUMPRODUCT(($I$97:$I$100005=$AE23)*($AD$97:$AD$100005="Actual")*AJ$97:AJ$100005*$X$97:$X$100005),0)</f>
        <v>1</v>
      </c>
      <c r="AK23" s="98" cm="1">
        <f t="array" ref="AK23">ROUNDUP(SUMPRODUCT(($I$97:$I$100005=$AE23)*($AD$97:$AD$100005="Actual")*AK$97:AK$100005*$X$97:$X$100005),0)</f>
        <v>1</v>
      </c>
      <c r="AL23" s="98" cm="1">
        <f t="array" ref="AL23">ROUNDUP(SUMPRODUCT(($I$97:$I$100005=$AE23)*($AD$97:$AD$100005="Actual")*AL$97:AL$100005*$X$97:$X$100005),0)</f>
        <v>1</v>
      </c>
      <c r="AM23" s="98" cm="1">
        <f t="array" ref="AM23">ROUNDUP(SUMPRODUCT(($I$97:$I$100005=$AE23)*($AD$97:$AD$100005="Actual")*AM$97:AM$100005*$X$97:$X$100005),0)</f>
        <v>1</v>
      </c>
      <c r="AN23" s="99" cm="1">
        <f t="array" ref="AN23">ROUNDUP(SUMPRODUCT(($I$97:$I$100005=$AE23)*($AD$97:$AD$100005="Actual")*AN$97:AN$100005*$X$97:$X$100005),0)</f>
        <v>1</v>
      </c>
    </row>
    <row r="24" spans="20:40" hidden="1" outlineLevel="2" x14ac:dyDescent="0.2">
      <c r="T24" s="110"/>
      <c r="U24" s="110"/>
      <c r="V24" s="98"/>
      <c r="AD24" s="669"/>
      <c r="AE24" s="108" t="s">
        <v>75</v>
      </c>
      <c r="AF24" s="131" cm="1">
        <f t="array" ref="AF24">ROUNDUP(SUMPRODUCT(($I$97:$I$100005=$AE24)*($AD$97:$AD$100005="Actual")*AF$97:AF$100005*$X$97:$X$100005),0)</f>
        <v>2</v>
      </c>
      <c r="AG24" s="98" cm="1">
        <f t="array" ref="AG24">ROUNDUP(SUMPRODUCT(($I$97:$I$100005=$AE24)*($AD$97:$AD$100005="Actual")*AG$97:AG$100005*$X$97:$X$100005),0)</f>
        <v>2</v>
      </c>
      <c r="AH24" s="98" cm="1">
        <f t="array" ref="AH24">ROUNDUP(SUMPRODUCT(($I$97:$I$100005=$AE24)*($AD$97:$AD$100005="Actual")*AH$97:AH$100005*$X$97:$X$100005),0)</f>
        <v>1</v>
      </c>
      <c r="AI24" s="98" cm="1">
        <f t="array" ref="AI24">ROUNDUP(SUMPRODUCT(($I$97:$I$100005=$AE24)*($AD$97:$AD$100005="Actual")*AI$97:AI$100005*$X$97:$X$100005),0)</f>
        <v>1</v>
      </c>
      <c r="AJ24" s="98" cm="1">
        <f t="array" ref="AJ24">ROUNDUP(SUMPRODUCT(($I$97:$I$100005=$AE24)*($AD$97:$AD$100005="Actual")*AJ$97:AJ$100005*$X$97:$X$100005),0)</f>
        <v>1</v>
      </c>
      <c r="AK24" s="98" cm="1">
        <f t="array" ref="AK24">ROUNDUP(SUMPRODUCT(($I$97:$I$100005=$AE24)*($AD$97:$AD$100005="Actual")*AK$97:AK$100005*$X$97:$X$100005),0)</f>
        <v>1</v>
      </c>
      <c r="AL24" s="98" cm="1">
        <f t="array" ref="AL24">ROUNDUP(SUMPRODUCT(($I$97:$I$100005=$AE24)*($AD$97:$AD$100005="Actual")*AL$97:AL$100005*$X$97:$X$100005),0)</f>
        <v>1</v>
      </c>
      <c r="AM24" s="98" cm="1">
        <f t="array" ref="AM24">ROUNDUP(SUMPRODUCT(($I$97:$I$100005=$AE24)*($AD$97:$AD$100005="Actual")*AM$97:AM$100005*$X$97:$X$100005),0)</f>
        <v>1</v>
      </c>
      <c r="AN24" s="99" cm="1">
        <f t="array" ref="AN24">ROUNDUP(SUMPRODUCT(($I$97:$I$100005=$AE24)*($AD$97:$AD$100005="Actual")*AN$97:AN$100005*$X$97:$X$100005),0)</f>
        <v>0</v>
      </c>
    </row>
    <row r="25" spans="20:40" ht="12" hidden="1" outlineLevel="2" thickBot="1" x14ac:dyDescent="0.25">
      <c r="T25" s="110"/>
      <c r="U25" s="110"/>
      <c r="V25" s="98"/>
      <c r="AD25" s="669"/>
      <c r="AE25" s="108" t="s">
        <v>79</v>
      </c>
      <c r="AF25" s="132" cm="1">
        <f t="array" ref="AF25">ROUNDUP(SUMPRODUCT(($I$97:$I$100005=$AE25)*($AD$97:$AD$100005="Actual")*AF$97:AF$100005*$X$97:$X$100005),0)</f>
        <v>0</v>
      </c>
      <c r="AG25" s="133" cm="1">
        <f t="array" ref="AG25">ROUNDUP(SUMPRODUCT(($I$97:$I$100005=$AE25)*($AD$97:$AD$100005="Actual")*AG$97:AG$100005*$X$97:$X$100005),0)</f>
        <v>0</v>
      </c>
      <c r="AH25" s="133" cm="1">
        <f t="array" ref="AH25">ROUNDUP(SUMPRODUCT(($I$97:$I$100005=$AE25)*($AD$97:$AD$100005="Actual")*AH$97:AH$100005*$X$97:$X$100005),0)</f>
        <v>0</v>
      </c>
      <c r="AI25" s="133" cm="1">
        <f t="array" ref="AI25">ROUNDUP(SUMPRODUCT(($I$97:$I$100005=$AE25)*($AD$97:$AD$100005="Actual")*AI$97:AI$100005*$X$97:$X$100005),0)</f>
        <v>0</v>
      </c>
      <c r="AJ25" s="133" cm="1">
        <f t="array" ref="AJ25">ROUNDUP(SUMPRODUCT(($I$97:$I$100005=$AE25)*($AD$97:$AD$100005="Actual")*AJ$97:AJ$100005*$X$97:$X$100005),0)</f>
        <v>0</v>
      </c>
      <c r="AK25" s="133" cm="1">
        <f t="array" ref="AK25">ROUNDUP(SUMPRODUCT(($I$97:$I$100005=$AE25)*($AD$97:$AD$100005="Actual")*AK$97:AK$100005*$X$97:$X$100005),0)</f>
        <v>0</v>
      </c>
      <c r="AL25" s="133" cm="1">
        <f t="array" ref="AL25">ROUNDUP(SUMPRODUCT(($I$97:$I$100005=$AE25)*($AD$97:$AD$100005="Actual")*AL$97:AL$100005*$X$97:$X$100005),0)</f>
        <v>0</v>
      </c>
      <c r="AM25" s="133" cm="1">
        <f t="array" ref="AM25">ROUNDUP(SUMPRODUCT(($I$97:$I$100005=$AE25)*($AD$97:$AD$100005="Actual")*AM$97:AM$100005*$X$97:$X$100005),0)</f>
        <v>0</v>
      </c>
      <c r="AN25" s="134" cm="1">
        <f t="array" ref="AN25">ROUNDUP(SUMPRODUCT(($I$97:$I$100005=$AE25)*($AD$97:$AD$100005="Actual")*AN$97:AN$100005*$X$97:$X$100005),0)</f>
        <v>0</v>
      </c>
    </row>
    <row r="26" spans="20:40" hidden="1" outlineLevel="2" x14ac:dyDescent="0.2">
      <c r="T26" s="110"/>
      <c r="U26" s="110"/>
      <c r="V26" s="98"/>
      <c r="AD26" s="669"/>
      <c r="AE26" s="97" t="s">
        <v>26</v>
      </c>
      <c r="AF26" s="128">
        <f>+SUM(AF27:AF29)</f>
        <v>3</v>
      </c>
      <c r="AG26" s="129">
        <f t="shared" ref="AG26:AN26" si="8">+SUM(AG27:AG29)</f>
        <v>3</v>
      </c>
      <c r="AH26" s="129">
        <f t="shared" si="8"/>
        <v>3</v>
      </c>
      <c r="AI26" s="129">
        <f t="shared" si="8"/>
        <v>2</v>
      </c>
      <c r="AJ26" s="129">
        <f t="shared" si="8"/>
        <v>2</v>
      </c>
      <c r="AK26" s="129">
        <f t="shared" si="8"/>
        <v>2</v>
      </c>
      <c r="AL26" s="129">
        <f t="shared" si="8"/>
        <v>2</v>
      </c>
      <c r="AM26" s="129">
        <f t="shared" si="8"/>
        <v>2</v>
      </c>
      <c r="AN26" s="130">
        <f t="shared" si="8"/>
        <v>1</v>
      </c>
    </row>
    <row r="27" spans="20:40" hidden="1" outlineLevel="2" x14ac:dyDescent="0.2">
      <c r="T27" s="110"/>
      <c r="U27" s="110"/>
      <c r="V27" s="98"/>
      <c r="AD27" s="669"/>
      <c r="AE27" s="108" t="s">
        <v>71</v>
      </c>
      <c r="AF27" s="131" cm="1">
        <f t="array" ref="AF27">ROUNDUP(SUMPRODUCT(($I$97:$I$100005=$AE27)*($AD$97:$AD$100005="Actual")*AF$97:AF$100005*$Y$97:$Y$100005),0)</f>
        <v>1</v>
      </c>
      <c r="AG27" s="98" cm="1">
        <f t="array" ref="AG27">ROUNDUP(SUMPRODUCT(($I$97:$I$100005=$AE27)*($AD$97:$AD$100005="Actual")*AG$97:AG$100005*$Y$97:$Y$100005),0)</f>
        <v>1</v>
      </c>
      <c r="AH27" s="98" cm="1">
        <f t="array" ref="AH27">ROUNDUP(SUMPRODUCT(($I$97:$I$100005=$AE27)*($AD$97:$AD$100005="Actual")*AH$97:AH$100005*$Y$97:$Y$100005),0)</f>
        <v>1</v>
      </c>
      <c r="AI27" s="98" cm="1">
        <f t="array" ref="AI27">ROUNDUP(SUMPRODUCT(($I$97:$I$100005=$AE27)*($AD$97:$AD$100005="Actual")*AI$97:AI$100005*$Y$97:$Y$100005),0)</f>
        <v>1</v>
      </c>
      <c r="AJ27" s="98" cm="1">
        <f t="array" ref="AJ27">ROUNDUP(SUMPRODUCT(($I$97:$I$100005=$AE27)*($AD$97:$AD$100005="Actual")*AJ$97:AJ$100005*$Y$97:$Y$100005),0)</f>
        <v>1</v>
      </c>
      <c r="AK27" s="98" cm="1">
        <f t="array" ref="AK27">ROUNDUP(SUMPRODUCT(($I$97:$I$100005=$AE27)*($AD$97:$AD$100005="Actual")*AK$97:AK$100005*$Y$97:$Y$100005),0)</f>
        <v>1</v>
      </c>
      <c r="AL27" s="98" cm="1">
        <f t="array" ref="AL27">ROUNDUP(SUMPRODUCT(($I$97:$I$100005=$AE27)*($AD$97:$AD$100005="Actual")*AL$97:AL$100005*$Y$97:$Y$100005),0)</f>
        <v>1</v>
      </c>
      <c r="AM27" s="98" cm="1">
        <f t="array" ref="AM27">ROUNDUP(SUMPRODUCT(($I$97:$I$100005=$AE27)*($AD$97:$AD$100005="Actual")*AM$97:AM$100005*$Y$97:$Y$100005),0)</f>
        <v>1</v>
      </c>
      <c r="AN27" s="99" cm="1">
        <f t="array" ref="AN27">ROUNDUP(SUMPRODUCT(($I$97:$I$100005=$AE27)*($AD$97:$AD$100005="Actual")*AN$97:AN$100005*$Y$97:$Y$100005),0)</f>
        <v>1</v>
      </c>
    </row>
    <row r="28" spans="20:40" hidden="1" outlineLevel="2" x14ac:dyDescent="0.2">
      <c r="T28" s="110"/>
      <c r="U28" s="110"/>
      <c r="V28" s="98"/>
      <c r="AD28" s="669"/>
      <c r="AE28" s="108" t="s">
        <v>75</v>
      </c>
      <c r="AF28" s="131" cm="1">
        <f t="array" ref="AF28">ROUNDUP(SUMPRODUCT(($I$97:$I$100005=$AE28)*($AD$97:$AD$100005="Actual")*AF$97:AF$100005*$Y$97:$Y$100005),0)</f>
        <v>2</v>
      </c>
      <c r="AG28" s="98" cm="1">
        <f t="array" ref="AG28">ROUNDUP(SUMPRODUCT(($I$97:$I$100005=$AE28)*($AD$97:$AD$100005="Actual")*AG$97:AG$100005*$Y$97:$Y$100005),0)</f>
        <v>2</v>
      </c>
      <c r="AH28" s="98" cm="1">
        <f t="array" ref="AH28">ROUNDUP(SUMPRODUCT(($I$97:$I$100005=$AE28)*($AD$97:$AD$100005="Actual")*AH$97:AH$100005*$Y$97:$Y$100005),0)</f>
        <v>2</v>
      </c>
      <c r="AI28" s="98" cm="1">
        <f t="array" ref="AI28">ROUNDUP(SUMPRODUCT(($I$97:$I$100005=$AE28)*($AD$97:$AD$100005="Actual")*AI$97:AI$100005*$Y$97:$Y$100005),0)</f>
        <v>1</v>
      </c>
      <c r="AJ28" s="98" cm="1">
        <f t="array" ref="AJ28">ROUNDUP(SUMPRODUCT(($I$97:$I$100005=$AE28)*($AD$97:$AD$100005="Actual")*AJ$97:AJ$100005*$Y$97:$Y$100005),0)</f>
        <v>1</v>
      </c>
      <c r="AK28" s="98" cm="1">
        <f t="array" ref="AK28">ROUNDUP(SUMPRODUCT(($I$97:$I$100005=$AE28)*($AD$97:$AD$100005="Actual")*AK$97:AK$100005*$Y$97:$Y$100005),0)</f>
        <v>1</v>
      </c>
      <c r="AL28" s="98" cm="1">
        <f t="array" ref="AL28">ROUNDUP(SUMPRODUCT(($I$97:$I$100005=$AE28)*($AD$97:$AD$100005="Actual")*AL$97:AL$100005*$Y$97:$Y$100005),0)</f>
        <v>1</v>
      </c>
      <c r="AM28" s="98" cm="1">
        <f t="array" ref="AM28">ROUNDUP(SUMPRODUCT(($I$97:$I$100005=$AE28)*($AD$97:$AD$100005="Actual")*AM$97:AM$100005*$Y$97:$Y$100005),0)</f>
        <v>1</v>
      </c>
      <c r="AN28" s="99" cm="1">
        <f t="array" ref="AN28">ROUNDUP(SUMPRODUCT(($I$97:$I$100005=$AE28)*($AD$97:$AD$100005="Actual")*AN$97:AN$100005*$Y$97:$Y$100005),0)</f>
        <v>0</v>
      </c>
    </row>
    <row r="29" spans="20:40" ht="12" hidden="1" outlineLevel="2" thickBot="1" x14ac:dyDescent="0.25">
      <c r="T29" s="110"/>
      <c r="U29" s="110"/>
      <c r="V29" s="98"/>
      <c r="AD29" s="669"/>
      <c r="AE29" s="108" t="s">
        <v>79</v>
      </c>
      <c r="AF29" s="132" cm="1">
        <f t="array" ref="AF29">ROUNDUP(SUMPRODUCT(($I$97:$I$100005=$AE29)*($AD$97:$AD$100005="Actual")*AF$97:AF$100005*$Y$97:$Y$100005),0)</f>
        <v>0</v>
      </c>
      <c r="AG29" s="98" cm="1">
        <f t="array" ref="AG29">ROUNDUP(SUMPRODUCT(($I$97:$I$100005=$AE29)*($AD$97:$AD$100005="Actual")*AG$97:AG$100005*$Y$97:$Y$100005),0)</f>
        <v>0</v>
      </c>
      <c r="AH29" s="98" cm="1">
        <f t="array" ref="AH29">ROUNDUP(SUMPRODUCT(($I$97:$I$100005=$AE29)*($AD$97:$AD$100005="Actual")*AH$97:AH$100005*$Y$97:$Y$100005),0)</f>
        <v>0</v>
      </c>
      <c r="AI29" s="98" cm="1">
        <f t="array" ref="AI29">ROUNDUP(SUMPRODUCT(($I$97:$I$100005=$AE29)*($AD$97:$AD$100005="Actual")*AI$97:AI$100005*$Y$97:$Y$100005),0)</f>
        <v>0</v>
      </c>
      <c r="AJ29" s="98" cm="1">
        <f t="array" ref="AJ29">ROUNDUP(SUMPRODUCT(($I$97:$I$100005=$AE29)*($AD$97:$AD$100005="Actual")*AJ$97:AJ$100005*$Y$97:$Y$100005),0)</f>
        <v>0</v>
      </c>
      <c r="AK29" s="98" cm="1">
        <f t="array" ref="AK29">ROUNDUP(SUMPRODUCT(($I$97:$I$100005=$AE29)*($AD$97:$AD$100005="Actual")*AK$97:AK$100005*$Y$97:$Y$100005),0)</f>
        <v>0</v>
      </c>
      <c r="AL29" s="98" cm="1">
        <f t="array" ref="AL29">ROUNDUP(SUMPRODUCT(($I$97:$I$100005=$AE29)*($AD$97:$AD$100005="Actual")*AL$97:AL$100005*$Y$97:$Y$100005),0)</f>
        <v>0</v>
      </c>
      <c r="AM29" s="98" cm="1">
        <f t="array" ref="AM29">ROUNDUP(SUMPRODUCT(($I$97:$I$100005=$AE29)*($AD$97:$AD$100005="Actual")*AM$97:AM$100005*$Y$97:$Y$100005),0)</f>
        <v>0</v>
      </c>
      <c r="AN29" s="99" cm="1">
        <f t="array" ref="AN29">ROUNDUP(SUMPRODUCT(($I$97:$I$100005=$AE29)*($AD$97:$AD$100005="Actual")*AN$97:AN$100005*$Y$97:$Y$100005),0)</f>
        <v>0</v>
      </c>
    </row>
    <row r="30" spans="20:40" hidden="1" outlineLevel="2" x14ac:dyDescent="0.2">
      <c r="T30" s="110"/>
      <c r="U30" s="110"/>
      <c r="V30" s="98"/>
      <c r="AD30" s="669"/>
      <c r="AE30" s="97" t="s">
        <v>27</v>
      </c>
      <c r="AF30" s="128">
        <f>+SUM(AF31:AF33)</f>
        <v>3</v>
      </c>
      <c r="AG30" s="129">
        <f t="shared" ref="AG30:AN30" si="9">+SUM(AG31:AG33)</f>
        <v>3</v>
      </c>
      <c r="AH30" s="129">
        <f t="shared" si="9"/>
        <v>2</v>
      </c>
      <c r="AI30" s="129">
        <f t="shared" si="9"/>
        <v>2</v>
      </c>
      <c r="AJ30" s="129">
        <f t="shared" si="9"/>
        <v>2</v>
      </c>
      <c r="AK30" s="129">
        <f t="shared" si="9"/>
        <v>2</v>
      </c>
      <c r="AL30" s="129">
        <f t="shared" si="9"/>
        <v>2</v>
      </c>
      <c r="AM30" s="129">
        <f t="shared" si="9"/>
        <v>2</v>
      </c>
      <c r="AN30" s="130">
        <f t="shared" si="9"/>
        <v>1</v>
      </c>
    </row>
    <row r="31" spans="20:40" hidden="1" outlineLevel="2" x14ac:dyDescent="0.2">
      <c r="T31" s="110"/>
      <c r="U31" s="110"/>
      <c r="V31" s="98"/>
      <c r="AD31" s="669"/>
      <c r="AE31" s="108" t="s">
        <v>71</v>
      </c>
      <c r="AF31" s="131" cm="1">
        <f t="array" ref="AF31">ROUNDUP(SUMPRODUCT(($I$97:$I$100005=$AE31)*($AD$97:$AD$100005="Actual")*AF$97:AF$100005*$Z$97:$Z$100005),0)</f>
        <v>1</v>
      </c>
      <c r="AG31" s="98" cm="1">
        <f t="array" ref="AG31">ROUNDUP(SUMPRODUCT(($I$97:$I$100005=$AE31)*($AD$97:$AD$100005="Actual")*AG$97:AG$100005*$Z$97:$Z$100005),0)</f>
        <v>1</v>
      </c>
      <c r="AH31" s="98" cm="1">
        <f t="array" ref="AH31">ROUNDUP(SUMPRODUCT(($I$97:$I$100005=$AE31)*($AD$97:$AD$100005="Actual")*AH$97:AH$100005*$Z$97:$Z$100005),0)</f>
        <v>1</v>
      </c>
      <c r="AI31" s="98" cm="1">
        <f t="array" ref="AI31">ROUNDUP(SUMPRODUCT(($I$97:$I$100005=$AE31)*($AD$97:$AD$100005="Actual")*AI$97:AI$100005*$Z$97:$Z$100005),0)</f>
        <v>1</v>
      </c>
      <c r="AJ31" s="98" cm="1">
        <f t="array" ref="AJ31">ROUNDUP(SUMPRODUCT(($I$97:$I$100005=$AE31)*($AD$97:$AD$100005="Actual")*AJ$97:AJ$100005*$Z$97:$Z$100005),0)</f>
        <v>1</v>
      </c>
      <c r="AK31" s="98" cm="1">
        <f t="array" ref="AK31">ROUNDUP(SUMPRODUCT(($I$97:$I$100005=$AE31)*($AD$97:$AD$100005="Actual")*AK$97:AK$100005*$Z$97:$Z$100005),0)</f>
        <v>1</v>
      </c>
      <c r="AL31" s="98" cm="1">
        <f t="array" ref="AL31">ROUNDUP(SUMPRODUCT(($I$97:$I$100005=$AE31)*($AD$97:$AD$100005="Actual")*AL$97:AL$100005*$Z$97:$Z$100005),0)</f>
        <v>1</v>
      </c>
      <c r="AM31" s="98" cm="1">
        <f t="array" ref="AM31">ROUNDUP(SUMPRODUCT(($I$97:$I$100005=$AE31)*($AD$97:$AD$100005="Actual")*AM$97:AM$100005*$Z$97:$Z$100005),0)</f>
        <v>1</v>
      </c>
      <c r="AN31" s="99" cm="1">
        <f t="array" ref="AN31">ROUNDUP(SUMPRODUCT(($I$97:$I$100005=$AE31)*($AD$97:$AD$100005="Actual")*AN$97:AN$100005*$Z$97:$Z$100005),0)</f>
        <v>1</v>
      </c>
    </row>
    <row r="32" spans="20:40" hidden="1" outlineLevel="2" x14ac:dyDescent="0.2">
      <c r="T32" s="110"/>
      <c r="U32" s="110"/>
      <c r="V32" s="98"/>
      <c r="AD32" s="669"/>
      <c r="AE32" s="108" t="s">
        <v>75</v>
      </c>
      <c r="AF32" s="131" cm="1">
        <f t="array" ref="AF32">ROUNDUP(SUMPRODUCT(($I$97:$I$100005=$AE32)*($AD$97:$AD$100005="Actual")*AF$97:AF$100005*$Z$97:$Z$100005),0)</f>
        <v>2</v>
      </c>
      <c r="AG32" s="98" cm="1">
        <f t="array" ref="AG32">ROUNDUP(SUMPRODUCT(($I$97:$I$100005=$AE32)*($AD$97:$AD$100005="Actual")*AG$97:AG$100005*$Z$97:$Z$100005),0)</f>
        <v>2</v>
      </c>
      <c r="AH32" s="98" cm="1">
        <f t="array" ref="AH32">ROUNDUP(SUMPRODUCT(($I$97:$I$100005=$AE32)*($AD$97:$AD$100005="Actual")*AH$97:AH$100005*$Z$97:$Z$100005),0)</f>
        <v>1</v>
      </c>
      <c r="AI32" s="98" cm="1">
        <f t="array" ref="AI32">ROUNDUP(SUMPRODUCT(($I$97:$I$100005=$AE32)*($AD$97:$AD$100005="Actual")*AI$97:AI$100005*$Z$97:$Z$100005),0)</f>
        <v>1</v>
      </c>
      <c r="AJ32" s="98" cm="1">
        <f t="array" ref="AJ32">ROUNDUP(SUMPRODUCT(($I$97:$I$100005=$AE32)*($AD$97:$AD$100005="Actual")*AJ$97:AJ$100005*$Z$97:$Z$100005),0)</f>
        <v>1</v>
      </c>
      <c r="AK32" s="98" cm="1">
        <f t="array" ref="AK32">ROUNDUP(SUMPRODUCT(($I$97:$I$100005=$AE32)*($AD$97:$AD$100005="Actual")*AK$97:AK$100005*$Z$97:$Z$100005),0)</f>
        <v>1</v>
      </c>
      <c r="AL32" s="98" cm="1">
        <f t="array" ref="AL32">ROUNDUP(SUMPRODUCT(($I$97:$I$100005=$AE32)*($AD$97:$AD$100005="Actual")*AL$97:AL$100005*$Z$97:$Z$100005),0)</f>
        <v>1</v>
      </c>
      <c r="AM32" s="98" cm="1">
        <f t="array" ref="AM32">ROUNDUP(SUMPRODUCT(($I$97:$I$100005=$AE32)*($AD$97:$AD$100005="Actual")*AM$97:AM$100005*$Z$97:$Z$100005),0)</f>
        <v>1</v>
      </c>
      <c r="AN32" s="99" cm="1">
        <f t="array" ref="AN32">ROUNDUP(SUMPRODUCT(($I$97:$I$100005=$AE32)*($AD$97:$AD$100005="Actual")*AN$97:AN$100005*$Z$97:$Z$100005),0)</f>
        <v>0</v>
      </c>
    </row>
    <row r="33" spans="20:40" ht="12" hidden="1" outlineLevel="2" thickBot="1" x14ac:dyDescent="0.25">
      <c r="T33" s="110"/>
      <c r="U33" s="110"/>
      <c r="V33" s="98"/>
      <c r="AD33" s="669"/>
      <c r="AE33" s="108" t="s">
        <v>79</v>
      </c>
      <c r="AF33" s="131" cm="1">
        <f t="array" ref="AF33">ROUNDUP(SUMPRODUCT(($I$97:$I$100005=$AE33)*($AD$97:$AD$100005="Actual")*AF$97:AF$100005*$Z$97:$Z$100005),0)</f>
        <v>0</v>
      </c>
      <c r="AG33" s="98" cm="1">
        <f t="array" ref="AG33">ROUNDUP(SUMPRODUCT(($I$97:$I$100005=$AE33)*($AD$97:$AD$100005="Actual")*AG$97:AG$100005*$Z$97:$Z$100005),0)</f>
        <v>0</v>
      </c>
      <c r="AH33" s="98" cm="1">
        <f t="array" ref="AH33">ROUNDUP(SUMPRODUCT(($I$97:$I$100005=$AE33)*($AD$97:$AD$100005="Actual")*AH$97:AH$100005*$Z$97:$Z$100005),0)</f>
        <v>0</v>
      </c>
      <c r="AI33" s="98" cm="1">
        <f t="array" ref="AI33">ROUNDUP(SUMPRODUCT(($I$97:$I$100005=$AE33)*($AD$97:$AD$100005="Actual")*AI$97:AI$100005*$Z$97:$Z$100005),0)</f>
        <v>0</v>
      </c>
      <c r="AJ33" s="98" cm="1">
        <f t="array" ref="AJ33">ROUNDUP(SUMPRODUCT(($I$97:$I$100005=$AE33)*($AD$97:$AD$100005="Actual")*AJ$97:AJ$100005*$Z$97:$Z$100005),0)</f>
        <v>0</v>
      </c>
      <c r="AK33" s="98" cm="1">
        <f t="array" ref="AK33">ROUNDUP(SUMPRODUCT(($I$97:$I$100005=$AE33)*($AD$97:$AD$100005="Actual")*AK$97:AK$100005*$Z$97:$Z$100005),0)</f>
        <v>0</v>
      </c>
      <c r="AL33" s="98" cm="1">
        <f t="array" ref="AL33">ROUNDUP(SUMPRODUCT(($I$97:$I$100005=$AE33)*($AD$97:$AD$100005="Actual")*AL$97:AL$100005*$Z$97:$Z$100005),0)</f>
        <v>0</v>
      </c>
      <c r="AM33" s="98" cm="1">
        <f t="array" ref="AM33">ROUNDUP(SUMPRODUCT(($I$97:$I$100005=$AE33)*($AD$97:$AD$100005="Actual")*AM$97:AM$100005*$Z$97:$Z$100005),0)</f>
        <v>0</v>
      </c>
      <c r="AN33" s="99" cm="1">
        <f t="array" ref="AN33">ROUNDUP(SUMPRODUCT(($I$97:$I$100005=$AE33)*($AD$97:$AD$100005="Actual")*AN$97:AN$100005*$Z$97:$Z$100005),0)</f>
        <v>0</v>
      </c>
    </row>
    <row r="34" spans="20:40" hidden="1" outlineLevel="2" x14ac:dyDescent="0.2">
      <c r="T34" s="110"/>
      <c r="U34" s="110"/>
      <c r="V34" s="98"/>
      <c r="AD34" s="669"/>
      <c r="AE34" s="97" t="s">
        <v>28</v>
      </c>
      <c r="AF34" s="128">
        <f>+SUM(AF35:AF37)</f>
        <v>6</v>
      </c>
      <c r="AG34" s="129">
        <f t="shared" ref="AG34:AN34" si="10">+SUM(AG35:AG37)</f>
        <v>6</v>
      </c>
      <c r="AH34" s="129">
        <f t="shared" si="10"/>
        <v>4</v>
      </c>
      <c r="AI34" s="129">
        <f t="shared" si="10"/>
        <v>3</v>
      </c>
      <c r="AJ34" s="129">
        <f t="shared" si="10"/>
        <v>2</v>
      </c>
      <c r="AK34" s="129">
        <f t="shared" si="10"/>
        <v>2</v>
      </c>
      <c r="AL34" s="129">
        <f t="shared" si="10"/>
        <v>2</v>
      </c>
      <c r="AM34" s="129">
        <f t="shared" si="10"/>
        <v>2</v>
      </c>
      <c r="AN34" s="130">
        <f t="shared" si="10"/>
        <v>1</v>
      </c>
    </row>
    <row r="35" spans="20:40" hidden="1" outlineLevel="2" x14ac:dyDescent="0.2">
      <c r="T35" s="110"/>
      <c r="U35" s="110"/>
      <c r="V35" s="98"/>
      <c r="AD35" s="669"/>
      <c r="AE35" s="108" t="s">
        <v>71</v>
      </c>
      <c r="AF35" s="131" cm="1">
        <f t="array" ref="AF35">ROUNDUP(SUMPRODUCT(($I$97:$I$100005=$AE35)*($AD$97:$AD$100005="Actual")*AF$97:AF$100005*$AA$97:$AA$100005),0)</f>
        <v>2</v>
      </c>
      <c r="AG35" s="98" cm="1">
        <f t="array" ref="AG35">ROUNDUP(SUMPRODUCT(($I$97:$I$100005=$AE35)*($AD$97:$AD$100005="Actual")*AG$97:AG$100005*$AA$97:$AA$100005),0)</f>
        <v>2</v>
      </c>
      <c r="AH35" s="98" cm="1">
        <f t="array" ref="AH35">ROUNDUP(SUMPRODUCT(($I$97:$I$100005=$AE35)*($AD$97:$AD$100005="Actual")*AH$97:AH$100005*$AA$97:$AA$100005),0)</f>
        <v>1</v>
      </c>
      <c r="AI35" s="98" cm="1">
        <f t="array" ref="AI35">ROUNDUP(SUMPRODUCT(($I$97:$I$100005=$AE35)*($AD$97:$AD$100005="Actual")*AI$97:AI$100005*$AA$97:$AA$100005),0)</f>
        <v>1</v>
      </c>
      <c r="AJ35" s="98" cm="1">
        <f t="array" ref="AJ35">ROUNDUP(SUMPRODUCT(($I$97:$I$100005=$AE35)*($AD$97:$AD$100005="Actual")*AJ$97:AJ$100005*$AA$97:$AA$100005),0)</f>
        <v>1</v>
      </c>
      <c r="AK35" s="98" cm="1">
        <f t="array" ref="AK35">ROUNDUP(SUMPRODUCT(($I$97:$I$100005=$AE35)*($AD$97:$AD$100005="Actual")*AK$97:AK$100005*$AA$97:$AA$100005),0)</f>
        <v>1</v>
      </c>
      <c r="AL35" s="98" cm="1">
        <f t="array" ref="AL35">ROUNDUP(SUMPRODUCT(($I$97:$I$100005=$AE35)*($AD$97:$AD$100005="Actual")*AL$97:AL$100005*$AA$97:$AA$100005),0)</f>
        <v>1</v>
      </c>
      <c r="AM35" s="98" cm="1">
        <f t="array" ref="AM35">ROUNDUP(SUMPRODUCT(($I$97:$I$100005=$AE35)*($AD$97:$AD$100005="Actual")*AM$97:AM$100005*$AA$97:$AA$100005),0)</f>
        <v>1</v>
      </c>
      <c r="AN35" s="99" cm="1">
        <f t="array" ref="AN35">ROUNDUP(SUMPRODUCT(($I$97:$I$100005=$AE35)*($AD$97:$AD$100005="Actual")*AN$97:AN$100005*$AA$97:$AA$100005),0)</f>
        <v>1</v>
      </c>
    </row>
    <row r="36" spans="20:40" hidden="1" outlineLevel="2" x14ac:dyDescent="0.2">
      <c r="T36" s="110"/>
      <c r="U36" s="110"/>
      <c r="V36" s="98"/>
      <c r="AD36" s="669"/>
      <c r="AE36" s="108" t="s">
        <v>75</v>
      </c>
      <c r="AF36" s="131" cm="1">
        <f t="array" ref="AF36">ROUNDUP(SUMPRODUCT(($I$97:$I$100005=$AE36)*($AD$97:$AD$100005="Actual")*AF$97:AF$100005*$AA$97:$AA$100005),0)</f>
        <v>4</v>
      </c>
      <c r="AG36" s="98" cm="1">
        <f t="array" ref="AG36">ROUNDUP(SUMPRODUCT(($I$97:$I$100005=$AE36)*($AD$97:$AD$100005="Actual")*AG$97:AG$100005*$AA$97:$AA$100005),0)</f>
        <v>4</v>
      </c>
      <c r="AH36" s="98" cm="1">
        <f t="array" ref="AH36">ROUNDUP(SUMPRODUCT(($I$97:$I$100005=$AE36)*($AD$97:$AD$100005="Actual")*AH$97:AH$100005*$AA$97:$AA$100005),0)</f>
        <v>3</v>
      </c>
      <c r="AI36" s="98" cm="1">
        <f t="array" ref="AI36">ROUNDUP(SUMPRODUCT(($I$97:$I$100005=$AE36)*($AD$97:$AD$100005="Actual")*AI$97:AI$100005*$AA$97:$AA$100005),0)</f>
        <v>2</v>
      </c>
      <c r="AJ36" s="98" cm="1">
        <f t="array" ref="AJ36">ROUNDUP(SUMPRODUCT(($I$97:$I$100005=$AE36)*($AD$97:$AD$100005="Actual")*AJ$97:AJ$100005*$AA$97:$AA$100005),0)</f>
        <v>1</v>
      </c>
      <c r="AK36" s="98" cm="1">
        <f t="array" ref="AK36">ROUNDUP(SUMPRODUCT(($I$97:$I$100005=$AE36)*($AD$97:$AD$100005="Actual")*AK$97:AK$100005*$AA$97:$AA$100005),0)</f>
        <v>1</v>
      </c>
      <c r="AL36" s="98" cm="1">
        <f t="array" ref="AL36">ROUNDUP(SUMPRODUCT(($I$97:$I$100005=$AE36)*($AD$97:$AD$100005="Actual")*AL$97:AL$100005*$AA$97:$AA$100005),0)</f>
        <v>1</v>
      </c>
      <c r="AM36" s="98" cm="1">
        <f t="array" ref="AM36">ROUNDUP(SUMPRODUCT(($I$97:$I$100005=$AE36)*($AD$97:$AD$100005="Actual")*AM$97:AM$100005*$AA$97:$AA$100005),0)</f>
        <v>1</v>
      </c>
      <c r="AN36" s="99" cm="1">
        <f t="array" ref="AN36">ROUNDUP(SUMPRODUCT(($I$97:$I$100005=$AE36)*($AD$97:$AD$100005="Actual")*AN$97:AN$100005*$AA$97:$AA$100005),0)</f>
        <v>0</v>
      </c>
    </row>
    <row r="37" spans="20:40" ht="12" hidden="1" outlineLevel="2" thickBot="1" x14ac:dyDescent="0.25">
      <c r="T37" s="110"/>
      <c r="U37" s="110"/>
      <c r="V37" s="98"/>
      <c r="AD37" s="669"/>
      <c r="AE37" s="108" t="s">
        <v>79</v>
      </c>
      <c r="AF37" s="131" cm="1">
        <f t="array" ref="AF37">ROUNDUP(SUMPRODUCT(($I$97:$I$100005=$AE37)*($AD$97:$AD$100005="Actual")*AF$97:AF$100005*$AA$97:$AA$100005),0)</f>
        <v>0</v>
      </c>
      <c r="AG37" s="98" cm="1">
        <f t="array" ref="AG37">ROUNDUP(SUMPRODUCT(($I$97:$I$100005=$AE37)*($AD$97:$AD$100005="Actual")*AG$97:AG$100005*$AA$97:$AA$100005),0)</f>
        <v>0</v>
      </c>
      <c r="AH37" s="98" cm="1">
        <f t="array" ref="AH37">ROUNDUP(SUMPRODUCT(($I$97:$I$100005=$AE37)*($AD$97:$AD$100005="Actual")*AH$97:AH$100005*$AA$97:$AA$100005),0)</f>
        <v>0</v>
      </c>
      <c r="AI37" s="98" cm="1">
        <f t="array" ref="AI37">ROUNDUP(SUMPRODUCT(($I$97:$I$100005=$AE37)*($AD$97:$AD$100005="Actual")*AI$97:AI$100005*$AA$97:$AA$100005),0)</f>
        <v>0</v>
      </c>
      <c r="AJ37" s="98" cm="1">
        <f t="array" ref="AJ37">ROUNDUP(SUMPRODUCT(($I$97:$I$100005=$AE37)*($AD$97:$AD$100005="Actual")*AJ$97:AJ$100005*$AA$97:$AA$100005),0)</f>
        <v>0</v>
      </c>
      <c r="AK37" s="98" cm="1">
        <f t="array" ref="AK37">ROUNDUP(SUMPRODUCT(($I$97:$I$100005=$AE37)*($AD$97:$AD$100005="Actual")*AK$97:AK$100005*$AA$97:$AA$100005),0)</f>
        <v>0</v>
      </c>
      <c r="AL37" s="98" cm="1">
        <f t="array" ref="AL37">ROUNDUP(SUMPRODUCT(($I$97:$I$100005=$AE37)*($AD$97:$AD$100005="Actual")*AL$97:AL$100005*$AA$97:$AA$100005),0)</f>
        <v>0</v>
      </c>
      <c r="AM37" s="98" cm="1">
        <f t="array" ref="AM37">ROUNDUP(SUMPRODUCT(($I$97:$I$100005=$AE37)*($AD$97:$AD$100005="Actual")*AM$97:AM$100005*$AA$97:$AA$100005),0)</f>
        <v>0</v>
      </c>
      <c r="AN37" s="99" cm="1">
        <f t="array" ref="AN37">ROUNDUP(SUMPRODUCT(($I$97:$I$100005=$AE37)*($AD$97:$AD$100005="Actual")*AN$97:AN$100005*$AA$97:$AA$100005),0)</f>
        <v>0</v>
      </c>
    </row>
    <row r="38" spans="20:40" hidden="1" outlineLevel="2" x14ac:dyDescent="0.2">
      <c r="T38" s="110"/>
      <c r="U38" s="110"/>
      <c r="V38" s="98"/>
      <c r="AD38" s="669"/>
      <c r="AE38" s="97" t="s">
        <v>29</v>
      </c>
      <c r="AF38" s="128">
        <f>+SUM(AF39:AF41)</f>
        <v>4</v>
      </c>
      <c r="AG38" s="129">
        <f t="shared" ref="AG38:AN38" si="11">+SUM(AG39:AG41)</f>
        <v>3</v>
      </c>
      <c r="AH38" s="129">
        <f t="shared" si="11"/>
        <v>3</v>
      </c>
      <c r="AI38" s="129">
        <f t="shared" si="11"/>
        <v>3</v>
      </c>
      <c r="AJ38" s="129">
        <f t="shared" si="11"/>
        <v>2</v>
      </c>
      <c r="AK38" s="129">
        <f t="shared" si="11"/>
        <v>2</v>
      </c>
      <c r="AL38" s="129">
        <f t="shared" si="11"/>
        <v>2</v>
      </c>
      <c r="AM38" s="129">
        <f t="shared" si="11"/>
        <v>2</v>
      </c>
      <c r="AN38" s="130">
        <f t="shared" si="11"/>
        <v>1</v>
      </c>
    </row>
    <row r="39" spans="20:40" hidden="1" outlineLevel="2" x14ac:dyDescent="0.2">
      <c r="T39" s="110"/>
      <c r="U39" s="110"/>
      <c r="V39" s="98"/>
      <c r="AD39" s="669"/>
      <c r="AE39" s="108" t="s">
        <v>71</v>
      </c>
      <c r="AF39" s="131" cm="1">
        <f t="array" ref="AF39">ROUNDUP(SUMPRODUCT(($I$97:$I$100005=$AE39)*($AD$97:$AD$100005="Actual")*AF$97:AF$100005*$AB$97:$AB$100005),0)</f>
        <v>2</v>
      </c>
      <c r="AG39" s="98" cm="1">
        <f t="array" ref="AG39">ROUNDUP(SUMPRODUCT(($I$97:$I$100005=$AE39)*($AD$97:$AD$100005="Actual")*AG$97:AG$100005*$AB$97:$AB$100005),0)</f>
        <v>1</v>
      </c>
      <c r="AH39" s="98" cm="1">
        <f t="array" ref="AH39">ROUNDUP(SUMPRODUCT(($I$97:$I$100005=$AE39)*($AD$97:$AD$100005="Actual")*AH$97:AH$100005*$AB$97:$AB$100005),0)</f>
        <v>1</v>
      </c>
      <c r="AI39" s="98" cm="1">
        <f t="array" ref="AI39">ROUNDUP(SUMPRODUCT(($I$97:$I$100005=$AE39)*($AD$97:$AD$100005="Actual")*AI$97:AI$100005*$AB$97:$AB$100005),0)</f>
        <v>1</v>
      </c>
      <c r="AJ39" s="98" cm="1">
        <f t="array" ref="AJ39">ROUNDUP(SUMPRODUCT(($I$97:$I$100005=$AE39)*($AD$97:$AD$100005="Actual")*AJ$97:AJ$100005*$AB$97:$AB$100005),0)</f>
        <v>1</v>
      </c>
      <c r="AK39" s="98" cm="1">
        <f t="array" ref="AK39">ROUNDUP(SUMPRODUCT(($I$97:$I$100005=$AE39)*($AD$97:$AD$100005="Actual")*AK$97:AK$100005*$AB$97:$AB$100005),0)</f>
        <v>1</v>
      </c>
      <c r="AL39" s="98" cm="1">
        <f t="array" ref="AL39">ROUNDUP(SUMPRODUCT(($I$97:$I$100005=$AE39)*($AD$97:$AD$100005="Actual")*AL$97:AL$100005*$AB$97:$AB$100005),0)</f>
        <v>1</v>
      </c>
      <c r="AM39" s="98" cm="1">
        <f t="array" ref="AM39">ROUNDUP(SUMPRODUCT(($I$97:$I$100005=$AE39)*($AD$97:$AD$100005="Actual")*AM$97:AM$100005*$AB$97:$AB$100005),0)</f>
        <v>1</v>
      </c>
      <c r="AN39" s="99" cm="1">
        <f t="array" ref="AN39">ROUNDUP(SUMPRODUCT(($I$97:$I$100005=$AE39)*($AD$97:$AD$100005="Actual")*AN$97:AN$100005*$AB$97:$AB$100005),0)</f>
        <v>1</v>
      </c>
    </row>
    <row r="40" spans="20:40" hidden="1" outlineLevel="2" x14ac:dyDescent="0.2">
      <c r="T40" s="110"/>
      <c r="U40" s="110"/>
      <c r="V40" s="98"/>
      <c r="AD40" s="669"/>
      <c r="AE40" s="108" t="s">
        <v>75</v>
      </c>
      <c r="AF40" s="131" cm="1">
        <f t="array" ref="AF40">ROUNDUP(SUMPRODUCT(($I$97:$I$100005=$AE40)*($AD$97:$AD$100005="Actual")*AF$97:AF$100005*$AB$97:$AB$100005),0)</f>
        <v>2</v>
      </c>
      <c r="AG40" s="98" cm="1">
        <f t="array" ref="AG40">ROUNDUP(SUMPRODUCT(($I$97:$I$100005=$AE40)*($AD$97:$AD$100005="Actual")*AG$97:AG$100005*$AB$97:$AB$100005),0)</f>
        <v>2</v>
      </c>
      <c r="AH40" s="98" cm="1">
        <f t="array" ref="AH40">ROUNDUP(SUMPRODUCT(($I$97:$I$100005=$AE40)*($AD$97:$AD$100005="Actual")*AH$97:AH$100005*$AB$97:$AB$100005),0)</f>
        <v>2</v>
      </c>
      <c r="AI40" s="98" cm="1">
        <f t="array" ref="AI40">ROUNDUP(SUMPRODUCT(($I$97:$I$100005=$AE40)*($AD$97:$AD$100005="Actual")*AI$97:AI$100005*$AB$97:$AB$100005),0)</f>
        <v>2</v>
      </c>
      <c r="AJ40" s="98" cm="1">
        <f t="array" ref="AJ40">ROUNDUP(SUMPRODUCT(($I$97:$I$100005=$AE40)*($AD$97:$AD$100005="Actual")*AJ$97:AJ$100005*$AB$97:$AB$100005),0)</f>
        <v>1</v>
      </c>
      <c r="AK40" s="98" cm="1">
        <f t="array" ref="AK40">ROUNDUP(SUMPRODUCT(($I$97:$I$100005=$AE40)*($AD$97:$AD$100005="Actual")*AK$97:AK$100005*$AB$97:$AB$100005),0)</f>
        <v>1</v>
      </c>
      <c r="AL40" s="98" cm="1">
        <f t="array" ref="AL40">ROUNDUP(SUMPRODUCT(($I$97:$I$100005=$AE40)*($AD$97:$AD$100005="Actual")*AL$97:AL$100005*$AB$97:$AB$100005),0)</f>
        <v>1</v>
      </c>
      <c r="AM40" s="98" cm="1">
        <f t="array" ref="AM40">ROUNDUP(SUMPRODUCT(($I$97:$I$100005=$AE40)*($AD$97:$AD$100005="Actual")*AM$97:AM$100005*$AB$97:$AB$100005),0)</f>
        <v>1</v>
      </c>
      <c r="AN40" s="99" cm="1">
        <f t="array" ref="AN40">ROUNDUP(SUMPRODUCT(($I$97:$I$100005=$AE40)*($AD$97:$AD$100005="Actual")*AN$97:AN$100005*$AB$97:$AB$100005),0)</f>
        <v>0</v>
      </c>
    </row>
    <row r="41" spans="20:40" ht="12" hidden="1" outlineLevel="2" thickBot="1" x14ac:dyDescent="0.25">
      <c r="T41" s="110"/>
      <c r="U41" s="110"/>
      <c r="V41" s="98"/>
      <c r="AD41" s="669"/>
      <c r="AE41" s="108" t="s">
        <v>79</v>
      </c>
      <c r="AF41" s="131" cm="1">
        <f t="array" ref="AF41">ROUNDUP(SUMPRODUCT(($I$97:$I$100005=$AE41)*($AD$97:$AD$100005="Actual")*AF$97:AF$100005*$AB$97:$AB$100005),0)</f>
        <v>0</v>
      </c>
      <c r="AG41" s="98" cm="1">
        <f t="array" ref="AG41">ROUNDUP(SUMPRODUCT(($I$97:$I$100005=$AE41)*($AD$97:$AD$100005="Actual")*AG$97:AG$100005*$AB$97:$AB$100005),0)</f>
        <v>0</v>
      </c>
      <c r="AH41" s="98" cm="1">
        <f t="array" ref="AH41">ROUNDUP(SUMPRODUCT(($I$97:$I$100005=$AE41)*($AD$97:$AD$100005="Actual")*AH$97:AH$100005*$AB$97:$AB$100005),0)</f>
        <v>0</v>
      </c>
      <c r="AI41" s="98" cm="1">
        <f t="array" ref="AI41">ROUNDUP(SUMPRODUCT(($I$97:$I$100005=$AE41)*($AD$97:$AD$100005="Actual")*AI$97:AI$100005*$AB$97:$AB$100005),0)</f>
        <v>0</v>
      </c>
      <c r="AJ41" s="98" cm="1">
        <f t="array" ref="AJ41">ROUNDUP(SUMPRODUCT(($I$97:$I$100005=$AE41)*($AD$97:$AD$100005="Actual")*AJ$97:AJ$100005*$AB$97:$AB$100005),0)</f>
        <v>0</v>
      </c>
      <c r="AK41" s="98" cm="1">
        <f t="array" ref="AK41">ROUNDUP(SUMPRODUCT(($I$97:$I$100005=$AE41)*($AD$97:$AD$100005="Actual")*AK$97:AK$100005*$AB$97:$AB$100005),0)</f>
        <v>0</v>
      </c>
      <c r="AL41" s="98" cm="1">
        <f t="array" ref="AL41">ROUNDUP(SUMPRODUCT(($I$97:$I$100005=$AE41)*($AD$97:$AD$100005="Actual")*AL$97:AL$100005*$AB$97:$AB$100005),0)</f>
        <v>0</v>
      </c>
      <c r="AM41" s="98" cm="1">
        <f t="array" ref="AM41">ROUNDUP(SUMPRODUCT(($I$97:$I$100005=$AE41)*($AD$97:$AD$100005="Actual")*AM$97:AM$100005*$AB$97:$AB$100005),0)</f>
        <v>0</v>
      </c>
      <c r="AN41" s="99" cm="1">
        <f t="array" ref="AN41">ROUNDUP(SUMPRODUCT(($I$97:$I$100005=$AE41)*($AD$97:$AD$100005="Actual")*AN$97:AN$100005*$AB$97:$AB$100005),0)</f>
        <v>0</v>
      </c>
    </row>
    <row r="42" spans="20:40" ht="12" outlineLevel="1" collapsed="1" thickBot="1" x14ac:dyDescent="0.25">
      <c r="T42" s="110"/>
      <c r="U42" s="110"/>
      <c r="V42" s="98"/>
      <c r="AD42" s="670"/>
      <c r="AE42" s="109" t="s">
        <v>32</v>
      </c>
      <c r="AF42" s="135">
        <f>+AF38+AF34+AF30+AF26+AF22</f>
        <v>19</v>
      </c>
      <c r="AG42" s="135">
        <f t="shared" ref="AG42:AN42" si="12">+AG38+AG34+AG30+AG26+AG22</f>
        <v>18</v>
      </c>
      <c r="AH42" s="135">
        <f t="shared" si="12"/>
        <v>14</v>
      </c>
      <c r="AI42" s="135">
        <f t="shared" si="12"/>
        <v>12</v>
      </c>
      <c r="AJ42" s="135">
        <f t="shared" si="12"/>
        <v>10</v>
      </c>
      <c r="AK42" s="135">
        <f t="shared" si="12"/>
        <v>10</v>
      </c>
      <c r="AL42" s="135">
        <f t="shared" si="12"/>
        <v>10</v>
      </c>
      <c r="AM42" s="135">
        <f t="shared" si="12"/>
        <v>10</v>
      </c>
      <c r="AN42" s="136">
        <f t="shared" si="12"/>
        <v>5</v>
      </c>
    </row>
    <row r="43" spans="20:40" ht="12" hidden="1" outlineLevel="2" thickBot="1" x14ac:dyDescent="0.25">
      <c r="T43" s="110"/>
      <c r="U43" s="110"/>
      <c r="V43" s="98"/>
      <c r="AD43" s="668" t="s">
        <v>263</v>
      </c>
      <c r="AE43" s="90" t="s">
        <v>25</v>
      </c>
      <c r="AF43" s="128">
        <f>+SUM(AF44:AF46)</f>
        <v>3</v>
      </c>
      <c r="AG43" s="129">
        <f t="shared" ref="AG43:AN43" si="13">+SUM(AG44:AG46)</f>
        <v>4</v>
      </c>
      <c r="AH43" s="129">
        <f t="shared" si="13"/>
        <v>3</v>
      </c>
      <c r="AI43" s="129">
        <f t="shared" si="13"/>
        <v>3</v>
      </c>
      <c r="AJ43" s="129">
        <f t="shared" si="13"/>
        <v>3</v>
      </c>
      <c r="AK43" s="129">
        <f t="shared" si="13"/>
        <v>3</v>
      </c>
      <c r="AL43" s="129">
        <f t="shared" si="13"/>
        <v>3</v>
      </c>
      <c r="AM43" s="129">
        <f t="shared" si="13"/>
        <v>3</v>
      </c>
      <c r="AN43" s="130">
        <f t="shared" si="13"/>
        <v>2</v>
      </c>
    </row>
    <row r="44" spans="20:40" ht="12" hidden="1" outlineLevel="2" thickBot="1" x14ac:dyDescent="0.25">
      <c r="T44" s="110"/>
      <c r="U44" s="110"/>
      <c r="V44" s="98"/>
      <c r="AD44" s="669"/>
      <c r="AE44" s="108" t="s">
        <v>71</v>
      </c>
      <c r="AF44" s="131" cm="1">
        <f t="array" ref="AF44">ROUNDUP(SUMPRODUCT(($I$97:$I$100005=$AE44)*($AD$97:$AD$100005="Actual")*AF$97:AF$100005*$X$97:$X$100005),0)+ROUNDUP(SUMPRODUCT(($I$97:$I$100005=$AE44)*($AD$97:$AD$100005="Asignado")*AF$97:AF$100005*$X$97:$X$100005),0)</f>
        <v>1</v>
      </c>
      <c r="AG44" s="98" cm="1">
        <f t="array" ref="AG44">ROUNDUP(SUMPRODUCT(($I$97:$I$100005=$AE44)*($AD$97:$AD$100005="Actual")*AG$97:AG$100005*$X$97:$X$100005),0)+ROUNDUP(SUMPRODUCT(($I$97:$I$100005=$AE44)*($AD$97:$AD$100005="Asignado")*AG$97:AG$100005*$X$97:$X$100005),0)</f>
        <v>1</v>
      </c>
      <c r="AH44" s="98" cm="1">
        <f t="array" ref="AH44">ROUNDUP(SUMPRODUCT(($I$97:$I$100005=$AE44)*($AD$97:$AD$100005="Actual")*AH$97:AH$100005*$X$97:$X$100005),0)+ROUNDUP(SUMPRODUCT(($I$97:$I$100005=$AE44)*($AD$97:$AD$100005="Asignado")*AH$97:AH$100005*$X$97:$X$100005),0)</f>
        <v>1</v>
      </c>
      <c r="AI44" s="98" cm="1">
        <f t="array" ref="AI44">ROUNDUP(SUMPRODUCT(($I$97:$I$100005=$AE44)*($AD$97:$AD$100005="Actual")*AI$97:AI$100005*$X$97:$X$100005),0)+ROUNDUP(SUMPRODUCT(($I$97:$I$100005=$AE44)*($AD$97:$AD$100005="Asignado")*AI$97:AI$100005*$X$97:$X$100005),0)</f>
        <v>1</v>
      </c>
      <c r="AJ44" s="98" cm="1">
        <f t="array" ref="AJ44">ROUNDUP(SUMPRODUCT(($I$97:$I$100005=$AE44)*($AD$97:$AD$100005="Actual")*AJ$97:AJ$100005*$X$97:$X$100005),0)+ROUNDUP(SUMPRODUCT(($I$97:$I$100005=$AE44)*($AD$97:$AD$100005="Asignado")*AJ$97:AJ$100005*$X$97:$X$100005),0)</f>
        <v>1</v>
      </c>
      <c r="AK44" s="98" cm="1">
        <f t="array" ref="AK44">ROUNDUP(SUMPRODUCT(($I$97:$I$100005=$AE44)*($AD$97:$AD$100005="Actual")*AK$97:AK$100005*$X$97:$X$100005),0)+ROUNDUP(SUMPRODUCT(($I$97:$I$100005=$AE44)*($AD$97:$AD$100005="Asignado")*AK$97:AK$100005*$X$97:$X$100005),0)</f>
        <v>1</v>
      </c>
      <c r="AL44" s="98" cm="1">
        <f t="array" ref="AL44">ROUNDUP(SUMPRODUCT(($I$97:$I$100005=$AE44)*($AD$97:$AD$100005="Actual")*AL$97:AL$100005*$X$97:$X$100005),0)+ROUNDUP(SUMPRODUCT(($I$97:$I$100005=$AE44)*($AD$97:$AD$100005="Asignado")*AL$97:AL$100005*$X$97:$X$100005),0)</f>
        <v>1</v>
      </c>
      <c r="AM44" s="98" cm="1">
        <f t="array" ref="AM44">ROUNDUP(SUMPRODUCT(($I$97:$I$100005=$AE44)*($AD$97:$AD$100005="Actual")*AM$97:AM$100005*$X$97:$X$100005),0)+ROUNDUP(SUMPRODUCT(($I$97:$I$100005=$AE44)*($AD$97:$AD$100005="Asignado")*AM$97:AM$100005*$X$97:$X$100005),0)</f>
        <v>1</v>
      </c>
      <c r="AN44" s="99" cm="1">
        <f t="array" ref="AN44">ROUNDUP(SUMPRODUCT(($I$97:$I$100005=$AE44)*($AD$97:$AD$100005="Actual")*AN$97:AN$100005*$X$97:$X$100005),0)+ROUNDUP(SUMPRODUCT(($I$97:$I$100005=$AE44)*($AD$97:$AD$100005="Asignado")*AN$97:AN$100005*$X$97:$X$100005),0)</f>
        <v>1</v>
      </c>
    </row>
    <row r="45" spans="20:40" ht="12" hidden="1" outlineLevel="2" thickBot="1" x14ac:dyDescent="0.25">
      <c r="T45" s="110"/>
      <c r="U45" s="110"/>
      <c r="V45" s="98"/>
      <c r="AD45" s="669"/>
      <c r="AE45" s="108" t="s">
        <v>75</v>
      </c>
      <c r="AF45" s="131" cm="1">
        <f t="array" ref="AF45">ROUNDUP(SUMPRODUCT(($I$97:$I$100005=$AE45)*($AD$97:$AD$100005="Actual")*AF$97:AF$100005*$X$97:$X$100005),0)+ROUNDUP(SUMPRODUCT(($I$97:$I$100005=$AE45)*($AD$97:$AD$100005="Asignado")*AF$97:AF$100005*$X$97:$X$100005),0)</f>
        <v>2</v>
      </c>
      <c r="AG45" s="98" cm="1">
        <f t="array" ref="AG45">ROUNDUP(SUMPRODUCT(($I$97:$I$100005=$AE45)*($AD$97:$AD$100005="Actual")*AG$97:AG$100005*$X$97:$X$100005),0)+ROUNDUP(SUMPRODUCT(($I$97:$I$100005=$AE45)*($AD$97:$AD$100005="Asignado")*AG$97:AG$100005*$X$97:$X$100005),0)</f>
        <v>3</v>
      </c>
      <c r="AH45" s="98" cm="1">
        <f t="array" ref="AH45">ROUNDUP(SUMPRODUCT(($I$97:$I$100005=$AE45)*($AD$97:$AD$100005="Actual")*AH$97:AH$100005*$X$97:$X$100005),0)+ROUNDUP(SUMPRODUCT(($I$97:$I$100005=$AE45)*($AD$97:$AD$100005="Asignado")*AH$97:AH$100005*$X$97:$X$100005),0)</f>
        <v>2</v>
      </c>
      <c r="AI45" s="98" cm="1">
        <f t="array" ref="AI45">ROUNDUP(SUMPRODUCT(($I$97:$I$100005=$AE45)*($AD$97:$AD$100005="Actual")*AI$97:AI$100005*$X$97:$X$100005),0)+ROUNDUP(SUMPRODUCT(($I$97:$I$100005=$AE45)*($AD$97:$AD$100005="Asignado")*AI$97:AI$100005*$X$97:$X$100005),0)</f>
        <v>2</v>
      </c>
      <c r="AJ45" s="98" cm="1">
        <f t="array" ref="AJ45">ROUNDUP(SUMPRODUCT(($I$97:$I$100005=$AE45)*($AD$97:$AD$100005="Actual")*AJ$97:AJ$100005*$X$97:$X$100005),0)+ROUNDUP(SUMPRODUCT(($I$97:$I$100005=$AE45)*($AD$97:$AD$100005="Asignado")*AJ$97:AJ$100005*$X$97:$X$100005),0)</f>
        <v>2</v>
      </c>
      <c r="AK45" s="98" cm="1">
        <f t="array" ref="AK45">ROUNDUP(SUMPRODUCT(($I$97:$I$100005=$AE45)*($AD$97:$AD$100005="Actual")*AK$97:AK$100005*$X$97:$X$100005),0)+ROUNDUP(SUMPRODUCT(($I$97:$I$100005=$AE45)*($AD$97:$AD$100005="Asignado")*AK$97:AK$100005*$X$97:$X$100005),0)</f>
        <v>2</v>
      </c>
      <c r="AL45" s="98" cm="1">
        <f t="array" ref="AL45">ROUNDUP(SUMPRODUCT(($I$97:$I$100005=$AE45)*($AD$97:$AD$100005="Actual")*AL$97:AL$100005*$X$97:$X$100005),0)+ROUNDUP(SUMPRODUCT(($I$97:$I$100005=$AE45)*($AD$97:$AD$100005="Asignado")*AL$97:AL$100005*$X$97:$X$100005),0)</f>
        <v>2</v>
      </c>
      <c r="AM45" s="98" cm="1">
        <f t="array" ref="AM45">ROUNDUP(SUMPRODUCT(($I$97:$I$100005=$AE45)*($AD$97:$AD$100005="Actual")*AM$97:AM$100005*$X$97:$X$100005),0)+ROUNDUP(SUMPRODUCT(($I$97:$I$100005=$AE45)*($AD$97:$AD$100005="Asignado")*AM$97:AM$100005*$X$97:$X$100005),0)</f>
        <v>2</v>
      </c>
      <c r="AN45" s="99" cm="1">
        <f t="array" ref="AN45">ROUNDUP(SUMPRODUCT(($I$97:$I$100005=$AE45)*($AD$97:$AD$100005="Actual")*AN$97:AN$100005*$X$97:$X$100005),0)+ROUNDUP(SUMPRODUCT(($I$97:$I$100005=$AE45)*($AD$97:$AD$100005="Asignado")*AN$97:AN$100005*$X$97:$X$100005),0)</f>
        <v>1</v>
      </c>
    </row>
    <row r="46" spans="20:40" ht="12" hidden="1" outlineLevel="2" thickBot="1" x14ac:dyDescent="0.25">
      <c r="T46" s="110"/>
      <c r="U46" s="110"/>
      <c r="V46" s="98"/>
      <c r="AD46" s="669"/>
      <c r="AE46" s="108" t="s">
        <v>79</v>
      </c>
      <c r="AF46" s="131" cm="1">
        <f t="array" ref="AF46">ROUNDUP(SUMPRODUCT(($I$97:$I$100005=$AE46)*($AD$97:$AD$100005="Actual")*AF$97:AF$100005*$X$97:$X$100005),0)+ROUNDUP(SUMPRODUCT(($I$97:$I$100005=$AE46)*($AD$97:$AD$100005="Asignado")*AF$97:AF$100005*$X$97:$X$100005),0)</f>
        <v>0</v>
      </c>
      <c r="AG46" s="133" cm="1">
        <f t="array" ref="AG46">ROUNDUP(SUMPRODUCT(($I$97:$I$100005=$AE46)*($AD$97:$AD$100005="Actual")*AG$97:AG$100005*$X$97:$X$100005),0)+ROUNDUP(SUMPRODUCT(($I$97:$I$100005=$AE46)*($AD$97:$AD$100005="Asignado")*AG$97:AG$100005*$X$97:$X$100005),0)</f>
        <v>0</v>
      </c>
      <c r="AH46" s="133" cm="1">
        <f t="array" ref="AH46">ROUNDUP(SUMPRODUCT(($I$97:$I$100005=$AE46)*($AD$97:$AD$100005="Actual")*AH$97:AH$100005*$X$97:$X$100005),0)+ROUNDUP(SUMPRODUCT(($I$97:$I$100005=$AE46)*($AD$97:$AD$100005="Asignado")*AH$97:AH$100005*$X$97:$X$100005),0)</f>
        <v>0</v>
      </c>
      <c r="AI46" s="133" cm="1">
        <f t="array" ref="AI46">ROUNDUP(SUMPRODUCT(($I$97:$I$100005=$AE46)*($AD$97:$AD$100005="Actual")*AI$97:AI$100005*$X$97:$X$100005),0)+ROUNDUP(SUMPRODUCT(($I$97:$I$100005=$AE46)*($AD$97:$AD$100005="Asignado")*AI$97:AI$100005*$X$97:$X$100005),0)</f>
        <v>0</v>
      </c>
      <c r="AJ46" s="133" cm="1">
        <f t="array" ref="AJ46">ROUNDUP(SUMPRODUCT(($I$97:$I$100005=$AE46)*($AD$97:$AD$100005="Actual")*AJ$97:AJ$100005*$X$97:$X$100005),0)+ROUNDUP(SUMPRODUCT(($I$97:$I$100005=$AE46)*($AD$97:$AD$100005="Asignado")*AJ$97:AJ$100005*$X$97:$X$100005),0)</f>
        <v>0</v>
      </c>
      <c r="AK46" s="133" cm="1">
        <f t="array" ref="AK46">ROUNDUP(SUMPRODUCT(($I$97:$I$100005=$AE46)*($AD$97:$AD$100005="Actual")*AK$97:AK$100005*$X$97:$X$100005),0)+ROUNDUP(SUMPRODUCT(($I$97:$I$100005=$AE46)*($AD$97:$AD$100005="Asignado")*AK$97:AK$100005*$X$97:$X$100005),0)</f>
        <v>0</v>
      </c>
      <c r="AL46" s="133" cm="1">
        <f t="array" ref="AL46">ROUNDUP(SUMPRODUCT(($I$97:$I$100005=$AE46)*($AD$97:$AD$100005="Actual")*AL$97:AL$100005*$X$97:$X$100005),0)+ROUNDUP(SUMPRODUCT(($I$97:$I$100005=$AE46)*($AD$97:$AD$100005="Asignado")*AL$97:AL$100005*$X$97:$X$100005),0)</f>
        <v>0</v>
      </c>
      <c r="AM46" s="133" cm="1">
        <f t="array" ref="AM46">ROUNDUP(SUMPRODUCT(($I$97:$I$100005=$AE46)*($AD$97:$AD$100005="Actual")*AM$97:AM$100005*$X$97:$X$100005),0)+ROUNDUP(SUMPRODUCT(($I$97:$I$100005=$AE46)*($AD$97:$AD$100005="Asignado")*AM$97:AM$100005*$X$97:$X$100005),0)</f>
        <v>0</v>
      </c>
      <c r="AN46" s="134" cm="1">
        <f t="array" ref="AN46">ROUNDUP(SUMPRODUCT(($I$97:$I$100005=$AE46)*($AD$97:$AD$100005="Actual")*AN$97:AN$100005*$X$97:$X$100005),0)+ROUNDUP(SUMPRODUCT(($I$97:$I$100005=$AE46)*($AD$97:$AD$100005="Asignado")*AN$97:AN$100005*$X$97:$X$100005),0)</f>
        <v>0</v>
      </c>
    </row>
    <row r="47" spans="20:40" ht="12" hidden="1" outlineLevel="2" thickBot="1" x14ac:dyDescent="0.25">
      <c r="T47" s="110"/>
      <c r="U47" s="110"/>
      <c r="V47" s="98"/>
      <c r="AD47" s="669"/>
      <c r="AE47" s="97" t="s">
        <v>26</v>
      </c>
      <c r="AF47" s="128">
        <f>+SUM(AF48:AF50)</f>
        <v>3</v>
      </c>
      <c r="AG47" s="129">
        <f t="shared" ref="AG47:AN47" si="14">+SUM(AG48:AG50)</f>
        <v>4</v>
      </c>
      <c r="AH47" s="129">
        <f t="shared" si="14"/>
        <v>4</v>
      </c>
      <c r="AI47" s="129">
        <f t="shared" si="14"/>
        <v>3</v>
      </c>
      <c r="AJ47" s="129">
        <f t="shared" si="14"/>
        <v>3</v>
      </c>
      <c r="AK47" s="129">
        <f t="shared" si="14"/>
        <v>3</v>
      </c>
      <c r="AL47" s="129">
        <f t="shared" si="14"/>
        <v>3</v>
      </c>
      <c r="AM47" s="129">
        <f t="shared" si="14"/>
        <v>3</v>
      </c>
      <c r="AN47" s="130">
        <f t="shared" si="14"/>
        <v>2</v>
      </c>
    </row>
    <row r="48" spans="20:40" ht="12" hidden="1" outlineLevel="2" thickBot="1" x14ac:dyDescent="0.25">
      <c r="T48" s="110"/>
      <c r="U48" s="110"/>
      <c r="V48" s="98"/>
      <c r="AD48" s="669"/>
      <c r="AE48" s="108" t="s">
        <v>71</v>
      </c>
      <c r="AF48" s="131" cm="1">
        <f t="array" ref="AF48">ROUNDUP(SUMPRODUCT(($I$97:$I$100005=$AE48)*($AD$97:$AD$100005="Actual")*AF$97:AF$100005*$Y$97:$Y$100005),0)+ROUNDUP(SUMPRODUCT(($I$97:$I$100005=$AE48)*($AD$97:$AD$100005="Asignado")*AF$97:AF$100005*$Y$97:$Y$100005),0)</f>
        <v>1</v>
      </c>
      <c r="AG48" s="98" cm="1">
        <f t="array" ref="AG48">ROUNDUP(SUMPRODUCT(($I$97:$I$100005=$AE48)*($AD$97:$AD$100005="Actual")*AG$97:AG$100005*$Y$97:$Y$100005),0)+ROUNDUP(SUMPRODUCT(($I$97:$I$100005=$AE48)*($AD$97:$AD$100005="Asignado")*AG$97:AG$100005*$Y$97:$Y$100005),0)</f>
        <v>1</v>
      </c>
      <c r="AH48" s="98" cm="1">
        <f t="array" ref="AH48">ROUNDUP(SUMPRODUCT(($I$97:$I$100005=$AE48)*($AD$97:$AD$100005="Actual")*AH$97:AH$100005*$Y$97:$Y$100005),0)+ROUNDUP(SUMPRODUCT(($I$97:$I$100005=$AE48)*($AD$97:$AD$100005="Asignado")*AH$97:AH$100005*$Y$97:$Y$100005),0)</f>
        <v>1</v>
      </c>
      <c r="AI48" s="98" cm="1">
        <f t="array" ref="AI48">ROUNDUP(SUMPRODUCT(($I$97:$I$100005=$AE48)*($AD$97:$AD$100005="Actual")*AI$97:AI$100005*$Y$97:$Y$100005),0)+ROUNDUP(SUMPRODUCT(($I$97:$I$100005=$AE48)*($AD$97:$AD$100005="Asignado")*AI$97:AI$100005*$Y$97:$Y$100005),0)</f>
        <v>1</v>
      </c>
      <c r="AJ48" s="98" cm="1">
        <f t="array" ref="AJ48">ROUNDUP(SUMPRODUCT(($I$97:$I$100005=$AE48)*($AD$97:$AD$100005="Actual")*AJ$97:AJ$100005*$Y$97:$Y$100005),0)+ROUNDUP(SUMPRODUCT(($I$97:$I$100005=$AE48)*($AD$97:$AD$100005="Asignado")*AJ$97:AJ$100005*$Y$97:$Y$100005),0)</f>
        <v>1</v>
      </c>
      <c r="AK48" s="98" cm="1">
        <f t="array" ref="AK48">ROUNDUP(SUMPRODUCT(($I$97:$I$100005=$AE48)*($AD$97:$AD$100005="Actual")*AK$97:AK$100005*$Y$97:$Y$100005),0)+ROUNDUP(SUMPRODUCT(($I$97:$I$100005=$AE48)*($AD$97:$AD$100005="Asignado")*AK$97:AK$100005*$Y$97:$Y$100005),0)</f>
        <v>1</v>
      </c>
      <c r="AL48" s="98" cm="1">
        <f t="array" ref="AL48">ROUNDUP(SUMPRODUCT(($I$97:$I$100005=$AE48)*($AD$97:$AD$100005="Actual")*AL$97:AL$100005*$Y$97:$Y$100005),0)+ROUNDUP(SUMPRODUCT(($I$97:$I$100005=$AE48)*($AD$97:$AD$100005="Asignado")*AL$97:AL$100005*$Y$97:$Y$100005),0)</f>
        <v>1</v>
      </c>
      <c r="AM48" s="98" cm="1">
        <f t="array" ref="AM48">ROUNDUP(SUMPRODUCT(($I$97:$I$100005=$AE48)*($AD$97:$AD$100005="Actual")*AM$97:AM$100005*$Y$97:$Y$100005),0)+ROUNDUP(SUMPRODUCT(($I$97:$I$100005=$AE48)*($AD$97:$AD$100005="Asignado")*AM$97:AM$100005*$Y$97:$Y$100005),0)</f>
        <v>1</v>
      </c>
      <c r="AN48" s="99" cm="1">
        <f t="array" ref="AN48">ROUNDUP(SUMPRODUCT(($I$97:$I$100005=$AE48)*($AD$97:$AD$100005="Actual")*AN$97:AN$100005*$Y$97:$Y$100005),0)+ROUNDUP(SUMPRODUCT(($I$97:$I$100005=$AE48)*($AD$97:$AD$100005="Asignado")*AN$97:AN$100005*$Y$97:$Y$100005),0)</f>
        <v>1</v>
      </c>
    </row>
    <row r="49" spans="20:40" ht="12" hidden="1" outlineLevel="2" thickBot="1" x14ac:dyDescent="0.25">
      <c r="T49" s="110"/>
      <c r="U49" s="110"/>
      <c r="V49" s="98"/>
      <c r="AD49" s="669"/>
      <c r="AE49" s="108" t="s">
        <v>75</v>
      </c>
      <c r="AF49" s="131" cm="1">
        <f t="array" ref="AF49">ROUNDUP(SUMPRODUCT(($I$97:$I$100005=$AE49)*($AD$97:$AD$100005="Actual")*AF$97:AF$100005*$Y$97:$Y$100005),0)+ROUNDUP(SUMPRODUCT(($I$97:$I$100005=$AE49)*($AD$97:$AD$100005="Asignado")*AF$97:AF$100005*$Y$97:$Y$100005),0)</f>
        <v>2</v>
      </c>
      <c r="AG49" s="98" cm="1">
        <f t="array" ref="AG49">ROUNDUP(SUMPRODUCT(($I$97:$I$100005=$AE49)*($AD$97:$AD$100005="Actual")*AG$97:AG$100005*$Y$97:$Y$100005),0)+ROUNDUP(SUMPRODUCT(($I$97:$I$100005=$AE49)*($AD$97:$AD$100005="Asignado")*AG$97:AG$100005*$Y$97:$Y$100005),0)</f>
        <v>3</v>
      </c>
      <c r="AH49" s="98" cm="1">
        <f t="array" ref="AH49">ROUNDUP(SUMPRODUCT(($I$97:$I$100005=$AE49)*($AD$97:$AD$100005="Actual")*AH$97:AH$100005*$Y$97:$Y$100005),0)+ROUNDUP(SUMPRODUCT(($I$97:$I$100005=$AE49)*($AD$97:$AD$100005="Asignado")*AH$97:AH$100005*$Y$97:$Y$100005),0)</f>
        <v>3</v>
      </c>
      <c r="AI49" s="98" cm="1">
        <f t="array" ref="AI49">ROUNDUP(SUMPRODUCT(($I$97:$I$100005=$AE49)*($AD$97:$AD$100005="Actual")*AI$97:AI$100005*$Y$97:$Y$100005),0)+ROUNDUP(SUMPRODUCT(($I$97:$I$100005=$AE49)*($AD$97:$AD$100005="Asignado")*AI$97:AI$100005*$Y$97:$Y$100005),0)</f>
        <v>2</v>
      </c>
      <c r="AJ49" s="98" cm="1">
        <f t="array" ref="AJ49">ROUNDUP(SUMPRODUCT(($I$97:$I$100005=$AE49)*($AD$97:$AD$100005="Actual")*AJ$97:AJ$100005*$Y$97:$Y$100005),0)+ROUNDUP(SUMPRODUCT(($I$97:$I$100005=$AE49)*($AD$97:$AD$100005="Asignado")*AJ$97:AJ$100005*$Y$97:$Y$100005),0)</f>
        <v>2</v>
      </c>
      <c r="AK49" s="98" cm="1">
        <f t="array" ref="AK49">ROUNDUP(SUMPRODUCT(($I$97:$I$100005=$AE49)*($AD$97:$AD$100005="Actual")*AK$97:AK$100005*$Y$97:$Y$100005),0)+ROUNDUP(SUMPRODUCT(($I$97:$I$100005=$AE49)*($AD$97:$AD$100005="Asignado")*AK$97:AK$100005*$Y$97:$Y$100005),0)</f>
        <v>2</v>
      </c>
      <c r="AL49" s="98" cm="1">
        <f t="array" ref="AL49">ROUNDUP(SUMPRODUCT(($I$97:$I$100005=$AE49)*($AD$97:$AD$100005="Actual")*AL$97:AL$100005*$Y$97:$Y$100005),0)+ROUNDUP(SUMPRODUCT(($I$97:$I$100005=$AE49)*($AD$97:$AD$100005="Asignado")*AL$97:AL$100005*$Y$97:$Y$100005),0)</f>
        <v>2</v>
      </c>
      <c r="AM49" s="98" cm="1">
        <f t="array" ref="AM49">ROUNDUP(SUMPRODUCT(($I$97:$I$100005=$AE49)*($AD$97:$AD$100005="Actual")*AM$97:AM$100005*$Y$97:$Y$100005),0)+ROUNDUP(SUMPRODUCT(($I$97:$I$100005=$AE49)*($AD$97:$AD$100005="Asignado")*AM$97:AM$100005*$Y$97:$Y$100005),0)</f>
        <v>2</v>
      </c>
      <c r="AN49" s="99" cm="1">
        <f t="array" ref="AN49">ROUNDUP(SUMPRODUCT(($I$97:$I$100005=$AE49)*($AD$97:$AD$100005="Actual")*AN$97:AN$100005*$Y$97:$Y$100005),0)+ROUNDUP(SUMPRODUCT(($I$97:$I$100005=$AE49)*($AD$97:$AD$100005="Asignado")*AN$97:AN$100005*$Y$97:$Y$100005),0)</f>
        <v>1</v>
      </c>
    </row>
    <row r="50" spans="20:40" ht="12" hidden="1" outlineLevel="2" thickBot="1" x14ac:dyDescent="0.25">
      <c r="T50" s="110"/>
      <c r="U50" s="110"/>
      <c r="V50" s="98"/>
      <c r="AD50" s="669"/>
      <c r="AE50" s="108" t="s">
        <v>79</v>
      </c>
      <c r="AF50" s="131" cm="1">
        <f t="array" ref="AF50">ROUNDUP(SUMPRODUCT(($I$97:$I$100005=$AE50)*($AD$97:$AD$100005="Actual")*AF$97:AF$100005*$Y$97:$Y$100005),0)+ROUNDUP(SUMPRODUCT(($I$97:$I$100005=$AE50)*($AD$97:$AD$100005="Asignado")*AF$97:AF$100005*$Y$97:$Y$100005),0)</f>
        <v>0</v>
      </c>
      <c r="AG50" s="98" cm="1">
        <f t="array" ref="AG50">ROUNDUP(SUMPRODUCT(($I$97:$I$100005=$AE50)*($AD$97:$AD$100005="Actual")*AG$97:AG$100005*$Y$97:$Y$100005),0)+ROUNDUP(SUMPRODUCT(($I$97:$I$100005=$AE50)*($AD$97:$AD$100005="Asignado")*AG$97:AG$100005*$Y$97:$Y$100005),0)</f>
        <v>0</v>
      </c>
      <c r="AH50" s="98" cm="1">
        <f t="array" ref="AH50">ROUNDUP(SUMPRODUCT(($I$97:$I$100005=$AE50)*($AD$97:$AD$100005="Actual")*AH$97:AH$100005*$Y$97:$Y$100005),0)+ROUNDUP(SUMPRODUCT(($I$97:$I$100005=$AE50)*($AD$97:$AD$100005="Asignado")*AH$97:AH$100005*$Y$97:$Y$100005),0)</f>
        <v>0</v>
      </c>
      <c r="AI50" s="98" cm="1">
        <f t="array" ref="AI50">ROUNDUP(SUMPRODUCT(($I$97:$I$100005=$AE50)*($AD$97:$AD$100005="Actual")*AI$97:AI$100005*$Y$97:$Y$100005),0)+ROUNDUP(SUMPRODUCT(($I$97:$I$100005=$AE50)*($AD$97:$AD$100005="Asignado")*AI$97:AI$100005*$Y$97:$Y$100005),0)</f>
        <v>0</v>
      </c>
      <c r="AJ50" s="98" cm="1">
        <f t="array" ref="AJ50">ROUNDUP(SUMPRODUCT(($I$97:$I$100005=$AE50)*($AD$97:$AD$100005="Actual")*AJ$97:AJ$100005*$Y$97:$Y$100005),0)+ROUNDUP(SUMPRODUCT(($I$97:$I$100005=$AE50)*($AD$97:$AD$100005="Asignado")*AJ$97:AJ$100005*$Y$97:$Y$100005),0)</f>
        <v>0</v>
      </c>
      <c r="AK50" s="98" cm="1">
        <f t="array" ref="AK50">ROUNDUP(SUMPRODUCT(($I$97:$I$100005=$AE50)*($AD$97:$AD$100005="Actual")*AK$97:AK$100005*$Y$97:$Y$100005),0)+ROUNDUP(SUMPRODUCT(($I$97:$I$100005=$AE50)*($AD$97:$AD$100005="Asignado")*AK$97:AK$100005*$Y$97:$Y$100005),0)</f>
        <v>0</v>
      </c>
      <c r="AL50" s="98" cm="1">
        <f t="array" ref="AL50">ROUNDUP(SUMPRODUCT(($I$97:$I$100005=$AE50)*($AD$97:$AD$100005="Actual")*AL$97:AL$100005*$Y$97:$Y$100005),0)+ROUNDUP(SUMPRODUCT(($I$97:$I$100005=$AE50)*($AD$97:$AD$100005="Asignado")*AL$97:AL$100005*$Y$97:$Y$100005),0)</f>
        <v>0</v>
      </c>
      <c r="AM50" s="98" cm="1">
        <f t="array" ref="AM50">ROUNDUP(SUMPRODUCT(($I$97:$I$100005=$AE50)*($AD$97:$AD$100005="Actual")*AM$97:AM$100005*$Y$97:$Y$100005),0)+ROUNDUP(SUMPRODUCT(($I$97:$I$100005=$AE50)*($AD$97:$AD$100005="Asignado")*AM$97:AM$100005*$Y$97:$Y$100005),0)</f>
        <v>0</v>
      </c>
      <c r="AN50" s="99" cm="1">
        <f t="array" ref="AN50">ROUNDUP(SUMPRODUCT(($I$97:$I$100005=$AE50)*($AD$97:$AD$100005="Actual")*AN$97:AN$100005*$Y$97:$Y$100005),0)+ROUNDUP(SUMPRODUCT(($I$97:$I$100005=$AE50)*($AD$97:$AD$100005="Asignado")*AN$97:AN$100005*$Y$97:$Y$100005),0)</f>
        <v>0</v>
      </c>
    </row>
    <row r="51" spans="20:40" ht="12" hidden="1" outlineLevel="2" thickBot="1" x14ac:dyDescent="0.25">
      <c r="T51" s="110"/>
      <c r="U51" s="110"/>
      <c r="V51" s="98"/>
      <c r="AD51" s="669"/>
      <c r="AE51" s="97" t="s">
        <v>27</v>
      </c>
      <c r="AF51" s="128">
        <f>+SUM(AF52:AF54)</f>
        <v>3</v>
      </c>
      <c r="AG51" s="129">
        <f t="shared" ref="AG51:AN51" si="15">+SUM(AG52:AG54)</f>
        <v>4</v>
      </c>
      <c r="AH51" s="129">
        <f t="shared" si="15"/>
        <v>3</v>
      </c>
      <c r="AI51" s="129">
        <f t="shared" si="15"/>
        <v>3</v>
      </c>
      <c r="AJ51" s="129">
        <f t="shared" si="15"/>
        <v>3</v>
      </c>
      <c r="AK51" s="129">
        <f t="shared" si="15"/>
        <v>3</v>
      </c>
      <c r="AL51" s="129">
        <f t="shared" si="15"/>
        <v>3</v>
      </c>
      <c r="AM51" s="129">
        <f t="shared" si="15"/>
        <v>3</v>
      </c>
      <c r="AN51" s="130">
        <f t="shared" si="15"/>
        <v>2</v>
      </c>
    </row>
    <row r="52" spans="20:40" ht="12" hidden="1" outlineLevel="2" thickBot="1" x14ac:dyDescent="0.25">
      <c r="T52" s="110"/>
      <c r="U52" s="110"/>
      <c r="V52" s="98"/>
      <c r="AD52" s="669"/>
      <c r="AE52" s="108" t="s">
        <v>71</v>
      </c>
      <c r="AF52" s="131" cm="1">
        <f t="array" ref="AF52">ROUNDUP(SUMPRODUCT(($I$97:$I$100005=$AE52)*($AD$97:$AD$100005="Actual")*AF$97:AF$100005*$Z$97:$Z$100005),0)+ROUNDUP(SUMPRODUCT(($I$97:$I$100005=$AE52)*($AD$97:$AD$100005="Asignado")*AF$97:AF$100005*$Z$97:$Z$100005),0)</f>
        <v>1</v>
      </c>
      <c r="AG52" s="98" cm="1">
        <f t="array" ref="AG52">ROUNDUP(SUMPRODUCT(($I$97:$I$100005=$AE52)*($AD$97:$AD$100005="Actual")*AG$97:AG$100005*$Z$97:$Z$100005),0)+ROUNDUP(SUMPRODUCT(($I$97:$I$100005=$AE52)*($AD$97:$AD$100005="Asignado")*AG$97:AG$100005*$Z$97:$Z$100005),0)</f>
        <v>1</v>
      </c>
      <c r="AH52" s="98" cm="1">
        <f t="array" ref="AH52">ROUNDUP(SUMPRODUCT(($I$97:$I$100005=$AE52)*($AD$97:$AD$100005="Actual")*AH$97:AH$100005*$Z$97:$Z$100005),0)+ROUNDUP(SUMPRODUCT(($I$97:$I$100005=$AE52)*($AD$97:$AD$100005="Asignado")*AH$97:AH$100005*$Z$97:$Z$100005),0)</f>
        <v>1</v>
      </c>
      <c r="AI52" s="98" cm="1">
        <f t="array" ref="AI52">ROUNDUP(SUMPRODUCT(($I$97:$I$100005=$AE52)*($AD$97:$AD$100005="Actual")*AI$97:AI$100005*$Z$97:$Z$100005),0)+ROUNDUP(SUMPRODUCT(($I$97:$I$100005=$AE52)*($AD$97:$AD$100005="Asignado")*AI$97:AI$100005*$Z$97:$Z$100005),0)</f>
        <v>1</v>
      </c>
      <c r="AJ52" s="98" cm="1">
        <f t="array" ref="AJ52">ROUNDUP(SUMPRODUCT(($I$97:$I$100005=$AE52)*($AD$97:$AD$100005="Actual")*AJ$97:AJ$100005*$Z$97:$Z$100005),0)+ROUNDUP(SUMPRODUCT(($I$97:$I$100005=$AE52)*($AD$97:$AD$100005="Asignado")*AJ$97:AJ$100005*$Z$97:$Z$100005),0)</f>
        <v>1</v>
      </c>
      <c r="AK52" s="98" cm="1">
        <f t="array" ref="AK52">ROUNDUP(SUMPRODUCT(($I$97:$I$100005=$AE52)*($AD$97:$AD$100005="Actual")*AK$97:AK$100005*$Z$97:$Z$100005),0)+ROUNDUP(SUMPRODUCT(($I$97:$I$100005=$AE52)*($AD$97:$AD$100005="Asignado")*AK$97:AK$100005*$Z$97:$Z$100005),0)</f>
        <v>1</v>
      </c>
      <c r="AL52" s="98" cm="1">
        <f t="array" ref="AL52">ROUNDUP(SUMPRODUCT(($I$97:$I$100005=$AE52)*($AD$97:$AD$100005="Actual")*AL$97:AL$100005*$Z$97:$Z$100005),0)+ROUNDUP(SUMPRODUCT(($I$97:$I$100005=$AE52)*($AD$97:$AD$100005="Asignado")*AL$97:AL$100005*$Z$97:$Z$100005),0)</f>
        <v>1</v>
      </c>
      <c r="AM52" s="98" cm="1">
        <f t="array" ref="AM52">ROUNDUP(SUMPRODUCT(($I$97:$I$100005=$AE52)*($AD$97:$AD$100005="Actual")*AM$97:AM$100005*$Z$97:$Z$100005),0)+ROUNDUP(SUMPRODUCT(($I$97:$I$100005=$AE52)*($AD$97:$AD$100005="Asignado")*AM$97:AM$100005*$Z$97:$Z$100005),0)</f>
        <v>1</v>
      </c>
      <c r="AN52" s="99" cm="1">
        <f t="array" ref="AN52">ROUNDUP(SUMPRODUCT(($I$97:$I$100005=$AE52)*($AD$97:$AD$100005="Actual")*AN$97:AN$100005*$Z$97:$Z$100005),0)+ROUNDUP(SUMPRODUCT(($I$97:$I$100005=$AE52)*($AD$97:$AD$100005="Asignado")*AN$97:AN$100005*$Z$97:$Z$100005),0)</f>
        <v>1</v>
      </c>
    </row>
    <row r="53" spans="20:40" ht="12" hidden="1" outlineLevel="2" thickBot="1" x14ac:dyDescent="0.25">
      <c r="T53" s="110"/>
      <c r="U53" s="110"/>
      <c r="V53" s="98"/>
      <c r="AD53" s="669"/>
      <c r="AE53" s="108" t="s">
        <v>75</v>
      </c>
      <c r="AF53" s="131" cm="1">
        <f t="array" ref="AF53">ROUNDUP(SUMPRODUCT(($I$97:$I$100005=$AE53)*($AD$97:$AD$100005="Actual")*AF$97:AF$100005*$Z$97:$Z$100005),0)+ROUNDUP(SUMPRODUCT(($I$97:$I$100005=$AE53)*($AD$97:$AD$100005="Asignado")*AF$97:AF$100005*$Z$97:$Z$100005),0)</f>
        <v>2</v>
      </c>
      <c r="AG53" s="98" cm="1">
        <f t="array" ref="AG53">ROUNDUP(SUMPRODUCT(($I$97:$I$100005=$AE53)*($AD$97:$AD$100005="Actual")*AG$97:AG$100005*$Z$97:$Z$100005),0)+ROUNDUP(SUMPRODUCT(($I$97:$I$100005=$AE53)*($AD$97:$AD$100005="Asignado")*AG$97:AG$100005*$Z$97:$Z$100005),0)</f>
        <v>3</v>
      </c>
      <c r="AH53" s="98" cm="1">
        <f t="array" ref="AH53">ROUNDUP(SUMPRODUCT(($I$97:$I$100005=$AE53)*($AD$97:$AD$100005="Actual")*AH$97:AH$100005*$Z$97:$Z$100005),0)+ROUNDUP(SUMPRODUCT(($I$97:$I$100005=$AE53)*($AD$97:$AD$100005="Asignado")*AH$97:AH$100005*$Z$97:$Z$100005),0)</f>
        <v>2</v>
      </c>
      <c r="AI53" s="98" cm="1">
        <f t="array" ref="AI53">ROUNDUP(SUMPRODUCT(($I$97:$I$100005=$AE53)*($AD$97:$AD$100005="Actual")*AI$97:AI$100005*$Z$97:$Z$100005),0)+ROUNDUP(SUMPRODUCT(($I$97:$I$100005=$AE53)*($AD$97:$AD$100005="Asignado")*AI$97:AI$100005*$Z$97:$Z$100005),0)</f>
        <v>2</v>
      </c>
      <c r="AJ53" s="98" cm="1">
        <f t="array" ref="AJ53">ROUNDUP(SUMPRODUCT(($I$97:$I$100005=$AE53)*($AD$97:$AD$100005="Actual")*AJ$97:AJ$100005*$Z$97:$Z$100005),0)+ROUNDUP(SUMPRODUCT(($I$97:$I$100005=$AE53)*($AD$97:$AD$100005="Asignado")*AJ$97:AJ$100005*$Z$97:$Z$100005),0)</f>
        <v>2</v>
      </c>
      <c r="AK53" s="98" cm="1">
        <f t="array" ref="AK53">ROUNDUP(SUMPRODUCT(($I$97:$I$100005=$AE53)*($AD$97:$AD$100005="Actual")*AK$97:AK$100005*$Z$97:$Z$100005),0)+ROUNDUP(SUMPRODUCT(($I$97:$I$100005=$AE53)*($AD$97:$AD$100005="Asignado")*AK$97:AK$100005*$Z$97:$Z$100005),0)</f>
        <v>2</v>
      </c>
      <c r="AL53" s="98" cm="1">
        <f t="array" ref="AL53">ROUNDUP(SUMPRODUCT(($I$97:$I$100005=$AE53)*($AD$97:$AD$100005="Actual")*AL$97:AL$100005*$Z$97:$Z$100005),0)+ROUNDUP(SUMPRODUCT(($I$97:$I$100005=$AE53)*($AD$97:$AD$100005="Asignado")*AL$97:AL$100005*$Z$97:$Z$100005),0)</f>
        <v>2</v>
      </c>
      <c r="AM53" s="98" cm="1">
        <f t="array" ref="AM53">ROUNDUP(SUMPRODUCT(($I$97:$I$100005=$AE53)*($AD$97:$AD$100005="Actual")*AM$97:AM$100005*$Z$97:$Z$100005),0)+ROUNDUP(SUMPRODUCT(($I$97:$I$100005=$AE53)*($AD$97:$AD$100005="Asignado")*AM$97:AM$100005*$Z$97:$Z$100005),0)</f>
        <v>2</v>
      </c>
      <c r="AN53" s="99" cm="1">
        <f t="array" ref="AN53">ROUNDUP(SUMPRODUCT(($I$97:$I$100005=$AE53)*($AD$97:$AD$100005="Actual")*AN$97:AN$100005*$Z$97:$Z$100005),0)+ROUNDUP(SUMPRODUCT(($I$97:$I$100005=$AE53)*($AD$97:$AD$100005="Asignado")*AN$97:AN$100005*$Z$97:$Z$100005),0)</f>
        <v>1</v>
      </c>
    </row>
    <row r="54" spans="20:40" ht="12" hidden="1" outlineLevel="2" thickBot="1" x14ac:dyDescent="0.25">
      <c r="T54" s="110"/>
      <c r="U54" s="110"/>
      <c r="V54" s="98"/>
      <c r="AD54" s="669"/>
      <c r="AE54" s="108" t="s">
        <v>79</v>
      </c>
      <c r="AF54" s="131" cm="1">
        <f t="array" ref="AF54">ROUNDUP(SUMPRODUCT(($I$97:$I$100005=$AE54)*($AD$97:$AD$100005="Actual")*AF$97:AF$100005*$Z$97:$Z$100005),0)+ROUNDUP(SUMPRODUCT(($I$97:$I$100005=$AE54)*($AD$97:$AD$100005="Asignado")*AF$97:AF$100005*$Z$97:$Z$100005),0)</f>
        <v>0</v>
      </c>
      <c r="AG54" s="98" cm="1">
        <f t="array" ref="AG54">ROUNDUP(SUMPRODUCT(($I$97:$I$100005=$AE54)*($AD$97:$AD$100005="Actual")*AG$97:AG$100005*$Z$97:$Z$100005),0)+ROUNDUP(SUMPRODUCT(($I$97:$I$100005=$AE54)*($AD$97:$AD$100005="Asignado")*AG$97:AG$100005*$Z$97:$Z$100005),0)</f>
        <v>0</v>
      </c>
      <c r="AH54" s="98" cm="1">
        <f t="array" ref="AH54">ROUNDUP(SUMPRODUCT(($I$97:$I$100005=$AE54)*($AD$97:$AD$100005="Actual")*AH$97:AH$100005*$Z$97:$Z$100005),0)+ROUNDUP(SUMPRODUCT(($I$97:$I$100005=$AE54)*($AD$97:$AD$100005="Asignado")*AH$97:AH$100005*$Z$97:$Z$100005),0)</f>
        <v>0</v>
      </c>
      <c r="AI54" s="98" cm="1">
        <f t="array" ref="AI54">ROUNDUP(SUMPRODUCT(($I$97:$I$100005=$AE54)*($AD$97:$AD$100005="Actual")*AI$97:AI$100005*$Z$97:$Z$100005),0)+ROUNDUP(SUMPRODUCT(($I$97:$I$100005=$AE54)*($AD$97:$AD$100005="Asignado")*AI$97:AI$100005*$Z$97:$Z$100005),0)</f>
        <v>0</v>
      </c>
      <c r="AJ54" s="98" cm="1">
        <f t="array" ref="AJ54">ROUNDUP(SUMPRODUCT(($I$97:$I$100005=$AE54)*($AD$97:$AD$100005="Actual")*AJ$97:AJ$100005*$Z$97:$Z$100005),0)+ROUNDUP(SUMPRODUCT(($I$97:$I$100005=$AE54)*($AD$97:$AD$100005="Asignado")*AJ$97:AJ$100005*$Z$97:$Z$100005),0)</f>
        <v>0</v>
      </c>
      <c r="AK54" s="98" cm="1">
        <f t="array" ref="AK54">ROUNDUP(SUMPRODUCT(($I$97:$I$100005=$AE54)*($AD$97:$AD$100005="Actual")*AK$97:AK$100005*$Z$97:$Z$100005),0)+ROUNDUP(SUMPRODUCT(($I$97:$I$100005=$AE54)*($AD$97:$AD$100005="Asignado")*AK$97:AK$100005*$Z$97:$Z$100005),0)</f>
        <v>0</v>
      </c>
      <c r="AL54" s="98" cm="1">
        <f t="array" ref="AL54">ROUNDUP(SUMPRODUCT(($I$97:$I$100005=$AE54)*($AD$97:$AD$100005="Actual")*AL$97:AL$100005*$Z$97:$Z$100005),0)+ROUNDUP(SUMPRODUCT(($I$97:$I$100005=$AE54)*($AD$97:$AD$100005="Asignado")*AL$97:AL$100005*$Z$97:$Z$100005),0)</f>
        <v>0</v>
      </c>
      <c r="AM54" s="98" cm="1">
        <f t="array" ref="AM54">ROUNDUP(SUMPRODUCT(($I$97:$I$100005=$AE54)*($AD$97:$AD$100005="Actual")*AM$97:AM$100005*$Z$97:$Z$100005),0)+ROUNDUP(SUMPRODUCT(($I$97:$I$100005=$AE54)*($AD$97:$AD$100005="Asignado")*AM$97:AM$100005*$Z$97:$Z$100005),0)</f>
        <v>0</v>
      </c>
      <c r="AN54" s="99" cm="1">
        <f t="array" ref="AN54">ROUNDUP(SUMPRODUCT(($I$97:$I$100005=$AE54)*($AD$97:$AD$100005="Actual")*AN$97:AN$100005*$Z$97:$Z$100005),0)+ROUNDUP(SUMPRODUCT(($I$97:$I$100005=$AE54)*($AD$97:$AD$100005="Asignado")*AN$97:AN$100005*$Z$97:$Z$100005),0)</f>
        <v>0</v>
      </c>
    </row>
    <row r="55" spans="20:40" ht="12" hidden="1" outlineLevel="2" thickBot="1" x14ac:dyDescent="0.25">
      <c r="T55" s="110"/>
      <c r="U55" s="110"/>
      <c r="V55" s="98"/>
      <c r="AD55" s="669"/>
      <c r="AE55" s="97" t="s">
        <v>28</v>
      </c>
      <c r="AF55" s="128">
        <f>+SUM(AF56:AF58)</f>
        <v>6</v>
      </c>
      <c r="AG55" s="129">
        <f t="shared" ref="AG55:AN55" si="16">+SUM(AG56:AG58)</f>
        <v>7</v>
      </c>
      <c r="AH55" s="129">
        <f t="shared" si="16"/>
        <v>5</v>
      </c>
      <c r="AI55" s="129">
        <f t="shared" si="16"/>
        <v>4</v>
      </c>
      <c r="AJ55" s="129">
        <f t="shared" si="16"/>
        <v>3</v>
      </c>
      <c r="AK55" s="129">
        <f t="shared" si="16"/>
        <v>3</v>
      </c>
      <c r="AL55" s="129">
        <f t="shared" si="16"/>
        <v>3</v>
      </c>
      <c r="AM55" s="129">
        <f t="shared" si="16"/>
        <v>3</v>
      </c>
      <c r="AN55" s="130">
        <f t="shared" si="16"/>
        <v>2</v>
      </c>
    </row>
    <row r="56" spans="20:40" ht="12" hidden="1" outlineLevel="2" thickBot="1" x14ac:dyDescent="0.25">
      <c r="T56" s="110"/>
      <c r="U56" s="110"/>
      <c r="V56" s="98"/>
      <c r="AD56" s="669"/>
      <c r="AE56" s="108" t="s">
        <v>71</v>
      </c>
      <c r="AF56" s="131" cm="1">
        <f t="array" ref="AF56">ROUNDUP(SUMPRODUCT(($I$97:$I$100005=$AE56)*($AD$97:$AD$100005="Actual")*AF$97:AF$100005*$AA$97:$AA$100005),0)+ROUNDUP(SUMPRODUCT(($I$97:$I$100005=$AE56)*($AD$97:$AD$100005="Asignado")*AF$97:AF$100005*$AA$97:$AA$100005),0)</f>
        <v>2</v>
      </c>
      <c r="AG56" s="98" cm="1">
        <f t="array" ref="AG56">ROUNDUP(SUMPRODUCT(($I$97:$I$100005=$AE56)*($AD$97:$AD$100005="Actual")*AG$97:AG$100005*$AA$97:$AA$100005),0)+ROUNDUP(SUMPRODUCT(($I$97:$I$100005=$AE56)*($AD$97:$AD$100005="Asignado")*AG$97:AG$100005*$AA$97:$AA$100005),0)</f>
        <v>2</v>
      </c>
      <c r="AH56" s="98" cm="1">
        <f t="array" ref="AH56">ROUNDUP(SUMPRODUCT(($I$97:$I$100005=$AE56)*($AD$97:$AD$100005="Actual")*AH$97:AH$100005*$AA$97:$AA$100005),0)+ROUNDUP(SUMPRODUCT(($I$97:$I$100005=$AE56)*($AD$97:$AD$100005="Asignado")*AH$97:AH$100005*$AA$97:$AA$100005),0)</f>
        <v>1</v>
      </c>
      <c r="AI56" s="98" cm="1">
        <f t="array" ref="AI56">ROUNDUP(SUMPRODUCT(($I$97:$I$100005=$AE56)*($AD$97:$AD$100005="Actual")*AI$97:AI$100005*$AA$97:$AA$100005),0)+ROUNDUP(SUMPRODUCT(($I$97:$I$100005=$AE56)*($AD$97:$AD$100005="Asignado")*AI$97:AI$100005*$AA$97:$AA$100005),0)</f>
        <v>1</v>
      </c>
      <c r="AJ56" s="98" cm="1">
        <f t="array" ref="AJ56">ROUNDUP(SUMPRODUCT(($I$97:$I$100005=$AE56)*($AD$97:$AD$100005="Actual")*AJ$97:AJ$100005*$AA$97:$AA$100005),0)+ROUNDUP(SUMPRODUCT(($I$97:$I$100005=$AE56)*($AD$97:$AD$100005="Asignado")*AJ$97:AJ$100005*$AA$97:$AA$100005),0)</f>
        <v>1</v>
      </c>
      <c r="AK56" s="98" cm="1">
        <f t="array" ref="AK56">ROUNDUP(SUMPRODUCT(($I$97:$I$100005=$AE56)*($AD$97:$AD$100005="Actual")*AK$97:AK$100005*$AA$97:$AA$100005),0)+ROUNDUP(SUMPRODUCT(($I$97:$I$100005=$AE56)*($AD$97:$AD$100005="Asignado")*AK$97:AK$100005*$AA$97:$AA$100005),0)</f>
        <v>1</v>
      </c>
      <c r="AL56" s="98" cm="1">
        <f t="array" ref="AL56">ROUNDUP(SUMPRODUCT(($I$97:$I$100005=$AE56)*($AD$97:$AD$100005="Actual")*AL$97:AL$100005*$AA$97:$AA$100005),0)+ROUNDUP(SUMPRODUCT(($I$97:$I$100005=$AE56)*($AD$97:$AD$100005="Asignado")*AL$97:AL$100005*$AA$97:$AA$100005),0)</f>
        <v>1</v>
      </c>
      <c r="AM56" s="98" cm="1">
        <f t="array" ref="AM56">ROUNDUP(SUMPRODUCT(($I$97:$I$100005=$AE56)*($AD$97:$AD$100005="Actual")*AM$97:AM$100005*$AA$97:$AA$100005),0)+ROUNDUP(SUMPRODUCT(($I$97:$I$100005=$AE56)*($AD$97:$AD$100005="Asignado")*AM$97:AM$100005*$AA$97:$AA$100005),0)</f>
        <v>1</v>
      </c>
      <c r="AN56" s="99" cm="1">
        <f t="array" ref="AN56">ROUNDUP(SUMPRODUCT(($I$97:$I$100005=$AE56)*($AD$97:$AD$100005="Actual")*AN$97:AN$100005*$AA$97:$AA$100005),0)+ROUNDUP(SUMPRODUCT(($I$97:$I$100005=$AE56)*($AD$97:$AD$100005="Asignado")*AN$97:AN$100005*$AA$97:$AA$100005),0)</f>
        <v>1</v>
      </c>
    </row>
    <row r="57" spans="20:40" ht="12" hidden="1" outlineLevel="2" thickBot="1" x14ac:dyDescent="0.25">
      <c r="T57" s="110"/>
      <c r="U57" s="110"/>
      <c r="V57" s="98"/>
      <c r="AD57" s="669"/>
      <c r="AE57" s="108" t="s">
        <v>75</v>
      </c>
      <c r="AF57" s="131" cm="1">
        <f t="array" ref="AF57">ROUNDUP(SUMPRODUCT(($I$97:$I$100005=$AE57)*($AD$97:$AD$100005="Actual")*AF$97:AF$100005*$AA$97:$AA$100005),0)+ROUNDUP(SUMPRODUCT(($I$97:$I$100005=$AE57)*($AD$97:$AD$100005="Asignado")*AF$97:AF$100005*$AA$97:$AA$100005),0)</f>
        <v>4</v>
      </c>
      <c r="AG57" s="98" cm="1">
        <f t="array" ref="AG57">ROUNDUP(SUMPRODUCT(($I$97:$I$100005=$AE57)*($AD$97:$AD$100005="Actual")*AG$97:AG$100005*$AA$97:$AA$100005),0)+ROUNDUP(SUMPRODUCT(($I$97:$I$100005=$AE57)*($AD$97:$AD$100005="Asignado")*AG$97:AG$100005*$AA$97:$AA$100005),0)</f>
        <v>5</v>
      </c>
      <c r="AH57" s="98" cm="1">
        <f t="array" ref="AH57">ROUNDUP(SUMPRODUCT(($I$97:$I$100005=$AE57)*($AD$97:$AD$100005="Actual")*AH$97:AH$100005*$AA$97:$AA$100005),0)+ROUNDUP(SUMPRODUCT(($I$97:$I$100005=$AE57)*($AD$97:$AD$100005="Asignado")*AH$97:AH$100005*$AA$97:$AA$100005),0)</f>
        <v>4</v>
      </c>
      <c r="AI57" s="98" cm="1">
        <f t="array" ref="AI57">ROUNDUP(SUMPRODUCT(($I$97:$I$100005=$AE57)*($AD$97:$AD$100005="Actual")*AI$97:AI$100005*$AA$97:$AA$100005),0)+ROUNDUP(SUMPRODUCT(($I$97:$I$100005=$AE57)*($AD$97:$AD$100005="Asignado")*AI$97:AI$100005*$AA$97:$AA$100005),0)</f>
        <v>3</v>
      </c>
      <c r="AJ57" s="98" cm="1">
        <f t="array" ref="AJ57">ROUNDUP(SUMPRODUCT(($I$97:$I$100005=$AE57)*($AD$97:$AD$100005="Actual")*AJ$97:AJ$100005*$AA$97:$AA$100005),0)+ROUNDUP(SUMPRODUCT(($I$97:$I$100005=$AE57)*($AD$97:$AD$100005="Asignado")*AJ$97:AJ$100005*$AA$97:$AA$100005),0)</f>
        <v>2</v>
      </c>
      <c r="AK57" s="98" cm="1">
        <f t="array" ref="AK57">ROUNDUP(SUMPRODUCT(($I$97:$I$100005=$AE57)*($AD$97:$AD$100005="Actual")*AK$97:AK$100005*$AA$97:$AA$100005),0)+ROUNDUP(SUMPRODUCT(($I$97:$I$100005=$AE57)*($AD$97:$AD$100005="Asignado")*AK$97:AK$100005*$AA$97:$AA$100005),0)</f>
        <v>2</v>
      </c>
      <c r="AL57" s="98" cm="1">
        <f t="array" ref="AL57">ROUNDUP(SUMPRODUCT(($I$97:$I$100005=$AE57)*($AD$97:$AD$100005="Actual")*AL$97:AL$100005*$AA$97:$AA$100005),0)+ROUNDUP(SUMPRODUCT(($I$97:$I$100005=$AE57)*($AD$97:$AD$100005="Asignado")*AL$97:AL$100005*$AA$97:$AA$100005),0)</f>
        <v>2</v>
      </c>
      <c r="AM57" s="98" cm="1">
        <f t="array" ref="AM57">ROUNDUP(SUMPRODUCT(($I$97:$I$100005=$AE57)*($AD$97:$AD$100005="Actual")*AM$97:AM$100005*$AA$97:$AA$100005),0)+ROUNDUP(SUMPRODUCT(($I$97:$I$100005=$AE57)*($AD$97:$AD$100005="Asignado")*AM$97:AM$100005*$AA$97:$AA$100005),0)</f>
        <v>2</v>
      </c>
      <c r="AN57" s="99" cm="1">
        <f t="array" ref="AN57">ROUNDUP(SUMPRODUCT(($I$97:$I$100005=$AE57)*($AD$97:$AD$100005="Actual")*AN$97:AN$100005*$AA$97:$AA$100005),0)+ROUNDUP(SUMPRODUCT(($I$97:$I$100005=$AE57)*($AD$97:$AD$100005="Asignado")*AN$97:AN$100005*$AA$97:$AA$100005),0)</f>
        <v>1</v>
      </c>
    </row>
    <row r="58" spans="20:40" ht="12" hidden="1" outlineLevel="2" thickBot="1" x14ac:dyDescent="0.25">
      <c r="T58" s="110"/>
      <c r="U58" s="110"/>
      <c r="V58" s="98"/>
      <c r="AD58" s="669"/>
      <c r="AE58" s="108" t="s">
        <v>79</v>
      </c>
      <c r="AF58" s="131" cm="1">
        <f t="array" ref="AF58">ROUNDUP(SUMPRODUCT(($I$97:$I$100005=$AE58)*($AD$97:$AD$100005="Actual")*AF$97:AF$100005*$AA$97:$AA$100005),0)+ROUNDUP(SUMPRODUCT(($I$97:$I$100005=$AE58)*($AD$97:$AD$100005="Asignado")*AF$97:AF$100005*$AA$97:$AA$100005),0)</f>
        <v>0</v>
      </c>
      <c r="AG58" s="98" cm="1">
        <f t="array" ref="AG58">ROUNDUP(SUMPRODUCT(($I$97:$I$100005=$AE58)*($AD$97:$AD$100005="Actual")*AG$97:AG$100005*$AA$97:$AA$100005),0)+ROUNDUP(SUMPRODUCT(($I$97:$I$100005=$AE58)*($AD$97:$AD$100005="Asignado")*AG$97:AG$100005*$AA$97:$AA$100005),0)</f>
        <v>0</v>
      </c>
      <c r="AH58" s="98" cm="1">
        <f t="array" ref="AH58">ROUNDUP(SUMPRODUCT(($I$97:$I$100005=$AE58)*($AD$97:$AD$100005="Actual")*AH$97:AH$100005*$AA$97:$AA$100005),0)+ROUNDUP(SUMPRODUCT(($I$97:$I$100005=$AE58)*($AD$97:$AD$100005="Asignado")*AH$97:AH$100005*$AA$97:$AA$100005),0)</f>
        <v>0</v>
      </c>
      <c r="AI58" s="98" cm="1">
        <f t="array" ref="AI58">ROUNDUP(SUMPRODUCT(($I$97:$I$100005=$AE58)*($AD$97:$AD$100005="Actual")*AI$97:AI$100005*$AA$97:$AA$100005),0)+ROUNDUP(SUMPRODUCT(($I$97:$I$100005=$AE58)*($AD$97:$AD$100005="Asignado")*AI$97:AI$100005*$AA$97:$AA$100005),0)</f>
        <v>0</v>
      </c>
      <c r="AJ58" s="98" cm="1">
        <f t="array" ref="AJ58">ROUNDUP(SUMPRODUCT(($I$97:$I$100005=$AE58)*($AD$97:$AD$100005="Actual")*AJ$97:AJ$100005*$AA$97:$AA$100005),0)+ROUNDUP(SUMPRODUCT(($I$97:$I$100005=$AE58)*($AD$97:$AD$100005="Asignado")*AJ$97:AJ$100005*$AA$97:$AA$100005),0)</f>
        <v>0</v>
      </c>
      <c r="AK58" s="98" cm="1">
        <f t="array" ref="AK58">ROUNDUP(SUMPRODUCT(($I$97:$I$100005=$AE58)*($AD$97:$AD$100005="Actual")*AK$97:AK$100005*$AA$97:$AA$100005),0)+ROUNDUP(SUMPRODUCT(($I$97:$I$100005=$AE58)*($AD$97:$AD$100005="Asignado")*AK$97:AK$100005*$AA$97:$AA$100005),0)</f>
        <v>0</v>
      </c>
      <c r="AL58" s="98" cm="1">
        <f t="array" ref="AL58">ROUNDUP(SUMPRODUCT(($I$97:$I$100005=$AE58)*($AD$97:$AD$100005="Actual")*AL$97:AL$100005*$AA$97:$AA$100005),0)+ROUNDUP(SUMPRODUCT(($I$97:$I$100005=$AE58)*($AD$97:$AD$100005="Asignado")*AL$97:AL$100005*$AA$97:$AA$100005),0)</f>
        <v>0</v>
      </c>
      <c r="AM58" s="98" cm="1">
        <f t="array" ref="AM58">ROUNDUP(SUMPRODUCT(($I$97:$I$100005=$AE58)*($AD$97:$AD$100005="Actual")*AM$97:AM$100005*$AA$97:$AA$100005),0)+ROUNDUP(SUMPRODUCT(($I$97:$I$100005=$AE58)*($AD$97:$AD$100005="Asignado")*AM$97:AM$100005*$AA$97:$AA$100005),0)</f>
        <v>0</v>
      </c>
      <c r="AN58" s="99" cm="1">
        <f t="array" ref="AN58">ROUNDUP(SUMPRODUCT(($I$97:$I$100005=$AE58)*($AD$97:$AD$100005="Actual")*AN$97:AN$100005*$AA$97:$AA$100005),0)+ROUNDUP(SUMPRODUCT(($I$97:$I$100005=$AE58)*($AD$97:$AD$100005="Asignado")*AN$97:AN$100005*$AA$97:$AA$100005),0)</f>
        <v>0</v>
      </c>
    </row>
    <row r="59" spans="20:40" ht="12" hidden="1" outlineLevel="2" thickBot="1" x14ac:dyDescent="0.25">
      <c r="T59" s="110"/>
      <c r="U59" s="110"/>
      <c r="V59" s="98"/>
      <c r="AD59" s="669"/>
      <c r="AE59" s="97" t="s">
        <v>29</v>
      </c>
      <c r="AF59" s="128">
        <f>+SUM(AF60:AF62)</f>
        <v>4</v>
      </c>
      <c r="AG59" s="129">
        <f t="shared" ref="AG59:AN59" si="17">+SUM(AG60:AG62)</f>
        <v>3</v>
      </c>
      <c r="AH59" s="129">
        <f t="shared" si="17"/>
        <v>3</v>
      </c>
      <c r="AI59" s="129">
        <f t="shared" si="17"/>
        <v>4</v>
      </c>
      <c r="AJ59" s="129">
        <f t="shared" si="17"/>
        <v>3</v>
      </c>
      <c r="AK59" s="129">
        <f t="shared" si="17"/>
        <v>3</v>
      </c>
      <c r="AL59" s="129">
        <f t="shared" si="17"/>
        <v>3</v>
      </c>
      <c r="AM59" s="129">
        <f t="shared" si="17"/>
        <v>3</v>
      </c>
      <c r="AN59" s="130">
        <f t="shared" si="17"/>
        <v>2</v>
      </c>
    </row>
    <row r="60" spans="20:40" ht="12" hidden="1" outlineLevel="2" thickBot="1" x14ac:dyDescent="0.25">
      <c r="T60" s="110"/>
      <c r="U60" s="110"/>
      <c r="V60" s="98"/>
      <c r="AD60" s="669"/>
      <c r="AE60" s="108" t="s">
        <v>71</v>
      </c>
      <c r="AF60" s="131" cm="1">
        <f t="array" ref="AF60">ROUNDUP(SUMPRODUCT(($I$97:$I$100005=$AE60)*($AD$97:$AD$100005="Actual")*AF$97:AF$100005*$AB$97:$AB$100005),0)+ROUNDUP(SUMPRODUCT(($I$97:$I$100005=$AE60)*($AD$97:$AD$100005="Asignado")*AF$97:AF$100005*$AB$97:$AB$100005),0)</f>
        <v>2</v>
      </c>
      <c r="AG60" s="98" cm="1">
        <f t="array" ref="AG60">ROUNDUP(SUMPRODUCT(($I$97:$I$100005=$AE60)*($AD$97:$AD$100005="Actual")*AG$97:AG$100005*$AB$97:$AB$100005),0)+ROUNDUP(SUMPRODUCT(($I$97:$I$100005=$AE60)*($AD$97:$AD$100005="Asignado")*AG$97:AG$100005*$AB$97:$AB$100005),0)</f>
        <v>1</v>
      </c>
      <c r="AH60" s="98" cm="1">
        <f t="array" ref="AH60">ROUNDUP(SUMPRODUCT(($I$97:$I$100005=$AE60)*($AD$97:$AD$100005="Actual")*AH$97:AH$100005*$AB$97:$AB$100005),0)+ROUNDUP(SUMPRODUCT(($I$97:$I$100005=$AE60)*($AD$97:$AD$100005="Asignado")*AH$97:AH$100005*$AB$97:$AB$100005),0)</f>
        <v>1</v>
      </c>
      <c r="AI60" s="98" cm="1">
        <f t="array" ref="AI60">ROUNDUP(SUMPRODUCT(($I$97:$I$100005=$AE60)*($AD$97:$AD$100005="Actual")*AI$97:AI$100005*$AB$97:$AB$100005),0)+ROUNDUP(SUMPRODUCT(($I$97:$I$100005=$AE60)*($AD$97:$AD$100005="Asignado")*AI$97:AI$100005*$AB$97:$AB$100005),0)</f>
        <v>1</v>
      </c>
      <c r="AJ60" s="98" cm="1">
        <f t="array" ref="AJ60">ROUNDUP(SUMPRODUCT(($I$97:$I$100005=$AE60)*($AD$97:$AD$100005="Actual")*AJ$97:AJ$100005*$AB$97:$AB$100005),0)+ROUNDUP(SUMPRODUCT(($I$97:$I$100005=$AE60)*($AD$97:$AD$100005="Asignado")*AJ$97:AJ$100005*$AB$97:$AB$100005),0)</f>
        <v>1</v>
      </c>
      <c r="AK60" s="98" cm="1">
        <f t="array" ref="AK60">ROUNDUP(SUMPRODUCT(($I$97:$I$100005=$AE60)*($AD$97:$AD$100005="Actual")*AK$97:AK$100005*$AB$97:$AB$100005),0)+ROUNDUP(SUMPRODUCT(($I$97:$I$100005=$AE60)*($AD$97:$AD$100005="Asignado")*AK$97:AK$100005*$AB$97:$AB$100005),0)</f>
        <v>1</v>
      </c>
      <c r="AL60" s="98" cm="1">
        <f t="array" ref="AL60">ROUNDUP(SUMPRODUCT(($I$97:$I$100005=$AE60)*($AD$97:$AD$100005="Actual")*AL$97:AL$100005*$AB$97:$AB$100005),0)+ROUNDUP(SUMPRODUCT(($I$97:$I$100005=$AE60)*($AD$97:$AD$100005="Asignado")*AL$97:AL$100005*$AB$97:$AB$100005),0)</f>
        <v>1</v>
      </c>
      <c r="AM60" s="98" cm="1">
        <f t="array" ref="AM60">ROUNDUP(SUMPRODUCT(($I$97:$I$100005=$AE60)*($AD$97:$AD$100005="Actual")*AM$97:AM$100005*$AB$97:$AB$100005),0)+ROUNDUP(SUMPRODUCT(($I$97:$I$100005=$AE60)*($AD$97:$AD$100005="Asignado")*AM$97:AM$100005*$AB$97:$AB$100005),0)</f>
        <v>1</v>
      </c>
      <c r="AN60" s="99" cm="1">
        <f t="array" ref="AN60">ROUNDUP(SUMPRODUCT(($I$97:$I$100005=$AE60)*($AD$97:$AD$100005="Actual")*AN$97:AN$100005*$AB$97:$AB$100005),0)+ROUNDUP(SUMPRODUCT(($I$97:$I$100005=$AE60)*($AD$97:$AD$100005="Asignado")*AN$97:AN$100005*$AB$97:$AB$100005),0)</f>
        <v>1</v>
      </c>
    </row>
    <row r="61" spans="20:40" ht="12" hidden="1" outlineLevel="2" thickBot="1" x14ac:dyDescent="0.25">
      <c r="T61" s="110"/>
      <c r="U61" s="110"/>
      <c r="V61" s="98"/>
      <c r="AD61" s="669"/>
      <c r="AE61" s="108" t="s">
        <v>75</v>
      </c>
      <c r="AF61" s="131" cm="1">
        <f t="array" ref="AF61">ROUNDUP(SUMPRODUCT(($I$97:$I$100005=$AE61)*($AD$97:$AD$100005="Actual")*AF$97:AF$100005*$AB$97:$AB$100005),0)+ROUNDUP(SUMPRODUCT(($I$97:$I$100005=$AE61)*($AD$97:$AD$100005="Asignado")*AF$97:AF$100005*$AB$97:$AB$100005),0)</f>
        <v>2</v>
      </c>
      <c r="AG61" s="98" cm="1">
        <f t="array" ref="AG61">ROUNDUP(SUMPRODUCT(($I$97:$I$100005=$AE61)*($AD$97:$AD$100005="Actual")*AG$97:AG$100005*$AB$97:$AB$100005),0)+ROUNDUP(SUMPRODUCT(($I$97:$I$100005=$AE61)*($AD$97:$AD$100005="Asignado")*AG$97:AG$100005*$AB$97:$AB$100005),0)</f>
        <v>2</v>
      </c>
      <c r="AH61" s="98" cm="1">
        <f t="array" ref="AH61">ROUNDUP(SUMPRODUCT(($I$97:$I$100005=$AE61)*($AD$97:$AD$100005="Actual")*AH$97:AH$100005*$AB$97:$AB$100005),0)+ROUNDUP(SUMPRODUCT(($I$97:$I$100005=$AE61)*($AD$97:$AD$100005="Asignado")*AH$97:AH$100005*$AB$97:$AB$100005),0)</f>
        <v>2</v>
      </c>
      <c r="AI61" s="98" cm="1">
        <f t="array" ref="AI61">ROUNDUP(SUMPRODUCT(($I$97:$I$100005=$AE61)*($AD$97:$AD$100005="Actual")*AI$97:AI$100005*$AB$97:$AB$100005),0)+ROUNDUP(SUMPRODUCT(($I$97:$I$100005=$AE61)*($AD$97:$AD$100005="Asignado")*AI$97:AI$100005*$AB$97:$AB$100005),0)</f>
        <v>3</v>
      </c>
      <c r="AJ61" s="98" cm="1">
        <f t="array" ref="AJ61">ROUNDUP(SUMPRODUCT(($I$97:$I$100005=$AE61)*($AD$97:$AD$100005="Actual")*AJ$97:AJ$100005*$AB$97:$AB$100005),0)+ROUNDUP(SUMPRODUCT(($I$97:$I$100005=$AE61)*($AD$97:$AD$100005="Asignado")*AJ$97:AJ$100005*$AB$97:$AB$100005),0)</f>
        <v>2</v>
      </c>
      <c r="AK61" s="98" cm="1">
        <f t="array" ref="AK61">ROUNDUP(SUMPRODUCT(($I$97:$I$100005=$AE61)*($AD$97:$AD$100005="Actual")*AK$97:AK$100005*$AB$97:$AB$100005),0)+ROUNDUP(SUMPRODUCT(($I$97:$I$100005=$AE61)*($AD$97:$AD$100005="Asignado")*AK$97:AK$100005*$AB$97:$AB$100005),0)</f>
        <v>2</v>
      </c>
      <c r="AL61" s="98" cm="1">
        <f t="array" ref="AL61">ROUNDUP(SUMPRODUCT(($I$97:$I$100005=$AE61)*($AD$97:$AD$100005="Actual")*AL$97:AL$100005*$AB$97:$AB$100005),0)+ROUNDUP(SUMPRODUCT(($I$97:$I$100005=$AE61)*($AD$97:$AD$100005="Asignado")*AL$97:AL$100005*$AB$97:$AB$100005),0)</f>
        <v>2</v>
      </c>
      <c r="AM61" s="98" cm="1">
        <f t="array" ref="AM61">ROUNDUP(SUMPRODUCT(($I$97:$I$100005=$AE61)*($AD$97:$AD$100005="Actual")*AM$97:AM$100005*$AB$97:$AB$100005),0)+ROUNDUP(SUMPRODUCT(($I$97:$I$100005=$AE61)*($AD$97:$AD$100005="Asignado")*AM$97:AM$100005*$AB$97:$AB$100005),0)</f>
        <v>2</v>
      </c>
      <c r="AN61" s="99" cm="1">
        <f t="array" ref="AN61">ROUNDUP(SUMPRODUCT(($I$97:$I$100005=$AE61)*($AD$97:$AD$100005="Actual")*AN$97:AN$100005*$AB$97:$AB$100005),0)+ROUNDUP(SUMPRODUCT(($I$97:$I$100005=$AE61)*($AD$97:$AD$100005="Asignado")*AN$97:AN$100005*$AB$97:$AB$100005),0)</f>
        <v>1</v>
      </c>
    </row>
    <row r="62" spans="20:40" ht="12" hidden="1" outlineLevel="2" thickBot="1" x14ac:dyDescent="0.25">
      <c r="T62" s="110"/>
      <c r="U62" s="110"/>
      <c r="V62" s="98"/>
      <c r="AD62" s="669"/>
      <c r="AE62" s="108" t="s">
        <v>79</v>
      </c>
      <c r="AF62" s="131" cm="1">
        <f t="array" ref="AF62">ROUNDUP(SUMPRODUCT(($I$97:$I$100005=$AE62)*($AD$97:$AD$100005="Actual")*AF$97:AF$100005*$AB$97:$AB$100005),0)+ROUNDUP(SUMPRODUCT(($I$97:$I$100005=$AE62)*($AD$97:$AD$100005="Asignado")*AF$97:AF$100005*$AB$97:$AB$100005),0)</f>
        <v>0</v>
      </c>
      <c r="AG62" s="98" cm="1">
        <f t="array" ref="AG62">ROUNDUP(SUMPRODUCT(($I$97:$I$100005=$AE62)*($AD$97:$AD$100005="Actual")*AG$97:AG$100005*$AB$97:$AB$100005),0)+ROUNDUP(SUMPRODUCT(($I$97:$I$100005=$AE62)*($AD$97:$AD$100005="Asignado")*AG$97:AG$100005*$AB$97:$AB$100005),0)</f>
        <v>0</v>
      </c>
      <c r="AH62" s="98" cm="1">
        <f t="array" ref="AH62">ROUNDUP(SUMPRODUCT(($I$97:$I$100005=$AE62)*($AD$97:$AD$100005="Actual")*AH$97:AH$100005*$AB$97:$AB$100005),0)+ROUNDUP(SUMPRODUCT(($I$97:$I$100005=$AE62)*($AD$97:$AD$100005="Asignado")*AH$97:AH$100005*$AB$97:$AB$100005),0)</f>
        <v>0</v>
      </c>
      <c r="AI62" s="98" cm="1">
        <f t="array" ref="AI62">ROUNDUP(SUMPRODUCT(($I$97:$I$100005=$AE62)*($AD$97:$AD$100005="Actual")*AI$97:AI$100005*$AB$97:$AB$100005),0)+ROUNDUP(SUMPRODUCT(($I$97:$I$100005=$AE62)*($AD$97:$AD$100005="Asignado")*AI$97:AI$100005*$AB$97:$AB$100005),0)</f>
        <v>0</v>
      </c>
      <c r="AJ62" s="98" cm="1">
        <f t="array" ref="AJ62">ROUNDUP(SUMPRODUCT(($I$97:$I$100005=$AE62)*($AD$97:$AD$100005="Actual")*AJ$97:AJ$100005*$AB$97:$AB$100005),0)+ROUNDUP(SUMPRODUCT(($I$97:$I$100005=$AE62)*($AD$97:$AD$100005="Asignado")*AJ$97:AJ$100005*$AB$97:$AB$100005),0)</f>
        <v>0</v>
      </c>
      <c r="AK62" s="98" cm="1">
        <f t="array" ref="AK62">ROUNDUP(SUMPRODUCT(($I$97:$I$100005=$AE62)*($AD$97:$AD$100005="Actual")*AK$97:AK$100005*$AB$97:$AB$100005),0)+ROUNDUP(SUMPRODUCT(($I$97:$I$100005=$AE62)*($AD$97:$AD$100005="Asignado")*AK$97:AK$100005*$AB$97:$AB$100005),0)</f>
        <v>0</v>
      </c>
      <c r="AL62" s="98" cm="1">
        <f t="array" ref="AL62">ROUNDUP(SUMPRODUCT(($I$97:$I$100005=$AE62)*($AD$97:$AD$100005="Actual")*AL$97:AL$100005*$AB$97:$AB$100005),0)+ROUNDUP(SUMPRODUCT(($I$97:$I$100005=$AE62)*($AD$97:$AD$100005="Asignado")*AL$97:AL$100005*$AB$97:$AB$100005),0)</f>
        <v>0</v>
      </c>
      <c r="AM62" s="98" cm="1">
        <f t="array" ref="AM62">ROUNDUP(SUMPRODUCT(($I$97:$I$100005=$AE62)*($AD$97:$AD$100005="Actual")*AM$97:AM$100005*$AB$97:$AB$100005),0)+ROUNDUP(SUMPRODUCT(($I$97:$I$100005=$AE62)*($AD$97:$AD$100005="Asignado")*AM$97:AM$100005*$AB$97:$AB$100005),0)</f>
        <v>0</v>
      </c>
      <c r="AN62" s="99" cm="1">
        <f t="array" ref="AN62">ROUNDUP(SUMPRODUCT(($I$97:$I$100005=$AE62)*($AD$97:$AD$100005="Actual")*AN$97:AN$100005*$AB$97:$AB$100005),0)+ROUNDUP(SUMPRODUCT(($I$97:$I$100005=$AE62)*($AD$97:$AD$100005="Asignado")*AN$97:AN$100005*$AB$97:$AB$100005),0)</f>
        <v>0</v>
      </c>
    </row>
    <row r="63" spans="20:40" ht="12" outlineLevel="1" collapsed="1" thickBot="1" x14ac:dyDescent="0.25">
      <c r="T63" s="110"/>
      <c r="U63" s="110"/>
      <c r="V63" s="98"/>
      <c r="AD63" s="670"/>
      <c r="AE63" s="109" t="s">
        <v>32</v>
      </c>
      <c r="AF63" s="135">
        <f>+AF59+AF55+AF51+AF47+AF43</f>
        <v>19</v>
      </c>
      <c r="AG63" s="135">
        <f t="shared" ref="AG63:AN63" si="18">+AG59+AG55+AG51+AG47+AG43</f>
        <v>22</v>
      </c>
      <c r="AH63" s="135">
        <f t="shared" si="18"/>
        <v>18</v>
      </c>
      <c r="AI63" s="135">
        <f t="shared" si="18"/>
        <v>17</v>
      </c>
      <c r="AJ63" s="135">
        <f t="shared" si="18"/>
        <v>15</v>
      </c>
      <c r="AK63" s="135">
        <f t="shared" si="18"/>
        <v>15</v>
      </c>
      <c r="AL63" s="135">
        <f t="shared" si="18"/>
        <v>15</v>
      </c>
      <c r="AM63" s="135">
        <f t="shared" si="18"/>
        <v>15</v>
      </c>
      <c r="AN63" s="136">
        <f t="shared" si="18"/>
        <v>10</v>
      </c>
    </row>
    <row r="64" spans="20:40" ht="12" hidden="1" outlineLevel="2" thickBot="1" x14ac:dyDescent="0.25">
      <c r="T64" s="110"/>
      <c r="U64" s="110"/>
      <c r="V64" s="98"/>
      <c r="AD64" s="668" t="s">
        <v>264</v>
      </c>
      <c r="AE64" s="90" t="s">
        <v>25</v>
      </c>
      <c r="AF64" s="128">
        <f>+SUM(AF65:AF67)</f>
        <v>3</v>
      </c>
      <c r="AG64" s="129">
        <f t="shared" ref="AG64" si="19">+SUM(AG65:AG67)</f>
        <v>4</v>
      </c>
      <c r="AH64" s="129">
        <f t="shared" ref="AH64" si="20">+SUM(AH65:AH67)</f>
        <v>4</v>
      </c>
      <c r="AI64" s="129">
        <f t="shared" ref="AI64" si="21">+SUM(AI65:AI67)</f>
        <v>5</v>
      </c>
      <c r="AJ64" s="129">
        <f t="shared" ref="AJ64" si="22">+SUM(AJ65:AJ67)</f>
        <v>5</v>
      </c>
      <c r="AK64" s="129">
        <f t="shared" ref="AK64" si="23">+SUM(AK65:AK67)</f>
        <v>5</v>
      </c>
      <c r="AL64" s="129">
        <f t="shared" ref="AL64" si="24">+SUM(AL65:AL67)</f>
        <v>5</v>
      </c>
      <c r="AM64" s="129">
        <f t="shared" ref="AM64" si="25">+SUM(AM65:AM67)</f>
        <v>5</v>
      </c>
      <c r="AN64" s="130">
        <f t="shared" ref="AN64" si="26">+SUM(AN65:AN67)</f>
        <v>4</v>
      </c>
    </row>
    <row r="65" spans="20:40" ht="12" hidden="1" outlineLevel="2" thickBot="1" x14ac:dyDescent="0.25">
      <c r="T65" s="110"/>
      <c r="U65" s="110"/>
      <c r="V65" s="98"/>
      <c r="AD65" s="669"/>
      <c r="AE65" s="108" t="s">
        <v>71</v>
      </c>
      <c r="AF65" s="131" cm="1">
        <f t="array" ref="AF65">ROUNDUP(SUMPRODUCT(($I$97:$I$100005=$AE65)*($AD$97:$AD$100005="Actual")*AF$97:AF$100005*$X$97:$X$100005),0)+ROUNDUP(SUMPRODUCT(($I$97:$I$100005=$AE65)*($AD$97:$AD$100005="Asignado")*AF$97:AF$100005*$X$97:$X$100005),0)+ROUNDUP(SUMPRODUCT(($I$97:$I$100005=$AE65)*($AD$97:$AD$100005="No Asignado")*AF$97:AF$100005*$X$97:$X$100005),0)</f>
        <v>1</v>
      </c>
      <c r="AG65" s="98" cm="1">
        <f t="array" ref="AG65">ROUNDUP(SUMPRODUCT(($I$97:$I$100005=$AE65)*($AD$97:$AD$100005="Actual")*AG$97:AG$100005*$X$97:$X$100005),0)+ROUNDUP(SUMPRODUCT(($I$97:$I$100005=$AE65)*($AD$97:$AD$100005="Asignado")*AG$97:AG$100005*$X$97:$X$100005),0)+ROUNDUP(SUMPRODUCT(($I$97:$I$100005=$AE65)*($AD$97:$AD$100005="No Asignado")*AG$97:AG$100005*$X$97:$X$100005),0)</f>
        <v>1</v>
      </c>
      <c r="AH65" s="98" cm="1">
        <f t="array" ref="AH65">ROUNDUP(SUMPRODUCT(($I$97:$I$100005=$AE65)*($AD$97:$AD$100005="Actual")*AH$97:AH$100005*$X$97:$X$100005),0)+ROUNDUP(SUMPRODUCT(($I$97:$I$100005=$AE65)*($AD$97:$AD$100005="Asignado")*AH$97:AH$100005*$X$97:$X$100005),0)+ROUNDUP(SUMPRODUCT(($I$97:$I$100005=$AE65)*($AD$97:$AD$100005="No Asignado")*AH$97:AH$100005*$X$97:$X$100005),0)</f>
        <v>1</v>
      </c>
      <c r="AI65" s="98" cm="1">
        <f t="array" ref="AI65">ROUNDUP(SUMPRODUCT(($I$97:$I$100005=$AE65)*($AD$97:$AD$100005="Actual")*AI$97:AI$100005*$X$97:$X$100005),0)+ROUNDUP(SUMPRODUCT(($I$97:$I$100005=$AE65)*($AD$97:$AD$100005="Asignado")*AI$97:AI$100005*$X$97:$X$100005),0)+ROUNDUP(SUMPRODUCT(($I$97:$I$100005=$AE65)*($AD$97:$AD$100005="No Asignado")*AI$97:AI$100005*$X$97:$X$100005),0)</f>
        <v>2</v>
      </c>
      <c r="AJ65" s="98" cm="1">
        <f t="array" ref="AJ65">ROUNDUP(SUMPRODUCT(($I$97:$I$100005=$AE65)*($AD$97:$AD$100005="Actual")*AJ$97:AJ$100005*$X$97:$X$100005),0)+ROUNDUP(SUMPRODUCT(($I$97:$I$100005=$AE65)*($AD$97:$AD$100005="Asignado")*AJ$97:AJ$100005*$X$97:$X$100005),0)+ROUNDUP(SUMPRODUCT(($I$97:$I$100005=$AE65)*($AD$97:$AD$100005="No Asignado")*AJ$97:AJ$100005*$X$97:$X$100005),0)</f>
        <v>2</v>
      </c>
      <c r="AK65" s="98" cm="1">
        <f t="array" ref="AK65">ROUNDUP(SUMPRODUCT(($I$97:$I$100005=$AE65)*($AD$97:$AD$100005="Actual")*AK$97:AK$100005*$X$97:$X$100005),0)+ROUNDUP(SUMPRODUCT(($I$97:$I$100005=$AE65)*($AD$97:$AD$100005="Asignado")*AK$97:AK$100005*$X$97:$X$100005),0)+ROUNDUP(SUMPRODUCT(($I$97:$I$100005=$AE65)*($AD$97:$AD$100005="No Asignado")*AK$97:AK$100005*$X$97:$X$100005),0)</f>
        <v>2</v>
      </c>
      <c r="AL65" s="98" cm="1">
        <f t="array" ref="AL65">ROUNDUP(SUMPRODUCT(($I$97:$I$100005=$AE65)*($AD$97:$AD$100005="Actual")*AL$97:AL$100005*$X$97:$X$100005),0)+ROUNDUP(SUMPRODUCT(($I$97:$I$100005=$AE65)*($AD$97:$AD$100005="Asignado")*AL$97:AL$100005*$X$97:$X$100005),0)+ROUNDUP(SUMPRODUCT(($I$97:$I$100005=$AE65)*($AD$97:$AD$100005="No Asignado")*AL$97:AL$100005*$X$97:$X$100005),0)</f>
        <v>2</v>
      </c>
      <c r="AM65" s="98" cm="1">
        <f t="array" ref="AM65">ROUNDUP(SUMPRODUCT(($I$97:$I$100005=$AE65)*($AD$97:$AD$100005="Actual")*AM$97:AM$100005*$X$97:$X$100005),0)+ROUNDUP(SUMPRODUCT(($I$97:$I$100005=$AE65)*($AD$97:$AD$100005="Asignado")*AM$97:AM$100005*$X$97:$X$100005),0)+ROUNDUP(SUMPRODUCT(($I$97:$I$100005=$AE65)*($AD$97:$AD$100005="No Asignado")*AM$97:AM$100005*$X$97:$X$100005),0)</f>
        <v>2</v>
      </c>
      <c r="AN65" s="99" cm="1">
        <f t="array" ref="AN65">ROUNDUP(SUMPRODUCT(($I$97:$I$100005=$AE65)*($AD$97:$AD$100005="Actual")*AN$97:AN$100005*$X$97:$X$100005),0)+ROUNDUP(SUMPRODUCT(($I$97:$I$100005=$AE65)*($AD$97:$AD$100005="Asignado")*AN$97:AN$100005*$X$97:$X$100005),0)+ROUNDUP(SUMPRODUCT(($I$97:$I$100005=$AE65)*($AD$97:$AD$100005="No Asignado")*AN$97:AN$100005*$X$97:$X$100005),0)</f>
        <v>2</v>
      </c>
    </row>
    <row r="66" spans="20:40" ht="12" hidden="1" outlineLevel="2" thickBot="1" x14ac:dyDescent="0.25">
      <c r="T66" s="110"/>
      <c r="U66" s="110"/>
      <c r="V66" s="98"/>
      <c r="AD66" s="669"/>
      <c r="AE66" s="108" t="s">
        <v>75</v>
      </c>
      <c r="AF66" s="131" cm="1">
        <f t="array" ref="AF66">ROUNDUP(SUMPRODUCT(($I$97:$I$100005=$AE66)*($AD$97:$AD$100005="Actual")*AF$97:AF$100005*$X$97:$X$100005),0)+ROUNDUP(SUMPRODUCT(($I$97:$I$100005=$AE66)*($AD$97:$AD$100005="Asignado")*AF$97:AF$100005*$X$97:$X$100005),0)+ROUNDUP(SUMPRODUCT(($I$97:$I$100005=$AE66)*($AD$97:$AD$100005="No Asignado")*AF$97:AF$100005*$X$97:$X$100005),0)</f>
        <v>2</v>
      </c>
      <c r="AG66" s="98" cm="1">
        <f t="array" ref="AG66">ROUNDUP(SUMPRODUCT(($I$97:$I$100005=$AE66)*($AD$97:$AD$100005="Actual")*AG$97:AG$100005*$X$97:$X$100005),0)+ROUNDUP(SUMPRODUCT(($I$97:$I$100005=$AE66)*($AD$97:$AD$100005="Asignado")*AG$97:AG$100005*$X$97:$X$100005),0)+ROUNDUP(SUMPRODUCT(($I$97:$I$100005=$AE66)*($AD$97:$AD$100005="No Asignado")*AG$97:AG$100005*$X$97:$X$100005),0)</f>
        <v>3</v>
      </c>
      <c r="AH66" s="98" cm="1">
        <f t="array" ref="AH66">ROUNDUP(SUMPRODUCT(($I$97:$I$100005=$AE66)*($AD$97:$AD$100005="Actual")*AH$97:AH$100005*$X$97:$X$100005),0)+ROUNDUP(SUMPRODUCT(($I$97:$I$100005=$AE66)*($AD$97:$AD$100005="Asignado")*AH$97:AH$100005*$X$97:$X$100005),0)+ROUNDUP(SUMPRODUCT(($I$97:$I$100005=$AE66)*($AD$97:$AD$100005="No Asignado")*AH$97:AH$100005*$X$97:$X$100005),0)</f>
        <v>3</v>
      </c>
      <c r="AI66" s="98" cm="1">
        <f t="array" ref="AI66">ROUNDUP(SUMPRODUCT(($I$97:$I$100005=$AE66)*($AD$97:$AD$100005="Actual")*AI$97:AI$100005*$X$97:$X$100005),0)+ROUNDUP(SUMPRODUCT(($I$97:$I$100005=$AE66)*($AD$97:$AD$100005="Asignado")*AI$97:AI$100005*$X$97:$X$100005),0)+ROUNDUP(SUMPRODUCT(($I$97:$I$100005=$AE66)*($AD$97:$AD$100005="No Asignado")*AI$97:AI$100005*$X$97:$X$100005),0)</f>
        <v>3</v>
      </c>
      <c r="AJ66" s="98" cm="1">
        <f t="array" ref="AJ66">ROUNDUP(SUMPRODUCT(($I$97:$I$100005=$AE66)*($AD$97:$AD$100005="Actual")*AJ$97:AJ$100005*$X$97:$X$100005),0)+ROUNDUP(SUMPRODUCT(($I$97:$I$100005=$AE66)*($AD$97:$AD$100005="Asignado")*AJ$97:AJ$100005*$X$97:$X$100005),0)+ROUNDUP(SUMPRODUCT(($I$97:$I$100005=$AE66)*($AD$97:$AD$100005="No Asignado")*AJ$97:AJ$100005*$X$97:$X$100005),0)</f>
        <v>3</v>
      </c>
      <c r="AK66" s="98" cm="1">
        <f t="array" ref="AK66">ROUNDUP(SUMPRODUCT(($I$97:$I$100005=$AE66)*($AD$97:$AD$100005="Actual")*AK$97:AK$100005*$X$97:$X$100005),0)+ROUNDUP(SUMPRODUCT(($I$97:$I$100005=$AE66)*($AD$97:$AD$100005="Asignado")*AK$97:AK$100005*$X$97:$X$100005),0)+ROUNDUP(SUMPRODUCT(($I$97:$I$100005=$AE66)*($AD$97:$AD$100005="No Asignado")*AK$97:AK$100005*$X$97:$X$100005),0)</f>
        <v>3</v>
      </c>
      <c r="AL66" s="98" cm="1">
        <f t="array" ref="AL66">ROUNDUP(SUMPRODUCT(($I$97:$I$100005=$AE66)*($AD$97:$AD$100005="Actual")*AL$97:AL$100005*$X$97:$X$100005),0)+ROUNDUP(SUMPRODUCT(($I$97:$I$100005=$AE66)*($AD$97:$AD$100005="Asignado")*AL$97:AL$100005*$X$97:$X$100005),0)+ROUNDUP(SUMPRODUCT(($I$97:$I$100005=$AE66)*($AD$97:$AD$100005="No Asignado")*AL$97:AL$100005*$X$97:$X$100005),0)</f>
        <v>3</v>
      </c>
      <c r="AM66" s="98" cm="1">
        <f t="array" ref="AM66">ROUNDUP(SUMPRODUCT(($I$97:$I$100005=$AE66)*($AD$97:$AD$100005="Actual")*AM$97:AM$100005*$X$97:$X$100005),0)+ROUNDUP(SUMPRODUCT(($I$97:$I$100005=$AE66)*($AD$97:$AD$100005="Asignado")*AM$97:AM$100005*$X$97:$X$100005),0)+ROUNDUP(SUMPRODUCT(($I$97:$I$100005=$AE66)*($AD$97:$AD$100005="No Asignado")*AM$97:AM$100005*$X$97:$X$100005),0)</f>
        <v>3</v>
      </c>
      <c r="AN66" s="99" cm="1">
        <f t="array" ref="AN66">ROUNDUP(SUMPRODUCT(($I$97:$I$100005=$AE66)*($AD$97:$AD$100005="Actual")*AN$97:AN$100005*$X$97:$X$100005),0)+ROUNDUP(SUMPRODUCT(($I$97:$I$100005=$AE66)*($AD$97:$AD$100005="Asignado")*AN$97:AN$100005*$X$97:$X$100005),0)+ROUNDUP(SUMPRODUCT(($I$97:$I$100005=$AE66)*($AD$97:$AD$100005="No Asignado")*AN$97:AN$100005*$X$97:$X$100005),0)</f>
        <v>2</v>
      </c>
    </row>
    <row r="67" spans="20:40" ht="12" hidden="1" outlineLevel="2" thickBot="1" x14ac:dyDescent="0.25">
      <c r="T67" s="110"/>
      <c r="U67" s="110"/>
      <c r="V67" s="98"/>
      <c r="AD67" s="669"/>
      <c r="AE67" s="108" t="s">
        <v>79</v>
      </c>
      <c r="AF67" s="131" cm="1">
        <f t="array" ref="AF67">ROUNDUP(SUMPRODUCT(($I$97:$I$100005=$AE67)*($AD$97:$AD$100005="Actual")*AF$97:AF$100005*$X$97:$X$100005),0)+ROUNDUP(SUMPRODUCT(($I$97:$I$100005=$AE67)*($AD$97:$AD$100005="Asignado")*AF$97:AF$100005*$X$97:$X$100005),0)+ROUNDUP(SUMPRODUCT(($I$97:$I$100005=$AE67)*($AD$97:$AD$100005="No Asignado")*AF$97:AF$100005*$X$97:$X$100005),0)</f>
        <v>0</v>
      </c>
      <c r="AG67" s="133" cm="1">
        <f t="array" ref="AG67">ROUNDUP(SUMPRODUCT(($I$97:$I$100005=$AE67)*($AD$97:$AD$100005="Actual")*AG$97:AG$100005*$X$97:$X$100005),0)+ROUNDUP(SUMPRODUCT(($I$97:$I$100005=$AE67)*($AD$97:$AD$100005="Asignado")*AG$97:AG$100005*$X$97:$X$100005),0)+ROUNDUP(SUMPRODUCT(($I$97:$I$100005=$AE67)*($AD$97:$AD$100005="No Asignado")*AG$97:AG$100005*$X$97:$X$100005),0)</f>
        <v>0</v>
      </c>
      <c r="AH67" s="133" cm="1">
        <f t="array" ref="AH67">ROUNDUP(SUMPRODUCT(($I$97:$I$100005=$AE67)*($AD$97:$AD$100005="Actual")*AH$97:AH$100005*$X$97:$X$100005),0)+ROUNDUP(SUMPRODUCT(($I$97:$I$100005=$AE67)*($AD$97:$AD$100005="Asignado")*AH$97:AH$100005*$X$97:$X$100005),0)+ROUNDUP(SUMPRODUCT(($I$97:$I$100005=$AE67)*($AD$97:$AD$100005="No Asignado")*AH$97:AH$100005*$X$97:$X$100005),0)</f>
        <v>0</v>
      </c>
      <c r="AI67" s="133" cm="1">
        <f t="array" ref="AI67">ROUNDUP(SUMPRODUCT(($I$97:$I$100005=$AE67)*($AD$97:$AD$100005="Actual")*AI$97:AI$100005*$X$97:$X$100005),0)+ROUNDUP(SUMPRODUCT(($I$97:$I$100005=$AE67)*($AD$97:$AD$100005="Asignado")*AI$97:AI$100005*$X$97:$X$100005),0)+ROUNDUP(SUMPRODUCT(($I$97:$I$100005=$AE67)*($AD$97:$AD$100005="No Asignado")*AI$97:AI$100005*$X$97:$X$100005),0)</f>
        <v>0</v>
      </c>
      <c r="AJ67" s="133" cm="1">
        <f t="array" ref="AJ67">ROUNDUP(SUMPRODUCT(($I$97:$I$100005=$AE67)*($AD$97:$AD$100005="Actual")*AJ$97:AJ$100005*$X$97:$X$100005),0)+ROUNDUP(SUMPRODUCT(($I$97:$I$100005=$AE67)*($AD$97:$AD$100005="Asignado")*AJ$97:AJ$100005*$X$97:$X$100005),0)+ROUNDUP(SUMPRODUCT(($I$97:$I$100005=$AE67)*($AD$97:$AD$100005="No Asignado")*AJ$97:AJ$100005*$X$97:$X$100005),0)</f>
        <v>0</v>
      </c>
      <c r="AK67" s="133" cm="1">
        <f t="array" ref="AK67">ROUNDUP(SUMPRODUCT(($I$97:$I$100005=$AE67)*($AD$97:$AD$100005="Actual")*AK$97:AK$100005*$X$97:$X$100005),0)+ROUNDUP(SUMPRODUCT(($I$97:$I$100005=$AE67)*($AD$97:$AD$100005="Asignado")*AK$97:AK$100005*$X$97:$X$100005),0)+ROUNDUP(SUMPRODUCT(($I$97:$I$100005=$AE67)*($AD$97:$AD$100005="No Asignado")*AK$97:AK$100005*$X$97:$X$100005),0)</f>
        <v>0</v>
      </c>
      <c r="AL67" s="133" cm="1">
        <f t="array" ref="AL67">ROUNDUP(SUMPRODUCT(($I$97:$I$100005=$AE67)*($AD$97:$AD$100005="Actual")*AL$97:AL$100005*$X$97:$X$100005),0)+ROUNDUP(SUMPRODUCT(($I$97:$I$100005=$AE67)*($AD$97:$AD$100005="Asignado")*AL$97:AL$100005*$X$97:$X$100005),0)+ROUNDUP(SUMPRODUCT(($I$97:$I$100005=$AE67)*($AD$97:$AD$100005="No Asignado")*AL$97:AL$100005*$X$97:$X$100005),0)</f>
        <v>0</v>
      </c>
      <c r="AM67" s="133" cm="1">
        <f t="array" ref="AM67">ROUNDUP(SUMPRODUCT(($I$97:$I$100005=$AE67)*($AD$97:$AD$100005="Actual")*AM$97:AM$100005*$X$97:$X$100005),0)+ROUNDUP(SUMPRODUCT(($I$97:$I$100005=$AE67)*($AD$97:$AD$100005="Asignado")*AM$97:AM$100005*$X$97:$X$100005),0)+ROUNDUP(SUMPRODUCT(($I$97:$I$100005=$AE67)*($AD$97:$AD$100005="No Asignado")*AM$97:AM$100005*$X$97:$X$100005),0)</f>
        <v>0</v>
      </c>
      <c r="AN67" s="134" cm="1">
        <f t="array" ref="AN67">ROUNDUP(SUMPRODUCT(($I$97:$I$100005=$AE67)*($AD$97:$AD$100005="Actual")*AN$97:AN$100005*$X$97:$X$100005),0)+ROUNDUP(SUMPRODUCT(($I$97:$I$100005=$AE67)*($AD$97:$AD$100005="Asignado")*AN$97:AN$100005*$X$97:$X$100005),0)+ROUNDUP(SUMPRODUCT(($I$97:$I$100005=$AE67)*($AD$97:$AD$100005="No Asignado")*AN$97:AN$100005*$X$97:$X$100005),0)</f>
        <v>0</v>
      </c>
    </row>
    <row r="68" spans="20:40" ht="12" hidden="1" outlineLevel="2" thickBot="1" x14ac:dyDescent="0.25">
      <c r="T68" s="110"/>
      <c r="U68" s="110"/>
      <c r="V68" s="98"/>
      <c r="AD68" s="669"/>
      <c r="AE68" s="97" t="s">
        <v>26</v>
      </c>
      <c r="AF68" s="128">
        <f>+SUM(AF69:AF71)</f>
        <v>3</v>
      </c>
      <c r="AG68" s="129">
        <f t="shared" ref="AG68" si="27">+SUM(AG69:AG71)</f>
        <v>4</v>
      </c>
      <c r="AH68" s="129">
        <f t="shared" ref="AH68" si="28">+SUM(AH69:AH71)</f>
        <v>5</v>
      </c>
      <c r="AI68" s="129">
        <f t="shared" ref="AI68" si="29">+SUM(AI69:AI71)</f>
        <v>5</v>
      </c>
      <c r="AJ68" s="129">
        <f t="shared" ref="AJ68" si="30">+SUM(AJ69:AJ71)</f>
        <v>5</v>
      </c>
      <c r="AK68" s="129">
        <f t="shared" ref="AK68" si="31">+SUM(AK69:AK71)</f>
        <v>5</v>
      </c>
      <c r="AL68" s="129">
        <f t="shared" ref="AL68" si="32">+SUM(AL69:AL71)</f>
        <v>5</v>
      </c>
      <c r="AM68" s="129">
        <f t="shared" ref="AM68" si="33">+SUM(AM69:AM71)</f>
        <v>5</v>
      </c>
      <c r="AN68" s="130">
        <f t="shared" ref="AN68" si="34">+SUM(AN69:AN71)</f>
        <v>4</v>
      </c>
    </row>
    <row r="69" spans="20:40" ht="12" hidden="1" outlineLevel="2" thickBot="1" x14ac:dyDescent="0.25">
      <c r="T69" s="110"/>
      <c r="U69" s="110"/>
      <c r="V69" s="98"/>
      <c r="AD69" s="669"/>
      <c r="AE69" s="108" t="s">
        <v>71</v>
      </c>
      <c r="AF69" s="131" cm="1">
        <f t="array" ref="AF69">ROUNDUP(SUMPRODUCT(($I$97:$I$100005=$AE69)*($AD$97:$AD$100005="Actual")*AF$97:AF$100005*$Y$97:$Y$100005),0)+ROUNDUP(SUMPRODUCT(($I$97:$I$100005=$AE69)*($AD$97:$AD$100005="Asignado")*AF$97:AF$100005*$Y$97:$Y$100005),0)+ROUNDUP(SUMPRODUCT(($I$97:$I$100005=$AE69)*($AD$97:$AD$100005="No Asignado")*AF$97:AF$100005*$Y$97:$Y$100005),0)</f>
        <v>1</v>
      </c>
      <c r="AG69" s="98" cm="1">
        <f t="array" ref="AG69">ROUNDUP(SUMPRODUCT(($I$97:$I$100005=$AE69)*($AD$97:$AD$100005="Actual")*AG$97:AG$100005*$Y$97:$Y$100005),0)+ROUNDUP(SUMPRODUCT(($I$97:$I$100005=$AE69)*($AD$97:$AD$100005="Asignado")*AG$97:AG$100005*$Y$97:$Y$100005),0)+ROUNDUP(SUMPRODUCT(($I$97:$I$100005=$AE69)*($AD$97:$AD$100005="No Asignado")*AG$97:AG$100005*$Y$97:$Y$100005),0)</f>
        <v>1</v>
      </c>
      <c r="AH69" s="98" cm="1">
        <f t="array" ref="AH69">ROUNDUP(SUMPRODUCT(($I$97:$I$100005=$AE69)*($AD$97:$AD$100005="Actual")*AH$97:AH$100005*$Y$97:$Y$100005),0)+ROUNDUP(SUMPRODUCT(($I$97:$I$100005=$AE69)*($AD$97:$AD$100005="Asignado")*AH$97:AH$100005*$Y$97:$Y$100005),0)+ROUNDUP(SUMPRODUCT(($I$97:$I$100005=$AE69)*($AD$97:$AD$100005="No Asignado")*AH$97:AH$100005*$Y$97:$Y$100005),0)</f>
        <v>1</v>
      </c>
      <c r="AI69" s="98" cm="1">
        <f t="array" ref="AI69">ROUNDUP(SUMPRODUCT(($I$97:$I$100005=$AE69)*($AD$97:$AD$100005="Actual")*AI$97:AI$100005*$Y$97:$Y$100005),0)+ROUNDUP(SUMPRODUCT(($I$97:$I$100005=$AE69)*($AD$97:$AD$100005="Asignado")*AI$97:AI$100005*$Y$97:$Y$100005),0)+ROUNDUP(SUMPRODUCT(($I$97:$I$100005=$AE69)*($AD$97:$AD$100005="No Asignado")*AI$97:AI$100005*$Y$97:$Y$100005),0)</f>
        <v>2</v>
      </c>
      <c r="AJ69" s="98" cm="1">
        <f t="array" ref="AJ69">ROUNDUP(SUMPRODUCT(($I$97:$I$100005=$AE69)*($AD$97:$AD$100005="Actual")*AJ$97:AJ$100005*$Y$97:$Y$100005),0)+ROUNDUP(SUMPRODUCT(($I$97:$I$100005=$AE69)*($AD$97:$AD$100005="Asignado")*AJ$97:AJ$100005*$Y$97:$Y$100005),0)+ROUNDUP(SUMPRODUCT(($I$97:$I$100005=$AE69)*($AD$97:$AD$100005="No Asignado")*AJ$97:AJ$100005*$Y$97:$Y$100005),0)</f>
        <v>2</v>
      </c>
      <c r="AK69" s="98" cm="1">
        <f t="array" ref="AK69">ROUNDUP(SUMPRODUCT(($I$97:$I$100005=$AE69)*($AD$97:$AD$100005="Actual")*AK$97:AK$100005*$Y$97:$Y$100005),0)+ROUNDUP(SUMPRODUCT(($I$97:$I$100005=$AE69)*($AD$97:$AD$100005="Asignado")*AK$97:AK$100005*$Y$97:$Y$100005),0)+ROUNDUP(SUMPRODUCT(($I$97:$I$100005=$AE69)*($AD$97:$AD$100005="No Asignado")*AK$97:AK$100005*$Y$97:$Y$100005),0)</f>
        <v>2</v>
      </c>
      <c r="AL69" s="98" cm="1">
        <f t="array" ref="AL69">ROUNDUP(SUMPRODUCT(($I$97:$I$100005=$AE69)*($AD$97:$AD$100005="Actual")*AL$97:AL$100005*$Y$97:$Y$100005),0)+ROUNDUP(SUMPRODUCT(($I$97:$I$100005=$AE69)*($AD$97:$AD$100005="Asignado")*AL$97:AL$100005*$Y$97:$Y$100005),0)+ROUNDUP(SUMPRODUCT(($I$97:$I$100005=$AE69)*($AD$97:$AD$100005="No Asignado")*AL$97:AL$100005*$Y$97:$Y$100005),0)</f>
        <v>2</v>
      </c>
      <c r="AM69" s="98" cm="1">
        <f t="array" ref="AM69">ROUNDUP(SUMPRODUCT(($I$97:$I$100005=$AE69)*($AD$97:$AD$100005="Actual")*AM$97:AM$100005*$Y$97:$Y$100005),0)+ROUNDUP(SUMPRODUCT(($I$97:$I$100005=$AE69)*($AD$97:$AD$100005="Asignado")*AM$97:AM$100005*$Y$97:$Y$100005),0)+ROUNDUP(SUMPRODUCT(($I$97:$I$100005=$AE69)*($AD$97:$AD$100005="No Asignado")*AM$97:AM$100005*$Y$97:$Y$100005),0)</f>
        <v>2</v>
      </c>
      <c r="AN69" s="99" cm="1">
        <f t="array" ref="AN69">ROUNDUP(SUMPRODUCT(($I$97:$I$100005=$AE69)*($AD$97:$AD$100005="Actual")*AN$97:AN$100005*$Y$97:$Y$100005),0)+ROUNDUP(SUMPRODUCT(($I$97:$I$100005=$AE69)*($AD$97:$AD$100005="Asignado")*AN$97:AN$100005*$Y$97:$Y$100005),0)+ROUNDUP(SUMPRODUCT(($I$97:$I$100005=$AE69)*($AD$97:$AD$100005="No Asignado")*AN$97:AN$100005*$Y$97:$Y$100005),0)</f>
        <v>2</v>
      </c>
    </row>
    <row r="70" spans="20:40" ht="12" hidden="1" outlineLevel="2" thickBot="1" x14ac:dyDescent="0.25">
      <c r="T70" s="110"/>
      <c r="U70" s="110"/>
      <c r="V70" s="98"/>
      <c r="AD70" s="669"/>
      <c r="AE70" s="108" t="s">
        <v>75</v>
      </c>
      <c r="AF70" s="131" cm="1">
        <f t="array" ref="AF70">ROUNDUP(SUMPRODUCT(($I$97:$I$100005=$AE70)*($AD$97:$AD$100005="Actual")*AF$97:AF$100005*$Y$97:$Y$100005),0)+ROUNDUP(SUMPRODUCT(($I$97:$I$100005=$AE70)*($AD$97:$AD$100005="Asignado")*AF$97:AF$100005*$Y$97:$Y$100005),0)+ROUNDUP(SUMPRODUCT(($I$97:$I$100005=$AE70)*($AD$97:$AD$100005="No Asignado")*AF$97:AF$100005*$Y$97:$Y$100005),0)</f>
        <v>2</v>
      </c>
      <c r="AG70" s="98" cm="1">
        <f t="array" ref="AG70">ROUNDUP(SUMPRODUCT(($I$97:$I$100005=$AE70)*($AD$97:$AD$100005="Actual")*AG$97:AG$100005*$Y$97:$Y$100005),0)+ROUNDUP(SUMPRODUCT(($I$97:$I$100005=$AE70)*($AD$97:$AD$100005="Asignado")*AG$97:AG$100005*$Y$97:$Y$100005),0)+ROUNDUP(SUMPRODUCT(($I$97:$I$100005=$AE70)*($AD$97:$AD$100005="No Asignado")*AG$97:AG$100005*$Y$97:$Y$100005),0)</f>
        <v>3</v>
      </c>
      <c r="AH70" s="98" cm="1">
        <f t="array" ref="AH70">ROUNDUP(SUMPRODUCT(($I$97:$I$100005=$AE70)*($AD$97:$AD$100005="Actual")*AH$97:AH$100005*$Y$97:$Y$100005),0)+ROUNDUP(SUMPRODUCT(($I$97:$I$100005=$AE70)*($AD$97:$AD$100005="Asignado")*AH$97:AH$100005*$Y$97:$Y$100005),0)+ROUNDUP(SUMPRODUCT(($I$97:$I$100005=$AE70)*($AD$97:$AD$100005="No Asignado")*AH$97:AH$100005*$Y$97:$Y$100005),0)</f>
        <v>4</v>
      </c>
      <c r="AI70" s="98" cm="1">
        <f t="array" ref="AI70">ROUNDUP(SUMPRODUCT(($I$97:$I$100005=$AE70)*($AD$97:$AD$100005="Actual")*AI$97:AI$100005*$Y$97:$Y$100005),0)+ROUNDUP(SUMPRODUCT(($I$97:$I$100005=$AE70)*($AD$97:$AD$100005="Asignado")*AI$97:AI$100005*$Y$97:$Y$100005),0)+ROUNDUP(SUMPRODUCT(($I$97:$I$100005=$AE70)*($AD$97:$AD$100005="No Asignado")*AI$97:AI$100005*$Y$97:$Y$100005),0)</f>
        <v>3</v>
      </c>
      <c r="AJ70" s="98" cm="1">
        <f t="array" ref="AJ70">ROUNDUP(SUMPRODUCT(($I$97:$I$100005=$AE70)*($AD$97:$AD$100005="Actual")*AJ$97:AJ$100005*$Y$97:$Y$100005),0)+ROUNDUP(SUMPRODUCT(($I$97:$I$100005=$AE70)*($AD$97:$AD$100005="Asignado")*AJ$97:AJ$100005*$Y$97:$Y$100005),0)+ROUNDUP(SUMPRODUCT(($I$97:$I$100005=$AE70)*($AD$97:$AD$100005="No Asignado")*AJ$97:AJ$100005*$Y$97:$Y$100005),0)</f>
        <v>3</v>
      </c>
      <c r="AK70" s="98" cm="1">
        <f t="array" ref="AK70">ROUNDUP(SUMPRODUCT(($I$97:$I$100005=$AE70)*($AD$97:$AD$100005="Actual")*AK$97:AK$100005*$Y$97:$Y$100005),0)+ROUNDUP(SUMPRODUCT(($I$97:$I$100005=$AE70)*($AD$97:$AD$100005="Asignado")*AK$97:AK$100005*$Y$97:$Y$100005),0)+ROUNDUP(SUMPRODUCT(($I$97:$I$100005=$AE70)*($AD$97:$AD$100005="No Asignado")*AK$97:AK$100005*$Y$97:$Y$100005),0)</f>
        <v>3</v>
      </c>
      <c r="AL70" s="98" cm="1">
        <f t="array" ref="AL70">ROUNDUP(SUMPRODUCT(($I$97:$I$100005=$AE70)*($AD$97:$AD$100005="Actual")*AL$97:AL$100005*$Y$97:$Y$100005),0)+ROUNDUP(SUMPRODUCT(($I$97:$I$100005=$AE70)*($AD$97:$AD$100005="Asignado")*AL$97:AL$100005*$Y$97:$Y$100005),0)+ROUNDUP(SUMPRODUCT(($I$97:$I$100005=$AE70)*($AD$97:$AD$100005="No Asignado")*AL$97:AL$100005*$Y$97:$Y$100005),0)</f>
        <v>3</v>
      </c>
      <c r="AM70" s="98" cm="1">
        <f t="array" ref="AM70">ROUNDUP(SUMPRODUCT(($I$97:$I$100005=$AE70)*($AD$97:$AD$100005="Actual")*AM$97:AM$100005*$Y$97:$Y$100005),0)+ROUNDUP(SUMPRODUCT(($I$97:$I$100005=$AE70)*($AD$97:$AD$100005="Asignado")*AM$97:AM$100005*$Y$97:$Y$100005),0)+ROUNDUP(SUMPRODUCT(($I$97:$I$100005=$AE70)*($AD$97:$AD$100005="No Asignado")*AM$97:AM$100005*$Y$97:$Y$100005),0)</f>
        <v>3</v>
      </c>
      <c r="AN70" s="99" cm="1">
        <f t="array" ref="AN70">ROUNDUP(SUMPRODUCT(($I$97:$I$100005=$AE70)*($AD$97:$AD$100005="Actual")*AN$97:AN$100005*$Y$97:$Y$100005),0)+ROUNDUP(SUMPRODUCT(($I$97:$I$100005=$AE70)*($AD$97:$AD$100005="Asignado")*AN$97:AN$100005*$Y$97:$Y$100005),0)+ROUNDUP(SUMPRODUCT(($I$97:$I$100005=$AE70)*($AD$97:$AD$100005="No Asignado")*AN$97:AN$100005*$Y$97:$Y$100005),0)</f>
        <v>2</v>
      </c>
    </row>
    <row r="71" spans="20:40" ht="12" hidden="1" outlineLevel="2" thickBot="1" x14ac:dyDescent="0.25">
      <c r="T71" s="110"/>
      <c r="U71" s="110"/>
      <c r="V71" s="98"/>
      <c r="AD71" s="669"/>
      <c r="AE71" s="108" t="s">
        <v>79</v>
      </c>
      <c r="AF71" s="131" cm="1">
        <f t="array" ref="AF71">ROUNDUP(SUMPRODUCT(($I$97:$I$100005=$AE71)*($AD$97:$AD$100005="Actual")*AF$97:AF$100005*$Y$97:$Y$100005),0)+ROUNDUP(SUMPRODUCT(($I$97:$I$100005=$AE71)*($AD$97:$AD$100005="Asignado")*AF$97:AF$100005*$Y$97:$Y$100005),0)+ROUNDUP(SUMPRODUCT(($I$97:$I$100005=$AE71)*($AD$97:$AD$100005="No Asignado")*AF$97:AF$100005*$Y$97:$Y$100005),0)</f>
        <v>0</v>
      </c>
      <c r="AG71" s="98" cm="1">
        <f t="array" ref="AG71">ROUNDUP(SUMPRODUCT(($I$97:$I$100005=$AE71)*($AD$97:$AD$100005="Actual")*AG$97:AG$100005*$Y$97:$Y$100005),0)+ROUNDUP(SUMPRODUCT(($I$97:$I$100005=$AE71)*($AD$97:$AD$100005="Asignado")*AG$97:AG$100005*$Y$97:$Y$100005),0)+ROUNDUP(SUMPRODUCT(($I$97:$I$100005=$AE71)*($AD$97:$AD$100005="No Asignado")*AG$97:AG$100005*$Y$97:$Y$100005),0)</f>
        <v>0</v>
      </c>
      <c r="AH71" s="98" cm="1">
        <f t="array" ref="AH71">ROUNDUP(SUMPRODUCT(($I$97:$I$100005=$AE71)*($AD$97:$AD$100005="Actual")*AH$97:AH$100005*$Y$97:$Y$100005),0)+ROUNDUP(SUMPRODUCT(($I$97:$I$100005=$AE71)*($AD$97:$AD$100005="Asignado")*AH$97:AH$100005*$Y$97:$Y$100005),0)+ROUNDUP(SUMPRODUCT(($I$97:$I$100005=$AE71)*($AD$97:$AD$100005="No Asignado")*AH$97:AH$100005*$Y$97:$Y$100005),0)</f>
        <v>0</v>
      </c>
      <c r="AI71" s="98" cm="1">
        <f t="array" ref="AI71">ROUNDUP(SUMPRODUCT(($I$97:$I$100005=$AE71)*($AD$97:$AD$100005="Actual")*AI$97:AI$100005*$Y$97:$Y$100005),0)+ROUNDUP(SUMPRODUCT(($I$97:$I$100005=$AE71)*($AD$97:$AD$100005="Asignado")*AI$97:AI$100005*$Y$97:$Y$100005),0)+ROUNDUP(SUMPRODUCT(($I$97:$I$100005=$AE71)*($AD$97:$AD$100005="No Asignado")*AI$97:AI$100005*$Y$97:$Y$100005),0)</f>
        <v>0</v>
      </c>
      <c r="AJ71" s="98" cm="1">
        <f t="array" ref="AJ71">ROUNDUP(SUMPRODUCT(($I$97:$I$100005=$AE71)*($AD$97:$AD$100005="Actual")*AJ$97:AJ$100005*$Y$97:$Y$100005),0)+ROUNDUP(SUMPRODUCT(($I$97:$I$100005=$AE71)*($AD$97:$AD$100005="Asignado")*AJ$97:AJ$100005*$Y$97:$Y$100005),0)+ROUNDUP(SUMPRODUCT(($I$97:$I$100005=$AE71)*($AD$97:$AD$100005="No Asignado")*AJ$97:AJ$100005*$Y$97:$Y$100005),0)</f>
        <v>0</v>
      </c>
      <c r="AK71" s="98" cm="1">
        <f t="array" ref="AK71">ROUNDUP(SUMPRODUCT(($I$97:$I$100005=$AE71)*($AD$97:$AD$100005="Actual")*AK$97:AK$100005*$Y$97:$Y$100005),0)+ROUNDUP(SUMPRODUCT(($I$97:$I$100005=$AE71)*($AD$97:$AD$100005="Asignado")*AK$97:AK$100005*$Y$97:$Y$100005),0)+ROUNDUP(SUMPRODUCT(($I$97:$I$100005=$AE71)*($AD$97:$AD$100005="No Asignado")*AK$97:AK$100005*$Y$97:$Y$100005),0)</f>
        <v>0</v>
      </c>
      <c r="AL71" s="98" cm="1">
        <f t="array" ref="AL71">ROUNDUP(SUMPRODUCT(($I$97:$I$100005=$AE71)*($AD$97:$AD$100005="Actual")*AL$97:AL$100005*$Y$97:$Y$100005),0)+ROUNDUP(SUMPRODUCT(($I$97:$I$100005=$AE71)*($AD$97:$AD$100005="Asignado")*AL$97:AL$100005*$Y$97:$Y$100005),0)+ROUNDUP(SUMPRODUCT(($I$97:$I$100005=$AE71)*($AD$97:$AD$100005="No Asignado")*AL$97:AL$100005*$Y$97:$Y$100005),0)</f>
        <v>0</v>
      </c>
      <c r="AM71" s="98" cm="1">
        <f t="array" ref="AM71">ROUNDUP(SUMPRODUCT(($I$97:$I$100005=$AE71)*($AD$97:$AD$100005="Actual")*AM$97:AM$100005*$Y$97:$Y$100005),0)+ROUNDUP(SUMPRODUCT(($I$97:$I$100005=$AE71)*($AD$97:$AD$100005="Asignado")*AM$97:AM$100005*$Y$97:$Y$100005),0)+ROUNDUP(SUMPRODUCT(($I$97:$I$100005=$AE71)*($AD$97:$AD$100005="No Asignado")*AM$97:AM$100005*$Y$97:$Y$100005),0)</f>
        <v>0</v>
      </c>
      <c r="AN71" s="99" cm="1">
        <f t="array" ref="AN71">ROUNDUP(SUMPRODUCT(($I$97:$I$100005=$AE71)*($AD$97:$AD$100005="Actual")*AN$97:AN$100005*$Y$97:$Y$100005),0)+ROUNDUP(SUMPRODUCT(($I$97:$I$100005=$AE71)*($AD$97:$AD$100005="Asignado")*AN$97:AN$100005*$Y$97:$Y$100005),0)+ROUNDUP(SUMPRODUCT(($I$97:$I$100005=$AE71)*($AD$97:$AD$100005="No Asignado")*AN$97:AN$100005*$Y$97:$Y$100005),0)</f>
        <v>0</v>
      </c>
    </row>
    <row r="72" spans="20:40" ht="12" hidden="1" outlineLevel="2" thickBot="1" x14ac:dyDescent="0.25">
      <c r="T72" s="110"/>
      <c r="U72" s="110"/>
      <c r="V72" s="98"/>
      <c r="AD72" s="669"/>
      <c r="AE72" s="97" t="s">
        <v>27</v>
      </c>
      <c r="AF72" s="128">
        <f>+SUM(AF73:AF75)</f>
        <v>3</v>
      </c>
      <c r="AG72" s="129">
        <f t="shared" ref="AG72" si="35">+SUM(AG73:AG75)</f>
        <v>4</v>
      </c>
      <c r="AH72" s="129">
        <f t="shared" ref="AH72" si="36">+SUM(AH73:AH75)</f>
        <v>3</v>
      </c>
      <c r="AI72" s="129">
        <f t="shared" ref="AI72" si="37">+SUM(AI73:AI75)</f>
        <v>3</v>
      </c>
      <c r="AJ72" s="129">
        <f t="shared" ref="AJ72" si="38">+SUM(AJ73:AJ75)</f>
        <v>3</v>
      </c>
      <c r="AK72" s="129">
        <f t="shared" ref="AK72" si="39">+SUM(AK73:AK75)</f>
        <v>3</v>
      </c>
      <c r="AL72" s="129">
        <f t="shared" ref="AL72" si="40">+SUM(AL73:AL75)</f>
        <v>3</v>
      </c>
      <c r="AM72" s="129">
        <f t="shared" ref="AM72" si="41">+SUM(AM73:AM75)</f>
        <v>3</v>
      </c>
      <c r="AN72" s="130">
        <f t="shared" ref="AN72" si="42">+SUM(AN73:AN75)</f>
        <v>2</v>
      </c>
    </row>
    <row r="73" spans="20:40" ht="12" hidden="1" outlineLevel="2" thickBot="1" x14ac:dyDescent="0.25">
      <c r="T73" s="110"/>
      <c r="U73" s="110"/>
      <c r="V73" s="98"/>
      <c r="AD73" s="669"/>
      <c r="AE73" s="108" t="s">
        <v>71</v>
      </c>
      <c r="AF73" s="131" cm="1">
        <f t="array" ref="AF73">ROUNDUP(SUMPRODUCT(($I$97:$I$100005=$AE73)*($AD$97:$AD$100005="Actual")*AF$97:AF$100005*$Z$97:$Z$100005),0)+ROUNDUP(SUMPRODUCT(($I$97:$I$100005=$AE73)*($AD$97:$AD$100005="Asignado")*AF$97:AF$100005*$Z$97:$Z$100005),0)+ROUNDUP(SUMPRODUCT(($I$97:$I$100005=$AE73)*($AD$97:$AD$100005="No Asignado")*AF$97:AF$100005*$Z$97:$Z$100005),0)</f>
        <v>1</v>
      </c>
      <c r="AG73" s="98" cm="1">
        <f t="array" ref="AG73">ROUNDUP(SUMPRODUCT(($I$97:$I$100005=$AE73)*($AD$97:$AD$100005="Actual")*AG$97:AG$100005*$Z$97:$Z$100005),0)+ROUNDUP(SUMPRODUCT(($I$97:$I$100005=$AE73)*($AD$97:$AD$100005="Asignado")*AG$97:AG$100005*$Z$97:$Z$100005),0)</f>
        <v>1</v>
      </c>
      <c r="AH73" s="98" cm="1">
        <f t="array" ref="AH73">ROUNDUP(SUMPRODUCT(($I$97:$I$100005=$AE73)*($AD$97:$AD$100005="Actual")*AH$97:AH$100005*$Z$97:$Z$100005),0)+ROUNDUP(SUMPRODUCT(($I$97:$I$100005=$AE73)*($AD$97:$AD$100005="Asignado")*AH$97:AH$100005*$Z$97:$Z$100005),0)</f>
        <v>1</v>
      </c>
      <c r="AI73" s="98" cm="1">
        <f t="array" ref="AI73">ROUNDUP(SUMPRODUCT(($I$97:$I$100005=$AE73)*($AD$97:$AD$100005="Actual")*AI$97:AI$100005*$Z$97:$Z$100005),0)+ROUNDUP(SUMPRODUCT(($I$97:$I$100005=$AE73)*($AD$97:$AD$100005="Asignado")*AI$97:AI$100005*$Z$97:$Z$100005),0)</f>
        <v>1</v>
      </c>
      <c r="AJ73" s="98" cm="1">
        <f t="array" ref="AJ73">ROUNDUP(SUMPRODUCT(($I$97:$I$100005=$AE73)*($AD$97:$AD$100005="Actual")*AJ$97:AJ$100005*$Z$97:$Z$100005),0)+ROUNDUP(SUMPRODUCT(($I$97:$I$100005=$AE73)*($AD$97:$AD$100005="Asignado")*AJ$97:AJ$100005*$Z$97:$Z$100005),0)</f>
        <v>1</v>
      </c>
      <c r="AK73" s="98" cm="1">
        <f t="array" ref="AK73">ROUNDUP(SUMPRODUCT(($I$97:$I$100005=$AE73)*($AD$97:$AD$100005="Actual")*AK$97:AK$100005*$Z$97:$Z$100005),0)+ROUNDUP(SUMPRODUCT(($I$97:$I$100005=$AE73)*($AD$97:$AD$100005="Asignado")*AK$97:AK$100005*$Z$97:$Z$100005),0)</f>
        <v>1</v>
      </c>
      <c r="AL73" s="98" cm="1">
        <f t="array" ref="AL73">ROUNDUP(SUMPRODUCT(($I$97:$I$100005=$AE73)*($AD$97:$AD$100005="Actual")*AL$97:AL$100005*$Z$97:$Z$100005),0)+ROUNDUP(SUMPRODUCT(($I$97:$I$100005=$AE73)*($AD$97:$AD$100005="Asignado")*AL$97:AL$100005*$Z$97:$Z$100005),0)</f>
        <v>1</v>
      </c>
      <c r="AM73" s="98" cm="1">
        <f t="array" ref="AM73">ROUNDUP(SUMPRODUCT(($I$97:$I$100005=$AE73)*($AD$97:$AD$100005="Actual")*AM$97:AM$100005*$Z$97:$Z$100005),0)+ROUNDUP(SUMPRODUCT(($I$97:$I$100005=$AE73)*($AD$97:$AD$100005="Asignado")*AM$97:AM$100005*$Z$97:$Z$100005),0)</f>
        <v>1</v>
      </c>
      <c r="AN73" s="99" cm="1">
        <f t="array" ref="AN73">ROUNDUP(SUMPRODUCT(($I$97:$I$100005=$AE73)*($AD$97:$AD$100005="Actual")*AN$97:AN$100005*$Z$97:$Z$100005),0)+ROUNDUP(SUMPRODUCT(($I$97:$I$100005=$AE73)*($AD$97:$AD$100005="Asignado")*AN$97:AN$100005*$Z$97:$Z$100005),0)</f>
        <v>1</v>
      </c>
    </row>
    <row r="74" spans="20:40" ht="12" hidden="1" outlineLevel="2" thickBot="1" x14ac:dyDescent="0.25">
      <c r="T74" s="110"/>
      <c r="U74" s="110"/>
      <c r="V74" s="98"/>
      <c r="AD74" s="669"/>
      <c r="AE74" s="108" t="s">
        <v>75</v>
      </c>
      <c r="AF74" s="131" cm="1">
        <f t="array" ref="AF74">ROUNDUP(SUMPRODUCT(($I$97:$I$100005=$AE74)*($AD$97:$AD$100005="Actual")*AF$97:AF$100005*$Z$97:$Z$100005),0)+ROUNDUP(SUMPRODUCT(($I$97:$I$100005=$AE74)*($AD$97:$AD$100005="Asignado")*AF$97:AF$100005*$Z$97:$Z$100005),0)+ROUNDUP(SUMPRODUCT(($I$97:$I$100005=$AE74)*($AD$97:$AD$100005="No Asignado")*AF$97:AF$100005*$Z$97:$Z$100005),0)</f>
        <v>2</v>
      </c>
      <c r="AG74" s="98" cm="1">
        <f t="array" ref="AG74">ROUNDUP(SUMPRODUCT(($I$97:$I$100005=$AE74)*($AD$97:$AD$100005="Actual")*AG$97:AG$100005*$Z$97:$Z$100005),0)+ROUNDUP(SUMPRODUCT(($I$97:$I$100005=$AE74)*($AD$97:$AD$100005="Asignado")*AG$97:AG$100005*$Z$97:$Z$100005),0)</f>
        <v>3</v>
      </c>
      <c r="AH74" s="98" cm="1">
        <f t="array" ref="AH74">ROUNDUP(SUMPRODUCT(($I$97:$I$100005=$AE74)*($AD$97:$AD$100005="Actual")*AH$97:AH$100005*$Z$97:$Z$100005),0)+ROUNDUP(SUMPRODUCT(($I$97:$I$100005=$AE74)*($AD$97:$AD$100005="Asignado")*AH$97:AH$100005*$Z$97:$Z$100005),0)</f>
        <v>2</v>
      </c>
      <c r="AI74" s="98" cm="1">
        <f t="array" ref="AI74">ROUNDUP(SUMPRODUCT(($I$97:$I$100005=$AE74)*($AD$97:$AD$100005="Actual")*AI$97:AI$100005*$Z$97:$Z$100005),0)+ROUNDUP(SUMPRODUCT(($I$97:$I$100005=$AE74)*($AD$97:$AD$100005="Asignado")*AI$97:AI$100005*$Z$97:$Z$100005),0)</f>
        <v>2</v>
      </c>
      <c r="AJ74" s="98" cm="1">
        <f t="array" ref="AJ74">ROUNDUP(SUMPRODUCT(($I$97:$I$100005=$AE74)*($AD$97:$AD$100005="Actual")*AJ$97:AJ$100005*$Z$97:$Z$100005),0)+ROUNDUP(SUMPRODUCT(($I$97:$I$100005=$AE74)*($AD$97:$AD$100005="Asignado")*AJ$97:AJ$100005*$Z$97:$Z$100005),0)</f>
        <v>2</v>
      </c>
      <c r="AK74" s="98" cm="1">
        <f t="array" ref="AK74">ROUNDUP(SUMPRODUCT(($I$97:$I$100005=$AE74)*($AD$97:$AD$100005="Actual")*AK$97:AK$100005*$Z$97:$Z$100005),0)+ROUNDUP(SUMPRODUCT(($I$97:$I$100005=$AE74)*($AD$97:$AD$100005="Asignado")*AK$97:AK$100005*$Z$97:$Z$100005),0)</f>
        <v>2</v>
      </c>
      <c r="AL74" s="98" cm="1">
        <f t="array" ref="AL74">ROUNDUP(SUMPRODUCT(($I$97:$I$100005=$AE74)*($AD$97:$AD$100005="Actual")*AL$97:AL$100005*$Z$97:$Z$100005),0)+ROUNDUP(SUMPRODUCT(($I$97:$I$100005=$AE74)*($AD$97:$AD$100005="Asignado")*AL$97:AL$100005*$Z$97:$Z$100005),0)</f>
        <v>2</v>
      </c>
      <c r="AM74" s="98" cm="1">
        <f t="array" ref="AM74">ROUNDUP(SUMPRODUCT(($I$97:$I$100005=$AE74)*($AD$97:$AD$100005="Actual")*AM$97:AM$100005*$Z$97:$Z$100005),0)+ROUNDUP(SUMPRODUCT(($I$97:$I$100005=$AE74)*($AD$97:$AD$100005="Asignado")*AM$97:AM$100005*$Z$97:$Z$100005),0)</f>
        <v>2</v>
      </c>
      <c r="AN74" s="99" cm="1">
        <f t="array" ref="AN74">ROUNDUP(SUMPRODUCT(($I$97:$I$100005=$AE74)*($AD$97:$AD$100005="Actual")*AN$97:AN$100005*$Z$97:$Z$100005),0)+ROUNDUP(SUMPRODUCT(($I$97:$I$100005=$AE74)*($AD$97:$AD$100005="Asignado")*AN$97:AN$100005*$Z$97:$Z$100005),0)</f>
        <v>1</v>
      </c>
    </row>
    <row r="75" spans="20:40" ht="12" hidden="1" outlineLevel="2" thickBot="1" x14ac:dyDescent="0.25">
      <c r="T75" s="110"/>
      <c r="U75" s="110"/>
      <c r="V75" s="98"/>
      <c r="AD75" s="669"/>
      <c r="AE75" s="108" t="s">
        <v>79</v>
      </c>
      <c r="AF75" s="131" cm="1">
        <f t="array" ref="AF75">ROUNDUP(SUMPRODUCT(($I$97:$I$100005=$AE75)*($AD$97:$AD$100005="Actual")*AF$97:AF$100005*$Z$97:$Z$100005),0)+ROUNDUP(SUMPRODUCT(($I$97:$I$100005=$AE75)*($AD$97:$AD$100005="Asignado")*AF$97:AF$100005*$Z$97:$Z$100005),0)+ROUNDUP(SUMPRODUCT(($I$97:$I$100005=$AE75)*($AD$97:$AD$100005="No Asignado")*AF$97:AF$100005*$Z$97:$Z$100005),0)</f>
        <v>0</v>
      </c>
      <c r="AG75" s="98" cm="1">
        <f t="array" ref="AG75">ROUNDUP(SUMPRODUCT(($I$97:$I$100005=$AE75)*($AD$97:$AD$100005="Actual")*AG$97:AG$100005*$Z$97:$Z$100005),0)+ROUNDUP(SUMPRODUCT(($I$97:$I$100005=$AE75)*($AD$97:$AD$100005="Asignado")*AG$97:AG$100005*$Z$97:$Z$100005),0)</f>
        <v>0</v>
      </c>
      <c r="AH75" s="98" cm="1">
        <f t="array" ref="AH75">ROUNDUP(SUMPRODUCT(($I$97:$I$100005=$AE75)*($AD$97:$AD$100005="Actual")*AH$97:AH$100005*$Z$97:$Z$100005),0)+ROUNDUP(SUMPRODUCT(($I$97:$I$100005=$AE75)*($AD$97:$AD$100005="Asignado")*AH$97:AH$100005*$Z$97:$Z$100005),0)</f>
        <v>0</v>
      </c>
      <c r="AI75" s="98" cm="1">
        <f t="array" ref="AI75">ROUNDUP(SUMPRODUCT(($I$97:$I$100005=$AE75)*($AD$97:$AD$100005="Actual")*AI$97:AI$100005*$Z$97:$Z$100005),0)+ROUNDUP(SUMPRODUCT(($I$97:$I$100005=$AE75)*($AD$97:$AD$100005="Asignado")*AI$97:AI$100005*$Z$97:$Z$100005),0)</f>
        <v>0</v>
      </c>
      <c r="AJ75" s="98" cm="1">
        <f t="array" ref="AJ75">ROUNDUP(SUMPRODUCT(($I$97:$I$100005=$AE75)*($AD$97:$AD$100005="Actual")*AJ$97:AJ$100005*$Z$97:$Z$100005),0)+ROUNDUP(SUMPRODUCT(($I$97:$I$100005=$AE75)*($AD$97:$AD$100005="Asignado")*AJ$97:AJ$100005*$Z$97:$Z$100005),0)</f>
        <v>0</v>
      </c>
      <c r="AK75" s="98" cm="1">
        <f t="array" ref="AK75">ROUNDUP(SUMPRODUCT(($I$97:$I$100005=$AE75)*($AD$97:$AD$100005="Actual")*AK$97:AK$100005*$Z$97:$Z$100005),0)+ROUNDUP(SUMPRODUCT(($I$97:$I$100005=$AE75)*($AD$97:$AD$100005="Asignado")*AK$97:AK$100005*$Z$97:$Z$100005),0)</f>
        <v>0</v>
      </c>
      <c r="AL75" s="98" cm="1">
        <f t="array" ref="AL75">ROUNDUP(SUMPRODUCT(($I$97:$I$100005=$AE75)*($AD$97:$AD$100005="Actual")*AL$97:AL$100005*$Z$97:$Z$100005),0)+ROUNDUP(SUMPRODUCT(($I$97:$I$100005=$AE75)*($AD$97:$AD$100005="Asignado")*AL$97:AL$100005*$Z$97:$Z$100005),0)</f>
        <v>0</v>
      </c>
      <c r="AM75" s="98" cm="1">
        <f t="array" ref="AM75">ROUNDUP(SUMPRODUCT(($I$97:$I$100005=$AE75)*($AD$97:$AD$100005="Actual")*AM$97:AM$100005*$Z$97:$Z$100005),0)+ROUNDUP(SUMPRODUCT(($I$97:$I$100005=$AE75)*($AD$97:$AD$100005="Asignado")*AM$97:AM$100005*$Z$97:$Z$100005),0)</f>
        <v>0</v>
      </c>
      <c r="AN75" s="99" cm="1">
        <f t="array" ref="AN75">ROUNDUP(SUMPRODUCT(($I$97:$I$100005=$AE75)*($AD$97:$AD$100005="Actual")*AN$97:AN$100005*$Z$97:$Z$100005),0)+ROUNDUP(SUMPRODUCT(($I$97:$I$100005=$AE75)*($AD$97:$AD$100005="Asignado")*AN$97:AN$100005*$Z$97:$Z$100005),0)</f>
        <v>0</v>
      </c>
    </row>
    <row r="76" spans="20:40" ht="12" hidden="1" outlineLevel="2" thickBot="1" x14ac:dyDescent="0.25">
      <c r="T76" s="110"/>
      <c r="U76" s="110"/>
      <c r="V76" s="98"/>
      <c r="AD76" s="669"/>
      <c r="AE76" s="97" t="s">
        <v>28</v>
      </c>
      <c r="AF76" s="128">
        <f>+SUM(AF77:AF79)</f>
        <v>6</v>
      </c>
      <c r="AG76" s="129">
        <f t="shared" ref="AG76:AN76" si="43">+SUM(AG77:AG79)</f>
        <v>7</v>
      </c>
      <c r="AH76" s="129">
        <f t="shared" si="43"/>
        <v>6</v>
      </c>
      <c r="AI76" s="129">
        <f t="shared" si="43"/>
        <v>7</v>
      </c>
      <c r="AJ76" s="129">
        <f t="shared" si="43"/>
        <v>6</v>
      </c>
      <c r="AK76" s="129">
        <f t="shared" si="43"/>
        <v>6</v>
      </c>
      <c r="AL76" s="129">
        <f t="shared" si="43"/>
        <v>6</v>
      </c>
      <c r="AM76" s="129">
        <f t="shared" si="43"/>
        <v>6</v>
      </c>
      <c r="AN76" s="130">
        <f t="shared" si="43"/>
        <v>4</v>
      </c>
    </row>
    <row r="77" spans="20:40" ht="12" hidden="1" outlineLevel="2" thickBot="1" x14ac:dyDescent="0.25">
      <c r="T77" s="110"/>
      <c r="U77" s="110"/>
      <c r="V77" s="98"/>
      <c r="AD77" s="669"/>
      <c r="AE77" s="108" t="s">
        <v>71</v>
      </c>
      <c r="AF77" s="131" cm="1">
        <f t="array" ref="AF77">ROUNDUP(SUMPRODUCT(($I$97:$I$100005=$AE77)*($AD$97:$AD$100005="Actual")*AF$97:AF$100005*$AA$97:$AA$100005),0)+ROUNDUP(SUMPRODUCT(($I$97:$I$100005=$AE77)*($AD$97:$AD$100005="Asignado")*AF$97:AF$100005*$AA$97:$AA$100005),0)+ROUNDUP(SUMPRODUCT(($I$97:$I$100005=$AE77)*($AD$97:$AD$100005="No Asignado")*AF$97:AF$100005*$AA$97:$AA$100005),0)</f>
        <v>2</v>
      </c>
      <c r="AG77" s="98" cm="1">
        <f t="array" ref="AG77">ROUNDUP(SUMPRODUCT(($I$97:$I$100005=$AE77)*($AD$97:$AD$100005="Actual")*AG$97:AG$100005*$AA$97:$AA$100005),0)+ROUNDUP(SUMPRODUCT(($I$97:$I$100005=$AE77)*($AD$97:$AD$100005="Asignado")*AG$97:AG$100005*$AA$97:$AA$100005),0)+ROUNDUP(SUMPRODUCT(($I$97:$I$100005=$AE77)*($AD$97:$AD$100005="No Asignado")*AG$97:AG$100005*$AA$97:$AA$100005),0)</f>
        <v>2</v>
      </c>
      <c r="AH77" s="98" cm="1">
        <f t="array" ref="AH77">ROUNDUP(SUMPRODUCT(($I$97:$I$100005=$AE77)*($AD$97:$AD$100005="Actual")*AH$97:AH$100005*$AA$97:$AA$100005),0)+ROUNDUP(SUMPRODUCT(($I$97:$I$100005=$AE77)*($AD$97:$AD$100005="Asignado")*AH$97:AH$100005*$AA$97:$AA$100005),0)+ROUNDUP(SUMPRODUCT(($I$97:$I$100005=$AE77)*($AD$97:$AD$100005="No Asignado")*AH$97:AH$100005*$AA$97:$AA$100005),0)</f>
        <v>1</v>
      </c>
      <c r="AI77" s="98" cm="1">
        <f t="array" ref="AI77">ROUNDUP(SUMPRODUCT(($I$97:$I$100005=$AE77)*($AD$97:$AD$100005="Actual")*AI$97:AI$100005*$AA$97:$AA$100005),0)+ROUNDUP(SUMPRODUCT(($I$97:$I$100005=$AE77)*($AD$97:$AD$100005="Asignado")*AI$97:AI$100005*$AA$97:$AA$100005),0)+ROUNDUP(SUMPRODUCT(($I$97:$I$100005=$AE77)*($AD$97:$AD$100005="No Asignado")*AI$97:AI$100005*$AA$97:$AA$100005),0)</f>
        <v>2</v>
      </c>
      <c r="AJ77" s="98" cm="1">
        <f t="array" ref="AJ77">ROUNDUP(SUMPRODUCT(($I$97:$I$100005=$AE77)*($AD$97:$AD$100005="Actual")*AJ$97:AJ$100005*$AA$97:$AA$100005),0)+ROUNDUP(SUMPRODUCT(($I$97:$I$100005=$AE77)*($AD$97:$AD$100005="Asignado")*AJ$97:AJ$100005*$AA$97:$AA$100005),0)+ROUNDUP(SUMPRODUCT(($I$97:$I$100005=$AE77)*($AD$97:$AD$100005="No Asignado")*AJ$97:AJ$100005*$AA$97:$AA$100005),0)</f>
        <v>2</v>
      </c>
      <c r="AK77" s="98" cm="1">
        <f t="array" ref="AK77">ROUNDUP(SUMPRODUCT(($I$97:$I$100005=$AE77)*($AD$97:$AD$100005="Actual")*AK$97:AK$100005*$AA$97:$AA$100005),0)+ROUNDUP(SUMPRODUCT(($I$97:$I$100005=$AE77)*($AD$97:$AD$100005="Asignado")*AK$97:AK$100005*$AA$97:$AA$100005),0)+ROUNDUP(SUMPRODUCT(($I$97:$I$100005=$AE77)*($AD$97:$AD$100005="No Asignado")*AK$97:AK$100005*$AA$97:$AA$100005),0)</f>
        <v>2</v>
      </c>
      <c r="AL77" s="98" cm="1">
        <f t="array" ref="AL77">ROUNDUP(SUMPRODUCT(($I$97:$I$100005=$AE77)*($AD$97:$AD$100005="Actual")*AL$97:AL$100005*$AA$97:$AA$100005),0)+ROUNDUP(SUMPRODUCT(($I$97:$I$100005=$AE77)*($AD$97:$AD$100005="Asignado")*AL$97:AL$100005*$AA$97:$AA$100005),0)+ROUNDUP(SUMPRODUCT(($I$97:$I$100005=$AE77)*($AD$97:$AD$100005="No Asignado")*AL$97:AL$100005*$AA$97:$AA$100005),0)</f>
        <v>2</v>
      </c>
      <c r="AM77" s="98" cm="1">
        <f t="array" ref="AM77">ROUNDUP(SUMPRODUCT(($I$97:$I$100005=$AE77)*($AD$97:$AD$100005="Actual")*AM$97:AM$100005*$AA$97:$AA$100005),0)+ROUNDUP(SUMPRODUCT(($I$97:$I$100005=$AE77)*($AD$97:$AD$100005="Asignado")*AM$97:AM$100005*$AA$97:$AA$100005),0)+ROUNDUP(SUMPRODUCT(($I$97:$I$100005=$AE77)*($AD$97:$AD$100005="No Asignado")*AM$97:AM$100005*$AA$97:$AA$100005),0)</f>
        <v>2</v>
      </c>
      <c r="AN77" s="99" cm="1">
        <f t="array" ref="AN77">ROUNDUP(SUMPRODUCT(($I$97:$I$100005=$AE77)*($AD$97:$AD$100005="Actual")*AN$97:AN$100005*$AA$97:$AA$100005),0)+ROUNDUP(SUMPRODUCT(($I$97:$I$100005=$AE77)*($AD$97:$AD$100005="Asignado")*AN$97:AN$100005*$AA$97:$AA$100005),0)+ROUNDUP(SUMPRODUCT(($I$97:$I$100005=$AE77)*($AD$97:$AD$100005="No Asignado")*AN$97:AN$100005*$AA$97:$AA$100005),0)</f>
        <v>2</v>
      </c>
    </row>
    <row r="78" spans="20:40" ht="12" hidden="1" outlineLevel="2" thickBot="1" x14ac:dyDescent="0.25">
      <c r="T78" s="110"/>
      <c r="U78" s="110"/>
      <c r="V78" s="98"/>
      <c r="AD78" s="669"/>
      <c r="AE78" s="108" t="s">
        <v>75</v>
      </c>
      <c r="AF78" s="131" cm="1">
        <f t="array" ref="AF78">ROUNDUP(SUMPRODUCT(($I$97:$I$100005=$AE78)*($AD$97:$AD$100005="Actual")*AF$97:AF$100005*$AA$97:$AA$100005),0)+ROUNDUP(SUMPRODUCT(($I$97:$I$100005=$AE78)*($AD$97:$AD$100005="Asignado")*AF$97:AF$100005*$AA$97:$AA$100005),0)+ROUNDUP(SUMPRODUCT(($I$97:$I$100005=$AE78)*($AD$97:$AD$100005="No Asignado")*AF$97:AF$100005*$AA$97:$AA$100005),0)</f>
        <v>4</v>
      </c>
      <c r="AG78" s="98" cm="1">
        <f t="array" ref="AG78">ROUNDUP(SUMPRODUCT(($I$97:$I$100005=$AE78)*($AD$97:$AD$100005="Actual")*AG$97:AG$100005*$AA$97:$AA$100005),0)+ROUNDUP(SUMPRODUCT(($I$97:$I$100005=$AE78)*($AD$97:$AD$100005="Asignado")*AG$97:AG$100005*$AA$97:$AA$100005),0)+ROUNDUP(SUMPRODUCT(($I$97:$I$100005=$AE78)*($AD$97:$AD$100005="No Asignado")*AG$97:AG$100005*$AA$97:$AA$100005),0)</f>
        <v>5</v>
      </c>
      <c r="AH78" s="98" cm="1">
        <f t="array" ref="AH78">ROUNDUP(SUMPRODUCT(($I$97:$I$100005=$AE78)*($AD$97:$AD$100005="Actual")*AH$97:AH$100005*$AA$97:$AA$100005),0)+ROUNDUP(SUMPRODUCT(($I$97:$I$100005=$AE78)*($AD$97:$AD$100005="Asignado")*AH$97:AH$100005*$AA$97:$AA$100005),0)+ROUNDUP(SUMPRODUCT(($I$97:$I$100005=$AE78)*($AD$97:$AD$100005="No Asignado")*AH$97:AH$100005*$AA$97:$AA$100005),0)</f>
        <v>5</v>
      </c>
      <c r="AI78" s="98" cm="1">
        <f t="array" ref="AI78">ROUNDUP(SUMPRODUCT(($I$97:$I$100005=$AE78)*($AD$97:$AD$100005="Actual")*AI$97:AI$100005*$AA$97:$AA$100005),0)+ROUNDUP(SUMPRODUCT(($I$97:$I$100005=$AE78)*($AD$97:$AD$100005="Asignado")*AI$97:AI$100005*$AA$97:$AA$100005),0)+ROUNDUP(SUMPRODUCT(($I$97:$I$100005=$AE78)*($AD$97:$AD$100005="No Asignado")*AI$97:AI$100005*$AA$97:$AA$100005),0)</f>
        <v>5</v>
      </c>
      <c r="AJ78" s="98" cm="1">
        <f t="array" ref="AJ78">ROUNDUP(SUMPRODUCT(($I$97:$I$100005=$AE78)*($AD$97:$AD$100005="Actual")*AJ$97:AJ$100005*$AA$97:$AA$100005),0)+ROUNDUP(SUMPRODUCT(($I$97:$I$100005=$AE78)*($AD$97:$AD$100005="Asignado")*AJ$97:AJ$100005*$AA$97:$AA$100005),0)+ROUNDUP(SUMPRODUCT(($I$97:$I$100005=$AE78)*($AD$97:$AD$100005="No Asignado")*AJ$97:AJ$100005*$AA$97:$AA$100005),0)</f>
        <v>4</v>
      </c>
      <c r="AK78" s="98" cm="1">
        <f t="array" ref="AK78">ROUNDUP(SUMPRODUCT(($I$97:$I$100005=$AE78)*($AD$97:$AD$100005="Actual")*AK$97:AK$100005*$AA$97:$AA$100005),0)+ROUNDUP(SUMPRODUCT(($I$97:$I$100005=$AE78)*($AD$97:$AD$100005="Asignado")*AK$97:AK$100005*$AA$97:$AA$100005),0)+ROUNDUP(SUMPRODUCT(($I$97:$I$100005=$AE78)*($AD$97:$AD$100005="No Asignado")*AK$97:AK$100005*$AA$97:$AA$100005),0)</f>
        <v>4</v>
      </c>
      <c r="AL78" s="98" cm="1">
        <f t="array" ref="AL78">ROUNDUP(SUMPRODUCT(($I$97:$I$100005=$AE78)*($AD$97:$AD$100005="Actual")*AL$97:AL$100005*$AA$97:$AA$100005),0)+ROUNDUP(SUMPRODUCT(($I$97:$I$100005=$AE78)*($AD$97:$AD$100005="Asignado")*AL$97:AL$100005*$AA$97:$AA$100005),0)+ROUNDUP(SUMPRODUCT(($I$97:$I$100005=$AE78)*($AD$97:$AD$100005="No Asignado")*AL$97:AL$100005*$AA$97:$AA$100005),0)</f>
        <v>4</v>
      </c>
      <c r="AM78" s="98" cm="1">
        <f t="array" ref="AM78">ROUNDUP(SUMPRODUCT(($I$97:$I$100005=$AE78)*($AD$97:$AD$100005="Actual")*AM$97:AM$100005*$AA$97:$AA$100005),0)+ROUNDUP(SUMPRODUCT(($I$97:$I$100005=$AE78)*($AD$97:$AD$100005="Asignado")*AM$97:AM$100005*$AA$97:$AA$100005),0)+ROUNDUP(SUMPRODUCT(($I$97:$I$100005=$AE78)*($AD$97:$AD$100005="No Asignado")*AM$97:AM$100005*$AA$97:$AA$100005),0)</f>
        <v>4</v>
      </c>
      <c r="AN78" s="99" cm="1">
        <f t="array" ref="AN78">ROUNDUP(SUMPRODUCT(($I$97:$I$100005=$AE78)*($AD$97:$AD$100005="Actual")*AN$97:AN$100005*$AA$97:$AA$100005),0)+ROUNDUP(SUMPRODUCT(($I$97:$I$100005=$AE78)*($AD$97:$AD$100005="Asignado")*AN$97:AN$100005*$AA$97:$AA$100005),0)+ROUNDUP(SUMPRODUCT(($I$97:$I$100005=$AE78)*($AD$97:$AD$100005="No Asignado")*AN$97:AN$100005*$AA$97:$AA$100005),0)</f>
        <v>2</v>
      </c>
    </row>
    <row r="79" spans="20:40" ht="12" hidden="1" outlineLevel="2" thickBot="1" x14ac:dyDescent="0.25">
      <c r="T79" s="110"/>
      <c r="U79" s="110"/>
      <c r="V79" s="98"/>
      <c r="AD79" s="669"/>
      <c r="AE79" s="108" t="s">
        <v>79</v>
      </c>
      <c r="AF79" s="131" cm="1">
        <f t="array" ref="AF79">ROUNDUP(SUMPRODUCT(($I$97:$I$100005=$AE79)*($AD$97:$AD$100005="Actual")*AF$97:AF$100005*$AA$97:$AA$100005),0)+ROUNDUP(SUMPRODUCT(($I$97:$I$100005=$AE79)*($AD$97:$AD$100005="Asignado")*AF$97:AF$100005*$AA$97:$AA$100005),0)+ROUNDUP(SUMPRODUCT(($I$97:$I$100005=$AE79)*($AD$97:$AD$100005="No Asignado")*AF$97:AF$100005*$AA$97:$AA$100005),0)</f>
        <v>0</v>
      </c>
      <c r="AG79" s="98" cm="1">
        <f t="array" ref="AG79">ROUNDUP(SUMPRODUCT(($I$97:$I$100005=$AE79)*($AD$97:$AD$100005="Actual")*AG$97:AG$100005*$AA$97:$AA$100005),0)+ROUNDUP(SUMPRODUCT(($I$97:$I$100005=$AE79)*($AD$97:$AD$100005="Asignado")*AG$97:AG$100005*$AA$97:$AA$100005),0)+ROUNDUP(SUMPRODUCT(($I$97:$I$100005=$AE79)*($AD$97:$AD$100005="No Asignado")*AG$97:AG$100005*$AA$97:$AA$100005),0)</f>
        <v>0</v>
      </c>
      <c r="AH79" s="98" cm="1">
        <f t="array" ref="AH79">ROUNDUP(SUMPRODUCT(($I$97:$I$100005=$AE79)*($AD$97:$AD$100005="Actual")*AH$97:AH$100005*$AA$97:$AA$100005),0)+ROUNDUP(SUMPRODUCT(($I$97:$I$100005=$AE79)*($AD$97:$AD$100005="Asignado")*AH$97:AH$100005*$AA$97:$AA$100005),0)+ROUNDUP(SUMPRODUCT(($I$97:$I$100005=$AE79)*($AD$97:$AD$100005="No Asignado")*AH$97:AH$100005*$AA$97:$AA$100005),0)</f>
        <v>0</v>
      </c>
      <c r="AI79" s="98" cm="1">
        <f t="array" ref="AI79">ROUNDUP(SUMPRODUCT(($I$97:$I$100005=$AE79)*($AD$97:$AD$100005="Actual")*AI$97:AI$100005*$AA$97:$AA$100005),0)+ROUNDUP(SUMPRODUCT(($I$97:$I$100005=$AE79)*($AD$97:$AD$100005="Asignado")*AI$97:AI$100005*$AA$97:$AA$100005),0)+ROUNDUP(SUMPRODUCT(($I$97:$I$100005=$AE79)*($AD$97:$AD$100005="No Asignado")*AI$97:AI$100005*$AA$97:$AA$100005),0)</f>
        <v>0</v>
      </c>
      <c r="AJ79" s="98" cm="1">
        <f t="array" ref="AJ79">ROUNDUP(SUMPRODUCT(($I$97:$I$100005=$AE79)*($AD$97:$AD$100005="Actual")*AJ$97:AJ$100005*$AA$97:$AA$100005),0)+ROUNDUP(SUMPRODUCT(($I$97:$I$100005=$AE79)*($AD$97:$AD$100005="Asignado")*AJ$97:AJ$100005*$AA$97:$AA$100005),0)+ROUNDUP(SUMPRODUCT(($I$97:$I$100005=$AE79)*($AD$97:$AD$100005="No Asignado")*AJ$97:AJ$100005*$AA$97:$AA$100005),0)</f>
        <v>0</v>
      </c>
      <c r="AK79" s="98" cm="1">
        <f t="array" ref="AK79">ROUNDUP(SUMPRODUCT(($I$97:$I$100005=$AE79)*($AD$97:$AD$100005="Actual")*AK$97:AK$100005*$AA$97:$AA$100005),0)+ROUNDUP(SUMPRODUCT(($I$97:$I$100005=$AE79)*($AD$97:$AD$100005="Asignado")*AK$97:AK$100005*$AA$97:$AA$100005),0)+ROUNDUP(SUMPRODUCT(($I$97:$I$100005=$AE79)*($AD$97:$AD$100005="No Asignado")*AK$97:AK$100005*$AA$97:$AA$100005),0)</f>
        <v>0</v>
      </c>
      <c r="AL79" s="98" cm="1">
        <f t="array" ref="AL79">ROUNDUP(SUMPRODUCT(($I$97:$I$100005=$AE79)*($AD$97:$AD$100005="Actual")*AL$97:AL$100005*$AA$97:$AA$100005),0)+ROUNDUP(SUMPRODUCT(($I$97:$I$100005=$AE79)*($AD$97:$AD$100005="Asignado")*AL$97:AL$100005*$AA$97:$AA$100005),0)+ROUNDUP(SUMPRODUCT(($I$97:$I$100005=$AE79)*($AD$97:$AD$100005="No Asignado")*AL$97:AL$100005*$AA$97:$AA$100005),0)</f>
        <v>0</v>
      </c>
      <c r="AM79" s="98" cm="1">
        <f t="array" ref="AM79">ROUNDUP(SUMPRODUCT(($I$97:$I$100005=$AE79)*($AD$97:$AD$100005="Actual")*AM$97:AM$100005*$AA$97:$AA$100005),0)+ROUNDUP(SUMPRODUCT(($I$97:$I$100005=$AE79)*($AD$97:$AD$100005="Asignado")*AM$97:AM$100005*$AA$97:$AA$100005),0)+ROUNDUP(SUMPRODUCT(($I$97:$I$100005=$AE79)*($AD$97:$AD$100005="No Asignado")*AM$97:AM$100005*$AA$97:$AA$100005),0)</f>
        <v>0</v>
      </c>
      <c r="AN79" s="99" cm="1">
        <f t="array" ref="AN79">ROUNDUP(SUMPRODUCT(($I$97:$I$100005=$AE79)*($AD$97:$AD$100005="Actual")*AN$97:AN$100005*$AA$97:$AA$100005),0)+ROUNDUP(SUMPRODUCT(($I$97:$I$100005=$AE79)*($AD$97:$AD$100005="Asignado")*AN$97:AN$100005*$AA$97:$AA$100005),0)+ROUNDUP(SUMPRODUCT(($I$97:$I$100005=$AE79)*($AD$97:$AD$100005="No Asignado")*AN$97:AN$100005*$AA$97:$AA$100005),0)</f>
        <v>0</v>
      </c>
    </row>
    <row r="80" spans="20:40" ht="12" hidden="1" outlineLevel="2" thickBot="1" x14ac:dyDescent="0.25">
      <c r="T80" s="110"/>
      <c r="U80" s="110"/>
      <c r="V80" s="98"/>
      <c r="AD80" s="669"/>
      <c r="AE80" s="97" t="s">
        <v>29</v>
      </c>
      <c r="AF80" s="128">
        <f>+SUM(AF81:AF83)</f>
        <v>4</v>
      </c>
      <c r="AG80" s="129">
        <f t="shared" ref="AG80:AN80" si="44">+SUM(AG81:AG83)</f>
        <v>3</v>
      </c>
      <c r="AH80" s="129">
        <f t="shared" si="44"/>
        <v>4</v>
      </c>
      <c r="AI80" s="129">
        <f t="shared" si="44"/>
        <v>6</v>
      </c>
      <c r="AJ80" s="129">
        <f t="shared" si="44"/>
        <v>5</v>
      </c>
      <c r="AK80" s="129">
        <f t="shared" si="44"/>
        <v>5</v>
      </c>
      <c r="AL80" s="129">
        <f t="shared" si="44"/>
        <v>5</v>
      </c>
      <c r="AM80" s="129">
        <f t="shared" si="44"/>
        <v>5</v>
      </c>
      <c r="AN80" s="130">
        <f t="shared" si="44"/>
        <v>4</v>
      </c>
    </row>
    <row r="81" spans="2:40" ht="12" hidden="1" outlineLevel="2" thickBot="1" x14ac:dyDescent="0.25">
      <c r="T81" s="110"/>
      <c r="U81" s="110"/>
      <c r="V81" s="98"/>
      <c r="AD81" s="669"/>
      <c r="AE81" s="108" t="s">
        <v>71</v>
      </c>
      <c r="AF81" s="131" cm="1">
        <f t="array" ref="AF81">ROUNDUP(SUMPRODUCT(($I$97:$I$100005=$AE81)*($AD$97:$AD$100005="Actual")*AF$97:AF$100005*$AB$97:$AB$100005),0)+ROUNDUP(SUMPRODUCT(($I$97:$I$100005=$AE81)*($AD$97:$AD$100005="Asignado")*AF$97:AF$100005*$AB$97:$AB$100005),0)+ROUNDUP(SUMPRODUCT(($I$97:$I$100005=$AE81)*($AD$97:$AD$100005="No Asignado")*AF$97:AF$100005*$AB$97:$AB$100005),0)</f>
        <v>2</v>
      </c>
      <c r="AG81" s="98" cm="1">
        <f t="array" ref="AG81">ROUNDUP(SUMPRODUCT(($I$97:$I$100005=$AE81)*($AD$97:$AD$100005="Actual")*AG$97:AG$100005*$AB$97:$AB$100005),0)+ROUNDUP(SUMPRODUCT(($I$97:$I$100005=$AE81)*($AD$97:$AD$100005="Asignado")*AG$97:AG$100005*$AB$97:$AB$100005),0)+ROUNDUP(SUMPRODUCT(($I$97:$I$100005=$AE81)*($AD$97:$AD$100005="No Asignado")*AG$97:AG$100005*$AB$97:$AB$100005),0)</f>
        <v>1</v>
      </c>
      <c r="AH81" s="98" cm="1">
        <f t="array" ref="AH81">ROUNDUP(SUMPRODUCT(($I$97:$I$100005=$AE81)*($AD$97:$AD$100005="Actual")*AH$97:AH$100005*$AB$97:$AB$100005),0)+ROUNDUP(SUMPRODUCT(($I$97:$I$100005=$AE81)*($AD$97:$AD$100005="Asignado")*AH$97:AH$100005*$AB$97:$AB$100005),0)+ROUNDUP(SUMPRODUCT(($I$97:$I$100005=$AE81)*($AD$97:$AD$100005="No Asignado")*AH$97:AH$100005*$AB$97:$AB$100005),0)</f>
        <v>1</v>
      </c>
      <c r="AI81" s="98" cm="1">
        <f t="array" ref="AI81">ROUNDUP(SUMPRODUCT(($I$97:$I$100005=$AE81)*($AD$97:$AD$100005="Actual")*AI$97:AI$100005*$AB$97:$AB$100005),0)+ROUNDUP(SUMPRODUCT(($I$97:$I$100005=$AE81)*($AD$97:$AD$100005="Asignado")*AI$97:AI$100005*$AB$97:$AB$100005),0)+ROUNDUP(SUMPRODUCT(($I$97:$I$100005=$AE81)*($AD$97:$AD$100005="No Asignado")*AI$97:AI$100005*$AB$97:$AB$100005),0)</f>
        <v>2</v>
      </c>
      <c r="AJ81" s="98" cm="1">
        <f t="array" ref="AJ81">ROUNDUP(SUMPRODUCT(($I$97:$I$100005=$AE81)*($AD$97:$AD$100005="Actual")*AJ$97:AJ$100005*$AB$97:$AB$100005),0)+ROUNDUP(SUMPRODUCT(($I$97:$I$100005=$AE81)*($AD$97:$AD$100005="Asignado")*AJ$97:AJ$100005*$AB$97:$AB$100005),0)+ROUNDUP(SUMPRODUCT(($I$97:$I$100005=$AE81)*($AD$97:$AD$100005="No Asignado")*AJ$97:AJ$100005*$AB$97:$AB$100005),0)</f>
        <v>2</v>
      </c>
      <c r="AK81" s="98" cm="1">
        <f t="array" ref="AK81">ROUNDUP(SUMPRODUCT(($I$97:$I$100005=$AE81)*($AD$97:$AD$100005="Actual")*AK$97:AK$100005*$AB$97:$AB$100005),0)+ROUNDUP(SUMPRODUCT(($I$97:$I$100005=$AE81)*($AD$97:$AD$100005="Asignado")*AK$97:AK$100005*$AB$97:$AB$100005),0)+ROUNDUP(SUMPRODUCT(($I$97:$I$100005=$AE81)*($AD$97:$AD$100005="No Asignado")*AK$97:AK$100005*$AB$97:$AB$100005),0)</f>
        <v>2</v>
      </c>
      <c r="AL81" s="98" cm="1">
        <f t="array" ref="AL81">ROUNDUP(SUMPRODUCT(($I$97:$I$100005=$AE81)*($AD$97:$AD$100005="Actual")*AL$97:AL$100005*$AB$97:$AB$100005),0)+ROUNDUP(SUMPRODUCT(($I$97:$I$100005=$AE81)*($AD$97:$AD$100005="Asignado")*AL$97:AL$100005*$AB$97:$AB$100005),0)+ROUNDUP(SUMPRODUCT(($I$97:$I$100005=$AE81)*($AD$97:$AD$100005="No Asignado")*AL$97:AL$100005*$AB$97:$AB$100005),0)</f>
        <v>2</v>
      </c>
      <c r="AM81" s="98" cm="1">
        <f t="array" ref="AM81">ROUNDUP(SUMPRODUCT(($I$97:$I$100005=$AE81)*($AD$97:$AD$100005="Actual")*AM$97:AM$100005*$AB$97:$AB$100005),0)+ROUNDUP(SUMPRODUCT(($I$97:$I$100005=$AE81)*($AD$97:$AD$100005="Asignado")*AM$97:AM$100005*$AB$97:$AB$100005),0)+ROUNDUP(SUMPRODUCT(($I$97:$I$100005=$AE81)*($AD$97:$AD$100005="No Asignado")*AM$97:AM$100005*$AB$97:$AB$100005),0)</f>
        <v>2</v>
      </c>
      <c r="AN81" s="99" cm="1">
        <f t="array" ref="AN81">ROUNDUP(SUMPRODUCT(($I$97:$I$100005=$AE81)*($AD$97:$AD$100005="Actual")*AN$97:AN$100005*$AB$97:$AB$100005),0)+ROUNDUP(SUMPRODUCT(($I$97:$I$100005=$AE81)*($AD$97:$AD$100005="Asignado")*AN$97:AN$100005*$AB$97:$AB$100005),0)+ROUNDUP(SUMPRODUCT(($I$97:$I$100005=$AE81)*($AD$97:$AD$100005="No Asignado")*AN$97:AN$100005*$AB$97:$AB$100005),0)</f>
        <v>2</v>
      </c>
    </row>
    <row r="82" spans="2:40" ht="12" hidden="1" outlineLevel="2" thickBot="1" x14ac:dyDescent="0.25">
      <c r="T82" s="110"/>
      <c r="U82" s="110"/>
      <c r="V82" s="98"/>
      <c r="AD82" s="669"/>
      <c r="AE82" s="108" t="s">
        <v>75</v>
      </c>
      <c r="AF82" s="131" cm="1">
        <f t="array" ref="AF82">ROUNDUP(SUMPRODUCT(($I$97:$I$100005=$AE82)*($AD$97:$AD$100005="Actual")*AF$97:AF$100005*$AB$97:$AB$100005),0)+ROUNDUP(SUMPRODUCT(($I$97:$I$100005=$AE82)*($AD$97:$AD$100005="Asignado")*AF$97:AF$100005*$AB$97:$AB$100005),0)+ROUNDUP(SUMPRODUCT(($I$97:$I$100005=$AE82)*($AD$97:$AD$100005="No Asignado")*AF$97:AF$100005*$AB$97:$AB$100005),0)</f>
        <v>2</v>
      </c>
      <c r="AG82" s="98" cm="1">
        <f t="array" ref="AG82">ROUNDUP(SUMPRODUCT(($I$97:$I$100005=$AE82)*($AD$97:$AD$100005="Actual")*AG$97:AG$100005*$AB$97:$AB$100005),0)+ROUNDUP(SUMPRODUCT(($I$97:$I$100005=$AE82)*($AD$97:$AD$100005="Asignado")*AG$97:AG$100005*$AB$97:$AB$100005),0)+ROUNDUP(SUMPRODUCT(($I$97:$I$100005=$AE82)*($AD$97:$AD$100005="No Asignado")*AG$97:AG$100005*$AB$97:$AB$100005),0)</f>
        <v>2</v>
      </c>
      <c r="AH82" s="98" cm="1">
        <f t="array" ref="AH82">ROUNDUP(SUMPRODUCT(($I$97:$I$100005=$AE82)*($AD$97:$AD$100005="Actual")*AH$97:AH$100005*$AB$97:$AB$100005),0)+ROUNDUP(SUMPRODUCT(($I$97:$I$100005=$AE82)*($AD$97:$AD$100005="Asignado")*AH$97:AH$100005*$AB$97:$AB$100005),0)+ROUNDUP(SUMPRODUCT(($I$97:$I$100005=$AE82)*($AD$97:$AD$100005="No Asignado")*AH$97:AH$100005*$AB$97:$AB$100005),0)</f>
        <v>3</v>
      </c>
      <c r="AI82" s="98" cm="1">
        <f t="array" ref="AI82">ROUNDUP(SUMPRODUCT(($I$97:$I$100005=$AE82)*($AD$97:$AD$100005="Actual")*AI$97:AI$100005*$AB$97:$AB$100005),0)+ROUNDUP(SUMPRODUCT(($I$97:$I$100005=$AE82)*($AD$97:$AD$100005="Asignado")*AI$97:AI$100005*$AB$97:$AB$100005),0)+ROUNDUP(SUMPRODUCT(($I$97:$I$100005=$AE82)*($AD$97:$AD$100005="No Asignado")*AI$97:AI$100005*$AB$97:$AB$100005),0)</f>
        <v>4</v>
      </c>
      <c r="AJ82" s="98" cm="1">
        <f t="array" ref="AJ82">ROUNDUP(SUMPRODUCT(($I$97:$I$100005=$AE82)*($AD$97:$AD$100005="Actual")*AJ$97:AJ$100005*$AB$97:$AB$100005),0)+ROUNDUP(SUMPRODUCT(($I$97:$I$100005=$AE82)*($AD$97:$AD$100005="Asignado")*AJ$97:AJ$100005*$AB$97:$AB$100005),0)+ROUNDUP(SUMPRODUCT(($I$97:$I$100005=$AE82)*($AD$97:$AD$100005="No Asignado")*AJ$97:AJ$100005*$AB$97:$AB$100005),0)</f>
        <v>3</v>
      </c>
      <c r="AK82" s="98" cm="1">
        <f t="array" ref="AK82">ROUNDUP(SUMPRODUCT(($I$97:$I$100005=$AE82)*($AD$97:$AD$100005="Actual")*AK$97:AK$100005*$AB$97:$AB$100005),0)+ROUNDUP(SUMPRODUCT(($I$97:$I$100005=$AE82)*($AD$97:$AD$100005="Asignado")*AK$97:AK$100005*$AB$97:$AB$100005),0)+ROUNDUP(SUMPRODUCT(($I$97:$I$100005=$AE82)*($AD$97:$AD$100005="No Asignado")*AK$97:AK$100005*$AB$97:$AB$100005),0)</f>
        <v>3</v>
      </c>
      <c r="AL82" s="98" cm="1">
        <f t="array" ref="AL82">ROUNDUP(SUMPRODUCT(($I$97:$I$100005=$AE82)*($AD$97:$AD$100005="Actual")*AL$97:AL$100005*$AB$97:$AB$100005),0)+ROUNDUP(SUMPRODUCT(($I$97:$I$100005=$AE82)*($AD$97:$AD$100005="Asignado")*AL$97:AL$100005*$AB$97:$AB$100005),0)+ROUNDUP(SUMPRODUCT(($I$97:$I$100005=$AE82)*($AD$97:$AD$100005="No Asignado")*AL$97:AL$100005*$AB$97:$AB$100005),0)</f>
        <v>3</v>
      </c>
      <c r="AM82" s="98" cm="1">
        <f t="array" ref="AM82">ROUNDUP(SUMPRODUCT(($I$97:$I$100005=$AE82)*($AD$97:$AD$100005="Actual")*AM$97:AM$100005*$AB$97:$AB$100005),0)+ROUNDUP(SUMPRODUCT(($I$97:$I$100005=$AE82)*($AD$97:$AD$100005="Asignado")*AM$97:AM$100005*$AB$97:$AB$100005),0)+ROUNDUP(SUMPRODUCT(($I$97:$I$100005=$AE82)*($AD$97:$AD$100005="No Asignado")*AM$97:AM$100005*$AB$97:$AB$100005),0)</f>
        <v>3</v>
      </c>
      <c r="AN82" s="99" cm="1">
        <f t="array" ref="AN82">ROUNDUP(SUMPRODUCT(($I$97:$I$100005=$AE82)*($AD$97:$AD$100005="Actual")*AN$97:AN$100005*$AB$97:$AB$100005),0)+ROUNDUP(SUMPRODUCT(($I$97:$I$100005=$AE82)*($AD$97:$AD$100005="Asignado")*AN$97:AN$100005*$AB$97:$AB$100005),0)+ROUNDUP(SUMPRODUCT(($I$97:$I$100005=$AE82)*($AD$97:$AD$100005="No Asignado")*AN$97:AN$100005*$AB$97:$AB$100005),0)</f>
        <v>2</v>
      </c>
    </row>
    <row r="83" spans="2:40" ht="12" hidden="1" outlineLevel="2" thickBot="1" x14ac:dyDescent="0.25">
      <c r="T83" s="110"/>
      <c r="U83" s="110"/>
      <c r="V83" s="98"/>
      <c r="AD83" s="669"/>
      <c r="AE83" s="108" t="s">
        <v>79</v>
      </c>
      <c r="AF83" s="131" cm="1">
        <f t="array" ref="AF83">ROUNDUP(SUMPRODUCT(($I$97:$I$100005=$AE83)*($AD$97:$AD$100005="Actual")*AF$97:AF$100005*$AB$97:$AB$100005),0)+ROUNDUP(SUMPRODUCT(($I$97:$I$100005=$AE83)*($AD$97:$AD$100005="Asignado")*AF$97:AF$100005*$AB$97:$AB$100005),0)+ROUNDUP(SUMPRODUCT(($I$97:$I$100005=$AE83)*($AD$97:$AD$100005="No Asignado")*AF$97:AF$100005*$AB$97:$AB$100005),0)</f>
        <v>0</v>
      </c>
      <c r="AG83" s="98" cm="1">
        <f t="array" ref="AG83">ROUNDUP(SUMPRODUCT(($I$97:$I$100005=$AE83)*($AD$97:$AD$100005="Actual")*AG$97:AG$100005*$AB$97:$AB$100005),0)+ROUNDUP(SUMPRODUCT(($I$97:$I$100005=$AE83)*($AD$97:$AD$100005="Asignado")*AG$97:AG$100005*$AB$97:$AB$100005),0)+ROUNDUP(SUMPRODUCT(($I$97:$I$100005=$AE83)*($AD$97:$AD$100005="No Asignado")*AG$97:AG$100005*$AB$97:$AB$100005),0)</f>
        <v>0</v>
      </c>
      <c r="AH83" s="98" cm="1">
        <f t="array" ref="AH83">ROUNDUP(SUMPRODUCT(($I$97:$I$100005=$AE83)*($AD$97:$AD$100005="Actual")*AH$97:AH$100005*$AB$97:$AB$100005),0)+ROUNDUP(SUMPRODUCT(($I$97:$I$100005=$AE83)*($AD$97:$AD$100005="Asignado")*AH$97:AH$100005*$AB$97:$AB$100005),0)+ROUNDUP(SUMPRODUCT(($I$97:$I$100005=$AE83)*($AD$97:$AD$100005="No Asignado")*AH$97:AH$100005*$AB$97:$AB$100005),0)</f>
        <v>0</v>
      </c>
      <c r="AI83" s="98" cm="1">
        <f t="array" ref="AI83">ROUNDUP(SUMPRODUCT(($I$97:$I$100005=$AE83)*($AD$97:$AD$100005="Actual")*AI$97:AI$100005*$AB$97:$AB$100005),0)+ROUNDUP(SUMPRODUCT(($I$97:$I$100005=$AE83)*($AD$97:$AD$100005="Asignado")*AI$97:AI$100005*$AB$97:$AB$100005),0)+ROUNDUP(SUMPRODUCT(($I$97:$I$100005=$AE83)*($AD$97:$AD$100005="No Asignado")*AI$97:AI$100005*$AB$97:$AB$100005),0)</f>
        <v>0</v>
      </c>
      <c r="AJ83" s="98" cm="1">
        <f t="array" ref="AJ83">ROUNDUP(SUMPRODUCT(($I$97:$I$100005=$AE83)*($AD$97:$AD$100005="Actual")*AJ$97:AJ$100005*$AB$97:$AB$100005),0)+ROUNDUP(SUMPRODUCT(($I$97:$I$100005=$AE83)*($AD$97:$AD$100005="Asignado")*AJ$97:AJ$100005*$AB$97:$AB$100005),0)+ROUNDUP(SUMPRODUCT(($I$97:$I$100005=$AE83)*($AD$97:$AD$100005="No Asignado")*AJ$97:AJ$100005*$AB$97:$AB$100005),0)</f>
        <v>0</v>
      </c>
      <c r="AK83" s="98" cm="1">
        <f t="array" ref="AK83">ROUNDUP(SUMPRODUCT(($I$97:$I$100005=$AE83)*($AD$97:$AD$100005="Actual")*AK$97:AK$100005*$AB$97:$AB$100005),0)+ROUNDUP(SUMPRODUCT(($I$97:$I$100005=$AE83)*($AD$97:$AD$100005="Asignado")*AK$97:AK$100005*$AB$97:$AB$100005),0)+ROUNDUP(SUMPRODUCT(($I$97:$I$100005=$AE83)*($AD$97:$AD$100005="No Asignado")*AK$97:AK$100005*$AB$97:$AB$100005),0)</f>
        <v>0</v>
      </c>
      <c r="AL83" s="98" cm="1">
        <f t="array" ref="AL83">ROUNDUP(SUMPRODUCT(($I$97:$I$100005=$AE83)*($AD$97:$AD$100005="Actual")*AL$97:AL$100005*$AB$97:$AB$100005),0)+ROUNDUP(SUMPRODUCT(($I$97:$I$100005=$AE83)*($AD$97:$AD$100005="Asignado")*AL$97:AL$100005*$AB$97:$AB$100005),0)+ROUNDUP(SUMPRODUCT(($I$97:$I$100005=$AE83)*($AD$97:$AD$100005="No Asignado")*AL$97:AL$100005*$AB$97:$AB$100005),0)</f>
        <v>0</v>
      </c>
      <c r="AM83" s="98" cm="1">
        <f t="array" ref="AM83">ROUNDUP(SUMPRODUCT(($I$97:$I$100005=$AE83)*($AD$97:$AD$100005="Actual")*AM$97:AM$100005*$AB$97:$AB$100005),0)+ROUNDUP(SUMPRODUCT(($I$97:$I$100005=$AE83)*($AD$97:$AD$100005="Asignado")*AM$97:AM$100005*$AB$97:$AB$100005),0)+ROUNDUP(SUMPRODUCT(($I$97:$I$100005=$AE83)*($AD$97:$AD$100005="No Asignado")*AM$97:AM$100005*$AB$97:$AB$100005),0)</f>
        <v>0</v>
      </c>
      <c r="AN83" s="99" cm="1">
        <f t="array" ref="AN83">ROUNDUP(SUMPRODUCT(($I$97:$I$100005=$AE83)*($AD$97:$AD$100005="Actual")*AN$97:AN$100005*$AB$97:$AB$100005),0)+ROUNDUP(SUMPRODUCT(($I$97:$I$100005=$AE83)*($AD$97:$AD$100005="Asignado")*AN$97:AN$100005*$AB$97:$AB$100005),0)+ROUNDUP(SUMPRODUCT(($I$97:$I$100005=$AE83)*($AD$97:$AD$100005="No Asignado")*AN$97:AN$100005*$AB$97:$AB$100005),0)</f>
        <v>0</v>
      </c>
    </row>
    <row r="84" spans="2:40" ht="12" outlineLevel="1" collapsed="1" thickBot="1" x14ac:dyDescent="0.25">
      <c r="T84" s="110"/>
      <c r="U84" s="110"/>
      <c r="V84" s="98"/>
      <c r="AD84" s="670"/>
      <c r="AE84" s="109" t="s">
        <v>32</v>
      </c>
      <c r="AF84" s="135">
        <f>+AF80+AF76+AF72+AF68+AF64</f>
        <v>19</v>
      </c>
      <c r="AG84" s="135">
        <f t="shared" ref="AG84:AN84" si="45">+AG80+AG76+AG72+AG68+AG64</f>
        <v>22</v>
      </c>
      <c r="AH84" s="135">
        <f t="shared" si="45"/>
        <v>22</v>
      </c>
      <c r="AI84" s="135">
        <f t="shared" si="45"/>
        <v>26</v>
      </c>
      <c r="AJ84" s="135">
        <f t="shared" si="45"/>
        <v>24</v>
      </c>
      <c r="AK84" s="135">
        <f t="shared" si="45"/>
        <v>24</v>
      </c>
      <c r="AL84" s="135">
        <f t="shared" si="45"/>
        <v>24</v>
      </c>
      <c r="AM84" s="135">
        <f t="shared" si="45"/>
        <v>24</v>
      </c>
      <c r="AN84" s="136">
        <f t="shared" si="45"/>
        <v>18</v>
      </c>
    </row>
    <row r="85" spans="2:40" x14ac:dyDescent="0.2">
      <c r="T85" s="110"/>
      <c r="U85" s="110"/>
      <c r="V85" s="98"/>
      <c r="AD85" s="110" t="s">
        <v>267</v>
      </c>
      <c r="AF85" s="110"/>
      <c r="AN85" s="110"/>
    </row>
    <row r="86" spans="2:40" x14ac:dyDescent="0.2">
      <c r="T86" s="110"/>
      <c r="U86" s="110"/>
      <c r="V86" s="98"/>
      <c r="AF86" s="110"/>
      <c r="AN86" s="110"/>
    </row>
    <row r="87" spans="2:40" x14ac:dyDescent="0.2">
      <c r="T87" s="110"/>
      <c r="U87" s="110"/>
      <c r="V87" s="98"/>
      <c r="AF87" s="110"/>
      <c r="AN87" s="110"/>
    </row>
    <row r="88" spans="2:40" x14ac:dyDescent="0.2">
      <c r="T88" s="110"/>
      <c r="U88" s="110"/>
      <c r="V88" s="98"/>
      <c r="AF88" s="110"/>
      <c r="AN88" s="110"/>
    </row>
    <row r="89" spans="2:40" x14ac:dyDescent="0.2">
      <c r="T89" s="110"/>
      <c r="U89" s="110"/>
      <c r="V89" s="98"/>
      <c r="AF89" s="110"/>
      <c r="AN89" s="110"/>
    </row>
    <row r="90" spans="2:40" x14ac:dyDescent="0.2">
      <c r="T90" s="110"/>
      <c r="U90" s="110"/>
      <c r="V90" s="98"/>
      <c r="AF90" s="110"/>
      <c r="AN90" s="110"/>
    </row>
    <row r="91" spans="2:40" x14ac:dyDescent="0.2">
      <c r="T91" s="110"/>
      <c r="U91" s="110"/>
      <c r="V91" s="98"/>
      <c r="AF91" s="110"/>
      <c r="AN91" s="110"/>
    </row>
    <row r="92" spans="2:40" x14ac:dyDescent="0.2">
      <c r="T92" s="110"/>
      <c r="U92" s="110"/>
      <c r="V92" s="98"/>
      <c r="AF92" s="110"/>
      <c r="AN92" s="110"/>
    </row>
    <row r="93" spans="2:40" x14ac:dyDescent="0.2">
      <c r="T93" s="110"/>
      <c r="U93" s="110"/>
      <c r="V93" s="98"/>
      <c r="AF93" s="110"/>
      <c r="AN93" s="110"/>
    </row>
    <row r="94" spans="2:40" x14ac:dyDescent="0.2">
      <c r="T94" s="110"/>
      <c r="U94" s="110"/>
      <c r="V94" s="98"/>
      <c r="AF94" s="329"/>
      <c r="AN94" s="110"/>
    </row>
    <row r="95" spans="2:40" ht="12" thickBot="1" x14ac:dyDescent="0.25">
      <c r="L95" s="293"/>
      <c r="M95" s="293"/>
      <c r="N95" s="293"/>
      <c r="O95" s="293"/>
      <c r="P95" s="293"/>
      <c r="T95" s="293"/>
      <c r="U95" s="293"/>
      <c r="V95" s="98"/>
      <c r="AF95" s="110"/>
      <c r="AN95" s="110"/>
    </row>
    <row r="96" spans="2:40" ht="37" thickBot="1" x14ac:dyDescent="0.25">
      <c r="B96" s="111" t="s">
        <v>268</v>
      </c>
      <c r="C96" s="111" t="s">
        <v>269</v>
      </c>
      <c r="D96" s="112" t="s">
        <v>15</v>
      </c>
      <c r="E96" s="112" t="s">
        <v>16</v>
      </c>
      <c r="F96" s="112" t="s">
        <v>17</v>
      </c>
      <c r="G96" s="149" t="s">
        <v>270</v>
      </c>
      <c r="H96" s="149" t="s">
        <v>271</v>
      </c>
      <c r="I96" s="112" t="s">
        <v>272</v>
      </c>
      <c r="J96" s="112" t="s">
        <v>273</v>
      </c>
      <c r="K96" s="112" t="s">
        <v>274</v>
      </c>
      <c r="L96" s="112" t="s">
        <v>275</v>
      </c>
      <c r="M96" s="112" t="s">
        <v>276</v>
      </c>
      <c r="N96" s="112" t="s">
        <v>277</v>
      </c>
      <c r="O96" s="112" t="s">
        <v>278</v>
      </c>
      <c r="P96" s="112" t="s">
        <v>279</v>
      </c>
      <c r="Q96" s="112" t="s">
        <v>280</v>
      </c>
      <c r="R96" s="149" t="s">
        <v>68</v>
      </c>
      <c r="S96" s="149" t="s">
        <v>281</v>
      </c>
      <c r="T96" s="149" t="s">
        <v>282</v>
      </c>
      <c r="U96" s="149" t="s">
        <v>283</v>
      </c>
      <c r="V96" s="200" t="s">
        <v>284</v>
      </c>
      <c r="W96" s="112" t="s">
        <v>285</v>
      </c>
      <c r="X96" s="112" t="s">
        <v>25</v>
      </c>
      <c r="Y96" s="112" t="s">
        <v>26</v>
      </c>
      <c r="Z96" s="112" t="s">
        <v>27</v>
      </c>
      <c r="AA96" s="112" t="s">
        <v>28</v>
      </c>
      <c r="AB96" s="112" t="s">
        <v>29</v>
      </c>
      <c r="AC96" s="112" t="s">
        <v>18</v>
      </c>
      <c r="AD96" s="113" t="s">
        <v>19</v>
      </c>
      <c r="AE96" s="112" t="s">
        <v>64</v>
      </c>
      <c r="AF96" s="137">
        <v>45777</v>
      </c>
      <c r="AG96" s="138">
        <v>45807</v>
      </c>
      <c r="AH96" s="138">
        <v>45838</v>
      </c>
      <c r="AI96" s="138">
        <v>45868</v>
      </c>
      <c r="AJ96" s="138">
        <v>45899</v>
      </c>
      <c r="AK96" s="138">
        <v>45930</v>
      </c>
      <c r="AL96" s="138">
        <v>45960</v>
      </c>
      <c r="AM96" s="138">
        <v>45991</v>
      </c>
      <c r="AN96" s="139">
        <v>46021</v>
      </c>
    </row>
    <row r="97" spans="2:49" ht="15" x14ac:dyDescent="0.2">
      <c r="B97" s="117" t="s">
        <v>286</v>
      </c>
      <c r="C97" s="117">
        <v>1</v>
      </c>
      <c r="D97" s="140" t="s">
        <v>287</v>
      </c>
      <c r="E97" s="118" t="s">
        <v>288</v>
      </c>
      <c r="F97" s="146" t="s">
        <v>41</v>
      </c>
      <c r="G97" s="118" t="s">
        <v>41</v>
      </c>
      <c r="H97" s="118" t="s">
        <v>44</v>
      </c>
      <c r="I97" s="118" t="s">
        <v>71</v>
      </c>
      <c r="J97" s="118">
        <f>+IF(AND(AD97=Dashboard!$DN$8,Dashboard!$DN$9=1),Dashboard!J11,0)+IF(AND(AD97=Dashboard!$DO$8,Dashboard!$DO$9=1),Dashboard!J11,0)+IF(AND(AD97=Dashboard!$DP$8,Dashboard!$DP$9=1),Dashboard!J11,0)</f>
        <v>1</v>
      </c>
      <c r="K97" s="118" t="s">
        <v>289</v>
      </c>
      <c r="L97" s="306">
        <f>+_xlfn.XLOOKUP(B97,'[2]Proyectos (NO FILTRAR)'!$B:$B,'[2]Proyectos (NO FILTRAR)'!$O:$O,"!",0,1)</f>
        <v>36143</v>
      </c>
      <c r="M97" s="316">
        <v>0</v>
      </c>
      <c r="N97" s="565">
        <v>1</v>
      </c>
      <c r="O97" s="119">
        <v>45502</v>
      </c>
      <c r="P97" s="119">
        <v>45754</v>
      </c>
      <c r="Q97" s="611">
        <f>+ROUNDUP(_xlfn.DAYS(P97,O97)/30.5,0)</f>
        <v>9</v>
      </c>
      <c r="R97" s="118" t="s">
        <v>77</v>
      </c>
      <c r="S97" s="118"/>
      <c r="T97" s="156">
        <v>45502</v>
      </c>
      <c r="U97" s="156">
        <v>45754</v>
      </c>
      <c r="V97" s="611">
        <f>+ROUNDUP(_xlfn.DAYS(U97,T97)/30.5,0)</f>
        <v>9</v>
      </c>
      <c r="W97" s="121">
        <f>+SUMIFS('Listas y Parametros'!$C$44:$L$44,'Listas y Parametros'!$C$35:$L$35,'Gantt Proyectos'!AC97)*J97*'EDP Proyectado'!Q29</f>
        <v>0.72035794183445179</v>
      </c>
      <c r="X97" s="122">
        <f>+SUMIFS('Listas y Parametros'!$C$38:$L$38,'Listas y Parametros'!$C$35:$L$35,'Gantt Proyectos'!AC97)*J97</f>
        <v>0.25</v>
      </c>
      <c r="Y97" s="122">
        <f>+SUMIFS('Listas y Parametros'!$C$39:$L$39,'Listas y Parametros'!$C$35:$L$35,'Gantt Proyectos'!AC97)*J97</f>
        <v>0.33</v>
      </c>
      <c r="Z97" s="122">
        <f>+SUMIFS('Listas y Parametros'!$C$40:$L$40,'Listas y Parametros'!$C$35:$L$35,'Gantt Proyectos'!AC97)*J97</f>
        <v>0</v>
      </c>
      <c r="AA97" s="122">
        <f>+SUMIFS('Listas y Parametros'!$C$41:$L$41,'Listas y Parametros'!$C$35:$L$35,'Gantt Proyectos'!AC97)*J97</f>
        <v>0.5</v>
      </c>
      <c r="AB97" s="122">
        <f>+SUMIFS('Listas y Parametros'!$C$42:$L$42,'Listas y Parametros'!$C$35:$L$35,'Gantt Proyectos'!AC97)*J97</f>
        <v>0.5</v>
      </c>
      <c r="AC97" s="152" t="s">
        <v>72</v>
      </c>
      <c r="AD97" s="123" t="s">
        <v>3</v>
      </c>
      <c r="AE97" s="123" t="s">
        <v>70</v>
      </c>
      <c r="AF97" s="332">
        <f>IFERROR(IF(AND(AF$96&gt;=$O97,AF$96-29&lt;=$U97-1),1,0)/$Q97+IF($R97="Si",IF(AND(AF$96&gt;=$T97,AF$96-29&lt;=$P97-1),1,0),0)/$Q97,0)*$J97</f>
        <v>0.1111111111111111</v>
      </c>
      <c r="AG97" s="665">
        <f t="shared" ref="AG97:AN112" si="46">IFERROR(IF(AND(AG$96&gt;=$O97,AG$96-29&lt;=$U97-1),1,0)/$Q97+IF($R97="Si",IF(AND(AG$96&gt;=$T97,AG$96-29&lt;=$P97-1),1,0),0)/$Q97,0)*$J97</f>
        <v>0</v>
      </c>
      <c r="AH97" s="665">
        <f t="shared" si="46"/>
        <v>0</v>
      </c>
      <c r="AI97" s="665">
        <f t="shared" si="46"/>
        <v>0</v>
      </c>
      <c r="AJ97" s="665">
        <f t="shared" si="46"/>
        <v>0</v>
      </c>
      <c r="AK97" s="665">
        <f t="shared" si="46"/>
        <v>0</v>
      </c>
      <c r="AL97" s="665">
        <f t="shared" si="46"/>
        <v>0</v>
      </c>
      <c r="AM97" s="665">
        <f t="shared" si="46"/>
        <v>0</v>
      </c>
      <c r="AN97" s="666">
        <f t="shared" si="46"/>
        <v>0</v>
      </c>
    </row>
    <row r="98" spans="2:49" ht="15" x14ac:dyDescent="0.2">
      <c r="B98" s="117" t="s">
        <v>290</v>
      </c>
      <c r="C98" s="117">
        <f>+C97+1</f>
        <v>2</v>
      </c>
      <c r="D98" s="140" t="s">
        <v>291</v>
      </c>
      <c r="E98" s="118" t="s">
        <v>292</v>
      </c>
      <c r="F98" s="146" t="s">
        <v>41</v>
      </c>
      <c r="G98" s="118" t="s">
        <v>41</v>
      </c>
      <c r="H98" s="118" t="s">
        <v>44</v>
      </c>
      <c r="I98" s="118" t="s">
        <v>71</v>
      </c>
      <c r="J98" s="118">
        <f>+IF(AND(AD98=Dashboard!$DN$8,Dashboard!$DN$9=1),Dashboard!J12,0)+IF(AND(AD98=Dashboard!$DO$8,Dashboard!$DO$9=1),Dashboard!J12,0)+IF(AND(AD98=Dashboard!$DP$8,Dashboard!$DP$9=1),Dashboard!J12,0)</f>
        <v>1</v>
      </c>
      <c r="K98" s="118" t="s">
        <v>289</v>
      </c>
      <c r="L98" s="306">
        <f>+_xlfn.XLOOKUP(B98,'[2]Proyectos (NO FILTRAR)'!$B:$B,'[2]Proyectos (NO FILTRAR)'!$O:$O,"!",0,1)</f>
        <v>47590</v>
      </c>
      <c r="M98" s="316">
        <f>+_xlfn.XLOOKUP(B98,'[3]POM 2025'!$A:$A,'[3]POM 2025'!$L:$L,"!",0,1)</f>
        <v>0</v>
      </c>
      <c r="N98" s="565">
        <v>1</v>
      </c>
      <c r="O98" s="119">
        <v>45719</v>
      </c>
      <c r="P98" s="119">
        <v>45754</v>
      </c>
      <c r="Q98" s="611">
        <f t="shared" ref="Q98:Q154" si="47">+ROUNDUP(_xlfn.DAYS(P98,O98)/30.5,0)</f>
        <v>2</v>
      </c>
      <c r="R98" s="118" t="s">
        <v>77</v>
      </c>
      <c r="S98" s="118"/>
      <c r="T98" s="156">
        <v>45719</v>
      </c>
      <c r="U98" s="156">
        <v>45754</v>
      </c>
      <c r="V98" s="611">
        <f t="shared" ref="V98:V149" si="48">+ROUNDUP(_xlfn.DAYS(U98,T98)/30.5,0)</f>
        <v>2</v>
      </c>
      <c r="W98" s="121">
        <f>+SUMIFS('Listas y Parametros'!$C$44:$L$44,'Listas y Parametros'!$C$35:$L$35,'Gantt Proyectos'!AC98)*J98*'EDP Proyectado'!Q30</f>
        <v>0.72035794183445179</v>
      </c>
      <c r="X98" s="122">
        <f>+SUMIFS('Listas y Parametros'!$C$38:$L$38,'Listas y Parametros'!$C$35:$L$35,'Gantt Proyectos'!AC98)*J98</f>
        <v>0.25</v>
      </c>
      <c r="Y98" s="122">
        <f>+SUMIFS('Listas y Parametros'!$C$39:$L$39,'Listas y Parametros'!$C$35:$L$35,'Gantt Proyectos'!AC98)*J98</f>
        <v>0.33</v>
      </c>
      <c r="Z98" s="122">
        <f>+SUMIFS('Listas y Parametros'!$C$40:$L$40,'Listas y Parametros'!$C$35:$L$35,'Gantt Proyectos'!AC98)*J98</f>
        <v>0</v>
      </c>
      <c r="AA98" s="122">
        <f>+SUMIFS('Listas y Parametros'!$C$41:$L$41,'Listas y Parametros'!$C$35:$L$35,'Gantt Proyectos'!AC98)*J98</f>
        <v>0.5</v>
      </c>
      <c r="AB98" s="122">
        <f>+SUMIFS('Listas y Parametros'!$C$42:$L$42,'Listas y Parametros'!$C$35:$L$35,'Gantt Proyectos'!AC98)*J98</f>
        <v>0.5</v>
      </c>
      <c r="AC98" s="152" t="s">
        <v>76</v>
      </c>
      <c r="AD98" s="123" t="s">
        <v>3</v>
      </c>
      <c r="AE98" s="123" t="s">
        <v>70</v>
      </c>
      <c r="AF98" s="332">
        <f t="shared" ref="AF98:AN139" si="49">IFERROR(IF(AND(AF$96&gt;=$O98,AF$96-29&lt;=$U98-1),1,0)/$Q98+IF($R98="Si",IF(AND(AF$96&gt;=$T98,AF$96-29&lt;=$P98-1),1,0),0)/$Q98,0)*$J98</f>
        <v>0.5</v>
      </c>
      <c r="AG98" s="665">
        <f t="shared" si="46"/>
        <v>0</v>
      </c>
      <c r="AH98" s="665">
        <f t="shared" si="46"/>
        <v>0</v>
      </c>
      <c r="AI98" s="665">
        <f t="shared" si="46"/>
        <v>0</v>
      </c>
      <c r="AJ98" s="665">
        <f t="shared" si="46"/>
        <v>0</v>
      </c>
      <c r="AK98" s="665">
        <f t="shared" si="46"/>
        <v>0</v>
      </c>
      <c r="AL98" s="665">
        <f t="shared" si="46"/>
        <v>0</v>
      </c>
      <c r="AM98" s="665">
        <f t="shared" si="46"/>
        <v>0</v>
      </c>
      <c r="AN98" s="666">
        <f t="shared" si="46"/>
        <v>0</v>
      </c>
    </row>
    <row r="99" spans="2:49" ht="15" x14ac:dyDescent="0.2">
      <c r="B99" s="117" t="s">
        <v>293</v>
      </c>
      <c r="C99" s="117">
        <f t="shared" ref="C99:C162" si="50">+C98+1</f>
        <v>3</v>
      </c>
      <c r="D99" s="140" t="s">
        <v>294</v>
      </c>
      <c r="E99" s="118" t="s">
        <v>292</v>
      </c>
      <c r="F99" s="146" t="s">
        <v>41</v>
      </c>
      <c r="G99" s="118" t="s">
        <v>41</v>
      </c>
      <c r="H99" s="118"/>
      <c r="I99" s="118" t="s">
        <v>75</v>
      </c>
      <c r="J99" s="118">
        <f>+IF(AND(AD99=Dashboard!$DN$8,Dashboard!$DN$9=1),Dashboard!J13,0)+IF(AND(AD99=Dashboard!$DO$8,Dashboard!$DO$9=1),Dashboard!J13,0)+IF(AND(AD99=Dashboard!$DP$8,Dashboard!$DP$9=1),Dashboard!J13,0)</f>
        <v>1</v>
      </c>
      <c r="K99" s="118" t="s">
        <v>295</v>
      </c>
      <c r="L99" s="306">
        <f>+_xlfn.XLOOKUP(B99,'[2]Proyectos (NO FILTRAR)'!$B:$B,'[2]Proyectos (NO FILTRAR)'!$O:$O,"!",0,1)</f>
        <v>254012</v>
      </c>
      <c r="M99" s="316">
        <f>+_xlfn.XLOOKUP(B99,'[3]POM 2025'!$A:$A,'[3]POM 2025'!$L:$L,"!",0,1)</f>
        <v>0</v>
      </c>
      <c r="N99" s="565">
        <v>1</v>
      </c>
      <c r="O99" s="119">
        <v>45635</v>
      </c>
      <c r="P99" s="119">
        <v>45754</v>
      </c>
      <c r="Q99" s="611">
        <f t="shared" si="47"/>
        <v>4</v>
      </c>
      <c r="R99" s="118" t="s">
        <v>77</v>
      </c>
      <c r="S99" s="118"/>
      <c r="T99" s="156">
        <v>45635</v>
      </c>
      <c r="U99" s="156">
        <v>45754</v>
      </c>
      <c r="V99" s="611">
        <f t="shared" si="48"/>
        <v>4</v>
      </c>
      <c r="W99" s="121">
        <f>+SUMIFS('Listas y Parametros'!$C$44:$L$44,'Listas y Parametros'!$C$35:$L$35,'Gantt Proyectos'!AC99)*J99*'EDP Proyectado'!Q31</f>
        <v>1.4474272930648768</v>
      </c>
      <c r="X99" s="122">
        <f>+SUMIFS('Listas y Parametros'!$C$38:$L$38,'Listas y Parametros'!$C$35:$L$35,'Gantt Proyectos'!AC99)*J99</f>
        <v>0.33</v>
      </c>
      <c r="Y99" s="122">
        <f>+SUMIFS('Listas y Parametros'!$C$39:$L$39,'Listas y Parametros'!$C$35:$L$35,'Gantt Proyectos'!AC99)*J99</f>
        <v>0.5</v>
      </c>
      <c r="Z99" s="122">
        <f>+SUMIFS('Listas y Parametros'!$C$40:$L$40,'Listas y Parametros'!$C$35:$L$35,'Gantt Proyectos'!AC99)*J99</f>
        <v>0.33</v>
      </c>
      <c r="AA99" s="122">
        <f>+SUMIFS('Listas y Parametros'!$C$41:$L$41,'Listas y Parametros'!$C$35:$L$35,'Gantt Proyectos'!AC99)*J99</f>
        <v>1</v>
      </c>
      <c r="AB99" s="122">
        <f>+SUMIFS('Listas y Parametros'!$C$42:$L$42,'Listas y Parametros'!$C$35:$L$35,'Gantt Proyectos'!AC99)*J99</f>
        <v>1</v>
      </c>
      <c r="AC99" s="152" t="s">
        <v>80</v>
      </c>
      <c r="AD99" s="123" t="s">
        <v>3</v>
      </c>
      <c r="AE99" s="123" t="s">
        <v>70</v>
      </c>
      <c r="AF99" s="332">
        <f t="shared" si="49"/>
        <v>0.25</v>
      </c>
      <c r="AG99" s="665">
        <f t="shared" si="46"/>
        <v>0</v>
      </c>
      <c r="AH99" s="665">
        <f t="shared" si="46"/>
        <v>0</v>
      </c>
      <c r="AI99" s="665">
        <f t="shared" si="46"/>
        <v>0</v>
      </c>
      <c r="AJ99" s="665">
        <f t="shared" si="46"/>
        <v>0</v>
      </c>
      <c r="AK99" s="665">
        <f t="shared" si="46"/>
        <v>0</v>
      </c>
      <c r="AL99" s="665">
        <f t="shared" si="46"/>
        <v>0</v>
      </c>
      <c r="AM99" s="665">
        <f t="shared" si="46"/>
        <v>0</v>
      </c>
      <c r="AN99" s="666">
        <f t="shared" si="46"/>
        <v>0</v>
      </c>
    </row>
    <row r="100" spans="2:49" ht="15" x14ac:dyDescent="0.2">
      <c r="B100" s="117" t="s">
        <v>296</v>
      </c>
      <c r="C100" s="117">
        <f t="shared" si="50"/>
        <v>4</v>
      </c>
      <c r="D100" s="140" t="s">
        <v>297</v>
      </c>
      <c r="E100" s="118" t="s">
        <v>298</v>
      </c>
      <c r="F100" s="146" t="s">
        <v>41</v>
      </c>
      <c r="G100" s="118" t="s">
        <v>41</v>
      </c>
      <c r="H100" s="118" t="s">
        <v>44</v>
      </c>
      <c r="I100" s="118" t="s">
        <v>71</v>
      </c>
      <c r="J100" s="118">
        <f>+IF(AND(AD100=Dashboard!$DN$8,Dashboard!$DN$9=1),Dashboard!J14,0)+IF(AND(AD100=Dashboard!$DO$8,Dashboard!$DO$9=1),Dashboard!J14,0)+IF(AND(AD100=Dashboard!$DP$8,Dashboard!$DP$9=1),Dashboard!J14,0)</f>
        <v>1</v>
      </c>
      <c r="K100" s="118" t="s">
        <v>295</v>
      </c>
      <c r="L100" s="306">
        <f>+_xlfn.XLOOKUP(B100,'[2]Proyectos (NO FILTRAR)'!$B:$B,'[2]Proyectos (NO FILTRAR)'!$O:$O,"!",0,1)</f>
        <v>132000</v>
      </c>
      <c r="M100" s="316">
        <f>+_xlfn.XLOOKUP(B100,'[3]POM 2025'!$A:$A,'[3]POM 2025'!$L:$L,"!",0,1)</f>
        <v>0</v>
      </c>
      <c r="N100" s="565">
        <v>1</v>
      </c>
      <c r="O100" s="119">
        <v>45719</v>
      </c>
      <c r="P100" s="119">
        <v>45803</v>
      </c>
      <c r="Q100" s="611">
        <f t="shared" si="47"/>
        <v>3</v>
      </c>
      <c r="R100" s="118" t="s">
        <v>77</v>
      </c>
      <c r="S100" s="118"/>
      <c r="T100" s="156">
        <v>45719</v>
      </c>
      <c r="U100" s="156">
        <v>45803</v>
      </c>
      <c r="V100" s="611">
        <f t="shared" si="48"/>
        <v>3</v>
      </c>
      <c r="W100" s="121">
        <f>+SUMIFS('Listas y Parametros'!$C$44:$L$44,'Listas y Parametros'!$C$35:$L$35,'Gantt Proyectos'!AC100)*J100*'EDP Proyectado'!Q32</f>
        <v>0.72035794183445179</v>
      </c>
      <c r="X100" s="122">
        <f>+SUMIFS('Listas y Parametros'!$C$38:$L$38,'Listas y Parametros'!$C$35:$L$35,'Gantt Proyectos'!AC100)*J100</f>
        <v>0.25</v>
      </c>
      <c r="Y100" s="122">
        <f>+SUMIFS('Listas y Parametros'!$C$39:$L$39,'Listas y Parametros'!$C$35:$L$35,'Gantt Proyectos'!AC100)*J100</f>
        <v>0.33</v>
      </c>
      <c r="Z100" s="122">
        <f>+SUMIFS('Listas y Parametros'!$C$40:$L$40,'Listas y Parametros'!$C$35:$L$35,'Gantt Proyectos'!AC100)*J100</f>
        <v>0</v>
      </c>
      <c r="AA100" s="122">
        <f>+SUMIFS('Listas y Parametros'!$C$41:$L$41,'Listas y Parametros'!$C$35:$L$35,'Gantt Proyectos'!AC100)*J100</f>
        <v>0.5</v>
      </c>
      <c r="AB100" s="122">
        <f>+SUMIFS('Listas y Parametros'!$C$42:$L$42,'Listas y Parametros'!$C$35:$L$35,'Gantt Proyectos'!AC100)*J100</f>
        <v>0.5</v>
      </c>
      <c r="AC100" s="152" t="s">
        <v>72</v>
      </c>
      <c r="AD100" s="123" t="s">
        <v>3</v>
      </c>
      <c r="AE100" s="123" t="s">
        <v>70</v>
      </c>
      <c r="AF100" s="332">
        <f t="shared" si="49"/>
        <v>0.33333333333333331</v>
      </c>
      <c r="AG100" s="665">
        <f t="shared" si="46"/>
        <v>0.33333333333333331</v>
      </c>
      <c r="AH100" s="665">
        <f t="shared" si="46"/>
        <v>0</v>
      </c>
      <c r="AI100" s="665">
        <f t="shared" si="46"/>
        <v>0</v>
      </c>
      <c r="AJ100" s="665">
        <f t="shared" si="46"/>
        <v>0</v>
      </c>
      <c r="AK100" s="665">
        <f t="shared" si="46"/>
        <v>0</v>
      </c>
      <c r="AL100" s="665">
        <f t="shared" si="46"/>
        <v>0</v>
      </c>
      <c r="AM100" s="665">
        <f t="shared" si="46"/>
        <v>0</v>
      </c>
      <c r="AN100" s="666">
        <f t="shared" si="46"/>
        <v>0</v>
      </c>
    </row>
    <row r="101" spans="2:49" ht="15" x14ac:dyDescent="0.2">
      <c r="B101" s="117" t="s">
        <v>299</v>
      </c>
      <c r="C101" s="117">
        <f t="shared" si="50"/>
        <v>5</v>
      </c>
      <c r="D101" s="140" t="s">
        <v>300</v>
      </c>
      <c r="E101" s="118" t="s">
        <v>288</v>
      </c>
      <c r="F101" s="146" t="s">
        <v>41</v>
      </c>
      <c r="G101" s="118" t="s">
        <v>41</v>
      </c>
      <c r="H101" s="118"/>
      <c r="I101" s="118" t="s">
        <v>71</v>
      </c>
      <c r="J101" s="118">
        <f>+IF(AND(AD101=Dashboard!$DN$8,Dashboard!$DN$9=1),Dashboard!J15,0)+IF(AND(AD101=Dashboard!$DO$8,Dashboard!$DO$9=1),Dashboard!J15,0)+IF(AND(AD101=Dashboard!$DP$8,Dashboard!$DP$9=1),Dashboard!J15,0)</f>
        <v>1</v>
      </c>
      <c r="K101" s="118" t="s">
        <v>289</v>
      </c>
      <c r="L101" s="306">
        <f>+_xlfn.XLOOKUP(B101,'[2]Proyectos (NO FILTRAR)'!$B:$B,'[2]Proyectos (NO FILTRAR)'!$O:$O,"!",0,1)</f>
        <v>121038.49</v>
      </c>
      <c r="M101" s="316">
        <f>+_xlfn.XLOOKUP(B101,'[3]POM 2025'!$A:$A,'[3]POM 2025'!$L:$L,"!",0,1)</f>
        <v>0</v>
      </c>
      <c r="N101" s="565">
        <v>1</v>
      </c>
      <c r="O101" s="119">
        <v>45579</v>
      </c>
      <c r="P101" s="119">
        <v>45754</v>
      </c>
      <c r="Q101" s="611">
        <f t="shared" si="47"/>
        <v>6</v>
      </c>
      <c r="R101" s="118" t="s">
        <v>77</v>
      </c>
      <c r="S101" s="118"/>
      <c r="T101" s="156">
        <v>45579</v>
      </c>
      <c r="U101" s="156">
        <v>45754</v>
      </c>
      <c r="V101" s="611">
        <f t="shared" si="48"/>
        <v>6</v>
      </c>
      <c r="W101" s="121">
        <f>+SUMIFS('Listas y Parametros'!$C$44:$L$44,'Listas y Parametros'!$C$35:$L$35,'Gantt Proyectos'!AC101)*J101*'EDP Proyectado'!Q33</f>
        <v>2.1588366890380311</v>
      </c>
      <c r="X101" s="122">
        <f>+SUMIFS('Listas y Parametros'!$C$38:$L$38,'Listas y Parametros'!$C$35:$L$35,'Gantt Proyectos'!AC101)*J101</f>
        <v>0.5</v>
      </c>
      <c r="Y101" s="122">
        <f>+SUMIFS('Listas y Parametros'!$C$39:$L$39,'Listas y Parametros'!$C$35:$L$35,'Gantt Proyectos'!AC101)*J101</f>
        <v>0.5</v>
      </c>
      <c r="Z101" s="122">
        <f>+SUMIFS('Listas y Parametros'!$C$40:$L$40,'Listas y Parametros'!$C$35:$L$35,'Gantt Proyectos'!AC101)*J101</f>
        <v>0.75</v>
      </c>
      <c r="AA101" s="122">
        <f>+SUMIFS('Listas y Parametros'!$C$41:$L$41,'Listas y Parametros'!$C$35:$L$35,'Gantt Proyectos'!AC101)*J101</f>
        <v>2</v>
      </c>
      <c r="AB101" s="122">
        <f>+SUMIFS('Listas y Parametros'!$C$42:$L$42,'Listas y Parametros'!$C$35:$L$35,'Gantt Proyectos'!AC101)*J101</f>
        <v>1</v>
      </c>
      <c r="AC101" s="152" t="s">
        <v>82</v>
      </c>
      <c r="AD101" s="123" t="s">
        <v>3</v>
      </c>
      <c r="AE101" s="123" t="s">
        <v>74</v>
      </c>
      <c r="AF101" s="332">
        <f t="shared" si="49"/>
        <v>0.16666666666666666</v>
      </c>
      <c r="AG101" s="665">
        <f t="shared" si="46"/>
        <v>0</v>
      </c>
      <c r="AH101" s="665">
        <f t="shared" si="46"/>
        <v>0</v>
      </c>
      <c r="AI101" s="665">
        <f t="shared" si="46"/>
        <v>0</v>
      </c>
      <c r="AJ101" s="665">
        <f t="shared" si="46"/>
        <v>0</v>
      </c>
      <c r="AK101" s="665">
        <f t="shared" si="46"/>
        <v>0</v>
      </c>
      <c r="AL101" s="665">
        <f t="shared" si="46"/>
        <v>0</v>
      </c>
      <c r="AM101" s="665">
        <f t="shared" si="46"/>
        <v>0</v>
      </c>
      <c r="AN101" s="666">
        <f t="shared" si="46"/>
        <v>0</v>
      </c>
    </row>
    <row r="102" spans="2:49" ht="15" x14ac:dyDescent="0.2">
      <c r="B102" s="117" t="s">
        <v>301</v>
      </c>
      <c r="C102" s="117">
        <f t="shared" si="50"/>
        <v>6</v>
      </c>
      <c r="D102" s="140" t="s">
        <v>302</v>
      </c>
      <c r="E102" s="118" t="s">
        <v>288</v>
      </c>
      <c r="F102" s="146" t="s">
        <v>41</v>
      </c>
      <c r="G102" s="118" t="s">
        <v>41</v>
      </c>
      <c r="H102" s="118"/>
      <c r="I102" s="118" t="s">
        <v>75</v>
      </c>
      <c r="J102" s="118">
        <f>+IF(AND(AD102=Dashboard!$DN$8,Dashboard!$DN$9=1),Dashboard!J16,0)+IF(AND(AD102=Dashboard!$DO$8,Dashboard!$DO$9=1),Dashboard!J16,0)+IF(AND(AD102=Dashboard!$DP$8,Dashboard!$DP$9=1),Dashboard!J16,0)</f>
        <v>1</v>
      </c>
      <c r="K102" s="118" t="s">
        <v>303</v>
      </c>
      <c r="L102" s="306">
        <f>+_xlfn.XLOOKUP(B102,'[2]Proyectos (NO FILTRAR)'!$B:$B,'[2]Proyectos (NO FILTRAR)'!$O:$O,"!",0,1)</f>
        <v>900007.88</v>
      </c>
      <c r="M102" s="316">
        <f>+_xlfn.XLOOKUP(B102,'[3]POM 2025'!$A:$A,'[3]POM 2025'!$L:$L,"!",0,1)</f>
        <v>530757</v>
      </c>
      <c r="N102" s="565">
        <v>1</v>
      </c>
      <c r="O102" s="119">
        <v>45446</v>
      </c>
      <c r="P102" s="119">
        <v>45754</v>
      </c>
      <c r="Q102" s="611">
        <f t="shared" si="47"/>
        <v>11</v>
      </c>
      <c r="R102" s="118" t="s">
        <v>77</v>
      </c>
      <c r="S102" s="118"/>
      <c r="T102" s="156">
        <v>45446</v>
      </c>
      <c r="U102" s="156">
        <v>45754</v>
      </c>
      <c r="V102" s="611">
        <f t="shared" si="48"/>
        <v>11</v>
      </c>
      <c r="W102" s="121">
        <f>+SUMIFS('Listas y Parametros'!$C$44:$L$44,'Listas y Parametros'!$C$35:$L$35,'Gantt Proyectos'!AC102)*J102*'EDP Proyectado'!Q34</f>
        <v>2.5503355704697985</v>
      </c>
      <c r="X102" s="122">
        <f>+SUMIFS('Listas y Parametros'!$C$38:$L$38,'Listas y Parametros'!$C$35:$L$35,'Gantt Proyectos'!AC102)*J102</f>
        <v>0.5</v>
      </c>
      <c r="Y102" s="122">
        <f>+SUMIFS('Listas y Parametros'!$C$39:$L$39,'Listas y Parametros'!$C$35:$L$35,'Gantt Proyectos'!AC102)*J102</f>
        <v>0.67</v>
      </c>
      <c r="Z102" s="122">
        <f>+SUMIFS('Listas y Parametros'!$C$40:$L$40,'Listas y Parametros'!$C$35:$L$35,'Gantt Proyectos'!AC102)*J102</f>
        <v>1</v>
      </c>
      <c r="AA102" s="122">
        <f>+SUMIFS('Listas y Parametros'!$C$41:$L$41,'Listas y Parametros'!$C$35:$L$35,'Gantt Proyectos'!AC102)*J102</f>
        <v>2.5</v>
      </c>
      <c r="AB102" s="122">
        <f>+SUMIFS('Listas y Parametros'!$C$42:$L$42,'Listas y Parametros'!$C$35:$L$35,'Gantt Proyectos'!AC102)*J102</f>
        <v>1</v>
      </c>
      <c r="AC102" s="152" t="s">
        <v>84</v>
      </c>
      <c r="AD102" s="123" t="s">
        <v>3</v>
      </c>
      <c r="AE102" s="123" t="s">
        <v>74</v>
      </c>
      <c r="AF102" s="332">
        <f t="shared" si="49"/>
        <v>9.0909090909090912E-2</v>
      </c>
      <c r="AG102" s="665">
        <f t="shared" si="46"/>
        <v>0</v>
      </c>
      <c r="AH102" s="665">
        <f t="shared" si="46"/>
        <v>0</v>
      </c>
      <c r="AI102" s="665">
        <f t="shared" si="46"/>
        <v>0</v>
      </c>
      <c r="AJ102" s="665">
        <f t="shared" si="46"/>
        <v>0</v>
      </c>
      <c r="AK102" s="665">
        <f t="shared" si="46"/>
        <v>0</v>
      </c>
      <c r="AL102" s="665">
        <f t="shared" si="46"/>
        <v>0</v>
      </c>
      <c r="AM102" s="665">
        <f t="shared" si="46"/>
        <v>0</v>
      </c>
      <c r="AN102" s="666">
        <f t="shared" si="46"/>
        <v>0</v>
      </c>
    </row>
    <row r="103" spans="2:49" ht="15" x14ac:dyDescent="0.2">
      <c r="B103" s="117" t="s">
        <v>304</v>
      </c>
      <c r="C103" s="117">
        <f t="shared" si="50"/>
        <v>7</v>
      </c>
      <c r="D103" s="140" t="s">
        <v>305</v>
      </c>
      <c r="E103" s="118" t="s">
        <v>306</v>
      </c>
      <c r="F103" s="146" t="s">
        <v>41</v>
      </c>
      <c r="G103" s="118" t="s">
        <v>41</v>
      </c>
      <c r="H103" s="118" t="s">
        <v>44</v>
      </c>
      <c r="I103" s="118" t="s">
        <v>71</v>
      </c>
      <c r="J103" s="118">
        <f>+IF(AND(AD103=Dashboard!$DN$8,Dashboard!$DN$9=1),Dashboard!J17,0)+IF(AND(AD103=Dashboard!$DO$8,Dashboard!$DO$9=1),Dashboard!J17,0)+IF(AND(AD103=Dashboard!$DP$8,Dashboard!$DP$9=1),Dashboard!J17,0)</f>
        <v>1</v>
      </c>
      <c r="K103" s="118" t="s">
        <v>307</v>
      </c>
      <c r="L103" s="306">
        <f>+_xlfn.XLOOKUP(B103,'[2]Proyectos (NO FILTRAR)'!$B:$B,'[2]Proyectos (NO FILTRAR)'!$O:$O,"!",0,1)</f>
        <v>272200.59999999998</v>
      </c>
      <c r="M103" s="316">
        <f>+_xlfn.XLOOKUP(B103,'[3]POM 2025'!$A:$A,'[3]POM 2025'!$L:$L,"!",0,1)</f>
        <v>2841972.1688888888</v>
      </c>
      <c r="N103" s="565">
        <v>2</v>
      </c>
      <c r="O103" s="119">
        <v>45663</v>
      </c>
      <c r="P103" s="119">
        <v>45754</v>
      </c>
      <c r="Q103" s="611">
        <f t="shared" si="47"/>
        <v>3</v>
      </c>
      <c r="R103" s="118" t="s">
        <v>77</v>
      </c>
      <c r="S103" s="118"/>
      <c r="T103" s="156">
        <v>45663</v>
      </c>
      <c r="U103" s="156">
        <v>45754</v>
      </c>
      <c r="V103" s="611">
        <f t="shared" si="48"/>
        <v>3</v>
      </c>
      <c r="W103" s="121">
        <f>+SUMIFS('Listas y Parametros'!$C$44:$L$44,'Listas y Parametros'!$C$35:$L$35,'Gantt Proyectos'!AC103)*J103*'EDP Proyectado'!Q35</f>
        <v>0.72035794183445179</v>
      </c>
      <c r="X103" s="122">
        <f>+SUMIFS('Listas y Parametros'!$C$38:$L$38,'Listas y Parametros'!$C$35:$L$35,'Gantt Proyectos'!AC103)*J103</f>
        <v>0.25</v>
      </c>
      <c r="Y103" s="122">
        <f>+SUMIFS('Listas y Parametros'!$C$39:$L$39,'Listas y Parametros'!$C$35:$L$35,'Gantt Proyectos'!AC103)*J103</f>
        <v>0.33</v>
      </c>
      <c r="Z103" s="122">
        <f>+SUMIFS('Listas y Parametros'!$C$40:$L$40,'Listas y Parametros'!$C$35:$L$35,'Gantt Proyectos'!AC103)*J103</f>
        <v>0</v>
      </c>
      <c r="AA103" s="122">
        <f>+SUMIFS('Listas y Parametros'!$C$41:$L$41,'Listas y Parametros'!$C$35:$L$35,'Gantt Proyectos'!AC103)*J103</f>
        <v>0.5</v>
      </c>
      <c r="AB103" s="122">
        <f>+SUMIFS('Listas y Parametros'!$C$42:$L$42,'Listas y Parametros'!$C$35:$L$35,'Gantt Proyectos'!AC103)*J103</f>
        <v>0.5</v>
      </c>
      <c r="AC103" s="152" t="s">
        <v>72</v>
      </c>
      <c r="AD103" s="123" t="s">
        <v>3</v>
      </c>
      <c r="AE103" s="123" t="s">
        <v>74</v>
      </c>
      <c r="AF103" s="332">
        <f t="shared" si="49"/>
        <v>0.33333333333333331</v>
      </c>
      <c r="AG103" s="665">
        <f t="shared" si="46"/>
        <v>0</v>
      </c>
      <c r="AH103" s="665">
        <f t="shared" si="46"/>
        <v>0</v>
      </c>
      <c r="AI103" s="665">
        <f t="shared" si="46"/>
        <v>0</v>
      </c>
      <c r="AJ103" s="665">
        <f t="shared" si="46"/>
        <v>0</v>
      </c>
      <c r="AK103" s="665">
        <f t="shared" si="46"/>
        <v>0</v>
      </c>
      <c r="AL103" s="665">
        <f t="shared" si="46"/>
        <v>0</v>
      </c>
      <c r="AM103" s="665">
        <f t="shared" si="46"/>
        <v>0</v>
      </c>
      <c r="AN103" s="666">
        <f t="shared" si="46"/>
        <v>0</v>
      </c>
    </row>
    <row r="104" spans="2:49" ht="15" x14ac:dyDescent="0.2">
      <c r="B104" s="117" t="s">
        <v>308</v>
      </c>
      <c r="C104" s="117">
        <f t="shared" si="50"/>
        <v>8</v>
      </c>
      <c r="D104" s="565" t="s">
        <v>309</v>
      </c>
      <c r="E104" s="118" t="s">
        <v>310</v>
      </c>
      <c r="F104" s="146" t="s">
        <v>44</v>
      </c>
      <c r="G104" s="118" t="s">
        <v>41</v>
      </c>
      <c r="H104" s="118" t="s">
        <v>44</v>
      </c>
      <c r="I104" s="118" t="s">
        <v>75</v>
      </c>
      <c r="J104" s="118">
        <f>+IF(AND(AD104=Dashboard!$DN$8,Dashboard!$DN$9=1),Dashboard!J18,0)+IF(AND(AD104=Dashboard!$DO$8,Dashboard!$DO$9=1),Dashboard!J18,0)+IF(AND(AD104=Dashboard!$DP$8,Dashboard!$DP$9=1),Dashboard!J18,0)</f>
        <v>1</v>
      </c>
      <c r="K104" s="118" t="s">
        <v>303</v>
      </c>
      <c r="L104" s="306">
        <f>+_xlfn.XLOOKUP(B104,'[2]Proyectos (NO FILTRAR)'!$B:$B,'[2]Proyectos (NO FILTRAR)'!$O:$O,"!",0,1)</f>
        <v>87520</v>
      </c>
      <c r="M104" s="316">
        <f>+_xlfn.XLOOKUP(B104,'[3]POM 2025'!$A:$A,'[3]POM 2025'!$L:$L,"!",0,1)</f>
        <v>0</v>
      </c>
      <c r="N104" s="565">
        <v>2</v>
      </c>
      <c r="O104" s="119">
        <v>45649</v>
      </c>
      <c r="P104" s="119">
        <v>45815</v>
      </c>
      <c r="Q104" s="611">
        <f t="shared" si="47"/>
        <v>6</v>
      </c>
      <c r="R104" s="118" t="s">
        <v>77</v>
      </c>
      <c r="S104" s="118"/>
      <c r="T104" s="156">
        <v>45649</v>
      </c>
      <c r="U104" s="156">
        <v>45815</v>
      </c>
      <c r="V104" s="611">
        <f t="shared" si="48"/>
        <v>6</v>
      </c>
      <c r="W104" s="121">
        <f>+SUMIFS('Listas y Parametros'!$C$44:$L$44,'Listas y Parametros'!$C$35:$L$35,'Gantt Proyectos'!AC104)*J104*'EDP Proyectado'!Q36</f>
        <v>0.72035794183445179</v>
      </c>
      <c r="X104" s="122">
        <f>+SUMIFS('Listas y Parametros'!$C$38:$L$38,'Listas y Parametros'!$C$35:$L$35,'Gantt Proyectos'!AC104)*J104</f>
        <v>0.25</v>
      </c>
      <c r="Y104" s="122">
        <f>+SUMIFS('Listas y Parametros'!$C$39:$L$39,'Listas y Parametros'!$C$35:$L$35,'Gantt Proyectos'!AC104)*J104</f>
        <v>0.33</v>
      </c>
      <c r="Z104" s="122">
        <f>+SUMIFS('Listas y Parametros'!$C$40:$L$40,'Listas y Parametros'!$C$35:$L$35,'Gantt Proyectos'!AC104)*J104</f>
        <v>0</v>
      </c>
      <c r="AA104" s="122">
        <f>+SUMIFS('Listas y Parametros'!$C$41:$L$41,'Listas y Parametros'!$C$35:$L$35,'Gantt Proyectos'!AC104)*J104</f>
        <v>0.5</v>
      </c>
      <c r="AB104" s="122">
        <f>+SUMIFS('Listas y Parametros'!$C$42:$L$42,'Listas y Parametros'!$C$35:$L$35,'Gantt Proyectos'!AC104)*J104</f>
        <v>0.5</v>
      </c>
      <c r="AC104" s="152" t="s">
        <v>72</v>
      </c>
      <c r="AD104" s="123" t="s">
        <v>3</v>
      </c>
      <c r="AE104" s="123" t="s">
        <v>78</v>
      </c>
      <c r="AF104" s="332">
        <f t="shared" si="49"/>
        <v>0.16666666666666666</v>
      </c>
      <c r="AG104" s="665">
        <f t="shared" si="46"/>
        <v>0.16666666666666666</v>
      </c>
      <c r="AH104" s="665">
        <f t="shared" si="46"/>
        <v>0.16666666666666666</v>
      </c>
      <c r="AI104" s="665">
        <f t="shared" si="46"/>
        <v>0</v>
      </c>
      <c r="AJ104" s="665">
        <f t="shared" si="46"/>
        <v>0</v>
      </c>
      <c r="AK104" s="665">
        <f t="shared" si="46"/>
        <v>0</v>
      </c>
      <c r="AL104" s="665">
        <f t="shared" si="46"/>
        <v>0</v>
      </c>
      <c r="AM104" s="665">
        <f t="shared" si="46"/>
        <v>0</v>
      </c>
      <c r="AN104" s="666">
        <f t="shared" si="46"/>
        <v>0</v>
      </c>
    </row>
    <row r="105" spans="2:49" ht="15" x14ac:dyDescent="0.2">
      <c r="B105" s="117" t="s">
        <v>311</v>
      </c>
      <c r="C105" s="117">
        <f t="shared" si="50"/>
        <v>9</v>
      </c>
      <c r="D105" s="118" t="s">
        <v>312</v>
      </c>
      <c r="E105" s="118" t="s">
        <v>298</v>
      </c>
      <c r="F105" s="146" t="s">
        <v>46</v>
      </c>
      <c r="G105" s="118" t="s">
        <v>44</v>
      </c>
      <c r="H105" s="118"/>
      <c r="I105" s="118" t="s">
        <v>75</v>
      </c>
      <c r="J105" s="118">
        <f>+IF(AND(AD105=Dashboard!$DN$8,Dashboard!$DN$9=1),Dashboard!J19,0)+IF(AND(AD105=Dashboard!$DO$8,Dashboard!$DO$9=1),Dashboard!J19,0)+IF(AND(AD105=Dashboard!$DP$8,Dashboard!$DP$9=1),Dashboard!J19,0)</f>
        <v>1</v>
      </c>
      <c r="K105" s="118" t="s">
        <v>313</v>
      </c>
      <c r="L105" s="306">
        <f>+_xlfn.XLOOKUP(B105,'[2]Proyectos (NO FILTRAR)'!$B:$B,'[2]Proyectos (NO FILTRAR)'!$O:$O,"!",0,1)</f>
        <v>481541</v>
      </c>
      <c r="M105" s="316">
        <f>+_xlfn.XLOOKUP(B105,'[3]POM 2025'!$A:$A,'[3]POM 2025'!$L:$L,"!",0,1)</f>
        <v>1108886.5899999999</v>
      </c>
      <c r="N105" s="565">
        <v>1</v>
      </c>
      <c r="O105" s="119">
        <v>45600</v>
      </c>
      <c r="P105" s="119">
        <v>45771</v>
      </c>
      <c r="Q105" s="611">
        <f t="shared" si="47"/>
        <v>6</v>
      </c>
      <c r="R105" s="118" t="s">
        <v>77</v>
      </c>
      <c r="S105" s="118"/>
      <c r="T105" s="156">
        <v>45600</v>
      </c>
      <c r="U105" s="156">
        <v>45771</v>
      </c>
      <c r="V105" s="611">
        <f t="shared" si="48"/>
        <v>6</v>
      </c>
      <c r="W105" s="121">
        <f>+SUMIFS('Listas y Parametros'!$C$44:$L$44,'Listas y Parametros'!$C$35:$L$35,'Gantt Proyectos'!AC105)*J105*'EDP Proyectado'!Q37</f>
        <v>2.1588366890380311</v>
      </c>
      <c r="X105" s="122">
        <f>+SUMIFS('Listas y Parametros'!$C$38:$L$38,'Listas y Parametros'!$C$35:$L$35,'Gantt Proyectos'!AC105)*J105</f>
        <v>0.5</v>
      </c>
      <c r="Y105" s="122">
        <f>+SUMIFS('Listas y Parametros'!$C$39:$L$39,'Listas y Parametros'!$C$35:$L$35,'Gantt Proyectos'!AC105)*J105</f>
        <v>0.5</v>
      </c>
      <c r="Z105" s="122">
        <f>+SUMIFS('Listas y Parametros'!$C$40:$L$40,'Listas y Parametros'!$C$35:$L$35,'Gantt Proyectos'!AC105)*J105</f>
        <v>0.75</v>
      </c>
      <c r="AA105" s="122">
        <f>+SUMIFS('Listas y Parametros'!$C$41:$L$41,'Listas y Parametros'!$C$35:$L$35,'Gantt Proyectos'!AC105)*J105</f>
        <v>2</v>
      </c>
      <c r="AB105" s="122">
        <f>+SUMIFS('Listas y Parametros'!$C$42:$L$42,'Listas y Parametros'!$C$35:$L$35,'Gantt Proyectos'!AC105)*J105</f>
        <v>1</v>
      </c>
      <c r="AC105" s="152" t="s">
        <v>82</v>
      </c>
      <c r="AD105" s="123" t="s">
        <v>3</v>
      </c>
      <c r="AE105" s="123" t="s">
        <v>78</v>
      </c>
      <c r="AF105" s="332">
        <f t="shared" si="49"/>
        <v>0.16666666666666666</v>
      </c>
      <c r="AG105" s="665">
        <f>IFERROR(IF(AND(AG$96&gt;=$O105,AG$96-29&lt;=$U105-1),1,0)/$Q105+IF($R105="Si",IF(AND(AG$96&gt;=$T105,AG$96-29&lt;=$P105-1),1,0),0)/$Q105,0)*$J105</f>
        <v>0</v>
      </c>
      <c r="AH105" s="665">
        <f t="shared" si="46"/>
        <v>0</v>
      </c>
      <c r="AI105" s="665">
        <f t="shared" si="46"/>
        <v>0</v>
      </c>
      <c r="AJ105" s="665">
        <f t="shared" si="46"/>
        <v>0</v>
      </c>
      <c r="AK105" s="665">
        <f t="shared" si="46"/>
        <v>0</v>
      </c>
      <c r="AL105" s="665">
        <f t="shared" si="46"/>
        <v>0</v>
      </c>
      <c r="AM105" s="665">
        <f t="shared" si="46"/>
        <v>0</v>
      </c>
      <c r="AN105" s="666">
        <f t="shared" si="46"/>
        <v>0</v>
      </c>
    </row>
    <row r="106" spans="2:49" ht="15" x14ac:dyDescent="0.2">
      <c r="B106" s="117" t="s">
        <v>314</v>
      </c>
      <c r="C106" s="117">
        <f t="shared" si="50"/>
        <v>10</v>
      </c>
      <c r="D106" s="118" t="s">
        <v>315</v>
      </c>
      <c r="E106" s="118" t="s">
        <v>316</v>
      </c>
      <c r="F106" s="146" t="s">
        <v>45</v>
      </c>
      <c r="G106" s="118" t="s">
        <v>41</v>
      </c>
      <c r="H106" s="118"/>
      <c r="I106" s="118" t="s">
        <v>75</v>
      </c>
      <c r="J106" s="118">
        <f>+IF(AND(AD106=Dashboard!$DN$8,Dashboard!$DN$9=1),Dashboard!J20,0)+IF(AND(AD106=Dashboard!$DO$8,Dashboard!$DO$9=1),Dashboard!J20,0)+IF(AND(AD106=Dashboard!$DP$8,Dashboard!$DP$9=1),Dashboard!J20,0)</f>
        <v>1</v>
      </c>
      <c r="K106" s="118" t="s">
        <v>317</v>
      </c>
      <c r="L106" s="306">
        <f>+_xlfn.XLOOKUP(B106,'[2]Proyectos (NO FILTRAR)'!$B:$B,'[2]Proyectos (NO FILTRAR)'!$O:$O,"!",0,1)</f>
        <v>310000</v>
      </c>
      <c r="M106" s="316">
        <f>+_xlfn.XLOOKUP(B106,'[3]POM 2025'!$A:$A,'[3]POM 2025'!$L:$L,"!",0,1)</f>
        <v>86592</v>
      </c>
      <c r="N106" s="565">
        <v>1</v>
      </c>
      <c r="O106" s="119">
        <v>45642</v>
      </c>
      <c r="P106" s="119">
        <v>45824</v>
      </c>
      <c r="Q106" s="611">
        <f t="shared" si="47"/>
        <v>6</v>
      </c>
      <c r="R106" s="118" t="s">
        <v>77</v>
      </c>
      <c r="S106" s="118"/>
      <c r="T106" s="156">
        <v>45642</v>
      </c>
      <c r="U106" s="156">
        <v>45824</v>
      </c>
      <c r="V106" s="611">
        <f t="shared" si="48"/>
        <v>6</v>
      </c>
      <c r="W106" s="121">
        <f>+SUMIFS('Listas y Parametros'!$C$44:$L$44,'Listas y Parametros'!$C$35:$L$35,'Gantt Proyectos'!AC106)*J106*'EDP Proyectado'!Q38</f>
        <v>1.4474272930648768</v>
      </c>
      <c r="X106" s="122">
        <f>+SUMIFS('Listas y Parametros'!$C$38:$L$38,'Listas y Parametros'!$C$35:$L$35,'Gantt Proyectos'!AC106)*J106</f>
        <v>0.33</v>
      </c>
      <c r="Y106" s="122">
        <f>+SUMIFS('Listas y Parametros'!$C$39:$L$39,'Listas y Parametros'!$C$35:$L$35,'Gantt Proyectos'!AC106)*J106</f>
        <v>0.5</v>
      </c>
      <c r="Z106" s="122">
        <f>+SUMIFS('Listas y Parametros'!$C$40:$L$40,'Listas y Parametros'!$C$35:$L$35,'Gantt Proyectos'!AC106)*J106</f>
        <v>0.33</v>
      </c>
      <c r="AA106" s="122">
        <f>+SUMIFS('Listas y Parametros'!$C$41:$L$41,'Listas y Parametros'!$C$35:$L$35,'Gantt Proyectos'!AC106)*J106</f>
        <v>1</v>
      </c>
      <c r="AB106" s="122">
        <f>+SUMIFS('Listas y Parametros'!$C$42:$L$42,'Listas y Parametros'!$C$35:$L$35,'Gantt Proyectos'!AC106)*J106</f>
        <v>1</v>
      </c>
      <c r="AC106" s="152" t="s">
        <v>80</v>
      </c>
      <c r="AD106" s="123" t="s">
        <v>3</v>
      </c>
      <c r="AE106" s="123" t="s">
        <v>78</v>
      </c>
      <c r="AF106" s="332">
        <f t="shared" si="49"/>
        <v>0.16666666666666666</v>
      </c>
      <c r="AG106" s="665">
        <f t="shared" si="46"/>
        <v>0.16666666666666666</v>
      </c>
      <c r="AH106" s="665">
        <f t="shared" si="46"/>
        <v>0.16666666666666666</v>
      </c>
      <c r="AI106" s="665">
        <f t="shared" si="46"/>
        <v>0</v>
      </c>
      <c r="AJ106" s="665">
        <f t="shared" si="46"/>
        <v>0</v>
      </c>
      <c r="AK106" s="665">
        <f t="shared" si="46"/>
        <v>0</v>
      </c>
      <c r="AL106" s="665">
        <f t="shared" si="46"/>
        <v>0</v>
      </c>
      <c r="AM106" s="665">
        <f t="shared" si="46"/>
        <v>0</v>
      </c>
      <c r="AN106" s="666">
        <f t="shared" si="46"/>
        <v>0</v>
      </c>
    </row>
    <row r="107" spans="2:49" ht="15" x14ac:dyDescent="0.2">
      <c r="B107" s="117" t="s">
        <v>318</v>
      </c>
      <c r="C107" s="117">
        <f t="shared" si="50"/>
        <v>11</v>
      </c>
      <c r="D107" s="118" t="s">
        <v>319</v>
      </c>
      <c r="E107" s="118" t="s">
        <v>320</v>
      </c>
      <c r="F107" s="146" t="s">
        <v>44</v>
      </c>
      <c r="G107" s="118" t="s">
        <v>41</v>
      </c>
      <c r="H107" s="118" t="s">
        <v>44</v>
      </c>
      <c r="I107" s="118" t="s">
        <v>75</v>
      </c>
      <c r="J107" s="118">
        <f>+IF(AND(AD107=Dashboard!$DN$8,Dashboard!$DN$9=1),Dashboard!J21,0)+IF(AND(AD107=Dashboard!$DO$8,Dashboard!$DO$9=1),Dashboard!J21,0)+IF(AND(AD107=Dashboard!$DP$8,Dashboard!$DP$9=1),Dashboard!J21,0)</f>
        <v>1</v>
      </c>
      <c r="K107" s="118" t="s">
        <v>321</v>
      </c>
      <c r="L107" s="306">
        <f>+_xlfn.XLOOKUP(B107,'[2]Proyectos (NO FILTRAR)'!$B:$B,'[2]Proyectos (NO FILTRAR)'!$O:$O,"!",0,1)</f>
        <v>295769</v>
      </c>
      <c r="M107" s="316">
        <f>+_xlfn.XLOOKUP(B107,'[3]POM 2025'!$A:$A,'[3]POM 2025'!$L:$L,"!",0,1)</f>
        <v>11920</v>
      </c>
      <c r="N107" s="565">
        <v>1</v>
      </c>
      <c r="O107" s="119">
        <v>45670</v>
      </c>
      <c r="P107" s="119">
        <v>45866</v>
      </c>
      <c r="Q107" s="611">
        <f t="shared" si="47"/>
        <v>7</v>
      </c>
      <c r="R107" s="118" t="s">
        <v>77</v>
      </c>
      <c r="S107" s="118"/>
      <c r="T107" s="156">
        <v>45670</v>
      </c>
      <c r="U107" s="156">
        <v>45866</v>
      </c>
      <c r="V107" s="611">
        <f t="shared" si="48"/>
        <v>7</v>
      </c>
      <c r="W107" s="121">
        <f>+SUMIFS('Listas y Parametros'!$C$44:$L$44,'Listas y Parametros'!$C$35:$L$35,'Gantt Proyectos'!AC107)*J107*'EDP Proyectado'!Q39</f>
        <v>2.1588366890380311</v>
      </c>
      <c r="X107" s="122">
        <f>+SUMIFS('Listas y Parametros'!$C$38:$L$38,'Listas y Parametros'!$C$35:$L$35,'Gantt Proyectos'!AC107)*J107</f>
        <v>0.5</v>
      </c>
      <c r="Y107" s="122">
        <f>+SUMIFS('Listas y Parametros'!$C$39:$L$39,'Listas y Parametros'!$C$35:$L$35,'Gantt Proyectos'!AC107)*J107</f>
        <v>0.5</v>
      </c>
      <c r="Z107" s="122">
        <f>+SUMIFS('Listas y Parametros'!$C$40:$L$40,'Listas y Parametros'!$C$35:$L$35,'Gantt Proyectos'!AC107)*J107</f>
        <v>0.75</v>
      </c>
      <c r="AA107" s="122">
        <f>+SUMIFS('Listas y Parametros'!$C$41:$L$41,'Listas y Parametros'!$C$35:$L$35,'Gantt Proyectos'!AC107)*J107</f>
        <v>2</v>
      </c>
      <c r="AB107" s="122">
        <f>+SUMIFS('Listas y Parametros'!$C$42:$L$42,'Listas y Parametros'!$C$35:$L$35,'Gantt Proyectos'!AC107)*J107</f>
        <v>1</v>
      </c>
      <c r="AC107" s="152" t="s">
        <v>82</v>
      </c>
      <c r="AD107" s="123" t="s">
        <v>3</v>
      </c>
      <c r="AE107" s="123" t="s">
        <v>81</v>
      </c>
      <c r="AF107" s="332">
        <f t="shared" si="49"/>
        <v>0.14285714285714285</v>
      </c>
      <c r="AG107" s="665">
        <f t="shared" si="46"/>
        <v>0.14285714285714285</v>
      </c>
      <c r="AH107" s="665">
        <f t="shared" si="46"/>
        <v>0.14285714285714285</v>
      </c>
      <c r="AI107" s="665">
        <f t="shared" si="46"/>
        <v>0.14285714285714285</v>
      </c>
      <c r="AJ107" s="665">
        <f t="shared" si="46"/>
        <v>0</v>
      </c>
      <c r="AK107" s="665">
        <f t="shared" si="46"/>
        <v>0</v>
      </c>
      <c r="AL107" s="665">
        <f t="shared" si="46"/>
        <v>0</v>
      </c>
      <c r="AM107" s="665">
        <f t="shared" si="46"/>
        <v>0</v>
      </c>
      <c r="AN107" s="666">
        <f t="shared" si="46"/>
        <v>0</v>
      </c>
    </row>
    <row r="108" spans="2:49" ht="15" x14ac:dyDescent="0.2">
      <c r="B108" s="117" t="s">
        <v>322</v>
      </c>
      <c r="C108" s="117">
        <f t="shared" si="50"/>
        <v>12</v>
      </c>
      <c r="D108" s="118" t="s">
        <v>323</v>
      </c>
      <c r="E108" s="118" t="s">
        <v>324</v>
      </c>
      <c r="F108" s="146" t="s">
        <v>41</v>
      </c>
      <c r="G108" s="118" t="s">
        <v>41</v>
      </c>
      <c r="H108" s="118"/>
      <c r="I108" s="118" t="s">
        <v>71</v>
      </c>
      <c r="J108" s="118">
        <f>+IF(AND(AD108=Dashboard!$DN$8,Dashboard!$DN$9=1),Dashboard!J22,0)+IF(AND(AD108=Dashboard!$DO$8,Dashboard!$DO$9=1),Dashboard!J22,0)+IF(AND(AD108=Dashboard!$DP$8,Dashboard!$DP$9=1),Dashboard!J22,0)</f>
        <v>1</v>
      </c>
      <c r="K108" s="118" t="s">
        <v>325</v>
      </c>
      <c r="L108" s="306">
        <f>+_xlfn.XLOOKUP(B108,'[2]Proyectos (NO FILTRAR)'!$B:$B,'[2]Proyectos (NO FILTRAR)'!$O:$O,"!",0,1)</f>
        <v>134445.66999999998</v>
      </c>
      <c r="M108" s="316">
        <f>+_xlfn.XLOOKUP(B108,'[3]POM 2025'!$A:$A,'[3]POM 2025'!$L:$L,"!",0,1)</f>
        <v>0</v>
      </c>
      <c r="N108" s="565">
        <v>1</v>
      </c>
      <c r="O108" s="119">
        <v>45649</v>
      </c>
      <c r="P108" s="119">
        <v>46020</v>
      </c>
      <c r="Q108" s="611">
        <f t="shared" si="47"/>
        <v>13</v>
      </c>
      <c r="R108" s="118" t="s">
        <v>77</v>
      </c>
      <c r="S108" s="118"/>
      <c r="T108" s="156">
        <v>45649</v>
      </c>
      <c r="U108" s="156">
        <v>46020</v>
      </c>
      <c r="V108" s="611">
        <f t="shared" si="48"/>
        <v>13</v>
      </c>
      <c r="W108" s="121">
        <f>+SUMIFS('Listas y Parametros'!$C$44:$L$44,'Listas y Parametros'!$C$35:$L$35,'Gantt Proyectos'!AC108)*J108*'EDP Proyectado'!Q40</f>
        <v>1.4474272930648768</v>
      </c>
      <c r="X108" s="122">
        <f>+SUMIFS('Listas y Parametros'!$C$38:$L$38,'Listas y Parametros'!$C$35:$L$35,'Gantt Proyectos'!AC108)*J108</f>
        <v>0.33</v>
      </c>
      <c r="Y108" s="122">
        <f>+SUMIFS('Listas y Parametros'!$C$39:$L$39,'Listas y Parametros'!$C$35:$L$35,'Gantt Proyectos'!AC108)*J108</f>
        <v>0.5</v>
      </c>
      <c r="Z108" s="122">
        <f>+SUMIFS('Listas y Parametros'!$C$40:$L$40,'Listas y Parametros'!$C$35:$L$35,'Gantt Proyectos'!AC108)*J108</f>
        <v>0.33</v>
      </c>
      <c r="AA108" s="122">
        <f>+SUMIFS('Listas y Parametros'!$C$41:$L$41,'Listas y Parametros'!$C$35:$L$35,'Gantt Proyectos'!AC108)*J108</f>
        <v>1</v>
      </c>
      <c r="AB108" s="122">
        <f>+SUMIFS('Listas y Parametros'!$C$42:$L$42,'Listas y Parametros'!$C$35:$L$35,'Gantt Proyectos'!AC108)*J108</f>
        <v>1</v>
      </c>
      <c r="AC108" s="152" t="s">
        <v>80</v>
      </c>
      <c r="AD108" s="123" t="s">
        <v>3</v>
      </c>
      <c r="AE108" s="123" t="s">
        <v>81</v>
      </c>
      <c r="AF108" s="332">
        <f t="shared" si="49"/>
        <v>7.6923076923076927E-2</v>
      </c>
      <c r="AG108" s="665">
        <f>IFERROR(IF(AND(AG$96&gt;=$O108,AG$96-29&lt;=$U108-1),1,0)/$Q108+IF($R108="Si",IF(AND(AG$96&gt;=$T108,AG$96-29&lt;=$P108-1),1,0),0)/$Q108,0)*$J108</f>
        <v>7.6923076923076927E-2</v>
      </c>
      <c r="AH108" s="665">
        <f t="shared" si="46"/>
        <v>7.6923076923076927E-2</v>
      </c>
      <c r="AI108" s="665">
        <f t="shared" si="46"/>
        <v>7.6923076923076927E-2</v>
      </c>
      <c r="AJ108" s="665">
        <f t="shared" si="46"/>
        <v>7.6923076923076927E-2</v>
      </c>
      <c r="AK108" s="665">
        <f t="shared" si="46"/>
        <v>7.6923076923076927E-2</v>
      </c>
      <c r="AL108" s="665">
        <f t="shared" si="46"/>
        <v>7.6923076923076927E-2</v>
      </c>
      <c r="AM108" s="665">
        <f t="shared" si="46"/>
        <v>7.6923076923076927E-2</v>
      </c>
      <c r="AN108" s="666">
        <f t="shared" si="46"/>
        <v>7.6923076923076927E-2</v>
      </c>
      <c r="AP108" s="110">
        <v>7.6923076923076927E-2</v>
      </c>
      <c r="AQ108" s="110">
        <v>7.6923076923076927E-2</v>
      </c>
      <c r="AR108" s="110">
        <v>7.6923076923076927E-2</v>
      </c>
      <c r="AS108" s="110">
        <v>7.6923076923076927E-2</v>
      </c>
      <c r="AT108" s="110">
        <v>7.6923076923076927E-2</v>
      </c>
      <c r="AU108" s="110">
        <v>7.6923076923076927E-2</v>
      </c>
      <c r="AV108" s="110">
        <v>7.6923076923076927E-2</v>
      </c>
      <c r="AW108" s="110">
        <v>7.6923076923076927E-2</v>
      </c>
    </row>
    <row r="109" spans="2:49" ht="15" x14ac:dyDescent="0.2">
      <c r="B109" s="117" t="s">
        <v>326</v>
      </c>
      <c r="C109" s="117">
        <f t="shared" si="50"/>
        <v>13</v>
      </c>
      <c r="D109" s="118" t="s">
        <v>327</v>
      </c>
      <c r="E109" s="118" t="s">
        <v>292</v>
      </c>
      <c r="F109" s="146" t="s">
        <v>41</v>
      </c>
      <c r="G109" s="118" t="s">
        <v>41</v>
      </c>
      <c r="H109" s="118"/>
      <c r="I109" s="118" t="s">
        <v>71</v>
      </c>
      <c r="J109" s="118">
        <f>+IF(AND(AD109=Dashboard!$DN$8,Dashboard!$DN$9=1),Dashboard!J23,0)+IF(AND(AD109=Dashboard!$DO$8,Dashboard!$DO$9=1),Dashboard!J23,0)+IF(AND(AD109=Dashboard!$DP$8,Dashboard!$DP$9=1),Dashboard!J23,0)</f>
        <v>1</v>
      </c>
      <c r="K109" s="118" t="s">
        <v>303</v>
      </c>
      <c r="L109" s="306">
        <f>+_xlfn.XLOOKUP(B109,'[2]Proyectos (NO FILTRAR)'!$B:$B,'[2]Proyectos (NO FILTRAR)'!$O:$O,"!",0,1)</f>
        <v>904853</v>
      </c>
      <c r="M109" s="316">
        <f>+_xlfn.XLOOKUP(B109,'[3]POM 2025'!$A:$A,'[3]POM 2025'!$L:$L,"!",0,1)</f>
        <v>469229.57888888888</v>
      </c>
      <c r="N109" s="565">
        <v>1</v>
      </c>
      <c r="O109" s="119">
        <v>45649</v>
      </c>
      <c r="P109" s="119">
        <v>45831</v>
      </c>
      <c r="Q109" s="611">
        <f t="shared" si="47"/>
        <v>6</v>
      </c>
      <c r="R109" s="118" t="s">
        <v>77</v>
      </c>
      <c r="S109" s="118"/>
      <c r="T109" s="156">
        <v>45649</v>
      </c>
      <c r="U109" s="156">
        <v>45831</v>
      </c>
      <c r="V109" s="611">
        <f t="shared" si="48"/>
        <v>6</v>
      </c>
      <c r="W109" s="121">
        <f>+SUMIFS('Listas y Parametros'!$C$44:$L$44,'Listas y Parametros'!$C$35:$L$35,'Gantt Proyectos'!AC109)*J109*'EDP Proyectado'!Q41</f>
        <v>2.5503355704697985</v>
      </c>
      <c r="X109" s="122">
        <f>+SUMIFS('Listas y Parametros'!$C$38:$L$38,'Listas y Parametros'!$C$35:$L$35,'Gantt Proyectos'!AC109)*J109</f>
        <v>0.5</v>
      </c>
      <c r="Y109" s="122">
        <f>+SUMIFS('Listas y Parametros'!$C$39:$L$39,'Listas y Parametros'!$C$35:$L$35,'Gantt Proyectos'!AC109)*J109</f>
        <v>0.67</v>
      </c>
      <c r="Z109" s="122">
        <f>+SUMIFS('Listas y Parametros'!$C$40:$L$40,'Listas y Parametros'!$C$35:$L$35,'Gantt Proyectos'!AC109)*J109</f>
        <v>1</v>
      </c>
      <c r="AA109" s="122">
        <f>+SUMIFS('Listas y Parametros'!$C$41:$L$41,'Listas y Parametros'!$C$35:$L$35,'Gantt Proyectos'!AC109)*J109</f>
        <v>2.5</v>
      </c>
      <c r="AB109" s="122">
        <f>+SUMIFS('Listas y Parametros'!$C$42:$L$42,'Listas y Parametros'!$C$35:$L$35,'Gantt Proyectos'!AC109)*J109</f>
        <v>1</v>
      </c>
      <c r="AC109" s="152" t="s">
        <v>84</v>
      </c>
      <c r="AD109" s="123" t="s">
        <v>3</v>
      </c>
      <c r="AE109" s="123" t="s">
        <v>81</v>
      </c>
      <c r="AF109" s="332">
        <f t="shared" si="49"/>
        <v>0.16666666666666666</v>
      </c>
      <c r="AG109" s="665">
        <f t="shared" si="46"/>
        <v>0.16666666666666666</v>
      </c>
      <c r="AH109" s="665">
        <f t="shared" si="46"/>
        <v>0.16666666666666666</v>
      </c>
      <c r="AI109" s="665">
        <f t="shared" si="46"/>
        <v>0</v>
      </c>
      <c r="AJ109" s="665">
        <f t="shared" si="46"/>
        <v>0</v>
      </c>
      <c r="AK109" s="665">
        <f t="shared" si="46"/>
        <v>0</v>
      </c>
      <c r="AL109" s="665">
        <f t="shared" si="46"/>
        <v>0</v>
      </c>
      <c r="AM109" s="665">
        <f t="shared" si="46"/>
        <v>0</v>
      </c>
      <c r="AN109" s="666">
        <f t="shared" si="46"/>
        <v>0</v>
      </c>
    </row>
    <row r="110" spans="2:49" ht="15" x14ac:dyDescent="0.2">
      <c r="B110" s="117" t="s">
        <v>328</v>
      </c>
      <c r="C110" s="117">
        <f t="shared" si="50"/>
        <v>14</v>
      </c>
      <c r="D110" s="118" t="s">
        <v>329</v>
      </c>
      <c r="E110" s="118" t="s">
        <v>330</v>
      </c>
      <c r="F110" s="146" t="s">
        <v>41</v>
      </c>
      <c r="G110" s="118" t="s">
        <v>41</v>
      </c>
      <c r="H110" s="118"/>
      <c r="I110" s="118" t="s">
        <v>71</v>
      </c>
      <c r="J110" s="118">
        <f>+IF(AND(AD110=Dashboard!$DN$8,Dashboard!$DN$9=1),Dashboard!J24,0)+IF(AND(AD110=Dashboard!$DO$8,Dashboard!$DO$9=1),Dashboard!J24,0)+IF(AND(AD110=Dashboard!$DP$8,Dashboard!$DP$9=1),Dashboard!J24,0)</f>
        <v>1</v>
      </c>
      <c r="K110" s="118" t="s">
        <v>289</v>
      </c>
      <c r="L110" s="306">
        <f>+_xlfn.XLOOKUP(B110,'[2]Proyectos (NO FILTRAR)'!$B:$B,'[2]Proyectos (NO FILTRAR)'!$O:$O,"!",0,1)</f>
        <v>62417</v>
      </c>
      <c r="M110" s="316">
        <f>+_xlfn.XLOOKUP(B110,'[3]POM 2025'!$A:$A,'[3]POM 2025'!$L:$L,"!",0,1)</f>
        <v>0</v>
      </c>
      <c r="N110" s="565">
        <v>2</v>
      </c>
      <c r="O110" s="119">
        <v>45719</v>
      </c>
      <c r="P110" s="119">
        <v>45782</v>
      </c>
      <c r="Q110" s="611">
        <f t="shared" si="47"/>
        <v>3</v>
      </c>
      <c r="R110" s="118" t="s">
        <v>77</v>
      </c>
      <c r="S110" s="118"/>
      <c r="T110" s="156">
        <v>45719</v>
      </c>
      <c r="U110" s="156">
        <v>45782</v>
      </c>
      <c r="V110" s="611">
        <f t="shared" si="48"/>
        <v>3</v>
      </c>
      <c r="W110" s="121">
        <f>+SUMIFS('Listas y Parametros'!$C$44:$L$44,'Listas y Parametros'!$C$35:$L$35,'Gantt Proyectos'!AC110)*J110*'EDP Proyectado'!Q42</f>
        <v>0.72035794183445179</v>
      </c>
      <c r="X110" s="122">
        <f>+SUMIFS('Listas y Parametros'!$C$38:$L$38,'Listas y Parametros'!$C$35:$L$35,'Gantt Proyectos'!AC110)*J110</f>
        <v>0.25</v>
      </c>
      <c r="Y110" s="122">
        <f>+SUMIFS('Listas y Parametros'!$C$39:$L$39,'Listas y Parametros'!$C$35:$L$35,'Gantt Proyectos'!AC110)*J110</f>
        <v>0.33</v>
      </c>
      <c r="Z110" s="122">
        <f>+SUMIFS('Listas y Parametros'!$C$40:$L$40,'Listas y Parametros'!$C$35:$L$35,'Gantt Proyectos'!AC110)*J110</f>
        <v>0</v>
      </c>
      <c r="AA110" s="122">
        <f>+SUMIFS('Listas y Parametros'!$C$41:$L$41,'Listas y Parametros'!$C$35:$L$35,'Gantt Proyectos'!AC110)*J110</f>
        <v>0.5</v>
      </c>
      <c r="AB110" s="122">
        <f>+SUMIFS('Listas y Parametros'!$C$42:$L$42,'Listas y Parametros'!$C$35:$L$35,'Gantt Proyectos'!AC110)*J110</f>
        <v>0.5</v>
      </c>
      <c r="AC110" s="152" t="s">
        <v>76</v>
      </c>
      <c r="AD110" s="123" t="s">
        <v>3</v>
      </c>
      <c r="AE110" s="123" t="s">
        <v>81</v>
      </c>
      <c r="AF110" s="332">
        <f t="shared" si="49"/>
        <v>0.33333333333333331</v>
      </c>
      <c r="AG110" s="665">
        <f t="shared" si="46"/>
        <v>0.33333333333333331</v>
      </c>
      <c r="AH110" s="665">
        <f t="shared" si="46"/>
        <v>0</v>
      </c>
      <c r="AI110" s="665">
        <f t="shared" si="46"/>
        <v>0</v>
      </c>
      <c r="AJ110" s="665">
        <f t="shared" si="46"/>
        <v>0</v>
      </c>
      <c r="AK110" s="665">
        <f t="shared" si="46"/>
        <v>0</v>
      </c>
      <c r="AL110" s="665">
        <f t="shared" si="46"/>
        <v>0</v>
      </c>
      <c r="AM110" s="665">
        <f t="shared" si="46"/>
        <v>0</v>
      </c>
      <c r="AN110" s="666">
        <f t="shared" si="46"/>
        <v>0</v>
      </c>
    </row>
    <row r="111" spans="2:49" ht="15" x14ac:dyDescent="0.2">
      <c r="B111" s="117" t="s">
        <v>331</v>
      </c>
      <c r="C111" s="117">
        <f t="shared" si="50"/>
        <v>15</v>
      </c>
      <c r="D111" s="118" t="s">
        <v>332</v>
      </c>
      <c r="E111" s="118" t="s">
        <v>330</v>
      </c>
      <c r="F111" s="146" t="s">
        <v>41</v>
      </c>
      <c r="G111" s="118" t="s">
        <v>41</v>
      </c>
      <c r="H111" s="118"/>
      <c r="I111" s="118" t="s">
        <v>71</v>
      </c>
      <c r="J111" s="118">
        <f>+IF(AND(AD111=Dashboard!$DN$8,Dashboard!$DN$9=1),Dashboard!J25,0)+IF(AND(AD111=Dashboard!$DO$8,Dashboard!$DO$9=1),Dashboard!J25,0)+IF(AND(AD111=Dashboard!$DP$8,Dashboard!$DP$9=1),Dashboard!J25,0)</f>
        <v>1</v>
      </c>
      <c r="K111" s="118" t="s">
        <v>303</v>
      </c>
      <c r="L111" s="306">
        <f>+_xlfn.XLOOKUP(B111,'[2]Proyectos (NO FILTRAR)'!$B:$B,'[2]Proyectos (NO FILTRAR)'!$O:$O,"!",0,1)</f>
        <v>183430</v>
      </c>
      <c r="M111" s="316">
        <f>+_xlfn.XLOOKUP(B111,'[3]POM 2025'!$A:$A,'[3]POM 2025'!$L:$L,"!",0,1)</f>
        <v>0</v>
      </c>
      <c r="N111" s="565">
        <v>1</v>
      </c>
      <c r="O111" s="119">
        <v>45719</v>
      </c>
      <c r="P111" s="119">
        <v>45838</v>
      </c>
      <c r="Q111" s="611">
        <f t="shared" si="47"/>
        <v>4</v>
      </c>
      <c r="R111" s="118" t="s">
        <v>77</v>
      </c>
      <c r="S111" s="118"/>
      <c r="T111" s="156">
        <v>45719</v>
      </c>
      <c r="U111" s="156">
        <v>45838</v>
      </c>
      <c r="V111" s="611">
        <f t="shared" si="48"/>
        <v>4</v>
      </c>
      <c r="W111" s="121">
        <f>+SUMIFS('Listas y Parametros'!$C$44:$L$44,'Listas y Parametros'!$C$35:$L$35,'Gantt Proyectos'!AC111)*J111*'EDP Proyectado'!Q43</f>
        <v>0.72035794183445179</v>
      </c>
      <c r="X111" s="122">
        <f>+SUMIFS('Listas y Parametros'!$C$38:$L$38,'Listas y Parametros'!$C$35:$L$35,'Gantt Proyectos'!AC111)*J111</f>
        <v>0.25</v>
      </c>
      <c r="Y111" s="122">
        <f>+SUMIFS('Listas y Parametros'!$C$39:$L$39,'Listas y Parametros'!$C$35:$L$35,'Gantt Proyectos'!AC111)*J111</f>
        <v>0.33</v>
      </c>
      <c r="Z111" s="122">
        <f>+SUMIFS('Listas y Parametros'!$C$40:$L$40,'Listas y Parametros'!$C$35:$L$35,'Gantt Proyectos'!AC111)*J111</f>
        <v>0</v>
      </c>
      <c r="AA111" s="122">
        <f>+SUMIFS('Listas y Parametros'!$C$41:$L$41,'Listas y Parametros'!$C$35:$L$35,'Gantt Proyectos'!AC111)*J111</f>
        <v>0.5</v>
      </c>
      <c r="AB111" s="122">
        <f>+SUMIFS('Listas y Parametros'!$C$42:$L$42,'Listas y Parametros'!$C$35:$L$35,'Gantt Proyectos'!AC111)*J111</f>
        <v>0.5</v>
      </c>
      <c r="AC111" s="152" t="s">
        <v>72</v>
      </c>
      <c r="AD111" s="123" t="s">
        <v>3</v>
      </c>
      <c r="AE111" s="123" t="s">
        <v>81</v>
      </c>
      <c r="AF111" s="332">
        <f t="shared" si="49"/>
        <v>0.25</v>
      </c>
      <c r="AG111" s="665">
        <f t="shared" si="46"/>
        <v>0.25</v>
      </c>
      <c r="AH111" s="665">
        <f t="shared" si="46"/>
        <v>0.25</v>
      </c>
      <c r="AI111" s="665">
        <f t="shared" si="46"/>
        <v>0</v>
      </c>
      <c r="AJ111" s="665">
        <f t="shared" si="46"/>
        <v>0</v>
      </c>
      <c r="AK111" s="665">
        <f t="shared" si="46"/>
        <v>0</v>
      </c>
      <c r="AL111" s="665">
        <f t="shared" si="46"/>
        <v>0</v>
      </c>
      <c r="AM111" s="665">
        <f t="shared" si="46"/>
        <v>0</v>
      </c>
      <c r="AN111" s="666">
        <f t="shared" si="46"/>
        <v>0</v>
      </c>
    </row>
    <row r="112" spans="2:49" ht="15" x14ac:dyDescent="0.2">
      <c r="B112" s="117" t="s">
        <v>333</v>
      </c>
      <c r="C112" s="117">
        <f t="shared" si="50"/>
        <v>16</v>
      </c>
      <c r="D112" s="118" t="s">
        <v>334</v>
      </c>
      <c r="E112" s="118" t="s">
        <v>335</v>
      </c>
      <c r="F112" s="146" t="s">
        <v>44</v>
      </c>
      <c r="G112" s="118" t="s">
        <v>41</v>
      </c>
      <c r="H112" s="118" t="s">
        <v>44</v>
      </c>
      <c r="I112" s="118" t="s">
        <v>75</v>
      </c>
      <c r="J112" s="118">
        <f>+IF(AND(AD112=Dashboard!$DN$8,Dashboard!$DN$9=1),Dashboard!J26,0)+IF(AND(AD112=Dashboard!$DO$8,Dashboard!$DO$9=1),Dashboard!J26,0)+IF(AND(AD112=Dashboard!$DP$8,Dashboard!$DP$9=1),Dashboard!J26,0)</f>
        <v>1</v>
      </c>
      <c r="K112" s="118" t="s">
        <v>303</v>
      </c>
      <c r="L112" s="306">
        <f>+_xlfn.XLOOKUP(B112,'[2]Proyectos (NO FILTRAR)'!$B:$B,'[2]Proyectos (NO FILTRAR)'!$O:$O,"!",0,1)</f>
        <v>248031</v>
      </c>
      <c r="M112" s="316">
        <f>+_xlfn.XLOOKUP(B112,'[3]POM 2025'!$A:$A,'[3]POM 2025'!$L:$L,"!",0,1)</f>
        <v>0</v>
      </c>
      <c r="N112" s="565">
        <v>2</v>
      </c>
      <c r="O112" s="119">
        <v>45691</v>
      </c>
      <c r="P112" s="119">
        <v>45789</v>
      </c>
      <c r="Q112" s="611">
        <f t="shared" si="47"/>
        <v>4</v>
      </c>
      <c r="R112" s="118" t="s">
        <v>77</v>
      </c>
      <c r="S112" s="118"/>
      <c r="T112" s="156">
        <v>45691</v>
      </c>
      <c r="U112" s="156">
        <v>45789</v>
      </c>
      <c r="V112" s="611">
        <f t="shared" si="48"/>
        <v>4</v>
      </c>
      <c r="W112" s="121">
        <f>+SUMIFS('Listas y Parametros'!$C$44:$L$44,'Listas y Parametros'!$C$35:$L$35,'Gantt Proyectos'!AC112)*J112*'EDP Proyectado'!Q44</f>
        <v>0.97986577181208034</v>
      </c>
      <c r="X112" s="122">
        <f>+SUMIFS('Listas y Parametros'!$C$38:$L$38,'Listas y Parametros'!$C$35:$L$35,'Gantt Proyectos'!AC112)*J112</f>
        <v>0.33</v>
      </c>
      <c r="Y112" s="122">
        <f>+SUMIFS('Listas y Parametros'!$C$39:$L$39,'Listas y Parametros'!$C$35:$L$35,'Gantt Proyectos'!AC112)*J112</f>
        <v>0.33</v>
      </c>
      <c r="Z112" s="122">
        <f>+SUMIFS('Listas y Parametros'!$C$40:$L$40,'Listas y Parametros'!$C$35:$L$35,'Gantt Proyectos'!AC112)*J112</f>
        <v>0.5</v>
      </c>
      <c r="AA112" s="122">
        <f>+SUMIFS('Listas y Parametros'!$C$41:$L$41,'Listas y Parametros'!$C$35:$L$35,'Gantt Proyectos'!AC112)*J112</f>
        <v>1</v>
      </c>
      <c r="AB112" s="122">
        <f>+SUMIFS('Listas y Parametros'!$C$42:$L$42,'Listas y Parametros'!$C$35:$L$35,'Gantt Proyectos'!AC112)*J112</f>
        <v>0</v>
      </c>
      <c r="AC112" s="152" t="s">
        <v>86</v>
      </c>
      <c r="AD112" s="123" t="s">
        <v>3</v>
      </c>
      <c r="AE112" s="123" t="s">
        <v>83</v>
      </c>
      <c r="AF112" s="332">
        <f t="shared" si="49"/>
        <v>0.25</v>
      </c>
      <c r="AG112" s="665">
        <f t="shared" si="46"/>
        <v>0.25</v>
      </c>
      <c r="AH112" s="665">
        <f t="shared" si="46"/>
        <v>0</v>
      </c>
      <c r="AI112" s="665">
        <f t="shared" si="46"/>
        <v>0</v>
      </c>
      <c r="AJ112" s="665">
        <f t="shared" si="46"/>
        <v>0</v>
      </c>
      <c r="AK112" s="665">
        <f t="shared" si="46"/>
        <v>0</v>
      </c>
      <c r="AL112" s="665">
        <f t="shared" si="46"/>
        <v>0</v>
      </c>
      <c r="AM112" s="665">
        <f t="shared" si="46"/>
        <v>0</v>
      </c>
      <c r="AN112" s="666">
        <f t="shared" si="46"/>
        <v>0</v>
      </c>
    </row>
    <row r="113" spans="1:44" ht="15" x14ac:dyDescent="0.2">
      <c r="B113" s="117" t="s">
        <v>336</v>
      </c>
      <c r="C113" s="117">
        <f t="shared" si="50"/>
        <v>17</v>
      </c>
      <c r="D113" s="118" t="s">
        <v>337</v>
      </c>
      <c r="E113" s="118" t="s">
        <v>338</v>
      </c>
      <c r="F113" s="146" t="s">
        <v>45</v>
      </c>
      <c r="G113" s="118" t="s">
        <v>44</v>
      </c>
      <c r="H113" s="118" t="s">
        <v>41</v>
      </c>
      <c r="I113" s="118" t="s">
        <v>75</v>
      </c>
      <c r="J113" s="118">
        <f>+IF(AND(AD113=Dashboard!$DN$8,Dashboard!$DN$9=1),Dashboard!J27,0)+IF(AND(AD113=Dashboard!$DO$8,Dashboard!$DO$9=1),Dashboard!J27,0)+IF(AND(AD113=Dashboard!$DP$8,Dashboard!$DP$9=1),Dashboard!J27,0)</f>
        <v>1</v>
      </c>
      <c r="K113" s="118" t="s">
        <v>339</v>
      </c>
      <c r="L113" s="306">
        <f>+_xlfn.XLOOKUP(B113,'[2]Proyectos (NO FILTRAR)'!$B:$B,'[2]Proyectos (NO FILTRAR)'!$O:$O,"!",0,1)</f>
        <v>330410</v>
      </c>
      <c r="M113" s="316">
        <f>+_xlfn.XLOOKUP(B113,'[3]POM 2025'!$A:$A,'[3]POM 2025'!$L:$L,"!",0,1)</f>
        <v>0</v>
      </c>
      <c r="N113" s="565">
        <v>3</v>
      </c>
      <c r="O113" s="119">
        <v>45600</v>
      </c>
      <c r="P113" s="119">
        <v>45838</v>
      </c>
      <c r="Q113" s="611">
        <f t="shared" si="47"/>
        <v>8</v>
      </c>
      <c r="R113" s="118" t="s">
        <v>77</v>
      </c>
      <c r="S113" s="118"/>
      <c r="T113" s="156">
        <v>45600</v>
      </c>
      <c r="U113" s="156">
        <v>45838</v>
      </c>
      <c r="V113" s="611">
        <f t="shared" si="48"/>
        <v>8</v>
      </c>
      <c r="W113" s="121">
        <f>+SUMIFS('Listas y Parametros'!$C$44:$L$44,'Listas y Parametros'!$C$35:$L$35,'Gantt Proyectos'!AC113)*J113*'EDP Proyectado'!Q45</f>
        <v>1.4474272930648768</v>
      </c>
      <c r="X113" s="122">
        <f>+SUMIFS('Listas y Parametros'!$C$38:$L$38,'Listas y Parametros'!$C$35:$L$35,'Gantt Proyectos'!AC113)*J113</f>
        <v>0.33</v>
      </c>
      <c r="Y113" s="122">
        <f>+SUMIFS('Listas y Parametros'!$C$39:$L$39,'Listas y Parametros'!$C$35:$L$35,'Gantt Proyectos'!AC113)*J113</f>
        <v>0.5</v>
      </c>
      <c r="Z113" s="122">
        <f>+SUMIFS('Listas y Parametros'!$C$40:$L$40,'Listas y Parametros'!$C$35:$L$35,'Gantt Proyectos'!AC113)*J113</f>
        <v>0.33</v>
      </c>
      <c r="AA113" s="122">
        <f>+SUMIFS('Listas y Parametros'!$C$41:$L$41,'Listas y Parametros'!$C$35:$L$35,'Gantt Proyectos'!AC113)*J113</f>
        <v>1</v>
      </c>
      <c r="AB113" s="122">
        <f>+SUMIFS('Listas y Parametros'!$C$42:$L$42,'Listas y Parametros'!$C$35:$L$35,'Gantt Proyectos'!AC113)*J113</f>
        <v>1</v>
      </c>
      <c r="AC113" s="152" t="s">
        <v>80</v>
      </c>
      <c r="AD113" s="123" t="s">
        <v>3</v>
      </c>
      <c r="AE113" s="123" t="s">
        <v>83</v>
      </c>
      <c r="AF113" s="332">
        <f t="shared" si="49"/>
        <v>0.125</v>
      </c>
      <c r="AG113" s="665">
        <f t="shared" si="49"/>
        <v>0.125</v>
      </c>
      <c r="AH113" s="665">
        <f t="shared" si="49"/>
        <v>0.125</v>
      </c>
      <c r="AI113" s="665">
        <f t="shared" si="49"/>
        <v>0</v>
      </c>
      <c r="AJ113" s="665">
        <f t="shared" si="49"/>
        <v>0</v>
      </c>
      <c r="AK113" s="665">
        <f t="shared" si="49"/>
        <v>0</v>
      </c>
      <c r="AL113" s="665">
        <f t="shared" si="49"/>
        <v>0</v>
      </c>
      <c r="AM113" s="665">
        <f t="shared" si="49"/>
        <v>0</v>
      </c>
      <c r="AN113" s="666">
        <f t="shared" si="49"/>
        <v>0</v>
      </c>
      <c r="AQ113" s="110">
        <v>134445.66999999998</v>
      </c>
      <c r="AR113" s="110">
        <f>AQ113*AP108</f>
        <v>10341.974615384615</v>
      </c>
    </row>
    <row r="114" spans="1:44" ht="15" x14ac:dyDescent="0.2">
      <c r="B114" s="117" t="s">
        <v>340</v>
      </c>
      <c r="C114" s="117">
        <f t="shared" si="50"/>
        <v>18</v>
      </c>
      <c r="D114" s="118" t="s">
        <v>341</v>
      </c>
      <c r="E114" s="118" t="s">
        <v>342</v>
      </c>
      <c r="F114" s="146" t="s">
        <v>44</v>
      </c>
      <c r="G114" s="118" t="s">
        <v>41</v>
      </c>
      <c r="H114" s="118" t="s">
        <v>44</v>
      </c>
      <c r="I114" s="118" t="s">
        <v>75</v>
      </c>
      <c r="J114" s="118">
        <f>+IF(AND(AD114=Dashboard!$DN$8,Dashboard!$DN$9=1),Dashboard!J28,0)+IF(AND(AD114=Dashboard!$DO$8,Dashboard!$DO$9=1),Dashboard!J28,0)+IF(AND(AD114=Dashboard!$DP$8,Dashboard!$DP$9=1),Dashboard!J28,0)</f>
        <v>1</v>
      </c>
      <c r="K114" s="118" t="s">
        <v>343</v>
      </c>
      <c r="L114" s="306">
        <f>+_xlfn.XLOOKUP(B114,'[2]Proyectos (NO FILTRAR)'!$B:$B,'[2]Proyectos (NO FILTRAR)'!$O:$O,"!",0,1)</f>
        <v>184000</v>
      </c>
      <c r="M114" s="316">
        <f>+_xlfn.XLOOKUP(B114,'[3]POM 2025'!$A:$A,'[3]POM 2025'!$L:$L,"!",0,1)</f>
        <v>0</v>
      </c>
      <c r="N114" s="565">
        <v>2</v>
      </c>
      <c r="O114" s="119">
        <v>45691</v>
      </c>
      <c r="P114" s="119">
        <v>45881</v>
      </c>
      <c r="Q114" s="611">
        <f t="shared" si="47"/>
        <v>7</v>
      </c>
      <c r="R114" s="118" t="s">
        <v>77</v>
      </c>
      <c r="S114" s="118"/>
      <c r="T114" s="156">
        <v>45691</v>
      </c>
      <c r="U114" s="156">
        <v>45881</v>
      </c>
      <c r="V114" s="611">
        <f t="shared" si="48"/>
        <v>7</v>
      </c>
      <c r="W114" s="121">
        <f>+SUMIFS('Listas y Parametros'!$C$44:$L$44,'Listas y Parametros'!$C$35:$L$35,'Gantt Proyectos'!AC114)*J114*'EDP Proyectado'!Q46</f>
        <v>0.72035794183445179</v>
      </c>
      <c r="X114" s="122">
        <f>+SUMIFS('Listas y Parametros'!$C$38:$L$38,'Listas y Parametros'!$C$35:$L$35,'Gantt Proyectos'!AC114)*J114</f>
        <v>0.25</v>
      </c>
      <c r="Y114" s="122">
        <f>+SUMIFS('Listas y Parametros'!$C$39:$L$39,'Listas y Parametros'!$C$35:$L$35,'Gantt Proyectos'!AC114)*J114</f>
        <v>0.33</v>
      </c>
      <c r="Z114" s="122">
        <f>+SUMIFS('Listas y Parametros'!$C$40:$L$40,'Listas y Parametros'!$C$35:$L$35,'Gantt Proyectos'!AC114)*J114</f>
        <v>0</v>
      </c>
      <c r="AA114" s="122">
        <f>+SUMIFS('Listas y Parametros'!$C$41:$L$41,'Listas y Parametros'!$C$35:$L$35,'Gantt Proyectos'!AC114)*J114</f>
        <v>0.5</v>
      </c>
      <c r="AB114" s="122">
        <f>+SUMIFS('Listas y Parametros'!$C$42:$L$42,'Listas y Parametros'!$C$35:$L$35,'Gantt Proyectos'!AC114)*J114</f>
        <v>0.5</v>
      </c>
      <c r="AC114" s="152" t="s">
        <v>72</v>
      </c>
      <c r="AD114" s="123" t="s">
        <v>3</v>
      </c>
      <c r="AE114" s="123" t="s">
        <v>83</v>
      </c>
      <c r="AF114" s="332">
        <f t="shared" si="49"/>
        <v>0.14285714285714285</v>
      </c>
      <c r="AG114" s="665">
        <f t="shared" si="49"/>
        <v>0.14285714285714285</v>
      </c>
      <c r="AH114" s="665">
        <f t="shared" si="49"/>
        <v>0.14285714285714285</v>
      </c>
      <c r="AI114" s="665">
        <f t="shared" si="49"/>
        <v>0.14285714285714285</v>
      </c>
      <c r="AJ114" s="665">
        <f t="shared" si="49"/>
        <v>0.14285714285714285</v>
      </c>
      <c r="AK114" s="665">
        <f t="shared" si="49"/>
        <v>0</v>
      </c>
      <c r="AL114" s="665">
        <f t="shared" si="49"/>
        <v>0</v>
      </c>
      <c r="AM114" s="665">
        <f t="shared" si="49"/>
        <v>0</v>
      </c>
      <c r="AN114" s="666">
        <f t="shared" si="49"/>
        <v>0</v>
      </c>
    </row>
    <row r="115" spans="1:44" ht="15" x14ac:dyDescent="0.2">
      <c r="B115" s="117" t="s">
        <v>344</v>
      </c>
      <c r="C115" s="117">
        <f t="shared" si="50"/>
        <v>19</v>
      </c>
      <c r="D115" s="118" t="s">
        <v>345</v>
      </c>
      <c r="E115" s="118" t="s">
        <v>310</v>
      </c>
      <c r="F115" s="146" t="s">
        <v>44</v>
      </c>
      <c r="G115" s="118" t="s">
        <v>41</v>
      </c>
      <c r="H115" s="118"/>
      <c r="I115" s="118" t="s">
        <v>75</v>
      </c>
      <c r="J115" s="118">
        <f>+IF(AND(AD115=Dashboard!$DN$8,Dashboard!$DN$9=1),Dashboard!J29,0)+IF(AND(AD115=Dashboard!$DO$8,Dashboard!$DO$9=1),Dashboard!J29,0)+IF(AND(AD115=Dashboard!$DP$8,Dashboard!$DP$9=1),Dashboard!J29,0)</f>
        <v>1</v>
      </c>
      <c r="K115" s="118" t="s">
        <v>303</v>
      </c>
      <c r="L115" s="601">
        <v>600000</v>
      </c>
      <c r="M115" s="316">
        <f>+_xlfn.XLOOKUP(B115,'[3]POM 2025'!$A:$A,'[3]POM 2025'!$L:$L,"!",0,1)</f>
        <v>62911.409999999916</v>
      </c>
      <c r="N115" s="565">
        <v>2</v>
      </c>
      <c r="O115" s="119">
        <v>45719</v>
      </c>
      <c r="P115" s="119">
        <v>45872</v>
      </c>
      <c r="Q115" s="611">
        <f t="shared" si="47"/>
        <v>6</v>
      </c>
      <c r="R115" s="118" t="s">
        <v>77</v>
      </c>
      <c r="S115" s="118"/>
      <c r="T115" s="156">
        <v>45719</v>
      </c>
      <c r="U115" s="156">
        <v>45872</v>
      </c>
      <c r="V115" s="611">
        <f t="shared" si="48"/>
        <v>6</v>
      </c>
      <c r="W115" s="121">
        <f>+SUMIFS('Listas y Parametros'!$C$44:$L$44,'Listas y Parametros'!$C$35:$L$35,'Gantt Proyectos'!AC115)*J115*'EDP Proyectado'!Q47</f>
        <v>0.97986577181208034</v>
      </c>
      <c r="X115" s="122">
        <f>+SUMIFS('Listas y Parametros'!$C$38:$L$38,'Listas y Parametros'!$C$35:$L$35,'Gantt Proyectos'!AC115)*J115</f>
        <v>0.33</v>
      </c>
      <c r="Y115" s="122">
        <f>+SUMIFS('Listas y Parametros'!$C$39:$L$39,'Listas y Parametros'!$C$35:$L$35,'Gantt Proyectos'!AC115)*J115</f>
        <v>0.33</v>
      </c>
      <c r="Z115" s="122">
        <f>+SUMIFS('Listas y Parametros'!$C$40:$L$40,'Listas y Parametros'!$C$35:$L$35,'Gantt Proyectos'!AC115)*J115</f>
        <v>0.5</v>
      </c>
      <c r="AA115" s="122">
        <f>+SUMIFS('Listas y Parametros'!$C$41:$L$41,'Listas y Parametros'!$C$35:$L$35,'Gantt Proyectos'!AC115)*J115</f>
        <v>1</v>
      </c>
      <c r="AB115" s="122">
        <f>+SUMIFS('Listas y Parametros'!$C$42:$L$42,'Listas y Parametros'!$C$35:$L$35,'Gantt Proyectos'!AC115)*J115</f>
        <v>0</v>
      </c>
      <c r="AC115" s="152" t="s">
        <v>86</v>
      </c>
      <c r="AD115" s="123" t="s">
        <v>3</v>
      </c>
      <c r="AE115" s="123" t="s">
        <v>83</v>
      </c>
      <c r="AF115" s="332">
        <f t="shared" si="49"/>
        <v>0.16666666666666666</v>
      </c>
      <c r="AG115" s="665">
        <f t="shared" si="49"/>
        <v>0.16666666666666666</v>
      </c>
      <c r="AH115" s="665">
        <f t="shared" si="49"/>
        <v>0.16666666666666666</v>
      </c>
      <c r="AI115" s="665">
        <f t="shared" si="49"/>
        <v>0.16666666666666666</v>
      </c>
      <c r="AJ115" s="665">
        <f t="shared" si="49"/>
        <v>0.16666666666666666</v>
      </c>
      <c r="AK115" s="665">
        <f t="shared" si="49"/>
        <v>0</v>
      </c>
      <c r="AL115" s="665">
        <f t="shared" si="49"/>
        <v>0</v>
      </c>
      <c r="AM115" s="665">
        <f t="shared" si="49"/>
        <v>0</v>
      </c>
      <c r="AN115" s="666">
        <f t="shared" si="49"/>
        <v>0</v>
      </c>
    </row>
    <row r="116" spans="1:44" ht="15" x14ac:dyDescent="0.2">
      <c r="B116" s="117" t="s">
        <v>346</v>
      </c>
      <c r="C116" s="117">
        <f t="shared" si="50"/>
        <v>20</v>
      </c>
      <c r="D116" s="118" t="s">
        <v>347</v>
      </c>
      <c r="E116" s="118" t="s">
        <v>348</v>
      </c>
      <c r="F116" s="146" t="s">
        <v>41</v>
      </c>
      <c r="G116" s="118" t="s">
        <v>41</v>
      </c>
      <c r="H116" s="118"/>
      <c r="I116" s="118" t="s">
        <v>75</v>
      </c>
      <c r="J116" s="118">
        <f>+IF(AND(AD116=Dashboard!$DN$8,Dashboard!$DN$9=1),Dashboard!J30,0)+IF(AND(AD116=Dashboard!$DO$8,Dashboard!$DO$9=1),Dashboard!J30,0)+IF(AND(AD116=Dashboard!$DP$8,Dashboard!$DP$9=1),Dashboard!J30,0)</f>
        <v>1</v>
      </c>
      <c r="K116" s="118" t="s">
        <v>295</v>
      </c>
      <c r="L116" s="306">
        <f>+_xlfn.XLOOKUP(B116,'[2]Proyectos (NO FILTRAR)'!$B:$B,'[2]Proyectos (NO FILTRAR)'!$O:$O,"!",0,1)</f>
        <v>198920</v>
      </c>
      <c r="M116" s="316" t="str">
        <f>+_xlfn.XLOOKUP(B116,'[3]POM 2025'!$A:$A,'[3]POM 2025'!$L:$L,"!",0,1)</f>
        <v>Saldo [USD]</v>
      </c>
      <c r="N116" s="565">
        <v>1</v>
      </c>
      <c r="O116" s="119">
        <v>45754</v>
      </c>
      <c r="P116" s="119">
        <v>45845</v>
      </c>
      <c r="Q116" s="611">
        <f t="shared" si="47"/>
        <v>3</v>
      </c>
      <c r="R116" s="118" t="s">
        <v>77</v>
      </c>
      <c r="S116" s="118"/>
      <c r="T116" s="156">
        <v>45754</v>
      </c>
      <c r="U116" s="156">
        <v>45845</v>
      </c>
      <c r="V116" s="611">
        <f t="shared" si="48"/>
        <v>3</v>
      </c>
      <c r="W116" s="121">
        <f>+SUMIFS('Listas y Parametros'!$C$44:$L$44,'Listas y Parametros'!$C$35:$L$35,'Gantt Proyectos'!AC116)*J116*'EDP Proyectado'!Q48</f>
        <v>1.4474272930648768</v>
      </c>
      <c r="X116" s="122">
        <f>+SUMIFS('Listas y Parametros'!$C$38:$L$38,'Listas y Parametros'!$C$35:$L$35,'Gantt Proyectos'!AC116)*J116</f>
        <v>0.33</v>
      </c>
      <c r="Y116" s="122">
        <f>+SUMIFS('Listas y Parametros'!$C$39:$L$39,'Listas y Parametros'!$C$35:$L$35,'Gantt Proyectos'!AC116)*J116</f>
        <v>0.5</v>
      </c>
      <c r="Z116" s="122">
        <f>+SUMIFS('Listas y Parametros'!$C$40:$L$40,'Listas y Parametros'!$C$35:$L$35,'Gantt Proyectos'!AC116)*J116</f>
        <v>0.33</v>
      </c>
      <c r="AA116" s="122">
        <f>+SUMIFS('Listas y Parametros'!$C$41:$L$41,'Listas y Parametros'!$C$35:$L$35,'Gantt Proyectos'!AC116)*J116</f>
        <v>1</v>
      </c>
      <c r="AB116" s="122">
        <f>+SUMIFS('Listas y Parametros'!$C$42:$L$42,'Listas y Parametros'!$C$35:$L$35,'Gantt Proyectos'!AC116)*J116</f>
        <v>1</v>
      </c>
      <c r="AC116" s="152" t="s">
        <v>80</v>
      </c>
      <c r="AD116" s="123" t="s">
        <v>3</v>
      </c>
      <c r="AE116" s="123" t="s">
        <v>83</v>
      </c>
      <c r="AF116" s="332">
        <f t="shared" si="49"/>
        <v>0.33333333333333331</v>
      </c>
      <c r="AG116" s="665">
        <f t="shared" si="49"/>
        <v>0.33333333333333331</v>
      </c>
      <c r="AH116" s="665">
        <f t="shared" si="49"/>
        <v>0.33333333333333331</v>
      </c>
      <c r="AI116" s="665">
        <f t="shared" si="49"/>
        <v>0.33333333333333331</v>
      </c>
      <c r="AJ116" s="665">
        <f t="shared" si="49"/>
        <v>0</v>
      </c>
      <c r="AK116" s="665">
        <f t="shared" si="49"/>
        <v>0</v>
      </c>
      <c r="AL116" s="665">
        <f t="shared" si="49"/>
        <v>0</v>
      </c>
      <c r="AM116" s="665">
        <f t="shared" si="49"/>
        <v>0</v>
      </c>
      <c r="AN116" s="666">
        <f t="shared" si="49"/>
        <v>0</v>
      </c>
    </row>
    <row r="117" spans="1:44" ht="15" x14ac:dyDescent="0.2">
      <c r="B117" s="117" t="s">
        <v>349</v>
      </c>
      <c r="C117" s="117">
        <f t="shared" si="50"/>
        <v>21</v>
      </c>
      <c r="D117" s="118" t="s">
        <v>350</v>
      </c>
      <c r="E117" s="118" t="s">
        <v>292</v>
      </c>
      <c r="F117" s="146" t="s">
        <v>41</v>
      </c>
      <c r="G117" s="118" t="s">
        <v>41</v>
      </c>
      <c r="H117" s="118" t="s">
        <v>44</v>
      </c>
      <c r="I117" s="118" t="s">
        <v>75</v>
      </c>
      <c r="J117" s="118">
        <f>+IF(AND(AD117=Dashboard!$DN$8,Dashboard!$DN$9=1),Dashboard!J31,0)+IF(AND(AD117=Dashboard!$DO$8,Dashboard!$DO$9=1),Dashboard!J31,0)+IF(AND(AD117=Dashboard!$DP$8,Dashboard!$DP$9=1),Dashboard!J31,0)</f>
        <v>1</v>
      </c>
      <c r="K117" s="118" t="s">
        <v>295</v>
      </c>
      <c r="L117" s="306">
        <f>+_xlfn.XLOOKUP(B117,'[2]Proyectos (NO FILTRAR)'!$B:$B,'[2]Proyectos (NO FILTRAR)'!$O:$O,"!",0,1)</f>
        <v>47808</v>
      </c>
      <c r="M117" s="316">
        <f>+_xlfn.XLOOKUP(B117,'[3]POM 2025'!$A:$A,'[3]POM 2025'!$L:$L,"!",0,1)</f>
        <v>0</v>
      </c>
      <c r="N117" s="565">
        <v>1</v>
      </c>
      <c r="O117" s="119">
        <v>45768</v>
      </c>
      <c r="P117" s="119">
        <v>45803</v>
      </c>
      <c r="Q117" s="611">
        <f t="shared" si="47"/>
        <v>2</v>
      </c>
      <c r="R117" s="118" t="s">
        <v>77</v>
      </c>
      <c r="S117" s="118"/>
      <c r="T117" s="156">
        <v>45768</v>
      </c>
      <c r="U117" s="156">
        <v>45803</v>
      </c>
      <c r="V117" s="611">
        <f t="shared" si="48"/>
        <v>2</v>
      </c>
      <c r="W117" s="121">
        <f>+SUMIFS('Listas y Parametros'!$C$44:$L$44,'Listas y Parametros'!$C$35:$L$35,'Gantt Proyectos'!AC117)*J117*'EDP Proyectado'!Q49</f>
        <v>1</v>
      </c>
      <c r="X117" s="122">
        <f>+SUMIFS('Listas y Parametros'!$C$38:$L$38,'Listas y Parametros'!$C$35:$L$35,'Gantt Proyectos'!AC117)*J117</f>
        <v>0.33</v>
      </c>
      <c r="Y117" s="122">
        <f>+SUMIFS('Listas y Parametros'!$C$39:$L$39,'Listas y Parametros'!$C$35:$L$35,'Gantt Proyectos'!AC117)*J117</f>
        <v>0.5</v>
      </c>
      <c r="Z117" s="122">
        <f>+SUMIFS('Listas y Parametros'!$C$40:$L$40,'Listas y Parametros'!$C$35:$L$35,'Gantt Proyectos'!AC117)*J117</f>
        <v>0.33</v>
      </c>
      <c r="AA117" s="122">
        <f>+SUMIFS('Listas y Parametros'!$C$41:$L$41,'Listas y Parametros'!$C$35:$L$35,'Gantt Proyectos'!AC117)*J117</f>
        <v>1</v>
      </c>
      <c r="AB117" s="122">
        <f>+SUMIFS('Listas y Parametros'!$C$42:$L$42,'Listas y Parametros'!$C$35:$L$35,'Gantt Proyectos'!AC117)*J117</f>
        <v>0</v>
      </c>
      <c r="AC117" s="152" t="s">
        <v>88</v>
      </c>
      <c r="AD117" s="123" t="s">
        <v>3</v>
      </c>
      <c r="AE117" s="123" t="s">
        <v>85</v>
      </c>
      <c r="AF117" s="332">
        <f t="shared" si="49"/>
        <v>0.5</v>
      </c>
      <c r="AG117" s="665">
        <f t="shared" si="49"/>
        <v>0.5</v>
      </c>
      <c r="AH117" s="665">
        <f t="shared" si="49"/>
        <v>0</v>
      </c>
      <c r="AI117" s="665">
        <f t="shared" si="49"/>
        <v>0</v>
      </c>
      <c r="AJ117" s="665">
        <f t="shared" si="49"/>
        <v>0</v>
      </c>
      <c r="AK117" s="665">
        <f t="shared" si="49"/>
        <v>0</v>
      </c>
      <c r="AL117" s="665">
        <f t="shared" si="49"/>
        <v>0</v>
      </c>
      <c r="AM117" s="665">
        <f t="shared" si="49"/>
        <v>0</v>
      </c>
      <c r="AN117" s="666">
        <f t="shared" si="49"/>
        <v>0</v>
      </c>
    </row>
    <row r="118" spans="1:44" ht="15" x14ac:dyDescent="0.2">
      <c r="B118" s="117" t="s">
        <v>351</v>
      </c>
      <c r="C118" s="117">
        <f t="shared" si="50"/>
        <v>22</v>
      </c>
      <c r="D118" s="118" t="s">
        <v>352</v>
      </c>
      <c r="E118" s="118" t="s">
        <v>338</v>
      </c>
      <c r="F118" s="146" t="s">
        <v>45</v>
      </c>
      <c r="G118" s="118" t="s">
        <v>41</v>
      </c>
      <c r="H118" s="118"/>
      <c r="I118" s="118" t="s">
        <v>75</v>
      </c>
      <c r="J118" s="118">
        <f>+IF(AND(AD118=Dashboard!$DN$8,Dashboard!$DN$9=1),Dashboard!J32,0)+IF(AND(AD118=Dashboard!$DO$8,Dashboard!$DO$9=1),Dashboard!J32,0)+IF(AND(AD118=Dashboard!$DP$8,Dashboard!$DP$9=1),Dashboard!J32,0)</f>
        <v>1</v>
      </c>
      <c r="K118" s="118" t="s">
        <v>321</v>
      </c>
      <c r="L118" s="306">
        <f>+_xlfn.XLOOKUP(B118,'[2]Proyectos (NO FILTRAR)'!$B:$B,'[2]Proyectos (NO FILTRAR)'!$O:$O,"!",0,1)</f>
        <v>147935</v>
      </c>
      <c r="M118" s="316">
        <f>+_xlfn.XLOOKUP(B118,'[3]POM 2025'!$A:$A,'[3]POM 2025'!$L:$L,"!",0,1)</f>
        <v>0</v>
      </c>
      <c r="N118" s="565">
        <v>3</v>
      </c>
      <c r="O118" s="119">
        <v>45726</v>
      </c>
      <c r="P118" s="119">
        <v>45866</v>
      </c>
      <c r="Q118" s="611">
        <f t="shared" si="47"/>
        <v>5</v>
      </c>
      <c r="R118" s="118" t="s">
        <v>77</v>
      </c>
      <c r="S118" s="118"/>
      <c r="T118" s="156">
        <v>45726</v>
      </c>
      <c r="U118" s="156">
        <v>45866</v>
      </c>
      <c r="V118" s="611">
        <f t="shared" si="48"/>
        <v>5</v>
      </c>
      <c r="W118" s="121">
        <f>+SUMIFS('Listas y Parametros'!$C$44:$L$44,'Listas y Parametros'!$C$35:$L$35,'Gantt Proyectos'!AC118)*J118*'EDP Proyectado'!Q50</f>
        <v>2.5503355704697985</v>
      </c>
      <c r="X118" s="122">
        <f>+SUMIFS('Listas y Parametros'!$C$38:$L$38,'Listas y Parametros'!$C$35:$L$35,'Gantt Proyectos'!AC118)*J118</f>
        <v>0.5</v>
      </c>
      <c r="Y118" s="122">
        <f>+SUMIFS('Listas y Parametros'!$C$39:$L$39,'Listas y Parametros'!$C$35:$L$35,'Gantt Proyectos'!AC118)*J118</f>
        <v>0.67</v>
      </c>
      <c r="Z118" s="122">
        <f>+SUMIFS('Listas y Parametros'!$C$40:$L$40,'Listas y Parametros'!$C$35:$L$35,'Gantt Proyectos'!AC118)*J118</f>
        <v>1</v>
      </c>
      <c r="AA118" s="122">
        <f>+SUMIFS('Listas y Parametros'!$C$41:$L$41,'Listas y Parametros'!$C$35:$L$35,'Gantt Proyectos'!AC118)*J118</f>
        <v>2.5</v>
      </c>
      <c r="AB118" s="122">
        <f>+SUMIFS('Listas y Parametros'!$C$42:$L$42,'Listas y Parametros'!$C$35:$L$35,'Gantt Proyectos'!AC118)*J118</f>
        <v>1</v>
      </c>
      <c r="AC118" s="152" t="s">
        <v>84</v>
      </c>
      <c r="AD118" s="123" t="s">
        <v>3</v>
      </c>
      <c r="AE118" s="123" t="s">
        <v>85</v>
      </c>
      <c r="AF118" s="332">
        <f t="shared" si="49"/>
        <v>0.2</v>
      </c>
      <c r="AG118" s="665">
        <f t="shared" si="49"/>
        <v>0.2</v>
      </c>
      <c r="AH118" s="665">
        <f t="shared" si="49"/>
        <v>0.2</v>
      </c>
      <c r="AI118" s="665">
        <f t="shared" si="49"/>
        <v>0.2</v>
      </c>
      <c r="AJ118" s="665">
        <f t="shared" si="49"/>
        <v>0</v>
      </c>
      <c r="AK118" s="665">
        <f t="shared" si="49"/>
        <v>0</v>
      </c>
      <c r="AL118" s="665">
        <f t="shared" si="49"/>
        <v>0</v>
      </c>
      <c r="AM118" s="665">
        <f t="shared" si="49"/>
        <v>0</v>
      </c>
      <c r="AN118" s="666">
        <f t="shared" si="49"/>
        <v>0</v>
      </c>
    </row>
    <row r="119" spans="1:44" ht="15" x14ac:dyDescent="0.2">
      <c r="B119" s="117" t="s">
        <v>353</v>
      </c>
      <c r="C119" s="117">
        <f t="shared" si="50"/>
        <v>23</v>
      </c>
      <c r="D119" s="118" t="s">
        <v>354</v>
      </c>
      <c r="E119" s="118" t="s">
        <v>335</v>
      </c>
      <c r="F119" s="146" t="s">
        <v>44</v>
      </c>
      <c r="G119" s="118" t="s">
        <v>44</v>
      </c>
      <c r="H119" s="118" t="s">
        <v>41</v>
      </c>
      <c r="I119" s="118" t="s">
        <v>75</v>
      </c>
      <c r="J119" s="118">
        <f>+IF(AND(AD119=Dashboard!$DN$8,Dashboard!$DN$9=1),Dashboard!J33,0)+IF(AND(AD119=Dashboard!$DO$8,Dashboard!$DO$9=1),Dashboard!J33,0)+IF(AND(AD119=Dashboard!$DP$8,Dashboard!$DP$9=1),Dashboard!J33,0)</f>
        <v>1</v>
      </c>
      <c r="K119" s="118" t="s">
        <v>343</v>
      </c>
      <c r="L119" s="306">
        <f>+_xlfn.XLOOKUP(B119,'[2]Proyectos (NO FILTRAR)'!$B:$B,'[2]Proyectos (NO FILTRAR)'!$O:$O,"!",0,1)</f>
        <v>60000</v>
      </c>
      <c r="M119" s="316">
        <f>+_xlfn.XLOOKUP(B119,'[3]POM 2025'!$A:$A,'[3]POM 2025'!$L:$L,"!",0,1)</f>
        <v>0</v>
      </c>
      <c r="N119" s="565">
        <v>2</v>
      </c>
      <c r="O119" s="119">
        <v>45719</v>
      </c>
      <c r="P119" s="119">
        <v>45859</v>
      </c>
      <c r="Q119" s="611">
        <f t="shared" si="47"/>
        <v>5</v>
      </c>
      <c r="R119" s="118" t="s">
        <v>77</v>
      </c>
      <c r="S119" s="118"/>
      <c r="T119" s="156">
        <v>45719</v>
      </c>
      <c r="U119" s="156">
        <v>45859</v>
      </c>
      <c r="V119" s="611">
        <f t="shared" si="48"/>
        <v>5</v>
      </c>
      <c r="W119" s="121">
        <f>+SUMIFS('Listas y Parametros'!$C$44:$L$44,'Listas y Parametros'!$C$35:$L$35,'Gantt Proyectos'!AC119)*J119*'EDP Proyectado'!Q51</f>
        <v>0.72035794183445179</v>
      </c>
      <c r="X119" s="122">
        <f>+SUMIFS('Listas y Parametros'!$C$38:$L$38,'Listas y Parametros'!$C$35:$L$35,'Gantt Proyectos'!AC119)*J119</f>
        <v>0.25</v>
      </c>
      <c r="Y119" s="122">
        <f>+SUMIFS('Listas y Parametros'!$C$39:$L$39,'Listas y Parametros'!$C$35:$L$35,'Gantt Proyectos'!AC119)*J119</f>
        <v>0.33</v>
      </c>
      <c r="Z119" s="122">
        <f>+SUMIFS('Listas y Parametros'!$C$40:$L$40,'Listas y Parametros'!$C$35:$L$35,'Gantt Proyectos'!AC119)*J119</f>
        <v>0</v>
      </c>
      <c r="AA119" s="122">
        <f>+SUMIFS('Listas y Parametros'!$C$41:$L$41,'Listas y Parametros'!$C$35:$L$35,'Gantt Proyectos'!AC119)*J119</f>
        <v>0.5</v>
      </c>
      <c r="AB119" s="122">
        <f>+SUMIFS('Listas y Parametros'!$C$42:$L$42,'Listas y Parametros'!$C$35:$L$35,'Gantt Proyectos'!AC119)*J119</f>
        <v>0.5</v>
      </c>
      <c r="AC119" s="152" t="s">
        <v>72</v>
      </c>
      <c r="AD119" s="123" t="s">
        <v>3</v>
      </c>
      <c r="AE119" s="123" t="s">
        <v>85</v>
      </c>
      <c r="AF119" s="332">
        <f t="shared" si="49"/>
        <v>0.2</v>
      </c>
      <c r="AG119" s="665">
        <f t="shared" si="49"/>
        <v>0.2</v>
      </c>
      <c r="AH119" s="665">
        <f t="shared" si="49"/>
        <v>0.2</v>
      </c>
      <c r="AI119" s="665">
        <f t="shared" si="49"/>
        <v>0.2</v>
      </c>
      <c r="AJ119" s="665">
        <f t="shared" si="49"/>
        <v>0</v>
      </c>
      <c r="AK119" s="665">
        <f t="shared" si="49"/>
        <v>0</v>
      </c>
      <c r="AL119" s="665">
        <f t="shared" si="49"/>
        <v>0</v>
      </c>
      <c r="AM119" s="665">
        <f t="shared" si="49"/>
        <v>0</v>
      </c>
      <c r="AN119" s="666">
        <f t="shared" si="49"/>
        <v>0</v>
      </c>
    </row>
    <row r="120" spans="1:44" ht="15" x14ac:dyDescent="0.2">
      <c r="B120" s="117" t="s">
        <v>355</v>
      </c>
      <c r="C120" s="117">
        <f t="shared" si="50"/>
        <v>24</v>
      </c>
      <c r="D120" s="118" t="s">
        <v>356</v>
      </c>
      <c r="E120" s="118" t="s">
        <v>357</v>
      </c>
      <c r="F120" s="146" t="s">
        <v>46</v>
      </c>
      <c r="G120" s="118" t="s">
        <v>41</v>
      </c>
      <c r="H120" s="118"/>
      <c r="I120" s="118" t="s">
        <v>75</v>
      </c>
      <c r="J120" s="118">
        <f>+IF(AND(AD120=Dashboard!$DN$8,Dashboard!$DN$9=1),Dashboard!J34,0)+IF(AND(AD120=Dashboard!$DO$8,Dashboard!$DO$9=1),Dashboard!J34,0)+IF(AND(AD120=Dashboard!$DP$8,Dashboard!$DP$9=1),Dashboard!J34,0)</f>
        <v>1</v>
      </c>
      <c r="K120" s="118" t="s">
        <v>133</v>
      </c>
      <c r="L120" s="306">
        <v>350000</v>
      </c>
      <c r="M120" s="316">
        <v>350000</v>
      </c>
      <c r="N120" s="565">
        <v>2</v>
      </c>
      <c r="O120" s="119">
        <v>45775</v>
      </c>
      <c r="P120" s="119">
        <v>45838</v>
      </c>
      <c r="Q120" s="611">
        <f t="shared" si="47"/>
        <v>3</v>
      </c>
      <c r="R120" s="118" t="s">
        <v>77</v>
      </c>
      <c r="S120" s="118"/>
      <c r="T120" s="156">
        <v>45775</v>
      </c>
      <c r="U120" s="156">
        <v>45838</v>
      </c>
      <c r="V120" s="611">
        <f t="shared" si="48"/>
        <v>3</v>
      </c>
      <c r="W120" s="121">
        <f>+SUMIFS('Listas y Parametros'!$C$44:$L$44,'Listas y Parametros'!$C$35:$L$35,'Gantt Proyectos'!AC120)*J120*'EDP Proyectado'!Q52</f>
        <v>1</v>
      </c>
      <c r="X120" s="122">
        <f>+SUMIFS('Listas y Parametros'!$C$38:$L$38,'Listas y Parametros'!$C$35:$L$35,'Gantt Proyectos'!AC120)*J120</f>
        <v>0.33</v>
      </c>
      <c r="Y120" s="122">
        <f>+SUMIFS('Listas y Parametros'!$C$39:$L$39,'Listas y Parametros'!$C$35:$L$35,'Gantt Proyectos'!AC120)*J120</f>
        <v>0.5</v>
      </c>
      <c r="Z120" s="122">
        <f>+SUMIFS('Listas y Parametros'!$C$40:$L$40,'Listas y Parametros'!$C$35:$L$35,'Gantt Proyectos'!AC120)*J120</f>
        <v>0.33</v>
      </c>
      <c r="AA120" s="122">
        <f>+SUMIFS('Listas y Parametros'!$C$41:$L$41,'Listas y Parametros'!$C$35:$L$35,'Gantt Proyectos'!AC120)*J120</f>
        <v>1</v>
      </c>
      <c r="AB120" s="122">
        <f>+SUMIFS('Listas y Parametros'!$C$42:$L$42,'Listas y Parametros'!$C$35:$L$35,'Gantt Proyectos'!AC120)*J120</f>
        <v>0</v>
      </c>
      <c r="AC120" s="152" t="s">
        <v>88</v>
      </c>
      <c r="AD120" s="123" t="s">
        <v>3</v>
      </c>
      <c r="AE120" s="123" t="s">
        <v>85</v>
      </c>
      <c r="AF120" s="332">
        <f t="shared" si="49"/>
        <v>0.33333333333333331</v>
      </c>
      <c r="AG120" s="665">
        <f t="shared" si="49"/>
        <v>0.33333333333333331</v>
      </c>
      <c r="AH120" s="665">
        <f t="shared" si="49"/>
        <v>0.33333333333333331</v>
      </c>
      <c r="AI120" s="665">
        <f t="shared" si="49"/>
        <v>0</v>
      </c>
      <c r="AJ120" s="665">
        <f t="shared" si="49"/>
        <v>0</v>
      </c>
      <c r="AK120" s="665">
        <f t="shared" si="49"/>
        <v>0</v>
      </c>
      <c r="AL120" s="665">
        <f t="shared" si="49"/>
        <v>0</v>
      </c>
      <c r="AM120" s="665">
        <f t="shared" si="49"/>
        <v>0</v>
      </c>
      <c r="AN120" s="666">
        <f t="shared" si="49"/>
        <v>0</v>
      </c>
    </row>
    <row r="121" spans="1:44" ht="15" x14ac:dyDescent="0.2">
      <c r="B121" s="117" t="s">
        <v>358</v>
      </c>
      <c r="C121" s="117">
        <f t="shared" si="50"/>
        <v>25</v>
      </c>
      <c r="D121" s="118" t="s">
        <v>359</v>
      </c>
      <c r="E121" s="118" t="s">
        <v>316</v>
      </c>
      <c r="F121" s="146" t="s">
        <v>45</v>
      </c>
      <c r="G121" s="118" t="s">
        <v>41</v>
      </c>
      <c r="H121" s="118"/>
      <c r="I121" s="118" t="s">
        <v>75</v>
      </c>
      <c r="J121" s="118">
        <f>+IF(AND(AD121=Dashboard!$DN$8,Dashboard!$DN$9=1),Dashboard!J35,0)+IF(AND(AD121=Dashboard!$DO$8,Dashboard!$DO$9=1),Dashboard!J35,0)+IF(AND(AD121=Dashboard!$DP$8,Dashboard!$DP$9=1),Dashboard!J35,0)</f>
        <v>1</v>
      </c>
      <c r="K121" s="118" t="s">
        <v>321</v>
      </c>
      <c r="L121" s="306">
        <f>+_xlfn.XLOOKUP(B121,'[2]Proyectos (NO FILTRAR)'!$B:$B,'[2]Proyectos (NO FILTRAR)'!$O:$O,"!",0,1)</f>
        <v>108000</v>
      </c>
      <c r="M121" s="316">
        <f t="shared" ref="M121:M142" si="51">+L121</f>
        <v>108000</v>
      </c>
      <c r="N121" s="565">
        <v>1</v>
      </c>
      <c r="O121" s="119">
        <v>45761</v>
      </c>
      <c r="P121" s="119">
        <v>45859</v>
      </c>
      <c r="Q121" s="611">
        <f t="shared" si="47"/>
        <v>4</v>
      </c>
      <c r="R121" s="118" t="s">
        <v>77</v>
      </c>
      <c r="S121" s="118"/>
      <c r="T121" s="156">
        <v>45761</v>
      </c>
      <c r="U121" s="156">
        <v>45859</v>
      </c>
      <c r="V121" s="611">
        <f t="shared" si="48"/>
        <v>4</v>
      </c>
      <c r="W121" s="121">
        <f>+SUMIFS('Listas y Parametros'!$C$44:$L$44,'Listas y Parametros'!$C$35:$L$35,'Gantt Proyectos'!AC121)*J121*'EDP Proyectado'!Q53</f>
        <v>1.4474272930648768</v>
      </c>
      <c r="X121" s="122">
        <f>+SUMIFS('Listas y Parametros'!$C$38:$L$38,'Listas y Parametros'!$C$35:$L$35,'Gantt Proyectos'!AC121)*J121</f>
        <v>0.33</v>
      </c>
      <c r="Y121" s="122">
        <f>+SUMIFS('Listas y Parametros'!$C$39:$L$39,'Listas y Parametros'!$C$35:$L$35,'Gantt Proyectos'!AC121)*J121</f>
        <v>0.5</v>
      </c>
      <c r="Z121" s="122">
        <f>+SUMIFS('Listas y Parametros'!$C$40:$L$40,'Listas y Parametros'!$C$35:$L$35,'Gantt Proyectos'!AC121)*J121</f>
        <v>0.33</v>
      </c>
      <c r="AA121" s="122">
        <f>+SUMIFS('Listas y Parametros'!$C$41:$L$41,'Listas y Parametros'!$C$35:$L$35,'Gantt Proyectos'!AC121)*J121</f>
        <v>1</v>
      </c>
      <c r="AB121" s="122">
        <f>+SUMIFS('Listas y Parametros'!$C$42:$L$42,'Listas y Parametros'!$C$35:$L$35,'Gantt Proyectos'!AC121)*J121</f>
        <v>1</v>
      </c>
      <c r="AC121" s="152" t="s">
        <v>80</v>
      </c>
      <c r="AD121" s="123" t="s">
        <v>3</v>
      </c>
      <c r="AE121" s="123" t="s">
        <v>85</v>
      </c>
      <c r="AF121" s="332">
        <f t="shared" si="49"/>
        <v>0.25</v>
      </c>
      <c r="AG121" s="665">
        <f t="shared" si="49"/>
        <v>0.25</v>
      </c>
      <c r="AH121" s="665">
        <f t="shared" si="49"/>
        <v>0.25</v>
      </c>
      <c r="AI121" s="665">
        <f t="shared" si="49"/>
        <v>0.25</v>
      </c>
      <c r="AJ121" s="665">
        <f t="shared" si="49"/>
        <v>0</v>
      </c>
      <c r="AK121" s="665">
        <f t="shared" si="49"/>
        <v>0</v>
      </c>
      <c r="AL121" s="665">
        <f t="shared" si="49"/>
        <v>0</v>
      </c>
      <c r="AM121" s="665">
        <f t="shared" si="49"/>
        <v>0</v>
      </c>
      <c r="AN121" s="666">
        <f t="shared" si="49"/>
        <v>0</v>
      </c>
    </row>
    <row r="122" spans="1:44" ht="15" x14ac:dyDescent="0.2">
      <c r="A122" s="598"/>
      <c r="B122" s="144"/>
      <c r="C122" s="144">
        <f t="shared" si="50"/>
        <v>26</v>
      </c>
      <c r="D122" s="599" t="s">
        <v>360</v>
      </c>
      <c r="E122" s="145" t="s">
        <v>320</v>
      </c>
      <c r="F122" s="147" t="s">
        <v>44</v>
      </c>
      <c r="G122" s="118" t="s">
        <v>41</v>
      </c>
      <c r="H122" s="118" t="s">
        <v>44</v>
      </c>
      <c r="I122" s="118" t="s">
        <v>75</v>
      </c>
      <c r="J122" s="118">
        <f>+IF(AND(AD122=Dashboard!$DN$8,Dashboard!$DN$9=1),Dashboard!J36,0)+IF(AND(AD122=Dashboard!$DO$8,Dashboard!$DO$9=1),Dashboard!J36,0)+IF(AND(AD122=Dashboard!$DP$8,Dashboard!$DP$9=1),Dashboard!J36,0)</f>
        <v>1</v>
      </c>
      <c r="K122" s="145" t="s">
        <v>321</v>
      </c>
      <c r="L122" s="306">
        <v>1100000</v>
      </c>
      <c r="M122" s="316">
        <f t="shared" si="51"/>
        <v>1100000</v>
      </c>
      <c r="N122" s="565">
        <v>1</v>
      </c>
      <c r="O122" s="119">
        <v>45840</v>
      </c>
      <c r="P122" s="119">
        <v>46058</v>
      </c>
      <c r="Q122" s="611">
        <f t="shared" si="47"/>
        <v>8</v>
      </c>
      <c r="R122" s="118" t="s">
        <v>77</v>
      </c>
      <c r="S122" s="118"/>
      <c r="T122" s="156">
        <v>45840</v>
      </c>
      <c r="U122" s="156">
        <v>46058</v>
      </c>
      <c r="V122" s="611">
        <f t="shared" si="48"/>
        <v>8</v>
      </c>
      <c r="W122" s="121">
        <f>+SUMIFS('Listas y Parametros'!$C$44:$L$44,'Listas y Parametros'!$C$35:$L$35,'Gantt Proyectos'!AC122)*J122*'EDP Proyectado'!Q54</f>
        <v>2.5503355704697985</v>
      </c>
      <c r="X122" s="122">
        <f>+SUMIFS('Listas y Parametros'!$C$38:$L$38,'Listas y Parametros'!$C$35:$L$35,'Gantt Proyectos'!AC122)*J122</f>
        <v>0.5</v>
      </c>
      <c r="Y122" s="122">
        <f>+SUMIFS('Listas y Parametros'!$C$39:$L$39,'Listas y Parametros'!$C$35:$L$35,'Gantt Proyectos'!AC122)*J122</f>
        <v>0.67</v>
      </c>
      <c r="Z122" s="122">
        <f>+SUMIFS('Listas y Parametros'!$C$40:$L$40,'Listas y Parametros'!$C$35:$L$35,'Gantt Proyectos'!AC122)*J122</f>
        <v>1</v>
      </c>
      <c r="AA122" s="122">
        <f>+SUMIFS('Listas y Parametros'!$C$41:$L$41,'Listas y Parametros'!$C$35:$L$35,'Gantt Proyectos'!AC122)*J122</f>
        <v>2.5</v>
      </c>
      <c r="AB122" s="122">
        <f>+SUMIFS('Listas y Parametros'!$C$42:$L$42,'Listas y Parametros'!$C$35:$L$35,'Gantt Proyectos'!AC122)*J122</f>
        <v>1</v>
      </c>
      <c r="AC122" s="152" t="s">
        <v>84</v>
      </c>
      <c r="AD122" s="123" t="s">
        <v>4</v>
      </c>
      <c r="AE122" s="123" t="s">
        <v>87</v>
      </c>
      <c r="AF122" s="332">
        <f t="shared" si="49"/>
        <v>0</v>
      </c>
      <c r="AG122" s="665">
        <f t="shared" si="49"/>
        <v>0</v>
      </c>
      <c r="AH122" s="665">
        <f t="shared" si="49"/>
        <v>0</v>
      </c>
      <c r="AI122" s="665">
        <f t="shared" si="49"/>
        <v>0.125</v>
      </c>
      <c r="AJ122" s="665">
        <f t="shared" si="49"/>
        <v>0.125</v>
      </c>
      <c r="AK122" s="665">
        <f t="shared" si="49"/>
        <v>0.125</v>
      </c>
      <c r="AL122" s="665">
        <f t="shared" si="49"/>
        <v>0.125</v>
      </c>
      <c r="AM122" s="665">
        <f t="shared" si="49"/>
        <v>0.125</v>
      </c>
      <c r="AN122" s="666">
        <f t="shared" si="49"/>
        <v>0.125</v>
      </c>
    </row>
    <row r="123" spans="1:44" ht="15" x14ac:dyDescent="0.2">
      <c r="A123" s="598"/>
      <c r="B123" s="144"/>
      <c r="C123" s="144">
        <f t="shared" si="50"/>
        <v>27</v>
      </c>
      <c r="D123" s="600" t="s">
        <v>361</v>
      </c>
      <c r="E123" s="145" t="s">
        <v>310</v>
      </c>
      <c r="F123" s="147" t="s">
        <v>44</v>
      </c>
      <c r="G123" s="118" t="s">
        <v>41</v>
      </c>
      <c r="H123" s="118"/>
      <c r="I123" s="118" t="s">
        <v>75</v>
      </c>
      <c r="J123" s="118">
        <f>+IF(AND(AD123=Dashboard!$DN$8,Dashboard!$DN$9=1),Dashboard!J37,0)+IF(AND(AD123=Dashboard!$DO$8,Dashboard!$DO$9=1),Dashboard!J37,0)+IF(AND(AD123=Dashboard!$DP$8,Dashboard!$DP$9=1),Dashboard!J37,0)</f>
        <v>1</v>
      </c>
      <c r="K123" s="145" t="s">
        <v>303</v>
      </c>
      <c r="L123" s="306">
        <v>600000</v>
      </c>
      <c r="M123" s="316">
        <f t="shared" si="51"/>
        <v>600000</v>
      </c>
      <c r="N123" s="565">
        <v>2</v>
      </c>
      <c r="O123" s="119">
        <v>45845</v>
      </c>
      <c r="P123" s="119">
        <v>46139</v>
      </c>
      <c r="Q123" s="611">
        <f t="shared" si="47"/>
        <v>10</v>
      </c>
      <c r="R123" s="118" t="s">
        <v>77</v>
      </c>
      <c r="S123" s="118"/>
      <c r="T123" s="156">
        <v>45845</v>
      </c>
      <c r="U123" s="156">
        <v>46139</v>
      </c>
      <c r="V123" s="611">
        <f t="shared" si="48"/>
        <v>10</v>
      </c>
      <c r="W123" s="121">
        <f>+SUMIFS('Listas y Parametros'!$C$44:$L$44,'Listas y Parametros'!$C$35:$L$35,'Gantt Proyectos'!AC123)*J123*'EDP Proyectado'!Q55</f>
        <v>1.5111856823266216</v>
      </c>
      <c r="X123" s="122">
        <f>+SUMIFS('Listas y Parametros'!$C$38:$L$38,'Listas y Parametros'!$C$35:$L$35,'Gantt Proyectos'!AC123)*J123</f>
        <v>0.5</v>
      </c>
      <c r="Y123" s="122">
        <f>+SUMIFS('Listas y Parametros'!$C$39:$L$39,'Listas y Parametros'!$C$35:$L$35,'Gantt Proyectos'!AC123)*J123</f>
        <v>0.5</v>
      </c>
      <c r="Z123" s="122">
        <f>+SUMIFS('Listas y Parametros'!$C$40:$L$40,'Listas y Parametros'!$C$35:$L$35,'Gantt Proyectos'!AC123)*J123</f>
        <v>0.75</v>
      </c>
      <c r="AA123" s="122">
        <f>+SUMIFS('Listas y Parametros'!$C$41:$L$41,'Listas y Parametros'!$C$35:$L$35,'Gantt Proyectos'!AC123)*J123</f>
        <v>2</v>
      </c>
      <c r="AB123" s="122">
        <f>+SUMIFS('Listas y Parametros'!$C$42:$L$42,'Listas y Parametros'!$C$35:$L$35,'Gantt Proyectos'!AC123)*J123</f>
        <v>1</v>
      </c>
      <c r="AC123" s="152" t="s">
        <v>82</v>
      </c>
      <c r="AD123" s="123" t="s">
        <v>5</v>
      </c>
      <c r="AE123" s="123" t="s">
        <v>89</v>
      </c>
      <c r="AF123" s="332">
        <f t="shared" si="49"/>
        <v>0</v>
      </c>
      <c r="AG123" s="665">
        <f t="shared" si="49"/>
        <v>0</v>
      </c>
      <c r="AH123" s="665">
        <f t="shared" si="49"/>
        <v>0</v>
      </c>
      <c r="AI123" s="665">
        <f t="shared" si="49"/>
        <v>0.1</v>
      </c>
      <c r="AJ123" s="665">
        <f t="shared" si="49"/>
        <v>0.1</v>
      </c>
      <c r="AK123" s="665">
        <f t="shared" si="49"/>
        <v>0.1</v>
      </c>
      <c r="AL123" s="665">
        <f t="shared" si="49"/>
        <v>0.1</v>
      </c>
      <c r="AM123" s="665">
        <f t="shared" si="49"/>
        <v>0.1</v>
      </c>
      <c r="AN123" s="666">
        <f t="shared" si="49"/>
        <v>0.1</v>
      </c>
    </row>
    <row r="124" spans="1:44" ht="15" x14ac:dyDescent="0.2">
      <c r="A124" s="598"/>
      <c r="B124" s="144"/>
      <c r="C124" s="144">
        <f t="shared" si="50"/>
        <v>28</v>
      </c>
      <c r="D124" s="336" t="s">
        <v>362</v>
      </c>
      <c r="E124" s="145" t="s">
        <v>363</v>
      </c>
      <c r="F124" s="147" t="s">
        <v>41</v>
      </c>
      <c r="G124" s="145" t="s">
        <v>41</v>
      </c>
      <c r="H124" s="145"/>
      <c r="I124" s="145" t="s">
        <v>71</v>
      </c>
      <c r="J124" s="145">
        <f>+IF(AND(AD124=Dashboard!$DN$8,Dashboard!$DN$9=1),Dashboard!J38,0)+IF(AND(AD124=Dashboard!$DO$8,Dashboard!$DO$9=1),Dashboard!J38,0)+IF(AND(AD124=Dashboard!$DP$8,Dashboard!$DP$9=1),Dashboard!J38,0)</f>
        <v>0</v>
      </c>
      <c r="K124" s="145" t="s">
        <v>289</v>
      </c>
      <c r="L124" s="614">
        <f>+_xlfn.XLOOKUP(B124,'[2]Proyectos (NO FILTRAR)'!$B:$B,'[2]Proyectos (NO FILTRAR)'!$O:$O,"!",0,1)</f>
        <v>0</v>
      </c>
      <c r="M124" s="460">
        <f t="shared" si="51"/>
        <v>0</v>
      </c>
      <c r="N124" s="613">
        <v>2</v>
      </c>
      <c r="O124" s="615">
        <v>45782</v>
      </c>
      <c r="P124" s="615">
        <v>45866</v>
      </c>
      <c r="Q124" s="616">
        <f t="shared" si="47"/>
        <v>3</v>
      </c>
      <c r="R124" s="145" t="s">
        <v>77</v>
      </c>
      <c r="S124" s="145"/>
      <c r="T124" s="617">
        <v>45782</v>
      </c>
      <c r="U124" s="617">
        <v>45866</v>
      </c>
      <c r="V124" s="616">
        <f t="shared" si="48"/>
        <v>3</v>
      </c>
      <c r="W124" s="121">
        <f>+SUMIFS('Listas y Parametros'!$C$44:$L$44,'Listas y Parametros'!$C$35:$L$35,'Gantt Proyectos'!AC124)*J124*'EDP Proyectado'!Q56</f>
        <v>0</v>
      </c>
      <c r="X124" s="122">
        <f>+SUMIFS('Listas y Parametros'!$C$38:$L$38,'Listas y Parametros'!$C$35:$L$35,'Gantt Proyectos'!AC124)*J124</f>
        <v>0</v>
      </c>
      <c r="Y124" s="122">
        <f>+SUMIFS('Listas y Parametros'!$C$39:$L$39,'Listas y Parametros'!$C$35:$L$35,'Gantt Proyectos'!AC124)*J124</f>
        <v>0</v>
      </c>
      <c r="Z124" s="122">
        <f>+SUMIFS('Listas y Parametros'!$C$40:$L$40,'Listas y Parametros'!$C$35:$L$35,'Gantt Proyectos'!AC124)*J124</f>
        <v>0</v>
      </c>
      <c r="AA124" s="122">
        <f>+SUMIFS('Listas y Parametros'!$C$41:$L$41,'Listas y Parametros'!$C$35:$L$35,'Gantt Proyectos'!AC124)*J124</f>
        <v>0</v>
      </c>
      <c r="AB124" s="122">
        <f>+SUMIFS('Listas y Parametros'!$C$42:$L$42,'Listas y Parametros'!$C$35:$L$35,'Gantt Proyectos'!AC124)*J124</f>
        <v>0</v>
      </c>
      <c r="AC124" s="152" t="s">
        <v>88</v>
      </c>
      <c r="AD124" s="123" t="s">
        <v>5</v>
      </c>
      <c r="AE124" s="123" t="s">
        <v>89</v>
      </c>
      <c r="AF124" s="332">
        <f t="shared" si="49"/>
        <v>0</v>
      </c>
      <c r="AG124" s="665">
        <f t="shared" si="49"/>
        <v>0</v>
      </c>
      <c r="AH124" s="665">
        <f t="shared" si="49"/>
        <v>0</v>
      </c>
      <c r="AI124" s="665">
        <f t="shared" si="49"/>
        <v>0</v>
      </c>
      <c r="AJ124" s="665">
        <f t="shared" si="49"/>
        <v>0</v>
      </c>
      <c r="AK124" s="665">
        <f t="shared" si="49"/>
        <v>0</v>
      </c>
      <c r="AL124" s="665">
        <f t="shared" si="49"/>
        <v>0</v>
      </c>
      <c r="AM124" s="665">
        <f t="shared" si="49"/>
        <v>0</v>
      </c>
      <c r="AN124" s="666">
        <f t="shared" si="49"/>
        <v>0</v>
      </c>
    </row>
    <row r="125" spans="1:44" ht="15" x14ac:dyDescent="0.2">
      <c r="B125" s="144"/>
      <c r="C125" s="144">
        <f>+C124+1</f>
        <v>29</v>
      </c>
      <c r="D125" s="118" t="s">
        <v>364</v>
      </c>
      <c r="E125" s="145" t="s">
        <v>363</v>
      </c>
      <c r="F125" s="147" t="s">
        <v>41</v>
      </c>
      <c r="G125" s="118" t="s">
        <v>41</v>
      </c>
      <c r="H125" s="118"/>
      <c r="I125" s="118" t="s">
        <v>71</v>
      </c>
      <c r="J125" s="118">
        <f>+IF(AND(AD125=Dashboard!$DN$8,Dashboard!$DN$9=1),Dashboard!J39,0)+IF(AND(AD125=Dashboard!$DO$8,Dashboard!$DO$9=1),Dashboard!J39,0)+IF(AND(AD125=Dashboard!$DP$8,Dashboard!$DP$9=1),Dashboard!J39,0)</f>
        <v>1</v>
      </c>
      <c r="K125" s="145" t="s">
        <v>289</v>
      </c>
      <c r="L125" s="306">
        <v>300000</v>
      </c>
      <c r="M125" s="316">
        <f t="shared" si="51"/>
        <v>300000</v>
      </c>
      <c r="N125" s="565">
        <v>2</v>
      </c>
      <c r="O125" s="119">
        <v>45782</v>
      </c>
      <c r="P125" s="119">
        <v>45887</v>
      </c>
      <c r="Q125" s="611">
        <f t="shared" si="47"/>
        <v>4</v>
      </c>
      <c r="R125" s="118" t="s">
        <v>77</v>
      </c>
      <c r="S125" s="118"/>
      <c r="T125" s="156">
        <v>45782</v>
      </c>
      <c r="U125" s="156">
        <v>45887</v>
      </c>
      <c r="V125" s="611">
        <f t="shared" si="48"/>
        <v>4</v>
      </c>
      <c r="W125" s="121">
        <f>+SUMIFS('Listas y Parametros'!$C$44:$L$44,'Listas y Parametros'!$C$35:$L$35,'Gantt Proyectos'!AC125)*J125*'EDP Proyectado'!Q57</f>
        <v>0.72035794183445179</v>
      </c>
      <c r="X125" s="122">
        <f>+SUMIFS('Listas y Parametros'!$C$38:$L$38,'Listas y Parametros'!$C$35:$L$35,'Gantt Proyectos'!AC125)*J125</f>
        <v>0.25</v>
      </c>
      <c r="Y125" s="122">
        <f>+SUMIFS('Listas y Parametros'!$C$39:$L$39,'Listas y Parametros'!$C$35:$L$35,'Gantt Proyectos'!AC125)*J125</f>
        <v>0.33</v>
      </c>
      <c r="Z125" s="122">
        <f>+SUMIFS('Listas y Parametros'!$C$40:$L$40,'Listas y Parametros'!$C$35:$L$35,'Gantt Proyectos'!AC125)*J125</f>
        <v>0</v>
      </c>
      <c r="AA125" s="122">
        <f>+SUMIFS('Listas y Parametros'!$C$41:$L$41,'Listas y Parametros'!$C$35:$L$35,'Gantt Proyectos'!AC125)*J125</f>
        <v>0.5</v>
      </c>
      <c r="AB125" s="122">
        <f>+SUMIFS('Listas y Parametros'!$C$42:$L$42,'Listas y Parametros'!$C$35:$L$35,'Gantt Proyectos'!AC125)*J125</f>
        <v>0.5</v>
      </c>
      <c r="AC125" s="152" t="s">
        <v>72</v>
      </c>
      <c r="AD125" s="123" t="s">
        <v>3</v>
      </c>
      <c r="AE125" s="123" t="s">
        <v>83</v>
      </c>
      <c r="AF125" s="332">
        <f t="shared" si="49"/>
        <v>0</v>
      </c>
      <c r="AG125" s="665">
        <f t="shared" si="49"/>
        <v>0.25</v>
      </c>
      <c r="AH125" s="665">
        <f t="shared" si="49"/>
        <v>0.25</v>
      </c>
      <c r="AI125" s="665">
        <f t="shared" si="49"/>
        <v>0.25</v>
      </c>
      <c r="AJ125" s="665">
        <f t="shared" si="49"/>
        <v>0.25</v>
      </c>
      <c r="AK125" s="665">
        <f t="shared" si="49"/>
        <v>0</v>
      </c>
      <c r="AL125" s="665">
        <f t="shared" si="49"/>
        <v>0</v>
      </c>
      <c r="AM125" s="665">
        <f t="shared" si="49"/>
        <v>0</v>
      </c>
      <c r="AN125" s="666">
        <f t="shared" si="49"/>
        <v>0</v>
      </c>
    </row>
    <row r="126" spans="1:44" ht="15" x14ac:dyDescent="0.2">
      <c r="A126" s="598"/>
      <c r="B126" s="144"/>
      <c r="C126" s="144">
        <f t="shared" si="50"/>
        <v>30</v>
      </c>
      <c r="D126" s="609" t="s">
        <v>365</v>
      </c>
      <c r="E126" s="145" t="s">
        <v>366</v>
      </c>
      <c r="F126" s="147" t="s">
        <v>46</v>
      </c>
      <c r="G126" s="118" t="s">
        <v>41</v>
      </c>
      <c r="H126" s="118"/>
      <c r="I126" s="118" t="s">
        <v>75</v>
      </c>
      <c r="J126" s="118">
        <f>+IF(AND(AD126=Dashboard!$DN$8,Dashboard!$DN$9=1),Dashboard!J40,0)+IF(AND(AD126=Dashboard!$DO$8,Dashboard!$DO$9=1),Dashboard!J40,0)+IF(AND(AD126=Dashboard!$DP$8,Dashboard!$DP$9=1),Dashboard!J40,0)</f>
        <v>1</v>
      </c>
      <c r="K126" s="145" t="s">
        <v>343</v>
      </c>
      <c r="L126" s="306">
        <v>300000</v>
      </c>
      <c r="M126" s="316">
        <f t="shared" si="51"/>
        <v>300000</v>
      </c>
      <c r="N126" s="565">
        <v>2</v>
      </c>
      <c r="O126" s="119">
        <v>45838</v>
      </c>
      <c r="P126" s="119">
        <v>46023</v>
      </c>
      <c r="Q126" s="611">
        <f t="shared" si="47"/>
        <v>7</v>
      </c>
      <c r="R126" s="118" t="s">
        <v>77</v>
      </c>
      <c r="S126" s="118"/>
      <c r="T126" s="119">
        <v>45838</v>
      </c>
      <c r="U126" s="119">
        <v>46023</v>
      </c>
      <c r="V126" s="611">
        <f t="shared" si="48"/>
        <v>7</v>
      </c>
      <c r="W126" s="121">
        <f>+SUMIFS('Listas y Parametros'!$C$44:$L$44,'Listas y Parametros'!$C$35:$L$35,'Gantt Proyectos'!AC126)*J126*'EDP Proyectado'!Q58</f>
        <v>0.1</v>
      </c>
      <c r="X126" s="122">
        <f>+SUMIFS('Listas y Parametros'!$C$38:$L$38,'Listas y Parametros'!$C$35:$L$35,'Gantt Proyectos'!AC126)*J126</f>
        <v>0.33</v>
      </c>
      <c r="Y126" s="122">
        <f>+SUMIFS('Listas y Parametros'!$C$39:$L$39,'Listas y Parametros'!$C$35:$L$35,'Gantt Proyectos'!AC126)*J126</f>
        <v>0.5</v>
      </c>
      <c r="Z126" s="122">
        <f>+SUMIFS('Listas y Parametros'!$C$40:$L$40,'Listas y Parametros'!$C$35:$L$35,'Gantt Proyectos'!AC126)*J126</f>
        <v>0.33</v>
      </c>
      <c r="AA126" s="122">
        <f>+SUMIFS('Listas y Parametros'!$C$41:$L$41,'Listas y Parametros'!$C$35:$L$35,'Gantt Proyectos'!AC126)*J126</f>
        <v>1</v>
      </c>
      <c r="AB126" s="122">
        <f>+SUMIFS('Listas y Parametros'!$C$42:$L$42,'Listas y Parametros'!$C$35:$L$35,'Gantt Proyectos'!AC126)*J126</f>
        <v>0</v>
      </c>
      <c r="AC126" s="152" t="s">
        <v>88</v>
      </c>
      <c r="AD126" s="123" t="s">
        <v>5</v>
      </c>
      <c r="AE126" s="123" t="s">
        <v>89</v>
      </c>
      <c r="AF126" s="332">
        <f t="shared" si="49"/>
        <v>0</v>
      </c>
      <c r="AG126" s="665">
        <f t="shared" si="49"/>
        <v>0</v>
      </c>
      <c r="AH126" s="665">
        <f t="shared" si="49"/>
        <v>0.14285714285714285</v>
      </c>
      <c r="AI126" s="665">
        <f t="shared" si="49"/>
        <v>0.14285714285714285</v>
      </c>
      <c r="AJ126" s="665">
        <f t="shared" si="49"/>
        <v>0.14285714285714285</v>
      </c>
      <c r="AK126" s="665">
        <f t="shared" si="49"/>
        <v>0.14285714285714285</v>
      </c>
      <c r="AL126" s="665">
        <f t="shared" si="49"/>
        <v>0.14285714285714285</v>
      </c>
      <c r="AM126" s="665">
        <f t="shared" si="49"/>
        <v>0.14285714285714285</v>
      </c>
      <c r="AN126" s="666">
        <f t="shared" si="49"/>
        <v>0.14285714285714285</v>
      </c>
    </row>
    <row r="127" spans="1:44" ht="15" x14ac:dyDescent="0.2">
      <c r="A127" s="598"/>
      <c r="B127" s="144"/>
      <c r="C127" s="144">
        <f t="shared" si="50"/>
        <v>31</v>
      </c>
      <c r="D127" s="599" t="s">
        <v>367</v>
      </c>
      <c r="E127" s="145" t="s">
        <v>368</v>
      </c>
      <c r="F127" s="147" t="s">
        <v>41</v>
      </c>
      <c r="G127" s="118" t="s">
        <v>41</v>
      </c>
      <c r="H127" s="118"/>
      <c r="I127" s="118" t="s">
        <v>75</v>
      </c>
      <c r="J127" s="118">
        <f>+IF(AND(AD127=Dashboard!$DN$8,Dashboard!$DN$9=1),Dashboard!J41,0)+IF(AND(AD127=Dashboard!$DO$8,Dashboard!$DO$9=1),Dashboard!J41,0)+IF(AND(AD127=Dashboard!$DP$8,Dashboard!$DP$9=1),Dashboard!J41,0)</f>
        <v>1</v>
      </c>
      <c r="K127" s="145" t="s">
        <v>295</v>
      </c>
      <c r="L127" s="306">
        <v>300000</v>
      </c>
      <c r="M127" s="316">
        <f t="shared" si="51"/>
        <v>300000</v>
      </c>
      <c r="N127" s="565">
        <v>2</v>
      </c>
      <c r="O127" s="119">
        <v>45859</v>
      </c>
      <c r="P127" s="119">
        <v>45978</v>
      </c>
      <c r="Q127" s="611">
        <f t="shared" si="47"/>
        <v>4</v>
      </c>
      <c r="R127" s="118" t="s">
        <v>77</v>
      </c>
      <c r="S127" s="118"/>
      <c r="T127" s="156">
        <v>45859</v>
      </c>
      <c r="U127" s="156">
        <v>45978</v>
      </c>
      <c r="V127" s="611">
        <f t="shared" si="48"/>
        <v>4</v>
      </c>
      <c r="W127" s="121">
        <f>+SUMIFS('Listas y Parametros'!$C$44:$L$44,'Listas y Parametros'!$C$35:$L$35,'Gantt Proyectos'!AC127)*J127*'EDP Proyectado'!Q59</f>
        <v>0.28948545861297537</v>
      </c>
      <c r="X127" s="122">
        <f>+SUMIFS('Listas y Parametros'!$C$38:$L$38,'Listas y Parametros'!$C$35:$L$35,'Gantt Proyectos'!AC127)*J127</f>
        <v>0.33</v>
      </c>
      <c r="Y127" s="122">
        <f>+SUMIFS('Listas y Parametros'!$C$39:$L$39,'Listas y Parametros'!$C$35:$L$35,'Gantt Proyectos'!AC127)*J127</f>
        <v>0.5</v>
      </c>
      <c r="Z127" s="122">
        <f>+SUMIFS('Listas y Parametros'!$C$40:$L$40,'Listas y Parametros'!$C$35:$L$35,'Gantt Proyectos'!AC127)*J127</f>
        <v>0.33</v>
      </c>
      <c r="AA127" s="122">
        <f>+SUMIFS('Listas y Parametros'!$C$41:$L$41,'Listas y Parametros'!$C$35:$L$35,'Gantt Proyectos'!AC127)*J127</f>
        <v>1</v>
      </c>
      <c r="AB127" s="122">
        <f>+SUMIFS('Listas y Parametros'!$C$42:$L$42,'Listas y Parametros'!$C$35:$L$35,'Gantt Proyectos'!AC127)*J127</f>
        <v>1</v>
      </c>
      <c r="AC127" s="152" t="s">
        <v>80</v>
      </c>
      <c r="AD127" s="123" t="s">
        <v>5</v>
      </c>
      <c r="AE127" s="123" t="s">
        <v>89</v>
      </c>
      <c r="AF127" s="332">
        <f t="shared" si="49"/>
        <v>0</v>
      </c>
      <c r="AG127" s="665">
        <f t="shared" si="49"/>
        <v>0</v>
      </c>
      <c r="AH127" s="665">
        <f t="shared" si="49"/>
        <v>0</v>
      </c>
      <c r="AI127" s="665">
        <f t="shared" si="49"/>
        <v>0.25</v>
      </c>
      <c r="AJ127" s="665">
        <f t="shared" si="49"/>
        <v>0.25</v>
      </c>
      <c r="AK127" s="665">
        <f t="shared" si="49"/>
        <v>0.25</v>
      </c>
      <c r="AL127" s="665">
        <f t="shared" si="49"/>
        <v>0.25</v>
      </c>
      <c r="AM127" s="665">
        <f t="shared" si="49"/>
        <v>0.25</v>
      </c>
      <c r="AN127" s="666">
        <f t="shared" si="49"/>
        <v>0</v>
      </c>
    </row>
    <row r="128" spans="1:44" ht="15" x14ac:dyDescent="0.2">
      <c r="A128" s="598"/>
      <c r="B128" s="144"/>
      <c r="C128" s="144">
        <f t="shared" si="50"/>
        <v>32</v>
      </c>
      <c r="D128" s="336" t="s">
        <v>369</v>
      </c>
      <c r="E128" s="145" t="s">
        <v>363</v>
      </c>
      <c r="F128" s="147" t="s">
        <v>41</v>
      </c>
      <c r="G128" s="118" t="s">
        <v>41</v>
      </c>
      <c r="H128" s="118"/>
      <c r="I128" s="118" t="s">
        <v>75</v>
      </c>
      <c r="J128" s="118">
        <f>+IF(AND(AD128=Dashboard!$DN$8,Dashboard!$DN$9=1),Dashboard!J42,0)+IF(AND(AD128=Dashboard!$DO$8,Dashboard!$DO$9=1),Dashboard!J42,0)+IF(AND(AD128=Dashboard!$DP$8,Dashboard!$DP$9=1),Dashboard!J42,0)</f>
        <v>0</v>
      </c>
      <c r="K128" s="145" t="s">
        <v>303</v>
      </c>
      <c r="L128" s="306">
        <v>1300000</v>
      </c>
      <c r="M128" s="316">
        <f t="shared" si="51"/>
        <v>1300000</v>
      </c>
      <c r="N128" s="565">
        <v>2</v>
      </c>
      <c r="O128" s="119">
        <v>45796</v>
      </c>
      <c r="P128" s="119">
        <v>46020</v>
      </c>
      <c r="Q128" s="611">
        <f t="shared" si="47"/>
        <v>8</v>
      </c>
      <c r="R128" s="118" t="s">
        <v>77</v>
      </c>
      <c r="S128" s="118"/>
      <c r="T128" s="156">
        <v>45796</v>
      </c>
      <c r="U128" s="156">
        <v>46020</v>
      </c>
      <c r="V128" s="611">
        <f t="shared" si="48"/>
        <v>8</v>
      </c>
      <c r="W128" s="121">
        <f>+SUMIFS('Listas y Parametros'!$C$44:$L$44,'Listas y Parametros'!$C$35:$L$35,'Gantt Proyectos'!AC128)*J128*'EDP Proyectado'!Q60</f>
        <v>0</v>
      </c>
      <c r="X128" s="122">
        <f>+SUMIFS('Listas y Parametros'!$C$38:$L$38,'Listas y Parametros'!$C$35:$L$35,'Gantt Proyectos'!AC128)*J128</f>
        <v>0</v>
      </c>
      <c r="Y128" s="122">
        <f>+SUMIFS('Listas y Parametros'!$C$39:$L$39,'Listas y Parametros'!$C$35:$L$35,'Gantt Proyectos'!AC128)*J128</f>
        <v>0</v>
      </c>
      <c r="Z128" s="122">
        <f>+SUMIFS('Listas y Parametros'!$C$40:$L$40,'Listas y Parametros'!$C$35:$L$35,'Gantt Proyectos'!AC128)*J128</f>
        <v>0</v>
      </c>
      <c r="AA128" s="122">
        <f>+SUMIFS('Listas y Parametros'!$C$41:$L$41,'Listas y Parametros'!$C$35:$L$35,'Gantt Proyectos'!AC128)*J128</f>
        <v>0</v>
      </c>
      <c r="AB128" s="122">
        <f>+SUMIFS('Listas y Parametros'!$C$42:$L$42,'Listas y Parametros'!$C$35:$L$35,'Gantt Proyectos'!AC128)*J128</f>
        <v>0</v>
      </c>
      <c r="AC128" s="152" t="s">
        <v>84</v>
      </c>
      <c r="AD128" s="123" t="s">
        <v>5</v>
      </c>
      <c r="AE128" s="123" t="s">
        <v>89</v>
      </c>
      <c r="AF128" s="332">
        <f t="shared" si="49"/>
        <v>0</v>
      </c>
      <c r="AG128" s="665">
        <f t="shared" si="49"/>
        <v>0</v>
      </c>
      <c r="AH128" s="665">
        <f t="shared" si="49"/>
        <v>0</v>
      </c>
      <c r="AI128" s="665">
        <f t="shared" si="49"/>
        <v>0</v>
      </c>
      <c r="AJ128" s="665">
        <f t="shared" si="49"/>
        <v>0</v>
      </c>
      <c r="AK128" s="665">
        <f t="shared" si="49"/>
        <v>0</v>
      </c>
      <c r="AL128" s="665">
        <f t="shared" si="49"/>
        <v>0</v>
      </c>
      <c r="AM128" s="665">
        <f t="shared" si="49"/>
        <v>0</v>
      </c>
      <c r="AN128" s="666">
        <f t="shared" si="49"/>
        <v>0</v>
      </c>
    </row>
    <row r="129" spans="1:40" ht="15" x14ac:dyDescent="0.2">
      <c r="B129" s="144" t="s">
        <v>370</v>
      </c>
      <c r="C129" s="144">
        <f t="shared" si="50"/>
        <v>33</v>
      </c>
      <c r="D129" s="118" t="s">
        <v>371</v>
      </c>
      <c r="E129" s="145" t="s">
        <v>372</v>
      </c>
      <c r="F129" s="147" t="s">
        <v>45</v>
      </c>
      <c r="G129" s="118" t="s">
        <v>41</v>
      </c>
      <c r="H129" s="118" t="s">
        <v>44</v>
      </c>
      <c r="I129" s="118" t="s">
        <v>75</v>
      </c>
      <c r="J129" s="118">
        <f>+IF(AND(AD129=Dashboard!$DN$8,Dashboard!$DN$9=1),Dashboard!J43,0)+IF(AND(AD129=Dashboard!$DO$8,Dashboard!$DO$9=1),Dashboard!J43,0)+IF(AND(AD129=Dashboard!$DP$8,Dashboard!$DP$9=1),Dashboard!J43,0)</f>
        <v>1</v>
      </c>
      <c r="K129" s="145" t="s">
        <v>133</v>
      </c>
      <c r="L129" s="306">
        <v>490000</v>
      </c>
      <c r="M129" s="316">
        <f t="shared" si="51"/>
        <v>490000</v>
      </c>
      <c r="N129" s="565">
        <v>2</v>
      </c>
      <c r="O129" s="119">
        <v>45789</v>
      </c>
      <c r="P129" s="119">
        <v>45985</v>
      </c>
      <c r="Q129" s="611">
        <f t="shared" si="47"/>
        <v>7</v>
      </c>
      <c r="R129" s="118" t="s">
        <v>77</v>
      </c>
      <c r="S129" s="118"/>
      <c r="T129" s="119">
        <v>45789</v>
      </c>
      <c r="U129" s="119">
        <v>45985</v>
      </c>
      <c r="V129" s="611">
        <f t="shared" si="48"/>
        <v>7</v>
      </c>
      <c r="W129" s="121">
        <f>+SUMIFS('Listas y Parametros'!$C$44:$L$44,'Listas y Parametros'!$C$35:$L$35,'Gantt Proyectos'!AC129)*J129*'EDP Proyectado'!Q61</f>
        <v>1.4474272930648799</v>
      </c>
      <c r="X129" s="122">
        <f>+SUMIFS('Listas y Parametros'!$C$38:$L$38,'Listas y Parametros'!$C$35:$L$35,'Gantt Proyectos'!AC129)*J129</f>
        <v>0.33</v>
      </c>
      <c r="Y129" s="122">
        <f>+SUMIFS('Listas y Parametros'!$C$39:$L$39,'Listas y Parametros'!$C$35:$L$35,'Gantt Proyectos'!AC129)*J129</f>
        <v>0.5</v>
      </c>
      <c r="Z129" s="122">
        <f>+SUMIFS('Listas y Parametros'!$C$40:$L$40,'Listas y Parametros'!$C$35:$L$35,'Gantt Proyectos'!AC129)*J129</f>
        <v>0.33</v>
      </c>
      <c r="AA129" s="122">
        <f>+SUMIFS('Listas y Parametros'!$C$41:$L$41,'Listas y Parametros'!$C$35:$L$35,'Gantt Proyectos'!AC129)*J129</f>
        <v>1</v>
      </c>
      <c r="AB129" s="122">
        <f>+SUMIFS('Listas y Parametros'!$C$42:$L$42,'Listas y Parametros'!$C$35:$L$35,'Gantt Proyectos'!AC129)*J129</f>
        <v>1</v>
      </c>
      <c r="AC129" s="152" t="s">
        <v>90</v>
      </c>
      <c r="AD129" s="123" t="s">
        <v>3</v>
      </c>
      <c r="AE129" s="123" t="s">
        <v>83</v>
      </c>
      <c r="AF129" s="332">
        <f t="shared" si="49"/>
        <v>0</v>
      </c>
      <c r="AG129" s="665">
        <f t="shared" si="49"/>
        <v>0.14285714285714285</v>
      </c>
      <c r="AH129" s="665">
        <f t="shared" si="49"/>
        <v>0.14285714285714285</v>
      </c>
      <c r="AI129" s="665">
        <f t="shared" si="49"/>
        <v>0.14285714285714285</v>
      </c>
      <c r="AJ129" s="665">
        <f t="shared" si="49"/>
        <v>0.14285714285714285</v>
      </c>
      <c r="AK129" s="665">
        <f t="shared" si="49"/>
        <v>0.14285714285714285</v>
      </c>
      <c r="AL129" s="665">
        <f t="shared" si="49"/>
        <v>0.14285714285714285</v>
      </c>
      <c r="AM129" s="665">
        <f t="shared" si="49"/>
        <v>0.14285714285714285</v>
      </c>
      <c r="AN129" s="666">
        <f t="shared" si="49"/>
        <v>0</v>
      </c>
    </row>
    <row r="130" spans="1:40" ht="15" x14ac:dyDescent="0.2">
      <c r="A130" s="598"/>
      <c r="B130" s="144"/>
      <c r="C130" s="144">
        <f t="shared" si="50"/>
        <v>34</v>
      </c>
      <c r="D130" s="599" t="s">
        <v>373</v>
      </c>
      <c r="E130" s="145" t="s">
        <v>316</v>
      </c>
      <c r="F130" s="147" t="s">
        <v>45</v>
      </c>
      <c r="G130" s="118" t="s">
        <v>41</v>
      </c>
      <c r="H130" s="118"/>
      <c r="I130" s="118" t="s">
        <v>75</v>
      </c>
      <c r="J130" s="118">
        <f>+IF(AND(AD130=Dashboard!$DN$8,Dashboard!$DN$9=1),Dashboard!J44,0)+IF(AND(AD130=Dashboard!$DO$8,Dashboard!$DO$9=1),Dashboard!J44,0)+IF(AND(AD130=Dashboard!$DP$8,Dashboard!$DP$9=1),Dashboard!J44,0)</f>
        <v>1</v>
      </c>
      <c r="K130" s="145" t="s">
        <v>133</v>
      </c>
      <c r="L130" s="306">
        <v>2400000</v>
      </c>
      <c r="M130" s="316">
        <f t="shared" si="51"/>
        <v>2400000</v>
      </c>
      <c r="N130" s="565">
        <v>2</v>
      </c>
      <c r="O130" s="119">
        <v>45850</v>
      </c>
      <c r="P130" s="119">
        <v>46128</v>
      </c>
      <c r="Q130" s="611">
        <f t="shared" si="47"/>
        <v>10</v>
      </c>
      <c r="R130" s="118" t="s">
        <v>77</v>
      </c>
      <c r="S130" s="118"/>
      <c r="T130" s="119">
        <v>45850</v>
      </c>
      <c r="U130" s="119">
        <v>46128</v>
      </c>
      <c r="V130" s="611">
        <f t="shared" si="48"/>
        <v>10</v>
      </c>
      <c r="W130" s="121">
        <f>+SUMIFS('Listas y Parametros'!$C$44:$L$44,'Listas y Parametros'!$C$35:$L$35,'Gantt Proyectos'!AC130)*J130*'EDP Proyectado'!Q62</f>
        <v>0.51006711409395977</v>
      </c>
      <c r="X130" s="122">
        <f>+SUMIFS('Listas y Parametros'!$C$38:$L$38,'Listas y Parametros'!$C$35:$L$35,'Gantt Proyectos'!AC130)*J130</f>
        <v>0.5</v>
      </c>
      <c r="Y130" s="122">
        <f>+SUMIFS('Listas y Parametros'!$C$39:$L$39,'Listas y Parametros'!$C$35:$L$35,'Gantt Proyectos'!AC130)*J130</f>
        <v>0.67</v>
      </c>
      <c r="Z130" s="122">
        <f>+SUMIFS('Listas y Parametros'!$C$40:$L$40,'Listas y Parametros'!$C$35:$L$35,'Gantt Proyectos'!AC130)*J130</f>
        <v>1</v>
      </c>
      <c r="AA130" s="122">
        <f>+SUMIFS('Listas y Parametros'!$C$41:$L$41,'Listas y Parametros'!$C$35:$L$35,'Gantt Proyectos'!AC130)*J130</f>
        <v>2.5</v>
      </c>
      <c r="AB130" s="122">
        <f>+SUMIFS('Listas y Parametros'!$C$42:$L$42,'Listas y Parametros'!$C$35:$L$35,'Gantt Proyectos'!AC130)*J130</f>
        <v>1</v>
      </c>
      <c r="AC130" s="152" t="s">
        <v>84</v>
      </c>
      <c r="AD130" s="123" t="s">
        <v>5</v>
      </c>
      <c r="AE130" s="123" t="s">
        <v>89</v>
      </c>
      <c r="AF130" s="332">
        <f t="shared" si="49"/>
        <v>0</v>
      </c>
      <c r="AG130" s="665">
        <f t="shared" si="49"/>
        <v>0</v>
      </c>
      <c r="AH130" s="665">
        <f t="shared" si="49"/>
        <v>0</v>
      </c>
      <c r="AI130" s="665">
        <f t="shared" si="49"/>
        <v>0.1</v>
      </c>
      <c r="AJ130" s="665">
        <f t="shared" si="49"/>
        <v>0.1</v>
      </c>
      <c r="AK130" s="665">
        <f t="shared" si="49"/>
        <v>0.1</v>
      </c>
      <c r="AL130" s="665">
        <f t="shared" si="49"/>
        <v>0.1</v>
      </c>
      <c r="AM130" s="665">
        <f t="shared" si="49"/>
        <v>0.1</v>
      </c>
      <c r="AN130" s="666">
        <f t="shared" si="49"/>
        <v>0.1</v>
      </c>
    </row>
    <row r="131" spans="1:40" ht="15" x14ac:dyDescent="0.2">
      <c r="A131" s="598"/>
      <c r="B131" s="144"/>
      <c r="C131" s="144">
        <f t="shared" si="50"/>
        <v>35</v>
      </c>
      <c r="D131" s="599" t="s">
        <v>374</v>
      </c>
      <c r="E131" s="145" t="s">
        <v>288</v>
      </c>
      <c r="F131" s="147" t="s">
        <v>41</v>
      </c>
      <c r="G131" s="118" t="s">
        <v>41</v>
      </c>
      <c r="H131" s="118"/>
      <c r="I131" s="118" t="s">
        <v>75</v>
      </c>
      <c r="J131" s="118">
        <f>+IF(AND(AD131=Dashboard!$DN$8,Dashboard!$DN$9=1),Dashboard!J45,0)+IF(AND(AD131=Dashboard!$DO$8,Dashboard!$DO$9=1),Dashboard!J45,0)+IF(AND(AD131=Dashboard!$DP$8,Dashboard!$DP$9=1),Dashboard!J45,0)</f>
        <v>1</v>
      </c>
      <c r="K131" s="145" t="s">
        <v>133</v>
      </c>
      <c r="L131" s="306">
        <v>160000</v>
      </c>
      <c r="M131" s="316">
        <f t="shared" si="51"/>
        <v>160000</v>
      </c>
      <c r="N131" s="565">
        <v>2</v>
      </c>
      <c r="O131" s="119">
        <v>45824</v>
      </c>
      <c r="P131" s="119">
        <v>46027</v>
      </c>
      <c r="Q131" s="611">
        <f t="shared" si="47"/>
        <v>7</v>
      </c>
      <c r="R131" s="118" t="s">
        <v>77</v>
      </c>
      <c r="S131" s="118"/>
      <c r="T131" s="156">
        <v>45824</v>
      </c>
      <c r="U131" s="156">
        <v>46027</v>
      </c>
      <c r="V131" s="611">
        <f t="shared" si="48"/>
        <v>7</v>
      </c>
      <c r="W131" s="121">
        <f>+SUMIFS('Listas y Parametros'!$C$44:$L$44,'Listas y Parametros'!$C$35:$L$35,'Gantt Proyectos'!AC131)*J131*'EDP Proyectado'!Q63</f>
        <v>0.14474272930648768</v>
      </c>
      <c r="X131" s="122">
        <f>+SUMIFS('Listas y Parametros'!$C$38:$L$38,'Listas y Parametros'!$C$35:$L$35,'Gantt Proyectos'!AC131)*J131</f>
        <v>0.33</v>
      </c>
      <c r="Y131" s="122">
        <f>+SUMIFS('Listas y Parametros'!$C$39:$L$39,'Listas y Parametros'!$C$35:$L$35,'Gantt Proyectos'!AC131)*J131</f>
        <v>0.5</v>
      </c>
      <c r="Z131" s="122">
        <f>+SUMIFS('Listas y Parametros'!$C$40:$L$40,'Listas y Parametros'!$C$35:$L$35,'Gantt Proyectos'!AC131)*J131</f>
        <v>0.33</v>
      </c>
      <c r="AA131" s="122">
        <f>+SUMIFS('Listas y Parametros'!$C$41:$L$41,'Listas y Parametros'!$C$35:$L$35,'Gantt Proyectos'!AC131)*J131</f>
        <v>1</v>
      </c>
      <c r="AB131" s="122">
        <f>+SUMIFS('Listas y Parametros'!$C$42:$L$42,'Listas y Parametros'!$C$35:$L$35,'Gantt Proyectos'!AC131)*J131</f>
        <v>1</v>
      </c>
      <c r="AC131" s="152" t="s">
        <v>80</v>
      </c>
      <c r="AD131" s="123" t="s">
        <v>5</v>
      </c>
      <c r="AE131" s="123" t="s">
        <v>89</v>
      </c>
      <c r="AF131" s="332">
        <f t="shared" si="49"/>
        <v>0</v>
      </c>
      <c r="AG131" s="665">
        <f t="shared" si="49"/>
        <v>0</v>
      </c>
      <c r="AH131" s="665">
        <f t="shared" si="49"/>
        <v>0.14285714285714285</v>
      </c>
      <c r="AI131" s="665">
        <f t="shared" si="49"/>
        <v>0.14285714285714285</v>
      </c>
      <c r="AJ131" s="665">
        <f t="shared" si="49"/>
        <v>0.14285714285714285</v>
      </c>
      <c r="AK131" s="665">
        <f t="shared" si="49"/>
        <v>0.14285714285714285</v>
      </c>
      <c r="AL131" s="665">
        <f t="shared" si="49"/>
        <v>0.14285714285714285</v>
      </c>
      <c r="AM131" s="665">
        <f t="shared" si="49"/>
        <v>0.14285714285714285</v>
      </c>
      <c r="AN131" s="666">
        <f t="shared" si="49"/>
        <v>0.14285714285714285</v>
      </c>
    </row>
    <row r="132" spans="1:40" ht="15" x14ac:dyDescent="0.2">
      <c r="A132" s="598"/>
      <c r="B132" s="144"/>
      <c r="C132" s="144">
        <f t="shared" si="50"/>
        <v>36</v>
      </c>
      <c r="D132" s="599" t="s">
        <v>375</v>
      </c>
      <c r="E132" s="145" t="s">
        <v>376</v>
      </c>
      <c r="F132" s="147" t="s">
        <v>41</v>
      </c>
      <c r="G132" s="118" t="s">
        <v>41</v>
      </c>
      <c r="H132" s="118"/>
      <c r="I132" s="118" t="s">
        <v>75</v>
      </c>
      <c r="J132" s="118">
        <f>+IF(AND(AD132=Dashboard!$DN$8,Dashboard!$DN$9=1),Dashboard!J46,0)+IF(AND(AD132=Dashboard!$DO$8,Dashboard!$DO$9=1),Dashboard!J46,0)+IF(AND(AD132=Dashboard!$DP$8,Dashboard!$DP$9=1),Dashboard!J46,0)</f>
        <v>1</v>
      </c>
      <c r="K132" s="145" t="s">
        <v>303</v>
      </c>
      <c r="L132" s="306">
        <v>500000</v>
      </c>
      <c r="M132" s="316">
        <f t="shared" si="51"/>
        <v>500000</v>
      </c>
      <c r="N132" s="565">
        <v>2</v>
      </c>
      <c r="O132" s="119">
        <v>45839</v>
      </c>
      <c r="P132" s="119">
        <v>46569</v>
      </c>
      <c r="Q132" s="611">
        <f t="shared" si="47"/>
        <v>24</v>
      </c>
      <c r="R132" s="118" t="s">
        <v>77</v>
      </c>
      <c r="S132" s="118"/>
      <c r="T132" s="156">
        <v>45839</v>
      </c>
      <c r="U132" s="156">
        <v>46569</v>
      </c>
      <c r="V132" s="611">
        <f t="shared" si="48"/>
        <v>24</v>
      </c>
      <c r="W132" s="121">
        <f>+SUMIFS('Listas y Parametros'!$C$44:$L$44,'Listas y Parametros'!$C$35:$L$35,'Gantt Proyectos'!AC132)*J132*'EDP Proyectado'!Q64</f>
        <v>0.3</v>
      </c>
      <c r="X132" s="122">
        <f>+SUMIFS('Listas y Parametros'!$C$38:$L$38,'Listas y Parametros'!$C$35:$L$35,'Gantt Proyectos'!AC132)*J132</f>
        <v>0.33</v>
      </c>
      <c r="Y132" s="122">
        <f>+SUMIFS('Listas y Parametros'!$C$39:$L$39,'Listas y Parametros'!$C$35:$L$35,'Gantt Proyectos'!AC132)*J132</f>
        <v>0.5</v>
      </c>
      <c r="Z132" s="122">
        <f>+SUMIFS('Listas y Parametros'!$C$40:$L$40,'Listas y Parametros'!$C$35:$L$35,'Gantt Proyectos'!AC132)*J132</f>
        <v>0.33</v>
      </c>
      <c r="AA132" s="122">
        <f>+SUMIFS('Listas y Parametros'!$C$41:$L$41,'Listas y Parametros'!$C$35:$L$35,'Gantt Proyectos'!AC132)*J132</f>
        <v>1</v>
      </c>
      <c r="AB132" s="122">
        <f>+SUMIFS('Listas y Parametros'!$C$42:$L$42,'Listas y Parametros'!$C$35:$L$35,'Gantt Proyectos'!AC132)*J132</f>
        <v>0</v>
      </c>
      <c r="AC132" s="152" t="s">
        <v>88</v>
      </c>
      <c r="AD132" s="123" t="s">
        <v>5</v>
      </c>
      <c r="AE132" s="123" t="s">
        <v>89</v>
      </c>
      <c r="AF132" s="332">
        <f t="shared" si="49"/>
        <v>0</v>
      </c>
      <c r="AG132" s="665">
        <f t="shared" si="49"/>
        <v>0</v>
      </c>
      <c r="AH132" s="665">
        <f t="shared" si="49"/>
        <v>0</v>
      </c>
      <c r="AI132" s="665">
        <f t="shared" si="49"/>
        <v>4.1666666666666664E-2</v>
      </c>
      <c r="AJ132" s="665">
        <f t="shared" si="49"/>
        <v>4.1666666666666664E-2</v>
      </c>
      <c r="AK132" s="665">
        <f t="shared" si="49"/>
        <v>4.1666666666666664E-2</v>
      </c>
      <c r="AL132" s="665">
        <f t="shared" si="49"/>
        <v>4.1666666666666664E-2</v>
      </c>
      <c r="AM132" s="665">
        <f t="shared" si="49"/>
        <v>4.1666666666666664E-2</v>
      </c>
      <c r="AN132" s="666">
        <f t="shared" si="49"/>
        <v>4.1666666666666664E-2</v>
      </c>
    </row>
    <row r="133" spans="1:40" ht="15" x14ac:dyDescent="0.2">
      <c r="A133" s="598"/>
      <c r="B133" s="144"/>
      <c r="C133" s="144">
        <f t="shared" si="50"/>
        <v>37</v>
      </c>
      <c r="D133" s="599" t="s">
        <v>377</v>
      </c>
      <c r="E133" s="145" t="s">
        <v>378</v>
      </c>
      <c r="F133" s="147" t="s">
        <v>45</v>
      </c>
      <c r="G133" s="118" t="s">
        <v>41</v>
      </c>
      <c r="H133" s="118" t="s">
        <v>44</v>
      </c>
      <c r="I133" s="118" t="s">
        <v>71</v>
      </c>
      <c r="J133" s="118">
        <f>+IF(AND(AD133=Dashboard!$DN$8,Dashboard!$DN$9=1),Dashboard!J47,0)+IF(AND(AD133=Dashboard!$DO$8,Dashboard!$DO$9=1),Dashboard!J47,0)+IF(AND(AD133=Dashboard!$DP$8,Dashboard!$DP$9=1),Dashboard!J47,0)</f>
        <v>1</v>
      </c>
      <c r="K133" s="145" t="s">
        <v>339</v>
      </c>
      <c r="L133" s="306">
        <v>890000</v>
      </c>
      <c r="M133" s="316">
        <f t="shared" si="51"/>
        <v>890000</v>
      </c>
      <c r="N133" s="565">
        <v>2</v>
      </c>
      <c r="O133" s="119">
        <v>45839</v>
      </c>
      <c r="P133" s="119">
        <v>46388</v>
      </c>
      <c r="Q133" s="611">
        <f t="shared" si="47"/>
        <v>18</v>
      </c>
      <c r="R133" s="118" t="s">
        <v>77</v>
      </c>
      <c r="S133" s="118"/>
      <c r="T133" s="119">
        <v>45839</v>
      </c>
      <c r="U133" s="119">
        <v>46388</v>
      </c>
      <c r="V133" s="611">
        <f t="shared" si="48"/>
        <v>18</v>
      </c>
      <c r="W133" s="121">
        <f>+SUMIFS('Listas y Parametros'!$C$44:$L$44,'Listas y Parametros'!$C$35:$L$35,'Gantt Proyectos'!AC133)*J133*'EDP Proyectado'!Q65</f>
        <v>0.89261744966442946</v>
      </c>
      <c r="X133" s="122">
        <f>+SUMIFS('Listas y Parametros'!$C$38:$L$38,'Listas y Parametros'!$C$35:$L$35,'Gantt Proyectos'!AC133)*J133</f>
        <v>0.5</v>
      </c>
      <c r="Y133" s="122">
        <f>+SUMIFS('Listas y Parametros'!$C$39:$L$39,'Listas y Parametros'!$C$35:$L$35,'Gantt Proyectos'!AC133)*J133</f>
        <v>0.67</v>
      </c>
      <c r="Z133" s="122">
        <f>+SUMIFS('Listas y Parametros'!$C$40:$L$40,'Listas y Parametros'!$C$35:$L$35,'Gantt Proyectos'!AC133)*J133</f>
        <v>1</v>
      </c>
      <c r="AA133" s="122">
        <f>+SUMIFS('Listas y Parametros'!$C$41:$L$41,'Listas y Parametros'!$C$35:$L$35,'Gantt Proyectos'!AC133)*J133</f>
        <v>2.5</v>
      </c>
      <c r="AB133" s="122">
        <f>+SUMIFS('Listas y Parametros'!$C$42:$L$42,'Listas y Parametros'!$C$35:$L$35,'Gantt Proyectos'!AC133)*J133</f>
        <v>1</v>
      </c>
      <c r="AC133" s="152" t="s">
        <v>84</v>
      </c>
      <c r="AD133" s="123" t="s">
        <v>5</v>
      </c>
      <c r="AE133" s="123" t="s">
        <v>89</v>
      </c>
      <c r="AF133" s="332">
        <f t="shared" si="49"/>
        <v>0</v>
      </c>
      <c r="AG133" s="665">
        <f t="shared" si="49"/>
        <v>0</v>
      </c>
      <c r="AH133" s="665">
        <f t="shared" si="49"/>
        <v>0</v>
      </c>
      <c r="AI133" s="665">
        <f t="shared" si="49"/>
        <v>5.5555555555555552E-2</v>
      </c>
      <c r="AJ133" s="665">
        <f t="shared" si="49"/>
        <v>5.5555555555555552E-2</v>
      </c>
      <c r="AK133" s="665">
        <f t="shared" si="49"/>
        <v>5.5555555555555552E-2</v>
      </c>
      <c r="AL133" s="665">
        <f t="shared" si="49"/>
        <v>5.5555555555555552E-2</v>
      </c>
      <c r="AM133" s="665">
        <f t="shared" si="49"/>
        <v>5.5555555555555552E-2</v>
      </c>
      <c r="AN133" s="666">
        <f t="shared" si="49"/>
        <v>5.5555555555555552E-2</v>
      </c>
    </row>
    <row r="134" spans="1:40" ht="15" x14ac:dyDescent="0.2">
      <c r="A134" s="598"/>
      <c r="B134" s="144"/>
      <c r="C134" s="144">
        <f t="shared" si="50"/>
        <v>38</v>
      </c>
      <c r="D134" s="599" t="s">
        <v>379</v>
      </c>
      <c r="E134" s="145" t="s">
        <v>380</v>
      </c>
      <c r="F134" s="147" t="s">
        <v>45</v>
      </c>
      <c r="G134" s="118" t="s">
        <v>41</v>
      </c>
      <c r="H134" s="118"/>
      <c r="I134" s="118" t="s">
        <v>71</v>
      </c>
      <c r="J134" s="118">
        <f>+IF(AND(AD134=Dashboard!$DN$8,Dashboard!$DN$9=1),Dashboard!J48,0)+IF(AND(AD134=Dashboard!$DO$8,Dashboard!$DO$9=1),Dashboard!J48,0)+IF(AND(AD134=Dashboard!$DP$8,Dashboard!$DP$9=1),Dashboard!J48,0)</f>
        <v>1</v>
      </c>
      <c r="K134" s="145" t="s">
        <v>289</v>
      </c>
      <c r="L134" s="306">
        <v>180000</v>
      </c>
      <c r="M134" s="316">
        <f t="shared" si="51"/>
        <v>180000</v>
      </c>
      <c r="N134" s="565">
        <v>2</v>
      </c>
      <c r="O134" s="119">
        <v>45839</v>
      </c>
      <c r="P134" s="119">
        <v>45920</v>
      </c>
      <c r="Q134" s="611">
        <f t="shared" si="47"/>
        <v>3</v>
      </c>
      <c r="R134" s="118" t="s">
        <v>77</v>
      </c>
      <c r="S134" s="118"/>
      <c r="T134" s="119">
        <v>45839</v>
      </c>
      <c r="U134" s="119">
        <v>45920</v>
      </c>
      <c r="V134" s="611">
        <f t="shared" si="48"/>
        <v>3</v>
      </c>
      <c r="W134" s="121">
        <f>+SUMIFS('Listas y Parametros'!$C$44:$L$44,'Listas y Parametros'!$C$35:$L$35,'Gantt Proyectos'!AC134)*J134*'EDP Proyectado'!Q66</f>
        <v>0.9</v>
      </c>
      <c r="X134" s="122">
        <f>+SUMIFS('Listas y Parametros'!$C$38:$L$38,'Listas y Parametros'!$C$35:$L$35,'Gantt Proyectos'!AC134)*J134</f>
        <v>0.33</v>
      </c>
      <c r="Y134" s="122">
        <f>+SUMIFS('Listas y Parametros'!$C$39:$L$39,'Listas y Parametros'!$C$35:$L$35,'Gantt Proyectos'!AC134)*J134</f>
        <v>0.5</v>
      </c>
      <c r="Z134" s="122">
        <f>+SUMIFS('Listas y Parametros'!$C$40:$L$40,'Listas y Parametros'!$C$35:$L$35,'Gantt Proyectos'!AC134)*J134</f>
        <v>0.33</v>
      </c>
      <c r="AA134" s="122">
        <f>+SUMIFS('Listas y Parametros'!$C$41:$L$41,'Listas y Parametros'!$C$35:$L$35,'Gantt Proyectos'!AC134)*J134</f>
        <v>1</v>
      </c>
      <c r="AB134" s="122">
        <f>+SUMIFS('Listas y Parametros'!$C$42:$L$42,'Listas y Parametros'!$C$35:$L$35,'Gantt Proyectos'!AC134)*J134</f>
        <v>0</v>
      </c>
      <c r="AC134" s="152" t="s">
        <v>88</v>
      </c>
      <c r="AD134" s="123" t="s">
        <v>5</v>
      </c>
      <c r="AE134" s="123" t="s">
        <v>89</v>
      </c>
      <c r="AF134" s="332">
        <f t="shared" si="49"/>
        <v>0</v>
      </c>
      <c r="AG134" s="665">
        <f t="shared" si="49"/>
        <v>0</v>
      </c>
      <c r="AH134" s="665">
        <f t="shared" si="49"/>
        <v>0</v>
      </c>
      <c r="AI134" s="665">
        <f t="shared" si="49"/>
        <v>0.33333333333333331</v>
      </c>
      <c r="AJ134" s="665">
        <f t="shared" si="49"/>
        <v>0.33333333333333331</v>
      </c>
      <c r="AK134" s="665">
        <f t="shared" si="49"/>
        <v>0.33333333333333331</v>
      </c>
      <c r="AL134" s="665">
        <f t="shared" si="49"/>
        <v>0</v>
      </c>
      <c r="AM134" s="665">
        <f t="shared" si="49"/>
        <v>0</v>
      </c>
      <c r="AN134" s="666">
        <f t="shared" si="49"/>
        <v>0</v>
      </c>
    </row>
    <row r="135" spans="1:40" ht="15" x14ac:dyDescent="0.2">
      <c r="A135" s="598"/>
      <c r="B135" s="144"/>
      <c r="C135" s="144">
        <f t="shared" si="50"/>
        <v>39</v>
      </c>
      <c r="D135" s="336" t="s">
        <v>381</v>
      </c>
      <c r="E135" s="145" t="s">
        <v>382</v>
      </c>
      <c r="F135" s="147" t="s">
        <v>45</v>
      </c>
      <c r="G135" s="118" t="s">
        <v>41</v>
      </c>
      <c r="H135" s="118"/>
      <c r="I135" s="118" t="s">
        <v>71</v>
      </c>
      <c r="J135" s="118">
        <f>+IF(AND(AD135=Dashboard!$DN$8,Dashboard!$DN$9=1),Dashboard!J49,0)+IF(AND(AD135=Dashboard!$DO$8,Dashboard!$DO$9=1),Dashboard!J49,0)+IF(AND(AD135=Dashboard!$DP$8,Dashboard!$DP$9=1),Dashboard!J49,0)</f>
        <v>0</v>
      </c>
      <c r="K135" s="145" t="s">
        <v>383</v>
      </c>
      <c r="L135" s="306">
        <v>150000</v>
      </c>
      <c r="M135" s="316">
        <f t="shared" si="51"/>
        <v>150000</v>
      </c>
      <c r="N135" s="565">
        <v>2</v>
      </c>
      <c r="O135" s="119">
        <v>45809</v>
      </c>
      <c r="P135" s="119">
        <v>45901</v>
      </c>
      <c r="Q135" s="611">
        <f t="shared" si="47"/>
        <v>4</v>
      </c>
      <c r="R135" s="118" t="s">
        <v>77</v>
      </c>
      <c r="S135" s="118"/>
      <c r="T135" s="156">
        <v>45809</v>
      </c>
      <c r="U135" s="156">
        <v>45901</v>
      </c>
      <c r="V135" s="611">
        <f t="shared" si="48"/>
        <v>4</v>
      </c>
      <c r="W135" s="121">
        <f>+SUMIFS('Listas y Parametros'!$C$44:$L$44,'Listas y Parametros'!$C$35:$L$35,'Gantt Proyectos'!AC135)*J135*'EDP Proyectado'!Q67</f>
        <v>0</v>
      </c>
      <c r="X135" s="122">
        <f>+SUMIFS('Listas y Parametros'!$C$38:$L$38,'Listas y Parametros'!$C$35:$L$35,'Gantt Proyectos'!AC135)*J135</f>
        <v>0</v>
      </c>
      <c r="Y135" s="122">
        <f>+SUMIFS('Listas y Parametros'!$C$39:$L$39,'Listas y Parametros'!$C$35:$L$35,'Gantt Proyectos'!AC135)*J135</f>
        <v>0</v>
      </c>
      <c r="Z135" s="122">
        <f>+SUMIFS('Listas y Parametros'!$C$40:$L$40,'Listas y Parametros'!$C$35:$L$35,'Gantt Proyectos'!AC135)*J135</f>
        <v>0</v>
      </c>
      <c r="AA135" s="122">
        <f>+SUMIFS('Listas y Parametros'!$C$41:$L$41,'Listas y Parametros'!$C$35:$L$35,'Gantt Proyectos'!AC135)*J135</f>
        <v>0</v>
      </c>
      <c r="AB135" s="122">
        <f>+SUMIFS('Listas y Parametros'!$C$42:$L$42,'Listas y Parametros'!$C$35:$L$35,'Gantt Proyectos'!AC135)*J135</f>
        <v>0</v>
      </c>
      <c r="AC135" s="152" t="s">
        <v>88</v>
      </c>
      <c r="AD135" s="123" t="s">
        <v>5</v>
      </c>
      <c r="AE135" s="123" t="s">
        <v>89</v>
      </c>
      <c r="AF135" s="332">
        <f t="shared" si="49"/>
        <v>0</v>
      </c>
      <c r="AG135" s="665">
        <f t="shared" si="49"/>
        <v>0</v>
      </c>
      <c r="AH135" s="665">
        <f t="shared" si="49"/>
        <v>0</v>
      </c>
      <c r="AI135" s="665">
        <f t="shared" si="49"/>
        <v>0</v>
      </c>
      <c r="AJ135" s="665">
        <f t="shared" si="49"/>
        <v>0</v>
      </c>
      <c r="AK135" s="665">
        <f t="shared" si="49"/>
        <v>0</v>
      </c>
      <c r="AL135" s="665">
        <f t="shared" si="49"/>
        <v>0</v>
      </c>
      <c r="AM135" s="665">
        <f t="shared" si="49"/>
        <v>0</v>
      </c>
      <c r="AN135" s="666">
        <f t="shared" si="49"/>
        <v>0</v>
      </c>
    </row>
    <row r="136" spans="1:40" ht="15" x14ac:dyDescent="0.2">
      <c r="A136" s="598"/>
      <c r="B136" s="144"/>
      <c r="C136" s="144">
        <f t="shared" si="50"/>
        <v>40</v>
      </c>
      <c r="D136" s="336" t="s">
        <v>384</v>
      </c>
      <c r="E136" s="145" t="s">
        <v>292</v>
      </c>
      <c r="F136" s="147" t="s">
        <v>41</v>
      </c>
      <c r="G136" s="118" t="s">
        <v>41</v>
      </c>
      <c r="H136" s="118" t="s">
        <v>44</v>
      </c>
      <c r="I136" s="118" t="s">
        <v>79</v>
      </c>
      <c r="J136" s="118">
        <f>+IF(AND(AD136=Dashboard!$DN$8,Dashboard!$DN$9=1),Dashboard!J50,0)+IF(AND(AD136=Dashboard!$DO$8,Dashboard!$DO$9=1),Dashboard!J50,0)+IF(AND(AD136=Dashboard!$DP$8,Dashboard!$DP$9=1),Dashboard!J50,0)</f>
        <v>0</v>
      </c>
      <c r="K136" s="145" t="s">
        <v>303</v>
      </c>
      <c r="L136" s="306">
        <v>300000</v>
      </c>
      <c r="M136" s="316">
        <f t="shared" si="51"/>
        <v>300000</v>
      </c>
      <c r="N136" s="565">
        <v>2</v>
      </c>
      <c r="O136" s="119">
        <v>45809</v>
      </c>
      <c r="P136" s="119">
        <v>45950</v>
      </c>
      <c r="Q136" s="611">
        <f t="shared" si="47"/>
        <v>5</v>
      </c>
      <c r="R136" s="118" t="s">
        <v>77</v>
      </c>
      <c r="S136" s="118"/>
      <c r="T136" s="156">
        <v>45809</v>
      </c>
      <c r="U136" s="156">
        <v>45950</v>
      </c>
      <c r="V136" s="611">
        <f t="shared" si="48"/>
        <v>5</v>
      </c>
      <c r="W136" s="121">
        <f>+SUMIFS('Listas y Parametros'!$C$44:$L$44,'Listas y Parametros'!$C$35:$L$35,'Gantt Proyectos'!AC136)*J136*'EDP Proyectado'!Q68</f>
        <v>0</v>
      </c>
      <c r="X136" s="122">
        <f>+SUMIFS('Listas y Parametros'!$C$38:$L$38,'Listas y Parametros'!$C$35:$L$35,'Gantt Proyectos'!AC136)*J136</f>
        <v>0</v>
      </c>
      <c r="Y136" s="122">
        <f>+SUMIFS('Listas y Parametros'!$C$39:$L$39,'Listas y Parametros'!$C$35:$L$35,'Gantt Proyectos'!AC136)*J136</f>
        <v>0</v>
      </c>
      <c r="Z136" s="122">
        <f>+SUMIFS('Listas y Parametros'!$C$40:$L$40,'Listas y Parametros'!$C$35:$L$35,'Gantt Proyectos'!AC136)*J136</f>
        <v>0</v>
      </c>
      <c r="AA136" s="122">
        <f>+SUMIFS('Listas y Parametros'!$C$41:$L$41,'Listas y Parametros'!$C$35:$L$35,'Gantt Proyectos'!AC136)*J136</f>
        <v>0</v>
      </c>
      <c r="AB136" s="122">
        <f>+SUMIFS('Listas y Parametros'!$C$42:$L$42,'Listas y Parametros'!$C$35:$L$35,'Gantt Proyectos'!AC136)*J136</f>
        <v>0</v>
      </c>
      <c r="AC136" s="152" t="s">
        <v>84</v>
      </c>
      <c r="AD136" s="123" t="s">
        <v>5</v>
      </c>
      <c r="AE136" s="123" t="s">
        <v>89</v>
      </c>
      <c r="AF136" s="332">
        <f t="shared" si="49"/>
        <v>0</v>
      </c>
      <c r="AG136" s="665">
        <f t="shared" si="49"/>
        <v>0</v>
      </c>
      <c r="AH136" s="665">
        <f t="shared" si="49"/>
        <v>0</v>
      </c>
      <c r="AI136" s="665">
        <f t="shared" si="49"/>
        <v>0</v>
      </c>
      <c r="AJ136" s="665">
        <f t="shared" si="49"/>
        <v>0</v>
      </c>
      <c r="AK136" s="665">
        <f t="shared" si="49"/>
        <v>0</v>
      </c>
      <c r="AL136" s="665">
        <f t="shared" si="49"/>
        <v>0</v>
      </c>
      <c r="AM136" s="665">
        <f t="shared" si="49"/>
        <v>0</v>
      </c>
      <c r="AN136" s="666">
        <f t="shared" si="49"/>
        <v>0</v>
      </c>
    </row>
    <row r="137" spans="1:40" ht="15" x14ac:dyDescent="0.2">
      <c r="A137" s="598"/>
      <c r="B137" s="144"/>
      <c r="C137" s="144">
        <f t="shared" si="50"/>
        <v>41</v>
      </c>
      <c r="D137" s="599" t="s">
        <v>385</v>
      </c>
      <c r="E137" s="145" t="s">
        <v>386</v>
      </c>
      <c r="F137" s="147" t="s">
        <v>44</v>
      </c>
      <c r="G137" s="118" t="s">
        <v>44</v>
      </c>
      <c r="H137" s="118" t="s">
        <v>41</v>
      </c>
      <c r="I137" s="118" t="s">
        <v>71</v>
      </c>
      <c r="J137" s="118">
        <f>+IF(AND(AD137=Dashboard!$DN$8,Dashboard!$DN$9=1),Dashboard!J51,0)+IF(AND(AD137=Dashboard!$DO$8,Dashboard!$DO$9=1),Dashboard!J51,0)+IF(AND(AD137=Dashboard!$DP$8,Dashboard!$DP$9=1),Dashboard!J51,0)</f>
        <v>1</v>
      </c>
      <c r="K137" s="145" t="s">
        <v>289</v>
      </c>
      <c r="L137" s="306">
        <v>180000</v>
      </c>
      <c r="M137" s="316">
        <f t="shared" si="51"/>
        <v>180000</v>
      </c>
      <c r="N137" s="565">
        <v>2</v>
      </c>
      <c r="O137" s="119">
        <v>45839</v>
      </c>
      <c r="P137" s="119">
        <v>45931</v>
      </c>
      <c r="Q137" s="611">
        <f t="shared" si="47"/>
        <v>4</v>
      </c>
      <c r="R137" s="118" t="s">
        <v>77</v>
      </c>
      <c r="S137" s="118"/>
      <c r="T137" s="156">
        <v>45839</v>
      </c>
      <c r="U137" s="156">
        <v>45931</v>
      </c>
      <c r="V137" s="611">
        <f t="shared" si="48"/>
        <v>4</v>
      </c>
      <c r="W137" s="121">
        <f>+SUMIFS('Listas y Parametros'!$C$44:$L$44,'Listas y Parametros'!$C$35:$L$35,'Gantt Proyectos'!AC137)*J137*'EDP Proyectado'!Q69</f>
        <v>0.05</v>
      </c>
      <c r="X137" s="122">
        <f>+SUMIFS('Listas y Parametros'!$C$38:$L$38,'Listas y Parametros'!$C$35:$L$35,'Gantt Proyectos'!AC137)*J137</f>
        <v>0.33</v>
      </c>
      <c r="Y137" s="122">
        <f>+SUMIFS('Listas y Parametros'!$C$39:$L$39,'Listas y Parametros'!$C$35:$L$35,'Gantt Proyectos'!AC137)*J137</f>
        <v>0.5</v>
      </c>
      <c r="Z137" s="122">
        <f>+SUMIFS('Listas y Parametros'!$C$40:$L$40,'Listas y Parametros'!$C$35:$L$35,'Gantt Proyectos'!AC137)*J137</f>
        <v>0.33</v>
      </c>
      <c r="AA137" s="122">
        <f>+SUMIFS('Listas y Parametros'!$C$41:$L$41,'Listas y Parametros'!$C$35:$L$35,'Gantt Proyectos'!AC137)*J137</f>
        <v>1</v>
      </c>
      <c r="AB137" s="122">
        <f>+SUMIFS('Listas y Parametros'!$C$42:$L$42,'Listas y Parametros'!$C$35:$L$35,'Gantt Proyectos'!AC137)*J137</f>
        <v>0</v>
      </c>
      <c r="AC137" s="152" t="s">
        <v>88</v>
      </c>
      <c r="AD137" s="123" t="s">
        <v>5</v>
      </c>
      <c r="AE137" s="123" t="s">
        <v>89</v>
      </c>
      <c r="AF137" s="332">
        <f t="shared" si="49"/>
        <v>0</v>
      </c>
      <c r="AG137" s="665">
        <f t="shared" si="49"/>
        <v>0</v>
      </c>
      <c r="AH137" s="665">
        <f t="shared" si="49"/>
        <v>0</v>
      </c>
      <c r="AI137" s="665">
        <f t="shared" si="49"/>
        <v>0.25</v>
      </c>
      <c r="AJ137" s="665">
        <f t="shared" si="49"/>
        <v>0.25</v>
      </c>
      <c r="AK137" s="665">
        <f t="shared" si="49"/>
        <v>0.25</v>
      </c>
      <c r="AL137" s="665">
        <f t="shared" si="49"/>
        <v>0</v>
      </c>
      <c r="AM137" s="665">
        <f t="shared" si="49"/>
        <v>0</v>
      </c>
      <c r="AN137" s="666">
        <f t="shared" si="49"/>
        <v>0</v>
      </c>
    </row>
    <row r="138" spans="1:40" ht="15" x14ac:dyDescent="0.2">
      <c r="A138" s="598"/>
      <c r="B138" s="144"/>
      <c r="C138" s="144">
        <f t="shared" si="50"/>
        <v>42</v>
      </c>
      <c r="D138" s="336" t="s">
        <v>387</v>
      </c>
      <c r="E138" s="145" t="s">
        <v>388</v>
      </c>
      <c r="F138" s="147" t="s">
        <v>44</v>
      </c>
      <c r="G138" s="118" t="s">
        <v>41</v>
      </c>
      <c r="H138" s="118" t="s">
        <v>44</v>
      </c>
      <c r="I138" s="118" t="s">
        <v>79</v>
      </c>
      <c r="J138" s="118">
        <f>+IF(AND(AD138=Dashboard!$DN$8,Dashboard!$DN$9=1),Dashboard!J52,0)+IF(AND(AD138=Dashboard!$DO$8,Dashboard!$DO$9=1),Dashboard!J52,0)+IF(AND(AD138=Dashboard!$DP$8,Dashboard!$DP$9=1),Dashboard!J52,0)</f>
        <v>0</v>
      </c>
      <c r="K138" s="145" t="s">
        <v>339</v>
      </c>
      <c r="L138" s="306">
        <v>120000</v>
      </c>
      <c r="M138" s="316">
        <f t="shared" si="51"/>
        <v>120000</v>
      </c>
      <c r="N138" s="565">
        <v>2</v>
      </c>
      <c r="O138" s="119">
        <v>45809</v>
      </c>
      <c r="P138" s="119">
        <v>45901</v>
      </c>
      <c r="Q138" s="611">
        <f t="shared" si="47"/>
        <v>4</v>
      </c>
      <c r="R138" s="118" t="s">
        <v>77</v>
      </c>
      <c r="S138" s="118"/>
      <c r="T138" s="156">
        <v>45809</v>
      </c>
      <c r="U138" s="156">
        <v>45901</v>
      </c>
      <c r="V138" s="611">
        <f t="shared" si="48"/>
        <v>4</v>
      </c>
      <c r="W138" s="121">
        <f>+SUMIFS('Listas y Parametros'!$C$44:$L$44,'Listas y Parametros'!$C$35:$L$35,'Gantt Proyectos'!AC138)*J138*'EDP Proyectado'!Q70</f>
        <v>0</v>
      </c>
      <c r="X138" s="122">
        <f>+SUMIFS('Listas y Parametros'!$C$38:$L$38,'Listas y Parametros'!$C$35:$L$35,'Gantt Proyectos'!AC138)*J138</f>
        <v>0</v>
      </c>
      <c r="Y138" s="122">
        <f>+SUMIFS('Listas y Parametros'!$C$39:$L$39,'Listas y Parametros'!$C$35:$L$35,'Gantt Proyectos'!AC138)*J138</f>
        <v>0</v>
      </c>
      <c r="Z138" s="122">
        <f>+SUMIFS('Listas y Parametros'!$C$40:$L$40,'Listas y Parametros'!$C$35:$L$35,'Gantt Proyectos'!AC138)*J138</f>
        <v>0</v>
      </c>
      <c r="AA138" s="122">
        <f>+SUMIFS('Listas y Parametros'!$C$41:$L$41,'Listas y Parametros'!$C$35:$L$35,'Gantt Proyectos'!AC138)*J138</f>
        <v>0</v>
      </c>
      <c r="AB138" s="122">
        <f>+SUMIFS('Listas y Parametros'!$C$42:$L$42,'Listas y Parametros'!$C$35:$L$35,'Gantt Proyectos'!AC138)*J138</f>
        <v>0</v>
      </c>
      <c r="AC138" s="152" t="s">
        <v>88</v>
      </c>
      <c r="AD138" s="123" t="s">
        <v>5</v>
      </c>
      <c r="AE138" s="123" t="s">
        <v>89</v>
      </c>
      <c r="AF138" s="332">
        <f t="shared" si="49"/>
        <v>0</v>
      </c>
      <c r="AG138" s="665">
        <f t="shared" si="49"/>
        <v>0</v>
      </c>
      <c r="AH138" s="665">
        <f t="shared" si="49"/>
        <v>0</v>
      </c>
      <c r="AI138" s="665">
        <f t="shared" si="49"/>
        <v>0</v>
      </c>
      <c r="AJ138" s="665">
        <f t="shared" si="49"/>
        <v>0</v>
      </c>
      <c r="AK138" s="665">
        <f t="shared" si="49"/>
        <v>0</v>
      </c>
      <c r="AL138" s="665">
        <f t="shared" si="49"/>
        <v>0</v>
      </c>
      <c r="AM138" s="665">
        <f t="shared" si="49"/>
        <v>0</v>
      </c>
      <c r="AN138" s="666">
        <f t="shared" si="49"/>
        <v>0</v>
      </c>
    </row>
    <row r="139" spans="1:40" ht="15" x14ac:dyDescent="0.2">
      <c r="A139" s="598"/>
      <c r="B139" s="144"/>
      <c r="C139" s="144">
        <f t="shared" si="50"/>
        <v>43</v>
      </c>
      <c r="D139" s="336" t="s">
        <v>389</v>
      </c>
      <c r="E139" s="145" t="s">
        <v>390</v>
      </c>
      <c r="F139" s="147" t="s">
        <v>45</v>
      </c>
      <c r="G139" s="118" t="s">
        <v>41</v>
      </c>
      <c r="H139" s="118"/>
      <c r="I139" s="118" t="s">
        <v>71</v>
      </c>
      <c r="J139" s="118">
        <f>+IF(AND(AD139=Dashboard!$DN$8,Dashboard!$DN$9=1),Dashboard!J53,0)+IF(AND(AD139=Dashboard!$DO$8,Dashboard!$DO$9=1),Dashboard!J53,0)+IF(AND(AD139=Dashboard!$DP$8,Dashboard!$DP$9=1),Dashboard!J53,0)</f>
        <v>0</v>
      </c>
      <c r="K139" s="145" t="s">
        <v>303</v>
      </c>
      <c r="L139" s="306">
        <v>700000</v>
      </c>
      <c r="M139" s="316">
        <f t="shared" si="51"/>
        <v>700000</v>
      </c>
      <c r="N139" s="565">
        <v>2</v>
      </c>
      <c r="O139" s="119">
        <v>45809</v>
      </c>
      <c r="P139" s="119">
        <v>46357</v>
      </c>
      <c r="Q139" s="611">
        <f t="shared" si="47"/>
        <v>18</v>
      </c>
      <c r="R139" s="118" t="s">
        <v>77</v>
      </c>
      <c r="S139" s="118"/>
      <c r="T139" s="156">
        <v>45809</v>
      </c>
      <c r="U139" s="156">
        <v>46357</v>
      </c>
      <c r="V139" s="611">
        <f t="shared" si="48"/>
        <v>18</v>
      </c>
      <c r="W139" s="121">
        <f>+SUMIFS('Listas y Parametros'!$C$44:$L$44,'Listas y Parametros'!$C$35:$L$35,'Gantt Proyectos'!AC139)*J139*'EDP Proyectado'!Q71</f>
        <v>0</v>
      </c>
      <c r="X139" s="122">
        <f>+SUMIFS('Listas y Parametros'!$C$38:$L$38,'Listas y Parametros'!$C$35:$L$35,'Gantt Proyectos'!AC139)*J139</f>
        <v>0</v>
      </c>
      <c r="Y139" s="122">
        <f>+SUMIFS('Listas y Parametros'!$C$39:$L$39,'Listas y Parametros'!$C$35:$L$35,'Gantt Proyectos'!AC139)*J139</f>
        <v>0</v>
      </c>
      <c r="Z139" s="122">
        <f>+SUMIFS('Listas y Parametros'!$C$40:$L$40,'Listas y Parametros'!$C$35:$L$35,'Gantt Proyectos'!AC139)*J139</f>
        <v>0</v>
      </c>
      <c r="AA139" s="122">
        <f>+SUMIFS('Listas y Parametros'!$C$41:$L$41,'Listas y Parametros'!$C$35:$L$35,'Gantt Proyectos'!AC139)*J139</f>
        <v>0</v>
      </c>
      <c r="AB139" s="122">
        <f>+SUMIFS('Listas y Parametros'!$C$42:$L$42,'Listas y Parametros'!$C$35:$L$35,'Gantt Proyectos'!AC139)*J139</f>
        <v>0</v>
      </c>
      <c r="AC139" s="152" t="s">
        <v>84</v>
      </c>
      <c r="AD139" s="123" t="s">
        <v>5</v>
      </c>
      <c r="AE139" s="123" t="s">
        <v>89</v>
      </c>
      <c r="AF139" s="332">
        <f t="shared" si="49"/>
        <v>0</v>
      </c>
      <c r="AG139" s="665">
        <f t="shared" si="49"/>
        <v>0</v>
      </c>
      <c r="AH139" s="665">
        <f t="shared" si="49"/>
        <v>0</v>
      </c>
      <c r="AI139" s="665">
        <f t="shared" si="49"/>
        <v>0</v>
      </c>
      <c r="AJ139" s="665">
        <f t="shared" si="49"/>
        <v>0</v>
      </c>
      <c r="AK139" s="665">
        <f t="shared" si="49"/>
        <v>0</v>
      </c>
      <c r="AL139" s="665">
        <f t="shared" ref="AG139:AN141" si="52">IFERROR(IF(AND(AL$96&gt;=$O139,AL$96-29&lt;=$U139-1),1,0)/$Q139+IF($R139="Si",IF(AND(AL$96&gt;=$T139,AL$96-29&lt;=$P139-1),1,0),0)/$Q139,0)*$J139</f>
        <v>0</v>
      </c>
      <c r="AM139" s="665">
        <f t="shared" si="52"/>
        <v>0</v>
      </c>
      <c r="AN139" s="666">
        <f t="shared" si="52"/>
        <v>0</v>
      </c>
    </row>
    <row r="140" spans="1:40" ht="15" x14ac:dyDescent="0.2">
      <c r="A140" s="598"/>
      <c r="B140" s="144"/>
      <c r="C140" s="144">
        <f t="shared" si="50"/>
        <v>44</v>
      </c>
      <c r="D140" s="336" t="s">
        <v>391</v>
      </c>
      <c r="E140" s="145" t="s">
        <v>388</v>
      </c>
      <c r="F140" s="147" t="s">
        <v>44</v>
      </c>
      <c r="G140" s="118" t="s">
        <v>41</v>
      </c>
      <c r="H140" s="118" t="s">
        <v>44</v>
      </c>
      <c r="I140" s="118" t="s">
        <v>79</v>
      </c>
      <c r="J140" s="118">
        <f>+IF(AND(AD140=Dashboard!$DN$8,Dashboard!$DN$9=1),Dashboard!J54,0)+IF(AND(AD140=Dashboard!$DO$8,Dashboard!$DO$9=1),Dashboard!J54,0)+IF(AND(AD140=Dashboard!$DP$8,Dashboard!$DP$9=1),Dashboard!J54,0)</f>
        <v>0</v>
      </c>
      <c r="K140" s="145" t="s">
        <v>339</v>
      </c>
      <c r="L140" s="306">
        <v>150000</v>
      </c>
      <c r="M140" s="316">
        <f t="shared" si="51"/>
        <v>150000</v>
      </c>
      <c r="N140" s="565">
        <v>2</v>
      </c>
      <c r="O140" s="119">
        <v>45809</v>
      </c>
      <c r="P140" s="119">
        <v>45901</v>
      </c>
      <c r="Q140" s="611">
        <f t="shared" si="47"/>
        <v>4</v>
      </c>
      <c r="R140" s="118" t="s">
        <v>77</v>
      </c>
      <c r="S140" s="118"/>
      <c r="T140" s="156">
        <v>45809</v>
      </c>
      <c r="U140" s="156">
        <v>45901</v>
      </c>
      <c r="V140" s="611">
        <f t="shared" si="48"/>
        <v>4</v>
      </c>
      <c r="W140" s="121">
        <f>+SUMIFS('Listas y Parametros'!$C$44:$L$44,'Listas y Parametros'!$C$35:$L$35,'Gantt Proyectos'!AC140)*J140*'EDP Proyectado'!Q72</f>
        <v>0</v>
      </c>
      <c r="X140" s="122">
        <f>+SUMIFS('Listas y Parametros'!$C$38:$L$38,'Listas y Parametros'!$C$35:$L$35,'Gantt Proyectos'!AC140)*J140</f>
        <v>0</v>
      </c>
      <c r="Y140" s="122">
        <f>+SUMIFS('Listas y Parametros'!$C$39:$L$39,'Listas y Parametros'!$C$35:$L$35,'Gantt Proyectos'!AC140)*J140</f>
        <v>0</v>
      </c>
      <c r="Z140" s="122">
        <f>+SUMIFS('Listas y Parametros'!$C$40:$L$40,'Listas y Parametros'!$C$35:$L$35,'Gantt Proyectos'!AC140)*J140</f>
        <v>0</v>
      </c>
      <c r="AA140" s="122">
        <f>+SUMIFS('Listas y Parametros'!$C$41:$L$41,'Listas y Parametros'!$C$35:$L$35,'Gantt Proyectos'!AC140)*J140</f>
        <v>0</v>
      </c>
      <c r="AB140" s="122">
        <f>+SUMIFS('Listas y Parametros'!$C$42:$L$42,'Listas y Parametros'!$C$35:$L$35,'Gantt Proyectos'!AC140)*J140</f>
        <v>0</v>
      </c>
      <c r="AC140" s="152" t="s">
        <v>88</v>
      </c>
      <c r="AD140" s="123" t="s">
        <v>5</v>
      </c>
      <c r="AE140" s="123" t="s">
        <v>89</v>
      </c>
      <c r="AF140" s="332">
        <f t="shared" ref="AF140:AF141" si="53">IFERROR(IF(AND(AF$96&gt;=$O140,AF$96-29&lt;=$U140-1),1,0)/$Q140+IF($R140="Si",IF(AND(AF$96&gt;=$T140,AF$96-29&lt;=$P140-1),1,0),0)/$Q140,0)*$J140</f>
        <v>0</v>
      </c>
      <c r="AG140" s="665">
        <f t="shared" si="52"/>
        <v>0</v>
      </c>
      <c r="AH140" s="665">
        <f t="shared" si="52"/>
        <v>0</v>
      </c>
      <c r="AI140" s="665">
        <f t="shared" si="52"/>
        <v>0</v>
      </c>
      <c r="AJ140" s="665">
        <f t="shared" si="52"/>
        <v>0</v>
      </c>
      <c r="AK140" s="665">
        <f t="shared" si="52"/>
        <v>0</v>
      </c>
      <c r="AL140" s="665">
        <f t="shared" si="52"/>
        <v>0</v>
      </c>
      <c r="AM140" s="665">
        <f t="shared" si="52"/>
        <v>0</v>
      </c>
      <c r="AN140" s="666">
        <f t="shared" si="52"/>
        <v>0</v>
      </c>
    </row>
    <row r="141" spans="1:40" ht="15" x14ac:dyDescent="0.2">
      <c r="A141" s="598"/>
      <c r="B141" s="144"/>
      <c r="C141" s="144">
        <f t="shared" si="50"/>
        <v>45</v>
      </c>
      <c r="D141" s="336" t="s">
        <v>392</v>
      </c>
      <c r="E141" s="145" t="s">
        <v>393</v>
      </c>
      <c r="F141" s="147" t="s">
        <v>45</v>
      </c>
      <c r="G141" s="118" t="s">
        <v>41</v>
      </c>
      <c r="H141" s="118"/>
      <c r="I141" s="118" t="s">
        <v>71</v>
      </c>
      <c r="J141" s="118">
        <f>+IF(AND(AD141=Dashboard!$DN$8,Dashboard!$DN$9=1),Dashboard!J55,0)+IF(AND(AD141=Dashboard!$DO$8,Dashboard!$DO$9=1),Dashboard!J55,0)+IF(AND(AD141=Dashboard!$DP$8,Dashboard!$DP$9=1),Dashboard!J55,0)</f>
        <v>0</v>
      </c>
      <c r="K141" s="145" t="s">
        <v>339</v>
      </c>
      <c r="L141" s="306">
        <v>490000</v>
      </c>
      <c r="M141" s="316">
        <f t="shared" si="51"/>
        <v>490000</v>
      </c>
      <c r="N141" s="565">
        <v>2</v>
      </c>
      <c r="O141" s="119">
        <v>45809</v>
      </c>
      <c r="P141" s="119">
        <v>46011</v>
      </c>
      <c r="Q141" s="611">
        <f t="shared" si="47"/>
        <v>7</v>
      </c>
      <c r="R141" s="118" t="s">
        <v>77</v>
      </c>
      <c r="S141" s="118"/>
      <c r="T141" s="156">
        <v>45809</v>
      </c>
      <c r="U141" s="156">
        <v>46011</v>
      </c>
      <c r="V141" s="611">
        <f t="shared" si="48"/>
        <v>7</v>
      </c>
      <c r="W141" s="121">
        <f>+SUMIFS('Listas y Parametros'!$C$44:$L$44,'Listas y Parametros'!$C$35:$L$35,'Gantt Proyectos'!AC141)*J141*'EDP Proyectado'!Q73</f>
        <v>0</v>
      </c>
      <c r="X141" s="122">
        <f>+SUMIFS('Listas y Parametros'!$C$38:$L$38,'Listas y Parametros'!$C$35:$L$35,'Gantt Proyectos'!AC141)*J141</f>
        <v>0</v>
      </c>
      <c r="Y141" s="122">
        <f>+SUMIFS('Listas y Parametros'!$C$39:$L$39,'Listas y Parametros'!$C$35:$L$35,'Gantt Proyectos'!AC141)*J141</f>
        <v>0</v>
      </c>
      <c r="Z141" s="122">
        <f>+SUMIFS('Listas y Parametros'!$C$40:$L$40,'Listas y Parametros'!$C$35:$L$35,'Gantt Proyectos'!AC141)*J141</f>
        <v>0</v>
      </c>
      <c r="AA141" s="122">
        <f>+SUMIFS('Listas y Parametros'!$C$41:$L$41,'Listas y Parametros'!$C$35:$L$35,'Gantt Proyectos'!AC141)*J141</f>
        <v>0</v>
      </c>
      <c r="AB141" s="122">
        <f>+SUMIFS('Listas y Parametros'!$C$42:$L$42,'Listas y Parametros'!$C$35:$L$35,'Gantt Proyectos'!AC141)*J141</f>
        <v>0</v>
      </c>
      <c r="AC141" s="152" t="s">
        <v>88</v>
      </c>
      <c r="AD141" s="123" t="s">
        <v>5</v>
      </c>
      <c r="AE141" s="123" t="s">
        <v>89</v>
      </c>
      <c r="AF141" s="332">
        <f t="shared" si="53"/>
        <v>0</v>
      </c>
      <c r="AG141" s="665">
        <f t="shared" si="52"/>
        <v>0</v>
      </c>
      <c r="AH141" s="665">
        <f t="shared" si="52"/>
        <v>0</v>
      </c>
      <c r="AI141" s="665">
        <f t="shared" si="52"/>
        <v>0</v>
      </c>
      <c r="AJ141" s="665">
        <f t="shared" si="52"/>
        <v>0</v>
      </c>
      <c r="AK141" s="665">
        <f t="shared" si="52"/>
        <v>0</v>
      </c>
      <c r="AL141" s="665">
        <f t="shared" si="52"/>
        <v>0</v>
      </c>
      <c r="AM141" s="665">
        <f t="shared" si="52"/>
        <v>0</v>
      </c>
      <c r="AN141" s="666">
        <f t="shared" si="52"/>
        <v>0</v>
      </c>
    </row>
    <row r="142" spans="1:40" ht="15" x14ac:dyDescent="0.2">
      <c r="A142" s="598"/>
      <c r="B142" s="144"/>
      <c r="C142" s="144">
        <f t="shared" si="50"/>
        <v>46</v>
      </c>
      <c r="D142" s="336" t="s">
        <v>394</v>
      </c>
      <c r="E142" s="145" t="s">
        <v>395</v>
      </c>
      <c r="F142" s="147" t="s">
        <v>46</v>
      </c>
      <c r="G142" s="118" t="s">
        <v>41</v>
      </c>
      <c r="H142" s="118" t="s">
        <v>44</v>
      </c>
      <c r="I142" s="145" t="s">
        <v>75</v>
      </c>
      <c r="J142" s="118">
        <f>+IF(AND(AD142=Dashboard!$DN$8,Dashboard!$DN$9=1),Dashboard!J56,0)+IF(AND(AD142=Dashboard!$DO$8,Dashboard!$DO$9=1),Dashboard!J56,0)+IF(AND(AD142=Dashboard!$DP$8,Dashboard!$DP$9=1),Dashboard!J56,0)</f>
        <v>0</v>
      </c>
      <c r="K142" s="145"/>
      <c r="L142" s="306">
        <v>1500000</v>
      </c>
      <c r="M142" s="316">
        <f t="shared" si="51"/>
        <v>1500000</v>
      </c>
      <c r="N142" s="565">
        <v>2</v>
      </c>
      <c r="O142" s="119">
        <v>45885</v>
      </c>
      <c r="P142" s="119">
        <v>46189</v>
      </c>
      <c r="Q142" s="611">
        <f t="shared" si="47"/>
        <v>10</v>
      </c>
      <c r="R142" s="118" t="s">
        <v>77</v>
      </c>
      <c r="S142" s="118"/>
      <c r="T142" s="156">
        <v>45885</v>
      </c>
      <c r="U142" s="156">
        <v>46189</v>
      </c>
      <c r="V142" s="611">
        <f t="shared" si="48"/>
        <v>10</v>
      </c>
      <c r="W142" s="121">
        <f>+SUMIFS('Listas y Parametros'!$C$44:$L$44,'Listas y Parametros'!$C$35:$L$35,'Gantt Proyectos'!AC142)*J142*'EDP Proyectado'!Q74</f>
        <v>0</v>
      </c>
      <c r="X142" s="122">
        <f>+SUMIFS('Listas y Parametros'!$C$38:$L$38,'Listas y Parametros'!$C$35:$L$35,'Gantt Proyectos'!AC142)*J142</f>
        <v>0</v>
      </c>
      <c r="Y142" s="122">
        <f>+SUMIFS('Listas y Parametros'!$C$39:$L$39,'Listas y Parametros'!$C$35:$L$35,'Gantt Proyectos'!AC142)*J142</f>
        <v>0</v>
      </c>
      <c r="Z142" s="122">
        <f>+SUMIFS('Listas y Parametros'!$C$40:$L$40,'Listas y Parametros'!$C$35:$L$35,'Gantt Proyectos'!AC142)*J142</f>
        <v>0</v>
      </c>
      <c r="AA142" s="122">
        <f>+SUMIFS('Listas y Parametros'!$C$41:$L$41,'Listas y Parametros'!$C$35:$L$35,'Gantt Proyectos'!AC142)*J142</f>
        <v>0</v>
      </c>
      <c r="AB142" s="122">
        <f>+SUMIFS('Listas y Parametros'!$C$42:$L$42,'Listas y Parametros'!$C$35:$L$35,'Gantt Proyectos'!AC142)*J142</f>
        <v>0</v>
      </c>
      <c r="AC142" s="152" t="s">
        <v>82</v>
      </c>
      <c r="AD142" s="123" t="s">
        <v>5</v>
      </c>
      <c r="AE142" s="123" t="s">
        <v>89</v>
      </c>
      <c r="AF142" s="332">
        <f t="shared" ref="AF142:AF149" si="54">IFERROR(IF(AND(AF$96&gt;=$O142,AF$96-29&lt;=$U142-1),1,0)/$Q142+IF($R142="Si",IF(AND(AF$96&gt;=$T142,AF$96-29&lt;=$P142-1),1,0),0)/$Q142,0)</f>
        <v>0</v>
      </c>
      <c r="AG142" s="665">
        <f t="shared" ref="AG142:AN155" si="55">IFERROR(IF(AND(AG$96&gt;=$O142,AG$96-29&lt;=$U142-1),1,0)/$Q142+IF($R142="Si",IF(AND(AG$96&gt;=$T142,AG$96-29&lt;=$P142-1),1,0),0)/$Q142,0)</f>
        <v>0</v>
      </c>
      <c r="AH142" s="665">
        <f t="shared" si="55"/>
        <v>0</v>
      </c>
      <c r="AI142" s="665">
        <f t="shared" si="55"/>
        <v>0</v>
      </c>
      <c r="AJ142" s="665">
        <f t="shared" si="55"/>
        <v>0.1</v>
      </c>
      <c r="AK142" s="665">
        <f t="shared" si="55"/>
        <v>0.1</v>
      </c>
      <c r="AL142" s="665">
        <f t="shared" si="55"/>
        <v>0.1</v>
      </c>
      <c r="AM142" s="665">
        <f t="shared" si="55"/>
        <v>0.1</v>
      </c>
      <c r="AN142" s="666">
        <f t="shared" si="55"/>
        <v>0.1</v>
      </c>
    </row>
    <row r="143" spans="1:40" ht="15" x14ac:dyDescent="0.2">
      <c r="A143" s="598"/>
      <c r="B143" s="144"/>
      <c r="C143" s="144">
        <f t="shared" si="50"/>
        <v>47</v>
      </c>
      <c r="D143" s="599" t="s">
        <v>396</v>
      </c>
      <c r="E143" s="145" t="s">
        <v>397</v>
      </c>
      <c r="F143" s="147" t="s">
        <v>46</v>
      </c>
      <c r="G143" s="145" t="s">
        <v>44</v>
      </c>
      <c r="H143" s="145"/>
      <c r="I143" s="145" t="s">
        <v>75</v>
      </c>
      <c r="J143" s="118">
        <f>+IF(AND(AD143=Dashboard!$DN$8,Dashboard!$DN$9=1),Dashboard!J57,0)+IF(AND(AD143=Dashboard!$DO$8,Dashboard!$DO$9=1),Dashboard!J57,0)+IF(AND(AD143=Dashboard!$DP$8,Dashboard!$DP$9=1),Dashboard!J57,0)</f>
        <v>1</v>
      </c>
      <c r="K143" s="145" t="s">
        <v>398</v>
      </c>
      <c r="L143" s="306">
        <v>40000</v>
      </c>
      <c r="M143" s="316">
        <f>+L143</f>
        <v>40000</v>
      </c>
      <c r="N143" s="565">
        <v>1</v>
      </c>
      <c r="O143" s="119">
        <v>45807</v>
      </c>
      <c r="P143" s="119">
        <v>45836</v>
      </c>
      <c r="Q143" s="611">
        <f t="shared" si="47"/>
        <v>1</v>
      </c>
      <c r="R143" s="118" t="s">
        <v>77</v>
      </c>
      <c r="S143" s="118"/>
      <c r="T143" s="156">
        <v>45807</v>
      </c>
      <c r="U143" s="156">
        <v>45836</v>
      </c>
      <c r="V143" s="611">
        <f t="shared" si="48"/>
        <v>1</v>
      </c>
      <c r="W143" s="121">
        <f>+SUMIFS('Listas y Parametros'!$C$44:$L$44,'Listas y Parametros'!$C$35:$L$35,'Gantt Proyectos'!AC143)*J143*'EDP Proyectado'!Q75</f>
        <v>1</v>
      </c>
      <c r="X143" s="122">
        <f>+SUMIFS('Listas y Parametros'!$C$38:$L$38,'Listas y Parametros'!$C$35:$L$35,'Gantt Proyectos'!AC143)*J143</f>
        <v>0.33</v>
      </c>
      <c r="Y143" s="122">
        <f>+SUMIFS('Listas y Parametros'!$C$39:$L$39,'Listas y Parametros'!$C$35:$L$35,'Gantt Proyectos'!AC143)*J143</f>
        <v>0.5</v>
      </c>
      <c r="Z143" s="122">
        <f>+SUMIFS('Listas y Parametros'!$C$40:$L$40,'Listas y Parametros'!$C$35:$L$35,'Gantt Proyectos'!AC143)*J143</f>
        <v>0.33</v>
      </c>
      <c r="AA143" s="122">
        <f>+SUMIFS('Listas y Parametros'!$C$41:$L$41,'Listas y Parametros'!$C$35:$L$35,'Gantt Proyectos'!AC143)*J143</f>
        <v>1</v>
      </c>
      <c r="AB143" s="122">
        <f>+SUMIFS('Listas y Parametros'!$C$42:$L$42,'Listas y Parametros'!$C$35:$L$35,'Gantt Proyectos'!AC143)*J143</f>
        <v>0</v>
      </c>
      <c r="AC143" s="123" t="s">
        <v>88</v>
      </c>
      <c r="AD143" s="123" t="s">
        <v>4</v>
      </c>
      <c r="AE143" s="123" t="s">
        <v>87</v>
      </c>
      <c r="AF143" s="332">
        <f t="shared" si="54"/>
        <v>0</v>
      </c>
      <c r="AG143" s="665">
        <f t="shared" si="55"/>
        <v>1</v>
      </c>
      <c r="AH143" s="665">
        <f t="shared" si="55"/>
        <v>1</v>
      </c>
      <c r="AI143" s="665">
        <f t="shared" si="55"/>
        <v>0</v>
      </c>
      <c r="AJ143" s="665">
        <f t="shared" si="55"/>
        <v>0</v>
      </c>
      <c r="AK143" s="665">
        <f t="shared" si="55"/>
        <v>0</v>
      </c>
      <c r="AL143" s="665">
        <f t="shared" si="55"/>
        <v>0</v>
      </c>
      <c r="AM143" s="665">
        <f t="shared" si="55"/>
        <v>0</v>
      </c>
      <c r="AN143" s="666">
        <f t="shared" si="55"/>
        <v>0</v>
      </c>
    </row>
    <row r="144" spans="1:40" ht="15" x14ac:dyDescent="0.2">
      <c r="A144" s="598"/>
      <c r="B144" s="144"/>
      <c r="C144" s="144">
        <f t="shared" si="50"/>
        <v>48</v>
      </c>
      <c r="D144" s="599" t="s">
        <v>399</v>
      </c>
      <c r="E144" s="145" t="s">
        <v>400</v>
      </c>
      <c r="F144" s="147" t="s">
        <v>41</v>
      </c>
      <c r="G144" s="145" t="s">
        <v>41</v>
      </c>
      <c r="H144" s="145"/>
      <c r="I144" s="145" t="s">
        <v>71</v>
      </c>
      <c r="J144" s="118">
        <f>+IF(AND(AD144=Dashboard!$DN$8,Dashboard!$DN$9=1),Dashboard!J58,0)+IF(AND(AD144=Dashboard!$DO$8,Dashboard!$DO$9=1),Dashboard!J58,0)+IF(AND(AD144=Dashboard!$DP$8,Dashboard!$DP$9=1),Dashboard!J58,0)</f>
        <v>1</v>
      </c>
      <c r="K144" s="145" t="s">
        <v>307</v>
      </c>
      <c r="L144" s="306">
        <v>200000</v>
      </c>
      <c r="M144" s="316">
        <f>+L144</f>
        <v>200000</v>
      </c>
      <c r="N144" s="565">
        <v>1</v>
      </c>
      <c r="O144" s="119">
        <v>45853</v>
      </c>
      <c r="P144" s="119">
        <f>+O144+150</f>
        <v>46003</v>
      </c>
      <c r="Q144" s="611">
        <f t="shared" si="47"/>
        <v>5</v>
      </c>
      <c r="R144" s="145" t="s">
        <v>77</v>
      </c>
      <c r="S144" s="118"/>
      <c r="T144" s="156">
        <v>45853</v>
      </c>
      <c r="U144" s="156">
        <v>46003</v>
      </c>
      <c r="V144" s="611">
        <f t="shared" si="48"/>
        <v>5</v>
      </c>
      <c r="W144" s="121">
        <f>+SUMIFS('Listas y Parametros'!$C$44:$L$44,'Listas y Parametros'!$C$35:$L$35,'Gantt Proyectos'!AC144)*J144*'EDP Proyectado'!Q76</f>
        <v>0.9</v>
      </c>
      <c r="X144" s="122">
        <f>+SUMIFS('Listas y Parametros'!$C$38:$L$38,'Listas y Parametros'!$C$35:$L$35,'Gantt Proyectos'!AC144)*J144</f>
        <v>0.33</v>
      </c>
      <c r="Y144" s="122">
        <f>+SUMIFS('Listas y Parametros'!$C$39:$L$39,'Listas y Parametros'!$C$35:$L$35,'Gantt Proyectos'!AC144)*J144</f>
        <v>0.5</v>
      </c>
      <c r="Z144" s="122">
        <f>+SUMIFS('Listas y Parametros'!$C$40:$L$40,'Listas y Parametros'!$C$35:$L$35,'Gantt Proyectos'!AC144)*J144</f>
        <v>0.33</v>
      </c>
      <c r="AA144" s="122">
        <f>+SUMIFS('Listas y Parametros'!$C$41:$L$41,'Listas y Parametros'!$C$35:$L$35,'Gantt Proyectos'!AC144)*J144</f>
        <v>1</v>
      </c>
      <c r="AB144" s="122">
        <f>+SUMIFS('Listas y Parametros'!$C$42:$L$42,'Listas y Parametros'!$C$35:$L$35,'Gantt Proyectos'!AC144)*J144</f>
        <v>0</v>
      </c>
      <c r="AC144" s="123" t="s">
        <v>88</v>
      </c>
      <c r="AD144" s="123" t="s">
        <v>5</v>
      </c>
      <c r="AE144" s="123" t="s">
        <v>89</v>
      </c>
      <c r="AF144" s="332">
        <f t="shared" si="54"/>
        <v>0</v>
      </c>
      <c r="AG144" s="665">
        <f t="shared" si="55"/>
        <v>0</v>
      </c>
      <c r="AH144" s="665">
        <f t="shared" si="55"/>
        <v>0</v>
      </c>
      <c r="AI144" s="665">
        <f t="shared" si="55"/>
        <v>0.2</v>
      </c>
      <c r="AJ144" s="665">
        <f t="shared" si="55"/>
        <v>0.2</v>
      </c>
      <c r="AK144" s="665">
        <f t="shared" si="55"/>
        <v>0.2</v>
      </c>
      <c r="AL144" s="665">
        <f t="shared" si="55"/>
        <v>0.2</v>
      </c>
      <c r="AM144" s="665">
        <f t="shared" si="55"/>
        <v>0.2</v>
      </c>
      <c r="AN144" s="666">
        <f t="shared" si="55"/>
        <v>0.2</v>
      </c>
    </row>
    <row r="145" spans="1:40" ht="15" x14ac:dyDescent="0.2">
      <c r="A145" s="598"/>
      <c r="B145" s="144"/>
      <c r="C145" s="144">
        <f t="shared" si="50"/>
        <v>49</v>
      </c>
      <c r="D145" s="336" t="s">
        <v>401</v>
      </c>
      <c r="E145" s="145" t="s">
        <v>335</v>
      </c>
      <c r="F145" s="147" t="s">
        <v>44</v>
      </c>
      <c r="G145" s="145" t="s">
        <v>44</v>
      </c>
      <c r="H145" s="145"/>
      <c r="I145" s="145" t="s">
        <v>75</v>
      </c>
      <c r="J145" s="118">
        <f>+IF(AND(AD145=Dashboard!$DN$8,Dashboard!$DN$9=1),Dashboard!J59,0)+IF(AND(AD145=Dashboard!$DO$8,Dashboard!$DO$9=1),Dashboard!J59,0)+IF(AND(AD145=Dashboard!$DP$8,Dashboard!$DP$9=1),Dashboard!J59,0)</f>
        <v>0</v>
      </c>
      <c r="K145" s="145" t="s">
        <v>402</v>
      </c>
      <c r="L145" s="306">
        <v>150000</v>
      </c>
      <c r="M145" s="316">
        <f>+L145</f>
        <v>150000</v>
      </c>
      <c r="N145" s="565">
        <v>2</v>
      </c>
      <c r="O145" s="119">
        <v>45823</v>
      </c>
      <c r="P145" s="119">
        <f>+O145+60</f>
        <v>45883</v>
      </c>
      <c r="Q145" s="611">
        <f t="shared" si="47"/>
        <v>2</v>
      </c>
      <c r="R145" s="145" t="s">
        <v>77</v>
      </c>
      <c r="S145" s="118"/>
      <c r="T145" s="156">
        <v>45823</v>
      </c>
      <c r="U145" s="156">
        <v>45883</v>
      </c>
      <c r="V145" s="611">
        <f t="shared" si="48"/>
        <v>2</v>
      </c>
      <c r="W145" s="121">
        <f>+SUMIFS('Listas y Parametros'!$C$44:$L$44,'Listas y Parametros'!$C$35:$L$35,'Gantt Proyectos'!AC145)*J145*'EDP Proyectado'!Q77</f>
        <v>0</v>
      </c>
      <c r="X145" s="122">
        <f>+SUMIFS('Listas y Parametros'!$C$38:$L$38,'Listas y Parametros'!$C$35:$L$35,'Gantt Proyectos'!AC145)*J145</f>
        <v>0</v>
      </c>
      <c r="Y145" s="122">
        <f>+SUMIFS('Listas y Parametros'!$C$39:$L$39,'Listas y Parametros'!$C$35:$L$35,'Gantt Proyectos'!AC145)*J145</f>
        <v>0</v>
      </c>
      <c r="Z145" s="122">
        <f>+SUMIFS('Listas y Parametros'!$C$40:$L$40,'Listas y Parametros'!$C$35:$L$35,'Gantt Proyectos'!AC145)*J145</f>
        <v>0</v>
      </c>
      <c r="AA145" s="122">
        <f>+SUMIFS('Listas y Parametros'!$C$41:$L$41,'Listas y Parametros'!$C$35:$L$35,'Gantt Proyectos'!AC145)*J145</f>
        <v>0</v>
      </c>
      <c r="AB145" s="122">
        <f>+SUMIFS('Listas y Parametros'!$C$42:$L$42,'Listas y Parametros'!$C$35:$L$35,'Gantt Proyectos'!AC145)*J145</f>
        <v>0</v>
      </c>
      <c r="AC145" s="123" t="s">
        <v>88</v>
      </c>
      <c r="AD145" s="123" t="s">
        <v>5</v>
      </c>
      <c r="AE145" s="123" t="s">
        <v>89</v>
      </c>
      <c r="AF145" s="332">
        <f t="shared" si="54"/>
        <v>0</v>
      </c>
      <c r="AG145" s="665">
        <f t="shared" si="55"/>
        <v>0</v>
      </c>
      <c r="AH145" s="665">
        <f t="shared" si="55"/>
        <v>0.5</v>
      </c>
      <c r="AI145" s="665">
        <f t="shared" si="55"/>
        <v>0.5</v>
      </c>
      <c r="AJ145" s="665">
        <f t="shared" si="55"/>
        <v>0.5</v>
      </c>
      <c r="AK145" s="665">
        <f t="shared" si="55"/>
        <v>0</v>
      </c>
      <c r="AL145" s="665">
        <f t="shared" si="55"/>
        <v>0</v>
      </c>
      <c r="AM145" s="665">
        <f t="shared" si="55"/>
        <v>0</v>
      </c>
      <c r="AN145" s="666">
        <f t="shared" si="55"/>
        <v>0</v>
      </c>
    </row>
    <row r="146" spans="1:40" ht="15" x14ac:dyDescent="0.2">
      <c r="A146" s="598"/>
      <c r="B146" s="144"/>
      <c r="C146" s="144">
        <f t="shared" si="50"/>
        <v>50</v>
      </c>
      <c r="D146" s="599" t="s">
        <v>477</v>
      </c>
      <c r="E146" s="145" t="s">
        <v>335</v>
      </c>
      <c r="F146" s="147" t="s">
        <v>44</v>
      </c>
      <c r="G146" s="145" t="s">
        <v>44</v>
      </c>
      <c r="H146" s="145"/>
      <c r="I146" s="145"/>
      <c r="J146" s="118">
        <f>+IF(AND(AD146=Dashboard!$DN$8,Dashboard!$DN$9=1),Dashboard!J60,0)+IF(AND(AD146=Dashboard!$DO$8,Dashboard!$DO$9=1),Dashboard!J60,0)+IF(AND(AD146=Dashboard!$DP$8,Dashboard!$DP$9=1),Dashboard!J60,0)</f>
        <v>1</v>
      </c>
      <c r="K146" s="145"/>
      <c r="L146" s="306">
        <v>180000</v>
      </c>
      <c r="M146" s="316">
        <f t="shared" ref="M146:M155" si="56">+L146</f>
        <v>180000</v>
      </c>
      <c r="N146" s="565">
        <v>2</v>
      </c>
      <c r="O146" s="119">
        <v>45839</v>
      </c>
      <c r="P146" s="119">
        <v>45901</v>
      </c>
      <c r="Q146" s="611">
        <f t="shared" si="47"/>
        <v>3</v>
      </c>
      <c r="R146" s="145" t="s">
        <v>77</v>
      </c>
      <c r="S146" s="118"/>
      <c r="T146" s="156">
        <v>45839</v>
      </c>
      <c r="U146" s="156">
        <v>45901</v>
      </c>
      <c r="V146" s="611">
        <f t="shared" si="48"/>
        <v>3</v>
      </c>
      <c r="W146" s="121">
        <f>+SUMIFS('Listas y Parametros'!$C$44:$L$44,'Listas y Parametros'!$C$35:$L$35,'Gantt Proyectos'!AC146)*J146*'EDP Proyectado'!Q78</f>
        <v>0.21711409395973152</v>
      </c>
      <c r="X146" s="122">
        <f>+SUMIFS('Listas y Parametros'!$C$38:$L$38,'Listas y Parametros'!$C$35:$L$35,'Gantt Proyectos'!AC146)*J146</f>
        <v>0.33</v>
      </c>
      <c r="Y146" s="122">
        <f>+SUMIFS('Listas y Parametros'!$C$39:$L$39,'Listas y Parametros'!$C$35:$L$35,'Gantt Proyectos'!AC146)*J146</f>
        <v>0.5</v>
      </c>
      <c r="Z146" s="122">
        <f>+SUMIFS('Listas y Parametros'!$C$40:$L$40,'Listas y Parametros'!$C$35:$L$35,'Gantt Proyectos'!AC146)*J146</f>
        <v>0.33</v>
      </c>
      <c r="AA146" s="122">
        <f>+SUMIFS('Listas y Parametros'!$C$41:$L$41,'Listas y Parametros'!$C$35:$L$35,'Gantt Proyectos'!AC146)*J146</f>
        <v>1</v>
      </c>
      <c r="AB146" s="122">
        <f>+SUMIFS('Listas y Parametros'!$C$42:$L$42,'Listas y Parametros'!$C$35:$L$35,'Gantt Proyectos'!AC146)*J146</f>
        <v>1</v>
      </c>
      <c r="AC146" s="123" t="s">
        <v>80</v>
      </c>
      <c r="AD146" s="123" t="s">
        <v>5</v>
      </c>
      <c r="AE146" s="123" t="s">
        <v>89</v>
      </c>
      <c r="AF146" s="332">
        <f t="shared" si="54"/>
        <v>0</v>
      </c>
      <c r="AG146" s="665">
        <f t="shared" si="55"/>
        <v>0</v>
      </c>
      <c r="AH146" s="665">
        <f t="shared" si="55"/>
        <v>0</v>
      </c>
      <c r="AI146" s="665">
        <f t="shared" si="55"/>
        <v>0.33333333333333331</v>
      </c>
      <c r="AJ146" s="665">
        <f t="shared" si="55"/>
        <v>0.33333333333333331</v>
      </c>
      <c r="AK146" s="665">
        <f t="shared" si="55"/>
        <v>0</v>
      </c>
      <c r="AL146" s="665">
        <f t="shared" si="55"/>
        <v>0</v>
      </c>
      <c r="AM146" s="665">
        <f t="shared" si="55"/>
        <v>0</v>
      </c>
      <c r="AN146" s="666">
        <f t="shared" si="55"/>
        <v>0</v>
      </c>
    </row>
    <row r="147" spans="1:40" ht="15" x14ac:dyDescent="0.2">
      <c r="A147" s="598"/>
      <c r="B147" s="144"/>
      <c r="C147" s="144">
        <f t="shared" si="50"/>
        <v>51</v>
      </c>
      <c r="D147" s="599" t="s">
        <v>478</v>
      </c>
      <c r="E147" s="145" t="s">
        <v>481</v>
      </c>
      <c r="F147" s="147" t="s">
        <v>44</v>
      </c>
      <c r="G147" s="145" t="s">
        <v>41</v>
      </c>
      <c r="H147" s="145"/>
      <c r="I147" s="145"/>
      <c r="J147" s="118">
        <f>+IF(AND(AD147=Dashboard!$DN$8,Dashboard!$DN$9=1),Dashboard!J61,0)+IF(AND(AD147=Dashboard!$DO$8,Dashboard!$DO$9=1),Dashboard!J61,0)+IF(AND(AD147=Dashboard!$DP$8,Dashboard!$DP$9=1),Dashboard!J61,0)</f>
        <v>1</v>
      </c>
      <c r="K147" s="145"/>
      <c r="L147" s="306">
        <v>350000</v>
      </c>
      <c r="M147" s="316">
        <f t="shared" si="56"/>
        <v>350000</v>
      </c>
      <c r="N147" s="565">
        <v>2</v>
      </c>
      <c r="O147" s="119">
        <v>45870</v>
      </c>
      <c r="P147" s="119">
        <v>45992</v>
      </c>
      <c r="Q147" s="611">
        <f t="shared" si="47"/>
        <v>4</v>
      </c>
      <c r="R147" s="145" t="s">
        <v>77</v>
      </c>
      <c r="S147" s="118"/>
      <c r="T147" s="156">
        <v>45870</v>
      </c>
      <c r="U147" s="156">
        <v>45992</v>
      </c>
      <c r="V147" s="611">
        <f t="shared" si="48"/>
        <v>4</v>
      </c>
      <c r="W147" s="121">
        <f>+SUMIFS('Listas y Parametros'!$C$44:$L$44,'Listas y Parametros'!$C$35:$L$35,'Gantt Proyectos'!AC147)*J147*'EDP Proyectado'!Q79</f>
        <v>0.25503355704697989</v>
      </c>
      <c r="X147" s="122"/>
      <c r="Y147" s="122"/>
      <c r="Z147" s="122"/>
      <c r="AA147" s="122"/>
      <c r="AB147" s="122"/>
      <c r="AC147" s="123" t="s">
        <v>84</v>
      </c>
      <c r="AD147" s="123" t="s">
        <v>5</v>
      </c>
      <c r="AE147" s="123" t="s">
        <v>89</v>
      </c>
      <c r="AF147" s="332">
        <f t="shared" si="54"/>
        <v>0</v>
      </c>
      <c r="AG147" s="665">
        <f t="shared" si="55"/>
        <v>0</v>
      </c>
      <c r="AH147" s="665">
        <f t="shared" si="55"/>
        <v>0</v>
      </c>
      <c r="AI147" s="665">
        <f t="shared" si="55"/>
        <v>0</v>
      </c>
      <c r="AJ147" s="665">
        <f t="shared" si="55"/>
        <v>0.25</v>
      </c>
      <c r="AK147" s="665">
        <f t="shared" si="55"/>
        <v>0.25</v>
      </c>
      <c r="AL147" s="665">
        <f t="shared" si="55"/>
        <v>0.25</v>
      </c>
      <c r="AM147" s="665">
        <f t="shared" si="55"/>
        <v>0.25</v>
      </c>
      <c r="AN147" s="666">
        <f t="shared" si="55"/>
        <v>0</v>
      </c>
    </row>
    <row r="148" spans="1:40" ht="15" x14ac:dyDescent="0.2">
      <c r="A148" s="598"/>
      <c r="B148" s="144"/>
      <c r="C148" s="144">
        <f t="shared" si="50"/>
        <v>52</v>
      </c>
      <c r="D148" s="286" t="s">
        <v>479</v>
      </c>
      <c r="E148" s="145" t="s">
        <v>310</v>
      </c>
      <c r="F148" s="147" t="s">
        <v>44</v>
      </c>
      <c r="G148" s="145" t="s">
        <v>41</v>
      </c>
      <c r="H148" s="145"/>
      <c r="I148" s="145" t="s">
        <v>75</v>
      </c>
      <c r="J148" s="118">
        <f>+IF(AND(AD148=Dashboard!$DN$8,Dashboard!$DN$9=1),Dashboard!J62,0)+IF(AND(AD148=Dashboard!$DO$8,Dashboard!$DO$9=1),Dashboard!J62,0)+IF(AND(AD148=Dashboard!$DP$8,Dashboard!$DP$9=1),Dashboard!J62,0)</f>
        <v>1</v>
      </c>
      <c r="K148" s="145"/>
      <c r="L148" s="306">
        <v>91000</v>
      </c>
      <c r="M148" s="316">
        <f t="shared" si="56"/>
        <v>91000</v>
      </c>
      <c r="N148" s="565">
        <v>2</v>
      </c>
      <c r="O148" s="119">
        <v>45870</v>
      </c>
      <c r="P148" s="119">
        <v>45960</v>
      </c>
      <c r="Q148" s="611">
        <f t="shared" si="47"/>
        <v>3</v>
      </c>
      <c r="R148" s="145" t="s">
        <v>77</v>
      </c>
      <c r="S148" s="118"/>
      <c r="T148" s="156">
        <v>45870</v>
      </c>
      <c r="U148" s="156">
        <v>45960</v>
      </c>
      <c r="V148" s="611">
        <f t="shared" si="48"/>
        <v>3</v>
      </c>
      <c r="W148" s="121">
        <f>+SUMIFS('Listas y Parametros'!$C$44:$L$44,'Listas y Parametros'!$C$35:$L$35,'Gantt Proyectos'!AC148)*J148*'EDP Proyectado'!Q80</f>
        <v>0.72035794183445179</v>
      </c>
      <c r="X148" s="122"/>
      <c r="Y148" s="122"/>
      <c r="Z148" s="122"/>
      <c r="AA148" s="122"/>
      <c r="AB148" s="122"/>
      <c r="AC148" s="123" t="s">
        <v>72</v>
      </c>
      <c r="AD148" s="123" t="s">
        <v>4</v>
      </c>
      <c r="AE148" s="123" t="s">
        <v>87</v>
      </c>
      <c r="AF148" s="207">
        <f t="shared" si="54"/>
        <v>0</v>
      </c>
      <c r="AG148" s="665">
        <f t="shared" si="55"/>
        <v>0</v>
      </c>
      <c r="AH148" s="665">
        <f t="shared" si="55"/>
        <v>0</v>
      </c>
      <c r="AI148" s="665">
        <f t="shared" si="55"/>
        <v>0</v>
      </c>
      <c r="AJ148" s="665">
        <f t="shared" si="55"/>
        <v>0.33333333333333331</v>
      </c>
      <c r="AK148" s="665">
        <f t="shared" si="55"/>
        <v>0.33333333333333331</v>
      </c>
      <c r="AL148" s="665">
        <f t="shared" si="55"/>
        <v>0.33333333333333331</v>
      </c>
      <c r="AM148" s="665">
        <f t="shared" si="55"/>
        <v>0</v>
      </c>
      <c r="AN148" s="666">
        <f t="shared" si="55"/>
        <v>0</v>
      </c>
    </row>
    <row r="149" spans="1:40" ht="15" x14ac:dyDescent="0.2">
      <c r="A149" s="598"/>
      <c r="B149" s="144"/>
      <c r="C149" s="144">
        <f t="shared" si="50"/>
        <v>53</v>
      </c>
      <c r="D149" s="145" t="s">
        <v>480</v>
      </c>
      <c r="E149" s="145" t="s">
        <v>482</v>
      </c>
      <c r="F149" s="147" t="s">
        <v>44</v>
      </c>
      <c r="G149" s="145" t="s">
        <v>41</v>
      </c>
      <c r="H149" s="145"/>
      <c r="I149" s="145" t="s">
        <v>75</v>
      </c>
      <c r="J149" s="118">
        <f>+IF(AND(AD149=Dashboard!$DN$8,Dashboard!$DN$9=1),Dashboard!J63,0)+IF(AND(AD149=Dashboard!$DO$8,Dashboard!$DO$9=1),Dashboard!J63,0)+IF(AND(AD149=Dashboard!$DP$8,Dashboard!$DP$9=1),Dashboard!J63,0)</f>
        <v>1</v>
      </c>
      <c r="K149" s="145"/>
      <c r="L149" s="306">
        <v>100000</v>
      </c>
      <c r="M149" s="316">
        <f t="shared" si="56"/>
        <v>100000</v>
      </c>
      <c r="N149" s="565">
        <v>2</v>
      </c>
      <c r="O149" s="119">
        <v>45839</v>
      </c>
      <c r="P149" s="119">
        <v>45960</v>
      </c>
      <c r="Q149" s="611">
        <f t="shared" si="47"/>
        <v>4</v>
      </c>
      <c r="R149" s="145" t="s">
        <v>77</v>
      </c>
      <c r="S149" s="118"/>
      <c r="T149" s="156">
        <v>45839</v>
      </c>
      <c r="U149" s="156">
        <v>45960</v>
      </c>
      <c r="V149" s="611">
        <f t="shared" si="48"/>
        <v>4</v>
      </c>
      <c r="W149" s="121">
        <f>+SUMIFS('Listas y Parametros'!$C$44:$L$44,'Listas y Parametros'!$C$35:$L$35,'Gantt Proyectos'!AC149)*J149*'EDP Proyectado'!Q81</f>
        <v>2.5503355704697985</v>
      </c>
      <c r="X149" s="122"/>
      <c r="Y149" s="122"/>
      <c r="Z149" s="122"/>
      <c r="AA149" s="122"/>
      <c r="AB149" s="122"/>
      <c r="AC149" s="123" t="s">
        <v>84</v>
      </c>
      <c r="AD149" s="123" t="s">
        <v>4</v>
      </c>
      <c r="AE149" s="123" t="s">
        <v>87</v>
      </c>
      <c r="AF149" s="207">
        <f t="shared" si="54"/>
        <v>0</v>
      </c>
      <c r="AG149" s="665">
        <f t="shared" si="55"/>
        <v>0</v>
      </c>
      <c r="AH149" s="665">
        <f t="shared" si="55"/>
        <v>0</v>
      </c>
      <c r="AI149" s="665">
        <f t="shared" si="55"/>
        <v>0.25</v>
      </c>
      <c r="AJ149" s="665">
        <f t="shared" si="55"/>
        <v>0.25</v>
      </c>
      <c r="AK149" s="665">
        <f t="shared" si="55"/>
        <v>0.25</v>
      </c>
      <c r="AL149" s="665">
        <f t="shared" si="55"/>
        <v>0.25</v>
      </c>
      <c r="AM149" s="665">
        <f t="shared" si="55"/>
        <v>0</v>
      </c>
      <c r="AN149" s="666">
        <f t="shared" si="55"/>
        <v>0</v>
      </c>
    </row>
    <row r="150" spans="1:40" ht="15" x14ac:dyDescent="0.2">
      <c r="A150" s="598"/>
      <c r="B150" s="144"/>
      <c r="C150" s="144">
        <f t="shared" si="50"/>
        <v>54</v>
      </c>
      <c r="D150" s="599" t="s">
        <v>483</v>
      </c>
      <c r="E150" s="145" t="s">
        <v>484</v>
      </c>
      <c r="F150" s="147" t="s">
        <v>41</v>
      </c>
      <c r="G150" s="145" t="s">
        <v>41</v>
      </c>
      <c r="H150" s="145"/>
      <c r="I150" s="145"/>
      <c r="J150" s="118">
        <f>+IF(AND(AD150=Dashboard!$DN$8,Dashboard!$DN$9=1),Dashboard!J64,0)+IF(AND(AD150=Dashboard!$DO$8,Dashboard!$DO$9=1),Dashboard!J64,0)+IF(AND(AD150=Dashboard!$DP$8,Dashboard!$DP$9=1),Dashboard!J64,0)</f>
        <v>1</v>
      </c>
      <c r="K150" s="145"/>
      <c r="L150" s="306">
        <v>120000</v>
      </c>
      <c r="M150" s="316">
        <f t="shared" si="56"/>
        <v>120000</v>
      </c>
      <c r="N150" s="565">
        <v>1</v>
      </c>
      <c r="O150" s="119">
        <v>45839</v>
      </c>
      <c r="P150" s="119">
        <v>45930</v>
      </c>
      <c r="Q150" s="611">
        <f t="shared" si="47"/>
        <v>3</v>
      </c>
      <c r="R150" s="145" t="s">
        <v>77</v>
      </c>
      <c r="S150" s="118"/>
      <c r="T150" s="156">
        <v>45839</v>
      </c>
      <c r="U150" s="156">
        <v>45930</v>
      </c>
      <c r="V150" s="611">
        <f t="shared" ref="V150:V151" si="57">+ROUNDUP(_xlfn.DAYS(U150,T150)/30.5,0)</f>
        <v>3</v>
      </c>
      <c r="W150" s="121">
        <f>+SUMIFS('Listas y Parametros'!$C$44:$L$44,'Listas y Parametros'!$C$35:$L$35,'Gantt Proyectos'!AC150)*J150*'EDP Proyectado'!Q82</f>
        <v>0.21610738255033554</v>
      </c>
      <c r="X150" s="122"/>
      <c r="Y150" s="122"/>
      <c r="Z150" s="122"/>
      <c r="AA150" s="122"/>
      <c r="AB150" s="122"/>
      <c r="AC150" s="123" t="s">
        <v>72</v>
      </c>
      <c r="AD150" s="123" t="s">
        <v>5</v>
      </c>
      <c r="AE150" s="123" t="s">
        <v>89</v>
      </c>
      <c r="AF150" s="207"/>
      <c r="AG150" s="665">
        <f t="shared" si="55"/>
        <v>0</v>
      </c>
      <c r="AH150" s="665">
        <f t="shared" si="55"/>
        <v>0</v>
      </c>
      <c r="AI150" s="665">
        <f t="shared" si="55"/>
        <v>0.33333333333333331</v>
      </c>
      <c r="AJ150" s="665">
        <f t="shared" si="55"/>
        <v>0.33333333333333331</v>
      </c>
      <c r="AK150" s="665">
        <f t="shared" si="55"/>
        <v>0.33333333333333331</v>
      </c>
      <c r="AL150" s="665">
        <f t="shared" si="55"/>
        <v>0</v>
      </c>
      <c r="AM150" s="665">
        <f t="shared" si="55"/>
        <v>0</v>
      </c>
      <c r="AN150" s="666">
        <f t="shared" si="55"/>
        <v>0</v>
      </c>
    </row>
    <row r="151" spans="1:40" ht="15" x14ac:dyDescent="0.2">
      <c r="A151" s="598"/>
      <c r="B151" s="144"/>
      <c r="C151" s="144">
        <f t="shared" si="50"/>
        <v>55</v>
      </c>
      <c r="D151" s="599" t="s">
        <v>483</v>
      </c>
      <c r="E151" s="145" t="s">
        <v>324</v>
      </c>
      <c r="F151" s="147" t="s">
        <v>41</v>
      </c>
      <c r="G151" s="145" t="s">
        <v>41</v>
      </c>
      <c r="H151" s="145"/>
      <c r="I151" s="145"/>
      <c r="J151" s="118">
        <f>+IF(AND(AD151=Dashboard!$DN$8,Dashboard!$DN$9=1),Dashboard!J65,0)+IF(AND(AD151=Dashboard!$DO$8,Dashboard!$DO$9=1),Dashboard!J65,0)+IF(AND(AD151=Dashboard!$DP$8,Dashboard!$DP$9=1),Dashboard!J65,0)</f>
        <v>1</v>
      </c>
      <c r="K151" s="145"/>
      <c r="L151" s="306">
        <v>120000</v>
      </c>
      <c r="M151" s="316">
        <f t="shared" si="56"/>
        <v>120000</v>
      </c>
      <c r="N151" s="565">
        <v>1</v>
      </c>
      <c r="O151" s="119">
        <v>45839</v>
      </c>
      <c r="P151" s="119">
        <v>45930</v>
      </c>
      <c r="Q151" s="611">
        <f t="shared" si="47"/>
        <v>3</v>
      </c>
      <c r="R151" s="145" t="s">
        <v>77</v>
      </c>
      <c r="S151" s="118"/>
      <c r="T151" s="156">
        <v>45839</v>
      </c>
      <c r="U151" s="156">
        <v>45930</v>
      </c>
      <c r="V151" s="611">
        <f t="shared" si="57"/>
        <v>3</v>
      </c>
      <c r="W151" s="121">
        <f>+SUMIFS('Listas y Parametros'!$C$44:$L$44,'Listas y Parametros'!$C$35:$L$35,'Gantt Proyectos'!AC151)*J151*'EDP Proyectado'!Q83</f>
        <v>0.21610738255033554</v>
      </c>
      <c r="X151" s="122"/>
      <c r="Y151" s="122"/>
      <c r="Z151" s="122"/>
      <c r="AA151" s="122"/>
      <c r="AB151" s="122"/>
      <c r="AC151" s="123" t="s">
        <v>72</v>
      </c>
      <c r="AD151" s="123" t="s">
        <v>5</v>
      </c>
      <c r="AE151" s="123" t="s">
        <v>89</v>
      </c>
      <c r="AF151" s="207"/>
      <c r="AG151" s="665">
        <f t="shared" si="55"/>
        <v>0</v>
      </c>
      <c r="AH151" s="665">
        <f t="shared" si="55"/>
        <v>0</v>
      </c>
      <c r="AI151" s="665">
        <f t="shared" si="55"/>
        <v>0.33333333333333331</v>
      </c>
      <c r="AJ151" s="665">
        <f t="shared" si="55"/>
        <v>0.33333333333333331</v>
      </c>
      <c r="AK151" s="665">
        <f t="shared" si="55"/>
        <v>0.33333333333333331</v>
      </c>
      <c r="AL151" s="665">
        <f t="shared" si="55"/>
        <v>0</v>
      </c>
      <c r="AM151" s="665">
        <f t="shared" si="55"/>
        <v>0</v>
      </c>
      <c r="AN151" s="666">
        <f t="shared" si="55"/>
        <v>0</v>
      </c>
    </row>
    <row r="152" spans="1:40" ht="15" x14ac:dyDescent="0.2">
      <c r="A152" s="598"/>
      <c r="B152" s="144"/>
      <c r="C152" s="144">
        <f t="shared" si="50"/>
        <v>56</v>
      </c>
      <c r="D152" s="599" t="s">
        <v>485</v>
      </c>
      <c r="E152" s="145" t="s">
        <v>338</v>
      </c>
      <c r="F152" s="147" t="s">
        <v>45</v>
      </c>
      <c r="G152" s="145" t="s">
        <v>41</v>
      </c>
      <c r="H152" s="145"/>
      <c r="I152" s="145"/>
      <c r="J152" s="118">
        <f>+IF(AND(AD152=Dashboard!$DN$8,Dashboard!$DN$9=1),Dashboard!J66,0)+IF(AND(AD152=Dashboard!$DO$8,Dashboard!$DO$9=1),Dashboard!J66,0)+IF(AND(AD152=Dashboard!$DP$8,Dashboard!$DP$9=1),Dashboard!J66,0)</f>
        <v>1</v>
      </c>
      <c r="K152" s="145"/>
      <c r="L152" s="306">
        <v>85000</v>
      </c>
      <c r="M152" s="316">
        <f t="shared" si="56"/>
        <v>85000</v>
      </c>
      <c r="N152" s="565">
        <v>3</v>
      </c>
      <c r="O152" s="119">
        <v>45870</v>
      </c>
      <c r="P152" s="119">
        <v>45960</v>
      </c>
      <c r="Q152" s="611">
        <f t="shared" si="47"/>
        <v>3</v>
      </c>
      <c r="R152" s="145" t="s">
        <v>77</v>
      </c>
      <c r="S152" s="118"/>
      <c r="T152" s="119">
        <v>45870</v>
      </c>
      <c r="U152" s="119">
        <v>45960</v>
      </c>
      <c r="V152" s="611">
        <f t="shared" ref="V152:V153" si="58">+ROUNDUP(_xlfn.DAYS(U152,T152)/30.5,0)</f>
        <v>3</v>
      </c>
      <c r="W152" s="121">
        <f>+SUMIFS('Listas y Parametros'!$C$44:$L$44,'Listas y Parametros'!$C$35:$L$35,'Gantt Proyectos'!AC152)*J152*'EDP Proyectado'!Q84</f>
        <v>0.5</v>
      </c>
      <c r="X152" s="122"/>
      <c r="Y152" s="122"/>
      <c r="Z152" s="122"/>
      <c r="AA152" s="122"/>
      <c r="AB152" s="122"/>
      <c r="AC152" s="123" t="s">
        <v>88</v>
      </c>
      <c r="AD152" s="123" t="s">
        <v>5</v>
      </c>
      <c r="AE152" s="123" t="s">
        <v>89</v>
      </c>
      <c r="AF152" s="207"/>
      <c r="AG152" s="665">
        <f t="shared" si="55"/>
        <v>0</v>
      </c>
      <c r="AH152" s="665">
        <f t="shared" si="55"/>
        <v>0</v>
      </c>
      <c r="AI152" s="665">
        <f t="shared" si="55"/>
        <v>0</v>
      </c>
      <c r="AJ152" s="665">
        <f t="shared" si="55"/>
        <v>0.33333333333333331</v>
      </c>
      <c r="AK152" s="665">
        <f t="shared" si="55"/>
        <v>0.33333333333333331</v>
      </c>
      <c r="AL152" s="665">
        <f t="shared" si="55"/>
        <v>0.33333333333333331</v>
      </c>
      <c r="AM152" s="665">
        <f t="shared" si="55"/>
        <v>0</v>
      </c>
      <c r="AN152" s="666">
        <f t="shared" si="55"/>
        <v>0</v>
      </c>
    </row>
    <row r="153" spans="1:40" ht="15" x14ac:dyDescent="0.2">
      <c r="A153" s="598"/>
      <c r="B153" s="144"/>
      <c r="C153" s="144">
        <f t="shared" si="50"/>
        <v>57</v>
      </c>
      <c r="D153" s="599" t="s">
        <v>486</v>
      </c>
      <c r="E153" s="145" t="s">
        <v>382</v>
      </c>
      <c r="F153" s="147" t="s">
        <v>45</v>
      </c>
      <c r="G153" s="145" t="s">
        <v>41</v>
      </c>
      <c r="H153" s="145"/>
      <c r="I153" s="145"/>
      <c r="J153" s="118">
        <f>+IF(AND(AD153=Dashboard!$DN$8,Dashboard!$DN$9=1),Dashboard!J67,0)+IF(AND(AD153=Dashboard!$DO$8,Dashboard!$DO$9=1),Dashboard!J67,0)+IF(AND(AD153=Dashboard!$DP$8,Dashboard!$DP$9=1),Dashboard!J67,0)</f>
        <v>1</v>
      </c>
      <c r="K153" s="145"/>
      <c r="L153" s="306">
        <v>145000</v>
      </c>
      <c r="M153" s="316">
        <f t="shared" si="56"/>
        <v>145000</v>
      </c>
      <c r="N153" s="565">
        <v>2</v>
      </c>
      <c r="O153" s="119">
        <v>45839</v>
      </c>
      <c r="P153" s="119">
        <v>45930</v>
      </c>
      <c r="Q153" s="611">
        <f t="shared" si="47"/>
        <v>3</v>
      </c>
      <c r="R153" s="145" t="s">
        <v>77</v>
      </c>
      <c r="S153" s="118"/>
      <c r="T153" s="119">
        <v>45839</v>
      </c>
      <c r="U153" s="119">
        <v>45930</v>
      </c>
      <c r="V153" s="611">
        <f t="shared" si="58"/>
        <v>3</v>
      </c>
      <c r="W153" s="121">
        <f>+SUMIFS('Listas y Parametros'!$C$44:$L$44,'Listas y Parametros'!$C$35:$L$35,'Gantt Proyectos'!AC153)*J153*'EDP Proyectado'!Q85</f>
        <v>0.57628635346756141</v>
      </c>
      <c r="X153" s="122"/>
      <c r="Y153" s="122"/>
      <c r="Z153" s="122"/>
      <c r="AA153" s="122"/>
      <c r="AB153" s="122"/>
      <c r="AC153" s="123" t="s">
        <v>72</v>
      </c>
      <c r="AD153" s="123" t="s">
        <v>5</v>
      </c>
      <c r="AE153" s="123" t="s">
        <v>89</v>
      </c>
      <c r="AF153" s="207"/>
      <c r="AG153" s="665">
        <f t="shared" si="55"/>
        <v>0</v>
      </c>
      <c r="AH153" s="665">
        <f t="shared" si="55"/>
        <v>0</v>
      </c>
      <c r="AI153" s="665">
        <f t="shared" si="55"/>
        <v>0.33333333333333331</v>
      </c>
      <c r="AJ153" s="665">
        <f t="shared" si="55"/>
        <v>0.33333333333333331</v>
      </c>
      <c r="AK153" s="665">
        <f t="shared" si="55"/>
        <v>0.33333333333333331</v>
      </c>
      <c r="AL153" s="665">
        <f t="shared" si="55"/>
        <v>0</v>
      </c>
      <c r="AM153" s="665">
        <f t="shared" si="55"/>
        <v>0</v>
      </c>
      <c r="AN153" s="666">
        <f t="shared" si="55"/>
        <v>0</v>
      </c>
    </row>
    <row r="154" spans="1:40" ht="15" x14ac:dyDescent="0.2">
      <c r="B154" s="144"/>
      <c r="C154" s="144">
        <f t="shared" si="50"/>
        <v>58</v>
      </c>
      <c r="D154" s="145" t="s">
        <v>487</v>
      </c>
      <c r="E154" s="145" t="s">
        <v>488</v>
      </c>
      <c r="F154" s="147" t="s">
        <v>44</v>
      </c>
      <c r="G154" s="145" t="s">
        <v>41</v>
      </c>
      <c r="H154" s="145"/>
      <c r="I154" s="145"/>
      <c r="J154" s="118">
        <f>+IF(AND(AD154=Dashboard!$DN$8,Dashboard!$DN$9=1),Dashboard!J68,0)+IF(AND(AD154=Dashboard!$DO$8,Dashboard!$DO$9=1),Dashboard!J68,0)+IF(AND(AD154=Dashboard!$DP$8,Dashboard!$DP$9=1),Dashboard!J68,0)</f>
        <v>1</v>
      </c>
      <c r="K154" s="145"/>
      <c r="L154" s="306">
        <v>197494</v>
      </c>
      <c r="M154" s="316">
        <f t="shared" si="56"/>
        <v>197494</v>
      </c>
      <c r="N154" s="613">
        <v>2</v>
      </c>
      <c r="O154" s="119">
        <v>45823</v>
      </c>
      <c r="P154" s="119">
        <v>45975</v>
      </c>
      <c r="Q154" s="611">
        <f t="shared" si="47"/>
        <v>5</v>
      </c>
      <c r="R154" s="145" t="s">
        <v>77</v>
      </c>
      <c r="S154" s="118"/>
      <c r="T154" s="119">
        <v>45823</v>
      </c>
      <c r="U154" s="119">
        <v>45975</v>
      </c>
      <c r="V154" s="611">
        <f t="shared" ref="V154" si="59">+ROUNDUP(_xlfn.DAYS(U154,T154)/30.5,0)</f>
        <v>5</v>
      </c>
      <c r="W154" s="121">
        <f>+SUMIFS('Listas y Parametros'!$C$44:$L$44,'Listas y Parametros'!$C$35:$L$35,'Gantt Proyectos'!AC154)*J154*'EDP Proyectado'!Q86</f>
        <v>0.72035794183445179</v>
      </c>
      <c r="X154" s="122"/>
      <c r="Y154" s="122"/>
      <c r="Z154" s="122"/>
      <c r="AA154" s="122"/>
      <c r="AB154" s="122"/>
      <c r="AC154" s="123" t="s">
        <v>72</v>
      </c>
      <c r="AD154" s="123" t="s">
        <v>4</v>
      </c>
      <c r="AE154" s="123" t="s">
        <v>87</v>
      </c>
      <c r="AF154" s="207"/>
      <c r="AG154" s="665">
        <f t="shared" si="55"/>
        <v>0</v>
      </c>
      <c r="AH154" s="665">
        <f t="shared" si="55"/>
        <v>0.2</v>
      </c>
      <c r="AI154" s="665">
        <f t="shared" si="55"/>
        <v>0.2</v>
      </c>
      <c r="AJ154" s="665">
        <f t="shared" si="55"/>
        <v>0.2</v>
      </c>
      <c r="AK154" s="665">
        <f t="shared" si="55"/>
        <v>0.2</v>
      </c>
      <c r="AL154" s="665">
        <f t="shared" si="55"/>
        <v>0.2</v>
      </c>
      <c r="AM154" s="665">
        <f t="shared" si="55"/>
        <v>0.2</v>
      </c>
      <c r="AN154" s="666">
        <f t="shared" si="55"/>
        <v>0</v>
      </c>
    </row>
    <row r="155" spans="1:40" ht="15" x14ac:dyDescent="0.2">
      <c r="A155" s="598"/>
      <c r="B155" s="144"/>
      <c r="C155" s="144">
        <f t="shared" si="50"/>
        <v>59</v>
      </c>
      <c r="D155" s="599" t="s">
        <v>503</v>
      </c>
      <c r="E155" s="145" t="s">
        <v>504</v>
      </c>
      <c r="F155" s="147" t="s">
        <v>45</v>
      </c>
      <c r="G155" s="145" t="s">
        <v>41</v>
      </c>
      <c r="H155" s="145"/>
      <c r="I155" s="145"/>
      <c r="J155" s="118">
        <f>+IF(AND(AD155=Dashboard!$DN$8,Dashboard!$DN$9=1),Dashboard!J69,0)+IF(AND(AD155=Dashboard!$DO$8,Dashboard!$DO$9=1),Dashboard!J69,0)+IF(AND(AD155=Dashboard!$DP$8,Dashboard!$DP$9=1),Dashboard!J69,0)</f>
        <v>1</v>
      </c>
      <c r="K155" s="145"/>
      <c r="L155" s="306">
        <v>475000</v>
      </c>
      <c r="M155" s="316">
        <f t="shared" si="56"/>
        <v>475000</v>
      </c>
      <c r="N155" s="613">
        <v>1</v>
      </c>
      <c r="O155" s="119">
        <v>45870</v>
      </c>
      <c r="P155" s="119">
        <v>45991</v>
      </c>
      <c r="Q155" s="611">
        <f t="shared" ref="Q155" si="60">+ROUNDUP(_xlfn.DAYS(P155,O155)/30.5,0)</f>
        <v>4</v>
      </c>
      <c r="R155" s="145" t="s">
        <v>77</v>
      </c>
      <c r="S155" s="145"/>
      <c r="T155" s="156">
        <v>45870</v>
      </c>
      <c r="U155" s="156">
        <v>45991</v>
      </c>
      <c r="V155" s="611">
        <f t="shared" ref="V155" si="61">+ROUNDUP(_xlfn.DAYS(U155,T155)/30.5,0)</f>
        <v>4</v>
      </c>
      <c r="W155" s="121">
        <f>+SUMIFS('Listas y Parametros'!$C$44:$L$44,'Listas y Parametros'!$C$35:$L$35,'Gantt Proyectos'!AC155)*J155*'EDP Proyectado'!Q87</f>
        <v>0.72371364653243841</v>
      </c>
      <c r="X155" s="122"/>
      <c r="Y155" s="122"/>
      <c r="Z155" s="122"/>
      <c r="AA155" s="122"/>
      <c r="AB155" s="122"/>
      <c r="AC155" s="123" t="s">
        <v>80</v>
      </c>
      <c r="AD155" s="123" t="s">
        <v>5</v>
      </c>
      <c r="AE155" s="123" t="s">
        <v>89</v>
      </c>
      <c r="AF155" s="207"/>
      <c r="AG155" s="665">
        <f t="shared" si="55"/>
        <v>0</v>
      </c>
      <c r="AH155" s="665">
        <f t="shared" si="55"/>
        <v>0</v>
      </c>
      <c r="AI155" s="665">
        <f t="shared" si="55"/>
        <v>0</v>
      </c>
      <c r="AJ155" s="665">
        <f t="shared" si="55"/>
        <v>0.25</v>
      </c>
      <c r="AK155" s="665">
        <f t="shared" si="55"/>
        <v>0.25</v>
      </c>
      <c r="AL155" s="665">
        <f t="shared" si="55"/>
        <v>0.25</v>
      </c>
      <c r="AM155" s="665">
        <f t="shared" si="55"/>
        <v>0.25</v>
      </c>
      <c r="AN155" s="666">
        <f t="shared" si="55"/>
        <v>0</v>
      </c>
    </row>
    <row r="156" spans="1:40" ht="15" x14ac:dyDescent="0.2">
      <c r="B156" s="144"/>
      <c r="C156" s="144">
        <f t="shared" si="50"/>
        <v>60</v>
      </c>
      <c r="D156" s="145"/>
      <c r="E156" s="145"/>
      <c r="F156" s="147"/>
      <c r="G156" s="145"/>
      <c r="H156" s="145"/>
      <c r="I156" s="145"/>
      <c r="J156" s="118"/>
      <c r="K156" s="145"/>
      <c r="L156" s="126"/>
      <c r="M156" s="145"/>
      <c r="N156" s="613"/>
      <c r="O156" s="119"/>
      <c r="P156" s="119"/>
      <c r="Q156" s="612"/>
      <c r="R156" s="145"/>
      <c r="S156" s="145"/>
      <c r="T156" s="156"/>
      <c r="U156" s="156"/>
      <c r="V156" s="202"/>
      <c r="W156" s="121"/>
      <c r="X156" s="122"/>
      <c r="Y156" s="122"/>
      <c r="Z156" s="122"/>
      <c r="AA156" s="122"/>
      <c r="AB156" s="122"/>
      <c r="AC156" s="123"/>
      <c r="AD156" s="123"/>
      <c r="AE156" s="123"/>
      <c r="AF156" s="207"/>
      <c r="AG156" s="286"/>
      <c r="AH156" s="286"/>
      <c r="AI156" s="286"/>
      <c r="AJ156" s="286"/>
      <c r="AK156" s="286"/>
      <c r="AL156" s="286"/>
      <c r="AM156" s="286"/>
      <c r="AN156" s="125"/>
    </row>
    <row r="157" spans="1:40" ht="15" x14ac:dyDescent="0.2">
      <c r="B157" s="144"/>
      <c r="C157" s="144">
        <f t="shared" si="50"/>
        <v>61</v>
      </c>
      <c r="D157" s="145"/>
      <c r="E157" s="145"/>
      <c r="F157" s="147"/>
      <c r="G157" s="145"/>
      <c r="H157" s="145"/>
      <c r="I157" s="145"/>
      <c r="J157" s="118"/>
      <c r="K157" s="145"/>
      <c r="L157" s="126"/>
      <c r="M157" s="145"/>
      <c r="N157" s="613"/>
      <c r="O157" s="119"/>
      <c r="P157" s="119"/>
      <c r="Q157" s="612"/>
      <c r="R157" s="145"/>
      <c r="S157" s="145"/>
      <c r="T157" s="156"/>
      <c r="U157" s="156"/>
      <c r="V157" s="202"/>
      <c r="W157" s="121"/>
      <c r="X157" s="122"/>
      <c r="Y157" s="122"/>
      <c r="Z157" s="122"/>
      <c r="AA157" s="122"/>
      <c r="AB157" s="122"/>
      <c r="AC157" s="123"/>
      <c r="AD157" s="123"/>
      <c r="AE157" s="123"/>
      <c r="AF157" s="207"/>
      <c r="AG157" s="286"/>
      <c r="AH157" s="286"/>
      <c r="AI157" s="286"/>
      <c r="AJ157" s="286"/>
      <c r="AK157" s="286"/>
      <c r="AL157" s="286"/>
      <c r="AM157" s="286"/>
      <c r="AN157" s="125"/>
    </row>
    <row r="158" spans="1:40" ht="15" x14ac:dyDescent="0.2">
      <c r="B158" s="144"/>
      <c r="C158" s="144">
        <f t="shared" si="50"/>
        <v>62</v>
      </c>
      <c r="D158" s="145"/>
      <c r="E158" s="145"/>
      <c r="F158" s="147"/>
      <c r="G158" s="145"/>
      <c r="H158" s="145"/>
      <c r="I158" s="145"/>
      <c r="J158" s="118"/>
      <c r="K158" s="145"/>
      <c r="L158" s="126"/>
      <c r="M158" s="145"/>
      <c r="N158" s="613"/>
      <c r="O158" s="119"/>
      <c r="P158" s="119"/>
      <c r="Q158" s="612"/>
      <c r="R158" s="145"/>
      <c r="S158" s="145"/>
      <c r="T158" s="156"/>
      <c r="U158" s="156"/>
      <c r="V158" s="202"/>
      <c r="W158" s="121"/>
      <c r="X158" s="122"/>
      <c r="Y158" s="122"/>
      <c r="Z158" s="122"/>
      <c r="AA158" s="122"/>
      <c r="AB158" s="122"/>
      <c r="AC158" s="123"/>
      <c r="AD158" s="123"/>
      <c r="AE158" s="123"/>
      <c r="AF158" s="207"/>
      <c r="AG158" s="286"/>
      <c r="AH158" s="286"/>
      <c r="AI158" s="286"/>
      <c r="AJ158" s="286"/>
      <c r="AK158" s="286"/>
      <c r="AL158" s="286"/>
      <c r="AM158" s="286"/>
      <c r="AN158" s="125"/>
    </row>
    <row r="159" spans="1:40" ht="15" x14ac:dyDescent="0.2">
      <c r="B159" s="144"/>
      <c r="C159" s="144">
        <f t="shared" si="50"/>
        <v>63</v>
      </c>
      <c r="D159" s="145"/>
      <c r="E159" s="145"/>
      <c r="F159" s="147"/>
      <c r="G159" s="145"/>
      <c r="H159" s="145"/>
      <c r="I159" s="145"/>
      <c r="J159" s="118"/>
      <c r="K159" s="145"/>
      <c r="L159" s="126"/>
      <c r="M159" s="145"/>
      <c r="N159" s="613"/>
      <c r="O159" s="119"/>
      <c r="P159" s="119"/>
      <c r="Q159" s="612"/>
      <c r="R159" s="145"/>
      <c r="S159" s="145"/>
      <c r="T159" s="156"/>
      <c r="U159" s="156"/>
      <c r="V159" s="202"/>
      <c r="W159" s="121"/>
      <c r="X159" s="122"/>
      <c r="Y159" s="122"/>
      <c r="Z159" s="122"/>
      <c r="AA159" s="122"/>
      <c r="AB159" s="122"/>
      <c r="AC159" s="123"/>
      <c r="AD159" s="123"/>
      <c r="AE159" s="123"/>
      <c r="AF159" s="207"/>
      <c r="AG159" s="286"/>
      <c r="AH159" s="286"/>
      <c r="AI159" s="286"/>
      <c r="AJ159" s="286"/>
      <c r="AK159" s="286"/>
      <c r="AL159" s="286"/>
      <c r="AM159" s="286"/>
      <c r="AN159" s="125"/>
    </row>
    <row r="160" spans="1:40" ht="15" x14ac:dyDescent="0.2">
      <c r="B160" s="144"/>
      <c r="C160" s="144">
        <f t="shared" si="50"/>
        <v>64</v>
      </c>
      <c r="D160" s="145"/>
      <c r="E160" s="145"/>
      <c r="F160" s="147"/>
      <c r="G160" s="145"/>
      <c r="H160" s="145"/>
      <c r="I160" s="145"/>
      <c r="J160" s="118"/>
      <c r="K160" s="145"/>
      <c r="L160" s="126"/>
      <c r="M160" s="145"/>
      <c r="N160" s="613"/>
      <c r="O160" s="119"/>
      <c r="P160" s="119"/>
      <c r="Q160" s="612"/>
      <c r="R160" s="145"/>
      <c r="S160" s="145"/>
      <c r="T160" s="156"/>
      <c r="U160" s="156"/>
      <c r="V160" s="202"/>
      <c r="W160" s="121"/>
      <c r="X160" s="122"/>
      <c r="Y160" s="122"/>
      <c r="Z160" s="122"/>
      <c r="AA160" s="122"/>
      <c r="AB160" s="122"/>
      <c r="AC160" s="123"/>
      <c r="AD160" s="123"/>
      <c r="AE160" s="123"/>
      <c r="AF160" s="207"/>
      <c r="AG160" s="286"/>
      <c r="AH160" s="286"/>
      <c r="AI160" s="286"/>
      <c r="AJ160" s="286"/>
      <c r="AK160" s="286"/>
      <c r="AL160" s="286"/>
      <c r="AM160" s="286"/>
      <c r="AN160" s="125"/>
    </row>
    <row r="161" spans="2:40" ht="15" x14ac:dyDescent="0.2">
      <c r="B161" s="144"/>
      <c r="C161" s="144">
        <f t="shared" si="50"/>
        <v>65</v>
      </c>
      <c r="D161" s="145"/>
      <c r="E161" s="145"/>
      <c r="F161" s="147"/>
      <c r="G161" s="145"/>
      <c r="H161" s="145"/>
      <c r="I161" s="145"/>
      <c r="J161" s="118"/>
      <c r="K161" s="145"/>
      <c r="L161" s="126"/>
      <c r="M161" s="145"/>
      <c r="N161" s="613"/>
      <c r="O161" s="119"/>
      <c r="P161" s="119"/>
      <c r="Q161" s="612"/>
      <c r="R161" s="145"/>
      <c r="S161" s="145"/>
      <c r="T161" s="156"/>
      <c r="U161" s="156"/>
      <c r="V161" s="202"/>
      <c r="W161" s="121"/>
      <c r="X161" s="122"/>
      <c r="Y161" s="122"/>
      <c r="Z161" s="122"/>
      <c r="AA161" s="122"/>
      <c r="AB161" s="122"/>
      <c r="AC161" s="123"/>
      <c r="AD161" s="123"/>
      <c r="AE161" s="123"/>
      <c r="AF161" s="207"/>
      <c r="AG161" s="286"/>
      <c r="AH161" s="286"/>
      <c r="AI161" s="286"/>
      <c r="AJ161" s="286"/>
      <c r="AK161" s="286"/>
      <c r="AL161" s="286"/>
      <c r="AM161" s="286"/>
      <c r="AN161" s="125"/>
    </row>
    <row r="162" spans="2:40" ht="15" x14ac:dyDescent="0.2">
      <c r="B162" s="144"/>
      <c r="C162" s="144">
        <f t="shared" si="50"/>
        <v>66</v>
      </c>
      <c r="D162" s="145"/>
      <c r="E162" s="145"/>
      <c r="F162" s="147"/>
      <c r="G162" s="145"/>
      <c r="H162" s="145"/>
      <c r="I162" s="145"/>
      <c r="J162" s="118"/>
      <c r="K162" s="145"/>
      <c r="L162" s="126"/>
      <c r="M162" s="145"/>
      <c r="N162" s="613"/>
      <c r="O162" s="119"/>
      <c r="P162" s="119"/>
      <c r="Q162" s="612"/>
      <c r="R162" s="145"/>
      <c r="S162" s="145"/>
      <c r="T162" s="156"/>
      <c r="U162" s="156"/>
      <c r="V162" s="202"/>
      <c r="W162" s="121"/>
      <c r="X162" s="122"/>
      <c r="Y162" s="122"/>
      <c r="Z162" s="122"/>
      <c r="AA162" s="122"/>
      <c r="AB162" s="122"/>
      <c r="AC162" s="123"/>
      <c r="AD162" s="123"/>
      <c r="AE162" s="123"/>
      <c r="AF162" s="207"/>
      <c r="AG162" s="286"/>
      <c r="AH162" s="286"/>
      <c r="AI162" s="286"/>
      <c r="AJ162" s="286"/>
      <c r="AK162" s="286"/>
      <c r="AL162" s="286"/>
      <c r="AM162" s="286"/>
      <c r="AN162" s="125"/>
    </row>
    <row r="163" spans="2:40" ht="15" x14ac:dyDescent="0.2">
      <c r="B163" s="144"/>
      <c r="C163" s="144">
        <f t="shared" ref="C163:C196" si="62">+C162+1</f>
        <v>67</v>
      </c>
      <c r="D163" s="145"/>
      <c r="E163" s="145"/>
      <c r="F163" s="147"/>
      <c r="G163" s="145"/>
      <c r="H163" s="145"/>
      <c r="I163" s="145"/>
      <c r="J163" s="118"/>
      <c r="K163" s="145"/>
      <c r="L163" s="126"/>
      <c r="M163" s="145"/>
      <c r="N163" s="613"/>
      <c r="O163" s="119"/>
      <c r="P163" s="119"/>
      <c r="Q163" s="612"/>
      <c r="R163" s="145"/>
      <c r="S163" s="145"/>
      <c r="T163" s="156"/>
      <c r="U163" s="156"/>
      <c r="V163" s="202"/>
      <c r="W163" s="121"/>
      <c r="X163" s="122"/>
      <c r="Y163" s="122"/>
      <c r="Z163" s="122"/>
      <c r="AA163" s="122"/>
      <c r="AB163" s="122"/>
      <c r="AC163" s="123"/>
      <c r="AD163" s="123"/>
      <c r="AE163" s="123"/>
      <c r="AF163" s="207"/>
      <c r="AG163" s="286"/>
      <c r="AH163" s="286"/>
      <c r="AI163" s="286"/>
      <c r="AJ163" s="286"/>
      <c r="AK163" s="286"/>
      <c r="AL163" s="286"/>
      <c r="AM163" s="286"/>
      <c r="AN163" s="125"/>
    </row>
    <row r="164" spans="2:40" ht="15" x14ac:dyDescent="0.2">
      <c r="B164" s="144"/>
      <c r="C164" s="144">
        <f t="shared" si="62"/>
        <v>68</v>
      </c>
      <c r="D164" s="145"/>
      <c r="E164" s="145"/>
      <c r="F164" s="147"/>
      <c r="G164" s="145"/>
      <c r="H164" s="145"/>
      <c r="I164" s="145"/>
      <c r="J164" s="118"/>
      <c r="K164" s="145"/>
      <c r="L164" s="126"/>
      <c r="M164" s="145"/>
      <c r="N164" s="613"/>
      <c r="O164" s="119"/>
      <c r="P164" s="119"/>
      <c r="Q164" s="612"/>
      <c r="R164" s="145"/>
      <c r="S164" s="145"/>
      <c r="T164" s="156"/>
      <c r="U164" s="156"/>
      <c r="V164" s="202"/>
      <c r="W164" s="121"/>
      <c r="X164" s="122"/>
      <c r="Y164" s="122"/>
      <c r="Z164" s="122"/>
      <c r="AA164" s="122"/>
      <c r="AB164" s="122"/>
      <c r="AC164" s="123"/>
      <c r="AD164" s="123"/>
      <c r="AE164" s="123"/>
      <c r="AF164" s="207"/>
      <c r="AG164" s="286"/>
      <c r="AH164" s="286"/>
      <c r="AI164" s="286"/>
      <c r="AJ164" s="286"/>
      <c r="AK164" s="286"/>
      <c r="AL164" s="286"/>
      <c r="AM164" s="286"/>
      <c r="AN164" s="125"/>
    </row>
    <row r="165" spans="2:40" ht="15" x14ac:dyDescent="0.2">
      <c r="B165" s="144"/>
      <c r="C165" s="144">
        <f t="shared" si="62"/>
        <v>69</v>
      </c>
      <c r="D165" s="145"/>
      <c r="E165" s="145"/>
      <c r="F165" s="147"/>
      <c r="G165" s="145"/>
      <c r="H165" s="145"/>
      <c r="I165" s="145"/>
      <c r="J165" s="118"/>
      <c r="K165" s="145"/>
      <c r="L165" s="126"/>
      <c r="M165" s="145"/>
      <c r="N165" s="613"/>
      <c r="O165" s="119"/>
      <c r="P165" s="119"/>
      <c r="Q165" s="612"/>
      <c r="R165" s="145"/>
      <c r="S165" s="145"/>
      <c r="T165" s="156"/>
      <c r="U165" s="156"/>
      <c r="V165" s="202"/>
      <c r="W165" s="121"/>
      <c r="X165" s="122"/>
      <c r="Y165" s="122"/>
      <c r="Z165" s="122"/>
      <c r="AA165" s="122"/>
      <c r="AB165" s="122"/>
      <c r="AC165" s="123"/>
      <c r="AD165" s="123"/>
      <c r="AE165" s="123"/>
      <c r="AF165" s="207"/>
      <c r="AG165" s="286"/>
      <c r="AH165" s="286"/>
      <c r="AI165" s="286"/>
      <c r="AJ165" s="286"/>
      <c r="AK165" s="286"/>
      <c r="AL165" s="286"/>
      <c r="AM165" s="286"/>
      <c r="AN165" s="125"/>
    </row>
    <row r="166" spans="2:40" ht="15" x14ac:dyDescent="0.2">
      <c r="B166" s="144"/>
      <c r="C166" s="144">
        <f t="shared" si="62"/>
        <v>70</v>
      </c>
      <c r="D166" s="145"/>
      <c r="E166" s="145"/>
      <c r="F166" s="147"/>
      <c r="G166" s="145"/>
      <c r="H166" s="145"/>
      <c r="I166" s="145"/>
      <c r="J166" s="118"/>
      <c r="K166" s="145"/>
      <c r="L166" s="126"/>
      <c r="M166" s="145"/>
      <c r="N166" s="613"/>
      <c r="O166" s="119"/>
      <c r="P166" s="119"/>
      <c r="Q166" s="612"/>
      <c r="R166" s="145"/>
      <c r="S166" s="145"/>
      <c r="T166" s="156"/>
      <c r="U166" s="156"/>
      <c r="V166" s="202"/>
      <c r="W166" s="121"/>
      <c r="X166" s="122"/>
      <c r="Y166" s="122"/>
      <c r="Z166" s="122"/>
      <c r="AA166" s="122"/>
      <c r="AB166" s="122"/>
      <c r="AC166" s="123"/>
      <c r="AD166" s="123"/>
      <c r="AE166" s="123"/>
      <c r="AF166" s="207"/>
      <c r="AG166" s="286"/>
      <c r="AH166" s="286"/>
      <c r="AI166" s="286"/>
      <c r="AJ166" s="286"/>
      <c r="AK166" s="286"/>
      <c r="AL166" s="286"/>
      <c r="AM166" s="286"/>
      <c r="AN166" s="125"/>
    </row>
    <row r="167" spans="2:40" ht="15" x14ac:dyDescent="0.2">
      <c r="B167" s="144"/>
      <c r="C167" s="144">
        <f t="shared" si="62"/>
        <v>71</v>
      </c>
      <c r="D167" s="145"/>
      <c r="E167" s="145"/>
      <c r="F167" s="147"/>
      <c r="G167" s="145"/>
      <c r="H167" s="145"/>
      <c r="I167" s="145"/>
      <c r="J167" s="118"/>
      <c r="K167" s="145"/>
      <c r="L167" s="126"/>
      <c r="M167" s="145"/>
      <c r="N167" s="613"/>
      <c r="O167" s="119"/>
      <c r="P167" s="119"/>
      <c r="Q167" s="612"/>
      <c r="R167" s="145"/>
      <c r="S167" s="145"/>
      <c r="T167" s="156"/>
      <c r="U167" s="156"/>
      <c r="V167" s="202"/>
      <c r="W167" s="121"/>
      <c r="X167" s="122"/>
      <c r="Y167" s="122"/>
      <c r="Z167" s="122"/>
      <c r="AA167" s="122"/>
      <c r="AB167" s="122"/>
      <c r="AC167" s="123"/>
      <c r="AD167" s="123"/>
      <c r="AE167" s="123"/>
      <c r="AF167" s="207"/>
      <c r="AG167" s="286"/>
      <c r="AH167" s="286"/>
      <c r="AI167" s="286"/>
      <c r="AJ167" s="286"/>
      <c r="AK167" s="286"/>
      <c r="AL167" s="286"/>
      <c r="AM167" s="286"/>
      <c r="AN167" s="125"/>
    </row>
    <row r="168" spans="2:40" ht="15" x14ac:dyDescent="0.2">
      <c r="B168" s="144"/>
      <c r="C168" s="144">
        <f t="shared" si="62"/>
        <v>72</v>
      </c>
      <c r="D168" s="145"/>
      <c r="E168" s="145"/>
      <c r="F168" s="147"/>
      <c r="G168" s="145"/>
      <c r="H168" s="145"/>
      <c r="I168" s="145"/>
      <c r="J168" s="118"/>
      <c r="K168" s="145"/>
      <c r="L168" s="126"/>
      <c r="M168" s="145"/>
      <c r="N168" s="613"/>
      <c r="O168" s="119"/>
      <c r="P168" s="119"/>
      <c r="Q168" s="612"/>
      <c r="R168" s="145"/>
      <c r="S168" s="145"/>
      <c r="T168" s="156"/>
      <c r="U168" s="156"/>
      <c r="V168" s="202"/>
      <c r="W168" s="121"/>
      <c r="X168" s="122"/>
      <c r="Y168" s="122"/>
      <c r="Z168" s="122"/>
      <c r="AA168" s="122"/>
      <c r="AB168" s="122"/>
      <c r="AC168" s="123"/>
      <c r="AD168" s="123"/>
      <c r="AE168" s="123"/>
      <c r="AF168" s="207"/>
      <c r="AG168" s="286"/>
      <c r="AH168" s="286"/>
      <c r="AI168" s="286"/>
      <c r="AJ168" s="286"/>
      <c r="AK168" s="286"/>
      <c r="AL168" s="286"/>
      <c r="AM168" s="286"/>
      <c r="AN168" s="125"/>
    </row>
    <row r="169" spans="2:40" ht="15" x14ac:dyDescent="0.2">
      <c r="B169" s="144"/>
      <c r="C169" s="144">
        <f t="shared" si="62"/>
        <v>73</v>
      </c>
      <c r="D169" s="145"/>
      <c r="E169" s="145"/>
      <c r="F169" s="147"/>
      <c r="G169" s="145"/>
      <c r="H169" s="145"/>
      <c r="I169" s="145"/>
      <c r="J169" s="118"/>
      <c r="K169" s="145"/>
      <c r="L169" s="126"/>
      <c r="M169" s="145"/>
      <c r="N169" s="613"/>
      <c r="O169" s="119"/>
      <c r="P169" s="119"/>
      <c r="Q169" s="612"/>
      <c r="R169" s="145"/>
      <c r="S169" s="145"/>
      <c r="T169" s="156"/>
      <c r="U169" s="156"/>
      <c r="V169" s="202"/>
      <c r="W169" s="121"/>
      <c r="X169" s="122"/>
      <c r="Y169" s="122"/>
      <c r="Z169" s="122"/>
      <c r="AA169" s="122"/>
      <c r="AB169" s="122"/>
      <c r="AC169" s="123"/>
      <c r="AD169" s="123"/>
      <c r="AE169" s="123"/>
      <c r="AF169" s="207"/>
      <c r="AG169" s="286"/>
      <c r="AH169" s="286"/>
      <c r="AI169" s="286"/>
      <c r="AJ169" s="286"/>
      <c r="AK169" s="286"/>
      <c r="AL169" s="286"/>
      <c r="AM169" s="286"/>
      <c r="AN169" s="125"/>
    </row>
    <row r="170" spans="2:40" ht="15" x14ac:dyDescent="0.2">
      <c r="B170" s="144"/>
      <c r="C170" s="144">
        <f t="shared" si="62"/>
        <v>74</v>
      </c>
      <c r="D170" s="145"/>
      <c r="E170" s="145"/>
      <c r="F170" s="147"/>
      <c r="G170" s="145"/>
      <c r="H170" s="145"/>
      <c r="I170" s="145"/>
      <c r="J170" s="118"/>
      <c r="K170" s="145"/>
      <c r="L170" s="126"/>
      <c r="M170" s="145"/>
      <c r="N170" s="613"/>
      <c r="O170" s="119"/>
      <c r="P170" s="119"/>
      <c r="Q170" s="612"/>
      <c r="R170" s="145"/>
      <c r="S170" s="145"/>
      <c r="T170" s="156"/>
      <c r="U170" s="156"/>
      <c r="V170" s="202"/>
      <c r="W170" s="121"/>
      <c r="X170" s="122"/>
      <c r="Y170" s="122"/>
      <c r="Z170" s="122"/>
      <c r="AA170" s="122"/>
      <c r="AB170" s="122"/>
      <c r="AC170" s="123"/>
      <c r="AD170" s="123"/>
      <c r="AE170" s="123"/>
      <c r="AF170" s="207"/>
      <c r="AG170" s="286"/>
      <c r="AH170" s="286"/>
      <c r="AI170" s="286"/>
      <c r="AJ170" s="286"/>
      <c r="AK170" s="286"/>
      <c r="AL170" s="286"/>
      <c r="AM170" s="286"/>
      <c r="AN170" s="125"/>
    </row>
    <row r="171" spans="2:40" ht="15" x14ac:dyDescent="0.2">
      <c r="B171" s="144"/>
      <c r="C171" s="144">
        <f t="shared" si="62"/>
        <v>75</v>
      </c>
      <c r="D171" s="145"/>
      <c r="E171" s="145"/>
      <c r="F171" s="147"/>
      <c r="G171" s="145"/>
      <c r="H171" s="145"/>
      <c r="I171" s="145"/>
      <c r="J171" s="118"/>
      <c r="K171" s="145"/>
      <c r="L171" s="126"/>
      <c r="M171" s="145"/>
      <c r="N171" s="613"/>
      <c r="O171" s="119"/>
      <c r="P171" s="119"/>
      <c r="Q171" s="612"/>
      <c r="R171" s="145"/>
      <c r="S171" s="145"/>
      <c r="T171" s="156"/>
      <c r="U171" s="156"/>
      <c r="V171" s="202"/>
      <c r="W171" s="121"/>
      <c r="X171" s="122"/>
      <c r="Y171" s="122"/>
      <c r="Z171" s="122"/>
      <c r="AA171" s="122"/>
      <c r="AB171" s="122"/>
      <c r="AC171" s="123"/>
      <c r="AD171" s="123"/>
      <c r="AE171" s="123"/>
      <c r="AF171" s="207"/>
      <c r="AG171" s="286"/>
      <c r="AH171" s="286"/>
      <c r="AI171" s="286"/>
      <c r="AJ171" s="286"/>
      <c r="AK171" s="286"/>
      <c r="AL171" s="286"/>
      <c r="AM171" s="286"/>
      <c r="AN171" s="125"/>
    </row>
    <row r="172" spans="2:40" ht="15" x14ac:dyDescent="0.2">
      <c r="B172" s="144"/>
      <c r="C172" s="144">
        <f t="shared" si="62"/>
        <v>76</v>
      </c>
      <c r="D172" s="145"/>
      <c r="E172" s="145"/>
      <c r="F172" s="147"/>
      <c r="G172" s="145"/>
      <c r="H172" s="145"/>
      <c r="I172" s="145"/>
      <c r="J172" s="118"/>
      <c r="K172" s="145"/>
      <c r="L172" s="126"/>
      <c r="M172" s="145"/>
      <c r="N172" s="613"/>
      <c r="O172" s="119"/>
      <c r="P172" s="119"/>
      <c r="Q172" s="612"/>
      <c r="R172" s="145"/>
      <c r="S172" s="145"/>
      <c r="T172" s="156"/>
      <c r="U172" s="156"/>
      <c r="V172" s="202"/>
      <c r="W172" s="121"/>
      <c r="X172" s="122"/>
      <c r="Y172" s="122"/>
      <c r="Z172" s="122"/>
      <c r="AA172" s="122"/>
      <c r="AB172" s="122"/>
      <c r="AC172" s="123"/>
      <c r="AD172" s="123"/>
      <c r="AE172" s="123"/>
      <c r="AF172" s="207"/>
      <c r="AG172" s="286"/>
      <c r="AH172" s="286"/>
      <c r="AI172" s="286"/>
      <c r="AJ172" s="286"/>
      <c r="AK172" s="286"/>
      <c r="AL172" s="286"/>
      <c r="AM172" s="286"/>
      <c r="AN172" s="125"/>
    </row>
    <row r="173" spans="2:40" ht="15" x14ac:dyDescent="0.2">
      <c r="B173" s="144"/>
      <c r="C173" s="144">
        <f t="shared" si="62"/>
        <v>77</v>
      </c>
      <c r="D173" s="145"/>
      <c r="E173" s="145"/>
      <c r="F173" s="147"/>
      <c r="G173" s="145"/>
      <c r="H173" s="145"/>
      <c r="I173" s="145"/>
      <c r="J173" s="118"/>
      <c r="K173" s="145"/>
      <c r="L173" s="126"/>
      <c r="M173" s="145"/>
      <c r="N173" s="613"/>
      <c r="O173" s="119"/>
      <c r="P173" s="119"/>
      <c r="Q173" s="612"/>
      <c r="R173" s="145"/>
      <c r="S173" s="145"/>
      <c r="T173" s="156"/>
      <c r="U173" s="156"/>
      <c r="V173" s="202"/>
      <c r="W173" s="121"/>
      <c r="X173" s="122"/>
      <c r="Y173" s="122"/>
      <c r="Z173" s="122"/>
      <c r="AA173" s="122"/>
      <c r="AB173" s="122"/>
      <c r="AC173" s="123"/>
      <c r="AD173" s="123"/>
      <c r="AE173" s="123"/>
      <c r="AF173" s="207"/>
      <c r="AG173" s="286"/>
      <c r="AH173" s="286"/>
      <c r="AI173" s="286"/>
      <c r="AJ173" s="286"/>
      <c r="AK173" s="286"/>
      <c r="AL173" s="286"/>
      <c r="AM173" s="286"/>
      <c r="AN173" s="125"/>
    </row>
    <row r="174" spans="2:40" ht="15" x14ac:dyDescent="0.2">
      <c r="B174" s="144"/>
      <c r="C174" s="144">
        <f t="shared" si="62"/>
        <v>78</v>
      </c>
      <c r="D174" s="145"/>
      <c r="E174" s="145"/>
      <c r="F174" s="147"/>
      <c r="G174" s="145"/>
      <c r="H174" s="145"/>
      <c r="I174" s="145"/>
      <c r="J174" s="118"/>
      <c r="K174" s="145"/>
      <c r="L174" s="126"/>
      <c r="M174" s="145"/>
      <c r="N174" s="613"/>
      <c r="O174" s="119"/>
      <c r="P174" s="119"/>
      <c r="Q174" s="612"/>
      <c r="R174" s="145"/>
      <c r="S174" s="145"/>
      <c r="T174" s="156"/>
      <c r="U174" s="156"/>
      <c r="V174" s="202"/>
      <c r="W174" s="121"/>
      <c r="X174" s="122"/>
      <c r="Y174" s="122"/>
      <c r="Z174" s="122"/>
      <c r="AA174" s="122"/>
      <c r="AB174" s="122"/>
      <c r="AC174" s="123"/>
      <c r="AD174" s="123"/>
      <c r="AE174" s="123"/>
      <c r="AF174" s="207"/>
      <c r="AG174" s="286"/>
      <c r="AH174" s="286"/>
      <c r="AI174" s="286"/>
      <c r="AJ174" s="286"/>
      <c r="AK174" s="286"/>
      <c r="AL174" s="286"/>
      <c r="AM174" s="286"/>
      <c r="AN174" s="125"/>
    </row>
    <row r="175" spans="2:40" ht="15" x14ac:dyDescent="0.2">
      <c r="B175" s="144"/>
      <c r="C175" s="144">
        <f t="shared" si="62"/>
        <v>79</v>
      </c>
      <c r="D175" s="145"/>
      <c r="E175" s="145"/>
      <c r="F175" s="147"/>
      <c r="G175" s="145"/>
      <c r="H175" s="145"/>
      <c r="I175" s="145"/>
      <c r="J175" s="118"/>
      <c r="K175" s="145"/>
      <c r="L175" s="126"/>
      <c r="M175" s="145"/>
      <c r="N175" s="613"/>
      <c r="O175" s="119"/>
      <c r="P175" s="119"/>
      <c r="Q175" s="612"/>
      <c r="R175" s="145"/>
      <c r="S175" s="145"/>
      <c r="T175" s="156"/>
      <c r="U175" s="156"/>
      <c r="V175" s="202"/>
      <c r="W175" s="121"/>
      <c r="X175" s="122"/>
      <c r="Y175" s="122"/>
      <c r="Z175" s="122"/>
      <c r="AA175" s="122"/>
      <c r="AB175" s="122"/>
      <c r="AC175" s="123"/>
      <c r="AD175" s="123"/>
      <c r="AE175" s="123"/>
      <c r="AF175" s="207"/>
      <c r="AG175" s="286"/>
      <c r="AH175" s="286"/>
      <c r="AI175" s="286"/>
      <c r="AJ175" s="286"/>
      <c r="AK175" s="286"/>
      <c r="AL175" s="286"/>
      <c r="AM175" s="286"/>
      <c r="AN175" s="125"/>
    </row>
    <row r="176" spans="2:40" ht="15" x14ac:dyDescent="0.2">
      <c r="B176" s="144"/>
      <c r="C176" s="144">
        <f t="shared" si="62"/>
        <v>80</v>
      </c>
      <c r="D176" s="145"/>
      <c r="E176" s="145"/>
      <c r="F176" s="147"/>
      <c r="G176" s="145"/>
      <c r="H176" s="145"/>
      <c r="I176" s="145"/>
      <c r="J176" s="118"/>
      <c r="K176" s="145"/>
      <c r="L176" s="126"/>
      <c r="M176" s="145"/>
      <c r="N176" s="613"/>
      <c r="O176" s="119"/>
      <c r="P176" s="119"/>
      <c r="Q176" s="612"/>
      <c r="R176" s="145"/>
      <c r="S176" s="145"/>
      <c r="T176" s="156"/>
      <c r="U176" s="156"/>
      <c r="V176" s="202"/>
      <c r="W176" s="121"/>
      <c r="X176" s="122"/>
      <c r="Y176" s="122"/>
      <c r="Z176" s="122"/>
      <c r="AA176" s="122"/>
      <c r="AB176" s="122"/>
      <c r="AC176" s="123"/>
      <c r="AD176" s="123"/>
      <c r="AE176" s="123"/>
      <c r="AF176" s="207"/>
      <c r="AG176" s="286"/>
      <c r="AH176" s="286"/>
      <c r="AI176" s="286"/>
      <c r="AJ176" s="286"/>
      <c r="AK176" s="286"/>
      <c r="AL176" s="286"/>
      <c r="AM176" s="286"/>
      <c r="AN176" s="125"/>
    </row>
    <row r="177" spans="2:40" ht="15" x14ac:dyDescent="0.2">
      <c r="B177" s="144"/>
      <c r="C177" s="144">
        <f t="shared" si="62"/>
        <v>81</v>
      </c>
      <c r="D177" s="145"/>
      <c r="E177" s="145"/>
      <c r="F177" s="147"/>
      <c r="G177" s="145"/>
      <c r="H177" s="145"/>
      <c r="I177" s="145"/>
      <c r="J177" s="118"/>
      <c r="K177" s="145"/>
      <c r="L177" s="126"/>
      <c r="M177" s="145"/>
      <c r="N177" s="613"/>
      <c r="O177" s="119"/>
      <c r="P177" s="119"/>
      <c r="Q177" s="612"/>
      <c r="R177" s="145"/>
      <c r="S177" s="145"/>
      <c r="T177" s="156"/>
      <c r="U177" s="156"/>
      <c r="V177" s="202"/>
      <c r="W177" s="121"/>
      <c r="X177" s="122"/>
      <c r="Y177" s="122"/>
      <c r="Z177" s="122"/>
      <c r="AA177" s="122"/>
      <c r="AB177" s="122"/>
      <c r="AC177" s="123"/>
      <c r="AD177" s="123"/>
      <c r="AE177" s="123"/>
      <c r="AF177" s="207"/>
      <c r="AG177" s="286"/>
      <c r="AH177" s="286"/>
      <c r="AI177" s="286"/>
      <c r="AJ177" s="286"/>
      <c r="AK177" s="286"/>
      <c r="AL177" s="286"/>
      <c r="AM177" s="286"/>
      <c r="AN177" s="125"/>
    </row>
    <row r="178" spans="2:40" ht="15" x14ac:dyDescent="0.2">
      <c r="B178" s="144"/>
      <c r="C178" s="144">
        <f t="shared" si="62"/>
        <v>82</v>
      </c>
      <c r="D178" s="145"/>
      <c r="E178" s="145"/>
      <c r="F178" s="147"/>
      <c r="G178" s="145"/>
      <c r="H178" s="145"/>
      <c r="I178" s="145"/>
      <c r="J178" s="118"/>
      <c r="K178" s="145"/>
      <c r="L178" s="126"/>
      <c r="M178" s="145"/>
      <c r="N178" s="613"/>
      <c r="O178" s="119"/>
      <c r="P178" s="119"/>
      <c r="Q178" s="612"/>
      <c r="R178" s="145"/>
      <c r="S178" s="145"/>
      <c r="T178" s="156"/>
      <c r="U178" s="156"/>
      <c r="V178" s="202"/>
      <c r="W178" s="121"/>
      <c r="X178" s="122"/>
      <c r="Y178" s="122"/>
      <c r="Z178" s="122"/>
      <c r="AA178" s="122"/>
      <c r="AB178" s="122"/>
      <c r="AC178" s="123"/>
      <c r="AD178" s="123"/>
      <c r="AE178" s="123"/>
      <c r="AF178" s="207"/>
      <c r="AG178" s="286"/>
      <c r="AH178" s="286"/>
      <c r="AI178" s="286"/>
      <c r="AJ178" s="286"/>
      <c r="AK178" s="286"/>
      <c r="AL178" s="286"/>
      <c r="AM178" s="286"/>
      <c r="AN178" s="125"/>
    </row>
    <row r="179" spans="2:40" ht="15" x14ac:dyDescent="0.2">
      <c r="B179" s="144"/>
      <c r="C179" s="144">
        <f t="shared" si="62"/>
        <v>83</v>
      </c>
      <c r="D179" s="145"/>
      <c r="E179" s="145"/>
      <c r="F179" s="147"/>
      <c r="G179" s="145"/>
      <c r="H179" s="145"/>
      <c r="I179" s="145"/>
      <c r="J179" s="118"/>
      <c r="K179" s="145"/>
      <c r="L179" s="126"/>
      <c r="M179" s="145"/>
      <c r="N179" s="613"/>
      <c r="O179" s="119"/>
      <c r="P179" s="119"/>
      <c r="Q179" s="612"/>
      <c r="R179" s="145"/>
      <c r="S179" s="145"/>
      <c r="T179" s="156"/>
      <c r="U179" s="156"/>
      <c r="V179" s="202"/>
      <c r="W179" s="121"/>
      <c r="X179" s="122"/>
      <c r="Y179" s="122"/>
      <c r="Z179" s="122"/>
      <c r="AA179" s="122"/>
      <c r="AB179" s="122"/>
      <c r="AC179" s="123"/>
      <c r="AD179" s="123"/>
      <c r="AE179" s="123"/>
      <c r="AF179" s="207"/>
      <c r="AG179" s="286"/>
      <c r="AH179" s="286"/>
      <c r="AI179" s="286"/>
      <c r="AJ179" s="286"/>
      <c r="AK179" s="286"/>
      <c r="AL179" s="286"/>
      <c r="AM179" s="286"/>
      <c r="AN179" s="125"/>
    </row>
    <row r="180" spans="2:40" ht="15" x14ac:dyDescent="0.2">
      <c r="B180" s="144"/>
      <c r="C180" s="144">
        <f t="shared" si="62"/>
        <v>84</v>
      </c>
      <c r="D180" s="145"/>
      <c r="E180" s="145"/>
      <c r="F180" s="147"/>
      <c r="G180" s="145"/>
      <c r="H180" s="145"/>
      <c r="I180" s="145"/>
      <c r="J180" s="118"/>
      <c r="K180" s="145"/>
      <c r="L180" s="126"/>
      <c r="M180" s="145"/>
      <c r="N180" s="613"/>
      <c r="O180" s="119"/>
      <c r="P180" s="119"/>
      <c r="Q180" s="612"/>
      <c r="R180" s="145"/>
      <c r="S180" s="145"/>
      <c r="T180" s="156"/>
      <c r="U180" s="156"/>
      <c r="V180" s="202"/>
      <c r="W180" s="121"/>
      <c r="X180" s="122"/>
      <c r="Y180" s="122"/>
      <c r="Z180" s="122"/>
      <c r="AA180" s="122"/>
      <c r="AB180" s="122"/>
      <c r="AC180" s="123"/>
      <c r="AD180" s="123"/>
      <c r="AE180" s="123"/>
      <c r="AF180" s="207"/>
      <c r="AG180" s="286"/>
      <c r="AH180" s="286"/>
      <c r="AI180" s="286"/>
      <c r="AJ180" s="286"/>
      <c r="AK180" s="286"/>
      <c r="AL180" s="286"/>
      <c r="AM180" s="286"/>
      <c r="AN180" s="125"/>
    </row>
    <row r="181" spans="2:40" ht="15" x14ac:dyDescent="0.2">
      <c r="B181" s="144"/>
      <c r="C181" s="144">
        <f t="shared" si="62"/>
        <v>85</v>
      </c>
      <c r="D181" s="145"/>
      <c r="E181" s="145"/>
      <c r="F181" s="147"/>
      <c r="G181" s="145"/>
      <c r="H181" s="145"/>
      <c r="I181" s="145"/>
      <c r="J181" s="118"/>
      <c r="K181" s="145"/>
      <c r="L181" s="126"/>
      <c r="M181" s="145"/>
      <c r="N181" s="613"/>
      <c r="O181" s="119"/>
      <c r="P181" s="119"/>
      <c r="Q181" s="612"/>
      <c r="R181" s="145"/>
      <c r="S181" s="145"/>
      <c r="T181" s="156"/>
      <c r="U181" s="156"/>
      <c r="V181" s="202"/>
      <c r="W181" s="121"/>
      <c r="X181" s="122"/>
      <c r="Y181" s="122"/>
      <c r="Z181" s="122"/>
      <c r="AA181" s="122"/>
      <c r="AB181" s="122"/>
      <c r="AC181" s="123"/>
      <c r="AD181" s="123"/>
      <c r="AE181" s="123"/>
      <c r="AF181" s="207"/>
      <c r="AG181" s="286"/>
      <c r="AH181" s="286"/>
      <c r="AI181" s="286"/>
      <c r="AJ181" s="286"/>
      <c r="AK181" s="286"/>
      <c r="AL181" s="286"/>
      <c r="AM181" s="286"/>
      <c r="AN181" s="125"/>
    </row>
    <row r="182" spans="2:40" ht="15" x14ac:dyDescent="0.2">
      <c r="B182" s="144"/>
      <c r="C182" s="144">
        <f t="shared" si="62"/>
        <v>86</v>
      </c>
      <c r="D182" s="145"/>
      <c r="E182" s="145"/>
      <c r="F182" s="147"/>
      <c r="G182" s="145"/>
      <c r="H182" s="145"/>
      <c r="I182" s="145"/>
      <c r="J182" s="118"/>
      <c r="K182" s="145"/>
      <c r="L182" s="126"/>
      <c r="M182" s="145"/>
      <c r="N182" s="613"/>
      <c r="O182" s="119"/>
      <c r="P182" s="119"/>
      <c r="Q182" s="612"/>
      <c r="R182" s="145"/>
      <c r="S182" s="145"/>
      <c r="T182" s="156"/>
      <c r="U182" s="156"/>
      <c r="V182" s="202"/>
      <c r="W182" s="121"/>
      <c r="X182" s="122"/>
      <c r="Y182" s="122"/>
      <c r="Z182" s="122"/>
      <c r="AA182" s="122"/>
      <c r="AB182" s="122"/>
      <c r="AC182" s="123"/>
      <c r="AD182" s="123"/>
      <c r="AE182" s="123"/>
      <c r="AF182" s="207"/>
      <c r="AG182" s="286"/>
      <c r="AH182" s="286"/>
      <c r="AI182" s="286"/>
      <c r="AJ182" s="286"/>
      <c r="AK182" s="286"/>
      <c r="AL182" s="286"/>
      <c r="AM182" s="286"/>
      <c r="AN182" s="125"/>
    </row>
    <row r="183" spans="2:40" ht="15" x14ac:dyDescent="0.2">
      <c r="B183" s="144"/>
      <c r="C183" s="144">
        <f t="shared" si="62"/>
        <v>87</v>
      </c>
      <c r="D183" s="145"/>
      <c r="E183" s="145"/>
      <c r="F183" s="147"/>
      <c r="G183" s="145"/>
      <c r="H183" s="145"/>
      <c r="I183" s="145"/>
      <c r="J183" s="118"/>
      <c r="K183" s="145"/>
      <c r="L183" s="126"/>
      <c r="M183" s="145"/>
      <c r="N183" s="613"/>
      <c r="O183" s="119"/>
      <c r="P183" s="119"/>
      <c r="Q183" s="612"/>
      <c r="R183" s="145"/>
      <c r="S183" s="145"/>
      <c r="T183" s="156"/>
      <c r="U183" s="156"/>
      <c r="V183" s="202"/>
      <c r="W183" s="121"/>
      <c r="X183" s="122"/>
      <c r="Y183" s="122"/>
      <c r="Z183" s="122"/>
      <c r="AA183" s="122"/>
      <c r="AB183" s="122"/>
      <c r="AC183" s="123"/>
      <c r="AD183" s="123"/>
      <c r="AE183" s="123"/>
      <c r="AF183" s="207"/>
      <c r="AG183" s="286"/>
      <c r="AH183" s="286"/>
      <c r="AI183" s="286"/>
      <c r="AJ183" s="286"/>
      <c r="AK183" s="286"/>
      <c r="AL183" s="286"/>
      <c r="AM183" s="286"/>
      <c r="AN183" s="125"/>
    </row>
    <row r="184" spans="2:40" ht="15" x14ac:dyDescent="0.2">
      <c r="B184" s="144"/>
      <c r="C184" s="144">
        <f t="shared" si="62"/>
        <v>88</v>
      </c>
      <c r="D184" s="145"/>
      <c r="E184" s="145"/>
      <c r="F184" s="147"/>
      <c r="G184" s="145"/>
      <c r="H184" s="145"/>
      <c r="I184" s="145"/>
      <c r="J184" s="118"/>
      <c r="K184" s="145"/>
      <c r="L184" s="126"/>
      <c r="M184" s="145"/>
      <c r="N184" s="613"/>
      <c r="O184" s="119"/>
      <c r="P184" s="119"/>
      <c r="Q184" s="612"/>
      <c r="R184" s="145"/>
      <c r="S184" s="145"/>
      <c r="T184" s="156"/>
      <c r="U184" s="156"/>
      <c r="V184" s="202"/>
      <c r="W184" s="121"/>
      <c r="X184" s="122"/>
      <c r="Y184" s="122"/>
      <c r="Z184" s="122"/>
      <c r="AA184" s="122"/>
      <c r="AB184" s="122"/>
      <c r="AC184" s="123"/>
      <c r="AD184" s="123"/>
      <c r="AE184" s="123"/>
      <c r="AF184" s="207"/>
      <c r="AG184" s="286"/>
      <c r="AH184" s="286"/>
      <c r="AI184" s="286"/>
      <c r="AJ184" s="286"/>
      <c r="AK184" s="286"/>
      <c r="AL184" s="286"/>
      <c r="AM184" s="286"/>
      <c r="AN184" s="125"/>
    </row>
    <row r="185" spans="2:40" ht="15" x14ac:dyDescent="0.2">
      <c r="B185" s="144"/>
      <c r="C185" s="144">
        <f t="shared" si="62"/>
        <v>89</v>
      </c>
      <c r="D185" s="145"/>
      <c r="E185" s="145"/>
      <c r="F185" s="147"/>
      <c r="G185" s="145"/>
      <c r="H185" s="145"/>
      <c r="I185" s="145"/>
      <c r="J185" s="118"/>
      <c r="K185" s="145"/>
      <c r="L185" s="126"/>
      <c r="M185" s="145"/>
      <c r="N185" s="613"/>
      <c r="O185" s="119"/>
      <c r="P185" s="119"/>
      <c r="Q185" s="612"/>
      <c r="R185" s="145"/>
      <c r="S185" s="145"/>
      <c r="T185" s="156"/>
      <c r="U185" s="156"/>
      <c r="V185" s="202"/>
      <c r="W185" s="121"/>
      <c r="X185" s="122"/>
      <c r="Y185" s="122"/>
      <c r="Z185" s="122"/>
      <c r="AA185" s="122"/>
      <c r="AB185" s="122"/>
      <c r="AC185" s="123"/>
      <c r="AD185" s="123"/>
      <c r="AE185" s="123"/>
      <c r="AF185" s="207"/>
      <c r="AG185" s="286"/>
      <c r="AH185" s="286"/>
      <c r="AI185" s="286"/>
      <c r="AJ185" s="286"/>
      <c r="AK185" s="286"/>
      <c r="AL185" s="286"/>
      <c r="AM185" s="286"/>
      <c r="AN185" s="125"/>
    </row>
    <row r="186" spans="2:40" ht="15" x14ac:dyDescent="0.2">
      <c r="B186" s="144"/>
      <c r="C186" s="144">
        <f t="shared" si="62"/>
        <v>90</v>
      </c>
      <c r="D186" s="145"/>
      <c r="E186" s="145"/>
      <c r="F186" s="147"/>
      <c r="G186" s="145"/>
      <c r="H186" s="145"/>
      <c r="I186" s="145"/>
      <c r="J186" s="118"/>
      <c r="K186" s="145"/>
      <c r="L186" s="126"/>
      <c r="M186" s="145"/>
      <c r="N186" s="613"/>
      <c r="O186" s="119"/>
      <c r="P186" s="119"/>
      <c r="Q186" s="612"/>
      <c r="R186" s="145"/>
      <c r="S186" s="145"/>
      <c r="T186" s="156"/>
      <c r="U186" s="156"/>
      <c r="V186" s="202"/>
      <c r="W186" s="121"/>
      <c r="X186" s="122"/>
      <c r="Y186" s="122"/>
      <c r="Z186" s="122"/>
      <c r="AA186" s="122"/>
      <c r="AB186" s="122"/>
      <c r="AC186" s="123"/>
      <c r="AD186" s="123"/>
      <c r="AE186" s="123"/>
      <c r="AF186" s="207"/>
      <c r="AG186" s="286"/>
      <c r="AH186" s="286"/>
      <c r="AI186" s="286"/>
      <c r="AJ186" s="286"/>
      <c r="AK186" s="286"/>
      <c r="AL186" s="286"/>
      <c r="AM186" s="286"/>
      <c r="AN186" s="125"/>
    </row>
    <row r="187" spans="2:40" ht="15" x14ac:dyDescent="0.2">
      <c r="B187" s="144"/>
      <c r="C187" s="144">
        <f t="shared" si="62"/>
        <v>91</v>
      </c>
      <c r="D187" s="145"/>
      <c r="E187" s="145"/>
      <c r="F187" s="147"/>
      <c r="G187" s="145"/>
      <c r="H187" s="145"/>
      <c r="I187" s="145"/>
      <c r="J187" s="118"/>
      <c r="K187" s="145"/>
      <c r="L187" s="126"/>
      <c r="M187" s="145"/>
      <c r="N187" s="613"/>
      <c r="O187" s="119"/>
      <c r="P187" s="119"/>
      <c r="Q187" s="612"/>
      <c r="R187" s="145"/>
      <c r="S187" s="145"/>
      <c r="T187" s="156"/>
      <c r="U187" s="156"/>
      <c r="V187" s="202"/>
      <c r="W187" s="121"/>
      <c r="X187" s="122"/>
      <c r="Y187" s="122"/>
      <c r="Z187" s="122"/>
      <c r="AA187" s="122"/>
      <c r="AB187" s="122"/>
      <c r="AC187" s="123"/>
      <c r="AD187" s="123"/>
      <c r="AE187" s="123"/>
      <c r="AF187" s="207"/>
      <c r="AG187" s="286"/>
      <c r="AH187" s="286"/>
      <c r="AI187" s="286"/>
      <c r="AJ187" s="286"/>
      <c r="AK187" s="286"/>
      <c r="AL187" s="286"/>
      <c r="AM187" s="286"/>
      <c r="AN187" s="125"/>
    </row>
    <row r="188" spans="2:40" ht="15" x14ac:dyDescent="0.2">
      <c r="B188" s="144"/>
      <c r="C188" s="144">
        <f t="shared" si="62"/>
        <v>92</v>
      </c>
      <c r="D188" s="145"/>
      <c r="E188" s="145"/>
      <c r="F188" s="147"/>
      <c r="G188" s="145"/>
      <c r="H188" s="145"/>
      <c r="I188" s="145"/>
      <c r="J188" s="118"/>
      <c r="K188" s="145"/>
      <c r="L188" s="126"/>
      <c r="M188" s="145"/>
      <c r="N188" s="613"/>
      <c r="O188" s="119"/>
      <c r="P188" s="119"/>
      <c r="Q188" s="612"/>
      <c r="R188" s="145"/>
      <c r="S188" s="145"/>
      <c r="T188" s="156"/>
      <c r="U188" s="156"/>
      <c r="V188" s="202"/>
      <c r="W188" s="121"/>
      <c r="X188" s="122"/>
      <c r="Y188" s="122"/>
      <c r="Z188" s="122"/>
      <c r="AA188" s="122"/>
      <c r="AB188" s="122"/>
      <c r="AC188" s="123"/>
      <c r="AD188" s="123"/>
      <c r="AE188" s="123"/>
      <c r="AF188" s="207"/>
      <c r="AG188" s="286"/>
      <c r="AH188" s="286"/>
      <c r="AI188" s="286"/>
      <c r="AJ188" s="286"/>
      <c r="AK188" s="286"/>
      <c r="AL188" s="286"/>
      <c r="AM188" s="286"/>
      <c r="AN188" s="125"/>
    </row>
    <row r="189" spans="2:40" ht="15" x14ac:dyDescent="0.2">
      <c r="B189" s="144"/>
      <c r="C189" s="144">
        <f t="shared" si="62"/>
        <v>93</v>
      </c>
      <c r="D189" s="145"/>
      <c r="E189" s="145"/>
      <c r="F189" s="147"/>
      <c r="G189" s="145"/>
      <c r="H189" s="145"/>
      <c r="I189" s="145"/>
      <c r="J189" s="118"/>
      <c r="K189" s="145"/>
      <c r="L189" s="126"/>
      <c r="M189" s="145"/>
      <c r="N189" s="613"/>
      <c r="O189" s="119"/>
      <c r="P189" s="119"/>
      <c r="Q189" s="612"/>
      <c r="R189" s="145"/>
      <c r="S189" s="145"/>
      <c r="T189" s="156"/>
      <c r="U189" s="156"/>
      <c r="V189" s="202"/>
      <c r="W189" s="121"/>
      <c r="X189" s="122"/>
      <c r="Y189" s="122"/>
      <c r="Z189" s="122"/>
      <c r="AA189" s="122"/>
      <c r="AB189" s="122"/>
      <c r="AC189" s="123"/>
      <c r="AD189" s="123"/>
      <c r="AE189" s="123"/>
      <c r="AF189" s="207"/>
      <c r="AG189" s="286"/>
      <c r="AH189" s="286"/>
      <c r="AI189" s="286"/>
      <c r="AJ189" s="286"/>
      <c r="AK189" s="286"/>
      <c r="AL189" s="286"/>
      <c r="AM189" s="286"/>
      <c r="AN189" s="125"/>
    </row>
    <row r="190" spans="2:40" ht="15" x14ac:dyDescent="0.2">
      <c r="B190" s="144"/>
      <c r="C190" s="144">
        <f t="shared" si="62"/>
        <v>94</v>
      </c>
      <c r="D190" s="145"/>
      <c r="E190" s="145"/>
      <c r="F190" s="147"/>
      <c r="G190" s="145"/>
      <c r="H190" s="145"/>
      <c r="I190" s="145"/>
      <c r="J190" s="118"/>
      <c r="K190" s="145"/>
      <c r="L190" s="126"/>
      <c r="M190" s="145"/>
      <c r="N190" s="613"/>
      <c r="O190" s="119"/>
      <c r="P190" s="119"/>
      <c r="Q190" s="612"/>
      <c r="R190" s="145"/>
      <c r="S190" s="145"/>
      <c r="T190" s="156"/>
      <c r="U190" s="156"/>
      <c r="V190" s="202"/>
      <c r="W190" s="121"/>
      <c r="X190" s="122"/>
      <c r="Y190" s="122"/>
      <c r="Z190" s="122"/>
      <c r="AA190" s="122"/>
      <c r="AB190" s="122"/>
      <c r="AC190" s="123"/>
      <c r="AD190" s="123"/>
      <c r="AE190" s="123"/>
      <c r="AF190" s="207"/>
      <c r="AG190" s="286"/>
      <c r="AH190" s="286"/>
      <c r="AI190" s="286"/>
      <c r="AJ190" s="286"/>
      <c r="AK190" s="286"/>
      <c r="AL190" s="286"/>
      <c r="AM190" s="286"/>
      <c r="AN190" s="125"/>
    </row>
    <row r="191" spans="2:40" ht="15" x14ac:dyDescent="0.2">
      <c r="B191" s="144"/>
      <c r="C191" s="144">
        <f t="shared" si="62"/>
        <v>95</v>
      </c>
      <c r="D191" s="145"/>
      <c r="E191" s="145"/>
      <c r="F191" s="147"/>
      <c r="G191" s="145"/>
      <c r="H191" s="145"/>
      <c r="I191" s="145"/>
      <c r="J191" s="118"/>
      <c r="K191" s="145"/>
      <c r="L191" s="126"/>
      <c r="M191" s="145"/>
      <c r="N191" s="613"/>
      <c r="O191" s="119"/>
      <c r="P191" s="119"/>
      <c r="Q191" s="612"/>
      <c r="R191" s="145"/>
      <c r="S191" s="145"/>
      <c r="T191" s="156"/>
      <c r="U191" s="156"/>
      <c r="V191" s="202"/>
      <c r="W191" s="121"/>
      <c r="X191" s="122"/>
      <c r="Y191" s="122"/>
      <c r="Z191" s="122"/>
      <c r="AA191" s="122"/>
      <c r="AB191" s="122"/>
      <c r="AC191" s="123"/>
      <c r="AD191" s="123"/>
      <c r="AE191" s="123"/>
      <c r="AF191" s="207"/>
      <c r="AG191" s="286"/>
      <c r="AH191" s="286"/>
      <c r="AI191" s="286"/>
      <c r="AJ191" s="286"/>
      <c r="AK191" s="286"/>
      <c r="AL191" s="286"/>
      <c r="AM191" s="286"/>
      <c r="AN191" s="125"/>
    </row>
    <row r="192" spans="2:40" ht="15" x14ac:dyDescent="0.2">
      <c r="B192" s="144"/>
      <c r="C192" s="144">
        <f t="shared" si="62"/>
        <v>96</v>
      </c>
      <c r="D192" s="145"/>
      <c r="E192" s="145"/>
      <c r="F192" s="147"/>
      <c r="G192" s="145"/>
      <c r="H192" s="145"/>
      <c r="I192" s="145"/>
      <c r="J192" s="118"/>
      <c r="K192" s="145"/>
      <c r="L192" s="126"/>
      <c r="M192" s="145"/>
      <c r="N192" s="613"/>
      <c r="O192" s="119"/>
      <c r="P192" s="119"/>
      <c r="Q192" s="612"/>
      <c r="R192" s="145"/>
      <c r="S192" s="145"/>
      <c r="T192" s="156"/>
      <c r="U192" s="156"/>
      <c r="V192" s="202"/>
      <c r="W192" s="121"/>
      <c r="X192" s="122"/>
      <c r="Y192" s="122"/>
      <c r="Z192" s="122"/>
      <c r="AA192" s="122"/>
      <c r="AB192" s="122"/>
      <c r="AC192" s="123"/>
      <c r="AD192" s="123"/>
      <c r="AE192" s="123"/>
      <c r="AF192" s="207"/>
      <c r="AG192" s="286"/>
      <c r="AH192" s="286"/>
      <c r="AI192" s="286"/>
      <c r="AJ192" s="286"/>
      <c r="AK192" s="286"/>
      <c r="AL192" s="286"/>
      <c r="AM192" s="286"/>
      <c r="AN192" s="125"/>
    </row>
    <row r="193" spans="2:40" ht="15" x14ac:dyDescent="0.2">
      <c r="B193" s="144"/>
      <c r="C193" s="144">
        <f t="shared" si="62"/>
        <v>97</v>
      </c>
      <c r="D193" s="145"/>
      <c r="E193" s="145"/>
      <c r="F193" s="147"/>
      <c r="G193" s="145"/>
      <c r="H193" s="145"/>
      <c r="I193" s="145"/>
      <c r="J193" s="118"/>
      <c r="K193" s="145"/>
      <c r="L193" s="126"/>
      <c r="M193" s="145"/>
      <c r="N193" s="613"/>
      <c r="O193" s="119"/>
      <c r="P193" s="119"/>
      <c r="Q193" s="612"/>
      <c r="R193" s="145"/>
      <c r="S193" s="145"/>
      <c r="T193" s="156"/>
      <c r="U193" s="156"/>
      <c r="V193" s="202"/>
      <c r="W193" s="121"/>
      <c r="X193" s="122"/>
      <c r="Y193" s="122"/>
      <c r="Z193" s="122"/>
      <c r="AA193" s="122"/>
      <c r="AB193" s="122"/>
      <c r="AC193" s="123"/>
      <c r="AD193" s="123"/>
      <c r="AE193" s="123"/>
      <c r="AF193" s="207"/>
      <c r="AG193" s="286"/>
      <c r="AH193" s="286"/>
      <c r="AI193" s="286"/>
      <c r="AJ193" s="286"/>
      <c r="AK193" s="286"/>
      <c r="AL193" s="286"/>
      <c r="AM193" s="286"/>
      <c r="AN193" s="125"/>
    </row>
    <row r="194" spans="2:40" ht="15" x14ac:dyDescent="0.2">
      <c r="B194" s="144"/>
      <c r="C194" s="144">
        <f t="shared" si="62"/>
        <v>98</v>
      </c>
      <c r="D194" s="145"/>
      <c r="E194" s="145"/>
      <c r="F194" s="147"/>
      <c r="G194" s="145"/>
      <c r="H194" s="145"/>
      <c r="I194" s="145"/>
      <c r="J194" s="118"/>
      <c r="K194" s="145"/>
      <c r="L194" s="126"/>
      <c r="M194" s="145"/>
      <c r="N194" s="613"/>
      <c r="O194" s="119"/>
      <c r="P194" s="119"/>
      <c r="Q194" s="612"/>
      <c r="R194" s="145"/>
      <c r="S194" s="145"/>
      <c r="T194" s="156"/>
      <c r="U194" s="156"/>
      <c r="V194" s="202"/>
      <c r="W194" s="121"/>
      <c r="X194" s="122"/>
      <c r="Y194" s="122"/>
      <c r="Z194" s="122"/>
      <c r="AA194" s="122"/>
      <c r="AB194" s="122"/>
      <c r="AC194" s="123"/>
      <c r="AD194" s="123"/>
      <c r="AE194" s="123"/>
      <c r="AF194" s="207"/>
      <c r="AG194" s="286"/>
      <c r="AH194" s="286"/>
      <c r="AI194" s="286"/>
      <c r="AJ194" s="286"/>
      <c r="AK194" s="286"/>
      <c r="AL194" s="286"/>
      <c r="AM194" s="286"/>
      <c r="AN194" s="125"/>
    </row>
    <row r="195" spans="2:40" ht="15" x14ac:dyDescent="0.2">
      <c r="B195" s="144"/>
      <c r="C195" s="144">
        <f t="shared" si="62"/>
        <v>99</v>
      </c>
      <c r="D195" s="145"/>
      <c r="E195" s="145"/>
      <c r="F195" s="147"/>
      <c r="G195" s="145"/>
      <c r="H195" s="145"/>
      <c r="I195" s="145"/>
      <c r="J195" s="118"/>
      <c r="K195" s="145"/>
      <c r="L195" s="126"/>
      <c r="M195" s="145"/>
      <c r="N195" s="613"/>
      <c r="O195" s="119"/>
      <c r="P195" s="119"/>
      <c r="Q195" s="612"/>
      <c r="R195" s="145"/>
      <c r="S195" s="145"/>
      <c r="T195" s="156"/>
      <c r="U195" s="156"/>
      <c r="V195" s="202"/>
      <c r="W195" s="121"/>
      <c r="X195" s="122"/>
      <c r="Y195" s="122"/>
      <c r="Z195" s="122"/>
      <c r="AA195" s="122"/>
      <c r="AB195" s="122"/>
      <c r="AC195" s="123"/>
      <c r="AD195" s="123"/>
      <c r="AE195" s="123"/>
      <c r="AF195" s="207"/>
      <c r="AG195" s="286"/>
      <c r="AH195" s="286"/>
      <c r="AI195" s="286"/>
      <c r="AJ195" s="286"/>
      <c r="AK195" s="286"/>
      <c r="AL195" s="286"/>
      <c r="AM195" s="286"/>
      <c r="AN195" s="125"/>
    </row>
    <row r="196" spans="2:40" ht="15" x14ac:dyDescent="0.2">
      <c r="B196" s="144"/>
      <c r="C196" s="144">
        <f t="shared" si="62"/>
        <v>100</v>
      </c>
      <c r="D196" s="145"/>
      <c r="E196" s="145"/>
      <c r="F196" s="147"/>
      <c r="G196" s="145"/>
      <c r="H196" s="145"/>
      <c r="I196" s="145"/>
      <c r="J196" s="118"/>
      <c r="K196" s="145"/>
      <c r="L196" s="126"/>
      <c r="M196" s="145"/>
      <c r="N196" s="613"/>
      <c r="O196" s="119"/>
      <c r="P196" s="119"/>
      <c r="Q196" s="612"/>
      <c r="R196" s="145"/>
      <c r="S196" s="145"/>
      <c r="T196" s="156"/>
      <c r="U196" s="156"/>
      <c r="V196" s="202"/>
      <c r="W196" s="121"/>
      <c r="X196" s="122"/>
      <c r="Y196" s="122"/>
      <c r="Z196" s="122"/>
      <c r="AA196" s="122"/>
      <c r="AB196" s="122"/>
      <c r="AC196" s="123"/>
      <c r="AD196" s="123"/>
      <c r="AE196" s="123"/>
      <c r="AF196" s="207"/>
      <c r="AG196" s="286"/>
      <c r="AH196" s="286"/>
      <c r="AI196" s="286"/>
      <c r="AJ196" s="286"/>
      <c r="AK196" s="286"/>
      <c r="AL196" s="286"/>
      <c r="AM196" s="286"/>
      <c r="AN196" s="125"/>
    </row>
    <row r="201" spans="2:40" x14ac:dyDescent="0.2">
      <c r="F201" s="148"/>
    </row>
    <row r="202" spans="2:40" x14ac:dyDescent="0.2">
      <c r="F202" s="148"/>
    </row>
    <row r="203" spans="2:40" x14ac:dyDescent="0.2">
      <c r="F203" s="148"/>
    </row>
    <row r="204" spans="2:40" x14ac:dyDescent="0.2">
      <c r="F204" s="148"/>
    </row>
    <row r="205" spans="2:40" x14ac:dyDescent="0.2">
      <c r="F205" s="148"/>
    </row>
    <row r="206" spans="2:40" x14ac:dyDescent="0.2">
      <c r="F206" s="148"/>
    </row>
    <row r="207" spans="2:40" x14ac:dyDescent="0.2">
      <c r="F207" s="148"/>
    </row>
    <row r="208" spans="2:40" x14ac:dyDescent="0.2">
      <c r="F208" s="148"/>
    </row>
    <row r="209" spans="6:6" x14ac:dyDescent="0.2">
      <c r="F209" s="148"/>
    </row>
    <row r="210" spans="6:6" x14ac:dyDescent="0.2">
      <c r="F210" s="148"/>
    </row>
    <row r="211" spans="6:6" x14ac:dyDescent="0.2">
      <c r="F211" s="148"/>
    </row>
    <row r="212" spans="6:6" x14ac:dyDescent="0.2">
      <c r="F212" s="148"/>
    </row>
    <row r="213" spans="6:6" x14ac:dyDescent="0.2">
      <c r="F213" s="148"/>
    </row>
    <row r="214" spans="6:6" x14ac:dyDescent="0.2">
      <c r="F214" s="148"/>
    </row>
    <row r="215" spans="6:6" x14ac:dyDescent="0.2">
      <c r="F215" s="148"/>
    </row>
    <row r="216" spans="6:6" x14ac:dyDescent="0.2">
      <c r="F216" s="148"/>
    </row>
    <row r="217" spans="6:6" x14ac:dyDescent="0.2">
      <c r="F217" s="148"/>
    </row>
    <row r="218" spans="6:6" x14ac:dyDescent="0.2">
      <c r="F218" s="148"/>
    </row>
    <row r="219" spans="6:6" x14ac:dyDescent="0.2">
      <c r="F219" s="148"/>
    </row>
    <row r="220" spans="6:6" x14ac:dyDescent="0.2">
      <c r="F220" s="148"/>
    </row>
    <row r="221" spans="6:6" x14ac:dyDescent="0.2">
      <c r="F221" s="148"/>
    </row>
    <row r="222" spans="6:6" x14ac:dyDescent="0.2">
      <c r="F222" s="148"/>
    </row>
    <row r="223" spans="6:6" x14ac:dyDescent="0.2">
      <c r="F223" s="148"/>
    </row>
    <row r="224" spans="6:6" x14ac:dyDescent="0.2">
      <c r="F224" s="148"/>
    </row>
    <row r="225" spans="6:6" x14ac:dyDescent="0.2">
      <c r="F225" s="148"/>
    </row>
    <row r="226" spans="6:6" x14ac:dyDescent="0.2">
      <c r="F226" s="148"/>
    </row>
    <row r="227" spans="6:6" x14ac:dyDescent="0.2">
      <c r="F227" s="148"/>
    </row>
    <row r="228" spans="6:6" x14ac:dyDescent="0.2">
      <c r="F228" s="148"/>
    </row>
    <row r="229" spans="6:6" x14ac:dyDescent="0.2">
      <c r="F229" s="148"/>
    </row>
    <row r="230" spans="6:6" x14ac:dyDescent="0.2">
      <c r="F230" s="148"/>
    </row>
    <row r="231" spans="6:6" x14ac:dyDescent="0.2">
      <c r="F231" s="148"/>
    </row>
    <row r="232" spans="6:6" x14ac:dyDescent="0.2">
      <c r="F232" s="148"/>
    </row>
    <row r="233" spans="6:6" x14ac:dyDescent="0.2">
      <c r="F233" s="148"/>
    </row>
    <row r="234" spans="6:6" x14ac:dyDescent="0.2">
      <c r="F234" s="148"/>
    </row>
    <row r="235" spans="6:6" x14ac:dyDescent="0.2">
      <c r="F235" s="148"/>
    </row>
    <row r="236" spans="6:6" x14ac:dyDescent="0.2">
      <c r="F236" s="148"/>
    </row>
    <row r="237" spans="6:6" x14ac:dyDescent="0.2">
      <c r="F237" s="148"/>
    </row>
    <row r="238" spans="6:6" x14ac:dyDescent="0.2">
      <c r="F238" s="148"/>
    </row>
    <row r="239" spans="6:6" x14ac:dyDescent="0.2">
      <c r="F239" s="148"/>
    </row>
    <row r="240" spans="6:6" x14ac:dyDescent="0.2">
      <c r="F240" s="148"/>
    </row>
    <row r="241" spans="6:6" x14ac:dyDescent="0.2">
      <c r="F241" s="148"/>
    </row>
    <row r="242" spans="6:6" x14ac:dyDescent="0.2">
      <c r="F242" s="148"/>
    </row>
    <row r="243" spans="6:6" x14ac:dyDescent="0.2">
      <c r="F243" s="148"/>
    </row>
    <row r="244" spans="6:6" x14ac:dyDescent="0.2">
      <c r="F244" s="148"/>
    </row>
    <row r="245" spans="6:6" x14ac:dyDescent="0.2">
      <c r="F245" s="148"/>
    </row>
    <row r="246" spans="6:6" x14ac:dyDescent="0.2">
      <c r="F246" s="148"/>
    </row>
    <row r="247" spans="6:6" x14ac:dyDescent="0.2">
      <c r="F247" s="148"/>
    </row>
    <row r="248" spans="6:6" x14ac:dyDescent="0.2">
      <c r="F248" s="148"/>
    </row>
    <row r="249" spans="6:6" x14ac:dyDescent="0.2">
      <c r="F249" s="148"/>
    </row>
    <row r="250" spans="6:6" x14ac:dyDescent="0.2">
      <c r="F250" s="148"/>
    </row>
    <row r="251" spans="6:6" x14ac:dyDescent="0.2">
      <c r="F251" s="148"/>
    </row>
    <row r="252" spans="6:6" x14ac:dyDescent="0.2">
      <c r="F252" s="148"/>
    </row>
    <row r="253" spans="6:6" x14ac:dyDescent="0.2">
      <c r="F253" s="148"/>
    </row>
    <row r="254" spans="6:6" x14ac:dyDescent="0.2">
      <c r="F254" s="148"/>
    </row>
    <row r="255" spans="6:6" x14ac:dyDescent="0.2">
      <c r="F255" s="148"/>
    </row>
    <row r="256" spans="6:6" x14ac:dyDescent="0.2">
      <c r="F256" s="148"/>
    </row>
    <row r="257" spans="6:6" x14ac:dyDescent="0.2">
      <c r="F257" s="148"/>
    </row>
    <row r="258" spans="6:6" x14ac:dyDescent="0.2">
      <c r="F258" s="148"/>
    </row>
    <row r="259" spans="6:6" x14ac:dyDescent="0.2">
      <c r="F259" s="148"/>
    </row>
    <row r="260" spans="6:6" x14ac:dyDescent="0.2">
      <c r="F260" s="148"/>
    </row>
    <row r="261" spans="6:6" x14ac:dyDescent="0.2">
      <c r="F261" s="148"/>
    </row>
    <row r="262" spans="6:6" x14ac:dyDescent="0.2">
      <c r="F262" s="148"/>
    </row>
    <row r="263" spans="6:6" x14ac:dyDescent="0.2">
      <c r="F263" s="148"/>
    </row>
    <row r="264" spans="6:6" x14ac:dyDescent="0.2">
      <c r="F264" s="148"/>
    </row>
    <row r="265" spans="6:6" x14ac:dyDescent="0.2">
      <c r="F265" s="148"/>
    </row>
    <row r="266" spans="6:6" x14ac:dyDescent="0.2">
      <c r="F266" s="148"/>
    </row>
    <row r="267" spans="6:6" x14ac:dyDescent="0.2">
      <c r="F267" s="148"/>
    </row>
    <row r="268" spans="6:6" x14ac:dyDescent="0.2">
      <c r="F268" s="148"/>
    </row>
    <row r="269" spans="6:6" x14ac:dyDescent="0.2">
      <c r="F269" s="148"/>
    </row>
    <row r="270" spans="6:6" x14ac:dyDescent="0.2">
      <c r="F270" s="148"/>
    </row>
    <row r="271" spans="6:6" x14ac:dyDescent="0.2">
      <c r="F271" s="148"/>
    </row>
    <row r="272" spans="6:6" x14ac:dyDescent="0.2">
      <c r="F272" s="148"/>
    </row>
    <row r="273" spans="6:6" x14ac:dyDescent="0.2">
      <c r="F273" s="148"/>
    </row>
    <row r="274" spans="6:6" x14ac:dyDescent="0.2">
      <c r="F274" s="148"/>
    </row>
    <row r="275" spans="6:6" x14ac:dyDescent="0.2">
      <c r="F275" s="148"/>
    </row>
    <row r="276" spans="6:6" x14ac:dyDescent="0.2">
      <c r="F276" s="148"/>
    </row>
    <row r="277" spans="6:6" x14ac:dyDescent="0.2">
      <c r="F277" s="148"/>
    </row>
    <row r="278" spans="6:6" x14ac:dyDescent="0.2">
      <c r="F278" s="148"/>
    </row>
    <row r="279" spans="6:6" x14ac:dyDescent="0.2">
      <c r="F279" s="148"/>
    </row>
  </sheetData>
  <autoFilter ref="B96:AN196" xr:uid="{DC9B05A1-333C-4996-A00C-8F0340BCB575}"/>
  <mergeCells count="6">
    <mergeCell ref="AD64:AD84"/>
    <mergeCell ref="AD10:AD11"/>
    <mergeCell ref="AD12:AD13"/>
    <mergeCell ref="AD14:AD15"/>
    <mergeCell ref="AD22:AD42"/>
    <mergeCell ref="AD43:AD63"/>
  </mergeCells>
  <conditionalFormatting sqref="AF97:AN145 AF146:AF147 AG146:AN155">
    <cfRule type="cellIs" dxfId="12" priority="1" operator="equal">
      <formula>2</formula>
    </cfRule>
  </conditionalFormatting>
  <conditionalFormatting sqref="AF97:AN145 AG146:AN155 AF146:AF196">
    <cfRule type="cellIs" dxfId="11" priority="4" operator="equal">
      <formula>0</formula>
    </cfRule>
    <cfRule type="cellIs" dxfId="10" priority="5" operator="between">
      <formula>0.0001</formula>
      <formula>1.00001</formula>
    </cfRule>
  </conditionalFormatting>
  <conditionalFormatting sqref="AG156:AN196">
    <cfRule type="cellIs" dxfId="9" priority="2" operator="equal">
      <formula>0</formula>
    </cfRule>
    <cfRule type="cellIs" dxfId="8" priority="3" operator="equal">
      <formula>1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DEA4E37-5079-4B30-B27A-DE949AAF7890}">
          <x14:formula1>
            <xm:f>'Listas y Parametros'!$B$14:$B$16</xm:f>
          </x14:formula1>
          <xm:sqref>AD97:AD153</xm:sqref>
        </x14:dataValidation>
        <x14:dataValidation type="list" allowBlank="1" showInputMessage="1" showErrorMessage="1" xr:uid="{1FF445E0-7CED-439F-941C-80709AD741DE}">
          <x14:formula1>
            <xm:f>'Listas y Parametros'!$C$14:$C$21</xm:f>
          </x14:formula1>
          <xm:sqref>AE97:AE155</xm:sqref>
        </x14:dataValidation>
        <x14:dataValidation type="list" allowBlank="1" showInputMessage="1" showErrorMessage="1" xr:uid="{18A3D296-0E2B-43EC-AF8A-01EAE0F4A4AE}">
          <x14:formula1>
            <xm:f>'Listas y Parametros'!$D$14:$D$18</xm:f>
          </x14:formula1>
          <xm:sqref>F97:H141 G142:H142</xm:sqref>
        </x14:dataValidation>
        <x14:dataValidation type="list" allowBlank="1" showInputMessage="1" showErrorMessage="1" xr:uid="{D5A2975D-2955-4245-8627-6F7EADB42AD1}">
          <x14:formula1>
            <xm:f>'Listas y Parametros'!$E$14:$E$16</xm:f>
          </x14:formula1>
          <xm:sqref>I105:I141 I97:I103</xm:sqref>
        </x14:dataValidation>
        <x14:dataValidation type="list" allowBlank="1" showInputMessage="1" showErrorMessage="1" xr:uid="{2595944A-4B67-4E89-8A7A-B4A17DD60DD3}">
          <x14:formula1>
            <xm:f>'Listas y Parametros'!$F$14:$F$21</xm:f>
          </x14:formula1>
          <xm:sqref>AC97:AC142</xm:sqref>
        </x14:dataValidation>
        <x14:dataValidation type="list" allowBlank="1" showInputMessage="1" showErrorMessage="1" xr:uid="{3067D0E1-C790-450E-AF94-47A6B67D2719}">
          <x14:formula1>
            <xm:f>'Listas y Parametros'!$G$14:$G$15</xm:f>
          </x14:formula1>
          <xm:sqref>R97:R143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E5E1-CE26-4F17-AC55-49B9E8A69D10}">
  <dimension ref="A1:D21"/>
  <sheetViews>
    <sheetView workbookViewId="0">
      <selection activeCell="B2" sqref="B2"/>
    </sheetView>
  </sheetViews>
  <sheetFormatPr baseColWidth="10" defaultColWidth="11.5" defaultRowHeight="15" x14ac:dyDescent="0.2"/>
  <cols>
    <col min="1" max="1" width="3" bestFit="1" customWidth="1"/>
    <col min="2" max="2" width="58.83203125" bestFit="1" customWidth="1"/>
    <col min="3" max="3" width="12.83203125" bestFit="1" customWidth="1"/>
  </cols>
  <sheetData>
    <row r="1" spans="1:4" x14ac:dyDescent="0.2">
      <c r="A1" s="330" t="s">
        <v>114</v>
      </c>
      <c r="B1" s="330" t="s">
        <v>403</v>
      </c>
      <c r="C1" s="330" t="s">
        <v>404</v>
      </c>
      <c r="D1" s="330" t="s">
        <v>405</v>
      </c>
    </row>
    <row r="2" spans="1:4" x14ac:dyDescent="0.2">
      <c r="A2" s="331">
        <v>1</v>
      </c>
      <c r="B2" s="331" t="s">
        <v>360</v>
      </c>
      <c r="C2" s="331" t="s">
        <v>320</v>
      </c>
      <c r="D2" s="331"/>
    </row>
    <row r="3" spans="1:4" x14ac:dyDescent="0.2">
      <c r="A3" s="331">
        <v>2</v>
      </c>
      <c r="B3" s="331" t="s">
        <v>361</v>
      </c>
      <c r="C3" s="331" t="s">
        <v>310</v>
      </c>
      <c r="D3" s="331"/>
    </row>
    <row r="4" spans="1:4" x14ac:dyDescent="0.2">
      <c r="A4" s="331">
        <v>3</v>
      </c>
      <c r="B4" s="331" t="s">
        <v>362</v>
      </c>
      <c r="C4" s="331" t="s">
        <v>363</v>
      </c>
      <c r="D4" s="331"/>
    </row>
    <row r="5" spans="1:4" x14ac:dyDescent="0.2">
      <c r="A5" s="331">
        <v>4</v>
      </c>
      <c r="B5" s="331" t="s">
        <v>364</v>
      </c>
      <c r="C5" s="331" t="s">
        <v>363</v>
      </c>
      <c r="D5" s="331"/>
    </row>
    <row r="6" spans="1:4" x14ac:dyDescent="0.2">
      <c r="A6" s="331">
        <v>5</v>
      </c>
      <c r="B6" s="331" t="s">
        <v>365</v>
      </c>
      <c r="C6" s="331" t="s">
        <v>366</v>
      </c>
      <c r="D6" s="331"/>
    </row>
    <row r="7" spans="1:4" x14ac:dyDescent="0.2">
      <c r="A7" s="331">
        <v>6</v>
      </c>
      <c r="B7" s="331" t="s">
        <v>367</v>
      </c>
      <c r="C7" s="331" t="s">
        <v>368</v>
      </c>
      <c r="D7" s="331"/>
    </row>
    <row r="8" spans="1:4" x14ac:dyDescent="0.2">
      <c r="A8" s="331">
        <v>7</v>
      </c>
      <c r="B8" s="331" t="s">
        <v>369</v>
      </c>
      <c r="C8" s="331" t="s">
        <v>363</v>
      </c>
      <c r="D8" s="331"/>
    </row>
    <row r="9" spans="1:4" x14ac:dyDescent="0.2">
      <c r="A9" s="331">
        <v>8</v>
      </c>
      <c r="B9" s="331" t="s">
        <v>371</v>
      </c>
      <c r="C9" s="331" t="s">
        <v>372</v>
      </c>
      <c r="D9" s="331"/>
    </row>
    <row r="10" spans="1:4" x14ac:dyDescent="0.2">
      <c r="A10" s="331">
        <v>9</v>
      </c>
      <c r="B10" s="331" t="s">
        <v>373</v>
      </c>
      <c r="C10" s="331" t="s">
        <v>316</v>
      </c>
      <c r="D10" s="331"/>
    </row>
    <row r="11" spans="1:4" x14ac:dyDescent="0.2">
      <c r="A11" s="331">
        <v>10</v>
      </c>
      <c r="B11" s="331" t="s">
        <v>374</v>
      </c>
      <c r="C11" s="331" t="s">
        <v>288</v>
      </c>
      <c r="D11" s="331"/>
    </row>
    <row r="12" spans="1:4" x14ac:dyDescent="0.2">
      <c r="A12" s="331">
        <v>11</v>
      </c>
      <c r="B12" s="331" t="s">
        <v>375</v>
      </c>
      <c r="C12" s="331" t="s">
        <v>376</v>
      </c>
      <c r="D12" s="331"/>
    </row>
    <row r="13" spans="1:4" x14ac:dyDescent="0.2">
      <c r="A13" s="331">
        <v>12</v>
      </c>
      <c r="B13" s="331" t="s">
        <v>377</v>
      </c>
      <c r="C13" s="331" t="s">
        <v>378</v>
      </c>
      <c r="D13" s="331"/>
    </row>
    <row r="14" spans="1:4" x14ac:dyDescent="0.2">
      <c r="A14" s="331">
        <v>13</v>
      </c>
      <c r="B14" s="331" t="s">
        <v>379</v>
      </c>
      <c r="C14" s="331" t="s">
        <v>380</v>
      </c>
      <c r="D14" s="331"/>
    </row>
    <row r="15" spans="1:4" x14ac:dyDescent="0.2">
      <c r="A15" s="331">
        <v>14</v>
      </c>
      <c r="B15" s="331" t="s">
        <v>381</v>
      </c>
      <c r="C15" s="331" t="s">
        <v>382</v>
      </c>
      <c r="D15" s="331"/>
    </row>
    <row r="16" spans="1:4" x14ac:dyDescent="0.2">
      <c r="A16" s="331">
        <v>15</v>
      </c>
      <c r="B16" s="331" t="s">
        <v>384</v>
      </c>
      <c r="C16" s="331" t="s">
        <v>292</v>
      </c>
      <c r="D16" s="331"/>
    </row>
    <row r="17" spans="1:4" x14ac:dyDescent="0.2">
      <c r="A17" s="331">
        <v>16</v>
      </c>
      <c r="B17" s="331" t="s">
        <v>385</v>
      </c>
      <c r="C17" s="331" t="s">
        <v>386</v>
      </c>
      <c r="D17" s="331"/>
    </row>
    <row r="18" spans="1:4" x14ac:dyDescent="0.2">
      <c r="A18" s="331">
        <v>17</v>
      </c>
      <c r="B18" s="331" t="s">
        <v>387</v>
      </c>
      <c r="C18" s="331" t="s">
        <v>388</v>
      </c>
      <c r="D18" s="331"/>
    </row>
    <row r="19" spans="1:4" x14ac:dyDescent="0.2">
      <c r="A19" s="331">
        <v>18</v>
      </c>
      <c r="B19" s="331" t="s">
        <v>389</v>
      </c>
      <c r="C19" s="331" t="s">
        <v>390</v>
      </c>
      <c r="D19" s="331"/>
    </row>
    <row r="20" spans="1:4" x14ac:dyDescent="0.2">
      <c r="A20" s="331">
        <v>19</v>
      </c>
      <c r="B20" s="331" t="s">
        <v>391</v>
      </c>
      <c r="C20" s="331" t="s">
        <v>388</v>
      </c>
      <c r="D20" s="331"/>
    </row>
    <row r="21" spans="1:4" x14ac:dyDescent="0.2">
      <c r="A21" s="331">
        <v>20</v>
      </c>
      <c r="B21" s="331" t="s">
        <v>392</v>
      </c>
      <c r="C21" s="331" t="s">
        <v>393</v>
      </c>
      <c r="D21" s="33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12464-E527-4824-A3EB-99B8C74A042F}">
  <sheetPr>
    <tabColor theme="5" tint="0.79998168889431442"/>
  </sheetPr>
  <dimension ref="A1:AP211"/>
  <sheetViews>
    <sheetView showGridLines="0" topLeftCell="I22" zoomScaleNormal="70" workbookViewId="0">
      <selection activeCell="E70" sqref="E70"/>
    </sheetView>
  </sheetViews>
  <sheetFormatPr baseColWidth="10" defaultColWidth="11.5" defaultRowHeight="11" outlineLevelCol="1" x14ac:dyDescent="0.2"/>
  <cols>
    <col min="1" max="2" width="11.5" style="110"/>
    <col min="3" max="3" width="11.83203125" style="110" customWidth="1"/>
    <col min="4" max="4" width="60.5" style="110" bestFit="1" customWidth="1"/>
    <col min="5" max="5" width="15" style="110" bestFit="1" customWidth="1"/>
    <col min="6" max="8" width="15" style="110" customWidth="1"/>
    <col min="9" max="10" width="15" style="190" customWidth="1"/>
    <col min="11" max="11" width="15" style="110" customWidth="1"/>
    <col min="12" max="20" width="11.5" style="110"/>
    <col min="21" max="23" width="11.5" style="157"/>
    <col min="24" max="24" width="11.5" style="110"/>
    <col min="25" max="28" width="11.5" style="110" hidden="1" customWidth="1" outlineLevel="1"/>
    <col min="29" max="29" width="11.5" style="110" customWidth="1" outlineLevel="1"/>
    <col min="30" max="30" width="39.1640625" style="110" bestFit="1" customWidth="1"/>
    <col min="31" max="31" width="39.1640625" style="110" customWidth="1"/>
    <col min="32" max="33" width="26.5" style="110" customWidth="1"/>
    <col min="34" max="34" width="19.83203125" style="110" bestFit="1" customWidth="1"/>
    <col min="35" max="41" width="11.5" style="110"/>
    <col min="42" max="42" width="19.83203125" style="110" bestFit="1" customWidth="1"/>
    <col min="43" max="43" width="11.5" style="110"/>
    <col min="44" max="44" width="12.83203125" style="110" bestFit="1" customWidth="1"/>
    <col min="45" max="16384" width="11.5" style="110"/>
  </cols>
  <sheetData>
    <row r="1" spans="1:42" s="159" customFormat="1" x14ac:dyDescent="0.2">
      <c r="A1" s="158"/>
    </row>
    <row r="2" spans="1:42" s="161" customFormat="1" x14ac:dyDescent="0.2">
      <c r="A2" s="160"/>
    </row>
    <row r="3" spans="1:42" s="161" customFormat="1" x14ac:dyDescent="0.2">
      <c r="A3" s="160"/>
      <c r="D3" s="164" t="s">
        <v>0</v>
      </c>
    </row>
    <row r="4" spans="1:42" s="161" customFormat="1" x14ac:dyDescent="0.2">
      <c r="A4" s="160"/>
      <c r="D4" s="164">
        <v>2025</v>
      </c>
    </row>
    <row r="5" spans="1:42" s="161" customFormat="1" x14ac:dyDescent="0.2">
      <c r="A5" s="160"/>
      <c r="D5" s="167" t="s">
        <v>406</v>
      </c>
    </row>
    <row r="6" spans="1:42" s="161" customFormat="1" x14ac:dyDescent="0.2">
      <c r="A6" s="160"/>
    </row>
    <row r="7" spans="1:42" s="163" customFormat="1" ht="12" thickBot="1" x14ac:dyDescent="0.25">
      <c r="A7" s="162"/>
    </row>
    <row r="8" spans="1:42" x14ac:dyDescent="0.2">
      <c r="I8" s="110"/>
      <c r="J8" s="110"/>
      <c r="U8" s="110"/>
      <c r="V8" s="110"/>
      <c r="W8" s="110"/>
    </row>
    <row r="9" spans="1:42" s="165" customFormat="1" x14ac:dyDescent="0.2">
      <c r="B9" s="166" t="s">
        <v>407</v>
      </c>
    </row>
    <row r="10" spans="1:42" ht="12" thickBot="1" x14ac:dyDescent="0.25">
      <c r="B10" s="148"/>
      <c r="I10" s="110"/>
      <c r="J10" s="110"/>
      <c r="U10" s="110"/>
      <c r="V10" s="110"/>
      <c r="W10" s="110"/>
    </row>
    <row r="11" spans="1:42" ht="13" thickBot="1" x14ac:dyDescent="0.25">
      <c r="B11" s="148"/>
      <c r="I11" s="110"/>
      <c r="J11" s="110"/>
      <c r="U11" s="110"/>
      <c r="V11" s="110"/>
      <c r="W11" s="110"/>
      <c r="AF11" s="173" t="s">
        <v>408</v>
      </c>
      <c r="AG11" s="173" t="s">
        <v>409</v>
      </c>
      <c r="AH11" s="138">
        <v>45777</v>
      </c>
      <c r="AI11" s="138">
        <v>45807</v>
      </c>
      <c r="AJ11" s="138">
        <v>45838</v>
      </c>
      <c r="AK11" s="138">
        <v>45868</v>
      </c>
      <c r="AL11" s="138">
        <v>45899</v>
      </c>
      <c r="AM11" s="138">
        <v>45930</v>
      </c>
      <c r="AN11" s="138">
        <v>45960</v>
      </c>
      <c r="AO11" s="138">
        <v>45991</v>
      </c>
      <c r="AP11" s="139">
        <v>46021</v>
      </c>
    </row>
    <row r="12" spans="1:42" x14ac:dyDescent="0.2">
      <c r="B12" s="148"/>
      <c r="I12" s="110"/>
      <c r="J12" s="110"/>
      <c r="U12" s="110"/>
      <c r="V12" s="110"/>
      <c r="W12" s="110"/>
      <c r="AF12" s="174" t="s">
        <v>41</v>
      </c>
      <c r="AG12" s="178">
        <f t="shared" ref="AG12:AG17" si="0">+SUM(AH12:XFD12)</f>
        <v>1316174.5131007426</v>
      </c>
      <c r="AH12" s="182">
        <f t="shared" ref="AH12:AP16" si="1">+SUMIFS(AH$29:AH$100002,$F$29:$F$100002,$AF12)</f>
        <v>281628.48535799352</v>
      </c>
      <c r="AI12" s="182">
        <f t="shared" si="1"/>
        <v>156195.61790668344</v>
      </c>
      <c r="AJ12" s="182">
        <f t="shared" si="1"/>
        <v>135683.67311195179</v>
      </c>
      <c r="AK12" s="182">
        <f t="shared" si="1"/>
        <v>166728.01071878942</v>
      </c>
      <c r="AL12" s="182">
        <f t="shared" si="1"/>
        <v>143777.36619027602</v>
      </c>
      <c r="AM12" s="182">
        <f t="shared" si="1"/>
        <v>131777.62014852179</v>
      </c>
      <c r="AN12" s="182">
        <f t="shared" si="1"/>
        <v>107778.12806501331</v>
      </c>
      <c r="AO12" s="182">
        <f t="shared" si="1"/>
        <v>107778.12806501331</v>
      </c>
      <c r="AP12" s="183">
        <f t="shared" si="1"/>
        <v>84827.483536499931</v>
      </c>
    </row>
    <row r="13" spans="1:42" x14ac:dyDescent="0.2">
      <c r="B13" s="148"/>
      <c r="I13" s="110"/>
      <c r="J13" s="110"/>
      <c r="U13" s="110"/>
      <c r="V13" s="110"/>
      <c r="W13" s="110"/>
      <c r="AF13" s="175" t="s">
        <v>44</v>
      </c>
      <c r="AG13" s="179">
        <f t="shared" si="0"/>
        <v>1448068.384825557</v>
      </c>
      <c r="AH13" s="184">
        <f t="shared" si="1"/>
        <v>110400.24695250104</v>
      </c>
      <c r="AI13" s="184">
        <f t="shared" si="1"/>
        <v>110400.24695250104</v>
      </c>
      <c r="AJ13" s="184">
        <f t="shared" si="1"/>
        <v>103024.73027882865</v>
      </c>
      <c r="AK13" s="184">
        <f t="shared" si="1"/>
        <v>254753.70428751575</v>
      </c>
      <c r="AL13" s="184">
        <f t="shared" si="1"/>
        <v>261935.46833403388</v>
      </c>
      <c r="AM13" s="184">
        <f t="shared" si="1"/>
        <v>207609.8150483396</v>
      </c>
      <c r="AN13" s="184">
        <f t="shared" si="1"/>
        <v>188146.71780860302</v>
      </c>
      <c r="AO13" s="184">
        <f t="shared" si="1"/>
        <v>133314.72432394561</v>
      </c>
      <c r="AP13" s="185">
        <f t="shared" si="1"/>
        <v>78482.730839288211</v>
      </c>
    </row>
    <row r="14" spans="1:42" x14ac:dyDescent="0.2">
      <c r="B14" s="148"/>
      <c r="I14" s="110"/>
      <c r="J14" s="110"/>
      <c r="U14" s="110"/>
      <c r="V14" s="110"/>
      <c r="W14" s="110"/>
      <c r="AF14" s="175" t="s">
        <v>45</v>
      </c>
      <c r="AG14" s="179">
        <f t="shared" si="0"/>
        <v>1320057.3157489141</v>
      </c>
      <c r="AH14" s="184">
        <f t="shared" si="1"/>
        <v>111684.18102844332</v>
      </c>
      <c r="AI14" s="184">
        <f t="shared" si="1"/>
        <v>134634.8255569567</v>
      </c>
      <c r="AJ14" s="184">
        <f t="shared" si="1"/>
        <v>134634.8255569567</v>
      </c>
      <c r="AK14" s="184">
        <f t="shared" si="1"/>
        <v>205860.87466722712</v>
      </c>
      <c r="AL14" s="184">
        <f t="shared" si="1"/>
        <v>182491.72446406051</v>
      </c>
      <c r="AM14" s="184">
        <f t="shared" si="1"/>
        <v>182491.72446406051</v>
      </c>
      <c r="AN14" s="184">
        <f t="shared" si="1"/>
        <v>151028.88118256972</v>
      </c>
      <c r="AO14" s="184">
        <f t="shared" si="1"/>
        <v>131565.78394283314</v>
      </c>
      <c r="AP14" s="185">
        <f t="shared" si="1"/>
        <v>85664.494885806358</v>
      </c>
    </row>
    <row r="15" spans="1:42" x14ac:dyDescent="0.2">
      <c r="B15" s="148"/>
      <c r="I15" s="110"/>
      <c r="J15" s="110"/>
      <c r="U15" s="110"/>
      <c r="V15" s="110"/>
      <c r="W15" s="110"/>
      <c r="AF15" s="175" t="s">
        <v>46</v>
      </c>
      <c r="AG15" s="179">
        <f t="shared" si="0"/>
        <v>269207.65027322405</v>
      </c>
      <c r="AH15" s="184">
        <f t="shared" si="1"/>
        <v>55113.580636121624</v>
      </c>
      <c r="AI15" s="184">
        <f t="shared" si="1"/>
        <v>38926.194479473168</v>
      </c>
      <c r="AJ15" s="184">
        <f t="shared" si="1"/>
        <v>58389.291719209752</v>
      </c>
      <c r="AK15" s="184">
        <f t="shared" si="1"/>
        <v>19463.097239736584</v>
      </c>
      <c r="AL15" s="184">
        <f t="shared" si="1"/>
        <v>19463.097239736584</v>
      </c>
      <c r="AM15" s="184">
        <f t="shared" si="1"/>
        <v>19463.097239736584</v>
      </c>
      <c r="AN15" s="184">
        <f t="shared" si="1"/>
        <v>19463.097239736584</v>
      </c>
      <c r="AO15" s="184">
        <f t="shared" si="1"/>
        <v>19463.097239736584</v>
      </c>
      <c r="AP15" s="185">
        <f t="shared" si="1"/>
        <v>19463.097239736584</v>
      </c>
    </row>
    <row r="16" spans="1:42" ht="12" thickBot="1" x14ac:dyDescent="0.25">
      <c r="B16" s="148"/>
      <c r="I16" s="110"/>
      <c r="J16" s="110"/>
      <c r="U16" s="110"/>
      <c r="V16" s="110"/>
      <c r="W16" s="110"/>
      <c r="AF16" s="176" t="s">
        <v>47</v>
      </c>
      <c r="AG16" s="180">
        <f t="shared" si="0"/>
        <v>0</v>
      </c>
      <c r="AH16" s="186">
        <f t="shared" si="1"/>
        <v>0</v>
      </c>
      <c r="AI16" s="186">
        <f t="shared" si="1"/>
        <v>0</v>
      </c>
      <c r="AJ16" s="186">
        <f t="shared" si="1"/>
        <v>0</v>
      </c>
      <c r="AK16" s="186">
        <f t="shared" si="1"/>
        <v>0</v>
      </c>
      <c r="AL16" s="186">
        <f t="shared" si="1"/>
        <v>0</v>
      </c>
      <c r="AM16" s="186">
        <f t="shared" si="1"/>
        <v>0</v>
      </c>
      <c r="AN16" s="186">
        <f t="shared" si="1"/>
        <v>0</v>
      </c>
      <c r="AO16" s="186">
        <f t="shared" si="1"/>
        <v>0</v>
      </c>
      <c r="AP16" s="187">
        <f t="shared" si="1"/>
        <v>0</v>
      </c>
    </row>
    <row r="17" spans="2:42" ht="12" thickBot="1" x14ac:dyDescent="0.25">
      <c r="B17" s="148"/>
      <c r="I17" s="110"/>
      <c r="J17" s="110"/>
      <c r="U17" s="110"/>
      <c r="V17" s="110"/>
      <c r="W17" s="110"/>
      <c r="AF17" s="177" t="s">
        <v>32</v>
      </c>
      <c r="AG17" s="181">
        <f t="shared" si="0"/>
        <v>4353507.8639484374</v>
      </c>
      <c r="AH17" s="186">
        <f>+SUM(AH12:AH16)</f>
        <v>558826.49397505948</v>
      </c>
      <c r="AI17" s="186">
        <f t="shared" ref="AI17:AP17" si="2">+SUM(AI12:AI16)</f>
        <v>440156.88489561435</v>
      </c>
      <c r="AJ17" s="186">
        <f t="shared" si="2"/>
        <v>431732.52066694689</v>
      </c>
      <c r="AK17" s="186">
        <f t="shared" si="2"/>
        <v>646805.68691326887</v>
      </c>
      <c r="AL17" s="186">
        <f t="shared" si="2"/>
        <v>607667.65622810705</v>
      </c>
      <c r="AM17" s="186">
        <f t="shared" si="2"/>
        <v>541342.25690065848</v>
      </c>
      <c r="AN17" s="186">
        <f t="shared" si="2"/>
        <v>466416.82429592265</v>
      </c>
      <c r="AO17" s="186">
        <f t="shared" si="2"/>
        <v>392121.73357152863</v>
      </c>
      <c r="AP17" s="187">
        <f t="shared" si="2"/>
        <v>268437.8065013311</v>
      </c>
    </row>
    <row r="18" spans="2:42" ht="12" thickBot="1" x14ac:dyDescent="0.25">
      <c r="B18" s="148"/>
      <c r="I18" s="110"/>
      <c r="J18" s="110"/>
      <c r="U18" s="110"/>
      <c r="V18" s="110"/>
      <c r="W18" s="110"/>
    </row>
    <row r="19" spans="2:42" ht="13" thickBot="1" x14ac:dyDescent="0.25">
      <c r="B19" s="148"/>
      <c r="I19" s="110"/>
      <c r="J19" s="110"/>
      <c r="U19" s="110"/>
      <c r="V19" s="110"/>
      <c r="W19" s="110"/>
      <c r="AF19" s="173" t="s">
        <v>410</v>
      </c>
      <c r="AG19" s="173" t="s">
        <v>409</v>
      </c>
      <c r="AH19" s="138">
        <v>45777</v>
      </c>
      <c r="AI19" s="138">
        <v>45807</v>
      </c>
      <c r="AJ19" s="138">
        <v>45838</v>
      </c>
      <c r="AK19" s="138">
        <v>45868</v>
      </c>
      <c r="AL19" s="138">
        <v>45899</v>
      </c>
      <c r="AM19" s="138">
        <v>45930</v>
      </c>
      <c r="AN19" s="138">
        <v>45960</v>
      </c>
      <c r="AO19" s="138">
        <v>45991</v>
      </c>
      <c r="AP19" s="139">
        <v>46021</v>
      </c>
    </row>
    <row r="20" spans="2:42" x14ac:dyDescent="0.2">
      <c r="B20" s="148"/>
      <c r="I20" s="110"/>
      <c r="J20" s="110"/>
      <c r="U20" s="110"/>
      <c r="V20" s="110"/>
      <c r="W20" s="110"/>
      <c r="AF20" s="174" t="s">
        <v>41</v>
      </c>
      <c r="AG20" s="178">
        <f t="shared" ref="AG20:AG25" si="3">+SUM(AH20:XFD20)</f>
        <v>3619951.3757531177</v>
      </c>
      <c r="AH20" s="191" cm="1">
        <f t="array" ref="AH20">+SUMPRODUCT(($G$29:$G$99999=$AF20)*$I$29:$I$99999*AH$29:AH$99999)+SUMPRODUCT(($H$29:$H$99999=$AF20)*$J$29:$J$99999*AH$29:AH$99999)</f>
        <v>432457.15549250378</v>
      </c>
      <c r="AI20" s="191" cm="1">
        <f t="array" ref="AI20">+SUMPRODUCT(($G$29:$G$99999=$AF20)*$I$29:$I$99999*AI$29:AI$99999)+SUMPRODUCT(($H$29:$H$99999=$AF20)*$J$29:$J$99999*AI$29:AI$99999)</f>
        <v>336499.22936808184</v>
      </c>
      <c r="AJ20" s="191" cm="1">
        <f t="array" ref="AJ20">+SUMPRODUCT(($G$29:$G$99999=$AF20)*$I$29:$I$99999*AJ$29:AJ$99999)+SUMPRODUCT(($H$29:$H$99999=$AF20)*$J$29:$J$99999*AJ$29:AJ$99999)</f>
        <v>353493.91813787306</v>
      </c>
      <c r="AK20" s="191" cm="1">
        <f t="array" ref="AK20">+SUMPRODUCT(($G$29:$G$99999=$AF20)*$I$29:$I$99999*AK$29:AK$99999)+SUMPRODUCT(($H$29:$H$99999=$AF20)*$J$29:$J$99999*AK$29:AK$99999)</f>
        <v>529990.93631778064</v>
      </c>
      <c r="AL20" s="191" cm="1">
        <f t="array" ref="AL20">+SUMPRODUCT(($G$29:$G$99999=$AF20)*$I$29:$I$99999*AL$29:AL$99999)+SUMPRODUCT(($H$29:$H$99999=$AF20)*$J$29:$J$99999*AL$29:AL$99999)</f>
        <v>514678.02035168849</v>
      </c>
      <c r="AM20" s="191" cm="1">
        <f t="array" ref="AM20">+SUMPRODUCT(($G$29:$G$99999=$AF20)*$I$29:$I$99999*AM$29:AM$99999)+SUMPRODUCT(($H$29:$H$99999=$AF20)*$J$29:$J$99999*AM$29:AM$99999)</f>
        <v>477303.13857363048</v>
      </c>
      <c r="AN20" s="191" cm="1">
        <f t="array" ref="AN20">+SUMPRODUCT(($G$29:$G$99999=$AF20)*$I$29:$I$99999*AN$29:AN$99999)+SUMPRODUCT(($H$29:$H$99999=$AF20)*$J$29:$J$99999*AN$29:AN$99999)</f>
        <v>412109.25458876282</v>
      </c>
      <c r="AO20" s="191" cm="1">
        <f t="array" ref="AO20">+SUMPRODUCT(($G$29:$G$99999=$AF20)*$I$29:$I$99999*AO$29:AO$99999)+SUMPRODUCT(($H$29:$H$99999=$AF20)*$J$29:$J$99999*AO$29:AO$99999)</f>
        <v>337814.16386436881</v>
      </c>
      <c r="AP20" s="192" cm="1">
        <f t="array" ref="AP20">+SUMPRODUCT(($G$29:$G$99999=$AF20)*$I$29:$I$99999*AP$29:AP$99999)+SUMPRODUCT(($H$29:$H$99999=$AF20)*$J$29:$J$99999*AP$29:AP$99999)</f>
        <v>225605.5590584279</v>
      </c>
    </row>
    <row r="21" spans="2:42" x14ac:dyDescent="0.2">
      <c r="B21" s="148"/>
      <c r="I21" s="110"/>
      <c r="J21" s="110"/>
      <c r="U21" s="110"/>
      <c r="V21" s="110"/>
      <c r="W21" s="110"/>
      <c r="AF21" s="175" t="s">
        <v>44</v>
      </c>
      <c r="AG21" s="179">
        <f t="shared" si="3"/>
        <v>733556.48819532024</v>
      </c>
      <c r="AH21" s="193" cm="1">
        <f t="array" ref="AH21">+SUMPRODUCT(($G$29:$G$99999=$AF21)*$I$29:$I$99999*AH$29:AH$99999)+SUMPRODUCT(($H$29:$H$99999=$AF21)*$J$29:$J$99999*AH$29:AH$99999)</f>
        <v>126369.3384825557</v>
      </c>
      <c r="AI21" s="193" cm="1">
        <f t="array" ref="AI21">+SUMPRODUCT(($G$29:$G$99999=$AF21)*$I$29:$I$99999*AI$29:AI$99999)+SUMPRODUCT(($H$29:$H$99999=$AF21)*$J$29:$J$99999*AI$29:AI$99999)</f>
        <v>103657.6555275326</v>
      </c>
      <c r="AJ21" s="193" cm="1">
        <f t="array" ref="AJ21">+SUMPRODUCT(($G$29:$G$99999=$AF21)*$I$29:$I$99999*AJ$29:AJ$99999)+SUMPRODUCT(($H$29:$H$99999=$AF21)*$J$29:$J$99999*AJ$29:AJ$99999)</f>
        <v>78238.602529073847</v>
      </c>
      <c r="AK21" s="193" cm="1">
        <f t="array" ref="AK21">+SUMPRODUCT(($G$29:$G$99999=$AF21)*$I$29:$I$99999*AK$29:AK$99999)+SUMPRODUCT(($H$29:$H$99999=$AF21)*$J$29:$J$99999*AK$29:AK$99999)</f>
        <v>116814.75059548829</v>
      </c>
      <c r="AL21" s="193" cm="1">
        <f t="array" ref="AL21">+SUMPRODUCT(($G$29:$G$99999=$AF21)*$I$29:$I$99999*AL$29:AL$99999)+SUMPRODUCT(($H$29:$H$99999=$AF21)*$J$29:$J$99999*AL$29:AL$99999)</f>
        <v>92989.635876418659</v>
      </c>
      <c r="AM21" s="193" cm="1">
        <f t="array" ref="AM21">+SUMPRODUCT(($G$29:$G$99999=$AF21)*$I$29:$I$99999*AM$29:AM$99999)+SUMPRODUCT(($H$29:$H$99999=$AF21)*$J$29:$J$99999*AM$29:AM$99999)</f>
        <v>64039.118327028162</v>
      </c>
      <c r="AN21" s="193" cm="1">
        <f t="array" ref="AN21">+SUMPRODUCT(($G$29:$G$99999=$AF21)*$I$29:$I$99999*AN$29:AN$99999)+SUMPRODUCT(($H$29:$H$99999=$AF21)*$J$29:$J$99999*AN$29:AN$99999)</f>
        <v>54307.56970715987</v>
      </c>
      <c r="AO21" s="193" cm="1">
        <f t="array" ref="AO21">+SUMPRODUCT(($G$29:$G$99999=$AF21)*$I$29:$I$99999*AO$29:AO$99999)+SUMPRODUCT(($H$29:$H$99999=$AF21)*$J$29:$J$99999*AO$29:AO$99999)</f>
        <v>54307.56970715987</v>
      </c>
      <c r="AP21" s="194" cm="1">
        <f t="array" ref="AP21">+SUMPRODUCT(($G$29:$G$99999=$AF21)*$I$29:$I$99999*AP$29:AP$99999)+SUMPRODUCT(($H$29:$H$99999=$AF21)*$J$29:$J$99999*AP$29:AP$99999)</f>
        <v>42832.247442903179</v>
      </c>
    </row>
    <row r="22" spans="2:42" x14ac:dyDescent="0.2">
      <c r="B22" s="148"/>
      <c r="I22" s="110"/>
      <c r="J22" s="110"/>
      <c r="U22" s="110"/>
      <c r="V22" s="110"/>
      <c r="W22" s="110"/>
      <c r="AF22" s="175" t="s">
        <v>45</v>
      </c>
      <c r="AG22" s="179">
        <f t="shared" si="3"/>
        <v>0</v>
      </c>
      <c r="AH22" s="193" cm="1">
        <f t="array" ref="AH22">+SUMPRODUCT(($G$29:$G$99999=$AF22)*$I$29:$I$99999*AH$29:AH$99999)+SUMPRODUCT(($H$29:$H$99999=$AF22)*$J$29:$J$99999*AH$29:AH$99999)</f>
        <v>0</v>
      </c>
      <c r="AI22" s="193" cm="1">
        <f t="array" ref="AI22">+SUMPRODUCT(($G$29:$G$99999=$AF22)*$I$29:$I$99999*AI$29:AI$99999)+SUMPRODUCT(($H$29:$H$99999=$AF22)*$J$29:$J$99999*AI$29:AI$99999)</f>
        <v>0</v>
      </c>
      <c r="AJ22" s="193" cm="1">
        <f t="array" ref="AJ22">+SUMPRODUCT(($G$29:$G$99999=$AF22)*$I$29:$I$99999*AJ$29:AJ$99999)+SUMPRODUCT(($H$29:$H$99999=$AF22)*$J$29:$J$99999*AJ$29:AJ$99999)</f>
        <v>0</v>
      </c>
      <c r="AK22" s="193" cm="1">
        <f t="array" ref="AK22">+SUMPRODUCT(($G$29:$G$99999=$AF22)*$I$29:$I$99999*AK$29:AK$99999)+SUMPRODUCT(($H$29:$H$99999=$AF22)*$J$29:$J$99999*AK$29:AK$99999)</f>
        <v>0</v>
      </c>
      <c r="AL22" s="193" cm="1">
        <f t="array" ref="AL22">+SUMPRODUCT(($G$29:$G$99999=$AF22)*$I$29:$I$99999*AL$29:AL$99999)+SUMPRODUCT(($H$29:$H$99999=$AF22)*$J$29:$J$99999*AL$29:AL$99999)</f>
        <v>0</v>
      </c>
      <c r="AM22" s="193" cm="1">
        <f t="array" ref="AM22">+SUMPRODUCT(($G$29:$G$99999=$AF22)*$I$29:$I$99999*AM$29:AM$99999)+SUMPRODUCT(($H$29:$H$99999=$AF22)*$J$29:$J$99999*AM$29:AM$99999)</f>
        <v>0</v>
      </c>
      <c r="AN22" s="193" cm="1">
        <f t="array" ref="AN22">+SUMPRODUCT(($G$29:$G$99999=$AF22)*$I$29:$I$99999*AN$29:AN$99999)+SUMPRODUCT(($H$29:$H$99999=$AF22)*$J$29:$J$99999*AN$29:AN$99999)</f>
        <v>0</v>
      </c>
      <c r="AO22" s="193" cm="1">
        <f t="array" ref="AO22">+SUMPRODUCT(($G$29:$G$99999=$AF22)*$I$29:$I$99999*AO$29:AO$99999)+SUMPRODUCT(($H$29:$H$99999=$AF22)*$J$29:$J$99999*AO$29:AO$99999)</f>
        <v>0</v>
      </c>
      <c r="AP22" s="194" cm="1">
        <f t="array" ref="AP22">+SUMPRODUCT(($G$29:$G$99999=$AF22)*$I$29:$I$99999*AP$29:AP$99999)+SUMPRODUCT(($H$29:$H$99999=$AF22)*$J$29:$J$99999*AP$29:AP$99999)</f>
        <v>0</v>
      </c>
    </row>
    <row r="23" spans="2:42" x14ac:dyDescent="0.2">
      <c r="B23" s="148"/>
      <c r="I23" s="110"/>
      <c r="J23" s="110"/>
      <c r="U23" s="110"/>
      <c r="V23" s="110"/>
      <c r="W23" s="110"/>
      <c r="AF23" s="175" t="s">
        <v>46</v>
      </c>
      <c r="AG23" s="179">
        <f t="shared" si="3"/>
        <v>0</v>
      </c>
      <c r="AH23" s="193" cm="1">
        <f t="array" ref="AH23">+SUMPRODUCT(($G$29:$G$99999=$AF23)*$I$29:$I$99999*AH$29:AH$99999)+SUMPRODUCT(($H$29:$H$99999=$AF23)*$J$29:$J$99999*AH$29:AH$99999)</f>
        <v>0</v>
      </c>
      <c r="AI23" s="193" cm="1">
        <f t="array" ref="AI23">+SUMPRODUCT(($G$29:$G$99999=$AF23)*$I$29:$I$99999*AI$29:AI$99999)+SUMPRODUCT(($H$29:$H$99999=$AF23)*$J$29:$J$99999*AI$29:AI$99999)</f>
        <v>0</v>
      </c>
      <c r="AJ23" s="193" cm="1">
        <f t="array" ref="AJ23">+SUMPRODUCT(($G$29:$G$99999=$AF23)*$I$29:$I$99999*AJ$29:AJ$99999)+SUMPRODUCT(($H$29:$H$99999=$AF23)*$J$29:$J$99999*AJ$29:AJ$99999)</f>
        <v>0</v>
      </c>
      <c r="AK23" s="193" cm="1">
        <f t="array" ref="AK23">+SUMPRODUCT(($G$29:$G$99999=$AF23)*$I$29:$I$99999*AK$29:AK$99999)+SUMPRODUCT(($H$29:$H$99999=$AF23)*$J$29:$J$99999*AK$29:AK$99999)</f>
        <v>0</v>
      </c>
      <c r="AL23" s="193" cm="1">
        <f t="array" ref="AL23">+SUMPRODUCT(($G$29:$G$99999=$AF23)*$I$29:$I$99999*AL$29:AL$99999)+SUMPRODUCT(($H$29:$H$99999=$AF23)*$J$29:$J$99999*AL$29:AL$99999)</f>
        <v>0</v>
      </c>
      <c r="AM23" s="193" cm="1">
        <f t="array" ref="AM23">+SUMPRODUCT(($G$29:$G$99999=$AF23)*$I$29:$I$99999*AM$29:AM$99999)+SUMPRODUCT(($H$29:$H$99999=$AF23)*$J$29:$J$99999*AM$29:AM$99999)</f>
        <v>0</v>
      </c>
      <c r="AN23" s="193" cm="1">
        <f t="array" ref="AN23">+SUMPRODUCT(($G$29:$G$99999=$AF23)*$I$29:$I$99999*AN$29:AN$99999)+SUMPRODUCT(($H$29:$H$99999=$AF23)*$J$29:$J$99999*AN$29:AN$99999)</f>
        <v>0</v>
      </c>
      <c r="AO23" s="193" cm="1">
        <f t="array" ref="AO23">+SUMPRODUCT(($G$29:$G$99999=$AF23)*$I$29:$I$99999*AO$29:AO$99999)+SUMPRODUCT(($H$29:$H$99999=$AF23)*$J$29:$J$99999*AO$29:AO$99999)</f>
        <v>0</v>
      </c>
      <c r="AP23" s="194" cm="1">
        <f t="array" ref="AP23">+SUMPRODUCT(($G$29:$G$99999=$AF23)*$I$29:$I$99999*AP$29:AP$99999)+SUMPRODUCT(($H$29:$H$99999=$AF23)*$J$29:$J$99999*AP$29:AP$99999)</f>
        <v>0</v>
      </c>
    </row>
    <row r="24" spans="2:42" ht="12" thickBot="1" x14ac:dyDescent="0.25">
      <c r="B24" s="148"/>
      <c r="I24" s="110"/>
      <c r="J24" s="110"/>
      <c r="U24" s="110"/>
      <c r="V24" s="110"/>
      <c r="W24" s="110"/>
      <c r="AF24" s="176" t="s">
        <v>47</v>
      </c>
      <c r="AG24" s="180">
        <f t="shared" si="3"/>
        <v>0</v>
      </c>
      <c r="AH24" s="195" cm="1">
        <f t="array" ref="AH24">+SUMPRODUCT(($G$29:$G$99999=$AF24)*$I$29:$I$99999*AH$29:AH$99999)+SUMPRODUCT(($H$29:$H$99999=$AF24)*$J$29:$J$99999*AH$29:AH$99999)</f>
        <v>0</v>
      </c>
      <c r="AI24" s="195" cm="1">
        <f t="array" ref="AI24">+SUMPRODUCT(($G$29:$G$99999=$AF24)*$I$29:$I$99999*AI$29:AI$99999)+SUMPRODUCT(($H$29:$H$99999=$AF24)*$J$29:$J$99999*AI$29:AI$99999)</f>
        <v>0</v>
      </c>
      <c r="AJ24" s="195" cm="1">
        <f t="array" ref="AJ24">+SUMPRODUCT(($G$29:$G$99999=$AF24)*$I$29:$I$99999*AJ$29:AJ$99999)+SUMPRODUCT(($H$29:$H$99999=$AF24)*$J$29:$J$99999*AJ$29:AJ$99999)</f>
        <v>0</v>
      </c>
      <c r="AK24" s="195" cm="1">
        <f t="array" ref="AK24">+SUMPRODUCT(($G$29:$G$99999=$AF24)*$I$29:$I$99999*AK$29:AK$99999)+SUMPRODUCT(($H$29:$H$99999=$AF24)*$J$29:$J$99999*AK$29:AK$99999)</f>
        <v>0</v>
      </c>
      <c r="AL24" s="195" cm="1">
        <f t="array" ref="AL24">+SUMPRODUCT(($G$29:$G$99999=$AF24)*$I$29:$I$99999*AL$29:AL$99999)+SUMPRODUCT(($H$29:$H$99999=$AF24)*$J$29:$J$99999*AL$29:AL$99999)</f>
        <v>0</v>
      </c>
      <c r="AM24" s="195" cm="1">
        <f t="array" ref="AM24">+SUMPRODUCT(($G$29:$G$99999=$AF24)*$I$29:$I$99999*AM$29:AM$99999)+SUMPRODUCT(($H$29:$H$99999=$AF24)*$J$29:$J$99999*AM$29:AM$99999)</f>
        <v>0</v>
      </c>
      <c r="AN24" s="195" cm="1">
        <f t="array" ref="AN24">+SUMPRODUCT(($G$29:$G$99999=$AF24)*$I$29:$I$99999*AN$29:AN$99999)+SUMPRODUCT(($H$29:$H$99999=$AF24)*$J$29:$J$99999*AN$29:AN$99999)</f>
        <v>0</v>
      </c>
      <c r="AO24" s="195" cm="1">
        <f t="array" ref="AO24">+SUMPRODUCT(($G$29:$G$99999=$AF24)*$I$29:$I$99999*AO$29:AO$99999)+SUMPRODUCT(($H$29:$H$99999=$AF24)*$J$29:$J$99999*AO$29:AO$99999)</f>
        <v>0</v>
      </c>
      <c r="AP24" s="196" cm="1">
        <f t="array" ref="AP24">+SUMPRODUCT(($G$29:$G$99999=$AF24)*$I$29:$I$99999*AP$29:AP$99999)+SUMPRODUCT(($H$29:$H$99999=$AF24)*$J$29:$J$99999*AP$29:AP$99999)</f>
        <v>0</v>
      </c>
    </row>
    <row r="25" spans="2:42" ht="12" thickBot="1" x14ac:dyDescent="0.25">
      <c r="B25" s="148"/>
      <c r="I25" s="110"/>
      <c r="J25" s="110"/>
      <c r="U25" s="110"/>
      <c r="V25" s="110"/>
      <c r="W25" s="110"/>
      <c r="AF25" s="177" t="s">
        <v>32</v>
      </c>
      <c r="AG25" s="181">
        <f t="shared" si="3"/>
        <v>4353507.8639484383</v>
      </c>
      <c r="AH25" s="186">
        <f>+SUM(AH20:AH24)</f>
        <v>558826.49397505948</v>
      </c>
      <c r="AI25" s="186">
        <f t="shared" ref="AI25" si="4">+SUM(AI20:AI24)</f>
        <v>440156.88489561446</v>
      </c>
      <c r="AJ25" s="186">
        <f t="shared" ref="AJ25" si="5">+SUM(AJ20:AJ24)</f>
        <v>431732.52066694689</v>
      </c>
      <c r="AK25" s="186">
        <f t="shared" ref="AK25" si="6">+SUM(AK20:AK24)</f>
        <v>646805.68691326887</v>
      </c>
      <c r="AL25" s="186">
        <f t="shared" ref="AL25" si="7">+SUM(AL20:AL24)</f>
        <v>607667.65622810717</v>
      </c>
      <c r="AM25" s="186">
        <f t="shared" ref="AM25" si="8">+SUM(AM20:AM24)</f>
        <v>541342.2569006586</v>
      </c>
      <c r="AN25" s="186">
        <f t="shared" ref="AN25" si="9">+SUM(AN20:AN24)</f>
        <v>466416.82429592271</v>
      </c>
      <c r="AO25" s="186">
        <f t="shared" ref="AO25" si="10">+SUM(AO20:AO24)</f>
        <v>392121.73357152869</v>
      </c>
      <c r="AP25" s="187">
        <f t="shared" ref="AP25" si="11">+SUM(AP20:AP24)</f>
        <v>268437.8065013311</v>
      </c>
    </row>
    <row r="26" spans="2:42" ht="12" thickBot="1" x14ac:dyDescent="0.25">
      <c r="B26" s="148"/>
      <c r="I26" s="110"/>
      <c r="J26" s="110"/>
      <c r="U26" s="110"/>
      <c r="V26" s="110"/>
      <c r="W26" s="110"/>
    </row>
    <row r="27" spans="2:42" ht="12" thickBot="1" x14ac:dyDescent="0.25">
      <c r="I27" s="671" t="s">
        <v>411</v>
      </c>
      <c r="J27" s="672"/>
      <c r="U27" s="110"/>
      <c r="V27" s="110"/>
      <c r="W27" s="110"/>
    </row>
    <row r="28" spans="2:42" ht="37" thickBot="1" x14ac:dyDescent="0.25">
      <c r="C28" s="111" t="s">
        <v>269</v>
      </c>
      <c r="D28" s="112" t="s">
        <v>15</v>
      </c>
      <c r="E28" s="112" t="s">
        <v>16</v>
      </c>
      <c r="F28" s="112" t="s">
        <v>17</v>
      </c>
      <c r="G28" s="149" t="s">
        <v>270</v>
      </c>
      <c r="H28" s="149" t="s">
        <v>271</v>
      </c>
      <c r="I28" s="188" t="s">
        <v>270</v>
      </c>
      <c r="J28" s="188" t="s">
        <v>271</v>
      </c>
      <c r="K28" s="112" t="s">
        <v>272</v>
      </c>
      <c r="L28" s="112" t="s">
        <v>273</v>
      </c>
      <c r="M28" s="112" t="s">
        <v>274</v>
      </c>
      <c r="N28" s="112" t="s">
        <v>275</v>
      </c>
      <c r="O28" s="112" t="s">
        <v>412</v>
      </c>
      <c r="P28" s="112" t="s">
        <v>277</v>
      </c>
      <c r="Q28" s="112" t="s">
        <v>278</v>
      </c>
      <c r="R28" s="112" t="s">
        <v>279</v>
      </c>
      <c r="S28" s="149" t="s">
        <v>68</v>
      </c>
      <c r="T28" s="149" t="s">
        <v>281</v>
      </c>
      <c r="U28" s="149" t="s">
        <v>282</v>
      </c>
      <c r="V28" s="149" t="s">
        <v>283</v>
      </c>
      <c r="W28" s="200" t="s">
        <v>284</v>
      </c>
      <c r="X28" s="112" t="s">
        <v>285</v>
      </c>
      <c r="Y28" s="112" t="s">
        <v>25</v>
      </c>
      <c r="Z28" s="112" t="s">
        <v>26</v>
      </c>
      <c r="AA28" s="112" t="s">
        <v>27</v>
      </c>
      <c r="AB28" s="112" t="s">
        <v>28</v>
      </c>
      <c r="AC28" s="112" t="s">
        <v>29</v>
      </c>
      <c r="AD28" s="112" t="s">
        <v>18</v>
      </c>
      <c r="AE28" s="113" t="s">
        <v>19</v>
      </c>
      <c r="AF28" s="113" t="s">
        <v>64</v>
      </c>
      <c r="AG28" s="171" t="s">
        <v>413</v>
      </c>
      <c r="AH28" s="137">
        <v>45777</v>
      </c>
      <c r="AI28" s="138">
        <v>45807</v>
      </c>
      <c r="AJ28" s="138">
        <v>45838</v>
      </c>
      <c r="AK28" s="138">
        <v>45868</v>
      </c>
      <c r="AL28" s="138">
        <v>45899</v>
      </c>
      <c r="AM28" s="138">
        <v>45930</v>
      </c>
      <c r="AN28" s="138">
        <v>45960</v>
      </c>
      <c r="AO28" s="138">
        <v>45991</v>
      </c>
      <c r="AP28" s="139">
        <v>46021</v>
      </c>
    </row>
    <row r="29" spans="2:42" ht="15" x14ac:dyDescent="0.2">
      <c r="C29" s="117">
        <f>+'Gantt Proyectos'!C97</f>
        <v>1</v>
      </c>
      <c r="D29" s="140" t="str">
        <f>+'Gantt Proyectos'!D97</f>
        <v>CMP: Estrategia Minera para MLC Brownfield</v>
      </c>
      <c r="E29" s="118" t="str">
        <f>+'Gantt Proyectos'!E97</f>
        <v>CMP</v>
      </c>
      <c r="F29" s="146" t="str">
        <f>+'Gantt Proyectos'!F97</f>
        <v>Chile</v>
      </c>
      <c r="G29" s="118" t="str">
        <f>+'Gantt Proyectos'!G97</f>
        <v>Chile</v>
      </c>
      <c r="H29" s="118" t="str">
        <f>+'Gantt Proyectos'!H97</f>
        <v>Perú</v>
      </c>
      <c r="I29" s="189">
        <v>0.5</v>
      </c>
      <c r="J29" s="189">
        <f>1-I29</f>
        <v>0.5</v>
      </c>
      <c r="K29" s="118" t="str">
        <f>+'Gantt Proyectos'!I97</f>
        <v>Open Pit</v>
      </c>
      <c r="L29" s="120">
        <f>+'Gantt Proyectos'!J97</f>
        <v>1</v>
      </c>
      <c r="M29" s="118" t="str">
        <f>+'Gantt Proyectos'!K97</f>
        <v>FR</v>
      </c>
      <c r="N29" s="118">
        <f>+'Gantt Proyectos'!L97</f>
        <v>36143</v>
      </c>
      <c r="O29" s="118">
        <f>+'Gantt Proyectos'!M97</f>
        <v>0</v>
      </c>
      <c r="P29" s="118">
        <f>+'Gantt Proyectos'!N97</f>
        <v>1</v>
      </c>
      <c r="Q29" s="119">
        <f>+'Gantt Proyectos'!O97</f>
        <v>45502</v>
      </c>
      <c r="R29" s="119">
        <f>+'Gantt Proyectos'!P97</f>
        <v>45754</v>
      </c>
      <c r="S29" s="118" t="str">
        <f>+'Gantt Proyectos'!R97</f>
        <v>No</v>
      </c>
      <c r="T29" s="118">
        <f>+'Gantt Proyectos'!S97</f>
        <v>0</v>
      </c>
      <c r="U29" s="156">
        <f>+'Gantt Proyectos'!T97</f>
        <v>45502</v>
      </c>
      <c r="V29" s="156">
        <f>+'Gantt Proyectos'!U97</f>
        <v>45754</v>
      </c>
      <c r="W29" s="201">
        <f>+ROUNDUP(_xlfn.DAYS(V29,U29)/30.5,0)</f>
        <v>9</v>
      </c>
      <c r="X29" s="121">
        <f>+'Gantt Proyectos'!W97</f>
        <v>0.72035794183445179</v>
      </c>
      <c r="Y29" s="122">
        <f>+'Gantt Proyectos'!X97</f>
        <v>0.25</v>
      </c>
      <c r="Z29" s="122">
        <f>+'Gantt Proyectos'!Y97</f>
        <v>0.33</v>
      </c>
      <c r="AA29" s="122">
        <f>+'Gantt Proyectos'!Z97</f>
        <v>0</v>
      </c>
      <c r="AB29" s="122">
        <f>+'Gantt Proyectos'!AA97</f>
        <v>0.5</v>
      </c>
      <c r="AC29" s="122">
        <f>+'Gantt Proyectos'!AB97</f>
        <v>0.5</v>
      </c>
      <c r="AD29" s="152" t="str">
        <f>+'Gantt Proyectos'!AC97</f>
        <v>Estudio Conceptual / LOM</v>
      </c>
      <c r="AE29" s="123" t="str">
        <f>+'Gantt Proyectos'!AD97</f>
        <v>Actual</v>
      </c>
      <c r="AF29" s="124" t="str">
        <f>+'Gantt Proyectos'!AE97</f>
        <v>7. Finalizado</v>
      </c>
      <c r="AG29" s="172">
        <v>1</v>
      </c>
      <c r="AH29" s="168">
        <f>IFERROR(IF('Gantt Proyectos'!AF97&gt;0,SUMIFS('Listas y Parametros'!$C$45:$L$45,'Listas y Parametros'!$C$35:$L$35,'Costo Directo Proyectos'!$AD29)*$AG29,0)+IF('Gantt Proyectos'!AF97=2,$T29,0)/$W29,0)*$L29</f>
        <v>11999.746041754239</v>
      </c>
      <c r="AI29" s="169">
        <f>IFERROR(IF('Gantt Proyectos'!AG97&gt;0,SUMIFS('Listas y Parametros'!$C$45:$L$45,'Listas y Parametros'!$C$35:$L$35,'Costo Directo Proyectos'!$AD29)*$AG29,0)+IF('Gantt Proyectos'!AG97=2,$T29,0)/$W29,0)*$L29</f>
        <v>0</v>
      </c>
      <c r="AJ29" s="169">
        <f>IFERROR(IF('Gantt Proyectos'!AH97&gt;0,SUMIFS('Listas y Parametros'!$C$45:$L$45,'Listas y Parametros'!$C$35:$L$35,'Costo Directo Proyectos'!$AD29)*$AG29,0)+IF('Gantt Proyectos'!AH97=2,$T29,0)/$W29,0)*$L29</f>
        <v>0</v>
      </c>
      <c r="AK29" s="169">
        <f>IFERROR(IF('Gantt Proyectos'!AI97&gt;0,SUMIFS('Listas y Parametros'!$C$45:$L$45,'Listas y Parametros'!$C$35:$L$35,'Costo Directo Proyectos'!$AD29)*$AG29,0)+IF('Gantt Proyectos'!AI97=2,$T29,0)/$W29,0)*$L29</f>
        <v>0</v>
      </c>
      <c r="AL29" s="169">
        <f>IFERROR(IF('Gantt Proyectos'!AJ97&gt;0,SUMIFS('Listas y Parametros'!$C$45:$L$45,'Listas y Parametros'!$C$35:$L$35,'Costo Directo Proyectos'!$AD29)*$AG29,0)+IF('Gantt Proyectos'!AJ97=2,$T29,0)/$W29,0)*$L29</f>
        <v>0</v>
      </c>
      <c r="AM29" s="169">
        <f>IFERROR(IF('Gantt Proyectos'!AK97&gt;0,SUMIFS('Listas y Parametros'!$C$45:$L$45,'Listas y Parametros'!$C$35:$L$35,'Costo Directo Proyectos'!$AD29)*$AG29,0)+IF('Gantt Proyectos'!AK97=2,$T29,0)/$W29,0)*$L29</f>
        <v>0</v>
      </c>
      <c r="AN29" s="169">
        <f>IFERROR(IF('Gantt Proyectos'!AL97&gt;0,SUMIFS('Listas y Parametros'!$C$45:$L$45,'Listas y Parametros'!$C$35:$L$35,'Costo Directo Proyectos'!$AD29)*$AG29,0)+IF('Gantt Proyectos'!AL97=2,$T29,0)/$W29,0)*$L29</f>
        <v>0</v>
      </c>
      <c r="AO29" s="169">
        <f>IFERROR(IF('Gantt Proyectos'!AM97&gt;0,SUMIFS('Listas y Parametros'!$C$45:$L$45,'Listas y Parametros'!$C$35:$L$35,'Costo Directo Proyectos'!$AD29)*$AG29,0)+IF('Gantt Proyectos'!AM97=2,$T29,0)/$W29,0)*$L29</f>
        <v>0</v>
      </c>
      <c r="AP29" s="170">
        <f>IFERROR(IF('Gantt Proyectos'!AN97&gt;0,SUMIFS('Listas y Parametros'!$C$45:$L$45,'Listas y Parametros'!$C$35:$L$35,'Costo Directo Proyectos'!$AD29)*$AG29,0)+IF('Gantt Proyectos'!AN97=2,$T29,0)/$W29,0)*$L29</f>
        <v>0</v>
      </c>
    </row>
    <row r="30" spans="2:42" ht="15" x14ac:dyDescent="0.2">
      <c r="C30" s="117">
        <f>+'Gantt Proyectos'!C98</f>
        <v>2</v>
      </c>
      <c r="D30" s="140" t="str">
        <f>+'Gantt Proyectos'!D98</f>
        <v>Spence: Analisis proyecto SCUT</v>
      </c>
      <c r="E30" s="118" t="str">
        <f>+'Gantt Proyectos'!E98</f>
        <v>BHP</v>
      </c>
      <c r="F30" s="146" t="str">
        <f>+'Gantt Proyectos'!F98</f>
        <v>Chile</v>
      </c>
      <c r="G30" s="118" t="str">
        <f>+'Gantt Proyectos'!G98</f>
        <v>Chile</v>
      </c>
      <c r="H30" s="118" t="str">
        <f>+'Gantt Proyectos'!H98</f>
        <v>Perú</v>
      </c>
      <c r="I30" s="189">
        <v>0.5</v>
      </c>
      <c r="J30" s="189">
        <f t="shared" ref="J30:J93" si="12">1-I30</f>
        <v>0.5</v>
      </c>
      <c r="K30" s="118" t="str">
        <f>+'Gantt Proyectos'!I98</f>
        <v>Open Pit</v>
      </c>
      <c r="L30" s="120">
        <f>+'Gantt Proyectos'!J98</f>
        <v>1</v>
      </c>
      <c r="M30" s="118" t="str">
        <f>+'Gantt Proyectos'!K98</f>
        <v>FR</v>
      </c>
      <c r="N30" s="118">
        <f>+'Gantt Proyectos'!L98</f>
        <v>47590</v>
      </c>
      <c r="O30" s="118">
        <f>+'Gantt Proyectos'!M98</f>
        <v>0</v>
      </c>
      <c r="P30" s="118">
        <f>+'Gantt Proyectos'!N98</f>
        <v>1</v>
      </c>
      <c r="Q30" s="119">
        <f>+'Gantt Proyectos'!O98</f>
        <v>45719</v>
      </c>
      <c r="R30" s="119">
        <f>+'Gantt Proyectos'!P98</f>
        <v>45754</v>
      </c>
      <c r="S30" s="118" t="str">
        <f>+'Gantt Proyectos'!R98</f>
        <v>No</v>
      </c>
      <c r="T30" s="118">
        <f>+'Gantt Proyectos'!S98</f>
        <v>0</v>
      </c>
      <c r="U30" s="156">
        <f>+'Gantt Proyectos'!T98</f>
        <v>45719</v>
      </c>
      <c r="V30" s="156">
        <f>+'Gantt Proyectos'!U98</f>
        <v>45754</v>
      </c>
      <c r="W30" s="201">
        <f t="shared" ref="W30:W93" si="13">+ROUNDUP(_xlfn.DAYS(V30,U30)/30.5,0)</f>
        <v>2</v>
      </c>
      <c r="X30" s="121">
        <f>+'Gantt Proyectos'!W98</f>
        <v>0.72035794183445179</v>
      </c>
      <c r="Y30" s="122">
        <f>+'Gantt Proyectos'!X98</f>
        <v>0.25</v>
      </c>
      <c r="Z30" s="122">
        <f>+'Gantt Proyectos'!Y98</f>
        <v>0.33</v>
      </c>
      <c r="AA30" s="122">
        <f>+'Gantt Proyectos'!Z98</f>
        <v>0</v>
      </c>
      <c r="AB30" s="122">
        <f>+'Gantt Proyectos'!AA98</f>
        <v>0.5</v>
      </c>
      <c r="AC30" s="122">
        <f>+'Gantt Proyectos'!AB98</f>
        <v>0.5</v>
      </c>
      <c r="AD30" s="152" t="str">
        <f>+'Gantt Proyectos'!AC98</f>
        <v>Confiabilidad Planes</v>
      </c>
      <c r="AE30" s="123" t="str">
        <f>+'Gantt Proyectos'!AD98</f>
        <v>Actual</v>
      </c>
      <c r="AF30" s="124" t="str">
        <f>+'Gantt Proyectos'!AE98</f>
        <v>7. Finalizado</v>
      </c>
      <c r="AG30" s="172">
        <v>1</v>
      </c>
      <c r="AH30" s="168">
        <f>IFERROR(IF('Gantt Proyectos'!AF98&gt;0,SUMIFS('Listas y Parametros'!$C$45:$L$45,'Listas y Parametros'!$C$35:$L$35,'Costo Directo Proyectos'!$AD30)*$AG30,0)+IF('Gantt Proyectos'!AF98=2,$T30,0)/$W30,0)*$L30</f>
        <v>11999.746041754239</v>
      </c>
      <c r="AI30" s="169">
        <f>IFERROR(IF('Gantt Proyectos'!AG98&gt;0,SUMIFS('Listas y Parametros'!$C$45:$L$45,'Listas y Parametros'!$C$35:$L$35,'Costo Directo Proyectos'!$AD30)*$AG30,0)+IF('Gantt Proyectos'!AG98=2,$T30,0)/$W30,0)*$L30</f>
        <v>0</v>
      </c>
      <c r="AJ30" s="169">
        <f>IFERROR(IF('Gantt Proyectos'!AH98&gt;0,SUMIFS('Listas y Parametros'!$C$45:$L$45,'Listas y Parametros'!$C$35:$L$35,'Costo Directo Proyectos'!$AD30)*$AG30,0)+IF('Gantt Proyectos'!AH98=2,$T30,0)/$W30,0)*$L30</f>
        <v>0</v>
      </c>
      <c r="AK30" s="169">
        <f>IFERROR(IF('Gantt Proyectos'!AI98&gt;0,SUMIFS('Listas y Parametros'!$C$45:$L$45,'Listas y Parametros'!$C$35:$L$35,'Costo Directo Proyectos'!$AD30)*$AG30,0)+IF('Gantt Proyectos'!AI98=2,$T30,0)/$W30,0)*$L30</f>
        <v>0</v>
      </c>
      <c r="AL30" s="169">
        <f>IFERROR(IF('Gantt Proyectos'!AJ98&gt;0,SUMIFS('Listas y Parametros'!$C$45:$L$45,'Listas y Parametros'!$C$35:$L$35,'Costo Directo Proyectos'!$AD30)*$AG30,0)+IF('Gantt Proyectos'!AJ98=2,$T30,0)/$W30,0)*$L30</f>
        <v>0</v>
      </c>
      <c r="AM30" s="169">
        <f>IFERROR(IF('Gantt Proyectos'!AK98&gt;0,SUMIFS('Listas y Parametros'!$C$45:$L$45,'Listas y Parametros'!$C$35:$L$35,'Costo Directo Proyectos'!$AD30)*$AG30,0)+IF('Gantt Proyectos'!AK98=2,$T30,0)/$W30,0)*$L30</f>
        <v>0</v>
      </c>
      <c r="AN30" s="169">
        <f>IFERROR(IF('Gantt Proyectos'!AL98&gt;0,SUMIFS('Listas y Parametros'!$C$45:$L$45,'Listas y Parametros'!$C$35:$L$35,'Costo Directo Proyectos'!$AD30)*$AG30,0)+IF('Gantt Proyectos'!AL98=2,$T30,0)/$W30,0)*$L30</f>
        <v>0</v>
      </c>
      <c r="AO30" s="169">
        <f>IFERROR(IF('Gantt Proyectos'!AM98&gt;0,SUMIFS('Listas y Parametros'!$C$45:$L$45,'Listas y Parametros'!$C$35:$L$35,'Costo Directo Proyectos'!$AD30)*$AG30,0)+IF('Gantt Proyectos'!AM98=2,$T30,0)/$W30,0)*$L30</f>
        <v>0</v>
      </c>
      <c r="AP30" s="170">
        <f>IFERROR(IF('Gantt Proyectos'!AN98&gt;0,SUMIFS('Listas y Parametros'!$C$45:$L$45,'Listas y Parametros'!$C$35:$L$35,'Costo Directo Proyectos'!$AD30)*$AG30,0)+IF('Gantt Proyectos'!AN98=2,$T30,0)/$W30,0)*$L30</f>
        <v>0</v>
      </c>
    </row>
    <row r="31" spans="2:42" ht="15" x14ac:dyDescent="0.2">
      <c r="C31" s="117">
        <f>+'Gantt Proyectos'!C99</f>
        <v>3</v>
      </c>
      <c r="D31" s="140" t="str">
        <f>+'Gantt Proyectos'!D99</f>
        <v>Resolution: MinePlan Review (Scoping)</v>
      </c>
      <c r="E31" s="118" t="str">
        <f>+'Gantt Proyectos'!E99</f>
        <v>BHP</v>
      </c>
      <c r="F31" s="146" t="str">
        <f>+'Gantt Proyectos'!F99</f>
        <v>Chile</v>
      </c>
      <c r="G31" s="118" t="str">
        <f>+'Gantt Proyectos'!G99</f>
        <v>Chile</v>
      </c>
      <c r="H31" s="118">
        <f>+'Gantt Proyectos'!H99</f>
        <v>0</v>
      </c>
      <c r="I31" s="189">
        <v>1</v>
      </c>
      <c r="J31" s="189">
        <f t="shared" si="12"/>
        <v>0</v>
      </c>
      <c r="K31" s="118" t="str">
        <f>+'Gantt Proyectos'!I99</f>
        <v>Subterránea</v>
      </c>
      <c r="L31" s="120">
        <f>+'Gantt Proyectos'!J99</f>
        <v>1</v>
      </c>
      <c r="M31" s="118" t="str">
        <f>+'Gantt Proyectos'!K99</f>
        <v>CA</v>
      </c>
      <c r="N31" s="118">
        <f>+'Gantt Proyectos'!L99</f>
        <v>254012</v>
      </c>
      <c r="O31" s="118">
        <f>+'Gantt Proyectos'!M99</f>
        <v>0</v>
      </c>
      <c r="P31" s="118">
        <f>+'Gantt Proyectos'!N99</f>
        <v>1</v>
      </c>
      <c r="Q31" s="119">
        <f>+'Gantt Proyectos'!O99</f>
        <v>45635</v>
      </c>
      <c r="R31" s="119">
        <f>+'Gantt Proyectos'!P99</f>
        <v>45754</v>
      </c>
      <c r="S31" s="118" t="str">
        <f>+'Gantt Proyectos'!R99</f>
        <v>No</v>
      </c>
      <c r="T31" s="118">
        <f>+'Gantt Proyectos'!S99</f>
        <v>0</v>
      </c>
      <c r="U31" s="156">
        <f>+'Gantt Proyectos'!T99</f>
        <v>45635</v>
      </c>
      <c r="V31" s="156">
        <f>+'Gantt Proyectos'!U99</f>
        <v>45754</v>
      </c>
      <c r="W31" s="201">
        <f t="shared" si="13"/>
        <v>4</v>
      </c>
      <c r="X31" s="121">
        <f>+'Gantt Proyectos'!W99</f>
        <v>1.4474272930648768</v>
      </c>
      <c r="Y31" s="122">
        <f>+'Gantt Proyectos'!X99</f>
        <v>0.33</v>
      </c>
      <c r="Z31" s="122">
        <f>+'Gantt Proyectos'!Y99</f>
        <v>0.5</v>
      </c>
      <c r="AA31" s="122">
        <f>+'Gantt Proyectos'!Z99</f>
        <v>0.33</v>
      </c>
      <c r="AB31" s="122">
        <f>+'Gantt Proyectos'!AA99</f>
        <v>1</v>
      </c>
      <c r="AC31" s="122">
        <f>+'Gantt Proyectos'!AB99</f>
        <v>1</v>
      </c>
      <c r="AD31" s="152" t="str">
        <f>+'Gantt Proyectos'!AC99</f>
        <v>Scoping</v>
      </c>
      <c r="AE31" s="123" t="str">
        <f>+'Gantt Proyectos'!AD99</f>
        <v>Actual</v>
      </c>
      <c r="AF31" s="124" t="str">
        <f>+'Gantt Proyectos'!AE99</f>
        <v>7. Finalizado</v>
      </c>
      <c r="AG31" s="172">
        <v>1</v>
      </c>
      <c r="AH31" s="168">
        <f>IFERROR(IF('Gantt Proyectos'!AF99&gt;0,SUMIFS('Listas y Parametros'!$C$45:$L$45,'Listas y Parametros'!$C$35:$L$35,'Costo Directo Proyectos'!$AD31)*$AG31,0)+IF('Gantt Proyectos'!AF99=2,$T31,0)/$W31,0)*$L31</f>
        <v>22950.644528513381</v>
      </c>
      <c r="AI31" s="169">
        <f>IFERROR(IF('Gantt Proyectos'!AG99&gt;0,SUMIFS('Listas y Parametros'!$C$45:$L$45,'Listas y Parametros'!$C$35:$L$35,'Costo Directo Proyectos'!$AD31)*$AG31,0)+IF('Gantt Proyectos'!AG99=2,$T31,0)/$W31,0)*$L31</f>
        <v>0</v>
      </c>
      <c r="AJ31" s="169">
        <f>IFERROR(IF('Gantt Proyectos'!AH99&gt;0,SUMIFS('Listas y Parametros'!$C$45:$L$45,'Listas y Parametros'!$C$35:$L$35,'Costo Directo Proyectos'!$AD31)*$AG31,0)+IF('Gantt Proyectos'!AH99=2,$T31,0)/$W31,0)*$L31</f>
        <v>0</v>
      </c>
      <c r="AK31" s="169">
        <f>IFERROR(IF('Gantt Proyectos'!AI99&gt;0,SUMIFS('Listas y Parametros'!$C$45:$L$45,'Listas y Parametros'!$C$35:$L$35,'Costo Directo Proyectos'!$AD31)*$AG31,0)+IF('Gantt Proyectos'!AI99=2,$T31,0)/$W31,0)*$L31</f>
        <v>0</v>
      </c>
      <c r="AL31" s="169">
        <f>IFERROR(IF('Gantt Proyectos'!AJ99&gt;0,SUMIFS('Listas y Parametros'!$C$45:$L$45,'Listas y Parametros'!$C$35:$L$35,'Costo Directo Proyectos'!$AD31)*$AG31,0)+IF('Gantt Proyectos'!AJ99=2,$T31,0)/$W31,0)*$L31</f>
        <v>0</v>
      </c>
      <c r="AM31" s="169">
        <f>IFERROR(IF('Gantt Proyectos'!AK99&gt;0,SUMIFS('Listas y Parametros'!$C$45:$L$45,'Listas y Parametros'!$C$35:$L$35,'Costo Directo Proyectos'!$AD31)*$AG31,0)+IF('Gantt Proyectos'!AK99=2,$T31,0)/$W31,0)*$L31</f>
        <v>0</v>
      </c>
      <c r="AN31" s="169">
        <f>IFERROR(IF('Gantt Proyectos'!AL99&gt;0,SUMIFS('Listas y Parametros'!$C$45:$L$45,'Listas y Parametros'!$C$35:$L$35,'Costo Directo Proyectos'!$AD31)*$AG31,0)+IF('Gantt Proyectos'!AL99=2,$T31,0)/$W31,0)*$L31</f>
        <v>0</v>
      </c>
      <c r="AO31" s="169">
        <f>IFERROR(IF('Gantt Proyectos'!AM99&gt;0,SUMIFS('Listas y Parametros'!$C$45:$L$45,'Listas y Parametros'!$C$35:$L$35,'Costo Directo Proyectos'!$AD31)*$AG31,0)+IF('Gantt Proyectos'!AM99=2,$T31,0)/$W31,0)*$L31</f>
        <v>0</v>
      </c>
      <c r="AP31" s="170">
        <f>IFERROR(IF('Gantt Proyectos'!AN99&gt;0,SUMIFS('Listas y Parametros'!$C$45:$L$45,'Listas y Parametros'!$C$35:$L$35,'Costo Directo Proyectos'!$AD31)*$AG31,0)+IF('Gantt Proyectos'!AN99=2,$T31,0)/$W31,0)*$L31</f>
        <v>0</v>
      </c>
    </row>
    <row r="32" spans="2:42" ht="15" x14ac:dyDescent="0.2">
      <c r="C32" s="117">
        <f>+'Gantt Proyectos'!C100</f>
        <v>4</v>
      </c>
      <c r="D32" s="140" t="str">
        <f>+'Gantt Proyectos'!D100</f>
        <v>Twin Metals: Analisis integrado con Northmet</v>
      </c>
      <c r="E32" s="118" t="str">
        <f>+'Gantt Proyectos'!E100</f>
        <v>Twin Metals</v>
      </c>
      <c r="F32" s="146" t="str">
        <f>+'Gantt Proyectos'!F100</f>
        <v>Chile</v>
      </c>
      <c r="G32" s="118" t="str">
        <f>+'Gantt Proyectos'!G100</f>
        <v>Chile</v>
      </c>
      <c r="H32" s="118" t="str">
        <f>+'Gantt Proyectos'!H100</f>
        <v>Perú</v>
      </c>
      <c r="I32" s="189">
        <v>0.5</v>
      </c>
      <c r="J32" s="189">
        <f t="shared" si="12"/>
        <v>0.5</v>
      </c>
      <c r="K32" s="118" t="str">
        <f>+'Gantt Proyectos'!I100</f>
        <v>Open Pit</v>
      </c>
      <c r="L32" s="120">
        <f>+'Gantt Proyectos'!J100</f>
        <v>1</v>
      </c>
      <c r="M32" s="118" t="str">
        <f>+'Gantt Proyectos'!K100</f>
        <v>CA</v>
      </c>
      <c r="N32" s="118">
        <f>+'Gantt Proyectos'!L100</f>
        <v>132000</v>
      </c>
      <c r="O32" s="118">
        <f>+'Gantt Proyectos'!M100</f>
        <v>0</v>
      </c>
      <c r="P32" s="118">
        <f>+'Gantt Proyectos'!N100</f>
        <v>1</v>
      </c>
      <c r="Q32" s="119">
        <f>+'Gantt Proyectos'!O100</f>
        <v>45719</v>
      </c>
      <c r="R32" s="119">
        <f>+'Gantt Proyectos'!P100</f>
        <v>45803</v>
      </c>
      <c r="S32" s="118" t="str">
        <f>+'Gantt Proyectos'!R100</f>
        <v>No</v>
      </c>
      <c r="T32" s="118">
        <f>+'Gantt Proyectos'!S100</f>
        <v>0</v>
      </c>
      <c r="U32" s="156">
        <f>+'Gantt Proyectos'!T100</f>
        <v>45719</v>
      </c>
      <c r="V32" s="156">
        <f>+'Gantt Proyectos'!U100</f>
        <v>45803</v>
      </c>
      <c r="W32" s="201">
        <f t="shared" si="13"/>
        <v>3</v>
      </c>
      <c r="X32" s="121">
        <f>+'Gantt Proyectos'!W100</f>
        <v>0.72035794183445179</v>
      </c>
      <c r="Y32" s="122">
        <f>+'Gantt Proyectos'!X100</f>
        <v>0.25</v>
      </c>
      <c r="Z32" s="122">
        <f>+'Gantt Proyectos'!Y100</f>
        <v>0.33</v>
      </c>
      <c r="AA32" s="122">
        <f>+'Gantt Proyectos'!Z100</f>
        <v>0</v>
      </c>
      <c r="AB32" s="122">
        <f>+'Gantt Proyectos'!AA100</f>
        <v>0.5</v>
      </c>
      <c r="AC32" s="122">
        <f>+'Gantt Proyectos'!AB100</f>
        <v>0.5</v>
      </c>
      <c r="AD32" s="152" t="str">
        <f>+'Gantt Proyectos'!AC100</f>
        <v>Estudio Conceptual / LOM</v>
      </c>
      <c r="AE32" s="123" t="str">
        <f>+'Gantt Proyectos'!AD100</f>
        <v>Actual</v>
      </c>
      <c r="AF32" s="124" t="str">
        <f>+'Gantt Proyectos'!AE100</f>
        <v>7. Finalizado</v>
      </c>
      <c r="AG32" s="172">
        <v>1</v>
      </c>
      <c r="AH32" s="168">
        <f>IFERROR(IF('Gantt Proyectos'!AF100&gt;0,SUMIFS('Listas y Parametros'!$C$45:$L$45,'Listas y Parametros'!$C$35:$L$35,'Costo Directo Proyectos'!$AD32)*$AG32,0)+IF('Gantt Proyectos'!AF100=2,$T32,0)/$W32,0)*$L32</f>
        <v>11999.746041754239</v>
      </c>
      <c r="AI32" s="169">
        <f>IFERROR(IF('Gantt Proyectos'!AG100&gt;0,SUMIFS('Listas y Parametros'!$C$45:$L$45,'Listas y Parametros'!$C$35:$L$35,'Costo Directo Proyectos'!$AD32)*$AG32,0)+IF('Gantt Proyectos'!AG100=2,$T32,0)/$W32,0)*$L32</f>
        <v>11999.746041754239</v>
      </c>
      <c r="AJ32" s="169">
        <f>IFERROR(IF('Gantt Proyectos'!AH100&gt;0,SUMIFS('Listas y Parametros'!$C$45:$L$45,'Listas y Parametros'!$C$35:$L$35,'Costo Directo Proyectos'!$AD32)*$AG32,0)+IF('Gantt Proyectos'!AH100=2,$T32,0)/$W32,0)*$L32</f>
        <v>0</v>
      </c>
      <c r="AK32" s="169">
        <f>IFERROR(IF('Gantt Proyectos'!AI100&gt;0,SUMIFS('Listas y Parametros'!$C$45:$L$45,'Listas y Parametros'!$C$35:$L$35,'Costo Directo Proyectos'!$AD32)*$AG32,0)+IF('Gantt Proyectos'!AI100=2,$T32,0)/$W32,0)*$L32</f>
        <v>0</v>
      </c>
      <c r="AL32" s="169">
        <f>IFERROR(IF('Gantt Proyectos'!AJ100&gt;0,SUMIFS('Listas y Parametros'!$C$45:$L$45,'Listas y Parametros'!$C$35:$L$35,'Costo Directo Proyectos'!$AD32)*$AG32,0)+IF('Gantt Proyectos'!AJ100=2,$T32,0)/$W32,0)*$L32</f>
        <v>0</v>
      </c>
      <c r="AM32" s="169">
        <f>IFERROR(IF('Gantt Proyectos'!AK100&gt;0,SUMIFS('Listas y Parametros'!$C$45:$L$45,'Listas y Parametros'!$C$35:$L$35,'Costo Directo Proyectos'!$AD32)*$AG32,0)+IF('Gantt Proyectos'!AK100=2,$T32,0)/$W32,0)*$L32</f>
        <v>0</v>
      </c>
      <c r="AN32" s="169">
        <f>IFERROR(IF('Gantt Proyectos'!AL100&gt;0,SUMIFS('Listas y Parametros'!$C$45:$L$45,'Listas y Parametros'!$C$35:$L$35,'Costo Directo Proyectos'!$AD32)*$AG32,0)+IF('Gantt Proyectos'!AL100=2,$T32,0)/$W32,0)*$L32</f>
        <v>0</v>
      </c>
      <c r="AO32" s="169">
        <f>IFERROR(IF('Gantt Proyectos'!AM100&gt;0,SUMIFS('Listas y Parametros'!$C$45:$L$45,'Listas y Parametros'!$C$35:$L$35,'Costo Directo Proyectos'!$AD32)*$AG32,0)+IF('Gantt Proyectos'!AM100=2,$T32,0)/$W32,0)*$L32</f>
        <v>0</v>
      </c>
      <c r="AP32" s="170">
        <f>IFERROR(IF('Gantt Proyectos'!AN100&gt;0,SUMIFS('Listas y Parametros'!$C$45:$L$45,'Listas y Parametros'!$C$35:$L$35,'Costo Directo Proyectos'!$AD32)*$AG32,0)+IF('Gantt Proyectos'!AN100=2,$T32,0)/$W32,0)*$L32</f>
        <v>0</v>
      </c>
    </row>
    <row r="33" spans="3:42" ht="15" x14ac:dyDescent="0.2">
      <c r="C33" s="117">
        <f>+'Gantt Proyectos'!C101</f>
        <v>5</v>
      </c>
      <c r="D33" s="140" t="str">
        <f>+'Gantt Proyectos'!D101</f>
        <v>FEL3 CNN</v>
      </c>
      <c r="E33" s="118" t="str">
        <f>+'Gantt Proyectos'!E101</f>
        <v>CMP</v>
      </c>
      <c r="F33" s="146" t="str">
        <f>+'Gantt Proyectos'!F101</f>
        <v>Chile</v>
      </c>
      <c r="G33" s="118" t="str">
        <f>+'Gantt Proyectos'!G101</f>
        <v>Chile</v>
      </c>
      <c r="H33" s="118">
        <f>+'Gantt Proyectos'!H101</f>
        <v>0</v>
      </c>
      <c r="I33" s="189">
        <v>1</v>
      </c>
      <c r="J33" s="189">
        <f t="shared" si="12"/>
        <v>0</v>
      </c>
      <c r="K33" s="118" t="str">
        <f>+'Gantt Proyectos'!I101</f>
        <v>Open Pit</v>
      </c>
      <c r="L33" s="120">
        <f>+'Gantt Proyectos'!J101</f>
        <v>1</v>
      </c>
      <c r="M33" s="118" t="str">
        <f>+'Gantt Proyectos'!K101</f>
        <v>FR</v>
      </c>
      <c r="N33" s="118">
        <f>+'Gantt Proyectos'!L101</f>
        <v>121038.49</v>
      </c>
      <c r="O33" s="118">
        <f>+'Gantt Proyectos'!M101</f>
        <v>0</v>
      </c>
      <c r="P33" s="118">
        <f>+'Gantt Proyectos'!N101</f>
        <v>1</v>
      </c>
      <c r="Q33" s="119">
        <f>+'Gantt Proyectos'!O101</f>
        <v>45579</v>
      </c>
      <c r="R33" s="119">
        <f>+'Gantt Proyectos'!P101</f>
        <v>45754</v>
      </c>
      <c r="S33" s="118" t="str">
        <f>+'Gantt Proyectos'!R101</f>
        <v>No</v>
      </c>
      <c r="T33" s="118">
        <f>+'Gantt Proyectos'!S101</f>
        <v>0</v>
      </c>
      <c r="U33" s="156">
        <f>+'Gantt Proyectos'!T101</f>
        <v>45579</v>
      </c>
      <c r="V33" s="156">
        <f>+'Gantt Proyectos'!U101</f>
        <v>45754</v>
      </c>
      <c r="W33" s="201">
        <f t="shared" si="13"/>
        <v>6</v>
      </c>
      <c r="X33" s="121">
        <f>+'Gantt Proyectos'!W101</f>
        <v>2.1588366890380311</v>
      </c>
      <c r="Y33" s="122">
        <f>+'Gantt Proyectos'!X101</f>
        <v>0.5</v>
      </c>
      <c r="Z33" s="122">
        <f>+'Gantt Proyectos'!Y101</f>
        <v>0.5</v>
      </c>
      <c r="AA33" s="122">
        <f>+'Gantt Proyectos'!Z101</f>
        <v>0.75</v>
      </c>
      <c r="AB33" s="122">
        <f>+'Gantt Proyectos'!AA101</f>
        <v>2</v>
      </c>
      <c r="AC33" s="122">
        <f>+'Gantt Proyectos'!AB101</f>
        <v>1</v>
      </c>
      <c r="AD33" s="152" t="str">
        <f>+'Gantt Proyectos'!AC101</f>
        <v>PFS</v>
      </c>
      <c r="AE33" s="123" t="str">
        <f>+'Gantt Proyectos'!AD101</f>
        <v>Actual</v>
      </c>
      <c r="AF33" s="124" t="str">
        <f>+'Gantt Proyectos'!AE101</f>
        <v>6. Cierre: +90%</v>
      </c>
      <c r="AG33" s="172">
        <v>1</v>
      </c>
      <c r="AH33" s="168">
        <f>IFERROR(IF('Gantt Proyectos'!AF101&gt;0,SUMIFS('Listas y Parametros'!$C$45:$L$45,'Listas y Parametros'!$C$35:$L$35,'Costo Directo Proyectos'!$AD33)*$AG33,0)+IF('Gantt Proyectos'!AF101=2,$T33,0)/$W33,0)*$L33</f>
        <v>35650.48339638504</v>
      </c>
      <c r="AI33" s="169">
        <f>IFERROR(IF('Gantt Proyectos'!AG101&gt;0,SUMIFS('Listas y Parametros'!$C$45:$L$45,'Listas y Parametros'!$C$35:$L$35,'Costo Directo Proyectos'!$AD33)*$AG33,0)+IF('Gantt Proyectos'!AG101=2,$T33,0)/$W33,0)*$L33</f>
        <v>0</v>
      </c>
      <c r="AJ33" s="169">
        <f>IFERROR(IF('Gantt Proyectos'!AH101&gt;0,SUMIFS('Listas y Parametros'!$C$45:$L$45,'Listas y Parametros'!$C$35:$L$35,'Costo Directo Proyectos'!$AD33)*$AG33,0)+IF('Gantt Proyectos'!AH101=2,$T33,0)/$W33,0)*$L33</f>
        <v>0</v>
      </c>
      <c r="AK33" s="169">
        <f>IFERROR(IF('Gantt Proyectos'!AI101&gt;0,SUMIFS('Listas y Parametros'!$C$45:$L$45,'Listas y Parametros'!$C$35:$L$35,'Costo Directo Proyectos'!$AD33)*$AG33,0)+IF('Gantt Proyectos'!AI101=2,$T33,0)/$W33,0)*$L33</f>
        <v>0</v>
      </c>
      <c r="AL33" s="169">
        <f>IFERROR(IF('Gantt Proyectos'!AJ101&gt;0,SUMIFS('Listas y Parametros'!$C$45:$L$45,'Listas y Parametros'!$C$35:$L$35,'Costo Directo Proyectos'!$AD33)*$AG33,0)+IF('Gantt Proyectos'!AJ101=2,$T33,0)/$W33,0)*$L33</f>
        <v>0</v>
      </c>
      <c r="AM33" s="169">
        <f>IFERROR(IF('Gantt Proyectos'!AK101&gt;0,SUMIFS('Listas y Parametros'!$C$45:$L$45,'Listas y Parametros'!$C$35:$L$35,'Costo Directo Proyectos'!$AD33)*$AG33,0)+IF('Gantt Proyectos'!AK101=2,$T33,0)/$W33,0)*$L33</f>
        <v>0</v>
      </c>
      <c r="AN33" s="169">
        <f>IFERROR(IF('Gantt Proyectos'!AL101&gt;0,SUMIFS('Listas y Parametros'!$C$45:$L$45,'Listas y Parametros'!$C$35:$L$35,'Costo Directo Proyectos'!$AD33)*$AG33,0)+IF('Gantt Proyectos'!AL101=2,$T33,0)/$W33,0)*$L33</f>
        <v>0</v>
      </c>
      <c r="AO33" s="169">
        <f>IFERROR(IF('Gantt Proyectos'!AM101&gt;0,SUMIFS('Listas y Parametros'!$C$45:$L$45,'Listas y Parametros'!$C$35:$L$35,'Costo Directo Proyectos'!$AD33)*$AG33,0)+IF('Gantt Proyectos'!AM101=2,$T33,0)/$W33,0)*$L33</f>
        <v>0</v>
      </c>
      <c r="AP33" s="170">
        <f>IFERROR(IF('Gantt Proyectos'!AN101&gt;0,SUMIFS('Listas y Parametros'!$C$45:$L$45,'Listas y Parametros'!$C$35:$L$35,'Costo Directo Proyectos'!$AD33)*$AG33,0)+IF('Gantt Proyectos'!AN101=2,$T33,0)/$W33,0)*$L33</f>
        <v>0</v>
      </c>
    </row>
    <row r="34" spans="3:42" ht="15" x14ac:dyDescent="0.2">
      <c r="C34" s="117">
        <f>+'Gantt Proyectos'!C102</f>
        <v>6</v>
      </c>
      <c r="D34" s="140" t="str">
        <f>+'Gantt Proyectos'!D102</f>
        <v>Estudio de Factibilidad Mina Romeral UG - Acceso Mina SLS</v>
      </c>
      <c r="E34" s="118" t="str">
        <f>+'Gantt Proyectos'!E102</f>
        <v>CMP</v>
      </c>
      <c r="F34" s="146" t="str">
        <f>+'Gantt Proyectos'!F102</f>
        <v>Chile</v>
      </c>
      <c r="G34" s="118" t="str">
        <f>+'Gantt Proyectos'!G102</f>
        <v>Chile</v>
      </c>
      <c r="H34" s="118">
        <f>+'Gantt Proyectos'!H102</f>
        <v>0</v>
      </c>
      <c r="I34" s="189">
        <v>1</v>
      </c>
      <c r="J34" s="189">
        <f t="shared" si="12"/>
        <v>0</v>
      </c>
      <c r="K34" s="118" t="str">
        <f>+'Gantt Proyectos'!I102</f>
        <v>Subterránea</v>
      </c>
      <c r="L34" s="120">
        <f>+'Gantt Proyectos'!J102</f>
        <v>1</v>
      </c>
      <c r="M34" s="118" t="str">
        <f>+'Gantt Proyectos'!K102</f>
        <v>RM</v>
      </c>
      <c r="N34" s="118">
        <f>+'Gantt Proyectos'!L102</f>
        <v>900007.88</v>
      </c>
      <c r="O34" s="118">
        <f>+'Gantt Proyectos'!M102</f>
        <v>530757</v>
      </c>
      <c r="P34" s="118">
        <f>+'Gantt Proyectos'!N102</f>
        <v>1</v>
      </c>
      <c r="Q34" s="119">
        <f>+'Gantt Proyectos'!O102</f>
        <v>45446</v>
      </c>
      <c r="R34" s="119">
        <f>+'Gantt Proyectos'!P102</f>
        <v>45754</v>
      </c>
      <c r="S34" s="118" t="str">
        <f>+'Gantt Proyectos'!R102</f>
        <v>No</v>
      </c>
      <c r="T34" s="118">
        <f>+'Gantt Proyectos'!S102</f>
        <v>0</v>
      </c>
      <c r="U34" s="156">
        <f>+'Gantt Proyectos'!T102</f>
        <v>45446</v>
      </c>
      <c r="V34" s="156">
        <f>+'Gantt Proyectos'!U102</f>
        <v>45754</v>
      </c>
      <c r="W34" s="201">
        <f t="shared" si="13"/>
        <v>11</v>
      </c>
      <c r="X34" s="121">
        <f>+'Gantt Proyectos'!W102</f>
        <v>2.5503355704697985</v>
      </c>
      <c r="Y34" s="122">
        <f>+'Gantt Proyectos'!X102</f>
        <v>0.5</v>
      </c>
      <c r="Z34" s="122">
        <f>+'Gantt Proyectos'!Y102</f>
        <v>0.67</v>
      </c>
      <c r="AA34" s="122">
        <f>+'Gantt Proyectos'!Z102</f>
        <v>1</v>
      </c>
      <c r="AB34" s="122">
        <f>+'Gantt Proyectos'!AA102</f>
        <v>2.5</v>
      </c>
      <c r="AC34" s="122">
        <f>+'Gantt Proyectos'!AB102</f>
        <v>1</v>
      </c>
      <c r="AD34" s="152" t="str">
        <f>+'Gantt Proyectos'!AC102</f>
        <v>FS e Ing. Basica</v>
      </c>
      <c r="AE34" s="123" t="str">
        <f>+'Gantt Proyectos'!AD102</f>
        <v>Actual</v>
      </c>
      <c r="AF34" s="124" t="str">
        <f>+'Gantt Proyectos'!AE102</f>
        <v>6. Cierre: +90%</v>
      </c>
      <c r="AG34" s="172">
        <v>1</v>
      </c>
      <c r="AH34" s="168">
        <f>IFERROR(IF('Gantt Proyectos'!AF102&gt;0,SUMIFS('Listas y Parametros'!$C$45:$L$45,'Listas y Parametros'!$C$35:$L$35,'Costo Directo Proyectos'!$AD34)*$AG34,0)+IF('Gantt Proyectos'!AF102=2,$T34,0)/$W34,0)*$L34</f>
        <v>42832.247442903179</v>
      </c>
      <c r="AI34" s="169">
        <f>IFERROR(IF('Gantt Proyectos'!AG102&gt;0,SUMIFS('Listas y Parametros'!$C$45:$L$45,'Listas y Parametros'!$C$35:$L$35,'Costo Directo Proyectos'!$AD34)*$AG34,0)+IF('Gantt Proyectos'!AG102=2,$T34,0)/$W34,0)*$L34</f>
        <v>0</v>
      </c>
      <c r="AJ34" s="169">
        <f>IFERROR(IF('Gantt Proyectos'!AH102&gt;0,SUMIFS('Listas y Parametros'!$C$45:$L$45,'Listas y Parametros'!$C$35:$L$35,'Costo Directo Proyectos'!$AD34)*$AG34,0)+IF('Gantt Proyectos'!AH102=2,$T34,0)/$W34,0)*$L34</f>
        <v>0</v>
      </c>
      <c r="AK34" s="169">
        <f>IFERROR(IF('Gantt Proyectos'!AI102&gt;0,SUMIFS('Listas y Parametros'!$C$45:$L$45,'Listas y Parametros'!$C$35:$L$35,'Costo Directo Proyectos'!$AD34)*$AG34,0)+IF('Gantt Proyectos'!AI102=2,$T34,0)/$W34,0)*$L34</f>
        <v>0</v>
      </c>
      <c r="AL34" s="169">
        <f>IFERROR(IF('Gantt Proyectos'!AJ102&gt;0,SUMIFS('Listas y Parametros'!$C$45:$L$45,'Listas y Parametros'!$C$35:$L$35,'Costo Directo Proyectos'!$AD34)*$AG34,0)+IF('Gantt Proyectos'!AJ102=2,$T34,0)/$W34,0)*$L34</f>
        <v>0</v>
      </c>
      <c r="AM34" s="169">
        <f>IFERROR(IF('Gantt Proyectos'!AK102&gt;0,SUMIFS('Listas y Parametros'!$C$45:$L$45,'Listas y Parametros'!$C$35:$L$35,'Costo Directo Proyectos'!$AD34)*$AG34,0)+IF('Gantt Proyectos'!AK102=2,$T34,0)/$W34,0)*$L34</f>
        <v>0</v>
      </c>
      <c r="AN34" s="169">
        <f>IFERROR(IF('Gantt Proyectos'!AL102&gt;0,SUMIFS('Listas y Parametros'!$C$45:$L$45,'Listas y Parametros'!$C$35:$L$35,'Costo Directo Proyectos'!$AD34)*$AG34,0)+IF('Gantt Proyectos'!AL102=2,$T34,0)/$W34,0)*$L34</f>
        <v>0</v>
      </c>
      <c r="AO34" s="169">
        <f>IFERROR(IF('Gantt Proyectos'!AM102&gt;0,SUMIFS('Listas y Parametros'!$C$45:$L$45,'Listas y Parametros'!$C$35:$L$35,'Costo Directo Proyectos'!$AD34)*$AG34,0)+IF('Gantt Proyectos'!AM102=2,$T34,0)/$W34,0)*$L34</f>
        <v>0</v>
      </c>
      <c r="AP34" s="170">
        <f>IFERROR(IF('Gantt Proyectos'!AN102&gt;0,SUMIFS('Listas y Parametros'!$C$45:$L$45,'Listas y Parametros'!$C$35:$L$35,'Costo Directo Proyectos'!$AD34)*$AG34,0)+IF('Gantt Proyectos'!AN102=2,$T34,0)/$W34,0)*$L34</f>
        <v>0</v>
      </c>
    </row>
    <row r="35" spans="3:42" ht="15" x14ac:dyDescent="0.2">
      <c r="C35" s="117">
        <f>+'Gantt Proyectos'!C103</f>
        <v>7</v>
      </c>
      <c r="D35" s="140" t="str">
        <f>+'Gantt Proyectos'!D103</f>
        <v>Cobre Panamá: Evaluación estratégica del activo</v>
      </c>
      <c r="E35" s="118" t="str">
        <f>+'Gantt Proyectos'!E103</f>
        <v>Debevoise&amp;Plimpton</v>
      </c>
      <c r="F35" s="146" t="str">
        <f>+'Gantt Proyectos'!F103</f>
        <v>Chile</v>
      </c>
      <c r="G35" s="118" t="str">
        <f>+'Gantt Proyectos'!G103</f>
        <v>Chile</v>
      </c>
      <c r="H35" s="118" t="str">
        <f>+'Gantt Proyectos'!H103</f>
        <v>Perú</v>
      </c>
      <c r="I35" s="189">
        <v>0.5</v>
      </c>
      <c r="J35" s="189">
        <f t="shared" si="12"/>
        <v>0.5</v>
      </c>
      <c r="K35" s="118" t="str">
        <f>+'Gantt Proyectos'!I103</f>
        <v>Open Pit</v>
      </c>
      <c r="L35" s="120">
        <f>+'Gantt Proyectos'!J103</f>
        <v>1</v>
      </c>
      <c r="M35" s="118" t="str">
        <f>+'Gantt Proyectos'!K103</f>
        <v>GD</v>
      </c>
      <c r="N35" s="118">
        <f>+'Gantt Proyectos'!L103</f>
        <v>272200.59999999998</v>
      </c>
      <c r="O35" s="118">
        <f>+'Gantt Proyectos'!M103</f>
        <v>2841972.1688888888</v>
      </c>
      <c r="P35" s="118">
        <f>+'Gantt Proyectos'!N103</f>
        <v>2</v>
      </c>
      <c r="Q35" s="119">
        <f>+'Gantt Proyectos'!O103</f>
        <v>45663</v>
      </c>
      <c r="R35" s="119">
        <f>+'Gantt Proyectos'!P103</f>
        <v>45754</v>
      </c>
      <c r="S35" s="118" t="str">
        <f>+'Gantt Proyectos'!R103</f>
        <v>No</v>
      </c>
      <c r="T35" s="118">
        <f>+'Gantt Proyectos'!S103</f>
        <v>0</v>
      </c>
      <c r="U35" s="156">
        <f>+'Gantt Proyectos'!T103</f>
        <v>45663</v>
      </c>
      <c r="V35" s="156">
        <f>+'Gantt Proyectos'!U103</f>
        <v>45754</v>
      </c>
      <c r="W35" s="201">
        <f t="shared" si="13"/>
        <v>3</v>
      </c>
      <c r="X35" s="121">
        <f>+'Gantt Proyectos'!W103</f>
        <v>0.72035794183445179</v>
      </c>
      <c r="Y35" s="122">
        <f>+'Gantt Proyectos'!X103</f>
        <v>0.25</v>
      </c>
      <c r="Z35" s="122">
        <f>+'Gantt Proyectos'!Y103</f>
        <v>0.33</v>
      </c>
      <c r="AA35" s="122">
        <f>+'Gantt Proyectos'!Z103</f>
        <v>0</v>
      </c>
      <c r="AB35" s="122">
        <f>+'Gantt Proyectos'!AA103</f>
        <v>0.5</v>
      </c>
      <c r="AC35" s="122">
        <f>+'Gantt Proyectos'!AB103</f>
        <v>0.5</v>
      </c>
      <c r="AD35" s="152" t="str">
        <f>+'Gantt Proyectos'!AC103</f>
        <v>Estudio Conceptual / LOM</v>
      </c>
      <c r="AE35" s="123" t="str">
        <f>+'Gantt Proyectos'!AD103</f>
        <v>Actual</v>
      </c>
      <c r="AF35" s="124" t="str">
        <f>+'Gantt Proyectos'!AE103</f>
        <v>6. Cierre: +90%</v>
      </c>
      <c r="AG35" s="172">
        <v>1</v>
      </c>
      <c r="AH35" s="168">
        <f>IFERROR(IF('Gantt Proyectos'!AF103&gt;0,SUMIFS('Listas y Parametros'!$C$45:$L$45,'Listas y Parametros'!$C$35:$L$35,'Costo Directo Proyectos'!$AD35)*$AG35,0)+IF('Gantt Proyectos'!AF103=2,$T35,0)/$W35,0)*$L35</f>
        <v>11999.746041754239</v>
      </c>
      <c r="AI35" s="169">
        <f>IFERROR(IF('Gantt Proyectos'!AG103&gt;0,SUMIFS('Listas y Parametros'!$C$45:$L$45,'Listas y Parametros'!$C$35:$L$35,'Costo Directo Proyectos'!$AD35)*$AG35,0)+IF('Gantt Proyectos'!AG103=2,$T35,0)/$W35,0)*$L35</f>
        <v>0</v>
      </c>
      <c r="AJ35" s="169">
        <f>IFERROR(IF('Gantt Proyectos'!AH103&gt;0,SUMIFS('Listas y Parametros'!$C$45:$L$45,'Listas y Parametros'!$C$35:$L$35,'Costo Directo Proyectos'!$AD35)*$AG35,0)+IF('Gantt Proyectos'!AH103=2,$T35,0)/$W35,0)*$L35</f>
        <v>0</v>
      </c>
      <c r="AK35" s="169">
        <f>IFERROR(IF('Gantt Proyectos'!AI103&gt;0,SUMIFS('Listas y Parametros'!$C$45:$L$45,'Listas y Parametros'!$C$35:$L$35,'Costo Directo Proyectos'!$AD35)*$AG35,0)+IF('Gantt Proyectos'!AI103=2,$T35,0)/$W35,0)*$L35</f>
        <v>0</v>
      </c>
      <c r="AL35" s="169">
        <f>IFERROR(IF('Gantt Proyectos'!AJ103&gt;0,SUMIFS('Listas y Parametros'!$C$45:$L$45,'Listas y Parametros'!$C$35:$L$35,'Costo Directo Proyectos'!$AD35)*$AG35,0)+IF('Gantt Proyectos'!AJ103=2,$T35,0)/$W35,0)*$L35</f>
        <v>0</v>
      </c>
      <c r="AM35" s="169">
        <f>IFERROR(IF('Gantt Proyectos'!AK103&gt;0,SUMIFS('Listas y Parametros'!$C$45:$L$45,'Listas y Parametros'!$C$35:$L$35,'Costo Directo Proyectos'!$AD35)*$AG35,0)+IF('Gantt Proyectos'!AK103=2,$T35,0)/$W35,0)*$L35</f>
        <v>0</v>
      </c>
      <c r="AN35" s="169">
        <f>IFERROR(IF('Gantt Proyectos'!AL103&gt;0,SUMIFS('Listas y Parametros'!$C$45:$L$45,'Listas y Parametros'!$C$35:$L$35,'Costo Directo Proyectos'!$AD35)*$AG35,0)+IF('Gantt Proyectos'!AL103=2,$T35,0)/$W35,0)*$L35</f>
        <v>0</v>
      </c>
      <c r="AO35" s="169">
        <f>IFERROR(IF('Gantt Proyectos'!AM103&gt;0,SUMIFS('Listas y Parametros'!$C$45:$L$45,'Listas y Parametros'!$C$35:$L$35,'Costo Directo Proyectos'!$AD35)*$AG35,0)+IF('Gantt Proyectos'!AM103=2,$T35,0)/$W35,0)*$L35</f>
        <v>0</v>
      </c>
      <c r="AP35" s="170">
        <f>IFERROR(IF('Gantt Proyectos'!AN103&gt;0,SUMIFS('Listas y Parametros'!$C$45:$L$45,'Listas y Parametros'!$C$35:$L$35,'Costo Directo Proyectos'!$AD35)*$AG35,0)+IF('Gantt Proyectos'!AN103=2,$T35,0)/$W35,0)*$L35</f>
        <v>0</v>
      </c>
    </row>
    <row r="36" spans="3:42" ht="15" x14ac:dyDescent="0.2">
      <c r="C36" s="117">
        <f>+'Gantt Proyectos'!C104</f>
        <v>8</v>
      </c>
      <c r="D36" s="118" t="str">
        <f>+'Gantt Proyectos'!D104</f>
        <v>Ferrobamba Scoping Study: Escenarios de sensibilidad</v>
      </c>
      <c r="E36" s="118" t="str">
        <f>+'Gantt Proyectos'!E104</f>
        <v>Las Bambas</v>
      </c>
      <c r="F36" s="146" t="str">
        <f>+'Gantt Proyectos'!F104</f>
        <v>Perú</v>
      </c>
      <c r="G36" s="118" t="str">
        <f>+'Gantt Proyectos'!G104</f>
        <v>Chile</v>
      </c>
      <c r="H36" s="118" t="str">
        <f>+'Gantt Proyectos'!H104</f>
        <v>Perú</v>
      </c>
      <c r="I36" s="189">
        <v>0.5</v>
      </c>
      <c r="J36" s="189">
        <f t="shared" si="12"/>
        <v>0.5</v>
      </c>
      <c r="K36" s="118" t="str">
        <f>+'Gantt Proyectos'!I104</f>
        <v>Subterránea</v>
      </c>
      <c r="L36" s="120">
        <f>+'Gantt Proyectos'!J104</f>
        <v>1</v>
      </c>
      <c r="M36" s="118" t="str">
        <f>+'Gantt Proyectos'!K104</f>
        <v>RM</v>
      </c>
      <c r="N36" s="118">
        <f>+'Gantt Proyectos'!L104</f>
        <v>87520</v>
      </c>
      <c r="O36" s="118">
        <f>+'Gantt Proyectos'!M104</f>
        <v>0</v>
      </c>
      <c r="P36" s="118">
        <f>+'Gantt Proyectos'!N104</f>
        <v>2</v>
      </c>
      <c r="Q36" s="119">
        <f>+'Gantt Proyectos'!O104</f>
        <v>45649</v>
      </c>
      <c r="R36" s="119">
        <f>+'Gantt Proyectos'!P104</f>
        <v>45815</v>
      </c>
      <c r="S36" s="118" t="str">
        <f>+'Gantt Proyectos'!R104</f>
        <v>No</v>
      </c>
      <c r="T36" s="118">
        <f>+'Gantt Proyectos'!S104</f>
        <v>0</v>
      </c>
      <c r="U36" s="156">
        <f>+'Gantt Proyectos'!T104</f>
        <v>45649</v>
      </c>
      <c r="V36" s="156">
        <f>+'Gantt Proyectos'!U104</f>
        <v>45815</v>
      </c>
      <c r="W36" s="201">
        <f t="shared" si="13"/>
        <v>6</v>
      </c>
      <c r="X36" s="121">
        <f>+'Gantt Proyectos'!W104</f>
        <v>0.72035794183445179</v>
      </c>
      <c r="Y36" s="122">
        <f>+'Gantt Proyectos'!X104</f>
        <v>0.25</v>
      </c>
      <c r="Z36" s="122">
        <f>+'Gantt Proyectos'!Y104</f>
        <v>0.33</v>
      </c>
      <c r="AA36" s="122">
        <f>+'Gantt Proyectos'!Z104</f>
        <v>0</v>
      </c>
      <c r="AB36" s="122">
        <f>+'Gantt Proyectos'!AA104</f>
        <v>0.5</v>
      </c>
      <c r="AC36" s="122">
        <f>+'Gantt Proyectos'!AB104</f>
        <v>0.5</v>
      </c>
      <c r="AD36" s="152" t="str">
        <f>+'Gantt Proyectos'!AC104</f>
        <v>Estudio Conceptual / LOM</v>
      </c>
      <c r="AE36" s="123" t="str">
        <f>+'Gantt Proyectos'!AD104</f>
        <v>Actual</v>
      </c>
      <c r="AF36" s="124" t="str">
        <f>+'Gantt Proyectos'!AE104</f>
        <v>5. Avance: 75%</v>
      </c>
      <c r="AG36" s="172">
        <v>1</v>
      </c>
      <c r="AH36" s="168">
        <f>IFERROR(IF('Gantt Proyectos'!AF104&gt;0,SUMIFS('Listas y Parametros'!$C$45:$L$45,'Listas y Parametros'!$C$35:$L$35,'Costo Directo Proyectos'!$AD36)*$AG36,0)+IF('Gantt Proyectos'!AF104=2,$T36,0)/$W36,0)*$L36</f>
        <v>11999.746041754239</v>
      </c>
      <c r="AI36" s="169">
        <f>IFERROR(IF('Gantt Proyectos'!AG104&gt;0,SUMIFS('Listas y Parametros'!$C$45:$L$45,'Listas y Parametros'!$C$35:$L$35,'Costo Directo Proyectos'!$AD36)*$AG36,0)+IF('Gantt Proyectos'!AG104=2,$T36,0)/$W36,0)*$L36</f>
        <v>11999.746041754239</v>
      </c>
      <c r="AJ36" s="169">
        <f>IFERROR(IF('Gantt Proyectos'!AH104&gt;0,SUMIFS('Listas y Parametros'!$C$45:$L$45,'Listas y Parametros'!$C$35:$L$35,'Costo Directo Proyectos'!$AD36)*$AG36,0)+IF('Gantt Proyectos'!AH104=2,$T36,0)/$W36,0)*$L36</f>
        <v>11999.746041754239</v>
      </c>
      <c r="AK36" s="169">
        <f>IFERROR(IF('Gantt Proyectos'!AI104&gt;0,SUMIFS('Listas y Parametros'!$C$45:$L$45,'Listas y Parametros'!$C$35:$L$35,'Costo Directo Proyectos'!$AD36)*$AG36,0)+IF('Gantt Proyectos'!AI104=2,$T36,0)/$W36,0)*$L36</f>
        <v>0</v>
      </c>
      <c r="AL36" s="169">
        <f>IFERROR(IF('Gantt Proyectos'!AJ104&gt;0,SUMIFS('Listas y Parametros'!$C$45:$L$45,'Listas y Parametros'!$C$35:$L$35,'Costo Directo Proyectos'!$AD36)*$AG36,0)+IF('Gantt Proyectos'!AJ104=2,$T36,0)/$W36,0)*$L36</f>
        <v>0</v>
      </c>
      <c r="AM36" s="169">
        <f>IFERROR(IF('Gantt Proyectos'!AK104&gt;0,SUMIFS('Listas y Parametros'!$C$45:$L$45,'Listas y Parametros'!$C$35:$L$35,'Costo Directo Proyectos'!$AD36)*$AG36,0)+IF('Gantt Proyectos'!AK104=2,$T36,0)/$W36,0)*$L36</f>
        <v>0</v>
      </c>
      <c r="AN36" s="169">
        <f>IFERROR(IF('Gantt Proyectos'!AL104&gt;0,SUMIFS('Listas y Parametros'!$C$45:$L$45,'Listas y Parametros'!$C$35:$L$35,'Costo Directo Proyectos'!$AD36)*$AG36,0)+IF('Gantt Proyectos'!AL104=2,$T36,0)/$W36,0)*$L36</f>
        <v>0</v>
      </c>
      <c r="AO36" s="169">
        <f>IFERROR(IF('Gantt Proyectos'!AM104&gt;0,SUMIFS('Listas y Parametros'!$C$45:$L$45,'Listas y Parametros'!$C$35:$L$35,'Costo Directo Proyectos'!$AD36)*$AG36,0)+IF('Gantt Proyectos'!AM104=2,$T36,0)/$W36,0)*$L36</f>
        <v>0</v>
      </c>
      <c r="AP36" s="170">
        <f>IFERROR(IF('Gantt Proyectos'!AN104&gt;0,SUMIFS('Listas y Parametros'!$C$45:$L$45,'Listas y Parametros'!$C$35:$L$35,'Costo Directo Proyectos'!$AD36)*$AG36,0)+IF('Gantt Proyectos'!AN104=2,$T36,0)/$W36,0)*$L36</f>
        <v>0</v>
      </c>
    </row>
    <row r="37" spans="3:42" ht="15" x14ac:dyDescent="0.2">
      <c r="C37" s="117">
        <f>+'Gantt Proyectos'!C105</f>
        <v>9</v>
      </c>
      <c r="D37" s="118" t="str">
        <f>+'Gantt Proyectos'!D105</f>
        <v>Pre-PFS Twin Metals Birch Lake - Maturi</v>
      </c>
      <c r="E37" s="118" t="str">
        <f>+'Gantt Proyectos'!E105</f>
        <v>Twin Metals</v>
      </c>
      <c r="F37" s="146" t="str">
        <f>+'Gantt Proyectos'!F105</f>
        <v>USA</v>
      </c>
      <c r="G37" s="118" t="str">
        <f>+'Gantt Proyectos'!G105</f>
        <v>Perú</v>
      </c>
      <c r="H37" s="118">
        <f>+'Gantt Proyectos'!H105</f>
        <v>0</v>
      </c>
      <c r="I37" s="189">
        <v>1</v>
      </c>
      <c r="J37" s="189">
        <f t="shared" si="12"/>
        <v>0</v>
      </c>
      <c r="K37" s="118" t="str">
        <f>+'Gantt Proyectos'!I105</f>
        <v>Subterránea</v>
      </c>
      <c r="L37" s="120">
        <f>+'Gantt Proyectos'!J105</f>
        <v>1</v>
      </c>
      <c r="M37" s="118" t="str">
        <f>+'Gantt Proyectos'!K105</f>
        <v>JB</v>
      </c>
      <c r="N37" s="118">
        <f>+'Gantt Proyectos'!L105</f>
        <v>481541</v>
      </c>
      <c r="O37" s="118">
        <f>+'Gantt Proyectos'!M105</f>
        <v>1108886.5899999999</v>
      </c>
      <c r="P37" s="118">
        <f>+'Gantt Proyectos'!N105</f>
        <v>1</v>
      </c>
      <c r="Q37" s="119">
        <f>+'Gantt Proyectos'!O105</f>
        <v>45600</v>
      </c>
      <c r="R37" s="119">
        <f>+'Gantt Proyectos'!P105</f>
        <v>45771</v>
      </c>
      <c r="S37" s="118" t="str">
        <f>+'Gantt Proyectos'!R105</f>
        <v>No</v>
      </c>
      <c r="T37" s="118">
        <f>+'Gantt Proyectos'!S105</f>
        <v>0</v>
      </c>
      <c r="U37" s="156">
        <f>+'Gantt Proyectos'!T105</f>
        <v>45600</v>
      </c>
      <c r="V37" s="156">
        <f>+'Gantt Proyectos'!U105</f>
        <v>45771</v>
      </c>
      <c r="W37" s="201">
        <f t="shared" si="13"/>
        <v>6</v>
      </c>
      <c r="X37" s="121">
        <f>+'Gantt Proyectos'!W105</f>
        <v>2.1588366890380311</v>
      </c>
      <c r="Y37" s="122">
        <f>+'Gantt Proyectos'!X105</f>
        <v>0.5</v>
      </c>
      <c r="Z37" s="122">
        <f>+'Gantt Proyectos'!Y105</f>
        <v>0.5</v>
      </c>
      <c r="AA37" s="122">
        <f>+'Gantt Proyectos'!Z105</f>
        <v>0.75</v>
      </c>
      <c r="AB37" s="122">
        <f>+'Gantt Proyectos'!AA105</f>
        <v>2</v>
      </c>
      <c r="AC37" s="122">
        <f>+'Gantt Proyectos'!AB105</f>
        <v>1</v>
      </c>
      <c r="AD37" s="152" t="str">
        <f>+'Gantt Proyectos'!AC105</f>
        <v>PFS</v>
      </c>
      <c r="AE37" s="123" t="str">
        <f>+'Gantt Proyectos'!AD105</f>
        <v>Actual</v>
      </c>
      <c r="AF37" s="124" t="str">
        <f>+'Gantt Proyectos'!AE105</f>
        <v>5. Avance: 75%</v>
      </c>
      <c r="AG37" s="172">
        <v>1</v>
      </c>
      <c r="AH37" s="168">
        <f>IFERROR(IF('Gantt Proyectos'!AF105&gt;0,SUMIFS('Listas y Parametros'!$C$45:$L$45,'Listas y Parametros'!$C$35:$L$35,'Costo Directo Proyectos'!$AD37)*$AG37,0)+IF('Gantt Proyectos'!AF105=2,$T37,0)/$W37,0)*$L37</f>
        <v>35650.48339638504</v>
      </c>
      <c r="AI37" s="169">
        <f>IFERROR(IF('Gantt Proyectos'!AG105&gt;0,SUMIFS('Listas y Parametros'!$C$45:$L$45,'Listas y Parametros'!$C$35:$L$35,'Costo Directo Proyectos'!$AD37)*$AG37,0)+IF('Gantt Proyectos'!AG105=2,$T37,0)/$W37,0)*$L37</f>
        <v>0</v>
      </c>
      <c r="AJ37" s="169">
        <f>IFERROR(IF('Gantt Proyectos'!AH105&gt;0,SUMIFS('Listas y Parametros'!$C$45:$L$45,'Listas y Parametros'!$C$35:$L$35,'Costo Directo Proyectos'!$AD37)*$AG37,0)+IF('Gantt Proyectos'!AH105=2,$T37,0)/$W37,0)*$L37</f>
        <v>0</v>
      </c>
      <c r="AK37" s="169">
        <f>IFERROR(IF('Gantt Proyectos'!AI105&gt;0,SUMIFS('Listas y Parametros'!$C$45:$L$45,'Listas y Parametros'!$C$35:$L$35,'Costo Directo Proyectos'!$AD37)*$AG37,0)+IF('Gantt Proyectos'!AI105=2,$T37,0)/$W37,0)*$L37</f>
        <v>0</v>
      </c>
      <c r="AL37" s="169">
        <f>IFERROR(IF('Gantt Proyectos'!AJ105&gt;0,SUMIFS('Listas y Parametros'!$C$45:$L$45,'Listas y Parametros'!$C$35:$L$35,'Costo Directo Proyectos'!$AD37)*$AG37,0)+IF('Gantt Proyectos'!AJ105=2,$T37,0)/$W37,0)*$L37</f>
        <v>0</v>
      </c>
      <c r="AM37" s="169">
        <f>IFERROR(IF('Gantt Proyectos'!AK105&gt;0,SUMIFS('Listas y Parametros'!$C$45:$L$45,'Listas y Parametros'!$C$35:$L$35,'Costo Directo Proyectos'!$AD37)*$AG37,0)+IF('Gantt Proyectos'!AK105=2,$T37,0)/$W37,0)*$L37</f>
        <v>0</v>
      </c>
      <c r="AN37" s="169">
        <f>IFERROR(IF('Gantt Proyectos'!AL105&gt;0,SUMIFS('Listas y Parametros'!$C$45:$L$45,'Listas y Parametros'!$C$35:$L$35,'Costo Directo Proyectos'!$AD37)*$AG37,0)+IF('Gantt Proyectos'!AL105=2,$T37,0)/$W37,0)*$L37</f>
        <v>0</v>
      </c>
      <c r="AO37" s="169">
        <f>IFERROR(IF('Gantt Proyectos'!AM105&gt;0,SUMIFS('Listas y Parametros'!$C$45:$L$45,'Listas y Parametros'!$C$35:$L$35,'Costo Directo Proyectos'!$AD37)*$AG37,0)+IF('Gantt Proyectos'!AM105=2,$T37,0)/$W37,0)*$L37</f>
        <v>0</v>
      </c>
      <c r="AP37" s="170">
        <f>IFERROR(IF('Gantt Proyectos'!AN105&gt;0,SUMIFS('Listas y Parametros'!$C$45:$L$45,'Listas y Parametros'!$C$35:$L$35,'Costo Directo Proyectos'!$AD37)*$AG37,0)+IF('Gantt Proyectos'!AN105=2,$T37,0)/$W37,0)*$L37</f>
        <v>0</v>
      </c>
    </row>
    <row r="38" spans="3:42" ht="15" x14ac:dyDescent="0.2">
      <c r="C38" s="117">
        <f>+'Gantt Proyectos'!C106</f>
        <v>10</v>
      </c>
      <c r="D38" s="118" t="str">
        <f>+'Gantt Proyectos'!D106</f>
        <v>Análisis Conceptual - Aura UG</v>
      </c>
      <c r="E38" s="118" t="str">
        <f>+'Gantt Proyectos'!E106</f>
        <v>Aura Minerals</v>
      </c>
      <c r="F38" s="146" t="str">
        <f>+'Gantt Proyectos'!F106</f>
        <v>Brasil</v>
      </c>
      <c r="G38" s="118" t="str">
        <f>+'Gantt Proyectos'!G106</f>
        <v>Chile</v>
      </c>
      <c r="H38" s="118">
        <f>+'Gantt Proyectos'!H106</f>
        <v>0</v>
      </c>
      <c r="I38" s="189">
        <v>1</v>
      </c>
      <c r="J38" s="189">
        <f t="shared" si="12"/>
        <v>0</v>
      </c>
      <c r="K38" s="118" t="str">
        <f>+'Gantt Proyectos'!I106</f>
        <v>Subterránea</v>
      </c>
      <c r="L38" s="120">
        <f>+'Gantt Proyectos'!J106</f>
        <v>1</v>
      </c>
      <c r="M38" s="118" t="str">
        <f>+'Gantt Proyectos'!K106</f>
        <v>RMI</v>
      </c>
      <c r="N38" s="118">
        <f>+'Gantt Proyectos'!L106</f>
        <v>310000</v>
      </c>
      <c r="O38" s="118">
        <f>+'Gantt Proyectos'!M106</f>
        <v>86592</v>
      </c>
      <c r="P38" s="118">
        <f>+'Gantt Proyectos'!N106</f>
        <v>1</v>
      </c>
      <c r="Q38" s="119">
        <f>+'Gantt Proyectos'!O106</f>
        <v>45642</v>
      </c>
      <c r="R38" s="119">
        <f>+'Gantt Proyectos'!P106</f>
        <v>45824</v>
      </c>
      <c r="S38" s="118" t="str">
        <f>+'Gantt Proyectos'!R106</f>
        <v>No</v>
      </c>
      <c r="T38" s="118">
        <f>+'Gantt Proyectos'!S106</f>
        <v>0</v>
      </c>
      <c r="U38" s="156">
        <f>+'Gantt Proyectos'!T106</f>
        <v>45642</v>
      </c>
      <c r="V38" s="156">
        <f>+'Gantt Proyectos'!U106</f>
        <v>45824</v>
      </c>
      <c r="W38" s="201">
        <f t="shared" si="13"/>
        <v>6</v>
      </c>
      <c r="X38" s="121">
        <f>+'Gantt Proyectos'!W106</f>
        <v>1.4474272930648768</v>
      </c>
      <c r="Y38" s="122">
        <f>+'Gantt Proyectos'!X106</f>
        <v>0.33</v>
      </c>
      <c r="Z38" s="122">
        <f>+'Gantt Proyectos'!Y106</f>
        <v>0.5</v>
      </c>
      <c r="AA38" s="122">
        <f>+'Gantt Proyectos'!Z106</f>
        <v>0.33</v>
      </c>
      <c r="AB38" s="122">
        <f>+'Gantt Proyectos'!AA106</f>
        <v>1</v>
      </c>
      <c r="AC38" s="122">
        <f>+'Gantt Proyectos'!AB106</f>
        <v>1</v>
      </c>
      <c r="AD38" s="152" t="str">
        <f>+'Gantt Proyectos'!AC106</f>
        <v>Scoping</v>
      </c>
      <c r="AE38" s="123" t="str">
        <f>+'Gantt Proyectos'!AD106</f>
        <v>Actual</v>
      </c>
      <c r="AF38" s="124" t="str">
        <f>+'Gantt Proyectos'!AE106</f>
        <v>5. Avance: 75%</v>
      </c>
      <c r="AG38" s="172">
        <v>1</v>
      </c>
      <c r="AH38" s="168">
        <f>IFERROR(IF('Gantt Proyectos'!AF106&gt;0,SUMIFS('Listas y Parametros'!$C$45:$L$45,'Listas y Parametros'!$C$35:$L$35,'Costo Directo Proyectos'!$AD38)*$AG38,0)+IF('Gantt Proyectos'!AF106=2,$T38,0)/$W38,0)*$L38</f>
        <v>22950.644528513381</v>
      </c>
      <c r="AI38" s="169">
        <f>IFERROR(IF('Gantt Proyectos'!AG106&gt;0,SUMIFS('Listas y Parametros'!$C$45:$L$45,'Listas y Parametros'!$C$35:$L$35,'Costo Directo Proyectos'!$AD38)*$AG38,0)+IF('Gantt Proyectos'!AG106=2,$T38,0)/$W38,0)*$L38</f>
        <v>22950.644528513381</v>
      </c>
      <c r="AJ38" s="169">
        <f>IFERROR(IF('Gantt Proyectos'!AH106&gt;0,SUMIFS('Listas y Parametros'!$C$45:$L$45,'Listas y Parametros'!$C$35:$L$35,'Costo Directo Proyectos'!$AD38)*$AG38,0)+IF('Gantt Proyectos'!AH106=2,$T38,0)/$W38,0)*$L38</f>
        <v>22950.644528513381</v>
      </c>
      <c r="AK38" s="169">
        <f>IFERROR(IF('Gantt Proyectos'!AI106&gt;0,SUMIFS('Listas y Parametros'!$C$45:$L$45,'Listas y Parametros'!$C$35:$L$35,'Costo Directo Proyectos'!$AD38)*$AG38,0)+IF('Gantt Proyectos'!AI106=2,$T38,0)/$W38,0)*$L38</f>
        <v>0</v>
      </c>
      <c r="AL38" s="169">
        <f>IFERROR(IF('Gantt Proyectos'!AJ106&gt;0,SUMIFS('Listas y Parametros'!$C$45:$L$45,'Listas y Parametros'!$C$35:$L$35,'Costo Directo Proyectos'!$AD38)*$AG38,0)+IF('Gantt Proyectos'!AJ106=2,$T38,0)/$W38,0)*$L38</f>
        <v>0</v>
      </c>
      <c r="AM38" s="169">
        <f>IFERROR(IF('Gantt Proyectos'!AK106&gt;0,SUMIFS('Listas y Parametros'!$C$45:$L$45,'Listas y Parametros'!$C$35:$L$35,'Costo Directo Proyectos'!$AD38)*$AG38,0)+IF('Gantt Proyectos'!AK106=2,$T38,0)/$W38,0)*$L38</f>
        <v>0</v>
      </c>
      <c r="AN38" s="169">
        <f>IFERROR(IF('Gantt Proyectos'!AL106&gt;0,SUMIFS('Listas y Parametros'!$C$45:$L$45,'Listas y Parametros'!$C$35:$L$35,'Costo Directo Proyectos'!$AD38)*$AG38,0)+IF('Gantt Proyectos'!AL106=2,$T38,0)/$W38,0)*$L38</f>
        <v>0</v>
      </c>
      <c r="AO38" s="169">
        <f>IFERROR(IF('Gantt Proyectos'!AM106&gt;0,SUMIFS('Listas y Parametros'!$C$45:$L$45,'Listas y Parametros'!$C$35:$L$35,'Costo Directo Proyectos'!$AD38)*$AG38,0)+IF('Gantt Proyectos'!AM106=2,$T38,0)/$W38,0)*$L38</f>
        <v>0</v>
      </c>
      <c r="AP38" s="170">
        <f>IFERROR(IF('Gantt Proyectos'!AN106&gt;0,SUMIFS('Listas y Parametros'!$C$45:$L$45,'Listas y Parametros'!$C$35:$L$35,'Costo Directo Proyectos'!$AD38)*$AG38,0)+IF('Gantt Proyectos'!AN106=2,$T38,0)/$W38,0)*$L38</f>
        <v>0</v>
      </c>
    </row>
    <row r="39" spans="3:42" ht="15" x14ac:dyDescent="0.2">
      <c r="C39" s="117">
        <f>+'Gantt Proyectos'!C107</f>
        <v>11</v>
      </c>
      <c r="D39" s="118" t="str">
        <f>+'Gantt Proyectos'!D107</f>
        <v>Los Calatos - Extensión (v3)</v>
      </c>
      <c r="E39" s="118" t="str">
        <f>+'Gantt Proyectos'!E107</f>
        <v>CD Capital</v>
      </c>
      <c r="F39" s="146" t="str">
        <f>+'Gantt Proyectos'!F107</f>
        <v>Perú</v>
      </c>
      <c r="G39" s="118" t="str">
        <f>+'Gantt Proyectos'!G107</f>
        <v>Chile</v>
      </c>
      <c r="H39" s="118" t="str">
        <f>+'Gantt Proyectos'!H107</f>
        <v>Perú</v>
      </c>
      <c r="I39" s="189">
        <v>0.5</v>
      </c>
      <c r="J39" s="189">
        <f t="shared" si="12"/>
        <v>0.5</v>
      </c>
      <c r="K39" s="118" t="str">
        <f>+'Gantt Proyectos'!I107</f>
        <v>Subterránea</v>
      </c>
      <c r="L39" s="120">
        <f>+'Gantt Proyectos'!J107</f>
        <v>1</v>
      </c>
      <c r="M39" s="118" t="str">
        <f>+'Gantt Proyectos'!K107</f>
        <v>AF</v>
      </c>
      <c r="N39" s="118">
        <f>+'Gantt Proyectos'!L107</f>
        <v>295769</v>
      </c>
      <c r="O39" s="118">
        <f>+'Gantt Proyectos'!M107</f>
        <v>11920</v>
      </c>
      <c r="P39" s="118">
        <f>+'Gantt Proyectos'!N107</f>
        <v>1</v>
      </c>
      <c r="Q39" s="119">
        <f>+'Gantt Proyectos'!O107</f>
        <v>45670</v>
      </c>
      <c r="R39" s="119">
        <f>+'Gantt Proyectos'!P107</f>
        <v>45866</v>
      </c>
      <c r="S39" s="118" t="str">
        <f>+'Gantt Proyectos'!R107</f>
        <v>No</v>
      </c>
      <c r="T39" s="118">
        <f>+'Gantt Proyectos'!S107</f>
        <v>0</v>
      </c>
      <c r="U39" s="156">
        <f>+'Gantt Proyectos'!T107</f>
        <v>45670</v>
      </c>
      <c r="V39" s="156">
        <f>+'Gantt Proyectos'!U107</f>
        <v>45866</v>
      </c>
      <c r="W39" s="201">
        <f t="shared" si="13"/>
        <v>7</v>
      </c>
      <c r="X39" s="121">
        <f>+'Gantt Proyectos'!W107</f>
        <v>2.1588366890380311</v>
      </c>
      <c r="Y39" s="122">
        <f>+'Gantt Proyectos'!X107</f>
        <v>0.5</v>
      </c>
      <c r="Z39" s="122">
        <f>+'Gantt Proyectos'!Y107</f>
        <v>0.5</v>
      </c>
      <c r="AA39" s="122">
        <f>+'Gantt Proyectos'!Z107</f>
        <v>0.75</v>
      </c>
      <c r="AB39" s="122">
        <f>+'Gantt Proyectos'!AA107</f>
        <v>2</v>
      </c>
      <c r="AC39" s="122">
        <f>+'Gantt Proyectos'!AB107</f>
        <v>1</v>
      </c>
      <c r="AD39" s="152" t="str">
        <f>+'Gantt Proyectos'!AC107</f>
        <v>PFS</v>
      </c>
      <c r="AE39" s="123" t="str">
        <f>+'Gantt Proyectos'!AD107</f>
        <v>Actual</v>
      </c>
      <c r="AF39" s="124" t="str">
        <f>+'Gantt Proyectos'!AE107</f>
        <v>4. Avance: 50%</v>
      </c>
      <c r="AG39" s="172">
        <v>1</v>
      </c>
      <c r="AH39" s="168">
        <f>IFERROR(IF('Gantt Proyectos'!AF107&gt;0,SUMIFS('Listas y Parametros'!$C$45:$L$45,'Listas y Parametros'!$C$35:$L$35,'Costo Directo Proyectos'!$AD39)*$AG39,0)+IF('Gantt Proyectos'!AF107=2,$T39,0)/$W39,0)*$L39</f>
        <v>35650.48339638504</v>
      </c>
      <c r="AI39" s="169">
        <f>IFERROR(IF('Gantt Proyectos'!AG107&gt;0,SUMIFS('Listas y Parametros'!$C$45:$L$45,'Listas y Parametros'!$C$35:$L$35,'Costo Directo Proyectos'!$AD39)*$AG39,0)+IF('Gantt Proyectos'!AG107=2,$T39,0)/$W39,0)*$L39</f>
        <v>35650.48339638504</v>
      </c>
      <c r="AJ39" s="169">
        <f>IFERROR(IF('Gantt Proyectos'!AH107&gt;0,SUMIFS('Listas y Parametros'!$C$45:$L$45,'Listas y Parametros'!$C$35:$L$35,'Costo Directo Proyectos'!$AD39)*$AG39,0)+IF('Gantt Proyectos'!AH107=2,$T39,0)/$W39,0)*$L39</f>
        <v>35650.48339638504</v>
      </c>
      <c r="AK39" s="169">
        <f>IFERROR(IF('Gantt Proyectos'!AI107&gt;0,SUMIFS('Listas y Parametros'!$C$45:$L$45,'Listas y Parametros'!$C$35:$L$35,'Costo Directo Proyectos'!$AD39)*$AG39,0)+IF('Gantt Proyectos'!AI107=2,$T39,0)/$W39,0)*$L39</f>
        <v>35650.48339638504</v>
      </c>
      <c r="AL39" s="169">
        <f>IFERROR(IF('Gantt Proyectos'!AJ107&gt;0,SUMIFS('Listas y Parametros'!$C$45:$L$45,'Listas y Parametros'!$C$35:$L$35,'Costo Directo Proyectos'!$AD39)*$AG39,0)+IF('Gantt Proyectos'!AJ107=2,$T39,0)/$W39,0)*$L39</f>
        <v>0</v>
      </c>
      <c r="AM39" s="169">
        <f>IFERROR(IF('Gantt Proyectos'!AK107&gt;0,SUMIFS('Listas y Parametros'!$C$45:$L$45,'Listas y Parametros'!$C$35:$L$35,'Costo Directo Proyectos'!$AD39)*$AG39,0)+IF('Gantt Proyectos'!AK107=2,$T39,0)/$W39,0)*$L39</f>
        <v>0</v>
      </c>
      <c r="AN39" s="169">
        <f>IFERROR(IF('Gantt Proyectos'!AL107&gt;0,SUMIFS('Listas y Parametros'!$C$45:$L$45,'Listas y Parametros'!$C$35:$L$35,'Costo Directo Proyectos'!$AD39)*$AG39,0)+IF('Gantt Proyectos'!AL107=2,$T39,0)/$W39,0)*$L39</f>
        <v>0</v>
      </c>
      <c r="AO39" s="169">
        <f>IFERROR(IF('Gantt Proyectos'!AM107&gt;0,SUMIFS('Listas y Parametros'!$C$45:$L$45,'Listas y Parametros'!$C$35:$L$35,'Costo Directo Proyectos'!$AD39)*$AG39,0)+IF('Gantt Proyectos'!AM107=2,$T39,0)/$W39,0)*$L39</f>
        <v>0</v>
      </c>
      <c r="AP39" s="170">
        <f>IFERROR(IF('Gantt Proyectos'!AN107&gt;0,SUMIFS('Listas y Parametros'!$C$45:$L$45,'Listas y Parametros'!$C$35:$L$35,'Costo Directo Proyectos'!$AD39)*$AG39,0)+IF('Gantt Proyectos'!AN107=2,$T39,0)/$W39,0)*$L39</f>
        <v>0</v>
      </c>
    </row>
    <row r="40" spans="3:42" ht="15" x14ac:dyDescent="0.2">
      <c r="C40" s="117">
        <f>+'Gantt Proyectos'!C108</f>
        <v>12</v>
      </c>
      <c r="D40" s="118" t="str">
        <f>+'Gantt Proyectos'!D108</f>
        <v>Analisis Innovación Tecnologica Distrito Centinela</v>
      </c>
      <c r="E40" s="118" t="str">
        <f>+'Gantt Proyectos'!E108</f>
        <v>AMSA</v>
      </c>
      <c r="F40" s="146" t="str">
        <f>+'Gantt Proyectos'!F108</f>
        <v>Chile</v>
      </c>
      <c r="G40" s="118" t="str">
        <f>+'Gantt Proyectos'!G108</f>
        <v>Chile</v>
      </c>
      <c r="H40" s="118">
        <f>+'Gantt Proyectos'!H108</f>
        <v>0</v>
      </c>
      <c r="I40" s="189">
        <v>1</v>
      </c>
      <c r="J40" s="189">
        <f t="shared" si="12"/>
        <v>0</v>
      </c>
      <c r="K40" s="118" t="str">
        <f>+'Gantt Proyectos'!I108</f>
        <v>Open Pit</v>
      </c>
      <c r="L40" s="120">
        <f>+'Gantt Proyectos'!J108</f>
        <v>1</v>
      </c>
      <c r="M40" s="118" t="str">
        <f>+'Gantt Proyectos'!K108</f>
        <v>CAR</v>
      </c>
      <c r="N40" s="118">
        <f>+'Gantt Proyectos'!L108</f>
        <v>134445.66999999998</v>
      </c>
      <c r="O40" s="118">
        <f>+'Gantt Proyectos'!M108</f>
        <v>0</v>
      </c>
      <c r="P40" s="118">
        <f>+'Gantt Proyectos'!N108</f>
        <v>1</v>
      </c>
      <c r="Q40" s="119">
        <f>+'Gantt Proyectos'!O108</f>
        <v>45649</v>
      </c>
      <c r="R40" s="119">
        <f>+'Gantt Proyectos'!P108</f>
        <v>46020</v>
      </c>
      <c r="S40" s="118" t="str">
        <f>+'Gantt Proyectos'!R108</f>
        <v>No</v>
      </c>
      <c r="T40" s="118">
        <f>+'Gantt Proyectos'!S108</f>
        <v>0</v>
      </c>
      <c r="U40" s="156">
        <f>+'Gantt Proyectos'!T108</f>
        <v>45649</v>
      </c>
      <c r="V40" s="156">
        <f>+'Gantt Proyectos'!U108</f>
        <v>46020</v>
      </c>
      <c r="W40" s="201">
        <f t="shared" si="13"/>
        <v>13</v>
      </c>
      <c r="X40" s="121">
        <f>+'Gantt Proyectos'!W108</f>
        <v>1.4474272930648768</v>
      </c>
      <c r="Y40" s="122">
        <f>+'Gantt Proyectos'!X108</f>
        <v>0.33</v>
      </c>
      <c r="Z40" s="122">
        <f>+'Gantt Proyectos'!Y108</f>
        <v>0.5</v>
      </c>
      <c r="AA40" s="122">
        <f>+'Gantt Proyectos'!Z108</f>
        <v>0.33</v>
      </c>
      <c r="AB40" s="122">
        <f>+'Gantt Proyectos'!AA108</f>
        <v>1</v>
      </c>
      <c r="AC40" s="122">
        <f>+'Gantt Proyectos'!AB108</f>
        <v>1</v>
      </c>
      <c r="AD40" s="152" t="str">
        <f>+'Gantt Proyectos'!AC108</f>
        <v>Scoping</v>
      </c>
      <c r="AE40" s="123" t="str">
        <f>+'Gantt Proyectos'!AD108</f>
        <v>Actual</v>
      </c>
      <c r="AF40" s="124" t="str">
        <f>+'Gantt Proyectos'!AE108</f>
        <v>4. Avance: 50%</v>
      </c>
      <c r="AG40" s="172">
        <v>1</v>
      </c>
      <c r="AH40" s="168">
        <f>IFERROR(IF('Gantt Proyectos'!AF108&gt;0,SUMIFS('Listas y Parametros'!$C$45:$L$45,'Listas y Parametros'!$C$35:$L$35,'Costo Directo Proyectos'!$AD40)*$AG40,0)+IF('Gantt Proyectos'!AF108=2,$T40,0)/$W40,0)*$L40</f>
        <v>22950.644528513381</v>
      </c>
      <c r="AI40" s="169">
        <f>IFERROR(IF('Gantt Proyectos'!AG108&gt;0,SUMIFS('Listas y Parametros'!$C$45:$L$45,'Listas y Parametros'!$C$35:$L$35,'Costo Directo Proyectos'!$AD40)*$AG40,0)+IF('Gantt Proyectos'!AG108=2,$T40,0)/$W40,0)*$L40</f>
        <v>22950.644528513381</v>
      </c>
      <c r="AJ40" s="169">
        <f>IFERROR(IF('Gantt Proyectos'!AH108&gt;0,SUMIFS('Listas y Parametros'!$C$45:$L$45,'Listas y Parametros'!$C$35:$L$35,'Costo Directo Proyectos'!$AD40)*$AG40,0)+IF('Gantt Proyectos'!AH108=2,$T40,0)/$W40,0)*$L40</f>
        <v>22950.644528513381</v>
      </c>
      <c r="AK40" s="169">
        <f>IFERROR(IF('Gantt Proyectos'!AI108&gt;0,SUMIFS('Listas y Parametros'!$C$45:$L$45,'Listas y Parametros'!$C$35:$L$35,'Costo Directo Proyectos'!$AD40)*$AG40,0)+IF('Gantt Proyectos'!AI108=2,$T40,0)/$W40,0)*$L40</f>
        <v>22950.644528513381</v>
      </c>
      <c r="AL40" s="169">
        <f>IFERROR(IF('Gantt Proyectos'!AJ108&gt;0,SUMIFS('Listas y Parametros'!$C$45:$L$45,'Listas y Parametros'!$C$35:$L$35,'Costo Directo Proyectos'!$AD40)*$AG40,0)+IF('Gantt Proyectos'!AJ108=2,$T40,0)/$W40,0)*$L40</f>
        <v>22950.644528513381</v>
      </c>
      <c r="AM40" s="169">
        <f>IFERROR(IF('Gantt Proyectos'!AK108&gt;0,SUMIFS('Listas y Parametros'!$C$45:$L$45,'Listas y Parametros'!$C$35:$L$35,'Costo Directo Proyectos'!$AD40)*$AG40,0)+IF('Gantt Proyectos'!AK108=2,$T40,0)/$W40,0)*$L40</f>
        <v>22950.644528513381</v>
      </c>
      <c r="AN40" s="169">
        <f>IFERROR(IF('Gantt Proyectos'!AL108&gt;0,SUMIFS('Listas y Parametros'!$C$45:$L$45,'Listas y Parametros'!$C$35:$L$35,'Costo Directo Proyectos'!$AD40)*$AG40,0)+IF('Gantt Proyectos'!AL108=2,$T40,0)/$W40,0)*$L40</f>
        <v>22950.644528513381</v>
      </c>
      <c r="AO40" s="169">
        <f>IFERROR(IF('Gantt Proyectos'!AM108&gt;0,SUMIFS('Listas y Parametros'!$C$45:$L$45,'Listas y Parametros'!$C$35:$L$35,'Costo Directo Proyectos'!$AD40)*$AG40,0)+IF('Gantt Proyectos'!AM108=2,$T40,0)/$W40,0)*$L40</f>
        <v>22950.644528513381</v>
      </c>
      <c r="AP40" s="170">
        <f>IFERROR(IF('Gantt Proyectos'!AN108&gt;0,SUMIFS('Listas y Parametros'!$C$45:$L$45,'Listas y Parametros'!$C$35:$L$35,'Costo Directo Proyectos'!$AD40)*$AG40,0)+IF('Gantt Proyectos'!AN108=2,$T40,0)/$W40,0)*$L40</f>
        <v>22950.644528513381</v>
      </c>
    </row>
    <row r="41" spans="3:42" ht="15" x14ac:dyDescent="0.2">
      <c r="C41" s="117">
        <f>+'Gantt Proyectos'!C109</f>
        <v>13</v>
      </c>
      <c r="D41" s="118" t="str">
        <f>+'Gantt Proyectos'!D109</f>
        <v>Cerro Colorado: Diseño Cierre de Botaderos</v>
      </c>
      <c r="E41" s="118" t="str">
        <f>+'Gantt Proyectos'!E109</f>
        <v>BHP</v>
      </c>
      <c r="F41" s="146" t="str">
        <f>+'Gantt Proyectos'!F109</f>
        <v>Chile</v>
      </c>
      <c r="G41" s="118" t="str">
        <f>+'Gantt Proyectos'!G109</f>
        <v>Chile</v>
      </c>
      <c r="H41" s="118">
        <f>+'Gantt Proyectos'!H109</f>
        <v>0</v>
      </c>
      <c r="I41" s="189">
        <v>1</v>
      </c>
      <c r="J41" s="189">
        <f t="shared" si="12"/>
        <v>0</v>
      </c>
      <c r="K41" s="118" t="str">
        <f>+'Gantt Proyectos'!I109</f>
        <v>Open Pit</v>
      </c>
      <c r="L41" s="120">
        <f>+'Gantt Proyectos'!J109</f>
        <v>1</v>
      </c>
      <c r="M41" s="118" t="str">
        <f>+'Gantt Proyectos'!K109</f>
        <v>RM</v>
      </c>
      <c r="N41" s="118">
        <f>+'Gantt Proyectos'!L109</f>
        <v>904853</v>
      </c>
      <c r="O41" s="118">
        <f>+'Gantt Proyectos'!M109</f>
        <v>469229.57888888888</v>
      </c>
      <c r="P41" s="118">
        <f>+'Gantt Proyectos'!N109</f>
        <v>1</v>
      </c>
      <c r="Q41" s="119">
        <f>+'Gantt Proyectos'!O109</f>
        <v>45649</v>
      </c>
      <c r="R41" s="119">
        <f>+'Gantt Proyectos'!P109</f>
        <v>45831</v>
      </c>
      <c r="S41" s="118" t="str">
        <f>+'Gantt Proyectos'!R109</f>
        <v>No</v>
      </c>
      <c r="T41" s="118">
        <f>+'Gantt Proyectos'!S109</f>
        <v>0</v>
      </c>
      <c r="U41" s="156">
        <f>+'Gantt Proyectos'!T109</f>
        <v>45649</v>
      </c>
      <c r="V41" s="156">
        <f>+'Gantt Proyectos'!U109</f>
        <v>45831</v>
      </c>
      <c r="W41" s="201">
        <f t="shared" si="13"/>
        <v>6</v>
      </c>
      <c r="X41" s="121">
        <f>+'Gantt Proyectos'!W109</f>
        <v>2.5503355704697985</v>
      </c>
      <c r="Y41" s="122">
        <f>+'Gantt Proyectos'!X109</f>
        <v>0.5</v>
      </c>
      <c r="Z41" s="122">
        <f>+'Gantt Proyectos'!Y109</f>
        <v>0.67</v>
      </c>
      <c r="AA41" s="122">
        <f>+'Gantt Proyectos'!Z109</f>
        <v>1</v>
      </c>
      <c r="AB41" s="122">
        <f>+'Gantt Proyectos'!AA109</f>
        <v>2.5</v>
      </c>
      <c r="AC41" s="122">
        <f>+'Gantt Proyectos'!AB109</f>
        <v>1</v>
      </c>
      <c r="AD41" s="152" t="str">
        <f>+'Gantt Proyectos'!AC109</f>
        <v>FS e Ing. Basica</v>
      </c>
      <c r="AE41" s="123" t="str">
        <f>+'Gantt Proyectos'!AD109</f>
        <v>Actual</v>
      </c>
      <c r="AF41" s="124" t="str">
        <f>+'Gantt Proyectos'!AE109</f>
        <v>4. Avance: 50%</v>
      </c>
      <c r="AG41" s="172">
        <v>1</v>
      </c>
      <c r="AH41" s="168">
        <f>IFERROR(IF('Gantt Proyectos'!AF109&gt;0,SUMIFS('Listas y Parametros'!$C$45:$L$45,'Listas y Parametros'!$C$35:$L$35,'Costo Directo Proyectos'!$AD41)*$AG41,0)+IF('Gantt Proyectos'!AF109=2,$T41,0)/$W41,0)*$L41</f>
        <v>42832.247442903179</v>
      </c>
      <c r="AI41" s="169">
        <f>IFERROR(IF('Gantt Proyectos'!AG109&gt;0,SUMIFS('Listas y Parametros'!$C$45:$L$45,'Listas y Parametros'!$C$35:$L$35,'Costo Directo Proyectos'!$AD41)*$AG41,0)+IF('Gantt Proyectos'!AG109=2,$T41,0)/$W41,0)*$L41</f>
        <v>42832.247442903179</v>
      </c>
      <c r="AJ41" s="169">
        <f>IFERROR(IF('Gantt Proyectos'!AH109&gt;0,SUMIFS('Listas y Parametros'!$C$45:$L$45,'Listas y Parametros'!$C$35:$L$35,'Costo Directo Proyectos'!$AD41)*$AG41,0)+IF('Gantt Proyectos'!AH109=2,$T41,0)/$W41,0)*$L41</f>
        <v>42832.247442903179</v>
      </c>
      <c r="AK41" s="169">
        <f>IFERROR(IF('Gantt Proyectos'!AI109&gt;0,SUMIFS('Listas y Parametros'!$C$45:$L$45,'Listas y Parametros'!$C$35:$L$35,'Costo Directo Proyectos'!$AD41)*$AG41,0)+IF('Gantt Proyectos'!AI109=2,$T41,0)/$W41,0)*$L41</f>
        <v>0</v>
      </c>
      <c r="AL41" s="169">
        <f>IFERROR(IF('Gantt Proyectos'!AJ109&gt;0,SUMIFS('Listas y Parametros'!$C$45:$L$45,'Listas y Parametros'!$C$35:$L$35,'Costo Directo Proyectos'!$AD41)*$AG41,0)+IF('Gantt Proyectos'!AJ109=2,$T41,0)/$W41,0)*$L41</f>
        <v>0</v>
      </c>
      <c r="AM41" s="169">
        <f>IFERROR(IF('Gantt Proyectos'!AK109&gt;0,SUMIFS('Listas y Parametros'!$C$45:$L$45,'Listas y Parametros'!$C$35:$L$35,'Costo Directo Proyectos'!$AD41)*$AG41,0)+IF('Gantt Proyectos'!AK109=2,$T41,0)/$W41,0)*$L41</f>
        <v>0</v>
      </c>
      <c r="AN41" s="169">
        <f>IFERROR(IF('Gantt Proyectos'!AL109&gt;0,SUMIFS('Listas y Parametros'!$C$45:$L$45,'Listas y Parametros'!$C$35:$L$35,'Costo Directo Proyectos'!$AD41)*$AG41,0)+IF('Gantt Proyectos'!AL109=2,$T41,0)/$W41,0)*$L41</f>
        <v>0</v>
      </c>
      <c r="AO41" s="169">
        <f>IFERROR(IF('Gantt Proyectos'!AM109&gt;0,SUMIFS('Listas y Parametros'!$C$45:$L$45,'Listas y Parametros'!$C$35:$L$35,'Costo Directo Proyectos'!$AD41)*$AG41,0)+IF('Gantt Proyectos'!AM109=2,$T41,0)/$W41,0)*$L41</f>
        <v>0</v>
      </c>
      <c r="AP41" s="170">
        <f>IFERROR(IF('Gantt Proyectos'!AN109&gt;0,SUMIFS('Listas y Parametros'!$C$45:$L$45,'Listas y Parametros'!$C$35:$L$35,'Costo Directo Proyectos'!$AD41)*$AG41,0)+IF('Gantt Proyectos'!AN109=2,$T41,0)/$W41,0)*$L41</f>
        <v>0</v>
      </c>
    </row>
    <row r="42" spans="3:42" ht="15" x14ac:dyDescent="0.2">
      <c r="C42" s="117">
        <f>+'Gantt Proyectos'!C110</f>
        <v>14</v>
      </c>
      <c r="D42" s="118" t="str">
        <f>+'Gantt Proyectos'!D110</f>
        <v>Analisis de Productividad Los Bronces</v>
      </c>
      <c r="E42" s="118" t="str">
        <f>+'Gantt Proyectos'!E110</f>
        <v>AngloAmerican</v>
      </c>
      <c r="F42" s="146" t="str">
        <f>+'Gantt Proyectos'!F110</f>
        <v>Chile</v>
      </c>
      <c r="G42" s="118" t="str">
        <f>+'Gantt Proyectos'!G110</f>
        <v>Chile</v>
      </c>
      <c r="H42" s="118">
        <f>+'Gantt Proyectos'!H110</f>
        <v>0</v>
      </c>
      <c r="I42" s="189">
        <v>1</v>
      </c>
      <c r="J42" s="189">
        <f t="shared" si="12"/>
        <v>0</v>
      </c>
      <c r="K42" s="118" t="str">
        <f>+'Gantt Proyectos'!I110</f>
        <v>Open Pit</v>
      </c>
      <c r="L42" s="120">
        <f>+'Gantt Proyectos'!J110</f>
        <v>1</v>
      </c>
      <c r="M42" s="118" t="str">
        <f>+'Gantt Proyectos'!K110</f>
        <v>FR</v>
      </c>
      <c r="N42" s="118">
        <f>+'Gantt Proyectos'!L110</f>
        <v>62417</v>
      </c>
      <c r="O42" s="118">
        <f>+'Gantt Proyectos'!M110</f>
        <v>0</v>
      </c>
      <c r="P42" s="118">
        <f>+'Gantt Proyectos'!N110</f>
        <v>2</v>
      </c>
      <c r="Q42" s="119">
        <f>+'Gantt Proyectos'!O110</f>
        <v>45719</v>
      </c>
      <c r="R42" s="119">
        <f>+'Gantt Proyectos'!P110</f>
        <v>45782</v>
      </c>
      <c r="S42" s="118" t="str">
        <f>+'Gantt Proyectos'!R110</f>
        <v>No</v>
      </c>
      <c r="T42" s="118">
        <f>+'Gantt Proyectos'!S110</f>
        <v>0</v>
      </c>
      <c r="U42" s="156">
        <f>+'Gantt Proyectos'!T110</f>
        <v>45719</v>
      </c>
      <c r="V42" s="156">
        <f>+'Gantt Proyectos'!U110</f>
        <v>45782</v>
      </c>
      <c r="W42" s="201">
        <f t="shared" si="13"/>
        <v>3</v>
      </c>
      <c r="X42" s="121">
        <f>+'Gantt Proyectos'!W110</f>
        <v>0.72035794183445179</v>
      </c>
      <c r="Y42" s="122">
        <f>+'Gantt Proyectos'!X110</f>
        <v>0.25</v>
      </c>
      <c r="Z42" s="122">
        <f>+'Gantt Proyectos'!Y110</f>
        <v>0.33</v>
      </c>
      <c r="AA42" s="122">
        <f>+'Gantt Proyectos'!Z110</f>
        <v>0</v>
      </c>
      <c r="AB42" s="122">
        <f>+'Gantt Proyectos'!AA110</f>
        <v>0.5</v>
      </c>
      <c r="AC42" s="122">
        <f>+'Gantt Proyectos'!AB110</f>
        <v>0.5</v>
      </c>
      <c r="AD42" s="152" t="str">
        <f>+'Gantt Proyectos'!AC110</f>
        <v>Confiabilidad Planes</v>
      </c>
      <c r="AE42" s="123" t="str">
        <f>+'Gantt Proyectos'!AD110</f>
        <v>Actual</v>
      </c>
      <c r="AF42" s="124" t="str">
        <f>+'Gantt Proyectos'!AE110</f>
        <v>4. Avance: 50%</v>
      </c>
      <c r="AG42" s="172">
        <v>1</v>
      </c>
      <c r="AH42" s="168">
        <f>IFERROR(IF('Gantt Proyectos'!AF110&gt;0,SUMIFS('Listas y Parametros'!$C$45:$L$45,'Listas y Parametros'!$C$35:$L$35,'Costo Directo Proyectos'!$AD42)*$AG42,0)+IF('Gantt Proyectos'!AF110=2,$T42,0)/$W42,0)*$L42</f>
        <v>11999.746041754239</v>
      </c>
      <c r="AI42" s="169">
        <f>IFERROR(IF('Gantt Proyectos'!AG110&gt;0,SUMIFS('Listas y Parametros'!$C$45:$L$45,'Listas y Parametros'!$C$35:$L$35,'Costo Directo Proyectos'!$AD42)*$AG42,0)+IF('Gantt Proyectos'!AG110=2,$T42,0)/$W42,0)*$L42</f>
        <v>11999.746041754239</v>
      </c>
      <c r="AJ42" s="169">
        <f>IFERROR(IF('Gantt Proyectos'!AH110&gt;0,SUMIFS('Listas y Parametros'!$C$45:$L$45,'Listas y Parametros'!$C$35:$L$35,'Costo Directo Proyectos'!$AD42)*$AG42,0)+IF('Gantt Proyectos'!AH110=2,$T42,0)/$W42,0)*$L42</f>
        <v>0</v>
      </c>
      <c r="AK42" s="169">
        <f>IFERROR(IF('Gantt Proyectos'!AI110&gt;0,SUMIFS('Listas y Parametros'!$C$45:$L$45,'Listas y Parametros'!$C$35:$L$35,'Costo Directo Proyectos'!$AD42)*$AG42,0)+IF('Gantt Proyectos'!AI110=2,$T42,0)/$W42,0)*$L42</f>
        <v>0</v>
      </c>
      <c r="AL42" s="169">
        <f>IFERROR(IF('Gantt Proyectos'!AJ110&gt;0,SUMIFS('Listas y Parametros'!$C$45:$L$45,'Listas y Parametros'!$C$35:$L$35,'Costo Directo Proyectos'!$AD42)*$AG42,0)+IF('Gantt Proyectos'!AJ110=2,$T42,0)/$W42,0)*$L42</f>
        <v>0</v>
      </c>
      <c r="AM42" s="169">
        <f>IFERROR(IF('Gantt Proyectos'!AK110&gt;0,SUMIFS('Listas y Parametros'!$C$45:$L$45,'Listas y Parametros'!$C$35:$L$35,'Costo Directo Proyectos'!$AD42)*$AG42,0)+IF('Gantt Proyectos'!AK110=2,$T42,0)/$W42,0)*$L42</f>
        <v>0</v>
      </c>
      <c r="AN42" s="169">
        <f>IFERROR(IF('Gantt Proyectos'!AL110&gt;0,SUMIFS('Listas y Parametros'!$C$45:$L$45,'Listas y Parametros'!$C$35:$L$35,'Costo Directo Proyectos'!$AD42)*$AG42,0)+IF('Gantt Proyectos'!AL110=2,$T42,0)/$W42,0)*$L42</f>
        <v>0</v>
      </c>
      <c r="AO42" s="169">
        <f>IFERROR(IF('Gantt Proyectos'!AM110&gt;0,SUMIFS('Listas y Parametros'!$C$45:$L$45,'Listas y Parametros'!$C$35:$L$35,'Costo Directo Proyectos'!$AD42)*$AG42,0)+IF('Gantt Proyectos'!AM110=2,$T42,0)/$W42,0)*$L42</f>
        <v>0</v>
      </c>
      <c r="AP42" s="170">
        <f>IFERROR(IF('Gantt Proyectos'!AN110&gt;0,SUMIFS('Listas y Parametros'!$C$45:$L$45,'Listas y Parametros'!$C$35:$L$35,'Costo Directo Proyectos'!$AD42)*$AG42,0)+IF('Gantt Proyectos'!AN110=2,$T42,0)/$W42,0)*$L42</f>
        <v>0</v>
      </c>
    </row>
    <row r="43" spans="3:42" ht="15" x14ac:dyDescent="0.2">
      <c r="C43" s="117">
        <f>+'Gantt Proyectos'!C111</f>
        <v>15</v>
      </c>
      <c r="D43" s="118" t="str">
        <f>+'Gantt Proyectos'!D111</f>
        <v>Ingenieria implementacion HDD Los Bronces</v>
      </c>
      <c r="E43" s="118" t="str">
        <f>+'Gantt Proyectos'!E111</f>
        <v>AngloAmerican</v>
      </c>
      <c r="F43" s="146" t="str">
        <f>+'Gantt Proyectos'!F111</f>
        <v>Chile</v>
      </c>
      <c r="G43" s="118" t="str">
        <f>+'Gantt Proyectos'!G111</f>
        <v>Chile</v>
      </c>
      <c r="H43" s="118">
        <f>+'Gantt Proyectos'!H111</f>
        <v>0</v>
      </c>
      <c r="I43" s="189">
        <v>1</v>
      </c>
      <c r="J43" s="189">
        <f t="shared" si="12"/>
        <v>0</v>
      </c>
      <c r="K43" s="118" t="str">
        <f>+'Gantt Proyectos'!I111</f>
        <v>Open Pit</v>
      </c>
      <c r="L43" s="120">
        <f>+'Gantt Proyectos'!J111</f>
        <v>1</v>
      </c>
      <c r="M43" s="118" t="str">
        <f>+'Gantt Proyectos'!K111</f>
        <v>RM</v>
      </c>
      <c r="N43" s="118">
        <f>+'Gantt Proyectos'!L111</f>
        <v>183430</v>
      </c>
      <c r="O43" s="118">
        <f>+'Gantt Proyectos'!M111</f>
        <v>0</v>
      </c>
      <c r="P43" s="118">
        <f>+'Gantt Proyectos'!N111</f>
        <v>1</v>
      </c>
      <c r="Q43" s="119">
        <f>+'Gantt Proyectos'!O111</f>
        <v>45719</v>
      </c>
      <c r="R43" s="119">
        <f>+'Gantt Proyectos'!P111</f>
        <v>45838</v>
      </c>
      <c r="S43" s="118" t="str">
        <f>+'Gantt Proyectos'!R111</f>
        <v>No</v>
      </c>
      <c r="T43" s="118">
        <f>+'Gantt Proyectos'!S111</f>
        <v>0</v>
      </c>
      <c r="U43" s="156">
        <f>+'Gantt Proyectos'!T111</f>
        <v>45719</v>
      </c>
      <c r="V43" s="156">
        <f>+'Gantt Proyectos'!U111</f>
        <v>45838</v>
      </c>
      <c r="W43" s="201">
        <f t="shared" si="13"/>
        <v>4</v>
      </c>
      <c r="X43" s="121">
        <f>+'Gantt Proyectos'!W111</f>
        <v>0.72035794183445179</v>
      </c>
      <c r="Y43" s="122">
        <f>+'Gantt Proyectos'!X111</f>
        <v>0.25</v>
      </c>
      <c r="Z43" s="122">
        <f>+'Gantt Proyectos'!Y111</f>
        <v>0.33</v>
      </c>
      <c r="AA43" s="122">
        <f>+'Gantt Proyectos'!Z111</f>
        <v>0</v>
      </c>
      <c r="AB43" s="122">
        <f>+'Gantt Proyectos'!AA111</f>
        <v>0.5</v>
      </c>
      <c r="AC43" s="122">
        <f>+'Gantt Proyectos'!AB111</f>
        <v>0.5</v>
      </c>
      <c r="AD43" s="152" t="str">
        <f>+'Gantt Proyectos'!AC111</f>
        <v>Estudio Conceptual / LOM</v>
      </c>
      <c r="AE43" s="123" t="str">
        <f>+'Gantt Proyectos'!AD111</f>
        <v>Actual</v>
      </c>
      <c r="AF43" s="124" t="str">
        <f>+'Gantt Proyectos'!AE111</f>
        <v>4. Avance: 50%</v>
      </c>
      <c r="AG43" s="172">
        <v>1</v>
      </c>
      <c r="AH43" s="168">
        <f>IFERROR(IF('Gantt Proyectos'!AF111&gt;0,SUMIFS('Listas y Parametros'!$C$45:$L$45,'Listas y Parametros'!$C$35:$L$35,'Costo Directo Proyectos'!$AD43)*$AG43,0)+IF('Gantt Proyectos'!AF111=2,$T43,0)/$W43,0)*$L43</f>
        <v>11999.746041754239</v>
      </c>
      <c r="AI43" s="169">
        <f>IFERROR(IF('Gantt Proyectos'!AG111&gt;0,SUMIFS('Listas y Parametros'!$C$45:$L$45,'Listas y Parametros'!$C$35:$L$35,'Costo Directo Proyectos'!$AD43)*$AG43,0)+IF('Gantt Proyectos'!AG111=2,$T43,0)/$W43,0)*$L43</f>
        <v>11999.746041754239</v>
      </c>
      <c r="AJ43" s="169">
        <f>IFERROR(IF('Gantt Proyectos'!AH111&gt;0,SUMIFS('Listas y Parametros'!$C$45:$L$45,'Listas y Parametros'!$C$35:$L$35,'Costo Directo Proyectos'!$AD43)*$AG43,0)+IF('Gantt Proyectos'!AH111=2,$T43,0)/$W43,0)*$L43</f>
        <v>11999.746041754239</v>
      </c>
      <c r="AK43" s="169">
        <f>IFERROR(IF('Gantt Proyectos'!AI111&gt;0,SUMIFS('Listas y Parametros'!$C$45:$L$45,'Listas y Parametros'!$C$35:$L$35,'Costo Directo Proyectos'!$AD43)*$AG43,0)+IF('Gantt Proyectos'!AI111=2,$T43,0)/$W43,0)*$L43</f>
        <v>0</v>
      </c>
      <c r="AL43" s="169">
        <f>IFERROR(IF('Gantt Proyectos'!AJ111&gt;0,SUMIFS('Listas y Parametros'!$C$45:$L$45,'Listas y Parametros'!$C$35:$L$35,'Costo Directo Proyectos'!$AD43)*$AG43,0)+IF('Gantt Proyectos'!AJ111=2,$T43,0)/$W43,0)*$L43</f>
        <v>0</v>
      </c>
      <c r="AM43" s="169">
        <f>IFERROR(IF('Gantt Proyectos'!AK111&gt;0,SUMIFS('Listas y Parametros'!$C$45:$L$45,'Listas y Parametros'!$C$35:$L$35,'Costo Directo Proyectos'!$AD43)*$AG43,0)+IF('Gantt Proyectos'!AK111=2,$T43,0)/$W43,0)*$L43</f>
        <v>0</v>
      </c>
      <c r="AN43" s="169">
        <f>IFERROR(IF('Gantt Proyectos'!AL111&gt;0,SUMIFS('Listas y Parametros'!$C$45:$L$45,'Listas y Parametros'!$C$35:$L$35,'Costo Directo Proyectos'!$AD43)*$AG43,0)+IF('Gantt Proyectos'!AL111=2,$T43,0)/$W43,0)*$L43</f>
        <v>0</v>
      </c>
      <c r="AO43" s="169">
        <f>IFERROR(IF('Gantt Proyectos'!AM111&gt;0,SUMIFS('Listas y Parametros'!$C$45:$L$45,'Listas y Parametros'!$C$35:$L$35,'Costo Directo Proyectos'!$AD43)*$AG43,0)+IF('Gantt Proyectos'!AM111=2,$T43,0)/$W43,0)*$L43</f>
        <v>0</v>
      </c>
      <c r="AP43" s="170">
        <f>IFERROR(IF('Gantt Proyectos'!AN111&gt;0,SUMIFS('Listas y Parametros'!$C$45:$L$45,'Listas y Parametros'!$C$35:$L$35,'Costo Directo Proyectos'!$AD43)*$AG43,0)+IF('Gantt Proyectos'!AN111=2,$T43,0)/$W43,0)*$L43</f>
        <v>0</v>
      </c>
    </row>
    <row r="44" spans="3:42" ht="15" x14ac:dyDescent="0.2">
      <c r="C44" s="117">
        <f>+'Gantt Proyectos'!C112</f>
        <v>16</v>
      </c>
      <c r="D44" s="118" t="str">
        <f>+'Gantt Proyectos'!D112</f>
        <v>V MEIA San Rafael</v>
      </c>
      <c r="E44" s="118" t="str">
        <f>+'Gantt Proyectos'!E112</f>
        <v>Minsur</v>
      </c>
      <c r="F44" s="146" t="str">
        <f>+'Gantt Proyectos'!F112</f>
        <v>Perú</v>
      </c>
      <c r="G44" s="118" t="str">
        <f>+'Gantt Proyectos'!G112</f>
        <v>Chile</v>
      </c>
      <c r="H44" s="118" t="str">
        <f>+'Gantt Proyectos'!H112</f>
        <v>Perú</v>
      </c>
      <c r="I44" s="189">
        <v>0.5</v>
      </c>
      <c r="J44" s="189">
        <f t="shared" si="12"/>
        <v>0.5</v>
      </c>
      <c r="K44" s="118" t="str">
        <f>+'Gantt Proyectos'!I112</f>
        <v>Subterránea</v>
      </c>
      <c r="L44" s="120">
        <f>+'Gantt Proyectos'!J112</f>
        <v>1</v>
      </c>
      <c r="M44" s="118" t="str">
        <f>+'Gantt Proyectos'!K112</f>
        <v>RM</v>
      </c>
      <c r="N44" s="118">
        <f>+'Gantt Proyectos'!L112</f>
        <v>248031</v>
      </c>
      <c r="O44" s="118">
        <f>+'Gantt Proyectos'!M112</f>
        <v>0</v>
      </c>
      <c r="P44" s="118">
        <f>+'Gantt Proyectos'!N112</f>
        <v>2</v>
      </c>
      <c r="Q44" s="119">
        <f>+'Gantt Proyectos'!O112</f>
        <v>45691</v>
      </c>
      <c r="R44" s="119">
        <f>+'Gantt Proyectos'!P112</f>
        <v>45789</v>
      </c>
      <c r="S44" s="118" t="str">
        <f>+'Gantt Proyectos'!R112</f>
        <v>No</v>
      </c>
      <c r="T44" s="118">
        <f>+'Gantt Proyectos'!S112</f>
        <v>0</v>
      </c>
      <c r="U44" s="156">
        <f>+'Gantt Proyectos'!T112</f>
        <v>45691</v>
      </c>
      <c r="V44" s="156">
        <f>+'Gantt Proyectos'!U112</f>
        <v>45789</v>
      </c>
      <c r="W44" s="201">
        <f t="shared" si="13"/>
        <v>4</v>
      </c>
      <c r="X44" s="121">
        <f>+'Gantt Proyectos'!W112</f>
        <v>0.97986577181208034</v>
      </c>
      <c r="Y44" s="122">
        <f>+'Gantt Proyectos'!X112</f>
        <v>0.33</v>
      </c>
      <c r="Z44" s="122">
        <f>+'Gantt Proyectos'!Y112</f>
        <v>0.33</v>
      </c>
      <c r="AA44" s="122">
        <f>+'Gantt Proyectos'!Z112</f>
        <v>0.5</v>
      </c>
      <c r="AB44" s="122">
        <f>+'Gantt Proyectos'!AA112</f>
        <v>1</v>
      </c>
      <c r="AC44" s="122">
        <f>+'Gantt Proyectos'!AB112</f>
        <v>0</v>
      </c>
      <c r="AD44" s="152" t="str">
        <f>+'Gantt Proyectos'!AC112</f>
        <v>Permisos / MEIA</v>
      </c>
      <c r="AE44" s="123" t="str">
        <f>+'Gantt Proyectos'!AD112</f>
        <v>Actual</v>
      </c>
      <c r="AF44" s="124" t="str">
        <f>+'Gantt Proyectos'!AE112</f>
        <v>3. Avance: 25%</v>
      </c>
      <c r="AG44" s="172">
        <v>1</v>
      </c>
      <c r="AH44" s="168">
        <f>IFERROR(IF('Gantt Proyectos'!AF112&gt;0,SUMIFS('Listas y Parametros'!$C$45:$L$45,'Listas y Parametros'!$C$35:$L$35,'Costo Directo Proyectos'!$AD44)*$AG44,0)+IF('Gantt Proyectos'!AF112=2,$T44,0)/$W44,0)*$L44</f>
        <v>19375.262715426652</v>
      </c>
      <c r="AI44" s="169">
        <f>IFERROR(IF('Gantt Proyectos'!AG112&gt;0,SUMIFS('Listas y Parametros'!$C$45:$L$45,'Listas y Parametros'!$C$35:$L$35,'Costo Directo Proyectos'!$AD44)*$AG44,0)+IF('Gantt Proyectos'!AG112=2,$T44,0)/$W44,0)*$L44</f>
        <v>19375.262715426652</v>
      </c>
      <c r="AJ44" s="169">
        <f>IFERROR(IF('Gantt Proyectos'!AH112&gt;0,SUMIFS('Listas y Parametros'!$C$45:$L$45,'Listas y Parametros'!$C$35:$L$35,'Costo Directo Proyectos'!$AD44)*$AG44,0)+IF('Gantt Proyectos'!AH112=2,$T44,0)/$W44,0)*$L44</f>
        <v>0</v>
      </c>
      <c r="AK44" s="169">
        <f>IFERROR(IF('Gantt Proyectos'!AI112&gt;0,SUMIFS('Listas y Parametros'!$C$45:$L$45,'Listas y Parametros'!$C$35:$L$35,'Costo Directo Proyectos'!$AD44)*$AG44,0)+IF('Gantt Proyectos'!AI112=2,$T44,0)/$W44,0)*$L44</f>
        <v>0</v>
      </c>
      <c r="AL44" s="169">
        <f>IFERROR(IF('Gantt Proyectos'!AJ112&gt;0,SUMIFS('Listas y Parametros'!$C$45:$L$45,'Listas y Parametros'!$C$35:$L$35,'Costo Directo Proyectos'!$AD44)*$AG44,0)+IF('Gantt Proyectos'!AJ112=2,$T44,0)/$W44,0)*$L44</f>
        <v>0</v>
      </c>
      <c r="AM44" s="169">
        <f>IFERROR(IF('Gantt Proyectos'!AK112&gt;0,SUMIFS('Listas y Parametros'!$C$45:$L$45,'Listas y Parametros'!$C$35:$L$35,'Costo Directo Proyectos'!$AD44)*$AG44,0)+IF('Gantt Proyectos'!AK112=2,$T44,0)/$W44,0)*$L44</f>
        <v>0</v>
      </c>
      <c r="AN44" s="169">
        <f>IFERROR(IF('Gantt Proyectos'!AL112&gt;0,SUMIFS('Listas y Parametros'!$C$45:$L$45,'Listas y Parametros'!$C$35:$L$35,'Costo Directo Proyectos'!$AD44)*$AG44,0)+IF('Gantt Proyectos'!AL112=2,$T44,0)/$W44,0)*$L44</f>
        <v>0</v>
      </c>
      <c r="AO44" s="169">
        <f>IFERROR(IF('Gantt Proyectos'!AM112&gt;0,SUMIFS('Listas y Parametros'!$C$45:$L$45,'Listas y Parametros'!$C$35:$L$35,'Costo Directo Proyectos'!$AD44)*$AG44,0)+IF('Gantt Proyectos'!AM112=2,$T44,0)/$W44,0)*$L44</f>
        <v>0</v>
      </c>
      <c r="AP44" s="170">
        <f>IFERROR(IF('Gantt Proyectos'!AN112&gt;0,SUMIFS('Listas y Parametros'!$C$45:$L$45,'Listas y Parametros'!$C$35:$L$35,'Costo Directo Proyectos'!$AD44)*$AG44,0)+IF('Gantt Proyectos'!AN112=2,$T44,0)/$W44,0)*$L44</f>
        <v>0</v>
      </c>
    </row>
    <row r="45" spans="3:42" ht="15" x14ac:dyDescent="0.2">
      <c r="C45" s="117">
        <f>+'Gantt Proyectos'!C113</f>
        <v>17</v>
      </c>
      <c r="D45" s="118" t="str">
        <f>+'Gantt Proyectos'!D113</f>
        <v>Fase 2 CTV: Modelamiento Recursos, Geomecanica y LOM actualizado</v>
      </c>
      <c r="E45" s="118" t="str">
        <f>+'Gantt Proyectos'!E113</f>
        <v>Mosaic</v>
      </c>
      <c r="F45" s="146" t="str">
        <f>+'Gantt Proyectos'!F113</f>
        <v>Brasil</v>
      </c>
      <c r="G45" s="118" t="str">
        <f>+'Gantt Proyectos'!G113</f>
        <v>Perú</v>
      </c>
      <c r="H45" s="118" t="str">
        <f>+'Gantt Proyectos'!H113</f>
        <v>Chile</v>
      </c>
      <c r="I45" s="189">
        <v>0.5</v>
      </c>
      <c r="J45" s="189">
        <f t="shared" si="12"/>
        <v>0.5</v>
      </c>
      <c r="K45" s="118" t="str">
        <f>+'Gantt Proyectos'!I113</f>
        <v>Subterránea</v>
      </c>
      <c r="L45" s="120">
        <f>+'Gantt Proyectos'!J113</f>
        <v>1</v>
      </c>
      <c r="M45" s="118" t="str">
        <f>+'Gantt Proyectos'!K113</f>
        <v>CH</v>
      </c>
      <c r="N45" s="118">
        <f>+'Gantt Proyectos'!L113</f>
        <v>330410</v>
      </c>
      <c r="O45" s="118">
        <f>+'Gantt Proyectos'!M113</f>
        <v>0</v>
      </c>
      <c r="P45" s="118">
        <f>+'Gantt Proyectos'!N113</f>
        <v>3</v>
      </c>
      <c r="Q45" s="119">
        <f>+'Gantt Proyectos'!O113</f>
        <v>45600</v>
      </c>
      <c r="R45" s="119">
        <f>+'Gantt Proyectos'!P113</f>
        <v>45838</v>
      </c>
      <c r="S45" s="118" t="str">
        <f>+'Gantt Proyectos'!R113</f>
        <v>No</v>
      </c>
      <c r="T45" s="118">
        <f>+'Gantt Proyectos'!S113</f>
        <v>0</v>
      </c>
      <c r="U45" s="156">
        <f>+'Gantt Proyectos'!T113</f>
        <v>45600</v>
      </c>
      <c r="V45" s="156">
        <f>+'Gantt Proyectos'!U113</f>
        <v>45838</v>
      </c>
      <c r="W45" s="201">
        <f t="shared" si="13"/>
        <v>8</v>
      </c>
      <c r="X45" s="121">
        <f>+'Gantt Proyectos'!W113</f>
        <v>1.4474272930648768</v>
      </c>
      <c r="Y45" s="122">
        <f>+'Gantt Proyectos'!X113</f>
        <v>0.33</v>
      </c>
      <c r="Z45" s="122">
        <f>+'Gantt Proyectos'!Y113</f>
        <v>0.5</v>
      </c>
      <c r="AA45" s="122">
        <f>+'Gantt Proyectos'!Z113</f>
        <v>0.33</v>
      </c>
      <c r="AB45" s="122">
        <f>+'Gantt Proyectos'!AA113</f>
        <v>1</v>
      </c>
      <c r="AC45" s="122">
        <f>+'Gantt Proyectos'!AB113</f>
        <v>1</v>
      </c>
      <c r="AD45" s="152" t="str">
        <f>+'Gantt Proyectos'!AC113</f>
        <v>Scoping</v>
      </c>
      <c r="AE45" s="123" t="str">
        <f>+'Gantt Proyectos'!AD113</f>
        <v>Actual</v>
      </c>
      <c r="AF45" s="124" t="str">
        <f>+'Gantt Proyectos'!AE113</f>
        <v>3. Avance: 25%</v>
      </c>
      <c r="AG45" s="172">
        <v>1</v>
      </c>
      <c r="AH45" s="168">
        <f>IFERROR(IF('Gantt Proyectos'!AF113&gt;0,SUMIFS('Listas y Parametros'!$C$45:$L$45,'Listas y Parametros'!$C$35:$L$35,'Costo Directo Proyectos'!$AD45)*$AG45,0)+IF('Gantt Proyectos'!AF113=2,$T45,0)/$W45,0)*$L45</f>
        <v>22950.644528513381</v>
      </c>
      <c r="AI45" s="169">
        <f>IFERROR(IF('Gantt Proyectos'!AG113&gt;0,SUMIFS('Listas y Parametros'!$C$45:$L$45,'Listas y Parametros'!$C$35:$L$35,'Costo Directo Proyectos'!$AD45)*$AG45,0)+IF('Gantt Proyectos'!AG113=2,$T45,0)/$W45,0)*$L45</f>
        <v>22950.644528513381</v>
      </c>
      <c r="AJ45" s="169">
        <f>IFERROR(IF('Gantt Proyectos'!AH113&gt;0,SUMIFS('Listas y Parametros'!$C$45:$L$45,'Listas y Parametros'!$C$35:$L$35,'Costo Directo Proyectos'!$AD45)*$AG45,0)+IF('Gantt Proyectos'!AH113=2,$T45,0)/$W45,0)*$L45</f>
        <v>22950.644528513381</v>
      </c>
      <c r="AK45" s="169">
        <f>IFERROR(IF('Gantt Proyectos'!AI113&gt;0,SUMIFS('Listas y Parametros'!$C$45:$L$45,'Listas y Parametros'!$C$35:$L$35,'Costo Directo Proyectos'!$AD45)*$AG45,0)+IF('Gantt Proyectos'!AI113=2,$T45,0)/$W45,0)*$L45</f>
        <v>0</v>
      </c>
      <c r="AL45" s="169">
        <f>IFERROR(IF('Gantt Proyectos'!AJ113&gt;0,SUMIFS('Listas y Parametros'!$C$45:$L$45,'Listas y Parametros'!$C$35:$L$35,'Costo Directo Proyectos'!$AD45)*$AG45,0)+IF('Gantt Proyectos'!AJ113=2,$T45,0)/$W45,0)*$L45</f>
        <v>0</v>
      </c>
      <c r="AM45" s="169">
        <f>IFERROR(IF('Gantt Proyectos'!AK113&gt;0,SUMIFS('Listas y Parametros'!$C$45:$L$45,'Listas y Parametros'!$C$35:$L$35,'Costo Directo Proyectos'!$AD45)*$AG45,0)+IF('Gantt Proyectos'!AK113=2,$T45,0)/$W45,0)*$L45</f>
        <v>0</v>
      </c>
      <c r="AN45" s="169">
        <f>IFERROR(IF('Gantt Proyectos'!AL113&gt;0,SUMIFS('Listas y Parametros'!$C$45:$L$45,'Listas y Parametros'!$C$35:$L$35,'Costo Directo Proyectos'!$AD45)*$AG45,0)+IF('Gantt Proyectos'!AL113=2,$T45,0)/$W45,0)*$L45</f>
        <v>0</v>
      </c>
      <c r="AO45" s="169">
        <f>IFERROR(IF('Gantt Proyectos'!AM113&gt;0,SUMIFS('Listas y Parametros'!$C$45:$L$45,'Listas y Parametros'!$C$35:$L$35,'Costo Directo Proyectos'!$AD45)*$AG45,0)+IF('Gantt Proyectos'!AM113=2,$T45,0)/$W45,0)*$L45</f>
        <v>0</v>
      </c>
      <c r="AP45" s="170">
        <f>IFERROR(IF('Gantt Proyectos'!AN113&gt;0,SUMIFS('Listas y Parametros'!$C$45:$L$45,'Listas y Parametros'!$C$35:$L$35,'Costo Directo Proyectos'!$AD45)*$AG45,0)+IF('Gantt Proyectos'!AN113=2,$T45,0)/$W45,0)*$L45</f>
        <v>0</v>
      </c>
    </row>
    <row r="46" spans="3:42" ht="15" x14ac:dyDescent="0.2">
      <c r="C46" s="117">
        <f>+'Gantt Proyectos'!C114</f>
        <v>18</v>
      </c>
      <c r="D46" s="118" t="str">
        <f>+'Gantt Proyectos'!D114</f>
        <v>Estrategia de Valor para Mina Cobriza</v>
      </c>
      <c r="E46" s="118" t="str">
        <f>+'Gantt Proyectos'!E114</f>
        <v>OCP</v>
      </c>
      <c r="F46" s="146" t="str">
        <f>+'Gantt Proyectos'!F114</f>
        <v>Perú</v>
      </c>
      <c r="G46" s="118" t="str">
        <f>+'Gantt Proyectos'!G114</f>
        <v>Chile</v>
      </c>
      <c r="H46" s="118" t="str">
        <f>+'Gantt Proyectos'!H114</f>
        <v>Perú</v>
      </c>
      <c r="I46" s="189">
        <v>0.5</v>
      </c>
      <c r="J46" s="189">
        <f t="shared" si="12"/>
        <v>0.5</v>
      </c>
      <c r="K46" s="118" t="str">
        <f>+'Gantt Proyectos'!I114</f>
        <v>Subterránea</v>
      </c>
      <c r="L46" s="120">
        <f>+'Gantt Proyectos'!J114</f>
        <v>1</v>
      </c>
      <c r="M46" s="118" t="str">
        <f>+'Gantt Proyectos'!K114</f>
        <v>MF</v>
      </c>
      <c r="N46" s="118">
        <f>+'Gantt Proyectos'!L114</f>
        <v>184000</v>
      </c>
      <c r="O46" s="118">
        <f>+'Gantt Proyectos'!M114</f>
        <v>0</v>
      </c>
      <c r="P46" s="118">
        <f>+'Gantt Proyectos'!N114</f>
        <v>2</v>
      </c>
      <c r="Q46" s="119">
        <f>+'Gantt Proyectos'!O114</f>
        <v>45691</v>
      </c>
      <c r="R46" s="119">
        <f>+'Gantt Proyectos'!P114</f>
        <v>45881</v>
      </c>
      <c r="S46" s="118" t="str">
        <f>+'Gantt Proyectos'!R114</f>
        <v>No</v>
      </c>
      <c r="T46" s="118">
        <f>+'Gantt Proyectos'!S114</f>
        <v>0</v>
      </c>
      <c r="U46" s="156">
        <f>+'Gantt Proyectos'!T114</f>
        <v>45691</v>
      </c>
      <c r="V46" s="156">
        <f>+'Gantt Proyectos'!U114</f>
        <v>45881</v>
      </c>
      <c r="W46" s="201">
        <f t="shared" si="13"/>
        <v>7</v>
      </c>
      <c r="X46" s="121">
        <f>+'Gantt Proyectos'!W114</f>
        <v>0.72035794183445179</v>
      </c>
      <c r="Y46" s="122">
        <f>+'Gantt Proyectos'!X114</f>
        <v>0.25</v>
      </c>
      <c r="Z46" s="122">
        <f>+'Gantt Proyectos'!Y114</f>
        <v>0.33</v>
      </c>
      <c r="AA46" s="122">
        <f>+'Gantt Proyectos'!Z114</f>
        <v>0</v>
      </c>
      <c r="AB46" s="122">
        <f>+'Gantt Proyectos'!AA114</f>
        <v>0.5</v>
      </c>
      <c r="AC46" s="122">
        <f>+'Gantt Proyectos'!AB114</f>
        <v>0.5</v>
      </c>
      <c r="AD46" s="152" t="str">
        <f>+'Gantt Proyectos'!AC114</f>
        <v>Estudio Conceptual / LOM</v>
      </c>
      <c r="AE46" s="123" t="str">
        <f>+'Gantt Proyectos'!AD114</f>
        <v>Actual</v>
      </c>
      <c r="AF46" s="124" t="str">
        <f>+'Gantt Proyectos'!AE114</f>
        <v>3. Avance: 25%</v>
      </c>
      <c r="AG46" s="172">
        <v>1</v>
      </c>
      <c r="AH46" s="168">
        <f>IFERROR(IF('Gantt Proyectos'!AF114&gt;0,SUMIFS('Listas y Parametros'!$C$45:$L$45,'Listas y Parametros'!$C$35:$L$35,'Costo Directo Proyectos'!$AD46)*$AG46,0)+IF('Gantt Proyectos'!AF114=2,$T46,0)/$W46,0)*$L46</f>
        <v>11999.746041754239</v>
      </c>
      <c r="AI46" s="169">
        <f>IFERROR(IF('Gantt Proyectos'!AG114&gt;0,SUMIFS('Listas y Parametros'!$C$45:$L$45,'Listas y Parametros'!$C$35:$L$35,'Costo Directo Proyectos'!$AD46)*$AG46,0)+IF('Gantt Proyectos'!AG114=2,$T46,0)/$W46,0)*$L46</f>
        <v>11999.746041754239</v>
      </c>
      <c r="AJ46" s="169">
        <f>IFERROR(IF('Gantt Proyectos'!AH114&gt;0,SUMIFS('Listas y Parametros'!$C$45:$L$45,'Listas y Parametros'!$C$35:$L$35,'Costo Directo Proyectos'!$AD46)*$AG46,0)+IF('Gantt Proyectos'!AH114=2,$T46,0)/$W46,0)*$L46</f>
        <v>11999.746041754239</v>
      </c>
      <c r="AK46" s="169">
        <f>IFERROR(IF('Gantt Proyectos'!AI114&gt;0,SUMIFS('Listas y Parametros'!$C$45:$L$45,'Listas y Parametros'!$C$35:$L$35,'Costo Directo Proyectos'!$AD46)*$AG46,0)+IF('Gantt Proyectos'!AI114=2,$T46,0)/$W46,0)*$L46</f>
        <v>11999.746041754239</v>
      </c>
      <c r="AL46" s="169">
        <f>IFERROR(IF('Gantt Proyectos'!AJ114&gt;0,SUMIFS('Listas y Parametros'!$C$45:$L$45,'Listas y Parametros'!$C$35:$L$35,'Costo Directo Proyectos'!$AD46)*$AG46,0)+IF('Gantt Proyectos'!AJ114=2,$T46,0)/$W46,0)*$L46</f>
        <v>11999.746041754239</v>
      </c>
      <c r="AM46" s="169">
        <f>IFERROR(IF('Gantt Proyectos'!AK114&gt;0,SUMIFS('Listas y Parametros'!$C$45:$L$45,'Listas y Parametros'!$C$35:$L$35,'Costo Directo Proyectos'!$AD46)*$AG46,0)+IF('Gantt Proyectos'!AK114=2,$T46,0)/$W46,0)*$L46</f>
        <v>0</v>
      </c>
      <c r="AN46" s="169">
        <f>IFERROR(IF('Gantt Proyectos'!AL114&gt;0,SUMIFS('Listas y Parametros'!$C$45:$L$45,'Listas y Parametros'!$C$35:$L$35,'Costo Directo Proyectos'!$AD46)*$AG46,0)+IF('Gantt Proyectos'!AL114=2,$T46,0)/$W46,0)*$L46</f>
        <v>0</v>
      </c>
      <c r="AO46" s="169">
        <f>IFERROR(IF('Gantt Proyectos'!AM114&gt;0,SUMIFS('Listas y Parametros'!$C$45:$L$45,'Listas y Parametros'!$C$35:$L$35,'Costo Directo Proyectos'!$AD46)*$AG46,0)+IF('Gantt Proyectos'!AM114=2,$T46,0)/$W46,0)*$L46</f>
        <v>0</v>
      </c>
      <c r="AP46" s="170">
        <f>IFERROR(IF('Gantt Proyectos'!AN114&gt;0,SUMIFS('Listas y Parametros'!$C$45:$L$45,'Listas y Parametros'!$C$35:$L$35,'Costo Directo Proyectos'!$AD46)*$AG46,0)+IF('Gantt Proyectos'!AN114=2,$T46,0)/$W46,0)*$L46</f>
        <v>0</v>
      </c>
    </row>
    <row r="47" spans="3:42" ht="15" x14ac:dyDescent="0.2">
      <c r="C47" s="117">
        <f>+'Gantt Proyectos'!C115</f>
        <v>19</v>
      </c>
      <c r="D47" s="118" t="str">
        <f>+'Gantt Proyectos'!D115</f>
        <v>PFS Ferrobamba UG (MEIA)</v>
      </c>
      <c r="E47" s="118" t="str">
        <f>+'Gantt Proyectos'!E115</f>
        <v>Las Bambas</v>
      </c>
      <c r="F47" s="146" t="str">
        <f>+'Gantt Proyectos'!F115</f>
        <v>Perú</v>
      </c>
      <c r="G47" s="118" t="str">
        <f>+'Gantt Proyectos'!G115</f>
        <v>Chile</v>
      </c>
      <c r="H47" s="118">
        <f>+'Gantt Proyectos'!H115</f>
        <v>0</v>
      </c>
      <c r="I47" s="189">
        <v>1</v>
      </c>
      <c r="J47" s="189">
        <f t="shared" si="12"/>
        <v>0</v>
      </c>
      <c r="K47" s="118" t="str">
        <f>+'Gantt Proyectos'!I115</f>
        <v>Subterránea</v>
      </c>
      <c r="L47" s="120">
        <f>+'Gantt Proyectos'!J115</f>
        <v>1</v>
      </c>
      <c r="M47" s="118" t="str">
        <f>+'Gantt Proyectos'!K115</f>
        <v>RM</v>
      </c>
      <c r="N47" s="118">
        <f>+'Gantt Proyectos'!L115</f>
        <v>600000</v>
      </c>
      <c r="O47" s="118">
        <f>+'Gantt Proyectos'!M115</f>
        <v>62911.409999999916</v>
      </c>
      <c r="P47" s="118">
        <f>+'Gantt Proyectos'!N115</f>
        <v>2</v>
      </c>
      <c r="Q47" s="119">
        <f>+'Gantt Proyectos'!O115</f>
        <v>45719</v>
      </c>
      <c r="R47" s="119">
        <f>+'Gantt Proyectos'!P115</f>
        <v>45872</v>
      </c>
      <c r="S47" s="118" t="str">
        <f>+'Gantt Proyectos'!R115</f>
        <v>No</v>
      </c>
      <c r="T47" s="118">
        <f>+'Gantt Proyectos'!S115</f>
        <v>0</v>
      </c>
      <c r="U47" s="156">
        <f>+'Gantt Proyectos'!T115</f>
        <v>45719</v>
      </c>
      <c r="V47" s="156">
        <f>+'Gantt Proyectos'!U115</f>
        <v>45872</v>
      </c>
      <c r="W47" s="201">
        <f t="shared" si="13"/>
        <v>6</v>
      </c>
      <c r="X47" s="121">
        <f>+'Gantt Proyectos'!W115</f>
        <v>0.97986577181208034</v>
      </c>
      <c r="Y47" s="122">
        <f>+'Gantt Proyectos'!X115</f>
        <v>0.33</v>
      </c>
      <c r="Z47" s="122">
        <f>+'Gantt Proyectos'!Y115</f>
        <v>0.33</v>
      </c>
      <c r="AA47" s="122">
        <f>+'Gantt Proyectos'!Z115</f>
        <v>0.5</v>
      </c>
      <c r="AB47" s="122">
        <f>+'Gantt Proyectos'!AA115</f>
        <v>1</v>
      </c>
      <c r="AC47" s="122">
        <f>+'Gantt Proyectos'!AB115</f>
        <v>0</v>
      </c>
      <c r="AD47" s="152" t="str">
        <f>+'Gantt Proyectos'!AC115</f>
        <v>Permisos / MEIA</v>
      </c>
      <c r="AE47" s="123" t="str">
        <f>+'Gantt Proyectos'!AD115</f>
        <v>Actual</v>
      </c>
      <c r="AF47" s="124" t="str">
        <f>+'Gantt Proyectos'!AE115</f>
        <v>3. Avance: 25%</v>
      </c>
      <c r="AG47" s="172">
        <v>1</v>
      </c>
      <c r="AH47" s="168">
        <f>IFERROR(IF('Gantt Proyectos'!AF115&gt;0,SUMIFS('Listas y Parametros'!$C$45:$L$45,'Listas y Parametros'!$C$35:$L$35,'Costo Directo Proyectos'!$AD47)*$AG47,0)+IF('Gantt Proyectos'!AF115=2,$T47,0)/$W47,0)*$L47</f>
        <v>19375.262715426652</v>
      </c>
      <c r="AI47" s="169">
        <f>IFERROR(IF('Gantt Proyectos'!AG115&gt;0,SUMIFS('Listas y Parametros'!$C$45:$L$45,'Listas y Parametros'!$C$35:$L$35,'Costo Directo Proyectos'!$AD47)*$AG47,0)+IF('Gantt Proyectos'!AG115=2,$T47,0)/$W47,0)*$L47</f>
        <v>19375.262715426652</v>
      </c>
      <c r="AJ47" s="169">
        <f>IFERROR(IF('Gantt Proyectos'!AH115&gt;0,SUMIFS('Listas y Parametros'!$C$45:$L$45,'Listas y Parametros'!$C$35:$L$35,'Costo Directo Proyectos'!$AD47)*$AG47,0)+IF('Gantt Proyectos'!AH115=2,$T47,0)/$W47,0)*$L47</f>
        <v>19375.262715426652</v>
      </c>
      <c r="AK47" s="169">
        <f>IFERROR(IF('Gantt Proyectos'!AI115&gt;0,SUMIFS('Listas y Parametros'!$C$45:$L$45,'Listas y Parametros'!$C$35:$L$35,'Costo Directo Proyectos'!$AD47)*$AG47,0)+IF('Gantt Proyectos'!AI115=2,$T47,0)/$W47,0)*$L47</f>
        <v>19375.262715426652</v>
      </c>
      <c r="AL47" s="169">
        <f>IFERROR(IF('Gantt Proyectos'!AJ115&gt;0,SUMIFS('Listas y Parametros'!$C$45:$L$45,'Listas y Parametros'!$C$35:$L$35,'Costo Directo Proyectos'!$AD47)*$AG47,0)+IF('Gantt Proyectos'!AJ115=2,$T47,0)/$W47,0)*$L47</f>
        <v>19375.262715426652</v>
      </c>
      <c r="AM47" s="169">
        <f>IFERROR(IF('Gantt Proyectos'!AK115&gt;0,SUMIFS('Listas y Parametros'!$C$45:$L$45,'Listas y Parametros'!$C$35:$L$35,'Costo Directo Proyectos'!$AD47)*$AG47,0)+IF('Gantt Proyectos'!AK115=2,$T47,0)/$W47,0)*$L47</f>
        <v>0</v>
      </c>
      <c r="AN47" s="169">
        <f>IFERROR(IF('Gantt Proyectos'!AL115&gt;0,SUMIFS('Listas y Parametros'!$C$45:$L$45,'Listas y Parametros'!$C$35:$L$35,'Costo Directo Proyectos'!$AD47)*$AG47,0)+IF('Gantt Proyectos'!AL115=2,$T47,0)/$W47,0)*$L47</f>
        <v>0</v>
      </c>
      <c r="AO47" s="169">
        <f>IFERROR(IF('Gantt Proyectos'!AM115&gt;0,SUMIFS('Listas y Parametros'!$C$45:$L$45,'Listas y Parametros'!$C$35:$L$35,'Costo Directo Proyectos'!$AD47)*$AG47,0)+IF('Gantt Proyectos'!AM115=2,$T47,0)/$W47,0)*$L47</f>
        <v>0</v>
      </c>
      <c r="AP47" s="170">
        <f>IFERROR(IF('Gantt Proyectos'!AN115&gt;0,SUMIFS('Listas y Parametros'!$C$45:$L$45,'Listas y Parametros'!$C$35:$L$35,'Costo Directo Proyectos'!$AD47)*$AG47,0)+IF('Gantt Proyectos'!AN115=2,$T47,0)/$W47,0)*$L47</f>
        <v>0</v>
      </c>
    </row>
    <row r="48" spans="3:42" ht="15" x14ac:dyDescent="0.2">
      <c r="C48" s="117">
        <f>+'Gantt Proyectos'!C116</f>
        <v>20</v>
      </c>
      <c r="D48" s="118" t="str">
        <f>+'Gantt Proyectos'!D116</f>
        <v>BHP: Análisis de accesibilidad para MEL UG</v>
      </c>
      <c r="E48" s="118" t="str">
        <f>+'Gantt Proyectos'!E116</f>
        <v>MEL</v>
      </c>
      <c r="F48" s="146" t="str">
        <f>+'Gantt Proyectos'!F116</f>
        <v>Chile</v>
      </c>
      <c r="G48" s="118" t="str">
        <f>+'Gantt Proyectos'!G116</f>
        <v>Chile</v>
      </c>
      <c r="H48" s="118">
        <f>+'Gantt Proyectos'!H116</f>
        <v>0</v>
      </c>
      <c r="I48" s="189">
        <v>1</v>
      </c>
      <c r="J48" s="189">
        <f t="shared" si="12"/>
        <v>0</v>
      </c>
      <c r="K48" s="118" t="str">
        <f>+'Gantt Proyectos'!I116</f>
        <v>Subterránea</v>
      </c>
      <c r="L48" s="120">
        <f>+'Gantt Proyectos'!J116</f>
        <v>1</v>
      </c>
      <c r="M48" s="118" t="str">
        <f>+'Gantt Proyectos'!K116</f>
        <v>CA</v>
      </c>
      <c r="N48" s="118">
        <f>+'Gantt Proyectos'!L116</f>
        <v>198920</v>
      </c>
      <c r="O48" s="118" t="str">
        <f>+'Gantt Proyectos'!M116</f>
        <v>Saldo [USD]</v>
      </c>
      <c r="P48" s="118">
        <f>+'Gantt Proyectos'!N116</f>
        <v>1</v>
      </c>
      <c r="Q48" s="119">
        <f>+'Gantt Proyectos'!O116</f>
        <v>45754</v>
      </c>
      <c r="R48" s="119">
        <f>+'Gantt Proyectos'!P116</f>
        <v>45845</v>
      </c>
      <c r="S48" s="118" t="str">
        <f>+'Gantt Proyectos'!R116</f>
        <v>No</v>
      </c>
      <c r="T48" s="118">
        <f>+'Gantt Proyectos'!S116</f>
        <v>0</v>
      </c>
      <c r="U48" s="156">
        <f>+'Gantt Proyectos'!T116</f>
        <v>45754</v>
      </c>
      <c r="V48" s="156">
        <f>+'Gantt Proyectos'!U116</f>
        <v>45845</v>
      </c>
      <c r="W48" s="201">
        <f t="shared" si="13"/>
        <v>3</v>
      </c>
      <c r="X48" s="121">
        <f>+'Gantt Proyectos'!W116</f>
        <v>1.4474272930648768</v>
      </c>
      <c r="Y48" s="122">
        <f>+'Gantt Proyectos'!X116</f>
        <v>0.33</v>
      </c>
      <c r="Z48" s="122">
        <f>+'Gantt Proyectos'!Y116</f>
        <v>0.5</v>
      </c>
      <c r="AA48" s="122">
        <f>+'Gantt Proyectos'!Z116</f>
        <v>0.33</v>
      </c>
      <c r="AB48" s="122">
        <f>+'Gantt Proyectos'!AA116</f>
        <v>1</v>
      </c>
      <c r="AC48" s="122">
        <f>+'Gantt Proyectos'!AB116</f>
        <v>1</v>
      </c>
      <c r="AD48" s="152" t="str">
        <f>+'Gantt Proyectos'!AC116</f>
        <v>Scoping</v>
      </c>
      <c r="AE48" s="123" t="str">
        <f>+'Gantt Proyectos'!AD116</f>
        <v>Actual</v>
      </c>
      <c r="AF48" s="124" t="str">
        <f>+'Gantt Proyectos'!AE116</f>
        <v>3. Avance: 25%</v>
      </c>
      <c r="AG48" s="172">
        <v>1</v>
      </c>
      <c r="AH48" s="168">
        <f>IFERROR(IF('Gantt Proyectos'!AF116&gt;0,SUMIFS('Listas y Parametros'!$C$45:$L$45,'Listas y Parametros'!$C$35:$L$35,'Costo Directo Proyectos'!$AD48)*$AG48,0)+IF('Gantt Proyectos'!AF116=2,$T48,0)/$W48,0)*$L48</f>
        <v>22950.644528513381</v>
      </c>
      <c r="AI48" s="169">
        <f>IFERROR(IF('Gantt Proyectos'!AG116&gt;0,SUMIFS('Listas y Parametros'!$C$45:$L$45,'Listas y Parametros'!$C$35:$L$35,'Costo Directo Proyectos'!$AD48)*$AG48,0)+IF('Gantt Proyectos'!AG116=2,$T48,0)/$W48,0)*$L48</f>
        <v>22950.644528513381</v>
      </c>
      <c r="AJ48" s="169">
        <f>IFERROR(IF('Gantt Proyectos'!AH116&gt;0,SUMIFS('Listas y Parametros'!$C$45:$L$45,'Listas y Parametros'!$C$35:$L$35,'Costo Directo Proyectos'!$AD48)*$AG48,0)+IF('Gantt Proyectos'!AH116=2,$T48,0)/$W48,0)*$L48</f>
        <v>22950.644528513381</v>
      </c>
      <c r="AK48" s="169">
        <f>IFERROR(IF('Gantt Proyectos'!AI116&gt;0,SUMIFS('Listas y Parametros'!$C$45:$L$45,'Listas y Parametros'!$C$35:$L$35,'Costo Directo Proyectos'!$AD48)*$AG48,0)+IF('Gantt Proyectos'!AI116=2,$T48,0)/$W48,0)*$L48</f>
        <v>22950.644528513381</v>
      </c>
      <c r="AL48" s="169">
        <f>IFERROR(IF('Gantt Proyectos'!AJ116&gt;0,SUMIFS('Listas y Parametros'!$C$45:$L$45,'Listas y Parametros'!$C$35:$L$35,'Costo Directo Proyectos'!$AD48)*$AG48,0)+IF('Gantt Proyectos'!AJ116=2,$T48,0)/$W48,0)*$L48</f>
        <v>0</v>
      </c>
      <c r="AM48" s="169">
        <f>IFERROR(IF('Gantt Proyectos'!AK116&gt;0,SUMIFS('Listas y Parametros'!$C$45:$L$45,'Listas y Parametros'!$C$35:$L$35,'Costo Directo Proyectos'!$AD48)*$AG48,0)+IF('Gantt Proyectos'!AK116=2,$T48,0)/$W48,0)*$L48</f>
        <v>0</v>
      </c>
      <c r="AN48" s="169">
        <f>IFERROR(IF('Gantt Proyectos'!AL116&gt;0,SUMIFS('Listas y Parametros'!$C$45:$L$45,'Listas y Parametros'!$C$35:$L$35,'Costo Directo Proyectos'!$AD48)*$AG48,0)+IF('Gantt Proyectos'!AL116=2,$T48,0)/$W48,0)*$L48</f>
        <v>0</v>
      </c>
      <c r="AO48" s="169">
        <f>IFERROR(IF('Gantt Proyectos'!AM116&gt;0,SUMIFS('Listas y Parametros'!$C$45:$L$45,'Listas y Parametros'!$C$35:$L$35,'Costo Directo Proyectos'!$AD48)*$AG48,0)+IF('Gantt Proyectos'!AM116=2,$T48,0)/$W48,0)*$L48</f>
        <v>0</v>
      </c>
      <c r="AP48" s="170">
        <f>IFERROR(IF('Gantt Proyectos'!AN116&gt;0,SUMIFS('Listas y Parametros'!$C$45:$L$45,'Listas y Parametros'!$C$35:$L$35,'Costo Directo Proyectos'!$AD48)*$AG48,0)+IF('Gantt Proyectos'!AN116=2,$T48,0)/$W48,0)*$L48</f>
        <v>0</v>
      </c>
    </row>
    <row r="49" spans="3:42" ht="15" x14ac:dyDescent="0.2">
      <c r="C49" s="117">
        <f>+'Gantt Proyectos'!C117</f>
        <v>21</v>
      </c>
      <c r="D49" s="118" t="str">
        <f>+'Gantt Proyectos'!D117</f>
        <v>Resolution: Análisis de Proyecto Túnel 68L</v>
      </c>
      <c r="E49" s="118" t="str">
        <f>+'Gantt Proyectos'!E117</f>
        <v>BHP</v>
      </c>
      <c r="F49" s="146" t="str">
        <f>+'Gantt Proyectos'!F117</f>
        <v>Chile</v>
      </c>
      <c r="G49" s="118" t="str">
        <f>+'Gantt Proyectos'!G117</f>
        <v>Chile</v>
      </c>
      <c r="H49" s="118" t="str">
        <f>+'Gantt Proyectos'!H117</f>
        <v>Perú</v>
      </c>
      <c r="I49" s="189">
        <v>0.5</v>
      </c>
      <c r="J49" s="189">
        <f t="shared" si="12"/>
        <v>0.5</v>
      </c>
      <c r="K49" s="118" t="str">
        <f>+'Gantt Proyectos'!I117</f>
        <v>Subterránea</v>
      </c>
      <c r="L49" s="120">
        <f>+'Gantt Proyectos'!J117</f>
        <v>1</v>
      </c>
      <c r="M49" s="118" t="str">
        <f>+'Gantt Proyectos'!K117</f>
        <v>CA</v>
      </c>
      <c r="N49" s="118">
        <f>+'Gantt Proyectos'!L117</f>
        <v>47808</v>
      </c>
      <c r="O49" s="118">
        <f>+'Gantt Proyectos'!M117</f>
        <v>0</v>
      </c>
      <c r="P49" s="118">
        <f>+'Gantt Proyectos'!N117</f>
        <v>1</v>
      </c>
      <c r="Q49" s="119">
        <f>+'Gantt Proyectos'!O117</f>
        <v>45768</v>
      </c>
      <c r="R49" s="119">
        <f>+'Gantt Proyectos'!P117</f>
        <v>45803</v>
      </c>
      <c r="S49" s="118" t="str">
        <f>+'Gantt Proyectos'!R117</f>
        <v>No</v>
      </c>
      <c r="T49" s="118">
        <f>+'Gantt Proyectos'!S117</f>
        <v>0</v>
      </c>
      <c r="U49" s="156">
        <f>+'Gantt Proyectos'!T117</f>
        <v>45768</v>
      </c>
      <c r="V49" s="156">
        <f>+'Gantt Proyectos'!U117</f>
        <v>45803</v>
      </c>
      <c r="W49" s="201">
        <f t="shared" si="13"/>
        <v>2</v>
      </c>
      <c r="X49" s="121">
        <f>+'Gantt Proyectos'!W117</f>
        <v>1</v>
      </c>
      <c r="Y49" s="122">
        <f>+'Gantt Proyectos'!X117</f>
        <v>0.33</v>
      </c>
      <c r="Z49" s="122">
        <f>+'Gantt Proyectos'!Y117</f>
        <v>0.5</v>
      </c>
      <c r="AA49" s="122">
        <f>+'Gantt Proyectos'!Z117</f>
        <v>0.33</v>
      </c>
      <c r="AB49" s="122">
        <f>+'Gantt Proyectos'!AA117</f>
        <v>1</v>
      </c>
      <c r="AC49" s="122">
        <f>+'Gantt Proyectos'!AB117</f>
        <v>0</v>
      </c>
      <c r="AD49" s="152" t="str">
        <f>+'Gantt Proyectos'!AC117</f>
        <v>Consultoria y Due Dilligence</v>
      </c>
      <c r="AE49" s="123" t="str">
        <f>+'Gantt Proyectos'!AD117</f>
        <v>Actual</v>
      </c>
      <c r="AF49" s="124" t="str">
        <f>+'Gantt Proyectos'!AE117</f>
        <v>2. KOM</v>
      </c>
      <c r="AG49" s="172">
        <v>1</v>
      </c>
      <c r="AH49" s="168">
        <f>IFERROR(IF('Gantt Proyectos'!AF117&gt;0,SUMIFS('Listas y Parametros'!$C$45:$L$45,'Listas y Parametros'!$C$35:$L$35,'Costo Directo Proyectos'!$AD49)*$AG49,0)+IF('Gantt Proyectos'!AF117=2,$T49,0)/$W49,0)*$L49</f>
        <v>19463.097239736584</v>
      </c>
      <c r="AI49" s="169">
        <f>IFERROR(IF('Gantt Proyectos'!AG117&gt;0,SUMIFS('Listas y Parametros'!$C$45:$L$45,'Listas y Parametros'!$C$35:$L$35,'Costo Directo Proyectos'!$AD49)*$AG49,0)+IF('Gantt Proyectos'!AG117=2,$T49,0)/$W49,0)*$L49</f>
        <v>19463.097239736584</v>
      </c>
      <c r="AJ49" s="169">
        <f>IFERROR(IF('Gantt Proyectos'!AH117&gt;0,SUMIFS('Listas y Parametros'!$C$45:$L$45,'Listas y Parametros'!$C$35:$L$35,'Costo Directo Proyectos'!$AD49)*$AG49,0)+IF('Gantt Proyectos'!AH117=2,$T49,0)/$W49,0)*$L49</f>
        <v>0</v>
      </c>
      <c r="AK49" s="169">
        <f>IFERROR(IF('Gantt Proyectos'!AI117&gt;0,SUMIFS('Listas y Parametros'!$C$45:$L$45,'Listas y Parametros'!$C$35:$L$35,'Costo Directo Proyectos'!$AD49)*$AG49,0)+IF('Gantt Proyectos'!AI117=2,$T49,0)/$W49,0)*$L49</f>
        <v>0</v>
      </c>
      <c r="AL49" s="169">
        <f>IFERROR(IF('Gantt Proyectos'!AJ117&gt;0,SUMIFS('Listas y Parametros'!$C$45:$L$45,'Listas y Parametros'!$C$35:$L$35,'Costo Directo Proyectos'!$AD49)*$AG49,0)+IF('Gantt Proyectos'!AJ117=2,$T49,0)/$W49,0)*$L49</f>
        <v>0</v>
      </c>
      <c r="AM49" s="169">
        <f>IFERROR(IF('Gantt Proyectos'!AK117&gt;0,SUMIFS('Listas y Parametros'!$C$45:$L$45,'Listas y Parametros'!$C$35:$L$35,'Costo Directo Proyectos'!$AD49)*$AG49,0)+IF('Gantt Proyectos'!AK117=2,$T49,0)/$W49,0)*$L49</f>
        <v>0</v>
      </c>
      <c r="AN49" s="169">
        <f>IFERROR(IF('Gantt Proyectos'!AL117&gt;0,SUMIFS('Listas y Parametros'!$C$45:$L$45,'Listas y Parametros'!$C$35:$L$35,'Costo Directo Proyectos'!$AD49)*$AG49,0)+IF('Gantt Proyectos'!AL117=2,$T49,0)/$W49,0)*$L49</f>
        <v>0</v>
      </c>
      <c r="AO49" s="169">
        <f>IFERROR(IF('Gantt Proyectos'!AM117&gt;0,SUMIFS('Listas y Parametros'!$C$45:$L$45,'Listas y Parametros'!$C$35:$L$35,'Costo Directo Proyectos'!$AD49)*$AG49,0)+IF('Gantt Proyectos'!AM117=2,$T49,0)/$W49,0)*$L49</f>
        <v>0</v>
      </c>
      <c r="AP49" s="170">
        <f>IFERROR(IF('Gantt Proyectos'!AN117&gt;0,SUMIFS('Listas y Parametros'!$C$45:$L$45,'Listas y Parametros'!$C$35:$L$35,'Costo Directo Proyectos'!$AD49)*$AG49,0)+IF('Gantt Proyectos'!AN117=2,$T49,0)/$W49,0)*$L49</f>
        <v>0</v>
      </c>
    </row>
    <row r="50" spans="3:42" ht="15" x14ac:dyDescent="0.2">
      <c r="C50" s="117">
        <f>+'Gantt Proyectos'!C118</f>
        <v>22</v>
      </c>
      <c r="D50" s="118" t="str">
        <f>+'Gantt Proyectos'!D118</f>
        <v>Cajati: Actualización Ingeniería P1</v>
      </c>
      <c r="E50" s="118" t="str">
        <f>+'Gantt Proyectos'!E118</f>
        <v>Mosaic</v>
      </c>
      <c r="F50" s="146" t="str">
        <f>+'Gantt Proyectos'!F118</f>
        <v>Brasil</v>
      </c>
      <c r="G50" s="118" t="str">
        <f>+'Gantt Proyectos'!G118</f>
        <v>Chile</v>
      </c>
      <c r="H50" s="118">
        <f>+'Gantt Proyectos'!H118</f>
        <v>0</v>
      </c>
      <c r="I50" s="189">
        <v>1</v>
      </c>
      <c r="J50" s="189">
        <f t="shared" si="12"/>
        <v>0</v>
      </c>
      <c r="K50" s="118" t="str">
        <f>+'Gantt Proyectos'!I118</f>
        <v>Subterránea</v>
      </c>
      <c r="L50" s="120">
        <f>+'Gantt Proyectos'!J118</f>
        <v>1</v>
      </c>
      <c r="M50" s="118" t="str">
        <f>+'Gantt Proyectos'!K118</f>
        <v>AF</v>
      </c>
      <c r="N50" s="118">
        <f>+'Gantt Proyectos'!L118</f>
        <v>147935</v>
      </c>
      <c r="O50" s="118">
        <f>+'Gantt Proyectos'!M118</f>
        <v>0</v>
      </c>
      <c r="P50" s="118">
        <f>+'Gantt Proyectos'!N118</f>
        <v>3</v>
      </c>
      <c r="Q50" s="119">
        <f>+'Gantt Proyectos'!O118</f>
        <v>45726</v>
      </c>
      <c r="R50" s="119">
        <f>+'Gantt Proyectos'!P118</f>
        <v>45866</v>
      </c>
      <c r="S50" s="118" t="str">
        <f>+'Gantt Proyectos'!R118</f>
        <v>No</v>
      </c>
      <c r="T50" s="118">
        <f>+'Gantt Proyectos'!S118</f>
        <v>0</v>
      </c>
      <c r="U50" s="156">
        <f>+'Gantt Proyectos'!T118</f>
        <v>45726</v>
      </c>
      <c r="V50" s="156">
        <f>+'Gantt Proyectos'!U118</f>
        <v>45866</v>
      </c>
      <c r="W50" s="201">
        <f t="shared" si="13"/>
        <v>5</v>
      </c>
      <c r="X50" s="121">
        <f>+'Gantt Proyectos'!W118</f>
        <v>2.5503355704697985</v>
      </c>
      <c r="Y50" s="122">
        <f>+'Gantt Proyectos'!X118</f>
        <v>0.5</v>
      </c>
      <c r="Z50" s="122">
        <f>+'Gantt Proyectos'!Y118</f>
        <v>0.67</v>
      </c>
      <c r="AA50" s="122">
        <f>+'Gantt Proyectos'!Z118</f>
        <v>1</v>
      </c>
      <c r="AB50" s="122">
        <f>+'Gantt Proyectos'!AA118</f>
        <v>2.5</v>
      </c>
      <c r="AC50" s="122">
        <f>+'Gantt Proyectos'!AB118</f>
        <v>1</v>
      </c>
      <c r="AD50" s="152" t="str">
        <f>+'Gantt Proyectos'!AC118</f>
        <v>FS e Ing. Basica</v>
      </c>
      <c r="AE50" s="123" t="str">
        <f>+'Gantt Proyectos'!AD118</f>
        <v>Actual</v>
      </c>
      <c r="AF50" s="124" t="str">
        <f>+'Gantt Proyectos'!AE118</f>
        <v>2. KOM</v>
      </c>
      <c r="AG50" s="172">
        <v>1</v>
      </c>
      <c r="AH50" s="168">
        <f>IFERROR(IF('Gantt Proyectos'!AF118&gt;0,SUMIFS('Listas y Parametros'!$C$45:$L$45,'Listas y Parametros'!$C$35:$L$35,'Costo Directo Proyectos'!$AD50)*$AG50,0)+IF('Gantt Proyectos'!AF118=2,$T50,0)/$W50,0)*$L50</f>
        <v>42832.247442903179</v>
      </c>
      <c r="AI50" s="169">
        <f>IFERROR(IF('Gantt Proyectos'!AG118&gt;0,SUMIFS('Listas y Parametros'!$C$45:$L$45,'Listas y Parametros'!$C$35:$L$35,'Costo Directo Proyectos'!$AD50)*$AG50,0)+IF('Gantt Proyectos'!AG118=2,$T50,0)/$W50,0)*$L50</f>
        <v>42832.247442903179</v>
      </c>
      <c r="AJ50" s="169">
        <f>IFERROR(IF('Gantt Proyectos'!AH118&gt;0,SUMIFS('Listas y Parametros'!$C$45:$L$45,'Listas y Parametros'!$C$35:$L$35,'Costo Directo Proyectos'!$AD50)*$AG50,0)+IF('Gantt Proyectos'!AH118=2,$T50,0)/$W50,0)*$L50</f>
        <v>42832.247442903179</v>
      </c>
      <c r="AK50" s="169">
        <f>IFERROR(IF('Gantt Proyectos'!AI118&gt;0,SUMIFS('Listas y Parametros'!$C$45:$L$45,'Listas y Parametros'!$C$35:$L$35,'Costo Directo Proyectos'!$AD50)*$AG50,0)+IF('Gantt Proyectos'!AI118=2,$T50,0)/$W50,0)*$L50</f>
        <v>42832.247442903179</v>
      </c>
      <c r="AL50" s="169">
        <f>IFERROR(IF('Gantt Proyectos'!AJ118&gt;0,SUMIFS('Listas y Parametros'!$C$45:$L$45,'Listas y Parametros'!$C$35:$L$35,'Costo Directo Proyectos'!$AD50)*$AG50,0)+IF('Gantt Proyectos'!AJ118=2,$T50,0)/$W50,0)*$L50</f>
        <v>0</v>
      </c>
      <c r="AM50" s="169">
        <f>IFERROR(IF('Gantt Proyectos'!AK118&gt;0,SUMIFS('Listas y Parametros'!$C$45:$L$45,'Listas y Parametros'!$C$35:$L$35,'Costo Directo Proyectos'!$AD50)*$AG50,0)+IF('Gantt Proyectos'!AK118=2,$T50,0)/$W50,0)*$L50</f>
        <v>0</v>
      </c>
      <c r="AN50" s="169">
        <f>IFERROR(IF('Gantt Proyectos'!AL118&gt;0,SUMIFS('Listas y Parametros'!$C$45:$L$45,'Listas y Parametros'!$C$35:$L$35,'Costo Directo Proyectos'!$AD50)*$AG50,0)+IF('Gantt Proyectos'!AL118=2,$T50,0)/$W50,0)*$L50</f>
        <v>0</v>
      </c>
      <c r="AO50" s="169">
        <f>IFERROR(IF('Gantt Proyectos'!AM118&gt;0,SUMIFS('Listas y Parametros'!$C$45:$L$45,'Listas y Parametros'!$C$35:$L$35,'Costo Directo Proyectos'!$AD50)*$AG50,0)+IF('Gantt Proyectos'!AM118=2,$T50,0)/$W50,0)*$L50</f>
        <v>0</v>
      </c>
      <c r="AP50" s="170">
        <f>IFERROR(IF('Gantt Proyectos'!AN118&gt;0,SUMIFS('Listas y Parametros'!$C$45:$L$45,'Listas y Parametros'!$C$35:$L$35,'Costo Directo Proyectos'!$AD50)*$AG50,0)+IF('Gantt Proyectos'!AN118=2,$T50,0)/$W50,0)*$L50</f>
        <v>0</v>
      </c>
    </row>
    <row r="51" spans="3:42" ht="15" x14ac:dyDescent="0.2">
      <c r="C51" s="117">
        <f>+'Gantt Proyectos'!C119</f>
        <v>23</v>
      </c>
      <c r="D51" s="118" t="str">
        <f>+'Gantt Proyectos'!D119</f>
        <v>LOM Integrado San Rafael: 2025</v>
      </c>
      <c r="E51" s="118" t="str">
        <f>+'Gantt Proyectos'!E119</f>
        <v>Minsur</v>
      </c>
      <c r="F51" s="146" t="str">
        <f>+'Gantt Proyectos'!F119</f>
        <v>Perú</v>
      </c>
      <c r="G51" s="118" t="str">
        <f>+'Gantt Proyectos'!G119</f>
        <v>Perú</v>
      </c>
      <c r="H51" s="118" t="str">
        <f>+'Gantt Proyectos'!H119</f>
        <v>Chile</v>
      </c>
      <c r="I51" s="189">
        <v>0.5</v>
      </c>
      <c r="J51" s="189">
        <f t="shared" si="12"/>
        <v>0.5</v>
      </c>
      <c r="K51" s="118" t="str">
        <f>+'Gantt Proyectos'!I119</f>
        <v>Subterránea</v>
      </c>
      <c r="L51" s="120">
        <f>+'Gantt Proyectos'!J119</f>
        <v>1</v>
      </c>
      <c r="M51" s="118" t="str">
        <f>+'Gantt Proyectos'!K119</f>
        <v>MF</v>
      </c>
      <c r="N51" s="118">
        <f>+'Gantt Proyectos'!L119</f>
        <v>60000</v>
      </c>
      <c r="O51" s="118">
        <f>+'Gantt Proyectos'!M119</f>
        <v>0</v>
      </c>
      <c r="P51" s="118">
        <f>+'Gantt Proyectos'!N119</f>
        <v>2</v>
      </c>
      <c r="Q51" s="119">
        <f>+'Gantt Proyectos'!O119</f>
        <v>45719</v>
      </c>
      <c r="R51" s="119">
        <f>+'Gantt Proyectos'!P119</f>
        <v>45859</v>
      </c>
      <c r="S51" s="118" t="str">
        <f>+'Gantt Proyectos'!R119</f>
        <v>No</v>
      </c>
      <c r="T51" s="118">
        <f>+'Gantt Proyectos'!S119</f>
        <v>0</v>
      </c>
      <c r="U51" s="156">
        <f>+'Gantt Proyectos'!T119</f>
        <v>45719</v>
      </c>
      <c r="V51" s="156">
        <f>+'Gantt Proyectos'!U119</f>
        <v>45859</v>
      </c>
      <c r="W51" s="201">
        <f t="shared" si="13"/>
        <v>5</v>
      </c>
      <c r="X51" s="121">
        <f>+'Gantt Proyectos'!W119</f>
        <v>0.72035794183445179</v>
      </c>
      <c r="Y51" s="122">
        <f>+'Gantt Proyectos'!X119</f>
        <v>0.25</v>
      </c>
      <c r="Z51" s="122">
        <f>+'Gantt Proyectos'!Y119</f>
        <v>0.33</v>
      </c>
      <c r="AA51" s="122">
        <f>+'Gantt Proyectos'!Z119</f>
        <v>0</v>
      </c>
      <c r="AB51" s="122">
        <f>+'Gantt Proyectos'!AA119</f>
        <v>0.5</v>
      </c>
      <c r="AC51" s="122">
        <f>+'Gantt Proyectos'!AB119</f>
        <v>0.5</v>
      </c>
      <c r="AD51" s="152" t="str">
        <f>+'Gantt Proyectos'!AC119</f>
        <v>Estudio Conceptual / LOM</v>
      </c>
      <c r="AE51" s="123" t="str">
        <f>+'Gantt Proyectos'!AD119</f>
        <v>Actual</v>
      </c>
      <c r="AF51" s="124" t="str">
        <f>+'Gantt Proyectos'!AE119</f>
        <v>2. KOM</v>
      </c>
      <c r="AG51" s="172">
        <v>1</v>
      </c>
      <c r="AH51" s="168">
        <f>IFERROR(IF('Gantt Proyectos'!AF119&gt;0,SUMIFS('Listas y Parametros'!$C$45:$L$45,'Listas y Parametros'!$C$35:$L$35,'Costo Directo Proyectos'!$AD51)*$AG51,0)+IF('Gantt Proyectos'!AF119=2,$T51,0)/$W51,0)*$L51</f>
        <v>11999.746041754239</v>
      </c>
      <c r="AI51" s="169">
        <f>IFERROR(IF('Gantt Proyectos'!AG119&gt;0,SUMIFS('Listas y Parametros'!$C$45:$L$45,'Listas y Parametros'!$C$35:$L$35,'Costo Directo Proyectos'!$AD51)*$AG51,0)+IF('Gantt Proyectos'!AG119=2,$T51,0)/$W51,0)*$L51</f>
        <v>11999.746041754239</v>
      </c>
      <c r="AJ51" s="169">
        <f>IFERROR(IF('Gantt Proyectos'!AH119&gt;0,SUMIFS('Listas y Parametros'!$C$45:$L$45,'Listas y Parametros'!$C$35:$L$35,'Costo Directo Proyectos'!$AD51)*$AG51,0)+IF('Gantt Proyectos'!AH119=2,$T51,0)/$W51,0)*$L51</f>
        <v>11999.746041754239</v>
      </c>
      <c r="AK51" s="169">
        <f>IFERROR(IF('Gantt Proyectos'!AI119&gt;0,SUMIFS('Listas y Parametros'!$C$45:$L$45,'Listas y Parametros'!$C$35:$L$35,'Costo Directo Proyectos'!$AD51)*$AG51,0)+IF('Gantt Proyectos'!AI119=2,$T51,0)/$W51,0)*$L51</f>
        <v>11999.746041754239</v>
      </c>
      <c r="AL51" s="169">
        <f>IFERROR(IF('Gantt Proyectos'!AJ119&gt;0,SUMIFS('Listas y Parametros'!$C$45:$L$45,'Listas y Parametros'!$C$35:$L$35,'Costo Directo Proyectos'!$AD51)*$AG51,0)+IF('Gantt Proyectos'!AJ119=2,$T51,0)/$W51,0)*$L51</f>
        <v>0</v>
      </c>
      <c r="AM51" s="169">
        <f>IFERROR(IF('Gantt Proyectos'!AK119&gt;0,SUMIFS('Listas y Parametros'!$C$45:$L$45,'Listas y Parametros'!$C$35:$L$35,'Costo Directo Proyectos'!$AD51)*$AG51,0)+IF('Gantt Proyectos'!AK119=2,$T51,0)/$W51,0)*$L51</f>
        <v>0</v>
      </c>
      <c r="AN51" s="169">
        <f>IFERROR(IF('Gantt Proyectos'!AL119&gt;0,SUMIFS('Listas y Parametros'!$C$45:$L$45,'Listas y Parametros'!$C$35:$L$35,'Costo Directo Proyectos'!$AD51)*$AG51,0)+IF('Gantt Proyectos'!AL119=2,$T51,0)/$W51,0)*$L51</f>
        <v>0</v>
      </c>
      <c r="AO51" s="169">
        <f>IFERROR(IF('Gantt Proyectos'!AM119&gt;0,SUMIFS('Listas y Parametros'!$C$45:$L$45,'Listas y Parametros'!$C$35:$L$35,'Costo Directo Proyectos'!$AD51)*$AG51,0)+IF('Gantt Proyectos'!AM119=2,$T51,0)/$W51,0)*$L51</f>
        <v>0</v>
      </c>
      <c r="AP51" s="170">
        <f>IFERROR(IF('Gantt Proyectos'!AN119&gt;0,SUMIFS('Listas y Parametros'!$C$45:$L$45,'Listas y Parametros'!$C$35:$L$35,'Costo Directo Proyectos'!$AD51)*$AG51,0)+IF('Gantt Proyectos'!AN119=2,$T51,0)/$W51,0)*$L51</f>
        <v>0</v>
      </c>
    </row>
    <row r="52" spans="3:42" ht="15" x14ac:dyDescent="0.2">
      <c r="C52" s="117">
        <f>+'Gantt Proyectos'!C120</f>
        <v>24</v>
      </c>
      <c r="D52" s="118" t="str">
        <f>+'Gantt Proyectos'!D120</f>
        <v>Soporte Minero en Litigio OT - Gobierno Mongolia (Fase 2)</v>
      </c>
      <c r="E52" s="118" t="str">
        <f>+'Gantt Proyectos'!E120</f>
        <v>ThreeCrowns</v>
      </c>
      <c r="F52" s="146" t="str">
        <f>+'Gantt Proyectos'!F120</f>
        <v>USA</v>
      </c>
      <c r="G52" s="118" t="str">
        <f>+'Gantt Proyectos'!G120</f>
        <v>Chile</v>
      </c>
      <c r="H52" s="118">
        <f>+'Gantt Proyectos'!H120</f>
        <v>0</v>
      </c>
      <c r="I52" s="189">
        <v>1</v>
      </c>
      <c r="J52" s="189">
        <f t="shared" si="12"/>
        <v>0</v>
      </c>
      <c r="K52" s="118" t="str">
        <f>+'Gantt Proyectos'!I120</f>
        <v>Subterránea</v>
      </c>
      <c r="L52" s="120">
        <f>+'Gantt Proyectos'!J120</f>
        <v>1</v>
      </c>
      <c r="M52" s="118" t="str">
        <f>+'Gantt Proyectos'!K120</f>
        <v>-</v>
      </c>
      <c r="N52" s="118">
        <f>+'Gantt Proyectos'!L120</f>
        <v>350000</v>
      </c>
      <c r="O52" s="118">
        <f>+'Gantt Proyectos'!M120</f>
        <v>350000</v>
      </c>
      <c r="P52" s="118">
        <f>+'Gantt Proyectos'!N120</f>
        <v>2</v>
      </c>
      <c r="Q52" s="119">
        <f>+'Gantt Proyectos'!O120</f>
        <v>45775</v>
      </c>
      <c r="R52" s="119">
        <f>+'Gantt Proyectos'!P120</f>
        <v>45838</v>
      </c>
      <c r="S52" s="118" t="str">
        <f>+'Gantt Proyectos'!R120</f>
        <v>No</v>
      </c>
      <c r="T52" s="118">
        <f>+'Gantt Proyectos'!S120</f>
        <v>0</v>
      </c>
      <c r="U52" s="156">
        <f>+'Gantt Proyectos'!T120</f>
        <v>45775</v>
      </c>
      <c r="V52" s="156">
        <f>+'Gantt Proyectos'!U120</f>
        <v>45838</v>
      </c>
      <c r="W52" s="201">
        <f t="shared" si="13"/>
        <v>3</v>
      </c>
      <c r="X52" s="121">
        <f>+'Gantt Proyectos'!W120</f>
        <v>1</v>
      </c>
      <c r="Y52" s="122">
        <f>+'Gantt Proyectos'!X120</f>
        <v>0.33</v>
      </c>
      <c r="Z52" s="122">
        <f>+'Gantt Proyectos'!Y120</f>
        <v>0.5</v>
      </c>
      <c r="AA52" s="122">
        <f>+'Gantt Proyectos'!Z120</f>
        <v>0.33</v>
      </c>
      <c r="AB52" s="122">
        <f>+'Gantt Proyectos'!AA120</f>
        <v>1</v>
      </c>
      <c r="AC52" s="122">
        <f>+'Gantt Proyectos'!AB120</f>
        <v>0</v>
      </c>
      <c r="AD52" s="152" t="str">
        <f>+'Gantt Proyectos'!AC120</f>
        <v>Consultoria y Due Dilligence</v>
      </c>
      <c r="AE52" s="123" t="str">
        <f>+'Gantt Proyectos'!AD120</f>
        <v>Actual</v>
      </c>
      <c r="AF52" s="124" t="str">
        <f>+'Gantt Proyectos'!AE120</f>
        <v>2. KOM</v>
      </c>
      <c r="AG52" s="172">
        <v>1</v>
      </c>
      <c r="AH52" s="168">
        <f>IFERROR(IF('Gantt Proyectos'!AF120&gt;0,SUMIFS('Listas y Parametros'!$C$45:$L$45,'Listas y Parametros'!$C$35:$L$35,'Costo Directo Proyectos'!$AD52)*$AG52,0)+IF('Gantt Proyectos'!AF120=2,$T52,0)/$W52,0)*$L52</f>
        <v>19463.097239736584</v>
      </c>
      <c r="AI52" s="169">
        <f>IFERROR(IF('Gantt Proyectos'!AG120&gt;0,SUMIFS('Listas y Parametros'!$C$45:$L$45,'Listas y Parametros'!$C$35:$L$35,'Costo Directo Proyectos'!$AD52)*$AG52,0)+IF('Gantt Proyectos'!AG120=2,$T52,0)/$W52,0)*$L52</f>
        <v>19463.097239736584</v>
      </c>
      <c r="AJ52" s="169">
        <f>IFERROR(IF('Gantt Proyectos'!AH120&gt;0,SUMIFS('Listas y Parametros'!$C$45:$L$45,'Listas y Parametros'!$C$35:$L$35,'Costo Directo Proyectos'!$AD52)*$AG52,0)+IF('Gantt Proyectos'!AH120=2,$T52,0)/$W52,0)*$L52</f>
        <v>19463.097239736584</v>
      </c>
      <c r="AK52" s="169">
        <f>IFERROR(IF('Gantt Proyectos'!AI120&gt;0,SUMIFS('Listas y Parametros'!$C$45:$L$45,'Listas y Parametros'!$C$35:$L$35,'Costo Directo Proyectos'!$AD52)*$AG52,0)+IF('Gantt Proyectos'!AI120=2,$T52,0)/$W52,0)*$L52</f>
        <v>0</v>
      </c>
      <c r="AL52" s="169">
        <f>IFERROR(IF('Gantt Proyectos'!AJ120&gt;0,SUMIFS('Listas y Parametros'!$C$45:$L$45,'Listas y Parametros'!$C$35:$L$35,'Costo Directo Proyectos'!$AD52)*$AG52,0)+IF('Gantt Proyectos'!AJ120=2,$T52,0)/$W52,0)*$L52</f>
        <v>0</v>
      </c>
      <c r="AM52" s="169">
        <f>IFERROR(IF('Gantt Proyectos'!AK120&gt;0,SUMIFS('Listas y Parametros'!$C$45:$L$45,'Listas y Parametros'!$C$35:$L$35,'Costo Directo Proyectos'!$AD52)*$AG52,0)+IF('Gantt Proyectos'!AK120=2,$T52,0)/$W52,0)*$L52</f>
        <v>0</v>
      </c>
      <c r="AN52" s="169">
        <f>IFERROR(IF('Gantt Proyectos'!AL120&gt;0,SUMIFS('Listas y Parametros'!$C$45:$L$45,'Listas y Parametros'!$C$35:$L$35,'Costo Directo Proyectos'!$AD52)*$AG52,0)+IF('Gantt Proyectos'!AL120=2,$T52,0)/$W52,0)*$L52</f>
        <v>0</v>
      </c>
      <c r="AO52" s="169">
        <f>IFERROR(IF('Gantt Proyectos'!AM120&gt;0,SUMIFS('Listas y Parametros'!$C$45:$L$45,'Listas y Parametros'!$C$35:$L$35,'Costo Directo Proyectos'!$AD52)*$AG52,0)+IF('Gantt Proyectos'!AM120=2,$T52,0)/$W52,0)*$L52</f>
        <v>0</v>
      </c>
      <c r="AP52" s="170">
        <f>IFERROR(IF('Gantt Proyectos'!AN120&gt;0,SUMIFS('Listas y Parametros'!$C$45:$L$45,'Listas y Parametros'!$C$35:$L$35,'Costo Directo Proyectos'!$AD52)*$AG52,0)+IF('Gantt Proyectos'!AN120=2,$T52,0)/$W52,0)*$L52</f>
        <v>0</v>
      </c>
    </row>
    <row r="53" spans="3:42" ht="15" x14ac:dyDescent="0.2">
      <c r="C53" s="117">
        <f>+'Gantt Proyectos'!C121</f>
        <v>25</v>
      </c>
      <c r="D53" s="118" t="str">
        <f>+'Gantt Proyectos'!D121</f>
        <v>Aura: Ingeniería Túnel de Exploraciones</v>
      </c>
      <c r="E53" s="118" t="str">
        <f>+'Gantt Proyectos'!E121</f>
        <v>Aura Minerals</v>
      </c>
      <c r="F53" s="146" t="str">
        <f>+'Gantt Proyectos'!F121</f>
        <v>Brasil</v>
      </c>
      <c r="G53" s="118" t="str">
        <f>+'Gantt Proyectos'!G121</f>
        <v>Chile</v>
      </c>
      <c r="H53" s="118">
        <f>+'Gantt Proyectos'!H121</f>
        <v>0</v>
      </c>
      <c r="I53" s="189">
        <v>1</v>
      </c>
      <c r="J53" s="189">
        <f t="shared" si="12"/>
        <v>0</v>
      </c>
      <c r="K53" s="118" t="str">
        <f>+'Gantt Proyectos'!I121</f>
        <v>Subterránea</v>
      </c>
      <c r="L53" s="120">
        <f>+'Gantt Proyectos'!J121</f>
        <v>1</v>
      </c>
      <c r="M53" s="118" t="str">
        <f>+'Gantt Proyectos'!K121</f>
        <v>AF</v>
      </c>
      <c r="N53" s="118">
        <f>+'Gantt Proyectos'!L121</f>
        <v>108000</v>
      </c>
      <c r="O53" s="118">
        <f>+'Gantt Proyectos'!M121</f>
        <v>108000</v>
      </c>
      <c r="P53" s="118">
        <f>+'Gantt Proyectos'!N121</f>
        <v>1</v>
      </c>
      <c r="Q53" s="119">
        <f>+'Gantt Proyectos'!O121</f>
        <v>45761</v>
      </c>
      <c r="R53" s="119">
        <f>+'Gantt Proyectos'!P121</f>
        <v>45859</v>
      </c>
      <c r="S53" s="118" t="str">
        <f>+'Gantt Proyectos'!R121</f>
        <v>No</v>
      </c>
      <c r="T53" s="118">
        <f>+'Gantt Proyectos'!S121</f>
        <v>0</v>
      </c>
      <c r="U53" s="156">
        <f>+'Gantt Proyectos'!T121</f>
        <v>45761</v>
      </c>
      <c r="V53" s="156">
        <f>+'Gantt Proyectos'!U121</f>
        <v>45859</v>
      </c>
      <c r="W53" s="201">
        <f t="shared" si="13"/>
        <v>4</v>
      </c>
      <c r="X53" s="121">
        <f>+'Gantt Proyectos'!W121</f>
        <v>1.4474272930648768</v>
      </c>
      <c r="Y53" s="122">
        <f>+'Gantt Proyectos'!X121</f>
        <v>0.33</v>
      </c>
      <c r="Z53" s="122">
        <f>+'Gantt Proyectos'!Y121</f>
        <v>0.5</v>
      </c>
      <c r="AA53" s="122">
        <f>+'Gantt Proyectos'!Z121</f>
        <v>0.33</v>
      </c>
      <c r="AB53" s="122">
        <f>+'Gantt Proyectos'!AA121</f>
        <v>1</v>
      </c>
      <c r="AC53" s="122">
        <f>+'Gantt Proyectos'!AB121</f>
        <v>1</v>
      </c>
      <c r="AD53" s="152" t="str">
        <f>+'Gantt Proyectos'!AC121</f>
        <v>Scoping</v>
      </c>
      <c r="AE53" s="123" t="str">
        <f>+'Gantt Proyectos'!AD121</f>
        <v>Actual</v>
      </c>
      <c r="AF53" s="124" t="str">
        <f>+'Gantt Proyectos'!AE121</f>
        <v>2. KOM</v>
      </c>
      <c r="AG53" s="172">
        <v>1</v>
      </c>
      <c r="AH53" s="168">
        <f>IFERROR(IF('Gantt Proyectos'!AF121&gt;0,SUMIFS('Listas y Parametros'!$C$45:$L$45,'Listas y Parametros'!$C$35:$L$35,'Costo Directo Proyectos'!$AD53)*$AG53,0)+IF('Gantt Proyectos'!AF121=2,$T53,0)/$W53,0)*$L53</f>
        <v>22950.644528513381</v>
      </c>
      <c r="AI53" s="169">
        <f>IFERROR(IF('Gantt Proyectos'!AG121&gt;0,SUMIFS('Listas y Parametros'!$C$45:$L$45,'Listas y Parametros'!$C$35:$L$35,'Costo Directo Proyectos'!$AD53)*$AG53,0)+IF('Gantt Proyectos'!AG121=2,$T53,0)/$W53,0)*$L53</f>
        <v>22950.644528513381</v>
      </c>
      <c r="AJ53" s="169">
        <f>IFERROR(IF('Gantt Proyectos'!AH121&gt;0,SUMIFS('Listas y Parametros'!$C$45:$L$45,'Listas y Parametros'!$C$35:$L$35,'Costo Directo Proyectos'!$AD53)*$AG53,0)+IF('Gantt Proyectos'!AH121=2,$T53,0)/$W53,0)*$L53</f>
        <v>22950.644528513381</v>
      </c>
      <c r="AK53" s="169">
        <f>IFERROR(IF('Gantt Proyectos'!AI121&gt;0,SUMIFS('Listas y Parametros'!$C$45:$L$45,'Listas y Parametros'!$C$35:$L$35,'Costo Directo Proyectos'!$AD53)*$AG53,0)+IF('Gantt Proyectos'!AI121=2,$T53,0)/$W53,0)*$L53</f>
        <v>22950.644528513381</v>
      </c>
      <c r="AL53" s="169">
        <f>IFERROR(IF('Gantt Proyectos'!AJ121&gt;0,SUMIFS('Listas y Parametros'!$C$45:$L$45,'Listas y Parametros'!$C$35:$L$35,'Costo Directo Proyectos'!$AD53)*$AG53,0)+IF('Gantt Proyectos'!AJ121=2,$T53,0)/$W53,0)*$L53</f>
        <v>0</v>
      </c>
      <c r="AM53" s="169">
        <f>IFERROR(IF('Gantt Proyectos'!AK121&gt;0,SUMIFS('Listas y Parametros'!$C$45:$L$45,'Listas y Parametros'!$C$35:$L$35,'Costo Directo Proyectos'!$AD53)*$AG53,0)+IF('Gantt Proyectos'!AK121=2,$T53,0)/$W53,0)*$L53</f>
        <v>0</v>
      </c>
      <c r="AN53" s="169">
        <f>IFERROR(IF('Gantt Proyectos'!AL121&gt;0,SUMIFS('Listas y Parametros'!$C$45:$L$45,'Listas y Parametros'!$C$35:$L$35,'Costo Directo Proyectos'!$AD53)*$AG53,0)+IF('Gantt Proyectos'!AL121=2,$T53,0)/$W53,0)*$L53</f>
        <v>0</v>
      </c>
      <c r="AO53" s="169">
        <f>IFERROR(IF('Gantt Proyectos'!AM121&gt;0,SUMIFS('Listas y Parametros'!$C$45:$L$45,'Listas y Parametros'!$C$35:$L$35,'Costo Directo Proyectos'!$AD53)*$AG53,0)+IF('Gantt Proyectos'!AM121=2,$T53,0)/$W53,0)*$L53</f>
        <v>0</v>
      </c>
      <c r="AP53" s="170">
        <f>IFERROR(IF('Gantt Proyectos'!AN121&gt;0,SUMIFS('Listas y Parametros'!$C$45:$L$45,'Listas y Parametros'!$C$35:$L$35,'Costo Directo Proyectos'!$AD53)*$AG53,0)+IF('Gantt Proyectos'!AN121=2,$T53,0)/$W53,0)*$L53</f>
        <v>0</v>
      </c>
    </row>
    <row r="54" spans="3:42" ht="15" x14ac:dyDescent="0.2">
      <c r="C54" s="117">
        <f>+'Gantt Proyectos'!C122</f>
        <v>26</v>
      </c>
      <c r="D54" s="118" t="str">
        <f>+'Gantt Proyectos'!D122</f>
        <v>Los Calatos - DFS</v>
      </c>
      <c r="E54" s="145" t="str">
        <f>+'Gantt Proyectos'!E122</f>
        <v>CD Capital</v>
      </c>
      <c r="F54" s="147" t="str">
        <f>+'Gantt Proyectos'!F122</f>
        <v>Perú</v>
      </c>
      <c r="G54" s="118" t="str">
        <f>+'Gantt Proyectos'!G122</f>
        <v>Chile</v>
      </c>
      <c r="H54" s="118" t="str">
        <f>+'Gantt Proyectos'!H122</f>
        <v>Perú</v>
      </c>
      <c r="I54" s="189">
        <v>0.5</v>
      </c>
      <c r="J54" s="189">
        <f t="shared" si="12"/>
        <v>0.5</v>
      </c>
      <c r="K54" s="118" t="str">
        <f>+'Gantt Proyectos'!I122</f>
        <v>Subterránea</v>
      </c>
      <c r="L54" s="120">
        <f>+'Gantt Proyectos'!J122</f>
        <v>1</v>
      </c>
      <c r="M54" s="145" t="str">
        <f>+'Gantt Proyectos'!K122</f>
        <v>AF</v>
      </c>
      <c r="N54" s="145">
        <f>+'Gantt Proyectos'!L122</f>
        <v>1100000</v>
      </c>
      <c r="O54" s="145">
        <f>+'Gantt Proyectos'!M122</f>
        <v>1100000</v>
      </c>
      <c r="P54" s="145">
        <f>+'Gantt Proyectos'!N122</f>
        <v>1</v>
      </c>
      <c r="Q54" s="119">
        <f>+'Gantt Proyectos'!O122</f>
        <v>45840</v>
      </c>
      <c r="R54" s="119">
        <f>+'Gantt Proyectos'!P122</f>
        <v>46058</v>
      </c>
      <c r="S54" s="145" t="str">
        <f>+'Gantt Proyectos'!R122</f>
        <v>No</v>
      </c>
      <c r="T54" s="118">
        <f>+'Gantt Proyectos'!S122</f>
        <v>0</v>
      </c>
      <c r="U54" s="156">
        <f>+'Gantt Proyectos'!T122</f>
        <v>45840</v>
      </c>
      <c r="V54" s="156">
        <f>+'Gantt Proyectos'!U122</f>
        <v>46058</v>
      </c>
      <c r="W54" s="201">
        <f t="shared" si="13"/>
        <v>8</v>
      </c>
      <c r="X54" s="121">
        <f>+'Gantt Proyectos'!W122</f>
        <v>2.5503355704697985</v>
      </c>
      <c r="Y54" s="122">
        <f>+'Gantt Proyectos'!X122</f>
        <v>0.5</v>
      </c>
      <c r="Z54" s="122">
        <f>+'Gantt Proyectos'!Y122</f>
        <v>0.67</v>
      </c>
      <c r="AA54" s="122">
        <f>+'Gantt Proyectos'!Z122</f>
        <v>1</v>
      </c>
      <c r="AB54" s="122">
        <f>+'Gantt Proyectos'!AA122</f>
        <v>2.5</v>
      </c>
      <c r="AC54" s="122">
        <f>+'Gantt Proyectos'!AB122</f>
        <v>1</v>
      </c>
      <c r="AD54" s="152" t="str">
        <f>+'Gantt Proyectos'!AC122</f>
        <v>FS e Ing. Basica</v>
      </c>
      <c r="AE54" s="123" t="str">
        <f>+'Gantt Proyectos'!AD122</f>
        <v>Asignado</v>
      </c>
      <c r="AF54" s="124" t="str">
        <f>+'Gantt Proyectos'!AE122</f>
        <v>1. Proyectado: Asignado</v>
      </c>
      <c r="AG54" s="172">
        <v>1</v>
      </c>
      <c r="AH54" s="168">
        <f>IFERROR(IF('Gantt Proyectos'!AF122&gt;0,SUMIFS('Listas y Parametros'!$C$45:$L$45,'Listas y Parametros'!$C$35:$L$35,'Costo Directo Proyectos'!$AD54)*$AG54,0)+IF('Gantt Proyectos'!AF122=2,$T54,0)/$W54,0)*$L54</f>
        <v>0</v>
      </c>
      <c r="AI54" s="169">
        <f>IFERROR(IF('Gantt Proyectos'!AG122&gt;0,SUMIFS('Listas y Parametros'!$C$45:$L$45,'Listas y Parametros'!$C$35:$L$35,'Costo Directo Proyectos'!$AD54)*$AG54,0)+IF('Gantt Proyectos'!AG122=2,$T54,0)/$W54,0)*$L54</f>
        <v>0</v>
      </c>
      <c r="AJ54" s="169">
        <f>IFERROR(IF('Gantt Proyectos'!AH122&gt;0,SUMIFS('Listas y Parametros'!$C$45:$L$45,'Listas y Parametros'!$C$35:$L$35,'Costo Directo Proyectos'!$AD54)*$AG54,0)+IF('Gantt Proyectos'!AH122=2,$T54,0)/$W54,0)*$L54</f>
        <v>0</v>
      </c>
      <c r="AK54" s="169">
        <f>IFERROR(IF('Gantt Proyectos'!AI122&gt;0,SUMIFS('Listas y Parametros'!$C$45:$L$45,'Listas y Parametros'!$C$35:$L$35,'Costo Directo Proyectos'!$AD54)*$AG54,0)+IF('Gantt Proyectos'!AI122=2,$T54,0)/$W54,0)*$L54</f>
        <v>42832.247442903179</v>
      </c>
      <c r="AL54" s="169">
        <f>IFERROR(IF('Gantt Proyectos'!AJ122&gt;0,SUMIFS('Listas y Parametros'!$C$45:$L$45,'Listas y Parametros'!$C$35:$L$35,'Costo Directo Proyectos'!$AD54)*$AG54,0)+IF('Gantt Proyectos'!AJ122=2,$T54,0)/$W54,0)*$L54</f>
        <v>42832.247442903179</v>
      </c>
      <c r="AM54" s="169">
        <f>IFERROR(IF('Gantt Proyectos'!AK122&gt;0,SUMIFS('Listas y Parametros'!$C$45:$L$45,'Listas y Parametros'!$C$35:$L$35,'Costo Directo Proyectos'!$AD54)*$AG54,0)+IF('Gantt Proyectos'!AK122=2,$T54,0)/$W54,0)*$L54</f>
        <v>42832.247442903179</v>
      </c>
      <c r="AN54" s="169">
        <f>IFERROR(IF('Gantt Proyectos'!AL122&gt;0,SUMIFS('Listas y Parametros'!$C$45:$L$45,'Listas y Parametros'!$C$35:$L$35,'Costo Directo Proyectos'!$AD54)*$AG54,0)+IF('Gantt Proyectos'!AL122=2,$T54,0)/$W54,0)*$L54</f>
        <v>42832.247442903179</v>
      </c>
      <c r="AO54" s="169">
        <f>IFERROR(IF('Gantt Proyectos'!AM122&gt;0,SUMIFS('Listas y Parametros'!$C$45:$L$45,'Listas y Parametros'!$C$35:$L$35,'Costo Directo Proyectos'!$AD54)*$AG54,0)+IF('Gantt Proyectos'!AM122=2,$T54,0)/$W54,0)*$L54</f>
        <v>42832.247442903179</v>
      </c>
      <c r="AP54" s="170">
        <f>IFERROR(IF('Gantt Proyectos'!AN122&gt;0,SUMIFS('Listas y Parametros'!$C$45:$L$45,'Listas y Parametros'!$C$35:$L$35,'Costo Directo Proyectos'!$AD54)*$AG54,0)+IF('Gantt Proyectos'!AN122=2,$T54,0)/$W54,0)*$L54</f>
        <v>42832.247442903179</v>
      </c>
    </row>
    <row r="55" spans="3:42" ht="15" x14ac:dyDescent="0.2">
      <c r="C55" s="117">
        <f>+'Gantt Proyectos'!C123</f>
        <v>27</v>
      </c>
      <c r="D55" s="118" t="str">
        <f>+'Gantt Proyectos'!D123</f>
        <v>Ferrobamba PFS</v>
      </c>
      <c r="E55" s="145" t="str">
        <f>+'Gantt Proyectos'!E123</f>
        <v>Las Bambas</v>
      </c>
      <c r="F55" s="147" t="str">
        <f>+'Gantt Proyectos'!F123</f>
        <v>Perú</v>
      </c>
      <c r="G55" s="118" t="str">
        <f>+'Gantt Proyectos'!G123</f>
        <v>Chile</v>
      </c>
      <c r="H55" s="118">
        <f>+'Gantt Proyectos'!H123</f>
        <v>0</v>
      </c>
      <c r="I55" s="189">
        <v>1</v>
      </c>
      <c r="J55" s="189">
        <f t="shared" si="12"/>
        <v>0</v>
      </c>
      <c r="K55" s="118" t="str">
        <f>+'Gantt Proyectos'!I123</f>
        <v>Subterránea</v>
      </c>
      <c r="L55" s="120">
        <f>+'Gantt Proyectos'!J123</f>
        <v>1</v>
      </c>
      <c r="M55" s="145" t="str">
        <f>+'Gantt Proyectos'!K123</f>
        <v>RM</v>
      </c>
      <c r="N55" s="145">
        <f>+'Gantt Proyectos'!L123</f>
        <v>600000</v>
      </c>
      <c r="O55" s="145">
        <f>+'Gantt Proyectos'!M123</f>
        <v>600000</v>
      </c>
      <c r="P55" s="145">
        <f>+'Gantt Proyectos'!N123</f>
        <v>2</v>
      </c>
      <c r="Q55" s="119">
        <f>+'Gantt Proyectos'!O123</f>
        <v>45845</v>
      </c>
      <c r="R55" s="119">
        <f>+'Gantt Proyectos'!P123</f>
        <v>46139</v>
      </c>
      <c r="S55" s="145" t="str">
        <f>+'Gantt Proyectos'!R123</f>
        <v>No</v>
      </c>
      <c r="T55" s="118">
        <f>+'Gantt Proyectos'!S123</f>
        <v>0</v>
      </c>
      <c r="U55" s="156">
        <f>+'Gantt Proyectos'!T123</f>
        <v>45845</v>
      </c>
      <c r="V55" s="156">
        <f>+'Gantt Proyectos'!U123</f>
        <v>46139</v>
      </c>
      <c r="W55" s="201">
        <f t="shared" si="13"/>
        <v>10</v>
      </c>
      <c r="X55" s="121">
        <f>+'Gantt Proyectos'!W123</f>
        <v>1.5111856823266216</v>
      </c>
      <c r="Y55" s="122">
        <f>+'Gantt Proyectos'!X123</f>
        <v>0.5</v>
      </c>
      <c r="Z55" s="122">
        <f>+'Gantt Proyectos'!Y123</f>
        <v>0.5</v>
      </c>
      <c r="AA55" s="122">
        <f>+'Gantt Proyectos'!Z123</f>
        <v>0.75</v>
      </c>
      <c r="AB55" s="122">
        <f>+'Gantt Proyectos'!AA123</f>
        <v>2</v>
      </c>
      <c r="AC55" s="122">
        <f>+'Gantt Proyectos'!AB123</f>
        <v>1</v>
      </c>
      <c r="AD55" s="152" t="str">
        <f>+'Gantt Proyectos'!AC123</f>
        <v>PFS</v>
      </c>
      <c r="AE55" s="123" t="str">
        <f>+'Gantt Proyectos'!AD123</f>
        <v>No Asignado</v>
      </c>
      <c r="AF55" s="124" t="str">
        <f>+'Gantt Proyectos'!AE123</f>
        <v>1. Proyectado: No  Asignado</v>
      </c>
      <c r="AG55" s="172">
        <v>1</v>
      </c>
      <c r="AH55" s="168">
        <f>IFERROR(IF('Gantt Proyectos'!AF123&gt;0,SUMIFS('Listas y Parametros'!$C$45:$L$45,'Listas y Parametros'!$C$35:$L$35,'Costo Directo Proyectos'!$AD55)*$AG55,0)+IF('Gantt Proyectos'!AF123=2,$T55,0)/$W55,0)*$L55</f>
        <v>0</v>
      </c>
      <c r="AI55" s="169">
        <f>IFERROR(IF('Gantt Proyectos'!AG123&gt;0,SUMIFS('Listas y Parametros'!$C$45:$L$45,'Listas y Parametros'!$C$35:$L$35,'Costo Directo Proyectos'!$AD55)*$AG55,0)+IF('Gantt Proyectos'!AG123=2,$T55,0)/$W55,0)*$L55</f>
        <v>0</v>
      </c>
      <c r="AJ55" s="169">
        <f>IFERROR(IF('Gantt Proyectos'!AH123&gt;0,SUMIFS('Listas y Parametros'!$C$45:$L$45,'Listas y Parametros'!$C$35:$L$35,'Costo Directo Proyectos'!$AD55)*$AG55,0)+IF('Gantt Proyectos'!AH123=2,$T55,0)/$W55,0)*$L55</f>
        <v>0</v>
      </c>
      <c r="AK55" s="169">
        <f>IFERROR(IF('Gantt Proyectos'!AI123&gt;0,SUMIFS('Listas y Parametros'!$C$45:$L$45,'Listas y Parametros'!$C$35:$L$35,'Costo Directo Proyectos'!$AD55)*$AG55,0)+IF('Gantt Proyectos'!AI123=2,$T55,0)/$W55,0)*$L55</f>
        <v>35650.48339638504</v>
      </c>
      <c r="AL55" s="169">
        <f>IFERROR(IF('Gantt Proyectos'!AJ123&gt;0,SUMIFS('Listas y Parametros'!$C$45:$L$45,'Listas y Parametros'!$C$35:$L$35,'Costo Directo Proyectos'!$AD55)*$AG55,0)+IF('Gantt Proyectos'!AJ123=2,$T55,0)/$W55,0)*$L55</f>
        <v>35650.48339638504</v>
      </c>
      <c r="AM55" s="169">
        <f>IFERROR(IF('Gantt Proyectos'!AK123&gt;0,SUMIFS('Listas y Parametros'!$C$45:$L$45,'Listas y Parametros'!$C$35:$L$35,'Costo Directo Proyectos'!$AD55)*$AG55,0)+IF('Gantt Proyectos'!AK123=2,$T55,0)/$W55,0)*$L55</f>
        <v>35650.48339638504</v>
      </c>
      <c r="AN55" s="169">
        <f>IFERROR(IF('Gantt Proyectos'!AL123&gt;0,SUMIFS('Listas y Parametros'!$C$45:$L$45,'Listas y Parametros'!$C$35:$L$35,'Costo Directo Proyectos'!$AD55)*$AG55,0)+IF('Gantt Proyectos'!AL123=2,$T55,0)/$W55,0)*$L55</f>
        <v>35650.48339638504</v>
      </c>
      <c r="AO55" s="169">
        <f>IFERROR(IF('Gantt Proyectos'!AM123&gt;0,SUMIFS('Listas y Parametros'!$C$45:$L$45,'Listas y Parametros'!$C$35:$L$35,'Costo Directo Proyectos'!$AD55)*$AG55,0)+IF('Gantt Proyectos'!AM123=2,$T55,0)/$W55,0)*$L55</f>
        <v>35650.48339638504</v>
      </c>
      <c r="AP55" s="170">
        <f>IFERROR(IF('Gantt Proyectos'!AN123&gt;0,SUMIFS('Listas y Parametros'!$C$45:$L$45,'Listas y Parametros'!$C$35:$L$35,'Costo Directo Proyectos'!$AD55)*$AG55,0)+IF('Gantt Proyectos'!AN123=2,$T55,0)/$W55,0)*$L55</f>
        <v>35650.48339638504</v>
      </c>
    </row>
    <row r="56" spans="3:42" ht="15" x14ac:dyDescent="0.2">
      <c r="C56" s="117">
        <f>+'Gantt Proyectos'!C124</f>
        <v>28</v>
      </c>
      <c r="D56" s="118" t="str">
        <f>+'Gantt Proyectos'!D124</f>
        <v>Caserones: Implementacion NSR en Corto Plazo</v>
      </c>
      <c r="E56" s="145" t="str">
        <f>+'Gantt Proyectos'!E124</f>
        <v>Lundin</v>
      </c>
      <c r="F56" s="147" t="str">
        <f>+'Gantt Proyectos'!F124</f>
        <v>Chile</v>
      </c>
      <c r="G56" s="118" t="str">
        <f>+'Gantt Proyectos'!G124</f>
        <v>Chile</v>
      </c>
      <c r="H56" s="118">
        <f>+'Gantt Proyectos'!H124</f>
        <v>0</v>
      </c>
      <c r="I56" s="189">
        <v>1</v>
      </c>
      <c r="J56" s="189">
        <f t="shared" si="12"/>
        <v>0</v>
      </c>
      <c r="K56" s="118" t="str">
        <f>+'Gantt Proyectos'!I124</f>
        <v>Open Pit</v>
      </c>
      <c r="L56" s="120">
        <f>+'Gantt Proyectos'!J124</f>
        <v>0</v>
      </c>
      <c r="M56" s="145" t="str">
        <f>+'Gantt Proyectos'!K124</f>
        <v>FR</v>
      </c>
      <c r="N56" s="145">
        <f>+'Gantt Proyectos'!L124</f>
        <v>0</v>
      </c>
      <c r="O56" s="145">
        <f>+'Gantt Proyectos'!M124</f>
        <v>0</v>
      </c>
      <c r="P56" s="145">
        <f>+'Gantt Proyectos'!N124</f>
        <v>2</v>
      </c>
      <c r="Q56" s="119">
        <f>+'Gantt Proyectos'!O124</f>
        <v>45782</v>
      </c>
      <c r="R56" s="119">
        <f>+'Gantt Proyectos'!P124</f>
        <v>45866</v>
      </c>
      <c r="S56" s="145" t="str">
        <f>+'Gantt Proyectos'!R124</f>
        <v>No</v>
      </c>
      <c r="T56" s="118">
        <f>+'Gantt Proyectos'!S124</f>
        <v>0</v>
      </c>
      <c r="U56" s="156">
        <f>+'Gantt Proyectos'!T124</f>
        <v>45782</v>
      </c>
      <c r="V56" s="156">
        <f>+'Gantt Proyectos'!U124</f>
        <v>45866</v>
      </c>
      <c r="W56" s="201">
        <f t="shared" si="13"/>
        <v>3</v>
      </c>
      <c r="X56" s="121">
        <f>+'Gantt Proyectos'!W124</f>
        <v>0</v>
      </c>
      <c r="Y56" s="122">
        <f>+'Gantt Proyectos'!X124</f>
        <v>0</v>
      </c>
      <c r="Z56" s="122">
        <f>+'Gantt Proyectos'!Y124</f>
        <v>0</v>
      </c>
      <c r="AA56" s="122">
        <f>+'Gantt Proyectos'!Z124</f>
        <v>0</v>
      </c>
      <c r="AB56" s="122">
        <f>+'Gantt Proyectos'!AA124</f>
        <v>0</v>
      </c>
      <c r="AC56" s="122">
        <f>+'Gantt Proyectos'!AB124</f>
        <v>0</v>
      </c>
      <c r="AD56" s="152" t="str">
        <f>+'Gantt Proyectos'!AC124</f>
        <v>Consultoria y Due Dilligence</v>
      </c>
      <c r="AE56" s="123" t="str">
        <f>+'Gantt Proyectos'!AD124</f>
        <v>No Asignado</v>
      </c>
      <c r="AF56" s="124" t="str">
        <f>+'Gantt Proyectos'!AE124</f>
        <v>1. Proyectado: No  Asignado</v>
      </c>
      <c r="AG56" s="172">
        <v>1</v>
      </c>
      <c r="AH56" s="168">
        <f>IFERROR(IF('Gantt Proyectos'!AF124&gt;0,SUMIFS('Listas y Parametros'!$C$45:$L$45,'Listas y Parametros'!$C$35:$L$35,'Costo Directo Proyectos'!$AD56)*$AG56,0)+IF('Gantt Proyectos'!AF124=2,$T56,0)/$W56,0)*$L56</f>
        <v>0</v>
      </c>
      <c r="AI56" s="169">
        <f>IFERROR(IF('Gantt Proyectos'!AG124&gt;0,SUMIFS('Listas y Parametros'!$C$45:$L$45,'Listas y Parametros'!$C$35:$L$35,'Costo Directo Proyectos'!$AD56)*$AG56,0)+IF('Gantt Proyectos'!AG124=2,$T56,0)/$W56,0)*$L56</f>
        <v>0</v>
      </c>
      <c r="AJ56" s="169">
        <f>IFERROR(IF('Gantt Proyectos'!AH124&gt;0,SUMIFS('Listas y Parametros'!$C$45:$L$45,'Listas y Parametros'!$C$35:$L$35,'Costo Directo Proyectos'!$AD56)*$AG56,0)+IF('Gantt Proyectos'!AH124=2,$T56,0)/$W56,0)*$L56</f>
        <v>0</v>
      </c>
      <c r="AK56" s="169">
        <f>IFERROR(IF('Gantt Proyectos'!AI124&gt;0,SUMIFS('Listas y Parametros'!$C$45:$L$45,'Listas y Parametros'!$C$35:$L$35,'Costo Directo Proyectos'!$AD56)*$AG56,0)+IF('Gantt Proyectos'!AI124=2,$T56,0)/$W56,0)*$L56</f>
        <v>0</v>
      </c>
      <c r="AL56" s="169">
        <f>IFERROR(IF('Gantt Proyectos'!AJ124&gt;0,SUMIFS('Listas y Parametros'!$C$45:$L$45,'Listas y Parametros'!$C$35:$L$35,'Costo Directo Proyectos'!$AD56)*$AG56,0)+IF('Gantt Proyectos'!AJ124=2,$T56,0)/$W56,0)*$L56</f>
        <v>0</v>
      </c>
      <c r="AM56" s="169">
        <f>IFERROR(IF('Gantt Proyectos'!AK124&gt;0,SUMIFS('Listas y Parametros'!$C$45:$L$45,'Listas y Parametros'!$C$35:$L$35,'Costo Directo Proyectos'!$AD56)*$AG56,0)+IF('Gantt Proyectos'!AK124=2,$T56,0)/$W56,0)*$L56</f>
        <v>0</v>
      </c>
      <c r="AN56" s="169">
        <f>IFERROR(IF('Gantt Proyectos'!AL124&gt;0,SUMIFS('Listas y Parametros'!$C$45:$L$45,'Listas y Parametros'!$C$35:$L$35,'Costo Directo Proyectos'!$AD56)*$AG56,0)+IF('Gantt Proyectos'!AL124=2,$T56,0)/$W56,0)*$L56</f>
        <v>0</v>
      </c>
      <c r="AO56" s="169">
        <f>IFERROR(IF('Gantt Proyectos'!AM124&gt;0,SUMIFS('Listas y Parametros'!$C$45:$L$45,'Listas y Parametros'!$C$35:$L$35,'Costo Directo Proyectos'!$AD56)*$AG56,0)+IF('Gantt Proyectos'!AM124=2,$T56,0)/$W56,0)*$L56</f>
        <v>0</v>
      </c>
      <c r="AP56" s="170">
        <f>IFERROR(IF('Gantt Proyectos'!AN124&gt;0,SUMIFS('Listas y Parametros'!$C$45:$L$45,'Listas y Parametros'!$C$35:$L$35,'Costo Directo Proyectos'!$AD56)*$AG56,0)+IF('Gantt Proyectos'!AN124=2,$T56,0)/$W56,0)*$L56</f>
        <v>0</v>
      </c>
    </row>
    <row r="57" spans="3:42" ht="15" x14ac:dyDescent="0.2">
      <c r="C57" s="117">
        <f>+'Gantt Proyectos'!C125</f>
        <v>29</v>
      </c>
      <c r="D57" s="118" t="str">
        <f>+'Gantt Proyectos'!D125</f>
        <v>Caserones: Análisis Estratégico</v>
      </c>
      <c r="E57" s="145" t="str">
        <f>+'Gantt Proyectos'!E125</f>
        <v>Lundin</v>
      </c>
      <c r="F57" s="147" t="str">
        <f>+'Gantt Proyectos'!F125</f>
        <v>Chile</v>
      </c>
      <c r="G57" s="118" t="str">
        <f>+'Gantt Proyectos'!G125</f>
        <v>Chile</v>
      </c>
      <c r="H57" s="118">
        <f>+'Gantt Proyectos'!H125</f>
        <v>0</v>
      </c>
      <c r="I57" s="189">
        <v>1</v>
      </c>
      <c r="J57" s="189">
        <f t="shared" si="12"/>
        <v>0</v>
      </c>
      <c r="K57" s="118" t="str">
        <f>+'Gantt Proyectos'!I125</f>
        <v>Open Pit</v>
      </c>
      <c r="L57" s="120">
        <f>+'Gantt Proyectos'!J125</f>
        <v>1</v>
      </c>
      <c r="M57" s="145" t="str">
        <f>+'Gantt Proyectos'!K125</f>
        <v>FR</v>
      </c>
      <c r="N57" s="145">
        <f>+'Gantt Proyectos'!L125</f>
        <v>300000</v>
      </c>
      <c r="O57" s="145">
        <f>+'Gantt Proyectos'!M125</f>
        <v>300000</v>
      </c>
      <c r="P57" s="145">
        <f>+'Gantt Proyectos'!N125</f>
        <v>2</v>
      </c>
      <c r="Q57" s="119">
        <f>+'Gantt Proyectos'!O125</f>
        <v>45782</v>
      </c>
      <c r="R57" s="119">
        <f>+'Gantt Proyectos'!P125</f>
        <v>45887</v>
      </c>
      <c r="S57" s="145" t="str">
        <f>+'Gantt Proyectos'!R125</f>
        <v>No</v>
      </c>
      <c r="T57" s="118">
        <f>+'Gantt Proyectos'!S125</f>
        <v>0</v>
      </c>
      <c r="U57" s="156">
        <f>+'Gantt Proyectos'!T125</f>
        <v>45782</v>
      </c>
      <c r="V57" s="156">
        <f>+'Gantt Proyectos'!U125</f>
        <v>45887</v>
      </c>
      <c r="W57" s="201">
        <f t="shared" si="13"/>
        <v>4</v>
      </c>
      <c r="X57" s="121">
        <f>+'Gantt Proyectos'!W125</f>
        <v>0.72035794183445179</v>
      </c>
      <c r="Y57" s="122">
        <f>+'Gantt Proyectos'!X125</f>
        <v>0.25</v>
      </c>
      <c r="Z57" s="122">
        <f>+'Gantt Proyectos'!Y125</f>
        <v>0.33</v>
      </c>
      <c r="AA57" s="122">
        <f>+'Gantt Proyectos'!Z125</f>
        <v>0</v>
      </c>
      <c r="AB57" s="122">
        <f>+'Gantt Proyectos'!AA125</f>
        <v>0.5</v>
      </c>
      <c r="AC57" s="122">
        <f>+'Gantt Proyectos'!AB125</f>
        <v>0.5</v>
      </c>
      <c r="AD57" s="152" t="str">
        <f>+'Gantt Proyectos'!AC125</f>
        <v>Estudio Conceptual / LOM</v>
      </c>
      <c r="AE57" s="123" t="str">
        <f>+'Gantt Proyectos'!AD125</f>
        <v>Actual</v>
      </c>
      <c r="AF57" s="124" t="str">
        <f>+'Gantt Proyectos'!AE125</f>
        <v>3. Avance: 25%</v>
      </c>
      <c r="AG57" s="172">
        <v>1</v>
      </c>
      <c r="AH57" s="168">
        <f>IFERROR(IF('Gantt Proyectos'!AF125&gt;0,SUMIFS('Listas y Parametros'!$C$45:$L$45,'Listas y Parametros'!$C$35:$L$35,'Costo Directo Proyectos'!$AD57)*$AG57,0)+IF('Gantt Proyectos'!AF125=2,$T57,0)/$W57,0)*$L57</f>
        <v>0</v>
      </c>
      <c r="AI57" s="169">
        <f>IFERROR(IF('Gantt Proyectos'!AG125&gt;0,SUMIFS('Listas y Parametros'!$C$45:$L$45,'Listas y Parametros'!$C$35:$L$35,'Costo Directo Proyectos'!$AD57)*$AG57,0)+IF('Gantt Proyectos'!AG125=2,$T57,0)/$W57,0)*$L57</f>
        <v>11999.746041754239</v>
      </c>
      <c r="AJ57" s="169">
        <f>IFERROR(IF('Gantt Proyectos'!AH125&gt;0,SUMIFS('Listas y Parametros'!$C$45:$L$45,'Listas y Parametros'!$C$35:$L$35,'Costo Directo Proyectos'!$AD57)*$AG57,0)+IF('Gantt Proyectos'!AH125=2,$T57,0)/$W57,0)*$L57</f>
        <v>11999.746041754239</v>
      </c>
      <c r="AK57" s="169">
        <f>IFERROR(IF('Gantt Proyectos'!AI125&gt;0,SUMIFS('Listas y Parametros'!$C$45:$L$45,'Listas y Parametros'!$C$35:$L$35,'Costo Directo Proyectos'!$AD57)*$AG57,0)+IF('Gantt Proyectos'!AI125=2,$T57,0)/$W57,0)*$L57</f>
        <v>11999.746041754239</v>
      </c>
      <c r="AL57" s="169">
        <f>IFERROR(IF('Gantt Proyectos'!AJ125&gt;0,SUMIFS('Listas y Parametros'!$C$45:$L$45,'Listas y Parametros'!$C$35:$L$35,'Costo Directo Proyectos'!$AD57)*$AG57,0)+IF('Gantt Proyectos'!AJ125=2,$T57,0)/$W57,0)*$L57</f>
        <v>11999.746041754239</v>
      </c>
      <c r="AM57" s="169">
        <f>IFERROR(IF('Gantt Proyectos'!AK125&gt;0,SUMIFS('Listas y Parametros'!$C$45:$L$45,'Listas y Parametros'!$C$35:$L$35,'Costo Directo Proyectos'!$AD57)*$AG57,0)+IF('Gantt Proyectos'!AK125=2,$T57,0)/$W57,0)*$L57</f>
        <v>0</v>
      </c>
      <c r="AN57" s="169">
        <f>IFERROR(IF('Gantt Proyectos'!AL125&gt;0,SUMIFS('Listas y Parametros'!$C$45:$L$45,'Listas y Parametros'!$C$35:$L$35,'Costo Directo Proyectos'!$AD57)*$AG57,0)+IF('Gantt Proyectos'!AL125=2,$T57,0)/$W57,0)*$L57</f>
        <v>0</v>
      </c>
      <c r="AO57" s="169">
        <f>IFERROR(IF('Gantt Proyectos'!AM125&gt;0,SUMIFS('Listas y Parametros'!$C$45:$L$45,'Listas y Parametros'!$C$35:$L$35,'Costo Directo Proyectos'!$AD57)*$AG57,0)+IF('Gantt Proyectos'!AM125=2,$T57,0)/$W57,0)*$L57</f>
        <v>0</v>
      </c>
      <c r="AP57" s="170">
        <f>IFERROR(IF('Gantt Proyectos'!AN125&gt;0,SUMIFS('Listas y Parametros'!$C$45:$L$45,'Listas y Parametros'!$C$35:$L$35,'Costo Directo Proyectos'!$AD57)*$AG57,0)+IF('Gantt Proyectos'!AN125=2,$T57,0)/$W57,0)*$L57</f>
        <v>0</v>
      </c>
    </row>
    <row r="58" spans="3:42" ht="15" x14ac:dyDescent="0.2">
      <c r="C58" s="117">
        <f>+'Gantt Proyectos'!C126</f>
        <v>30</v>
      </c>
      <c r="D58" s="118" t="str">
        <f>+'Gantt Proyectos'!D126</f>
        <v>QuinnEmanuel: OT Allegation</v>
      </c>
      <c r="E58" s="145" t="str">
        <f>+'Gantt Proyectos'!E126</f>
        <v>QuinnEmanuel</v>
      </c>
      <c r="F58" s="147" t="str">
        <f>+'Gantt Proyectos'!F126</f>
        <v>USA</v>
      </c>
      <c r="G58" s="118" t="str">
        <f>+'Gantt Proyectos'!G126</f>
        <v>Chile</v>
      </c>
      <c r="H58" s="118">
        <f>+'Gantt Proyectos'!H126</f>
        <v>0</v>
      </c>
      <c r="I58" s="189">
        <v>1</v>
      </c>
      <c r="J58" s="189">
        <f t="shared" si="12"/>
        <v>0</v>
      </c>
      <c r="K58" s="118" t="str">
        <f>+'Gantt Proyectos'!I126</f>
        <v>Subterránea</v>
      </c>
      <c r="L58" s="120">
        <f>+'Gantt Proyectos'!J126</f>
        <v>1</v>
      </c>
      <c r="M58" s="145" t="str">
        <f>+'Gantt Proyectos'!K126</f>
        <v>MF</v>
      </c>
      <c r="N58" s="145">
        <f>+'Gantt Proyectos'!L126</f>
        <v>300000</v>
      </c>
      <c r="O58" s="145">
        <f>+'Gantt Proyectos'!M126</f>
        <v>300000</v>
      </c>
      <c r="P58" s="145">
        <f>+'Gantt Proyectos'!N126</f>
        <v>2</v>
      </c>
      <c r="Q58" s="119">
        <f>+'Gantt Proyectos'!O126</f>
        <v>45838</v>
      </c>
      <c r="R58" s="119">
        <f>+'Gantt Proyectos'!P126</f>
        <v>46023</v>
      </c>
      <c r="S58" s="145" t="str">
        <f>+'Gantt Proyectos'!R126</f>
        <v>No</v>
      </c>
      <c r="T58" s="118">
        <f>+'Gantt Proyectos'!S126</f>
        <v>0</v>
      </c>
      <c r="U58" s="156">
        <f>+'Gantt Proyectos'!T126</f>
        <v>45838</v>
      </c>
      <c r="V58" s="156">
        <f>+'Gantt Proyectos'!U126</f>
        <v>46023</v>
      </c>
      <c r="W58" s="201">
        <f t="shared" si="13"/>
        <v>7</v>
      </c>
      <c r="X58" s="121">
        <f>+'Gantt Proyectos'!W126</f>
        <v>0.1</v>
      </c>
      <c r="Y58" s="122">
        <f>+'Gantt Proyectos'!X126</f>
        <v>0.33</v>
      </c>
      <c r="Z58" s="122">
        <f>+'Gantt Proyectos'!Y126</f>
        <v>0.5</v>
      </c>
      <c r="AA58" s="122">
        <f>+'Gantt Proyectos'!Z126</f>
        <v>0.33</v>
      </c>
      <c r="AB58" s="122">
        <f>+'Gantt Proyectos'!AA126</f>
        <v>1</v>
      </c>
      <c r="AC58" s="122">
        <f>+'Gantt Proyectos'!AB126</f>
        <v>0</v>
      </c>
      <c r="AD58" s="152" t="str">
        <f>+'Gantt Proyectos'!AC126</f>
        <v>Consultoria y Due Dilligence</v>
      </c>
      <c r="AE58" s="123" t="str">
        <f>+'Gantt Proyectos'!AD126</f>
        <v>No Asignado</v>
      </c>
      <c r="AF58" s="124" t="str">
        <f>+'Gantt Proyectos'!AE126</f>
        <v>1. Proyectado: No  Asignado</v>
      </c>
      <c r="AG58" s="172">
        <v>1</v>
      </c>
      <c r="AH58" s="168">
        <f>IFERROR(IF('Gantt Proyectos'!AF126&gt;0,SUMIFS('Listas y Parametros'!$C$45:$L$45,'Listas y Parametros'!$C$35:$L$35,'Costo Directo Proyectos'!$AD58)*$AG58,0)+IF('Gantt Proyectos'!AF126=2,$T58,0)/$W58,0)*$L58</f>
        <v>0</v>
      </c>
      <c r="AI58" s="169">
        <f>IFERROR(IF('Gantt Proyectos'!AG126&gt;0,SUMIFS('Listas y Parametros'!$C$45:$L$45,'Listas y Parametros'!$C$35:$L$35,'Costo Directo Proyectos'!$AD58)*$AG58,0)+IF('Gantt Proyectos'!AG126=2,$T58,0)/$W58,0)*$L58</f>
        <v>0</v>
      </c>
      <c r="AJ58" s="169">
        <f>IFERROR(IF('Gantt Proyectos'!AH126&gt;0,SUMIFS('Listas y Parametros'!$C$45:$L$45,'Listas y Parametros'!$C$35:$L$35,'Costo Directo Proyectos'!$AD58)*$AG58,0)+IF('Gantt Proyectos'!AH126=2,$T58,0)/$W58,0)*$L58</f>
        <v>19463.097239736584</v>
      </c>
      <c r="AK58" s="169">
        <f>IFERROR(IF('Gantt Proyectos'!AI126&gt;0,SUMIFS('Listas y Parametros'!$C$45:$L$45,'Listas y Parametros'!$C$35:$L$35,'Costo Directo Proyectos'!$AD58)*$AG58,0)+IF('Gantt Proyectos'!AI126=2,$T58,0)/$W58,0)*$L58</f>
        <v>19463.097239736584</v>
      </c>
      <c r="AL58" s="169">
        <f>IFERROR(IF('Gantt Proyectos'!AJ126&gt;0,SUMIFS('Listas y Parametros'!$C$45:$L$45,'Listas y Parametros'!$C$35:$L$35,'Costo Directo Proyectos'!$AD58)*$AG58,0)+IF('Gantt Proyectos'!AJ126=2,$T58,0)/$W58,0)*$L58</f>
        <v>19463.097239736584</v>
      </c>
      <c r="AM58" s="169">
        <f>IFERROR(IF('Gantt Proyectos'!AK126&gt;0,SUMIFS('Listas y Parametros'!$C$45:$L$45,'Listas y Parametros'!$C$35:$L$35,'Costo Directo Proyectos'!$AD58)*$AG58,0)+IF('Gantt Proyectos'!AK126=2,$T58,0)/$W58,0)*$L58</f>
        <v>19463.097239736584</v>
      </c>
      <c r="AN58" s="169">
        <f>IFERROR(IF('Gantt Proyectos'!AL126&gt;0,SUMIFS('Listas y Parametros'!$C$45:$L$45,'Listas y Parametros'!$C$35:$L$35,'Costo Directo Proyectos'!$AD58)*$AG58,0)+IF('Gantt Proyectos'!AL126=2,$T58,0)/$W58,0)*$L58</f>
        <v>19463.097239736584</v>
      </c>
      <c r="AO58" s="169">
        <f>IFERROR(IF('Gantt Proyectos'!AM126&gt;0,SUMIFS('Listas y Parametros'!$C$45:$L$45,'Listas y Parametros'!$C$35:$L$35,'Costo Directo Proyectos'!$AD58)*$AG58,0)+IF('Gantt Proyectos'!AM126=2,$T58,0)/$W58,0)*$L58</f>
        <v>19463.097239736584</v>
      </c>
      <c r="AP58" s="170">
        <f>IFERROR(IF('Gantt Proyectos'!AN126&gt;0,SUMIFS('Listas y Parametros'!$C$45:$L$45,'Listas y Parametros'!$C$35:$L$35,'Costo Directo Proyectos'!$AD58)*$AG58,0)+IF('Gantt Proyectos'!AN126=2,$T58,0)/$W58,0)*$L58</f>
        <v>19463.097239736584</v>
      </c>
    </row>
    <row r="59" spans="3:42" ht="15" x14ac:dyDescent="0.2">
      <c r="C59" s="117">
        <f>+'Gantt Proyectos'!C127</f>
        <v>31</v>
      </c>
      <c r="D59" s="118" t="str">
        <f>+'Gantt Proyectos'!D127</f>
        <v xml:space="preserve">DET: Ingeniería Perfil Sector Teniente 9 </v>
      </c>
      <c r="E59" s="145" t="str">
        <f>+'Gantt Proyectos'!E127</f>
        <v>Codelco</v>
      </c>
      <c r="F59" s="147" t="str">
        <f>+'Gantt Proyectos'!F127</f>
        <v>Chile</v>
      </c>
      <c r="G59" s="118" t="str">
        <f>+'Gantt Proyectos'!G127</f>
        <v>Chile</v>
      </c>
      <c r="H59" s="118">
        <f>+'Gantt Proyectos'!H127</f>
        <v>0</v>
      </c>
      <c r="I59" s="189">
        <v>1</v>
      </c>
      <c r="J59" s="189">
        <f t="shared" si="12"/>
        <v>0</v>
      </c>
      <c r="K59" s="118" t="str">
        <f>+'Gantt Proyectos'!I127</f>
        <v>Subterránea</v>
      </c>
      <c r="L59" s="120">
        <f>+'Gantt Proyectos'!J127</f>
        <v>1</v>
      </c>
      <c r="M59" s="145" t="str">
        <f>+'Gantt Proyectos'!K127</f>
        <v>CA</v>
      </c>
      <c r="N59" s="145">
        <f>+'Gantt Proyectos'!L127</f>
        <v>300000</v>
      </c>
      <c r="O59" s="145">
        <f>+'Gantt Proyectos'!M127</f>
        <v>300000</v>
      </c>
      <c r="P59" s="145">
        <f>+'Gantt Proyectos'!N127</f>
        <v>2</v>
      </c>
      <c r="Q59" s="119">
        <f>+'Gantt Proyectos'!O127</f>
        <v>45859</v>
      </c>
      <c r="R59" s="119">
        <f>+'Gantt Proyectos'!P127</f>
        <v>45978</v>
      </c>
      <c r="S59" s="145" t="str">
        <f>+'Gantt Proyectos'!R127</f>
        <v>No</v>
      </c>
      <c r="T59" s="118">
        <f>+'Gantt Proyectos'!S127</f>
        <v>0</v>
      </c>
      <c r="U59" s="156">
        <f>+'Gantt Proyectos'!T127</f>
        <v>45859</v>
      </c>
      <c r="V59" s="156">
        <f>+'Gantt Proyectos'!U127</f>
        <v>45978</v>
      </c>
      <c r="W59" s="201">
        <f t="shared" si="13"/>
        <v>4</v>
      </c>
      <c r="X59" s="121">
        <f>+'Gantt Proyectos'!W127</f>
        <v>0.28948545861297537</v>
      </c>
      <c r="Y59" s="122">
        <f>+'Gantt Proyectos'!X127</f>
        <v>0.33</v>
      </c>
      <c r="Z59" s="122">
        <f>+'Gantt Proyectos'!Y127</f>
        <v>0.5</v>
      </c>
      <c r="AA59" s="122">
        <f>+'Gantt Proyectos'!Z127</f>
        <v>0.33</v>
      </c>
      <c r="AB59" s="122">
        <f>+'Gantt Proyectos'!AA127</f>
        <v>1</v>
      </c>
      <c r="AC59" s="122">
        <f>+'Gantt Proyectos'!AB127</f>
        <v>1</v>
      </c>
      <c r="AD59" s="152" t="str">
        <f>+'Gantt Proyectos'!AC127</f>
        <v>Scoping</v>
      </c>
      <c r="AE59" s="123" t="str">
        <f>+'Gantt Proyectos'!AD127</f>
        <v>No Asignado</v>
      </c>
      <c r="AF59" s="124" t="str">
        <f>+'Gantt Proyectos'!AE127</f>
        <v>1. Proyectado: No  Asignado</v>
      </c>
      <c r="AG59" s="172">
        <v>1</v>
      </c>
      <c r="AH59" s="168">
        <f>IFERROR(IF('Gantt Proyectos'!AF127&gt;0,SUMIFS('Listas y Parametros'!$C$45:$L$45,'Listas y Parametros'!$C$35:$L$35,'Costo Directo Proyectos'!$AD59)*$AG59,0)+IF('Gantt Proyectos'!AF127=2,$T59,0)/$W59,0)*$L59</f>
        <v>0</v>
      </c>
      <c r="AI59" s="169">
        <f>IFERROR(IF('Gantt Proyectos'!AG127&gt;0,SUMIFS('Listas y Parametros'!$C$45:$L$45,'Listas y Parametros'!$C$35:$L$35,'Costo Directo Proyectos'!$AD59)*$AG59,0)+IF('Gantt Proyectos'!AG127=2,$T59,0)/$W59,0)*$L59</f>
        <v>0</v>
      </c>
      <c r="AJ59" s="169">
        <f>IFERROR(IF('Gantt Proyectos'!AH127&gt;0,SUMIFS('Listas y Parametros'!$C$45:$L$45,'Listas y Parametros'!$C$35:$L$35,'Costo Directo Proyectos'!$AD59)*$AG59,0)+IF('Gantt Proyectos'!AH127=2,$T59,0)/$W59,0)*$L59</f>
        <v>0</v>
      </c>
      <c r="AK59" s="169">
        <f>IFERROR(IF('Gantt Proyectos'!AI127&gt;0,SUMIFS('Listas y Parametros'!$C$45:$L$45,'Listas y Parametros'!$C$35:$L$35,'Costo Directo Proyectos'!$AD59)*$AG59,0)+IF('Gantt Proyectos'!AI127=2,$T59,0)/$W59,0)*$L59</f>
        <v>22950.644528513381</v>
      </c>
      <c r="AL59" s="169">
        <f>IFERROR(IF('Gantt Proyectos'!AJ127&gt;0,SUMIFS('Listas y Parametros'!$C$45:$L$45,'Listas y Parametros'!$C$35:$L$35,'Costo Directo Proyectos'!$AD59)*$AG59,0)+IF('Gantt Proyectos'!AJ127=2,$T59,0)/$W59,0)*$L59</f>
        <v>22950.644528513381</v>
      </c>
      <c r="AM59" s="169">
        <f>IFERROR(IF('Gantt Proyectos'!AK127&gt;0,SUMIFS('Listas y Parametros'!$C$45:$L$45,'Listas y Parametros'!$C$35:$L$35,'Costo Directo Proyectos'!$AD59)*$AG59,0)+IF('Gantt Proyectos'!AK127=2,$T59,0)/$W59,0)*$L59</f>
        <v>22950.644528513381</v>
      </c>
      <c r="AN59" s="169">
        <f>IFERROR(IF('Gantt Proyectos'!AL127&gt;0,SUMIFS('Listas y Parametros'!$C$45:$L$45,'Listas y Parametros'!$C$35:$L$35,'Costo Directo Proyectos'!$AD59)*$AG59,0)+IF('Gantt Proyectos'!AL127=2,$T59,0)/$W59,0)*$L59</f>
        <v>22950.644528513381</v>
      </c>
      <c r="AO59" s="169">
        <f>IFERROR(IF('Gantt Proyectos'!AM127&gt;0,SUMIFS('Listas y Parametros'!$C$45:$L$45,'Listas y Parametros'!$C$35:$L$35,'Costo Directo Proyectos'!$AD59)*$AG59,0)+IF('Gantt Proyectos'!AM127=2,$T59,0)/$W59,0)*$L59</f>
        <v>22950.644528513381</v>
      </c>
      <c r="AP59" s="170">
        <f>IFERROR(IF('Gantt Proyectos'!AN127&gt;0,SUMIFS('Listas y Parametros'!$C$45:$L$45,'Listas y Parametros'!$C$35:$L$35,'Costo Directo Proyectos'!$AD59)*$AG59,0)+IF('Gantt Proyectos'!AN127=2,$T59,0)/$W59,0)*$L59</f>
        <v>0</v>
      </c>
    </row>
    <row r="60" spans="3:42" ht="15" x14ac:dyDescent="0.2">
      <c r="C60" s="117">
        <f>+'Gantt Proyectos'!C128</f>
        <v>32</v>
      </c>
      <c r="D60" s="118" t="str">
        <f>+'Gantt Proyectos'!D128</f>
        <v>Ingeniería Basica Sistema Manejo Materiales Candelaria</v>
      </c>
      <c r="E60" s="145" t="str">
        <f>+'Gantt Proyectos'!E128</f>
        <v>Lundin</v>
      </c>
      <c r="F60" s="147" t="str">
        <f>+'Gantt Proyectos'!F128</f>
        <v>Chile</v>
      </c>
      <c r="G60" s="118" t="str">
        <f>+'Gantt Proyectos'!G128</f>
        <v>Chile</v>
      </c>
      <c r="H60" s="118">
        <f>+'Gantt Proyectos'!H128</f>
        <v>0</v>
      </c>
      <c r="I60" s="189">
        <v>1</v>
      </c>
      <c r="J60" s="189">
        <f t="shared" si="12"/>
        <v>0</v>
      </c>
      <c r="K60" s="118" t="str">
        <f>+'Gantt Proyectos'!I128</f>
        <v>Subterránea</v>
      </c>
      <c r="L60" s="120">
        <f>+'Gantt Proyectos'!J128</f>
        <v>0</v>
      </c>
      <c r="M60" s="145" t="str">
        <f>+'Gantt Proyectos'!K128</f>
        <v>RM</v>
      </c>
      <c r="N60" s="145">
        <f>+'Gantt Proyectos'!L128</f>
        <v>1300000</v>
      </c>
      <c r="O60" s="145">
        <f>+'Gantt Proyectos'!M128</f>
        <v>1300000</v>
      </c>
      <c r="P60" s="145">
        <f>+'Gantt Proyectos'!N128</f>
        <v>2</v>
      </c>
      <c r="Q60" s="119">
        <f>+'Gantt Proyectos'!O128</f>
        <v>45796</v>
      </c>
      <c r="R60" s="119">
        <f>+'Gantt Proyectos'!P128</f>
        <v>46020</v>
      </c>
      <c r="S60" s="145" t="str">
        <f>+'Gantt Proyectos'!R128</f>
        <v>No</v>
      </c>
      <c r="T60" s="118">
        <f>+'Gantt Proyectos'!S128</f>
        <v>0</v>
      </c>
      <c r="U60" s="156">
        <f>+'Gantt Proyectos'!T128</f>
        <v>45796</v>
      </c>
      <c r="V60" s="156">
        <f>+'Gantt Proyectos'!U128</f>
        <v>46020</v>
      </c>
      <c r="W60" s="201">
        <f t="shared" si="13"/>
        <v>8</v>
      </c>
      <c r="X60" s="121">
        <f>+'Gantt Proyectos'!W128</f>
        <v>0</v>
      </c>
      <c r="Y60" s="122">
        <f>+'Gantt Proyectos'!X128</f>
        <v>0</v>
      </c>
      <c r="Z60" s="122">
        <f>+'Gantt Proyectos'!Y128</f>
        <v>0</v>
      </c>
      <c r="AA60" s="122">
        <f>+'Gantt Proyectos'!Z128</f>
        <v>0</v>
      </c>
      <c r="AB60" s="122">
        <f>+'Gantt Proyectos'!AA128</f>
        <v>0</v>
      </c>
      <c r="AC60" s="122">
        <f>+'Gantt Proyectos'!AB128</f>
        <v>0</v>
      </c>
      <c r="AD60" s="152" t="str">
        <f>+'Gantt Proyectos'!AC128</f>
        <v>FS e Ing. Basica</v>
      </c>
      <c r="AE60" s="123" t="str">
        <f>+'Gantt Proyectos'!AD128</f>
        <v>No Asignado</v>
      </c>
      <c r="AF60" s="124" t="str">
        <f>+'Gantt Proyectos'!AE128</f>
        <v>1. Proyectado: No  Asignado</v>
      </c>
      <c r="AG60" s="172">
        <v>1</v>
      </c>
      <c r="AH60" s="168">
        <f>IFERROR(IF('Gantt Proyectos'!AF128&gt;0,SUMIFS('Listas y Parametros'!$C$45:$L$45,'Listas y Parametros'!$C$35:$L$35,'Costo Directo Proyectos'!$AD60)*$AG60,0)+IF('Gantt Proyectos'!AF128=2,$T60,0)/$W60,0)*$L60</f>
        <v>0</v>
      </c>
      <c r="AI60" s="169">
        <f>IFERROR(IF('Gantt Proyectos'!AG128&gt;0,SUMIFS('Listas y Parametros'!$C$45:$L$45,'Listas y Parametros'!$C$35:$L$35,'Costo Directo Proyectos'!$AD60)*$AG60,0)+IF('Gantt Proyectos'!AG128=2,$T60,0)/$W60,0)*$L60</f>
        <v>0</v>
      </c>
      <c r="AJ60" s="169">
        <f>IFERROR(IF('Gantt Proyectos'!AH128&gt;0,SUMIFS('Listas y Parametros'!$C$45:$L$45,'Listas y Parametros'!$C$35:$L$35,'Costo Directo Proyectos'!$AD60)*$AG60,0)+IF('Gantt Proyectos'!AH128=2,$T60,0)/$W60,0)*$L60</f>
        <v>0</v>
      </c>
      <c r="AK60" s="169">
        <f>IFERROR(IF('Gantt Proyectos'!AI128&gt;0,SUMIFS('Listas y Parametros'!$C$45:$L$45,'Listas y Parametros'!$C$35:$L$35,'Costo Directo Proyectos'!$AD60)*$AG60,0)+IF('Gantt Proyectos'!AI128=2,$T60,0)/$W60,0)*$L60</f>
        <v>0</v>
      </c>
      <c r="AL60" s="169">
        <f>IFERROR(IF('Gantt Proyectos'!AJ128&gt;0,SUMIFS('Listas y Parametros'!$C$45:$L$45,'Listas y Parametros'!$C$35:$L$35,'Costo Directo Proyectos'!$AD60)*$AG60,0)+IF('Gantt Proyectos'!AJ128=2,$T60,0)/$W60,0)*$L60</f>
        <v>0</v>
      </c>
      <c r="AM60" s="169">
        <f>IFERROR(IF('Gantt Proyectos'!AK128&gt;0,SUMIFS('Listas y Parametros'!$C$45:$L$45,'Listas y Parametros'!$C$35:$L$35,'Costo Directo Proyectos'!$AD60)*$AG60,0)+IF('Gantt Proyectos'!AK128=2,$T60,0)/$W60,0)*$L60</f>
        <v>0</v>
      </c>
      <c r="AN60" s="169">
        <f>IFERROR(IF('Gantt Proyectos'!AL128&gt;0,SUMIFS('Listas y Parametros'!$C$45:$L$45,'Listas y Parametros'!$C$35:$L$35,'Costo Directo Proyectos'!$AD60)*$AG60,0)+IF('Gantt Proyectos'!AL128=2,$T60,0)/$W60,0)*$L60</f>
        <v>0</v>
      </c>
      <c r="AO60" s="169">
        <f>IFERROR(IF('Gantt Proyectos'!AM128&gt;0,SUMIFS('Listas y Parametros'!$C$45:$L$45,'Listas y Parametros'!$C$35:$L$35,'Costo Directo Proyectos'!$AD60)*$AG60,0)+IF('Gantt Proyectos'!AM128=2,$T60,0)/$W60,0)*$L60</f>
        <v>0</v>
      </c>
      <c r="AP60" s="170">
        <f>IFERROR(IF('Gantt Proyectos'!AN128&gt;0,SUMIFS('Listas y Parametros'!$C$45:$L$45,'Listas y Parametros'!$C$35:$L$35,'Costo Directo Proyectos'!$AD60)*$AG60,0)+IF('Gantt Proyectos'!AN128=2,$T60,0)/$W60,0)*$L60</f>
        <v>0</v>
      </c>
    </row>
    <row r="61" spans="3:42" ht="15" x14ac:dyDescent="0.2">
      <c r="C61" s="117">
        <f>+'Gantt Proyectos'!C129</f>
        <v>33</v>
      </c>
      <c r="D61" s="118" t="str">
        <f>+'Gantt Proyectos'!D129</f>
        <v>PEA Proyecto Furnas</v>
      </c>
      <c r="E61" s="145" t="str">
        <f>+'Gantt Proyectos'!E129</f>
        <v>Ero Copper</v>
      </c>
      <c r="F61" s="147" t="str">
        <f>+'Gantt Proyectos'!F129</f>
        <v>Brasil</v>
      </c>
      <c r="G61" s="118" t="str">
        <f>+'Gantt Proyectos'!G129</f>
        <v>Chile</v>
      </c>
      <c r="H61" s="118" t="str">
        <f>+'Gantt Proyectos'!H129</f>
        <v>Perú</v>
      </c>
      <c r="I61" s="189">
        <v>0.5</v>
      </c>
      <c r="J61" s="189">
        <f t="shared" si="12"/>
        <v>0.5</v>
      </c>
      <c r="K61" s="118" t="str">
        <f>+'Gantt Proyectos'!I129</f>
        <v>Subterránea</v>
      </c>
      <c r="L61" s="120">
        <f>+'Gantt Proyectos'!J129</f>
        <v>1</v>
      </c>
      <c r="M61" s="145" t="str">
        <f>+'Gantt Proyectos'!K129</f>
        <v>-</v>
      </c>
      <c r="N61" s="145">
        <f>+'Gantt Proyectos'!L129</f>
        <v>490000</v>
      </c>
      <c r="O61" s="145">
        <f>+'Gantt Proyectos'!M129</f>
        <v>490000</v>
      </c>
      <c r="P61" s="145">
        <f>+'Gantt Proyectos'!N129</f>
        <v>2</v>
      </c>
      <c r="Q61" s="119">
        <f>+'Gantt Proyectos'!O129</f>
        <v>45789</v>
      </c>
      <c r="R61" s="119">
        <f>+'Gantt Proyectos'!P129</f>
        <v>45985</v>
      </c>
      <c r="S61" s="145" t="str">
        <f>+'Gantt Proyectos'!R129</f>
        <v>No</v>
      </c>
      <c r="T61" s="118">
        <f>+'Gantt Proyectos'!S129</f>
        <v>0</v>
      </c>
      <c r="U61" s="156">
        <f>+'Gantt Proyectos'!T129</f>
        <v>45789</v>
      </c>
      <c r="V61" s="156">
        <f>+'Gantt Proyectos'!U129</f>
        <v>45985</v>
      </c>
      <c r="W61" s="201">
        <f t="shared" si="13"/>
        <v>7</v>
      </c>
      <c r="X61" s="121">
        <f>+'Gantt Proyectos'!W129</f>
        <v>1.4474272930648799</v>
      </c>
      <c r="Y61" s="122">
        <f>+'Gantt Proyectos'!X129</f>
        <v>0.33</v>
      </c>
      <c r="Z61" s="122">
        <f>+'Gantt Proyectos'!Y129</f>
        <v>0.5</v>
      </c>
      <c r="AA61" s="122">
        <f>+'Gantt Proyectos'!Z129</f>
        <v>0.33</v>
      </c>
      <c r="AB61" s="122">
        <f>+'Gantt Proyectos'!AA129</f>
        <v>1</v>
      </c>
      <c r="AC61" s="122">
        <f>+'Gantt Proyectos'!AB129</f>
        <v>1</v>
      </c>
      <c r="AD61" s="152" t="str">
        <f>+'Gantt Proyectos'!AC129</f>
        <v>PEA</v>
      </c>
      <c r="AE61" s="123" t="str">
        <f>+'Gantt Proyectos'!AD129</f>
        <v>Actual</v>
      </c>
      <c r="AF61" s="124" t="str">
        <f>+'Gantt Proyectos'!AE129</f>
        <v>3. Avance: 25%</v>
      </c>
      <c r="AG61" s="172">
        <v>1</v>
      </c>
      <c r="AH61" s="168">
        <f>IFERROR(IF('Gantt Proyectos'!AF129&gt;0,SUMIFS('Listas y Parametros'!$C$45:$L$45,'Listas y Parametros'!$C$35:$L$35,'Costo Directo Proyectos'!$AD61)*$AG61,0)+IF('Gantt Proyectos'!AF129=2,$T61,0)/$W61,0)*$L61</f>
        <v>0</v>
      </c>
      <c r="AI61" s="169">
        <f>IFERROR(IF('Gantt Proyectos'!AG129&gt;0,SUMIFS('Listas y Parametros'!$C$45:$L$45,'Listas y Parametros'!$C$35:$L$35,'Costo Directo Proyectos'!$AD61)*$AG61,0)+IF('Gantt Proyectos'!AG129=2,$T61,0)/$W61,0)*$L61</f>
        <v>22950.644528513381</v>
      </c>
      <c r="AJ61" s="169">
        <f>IFERROR(IF('Gantt Proyectos'!AH129&gt;0,SUMIFS('Listas y Parametros'!$C$45:$L$45,'Listas y Parametros'!$C$35:$L$35,'Costo Directo Proyectos'!$AD61)*$AG61,0)+IF('Gantt Proyectos'!AH129=2,$T61,0)/$W61,0)*$L61</f>
        <v>22950.644528513381</v>
      </c>
      <c r="AK61" s="169">
        <f>IFERROR(IF('Gantt Proyectos'!AI129&gt;0,SUMIFS('Listas y Parametros'!$C$45:$L$45,'Listas y Parametros'!$C$35:$L$35,'Costo Directo Proyectos'!$AD61)*$AG61,0)+IF('Gantt Proyectos'!AI129=2,$T61,0)/$W61,0)*$L61</f>
        <v>22950.644528513381</v>
      </c>
      <c r="AL61" s="169">
        <f>IFERROR(IF('Gantt Proyectos'!AJ129&gt;0,SUMIFS('Listas y Parametros'!$C$45:$L$45,'Listas y Parametros'!$C$35:$L$35,'Costo Directo Proyectos'!$AD61)*$AG61,0)+IF('Gantt Proyectos'!AJ129=2,$T61,0)/$W61,0)*$L61</f>
        <v>22950.644528513381</v>
      </c>
      <c r="AM61" s="169">
        <f>IFERROR(IF('Gantt Proyectos'!AK129&gt;0,SUMIFS('Listas y Parametros'!$C$45:$L$45,'Listas y Parametros'!$C$35:$L$35,'Costo Directo Proyectos'!$AD61)*$AG61,0)+IF('Gantt Proyectos'!AK129=2,$T61,0)/$W61,0)*$L61</f>
        <v>22950.644528513381</v>
      </c>
      <c r="AN61" s="169">
        <f>IFERROR(IF('Gantt Proyectos'!AL129&gt;0,SUMIFS('Listas y Parametros'!$C$45:$L$45,'Listas y Parametros'!$C$35:$L$35,'Costo Directo Proyectos'!$AD61)*$AG61,0)+IF('Gantt Proyectos'!AL129=2,$T61,0)/$W61,0)*$L61</f>
        <v>22950.644528513381</v>
      </c>
      <c r="AO61" s="169">
        <f>IFERROR(IF('Gantt Proyectos'!AM129&gt;0,SUMIFS('Listas y Parametros'!$C$45:$L$45,'Listas y Parametros'!$C$35:$L$35,'Costo Directo Proyectos'!$AD61)*$AG61,0)+IF('Gantt Proyectos'!AM129=2,$T61,0)/$W61,0)*$L61</f>
        <v>22950.644528513381</v>
      </c>
      <c r="AP61" s="170">
        <f>IFERROR(IF('Gantt Proyectos'!AN129&gt;0,SUMIFS('Listas y Parametros'!$C$45:$L$45,'Listas y Parametros'!$C$35:$L$35,'Costo Directo Proyectos'!$AD61)*$AG61,0)+IF('Gantt Proyectos'!AN129=2,$T61,0)/$W61,0)*$L61</f>
        <v>0</v>
      </c>
    </row>
    <row r="62" spans="3:42" ht="15" x14ac:dyDescent="0.2">
      <c r="C62" s="117">
        <f>+'Gantt Proyectos'!C130</f>
        <v>34</v>
      </c>
      <c r="D62" s="145" t="str">
        <f>+'Gantt Proyectos'!D130</f>
        <v xml:space="preserve">Cerro Blanco: FS Minería + Ing Detalle componentes </v>
      </c>
      <c r="E62" s="145" t="str">
        <f>+'Gantt Proyectos'!E130</f>
        <v>Aura Minerals</v>
      </c>
      <c r="F62" s="147" t="str">
        <f>+'Gantt Proyectos'!F130</f>
        <v>Brasil</v>
      </c>
      <c r="G62" s="118" t="str">
        <f>+'Gantt Proyectos'!G130</f>
        <v>Chile</v>
      </c>
      <c r="H62" s="118">
        <f>+'Gantt Proyectos'!H130</f>
        <v>0</v>
      </c>
      <c r="I62" s="189">
        <v>1</v>
      </c>
      <c r="J62" s="189">
        <f t="shared" si="12"/>
        <v>0</v>
      </c>
      <c r="K62" s="118" t="str">
        <f>+'Gantt Proyectos'!I130</f>
        <v>Subterránea</v>
      </c>
      <c r="L62" s="120">
        <f>+'Gantt Proyectos'!J130</f>
        <v>1</v>
      </c>
      <c r="M62" s="145" t="str">
        <f>+'Gantt Proyectos'!K130</f>
        <v>-</v>
      </c>
      <c r="N62" s="145">
        <f>+'Gantt Proyectos'!L130</f>
        <v>2400000</v>
      </c>
      <c r="O62" s="145">
        <f>+'Gantt Proyectos'!M130</f>
        <v>2400000</v>
      </c>
      <c r="P62" s="145">
        <f>+'Gantt Proyectos'!N130</f>
        <v>2</v>
      </c>
      <c r="Q62" s="119">
        <f>+'Gantt Proyectos'!O130</f>
        <v>45850</v>
      </c>
      <c r="R62" s="119">
        <f>+'Gantt Proyectos'!P130</f>
        <v>46128</v>
      </c>
      <c r="S62" s="145" t="str">
        <f>+'Gantt Proyectos'!R130</f>
        <v>No</v>
      </c>
      <c r="T62" s="118">
        <f>+'Gantt Proyectos'!S130</f>
        <v>0</v>
      </c>
      <c r="U62" s="156">
        <f>+'Gantt Proyectos'!T130</f>
        <v>45850</v>
      </c>
      <c r="V62" s="156">
        <f>+'Gantt Proyectos'!U130</f>
        <v>46128</v>
      </c>
      <c r="W62" s="201">
        <f t="shared" si="13"/>
        <v>10</v>
      </c>
      <c r="X62" s="121">
        <f>+'Gantt Proyectos'!W130</f>
        <v>0.51006711409395977</v>
      </c>
      <c r="Y62" s="122">
        <f>+'Gantt Proyectos'!X130</f>
        <v>0.5</v>
      </c>
      <c r="Z62" s="122">
        <f>+'Gantt Proyectos'!Y130</f>
        <v>0.67</v>
      </c>
      <c r="AA62" s="122">
        <f>+'Gantt Proyectos'!Z130</f>
        <v>1</v>
      </c>
      <c r="AB62" s="122">
        <f>+'Gantt Proyectos'!AA130</f>
        <v>2.5</v>
      </c>
      <c r="AC62" s="122">
        <f>+'Gantt Proyectos'!AB130</f>
        <v>1</v>
      </c>
      <c r="AD62" s="152" t="str">
        <f>+'Gantt Proyectos'!AC130</f>
        <v>FS e Ing. Basica</v>
      </c>
      <c r="AE62" s="123" t="str">
        <f>+'Gantt Proyectos'!AD130</f>
        <v>No Asignado</v>
      </c>
      <c r="AF62" s="124" t="str">
        <f>+'Gantt Proyectos'!AE130</f>
        <v>1. Proyectado: No  Asignado</v>
      </c>
      <c r="AG62" s="172">
        <v>1</v>
      </c>
      <c r="AH62" s="168">
        <f>IFERROR(IF('Gantt Proyectos'!AF130&gt;0,SUMIFS('Listas y Parametros'!$C$45:$L$45,'Listas y Parametros'!$C$35:$L$35,'Costo Directo Proyectos'!$AD62)*$AG62,0)+IF('Gantt Proyectos'!AF130=2,$T62,0)/$W62,0)*$L62</f>
        <v>0</v>
      </c>
      <c r="AI62" s="169">
        <f>IFERROR(IF('Gantt Proyectos'!AG130&gt;0,SUMIFS('Listas y Parametros'!$C$45:$L$45,'Listas y Parametros'!$C$35:$L$35,'Costo Directo Proyectos'!$AD62)*$AG62,0)+IF('Gantt Proyectos'!AG130=2,$T62,0)/$W62,0)*$L62</f>
        <v>0</v>
      </c>
      <c r="AJ62" s="169">
        <f>IFERROR(IF('Gantt Proyectos'!AH130&gt;0,SUMIFS('Listas y Parametros'!$C$45:$L$45,'Listas y Parametros'!$C$35:$L$35,'Costo Directo Proyectos'!$AD62)*$AG62,0)+IF('Gantt Proyectos'!AH130=2,$T62,0)/$W62,0)*$L62</f>
        <v>0</v>
      </c>
      <c r="AK62" s="169">
        <f>IFERROR(IF('Gantt Proyectos'!AI130&gt;0,SUMIFS('Listas y Parametros'!$C$45:$L$45,'Listas y Parametros'!$C$35:$L$35,'Costo Directo Proyectos'!$AD62)*$AG62,0)+IF('Gantt Proyectos'!AI130=2,$T62,0)/$W62,0)*$L62</f>
        <v>42832.247442903179</v>
      </c>
      <c r="AL62" s="169">
        <f>IFERROR(IF('Gantt Proyectos'!AJ130&gt;0,SUMIFS('Listas y Parametros'!$C$45:$L$45,'Listas y Parametros'!$C$35:$L$35,'Costo Directo Proyectos'!$AD62)*$AG62,0)+IF('Gantt Proyectos'!AJ130=2,$T62,0)/$W62,0)*$L62</f>
        <v>42832.247442903179</v>
      </c>
      <c r="AM62" s="169">
        <f>IFERROR(IF('Gantt Proyectos'!AK130&gt;0,SUMIFS('Listas y Parametros'!$C$45:$L$45,'Listas y Parametros'!$C$35:$L$35,'Costo Directo Proyectos'!$AD62)*$AG62,0)+IF('Gantt Proyectos'!AK130=2,$T62,0)/$W62,0)*$L62</f>
        <v>42832.247442903179</v>
      </c>
      <c r="AN62" s="169">
        <f>IFERROR(IF('Gantt Proyectos'!AL130&gt;0,SUMIFS('Listas y Parametros'!$C$45:$L$45,'Listas y Parametros'!$C$35:$L$35,'Costo Directo Proyectos'!$AD62)*$AG62,0)+IF('Gantt Proyectos'!AL130=2,$T62,0)/$W62,0)*$L62</f>
        <v>42832.247442903179</v>
      </c>
      <c r="AO62" s="169">
        <f>IFERROR(IF('Gantt Proyectos'!AM130&gt;0,SUMIFS('Listas y Parametros'!$C$45:$L$45,'Listas y Parametros'!$C$35:$L$35,'Costo Directo Proyectos'!$AD62)*$AG62,0)+IF('Gantt Proyectos'!AM130=2,$T62,0)/$W62,0)*$L62</f>
        <v>42832.247442903179</v>
      </c>
      <c r="AP62" s="170">
        <f>IFERROR(IF('Gantt Proyectos'!AN130&gt;0,SUMIFS('Listas y Parametros'!$C$45:$L$45,'Listas y Parametros'!$C$35:$L$35,'Costo Directo Proyectos'!$AD62)*$AG62,0)+IF('Gantt Proyectos'!AN130=2,$T62,0)/$W62,0)*$L62</f>
        <v>42832.247442903179</v>
      </c>
    </row>
    <row r="63" spans="3:42" ht="15" x14ac:dyDescent="0.2">
      <c r="C63" s="117">
        <f>+'Gantt Proyectos'!C131</f>
        <v>35</v>
      </c>
      <c r="D63" s="145" t="str">
        <f>+'Gantt Proyectos'!D131</f>
        <v>Scoping Study Algarrobo UG</v>
      </c>
      <c r="E63" s="145" t="str">
        <f>+'Gantt Proyectos'!E131</f>
        <v>CMP</v>
      </c>
      <c r="F63" s="147" t="str">
        <f>+'Gantt Proyectos'!F131</f>
        <v>Chile</v>
      </c>
      <c r="G63" s="118" t="str">
        <f>+'Gantt Proyectos'!G131</f>
        <v>Chile</v>
      </c>
      <c r="H63" s="118">
        <f>+'Gantt Proyectos'!H131</f>
        <v>0</v>
      </c>
      <c r="I63" s="189">
        <v>1</v>
      </c>
      <c r="J63" s="189">
        <f t="shared" si="12"/>
        <v>0</v>
      </c>
      <c r="K63" s="118" t="str">
        <f>+'Gantt Proyectos'!I131</f>
        <v>Subterránea</v>
      </c>
      <c r="L63" s="120">
        <f>+'Gantt Proyectos'!J131</f>
        <v>1</v>
      </c>
      <c r="M63" s="145" t="str">
        <f>+'Gantt Proyectos'!K131</f>
        <v>-</v>
      </c>
      <c r="N63" s="145">
        <f>+'Gantt Proyectos'!L131</f>
        <v>160000</v>
      </c>
      <c r="O63" s="145">
        <f>+'Gantt Proyectos'!M131</f>
        <v>160000</v>
      </c>
      <c r="P63" s="145">
        <f>+'Gantt Proyectos'!N131</f>
        <v>2</v>
      </c>
      <c r="Q63" s="119">
        <f>+'Gantt Proyectos'!O131</f>
        <v>45824</v>
      </c>
      <c r="R63" s="119">
        <f>+'Gantt Proyectos'!P131</f>
        <v>46027</v>
      </c>
      <c r="S63" s="145" t="str">
        <f>+'Gantt Proyectos'!R131</f>
        <v>No</v>
      </c>
      <c r="T63" s="118">
        <f>+'Gantt Proyectos'!S131</f>
        <v>0</v>
      </c>
      <c r="U63" s="156">
        <f>+'Gantt Proyectos'!T131</f>
        <v>45824</v>
      </c>
      <c r="V63" s="156">
        <f>+'Gantt Proyectos'!U131</f>
        <v>46027</v>
      </c>
      <c r="W63" s="201">
        <f t="shared" si="13"/>
        <v>7</v>
      </c>
      <c r="X63" s="121">
        <f>+'Gantt Proyectos'!W131</f>
        <v>0.14474272930648768</v>
      </c>
      <c r="Y63" s="122">
        <f>+'Gantt Proyectos'!X131</f>
        <v>0.33</v>
      </c>
      <c r="Z63" s="122">
        <f>+'Gantt Proyectos'!Y131</f>
        <v>0.5</v>
      </c>
      <c r="AA63" s="122">
        <f>+'Gantt Proyectos'!Z131</f>
        <v>0.33</v>
      </c>
      <c r="AB63" s="122">
        <f>+'Gantt Proyectos'!AA131</f>
        <v>1</v>
      </c>
      <c r="AC63" s="122">
        <f>+'Gantt Proyectos'!AB131</f>
        <v>1</v>
      </c>
      <c r="AD63" s="152" t="str">
        <f>+'Gantt Proyectos'!AC131</f>
        <v>Scoping</v>
      </c>
      <c r="AE63" s="123" t="str">
        <f>+'Gantt Proyectos'!AD131</f>
        <v>No Asignado</v>
      </c>
      <c r="AF63" s="124" t="str">
        <f>+'Gantt Proyectos'!AE131</f>
        <v>1. Proyectado: No  Asignado</v>
      </c>
      <c r="AG63" s="172">
        <v>1</v>
      </c>
      <c r="AH63" s="168">
        <f>IFERROR(IF('Gantt Proyectos'!AF131&gt;0,SUMIFS('Listas y Parametros'!$C$45:$L$45,'Listas y Parametros'!$C$35:$L$35,'Costo Directo Proyectos'!$AD63)*$AG63,0)+IF('Gantt Proyectos'!AF131=2,$T63,0)/$W63,0)*$L63</f>
        <v>0</v>
      </c>
      <c r="AI63" s="169">
        <f>IFERROR(IF('Gantt Proyectos'!AG131&gt;0,SUMIFS('Listas y Parametros'!$C$45:$L$45,'Listas y Parametros'!$C$35:$L$35,'Costo Directo Proyectos'!$AD63)*$AG63,0)+IF('Gantt Proyectos'!AG131=2,$T63,0)/$W63,0)*$L63</f>
        <v>0</v>
      </c>
      <c r="AJ63" s="169">
        <f>IFERROR(IF('Gantt Proyectos'!AH131&gt;0,SUMIFS('Listas y Parametros'!$C$45:$L$45,'Listas y Parametros'!$C$35:$L$35,'Costo Directo Proyectos'!$AD63)*$AG63,0)+IF('Gantt Proyectos'!AH131=2,$T63,0)/$W63,0)*$L63</f>
        <v>22950.644528513381</v>
      </c>
      <c r="AK63" s="169">
        <f>IFERROR(IF('Gantt Proyectos'!AI131&gt;0,SUMIFS('Listas y Parametros'!$C$45:$L$45,'Listas y Parametros'!$C$35:$L$35,'Costo Directo Proyectos'!$AD63)*$AG63,0)+IF('Gantt Proyectos'!AI131=2,$T63,0)/$W63,0)*$L63</f>
        <v>22950.644528513381</v>
      </c>
      <c r="AL63" s="169">
        <f>IFERROR(IF('Gantt Proyectos'!AJ131&gt;0,SUMIFS('Listas y Parametros'!$C$45:$L$45,'Listas y Parametros'!$C$35:$L$35,'Costo Directo Proyectos'!$AD63)*$AG63,0)+IF('Gantt Proyectos'!AJ131=2,$T63,0)/$W63,0)*$L63</f>
        <v>22950.644528513381</v>
      </c>
      <c r="AM63" s="169">
        <f>IFERROR(IF('Gantt Proyectos'!AK131&gt;0,SUMIFS('Listas y Parametros'!$C$45:$L$45,'Listas y Parametros'!$C$35:$L$35,'Costo Directo Proyectos'!$AD63)*$AG63,0)+IF('Gantt Proyectos'!AK131=2,$T63,0)/$W63,0)*$L63</f>
        <v>22950.644528513381</v>
      </c>
      <c r="AN63" s="169">
        <f>IFERROR(IF('Gantt Proyectos'!AL131&gt;0,SUMIFS('Listas y Parametros'!$C$45:$L$45,'Listas y Parametros'!$C$35:$L$35,'Costo Directo Proyectos'!$AD63)*$AG63,0)+IF('Gantt Proyectos'!AL131=2,$T63,0)/$W63,0)*$L63</f>
        <v>22950.644528513381</v>
      </c>
      <c r="AO63" s="169">
        <f>IFERROR(IF('Gantt Proyectos'!AM131&gt;0,SUMIFS('Listas y Parametros'!$C$45:$L$45,'Listas y Parametros'!$C$35:$L$35,'Costo Directo Proyectos'!$AD63)*$AG63,0)+IF('Gantt Proyectos'!AM131=2,$T63,0)/$W63,0)*$L63</f>
        <v>22950.644528513381</v>
      </c>
      <c r="AP63" s="170">
        <f>IFERROR(IF('Gantt Proyectos'!AN131&gt;0,SUMIFS('Listas y Parametros'!$C$45:$L$45,'Listas y Parametros'!$C$35:$L$35,'Costo Directo Proyectos'!$AD63)*$AG63,0)+IF('Gantt Proyectos'!AN131=2,$T63,0)/$W63,0)*$L63</f>
        <v>22950.644528513381</v>
      </c>
    </row>
    <row r="64" spans="3:42" ht="15" x14ac:dyDescent="0.2">
      <c r="C64" s="117">
        <f>+'Gantt Proyectos'!C132</f>
        <v>36</v>
      </c>
      <c r="D64" s="145" t="str">
        <f>+'Gantt Proyectos'!D132</f>
        <v>Soporte Romeral, construcción túnel exploratorio</v>
      </c>
      <c r="E64" s="145" t="str">
        <f>+'Gantt Proyectos'!E132</f>
        <v>Romeral</v>
      </c>
      <c r="F64" s="147" t="str">
        <f>+'Gantt Proyectos'!F132</f>
        <v>Chile</v>
      </c>
      <c r="G64" s="118" t="str">
        <f>+'Gantt Proyectos'!G132</f>
        <v>Chile</v>
      </c>
      <c r="H64" s="118">
        <f>+'Gantt Proyectos'!H132</f>
        <v>0</v>
      </c>
      <c r="I64" s="189">
        <v>1</v>
      </c>
      <c r="J64" s="189">
        <f t="shared" si="12"/>
        <v>0</v>
      </c>
      <c r="K64" s="118" t="str">
        <f>+'Gantt Proyectos'!I132</f>
        <v>Subterránea</v>
      </c>
      <c r="L64" s="120">
        <f>+'Gantt Proyectos'!J132</f>
        <v>1</v>
      </c>
      <c r="M64" s="145" t="str">
        <f>+'Gantt Proyectos'!K132</f>
        <v>RM</v>
      </c>
      <c r="N64" s="145">
        <f>+'Gantt Proyectos'!L132</f>
        <v>500000</v>
      </c>
      <c r="O64" s="145">
        <f>+'Gantt Proyectos'!M132</f>
        <v>500000</v>
      </c>
      <c r="P64" s="145">
        <f>+'Gantt Proyectos'!N132</f>
        <v>2</v>
      </c>
      <c r="Q64" s="119">
        <f>+'Gantt Proyectos'!O132</f>
        <v>45839</v>
      </c>
      <c r="R64" s="119">
        <f>+'Gantt Proyectos'!P132</f>
        <v>46569</v>
      </c>
      <c r="S64" s="145" t="str">
        <f>+'Gantt Proyectos'!R132</f>
        <v>No</v>
      </c>
      <c r="T64" s="118">
        <f>+'Gantt Proyectos'!S132</f>
        <v>0</v>
      </c>
      <c r="U64" s="156">
        <f>+'Gantt Proyectos'!T132</f>
        <v>45839</v>
      </c>
      <c r="V64" s="156">
        <f>+'Gantt Proyectos'!U132</f>
        <v>46569</v>
      </c>
      <c r="W64" s="201">
        <f t="shared" si="13"/>
        <v>24</v>
      </c>
      <c r="X64" s="121">
        <f>+'Gantt Proyectos'!W132</f>
        <v>0.3</v>
      </c>
      <c r="Y64" s="122">
        <f>+'Gantt Proyectos'!X132</f>
        <v>0.33</v>
      </c>
      <c r="Z64" s="122">
        <f>+'Gantt Proyectos'!Y132</f>
        <v>0.5</v>
      </c>
      <c r="AA64" s="122">
        <f>+'Gantt Proyectos'!Z132</f>
        <v>0.33</v>
      </c>
      <c r="AB64" s="122">
        <f>+'Gantt Proyectos'!AA132</f>
        <v>1</v>
      </c>
      <c r="AC64" s="122">
        <f>+'Gantt Proyectos'!AB132</f>
        <v>0</v>
      </c>
      <c r="AD64" s="152" t="str">
        <f>+'Gantt Proyectos'!AC132</f>
        <v>Consultoria y Due Dilligence</v>
      </c>
      <c r="AE64" s="123" t="str">
        <f>+'Gantt Proyectos'!AD132</f>
        <v>No Asignado</v>
      </c>
      <c r="AF64" s="124" t="str">
        <f>+'Gantt Proyectos'!AE132</f>
        <v>1. Proyectado: No  Asignado</v>
      </c>
      <c r="AG64" s="172">
        <v>1</v>
      </c>
      <c r="AH64" s="168">
        <f>IFERROR(IF('Gantt Proyectos'!AF132&gt;0,SUMIFS('Listas y Parametros'!$C$45:$L$45,'Listas y Parametros'!$C$35:$L$35,'Costo Directo Proyectos'!$AD64)*$AG64,0)+IF('Gantt Proyectos'!AF132=2,$T64,0)/$W64,0)*$L64</f>
        <v>0</v>
      </c>
      <c r="AI64" s="169">
        <f>IFERROR(IF('Gantt Proyectos'!AG132&gt;0,SUMIFS('Listas y Parametros'!$C$45:$L$45,'Listas y Parametros'!$C$35:$L$35,'Costo Directo Proyectos'!$AD64)*$AG64,0)+IF('Gantt Proyectos'!AG132=2,$T64,0)/$W64,0)*$L64</f>
        <v>0</v>
      </c>
      <c r="AJ64" s="169">
        <f>IFERROR(IF('Gantt Proyectos'!AH132&gt;0,SUMIFS('Listas y Parametros'!$C$45:$L$45,'Listas y Parametros'!$C$35:$L$35,'Costo Directo Proyectos'!$AD64)*$AG64,0)+IF('Gantt Proyectos'!AH132=2,$T64,0)/$W64,0)*$L64</f>
        <v>0</v>
      </c>
      <c r="AK64" s="169">
        <f>IFERROR(IF('Gantt Proyectos'!AI132&gt;0,SUMIFS('Listas y Parametros'!$C$45:$L$45,'Listas y Parametros'!$C$35:$L$35,'Costo Directo Proyectos'!$AD64)*$AG64,0)+IF('Gantt Proyectos'!AI132=2,$T64,0)/$W64,0)*$L64</f>
        <v>19463.097239736584</v>
      </c>
      <c r="AL64" s="169">
        <f>IFERROR(IF('Gantt Proyectos'!AJ132&gt;0,SUMIFS('Listas y Parametros'!$C$45:$L$45,'Listas y Parametros'!$C$35:$L$35,'Costo Directo Proyectos'!$AD64)*$AG64,0)+IF('Gantt Proyectos'!AJ132=2,$T64,0)/$W64,0)*$L64</f>
        <v>19463.097239736584</v>
      </c>
      <c r="AM64" s="169">
        <f>IFERROR(IF('Gantt Proyectos'!AK132&gt;0,SUMIFS('Listas y Parametros'!$C$45:$L$45,'Listas y Parametros'!$C$35:$L$35,'Costo Directo Proyectos'!$AD64)*$AG64,0)+IF('Gantt Proyectos'!AK132=2,$T64,0)/$W64,0)*$L64</f>
        <v>19463.097239736584</v>
      </c>
      <c r="AN64" s="169">
        <f>IFERROR(IF('Gantt Proyectos'!AL132&gt;0,SUMIFS('Listas y Parametros'!$C$45:$L$45,'Listas y Parametros'!$C$35:$L$35,'Costo Directo Proyectos'!$AD64)*$AG64,0)+IF('Gantt Proyectos'!AL132=2,$T64,0)/$W64,0)*$L64</f>
        <v>19463.097239736584</v>
      </c>
      <c r="AO64" s="169">
        <f>IFERROR(IF('Gantt Proyectos'!AM132&gt;0,SUMIFS('Listas y Parametros'!$C$45:$L$45,'Listas y Parametros'!$C$35:$L$35,'Costo Directo Proyectos'!$AD64)*$AG64,0)+IF('Gantt Proyectos'!AM132=2,$T64,0)/$W64,0)*$L64</f>
        <v>19463.097239736584</v>
      </c>
      <c r="AP64" s="170">
        <f>IFERROR(IF('Gantt Proyectos'!AN132&gt;0,SUMIFS('Listas y Parametros'!$C$45:$L$45,'Listas y Parametros'!$C$35:$L$35,'Costo Directo Proyectos'!$AD64)*$AG64,0)+IF('Gantt Proyectos'!AN132=2,$T64,0)/$W64,0)*$L64</f>
        <v>19463.097239736584</v>
      </c>
    </row>
    <row r="65" spans="3:42" ht="15" x14ac:dyDescent="0.2">
      <c r="C65" s="117">
        <f>+'Gantt Proyectos'!C133</f>
        <v>37</v>
      </c>
      <c r="D65" s="145" t="str">
        <f>+'Gantt Proyectos'!D133</f>
        <v>Servicios de geología y planificación (3 años)</v>
      </c>
      <c r="E65" s="145" t="str">
        <f>+'Gantt Proyectos'!E133</f>
        <v>Alcoa</v>
      </c>
      <c r="F65" s="147" t="str">
        <f>+'Gantt Proyectos'!F133</f>
        <v>Brasil</v>
      </c>
      <c r="G65" s="118" t="str">
        <f>+'Gantt Proyectos'!G133</f>
        <v>Chile</v>
      </c>
      <c r="H65" s="118" t="str">
        <f>+'Gantt Proyectos'!H133</f>
        <v>Perú</v>
      </c>
      <c r="I65" s="189">
        <v>0.5</v>
      </c>
      <c r="J65" s="189">
        <f t="shared" si="12"/>
        <v>0.5</v>
      </c>
      <c r="K65" s="118" t="str">
        <f>+'Gantt Proyectos'!I133</f>
        <v>Open Pit</v>
      </c>
      <c r="L65" s="120">
        <f>+'Gantt Proyectos'!J133</f>
        <v>1</v>
      </c>
      <c r="M65" s="145" t="str">
        <f>+'Gantt Proyectos'!K133</f>
        <v>CH</v>
      </c>
      <c r="N65" s="145">
        <f>+'Gantt Proyectos'!L133</f>
        <v>890000</v>
      </c>
      <c r="O65" s="145">
        <f>+'Gantt Proyectos'!M133</f>
        <v>890000</v>
      </c>
      <c r="P65" s="145">
        <f>+'Gantt Proyectos'!N133</f>
        <v>2</v>
      </c>
      <c r="Q65" s="119">
        <f>+'Gantt Proyectos'!O133</f>
        <v>45839</v>
      </c>
      <c r="R65" s="119">
        <f>+'Gantt Proyectos'!P133</f>
        <v>46388</v>
      </c>
      <c r="S65" s="145" t="str">
        <f>+'Gantt Proyectos'!R133</f>
        <v>No</v>
      </c>
      <c r="T65" s="118">
        <f>+'Gantt Proyectos'!S133</f>
        <v>0</v>
      </c>
      <c r="U65" s="156">
        <f>+'Gantt Proyectos'!T133</f>
        <v>45839</v>
      </c>
      <c r="V65" s="156">
        <f>+'Gantt Proyectos'!U133</f>
        <v>46388</v>
      </c>
      <c r="W65" s="201">
        <f t="shared" si="13"/>
        <v>18</v>
      </c>
      <c r="X65" s="121">
        <f>+'Gantt Proyectos'!W133</f>
        <v>0.89261744966442946</v>
      </c>
      <c r="Y65" s="122">
        <f>+'Gantt Proyectos'!X133</f>
        <v>0.5</v>
      </c>
      <c r="Z65" s="122">
        <f>+'Gantt Proyectos'!Y133</f>
        <v>0.67</v>
      </c>
      <c r="AA65" s="122">
        <f>+'Gantt Proyectos'!Z133</f>
        <v>1</v>
      </c>
      <c r="AB65" s="122">
        <f>+'Gantt Proyectos'!AA133</f>
        <v>2.5</v>
      </c>
      <c r="AC65" s="122">
        <f>+'Gantt Proyectos'!AB133</f>
        <v>1</v>
      </c>
      <c r="AD65" s="152" t="str">
        <f>+'Gantt Proyectos'!AC133</f>
        <v>FS e Ing. Basica</v>
      </c>
      <c r="AE65" s="123" t="str">
        <f>+'Gantt Proyectos'!AD133</f>
        <v>No Asignado</v>
      </c>
      <c r="AF65" s="124" t="str">
        <f>+'Gantt Proyectos'!AE133</f>
        <v>1. Proyectado: No  Asignado</v>
      </c>
      <c r="AG65" s="172">
        <v>1</v>
      </c>
      <c r="AH65" s="168">
        <f>IFERROR(IF('Gantt Proyectos'!AF133&gt;0,SUMIFS('Listas y Parametros'!$C$45:$L$45,'Listas y Parametros'!$C$35:$L$35,'Costo Directo Proyectos'!$AD65)*$AG65,0)+IF('Gantt Proyectos'!AF133=2,$T65,0)/$W65,0)*$L65</f>
        <v>0</v>
      </c>
      <c r="AI65" s="169">
        <f>IFERROR(IF('Gantt Proyectos'!AG133&gt;0,SUMIFS('Listas y Parametros'!$C$45:$L$45,'Listas y Parametros'!$C$35:$L$35,'Costo Directo Proyectos'!$AD65)*$AG65,0)+IF('Gantt Proyectos'!AG133=2,$T65,0)/$W65,0)*$L65</f>
        <v>0</v>
      </c>
      <c r="AJ65" s="169">
        <f>IFERROR(IF('Gantt Proyectos'!AH133&gt;0,SUMIFS('Listas y Parametros'!$C$45:$L$45,'Listas y Parametros'!$C$35:$L$35,'Costo Directo Proyectos'!$AD65)*$AG65,0)+IF('Gantt Proyectos'!AH133=2,$T65,0)/$W65,0)*$L65</f>
        <v>0</v>
      </c>
      <c r="AK65" s="169">
        <f>IFERROR(IF('Gantt Proyectos'!AI133&gt;0,SUMIFS('Listas y Parametros'!$C$45:$L$45,'Listas y Parametros'!$C$35:$L$35,'Costo Directo Proyectos'!$AD65)*$AG65,0)+IF('Gantt Proyectos'!AI133=2,$T65,0)/$W65,0)*$L65</f>
        <v>42832.247442903179</v>
      </c>
      <c r="AL65" s="169">
        <f>IFERROR(IF('Gantt Proyectos'!AJ133&gt;0,SUMIFS('Listas y Parametros'!$C$45:$L$45,'Listas y Parametros'!$C$35:$L$35,'Costo Directo Proyectos'!$AD65)*$AG65,0)+IF('Gantt Proyectos'!AJ133=2,$T65,0)/$W65,0)*$L65</f>
        <v>42832.247442903179</v>
      </c>
      <c r="AM65" s="169">
        <f>IFERROR(IF('Gantt Proyectos'!AK133&gt;0,SUMIFS('Listas y Parametros'!$C$45:$L$45,'Listas y Parametros'!$C$35:$L$35,'Costo Directo Proyectos'!$AD65)*$AG65,0)+IF('Gantt Proyectos'!AK133=2,$T65,0)/$W65,0)*$L65</f>
        <v>42832.247442903179</v>
      </c>
      <c r="AN65" s="169">
        <f>IFERROR(IF('Gantt Proyectos'!AL133&gt;0,SUMIFS('Listas y Parametros'!$C$45:$L$45,'Listas y Parametros'!$C$35:$L$35,'Costo Directo Proyectos'!$AD65)*$AG65,0)+IF('Gantt Proyectos'!AL133=2,$T65,0)/$W65,0)*$L65</f>
        <v>42832.247442903179</v>
      </c>
      <c r="AO65" s="169">
        <f>IFERROR(IF('Gantt Proyectos'!AM133&gt;0,SUMIFS('Listas y Parametros'!$C$45:$L$45,'Listas y Parametros'!$C$35:$L$35,'Costo Directo Proyectos'!$AD65)*$AG65,0)+IF('Gantt Proyectos'!AM133=2,$T65,0)/$W65,0)*$L65</f>
        <v>42832.247442903179</v>
      </c>
      <c r="AP65" s="170">
        <f>IFERROR(IF('Gantt Proyectos'!AN133&gt;0,SUMIFS('Listas y Parametros'!$C$45:$L$45,'Listas y Parametros'!$C$35:$L$35,'Costo Directo Proyectos'!$AD65)*$AG65,0)+IF('Gantt Proyectos'!AN133=2,$T65,0)/$W65,0)*$L65</f>
        <v>42832.247442903179</v>
      </c>
    </row>
    <row r="66" spans="3:42" ht="15" x14ac:dyDescent="0.2">
      <c r="C66" s="117">
        <f>+'Gantt Proyectos'!C134</f>
        <v>38</v>
      </c>
      <c r="D66" s="145" t="str">
        <f>+'Gantt Proyectos'!D134</f>
        <v>Evaluación de diferentes escenarios estrategicos (Cambio de producto)</v>
      </c>
      <c r="E66" s="145" t="str">
        <f>+'Gantt Proyectos'!E134</f>
        <v>BCG</v>
      </c>
      <c r="F66" s="147" t="str">
        <f>+'Gantt Proyectos'!F134</f>
        <v>Brasil</v>
      </c>
      <c r="G66" s="118" t="str">
        <f>+'Gantt Proyectos'!G134</f>
        <v>Chile</v>
      </c>
      <c r="H66" s="118">
        <f>+'Gantt Proyectos'!H134</f>
        <v>0</v>
      </c>
      <c r="I66" s="189">
        <v>1</v>
      </c>
      <c r="J66" s="189">
        <f t="shared" si="12"/>
        <v>0</v>
      </c>
      <c r="K66" s="118" t="str">
        <f>+'Gantt Proyectos'!I134</f>
        <v>Open Pit</v>
      </c>
      <c r="L66" s="120">
        <f>+'Gantt Proyectos'!J134</f>
        <v>1</v>
      </c>
      <c r="M66" s="145" t="str">
        <f>+'Gantt Proyectos'!K134</f>
        <v>FR</v>
      </c>
      <c r="N66" s="145">
        <f>+'Gantt Proyectos'!L134</f>
        <v>180000</v>
      </c>
      <c r="O66" s="145">
        <f>+'Gantt Proyectos'!M134</f>
        <v>180000</v>
      </c>
      <c r="P66" s="145">
        <f>+'Gantt Proyectos'!N134</f>
        <v>2</v>
      </c>
      <c r="Q66" s="119">
        <f>+'Gantt Proyectos'!O134</f>
        <v>45839</v>
      </c>
      <c r="R66" s="119">
        <f>+'Gantt Proyectos'!P134</f>
        <v>45920</v>
      </c>
      <c r="S66" s="145" t="str">
        <f>+'Gantt Proyectos'!R134</f>
        <v>No</v>
      </c>
      <c r="T66" s="118">
        <f>+'Gantt Proyectos'!S134</f>
        <v>0</v>
      </c>
      <c r="U66" s="156">
        <f>+'Gantt Proyectos'!T134</f>
        <v>45839</v>
      </c>
      <c r="V66" s="156">
        <f>+'Gantt Proyectos'!U134</f>
        <v>45920</v>
      </c>
      <c r="W66" s="201">
        <f t="shared" si="13"/>
        <v>3</v>
      </c>
      <c r="X66" s="121">
        <f>+'Gantt Proyectos'!W134</f>
        <v>0.9</v>
      </c>
      <c r="Y66" s="122">
        <f>+'Gantt Proyectos'!X134</f>
        <v>0.33</v>
      </c>
      <c r="Z66" s="122">
        <f>+'Gantt Proyectos'!Y134</f>
        <v>0.5</v>
      </c>
      <c r="AA66" s="122">
        <f>+'Gantt Proyectos'!Z134</f>
        <v>0.33</v>
      </c>
      <c r="AB66" s="122">
        <f>+'Gantt Proyectos'!AA134</f>
        <v>1</v>
      </c>
      <c r="AC66" s="122">
        <f>+'Gantt Proyectos'!AB134</f>
        <v>0</v>
      </c>
      <c r="AD66" s="152" t="str">
        <f>+'Gantt Proyectos'!AC134</f>
        <v>Consultoria y Due Dilligence</v>
      </c>
      <c r="AE66" s="123" t="str">
        <f>+'Gantt Proyectos'!AD134</f>
        <v>No Asignado</v>
      </c>
      <c r="AF66" s="124" t="str">
        <f>+'Gantt Proyectos'!AE134</f>
        <v>1. Proyectado: No  Asignado</v>
      </c>
      <c r="AG66" s="172">
        <v>1</v>
      </c>
      <c r="AH66" s="168">
        <f>IFERROR(IF('Gantt Proyectos'!AF134&gt;0,SUMIFS('Listas y Parametros'!$C$45:$L$45,'Listas y Parametros'!$C$35:$L$35,'Costo Directo Proyectos'!$AD66)*$AG66,0)+IF('Gantt Proyectos'!AF134=2,$T66,0)/$W66,0)*$L66</f>
        <v>0</v>
      </c>
      <c r="AI66" s="169">
        <f>IFERROR(IF('Gantt Proyectos'!AG134&gt;0,SUMIFS('Listas y Parametros'!$C$45:$L$45,'Listas y Parametros'!$C$35:$L$35,'Costo Directo Proyectos'!$AD66)*$AG66,0)+IF('Gantt Proyectos'!AG134=2,$T66,0)/$W66,0)*$L66</f>
        <v>0</v>
      </c>
      <c r="AJ66" s="169">
        <f>IFERROR(IF('Gantt Proyectos'!AH134&gt;0,SUMIFS('Listas y Parametros'!$C$45:$L$45,'Listas y Parametros'!$C$35:$L$35,'Costo Directo Proyectos'!$AD66)*$AG66,0)+IF('Gantt Proyectos'!AH134=2,$T66,0)/$W66,0)*$L66</f>
        <v>0</v>
      </c>
      <c r="AK66" s="169">
        <f>IFERROR(IF('Gantt Proyectos'!AI134&gt;0,SUMIFS('Listas y Parametros'!$C$45:$L$45,'Listas y Parametros'!$C$35:$L$35,'Costo Directo Proyectos'!$AD66)*$AG66,0)+IF('Gantt Proyectos'!AI134=2,$T66,0)/$W66,0)*$L66</f>
        <v>19463.097239736584</v>
      </c>
      <c r="AL66" s="169">
        <f>IFERROR(IF('Gantt Proyectos'!AJ134&gt;0,SUMIFS('Listas y Parametros'!$C$45:$L$45,'Listas y Parametros'!$C$35:$L$35,'Costo Directo Proyectos'!$AD66)*$AG66,0)+IF('Gantt Proyectos'!AJ134=2,$T66,0)/$W66,0)*$L66</f>
        <v>19463.097239736584</v>
      </c>
      <c r="AM66" s="169">
        <f>IFERROR(IF('Gantt Proyectos'!AK134&gt;0,SUMIFS('Listas y Parametros'!$C$45:$L$45,'Listas y Parametros'!$C$35:$L$35,'Costo Directo Proyectos'!$AD66)*$AG66,0)+IF('Gantt Proyectos'!AK134=2,$T66,0)/$W66,0)*$L66</f>
        <v>19463.097239736584</v>
      </c>
      <c r="AN66" s="169">
        <f>IFERROR(IF('Gantt Proyectos'!AL134&gt;0,SUMIFS('Listas y Parametros'!$C$45:$L$45,'Listas y Parametros'!$C$35:$L$35,'Costo Directo Proyectos'!$AD66)*$AG66,0)+IF('Gantt Proyectos'!AL134=2,$T66,0)/$W66,0)*$L66</f>
        <v>0</v>
      </c>
      <c r="AO66" s="169">
        <f>IFERROR(IF('Gantt Proyectos'!AM134&gt;0,SUMIFS('Listas y Parametros'!$C$45:$L$45,'Listas y Parametros'!$C$35:$L$35,'Costo Directo Proyectos'!$AD66)*$AG66,0)+IF('Gantt Proyectos'!AM134=2,$T66,0)/$W66,0)*$L66</f>
        <v>0</v>
      </c>
      <c r="AP66" s="170">
        <f>IFERROR(IF('Gantt Proyectos'!AN134&gt;0,SUMIFS('Listas y Parametros'!$C$45:$L$45,'Listas y Parametros'!$C$35:$L$35,'Costo Directo Proyectos'!$AD66)*$AG66,0)+IF('Gantt Proyectos'!AN134=2,$T66,0)/$W66,0)*$L66</f>
        <v>0</v>
      </c>
    </row>
    <row r="67" spans="3:42" ht="15" x14ac:dyDescent="0.2">
      <c r="C67" s="117">
        <f>+'Gantt Proyectos'!C135</f>
        <v>39</v>
      </c>
      <c r="D67" s="145" t="str">
        <f>+'Gantt Proyectos'!D135</f>
        <v>Optimización proceso LOM + Implementación SIMPLAN</v>
      </c>
      <c r="E67" s="145" t="str">
        <f>+'Gantt Proyectos'!E135</f>
        <v>LHG</v>
      </c>
      <c r="F67" s="147" t="str">
        <f>+'Gantt Proyectos'!F135</f>
        <v>Brasil</v>
      </c>
      <c r="G67" s="118" t="str">
        <f>+'Gantt Proyectos'!G135</f>
        <v>Chile</v>
      </c>
      <c r="H67" s="118">
        <f>+'Gantt Proyectos'!H135</f>
        <v>0</v>
      </c>
      <c r="I67" s="189">
        <v>1</v>
      </c>
      <c r="J67" s="189">
        <f t="shared" si="12"/>
        <v>0</v>
      </c>
      <c r="K67" s="118" t="str">
        <f>+'Gantt Proyectos'!I135</f>
        <v>Open Pit</v>
      </c>
      <c r="L67" s="120">
        <f>+'Gantt Proyectos'!J135</f>
        <v>0</v>
      </c>
      <c r="M67" s="145" t="str">
        <f>+'Gantt Proyectos'!K135</f>
        <v>RL</v>
      </c>
      <c r="N67" s="145">
        <f>+'Gantt Proyectos'!L135</f>
        <v>150000</v>
      </c>
      <c r="O67" s="145">
        <f>+'Gantt Proyectos'!M135</f>
        <v>150000</v>
      </c>
      <c r="P67" s="145">
        <f>+'Gantt Proyectos'!N135</f>
        <v>2</v>
      </c>
      <c r="Q67" s="119">
        <f>+'Gantt Proyectos'!O135</f>
        <v>45809</v>
      </c>
      <c r="R67" s="119">
        <f>+'Gantt Proyectos'!P135</f>
        <v>45901</v>
      </c>
      <c r="S67" s="145" t="str">
        <f>+'Gantt Proyectos'!R135</f>
        <v>No</v>
      </c>
      <c r="T67" s="118">
        <f>+'Gantt Proyectos'!S135</f>
        <v>0</v>
      </c>
      <c r="U67" s="156">
        <f>+'Gantt Proyectos'!T135</f>
        <v>45809</v>
      </c>
      <c r="V67" s="156">
        <f>+'Gantt Proyectos'!U135</f>
        <v>45901</v>
      </c>
      <c r="W67" s="201">
        <f t="shared" si="13"/>
        <v>4</v>
      </c>
      <c r="X67" s="121">
        <f>+'Gantt Proyectos'!W135</f>
        <v>0</v>
      </c>
      <c r="Y67" s="122">
        <f>+'Gantt Proyectos'!X135</f>
        <v>0</v>
      </c>
      <c r="Z67" s="122">
        <f>+'Gantt Proyectos'!Y135</f>
        <v>0</v>
      </c>
      <c r="AA67" s="122">
        <f>+'Gantt Proyectos'!Z135</f>
        <v>0</v>
      </c>
      <c r="AB67" s="122">
        <f>+'Gantt Proyectos'!AA135</f>
        <v>0</v>
      </c>
      <c r="AC67" s="122">
        <f>+'Gantt Proyectos'!AB135</f>
        <v>0</v>
      </c>
      <c r="AD67" s="152" t="str">
        <f>+'Gantt Proyectos'!AC135</f>
        <v>Consultoria y Due Dilligence</v>
      </c>
      <c r="AE67" s="123" t="str">
        <f>+'Gantt Proyectos'!AD135</f>
        <v>No Asignado</v>
      </c>
      <c r="AF67" s="124" t="str">
        <f>+'Gantt Proyectos'!AE135</f>
        <v>1. Proyectado: No  Asignado</v>
      </c>
      <c r="AG67" s="172">
        <v>1</v>
      </c>
      <c r="AH67" s="168">
        <f>IFERROR(IF('Gantt Proyectos'!AF135&gt;0,SUMIFS('Listas y Parametros'!$C$45:$L$45,'Listas y Parametros'!$C$35:$L$35,'Costo Directo Proyectos'!$AD67)*$AG67,0)+IF('Gantt Proyectos'!AF135=2,$T67,0)/$W67,0)*$L67</f>
        <v>0</v>
      </c>
      <c r="AI67" s="169">
        <f>IFERROR(IF('Gantt Proyectos'!AG135&gt;0,SUMIFS('Listas y Parametros'!$C$45:$L$45,'Listas y Parametros'!$C$35:$L$35,'Costo Directo Proyectos'!$AD67)*$AG67,0)+IF('Gantt Proyectos'!AG135=2,$T67,0)/$W67,0)*$L67</f>
        <v>0</v>
      </c>
      <c r="AJ67" s="169">
        <f>IFERROR(IF('Gantt Proyectos'!AH135&gt;0,SUMIFS('Listas y Parametros'!$C$45:$L$45,'Listas y Parametros'!$C$35:$L$35,'Costo Directo Proyectos'!$AD67)*$AG67,0)+IF('Gantt Proyectos'!AH135=2,$T67,0)/$W67,0)*$L67</f>
        <v>0</v>
      </c>
      <c r="AK67" s="169">
        <f>IFERROR(IF('Gantt Proyectos'!AI135&gt;0,SUMIFS('Listas y Parametros'!$C$45:$L$45,'Listas y Parametros'!$C$35:$L$35,'Costo Directo Proyectos'!$AD67)*$AG67,0)+IF('Gantt Proyectos'!AI135=2,$T67,0)/$W67,0)*$L67</f>
        <v>0</v>
      </c>
      <c r="AL67" s="169">
        <f>IFERROR(IF('Gantt Proyectos'!AJ135&gt;0,SUMIFS('Listas y Parametros'!$C$45:$L$45,'Listas y Parametros'!$C$35:$L$35,'Costo Directo Proyectos'!$AD67)*$AG67,0)+IF('Gantt Proyectos'!AJ135=2,$T67,0)/$W67,0)*$L67</f>
        <v>0</v>
      </c>
      <c r="AM67" s="169">
        <f>IFERROR(IF('Gantt Proyectos'!AK135&gt;0,SUMIFS('Listas y Parametros'!$C$45:$L$45,'Listas y Parametros'!$C$35:$L$35,'Costo Directo Proyectos'!$AD67)*$AG67,0)+IF('Gantt Proyectos'!AK135=2,$T67,0)/$W67,0)*$L67</f>
        <v>0</v>
      </c>
      <c r="AN67" s="169">
        <f>IFERROR(IF('Gantt Proyectos'!AL135&gt;0,SUMIFS('Listas y Parametros'!$C$45:$L$45,'Listas y Parametros'!$C$35:$L$35,'Costo Directo Proyectos'!$AD67)*$AG67,0)+IF('Gantt Proyectos'!AL135=2,$T67,0)/$W67,0)*$L67</f>
        <v>0</v>
      </c>
      <c r="AO67" s="169">
        <f>IFERROR(IF('Gantt Proyectos'!AM135&gt;0,SUMIFS('Listas y Parametros'!$C$45:$L$45,'Listas y Parametros'!$C$35:$L$35,'Costo Directo Proyectos'!$AD67)*$AG67,0)+IF('Gantt Proyectos'!AM135=2,$T67,0)/$W67,0)*$L67</f>
        <v>0</v>
      </c>
      <c r="AP67" s="170">
        <f>IFERROR(IF('Gantt Proyectos'!AN135&gt;0,SUMIFS('Listas y Parametros'!$C$45:$L$45,'Listas y Parametros'!$C$35:$L$35,'Costo Directo Proyectos'!$AD67)*$AG67,0)+IF('Gantt Proyectos'!AN135=2,$T67,0)/$W67,0)*$L67</f>
        <v>0</v>
      </c>
    </row>
    <row r="68" spans="3:42" ht="15" x14ac:dyDescent="0.2">
      <c r="C68" s="117">
        <f>+'Gantt Proyectos'!C136</f>
        <v>40</v>
      </c>
      <c r="D68" s="145" t="str">
        <f>+'Gantt Proyectos'!D136</f>
        <v>Servicio de Modelamiento Geotécnico Botaderos Parca</v>
      </c>
      <c r="E68" s="145" t="str">
        <f>+'Gantt Proyectos'!E136</f>
        <v>BHP</v>
      </c>
      <c r="F68" s="147" t="str">
        <f>+'Gantt Proyectos'!F136</f>
        <v>Chile</v>
      </c>
      <c r="G68" s="118" t="str">
        <f>+'Gantt Proyectos'!G136</f>
        <v>Chile</v>
      </c>
      <c r="H68" s="118" t="str">
        <f>+'Gantt Proyectos'!H136</f>
        <v>Perú</v>
      </c>
      <c r="I68" s="189">
        <v>0.5</v>
      </c>
      <c r="J68" s="189">
        <f t="shared" si="12"/>
        <v>0.5</v>
      </c>
      <c r="K68" s="118" t="str">
        <f>+'Gantt Proyectos'!I136</f>
        <v>Geomecánica</v>
      </c>
      <c r="L68" s="120">
        <f>+'Gantt Proyectos'!J136</f>
        <v>0</v>
      </c>
      <c r="M68" s="145" t="str">
        <f>+'Gantt Proyectos'!K136</f>
        <v>RM</v>
      </c>
      <c r="N68" s="145">
        <f>+'Gantt Proyectos'!L136</f>
        <v>300000</v>
      </c>
      <c r="O68" s="145">
        <f>+'Gantt Proyectos'!M136</f>
        <v>300000</v>
      </c>
      <c r="P68" s="145">
        <f>+'Gantt Proyectos'!N136</f>
        <v>2</v>
      </c>
      <c r="Q68" s="119">
        <f>+'Gantt Proyectos'!O136</f>
        <v>45809</v>
      </c>
      <c r="R68" s="119">
        <f>+'Gantt Proyectos'!P136</f>
        <v>45950</v>
      </c>
      <c r="S68" s="145" t="str">
        <f>+'Gantt Proyectos'!R136</f>
        <v>No</v>
      </c>
      <c r="T68" s="118">
        <f>+'Gantt Proyectos'!S136</f>
        <v>0</v>
      </c>
      <c r="U68" s="156">
        <f>+'Gantt Proyectos'!T136</f>
        <v>45809</v>
      </c>
      <c r="V68" s="156">
        <f>+'Gantt Proyectos'!U136</f>
        <v>45950</v>
      </c>
      <c r="W68" s="201">
        <f t="shared" si="13"/>
        <v>5</v>
      </c>
      <c r="X68" s="121">
        <f>+'Gantt Proyectos'!W136</f>
        <v>0</v>
      </c>
      <c r="Y68" s="122">
        <f>+'Gantt Proyectos'!X136</f>
        <v>0</v>
      </c>
      <c r="Z68" s="122">
        <f>+'Gantt Proyectos'!Y136</f>
        <v>0</v>
      </c>
      <c r="AA68" s="122">
        <f>+'Gantt Proyectos'!Z136</f>
        <v>0</v>
      </c>
      <c r="AB68" s="122">
        <f>+'Gantt Proyectos'!AA136</f>
        <v>0</v>
      </c>
      <c r="AC68" s="122">
        <f>+'Gantt Proyectos'!AB136</f>
        <v>0</v>
      </c>
      <c r="AD68" s="152" t="str">
        <f>+'Gantt Proyectos'!AC136</f>
        <v>FS e Ing. Basica</v>
      </c>
      <c r="AE68" s="123" t="str">
        <f>+'Gantt Proyectos'!AD136</f>
        <v>No Asignado</v>
      </c>
      <c r="AF68" s="124" t="str">
        <f>+'Gantt Proyectos'!AE136</f>
        <v>1. Proyectado: No  Asignado</v>
      </c>
      <c r="AG68" s="172">
        <v>1</v>
      </c>
      <c r="AH68" s="168">
        <f>IFERROR(IF('Gantt Proyectos'!AF136&gt;0,SUMIFS('Listas y Parametros'!$C$45:$L$45,'Listas y Parametros'!$C$35:$L$35,'Costo Directo Proyectos'!$AD68)*$AG68,0)+IF('Gantt Proyectos'!AF136=2,$T68,0)/$W68,0)*$L68</f>
        <v>0</v>
      </c>
      <c r="AI68" s="169">
        <f>IFERROR(IF('Gantt Proyectos'!AG136&gt;0,SUMIFS('Listas y Parametros'!$C$45:$L$45,'Listas y Parametros'!$C$35:$L$35,'Costo Directo Proyectos'!$AD68)*$AG68,0)+IF('Gantt Proyectos'!AG136=2,$T68,0)/$W68,0)*$L68</f>
        <v>0</v>
      </c>
      <c r="AJ68" s="169">
        <f>IFERROR(IF('Gantt Proyectos'!AH136&gt;0,SUMIFS('Listas y Parametros'!$C$45:$L$45,'Listas y Parametros'!$C$35:$L$35,'Costo Directo Proyectos'!$AD68)*$AG68,0)+IF('Gantt Proyectos'!AH136=2,$T68,0)/$W68,0)*$L68</f>
        <v>0</v>
      </c>
      <c r="AK68" s="169">
        <f>IFERROR(IF('Gantt Proyectos'!AI136&gt;0,SUMIFS('Listas y Parametros'!$C$45:$L$45,'Listas y Parametros'!$C$35:$L$35,'Costo Directo Proyectos'!$AD68)*$AG68,0)+IF('Gantt Proyectos'!AI136=2,$T68,0)/$W68,0)*$L68</f>
        <v>0</v>
      </c>
      <c r="AL68" s="169">
        <f>IFERROR(IF('Gantt Proyectos'!AJ136&gt;0,SUMIFS('Listas y Parametros'!$C$45:$L$45,'Listas y Parametros'!$C$35:$L$35,'Costo Directo Proyectos'!$AD68)*$AG68,0)+IF('Gantt Proyectos'!AJ136=2,$T68,0)/$W68,0)*$L68</f>
        <v>0</v>
      </c>
      <c r="AM68" s="169">
        <f>IFERROR(IF('Gantt Proyectos'!AK136&gt;0,SUMIFS('Listas y Parametros'!$C$45:$L$45,'Listas y Parametros'!$C$35:$L$35,'Costo Directo Proyectos'!$AD68)*$AG68,0)+IF('Gantt Proyectos'!AK136=2,$T68,0)/$W68,0)*$L68</f>
        <v>0</v>
      </c>
      <c r="AN68" s="169">
        <f>IFERROR(IF('Gantt Proyectos'!AL136&gt;0,SUMIFS('Listas y Parametros'!$C$45:$L$45,'Listas y Parametros'!$C$35:$L$35,'Costo Directo Proyectos'!$AD68)*$AG68,0)+IF('Gantt Proyectos'!AL136=2,$T68,0)/$W68,0)*$L68</f>
        <v>0</v>
      </c>
      <c r="AO68" s="169">
        <f>IFERROR(IF('Gantt Proyectos'!AM136&gt;0,SUMIFS('Listas y Parametros'!$C$45:$L$45,'Listas y Parametros'!$C$35:$L$35,'Costo Directo Proyectos'!$AD68)*$AG68,0)+IF('Gantt Proyectos'!AM136=2,$T68,0)/$W68,0)*$L68</f>
        <v>0</v>
      </c>
      <c r="AP68" s="170">
        <f>IFERROR(IF('Gantt Proyectos'!AN136&gt;0,SUMIFS('Listas y Parametros'!$C$45:$L$45,'Listas y Parametros'!$C$35:$L$35,'Costo Directo Proyectos'!$AD68)*$AG68,0)+IF('Gantt Proyectos'!AN136=2,$T68,0)/$W68,0)*$L68</f>
        <v>0</v>
      </c>
    </row>
    <row r="69" spans="3:42" ht="15" x14ac:dyDescent="0.2">
      <c r="C69" s="117">
        <f>+'Gantt Proyectos'!C137</f>
        <v>41</v>
      </c>
      <c r="D69" s="145" t="str">
        <f>+'Gantt Proyectos'!D137</f>
        <v>Evaluación de cumplimiento de planes de corto plazo</v>
      </c>
      <c r="E69" s="145" t="str">
        <f>+'Gantt Proyectos'!E137</f>
        <v>Antamina</v>
      </c>
      <c r="F69" s="147" t="str">
        <f>+'Gantt Proyectos'!F137</f>
        <v>Perú</v>
      </c>
      <c r="G69" s="118" t="str">
        <f>+'Gantt Proyectos'!G137</f>
        <v>Perú</v>
      </c>
      <c r="H69" s="118" t="str">
        <f>+'Gantt Proyectos'!H137</f>
        <v>Chile</v>
      </c>
      <c r="I69" s="189">
        <v>0.5</v>
      </c>
      <c r="J69" s="189">
        <f t="shared" si="12"/>
        <v>0.5</v>
      </c>
      <c r="K69" s="118" t="str">
        <f>+'Gantt Proyectos'!I137</f>
        <v>Open Pit</v>
      </c>
      <c r="L69" s="120">
        <f>+'Gantt Proyectos'!J137</f>
        <v>1</v>
      </c>
      <c r="M69" s="145" t="str">
        <f>+'Gantt Proyectos'!K137</f>
        <v>FR</v>
      </c>
      <c r="N69" s="145">
        <f>+'Gantt Proyectos'!L137</f>
        <v>180000</v>
      </c>
      <c r="O69" s="145">
        <f>+'Gantt Proyectos'!M137</f>
        <v>180000</v>
      </c>
      <c r="P69" s="145">
        <f>+'Gantt Proyectos'!N137</f>
        <v>2</v>
      </c>
      <c r="Q69" s="119">
        <f>+'Gantt Proyectos'!O137</f>
        <v>45839</v>
      </c>
      <c r="R69" s="119">
        <f>+'Gantt Proyectos'!P137</f>
        <v>45931</v>
      </c>
      <c r="S69" s="145" t="str">
        <f>+'Gantt Proyectos'!R137</f>
        <v>No</v>
      </c>
      <c r="T69" s="118">
        <f>+'Gantt Proyectos'!S137</f>
        <v>0</v>
      </c>
      <c r="U69" s="156">
        <f>+'Gantt Proyectos'!T137</f>
        <v>45839</v>
      </c>
      <c r="V69" s="156">
        <f>+'Gantt Proyectos'!U137</f>
        <v>45931</v>
      </c>
      <c r="W69" s="201">
        <f t="shared" si="13"/>
        <v>4</v>
      </c>
      <c r="X69" s="121">
        <f>+'Gantt Proyectos'!W137</f>
        <v>0.05</v>
      </c>
      <c r="Y69" s="122">
        <f>+'Gantt Proyectos'!X137</f>
        <v>0.33</v>
      </c>
      <c r="Z69" s="122">
        <f>+'Gantt Proyectos'!Y137</f>
        <v>0.5</v>
      </c>
      <c r="AA69" s="122">
        <f>+'Gantt Proyectos'!Z137</f>
        <v>0.33</v>
      </c>
      <c r="AB69" s="122">
        <f>+'Gantt Proyectos'!AA137</f>
        <v>1</v>
      </c>
      <c r="AC69" s="122">
        <f>+'Gantt Proyectos'!AB137</f>
        <v>0</v>
      </c>
      <c r="AD69" s="152" t="str">
        <f>+'Gantt Proyectos'!AC137</f>
        <v>Consultoria y Due Dilligence</v>
      </c>
      <c r="AE69" s="123" t="str">
        <f>+'Gantt Proyectos'!AD137</f>
        <v>No Asignado</v>
      </c>
      <c r="AF69" s="124" t="str">
        <f>+'Gantt Proyectos'!AE137</f>
        <v>1. Proyectado: No  Asignado</v>
      </c>
      <c r="AG69" s="172">
        <v>1</v>
      </c>
      <c r="AH69" s="168">
        <f>IFERROR(IF('Gantt Proyectos'!AF137&gt;0,SUMIFS('Listas y Parametros'!$C$45:$L$45,'Listas y Parametros'!$C$35:$L$35,'Costo Directo Proyectos'!$AD69)*$AG69,0)+IF('Gantt Proyectos'!AF137=2,$T69,0)/$W69,0)*$L69</f>
        <v>0</v>
      </c>
      <c r="AI69" s="169">
        <f>IFERROR(IF('Gantt Proyectos'!AG137&gt;0,SUMIFS('Listas y Parametros'!$C$45:$L$45,'Listas y Parametros'!$C$35:$L$35,'Costo Directo Proyectos'!$AD69)*$AG69,0)+IF('Gantt Proyectos'!AG137=2,$T69,0)/$W69,0)*$L69</f>
        <v>0</v>
      </c>
      <c r="AJ69" s="169">
        <f>IFERROR(IF('Gantt Proyectos'!AH137&gt;0,SUMIFS('Listas y Parametros'!$C$45:$L$45,'Listas y Parametros'!$C$35:$L$35,'Costo Directo Proyectos'!$AD69)*$AG69,0)+IF('Gantt Proyectos'!AH137=2,$T69,0)/$W69,0)*$L69</f>
        <v>0</v>
      </c>
      <c r="AK69" s="169">
        <f>IFERROR(IF('Gantt Proyectos'!AI137&gt;0,SUMIFS('Listas y Parametros'!$C$45:$L$45,'Listas y Parametros'!$C$35:$L$35,'Costo Directo Proyectos'!$AD69)*$AG69,0)+IF('Gantt Proyectos'!AI137=2,$T69,0)/$W69,0)*$L69</f>
        <v>19463.097239736584</v>
      </c>
      <c r="AL69" s="169">
        <f>IFERROR(IF('Gantt Proyectos'!AJ137&gt;0,SUMIFS('Listas y Parametros'!$C$45:$L$45,'Listas y Parametros'!$C$35:$L$35,'Costo Directo Proyectos'!$AD69)*$AG69,0)+IF('Gantt Proyectos'!AJ137=2,$T69,0)/$W69,0)*$L69</f>
        <v>19463.097239736584</v>
      </c>
      <c r="AM69" s="169">
        <f>IFERROR(IF('Gantt Proyectos'!AK137&gt;0,SUMIFS('Listas y Parametros'!$C$45:$L$45,'Listas y Parametros'!$C$35:$L$35,'Costo Directo Proyectos'!$AD69)*$AG69,0)+IF('Gantt Proyectos'!AK137=2,$T69,0)/$W69,0)*$L69</f>
        <v>19463.097239736584</v>
      </c>
      <c r="AN69" s="169">
        <f>IFERROR(IF('Gantt Proyectos'!AL137&gt;0,SUMIFS('Listas y Parametros'!$C$45:$L$45,'Listas y Parametros'!$C$35:$L$35,'Costo Directo Proyectos'!$AD69)*$AG69,0)+IF('Gantt Proyectos'!AL137=2,$T69,0)/$W69,0)*$L69</f>
        <v>0</v>
      </c>
      <c r="AO69" s="169">
        <f>IFERROR(IF('Gantt Proyectos'!AM137&gt;0,SUMIFS('Listas y Parametros'!$C$45:$L$45,'Listas y Parametros'!$C$35:$L$35,'Costo Directo Proyectos'!$AD69)*$AG69,0)+IF('Gantt Proyectos'!AM137=2,$T69,0)/$W69,0)*$L69</f>
        <v>0</v>
      </c>
      <c r="AP69" s="170">
        <f>IFERROR(IF('Gantt Proyectos'!AN137&gt;0,SUMIFS('Listas y Parametros'!$C$45:$L$45,'Listas y Parametros'!$C$35:$L$35,'Costo Directo Proyectos'!$AD69)*$AG69,0)+IF('Gantt Proyectos'!AN137=2,$T69,0)/$W69,0)*$L69</f>
        <v>0</v>
      </c>
    </row>
    <row r="70" spans="3:42" ht="15" x14ac:dyDescent="0.2">
      <c r="C70" s="117">
        <f>+'Gantt Proyectos'!C138</f>
        <v>42</v>
      </c>
      <c r="D70" s="145" t="str">
        <f>+'Gantt Proyectos'!D138</f>
        <v xml:space="preserve"> Actualización del Estudio Geomecánico</v>
      </c>
      <c r="E70" s="145" t="str">
        <f>+'Gantt Proyectos'!E138</f>
        <v>Nexa</v>
      </c>
      <c r="F70" s="147" t="str">
        <f>+'Gantt Proyectos'!F138</f>
        <v>Perú</v>
      </c>
      <c r="G70" s="118" t="str">
        <f>+'Gantt Proyectos'!G138</f>
        <v>Chile</v>
      </c>
      <c r="H70" s="118" t="str">
        <f>+'Gantt Proyectos'!H138</f>
        <v>Perú</v>
      </c>
      <c r="I70" s="189">
        <v>0.5</v>
      </c>
      <c r="J70" s="189">
        <f t="shared" si="12"/>
        <v>0.5</v>
      </c>
      <c r="K70" s="118" t="str">
        <f>+'Gantt Proyectos'!I138</f>
        <v>Geomecánica</v>
      </c>
      <c r="L70" s="120">
        <f>+'Gantt Proyectos'!J138</f>
        <v>0</v>
      </c>
      <c r="M70" s="145" t="str">
        <f>+'Gantt Proyectos'!K138</f>
        <v>CH</v>
      </c>
      <c r="N70" s="145">
        <f>+'Gantt Proyectos'!L138</f>
        <v>120000</v>
      </c>
      <c r="O70" s="145">
        <f>+'Gantt Proyectos'!M138</f>
        <v>120000</v>
      </c>
      <c r="P70" s="145">
        <f>+'Gantt Proyectos'!N138</f>
        <v>2</v>
      </c>
      <c r="Q70" s="119">
        <f>+'Gantt Proyectos'!O138</f>
        <v>45809</v>
      </c>
      <c r="R70" s="119">
        <f>+'Gantt Proyectos'!P138</f>
        <v>45901</v>
      </c>
      <c r="S70" s="145" t="str">
        <f>+'Gantt Proyectos'!R138</f>
        <v>No</v>
      </c>
      <c r="T70" s="118">
        <f>+'Gantt Proyectos'!S138</f>
        <v>0</v>
      </c>
      <c r="U70" s="156">
        <f>+'Gantt Proyectos'!T138</f>
        <v>45809</v>
      </c>
      <c r="V70" s="156">
        <f>+'Gantt Proyectos'!U138</f>
        <v>45901</v>
      </c>
      <c r="W70" s="201">
        <f t="shared" si="13"/>
        <v>4</v>
      </c>
      <c r="X70" s="121">
        <f>+'Gantt Proyectos'!W138</f>
        <v>0</v>
      </c>
      <c r="Y70" s="122">
        <f>+'Gantt Proyectos'!X138</f>
        <v>0</v>
      </c>
      <c r="Z70" s="122">
        <f>+'Gantt Proyectos'!Y138</f>
        <v>0</v>
      </c>
      <c r="AA70" s="122">
        <f>+'Gantt Proyectos'!Z138</f>
        <v>0</v>
      </c>
      <c r="AB70" s="122">
        <f>+'Gantt Proyectos'!AA138</f>
        <v>0</v>
      </c>
      <c r="AC70" s="122">
        <f>+'Gantt Proyectos'!AB138</f>
        <v>0</v>
      </c>
      <c r="AD70" s="152" t="str">
        <f>+'Gantt Proyectos'!AC138</f>
        <v>Consultoria y Due Dilligence</v>
      </c>
      <c r="AE70" s="123" t="str">
        <f>+'Gantt Proyectos'!AD138</f>
        <v>No Asignado</v>
      </c>
      <c r="AF70" s="124" t="str">
        <f>+'Gantt Proyectos'!AE138</f>
        <v>1. Proyectado: No  Asignado</v>
      </c>
      <c r="AG70" s="172">
        <v>1</v>
      </c>
      <c r="AH70" s="168">
        <f>IFERROR(IF('Gantt Proyectos'!AF138&gt;0,SUMIFS('Listas y Parametros'!$C$45:$L$45,'Listas y Parametros'!$C$35:$L$35,'Costo Directo Proyectos'!$AD70)*$AG70,0)+IF('Gantt Proyectos'!AF138=2,$T70,0)/$W70,0)*$L70</f>
        <v>0</v>
      </c>
      <c r="AI70" s="169">
        <f>IFERROR(IF('Gantt Proyectos'!AG138&gt;0,SUMIFS('Listas y Parametros'!$C$45:$L$45,'Listas y Parametros'!$C$35:$L$35,'Costo Directo Proyectos'!$AD70)*$AG70,0)+IF('Gantt Proyectos'!AG138=2,$T70,0)/$W70,0)*$L70</f>
        <v>0</v>
      </c>
      <c r="AJ70" s="169">
        <f>IFERROR(IF('Gantt Proyectos'!AH138&gt;0,SUMIFS('Listas y Parametros'!$C$45:$L$45,'Listas y Parametros'!$C$35:$L$35,'Costo Directo Proyectos'!$AD70)*$AG70,0)+IF('Gantt Proyectos'!AH138=2,$T70,0)/$W70,0)*$L70</f>
        <v>0</v>
      </c>
      <c r="AK70" s="169">
        <f>IFERROR(IF('Gantt Proyectos'!AI138&gt;0,SUMIFS('Listas y Parametros'!$C$45:$L$45,'Listas y Parametros'!$C$35:$L$35,'Costo Directo Proyectos'!$AD70)*$AG70,0)+IF('Gantt Proyectos'!AI138=2,$T70,0)/$W70,0)*$L70</f>
        <v>0</v>
      </c>
      <c r="AL70" s="169">
        <f>IFERROR(IF('Gantt Proyectos'!AJ138&gt;0,SUMIFS('Listas y Parametros'!$C$45:$L$45,'Listas y Parametros'!$C$35:$L$35,'Costo Directo Proyectos'!$AD70)*$AG70,0)+IF('Gantt Proyectos'!AJ138=2,$T70,0)/$W70,0)*$L70</f>
        <v>0</v>
      </c>
      <c r="AM70" s="169">
        <f>IFERROR(IF('Gantt Proyectos'!AK138&gt;0,SUMIFS('Listas y Parametros'!$C$45:$L$45,'Listas y Parametros'!$C$35:$L$35,'Costo Directo Proyectos'!$AD70)*$AG70,0)+IF('Gantt Proyectos'!AK138=2,$T70,0)/$W70,0)*$L70</f>
        <v>0</v>
      </c>
      <c r="AN70" s="169">
        <f>IFERROR(IF('Gantt Proyectos'!AL138&gt;0,SUMIFS('Listas y Parametros'!$C$45:$L$45,'Listas y Parametros'!$C$35:$L$35,'Costo Directo Proyectos'!$AD70)*$AG70,0)+IF('Gantt Proyectos'!AL138=2,$T70,0)/$W70,0)*$L70</f>
        <v>0</v>
      </c>
      <c r="AO70" s="169">
        <f>IFERROR(IF('Gantt Proyectos'!AM138&gt;0,SUMIFS('Listas y Parametros'!$C$45:$L$45,'Listas y Parametros'!$C$35:$L$35,'Costo Directo Proyectos'!$AD70)*$AG70,0)+IF('Gantt Proyectos'!AM138=2,$T70,0)/$W70,0)*$L70</f>
        <v>0</v>
      </c>
      <c r="AP70" s="170">
        <f>IFERROR(IF('Gantt Proyectos'!AN138&gt;0,SUMIFS('Listas y Parametros'!$C$45:$L$45,'Listas y Parametros'!$C$35:$L$35,'Costo Directo Proyectos'!$AD70)*$AG70,0)+IF('Gantt Proyectos'!AN138=2,$T70,0)/$W70,0)*$L70</f>
        <v>0</v>
      </c>
    </row>
    <row r="71" spans="3:42" ht="15" x14ac:dyDescent="0.2">
      <c r="C71" s="117">
        <f>+'Gantt Proyectos'!C139</f>
        <v>43</v>
      </c>
      <c r="D71" s="145" t="str">
        <f>+'Gantt Proyectos'!D139</f>
        <v>Ing detalle infraestructura Mina</v>
      </c>
      <c r="E71" s="145" t="str">
        <f>+'Gantt Proyectos'!E139</f>
        <v>BR Nickel</v>
      </c>
      <c r="F71" s="147" t="str">
        <f>+'Gantt Proyectos'!F139</f>
        <v>Brasil</v>
      </c>
      <c r="G71" s="118" t="str">
        <f>+'Gantt Proyectos'!G139</f>
        <v>Chile</v>
      </c>
      <c r="H71" s="118">
        <f>+'Gantt Proyectos'!H139</f>
        <v>0</v>
      </c>
      <c r="I71" s="189">
        <v>1</v>
      </c>
      <c r="J71" s="189">
        <f t="shared" si="12"/>
        <v>0</v>
      </c>
      <c r="K71" s="118" t="str">
        <f>+'Gantt Proyectos'!I139</f>
        <v>Open Pit</v>
      </c>
      <c r="L71" s="120">
        <f>+'Gantt Proyectos'!J139</f>
        <v>0</v>
      </c>
      <c r="M71" s="145" t="str">
        <f>+'Gantt Proyectos'!K139</f>
        <v>RM</v>
      </c>
      <c r="N71" s="145">
        <f>+'Gantt Proyectos'!L139</f>
        <v>700000</v>
      </c>
      <c r="O71" s="145">
        <f>+'Gantt Proyectos'!M139</f>
        <v>700000</v>
      </c>
      <c r="P71" s="145">
        <f>+'Gantt Proyectos'!N139</f>
        <v>2</v>
      </c>
      <c r="Q71" s="119">
        <f>+'Gantt Proyectos'!O139</f>
        <v>45809</v>
      </c>
      <c r="R71" s="119">
        <f>+'Gantt Proyectos'!P139</f>
        <v>46357</v>
      </c>
      <c r="S71" s="145" t="str">
        <f>+'Gantt Proyectos'!R139</f>
        <v>No</v>
      </c>
      <c r="T71" s="118">
        <f>+'Gantt Proyectos'!S139</f>
        <v>0</v>
      </c>
      <c r="U71" s="156">
        <f>+'Gantt Proyectos'!T139</f>
        <v>45809</v>
      </c>
      <c r="V71" s="156">
        <f>+'Gantt Proyectos'!U139</f>
        <v>46357</v>
      </c>
      <c r="W71" s="201">
        <f t="shared" si="13"/>
        <v>18</v>
      </c>
      <c r="X71" s="121">
        <f>+'Gantt Proyectos'!W139</f>
        <v>0</v>
      </c>
      <c r="Y71" s="122">
        <f>+'Gantt Proyectos'!X139</f>
        <v>0</v>
      </c>
      <c r="Z71" s="122">
        <f>+'Gantt Proyectos'!Y139</f>
        <v>0</v>
      </c>
      <c r="AA71" s="122">
        <f>+'Gantt Proyectos'!Z139</f>
        <v>0</v>
      </c>
      <c r="AB71" s="122">
        <f>+'Gantt Proyectos'!AA139</f>
        <v>0</v>
      </c>
      <c r="AC71" s="122">
        <f>+'Gantt Proyectos'!AB139</f>
        <v>0</v>
      </c>
      <c r="AD71" s="152" t="str">
        <f>+'Gantt Proyectos'!AC139</f>
        <v>FS e Ing. Basica</v>
      </c>
      <c r="AE71" s="123" t="str">
        <f>+'Gantt Proyectos'!AD139</f>
        <v>No Asignado</v>
      </c>
      <c r="AF71" s="124" t="str">
        <f>+'Gantt Proyectos'!AE139</f>
        <v>1. Proyectado: No  Asignado</v>
      </c>
      <c r="AG71" s="172">
        <v>1</v>
      </c>
      <c r="AH71" s="168">
        <f>IFERROR(IF('Gantt Proyectos'!AF139&gt;0,SUMIFS('Listas y Parametros'!$C$45:$L$45,'Listas y Parametros'!$C$35:$L$35,'Costo Directo Proyectos'!$AD71)*$AG71,0)+IF('Gantt Proyectos'!AF139=2,$T71,0)/$W71,0)*$L71</f>
        <v>0</v>
      </c>
      <c r="AI71" s="169">
        <f>IFERROR(IF('Gantt Proyectos'!AG139&gt;0,SUMIFS('Listas y Parametros'!$C$45:$L$45,'Listas y Parametros'!$C$35:$L$35,'Costo Directo Proyectos'!$AD71)*$AG71,0)+IF('Gantt Proyectos'!AG139=2,$T71,0)/$W71,0)*$L71</f>
        <v>0</v>
      </c>
      <c r="AJ71" s="169">
        <f>IFERROR(IF('Gantt Proyectos'!AH139&gt;0,SUMIFS('Listas y Parametros'!$C$45:$L$45,'Listas y Parametros'!$C$35:$L$35,'Costo Directo Proyectos'!$AD71)*$AG71,0)+IF('Gantt Proyectos'!AH139=2,$T71,0)/$W71,0)*$L71</f>
        <v>0</v>
      </c>
      <c r="AK71" s="169">
        <f>IFERROR(IF('Gantt Proyectos'!AI139&gt;0,SUMIFS('Listas y Parametros'!$C$45:$L$45,'Listas y Parametros'!$C$35:$L$35,'Costo Directo Proyectos'!$AD71)*$AG71,0)+IF('Gantt Proyectos'!AI139=2,$T71,0)/$W71,0)*$L71</f>
        <v>0</v>
      </c>
      <c r="AL71" s="169">
        <f>IFERROR(IF('Gantt Proyectos'!AJ139&gt;0,SUMIFS('Listas y Parametros'!$C$45:$L$45,'Listas y Parametros'!$C$35:$L$35,'Costo Directo Proyectos'!$AD71)*$AG71,0)+IF('Gantt Proyectos'!AJ139=2,$T71,0)/$W71,0)*$L71</f>
        <v>0</v>
      </c>
      <c r="AM71" s="169">
        <f>IFERROR(IF('Gantt Proyectos'!AK139&gt;0,SUMIFS('Listas y Parametros'!$C$45:$L$45,'Listas y Parametros'!$C$35:$L$35,'Costo Directo Proyectos'!$AD71)*$AG71,0)+IF('Gantt Proyectos'!AK139=2,$T71,0)/$W71,0)*$L71</f>
        <v>0</v>
      </c>
      <c r="AN71" s="169">
        <f>IFERROR(IF('Gantt Proyectos'!AL139&gt;0,SUMIFS('Listas y Parametros'!$C$45:$L$45,'Listas y Parametros'!$C$35:$L$35,'Costo Directo Proyectos'!$AD71)*$AG71,0)+IF('Gantt Proyectos'!AL139=2,$T71,0)/$W71,0)*$L71</f>
        <v>0</v>
      </c>
      <c r="AO71" s="169">
        <f>IFERROR(IF('Gantt Proyectos'!AM139&gt;0,SUMIFS('Listas y Parametros'!$C$45:$L$45,'Listas y Parametros'!$C$35:$L$35,'Costo Directo Proyectos'!$AD71)*$AG71,0)+IF('Gantt Proyectos'!AM139=2,$T71,0)/$W71,0)*$L71</f>
        <v>0</v>
      </c>
      <c r="AP71" s="170">
        <f>IFERROR(IF('Gantt Proyectos'!AN139&gt;0,SUMIFS('Listas y Parametros'!$C$45:$L$45,'Listas y Parametros'!$C$35:$L$35,'Costo Directo Proyectos'!$AD71)*$AG71,0)+IF('Gantt Proyectos'!AN139=2,$T71,0)/$W71,0)*$L71</f>
        <v>0</v>
      </c>
    </row>
    <row r="72" spans="3:42" ht="15" x14ac:dyDescent="0.2">
      <c r="C72" s="117">
        <f>+'Gantt Proyectos'!C140</f>
        <v>44</v>
      </c>
      <c r="D72" s="145" t="str">
        <f>+'Gantt Proyectos'!D140</f>
        <v>Estudio Geomecánico de Interacción Block Caving – Chancado Primario</v>
      </c>
      <c r="E72" s="145" t="str">
        <f>+'Gantt Proyectos'!E140</f>
        <v>Nexa</v>
      </c>
      <c r="F72" s="147" t="str">
        <f>+'Gantt Proyectos'!F140</f>
        <v>Perú</v>
      </c>
      <c r="G72" s="118" t="str">
        <f>+'Gantt Proyectos'!G140</f>
        <v>Chile</v>
      </c>
      <c r="H72" s="118" t="str">
        <f>+'Gantt Proyectos'!H140</f>
        <v>Perú</v>
      </c>
      <c r="I72" s="189">
        <v>0.5</v>
      </c>
      <c r="J72" s="189">
        <f t="shared" si="12"/>
        <v>0.5</v>
      </c>
      <c r="K72" s="118" t="str">
        <f>+'Gantt Proyectos'!I140</f>
        <v>Geomecánica</v>
      </c>
      <c r="L72" s="120">
        <f>+'Gantt Proyectos'!J140</f>
        <v>0</v>
      </c>
      <c r="M72" s="145" t="str">
        <f>+'Gantt Proyectos'!K140</f>
        <v>CH</v>
      </c>
      <c r="N72" s="145">
        <f>+'Gantt Proyectos'!L140</f>
        <v>150000</v>
      </c>
      <c r="O72" s="145">
        <f>+'Gantt Proyectos'!M140</f>
        <v>150000</v>
      </c>
      <c r="P72" s="145">
        <f>+'Gantt Proyectos'!N140</f>
        <v>2</v>
      </c>
      <c r="Q72" s="119">
        <f>+'Gantt Proyectos'!O140</f>
        <v>45809</v>
      </c>
      <c r="R72" s="119">
        <f>+'Gantt Proyectos'!P140</f>
        <v>45901</v>
      </c>
      <c r="S72" s="145" t="str">
        <f>+'Gantt Proyectos'!R140</f>
        <v>No</v>
      </c>
      <c r="T72" s="118">
        <f>+'Gantt Proyectos'!S140</f>
        <v>0</v>
      </c>
      <c r="U72" s="156">
        <f>+'Gantt Proyectos'!T140</f>
        <v>45809</v>
      </c>
      <c r="V72" s="156">
        <f>+'Gantt Proyectos'!U140</f>
        <v>45901</v>
      </c>
      <c r="W72" s="201">
        <f t="shared" si="13"/>
        <v>4</v>
      </c>
      <c r="X72" s="121">
        <f>+'Gantt Proyectos'!W140</f>
        <v>0</v>
      </c>
      <c r="Y72" s="122">
        <f>+'Gantt Proyectos'!X140</f>
        <v>0</v>
      </c>
      <c r="Z72" s="122">
        <f>+'Gantt Proyectos'!Y140</f>
        <v>0</v>
      </c>
      <c r="AA72" s="122">
        <f>+'Gantt Proyectos'!Z140</f>
        <v>0</v>
      </c>
      <c r="AB72" s="122">
        <f>+'Gantt Proyectos'!AA140</f>
        <v>0</v>
      </c>
      <c r="AC72" s="122">
        <f>+'Gantt Proyectos'!AB140</f>
        <v>0</v>
      </c>
      <c r="AD72" s="152" t="str">
        <f>+'Gantt Proyectos'!AC140</f>
        <v>Consultoria y Due Dilligence</v>
      </c>
      <c r="AE72" s="123" t="str">
        <f>+'Gantt Proyectos'!AD140</f>
        <v>No Asignado</v>
      </c>
      <c r="AF72" s="124" t="str">
        <f>+'Gantt Proyectos'!AE140</f>
        <v>1. Proyectado: No  Asignado</v>
      </c>
      <c r="AG72" s="172">
        <v>1</v>
      </c>
      <c r="AH72" s="168">
        <f>IFERROR(IF('Gantt Proyectos'!AF140&gt;0,SUMIFS('Listas y Parametros'!$C$45:$L$45,'Listas y Parametros'!$C$35:$L$35,'Costo Directo Proyectos'!$AD72)*$AG72,0)+IF('Gantt Proyectos'!AF140=2,$T72,0)/$W72,0)*$L72</f>
        <v>0</v>
      </c>
      <c r="AI72" s="169">
        <f>IFERROR(IF('Gantt Proyectos'!AG140&gt;0,SUMIFS('Listas y Parametros'!$C$45:$L$45,'Listas y Parametros'!$C$35:$L$35,'Costo Directo Proyectos'!$AD72)*$AG72,0)+IF('Gantt Proyectos'!AG140=2,$T72,0)/$W72,0)*$L72</f>
        <v>0</v>
      </c>
      <c r="AJ72" s="169">
        <f>IFERROR(IF('Gantt Proyectos'!AH140&gt;0,SUMIFS('Listas y Parametros'!$C$45:$L$45,'Listas y Parametros'!$C$35:$L$35,'Costo Directo Proyectos'!$AD72)*$AG72,0)+IF('Gantt Proyectos'!AH140=2,$T72,0)/$W72,0)*$L72</f>
        <v>0</v>
      </c>
      <c r="AK72" s="169">
        <f>IFERROR(IF('Gantt Proyectos'!AI140&gt;0,SUMIFS('Listas y Parametros'!$C$45:$L$45,'Listas y Parametros'!$C$35:$L$35,'Costo Directo Proyectos'!$AD72)*$AG72,0)+IF('Gantt Proyectos'!AI140=2,$T72,0)/$W72,0)*$L72</f>
        <v>0</v>
      </c>
      <c r="AL72" s="169">
        <f>IFERROR(IF('Gantt Proyectos'!AJ140&gt;0,SUMIFS('Listas y Parametros'!$C$45:$L$45,'Listas y Parametros'!$C$35:$L$35,'Costo Directo Proyectos'!$AD72)*$AG72,0)+IF('Gantt Proyectos'!AJ140=2,$T72,0)/$W72,0)*$L72</f>
        <v>0</v>
      </c>
      <c r="AM72" s="169">
        <f>IFERROR(IF('Gantt Proyectos'!AK140&gt;0,SUMIFS('Listas y Parametros'!$C$45:$L$45,'Listas y Parametros'!$C$35:$L$35,'Costo Directo Proyectos'!$AD72)*$AG72,0)+IF('Gantt Proyectos'!AK140=2,$T72,0)/$W72,0)*$L72</f>
        <v>0</v>
      </c>
      <c r="AN72" s="169">
        <f>IFERROR(IF('Gantt Proyectos'!AL140&gt;0,SUMIFS('Listas y Parametros'!$C$45:$L$45,'Listas y Parametros'!$C$35:$L$35,'Costo Directo Proyectos'!$AD72)*$AG72,0)+IF('Gantt Proyectos'!AL140=2,$T72,0)/$W72,0)*$L72</f>
        <v>0</v>
      </c>
      <c r="AO72" s="169">
        <f>IFERROR(IF('Gantt Proyectos'!AM140&gt;0,SUMIFS('Listas y Parametros'!$C$45:$L$45,'Listas y Parametros'!$C$35:$L$35,'Costo Directo Proyectos'!$AD72)*$AG72,0)+IF('Gantt Proyectos'!AM140=2,$T72,0)/$W72,0)*$L72</f>
        <v>0</v>
      </c>
      <c r="AP72" s="170">
        <f>IFERROR(IF('Gantt Proyectos'!AN140&gt;0,SUMIFS('Listas y Parametros'!$C$45:$L$45,'Listas y Parametros'!$C$35:$L$35,'Costo Directo Proyectos'!$AD72)*$AG72,0)+IF('Gantt Proyectos'!AN140=2,$T72,0)/$W72,0)*$L72</f>
        <v>0</v>
      </c>
    </row>
    <row r="73" spans="3:42" ht="15" x14ac:dyDescent="0.2">
      <c r="C73" s="117">
        <f>+'Gantt Proyectos'!C141</f>
        <v>45</v>
      </c>
      <c r="D73" s="145" t="str">
        <f>+'Gantt Proyectos'!D141</f>
        <v>Servicio de revisón independiente de infraestructura (relaves)</v>
      </c>
      <c r="E73" s="145" t="str">
        <f>+'Gantt Proyectos'!E141</f>
        <v>ERG</v>
      </c>
      <c r="F73" s="147" t="str">
        <f>+'Gantt Proyectos'!F141</f>
        <v>Brasil</v>
      </c>
      <c r="G73" s="118" t="str">
        <f>+'Gantt Proyectos'!G141</f>
        <v>Chile</v>
      </c>
      <c r="H73" s="118">
        <f>+'Gantt Proyectos'!H141</f>
        <v>0</v>
      </c>
      <c r="I73" s="189">
        <v>1</v>
      </c>
      <c r="J73" s="189">
        <f t="shared" si="12"/>
        <v>0</v>
      </c>
      <c r="K73" s="118" t="str">
        <f>+'Gantt Proyectos'!I141</f>
        <v>Open Pit</v>
      </c>
      <c r="L73" s="120">
        <f>+'Gantt Proyectos'!J141</f>
        <v>0</v>
      </c>
      <c r="M73" s="145" t="str">
        <f>+'Gantt Proyectos'!K141</f>
        <v>CH</v>
      </c>
      <c r="N73" s="145">
        <f>+'Gantt Proyectos'!L141</f>
        <v>490000</v>
      </c>
      <c r="O73" s="145">
        <f>+'Gantt Proyectos'!M141</f>
        <v>490000</v>
      </c>
      <c r="P73" s="145">
        <f>+'Gantt Proyectos'!N141</f>
        <v>2</v>
      </c>
      <c r="Q73" s="119">
        <f>+'Gantt Proyectos'!O141</f>
        <v>45809</v>
      </c>
      <c r="R73" s="119">
        <f>+'Gantt Proyectos'!P141</f>
        <v>46011</v>
      </c>
      <c r="S73" s="145" t="str">
        <f>+'Gantt Proyectos'!R141</f>
        <v>No</v>
      </c>
      <c r="T73" s="118">
        <f>+'Gantt Proyectos'!S141</f>
        <v>0</v>
      </c>
      <c r="U73" s="156">
        <f>+'Gantt Proyectos'!T141</f>
        <v>45809</v>
      </c>
      <c r="V73" s="156">
        <f>+'Gantt Proyectos'!U141</f>
        <v>46011</v>
      </c>
      <c r="W73" s="201">
        <f t="shared" si="13"/>
        <v>7</v>
      </c>
      <c r="X73" s="121">
        <f>+'Gantt Proyectos'!W141</f>
        <v>0</v>
      </c>
      <c r="Y73" s="122">
        <f>+'Gantt Proyectos'!X141</f>
        <v>0</v>
      </c>
      <c r="Z73" s="122">
        <f>+'Gantt Proyectos'!Y141</f>
        <v>0</v>
      </c>
      <c r="AA73" s="122">
        <f>+'Gantt Proyectos'!Z141</f>
        <v>0</v>
      </c>
      <c r="AB73" s="122">
        <f>+'Gantt Proyectos'!AA141</f>
        <v>0</v>
      </c>
      <c r="AC73" s="122">
        <f>+'Gantt Proyectos'!AB141</f>
        <v>0</v>
      </c>
      <c r="AD73" s="152" t="str">
        <f>+'Gantt Proyectos'!AC141</f>
        <v>Consultoria y Due Dilligence</v>
      </c>
      <c r="AE73" s="123" t="str">
        <f>+'Gantt Proyectos'!AD141</f>
        <v>No Asignado</v>
      </c>
      <c r="AF73" s="124" t="str">
        <f>+'Gantt Proyectos'!AE141</f>
        <v>1. Proyectado: No  Asignado</v>
      </c>
      <c r="AG73" s="172">
        <v>1</v>
      </c>
      <c r="AH73" s="168">
        <f>IFERROR(IF('Gantt Proyectos'!AF141&gt;0,SUMIFS('Listas y Parametros'!$C$45:$L$45,'Listas y Parametros'!$C$35:$L$35,'Costo Directo Proyectos'!$AD73)*$AG73,0)+IF('Gantt Proyectos'!AF141=2,$T73,0)/$W73,0)*$L73</f>
        <v>0</v>
      </c>
      <c r="AI73" s="169">
        <f>IFERROR(IF('Gantt Proyectos'!AG141&gt;0,SUMIFS('Listas y Parametros'!$C$45:$L$45,'Listas y Parametros'!$C$35:$L$35,'Costo Directo Proyectos'!$AD73)*$AG73,0)+IF('Gantt Proyectos'!AG141=2,$T73,0)/$W73,0)*$L73</f>
        <v>0</v>
      </c>
      <c r="AJ73" s="169">
        <f>IFERROR(IF('Gantt Proyectos'!AH141&gt;0,SUMIFS('Listas y Parametros'!$C$45:$L$45,'Listas y Parametros'!$C$35:$L$35,'Costo Directo Proyectos'!$AD73)*$AG73,0)+IF('Gantt Proyectos'!AH141=2,$T73,0)/$W73,0)*$L73</f>
        <v>0</v>
      </c>
      <c r="AK73" s="169">
        <f>IFERROR(IF('Gantt Proyectos'!AI141&gt;0,SUMIFS('Listas y Parametros'!$C$45:$L$45,'Listas y Parametros'!$C$35:$L$35,'Costo Directo Proyectos'!$AD73)*$AG73,0)+IF('Gantt Proyectos'!AI141=2,$T73,0)/$W73,0)*$L73</f>
        <v>0</v>
      </c>
      <c r="AL73" s="169">
        <f>IFERROR(IF('Gantt Proyectos'!AJ141&gt;0,SUMIFS('Listas y Parametros'!$C$45:$L$45,'Listas y Parametros'!$C$35:$L$35,'Costo Directo Proyectos'!$AD73)*$AG73,0)+IF('Gantt Proyectos'!AJ141=2,$T73,0)/$W73,0)*$L73</f>
        <v>0</v>
      </c>
      <c r="AM73" s="169">
        <f>IFERROR(IF('Gantt Proyectos'!AK141&gt;0,SUMIFS('Listas y Parametros'!$C$45:$L$45,'Listas y Parametros'!$C$35:$L$35,'Costo Directo Proyectos'!$AD73)*$AG73,0)+IF('Gantt Proyectos'!AK141=2,$T73,0)/$W73,0)*$L73</f>
        <v>0</v>
      </c>
      <c r="AN73" s="169">
        <f>IFERROR(IF('Gantt Proyectos'!AL141&gt;0,SUMIFS('Listas y Parametros'!$C$45:$L$45,'Listas y Parametros'!$C$35:$L$35,'Costo Directo Proyectos'!$AD73)*$AG73,0)+IF('Gantt Proyectos'!AL141=2,$T73,0)/$W73,0)*$L73</f>
        <v>0</v>
      </c>
      <c r="AO73" s="169">
        <f>IFERROR(IF('Gantt Proyectos'!AM141&gt;0,SUMIFS('Listas y Parametros'!$C$45:$L$45,'Listas y Parametros'!$C$35:$L$35,'Costo Directo Proyectos'!$AD73)*$AG73,0)+IF('Gantt Proyectos'!AM141=2,$T73,0)/$W73,0)*$L73</f>
        <v>0</v>
      </c>
      <c r="AP73" s="170">
        <f>IFERROR(IF('Gantt Proyectos'!AN141&gt;0,SUMIFS('Listas y Parametros'!$C$45:$L$45,'Listas y Parametros'!$C$35:$L$35,'Costo Directo Proyectos'!$AD73)*$AG73,0)+IF('Gantt Proyectos'!AN141=2,$T73,0)/$W73,0)*$L73</f>
        <v>0</v>
      </c>
    </row>
    <row r="74" spans="3:42" ht="15" x14ac:dyDescent="0.2">
      <c r="C74" s="117">
        <f>+'Gantt Proyectos'!C142</f>
        <v>46</v>
      </c>
      <c r="D74" s="145" t="str">
        <f>+'Gantt Proyectos'!D142</f>
        <v>Rockhaven Klaza Project (PFS)</v>
      </c>
      <c r="E74" s="145" t="str">
        <f>+'Gantt Proyectos'!E142</f>
        <v>Rockhaven</v>
      </c>
      <c r="F74" s="147" t="str">
        <f>+'Gantt Proyectos'!F142</f>
        <v>USA</v>
      </c>
      <c r="G74" s="145" t="str">
        <f>+'Gantt Proyectos'!G142</f>
        <v>Chile</v>
      </c>
      <c r="H74" s="145" t="str">
        <f>+'Gantt Proyectos'!H142</f>
        <v>Perú</v>
      </c>
      <c r="I74" s="189">
        <v>1</v>
      </c>
      <c r="J74" s="189">
        <f t="shared" si="12"/>
        <v>0</v>
      </c>
      <c r="K74" s="145" t="str">
        <f>+'Gantt Proyectos'!I142</f>
        <v>Subterránea</v>
      </c>
      <c r="L74" s="120">
        <f>+'Gantt Proyectos'!J142</f>
        <v>0</v>
      </c>
      <c r="M74" s="145">
        <f>+'Gantt Proyectos'!K142</f>
        <v>0</v>
      </c>
      <c r="N74" s="145">
        <f>+'Gantt Proyectos'!L142</f>
        <v>1500000</v>
      </c>
      <c r="O74" s="145">
        <f>+'Gantt Proyectos'!M142</f>
        <v>1500000</v>
      </c>
      <c r="P74" s="145">
        <f>+'Gantt Proyectos'!N142</f>
        <v>2</v>
      </c>
      <c r="Q74" s="119">
        <f>+'Gantt Proyectos'!O142</f>
        <v>45885</v>
      </c>
      <c r="R74" s="119">
        <f>+'Gantt Proyectos'!P142</f>
        <v>46189</v>
      </c>
      <c r="S74" s="145" t="str">
        <f>+'Gantt Proyectos'!R142</f>
        <v>No</v>
      </c>
      <c r="T74" s="118">
        <f>+'Gantt Proyectos'!S142</f>
        <v>0</v>
      </c>
      <c r="U74" s="156">
        <f>+'Gantt Proyectos'!T142</f>
        <v>45885</v>
      </c>
      <c r="V74" s="156">
        <f>+'Gantt Proyectos'!U142</f>
        <v>46189</v>
      </c>
      <c r="W74" s="201">
        <f t="shared" si="13"/>
        <v>10</v>
      </c>
      <c r="X74" s="121">
        <f>+'Gantt Proyectos'!W142</f>
        <v>0</v>
      </c>
      <c r="Y74" s="122">
        <f>+'Gantt Proyectos'!X142</f>
        <v>0</v>
      </c>
      <c r="Z74" s="122">
        <f>+'Gantt Proyectos'!Y142</f>
        <v>0</v>
      </c>
      <c r="AA74" s="122">
        <f>+'Gantt Proyectos'!Z142</f>
        <v>0</v>
      </c>
      <c r="AB74" s="122">
        <f>+'Gantt Proyectos'!AA142</f>
        <v>0</v>
      </c>
      <c r="AC74" s="122">
        <f>+'Gantt Proyectos'!AB142</f>
        <v>0</v>
      </c>
      <c r="AD74" s="153" t="str">
        <f>+'Gantt Proyectos'!AC142</f>
        <v>PFS</v>
      </c>
      <c r="AE74" s="123" t="str">
        <f>+'Gantt Proyectos'!AD142</f>
        <v>No Asignado</v>
      </c>
      <c r="AF74" s="124" t="str">
        <f>+'Gantt Proyectos'!AE142</f>
        <v>1. Proyectado: No  Asignado</v>
      </c>
      <c r="AG74" s="172">
        <v>1</v>
      </c>
      <c r="AH74" s="168">
        <f>IFERROR(IF('Gantt Proyectos'!AF142&gt;0,SUMIFS('Listas y Parametros'!$C$45:$L$45,'Listas y Parametros'!$C$35:$L$35,'Costo Directo Proyectos'!$AD74)*$AG74,0)+IF('Gantt Proyectos'!AF142=2,$T74,0)/$W74,0)*$L74</f>
        <v>0</v>
      </c>
      <c r="AI74" s="169">
        <f>IFERROR(IF('Gantt Proyectos'!AG142&gt;0,SUMIFS('Listas y Parametros'!$C$45:$L$45,'Listas y Parametros'!$C$35:$L$35,'Costo Directo Proyectos'!$AD74)*$AG74,0)+IF('Gantt Proyectos'!AG142=2,$T74,0)/$W74,0)*$L74</f>
        <v>0</v>
      </c>
      <c r="AJ74" s="169">
        <f>IFERROR(IF('Gantt Proyectos'!AH142&gt;0,SUMIFS('Listas y Parametros'!$C$45:$L$45,'Listas y Parametros'!$C$35:$L$35,'Costo Directo Proyectos'!$AD74)*$AG74,0)+IF('Gantt Proyectos'!AH142=2,$T74,0)/$W74,0)*$L74</f>
        <v>0</v>
      </c>
      <c r="AK74" s="169">
        <f>IFERROR(IF('Gantt Proyectos'!AI142&gt;0,SUMIFS('Listas y Parametros'!$C$45:$L$45,'Listas y Parametros'!$C$35:$L$35,'Costo Directo Proyectos'!$AD74)*$AG74,0)+IF('Gantt Proyectos'!AI142=2,$T74,0)/$W74,0)*$L74</f>
        <v>0</v>
      </c>
      <c r="AL74" s="169">
        <f>IFERROR(IF('Gantt Proyectos'!AJ142&gt;0,SUMIFS('Listas y Parametros'!$C$45:$L$45,'Listas y Parametros'!$C$35:$L$35,'Costo Directo Proyectos'!$AD74)*$AG74,0)+IF('Gantt Proyectos'!AJ142=2,$T74,0)/$W74,0)*$L74</f>
        <v>0</v>
      </c>
      <c r="AM74" s="169">
        <f>IFERROR(IF('Gantt Proyectos'!AK142&gt;0,SUMIFS('Listas y Parametros'!$C$45:$L$45,'Listas y Parametros'!$C$35:$L$35,'Costo Directo Proyectos'!$AD74)*$AG74,0)+IF('Gantt Proyectos'!AK142=2,$T74,0)/$W74,0)*$L74</f>
        <v>0</v>
      </c>
      <c r="AN74" s="169">
        <f>IFERROR(IF('Gantt Proyectos'!AL142&gt;0,SUMIFS('Listas y Parametros'!$C$45:$L$45,'Listas y Parametros'!$C$35:$L$35,'Costo Directo Proyectos'!$AD74)*$AG74,0)+IF('Gantt Proyectos'!AL142=2,$T74,0)/$W74,0)*$L74</f>
        <v>0</v>
      </c>
      <c r="AO74" s="169">
        <f>IFERROR(IF('Gantt Proyectos'!AM142&gt;0,SUMIFS('Listas y Parametros'!$C$45:$L$45,'Listas y Parametros'!$C$35:$L$35,'Costo Directo Proyectos'!$AD74)*$AG74,0)+IF('Gantt Proyectos'!AM142=2,$T74,0)/$W74,0)*$L74</f>
        <v>0</v>
      </c>
      <c r="AP74" s="170">
        <f>IFERROR(IF('Gantt Proyectos'!AN142&gt;0,SUMIFS('Listas y Parametros'!$C$45:$L$45,'Listas y Parametros'!$C$35:$L$35,'Costo Directo Proyectos'!$AD74)*$AG74,0)+IF('Gantt Proyectos'!AN142=2,$T74,0)/$W74,0)*$L74</f>
        <v>0</v>
      </c>
    </row>
    <row r="75" spans="3:42" ht="15" x14ac:dyDescent="0.2">
      <c r="C75" s="144">
        <f>+'Gantt Proyectos'!C143</f>
        <v>47</v>
      </c>
      <c r="D75" s="145" t="str">
        <f>+'Gantt Proyectos'!D143</f>
        <v>HILL OF VALUE AND OPTIMIZED CUT-OFF GRADE STRATEGY ANALYSIS</v>
      </c>
      <c r="E75" s="145" t="str">
        <f>+'Gantt Proyectos'!E143</f>
        <v>South 32</v>
      </c>
      <c r="F75" s="147" t="str">
        <f>+'Gantt Proyectos'!F143</f>
        <v>USA</v>
      </c>
      <c r="G75" s="145" t="str">
        <f>+'Gantt Proyectos'!G143</f>
        <v>Perú</v>
      </c>
      <c r="H75" s="145">
        <f>+'Gantt Proyectos'!H143</f>
        <v>0</v>
      </c>
      <c r="I75" s="189">
        <v>1</v>
      </c>
      <c r="J75" s="189">
        <f t="shared" si="12"/>
        <v>0</v>
      </c>
      <c r="K75" s="145" t="str">
        <f>+'Gantt Proyectos'!I143</f>
        <v>Subterránea</v>
      </c>
      <c r="L75" s="120">
        <f>+'Gantt Proyectos'!J143</f>
        <v>1</v>
      </c>
      <c r="M75" s="145" t="str">
        <f>+'Gantt Proyectos'!K143</f>
        <v>PV</v>
      </c>
      <c r="N75" s="145">
        <f>+'Gantt Proyectos'!L143</f>
        <v>40000</v>
      </c>
      <c r="O75" s="145">
        <f>+'Gantt Proyectos'!M143</f>
        <v>40000</v>
      </c>
      <c r="P75" s="145">
        <f>+'Gantt Proyectos'!N143</f>
        <v>1</v>
      </c>
      <c r="Q75" s="119">
        <f>+'Gantt Proyectos'!O143</f>
        <v>45807</v>
      </c>
      <c r="R75" s="119">
        <f>+'Gantt Proyectos'!P143</f>
        <v>45836</v>
      </c>
      <c r="S75" s="145" t="str">
        <f>+'Gantt Proyectos'!R143</f>
        <v>No</v>
      </c>
      <c r="T75" s="118">
        <f>+'Gantt Proyectos'!S143</f>
        <v>0</v>
      </c>
      <c r="U75" s="156">
        <f>+'Gantt Proyectos'!T143</f>
        <v>45807</v>
      </c>
      <c r="V75" s="156">
        <f>+'Gantt Proyectos'!U143</f>
        <v>45836</v>
      </c>
      <c r="W75" s="201">
        <f t="shared" si="13"/>
        <v>1</v>
      </c>
      <c r="X75" s="121">
        <f>+'Gantt Proyectos'!W143</f>
        <v>1</v>
      </c>
      <c r="Y75" s="122">
        <f>+'Gantt Proyectos'!X143</f>
        <v>0.33</v>
      </c>
      <c r="Z75" s="122">
        <f>+'Gantt Proyectos'!Y143</f>
        <v>0.5</v>
      </c>
      <c r="AA75" s="122">
        <f>+'Gantt Proyectos'!Z143</f>
        <v>0.33</v>
      </c>
      <c r="AB75" s="122">
        <f>+'Gantt Proyectos'!AA143</f>
        <v>1</v>
      </c>
      <c r="AC75" s="122">
        <f>+'Gantt Proyectos'!AB143</f>
        <v>0</v>
      </c>
      <c r="AD75" s="123" t="str">
        <f>+'Gantt Proyectos'!AC143</f>
        <v>Consultoria y Due Dilligence</v>
      </c>
      <c r="AE75" s="123" t="str">
        <f>+'Gantt Proyectos'!AD143</f>
        <v>Asignado</v>
      </c>
      <c r="AF75" s="124" t="str">
        <f>+'Gantt Proyectos'!AE143</f>
        <v>1. Proyectado: Asignado</v>
      </c>
      <c r="AG75" s="172">
        <v>1</v>
      </c>
      <c r="AH75" s="168">
        <f>IFERROR(IF('Gantt Proyectos'!AF143&gt;0,SUMIFS('Listas y Parametros'!$C$45:$L$45,'Listas y Parametros'!$C$35:$L$35,'Costo Directo Proyectos'!$AD75)*$AG75,0)+IF('Gantt Proyectos'!AF143=2,$T75,0)/$W75,0)*$L75</f>
        <v>0</v>
      </c>
      <c r="AI75" s="169">
        <f>IFERROR(IF('Gantt Proyectos'!AG143&gt;0,SUMIFS('Listas y Parametros'!$C$45:$L$45,'Listas y Parametros'!$C$35:$L$35,'Costo Directo Proyectos'!$AD75)*$AG75,0)+IF('Gantt Proyectos'!AG143=2,$T75,0)/$W75,0)*$L75</f>
        <v>19463.097239736584</v>
      </c>
      <c r="AJ75" s="169">
        <f>IFERROR(IF('Gantt Proyectos'!AH143&gt;0,SUMIFS('Listas y Parametros'!$C$45:$L$45,'Listas y Parametros'!$C$35:$L$35,'Costo Directo Proyectos'!$AD75)*$AG75,0)+IF('Gantt Proyectos'!AH143=2,$T75,0)/$W75,0)*$L75</f>
        <v>19463.097239736584</v>
      </c>
      <c r="AK75" s="169">
        <f>IFERROR(IF('Gantt Proyectos'!AI143&gt;0,SUMIFS('Listas y Parametros'!$C$45:$L$45,'Listas y Parametros'!$C$35:$L$35,'Costo Directo Proyectos'!$AD75)*$AG75,0)+IF('Gantt Proyectos'!AI143=2,$T75,0)/$W75,0)*$L75</f>
        <v>0</v>
      </c>
      <c r="AL75" s="169">
        <f>IFERROR(IF('Gantt Proyectos'!AJ143&gt;0,SUMIFS('Listas y Parametros'!$C$45:$L$45,'Listas y Parametros'!$C$35:$L$35,'Costo Directo Proyectos'!$AD75)*$AG75,0)+IF('Gantt Proyectos'!AJ143=2,$T75,0)/$W75,0)*$L75</f>
        <v>0</v>
      </c>
      <c r="AM75" s="169">
        <f>IFERROR(IF('Gantt Proyectos'!AK143&gt;0,SUMIFS('Listas y Parametros'!$C$45:$L$45,'Listas y Parametros'!$C$35:$L$35,'Costo Directo Proyectos'!$AD75)*$AG75,0)+IF('Gantt Proyectos'!AK143=2,$T75,0)/$W75,0)*$L75</f>
        <v>0</v>
      </c>
      <c r="AN75" s="169">
        <f>IFERROR(IF('Gantt Proyectos'!AL143&gt;0,SUMIFS('Listas y Parametros'!$C$45:$L$45,'Listas y Parametros'!$C$35:$L$35,'Costo Directo Proyectos'!$AD75)*$AG75,0)+IF('Gantt Proyectos'!AL143=2,$T75,0)/$W75,0)*$L75</f>
        <v>0</v>
      </c>
      <c r="AO75" s="169">
        <f>IFERROR(IF('Gantt Proyectos'!AM143&gt;0,SUMIFS('Listas y Parametros'!$C$45:$L$45,'Listas y Parametros'!$C$35:$L$35,'Costo Directo Proyectos'!$AD75)*$AG75,0)+IF('Gantt Proyectos'!AM143=2,$T75,0)/$W75,0)*$L75</f>
        <v>0</v>
      </c>
      <c r="AP75" s="170">
        <f>IFERROR(IF('Gantt Proyectos'!AN143&gt;0,SUMIFS('Listas y Parametros'!$C$45:$L$45,'Listas y Parametros'!$C$35:$L$35,'Costo Directo Proyectos'!$AD75)*$AG75,0)+IF('Gantt Proyectos'!AN143=2,$T75,0)/$W75,0)*$L75</f>
        <v>0</v>
      </c>
    </row>
    <row r="76" spans="3:42" ht="15" x14ac:dyDescent="0.2">
      <c r="C76" s="144">
        <f>+'Gantt Proyectos'!C144</f>
        <v>48</v>
      </c>
      <c r="D76" s="145" t="str">
        <f>+'Gantt Proyectos'!D144</f>
        <v>Analisis de confiafilidad de plan + Entrenamiento de usuario</v>
      </c>
      <c r="E76" s="145" t="str">
        <f>+'Gantt Proyectos'!E144</f>
        <v>Capstone Copper</v>
      </c>
      <c r="F76" s="147" t="str">
        <f>+'Gantt Proyectos'!F144</f>
        <v>Chile</v>
      </c>
      <c r="G76" s="145" t="str">
        <f>+'Gantt Proyectos'!G144</f>
        <v>Chile</v>
      </c>
      <c r="H76" s="145">
        <f>+'Gantt Proyectos'!H144</f>
        <v>0</v>
      </c>
      <c r="I76" s="189">
        <v>1</v>
      </c>
      <c r="J76" s="189">
        <f t="shared" si="12"/>
        <v>0</v>
      </c>
      <c r="K76" s="145" t="str">
        <f>+'Gantt Proyectos'!I144</f>
        <v>Open Pit</v>
      </c>
      <c r="L76" s="120">
        <f>+'Gantt Proyectos'!J144</f>
        <v>1</v>
      </c>
      <c r="M76" s="145" t="str">
        <f>+'Gantt Proyectos'!K144</f>
        <v>GD</v>
      </c>
      <c r="N76" s="145">
        <f>+'Gantt Proyectos'!L144</f>
        <v>200000</v>
      </c>
      <c r="O76" s="145">
        <f>+'Gantt Proyectos'!M144</f>
        <v>200000</v>
      </c>
      <c r="P76" s="145">
        <f>+'Gantt Proyectos'!N144</f>
        <v>1</v>
      </c>
      <c r="Q76" s="119">
        <f>+'Gantt Proyectos'!O144</f>
        <v>45853</v>
      </c>
      <c r="R76" s="119">
        <f>+'Gantt Proyectos'!P144</f>
        <v>46003</v>
      </c>
      <c r="S76" s="145" t="str">
        <f>+'Gantt Proyectos'!R144</f>
        <v>No</v>
      </c>
      <c r="T76" s="118">
        <f>+'Gantt Proyectos'!S144</f>
        <v>0</v>
      </c>
      <c r="U76" s="156">
        <f>+'Gantt Proyectos'!T144</f>
        <v>45853</v>
      </c>
      <c r="V76" s="156">
        <f>+'Gantt Proyectos'!U144</f>
        <v>46003</v>
      </c>
      <c r="W76" s="201">
        <f t="shared" si="13"/>
        <v>5</v>
      </c>
      <c r="X76" s="121">
        <f>+'Gantt Proyectos'!W144</f>
        <v>0.9</v>
      </c>
      <c r="Y76" s="122">
        <f>+'Gantt Proyectos'!X144</f>
        <v>0.33</v>
      </c>
      <c r="Z76" s="122">
        <f>+'Gantt Proyectos'!Y144</f>
        <v>0.5</v>
      </c>
      <c r="AA76" s="122">
        <f>+'Gantt Proyectos'!Z144</f>
        <v>0.33</v>
      </c>
      <c r="AB76" s="122">
        <f>+'Gantt Proyectos'!AA144</f>
        <v>1</v>
      </c>
      <c r="AC76" s="122">
        <f>+'Gantt Proyectos'!AB144</f>
        <v>0</v>
      </c>
      <c r="AD76" s="123" t="str">
        <f>+'Gantt Proyectos'!AC144</f>
        <v>Consultoria y Due Dilligence</v>
      </c>
      <c r="AE76" s="123" t="str">
        <f>+'Gantt Proyectos'!AD144</f>
        <v>No Asignado</v>
      </c>
      <c r="AF76" s="124" t="str">
        <f>+'Gantt Proyectos'!AE144</f>
        <v>1. Proyectado: No  Asignado</v>
      </c>
      <c r="AG76" s="172">
        <v>1</v>
      </c>
      <c r="AH76" s="168">
        <f>IFERROR(IF('Gantt Proyectos'!AF144&gt;0,SUMIFS('Listas y Parametros'!$C$45:$L$45,'Listas y Parametros'!$C$35:$L$35,'Costo Directo Proyectos'!$AD76)*$AG76,0)+IF('Gantt Proyectos'!AF144=2,$T76,0)/$W76,0)*$L76</f>
        <v>0</v>
      </c>
      <c r="AI76" s="169">
        <f>IFERROR(IF('Gantt Proyectos'!AG144&gt;0,SUMIFS('Listas y Parametros'!$C$45:$L$45,'Listas y Parametros'!$C$35:$L$35,'Costo Directo Proyectos'!$AD76)*$AG76,0)+IF('Gantt Proyectos'!AG144=2,$T76,0)/$W76,0)*$L76</f>
        <v>0</v>
      </c>
      <c r="AJ76" s="169">
        <f>IFERROR(IF('Gantt Proyectos'!AH144&gt;0,SUMIFS('Listas y Parametros'!$C$45:$L$45,'Listas y Parametros'!$C$35:$L$35,'Costo Directo Proyectos'!$AD76)*$AG76,0)+IF('Gantt Proyectos'!AH144=2,$T76,0)/$W76,0)*$L76</f>
        <v>0</v>
      </c>
      <c r="AK76" s="169">
        <f>IFERROR(IF('Gantt Proyectos'!AI144&gt;0,SUMIFS('Listas y Parametros'!$C$45:$L$45,'Listas y Parametros'!$C$35:$L$35,'Costo Directo Proyectos'!$AD76)*$AG76,0)+IF('Gantt Proyectos'!AI144=2,$T76,0)/$W76,0)*$L76</f>
        <v>19463.097239736584</v>
      </c>
      <c r="AL76" s="169">
        <f>IFERROR(IF('Gantt Proyectos'!AJ144&gt;0,SUMIFS('Listas y Parametros'!$C$45:$L$45,'Listas y Parametros'!$C$35:$L$35,'Costo Directo Proyectos'!$AD76)*$AG76,0)+IF('Gantt Proyectos'!AJ144=2,$T76,0)/$W76,0)*$L76</f>
        <v>19463.097239736584</v>
      </c>
      <c r="AM76" s="169">
        <f>IFERROR(IF('Gantt Proyectos'!AK144&gt;0,SUMIFS('Listas y Parametros'!$C$45:$L$45,'Listas y Parametros'!$C$35:$L$35,'Costo Directo Proyectos'!$AD76)*$AG76,0)+IF('Gantt Proyectos'!AK144=2,$T76,0)/$W76,0)*$L76</f>
        <v>19463.097239736584</v>
      </c>
      <c r="AN76" s="169">
        <f>IFERROR(IF('Gantt Proyectos'!AL144&gt;0,SUMIFS('Listas y Parametros'!$C$45:$L$45,'Listas y Parametros'!$C$35:$L$35,'Costo Directo Proyectos'!$AD76)*$AG76,0)+IF('Gantt Proyectos'!AL144=2,$T76,0)/$W76,0)*$L76</f>
        <v>19463.097239736584</v>
      </c>
      <c r="AO76" s="169">
        <f>IFERROR(IF('Gantt Proyectos'!AM144&gt;0,SUMIFS('Listas y Parametros'!$C$45:$L$45,'Listas y Parametros'!$C$35:$L$35,'Costo Directo Proyectos'!$AD76)*$AG76,0)+IF('Gantt Proyectos'!AM144=2,$T76,0)/$W76,0)*$L76</f>
        <v>19463.097239736584</v>
      </c>
      <c r="AP76" s="170">
        <f>IFERROR(IF('Gantt Proyectos'!AN144&gt;0,SUMIFS('Listas y Parametros'!$C$45:$L$45,'Listas y Parametros'!$C$35:$L$35,'Costo Directo Proyectos'!$AD76)*$AG76,0)+IF('Gantt Proyectos'!AN144=2,$T76,0)/$W76,0)*$L76</f>
        <v>19463.097239736584</v>
      </c>
    </row>
    <row r="77" spans="3:42" ht="15" x14ac:dyDescent="0.2">
      <c r="C77" s="144">
        <f>+'Gantt Proyectos'!C145</f>
        <v>49</v>
      </c>
      <c r="D77" s="145" t="str">
        <f>+'Gantt Proyectos'!D145</f>
        <v xml:space="preserve">Viabilidad Económica del proyecto </v>
      </c>
      <c r="E77" s="145" t="str">
        <f>+'Gantt Proyectos'!E145</f>
        <v>Minsur</v>
      </c>
      <c r="F77" s="147" t="str">
        <f>+'Gantt Proyectos'!F145</f>
        <v>Perú</v>
      </c>
      <c r="G77" s="145" t="str">
        <f>+'Gantt Proyectos'!G145</f>
        <v>Perú</v>
      </c>
      <c r="H77" s="145">
        <f>+'Gantt Proyectos'!H145</f>
        <v>0</v>
      </c>
      <c r="I77" s="189">
        <v>1</v>
      </c>
      <c r="J77" s="189">
        <f t="shared" si="12"/>
        <v>0</v>
      </c>
      <c r="K77" s="145" t="str">
        <f>+'Gantt Proyectos'!I145</f>
        <v>Subterránea</v>
      </c>
      <c r="L77" s="120">
        <f>+'Gantt Proyectos'!J145</f>
        <v>0</v>
      </c>
      <c r="M77" s="145" t="str">
        <f>+'Gantt Proyectos'!K145</f>
        <v>PA</v>
      </c>
      <c r="N77" s="145">
        <f>+'Gantt Proyectos'!L145</f>
        <v>150000</v>
      </c>
      <c r="O77" s="145">
        <f>+'Gantt Proyectos'!M145</f>
        <v>150000</v>
      </c>
      <c r="P77" s="145">
        <f>+'Gantt Proyectos'!N145</f>
        <v>2</v>
      </c>
      <c r="Q77" s="119">
        <f>+'Gantt Proyectos'!O145</f>
        <v>45823</v>
      </c>
      <c r="R77" s="119">
        <f>+'Gantt Proyectos'!P145</f>
        <v>45883</v>
      </c>
      <c r="S77" s="145" t="str">
        <f>+'Gantt Proyectos'!R145</f>
        <v>No</v>
      </c>
      <c r="T77" s="118">
        <f>+'Gantt Proyectos'!S145</f>
        <v>0</v>
      </c>
      <c r="U77" s="156">
        <f>+'Gantt Proyectos'!T145</f>
        <v>45823</v>
      </c>
      <c r="V77" s="156">
        <f>+'Gantt Proyectos'!U145</f>
        <v>45883</v>
      </c>
      <c r="W77" s="201">
        <f t="shared" si="13"/>
        <v>2</v>
      </c>
      <c r="X77" s="121">
        <f>+'Gantt Proyectos'!W145</f>
        <v>0</v>
      </c>
      <c r="Y77" s="122">
        <f>+'Gantt Proyectos'!X145</f>
        <v>0</v>
      </c>
      <c r="Z77" s="122">
        <f>+'Gantt Proyectos'!Y145</f>
        <v>0</v>
      </c>
      <c r="AA77" s="122">
        <f>+'Gantt Proyectos'!Z145</f>
        <v>0</v>
      </c>
      <c r="AB77" s="122">
        <f>+'Gantt Proyectos'!AA145</f>
        <v>0</v>
      </c>
      <c r="AC77" s="122">
        <f>+'Gantt Proyectos'!AB145</f>
        <v>0</v>
      </c>
      <c r="AD77" s="123" t="str">
        <f>+'Gantt Proyectos'!AC145</f>
        <v>Consultoria y Due Dilligence</v>
      </c>
      <c r="AE77" s="123" t="str">
        <f>+'Gantt Proyectos'!AD145</f>
        <v>No Asignado</v>
      </c>
      <c r="AF77" s="124" t="str">
        <f>+'Gantt Proyectos'!AE145</f>
        <v>1. Proyectado: No  Asignado</v>
      </c>
      <c r="AG77" s="172">
        <v>1</v>
      </c>
      <c r="AH77" s="168">
        <f>IFERROR(IF('Gantt Proyectos'!AF145&gt;0,SUMIFS('Listas y Parametros'!$C$45:$L$45,'Listas y Parametros'!$C$35:$L$35,'Costo Directo Proyectos'!$AD77)*$AG77,0)+IF('Gantt Proyectos'!AF145=2,$T77,0)/$W77,0)*$L77</f>
        <v>0</v>
      </c>
      <c r="AI77" s="169">
        <f>IFERROR(IF('Gantt Proyectos'!AG145&gt;0,SUMIFS('Listas y Parametros'!$C$45:$L$45,'Listas y Parametros'!$C$35:$L$35,'Costo Directo Proyectos'!$AD77)*$AG77,0)+IF('Gantt Proyectos'!AG145=2,$T77,0)/$W77,0)*$L77</f>
        <v>0</v>
      </c>
      <c r="AJ77" s="169">
        <f>IFERROR(IF('Gantt Proyectos'!AH145&gt;0,SUMIFS('Listas y Parametros'!$C$45:$L$45,'Listas y Parametros'!$C$35:$L$35,'Costo Directo Proyectos'!$AD77)*$AG77,0)+IF('Gantt Proyectos'!AH145=2,$T77,0)/$W77,0)*$L77</f>
        <v>0</v>
      </c>
      <c r="AK77" s="169">
        <f>IFERROR(IF('Gantt Proyectos'!AI145&gt;0,SUMIFS('Listas y Parametros'!$C$45:$L$45,'Listas y Parametros'!$C$35:$L$35,'Costo Directo Proyectos'!$AD77)*$AG77,0)+IF('Gantt Proyectos'!AI145=2,$T77,0)/$W77,0)*$L77</f>
        <v>0</v>
      </c>
      <c r="AL77" s="169">
        <f>IFERROR(IF('Gantt Proyectos'!AJ145&gt;0,SUMIFS('Listas y Parametros'!$C$45:$L$45,'Listas y Parametros'!$C$35:$L$35,'Costo Directo Proyectos'!$AD77)*$AG77,0)+IF('Gantt Proyectos'!AJ145=2,$T77,0)/$W77,0)*$L77</f>
        <v>0</v>
      </c>
      <c r="AM77" s="169">
        <f>IFERROR(IF('Gantt Proyectos'!AK145&gt;0,SUMIFS('Listas y Parametros'!$C$45:$L$45,'Listas y Parametros'!$C$35:$L$35,'Costo Directo Proyectos'!$AD77)*$AG77,0)+IF('Gantt Proyectos'!AK145=2,$T77,0)/$W77,0)*$L77</f>
        <v>0</v>
      </c>
      <c r="AN77" s="169">
        <f>IFERROR(IF('Gantt Proyectos'!AL145&gt;0,SUMIFS('Listas y Parametros'!$C$45:$L$45,'Listas y Parametros'!$C$35:$L$35,'Costo Directo Proyectos'!$AD77)*$AG77,0)+IF('Gantt Proyectos'!AL145=2,$T77,0)/$W77,0)*$L77</f>
        <v>0</v>
      </c>
      <c r="AO77" s="169">
        <f>IFERROR(IF('Gantt Proyectos'!AM145&gt;0,SUMIFS('Listas y Parametros'!$C$45:$L$45,'Listas y Parametros'!$C$35:$L$35,'Costo Directo Proyectos'!$AD77)*$AG77,0)+IF('Gantt Proyectos'!AM145=2,$T77,0)/$W77,0)*$L77</f>
        <v>0</v>
      </c>
      <c r="AP77" s="170">
        <f>IFERROR(IF('Gantt Proyectos'!AN145&gt;0,SUMIFS('Listas y Parametros'!$C$45:$L$45,'Listas y Parametros'!$C$35:$L$35,'Costo Directo Proyectos'!$AD77)*$AG77,0)+IF('Gantt Proyectos'!AN145=2,$T77,0)/$W77,0)*$L77</f>
        <v>0</v>
      </c>
    </row>
    <row r="78" spans="3:42" ht="15" x14ac:dyDescent="0.2">
      <c r="C78" s="144">
        <f>+'Gantt Proyectos'!C146</f>
        <v>50</v>
      </c>
      <c r="D78" s="145" t="str">
        <f>+'Gantt Proyectos'!D146</f>
        <v>Ingeniería perfil Clavelinas</v>
      </c>
      <c r="E78" s="145" t="str">
        <f>+'Gantt Proyectos'!E146</f>
        <v>Minsur</v>
      </c>
      <c r="F78" s="147" t="str">
        <f>+'Gantt Proyectos'!F146</f>
        <v>Perú</v>
      </c>
      <c r="G78" s="145" t="str">
        <f>+'Gantt Proyectos'!G146</f>
        <v>Perú</v>
      </c>
      <c r="H78" s="145">
        <f>+'Gantt Proyectos'!H146</f>
        <v>0</v>
      </c>
      <c r="I78" s="189">
        <v>1</v>
      </c>
      <c r="J78" s="189">
        <f t="shared" si="12"/>
        <v>0</v>
      </c>
      <c r="K78" s="145">
        <f>+'Gantt Proyectos'!I146</f>
        <v>0</v>
      </c>
      <c r="L78" s="120">
        <f>+'Gantt Proyectos'!J146</f>
        <v>1</v>
      </c>
      <c r="M78" s="145">
        <f>+'Gantt Proyectos'!K146</f>
        <v>0</v>
      </c>
      <c r="N78" s="145">
        <f>+'Gantt Proyectos'!L146</f>
        <v>180000</v>
      </c>
      <c r="O78" s="145">
        <f>+'Gantt Proyectos'!M146</f>
        <v>180000</v>
      </c>
      <c r="P78" s="145">
        <f>+'Gantt Proyectos'!N146</f>
        <v>2</v>
      </c>
      <c r="Q78" s="119">
        <f>+'Gantt Proyectos'!O146</f>
        <v>45839</v>
      </c>
      <c r="R78" s="119">
        <f>+'Gantt Proyectos'!P146</f>
        <v>45901</v>
      </c>
      <c r="S78" s="145" t="str">
        <f>+'Gantt Proyectos'!R146</f>
        <v>No</v>
      </c>
      <c r="T78" s="118">
        <f>+'Gantt Proyectos'!S146</f>
        <v>0</v>
      </c>
      <c r="U78" s="156">
        <f>+'Gantt Proyectos'!T146</f>
        <v>45839</v>
      </c>
      <c r="V78" s="156">
        <f>+'Gantt Proyectos'!U146</f>
        <v>45901</v>
      </c>
      <c r="W78" s="201">
        <f t="shared" si="13"/>
        <v>3</v>
      </c>
      <c r="X78" s="121">
        <f>+'Gantt Proyectos'!W146</f>
        <v>0.21711409395973152</v>
      </c>
      <c r="Y78" s="122">
        <f>+'Gantt Proyectos'!X146</f>
        <v>0.33</v>
      </c>
      <c r="Z78" s="122">
        <f>+'Gantt Proyectos'!Y146</f>
        <v>0.5</v>
      </c>
      <c r="AA78" s="122">
        <f>+'Gantt Proyectos'!Z146</f>
        <v>0.33</v>
      </c>
      <c r="AB78" s="122">
        <f>+'Gantt Proyectos'!AA146</f>
        <v>1</v>
      </c>
      <c r="AC78" s="122">
        <f>+'Gantt Proyectos'!AB146</f>
        <v>1</v>
      </c>
      <c r="AD78" s="123" t="str">
        <f>+'Gantt Proyectos'!AC146</f>
        <v>Scoping</v>
      </c>
      <c r="AE78" s="123" t="str">
        <f>+'Gantt Proyectos'!AD146</f>
        <v>No Asignado</v>
      </c>
      <c r="AF78" s="124" t="str">
        <f>+'Gantt Proyectos'!AE146</f>
        <v>1. Proyectado: No  Asignado</v>
      </c>
      <c r="AG78" s="172">
        <v>1</v>
      </c>
      <c r="AH78" s="168">
        <f>IFERROR(IF('Gantt Proyectos'!AF146&gt;0,SUMIFS('Listas y Parametros'!$C$45:$L$45,'Listas y Parametros'!$C$35:$L$35,'Costo Directo Proyectos'!$AD78)*$AG78,0)+IF('Gantt Proyectos'!AF146=2,$T78,0)/$W78,0)*$L78</f>
        <v>0</v>
      </c>
      <c r="AI78" s="169">
        <f>IFERROR(IF('Gantt Proyectos'!AG146&gt;0,SUMIFS('Listas y Parametros'!$C$45:$L$45,'Listas y Parametros'!$C$35:$L$35,'Costo Directo Proyectos'!$AD78)*$AG78,0)+IF('Gantt Proyectos'!AG146=2,$T78,0)/$W78,0)*$L78</f>
        <v>0</v>
      </c>
      <c r="AJ78" s="169">
        <f>IFERROR(IF('Gantt Proyectos'!AH146&gt;0,SUMIFS('Listas y Parametros'!$C$45:$L$45,'Listas y Parametros'!$C$35:$L$35,'Costo Directo Proyectos'!$AD78)*$AG78,0)+IF('Gantt Proyectos'!AH146=2,$T78,0)/$W78,0)*$L78</f>
        <v>0</v>
      </c>
      <c r="AK78" s="169">
        <f>IFERROR(IF('Gantt Proyectos'!AI146&gt;0,SUMIFS('Listas y Parametros'!$C$45:$L$45,'Listas y Parametros'!$C$35:$L$35,'Costo Directo Proyectos'!$AD78)*$AG78,0)+IF('Gantt Proyectos'!AI146=2,$T78,0)/$W78,0)*$L78</f>
        <v>22950.644528513381</v>
      </c>
      <c r="AL78" s="169">
        <f>IFERROR(IF('Gantt Proyectos'!AJ146&gt;0,SUMIFS('Listas y Parametros'!$C$45:$L$45,'Listas y Parametros'!$C$35:$L$35,'Costo Directo Proyectos'!$AD78)*$AG78,0)+IF('Gantt Proyectos'!AJ146=2,$T78,0)/$W78,0)*$L78</f>
        <v>22950.644528513381</v>
      </c>
      <c r="AM78" s="169">
        <f>IFERROR(IF('Gantt Proyectos'!AK146&gt;0,SUMIFS('Listas y Parametros'!$C$45:$L$45,'Listas y Parametros'!$C$35:$L$35,'Costo Directo Proyectos'!$AD78)*$AG78,0)+IF('Gantt Proyectos'!AK146=2,$T78,0)/$W78,0)*$L78</f>
        <v>0</v>
      </c>
      <c r="AN78" s="169">
        <f>IFERROR(IF('Gantt Proyectos'!AL146&gt;0,SUMIFS('Listas y Parametros'!$C$45:$L$45,'Listas y Parametros'!$C$35:$L$35,'Costo Directo Proyectos'!$AD78)*$AG78,0)+IF('Gantt Proyectos'!AL146=2,$T78,0)/$W78,0)*$L78</f>
        <v>0</v>
      </c>
      <c r="AO78" s="169">
        <f>IFERROR(IF('Gantt Proyectos'!AM146&gt;0,SUMIFS('Listas y Parametros'!$C$45:$L$45,'Listas y Parametros'!$C$35:$L$35,'Costo Directo Proyectos'!$AD78)*$AG78,0)+IF('Gantt Proyectos'!AM146=2,$T78,0)/$W78,0)*$L78</f>
        <v>0</v>
      </c>
      <c r="AP78" s="170">
        <f>IFERROR(IF('Gantt Proyectos'!AN146&gt;0,SUMIFS('Listas y Parametros'!$C$45:$L$45,'Listas y Parametros'!$C$35:$L$35,'Costo Directo Proyectos'!$AD78)*$AG78,0)+IF('Gantt Proyectos'!AN146=2,$T78,0)/$W78,0)*$L78</f>
        <v>0</v>
      </c>
    </row>
    <row r="79" spans="3:42" ht="15" x14ac:dyDescent="0.2">
      <c r="C79" s="144">
        <f>+'Gantt Proyectos'!C147</f>
        <v>51</v>
      </c>
      <c r="D79" s="145" t="str">
        <f>+'Gantt Proyectos'!D147</f>
        <v>Ingeniería de factibilidad Cristina</v>
      </c>
      <c r="E79" s="145" t="str">
        <f>+'Gantt Proyectos'!E147</f>
        <v>Insideo</v>
      </c>
      <c r="F79" s="147" t="str">
        <f>+'Gantt Proyectos'!F147</f>
        <v>Perú</v>
      </c>
      <c r="G79" s="145" t="str">
        <f>+'Gantt Proyectos'!G147</f>
        <v>Chile</v>
      </c>
      <c r="H79" s="145">
        <f>+'Gantt Proyectos'!H147</f>
        <v>0</v>
      </c>
      <c r="I79" s="189">
        <v>1</v>
      </c>
      <c r="J79" s="189">
        <f t="shared" si="12"/>
        <v>0</v>
      </c>
      <c r="K79" s="145">
        <f>+'Gantt Proyectos'!I147</f>
        <v>0</v>
      </c>
      <c r="L79" s="120">
        <f>+'Gantt Proyectos'!J147</f>
        <v>1</v>
      </c>
      <c r="M79" s="145">
        <f>+'Gantt Proyectos'!K147</f>
        <v>0</v>
      </c>
      <c r="N79" s="145">
        <f>+'Gantt Proyectos'!L147</f>
        <v>350000</v>
      </c>
      <c r="O79" s="145">
        <f>+'Gantt Proyectos'!M147</f>
        <v>350000</v>
      </c>
      <c r="P79" s="145">
        <f>+'Gantt Proyectos'!N147</f>
        <v>2</v>
      </c>
      <c r="Q79" s="119">
        <f>+'Gantt Proyectos'!O147</f>
        <v>45870</v>
      </c>
      <c r="R79" s="119">
        <f>+'Gantt Proyectos'!P147</f>
        <v>45992</v>
      </c>
      <c r="S79" s="145" t="str">
        <f>+'Gantt Proyectos'!R147</f>
        <v>No</v>
      </c>
      <c r="T79" s="118">
        <f>+'Gantt Proyectos'!S147</f>
        <v>0</v>
      </c>
      <c r="U79" s="156">
        <f>+'Gantt Proyectos'!T147</f>
        <v>45870</v>
      </c>
      <c r="V79" s="156">
        <f>+'Gantt Proyectos'!U147</f>
        <v>45992</v>
      </c>
      <c r="W79" s="201">
        <f t="shared" si="13"/>
        <v>4</v>
      </c>
      <c r="X79" s="121">
        <f>+'Gantt Proyectos'!W147</f>
        <v>0.25503355704697989</v>
      </c>
      <c r="Y79" s="122">
        <f>+'Gantt Proyectos'!X147</f>
        <v>0</v>
      </c>
      <c r="Z79" s="122">
        <f>+'Gantt Proyectos'!Y147</f>
        <v>0</v>
      </c>
      <c r="AA79" s="122">
        <f>+'Gantt Proyectos'!Z147</f>
        <v>0</v>
      </c>
      <c r="AB79" s="122">
        <f>+'Gantt Proyectos'!AA147</f>
        <v>0</v>
      </c>
      <c r="AC79" s="122">
        <f>+'Gantt Proyectos'!AB147</f>
        <v>0</v>
      </c>
      <c r="AD79" s="123" t="str">
        <f>+'Gantt Proyectos'!AC147</f>
        <v>FS e Ing. Basica</v>
      </c>
      <c r="AE79" s="123" t="str">
        <f>+'Gantt Proyectos'!AD147</f>
        <v>No Asignado</v>
      </c>
      <c r="AF79" s="124" t="str">
        <f>+'Gantt Proyectos'!AE147</f>
        <v>1. Proyectado: No  Asignado</v>
      </c>
      <c r="AG79" s="172">
        <v>1</v>
      </c>
      <c r="AH79" s="168">
        <f>IFERROR(IF('Gantt Proyectos'!AF147&gt;0,SUMIFS('Listas y Parametros'!$C$45:$L$45,'Listas y Parametros'!$C$35:$L$35,'Costo Directo Proyectos'!$AD79)*$AG79,0)+IF('Gantt Proyectos'!AF147=2,$T79,0)/$W79,0)*$L79</f>
        <v>0</v>
      </c>
      <c r="AI79" s="169">
        <f>IFERROR(IF('Gantt Proyectos'!AG147&gt;0,SUMIFS('Listas y Parametros'!$C$45:$L$45,'Listas y Parametros'!$C$35:$L$35,'Costo Directo Proyectos'!$AD79)*$AG79,0)+IF('Gantt Proyectos'!AG147=2,$T79,0)/$W79,0)*$L79</f>
        <v>0</v>
      </c>
      <c r="AJ79" s="169">
        <f>IFERROR(IF('Gantt Proyectos'!AH147&gt;0,SUMIFS('Listas y Parametros'!$C$45:$L$45,'Listas y Parametros'!$C$35:$L$35,'Costo Directo Proyectos'!$AD79)*$AG79,0)+IF('Gantt Proyectos'!AH147=2,$T79,0)/$W79,0)*$L79</f>
        <v>0</v>
      </c>
      <c r="AK79" s="169">
        <f>IFERROR(IF('Gantt Proyectos'!AI147&gt;0,SUMIFS('Listas y Parametros'!$C$45:$L$45,'Listas y Parametros'!$C$35:$L$35,'Costo Directo Proyectos'!$AD79)*$AG79,0)+IF('Gantt Proyectos'!AI147=2,$T79,0)/$W79,0)*$L79</f>
        <v>0</v>
      </c>
      <c r="AL79" s="169">
        <f>IFERROR(IF('Gantt Proyectos'!AJ147&gt;0,SUMIFS('Listas y Parametros'!$C$45:$L$45,'Listas y Parametros'!$C$35:$L$35,'Costo Directo Proyectos'!$AD79)*$AG79,0)+IF('Gantt Proyectos'!AJ147=2,$T79,0)/$W79,0)*$L79</f>
        <v>42832.247442903179</v>
      </c>
      <c r="AM79" s="169">
        <f>IFERROR(IF('Gantt Proyectos'!AK147&gt;0,SUMIFS('Listas y Parametros'!$C$45:$L$45,'Listas y Parametros'!$C$35:$L$35,'Costo Directo Proyectos'!$AD79)*$AG79,0)+IF('Gantt Proyectos'!AK147=2,$T79,0)/$W79,0)*$L79</f>
        <v>42832.247442903179</v>
      </c>
      <c r="AN79" s="169">
        <f>IFERROR(IF('Gantt Proyectos'!AL147&gt;0,SUMIFS('Listas y Parametros'!$C$45:$L$45,'Listas y Parametros'!$C$35:$L$35,'Costo Directo Proyectos'!$AD79)*$AG79,0)+IF('Gantt Proyectos'!AL147=2,$T79,0)/$W79,0)*$L79</f>
        <v>42832.247442903179</v>
      </c>
      <c r="AO79" s="169">
        <f>IFERROR(IF('Gantt Proyectos'!AM147&gt;0,SUMIFS('Listas y Parametros'!$C$45:$L$45,'Listas y Parametros'!$C$35:$L$35,'Costo Directo Proyectos'!$AD79)*$AG79,0)+IF('Gantt Proyectos'!AM147=2,$T79,0)/$W79,0)*$L79</f>
        <v>42832.247442903179</v>
      </c>
      <c r="AP79" s="170">
        <f>IFERROR(IF('Gantt Proyectos'!AN147&gt;0,SUMIFS('Listas y Parametros'!$C$45:$L$45,'Listas y Parametros'!$C$35:$L$35,'Costo Directo Proyectos'!$AD79)*$AG79,0)+IF('Gantt Proyectos'!AN147=2,$T79,0)/$W79,0)*$L79</f>
        <v>0</v>
      </c>
    </row>
    <row r="80" spans="3:42" ht="15" x14ac:dyDescent="0.2">
      <c r="C80" s="144">
        <f>+'Gantt Proyectos'!C148</f>
        <v>52</v>
      </c>
      <c r="D80" s="145" t="str">
        <f>+'Gantt Proyectos'!D148</f>
        <v>Conceptual Chalcobamba UG</v>
      </c>
      <c r="E80" s="145" t="str">
        <f>+'Gantt Proyectos'!E148</f>
        <v>Las Bambas</v>
      </c>
      <c r="F80" s="147" t="str">
        <f>+'Gantt Proyectos'!F148</f>
        <v>Perú</v>
      </c>
      <c r="G80" s="145" t="str">
        <f>+'Gantt Proyectos'!G148</f>
        <v>Chile</v>
      </c>
      <c r="H80" s="145">
        <f>+'Gantt Proyectos'!H148</f>
        <v>0</v>
      </c>
      <c r="I80" s="189">
        <v>1</v>
      </c>
      <c r="J80" s="189">
        <f t="shared" si="12"/>
        <v>0</v>
      </c>
      <c r="K80" s="145" t="str">
        <f>+'Gantt Proyectos'!I148</f>
        <v>Subterránea</v>
      </c>
      <c r="L80" s="120">
        <f>+'Gantt Proyectos'!J148</f>
        <v>1</v>
      </c>
      <c r="M80" s="145">
        <f>+'Gantt Proyectos'!K148</f>
        <v>0</v>
      </c>
      <c r="N80" s="145">
        <f>+'Gantt Proyectos'!L148</f>
        <v>91000</v>
      </c>
      <c r="O80" s="145">
        <f>+'Gantt Proyectos'!M148</f>
        <v>91000</v>
      </c>
      <c r="P80" s="145">
        <f>+'Gantt Proyectos'!N148</f>
        <v>2</v>
      </c>
      <c r="Q80" s="119">
        <f>+'Gantt Proyectos'!O148</f>
        <v>45870</v>
      </c>
      <c r="R80" s="119">
        <f>+'Gantt Proyectos'!P148</f>
        <v>45960</v>
      </c>
      <c r="S80" s="145" t="str">
        <f>+'Gantt Proyectos'!R148</f>
        <v>No</v>
      </c>
      <c r="T80" s="118">
        <f>+'Gantt Proyectos'!S148</f>
        <v>0</v>
      </c>
      <c r="U80" s="156">
        <f>+'Gantt Proyectos'!T148</f>
        <v>45870</v>
      </c>
      <c r="V80" s="156">
        <f>+'Gantt Proyectos'!U148</f>
        <v>45960</v>
      </c>
      <c r="W80" s="201">
        <f t="shared" si="13"/>
        <v>3</v>
      </c>
      <c r="X80" s="121">
        <f>+'Gantt Proyectos'!W148</f>
        <v>0.72035794183445179</v>
      </c>
      <c r="Y80" s="122">
        <f>+'Gantt Proyectos'!X148</f>
        <v>0</v>
      </c>
      <c r="Z80" s="122">
        <f>+'Gantt Proyectos'!Y148</f>
        <v>0</v>
      </c>
      <c r="AA80" s="122">
        <f>+'Gantt Proyectos'!Z148</f>
        <v>0</v>
      </c>
      <c r="AB80" s="122">
        <f>+'Gantt Proyectos'!AA148</f>
        <v>0</v>
      </c>
      <c r="AC80" s="122">
        <f>+'Gantt Proyectos'!AB148</f>
        <v>0</v>
      </c>
      <c r="AD80" s="123" t="str">
        <f>+'Gantt Proyectos'!AC148</f>
        <v>Estudio Conceptual / LOM</v>
      </c>
      <c r="AE80" s="123" t="str">
        <f>+'Gantt Proyectos'!AD148</f>
        <v>Asignado</v>
      </c>
      <c r="AF80" s="124" t="str">
        <f>+'Gantt Proyectos'!AE148</f>
        <v>1. Proyectado: Asignado</v>
      </c>
      <c r="AG80" s="172">
        <v>1</v>
      </c>
      <c r="AH80" s="168">
        <f>IFERROR(IF('Gantt Proyectos'!AF148&gt;0,SUMIFS('Listas y Parametros'!$C$45:$L$45,'Listas y Parametros'!$C$35:$L$35,'Costo Directo Proyectos'!$AD80)*$AG80,0)+IF('Gantt Proyectos'!AF148=2,$T80,0)/$W80,0)*$L80</f>
        <v>0</v>
      </c>
      <c r="AI80" s="169">
        <f>IFERROR(IF('Gantt Proyectos'!AG148&gt;0,SUMIFS('Listas y Parametros'!$C$45:$L$45,'Listas y Parametros'!$C$35:$L$35,'Costo Directo Proyectos'!$AD80)*$AG80,0)+IF('Gantt Proyectos'!AG148=2,$T80,0)/$W80,0)*$L80</f>
        <v>0</v>
      </c>
      <c r="AJ80" s="169">
        <f>IFERROR(IF('Gantt Proyectos'!AH148&gt;0,SUMIFS('Listas y Parametros'!$C$45:$L$45,'Listas y Parametros'!$C$35:$L$35,'Costo Directo Proyectos'!$AD80)*$AG80,0)+IF('Gantt Proyectos'!AH148=2,$T80,0)/$W80,0)*$L80</f>
        <v>0</v>
      </c>
      <c r="AK80" s="169">
        <f>IFERROR(IF('Gantt Proyectos'!AI148&gt;0,SUMIFS('Listas y Parametros'!$C$45:$L$45,'Listas y Parametros'!$C$35:$L$35,'Costo Directo Proyectos'!$AD80)*$AG80,0)+IF('Gantt Proyectos'!AI148=2,$T80,0)/$W80,0)*$L80</f>
        <v>0</v>
      </c>
      <c r="AL80" s="169">
        <f>IFERROR(IF('Gantt Proyectos'!AJ148&gt;0,SUMIFS('Listas y Parametros'!$C$45:$L$45,'Listas y Parametros'!$C$35:$L$35,'Costo Directo Proyectos'!$AD80)*$AG80,0)+IF('Gantt Proyectos'!AJ148=2,$T80,0)/$W80,0)*$L80</f>
        <v>11999.746041754239</v>
      </c>
      <c r="AM80" s="169">
        <f>IFERROR(IF('Gantt Proyectos'!AK148&gt;0,SUMIFS('Listas y Parametros'!$C$45:$L$45,'Listas y Parametros'!$C$35:$L$35,'Costo Directo Proyectos'!$AD80)*$AG80,0)+IF('Gantt Proyectos'!AK148=2,$T80,0)/$W80,0)*$L80</f>
        <v>11999.746041754239</v>
      </c>
      <c r="AN80" s="169">
        <f>IFERROR(IF('Gantt Proyectos'!AL148&gt;0,SUMIFS('Listas y Parametros'!$C$45:$L$45,'Listas y Parametros'!$C$35:$L$35,'Costo Directo Proyectos'!$AD80)*$AG80,0)+IF('Gantt Proyectos'!AL148=2,$T80,0)/$W80,0)*$L80</f>
        <v>11999.746041754239</v>
      </c>
      <c r="AO80" s="169">
        <f>IFERROR(IF('Gantt Proyectos'!AM148&gt;0,SUMIFS('Listas y Parametros'!$C$45:$L$45,'Listas y Parametros'!$C$35:$L$35,'Costo Directo Proyectos'!$AD80)*$AG80,0)+IF('Gantt Proyectos'!AM148=2,$T80,0)/$W80,0)*$L80</f>
        <v>0</v>
      </c>
      <c r="AP80" s="170">
        <f>IFERROR(IF('Gantt Proyectos'!AN148&gt;0,SUMIFS('Listas y Parametros'!$C$45:$L$45,'Listas y Parametros'!$C$35:$L$35,'Costo Directo Proyectos'!$AD80)*$AG80,0)+IF('Gantt Proyectos'!AN148=2,$T80,0)/$W80,0)*$L80</f>
        <v>0</v>
      </c>
    </row>
    <row r="81" spans="3:42" ht="15" x14ac:dyDescent="0.2">
      <c r="C81" s="144">
        <f>+'Gantt Proyectos'!C149</f>
        <v>53</v>
      </c>
      <c r="D81" s="145" t="str">
        <f>+'Gantt Proyectos'!D149</f>
        <v>Ingeniería a nivel factibilidad de desarrollo y profundización de labores subterráneas segunda meiad</v>
      </c>
      <c r="E81" s="145" t="str">
        <f>+'Gantt Proyectos'!E149</f>
        <v>Cerro Pasco</v>
      </c>
      <c r="F81" s="147" t="str">
        <f>+'Gantt Proyectos'!F149</f>
        <v>Perú</v>
      </c>
      <c r="G81" s="145" t="str">
        <f>+'Gantt Proyectos'!G149</f>
        <v>Chile</v>
      </c>
      <c r="H81" s="145">
        <f>+'Gantt Proyectos'!H149</f>
        <v>0</v>
      </c>
      <c r="I81" s="189">
        <v>1</v>
      </c>
      <c r="J81" s="189">
        <f t="shared" si="12"/>
        <v>0</v>
      </c>
      <c r="K81" s="145" t="str">
        <f>+'Gantt Proyectos'!I149</f>
        <v>Subterránea</v>
      </c>
      <c r="L81" s="120">
        <f>+'Gantt Proyectos'!J149</f>
        <v>1</v>
      </c>
      <c r="M81" s="145">
        <f>+'Gantt Proyectos'!K149</f>
        <v>0</v>
      </c>
      <c r="N81" s="145">
        <f>+'Gantt Proyectos'!L149</f>
        <v>100000</v>
      </c>
      <c r="O81" s="145">
        <f>+'Gantt Proyectos'!M149</f>
        <v>100000</v>
      </c>
      <c r="P81" s="145">
        <f>+'Gantt Proyectos'!N149</f>
        <v>2</v>
      </c>
      <c r="Q81" s="119">
        <f>+'Gantt Proyectos'!O149</f>
        <v>45839</v>
      </c>
      <c r="R81" s="119">
        <f>+'Gantt Proyectos'!P149</f>
        <v>45960</v>
      </c>
      <c r="S81" s="145" t="str">
        <f>+'Gantt Proyectos'!R149</f>
        <v>No</v>
      </c>
      <c r="T81" s="118">
        <f>+'Gantt Proyectos'!S149</f>
        <v>0</v>
      </c>
      <c r="U81" s="156">
        <f>+'Gantt Proyectos'!T149</f>
        <v>45839</v>
      </c>
      <c r="V81" s="156">
        <f>+'Gantt Proyectos'!U149</f>
        <v>45960</v>
      </c>
      <c r="W81" s="201">
        <f t="shared" si="13"/>
        <v>4</v>
      </c>
      <c r="X81" s="121">
        <f>+'Gantt Proyectos'!W149</f>
        <v>2.5503355704697985</v>
      </c>
      <c r="Y81" s="122">
        <f>+'Gantt Proyectos'!X149</f>
        <v>0</v>
      </c>
      <c r="Z81" s="122">
        <f>+'Gantt Proyectos'!Y149</f>
        <v>0</v>
      </c>
      <c r="AA81" s="122">
        <f>+'Gantt Proyectos'!Z149</f>
        <v>0</v>
      </c>
      <c r="AB81" s="122">
        <f>+'Gantt Proyectos'!AA149</f>
        <v>0</v>
      </c>
      <c r="AC81" s="122">
        <f>+'Gantt Proyectos'!AB149</f>
        <v>0</v>
      </c>
      <c r="AD81" s="123" t="str">
        <f>+'Gantt Proyectos'!AC149</f>
        <v>FS e Ing. Basica</v>
      </c>
      <c r="AE81" s="123" t="str">
        <f>+'Gantt Proyectos'!AD149</f>
        <v>Asignado</v>
      </c>
      <c r="AF81" s="124" t="str">
        <f>+'Gantt Proyectos'!AE149</f>
        <v>1. Proyectado: Asignado</v>
      </c>
      <c r="AG81" s="172">
        <v>1</v>
      </c>
      <c r="AH81" s="168">
        <f>IFERROR(IF('Gantt Proyectos'!AF149&gt;0,SUMIFS('Listas y Parametros'!$C$45:$L$45,'Listas y Parametros'!$C$35:$L$35,'Costo Directo Proyectos'!$AD81)*$AG81,0)+IF('Gantt Proyectos'!AF149=2,$T81,0)/$W81,0)*$L81</f>
        <v>0</v>
      </c>
      <c r="AI81" s="169">
        <f>IFERROR(IF('Gantt Proyectos'!AG149&gt;0,SUMIFS('Listas y Parametros'!$C$45:$L$45,'Listas y Parametros'!$C$35:$L$35,'Costo Directo Proyectos'!$AD81)*$AG81,0)+IF('Gantt Proyectos'!AG149=2,$T81,0)/$W81,0)*$L81</f>
        <v>0</v>
      </c>
      <c r="AJ81" s="169">
        <f>IFERROR(IF('Gantt Proyectos'!AH149&gt;0,SUMIFS('Listas y Parametros'!$C$45:$L$45,'Listas y Parametros'!$C$35:$L$35,'Costo Directo Proyectos'!$AD81)*$AG81,0)+IF('Gantt Proyectos'!AH149=2,$T81,0)/$W81,0)*$L81</f>
        <v>0</v>
      </c>
      <c r="AK81" s="169">
        <f>IFERROR(IF('Gantt Proyectos'!AI149&gt;0,SUMIFS('Listas y Parametros'!$C$45:$L$45,'Listas y Parametros'!$C$35:$L$35,'Costo Directo Proyectos'!$AD81)*$AG81,0)+IF('Gantt Proyectos'!AI149=2,$T81,0)/$W81,0)*$L81</f>
        <v>42832.247442903179</v>
      </c>
      <c r="AL81" s="169">
        <f>IFERROR(IF('Gantt Proyectos'!AJ149&gt;0,SUMIFS('Listas y Parametros'!$C$45:$L$45,'Listas y Parametros'!$C$35:$L$35,'Costo Directo Proyectos'!$AD81)*$AG81,0)+IF('Gantt Proyectos'!AJ149=2,$T81,0)/$W81,0)*$L81</f>
        <v>42832.247442903179</v>
      </c>
      <c r="AM81" s="169">
        <f>IFERROR(IF('Gantt Proyectos'!AK149&gt;0,SUMIFS('Listas y Parametros'!$C$45:$L$45,'Listas y Parametros'!$C$35:$L$35,'Costo Directo Proyectos'!$AD81)*$AG81,0)+IF('Gantt Proyectos'!AK149=2,$T81,0)/$W81,0)*$L81</f>
        <v>42832.247442903179</v>
      </c>
      <c r="AN81" s="169">
        <f>IFERROR(IF('Gantt Proyectos'!AL149&gt;0,SUMIFS('Listas y Parametros'!$C$45:$L$45,'Listas y Parametros'!$C$35:$L$35,'Costo Directo Proyectos'!$AD81)*$AG81,0)+IF('Gantt Proyectos'!AL149=2,$T81,0)/$W81,0)*$L81</f>
        <v>42832.247442903179</v>
      </c>
      <c r="AO81" s="169">
        <f>IFERROR(IF('Gantt Proyectos'!AM149&gt;0,SUMIFS('Listas y Parametros'!$C$45:$L$45,'Listas y Parametros'!$C$35:$L$35,'Costo Directo Proyectos'!$AD81)*$AG81,0)+IF('Gantt Proyectos'!AM149=2,$T81,0)/$W81,0)*$L81</f>
        <v>0</v>
      </c>
      <c r="AP81" s="170">
        <f>IFERROR(IF('Gantt Proyectos'!AN149&gt;0,SUMIFS('Listas y Parametros'!$C$45:$L$45,'Listas y Parametros'!$C$35:$L$35,'Costo Directo Proyectos'!$AD81)*$AG81,0)+IF('Gantt Proyectos'!AN149=2,$T81,0)/$W81,0)*$L81</f>
        <v>0</v>
      </c>
    </row>
    <row r="82" spans="3:42" ht="15" x14ac:dyDescent="0.2">
      <c r="C82" s="144">
        <f>+'Gantt Proyectos'!C150</f>
        <v>54</v>
      </c>
      <c r="D82" s="145" t="str">
        <f>+'Gantt Proyectos'!D150</f>
        <v>Corto plazo</v>
      </c>
      <c r="E82" s="145" t="str">
        <f>+'Gantt Proyectos'!E150</f>
        <v>CMDIC</v>
      </c>
      <c r="F82" s="147" t="str">
        <f>+'Gantt Proyectos'!F150</f>
        <v>Chile</v>
      </c>
      <c r="G82" s="145" t="str">
        <f>+'Gantt Proyectos'!G150</f>
        <v>Chile</v>
      </c>
      <c r="H82" s="145">
        <f>+'Gantt Proyectos'!H150</f>
        <v>0</v>
      </c>
      <c r="I82" s="189">
        <v>1</v>
      </c>
      <c r="J82" s="189">
        <f t="shared" si="12"/>
        <v>0</v>
      </c>
      <c r="K82" s="145">
        <f>+'Gantt Proyectos'!I150</f>
        <v>0</v>
      </c>
      <c r="L82" s="120">
        <f>+'Gantt Proyectos'!J150</f>
        <v>1</v>
      </c>
      <c r="M82" s="145">
        <f>+'Gantt Proyectos'!K150</f>
        <v>0</v>
      </c>
      <c r="N82" s="145">
        <f>+'Gantt Proyectos'!L150</f>
        <v>120000</v>
      </c>
      <c r="O82" s="145">
        <f>+'Gantt Proyectos'!M150</f>
        <v>120000</v>
      </c>
      <c r="P82" s="145">
        <f>+'Gantt Proyectos'!N150</f>
        <v>1</v>
      </c>
      <c r="Q82" s="119">
        <f>+'Gantt Proyectos'!O150</f>
        <v>45839</v>
      </c>
      <c r="R82" s="119">
        <f>+'Gantt Proyectos'!P150</f>
        <v>45930</v>
      </c>
      <c r="S82" s="145" t="str">
        <f>+'Gantt Proyectos'!R150</f>
        <v>No</v>
      </c>
      <c r="T82" s="118">
        <f>+'Gantt Proyectos'!S150</f>
        <v>0</v>
      </c>
      <c r="U82" s="156">
        <f>+'Gantt Proyectos'!T150</f>
        <v>45839</v>
      </c>
      <c r="V82" s="156">
        <f>+'Gantt Proyectos'!U150</f>
        <v>45930</v>
      </c>
      <c r="W82" s="201">
        <f t="shared" si="13"/>
        <v>3</v>
      </c>
      <c r="X82" s="121">
        <f>+'Gantt Proyectos'!W150</f>
        <v>0.21610738255033554</v>
      </c>
      <c r="Y82" s="122">
        <f>+'Gantt Proyectos'!X150</f>
        <v>0</v>
      </c>
      <c r="Z82" s="122">
        <f>+'Gantt Proyectos'!Y150</f>
        <v>0</v>
      </c>
      <c r="AA82" s="122">
        <f>+'Gantt Proyectos'!Z150</f>
        <v>0</v>
      </c>
      <c r="AB82" s="122">
        <f>+'Gantt Proyectos'!AA150</f>
        <v>0</v>
      </c>
      <c r="AC82" s="122">
        <f>+'Gantt Proyectos'!AB150</f>
        <v>0</v>
      </c>
      <c r="AD82" s="123" t="str">
        <f>+'Gantt Proyectos'!AC150</f>
        <v>Estudio Conceptual / LOM</v>
      </c>
      <c r="AE82" s="123" t="str">
        <f>+'Gantt Proyectos'!AD150</f>
        <v>No Asignado</v>
      </c>
      <c r="AF82" s="124" t="str">
        <f>+'Gantt Proyectos'!AE150</f>
        <v>1. Proyectado: No  Asignado</v>
      </c>
      <c r="AG82" s="172">
        <v>1</v>
      </c>
      <c r="AH82" s="168">
        <f>IFERROR(IF('Gantt Proyectos'!AF150&gt;0,SUMIFS('Listas y Parametros'!$C$45:$L$45,'Listas y Parametros'!$C$35:$L$35,'Costo Directo Proyectos'!$AD82)*$AG82,0)+IF('Gantt Proyectos'!AF150=2,$T82,0)/$W82,0)*$L82</f>
        <v>0</v>
      </c>
      <c r="AI82" s="169">
        <f>IFERROR(IF('Gantt Proyectos'!AG150&gt;0,SUMIFS('Listas y Parametros'!$C$45:$L$45,'Listas y Parametros'!$C$35:$L$35,'Costo Directo Proyectos'!$AD82)*$AG82,0)+IF('Gantt Proyectos'!AG150=2,$T82,0)/$W82,0)*$L82</f>
        <v>0</v>
      </c>
      <c r="AJ82" s="169">
        <f>IFERROR(IF('Gantt Proyectos'!AH150&gt;0,SUMIFS('Listas y Parametros'!$C$45:$L$45,'Listas y Parametros'!$C$35:$L$35,'Costo Directo Proyectos'!$AD82)*$AG82,0)+IF('Gantt Proyectos'!AH150=2,$T82,0)/$W82,0)*$L82</f>
        <v>0</v>
      </c>
      <c r="AK82" s="169">
        <f>IFERROR(IF('Gantt Proyectos'!AI150&gt;0,SUMIFS('Listas y Parametros'!$C$45:$L$45,'Listas y Parametros'!$C$35:$L$35,'Costo Directo Proyectos'!$AD82)*$AG82,0)+IF('Gantt Proyectos'!AI150=2,$T82,0)/$W82,0)*$L82</f>
        <v>11999.746041754239</v>
      </c>
      <c r="AL82" s="169">
        <f>IFERROR(IF('Gantt Proyectos'!AJ150&gt;0,SUMIFS('Listas y Parametros'!$C$45:$L$45,'Listas y Parametros'!$C$35:$L$35,'Costo Directo Proyectos'!$AD82)*$AG82,0)+IF('Gantt Proyectos'!AJ150=2,$T82,0)/$W82,0)*$L82</f>
        <v>11999.746041754239</v>
      </c>
      <c r="AM82" s="169">
        <f>IFERROR(IF('Gantt Proyectos'!AK150&gt;0,SUMIFS('Listas y Parametros'!$C$45:$L$45,'Listas y Parametros'!$C$35:$L$35,'Costo Directo Proyectos'!$AD82)*$AG82,0)+IF('Gantt Proyectos'!AK150=2,$T82,0)/$W82,0)*$L82</f>
        <v>11999.746041754239</v>
      </c>
      <c r="AN82" s="169">
        <f>IFERROR(IF('Gantt Proyectos'!AL150&gt;0,SUMIFS('Listas y Parametros'!$C$45:$L$45,'Listas y Parametros'!$C$35:$L$35,'Costo Directo Proyectos'!$AD82)*$AG82,0)+IF('Gantt Proyectos'!AL150=2,$T82,0)/$W82,0)*$L82</f>
        <v>0</v>
      </c>
      <c r="AO82" s="169">
        <f>IFERROR(IF('Gantt Proyectos'!AM150&gt;0,SUMIFS('Listas y Parametros'!$C$45:$L$45,'Listas y Parametros'!$C$35:$L$35,'Costo Directo Proyectos'!$AD82)*$AG82,0)+IF('Gantt Proyectos'!AM150=2,$T82,0)/$W82,0)*$L82</f>
        <v>0</v>
      </c>
      <c r="AP82" s="170">
        <f>IFERROR(IF('Gantt Proyectos'!AN150&gt;0,SUMIFS('Listas y Parametros'!$C$45:$L$45,'Listas y Parametros'!$C$35:$L$35,'Costo Directo Proyectos'!$AD82)*$AG82,0)+IF('Gantt Proyectos'!AN150=2,$T82,0)/$W82,0)*$L82</f>
        <v>0</v>
      </c>
    </row>
    <row r="83" spans="3:42" ht="15" x14ac:dyDescent="0.2">
      <c r="C83" s="144">
        <f>+'Gantt Proyectos'!C151</f>
        <v>55</v>
      </c>
      <c r="D83" s="145" t="str">
        <f>+'Gantt Proyectos'!D151</f>
        <v>Corto plazo</v>
      </c>
      <c r="E83" s="145" t="str">
        <f>+'Gantt Proyectos'!E151</f>
        <v>AMSA</v>
      </c>
      <c r="F83" s="147" t="str">
        <f>+'Gantt Proyectos'!F151</f>
        <v>Chile</v>
      </c>
      <c r="G83" s="145" t="str">
        <f>+'Gantt Proyectos'!G151</f>
        <v>Chile</v>
      </c>
      <c r="H83" s="145">
        <f>+'Gantt Proyectos'!H151</f>
        <v>0</v>
      </c>
      <c r="I83" s="189">
        <v>1</v>
      </c>
      <c r="J83" s="189">
        <f t="shared" si="12"/>
        <v>0</v>
      </c>
      <c r="K83" s="145">
        <f>+'Gantt Proyectos'!I151</f>
        <v>0</v>
      </c>
      <c r="L83" s="120">
        <f>+'Gantt Proyectos'!J151</f>
        <v>1</v>
      </c>
      <c r="M83" s="145">
        <f>+'Gantt Proyectos'!K151</f>
        <v>0</v>
      </c>
      <c r="N83" s="145">
        <f>+'Gantt Proyectos'!L151</f>
        <v>120000</v>
      </c>
      <c r="O83" s="145">
        <f>+'Gantt Proyectos'!M151</f>
        <v>120000</v>
      </c>
      <c r="P83" s="145">
        <f>+'Gantt Proyectos'!N151</f>
        <v>1</v>
      </c>
      <c r="Q83" s="119">
        <f>+'Gantt Proyectos'!O151</f>
        <v>45839</v>
      </c>
      <c r="R83" s="119">
        <f>+'Gantt Proyectos'!P151</f>
        <v>45930</v>
      </c>
      <c r="S83" s="145" t="str">
        <f>+'Gantt Proyectos'!R151</f>
        <v>No</v>
      </c>
      <c r="T83" s="118">
        <f>+'Gantt Proyectos'!S151</f>
        <v>0</v>
      </c>
      <c r="U83" s="156">
        <f>+'Gantt Proyectos'!T151</f>
        <v>45839</v>
      </c>
      <c r="V83" s="156">
        <f>+'Gantt Proyectos'!U151</f>
        <v>45930</v>
      </c>
      <c r="W83" s="201">
        <f t="shared" si="13"/>
        <v>3</v>
      </c>
      <c r="X83" s="121">
        <f>+'Gantt Proyectos'!W151</f>
        <v>0.21610738255033554</v>
      </c>
      <c r="Y83" s="122">
        <f>+'Gantt Proyectos'!X151</f>
        <v>0</v>
      </c>
      <c r="Z83" s="122">
        <f>+'Gantt Proyectos'!Y151</f>
        <v>0</v>
      </c>
      <c r="AA83" s="122">
        <f>+'Gantt Proyectos'!Z151</f>
        <v>0</v>
      </c>
      <c r="AB83" s="122">
        <f>+'Gantt Proyectos'!AA151</f>
        <v>0</v>
      </c>
      <c r="AC83" s="122">
        <f>+'Gantt Proyectos'!AB151</f>
        <v>0</v>
      </c>
      <c r="AD83" s="123" t="str">
        <f>+'Gantt Proyectos'!AC151</f>
        <v>Estudio Conceptual / LOM</v>
      </c>
      <c r="AE83" s="123" t="str">
        <f>+'Gantt Proyectos'!AD151</f>
        <v>No Asignado</v>
      </c>
      <c r="AF83" s="124" t="str">
        <f>+'Gantt Proyectos'!AE151</f>
        <v>1. Proyectado: No  Asignado</v>
      </c>
      <c r="AG83" s="172">
        <v>1</v>
      </c>
      <c r="AH83" s="168">
        <f>IFERROR(IF('Gantt Proyectos'!AF151&gt;0,SUMIFS('Listas y Parametros'!$C$45:$L$45,'Listas y Parametros'!$C$35:$L$35,'Costo Directo Proyectos'!$AD83)*$AG83,0)+IF('Gantt Proyectos'!AF151=2,$T83,0)/$W83,0)*$L83</f>
        <v>0</v>
      </c>
      <c r="AI83" s="169">
        <f>IFERROR(IF('Gantt Proyectos'!AG151&gt;0,SUMIFS('Listas y Parametros'!$C$45:$L$45,'Listas y Parametros'!$C$35:$L$35,'Costo Directo Proyectos'!$AD83)*$AG83,0)+IF('Gantt Proyectos'!AG151=2,$T83,0)/$W83,0)*$L83</f>
        <v>0</v>
      </c>
      <c r="AJ83" s="169">
        <f>IFERROR(IF('Gantt Proyectos'!AH151&gt;0,SUMIFS('Listas y Parametros'!$C$45:$L$45,'Listas y Parametros'!$C$35:$L$35,'Costo Directo Proyectos'!$AD83)*$AG83,0)+IF('Gantt Proyectos'!AH151=2,$T83,0)/$W83,0)*$L83</f>
        <v>0</v>
      </c>
      <c r="AK83" s="169">
        <f>IFERROR(IF('Gantt Proyectos'!AI151&gt;0,SUMIFS('Listas y Parametros'!$C$45:$L$45,'Listas y Parametros'!$C$35:$L$35,'Costo Directo Proyectos'!$AD83)*$AG83,0)+IF('Gantt Proyectos'!AI151=2,$T83,0)/$W83,0)*$L83</f>
        <v>11999.746041754239</v>
      </c>
      <c r="AL83" s="169">
        <f>IFERROR(IF('Gantt Proyectos'!AJ151&gt;0,SUMIFS('Listas y Parametros'!$C$45:$L$45,'Listas y Parametros'!$C$35:$L$35,'Costo Directo Proyectos'!$AD83)*$AG83,0)+IF('Gantt Proyectos'!AJ151=2,$T83,0)/$W83,0)*$L83</f>
        <v>11999.746041754239</v>
      </c>
      <c r="AM83" s="169">
        <f>IFERROR(IF('Gantt Proyectos'!AK151&gt;0,SUMIFS('Listas y Parametros'!$C$45:$L$45,'Listas y Parametros'!$C$35:$L$35,'Costo Directo Proyectos'!$AD83)*$AG83,0)+IF('Gantt Proyectos'!AK151=2,$T83,0)/$W83,0)*$L83</f>
        <v>11999.746041754239</v>
      </c>
      <c r="AN83" s="169">
        <f>IFERROR(IF('Gantt Proyectos'!AL151&gt;0,SUMIFS('Listas y Parametros'!$C$45:$L$45,'Listas y Parametros'!$C$35:$L$35,'Costo Directo Proyectos'!$AD83)*$AG83,0)+IF('Gantt Proyectos'!AL151=2,$T83,0)/$W83,0)*$L83</f>
        <v>0</v>
      </c>
      <c r="AO83" s="169">
        <f>IFERROR(IF('Gantt Proyectos'!AM151&gt;0,SUMIFS('Listas y Parametros'!$C$45:$L$45,'Listas y Parametros'!$C$35:$L$35,'Costo Directo Proyectos'!$AD83)*$AG83,0)+IF('Gantt Proyectos'!AM151=2,$T83,0)/$W83,0)*$L83</f>
        <v>0</v>
      </c>
      <c r="AP83" s="170">
        <f>IFERROR(IF('Gantt Proyectos'!AN151&gt;0,SUMIFS('Listas y Parametros'!$C$45:$L$45,'Listas y Parametros'!$C$35:$L$35,'Costo Directo Proyectos'!$AD83)*$AG83,0)+IF('Gantt Proyectos'!AN151=2,$T83,0)/$W83,0)*$L83</f>
        <v>0</v>
      </c>
    </row>
    <row r="84" spans="3:42" ht="15" x14ac:dyDescent="0.2">
      <c r="C84" s="144">
        <f>+'Gantt Proyectos'!C152</f>
        <v>56</v>
      </c>
      <c r="D84" s="145" t="str">
        <f>+'Gantt Proyectos'!D152</f>
        <v>Acompañamiento simplan Cajati</v>
      </c>
      <c r="E84" s="145" t="str">
        <f>+'Gantt Proyectos'!E152</f>
        <v>Mosaic</v>
      </c>
      <c r="F84" s="147" t="str">
        <f>+'Gantt Proyectos'!F152</f>
        <v>Brasil</v>
      </c>
      <c r="G84" s="145" t="str">
        <f>+'Gantt Proyectos'!G152</f>
        <v>Chile</v>
      </c>
      <c r="H84" s="145">
        <f>+'Gantt Proyectos'!H152</f>
        <v>0</v>
      </c>
      <c r="I84" s="189">
        <v>1</v>
      </c>
      <c r="J84" s="189">
        <f t="shared" si="12"/>
        <v>0</v>
      </c>
      <c r="K84" s="145">
        <f>+'Gantt Proyectos'!I152</f>
        <v>0</v>
      </c>
      <c r="L84" s="120">
        <f>+'Gantt Proyectos'!J152</f>
        <v>1</v>
      </c>
      <c r="M84" s="145">
        <f>+'Gantt Proyectos'!K152</f>
        <v>0</v>
      </c>
      <c r="N84" s="145">
        <f>+'Gantt Proyectos'!L152</f>
        <v>85000</v>
      </c>
      <c r="O84" s="145">
        <f>+'Gantt Proyectos'!M152</f>
        <v>85000</v>
      </c>
      <c r="P84" s="145">
        <f>+'Gantt Proyectos'!N152</f>
        <v>3</v>
      </c>
      <c r="Q84" s="119">
        <f>+'Gantt Proyectos'!O152</f>
        <v>45870</v>
      </c>
      <c r="R84" s="119">
        <f>+'Gantt Proyectos'!P152</f>
        <v>45960</v>
      </c>
      <c r="S84" s="145" t="str">
        <f>+'Gantt Proyectos'!R152</f>
        <v>No</v>
      </c>
      <c r="T84" s="118">
        <f>+'Gantt Proyectos'!S152</f>
        <v>0</v>
      </c>
      <c r="U84" s="156">
        <f>+'Gantt Proyectos'!T152</f>
        <v>45870</v>
      </c>
      <c r="V84" s="156">
        <f>+'Gantt Proyectos'!U152</f>
        <v>45960</v>
      </c>
      <c r="W84" s="201">
        <f t="shared" si="13"/>
        <v>3</v>
      </c>
      <c r="X84" s="121">
        <f>+'Gantt Proyectos'!W152</f>
        <v>0.5</v>
      </c>
      <c r="Y84" s="122">
        <f>+'Gantt Proyectos'!X152</f>
        <v>0</v>
      </c>
      <c r="Z84" s="122">
        <f>+'Gantt Proyectos'!Y152</f>
        <v>0</v>
      </c>
      <c r="AA84" s="122">
        <f>+'Gantt Proyectos'!Z152</f>
        <v>0</v>
      </c>
      <c r="AB84" s="122">
        <f>+'Gantt Proyectos'!AA152</f>
        <v>0</v>
      </c>
      <c r="AC84" s="122">
        <f>+'Gantt Proyectos'!AB152</f>
        <v>0</v>
      </c>
      <c r="AD84" s="123" t="str">
        <f>+'Gantt Proyectos'!AC152</f>
        <v>Consultoria y Due Dilligence</v>
      </c>
      <c r="AE84" s="123" t="str">
        <f>+'Gantt Proyectos'!AD152</f>
        <v>No Asignado</v>
      </c>
      <c r="AF84" s="124" t="str">
        <f>+'Gantt Proyectos'!AE152</f>
        <v>1. Proyectado: No  Asignado</v>
      </c>
      <c r="AG84" s="172">
        <v>1</v>
      </c>
      <c r="AH84" s="168">
        <f>IFERROR(IF('Gantt Proyectos'!AF152&gt;0,SUMIFS('Listas y Parametros'!$C$45:$L$45,'Listas y Parametros'!$C$35:$L$35,'Costo Directo Proyectos'!$AD84)*$AG84,0)+IF('Gantt Proyectos'!AF152=2,$T84,0)/$W84,0)*$L84</f>
        <v>0</v>
      </c>
      <c r="AI84" s="169">
        <f>IFERROR(IF('Gantt Proyectos'!AG152&gt;0,SUMIFS('Listas y Parametros'!$C$45:$L$45,'Listas y Parametros'!$C$35:$L$35,'Costo Directo Proyectos'!$AD84)*$AG84,0)+IF('Gantt Proyectos'!AG152=2,$T84,0)/$W84,0)*$L84</f>
        <v>0</v>
      </c>
      <c r="AJ84" s="169">
        <f>IFERROR(IF('Gantt Proyectos'!AH152&gt;0,SUMIFS('Listas y Parametros'!$C$45:$L$45,'Listas y Parametros'!$C$35:$L$35,'Costo Directo Proyectos'!$AD84)*$AG84,0)+IF('Gantt Proyectos'!AH152=2,$T84,0)/$W84,0)*$L84</f>
        <v>0</v>
      </c>
      <c r="AK84" s="169">
        <f>IFERROR(IF('Gantt Proyectos'!AI152&gt;0,SUMIFS('Listas y Parametros'!$C$45:$L$45,'Listas y Parametros'!$C$35:$L$35,'Costo Directo Proyectos'!$AD84)*$AG84,0)+IF('Gantt Proyectos'!AI152=2,$T84,0)/$W84,0)*$L84</f>
        <v>0</v>
      </c>
      <c r="AL84" s="169">
        <f>IFERROR(IF('Gantt Proyectos'!AJ152&gt;0,SUMIFS('Listas y Parametros'!$C$45:$L$45,'Listas y Parametros'!$C$35:$L$35,'Costo Directo Proyectos'!$AD84)*$AG84,0)+IF('Gantt Proyectos'!AJ152=2,$T84,0)/$W84,0)*$L84</f>
        <v>19463.097239736584</v>
      </c>
      <c r="AM84" s="169">
        <f>IFERROR(IF('Gantt Proyectos'!AK152&gt;0,SUMIFS('Listas y Parametros'!$C$45:$L$45,'Listas y Parametros'!$C$35:$L$35,'Costo Directo Proyectos'!$AD84)*$AG84,0)+IF('Gantt Proyectos'!AK152=2,$T84,0)/$W84,0)*$L84</f>
        <v>19463.097239736584</v>
      </c>
      <c r="AN84" s="169">
        <f>IFERROR(IF('Gantt Proyectos'!AL152&gt;0,SUMIFS('Listas y Parametros'!$C$45:$L$45,'Listas y Parametros'!$C$35:$L$35,'Costo Directo Proyectos'!$AD84)*$AG84,0)+IF('Gantt Proyectos'!AL152=2,$T84,0)/$W84,0)*$L84</f>
        <v>19463.097239736584</v>
      </c>
      <c r="AO84" s="169">
        <f>IFERROR(IF('Gantt Proyectos'!AM152&gt;0,SUMIFS('Listas y Parametros'!$C$45:$L$45,'Listas y Parametros'!$C$35:$L$35,'Costo Directo Proyectos'!$AD84)*$AG84,0)+IF('Gantt Proyectos'!AM152=2,$T84,0)/$W84,0)*$L84</f>
        <v>0</v>
      </c>
      <c r="AP84" s="170">
        <f>IFERROR(IF('Gantt Proyectos'!AN152&gt;0,SUMIFS('Listas y Parametros'!$C$45:$L$45,'Listas y Parametros'!$C$35:$L$35,'Costo Directo Proyectos'!$AD84)*$AG84,0)+IF('Gantt Proyectos'!AN152=2,$T84,0)/$W84,0)*$L84</f>
        <v>0</v>
      </c>
    </row>
    <row r="85" spans="3:42" ht="15" x14ac:dyDescent="0.2">
      <c r="C85" s="144">
        <f>+'Gantt Proyectos'!C153</f>
        <v>57</v>
      </c>
      <c r="D85" s="145" t="str">
        <f>+'Gantt Proyectos'!D153</f>
        <v xml:space="preserve">Actualziación LOM </v>
      </c>
      <c r="E85" s="145" t="str">
        <f>+'Gantt Proyectos'!E153</f>
        <v>LHG</v>
      </c>
      <c r="F85" s="147" t="str">
        <f>+'Gantt Proyectos'!F153</f>
        <v>Brasil</v>
      </c>
      <c r="G85" s="145" t="str">
        <f>+'Gantt Proyectos'!G153</f>
        <v>Chile</v>
      </c>
      <c r="H85" s="145">
        <f>+'Gantt Proyectos'!H153</f>
        <v>0</v>
      </c>
      <c r="I85" s="189">
        <v>1</v>
      </c>
      <c r="J85" s="189">
        <f t="shared" si="12"/>
        <v>0</v>
      </c>
      <c r="K85" s="145">
        <f>+'Gantt Proyectos'!I153</f>
        <v>0</v>
      </c>
      <c r="L85" s="120">
        <f>+'Gantt Proyectos'!J153</f>
        <v>1</v>
      </c>
      <c r="M85" s="145">
        <f>+'Gantt Proyectos'!K153</f>
        <v>0</v>
      </c>
      <c r="N85" s="145">
        <f>+'Gantt Proyectos'!L153</f>
        <v>145000</v>
      </c>
      <c r="O85" s="145">
        <f>+'Gantt Proyectos'!M153</f>
        <v>145000</v>
      </c>
      <c r="P85" s="145">
        <f>+'Gantt Proyectos'!N153</f>
        <v>2</v>
      </c>
      <c r="Q85" s="119">
        <f>+'Gantt Proyectos'!O153</f>
        <v>45839</v>
      </c>
      <c r="R85" s="119">
        <f>+'Gantt Proyectos'!P153</f>
        <v>45930</v>
      </c>
      <c r="S85" s="145" t="str">
        <f>+'Gantt Proyectos'!R153</f>
        <v>No</v>
      </c>
      <c r="T85" s="118">
        <f>+'Gantt Proyectos'!S153</f>
        <v>0</v>
      </c>
      <c r="U85" s="156">
        <f>+'Gantt Proyectos'!T153</f>
        <v>45839</v>
      </c>
      <c r="V85" s="156">
        <f>+'Gantt Proyectos'!U153</f>
        <v>45930</v>
      </c>
      <c r="W85" s="201">
        <f t="shared" si="13"/>
        <v>3</v>
      </c>
      <c r="X85" s="121">
        <f>+'Gantt Proyectos'!W153</f>
        <v>0.57628635346756141</v>
      </c>
      <c r="Y85" s="122">
        <f>+'Gantt Proyectos'!X153</f>
        <v>0</v>
      </c>
      <c r="Z85" s="122">
        <f>+'Gantt Proyectos'!Y153</f>
        <v>0</v>
      </c>
      <c r="AA85" s="122">
        <f>+'Gantt Proyectos'!Z153</f>
        <v>0</v>
      </c>
      <c r="AB85" s="122">
        <f>+'Gantt Proyectos'!AA153</f>
        <v>0</v>
      </c>
      <c r="AC85" s="122">
        <f>+'Gantt Proyectos'!AB153</f>
        <v>0</v>
      </c>
      <c r="AD85" s="123" t="str">
        <f>+'Gantt Proyectos'!AC153</f>
        <v>Estudio Conceptual / LOM</v>
      </c>
      <c r="AE85" s="123" t="str">
        <f>+'Gantt Proyectos'!AD153</f>
        <v>No Asignado</v>
      </c>
      <c r="AF85" s="124" t="str">
        <f>+'Gantt Proyectos'!AE153</f>
        <v>1. Proyectado: No  Asignado</v>
      </c>
      <c r="AG85" s="172">
        <v>1</v>
      </c>
      <c r="AH85" s="168">
        <f>IFERROR(IF('Gantt Proyectos'!AF153&gt;0,SUMIFS('Listas y Parametros'!$C$45:$L$45,'Listas y Parametros'!$C$35:$L$35,'Costo Directo Proyectos'!$AD85)*$AG85,0)+IF('Gantt Proyectos'!AF153=2,$T85,0)/$W85,0)*$L85</f>
        <v>0</v>
      </c>
      <c r="AI85" s="169">
        <f>IFERROR(IF('Gantt Proyectos'!AG153&gt;0,SUMIFS('Listas y Parametros'!$C$45:$L$45,'Listas y Parametros'!$C$35:$L$35,'Costo Directo Proyectos'!$AD85)*$AG85,0)+IF('Gantt Proyectos'!AG153=2,$T85,0)/$W85,0)*$L85</f>
        <v>0</v>
      </c>
      <c r="AJ85" s="169">
        <f>IFERROR(IF('Gantt Proyectos'!AH153&gt;0,SUMIFS('Listas y Parametros'!$C$45:$L$45,'Listas y Parametros'!$C$35:$L$35,'Costo Directo Proyectos'!$AD85)*$AG85,0)+IF('Gantt Proyectos'!AH153=2,$T85,0)/$W85,0)*$L85</f>
        <v>0</v>
      </c>
      <c r="AK85" s="169">
        <f>IFERROR(IF('Gantt Proyectos'!AI153&gt;0,SUMIFS('Listas y Parametros'!$C$45:$L$45,'Listas y Parametros'!$C$35:$L$35,'Costo Directo Proyectos'!$AD85)*$AG85,0)+IF('Gantt Proyectos'!AI153=2,$T85,0)/$W85,0)*$L85</f>
        <v>11999.746041754239</v>
      </c>
      <c r="AL85" s="169">
        <f>IFERROR(IF('Gantt Proyectos'!AJ153&gt;0,SUMIFS('Listas y Parametros'!$C$45:$L$45,'Listas y Parametros'!$C$35:$L$35,'Costo Directo Proyectos'!$AD85)*$AG85,0)+IF('Gantt Proyectos'!AJ153=2,$T85,0)/$W85,0)*$L85</f>
        <v>11999.746041754239</v>
      </c>
      <c r="AM85" s="169">
        <f>IFERROR(IF('Gantt Proyectos'!AK153&gt;0,SUMIFS('Listas y Parametros'!$C$45:$L$45,'Listas y Parametros'!$C$35:$L$35,'Costo Directo Proyectos'!$AD85)*$AG85,0)+IF('Gantt Proyectos'!AK153=2,$T85,0)/$W85,0)*$L85</f>
        <v>11999.746041754239</v>
      </c>
      <c r="AN85" s="169">
        <f>IFERROR(IF('Gantt Proyectos'!AL153&gt;0,SUMIFS('Listas y Parametros'!$C$45:$L$45,'Listas y Parametros'!$C$35:$L$35,'Costo Directo Proyectos'!$AD85)*$AG85,0)+IF('Gantt Proyectos'!AL153=2,$T85,0)/$W85,0)*$L85</f>
        <v>0</v>
      </c>
      <c r="AO85" s="169">
        <f>IFERROR(IF('Gantt Proyectos'!AM153&gt;0,SUMIFS('Listas y Parametros'!$C$45:$L$45,'Listas y Parametros'!$C$35:$L$35,'Costo Directo Proyectos'!$AD85)*$AG85,0)+IF('Gantt Proyectos'!AM153=2,$T85,0)/$W85,0)*$L85</f>
        <v>0</v>
      </c>
      <c r="AP85" s="170">
        <f>IFERROR(IF('Gantt Proyectos'!AN153&gt;0,SUMIFS('Listas y Parametros'!$C$45:$L$45,'Listas y Parametros'!$C$35:$L$35,'Costo Directo Proyectos'!$AD85)*$AG85,0)+IF('Gantt Proyectos'!AN153=2,$T85,0)/$W85,0)*$L85</f>
        <v>0</v>
      </c>
    </row>
    <row r="86" spans="3:42" ht="15" x14ac:dyDescent="0.2">
      <c r="C86" s="144">
        <f>+'Gantt Proyectos'!C154</f>
        <v>58</v>
      </c>
      <c r="D86" s="145" t="str">
        <f>+'Gantt Proyectos'!D154</f>
        <v>Alpayana Estudio de Sismicidad</v>
      </c>
      <c r="E86" s="145" t="str">
        <f>+'Gantt Proyectos'!E154</f>
        <v>Alpayana</v>
      </c>
      <c r="F86" s="147" t="str">
        <f>+'Gantt Proyectos'!F154</f>
        <v>Perú</v>
      </c>
      <c r="G86" s="145" t="str">
        <f>+'Gantt Proyectos'!G154</f>
        <v>Chile</v>
      </c>
      <c r="H86" s="145">
        <f>+'Gantt Proyectos'!H154</f>
        <v>0</v>
      </c>
      <c r="I86" s="189">
        <v>1</v>
      </c>
      <c r="J86" s="189">
        <f t="shared" si="12"/>
        <v>0</v>
      </c>
      <c r="K86" s="145">
        <f>+'Gantt Proyectos'!I154</f>
        <v>0</v>
      </c>
      <c r="L86" s="120">
        <f>+'Gantt Proyectos'!J154</f>
        <v>1</v>
      </c>
      <c r="M86" s="145">
        <f>+'Gantt Proyectos'!K154</f>
        <v>0</v>
      </c>
      <c r="N86" s="145">
        <f>+'Gantt Proyectos'!L154</f>
        <v>197494</v>
      </c>
      <c r="O86" s="145">
        <f>+'Gantt Proyectos'!M154</f>
        <v>197494</v>
      </c>
      <c r="P86" s="145">
        <f>+'Gantt Proyectos'!N154</f>
        <v>2</v>
      </c>
      <c r="Q86" s="119">
        <f>+'Gantt Proyectos'!O154</f>
        <v>45823</v>
      </c>
      <c r="R86" s="119">
        <f>+'Gantt Proyectos'!P154</f>
        <v>45975</v>
      </c>
      <c r="S86" s="145" t="str">
        <f>+'Gantt Proyectos'!R154</f>
        <v>No</v>
      </c>
      <c r="T86" s="118">
        <f>+'Gantt Proyectos'!S154</f>
        <v>0</v>
      </c>
      <c r="U86" s="156">
        <f>+'Gantt Proyectos'!T154</f>
        <v>45823</v>
      </c>
      <c r="V86" s="156">
        <f>+'Gantt Proyectos'!U154</f>
        <v>45975</v>
      </c>
      <c r="W86" s="201">
        <f t="shared" si="13"/>
        <v>5</v>
      </c>
      <c r="X86" s="121">
        <f>+'Gantt Proyectos'!W154</f>
        <v>0.72035794183445179</v>
      </c>
      <c r="Y86" s="122">
        <f>+'Gantt Proyectos'!X154</f>
        <v>0</v>
      </c>
      <c r="Z86" s="122">
        <f>+'Gantt Proyectos'!Y154</f>
        <v>0</v>
      </c>
      <c r="AA86" s="122">
        <f>+'Gantt Proyectos'!Z154</f>
        <v>0</v>
      </c>
      <c r="AB86" s="122">
        <f>+'Gantt Proyectos'!AA154</f>
        <v>0</v>
      </c>
      <c r="AC86" s="122">
        <f>+'Gantt Proyectos'!AB154</f>
        <v>0</v>
      </c>
      <c r="AD86" s="123" t="str">
        <f>+'Gantt Proyectos'!AC154</f>
        <v>Estudio Conceptual / LOM</v>
      </c>
      <c r="AE86" s="123" t="str">
        <f>+'Gantt Proyectos'!AD154</f>
        <v>Asignado</v>
      </c>
      <c r="AF86" s="124" t="str">
        <f>+'Gantt Proyectos'!AE154</f>
        <v>1. Proyectado: Asignado</v>
      </c>
      <c r="AG86" s="172">
        <v>1</v>
      </c>
      <c r="AH86" s="168">
        <f>IFERROR(IF('Gantt Proyectos'!AF154&gt;0,SUMIFS('Listas y Parametros'!$C$45:$L$45,'Listas y Parametros'!$C$35:$L$35,'Costo Directo Proyectos'!$AD86)*$AG86,0)+IF('Gantt Proyectos'!AF154=2,$T86,0)/$W86,0)*$L86</f>
        <v>0</v>
      </c>
      <c r="AI86" s="169">
        <f>IFERROR(IF('Gantt Proyectos'!AG154&gt;0,SUMIFS('Listas y Parametros'!$C$45:$L$45,'Listas y Parametros'!$C$35:$L$35,'Costo Directo Proyectos'!$AD86)*$AG86,0)+IF('Gantt Proyectos'!AG154=2,$T86,0)/$W86,0)*$L86</f>
        <v>0</v>
      </c>
      <c r="AJ86" s="169">
        <f>IFERROR(IF('Gantt Proyectos'!AH154&gt;0,SUMIFS('Listas y Parametros'!$C$45:$L$45,'Listas y Parametros'!$C$35:$L$35,'Costo Directo Proyectos'!$AD86)*$AG86,0)+IF('Gantt Proyectos'!AH154=2,$T86,0)/$W86,0)*$L86</f>
        <v>11999.746041754239</v>
      </c>
      <c r="AK86" s="169">
        <f>IFERROR(IF('Gantt Proyectos'!AI154&gt;0,SUMIFS('Listas y Parametros'!$C$45:$L$45,'Listas y Parametros'!$C$35:$L$35,'Costo Directo Proyectos'!$AD86)*$AG86,0)+IF('Gantt Proyectos'!AI154=2,$T86,0)/$W86,0)*$L86</f>
        <v>11999.746041754239</v>
      </c>
      <c r="AL86" s="169">
        <f>IFERROR(IF('Gantt Proyectos'!AJ154&gt;0,SUMIFS('Listas y Parametros'!$C$45:$L$45,'Listas y Parametros'!$C$35:$L$35,'Costo Directo Proyectos'!$AD86)*$AG86,0)+IF('Gantt Proyectos'!AJ154=2,$T86,0)/$W86,0)*$L86</f>
        <v>11999.746041754239</v>
      </c>
      <c r="AM86" s="169">
        <f>IFERROR(IF('Gantt Proyectos'!AK154&gt;0,SUMIFS('Listas y Parametros'!$C$45:$L$45,'Listas y Parametros'!$C$35:$L$35,'Costo Directo Proyectos'!$AD86)*$AG86,0)+IF('Gantt Proyectos'!AK154=2,$T86,0)/$W86,0)*$L86</f>
        <v>11999.746041754239</v>
      </c>
      <c r="AN86" s="169">
        <f>IFERROR(IF('Gantt Proyectos'!AL154&gt;0,SUMIFS('Listas y Parametros'!$C$45:$L$45,'Listas y Parametros'!$C$35:$L$35,'Costo Directo Proyectos'!$AD86)*$AG86,0)+IF('Gantt Proyectos'!AL154=2,$T86,0)/$W86,0)*$L86</f>
        <v>11999.746041754239</v>
      </c>
      <c r="AO86" s="169">
        <f>IFERROR(IF('Gantt Proyectos'!AM154&gt;0,SUMIFS('Listas y Parametros'!$C$45:$L$45,'Listas y Parametros'!$C$35:$L$35,'Costo Directo Proyectos'!$AD86)*$AG86,0)+IF('Gantt Proyectos'!AM154=2,$T86,0)/$W86,0)*$L86</f>
        <v>11999.746041754239</v>
      </c>
      <c r="AP86" s="170">
        <f>IFERROR(IF('Gantt Proyectos'!AN154&gt;0,SUMIFS('Listas y Parametros'!$C$45:$L$45,'Listas y Parametros'!$C$35:$L$35,'Costo Directo Proyectos'!$AD86)*$AG86,0)+IF('Gantt Proyectos'!AN154=2,$T86,0)/$W86,0)*$L86</f>
        <v>0</v>
      </c>
    </row>
    <row r="87" spans="3:42" ht="15" x14ac:dyDescent="0.2">
      <c r="C87" s="144">
        <f>+'Gantt Proyectos'!C155</f>
        <v>59</v>
      </c>
      <c r="D87" s="145" t="str">
        <f>+'Gantt Proyectos'!D155</f>
        <v>Vale Gongo Soco</v>
      </c>
      <c r="E87" s="145" t="str">
        <f>+'Gantt Proyectos'!E155</f>
        <v>Vale</v>
      </c>
      <c r="F87" s="147" t="str">
        <f>+'Gantt Proyectos'!F155</f>
        <v>Brasil</v>
      </c>
      <c r="G87" s="145" t="str">
        <f>+'Gantt Proyectos'!G155</f>
        <v>Chile</v>
      </c>
      <c r="H87" s="145">
        <f>+'Gantt Proyectos'!H155</f>
        <v>0</v>
      </c>
      <c r="I87" s="189">
        <v>1</v>
      </c>
      <c r="J87" s="189">
        <f t="shared" si="12"/>
        <v>0</v>
      </c>
      <c r="K87" s="145">
        <f>+'Gantt Proyectos'!I155</f>
        <v>0</v>
      </c>
      <c r="L87" s="120">
        <f>+'Gantt Proyectos'!J155</f>
        <v>1</v>
      </c>
      <c r="M87" s="145">
        <f>+'Gantt Proyectos'!K155</f>
        <v>0</v>
      </c>
      <c r="N87" s="145">
        <f>+'Gantt Proyectos'!L155</f>
        <v>475000</v>
      </c>
      <c r="O87" s="145">
        <f>+'Gantt Proyectos'!M155</f>
        <v>475000</v>
      </c>
      <c r="P87" s="145">
        <f>+'Gantt Proyectos'!N155</f>
        <v>1</v>
      </c>
      <c r="Q87" s="119">
        <f>+'Gantt Proyectos'!O155</f>
        <v>45870</v>
      </c>
      <c r="R87" s="119">
        <f>+'Gantt Proyectos'!P155</f>
        <v>45991</v>
      </c>
      <c r="S87" s="145" t="str">
        <f>+'Gantt Proyectos'!R155</f>
        <v>No</v>
      </c>
      <c r="T87" s="118">
        <f>+'Gantt Proyectos'!S155</f>
        <v>0</v>
      </c>
      <c r="U87" s="156">
        <f>+'Gantt Proyectos'!T155</f>
        <v>45870</v>
      </c>
      <c r="V87" s="156">
        <f>+'Gantt Proyectos'!U155</f>
        <v>45991</v>
      </c>
      <c r="W87" s="201">
        <f t="shared" si="13"/>
        <v>4</v>
      </c>
      <c r="X87" s="121">
        <f>+'Gantt Proyectos'!W155</f>
        <v>0.72371364653243841</v>
      </c>
      <c r="Y87" s="122">
        <f>+'Gantt Proyectos'!X155</f>
        <v>0</v>
      </c>
      <c r="Z87" s="122">
        <f>+'Gantt Proyectos'!Y155</f>
        <v>0</v>
      </c>
      <c r="AA87" s="122">
        <f>+'Gantt Proyectos'!Z155</f>
        <v>0</v>
      </c>
      <c r="AB87" s="122">
        <f>+'Gantt Proyectos'!AA155</f>
        <v>0</v>
      </c>
      <c r="AC87" s="122">
        <f>+'Gantt Proyectos'!AB155</f>
        <v>0</v>
      </c>
      <c r="AD87" s="123" t="str">
        <f>+'Gantt Proyectos'!AC155</f>
        <v>Scoping</v>
      </c>
      <c r="AE87" s="123" t="str">
        <f>+'Gantt Proyectos'!AD155</f>
        <v>No Asignado</v>
      </c>
      <c r="AF87" s="124" t="str">
        <f>+'Gantt Proyectos'!AE155</f>
        <v>1. Proyectado: No  Asignado</v>
      </c>
      <c r="AG87" s="172">
        <v>1</v>
      </c>
      <c r="AH87" s="168">
        <f>IFERROR(IF('Gantt Proyectos'!AF155&gt;0,SUMIFS('Listas y Parametros'!$C$45:$L$45,'Listas y Parametros'!$C$35:$L$35,'Costo Directo Proyectos'!$AD87)*$AG87,0)+IF('Gantt Proyectos'!AF155=2,$T87,0)/$W87,0)*$L87</f>
        <v>0</v>
      </c>
      <c r="AI87" s="169">
        <f>IFERROR(IF('Gantt Proyectos'!AG155&gt;0,SUMIFS('Listas y Parametros'!$C$45:$L$45,'Listas y Parametros'!$C$35:$L$35,'Costo Directo Proyectos'!$AD87)*$AG87,0)+IF('Gantt Proyectos'!AG155=2,$T87,0)/$W87,0)*$L87</f>
        <v>0</v>
      </c>
      <c r="AJ87" s="169">
        <f>IFERROR(IF('Gantt Proyectos'!AH155&gt;0,SUMIFS('Listas y Parametros'!$C$45:$L$45,'Listas y Parametros'!$C$35:$L$35,'Costo Directo Proyectos'!$AD87)*$AG87,0)+IF('Gantt Proyectos'!AH155=2,$T87,0)/$W87,0)*$L87</f>
        <v>0</v>
      </c>
      <c r="AK87" s="169">
        <f>IFERROR(IF('Gantt Proyectos'!AI155&gt;0,SUMIFS('Listas y Parametros'!$C$45:$L$45,'Listas y Parametros'!$C$35:$L$35,'Costo Directo Proyectos'!$AD87)*$AG87,0)+IF('Gantt Proyectos'!AI155=2,$T87,0)/$W87,0)*$L87</f>
        <v>0</v>
      </c>
      <c r="AL87" s="169">
        <f>IFERROR(IF('Gantt Proyectos'!AJ155&gt;0,SUMIFS('Listas y Parametros'!$C$45:$L$45,'Listas y Parametros'!$C$35:$L$35,'Costo Directo Proyectos'!$AD87)*$AG87,0)+IF('Gantt Proyectos'!AJ155=2,$T87,0)/$W87,0)*$L87</f>
        <v>22950.644528513381</v>
      </c>
      <c r="AM87" s="169">
        <f>IFERROR(IF('Gantt Proyectos'!AK155&gt;0,SUMIFS('Listas y Parametros'!$C$45:$L$45,'Listas y Parametros'!$C$35:$L$35,'Costo Directo Proyectos'!$AD87)*$AG87,0)+IF('Gantt Proyectos'!AK155=2,$T87,0)/$W87,0)*$L87</f>
        <v>22950.644528513381</v>
      </c>
      <c r="AN87" s="169">
        <f>IFERROR(IF('Gantt Proyectos'!AL155&gt;0,SUMIFS('Listas y Parametros'!$C$45:$L$45,'Listas y Parametros'!$C$35:$L$35,'Costo Directo Proyectos'!$AD87)*$AG87,0)+IF('Gantt Proyectos'!AL155=2,$T87,0)/$W87,0)*$L87</f>
        <v>22950.644528513381</v>
      </c>
      <c r="AO87" s="169">
        <f>IFERROR(IF('Gantt Proyectos'!AM155&gt;0,SUMIFS('Listas y Parametros'!$C$45:$L$45,'Listas y Parametros'!$C$35:$L$35,'Costo Directo Proyectos'!$AD87)*$AG87,0)+IF('Gantt Proyectos'!AM155=2,$T87,0)/$W87,0)*$L87</f>
        <v>22950.644528513381</v>
      </c>
      <c r="AP87" s="170">
        <f>IFERROR(IF('Gantt Proyectos'!AN155&gt;0,SUMIFS('Listas y Parametros'!$C$45:$L$45,'Listas y Parametros'!$C$35:$L$35,'Costo Directo Proyectos'!$AD87)*$AG87,0)+IF('Gantt Proyectos'!AN155=2,$T87,0)/$W87,0)*$L87</f>
        <v>0</v>
      </c>
    </row>
    <row r="88" spans="3:42" ht="15" x14ac:dyDescent="0.2">
      <c r="C88" s="144">
        <f>+'Gantt Proyectos'!C156</f>
        <v>60</v>
      </c>
      <c r="D88" s="145">
        <f>+'Gantt Proyectos'!D156</f>
        <v>0</v>
      </c>
      <c r="E88" s="145">
        <f>+'Gantt Proyectos'!E156</f>
        <v>0</v>
      </c>
      <c r="F88" s="147">
        <f>+'Gantt Proyectos'!F156</f>
        <v>0</v>
      </c>
      <c r="G88" s="145">
        <f>+'Gantt Proyectos'!G156</f>
        <v>0</v>
      </c>
      <c r="H88" s="145">
        <f>+'Gantt Proyectos'!H156</f>
        <v>0</v>
      </c>
      <c r="I88" s="189">
        <v>1</v>
      </c>
      <c r="J88" s="189">
        <f t="shared" si="12"/>
        <v>0</v>
      </c>
      <c r="K88" s="145">
        <f>+'Gantt Proyectos'!I156</f>
        <v>0</v>
      </c>
      <c r="L88" s="120">
        <f>+'Gantt Proyectos'!J156</f>
        <v>0</v>
      </c>
      <c r="M88" s="145">
        <f>+'Gantt Proyectos'!K156</f>
        <v>0</v>
      </c>
      <c r="N88" s="145">
        <f>+'Gantt Proyectos'!L156</f>
        <v>0</v>
      </c>
      <c r="O88" s="145">
        <f>+'Gantt Proyectos'!M156</f>
        <v>0</v>
      </c>
      <c r="P88" s="145">
        <f>+'Gantt Proyectos'!N156</f>
        <v>0</v>
      </c>
      <c r="Q88" s="119">
        <f>+'Gantt Proyectos'!O156</f>
        <v>0</v>
      </c>
      <c r="R88" s="119">
        <f>+'Gantt Proyectos'!P156</f>
        <v>0</v>
      </c>
      <c r="S88" s="145">
        <f>+'Gantt Proyectos'!R156</f>
        <v>0</v>
      </c>
      <c r="T88" s="118">
        <f>+'Gantt Proyectos'!S156</f>
        <v>0</v>
      </c>
      <c r="U88" s="156">
        <f>+'Gantt Proyectos'!T156</f>
        <v>0</v>
      </c>
      <c r="V88" s="156">
        <f>+'Gantt Proyectos'!U156</f>
        <v>0</v>
      </c>
      <c r="W88" s="201">
        <f t="shared" si="13"/>
        <v>0</v>
      </c>
      <c r="X88" s="121">
        <f>+'Gantt Proyectos'!W156</f>
        <v>0</v>
      </c>
      <c r="Y88" s="122">
        <f>+'Gantt Proyectos'!X156</f>
        <v>0</v>
      </c>
      <c r="Z88" s="122">
        <f>+'Gantt Proyectos'!Y156</f>
        <v>0</v>
      </c>
      <c r="AA88" s="122">
        <f>+'Gantt Proyectos'!Z156</f>
        <v>0</v>
      </c>
      <c r="AB88" s="122">
        <f>+'Gantt Proyectos'!AA156</f>
        <v>0</v>
      </c>
      <c r="AC88" s="122">
        <f>+'Gantt Proyectos'!AB156</f>
        <v>0</v>
      </c>
      <c r="AD88" s="123">
        <f>+'Gantt Proyectos'!AC156</f>
        <v>0</v>
      </c>
      <c r="AE88" s="123">
        <f>+'Gantt Proyectos'!AD156</f>
        <v>0</v>
      </c>
      <c r="AF88" s="124">
        <f>+'Gantt Proyectos'!AE156</f>
        <v>0</v>
      </c>
      <c r="AG88" s="172">
        <v>1</v>
      </c>
      <c r="AH88" s="168">
        <f>IFERROR(IF('Gantt Proyectos'!AF156&gt;0,SUMIFS('Listas y Parametros'!$C$45:$L$45,'Listas y Parametros'!$C$35:$L$35,'Costo Directo Proyectos'!$AD88)*$AG88,0)+IF('Gantt Proyectos'!AF156=2,$T88,0)/$W88,0)*$L88</f>
        <v>0</v>
      </c>
      <c r="AI88" s="169">
        <f>IFERROR(IF('Gantt Proyectos'!AG156&gt;0,SUMIFS('Listas y Parametros'!$C$45:$L$45,'Listas y Parametros'!$C$35:$L$35,'Costo Directo Proyectos'!$AD88)*$AG88,0)+IF('Gantt Proyectos'!AG156=2,$T88,0)/$W88,0)*$L88</f>
        <v>0</v>
      </c>
      <c r="AJ88" s="169">
        <f>IFERROR(IF('Gantt Proyectos'!AH156&gt;0,SUMIFS('Listas y Parametros'!$C$45:$L$45,'Listas y Parametros'!$C$35:$L$35,'Costo Directo Proyectos'!$AD88)*$AG88,0)+IF('Gantt Proyectos'!AH156=2,$T88,0)/$W88,0)*$L88</f>
        <v>0</v>
      </c>
      <c r="AK88" s="169">
        <f>IFERROR(IF('Gantt Proyectos'!AI156&gt;0,SUMIFS('Listas y Parametros'!$C$45:$L$45,'Listas y Parametros'!$C$35:$L$35,'Costo Directo Proyectos'!$AD88)*$AG88,0)+IF('Gantt Proyectos'!AI156=2,$T88,0)/$W88,0)*$L88</f>
        <v>0</v>
      </c>
      <c r="AL88" s="169">
        <f>IFERROR(IF('Gantt Proyectos'!AJ156&gt;0,SUMIFS('Listas y Parametros'!$C$45:$L$45,'Listas y Parametros'!$C$35:$L$35,'Costo Directo Proyectos'!$AD88)*$AG88,0)+IF('Gantt Proyectos'!AJ156=2,$T88,0)/$W88,0)*$L88</f>
        <v>0</v>
      </c>
      <c r="AM88" s="169">
        <f>IFERROR(IF('Gantt Proyectos'!AK156&gt;0,SUMIFS('Listas y Parametros'!$C$45:$L$45,'Listas y Parametros'!$C$35:$L$35,'Costo Directo Proyectos'!$AD88)*$AG88,0)+IF('Gantt Proyectos'!AK156=2,$T88,0)/$W88,0)*$L88</f>
        <v>0</v>
      </c>
      <c r="AN88" s="169">
        <f>IFERROR(IF('Gantt Proyectos'!AL156&gt;0,SUMIFS('Listas y Parametros'!$C$45:$L$45,'Listas y Parametros'!$C$35:$L$35,'Costo Directo Proyectos'!$AD88)*$AG88,0)+IF('Gantt Proyectos'!AL156=2,$T88,0)/$W88,0)*$L88</f>
        <v>0</v>
      </c>
      <c r="AO88" s="169">
        <f>IFERROR(IF('Gantt Proyectos'!AM156&gt;0,SUMIFS('Listas y Parametros'!$C$45:$L$45,'Listas y Parametros'!$C$35:$L$35,'Costo Directo Proyectos'!$AD88)*$AG88,0)+IF('Gantt Proyectos'!AM156=2,$T88,0)/$W88,0)*$L88</f>
        <v>0</v>
      </c>
      <c r="AP88" s="170">
        <f>IFERROR(IF('Gantt Proyectos'!AN156&gt;0,SUMIFS('Listas y Parametros'!$C$45:$L$45,'Listas y Parametros'!$C$35:$L$35,'Costo Directo Proyectos'!$AD88)*$AG88,0)+IF('Gantt Proyectos'!AN156=2,$T88,0)/$W88,0)*$L88</f>
        <v>0</v>
      </c>
    </row>
    <row r="89" spans="3:42" ht="15" x14ac:dyDescent="0.2">
      <c r="C89" s="144">
        <f>+'Gantt Proyectos'!C157</f>
        <v>61</v>
      </c>
      <c r="D89" s="145">
        <f>+'Gantt Proyectos'!D157</f>
        <v>0</v>
      </c>
      <c r="E89" s="145">
        <f>+'Gantt Proyectos'!E157</f>
        <v>0</v>
      </c>
      <c r="F89" s="147">
        <f>+'Gantt Proyectos'!F157</f>
        <v>0</v>
      </c>
      <c r="G89" s="145">
        <f>+'Gantt Proyectos'!G157</f>
        <v>0</v>
      </c>
      <c r="H89" s="145">
        <f>+'Gantt Proyectos'!H157</f>
        <v>0</v>
      </c>
      <c r="I89" s="189">
        <v>1</v>
      </c>
      <c r="J89" s="189">
        <f t="shared" si="12"/>
        <v>0</v>
      </c>
      <c r="K89" s="145">
        <f>+'Gantt Proyectos'!I157</f>
        <v>0</v>
      </c>
      <c r="L89" s="120">
        <f>+'Gantt Proyectos'!J157</f>
        <v>0</v>
      </c>
      <c r="M89" s="145">
        <f>+'Gantt Proyectos'!K157</f>
        <v>0</v>
      </c>
      <c r="N89" s="145">
        <f>+'Gantt Proyectos'!L157</f>
        <v>0</v>
      </c>
      <c r="O89" s="145">
        <f>+'Gantt Proyectos'!M157</f>
        <v>0</v>
      </c>
      <c r="P89" s="145">
        <f>+'Gantt Proyectos'!N157</f>
        <v>0</v>
      </c>
      <c r="Q89" s="119">
        <f>+'Gantt Proyectos'!O157</f>
        <v>0</v>
      </c>
      <c r="R89" s="119">
        <f>+'Gantt Proyectos'!P157</f>
        <v>0</v>
      </c>
      <c r="S89" s="145">
        <f>+'Gantt Proyectos'!R157</f>
        <v>0</v>
      </c>
      <c r="T89" s="118">
        <f>+'Gantt Proyectos'!S157</f>
        <v>0</v>
      </c>
      <c r="U89" s="156">
        <f>+'Gantt Proyectos'!T157</f>
        <v>0</v>
      </c>
      <c r="V89" s="156">
        <f>+'Gantt Proyectos'!U157</f>
        <v>0</v>
      </c>
      <c r="W89" s="201">
        <f t="shared" si="13"/>
        <v>0</v>
      </c>
      <c r="X89" s="121">
        <f>+'Gantt Proyectos'!W157</f>
        <v>0</v>
      </c>
      <c r="Y89" s="122">
        <f>+'Gantt Proyectos'!X157</f>
        <v>0</v>
      </c>
      <c r="Z89" s="122">
        <f>+'Gantt Proyectos'!Y157</f>
        <v>0</v>
      </c>
      <c r="AA89" s="122">
        <f>+'Gantt Proyectos'!Z157</f>
        <v>0</v>
      </c>
      <c r="AB89" s="122">
        <f>+'Gantt Proyectos'!AA157</f>
        <v>0</v>
      </c>
      <c r="AC89" s="122">
        <f>+'Gantt Proyectos'!AB157</f>
        <v>0</v>
      </c>
      <c r="AD89" s="123">
        <f>+'Gantt Proyectos'!AC157</f>
        <v>0</v>
      </c>
      <c r="AE89" s="123">
        <f>+'Gantt Proyectos'!AD157</f>
        <v>0</v>
      </c>
      <c r="AF89" s="124">
        <f>+'Gantt Proyectos'!AE157</f>
        <v>0</v>
      </c>
      <c r="AG89" s="172">
        <v>1</v>
      </c>
      <c r="AH89" s="168">
        <f>IFERROR(IF('Gantt Proyectos'!AF157&gt;0,SUMIFS('Listas y Parametros'!$C$45:$L$45,'Listas y Parametros'!$C$35:$L$35,'Costo Directo Proyectos'!$AD89)*$AG89,0)+IF('Gantt Proyectos'!AF157=2,$T89,0)/$W89,0)*$L89</f>
        <v>0</v>
      </c>
      <c r="AI89" s="169">
        <f>IFERROR(IF('Gantt Proyectos'!AG157&gt;0,SUMIFS('Listas y Parametros'!$C$45:$L$45,'Listas y Parametros'!$C$35:$L$35,'Costo Directo Proyectos'!$AD89)*$AG89,0)+IF('Gantt Proyectos'!AG157=2,$T89,0)/$W89,0)*$L89</f>
        <v>0</v>
      </c>
      <c r="AJ89" s="169">
        <f>IFERROR(IF('Gantt Proyectos'!AH157&gt;0,SUMIFS('Listas y Parametros'!$C$45:$L$45,'Listas y Parametros'!$C$35:$L$35,'Costo Directo Proyectos'!$AD89)*$AG89,0)+IF('Gantt Proyectos'!AH157=2,$T89,0)/$W89,0)*$L89</f>
        <v>0</v>
      </c>
      <c r="AK89" s="169">
        <f>IFERROR(IF('Gantt Proyectos'!AI157&gt;0,SUMIFS('Listas y Parametros'!$C$45:$L$45,'Listas y Parametros'!$C$35:$L$35,'Costo Directo Proyectos'!$AD89)*$AG89,0)+IF('Gantt Proyectos'!AI157=2,$T89,0)/$W89,0)*$L89</f>
        <v>0</v>
      </c>
      <c r="AL89" s="169">
        <f>IFERROR(IF('Gantt Proyectos'!AJ157&gt;0,SUMIFS('Listas y Parametros'!$C$45:$L$45,'Listas y Parametros'!$C$35:$L$35,'Costo Directo Proyectos'!$AD89)*$AG89,0)+IF('Gantt Proyectos'!AJ157=2,$T89,0)/$W89,0)*$L89</f>
        <v>0</v>
      </c>
      <c r="AM89" s="169">
        <f>IFERROR(IF('Gantt Proyectos'!AK157&gt;0,SUMIFS('Listas y Parametros'!$C$45:$L$45,'Listas y Parametros'!$C$35:$L$35,'Costo Directo Proyectos'!$AD89)*$AG89,0)+IF('Gantt Proyectos'!AK157=2,$T89,0)/$W89,0)*$L89</f>
        <v>0</v>
      </c>
      <c r="AN89" s="169">
        <f>IFERROR(IF('Gantt Proyectos'!AL157&gt;0,SUMIFS('Listas y Parametros'!$C$45:$L$45,'Listas y Parametros'!$C$35:$L$35,'Costo Directo Proyectos'!$AD89)*$AG89,0)+IF('Gantt Proyectos'!AL157=2,$T89,0)/$W89,0)*$L89</f>
        <v>0</v>
      </c>
      <c r="AO89" s="169">
        <f>IFERROR(IF('Gantt Proyectos'!AM157&gt;0,SUMIFS('Listas y Parametros'!$C$45:$L$45,'Listas y Parametros'!$C$35:$L$35,'Costo Directo Proyectos'!$AD89)*$AG89,0)+IF('Gantt Proyectos'!AM157=2,$T89,0)/$W89,0)*$L89</f>
        <v>0</v>
      </c>
      <c r="AP89" s="170">
        <f>IFERROR(IF('Gantt Proyectos'!AN157&gt;0,SUMIFS('Listas y Parametros'!$C$45:$L$45,'Listas y Parametros'!$C$35:$L$35,'Costo Directo Proyectos'!$AD89)*$AG89,0)+IF('Gantt Proyectos'!AN157=2,$T89,0)/$W89,0)*$L89</f>
        <v>0</v>
      </c>
    </row>
    <row r="90" spans="3:42" ht="15" x14ac:dyDescent="0.2">
      <c r="C90" s="144">
        <f>+'Gantt Proyectos'!C158</f>
        <v>62</v>
      </c>
      <c r="D90" s="145">
        <f>+'Gantt Proyectos'!D158</f>
        <v>0</v>
      </c>
      <c r="E90" s="145">
        <f>+'Gantt Proyectos'!E158</f>
        <v>0</v>
      </c>
      <c r="F90" s="147">
        <f>+'Gantt Proyectos'!F158</f>
        <v>0</v>
      </c>
      <c r="G90" s="145">
        <f>+'Gantt Proyectos'!G158</f>
        <v>0</v>
      </c>
      <c r="H90" s="145">
        <f>+'Gantt Proyectos'!H158</f>
        <v>0</v>
      </c>
      <c r="I90" s="189">
        <v>1</v>
      </c>
      <c r="J90" s="189">
        <f t="shared" si="12"/>
        <v>0</v>
      </c>
      <c r="K90" s="145">
        <f>+'Gantt Proyectos'!I158</f>
        <v>0</v>
      </c>
      <c r="L90" s="120">
        <f>+'Gantt Proyectos'!J158</f>
        <v>0</v>
      </c>
      <c r="M90" s="145">
        <f>+'Gantt Proyectos'!K158</f>
        <v>0</v>
      </c>
      <c r="N90" s="145">
        <f>+'Gantt Proyectos'!L158</f>
        <v>0</v>
      </c>
      <c r="O90" s="145">
        <f>+'Gantt Proyectos'!M158</f>
        <v>0</v>
      </c>
      <c r="P90" s="145">
        <f>+'Gantt Proyectos'!N158</f>
        <v>0</v>
      </c>
      <c r="Q90" s="119">
        <f>+'Gantt Proyectos'!O158</f>
        <v>0</v>
      </c>
      <c r="R90" s="119">
        <f>+'Gantt Proyectos'!P158</f>
        <v>0</v>
      </c>
      <c r="S90" s="145">
        <f>+'Gantt Proyectos'!R158</f>
        <v>0</v>
      </c>
      <c r="T90" s="118">
        <f>+'Gantt Proyectos'!S158</f>
        <v>0</v>
      </c>
      <c r="U90" s="156">
        <f>+'Gantt Proyectos'!T158</f>
        <v>0</v>
      </c>
      <c r="V90" s="156">
        <f>+'Gantt Proyectos'!U158</f>
        <v>0</v>
      </c>
      <c r="W90" s="201">
        <f t="shared" si="13"/>
        <v>0</v>
      </c>
      <c r="X90" s="121">
        <f>+'Gantt Proyectos'!W158</f>
        <v>0</v>
      </c>
      <c r="Y90" s="122">
        <f>+'Gantt Proyectos'!X158</f>
        <v>0</v>
      </c>
      <c r="Z90" s="122">
        <f>+'Gantt Proyectos'!Y158</f>
        <v>0</v>
      </c>
      <c r="AA90" s="122">
        <f>+'Gantt Proyectos'!Z158</f>
        <v>0</v>
      </c>
      <c r="AB90" s="122">
        <f>+'Gantt Proyectos'!AA158</f>
        <v>0</v>
      </c>
      <c r="AC90" s="122">
        <f>+'Gantt Proyectos'!AB158</f>
        <v>0</v>
      </c>
      <c r="AD90" s="123">
        <f>+'Gantt Proyectos'!AC158</f>
        <v>0</v>
      </c>
      <c r="AE90" s="123">
        <f>+'Gantt Proyectos'!AD158</f>
        <v>0</v>
      </c>
      <c r="AF90" s="124">
        <f>+'Gantt Proyectos'!AE158</f>
        <v>0</v>
      </c>
      <c r="AG90" s="172">
        <v>1</v>
      </c>
      <c r="AH90" s="168">
        <f>IFERROR(IF('Gantt Proyectos'!AF158&gt;0,SUMIFS('Listas y Parametros'!$C$45:$L$45,'Listas y Parametros'!$C$35:$L$35,'Costo Directo Proyectos'!$AD90)*$AG90,0)+IF('Gantt Proyectos'!AF158=2,$T90,0)/$W90,0)*$L90</f>
        <v>0</v>
      </c>
      <c r="AI90" s="169">
        <f>IFERROR(IF('Gantt Proyectos'!AG158&gt;0,SUMIFS('Listas y Parametros'!$C$45:$L$45,'Listas y Parametros'!$C$35:$L$35,'Costo Directo Proyectos'!$AD90)*$AG90,0)+IF('Gantt Proyectos'!AG158=2,$T90,0)/$W90,0)*$L90</f>
        <v>0</v>
      </c>
      <c r="AJ90" s="169">
        <f>IFERROR(IF('Gantt Proyectos'!AH158&gt;0,SUMIFS('Listas y Parametros'!$C$45:$L$45,'Listas y Parametros'!$C$35:$L$35,'Costo Directo Proyectos'!$AD90)*$AG90,0)+IF('Gantt Proyectos'!AH158=2,$T90,0)/$W90,0)*$L90</f>
        <v>0</v>
      </c>
      <c r="AK90" s="169">
        <f>IFERROR(IF('Gantt Proyectos'!AI158&gt;0,SUMIFS('Listas y Parametros'!$C$45:$L$45,'Listas y Parametros'!$C$35:$L$35,'Costo Directo Proyectos'!$AD90)*$AG90,0)+IF('Gantt Proyectos'!AI158=2,$T90,0)/$W90,0)*$L90</f>
        <v>0</v>
      </c>
      <c r="AL90" s="169">
        <f>IFERROR(IF('Gantt Proyectos'!AJ158&gt;0,SUMIFS('Listas y Parametros'!$C$45:$L$45,'Listas y Parametros'!$C$35:$L$35,'Costo Directo Proyectos'!$AD90)*$AG90,0)+IF('Gantt Proyectos'!AJ158=2,$T90,0)/$W90,0)*$L90</f>
        <v>0</v>
      </c>
      <c r="AM90" s="169">
        <f>IFERROR(IF('Gantt Proyectos'!AK158&gt;0,SUMIFS('Listas y Parametros'!$C$45:$L$45,'Listas y Parametros'!$C$35:$L$35,'Costo Directo Proyectos'!$AD90)*$AG90,0)+IF('Gantt Proyectos'!AK158=2,$T90,0)/$W90,0)*$L90</f>
        <v>0</v>
      </c>
      <c r="AN90" s="169">
        <f>IFERROR(IF('Gantt Proyectos'!AL158&gt;0,SUMIFS('Listas y Parametros'!$C$45:$L$45,'Listas y Parametros'!$C$35:$L$35,'Costo Directo Proyectos'!$AD90)*$AG90,0)+IF('Gantt Proyectos'!AL158=2,$T90,0)/$W90,0)*$L90</f>
        <v>0</v>
      </c>
      <c r="AO90" s="169">
        <f>IFERROR(IF('Gantt Proyectos'!AM158&gt;0,SUMIFS('Listas y Parametros'!$C$45:$L$45,'Listas y Parametros'!$C$35:$L$35,'Costo Directo Proyectos'!$AD90)*$AG90,0)+IF('Gantt Proyectos'!AM158=2,$T90,0)/$W90,0)*$L90</f>
        <v>0</v>
      </c>
      <c r="AP90" s="170">
        <f>IFERROR(IF('Gantt Proyectos'!AN158&gt;0,SUMIFS('Listas y Parametros'!$C$45:$L$45,'Listas y Parametros'!$C$35:$L$35,'Costo Directo Proyectos'!$AD90)*$AG90,0)+IF('Gantt Proyectos'!AN158=2,$T90,0)/$W90,0)*$L90</f>
        <v>0</v>
      </c>
    </row>
    <row r="91" spans="3:42" ht="15" x14ac:dyDescent="0.2">
      <c r="C91" s="144">
        <f>+'Gantt Proyectos'!C159</f>
        <v>63</v>
      </c>
      <c r="D91" s="145">
        <f>+'Gantt Proyectos'!D159</f>
        <v>0</v>
      </c>
      <c r="E91" s="145">
        <f>+'Gantt Proyectos'!E159</f>
        <v>0</v>
      </c>
      <c r="F91" s="147">
        <f>+'Gantt Proyectos'!F159</f>
        <v>0</v>
      </c>
      <c r="G91" s="145">
        <f>+'Gantt Proyectos'!G159</f>
        <v>0</v>
      </c>
      <c r="H91" s="145">
        <f>+'Gantt Proyectos'!H159</f>
        <v>0</v>
      </c>
      <c r="I91" s="189">
        <v>1</v>
      </c>
      <c r="J91" s="189">
        <f t="shared" si="12"/>
        <v>0</v>
      </c>
      <c r="K91" s="145">
        <f>+'Gantt Proyectos'!I159</f>
        <v>0</v>
      </c>
      <c r="L91" s="120">
        <f>+'Gantt Proyectos'!J159</f>
        <v>0</v>
      </c>
      <c r="M91" s="145">
        <f>+'Gantt Proyectos'!K159</f>
        <v>0</v>
      </c>
      <c r="N91" s="145">
        <f>+'Gantt Proyectos'!L159</f>
        <v>0</v>
      </c>
      <c r="O91" s="145">
        <f>+'Gantt Proyectos'!M159</f>
        <v>0</v>
      </c>
      <c r="P91" s="145">
        <f>+'Gantt Proyectos'!N159</f>
        <v>0</v>
      </c>
      <c r="Q91" s="119">
        <f>+'Gantt Proyectos'!O159</f>
        <v>0</v>
      </c>
      <c r="R91" s="119">
        <f>+'Gantt Proyectos'!P159</f>
        <v>0</v>
      </c>
      <c r="S91" s="145">
        <f>+'Gantt Proyectos'!R159</f>
        <v>0</v>
      </c>
      <c r="T91" s="118">
        <f>+'Gantt Proyectos'!S159</f>
        <v>0</v>
      </c>
      <c r="U91" s="156">
        <f>+'Gantt Proyectos'!T159</f>
        <v>0</v>
      </c>
      <c r="V91" s="156">
        <f>+'Gantt Proyectos'!U159</f>
        <v>0</v>
      </c>
      <c r="W91" s="201">
        <f t="shared" si="13"/>
        <v>0</v>
      </c>
      <c r="X91" s="121">
        <f>+'Gantt Proyectos'!W159</f>
        <v>0</v>
      </c>
      <c r="Y91" s="122">
        <f>+'Gantt Proyectos'!X159</f>
        <v>0</v>
      </c>
      <c r="Z91" s="122">
        <f>+'Gantt Proyectos'!Y159</f>
        <v>0</v>
      </c>
      <c r="AA91" s="122">
        <f>+'Gantt Proyectos'!Z159</f>
        <v>0</v>
      </c>
      <c r="AB91" s="122">
        <f>+'Gantt Proyectos'!AA159</f>
        <v>0</v>
      </c>
      <c r="AC91" s="122">
        <f>+'Gantt Proyectos'!AB159</f>
        <v>0</v>
      </c>
      <c r="AD91" s="123">
        <f>+'Gantt Proyectos'!AC159</f>
        <v>0</v>
      </c>
      <c r="AE91" s="123">
        <f>+'Gantt Proyectos'!AD159</f>
        <v>0</v>
      </c>
      <c r="AF91" s="124">
        <f>+'Gantt Proyectos'!AE159</f>
        <v>0</v>
      </c>
      <c r="AG91" s="172">
        <v>1</v>
      </c>
      <c r="AH91" s="168">
        <f>IFERROR(IF('Gantt Proyectos'!AF159&gt;0,SUMIFS('Listas y Parametros'!$C$45:$L$45,'Listas y Parametros'!$C$35:$L$35,'Costo Directo Proyectos'!$AD91)*$AG91,0)+IF('Gantt Proyectos'!AF159=2,$T91,0)/$W91,0)*$L91</f>
        <v>0</v>
      </c>
      <c r="AI91" s="169">
        <f>IFERROR(IF('Gantt Proyectos'!AG159&gt;0,SUMIFS('Listas y Parametros'!$C$45:$L$45,'Listas y Parametros'!$C$35:$L$35,'Costo Directo Proyectos'!$AD91)*$AG91,0)+IF('Gantt Proyectos'!AG159=2,$T91,0)/$W91,0)*$L91</f>
        <v>0</v>
      </c>
      <c r="AJ91" s="169">
        <f>IFERROR(IF('Gantt Proyectos'!AH159&gt;0,SUMIFS('Listas y Parametros'!$C$45:$L$45,'Listas y Parametros'!$C$35:$L$35,'Costo Directo Proyectos'!$AD91)*$AG91,0)+IF('Gantt Proyectos'!AH159=2,$T91,0)/$W91,0)*$L91</f>
        <v>0</v>
      </c>
      <c r="AK91" s="169">
        <f>IFERROR(IF('Gantt Proyectos'!AI159&gt;0,SUMIFS('Listas y Parametros'!$C$45:$L$45,'Listas y Parametros'!$C$35:$L$35,'Costo Directo Proyectos'!$AD91)*$AG91,0)+IF('Gantt Proyectos'!AI159=2,$T91,0)/$W91,0)*$L91</f>
        <v>0</v>
      </c>
      <c r="AL91" s="169">
        <f>IFERROR(IF('Gantt Proyectos'!AJ159&gt;0,SUMIFS('Listas y Parametros'!$C$45:$L$45,'Listas y Parametros'!$C$35:$L$35,'Costo Directo Proyectos'!$AD91)*$AG91,0)+IF('Gantt Proyectos'!AJ159=2,$T91,0)/$W91,0)*$L91</f>
        <v>0</v>
      </c>
      <c r="AM91" s="169">
        <f>IFERROR(IF('Gantt Proyectos'!AK159&gt;0,SUMIFS('Listas y Parametros'!$C$45:$L$45,'Listas y Parametros'!$C$35:$L$35,'Costo Directo Proyectos'!$AD91)*$AG91,0)+IF('Gantt Proyectos'!AK159=2,$T91,0)/$W91,0)*$L91</f>
        <v>0</v>
      </c>
      <c r="AN91" s="169">
        <f>IFERROR(IF('Gantt Proyectos'!AL159&gt;0,SUMIFS('Listas y Parametros'!$C$45:$L$45,'Listas y Parametros'!$C$35:$L$35,'Costo Directo Proyectos'!$AD91)*$AG91,0)+IF('Gantt Proyectos'!AL159=2,$T91,0)/$W91,0)*$L91</f>
        <v>0</v>
      </c>
      <c r="AO91" s="169">
        <f>IFERROR(IF('Gantt Proyectos'!AM159&gt;0,SUMIFS('Listas y Parametros'!$C$45:$L$45,'Listas y Parametros'!$C$35:$L$35,'Costo Directo Proyectos'!$AD91)*$AG91,0)+IF('Gantt Proyectos'!AM159=2,$T91,0)/$W91,0)*$L91</f>
        <v>0</v>
      </c>
      <c r="AP91" s="170">
        <f>IFERROR(IF('Gantt Proyectos'!AN159&gt;0,SUMIFS('Listas y Parametros'!$C$45:$L$45,'Listas y Parametros'!$C$35:$L$35,'Costo Directo Proyectos'!$AD91)*$AG91,0)+IF('Gantt Proyectos'!AN159=2,$T91,0)/$W91,0)*$L91</f>
        <v>0</v>
      </c>
    </row>
    <row r="92" spans="3:42" ht="15" x14ac:dyDescent="0.2">
      <c r="C92" s="144">
        <f>+'Gantt Proyectos'!C160</f>
        <v>64</v>
      </c>
      <c r="D92" s="145">
        <f>+'Gantt Proyectos'!D160</f>
        <v>0</v>
      </c>
      <c r="E92" s="145">
        <f>+'Gantt Proyectos'!E160</f>
        <v>0</v>
      </c>
      <c r="F92" s="147">
        <f>+'Gantt Proyectos'!F160</f>
        <v>0</v>
      </c>
      <c r="G92" s="145">
        <f>+'Gantt Proyectos'!G160</f>
        <v>0</v>
      </c>
      <c r="H92" s="145">
        <f>+'Gantt Proyectos'!H160</f>
        <v>0</v>
      </c>
      <c r="I92" s="189">
        <v>1</v>
      </c>
      <c r="J92" s="189">
        <f t="shared" si="12"/>
        <v>0</v>
      </c>
      <c r="K92" s="145">
        <f>+'Gantt Proyectos'!I160</f>
        <v>0</v>
      </c>
      <c r="L92" s="120">
        <f>+'Gantt Proyectos'!J160</f>
        <v>0</v>
      </c>
      <c r="M92" s="145">
        <f>+'Gantt Proyectos'!K160</f>
        <v>0</v>
      </c>
      <c r="N92" s="145">
        <f>+'Gantt Proyectos'!L160</f>
        <v>0</v>
      </c>
      <c r="O92" s="145">
        <f>+'Gantt Proyectos'!M160</f>
        <v>0</v>
      </c>
      <c r="P92" s="145">
        <f>+'Gantt Proyectos'!N160</f>
        <v>0</v>
      </c>
      <c r="Q92" s="119">
        <f>+'Gantt Proyectos'!O160</f>
        <v>0</v>
      </c>
      <c r="R92" s="119">
        <f>+'Gantt Proyectos'!P160</f>
        <v>0</v>
      </c>
      <c r="S92" s="145">
        <f>+'Gantt Proyectos'!R160</f>
        <v>0</v>
      </c>
      <c r="T92" s="118">
        <f>+'Gantt Proyectos'!S160</f>
        <v>0</v>
      </c>
      <c r="U92" s="156">
        <f>+'Gantt Proyectos'!T160</f>
        <v>0</v>
      </c>
      <c r="V92" s="156">
        <f>+'Gantt Proyectos'!U160</f>
        <v>0</v>
      </c>
      <c r="W92" s="201">
        <f t="shared" si="13"/>
        <v>0</v>
      </c>
      <c r="X92" s="121">
        <f>+'Gantt Proyectos'!W160</f>
        <v>0</v>
      </c>
      <c r="Y92" s="122">
        <f>+'Gantt Proyectos'!X160</f>
        <v>0</v>
      </c>
      <c r="Z92" s="122">
        <f>+'Gantt Proyectos'!Y160</f>
        <v>0</v>
      </c>
      <c r="AA92" s="122">
        <f>+'Gantt Proyectos'!Z160</f>
        <v>0</v>
      </c>
      <c r="AB92" s="122">
        <f>+'Gantt Proyectos'!AA160</f>
        <v>0</v>
      </c>
      <c r="AC92" s="122">
        <f>+'Gantt Proyectos'!AB160</f>
        <v>0</v>
      </c>
      <c r="AD92" s="123">
        <f>+'Gantt Proyectos'!AC160</f>
        <v>0</v>
      </c>
      <c r="AE92" s="123">
        <f>+'Gantt Proyectos'!AD160</f>
        <v>0</v>
      </c>
      <c r="AF92" s="124">
        <f>+'Gantt Proyectos'!AE160</f>
        <v>0</v>
      </c>
      <c r="AG92" s="172">
        <v>1</v>
      </c>
      <c r="AH92" s="168">
        <f>IFERROR(IF('Gantt Proyectos'!AF160&gt;0,SUMIFS('Listas y Parametros'!$C$45:$L$45,'Listas y Parametros'!$C$35:$L$35,'Costo Directo Proyectos'!$AD92)*$AG92,0)+IF('Gantt Proyectos'!AF160=2,$T92,0)/$W92,0)*$L92</f>
        <v>0</v>
      </c>
      <c r="AI92" s="169">
        <f>IFERROR(IF('Gantt Proyectos'!AG160&gt;0,SUMIFS('Listas y Parametros'!$C$45:$L$45,'Listas y Parametros'!$C$35:$L$35,'Costo Directo Proyectos'!$AD92)*$AG92,0)+IF('Gantt Proyectos'!AG160=2,$T92,0)/$W92,0)*$L92</f>
        <v>0</v>
      </c>
      <c r="AJ92" s="169">
        <f>IFERROR(IF('Gantt Proyectos'!AH160&gt;0,SUMIFS('Listas y Parametros'!$C$45:$L$45,'Listas y Parametros'!$C$35:$L$35,'Costo Directo Proyectos'!$AD92)*$AG92,0)+IF('Gantt Proyectos'!AH160=2,$T92,0)/$W92,0)*$L92</f>
        <v>0</v>
      </c>
      <c r="AK92" s="169">
        <f>IFERROR(IF('Gantt Proyectos'!AI160&gt;0,SUMIFS('Listas y Parametros'!$C$45:$L$45,'Listas y Parametros'!$C$35:$L$35,'Costo Directo Proyectos'!$AD92)*$AG92,0)+IF('Gantt Proyectos'!AI160=2,$T92,0)/$W92,0)*$L92</f>
        <v>0</v>
      </c>
      <c r="AL92" s="169">
        <f>IFERROR(IF('Gantt Proyectos'!AJ160&gt;0,SUMIFS('Listas y Parametros'!$C$45:$L$45,'Listas y Parametros'!$C$35:$L$35,'Costo Directo Proyectos'!$AD92)*$AG92,0)+IF('Gantt Proyectos'!AJ160=2,$T92,0)/$W92,0)*$L92</f>
        <v>0</v>
      </c>
      <c r="AM92" s="169">
        <f>IFERROR(IF('Gantt Proyectos'!AK160&gt;0,SUMIFS('Listas y Parametros'!$C$45:$L$45,'Listas y Parametros'!$C$35:$L$35,'Costo Directo Proyectos'!$AD92)*$AG92,0)+IF('Gantt Proyectos'!AK160=2,$T92,0)/$W92,0)*$L92</f>
        <v>0</v>
      </c>
      <c r="AN92" s="169">
        <f>IFERROR(IF('Gantt Proyectos'!AL160&gt;0,SUMIFS('Listas y Parametros'!$C$45:$L$45,'Listas y Parametros'!$C$35:$L$35,'Costo Directo Proyectos'!$AD92)*$AG92,0)+IF('Gantt Proyectos'!AL160=2,$T92,0)/$W92,0)*$L92</f>
        <v>0</v>
      </c>
      <c r="AO92" s="169">
        <f>IFERROR(IF('Gantt Proyectos'!AM160&gt;0,SUMIFS('Listas y Parametros'!$C$45:$L$45,'Listas y Parametros'!$C$35:$L$35,'Costo Directo Proyectos'!$AD92)*$AG92,0)+IF('Gantt Proyectos'!AM160=2,$T92,0)/$W92,0)*$L92</f>
        <v>0</v>
      </c>
      <c r="AP92" s="170">
        <f>IFERROR(IF('Gantt Proyectos'!AN160&gt;0,SUMIFS('Listas y Parametros'!$C$45:$L$45,'Listas y Parametros'!$C$35:$L$35,'Costo Directo Proyectos'!$AD92)*$AG92,0)+IF('Gantt Proyectos'!AN160=2,$T92,0)/$W92,0)*$L92</f>
        <v>0</v>
      </c>
    </row>
    <row r="93" spans="3:42" ht="15" x14ac:dyDescent="0.2">
      <c r="C93" s="144">
        <f>+'Gantt Proyectos'!C161</f>
        <v>65</v>
      </c>
      <c r="D93" s="145">
        <f>+'Gantt Proyectos'!D161</f>
        <v>0</v>
      </c>
      <c r="E93" s="145">
        <f>+'Gantt Proyectos'!E161</f>
        <v>0</v>
      </c>
      <c r="F93" s="147">
        <f>+'Gantt Proyectos'!F161</f>
        <v>0</v>
      </c>
      <c r="G93" s="145">
        <f>+'Gantt Proyectos'!G161</f>
        <v>0</v>
      </c>
      <c r="H93" s="145">
        <f>+'Gantt Proyectos'!H161</f>
        <v>0</v>
      </c>
      <c r="I93" s="189">
        <v>1</v>
      </c>
      <c r="J93" s="189">
        <f t="shared" si="12"/>
        <v>0</v>
      </c>
      <c r="K93" s="145">
        <f>+'Gantt Proyectos'!I161</f>
        <v>0</v>
      </c>
      <c r="L93" s="120">
        <f>+'Gantt Proyectos'!J161</f>
        <v>0</v>
      </c>
      <c r="M93" s="145">
        <f>+'Gantt Proyectos'!K161</f>
        <v>0</v>
      </c>
      <c r="N93" s="145">
        <f>+'Gantt Proyectos'!L161</f>
        <v>0</v>
      </c>
      <c r="O93" s="145">
        <f>+'Gantt Proyectos'!M161</f>
        <v>0</v>
      </c>
      <c r="P93" s="145">
        <f>+'Gantt Proyectos'!N161</f>
        <v>0</v>
      </c>
      <c r="Q93" s="119">
        <f>+'Gantt Proyectos'!O161</f>
        <v>0</v>
      </c>
      <c r="R93" s="119">
        <f>+'Gantt Proyectos'!P161</f>
        <v>0</v>
      </c>
      <c r="S93" s="145">
        <f>+'Gantt Proyectos'!R161</f>
        <v>0</v>
      </c>
      <c r="T93" s="118">
        <f>+'Gantt Proyectos'!S161</f>
        <v>0</v>
      </c>
      <c r="U93" s="156">
        <f>+'Gantt Proyectos'!T161</f>
        <v>0</v>
      </c>
      <c r="V93" s="156">
        <f>+'Gantt Proyectos'!U161</f>
        <v>0</v>
      </c>
      <c r="W93" s="201">
        <f t="shared" si="13"/>
        <v>0</v>
      </c>
      <c r="X93" s="121">
        <f>+'Gantt Proyectos'!W161</f>
        <v>0</v>
      </c>
      <c r="Y93" s="122">
        <f>+'Gantt Proyectos'!X161</f>
        <v>0</v>
      </c>
      <c r="Z93" s="122">
        <f>+'Gantt Proyectos'!Y161</f>
        <v>0</v>
      </c>
      <c r="AA93" s="122">
        <f>+'Gantt Proyectos'!Z161</f>
        <v>0</v>
      </c>
      <c r="AB93" s="122">
        <f>+'Gantt Proyectos'!AA161</f>
        <v>0</v>
      </c>
      <c r="AC93" s="122">
        <f>+'Gantt Proyectos'!AB161</f>
        <v>0</v>
      </c>
      <c r="AD93" s="123">
        <f>+'Gantt Proyectos'!AC161</f>
        <v>0</v>
      </c>
      <c r="AE93" s="123">
        <f>+'Gantt Proyectos'!AD161</f>
        <v>0</v>
      </c>
      <c r="AF93" s="124">
        <f>+'Gantt Proyectos'!AE161</f>
        <v>0</v>
      </c>
      <c r="AG93" s="172">
        <v>1</v>
      </c>
      <c r="AH93" s="168">
        <f>IFERROR(IF('Gantt Proyectos'!AF161&gt;0,SUMIFS('Listas y Parametros'!$C$45:$L$45,'Listas y Parametros'!$C$35:$L$35,'Costo Directo Proyectos'!$AD93)*$AG93,0)+IF('Gantt Proyectos'!AF161=2,$T93,0)/$W93,0)*$L93</f>
        <v>0</v>
      </c>
      <c r="AI93" s="169">
        <f>IFERROR(IF('Gantt Proyectos'!AG161&gt;0,SUMIFS('Listas y Parametros'!$C$45:$L$45,'Listas y Parametros'!$C$35:$L$35,'Costo Directo Proyectos'!$AD93)*$AG93,0)+IF('Gantt Proyectos'!AG161=2,$T93,0)/$W93,0)*$L93</f>
        <v>0</v>
      </c>
      <c r="AJ93" s="169">
        <f>IFERROR(IF('Gantt Proyectos'!AH161&gt;0,SUMIFS('Listas y Parametros'!$C$45:$L$45,'Listas y Parametros'!$C$35:$L$35,'Costo Directo Proyectos'!$AD93)*$AG93,0)+IF('Gantt Proyectos'!AH161=2,$T93,0)/$W93,0)*$L93</f>
        <v>0</v>
      </c>
      <c r="AK93" s="169">
        <f>IFERROR(IF('Gantt Proyectos'!AI161&gt;0,SUMIFS('Listas y Parametros'!$C$45:$L$45,'Listas y Parametros'!$C$35:$L$35,'Costo Directo Proyectos'!$AD93)*$AG93,0)+IF('Gantt Proyectos'!AI161=2,$T93,0)/$W93,0)*$L93</f>
        <v>0</v>
      </c>
      <c r="AL93" s="169">
        <f>IFERROR(IF('Gantt Proyectos'!AJ161&gt;0,SUMIFS('Listas y Parametros'!$C$45:$L$45,'Listas y Parametros'!$C$35:$L$35,'Costo Directo Proyectos'!$AD93)*$AG93,0)+IF('Gantt Proyectos'!AJ161=2,$T93,0)/$W93,0)*$L93</f>
        <v>0</v>
      </c>
      <c r="AM93" s="169">
        <f>IFERROR(IF('Gantt Proyectos'!AK161&gt;0,SUMIFS('Listas y Parametros'!$C$45:$L$45,'Listas y Parametros'!$C$35:$L$35,'Costo Directo Proyectos'!$AD93)*$AG93,0)+IF('Gantt Proyectos'!AK161=2,$T93,0)/$W93,0)*$L93</f>
        <v>0</v>
      </c>
      <c r="AN93" s="169">
        <f>IFERROR(IF('Gantt Proyectos'!AL161&gt;0,SUMIFS('Listas y Parametros'!$C$45:$L$45,'Listas y Parametros'!$C$35:$L$35,'Costo Directo Proyectos'!$AD93)*$AG93,0)+IF('Gantt Proyectos'!AL161=2,$T93,0)/$W93,0)*$L93</f>
        <v>0</v>
      </c>
      <c r="AO93" s="169">
        <f>IFERROR(IF('Gantt Proyectos'!AM161&gt;0,SUMIFS('Listas y Parametros'!$C$45:$L$45,'Listas y Parametros'!$C$35:$L$35,'Costo Directo Proyectos'!$AD93)*$AG93,0)+IF('Gantt Proyectos'!AM161=2,$T93,0)/$W93,0)*$L93</f>
        <v>0</v>
      </c>
      <c r="AP93" s="170">
        <f>IFERROR(IF('Gantt Proyectos'!AN161&gt;0,SUMIFS('Listas y Parametros'!$C$45:$L$45,'Listas y Parametros'!$C$35:$L$35,'Costo Directo Proyectos'!$AD93)*$AG93,0)+IF('Gantt Proyectos'!AN161=2,$T93,0)/$W93,0)*$L93</f>
        <v>0</v>
      </c>
    </row>
    <row r="94" spans="3:42" ht="15" x14ac:dyDescent="0.2">
      <c r="C94" s="144">
        <f>+'Gantt Proyectos'!C162</f>
        <v>66</v>
      </c>
      <c r="D94" s="145">
        <f>+'Gantt Proyectos'!D162</f>
        <v>0</v>
      </c>
      <c r="E94" s="145">
        <f>+'Gantt Proyectos'!E162</f>
        <v>0</v>
      </c>
      <c r="F94" s="147">
        <f>+'Gantt Proyectos'!F162</f>
        <v>0</v>
      </c>
      <c r="G94" s="145">
        <f>+'Gantt Proyectos'!G162</f>
        <v>0</v>
      </c>
      <c r="H94" s="145">
        <f>+'Gantt Proyectos'!H162</f>
        <v>0</v>
      </c>
      <c r="I94" s="189">
        <v>1</v>
      </c>
      <c r="J94" s="189">
        <f t="shared" ref="J94:J157" si="14">1-I94</f>
        <v>0</v>
      </c>
      <c r="K94" s="145">
        <f>+'Gantt Proyectos'!I162</f>
        <v>0</v>
      </c>
      <c r="L94" s="120">
        <f>+'Gantt Proyectos'!J162</f>
        <v>0</v>
      </c>
      <c r="M94" s="145">
        <f>+'Gantt Proyectos'!K162</f>
        <v>0</v>
      </c>
      <c r="N94" s="145">
        <f>+'Gantt Proyectos'!L162</f>
        <v>0</v>
      </c>
      <c r="O94" s="145">
        <f>+'Gantt Proyectos'!M162</f>
        <v>0</v>
      </c>
      <c r="P94" s="145">
        <f>+'Gantt Proyectos'!N162</f>
        <v>0</v>
      </c>
      <c r="Q94" s="119">
        <f>+'Gantt Proyectos'!O162</f>
        <v>0</v>
      </c>
      <c r="R94" s="119">
        <f>+'Gantt Proyectos'!P162</f>
        <v>0</v>
      </c>
      <c r="S94" s="145">
        <f>+'Gantt Proyectos'!R162</f>
        <v>0</v>
      </c>
      <c r="T94" s="118">
        <f>+'Gantt Proyectos'!S162</f>
        <v>0</v>
      </c>
      <c r="U94" s="156">
        <f>+'Gantt Proyectos'!T162</f>
        <v>0</v>
      </c>
      <c r="V94" s="156">
        <f>+'Gantt Proyectos'!U162</f>
        <v>0</v>
      </c>
      <c r="W94" s="201">
        <f t="shared" ref="W94:W157" si="15">+ROUNDUP(_xlfn.DAYS(V94,U94)/30.5,0)</f>
        <v>0</v>
      </c>
      <c r="X94" s="121">
        <f>+'Gantt Proyectos'!W162</f>
        <v>0</v>
      </c>
      <c r="Y94" s="122">
        <f>+'Gantt Proyectos'!X162</f>
        <v>0</v>
      </c>
      <c r="Z94" s="122">
        <f>+'Gantt Proyectos'!Y162</f>
        <v>0</v>
      </c>
      <c r="AA94" s="122">
        <f>+'Gantt Proyectos'!Z162</f>
        <v>0</v>
      </c>
      <c r="AB94" s="122">
        <f>+'Gantt Proyectos'!AA162</f>
        <v>0</v>
      </c>
      <c r="AC94" s="122">
        <f>+'Gantt Proyectos'!AB162</f>
        <v>0</v>
      </c>
      <c r="AD94" s="123">
        <f>+'Gantt Proyectos'!AC162</f>
        <v>0</v>
      </c>
      <c r="AE94" s="123">
        <f>+'Gantt Proyectos'!AD162</f>
        <v>0</v>
      </c>
      <c r="AF94" s="124">
        <f>+'Gantt Proyectos'!AE162</f>
        <v>0</v>
      </c>
      <c r="AG94" s="172">
        <v>1</v>
      </c>
      <c r="AH94" s="168">
        <f>IFERROR(IF('Gantt Proyectos'!AF162&gt;0,SUMIFS('Listas y Parametros'!$C$45:$L$45,'Listas y Parametros'!$C$35:$L$35,'Costo Directo Proyectos'!$AD94)*$AG94,0)+IF('Gantt Proyectos'!AF162=2,$T94,0)/$W94,0)*$L94</f>
        <v>0</v>
      </c>
      <c r="AI94" s="169">
        <f>IFERROR(IF('Gantt Proyectos'!AG162&gt;0,SUMIFS('Listas y Parametros'!$C$45:$L$45,'Listas y Parametros'!$C$35:$L$35,'Costo Directo Proyectos'!$AD94)*$AG94,0)+IF('Gantt Proyectos'!AG162=2,$T94,0)/$W94,0)*$L94</f>
        <v>0</v>
      </c>
      <c r="AJ94" s="169">
        <f>IFERROR(IF('Gantt Proyectos'!AH162&gt;0,SUMIFS('Listas y Parametros'!$C$45:$L$45,'Listas y Parametros'!$C$35:$L$35,'Costo Directo Proyectos'!$AD94)*$AG94,0)+IF('Gantt Proyectos'!AH162=2,$T94,0)/$W94,0)*$L94</f>
        <v>0</v>
      </c>
      <c r="AK94" s="169">
        <f>IFERROR(IF('Gantt Proyectos'!AI162&gt;0,SUMIFS('Listas y Parametros'!$C$45:$L$45,'Listas y Parametros'!$C$35:$L$35,'Costo Directo Proyectos'!$AD94)*$AG94,0)+IF('Gantt Proyectos'!AI162=2,$T94,0)/$W94,0)*$L94</f>
        <v>0</v>
      </c>
      <c r="AL94" s="169">
        <f>IFERROR(IF('Gantt Proyectos'!AJ162&gt;0,SUMIFS('Listas y Parametros'!$C$45:$L$45,'Listas y Parametros'!$C$35:$L$35,'Costo Directo Proyectos'!$AD94)*$AG94,0)+IF('Gantt Proyectos'!AJ162=2,$T94,0)/$W94,0)*$L94</f>
        <v>0</v>
      </c>
      <c r="AM94" s="169">
        <f>IFERROR(IF('Gantt Proyectos'!AK162&gt;0,SUMIFS('Listas y Parametros'!$C$45:$L$45,'Listas y Parametros'!$C$35:$L$35,'Costo Directo Proyectos'!$AD94)*$AG94,0)+IF('Gantt Proyectos'!AK162=2,$T94,0)/$W94,0)*$L94</f>
        <v>0</v>
      </c>
      <c r="AN94" s="169">
        <f>IFERROR(IF('Gantt Proyectos'!AL162&gt;0,SUMIFS('Listas y Parametros'!$C$45:$L$45,'Listas y Parametros'!$C$35:$L$35,'Costo Directo Proyectos'!$AD94)*$AG94,0)+IF('Gantt Proyectos'!AL162=2,$T94,0)/$W94,0)*$L94</f>
        <v>0</v>
      </c>
      <c r="AO94" s="169">
        <f>IFERROR(IF('Gantt Proyectos'!AM162&gt;0,SUMIFS('Listas y Parametros'!$C$45:$L$45,'Listas y Parametros'!$C$35:$L$35,'Costo Directo Proyectos'!$AD94)*$AG94,0)+IF('Gantt Proyectos'!AM162=2,$T94,0)/$W94,0)*$L94</f>
        <v>0</v>
      </c>
      <c r="AP94" s="170">
        <f>IFERROR(IF('Gantt Proyectos'!AN162&gt;0,SUMIFS('Listas y Parametros'!$C$45:$L$45,'Listas y Parametros'!$C$35:$L$35,'Costo Directo Proyectos'!$AD94)*$AG94,0)+IF('Gantt Proyectos'!AN162=2,$T94,0)/$W94,0)*$L94</f>
        <v>0</v>
      </c>
    </row>
    <row r="95" spans="3:42" ht="15" x14ac:dyDescent="0.2">
      <c r="C95" s="144">
        <f>+'Gantt Proyectos'!C163</f>
        <v>67</v>
      </c>
      <c r="D95" s="145">
        <f>+'Gantt Proyectos'!D163</f>
        <v>0</v>
      </c>
      <c r="E95" s="145">
        <f>+'Gantt Proyectos'!E163</f>
        <v>0</v>
      </c>
      <c r="F95" s="147">
        <f>+'Gantt Proyectos'!F163</f>
        <v>0</v>
      </c>
      <c r="G95" s="145">
        <f>+'Gantt Proyectos'!G163</f>
        <v>0</v>
      </c>
      <c r="H95" s="145">
        <f>+'Gantt Proyectos'!H163</f>
        <v>0</v>
      </c>
      <c r="I95" s="189">
        <v>1</v>
      </c>
      <c r="J95" s="189">
        <f t="shared" si="14"/>
        <v>0</v>
      </c>
      <c r="K95" s="145">
        <f>+'Gantt Proyectos'!I163</f>
        <v>0</v>
      </c>
      <c r="L95" s="120">
        <f>+'Gantt Proyectos'!J163</f>
        <v>0</v>
      </c>
      <c r="M95" s="145">
        <f>+'Gantt Proyectos'!K163</f>
        <v>0</v>
      </c>
      <c r="N95" s="145">
        <f>+'Gantt Proyectos'!L163</f>
        <v>0</v>
      </c>
      <c r="O95" s="145">
        <f>+'Gantt Proyectos'!M163</f>
        <v>0</v>
      </c>
      <c r="P95" s="145">
        <f>+'Gantt Proyectos'!N163</f>
        <v>0</v>
      </c>
      <c r="Q95" s="119">
        <f>+'Gantt Proyectos'!O163</f>
        <v>0</v>
      </c>
      <c r="R95" s="119">
        <f>+'Gantt Proyectos'!P163</f>
        <v>0</v>
      </c>
      <c r="S95" s="145">
        <f>+'Gantt Proyectos'!R163</f>
        <v>0</v>
      </c>
      <c r="T95" s="118">
        <f>+'Gantt Proyectos'!S163</f>
        <v>0</v>
      </c>
      <c r="U95" s="156">
        <f>+'Gantt Proyectos'!T163</f>
        <v>0</v>
      </c>
      <c r="V95" s="156">
        <f>+'Gantt Proyectos'!U163</f>
        <v>0</v>
      </c>
      <c r="W95" s="201">
        <f t="shared" si="15"/>
        <v>0</v>
      </c>
      <c r="X95" s="121">
        <f>+'Gantt Proyectos'!W163</f>
        <v>0</v>
      </c>
      <c r="Y95" s="122">
        <f>+'Gantt Proyectos'!X163</f>
        <v>0</v>
      </c>
      <c r="Z95" s="122">
        <f>+'Gantt Proyectos'!Y163</f>
        <v>0</v>
      </c>
      <c r="AA95" s="122">
        <f>+'Gantt Proyectos'!Z163</f>
        <v>0</v>
      </c>
      <c r="AB95" s="122">
        <f>+'Gantt Proyectos'!AA163</f>
        <v>0</v>
      </c>
      <c r="AC95" s="122">
        <f>+'Gantt Proyectos'!AB163</f>
        <v>0</v>
      </c>
      <c r="AD95" s="123">
        <f>+'Gantt Proyectos'!AC163</f>
        <v>0</v>
      </c>
      <c r="AE95" s="123">
        <f>+'Gantt Proyectos'!AD163</f>
        <v>0</v>
      </c>
      <c r="AF95" s="124">
        <f>+'Gantt Proyectos'!AE163</f>
        <v>0</v>
      </c>
      <c r="AG95" s="172">
        <v>1</v>
      </c>
      <c r="AH95" s="168">
        <f>IFERROR(IF('Gantt Proyectos'!AF163&gt;0,SUMIFS('Listas y Parametros'!$C$45:$L$45,'Listas y Parametros'!$C$35:$L$35,'Costo Directo Proyectos'!$AD95)*$AG95,0)+IF('Gantt Proyectos'!AF163=2,$T95,0)/$W95,0)*$L95</f>
        <v>0</v>
      </c>
      <c r="AI95" s="169">
        <f>IFERROR(IF('Gantt Proyectos'!AG163&gt;0,SUMIFS('Listas y Parametros'!$C$45:$L$45,'Listas y Parametros'!$C$35:$L$35,'Costo Directo Proyectos'!$AD95)*$AG95,0)+IF('Gantt Proyectos'!AG163=2,$T95,0)/$W95,0)*$L95</f>
        <v>0</v>
      </c>
      <c r="AJ95" s="169">
        <f>IFERROR(IF('Gantt Proyectos'!AH163&gt;0,SUMIFS('Listas y Parametros'!$C$45:$L$45,'Listas y Parametros'!$C$35:$L$35,'Costo Directo Proyectos'!$AD95)*$AG95,0)+IF('Gantt Proyectos'!AH163=2,$T95,0)/$W95,0)*$L95</f>
        <v>0</v>
      </c>
      <c r="AK95" s="169">
        <f>IFERROR(IF('Gantt Proyectos'!AI163&gt;0,SUMIFS('Listas y Parametros'!$C$45:$L$45,'Listas y Parametros'!$C$35:$L$35,'Costo Directo Proyectos'!$AD95)*$AG95,0)+IF('Gantt Proyectos'!AI163=2,$T95,0)/$W95,0)*$L95</f>
        <v>0</v>
      </c>
      <c r="AL95" s="169">
        <f>IFERROR(IF('Gantt Proyectos'!AJ163&gt;0,SUMIFS('Listas y Parametros'!$C$45:$L$45,'Listas y Parametros'!$C$35:$L$35,'Costo Directo Proyectos'!$AD95)*$AG95,0)+IF('Gantt Proyectos'!AJ163=2,$T95,0)/$W95,0)*$L95</f>
        <v>0</v>
      </c>
      <c r="AM95" s="169">
        <f>IFERROR(IF('Gantt Proyectos'!AK163&gt;0,SUMIFS('Listas y Parametros'!$C$45:$L$45,'Listas y Parametros'!$C$35:$L$35,'Costo Directo Proyectos'!$AD95)*$AG95,0)+IF('Gantt Proyectos'!AK163=2,$T95,0)/$W95,0)*$L95</f>
        <v>0</v>
      </c>
      <c r="AN95" s="169">
        <f>IFERROR(IF('Gantt Proyectos'!AL163&gt;0,SUMIFS('Listas y Parametros'!$C$45:$L$45,'Listas y Parametros'!$C$35:$L$35,'Costo Directo Proyectos'!$AD95)*$AG95,0)+IF('Gantt Proyectos'!AL163=2,$T95,0)/$W95,0)*$L95</f>
        <v>0</v>
      </c>
      <c r="AO95" s="169">
        <f>IFERROR(IF('Gantt Proyectos'!AM163&gt;0,SUMIFS('Listas y Parametros'!$C$45:$L$45,'Listas y Parametros'!$C$35:$L$35,'Costo Directo Proyectos'!$AD95)*$AG95,0)+IF('Gantt Proyectos'!AM163=2,$T95,0)/$W95,0)*$L95</f>
        <v>0</v>
      </c>
      <c r="AP95" s="170">
        <f>IFERROR(IF('Gantt Proyectos'!AN163&gt;0,SUMIFS('Listas y Parametros'!$C$45:$L$45,'Listas y Parametros'!$C$35:$L$35,'Costo Directo Proyectos'!$AD95)*$AG95,0)+IF('Gantt Proyectos'!AN163=2,$T95,0)/$W95,0)*$L95</f>
        <v>0</v>
      </c>
    </row>
    <row r="96" spans="3:42" ht="15" x14ac:dyDescent="0.2">
      <c r="C96" s="144">
        <f>+'Gantt Proyectos'!C164</f>
        <v>68</v>
      </c>
      <c r="D96" s="145">
        <f>+'Gantt Proyectos'!D164</f>
        <v>0</v>
      </c>
      <c r="E96" s="145">
        <f>+'Gantt Proyectos'!E164</f>
        <v>0</v>
      </c>
      <c r="F96" s="147">
        <f>+'Gantt Proyectos'!F164</f>
        <v>0</v>
      </c>
      <c r="G96" s="145">
        <f>+'Gantt Proyectos'!G164</f>
        <v>0</v>
      </c>
      <c r="H96" s="145">
        <f>+'Gantt Proyectos'!H164</f>
        <v>0</v>
      </c>
      <c r="I96" s="189">
        <v>1</v>
      </c>
      <c r="J96" s="189">
        <f t="shared" si="14"/>
        <v>0</v>
      </c>
      <c r="K96" s="145">
        <f>+'Gantt Proyectos'!I164</f>
        <v>0</v>
      </c>
      <c r="L96" s="120">
        <f>+'Gantt Proyectos'!J164</f>
        <v>0</v>
      </c>
      <c r="M96" s="145">
        <f>+'Gantt Proyectos'!K164</f>
        <v>0</v>
      </c>
      <c r="N96" s="145">
        <f>+'Gantt Proyectos'!L164</f>
        <v>0</v>
      </c>
      <c r="O96" s="145">
        <f>+'Gantt Proyectos'!M164</f>
        <v>0</v>
      </c>
      <c r="P96" s="145">
        <f>+'Gantt Proyectos'!N164</f>
        <v>0</v>
      </c>
      <c r="Q96" s="119">
        <f>+'Gantt Proyectos'!O164</f>
        <v>0</v>
      </c>
      <c r="R96" s="119">
        <f>+'Gantt Proyectos'!P164</f>
        <v>0</v>
      </c>
      <c r="S96" s="145">
        <f>+'Gantt Proyectos'!R164</f>
        <v>0</v>
      </c>
      <c r="T96" s="118">
        <f>+'Gantt Proyectos'!S164</f>
        <v>0</v>
      </c>
      <c r="U96" s="156">
        <f>+'Gantt Proyectos'!T164</f>
        <v>0</v>
      </c>
      <c r="V96" s="156">
        <f>+'Gantt Proyectos'!U164</f>
        <v>0</v>
      </c>
      <c r="W96" s="201">
        <f t="shared" si="15"/>
        <v>0</v>
      </c>
      <c r="X96" s="121">
        <f>+'Gantt Proyectos'!W164</f>
        <v>0</v>
      </c>
      <c r="Y96" s="122">
        <f>+'Gantt Proyectos'!X164</f>
        <v>0</v>
      </c>
      <c r="Z96" s="122">
        <f>+'Gantt Proyectos'!Y164</f>
        <v>0</v>
      </c>
      <c r="AA96" s="122">
        <f>+'Gantt Proyectos'!Z164</f>
        <v>0</v>
      </c>
      <c r="AB96" s="122">
        <f>+'Gantt Proyectos'!AA164</f>
        <v>0</v>
      </c>
      <c r="AC96" s="122">
        <f>+'Gantt Proyectos'!AB164</f>
        <v>0</v>
      </c>
      <c r="AD96" s="123">
        <f>+'Gantt Proyectos'!AC164</f>
        <v>0</v>
      </c>
      <c r="AE96" s="123">
        <f>+'Gantt Proyectos'!AD164</f>
        <v>0</v>
      </c>
      <c r="AF96" s="124">
        <f>+'Gantt Proyectos'!AE164</f>
        <v>0</v>
      </c>
      <c r="AG96" s="172">
        <v>1</v>
      </c>
      <c r="AH96" s="168">
        <f>IFERROR(IF('Gantt Proyectos'!AF164&gt;0,SUMIFS('Listas y Parametros'!$C$45:$L$45,'Listas y Parametros'!$C$35:$L$35,'Costo Directo Proyectos'!$AD96)*$AG96,0)+IF('Gantt Proyectos'!AF164=2,$T96,0)/$W96,0)*$L96</f>
        <v>0</v>
      </c>
      <c r="AI96" s="169">
        <f>IFERROR(IF('Gantt Proyectos'!AG164&gt;0,SUMIFS('Listas y Parametros'!$C$45:$L$45,'Listas y Parametros'!$C$35:$L$35,'Costo Directo Proyectos'!$AD96)*$AG96,0)+IF('Gantt Proyectos'!AG164=2,$T96,0)/$W96,0)*$L96</f>
        <v>0</v>
      </c>
      <c r="AJ96" s="169">
        <f>IFERROR(IF('Gantt Proyectos'!AH164&gt;0,SUMIFS('Listas y Parametros'!$C$45:$L$45,'Listas y Parametros'!$C$35:$L$35,'Costo Directo Proyectos'!$AD96)*$AG96,0)+IF('Gantt Proyectos'!AH164=2,$T96,0)/$W96,0)*$L96</f>
        <v>0</v>
      </c>
      <c r="AK96" s="169">
        <f>IFERROR(IF('Gantt Proyectos'!AI164&gt;0,SUMIFS('Listas y Parametros'!$C$45:$L$45,'Listas y Parametros'!$C$35:$L$35,'Costo Directo Proyectos'!$AD96)*$AG96,0)+IF('Gantt Proyectos'!AI164=2,$T96,0)/$W96,0)*$L96</f>
        <v>0</v>
      </c>
      <c r="AL96" s="169">
        <f>IFERROR(IF('Gantt Proyectos'!AJ164&gt;0,SUMIFS('Listas y Parametros'!$C$45:$L$45,'Listas y Parametros'!$C$35:$L$35,'Costo Directo Proyectos'!$AD96)*$AG96,0)+IF('Gantt Proyectos'!AJ164=2,$T96,0)/$W96,0)*$L96</f>
        <v>0</v>
      </c>
      <c r="AM96" s="169">
        <f>IFERROR(IF('Gantt Proyectos'!AK164&gt;0,SUMIFS('Listas y Parametros'!$C$45:$L$45,'Listas y Parametros'!$C$35:$L$35,'Costo Directo Proyectos'!$AD96)*$AG96,0)+IF('Gantt Proyectos'!AK164=2,$T96,0)/$W96,0)*$L96</f>
        <v>0</v>
      </c>
      <c r="AN96" s="169">
        <f>IFERROR(IF('Gantt Proyectos'!AL164&gt;0,SUMIFS('Listas y Parametros'!$C$45:$L$45,'Listas y Parametros'!$C$35:$L$35,'Costo Directo Proyectos'!$AD96)*$AG96,0)+IF('Gantt Proyectos'!AL164=2,$T96,0)/$W96,0)*$L96</f>
        <v>0</v>
      </c>
      <c r="AO96" s="169">
        <f>IFERROR(IF('Gantt Proyectos'!AM164&gt;0,SUMIFS('Listas y Parametros'!$C$45:$L$45,'Listas y Parametros'!$C$35:$L$35,'Costo Directo Proyectos'!$AD96)*$AG96,0)+IF('Gantt Proyectos'!AM164=2,$T96,0)/$W96,0)*$L96</f>
        <v>0</v>
      </c>
      <c r="AP96" s="170">
        <f>IFERROR(IF('Gantt Proyectos'!AN164&gt;0,SUMIFS('Listas y Parametros'!$C$45:$L$45,'Listas y Parametros'!$C$35:$L$35,'Costo Directo Proyectos'!$AD96)*$AG96,0)+IF('Gantt Proyectos'!AN164=2,$T96,0)/$W96,0)*$L96</f>
        <v>0</v>
      </c>
    </row>
    <row r="97" spans="3:42" ht="15" x14ac:dyDescent="0.2">
      <c r="C97" s="144">
        <f>+'Gantt Proyectos'!C165</f>
        <v>69</v>
      </c>
      <c r="D97" s="145">
        <f>+'Gantt Proyectos'!D165</f>
        <v>0</v>
      </c>
      <c r="E97" s="145">
        <f>+'Gantt Proyectos'!E165</f>
        <v>0</v>
      </c>
      <c r="F97" s="147">
        <f>+'Gantt Proyectos'!F165</f>
        <v>0</v>
      </c>
      <c r="G97" s="145">
        <f>+'Gantt Proyectos'!G165</f>
        <v>0</v>
      </c>
      <c r="H97" s="145">
        <f>+'Gantt Proyectos'!H165</f>
        <v>0</v>
      </c>
      <c r="I97" s="189">
        <v>1</v>
      </c>
      <c r="J97" s="189">
        <f t="shared" si="14"/>
        <v>0</v>
      </c>
      <c r="K97" s="145">
        <f>+'Gantt Proyectos'!I165</f>
        <v>0</v>
      </c>
      <c r="L97" s="120">
        <f>+'Gantt Proyectos'!J165</f>
        <v>0</v>
      </c>
      <c r="M97" s="145">
        <f>+'Gantt Proyectos'!K165</f>
        <v>0</v>
      </c>
      <c r="N97" s="145">
        <f>+'Gantt Proyectos'!L165</f>
        <v>0</v>
      </c>
      <c r="O97" s="145">
        <f>+'Gantt Proyectos'!M165</f>
        <v>0</v>
      </c>
      <c r="P97" s="145">
        <f>+'Gantt Proyectos'!N165</f>
        <v>0</v>
      </c>
      <c r="Q97" s="119">
        <f>+'Gantt Proyectos'!O165</f>
        <v>0</v>
      </c>
      <c r="R97" s="119">
        <f>+'Gantt Proyectos'!P165</f>
        <v>0</v>
      </c>
      <c r="S97" s="145">
        <f>+'Gantt Proyectos'!R165</f>
        <v>0</v>
      </c>
      <c r="T97" s="118">
        <f>+'Gantt Proyectos'!S165</f>
        <v>0</v>
      </c>
      <c r="U97" s="156">
        <f>+'Gantt Proyectos'!T165</f>
        <v>0</v>
      </c>
      <c r="V97" s="156">
        <f>+'Gantt Proyectos'!U165</f>
        <v>0</v>
      </c>
      <c r="W97" s="201">
        <f t="shared" si="15"/>
        <v>0</v>
      </c>
      <c r="X97" s="121">
        <f>+'Gantt Proyectos'!W165</f>
        <v>0</v>
      </c>
      <c r="Y97" s="122">
        <f>+'Gantt Proyectos'!X165</f>
        <v>0</v>
      </c>
      <c r="Z97" s="122">
        <f>+'Gantt Proyectos'!Y165</f>
        <v>0</v>
      </c>
      <c r="AA97" s="122">
        <f>+'Gantt Proyectos'!Z165</f>
        <v>0</v>
      </c>
      <c r="AB97" s="122">
        <f>+'Gantt Proyectos'!AA165</f>
        <v>0</v>
      </c>
      <c r="AC97" s="122">
        <f>+'Gantt Proyectos'!AB165</f>
        <v>0</v>
      </c>
      <c r="AD97" s="123">
        <f>+'Gantt Proyectos'!AC165</f>
        <v>0</v>
      </c>
      <c r="AE97" s="123">
        <f>+'Gantt Proyectos'!AD165</f>
        <v>0</v>
      </c>
      <c r="AF97" s="124">
        <f>+'Gantt Proyectos'!AE165</f>
        <v>0</v>
      </c>
      <c r="AG97" s="172">
        <v>1</v>
      </c>
      <c r="AH97" s="168">
        <f>IFERROR(IF('Gantt Proyectos'!AF165&gt;0,SUMIFS('Listas y Parametros'!$C$45:$L$45,'Listas y Parametros'!$C$35:$L$35,'Costo Directo Proyectos'!$AD97)*$AG97,0)+IF('Gantt Proyectos'!AF165=2,$T97,0)/$W97,0)*$L97</f>
        <v>0</v>
      </c>
      <c r="AI97" s="169">
        <f>IFERROR(IF('Gantt Proyectos'!AG165&gt;0,SUMIFS('Listas y Parametros'!$C$45:$L$45,'Listas y Parametros'!$C$35:$L$35,'Costo Directo Proyectos'!$AD97)*$AG97,0)+IF('Gantt Proyectos'!AG165=2,$T97,0)/$W97,0)*$L97</f>
        <v>0</v>
      </c>
      <c r="AJ97" s="169">
        <f>IFERROR(IF('Gantt Proyectos'!AH165&gt;0,SUMIFS('Listas y Parametros'!$C$45:$L$45,'Listas y Parametros'!$C$35:$L$35,'Costo Directo Proyectos'!$AD97)*$AG97,0)+IF('Gantt Proyectos'!AH165=2,$T97,0)/$W97,0)*$L97</f>
        <v>0</v>
      </c>
      <c r="AK97" s="169">
        <f>IFERROR(IF('Gantt Proyectos'!AI165&gt;0,SUMIFS('Listas y Parametros'!$C$45:$L$45,'Listas y Parametros'!$C$35:$L$35,'Costo Directo Proyectos'!$AD97)*$AG97,0)+IF('Gantt Proyectos'!AI165=2,$T97,0)/$W97,0)*$L97</f>
        <v>0</v>
      </c>
      <c r="AL97" s="169">
        <f>IFERROR(IF('Gantt Proyectos'!AJ165&gt;0,SUMIFS('Listas y Parametros'!$C$45:$L$45,'Listas y Parametros'!$C$35:$L$35,'Costo Directo Proyectos'!$AD97)*$AG97,0)+IF('Gantt Proyectos'!AJ165=2,$T97,0)/$W97,0)*$L97</f>
        <v>0</v>
      </c>
      <c r="AM97" s="169">
        <f>IFERROR(IF('Gantt Proyectos'!AK165&gt;0,SUMIFS('Listas y Parametros'!$C$45:$L$45,'Listas y Parametros'!$C$35:$L$35,'Costo Directo Proyectos'!$AD97)*$AG97,0)+IF('Gantt Proyectos'!AK165=2,$T97,0)/$W97,0)*$L97</f>
        <v>0</v>
      </c>
      <c r="AN97" s="169">
        <f>IFERROR(IF('Gantt Proyectos'!AL165&gt;0,SUMIFS('Listas y Parametros'!$C$45:$L$45,'Listas y Parametros'!$C$35:$L$35,'Costo Directo Proyectos'!$AD97)*$AG97,0)+IF('Gantt Proyectos'!AL165=2,$T97,0)/$W97,0)*$L97</f>
        <v>0</v>
      </c>
      <c r="AO97" s="169">
        <f>IFERROR(IF('Gantt Proyectos'!AM165&gt;0,SUMIFS('Listas y Parametros'!$C$45:$L$45,'Listas y Parametros'!$C$35:$L$35,'Costo Directo Proyectos'!$AD97)*$AG97,0)+IF('Gantt Proyectos'!AM165=2,$T97,0)/$W97,0)*$L97</f>
        <v>0</v>
      </c>
      <c r="AP97" s="170">
        <f>IFERROR(IF('Gantt Proyectos'!AN165&gt;0,SUMIFS('Listas y Parametros'!$C$45:$L$45,'Listas y Parametros'!$C$35:$L$35,'Costo Directo Proyectos'!$AD97)*$AG97,0)+IF('Gantt Proyectos'!AN165=2,$T97,0)/$W97,0)*$L97</f>
        <v>0</v>
      </c>
    </row>
    <row r="98" spans="3:42" ht="15" x14ac:dyDescent="0.2">
      <c r="C98" s="144">
        <f>+'Gantt Proyectos'!C166</f>
        <v>70</v>
      </c>
      <c r="D98" s="145">
        <f>+'Gantt Proyectos'!D166</f>
        <v>0</v>
      </c>
      <c r="E98" s="145">
        <f>+'Gantt Proyectos'!E166</f>
        <v>0</v>
      </c>
      <c r="F98" s="147">
        <f>+'Gantt Proyectos'!F166</f>
        <v>0</v>
      </c>
      <c r="G98" s="145">
        <f>+'Gantt Proyectos'!G166</f>
        <v>0</v>
      </c>
      <c r="H98" s="145">
        <f>+'Gantt Proyectos'!H166</f>
        <v>0</v>
      </c>
      <c r="I98" s="189">
        <v>1</v>
      </c>
      <c r="J98" s="189">
        <f t="shared" si="14"/>
        <v>0</v>
      </c>
      <c r="K98" s="145">
        <f>+'Gantt Proyectos'!I166</f>
        <v>0</v>
      </c>
      <c r="L98" s="120">
        <f>+'Gantt Proyectos'!J166</f>
        <v>0</v>
      </c>
      <c r="M98" s="145">
        <f>+'Gantt Proyectos'!K166</f>
        <v>0</v>
      </c>
      <c r="N98" s="145">
        <f>+'Gantt Proyectos'!L166</f>
        <v>0</v>
      </c>
      <c r="O98" s="145">
        <f>+'Gantt Proyectos'!M166</f>
        <v>0</v>
      </c>
      <c r="P98" s="145">
        <f>+'Gantt Proyectos'!N166</f>
        <v>0</v>
      </c>
      <c r="Q98" s="119">
        <f>+'Gantt Proyectos'!O166</f>
        <v>0</v>
      </c>
      <c r="R98" s="119">
        <f>+'Gantt Proyectos'!P166</f>
        <v>0</v>
      </c>
      <c r="S98" s="145">
        <f>+'Gantt Proyectos'!R166</f>
        <v>0</v>
      </c>
      <c r="T98" s="118">
        <f>+'Gantt Proyectos'!S166</f>
        <v>0</v>
      </c>
      <c r="U98" s="156">
        <f>+'Gantt Proyectos'!T166</f>
        <v>0</v>
      </c>
      <c r="V98" s="156">
        <f>+'Gantt Proyectos'!U166</f>
        <v>0</v>
      </c>
      <c r="W98" s="201">
        <f t="shared" si="15"/>
        <v>0</v>
      </c>
      <c r="X98" s="121">
        <f>+'Gantt Proyectos'!W166</f>
        <v>0</v>
      </c>
      <c r="Y98" s="122">
        <f>+'Gantt Proyectos'!X166</f>
        <v>0</v>
      </c>
      <c r="Z98" s="122">
        <f>+'Gantt Proyectos'!Y166</f>
        <v>0</v>
      </c>
      <c r="AA98" s="122">
        <f>+'Gantt Proyectos'!Z166</f>
        <v>0</v>
      </c>
      <c r="AB98" s="122">
        <f>+'Gantt Proyectos'!AA166</f>
        <v>0</v>
      </c>
      <c r="AC98" s="122">
        <f>+'Gantt Proyectos'!AB166</f>
        <v>0</v>
      </c>
      <c r="AD98" s="123">
        <f>+'Gantt Proyectos'!AC166</f>
        <v>0</v>
      </c>
      <c r="AE98" s="123">
        <f>+'Gantt Proyectos'!AD166</f>
        <v>0</v>
      </c>
      <c r="AF98" s="124">
        <f>+'Gantt Proyectos'!AE166</f>
        <v>0</v>
      </c>
      <c r="AG98" s="172">
        <v>1</v>
      </c>
      <c r="AH98" s="168">
        <f>IFERROR(IF('Gantt Proyectos'!AF166&gt;0,SUMIFS('Listas y Parametros'!$C$45:$L$45,'Listas y Parametros'!$C$35:$L$35,'Costo Directo Proyectos'!$AD98)*$AG98,0)+IF('Gantt Proyectos'!AF166=2,$T98,0)/$W98,0)*$L98</f>
        <v>0</v>
      </c>
      <c r="AI98" s="169">
        <f>IFERROR(IF('Gantt Proyectos'!AG166&gt;0,SUMIFS('Listas y Parametros'!$C$45:$L$45,'Listas y Parametros'!$C$35:$L$35,'Costo Directo Proyectos'!$AD98)*$AG98,0)+IF('Gantt Proyectos'!AG166=2,$T98,0)/$W98,0)*$L98</f>
        <v>0</v>
      </c>
      <c r="AJ98" s="169">
        <f>IFERROR(IF('Gantt Proyectos'!AH166&gt;0,SUMIFS('Listas y Parametros'!$C$45:$L$45,'Listas y Parametros'!$C$35:$L$35,'Costo Directo Proyectos'!$AD98)*$AG98,0)+IF('Gantt Proyectos'!AH166=2,$T98,0)/$W98,0)*$L98</f>
        <v>0</v>
      </c>
      <c r="AK98" s="169">
        <f>IFERROR(IF('Gantt Proyectos'!AI166&gt;0,SUMIFS('Listas y Parametros'!$C$45:$L$45,'Listas y Parametros'!$C$35:$L$35,'Costo Directo Proyectos'!$AD98)*$AG98,0)+IF('Gantt Proyectos'!AI166=2,$T98,0)/$W98,0)*$L98</f>
        <v>0</v>
      </c>
      <c r="AL98" s="169">
        <f>IFERROR(IF('Gantt Proyectos'!AJ166&gt;0,SUMIFS('Listas y Parametros'!$C$45:$L$45,'Listas y Parametros'!$C$35:$L$35,'Costo Directo Proyectos'!$AD98)*$AG98,0)+IF('Gantt Proyectos'!AJ166=2,$T98,0)/$W98,0)*$L98</f>
        <v>0</v>
      </c>
      <c r="AM98" s="169">
        <f>IFERROR(IF('Gantt Proyectos'!AK166&gt;0,SUMIFS('Listas y Parametros'!$C$45:$L$45,'Listas y Parametros'!$C$35:$L$35,'Costo Directo Proyectos'!$AD98)*$AG98,0)+IF('Gantt Proyectos'!AK166=2,$T98,0)/$W98,0)*$L98</f>
        <v>0</v>
      </c>
      <c r="AN98" s="169">
        <f>IFERROR(IF('Gantt Proyectos'!AL166&gt;0,SUMIFS('Listas y Parametros'!$C$45:$L$45,'Listas y Parametros'!$C$35:$L$35,'Costo Directo Proyectos'!$AD98)*$AG98,0)+IF('Gantt Proyectos'!AL166=2,$T98,0)/$W98,0)*$L98</f>
        <v>0</v>
      </c>
      <c r="AO98" s="169">
        <f>IFERROR(IF('Gantt Proyectos'!AM166&gt;0,SUMIFS('Listas y Parametros'!$C$45:$L$45,'Listas y Parametros'!$C$35:$L$35,'Costo Directo Proyectos'!$AD98)*$AG98,0)+IF('Gantt Proyectos'!AM166=2,$T98,0)/$W98,0)*$L98</f>
        <v>0</v>
      </c>
      <c r="AP98" s="170">
        <f>IFERROR(IF('Gantt Proyectos'!AN166&gt;0,SUMIFS('Listas y Parametros'!$C$45:$L$45,'Listas y Parametros'!$C$35:$L$35,'Costo Directo Proyectos'!$AD98)*$AG98,0)+IF('Gantt Proyectos'!AN166=2,$T98,0)/$W98,0)*$L98</f>
        <v>0</v>
      </c>
    </row>
    <row r="99" spans="3:42" ht="15" x14ac:dyDescent="0.2">
      <c r="C99" s="144">
        <f>+'Gantt Proyectos'!C167</f>
        <v>71</v>
      </c>
      <c r="D99" s="145">
        <f>+'Gantt Proyectos'!D167</f>
        <v>0</v>
      </c>
      <c r="E99" s="145">
        <f>+'Gantt Proyectos'!E167</f>
        <v>0</v>
      </c>
      <c r="F99" s="147">
        <f>+'Gantt Proyectos'!F167</f>
        <v>0</v>
      </c>
      <c r="G99" s="145">
        <f>+'Gantt Proyectos'!G167</f>
        <v>0</v>
      </c>
      <c r="H99" s="145">
        <f>+'Gantt Proyectos'!H167</f>
        <v>0</v>
      </c>
      <c r="I99" s="189">
        <v>1</v>
      </c>
      <c r="J99" s="189">
        <f t="shared" si="14"/>
        <v>0</v>
      </c>
      <c r="K99" s="145">
        <f>+'Gantt Proyectos'!I167</f>
        <v>0</v>
      </c>
      <c r="L99" s="120">
        <f>+'Gantt Proyectos'!J167</f>
        <v>0</v>
      </c>
      <c r="M99" s="145">
        <f>+'Gantt Proyectos'!K167</f>
        <v>0</v>
      </c>
      <c r="N99" s="145">
        <f>+'Gantt Proyectos'!L167</f>
        <v>0</v>
      </c>
      <c r="O99" s="145">
        <f>+'Gantt Proyectos'!M167</f>
        <v>0</v>
      </c>
      <c r="P99" s="145">
        <f>+'Gantt Proyectos'!N167</f>
        <v>0</v>
      </c>
      <c r="Q99" s="119">
        <f>+'Gantt Proyectos'!O167</f>
        <v>0</v>
      </c>
      <c r="R99" s="119">
        <f>+'Gantt Proyectos'!P167</f>
        <v>0</v>
      </c>
      <c r="S99" s="145">
        <f>+'Gantt Proyectos'!R167</f>
        <v>0</v>
      </c>
      <c r="T99" s="118">
        <f>+'Gantt Proyectos'!S167</f>
        <v>0</v>
      </c>
      <c r="U99" s="156">
        <f>+'Gantt Proyectos'!T167</f>
        <v>0</v>
      </c>
      <c r="V99" s="156">
        <f>+'Gantt Proyectos'!U167</f>
        <v>0</v>
      </c>
      <c r="W99" s="201">
        <f t="shared" si="15"/>
        <v>0</v>
      </c>
      <c r="X99" s="121">
        <f>+'Gantt Proyectos'!W167</f>
        <v>0</v>
      </c>
      <c r="Y99" s="122">
        <f>+'Gantt Proyectos'!X167</f>
        <v>0</v>
      </c>
      <c r="Z99" s="122">
        <f>+'Gantt Proyectos'!Y167</f>
        <v>0</v>
      </c>
      <c r="AA99" s="122">
        <f>+'Gantt Proyectos'!Z167</f>
        <v>0</v>
      </c>
      <c r="AB99" s="122">
        <f>+'Gantt Proyectos'!AA167</f>
        <v>0</v>
      </c>
      <c r="AC99" s="122">
        <f>+'Gantt Proyectos'!AB167</f>
        <v>0</v>
      </c>
      <c r="AD99" s="123">
        <f>+'Gantt Proyectos'!AC167</f>
        <v>0</v>
      </c>
      <c r="AE99" s="123">
        <f>+'Gantt Proyectos'!AD167</f>
        <v>0</v>
      </c>
      <c r="AF99" s="124">
        <f>+'Gantt Proyectos'!AE167</f>
        <v>0</v>
      </c>
      <c r="AG99" s="172">
        <v>1</v>
      </c>
      <c r="AH99" s="168">
        <f>IFERROR(IF('Gantt Proyectos'!AF167&gt;0,SUMIFS('Listas y Parametros'!$C$45:$L$45,'Listas y Parametros'!$C$35:$L$35,'Costo Directo Proyectos'!$AD99)*$AG99,0)+IF('Gantt Proyectos'!AF167=2,$T99,0)/$W99,0)*$L99</f>
        <v>0</v>
      </c>
      <c r="AI99" s="169">
        <f>IFERROR(IF('Gantt Proyectos'!AG167&gt;0,SUMIFS('Listas y Parametros'!$C$45:$L$45,'Listas y Parametros'!$C$35:$L$35,'Costo Directo Proyectos'!$AD99)*$AG99,0)+IF('Gantt Proyectos'!AG167=2,$T99,0)/$W99,0)*$L99</f>
        <v>0</v>
      </c>
      <c r="AJ99" s="169">
        <f>IFERROR(IF('Gantt Proyectos'!AH167&gt;0,SUMIFS('Listas y Parametros'!$C$45:$L$45,'Listas y Parametros'!$C$35:$L$35,'Costo Directo Proyectos'!$AD99)*$AG99,0)+IF('Gantt Proyectos'!AH167=2,$T99,0)/$W99,0)*$L99</f>
        <v>0</v>
      </c>
      <c r="AK99" s="169">
        <f>IFERROR(IF('Gantt Proyectos'!AI167&gt;0,SUMIFS('Listas y Parametros'!$C$45:$L$45,'Listas y Parametros'!$C$35:$L$35,'Costo Directo Proyectos'!$AD99)*$AG99,0)+IF('Gantt Proyectos'!AI167=2,$T99,0)/$W99,0)*$L99</f>
        <v>0</v>
      </c>
      <c r="AL99" s="169">
        <f>IFERROR(IF('Gantt Proyectos'!AJ167&gt;0,SUMIFS('Listas y Parametros'!$C$45:$L$45,'Listas y Parametros'!$C$35:$L$35,'Costo Directo Proyectos'!$AD99)*$AG99,0)+IF('Gantt Proyectos'!AJ167=2,$T99,0)/$W99,0)*$L99</f>
        <v>0</v>
      </c>
      <c r="AM99" s="169">
        <f>IFERROR(IF('Gantt Proyectos'!AK167&gt;0,SUMIFS('Listas y Parametros'!$C$45:$L$45,'Listas y Parametros'!$C$35:$L$35,'Costo Directo Proyectos'!$AD99)*$AG99,0)+IF('Gantt Proyectos'!AK167=2,$T99,0)/$W99,0)*$L99</f>
        <v>0</v>
      </c>
      <c r="AN99" s="169">
        <f>IFERROR(IF('Gantt Proyectos'!AL167&gt;0,SUMIFS('Listas y Parametros'!$C$45:$L$45,'Listas y Parametros'!$C$35:$L$35,'Costo Directo Proyectos'!$AD99)*$AG99,0)+IF('Gantt Proyectos'!AL167=2,$T99,0)/$W99,0)*$L99</f>
        <v>0</v>
      </c>
      <c r="AO99" s="169">
        <f>IFERROR(IF('Gantt Proyectos'!AM167&gt;0,SUMIFS('Listas y Parametros'!$C$45:$L$45,'Listas y Parametros'!$C$35:$L$35,'Costo Directo Proyectos'!$AD99)*$AG99,0)+IF('Gantt Proyectos'!AM167=2,$T99,0)/$W99,0)*$L99</f>
        <v>0</v>
      </c>
      <c r="AP99" s="170">
        <f>IFERROR(IF('Gantt Proyectos'!AN167&gt;0,SUMIFS('Listas y Parametros'!$C$45:$L$45,'Listas y Parametros'!$C$35:$L$35,'Costo Directo Proyectos'!$AD99)*$AG99,0)+IF('Gantt Proyectos'!AN167=2,$T99,0)/$W99,0)*$L99</f>
        <v>0</v>
      </c>
    </row>
    <row r="100" spans="3:42" ht="15" x14ac:dyDescent="0.2">
      <c r="C100" s="144">
        <f>+'Gantt Proyectos'!C168</f>
        <v>72</v>
      </c>
      <c r="D100" s="145">
        <f>+'Gantt Proyectos'!D168</f>
        <v>0</v>
      </c>
      <c r="E100" s="145">
        <f>+'Gantt Proyectos'!E168</f>
        <v>0</v>
      </c>
      <c r="F100" s="147">
        <f>+'Gantt Proyectos'!F168</f>
        <v>0</v>
      </c>
      <c r="G100" s="145">
        <f>+'Gantt Proyectos'!G168</f>
        <v>0</v>
      </c>
      <c r="H100" s="145">
        <f>+'Gantt Proyectos'!H168</f>
        <v>0</v>
      </c>
      <c r="I100" s="189">
        <v>1</v>
      </c>
      <c r="J100" s="189">
        <f t="shared" si="14"/>
        <v>0</v>
      </c>
      <c r="K100" s="145">
        <f>+'Gantt Proyectos'!I168</f>
        <v>0</v>
      </c>
      <c r="L100" s="120">
        <f>+'Gantt Proyectos'!J168</f>
        <v>0</v>
      </c>
      <c r="M100" s="145">
        <f>+'Gantt Proyectos'!K168</f>
        <v>0</v>
      </c>
      <c r="N100" s="145">
        <f>+'Gantt Proyectos'!L168</f>
        <v>0</v>
      </c>
      <c r="O100" s="145">
        <f>+'Gantt Proyectos'!M168</f>
        <v>0</v>
      </c>
      <c r="P100" s="145">
        <f>+'Gantt Proyectos'!N168</f>
        <v>0</v>
      </c>
      <c r="Q100" s="119">
        <f>+'Gantt Proyectos'!O168</f>
        <v>0</v>
      </c>
      <c r="R100" s="119">
        <f>+'Gantt Proyectos'!P168</f>
        <v>0</v>
      </c>
      <c r="S100" s="145">
        <f>+'Gantt Proyectos'!R168</f>
        <v>0</v>
      </c>
      <c r="T100" s="118">
        <f>+'Gantt Proyectos'!S168</f>
        <v>0</v>
      </c>
      <c r="U100" s="156">
        <f>+'Gantt Proyectos'!T168</f>
        <v>0</v>
      </c>
      <c r="V100" s="156">
        <f>+'Gantt Proyectos'!U168</f>
        <v>0</v>
      </c>
      <c r="W100" s="201">
        <f t="shared" si="15"/>
        <v>0</v>
      </c>
      <c r="X100" s="121">
        <f>+'Gantt Proyectos'!W168</f>
        <v>0</v>
      </c>
      <c r="Y100" s="122">
        <f>+'Gantt Proyectos'!X168</f>
        <v>0</v>
      </c>
      <c r="Z100" s="122">
        <f>+'Gantt Proyectos'!Y168</f>
        <v>0</v>
      </c>
      <c r="AA100" s="122">
        <f>+'Gantt Proyectos'!Z168</f>
        <v>0</v>
      </c>
      <c r="AB100" s="122">
        <f>+'Gantt Proyectos'!AA168</f>
        <v>0</v>
      </c>
      <c r="AC100" s="122">
        <f>+'Gantt Proyectos'!AB168</f>
        <v>0</v>
      </c>
      <c r="AD100" s="123">
        <f>+'Gantt Proyectos'!AC168</f>
        <v>0</v>
      </c>
      <c r="AE100" s="123">
        <f>+'Gantt Proyectos'!AD168</f>
        <v>0</v>
      </c>
      <c r="AF100" s="124">
        <f>+'Gantt Proyectos'!AE168</f>
        <v>0</v>
      </c>
      <c r="AG100" s="172">
        <v>1</v>
      </c>
      <c r="AH100" s="168">
        <f>IFERROR(IF('Gantt Proyectos'!AF168&gt;0,SUMIFS('Listas y Parametros'!$C$45:$L$45,'Listas y Parametros'!$C$35:$L$35,'Costo Directo Proyectos'!$AD100)*$AG100,0)+IF('Gantt Proyectos'!AF168=2,$T100,0)/$W100,0)*$L100</f>
        <v>0</v>
      </c>
      <c r="AI100" s="169">
        <f>IFERROR(IF('Gantt Proyectos'!AG168&gt;0,SUMIFS('Listas y Parametros'!$C$45:$L$45,'Listas y Parametros'!$C$35:$L$35,'Costo Directo Proyectos'!$AD100)*$AG100,0)+IF('Gantt Proyectos'!AG168=2,$T100,0)/$W100,0)*$L100</f>
        <v>0</v>
      </c>
      <c r="AJ100" s="169">
        <f>IFERROR(IF('Gantt Proyectos'!AH168&gt;0,SUMIFS('Listas y Parametros'!$C$45:$L$45,'Listas y Parametros'!$C$35:$L$35,'Costo Directo Proyectos'!$AD100)*$AG100,0)+IF('Gantt Proyectos'!AH168=2,$T100,0)/$W100,0)*$L100</f>
        <v>0</v>
      </c>
      <c r="AK100" s="169">
        <f>IFERROR(IF('Gantt Proyectos'!AI168&gt;0,SUMIFS('Listas y Parametros'!$C$45:$L$45,'Listas y Parametros'!$C$35:$L$35,'Costo Directo Proyectos'!$AD100)*$AG100,0)+IF('Gantt Proyectos'!AI168=2,$T100,0)/$W100,0)*$L100</f>
        <v>0</v>
      </c>
      <c r="AL100" s="169">
        <f>IFERROR(IF('Gantt Proyectos'!AJ168&gt;0,SUMIFS('Listas y Parametros'!$C$45:$L$45,'Listas y Parametros'!$C$35:$L$35,'Costo Directo Proyectos'!$AD100)*$AG100,0)+IF('Gantt Proyectos'!AJ168=2,$T100,0)/$W100,0)*$L100</f>
        <v>0</v>
      </c>
      <c r="AM100" s="169">
        <f>IFERROR(IF('Gantt Proyectos'!AK168&gt;0,SUMIFS('Listas y Parametros'!$C$45:$L$45,'Listas y Parametros'!$C$35:$L$35,'Costo Directo Proyectos'!$AD100)*$AG100,0)+IF('Gantt Proyectos'!AK168=2,$T100,0)/$W100,0)*$L100</f>
        <v>0</v>
      </c>
      <c r="AN100" s="169">
        <f>IFERROR(IF('Gantt Proyectos'!AL168&gt;0,SUMIFS('Listas y Parametros'!$C$45:$L$45,'Listas y Parametros'!$C$35:$L$35,'Costo Directo Proyectos'!$AD100)*$AG100,0)+IF('Gantt Proyectos'!AL168=2,$T100,0)/$W100,0)*$L100</f>
        <v>0</v>
      </c>
      <c r="AO100" s="169">
        <f>IFERROR(IF('Gantt Proyectos'!AM168&gt;0,SUMIFS('Listas y Parametros'!$C$45:$L$45,'Listas y Parametros'!$C$35:$L$35,'Costo Directo Proyectos'!$AD100)*$AG100,0)+IF('Gantt Proyectos'!AM168=2,$T100,0)/$W100,0)*$L100</f>
        <v>0</v>
      </c>
      <c r="AP100" s="170">
        <f>IFERROR(IF('Gantt Proyectos'!AN168&gt;0,SUMIFS('Listas y Parametros'!$C$45:$L$45,'Listas y Parametros'!$C$35:$L$35,'Costo Directo Proyectos'!$AD100)*$AG100,0)+IF('Gantt Proyectos'!AN168=2,$T100,0)/$W100,0)*$L100</f>
        <v>0</v>
      </c>
    </row>
    <row r="101" spans="3:42" ht="15" x14ac:dyDescent="0.2">
      <c r="C101" s="144">
        <f>+'Gantt Proyectos'!C169</f>
        <v>73</v>
      </c>
      <c r="D101" s="145">
        <f>+'Gantt Proyectos'!D169</f>
        <v>0</v>
      </c>
      <c r="E101" s="145">
        <f>+'Gantt Proyectos'!E169</f>
        <v>0</v>
      </c>
      <c r="F101" s="147">
        <f>+'Gantt Proyectos'!F169</f>
        <v>0</v>
      </c>
      <c r="G101" s="145">
        <f>+'Gantt Proyectos'!G169</f>
        <v>0</v>
      </c>
      <c r="H101" s="145">
        <f>+'Gantt Proyectos'!H169</f>
        <v>0</v>
      </c>
      <c r="I101" s="189">
        <v>1</v>
      </c>
      <c r="J101" s="189">
        <f t="shared" si="14"/>
        <v>0</v>
      </c>
      <c r="K101" s="145">
        <f>+'Gantt Proyectos'!I169</f>
        <v>0</v>
      </c>
      <c r="L101" s="120">
        <f>+'Gantt Proyectos'!J169</f>
        <v>0</v>
      </c>
      <c r="M101" s="145">
        <f>+'Gantt Proyectos'!K169</f>
        <v>0</v>
      </c>
      <c r="N101" s="145">
        <f>+'Gantt Proyectos'!L169</f>
        <v>0</v>
      </c>
      <c r="O101" s="145">
        <f>+'Gantt Proyectos'!M169</f>
        <v>0</v>
      </c>
      <c r="P101" s="145">
        <f>+'Gantt Proyectos'!N169</f>
        <v>0</v>
      </c>
      <c r="Q101" s="119">
        <f>+'Gantt Proyectos'!O169</f>
        <v>0</v>
      </c>
      <c r="R101" s="119">
        <f>+'Gantt Proyectos'!P169</f>
        <v>0</v>
      </c>
      <c r="S101" s="145">
        <f>+'Gantt Proyectos'!R169</f>
        <v>0</v>
      </c>
      <c r="T101" s="118">
        <f>+'Gantt Proyectos'!S169</f>
        <v>0</v>
      </c>
      <c r="U101" s="156">
        <f>+'Gantt Proyectos'!T169</f>
        <v>0</v>
      </c>
      <c r="V101" s="156">
        <f>+'Gantt Proyectos'!U169</f>
        <v>0</v>
      </c>
      <c r="W101" s="201">
        <f t="shared" si="15"/>
        <v>0</v>
      </c>
      <c r="X101" s="121">
        <f>+'Gantt Proyectos'!W169</f>
        <v>0</v>
      </c>
      <c r="Y101" s="122">
        <f>+'Gantt Proyectos'!X169</f>
        <v>0</v>
      </c>
      <c r="Z101" s="122">
        <f>+'Gantt Proyectos'!Y169</f>
        <v>0</v>
      </c>
      <c r="AA101" s="122">
        <f>+'Gantt Proyectos'!Z169</f>
        <v>0</v>
      </c>
      <c r="AB101" s="122">
        <f>+'Gantt Proyectos'!AA169</f>
        <v>0</v>
      </c>
      <c r="AC101" s="122">
        <f>+'Gantt Proyectos'!AB169</f>
        <v>0</v>
      </c>
      <c r="AD101" s="123">
        <f>+'Gantt Proyectos'!AC169</f>
        <v>0</v>
      </c>
      <c r="AE101" s="123">
        <f>+'Gantt Proyectos'!AD169</f>
        <v>0</v>
      </c>
      <c r="AF101" s="124">
        <f>+'Gantt Proyectos'!AE169</f>
        <v>0</v>
      </c>
      <c r="AG101" s="172">
        <v>1</v>
      </c>
      <c r="AH101" s="168">
        <f>IFERROR(IF('Gantt Proyectos'!AF169&gt;0,SUMIFS('Listas y Parametros'!$C$45:$L$45,'Listas y Parametros'!$C$35:$L$35,'Costo Directo Proyectos'!$AD101)*$AG101,0)+IF('Gantt Proyectos'!AF169=2,$T101,0)/$W101,0)*$L101</f>
        <v>0</v>
      </c>
      <c r="AI101" s="169">
        <f>IFERROR(IF('Gantt Proyectos'!AG169&gt;0,SUMIFS('Listas y Parametros'!$C$45:$L$45,'Listas y Parametros'!$C$35:$L$35,'Costo Directo Proyectos'!$AD101)*$AG101,0)+IF('Gantt Proyectos'!AG169=2,$T101,0)/$W101,0)*$L101</f>
        <v>0</v>
      </c>
      <c r="AJ101" s="169">
        <f>IFERROR(IF('Gantt Proyectos'!AH169&gt;0,SUMIFS('Listas y Parametros'!$C$45:$L$45,'Listas y Parametros'!$C$35:$L$35,'Costo Directo Proyectos'!$AD101)*$AG101,0)+IF('Gantt Proyectos'!AH169=2,$T101,0)/$W101,0)*$L101</f>
        <v>0</v>
      </c>
      <c r="AK101" s="169">
        <f>IFERROR(IF('Gantt Proyectos'!AI169&gt;0,SUMIFS('Listas y Parametros'!$C$45:$L$45,'Listas y Parametros'!$C$35:$L$35,'Costo Directo Proyectos'!$AD101)*$AG101,0)+IF('Gantt Proyectos'!AI169=2,$T101,0)/$W101,0)*$L101</f>
        <v>0</v>
      </c>
      <c r="AL101" s="169">
        <f>IFERROR(IF('Gantt Proyectos'!AJ169&gt;0,SUMIFS('Listas y Parametros'!$C$45:$L$45,'Listas y Parametros'!$C$35:$L$35,'Costo Directo Proyectos'!$AD101)*$AG101,0)+IF('Gantt Proyectos'!AJ169=2,$T101,0)/$W101,0)*$L101</f>
        <v>0</v>
      </c>
      <c r="AM101" s="169">
        <f>IFERROR(IF('Gantt Proyectos'!AK169&gt;0,SUMIFS('Listas y Parametros'!$C$45:$L$45,'Listas y Parametros'!$C$35:$L$35,'Costo Directo Proyectos'!$AD101)*$AG101,0)+IF('Gantt Proyectos'!AK169=2,$T101,0)/$W101,0)*$L101</f>
        <v>0</v>
      </c>
      <c r="AN101" s="169">
        <f>IFERROR(IF('Gantt Proyectos'!AL169&gt;0,SUMIFS('Listas y Parametros'!$C$45:$L$45,'Listas y Parametros'!$C$35:$L$35,'Costo Directo Proyectos'!$AD101)*$AG101,0)+IF('Gantt Proyectos'!AL169=2,$T101,0)/$W101,0)*$L101</f>
        <v>0</v>
      </c>
      <c r="AO101" s="169">
        <f>IFERROR(IF('Gantt Proyectos'!AM169&gt;0,SUMIFS('Listas y Parametros'!$C$45:$L$45,'Listas y Parametros'!$C$35:$L$35,'Costo Directo Proyectos'!$AD101)*$AG101,0)+IF('Gantt Proyectos'!AM169=2,$T101,0)/$W101,0)*$L101</f>
        <v>0</v>
      </c>
      <c r="AP101" s="170">
        <f>IFERROR(IF('Gantt Proyectos'!AN169&gt;0,SUMIFS('Listas y Parametros'!$C$45:$L$45,'Listas y Parametros'!$C$35:$L$35,'Costo Directo Proyectos'!$AD101)*$AG101,0)+IF('Gantt Proyectos'!AN169=2,$T101,0)/$W101,0)*$L101</f>
        <v>0</v>
      </c>
    </row>
    <row r="102" spans="3:42" ht="15" x14ac:dyDescent="0.2">
      <c r="C102" s="144">
        <f>+'Gantt Proyectos'!C170</f>
        <v>74</v>
      </c>
      <c r="D102" s="145">
        <f>+'Gantt Proyectos'!D170</f>
        <v>0</v>
      </c>
      <c r="E102" s="145">
        <f>+'Gantt Proyectos'!E170</f>
        <v>0</v>
      </c>
      <c r="F102" s="147">
        <f>+'Gantt Proyectos'!F170</f>
        <v>0</v>
      </c>
      <c r="G102" s="145">
        <f>+'Gantt Proyectos'!G170</f>
        <v>0</v>
      </c>
      <c r="H102" s="145">
        <f>+'Gantt Proyectos'!H170</f>
        <v>0</v>
      </c>
      <c r="I102" s="189">
        <v>1</v>
      </c>
      <c r="J102" s="189">
        <f t="shared" si="14"/>
        <v>0</v>
      </c>
      <c r="K102" s="145">
        <f>+'Gantt Proyectos'!I170</f>
        <v>0</v>
      </c>
      <c r="L102" s="120">
        <f>+'Gantt Proyectos'!J170</f>
        <v>0</v>
      </c>
      <c r="M102" s="145">
        <f>+'Gantt Proyectos'!K170</f>
        <v>0</v>
      </c>
      <c r="N102" s="145">
        <f>+'Gantt Proyectos'!L170</f>
        <v>0</v>
      </c>
      <c r="O102" s="145">
        <f>+'Gantt Proyectos'!M170</f>
        <v>0</v>
      </c>
      <c r="P102" s="145">
        <f>+'Gantt Proyectos'!N170</f>
        <v>0</v>
      </c>
      <c r="Q102" s="119">
        <f>+'Gantt Proyectos'!O170</f>
        <v>0</v>
      </c>
      <c r="R102" s="119">
        <f>+'Gantt Proyectos'!P170</f>
        <v>0</v>
      </c>
      <c r="S102" s="145">
        <f>+'Gantt Proyectos'!R170</f>
        <v>0</v>
      </c>
      <c r="T102" s="118">
        <f>+'Gantt Proyectos'!S170</f>
        <v>0</v>
      </c>
      <c r="U102" s="156">
        <f>+'Gantt Proyectos'!T170</f>
        <v>0</v>
      </c>
      <c r="V102" s="156">
        <f>+'Gantt Proyectos'!U170</f>
        <v>0</v>
      </c>
      <c r="W102" s="201">
        <f t="shared" si="15"/>
        <v>0</v>
      </c>
      <c r="X102" s="121">
        <f>+'Gantt Proyectos'!W170</f>
        <v>0</v>
      </c>
      <c r="Y102" s="122">
        <f>+'Gantt Proyectos'!X170</f>
        <v>0</v>
      </c>
      <c r="Z102" s="122">
        <f>+'Gantt Proyectos'!Y170</f>
        <v>0</v>
      </c>
      <c r="AA102" s="122">
        <f>+'Gantt Proyectos'!Z170</f>
        <v>0</v>
      </c>
      <c r="AB102" s="122">
        <f>+'Gantt Proyectos'!AA170</f>
        <v>0</v>
      </c>
      <c r="AC102" s="122">
        <f>+'Gantt Proyectos'!AB170</f>
        <v>0</v>
      </c>
      <c r="AD102" s="123">
        <f>+'Gantt Proyectos'!AC170</f>
        <v>0</v>
      </c>
      <c r="AE102" s="123">
        <f>+'Gantt Proyectos'!AD170</f>
        <v>0</v>
      </c>
      <c r="AF102" s="124">
        <f>+'Gantt Proyectos'!AE170</f>
        <v>0</v>
      </c>
      <c r="AG102" s="172">
        <v>1</v>
      </c>
      <c r="AH102" s="168">
        <f>IFERROR(IF('Gantt Proyectos'!AF170&gt;0,SUMIFS('Listas y Parametros'!$C$45:$L$45,'Listas y Parametros'!$C$35:$L$35,'Costo Directo Proyectos'!$AD102)*$AG102,0)+IF('Gantt Proyectos'!AF170=2,$T102,0)/$W102,0)*$L102</f>
        <v>0</v>
      </c>
      <c r="AI102" s="169">
        <f>IFERROR(IF('Gantt Proyectos'!AG170&gt;0,SUMIFS('Listas y Parametros'!$C$45:$L$45,'Listas y Parametros'!$C$35:$L$35,'Costo Directo Proyectos'!$AD102)*$AG102,0)+IF('Gantt Proyectos'!AG170=2,$T102,0)/$W102,0)*$L102</f>
        <v>0</v>
      </c>
      <c r="AJ102" s="169">
        <f>IFERROR(IF('Gantt Proyectos'!AH170&gt;0,SUMIFS('Listas y Parametros'!$C$45:$L$45,'Listas y Parametros'!$C$35:$L$35,'Costo Directo Proyectos'!$AD102)*$AG102,0)+IF('Gantt Proyectos'!AH170=2,$T102,0)/$W102,0)*$L102</f>
        <v>0</v>
      </c>
      <c r="AK102" s="169">
        <f>IFERROR(IF('Gantt Proyectos'!AI170&gt;0,SUMIFS('Listas y Parametros'!$C$45:$L$45,'Listas y Parametros'!$C$35:$L$35,'Costo Directo Proyectos'!$AD102)*$AG102,0)+IF('Gantt Proyectos'!AI170=2,$T102,0)/$W102,0)*$L102</f>
        <v>0</v>
      </c>
      <c r="AL102" s="169">
        <f>IFERROR(IF('Gantt Proyectos'!AJ170&gt;0,SUMIFS('Listas y Parametros'!$C$45:$L$45,'Listas y Parametros'!$C$35:$L$35,'Costo Directo Proyectos'!$AD102)*$AG102,0)+IF('Gantt Proyectos'!AJ170=2,$T102,0)/$W102,0)*$L102</f>
        <v>0</v>
      </c>
      <c r="AM102" s="169">
        <f>IFERROR(IF('Gantt Proyectos'!AK170&gt;0,SUMIFS('Listas y Parametros'!$C$45:$L$45,'Listas y Parametros'!$C$35:$L$35,'Costo Directo Proyectos'!$AD102)*$AG102,0)+IF('Gantt Proyectos'!AK170=2,$T102,0)/$W102,0)*$L102</f>
        <v>0</v>
      </c>
      <c r="AN102" s="169">
        <f>IFERROR(IF('Gantt Proyectos'!AL170&gt;0,SUMIFS('Listas y Parametros'!$C$45:$L$45,'Listas y Parametros'!$C$35:$L$35,'Costo Directo Proyectos'!$AD102)*$AG102,0)+IF('Gantt Proyectos'!AL170=2,$T102,0)/$W102,0)*$L102</f>
        <v>0</v>
      </c>
      <c r="AO102" s="169">
        <f>IFERROR(IF('Gantt Proyectos'!AM170&gt;0,SUMIFS('Listas y Parametros'!$C$45:$L$45,'Listas y Parametros'!$C$35:$L$35,'Costo Directo Proyectos'!$AD102)*$AG102,0)+IF('Gantt Proyectos'!AM170=2,$T102,0)/$W102,0)*$L102</f>
        <v>0</v>
      </c>
      <c r="AP102" s="170">
        <f>IFERROR(IF('Gantt Proyectos'!AN170&gt;0,SUMIFS('Listas y Parametros'!$C$45:$L$45,'Listas y Parametros'!$C$35:$L$35,'Costo Directo Proyectos'!$AD102)*$AG102,0)+IF('Gantt Proyectos'!AN170=2,$T102,0)/$W102,0)*$L102</f>
        <v>0</v>
      </c>
    </row>
    <row r="103" spans="3:42" ht="15" x14ac:dyDescent="0.2">
      <c r="C103" s="144">
        <f>+'Gantt Proyectos'!C171</f>
        <v>75</v>
      </c>
      <c r="D103" s="145">
        <f>+'Gantt Proyectos'!D171</f>
        <v>0</v>
      </c>
      <c r="E103" s="145">
        <f>+'Gantt Proyectos'!E171</f>
        <v>0</v>
      </c>
      <c r="F103" s="147">
        <f>+'Gantt Proyectos'!F171</f>
        <v>0</v>
      </c>
      <c r="G103" s="145">
        <f>+'Gantt Proyectos'!G171</f>
        <v>0</v>
      </c>
      <c r="H103" s="145">
        <f>+'Gantt Proyectos'!H171</f>
        <v>0</v>
      </c>
      <c r="I103" s="189">
        <v>1</v>
      </c>
      <c r="J103" s="189">
        <f t="shared" si="14"/>
        <v>0</v>
      </c>
      <c r="K103" s="145">
        <f>+'Gantt Proyectos'!I171</f>
        <v>0</v>
      </c>
      <c r="L103" s="120">
        <f>+'Gantt Proyectos'!J171</f>
        <v>0</v>
      </c>
      <c r="M103" s="145">
        <f>+'Gantt Proyectos'!K171</f>
        <v>0</v>
      </c>
      <c r="N103" s="145">
        <f>+'Gantt Proyectos'!L171</f>
        <v>0</v>
      </c>
      <c r="O103" s="145">
        <f>+'Gantt Proyectos'!M171</f>
        <v>0</v>
      </c>
      <c r="P103" s="145">
        <f>+'Gantt Proyectos'!N171</f>
        <v>0</v>
      </c>
      <c r="Q103" s="119">
        <f>+'Gantt Proyectos'!O171</f>
        <v>0</v>
      </c>
      <c r="R103" s="119">
        <f>+'Gantt Proyectos'!P171</f>
        <v>0</v>
      </c>
      <c r="S103" s="145">
        <f>+'Gantt Proyectos'!R171</f>
        <v>0</v>
      </c>
      <c r="T103" s="118">
        <f>+'Gantt Proyectos'!S171</f>
        <v>0</v>
      </c>
      <c r="U103" s="156">
        <f>+'Gantt Proyectos'!T171</f>
        <v>0</v>
      </c>
      <c r="V103" s="156">
        <f>+'Gantt Proyectos'!U171</f>
        <v>0</v>
      </c>
      <c r="W103" s="201">
        <f t="shared" si="15"/>
        <v>0</v>
      </c>
      <c r="X103" s="121">
        <f>+'Gantt Proyectos'!W171</f>
        <v>0</v>
      </c>
      <c r="Y103" s="122">
        <f>+'Gantt Proyectos'!X171</f>
        <v>0</v>
      </c>
      <c r="Z103" s="122">
        <f>+'Gantt Proyectos'!Y171</f>
        <v>0</v>
      </c>
      <c r="AA103" s="122">
        <f>+'Gantt Proyectos'!Z171</f>
        <v>0</v>
      </c>
      <c r="AB103" s="122">
        <f>+'Gantt Proyectos'!AA171</f>
        <v>0</v>
      </c>
      <c r="AC103" s="122">
        <f>+'Gantt Proyectos'!AB171</f>
        <v>0</v>
      </c>
      <c r="AD103" s="123">
        <f>+'Gantt Proyectos'!AC171</f>
        <v>0</v>
      </c>
      <c r="AE103" s="123">
        <f>+'Gantt Proyectos'!AD171</f>
        <v>0</v>
      </c>
      <c r="AF103" s="124">
        <f>+'Gantt Proyectos'!AE171</f>
        <v>0</v>
      </c>
      <c r="AG103" s="172">
        <v>1</v>
      </c>
      <c r="AH103" s="168">
        <f>IFERROR(IF('Gantt Proyectos'!AF171&gt;0,SUMIFS('Listas y Parametros'!$C$45:$L$45,'Listas y Parametros'!$C$35:$L$35,'Costo Directo Proyectos'!$AD103)*$AG103,0)+IF('Gantt Proyectos'!AF171=2,$T103,0)/$W103,0)*$L103</f>
        <v>0</v>
      </c>
      <c r="AI103" s="169">
        <f>IFERROR(IF('Gantt Proyectos'!AG171&gt;0,SUMIFS('Listas y Parametros'!$C$45:$L$45,'Listas y Parametros'!$C$35:$L$35,'Costo Directo Proyectos'!$AD103)*$AG103,0)+IF('Gantt Proyectos'!AG171=2,$T103,0)/$W103,0)*$L103</f>
        <v>0</v>
      </c>
      <c r="AJ103" s="169">
        <f>IFERROR(IF('Gantt Proyectos'!AH171&gt;0,SUMIFS('Listas y Parametros'!$C$45:$L$45,'Listas y Parametros'!$C$35:$L$35,'Costo Directo Proyectos'!$AD103)*$AG103,0)+IF('Gantt Proyectos'!AH171=2,$T103,0)/$W103,0)*$L103</f>
        <v>0</v>
      </c>
      <c r="AK103" s="169">
        <f>IFERROR(IF('Gantt Proyectos'!AI171&gt;0,SUMIFS('Listas y Parametros'!$C$45:$L$45,'Listas y Parametros'!$C$35:$L$35,'Costo Directo Proyectos'!$AD103)*$AG103,0)+IF('Gantt Proyectos'!AI171=2,$T103,0)/$W103,0)*$L103</f>
        <v>0</v>
      </c>
      <c r="AL103" s="169">
        <f>IFERROR(IF('Gantt Proyectos'!AJ171&gt;0,SUMIFS('Listas y Parametros'!$C$45:$L$45,'Listas y Parametros'!$C$35:$L$35,'Costo Directo Proyectos'!$AD103)*$AG103,0)+IF('Gantt Proyectos'!AJ171=2,$T103,0)/$W103,0)*$L103</f>
        <v>0</v>
      </c>
      <c r="AM103" s="169">
        <f>IFERROR(IF('Gantt Proyectos'!AK171&gt;0,SUMIFS('Listas y Parametros'!$C$45:$L$45,'Listas y Parametros'!$C$35:$L$35,'Costo Directo Proyectos'!$AD103)*$AG103,0)+IF('Gantt Proyectos'!AK171=2,$T103,0)/$W103,0)*$L103</f>
        <v>0</v>
      </c>
      <c r="AN103" s="169">
        <f>IFERROR(IF('Gantt Proyectos'!AL171&gt;0,SUMIFS('Listas y Parametros'!$C$45:$L$45,'Listas y Parametros'!$C$35:$L$35,'Costo Directo Proyectos'!$AD103)*$AG103,0)+IF('Gantt Proyectos'!AL171=2,$T103,0)/$W103,0)*$L103</f>
        <v>0</v>
      </c>
      <c r="AO103" s="169">
        <f>IFERROR(IF('Gantt Proyectos'!AM171&gt;0,SUMIFS('Listas y Parametros'!$C$45:$L$45,'Listas y Parametros'!$C$35:$L$35,'Costo Directo Proyectos'!$AD103)*$AG103,0)+IF('Gantt Proyectos'!AM171=2,$T103,0)/$W103,0)*$L103</f>
        <v>0</v>
      </c>
      <c r="AP103" s="170">
        <f>IFERROR(IF('Gantt Proyectos'!AN171&gt;0,SUMIFS('Listas y Parametros'!$C$45:$L$45,'Listas y Parametros'!$C$35:$L$35,'Costo Directo Proyectos'!$AD103)*$AG103,0)+IF('Gantt Proyectos'!AN171=2,$T103,0)/$W103,0)*$L103</f>
        <v>0</v>
      </c>
    </row>
    <row r="104" spans="3:42" ht="15" x14ac:dyDescent="0.2">
      <c r="C104" s="144">
        <f>+'Gantt Proyectos'!C172</f>
        <v>76</v>
      </c>
      <c r="D104" s="145">
        <f>+'Gantt Proyectos'!D172</f>
        <v>0</v>
      </c>
      <c r="E104" s="145">
        <f>+'Gantt Proyectos'!E172</f>
        <v>0</v>
      </c>
      <c r="F104" s="147">
        <f>+'Gantt Proyectos'!F172</f>
        <v>0</v>
      </c>
      <c r="G104" s="145">
        <f>+'Gantt Proyectos'!G172</f>
        <v>0</v>
      </c>
      <c r="H104" s="145">
        <f>+'Gantt Proyectos'!H172</f>
        <v>0</v>
      </c>
      <c r="I104" s="189">
        <v>1</v>
      </c>
      <c r="J104" s="189">
        <f t="shared" si="14"/>
        <v>0</v>
      </c>
      <c r="K104" s="145">
        <f>+'Gantt Proyectos'!I172</f>
        <v>0</v>
      </c>
      <c r="L104" s="120">
        <f>+'Gantt Proyectos'!J172</f>
        <v>0</v>
      </c>
      <c r="M104" s="145">
        <f>+'Gantt Proyectos'!K172</f>
        <v>0</v>
      </c>
      <c r="N104" s="145">
        <f>+'Gantt Proyectos'!L172</f>
        <v>0</v>
      </c>
      <c r="O104" s="145">
        <f>+'Gantt Proyectos'!M172</f>
        <v>0</v>
      </c>
      <c r="P104" s="145">
        <f>+'Gantt Proyectos'!N172</f>
        <v>0</v>
      </c>
      <c r="Q104" s="119">
        <f>+'Gantt Proyectos'!O172</f>
        <v>0</v>
      </c>
      <c r="R104" s="119">
        <f>+'Gantt Proyectos'!P172</f>
        <v>0</v>
      </c>
      <c r="S104" s="145">
        <f>+'Gantt Proyectos'!R172</f>
        <v>0</v>
      </c>
      <c r="T104" s="118">
        <f>+'Gantt Proyectos'!S172</f>
        <v>0</v>
      </c>
      <c r="U104" s="156">
        <f>+'Gantt Proyectos'!T172</f>
        <v>0</v>
      </c>
      <c r="V104" s="156">
        <f>+'Gantt Proyectos'!U172</f>
        <v>0</v>
      </c>
      <c r="W104" s="201">
        <f t="shared" si="15"/>
        <v>0</v>
      </c>
      <c r="X104" s="121">
        <f>+'Gantt Proyectos'!W172</f>
        <v>0</v>
      </c>
      <c r="Y104" s="122">
        <f>+'Gantt Proyectos'!X172</f>
        <v>0</v>
      </c>
      <c r="Z104" s="122">
        <f>+'Gantt Proyectos'!Y172</f>
        <v>0</v>
      </c>
      <c r="AA104" s="122">
        <f>+'Gantt Proyectos'!Z172</f>
        <v>0</v>
      </c>
      <c r="AB104" s="122">
        <f>+'Gantt Proyectos'!AA172</f>
        <v>0</v>
      </c>
      <c r="AC104" s="122">
        <f>+'Gantt Proyectos'!AB172</f>
        <v>0</v>
      </c>
      <c r="AD104" s="123">
        <f>+'Gantt Proyectos'!AC172</f>
        <v>0</v>
      </c>
      <c r="AE104" s="123">
        <f>+'Gantt Proyectos'!AD172</f>
        <v>0</v>
      </c>
      <c r="AF104" s="124">
        <f>+'Gantt Proyectos'!AE172</f>
        <v>0</v>
      </c>
      <c r="AG104" s="172">
        <v>1</v>
      </c>
      <c r="AH104" s="168">
        <f>IFERROR(IF('Gantt Proyectos'!AF172&gt;0,SUMIFS('Listas y Parametros'!$C$45:$L$45,'Listas y Parametros'!$C$35:$L$35,'Costo Directo Proyectos'!$AD104)*$AG104,0)+IF('Gantt Proyectos'!AF172=2,$T104,0)/$W104,0)*$L104</f>
        <v>0</v>
      </c>
      <c r="AI104" s="169">
        <f>IFERROR(IF('Gantt Proyectos'!AG172&gt;0,SUMIFS('Listas y Parametros'!$C$45:$L$45,'Listas y Parametros'!$C$35:$L$35,'Costo Directo Proyectos'!$AD104)*$AG104,0)+IF('Gantt Proyectos'!AG172=2,$T104,0)/$W104,0)*$L104</f>
        <v>0</v>
      </c>
      <c r="AJ104" s="169">
        <f>IFERROR(IF('Gantt Proyectos'!AH172&gt;0,SUMIFS('Listas y Parametros'!$C$45:$L$45,'Listas y Parametros'!$C$35:$L$35,'Costo Directo Proyectos'!$AD104)*$AG104,0)+IF('Gantt Proyectos'!AH172=2,$T104,0)/$W104,0)*$L104</f>
        <v>0</v>
      </c>
      <c r="AK104" s="169">
        <f>IFERROR(IF('Gantt Proyectos'!AI172&gt;0,SUMIFS('Listas y Parametros'!$C$45:$L$45,'Listas y Parametros'!$C$35:$L$35,'Costo Directo Proyectos'!$AD104)*$AG104,0)+IF('Gantt Proyectos'!AI172=2,$T104,0)/$W104,0)*$L104</f>
        <v>0</v>
      </c>
      <c r="AL104" s="169">
        <f>IFERROR(IF('Gantt Proyectos'!AJ172&gt;0,SUMIFS('Listas y Parametros'!$C$45:$L$45,'Listas y Parametros'!$C$35:$L$35,'Costo Directo Proyectos'!$AD104)*$AG104,0)+IF('Gantt Proyectos'!AJ172=2,$T104,0)/$W104,0)*$L104</f>
        <v>0</v>
      </c>
      <c r="AM104" s="169">
        <f>IFERROR(IF('Gantt Proyectos'!AK172&gt;0,SUMIFS('Listas y Parametros'!$C$45:$L$45,'Listas y Parametros'!$C$35:$L$35,'Costo Directo Proyectos'!$AD104)*$AG104,0)+IF('Gantt Proyectos'!AK172=2,$T104,0)/$W104,0)*$L104</f>
        <v>0</v>
      </c>
      <c r="AN104" s="169">
        <f>IFERROR(IF('Gantt Proyectos'!AL172&gt;0,SUMIFS('Listas y Parametros'!$C$45:$L$45,'Listas y Parametros'!$C$35:$L$35,'Costo Directo Proyectos'!$AD104)*$AG104,0)+IF('Gantt Proyectos'!AL172=2,$T104,0)/$W104,0)*$L104</f>
        <v>0</v>
      </c>
      <c r="AO104" s="169">
        <f>IFERROR(IF('Gantt Proyectos'!AM172&gt;0,SUMIFS('Listas y Parametros'!$C$45:$L$45,'Listas y Parametros'!$C$35:$L$35,'Costo Directo Proyectos'!$AD104)*$AG104,0)+IF('Gantt Proyectos'!AM172=2,$T104,0)/$W104,0)*$L104</f>
        <v>0</v>
      </c>
      <c r="AP104" s="170">
        <f>IFERROR(IF('Gantt Proyectos'!AN172&gt;0,SUMIFS('Listas y Parametros'!$C$45:$L$45,'Listas y Parametros'!$C$35:$L$35,'Costo Directo Proyectos'!$AD104)*$AG104,0)+IF('Gantt Proyectos'!AN172=2,$T104,0)/$W104,0)*$L104</f>
        <v>0</v>
      </c>
    </row>
    <row r="105" spans="3:42" ht="15" x14ac:dyDescent="0.2">
      <c r="C105" s="144">
        <f>+'Gantt Proyectos'!C173</f>
        <v>77</v>
      </c>
      <c r="D105" s="145">
        <f>+'Gantt Proyectos'!D173</f>
        <v>0</v>
      </c>
      <c r="E105" s="145">
        <f>+'Gantt Proyectos'!E173</f>
        <v>0</v>
      </c>
      <c r="F105" s="147">
        <f>+'Gantt Proyectos'!F173</f>
        <v>0</v>
      </c>
      <c r="G105" s="145">
        <f>+'Gantt Proyectos'!G173</f>
        <v>0</v>
      </c>
      <c r="H105" s="145">
        <f>+'Gantt Proyectos'!H173</f>
        <v>0</v>
      </c>
      <c r="I105" s="189">
        <v>1</v>
      </c>
      <c r="J105" s="189">
        <f t="shared" si="14"/>
        <v>0</v>
      </c>
      <c r="K105" s="145">
        <f>+'Gantt Proyectos'!I173</f>
        <v>0</v>
      </c>
      <c r="L105" s="120">
        <f>+'Gantt Proyectos'!J173</f>
        <v>0</v>
      </c>
      <c r="M105" s="145">
        <f>+'Gantt Proyectos'!K173</f>
        <v>0</v>
      </c>
      <c r="N105" s="145">
        <f>+'Gantt Proyectos'!L173</f>
        <v>0</v>
      </c>
      <c r="O105" s="145">
        <f>+'Gantt Proyectos'!M173</f>
        <v>0</v>
      </c>
      <c r="P105" s="145">
        <f>+'Gantt Proyectos'!N173</f>
        <v>0</v>
      </c>
      <c r="Q105" s="119">
        <f>+'Gantt Proyectos'!O173</f>
        <v>0</v>
      </c>
      <c r="R105" s="119">
        <f>+'Gantt Proyectos'!P173</f>
        <v>0</v>
      </c>
      <c r="S105" s="145">
        <f>+'Gantt Proyectos'!R173</f>
        <v>0</v>
      </c>
      <c r="T105" s="118">
        <f>+'Gantt Proyectos'!S173</f>
        <v>0</v>
      </c>
      <c r="U105" s="156">
        <f>+'Gantt Proyectos'!T173</f>
        <v>0</v>
      </c>
      <c r="V105" s="156">
        <f>+'Gantt Proyectos'!U173</f>
        <v>0</v>
      </c>
      <c r="W105" s="201">
        <f t="shared" si="15"/>
        <v>0</v>
      </c>
      <c r="X105" s="121">
        <f>+'Gantt Proyectos'!W173</f>
        <v>0</v>
      </c>
      <c r="Y105" s="122">
        <f>+'Gantt Proyectos'!X173</f>
        <v>0</v>
      </c>
      <c r="Z105" s="122">
        <f>+'Gantt Proyectos'!Y173</f>
        <v>0</v>
      </c>
      <c r="AA105" s="122">
        <f>+'Gantt Proyectos'!Z173</f>
        <v>0</v>
      </c>
      <c r="AB105" s="122">
        <f>+'Gantt Proyectos'!AA173</f>
        <v>0</v>
      </c>
      <c r="AC105" s="122">
        <f>+'Gantt Proyectos'!AB173</f>
        <v>0</v>
      </c>
      <c r="AD105" s="123">
        <f>+'Gantt Proyectos'!AC173</f>
        <v>0</v>
      </c>
      <c r="AE105" s="123">
        <f>+'Gantt Proyectos'!AD173</f>
        <v>0</v>
      </c>
      <c r="AF105" s="124">
        <f>+'Gantt Proyectos'!AE173</f>
        <v>0</v>
      </c>
      <c r="AG105" s="172">
        <v>1</v>
      </c>
      <c r="AH105" s="168">
        <f>IFERROR(IF('Gantt Proyectos'!AF173&gt;0,SUMIFS('Listas y Parametros'!$C$45:$L$45,'Listas y Parametros'!$C$35:$L$35,'Costo Directo Proyectos'!$AD105)*$AG105,0)+IF('Gantt Proyectos'!AF173=2,$T105,0)/$W105,0)*$L105</f>
        <v>0</v>
      </c>
      <c r="AI105" s="169">
        <f>IFERROR(IF('Gantt Proyectos'!AG173&gt;0,SUMIFS('Listas y Parametros'!$C$45:$L$45,'Listas y Parametros'!$C$35:$L$35,'Costo Directo Proyectos'!$AD105)*$AG105,0)+IF('Gantt Proyectos'!AG173=2,$T105,0)/$W105,0)*$L105</f>
        <v>0</v>
      </c>
      <c r="AJ105" s="169">
        <f>IFERROR(IF('Gantt Proyectos'!AH173&gt;0,SUMIFS('Listas y Parametros'!$C$45:$L$45,'Listas y Parametros'!$C$35:$L$35,'Costo Directo Proyectos'!$AD105)*$AG105,0)+IF('Gantt Proyectos'!AH173=2,$T105,0)/$W105,0)*$L105</f>
        <v>0</v>
      </c>
      <c r="AK105" s="169">
        <f>IFERROR(IF('Gantt Proyectos'!AI173&gt;0,SUMIFS('Listas y Parametros'!$C$45:$L$45,'Listas y Parametros'!$C$35:$L$35,'Costo Directo Proyectos'!$AD105)*$AG105,0)+IF('Gantt Proyectos'!AI173=2,$T105,0)/$W105,0)*$L105</f>
        <v>0</v>
      </c>
      <c r="AL105" s="169">
        <f>IFERROR(IF('Gantt Proyectos'!AJ173&gt;0,SUMIFS('Listas y Parametros'!$C$45:$L$45,'Listas y Parametros'!$C$35:$L$35,'Costo Directo Proyectos'!$AD105)*$AG105,0)+IF('Gantt Proyectos'!AJ173=2,$T105,0)/$W105,0)*$L105</f>
        <v>0</v>
      </c>
      <c r="AM105" s="169">
        <f>IFERROR(IF('Gantt Proyectos'!AK173&gt;0,SUMIFS('Listas y Parametros'!$C$45:$L$45,'Listas y Parametros'!$C$35:$L$35,'Costo Directo Proyectos'!$AD105)*$AG105,0)+IF('Gantt Proyectos'!AK173=2,$T105,0)/$W105,0)*$L105</f>
        <v>0</v>
      </c>
      <c r="AN105" s="169">
        <f>IFERROR(IF('Gantt Proyectos'!AL173&gt;0,SUMIFS('Listas y Parametros'!$C$45:$L$45,'Listas y Parametros'!$C$35:$L$35,'Costo Directo Proyectos'!$AD105)*$AG105,0)+IF('Gantt Proyectos'!AL173=2,$T105,0)/$W105,0)*$L105</f>
        <v>0</v>
      </c>
      <c r="AO105" s="169">
        <f>IFERROR(IF('Gantt Proyectos'!AM173&gt;0,SUMIFS('Listas y Parametros'!$C$45:$L$45,'Listas y Parametros'!$C$35:$L$35,'Costo Directo Proyectos'!$AD105)*$AG105,0)+IF('Gantt Proyectos'!AM173=2,$T105,0)/$W105,0)*$L105</f>
        <v>0</v>
      </c>
      <c r="AP105" s="170">
        <f>IFERROR(IF('Gantt Proyectos'!AN173&gt;0,SUMIFS('Listas y Parametros'!$C$45:$L$45,'Listas y Parametros'!$C$35:$L$35,'Costo Directo Proyectos'!$AD105)*$AG105,0)+IF('Gantt Proyectos'!AN173=2,$T105,0)/$W105,0)*$L105</f>
        <v>0</v>
      </c>
    </row>
    <row r="106" spans="3:42" ht="15" x14ac:dyDescent="0.2">
      <c r="C106" s="144">
        <f>+'Gantt Proyectos'!C174</f>
        <v>78</v>
      </c>
      <c r="D106" s="145">
        <f>+'Gantt Proyectos'!D174</f>
        <v>0</v>
      </c>
      <c r="E106" s="145">
        <f>+'Gantt Proyectos'!E174</f>
        <v>0</v>
      </c>
      <c r="F106" s="147">
        <f>+'Gantt Proyectos'!F174</f>
        <v>0</v>
      </c>
      <c r="G106" s="145">
        <f>+'Gantt Proyectos'!G174</f>
        <v>0</v>
      </c>
      <c r="H106" s="145">
        <f>+'Gantt Proyectos'!H174</f>
        <v>0</v>
      </c>
      <c r="I106" s="189">
        <v>1</v>
      </c>
      <c r="J106" s="189">
        <f t="shared" si="14"/>
        <v>0</v>
      </c>
      <c r="K106" s="145">
        <f>+'Gantt Proyectos'!I174</f>
        <v>0</v>
      </c>
      <c r="L106" s="120">
        <f>+'Gantt Proyectos'!J174</f>
        <v>0</v>
      </c>
      <c r="M106" s="145">
        <f>+'Gantt Proyectos'!K174</f>
        <v>0</v>
      </c>
      <c r="N106" s="145">
        <f>+'Gantt Proyectos'!L174</f>
        <v>0</v>
      </c>
      <c r="O106" s="145">
        <f>+'Gantt Proyectos'!M174</f>
        <v>0</v>
      </c>
      <c r="P106" s="145">
        <f>+'Gantt Proyectos'!N174</f>
        <v>0</v>
      </c>
      <c r="Q106" s="119">
        <f>+'Gantt Proyectos'!O174</f>
        <v>0</v>
      </c>
      <c r="R106" s="119">
        <f>+'Gantt Proyectos'!P174</f>
        <v>0</v>
      </c>
      <c r="S106" s="145">
        <f>+'Gantt Proyectos'!R174</f>
        <v>0</v>
      </c>
      <c r="T106" s="118">
        <f>+'Gantt Proyectos'!S174</f>
        <v>0</v>
      </c>
      <c r="U106" s="156">
        <f>+'Gantt Proyectos'!T174</f>
        <v>0</v>
      </c>
      <c r="V106" s="156">
        <f>+'Gantt Proyectos'!U174</f>
        <v>0</v>
      </c>
      <c r="W106" s="201">
        <f t="shared" si="15"/>
        <v>0</v>
      </c>
      <c r="X106" s="121">
        <f>+'Gantt Proyectos'!W174</f>
        <v>0</v>
      </c>
      <c r="Y106" s="122">
        <f>+'Gantt Proyectos'!X174</f>
        <v>0</v>
      </c>
      <c r="Z106" s="122">
        <f>+'Gantt Proyectos'!Y174</f>
        <v>0</v>
      </c>
      <c r="AA106" s="122">
        <f>+'Gantt Proyectos'!Z174</f>
        <v>0</v>
      </c>
      <c r="AB106" s="122">
        <f>+'Gantt Proyectos'!AA174</f>
        <v>0</v>
      </c>
      <c r="AC106" s="122">
        <f>+'Gantt Proyectos'!AB174</f>
        <v>0</v>
      </c>
      <c r="AD106" s="123">
        <f>+'Gantt Proyectos'!AC174</f>
        <v>0</v>
      </c>
      <c r="AE106" s="123">
        <f>+'Gantt Proyectos'!AD174</f>
        <v>0</v>
      </c>
      <c r="AF106" s="124">
        <f>+'Gantt Proyectos'!AE174</f>
        <v>0</v>
      </c>
      <c r="AG106" s="172">
        <v>1</v>
      </c>
      <c r="AH106" s="168">
        <f>IFERROR(IF('Gantt Proyectos'!AF174&gt;0,SUMIFS('Listas y Parametros'!$C$45:$L$45,'Listas y Parametros'!$C$35:$L$35,'Costo Directo Proyectos'!$AD106)*$AG106,0)+IF('Gantt Proyectos'!AF174=2,$T106,0)/$W106,0)*$L106</f>
        <v>0</v>
      </c>
      <c r="AI106" s="169">
        <f>IFERROR(IF('Gantt Proyectos'!AG174&gt;0,SUMIFS('Listas y Parametros'!$C$45:$L$45,'Listas y Parametros'!$C$35:$L$35,'Costo Directo Proyectos'!$AD106)*$AG106,0)+IF('Gantt Proyectos'!AG174=2,$T106,0)/$W106,0)*$L106</f>
        <v>0</v>
      </c>
      <c r="AJ106" s="169">
        <f>IFERROR(IF('Gantt Proyectos'!AH174&gt;0,SUMIFS('Listas y Parametros'!$C$45:$L$45,'Listas y Parametros'!$C$35:$L$35,'Costo Directo Proyectos'!$AD106)*$AG106,0)+IF('Gantt Proyectos'!AH174=2,$T106,0)/$W106,0)*$L106</f>
        <v>0</v>
      </c>
      <c r="AK106" s="169">
        <f>IFERROR(IF('Gantt Proyectos'!AI174&gt;0,SUMIFS('Listas y Parametros'!$C$45:$L$45,'Listas y Parametros'!$C$35:$L$35,'Costo Directo Proyectos'!$AD106)*$AG106,0)+IF('Gantt Proyectos'!AI174=2,$T106,0)/$W106,0)*$L106</f>
        <v>0</v>
      </c>
      <c r="AL106" s="169">
        <f>IFERROR(IF('Gantt Proyectos'!AJ174&gt;0,SUMIFS('Listas y Parametros'!$C$45:$L$45,'Listas y Parametros'!$C$35:$L$35,'Costo Directo Proyectos'!$AD106)*$AG106,0)+IF('Gantt Proyectos'!AJ174=2,$T106,0)/$W106,0)*$L106</f>
        <v>0</v>
      </c>
      <c r="AM106" s="169">
        <f>IFERROR(IF('Gantt Proyectos'!AK174&gt;0,SUMIFS('Listas y Parametros'!$C$45:$L$45,'Listas y Parametros'!$C$35:$L$35,'Costo Directo Proyectos'!$AD106)*$AG106,0)+IF('Gantt Proyectos'!AK174=2,$T106,0)/$W106,0)*$L106</f>
        <v>0</v>
      </c>
      <c r="AN106" s="169">
        <f>IFERROR(IF('Gantt Proyectos'!AL174&gt;0,SUMIFS('Listas y Parametros'!$C$45:$L$45,'Listas y Parametros'!$C$35:$L$35,'Costo Directo Proyectos'!$AD106)*$AG106,0)+IF('Gantt Proyectos'!AL174=2,$T106,0)/$W106,0)*$L106</f>
        <v>0</v>
      </c>
      <c r="AO106" s="169">
        <f>IFERROR(IF('Gantt Proyectos'!AM174&gt;0,SUMIFS('Listas y Parametros'!$C$45:$L$45,'Listas y Parametros'!$C$35:$L$35,'Costo Directo Proyectos'!$AD106)*$AG106,0)+IF('Gantt Proyectos'!AM174=2,$T106,0)/$W106,0)*$L106</f>
        <v>0</v>
      </c>
      <c r="AP106" s="170">
        <f>IFERROR(IF('Gantt Proyectos'!AN174&gt;0,SUMIFS('Listas y Parametros'!$C$45:$L$45,'Listas y Parametros'!$C$35:$L$35,'Costo Directo Proyectos'!$AD106)*$AG106,0)+IF('Gantt Proyectos'!AN174=2,$T106,0)/$W106,0)*$L106</f>
        <v>0</v>
      </c>
    </row>
    <row r="107" spans="3:42" ht="15" x14ac:dyDescent="0.2">
      <c r="C107" s="144">
        <f>+'Gantt Proyectos'!C175</f>
        <v>79</v>
      </c>
      <c r="D107" s="145">
        <f>+'Gantt Proyectos'!D175</f>
        <v>0</v>
      </c>
      <c r="E107" s="145">
        <f>+'Gantt Proyectos'!E175</f>
        <v>0</v>
      </c>
      <c r="F107" s="147">
        <f>+'Gantt Proyectos'!F175</f>
        <v>0</v>
      </c>
      <c r="G107" s="145">
        <f>+'Gantt Proyectos'!G175</f>
        <v>0</v>
      </c>
      <c r="H107" s="145">
        <f>+'Gantt Proyectos'!H175</f>
        <v>0</v>
      </c>
      <c r="I107" s="189">
        <v>1</v>
      </c>
      <c r="J107" s="189">
        <f t="shared" si="14"/>
        <v>0</v>
      </c>
      <c r="K107" s="145">
        <f>+'Gantt Proyectos'!I175</f>
        <v>0</v>
      </c>
      <c r="L107" s="120">
        <f>+'Gantt Proyectos'!J175</f>
        <v>0</v>
      </c>
      <c r="M107" s="145">
        <f>+'Gantt Proyectos'!K175</f>
        <v>0</v>
      </c>
      <c r="N107" s="145">
        <f>+'Gantt Proyectos'!L175</f>
        <v>0</v>
      </c>
      <c r="O107" s="145">
        <f>+'Gantt Proyectos'!M175</f>
        <v>0</v>
      </c>
      <c r="P107" s="145">
        <f>+'Gantt Proyectos'!N175</f>
        <v>0</v>
      </c>
      <c r="Q107" s="119">
        <f>+'Gantt Proyectos'!O175</f>
        <v>0</v>
      </c>
      <c r="R107" s="119">
        <f>+'Gantt Proyectos'!P175</f>
        <v>0</v>
      </c>
      <c r="S107" s="145">
        <f>+'Gantt Proyectos'!R175</f>
        <v>0</v>
      </c>
      <c r="T107" s="118">
        <f>+'Gantt Proyectos'!S175</f>
        <v>0</v>
      </c>
      <c r="U107" s="156">
        <f>+'Gantt Proyectos'!T175</f>
        <v>0</v>
      </c>
      <c r="V107" s="156">
        <f>+'Gantt Proyectos'!U175</f>
        <v>0</v>
      </c>
      <c r="W107" s="201">
        <f t="shared" si="15"/>
        <v>0</v>
      </c>
      <c r="X107" s="121">
        <f>+'Gantt Proyectos'!W175</f>
        <v>0</v>
      </c>
      <c r="Y107" s="122">
        <f>+'Gantt Proyectos'!X175</f>
        <v>0</v>
      </c>
      <c r="Z107" s="122">
        <f>+'Gantt Proyectos'!Y175</f>
        <v>0</v>
      </c>
      <c r="AA107" s="122">
        <f>+'Gantt Proyectos'!Z175</f>
        <v>0</v>
      </c>
      <c r="AB107" s="122">
        <f>+'Gantt Proyectos'!AA175</f>
        <v>0</v>
      </c>
      <c r="AC107" s="122">
        <f>+'Gantt Proyectos'!AB175</f>
        <v>0</v>
      </c>
      <c r="AD107" s="123">
        <f>+'Gantt Proyectos'!AC175</f>
        <v>0</v>
      </c>
      <c r="AE107" s="123">
        <f>+'Gantt Proyectos'!AD175</f>
        <v>0</v>
      </c>
      <c r="AF107" s="124">
        <f>+'Gantt Proyectos'!AE175</f>
        <v>0</v>
      </c>
      <c r="AG107" s="172">
        <v>1</v>
      </c>
      <c r="AH107" s="168">
        <f>IFERROR(IF('Gantt Proyectos'!AF175&gt;0,SUMIFS('Listas y Parametros'!$C$45:$L$45,'Listas y Parametros'!$C$35:$L$35,'Costo Directo Proyectos'!$AD107)*$AG107,0)+IF('Gantt Proyectos'!AF175=2,$T107,0)/$W107,0)*$L107</f>
        <v>0</v>
      </c>
      <c r="AI107" s="169">
        <f>IFERROR(IF('Gantt Proyectos'!AG175&gt;0,SUMIFS('Listas y Parametros'!$C$45:$L$45,'Listas y Parametros'!$C$35:$L$35,'Costo Directo Proyectos'!$AD107)*$AG107,0)+IF('Gantt Proyectos'!AG175=2,$T107,0)/$W107,0)*$L107</f>
        <v>0</v>
      </c>
      <c r="AJ107" s="169">
        <f>IFERROR(IF('Gantt Proyectos'!AH175&gt;0,SUMIFS('Listas y Parametros'!$C$45:$L$45,'Listas y Parametros'!$C$35:$L$35,'Costo Directo Proyectos'!$AD107)*$AG107,0)+IF('Gantt Proyectos'!AH175=2,$T107,0)/$W107,0)*$L107</f>
        <v>0</v>
      </c>
      <c r="AK107" s="169">
        <f>IFERROR(IF('Gantt Proyectos'!AI175&gt;0,SUMIFS('Listas y Parametros'!$C$45:$L$45,'Listas y Parametros'!$C$35:$L$35,'Costo Directo Proyectos'!$AD107)*$AG107,0)+IF('Gantt Proyectos'!AI175=2,$T107,0)/$W107,0)*$L107</f>
        <v>0</v>
      </c>
      <c r="AL107" s="169">
        <f>IFERROR(IF('Gantt Proyectos'!AJ175&gt;0,SUMIFS('Listas y Parametros'!$C$45:$L$45,'Listas y Parametros'!$C$35:$L$35,'Costo Directo Proyectos'!$AD107)*$AG107,0)+IF('Gantt Proyectos'!AJ175=2,$T107,0)/$W107,0)*$L107</f>
        <v>0</v>
      </c>
      <c r="AM107" s="169">
        <f>IFERROR(IF('Gantt Proyectos'!AK175&gt;0,SUMIFS('Listas y Parametros'!$C$45:$L$45,'Listas y Parametros'!$C$35:$L$35,'Costo Directo Proyectos'!$AD107)*$AG107,0)+IF('Gantt Proyectos'!AK175=2,$T107,0)/$W107,0)*$L107</f>
        <v>0</v>
      </c>
      <c r="AN107" s="169">
        <f>IFERROR(IF('Gantt Proyectos'!AL175&gt;0,SUMIFS('Listas y Parametros'!$C$45:$L$45,'Listas y Parametros'!$C$35:$L$35,'Costo Directo Proyectos'!$AD107)*$AG107,0)+IF('Gantt Proyectos'!AL175=2,$T107,0)/$W107,0)*$L107</f>
        <v>0</v>
      </c>
      <c r="AO107" s="169">
        <f>IFERROR(IF('Gantt Proyectos'!AM175&gt;0,SUMIFS('Listas y Parametros'!$C$45:$L$45,'Listas y Parametros'!$C$35:$L$35,'Costo Directo Proyectos'!$AD107)*$AG107,0)+IF('Gantt Proyectos'!AM175=2,$T107,0)/$W107,0)*$L107</f>
        <v>0</v>
      </c>
      <c r="AP107" s="170">
        <f>IFERROR(IF('Gantt Proyectos'!AN175&gt;0,SUMIFS('Listas y Parametros'!$C$45:$L$45,'Listas y Parametros'!$C$35:$L$35,'Costo Directo Proyectos'!$AD107)*$AG107,0)+IF('Gantt Proyectos'!AN175=2,$T107,0)/$W107,0)*$L107</f>
        <v>0</v>
      </c>
    </row>
    <row r="108" spans="3:42" ht="15" x14ac:dyDescent="0.2">
      <c r="C108" s="144">
        <f>+'Gantt Proyectos'!C176</f>
        <v>80</v>
      </c>
      <c r="D108" s="145">
        <f>+'Gantt Proyectos'!D176</f>
        <v>0</v>
      </c>
      <c r="E108" s="145">
        <f>+'Gantt Proyectos'!E176</f>
        <v>0</v>
      </c>
      <c r="F108" s="147">
        <f>+'Gantt Proyectos'!F176</f>
        <v>0</v>
      </c>
      <c r="G108" s="145">
        <f>+'Gantt Proyectos'!G176</f>
        <v>0</v>
      </c>
      <c r="H108" s="145">
        <f>+'Gantt Proyectos'!H176</f>
        <v>0</v>
      </c>
      <c r="I108" s="189">
        <v>1</v>
      </c>
      <c r="J108" s="189">
        <f t="shared" si="14"/>
        <v>0</v>
      </c>
      <c r="K108" s="145">
        <f>+'Gantt Proyectos'!I176</f>
        <v>0</v>
      </c>
      <c r="L108" s="120">
        <f>+'Gantt Proyectos'!J176</f>
        <v>0</v>
      </c>
      <c r="M108" s="145">
        <f>+'Gantt Proyectos'!K176</f>
        <v>0</v>
      </c>
      <c r="N108" s="145">
        <f>+'Gantt Proyectos'!L176</f>
        <v>0</v>
      </c>
      <c r="O108" s="145">
        <f>+'Gantt Proyectos'!M176</f>
        <v>0</v>
      </c>
      <c r="P108" s="145">
        <f>+'Gantt Proyectos'!N176</f>
        <v>0</v>
      </c>
      <c r="Q108" s="119">
        <f>+'Gantt Proyectos'!O176</f>
        <v>0</v>
      </c>
      <c r="R108" s="119">
        <f>+'Gantt Proyectos'!P176</f>
        <v>0</v>
      </c>
      <c r="S108" s="145">
        <f>+'Gantt Proyectos'!R176</f>
        <v>0</v>
      </c>
      <c r="T108" s="118">
        <f>+'Gantt Proyectos'!S176</f>
        <v>0</v>
      </c>
      <c r="U108" s="156">
        <f>+'Gantt Proyectos'!T176</f>
        <v>0</v>
      </c>
      <c r="V108" s="156">
        <f>+'Gantt Proyectos'!U176</f>
        <v>0</v>
      </c>
      <c r="W108" s="201">
        <f t="shared" si="15"/>
        <v>0</v>
      </c>
      <c r="X108" s="121">
        <f>+'Gantt Proyectos'!W176</f>
        <v>0</v>
      </c>
      <c r="Y108" s="122">
        <f>+'Gantt Proyectos'!X176</f>
        <v>0</v>
      </c>
      <c r="Z108" s="122">
        <f>+'Gantt Proyectos'!Y176</f>
        <v>0</v>
      </c>
      <c r="AA108" s="122">
        <f>+'Gantt Proyectos'!Z176</f>
        <v>0</v>
      </c>
      <c r="AB108" s="122">
        <f>+'Gantt Proyectos'!AA176</f>
        <v>0</v>
      </c>
      <c r="AC108" s="122">
        <f>+'Gantt Proyectos'!AB176</f>
        <v>0</v>
      </c>
      <c r="AD108" s="123">
        <f>+'Gantt Proyectos'!AC176</f>
        <v>0</v>
      </c>
      <c r="AE108" s="123">
        <f>+'Gantt Proyectos'!AD176</f>
        <v>0</v>
      </c>
      <c r="AF108" s="124">
        <f>+'Gantt Proyectos'!AE176</f>
        <v>0</v>
      </c>
      <c r="AG108" s="172">
        <v>1</v>
      </c>
      <c r="AH108" s="168">
        <f>IFERROR(IF('Gantt Proyectos'!AF176&gt;0,SUMIFS('Listas y Parametros'!$C$45:$L$45,'Listas y Parametros'!$C$35:$L$35,'Costo Directo Proyectos'!$AD108)*$AG108,0)+IF('Gantt Proyectos'!AF176=2,$T108,0)/$W108,0)*$L108</f>
        <v>0</v>
      </c>
      <c r="AI108" s="169">
        <f>IFERROR(IF('Gantt Proyectos'!AG176&gt;0,SUMIFS('Listas y Parametros'!$C$45:$L$45,'Listas y Parametros'!$C$35:$L$35,'Costo Directo Proyectos'!$AD108)*$AG108,0)+IF('Gantt Proyectos'!AG176=2,$T108,0)/$W108,0)*$L108</f>
        <v>0</v>
      </c>
      <c r="AJ108" s="169">
        <f>IFERROR(IF('Gantt Proyectos'!AH176&gt;0,SUMIFS('Listas y Parametros'!$C$45:$L$45,'Listas y Parametros'!$C$35:$L$35,'Costo Directo Proyectos'!$AD108)*$AG108,0)+IF('Gantt Proyectos'!AH176=2,$T108,0)/$W108,0)*$L108</f>
        <v>0</v>
      </c>
      <c r="AK108" s="169">
        <f>IFERROR(IF('Gantt Proyectos'!AI176&gt;0,SUMIFS('Listas y Parametros'!$C$45:$L$45,'Listas y Parametros'!$C$35:$L$35,'Costo Directo Proyectos'!$AD108)*$AG108,0)+IF('Gantt Proyectos'!AI176=2,$T108,0)/$W108,0)*$L108</f>
        <v>0</v>
      </c>
      <c r="AL108" s="169">
        <f>IFERROR(IF('Gantt Proyectos'!AJ176&gt;0,SUMIFS('Listas y Parametros'!$C$45:$L$45,'Listas y Parametros'!$C$35:$L$35,'Costo Directo Proyectos'!$AD108)*$AG108,0)+IF('Gantt Proyectos'!AJ176=2,$T108,0)/$W108,0)*$L108</f>
        <v>0</v>
      </c>
      <c r="AM108" s="169">
        <f>IFERROR(IF('Gantt Proyectos'!AK176&gt;0,SUMIFS('Listas y Parametros'!$C$45:$L$45,'Listas y Parametros'!$C$35:$L$35,'Costo Directo Proyectos'!$AD108)*$AG108,0)+IF('Gantt Proyectos'!AK176=2,$T108,0)/$W108,0)*$L108</f>
        <v>0</v>
      </c>
      <c r="AN108" s="169">
        <f>IFERROR(IF('Gantt Proyectos'!AL176&gt;0,SUMIFS('Listas y Parametros'!$C$45:$L$45,'Listas y Parametros'!$C$35:$L$35,'Costo Directo Proyectos'!$AD108)*$AG108,0)+IF('Gantt Proyectos'!AL176=2,$T108,0)/$W108,0)*$L108</f>
        <v>0</v>
      </c>
      <c r="AO108" s="169">
        <f>IFERROR(IF('Gantt Proyectos'!AM176&gt;0,SUMIFS('Listas y Parametros'!$C$45:$L$45,'Listas y Parametros'!$C$35:$L$35,'Costo Directo Proyectos'!$AD108)*$AG108,0)+IF('Gantt Proyectos'!AM176=2,$T108,0)/$W108,0)*$L108</f>
        <v>0</v>
      </c>
      <c r="AP108" s="170">
        <f>IFERROR(IF('Gantt Proyectos'!AN176&gt;0,SUMIFS('Listas y Parametros'!$C$45:$L$45,'Listas y Parametros'!$C$35:$L$35,'Costo Directo Proyectos'!$AD108)*$AG108,0)+IF('Gantt Proyectos'!AN176=2,$T108,0)/$W108,0)*$L108</f>
        <v>0</v>
      </c>
    </row>
    <row r="109" spans="3:42" ht="15" x14ac:dyDescent="0.2">
      <c r="C109" s="144">
        <f>+'Gantt Proyectos'!C177</f>
        <v>81</v>
      </c>
      <c r="D109" s="145">
        <f>+'Gantt Proyectos'!D177</f>
        <v>0</v>
      </c>
      <c r="E109" s="145">
        <f>+'Gantt Proyectos'!E177</f>
        <v>0</v>
      </c>
      <c r="F109" s="147">
        <f>+'Gantt Proyectos'!F177</f>
        <v>0</v>
      </c>
      <c r="G109" s="145">
        <f>+'Gantt Proyectos'!G177</f>
        <v>0</v>
      </c>
      <c r="H109" s="145">
        <f>+'Gantt Proyectos'!H177</f>
        <v>0</v>
      </c>
      <c r="I109" s="189">
        <v>1</v>
      </c>
      <c r="J109" s="189">
        <f t="shared" si="14"/>
        <v>0</v>
      </c>
      <c r="K109" s="145">
        <f>+'Gantt Proyectos'!I177</f>
        <v>0</v>
      </c>
      <c r="L109" s="120">
        <f>+'Gantt Proyectos'!J177</f>
        <v>0</v>
      </c>
      <c r="M109" s="145">
        <f>+'Gantt Proyectos'!K177</f>
        <v>0</v>
      </c>
      <c r="N109" s="145">
        <f>+'Gantt Proyectos'!L177</f>
        <v>0</v>
      </c>
      <c r="O109" s="145">
        <f>+'Gantt Proyectos'!M177</f>
        <v>0</v>
      </c>
      <c r="P109" s="145">
        <f>+'Gantt Proyectos'!N177</f>
        <v>0</v>
      </c>
      <c r="Q109" s="119">
        <f>+'Gantt Proyectos'!O177</f>
        <v>0</v>
      </c>
      <c r="R109" s="119">
        <f>+'Gantt Proyectos'!P177</f>
        <v>0</v>
      </c>
      <c r="S109" s="145">
        <f>+'Gantt Proyectos'!R177</f>
        <v>0</v>
      </c>
      <c r="T109" s="118">
        <f>+'Gantt Proyectos'!S177</f>
        <v>0</v>
      </c>
      <c r="U109" s="156">
        <f>+'Gantt Proyectos'!T177</f>
        <v>0</v>
      </c>
      <c r="V109" s="156">
        <f>+'Gantt Proyectos'!U177</f>
        <v>0</v>
      </c>
      <c r="W109" s="201">
        <f t="shared" si="15"/>
        <v>0</v>
      </c>
      <c r="X109" s="121">
        <f>+'Gantt Proyectos'!W177</f>
        <v>0</v>
      </c>
      <c r="Y109" s="122">
        <f>+'Gantt Proyectos'!X177</f>
        <v>0</v>
      </c>
      <c r="Z109" s="122">
        <f>+'Gantt Proyectos'!Y177</f>
        <v>0</v>
      </c>
      <c r="AA109" s="122">
        <f>+'Gantt Proyectos'!Z177</f>
        <v>0</v>
      </c>
      <c r="AB109" s="122">
        <f>+'Gantt Proyectos'!AA177</f>
        <v>0</v>
      </c>
      <c r="AC109" s="122">
        <f>+'Gantt Proyectos'!AB177</f>
        <v>0</v>
      </c>
      <c r="AD109" s="123">
        <f>+'Gantt Proyectos'!AC177</f>
        <v>0</v>
      </c>
      <c r="AE109" s="123">
        <f>+'Gantt Proyectos'!AD177</f>
        <v>0</v>
      </c>
      <c r="AF109" s="124">
        <f>+'Gantt Proyectos'!AE177</f>
        <v>0</v>
      </c>
      <c r="AG109" s="172">
        <v>1</v>
      </c>
      <c r="AH109" s="168">
        <f>IFERROR(IF('Gantt Proyectos'!AF177&gt;0,SUMIFS('Listas y Parametros'!$C$45:$L$45,'Listas y Parametros'!$C$35:$L$35,'Costo Directo Proyectos'!$AD109)*$AG109,0)+IF('Gantt Proyectos'!AF177=2,$T109,0)/$W109,0)*$L109</f>
        <v>0</v>
      </c>
      <c r="AI109" s="169">
        <f>IFERROR(IF('Gantt Proyectos'!AG177&gt;0,SUMIFS('Listas y Parametros'!$C$45:$L$45,'Listas y Parametros'!$C$35:$L$35,'Costo Directo Proyectos'!$AD109)*$AG109,0)+IF('Gantt Proyectos'!AG177=2,$T109,0)/$W109,0)*$L109</f>
        <v>0</v>
      </c>
      <c r="AJ109" s="169">
        <f>IFERROR(IF('Gantt Proyectos'!AH177&gt;0,SUMIFS('Listas y Parametros'!$C$45:$L$45,'Listas y Parametros'!$C$35:$L$35,'Costo Directo Proyectos'!$AD109)*$AG109,0)+IF('Gantt Proyectos'!AH177=2,$T109,0)/$W109,0)*$L109</f>
        <v>0</v>
      </c>
      <c r="AK109" s="169">
        <f>IFERROR(IF('Gantt Proyectos'!AI177&gt;0,SUMIFS('Listas y Parametros'!$C$45:$L$45,'Listas y Parametros'!$C$35:$L$35,'Costo Directo Proyectos'!$AD109)*$AG109,0)+IF('Gantt Proyectos'!AI177=2,$T109,0)/$W109,0)*$L109</f>
        <v>0</v>
      </c>
      <c r="AL109" s="169">
        <f>IFERROR(IF('Gantt Proyectos'!AJ177&gt;0,SUMIFS('Listas y Parametros'!$C$45:$L$45,'Listas y Parametros'!$C$35:$L$35,'Costo Directo Proyectos'!$AD109)*$AG109,0)+IF('Gantt Proyectos'!AJ177=2,$T109,0)/$W109,0)*$L109</f>
        <v>0</v>
      </c>
      <c r="AM109" s="169">
        <f>IFERROR(IF('Gantt Proyectos'!AK177&gt;0,SUMIFS('Listas y Parametros'!$C$45:$L$45,'Listas y Parametros'!$C$35:$L$35,'Costo Directo Proyectos'!$AD109)*$AG109,0)+IF('Gantt Proyectos'!AK177=2,$T109,0)/$W109,0)*$L109</f>
        <v>0</v>
      </c>
      <c r="AN109" s="169">
        <f>IFERROR(IF('Gantt Proyectos'!AL177&gt;0,SUMIFS('Listas y Parametros'!$C$45:$L$45,'Listas y Parametros'!$C$35:$L$35,'Costo Directo Proyectos'!$AD109)*$AG109,0)+IF('Gantt Proyectos'!AL177=2,$T109,0)/$W109,0)*$L109</f>
        <v>0</v>
      </c>
      <c r="AO109" s="169">
        <f>IFERROR(IF('Gantt Proyectos'!AM177&gt;0,SUMIFS('Listas y Parametros'!$C$45:$L$45,'Listas y Parametros'!$C$35:$L$35,'Costo Directo Proyectos'!$AD109)*$AG109,0)+IF('Gantt Proyectos'!AM177=2,$T109,0)/$W109,0)*$L109</f>
        <v>0</v>
      </c>
      <c r="AP109" s="170">
        <f>IFERROR(IF('Gantt Proyectos'!AN177&gt;0,SUMIFS('Listas y Parametros'!$C$45:$L$45,'Listas y Parametros'!$C$35:$L$35,'Costo Directo Proyectos'!$AD109)*$AG109,0)+IF('Gantt Proyectos'!AN177=2,$T109,0)/$W109,0)*$L109</f>
        <v>0</v>
      </c>
    </row>
    <row r="110" spans="3:42" ht="15" x14ac:dyDescent="0.2">
      <c r="C110" s="144">
        <f>+'Gantt Proyectos'!C178</f>
        <v>82</v>
      </c>
      <c r="D110" s="145">
        <f>+'Gantt Proyectos'!D178</f>
        <v>0</v>
      </c>
      <c r="E110" s="145">
        <f>+'Gantt Proyectos'!E178</f>
        <v>0</v>
      </c>
      <c r="F110" s="147">
        <f>+'Gantt Proyectos'!F178</f>
        <v>0</v>
      </c>
      <c r="G110" s="145">
        <f>+'Gantt Proyectos'!G178</f>
        <v>0</v>
      </c>
      <c r="H110" s="145">
        <f>+'Gantt Proyectos'!H178</f>
        <v>0</v>
      </c>
      <c r="I110" s="189">
        <v>1</v>
      </c>
      <c r="J110" s="189">
        <f t="shared" si="14"/>
        <v>0</v>
      </c>
      <c r="K110" s="145">
        <f>+'Gantt Proyectos'!I178</f>
        <v>0</v>
      </c>
      <c r="L110" s="120">
        <f>+'Gantt Proyectos'!J178</f>
        <v>0</v>
      </c>
      <c r="M110" s="145">
        <f>+'Gantt Proyectos'!K178</f>
        <v>0</v>
      </c>
      <c r="N110" s="145">
        <f>+'Gantt Proyectos'!L178</f>
        <v>0</v>
      </c>
      <c r="O110" s="145">
        <f>+'Gantt Proyectos'!M178</f>
        <v>0</v>
      </c>
      <c r="P110" s="145">
        <f>+'Gantt Proyectos'!N178</f>
        <v>0</v>
      </c>
      <c r="Q110" s="119">
        <f>+'Gantt Proyectos'!O178</f>
        <v>0</v>
      </c>
      <c r="R110" s="119">
        <f>+'Gantt Proyectos'!P178</f>
        <v>0</v>
      </c>
      <c r="S110" s="145">
        <f>+'Gantt Proyectos'!R178</f>
        <v>0</v>
      </c>
      <c r="T110" s="118">
        <f>+'Gantt Proyectos'!S178</f>
        <v>0</v>
      </c>
      <c r="U110" s="156">
        <f>+'Gantt Proyectos'!T178</f>
        <v>0</v>
      </c>
      <c r="V110" s="156">
        <f>+'Gantt Proyectos'!U178</f>
        <v>0</v>
      </c>
      <c r="W110" s="201">
        <f t="shared" si="15"/>
        <v>0</v>
      </c>
      <c r="X110" s="121">
        <f>+'Gantt Proyectos'!W178</f>
        <v>0</v>
      </c>
      <c r="Y110" s="122">
        <f>+'Gantt Proyectos'!X178</f>
        <v>0</v>
      </c>
      <c r="Z110" s="122">
        <f>+'Gantt Proyectos'!Y178</f>
        <v>0</v>
      </c>
      <c r="AA110" s="122">
        <f>+'Gantt Proyectos'!Z178</f>
        <v>0</v>
      </c>
      <c r="AB110" s="122">
        <f>+'Gantt Proyectos'!AA178</f>
        <v>0</v>
      </c>
      <c r="AC110" s="122">
        <f>+'Gantt Proyectos'!AB178</f>
        <v>0</v>
      </c>
      <c r="AD110" s="123">
        <f>+'Gantt Proyectos'!AC178</f>
        <v>0</v>
      </c>
      <c r="AE110" s="123">
        <f>+'Gantt Proyectos'!AD178</f>
        <v>0</v>
      </c>
      <c r="AF110" s="124">
        <f>+'Gantt Proyectos'!AE178</f>
        <v>0</v>
      </c>
      <c r="AG110" s="172">
        <v>1</v>
      </c>
      <c r="AH110" s="168">
        <f>IFERROR(IF('Gantt Proyectos'!AF178&gt;0,SUMIFS('Listas y Parametros'!$C$45:$L$45,'Listas y Parametros'!$C$35:$L$35,'Costo Directo Proyectos'!$AD110)*$AG110,0)+IF('Gantt Proyectos'!AF178=2,$T110,0)/$W110,0)*$L110</f>
        <v>0</v>
      </c>
      <c r="AI110" s="169">
        <f>IFERROR(IF('Gantt Proyectos'!AG178&gt;0,SUMIFS('Listas y Parametros'!$C$45:$L$45,'Listas y Parametros'!$C$35:$L$35,'Costo Directo Proyectos'!$AD110)*$AG110,0)+IF('Gantt Proyectos'!AG178=2,$T110,0)/$W110,0)*$L110</f>
        <v>0</v>
      </c>
      <c r="AJ110" s="169">
        <f>IFERROR(IF('Gantt Proyectos'!AH178&gt;0,SUMIFS('Listas y Parametros'!$C$45:$L$45,'Listas y Parametros'!$C$35:$L$35,'Costo Directo Proyectos'!$AD110)*$AG110,0)+IF('Gantt Proyectos'!AH178=2,$T110,0)/$W110,0)*$L110</f>
        <v>0</v>
      </c>
      <c r="AK110" s="169">
        <f>IFERROR(IF('Gantt Proyectos'!AI178&gt;0,SUMIFS('Listas y Parametros'!$C$45:$L$45,'Listas y Parametros'!$C$35:$L$35,'Costo Directo Proyectos'!$AD110)*$AG110,0)+IF('Gantt Proyectos'!AI178=2,$T110,0)/$W110,0)*$L110</f>
        <v>0</v>
      </c>
      <c r="AL110" s="169">
        <f>IFERROR(IF('Gantt Proyectos'!AJ178&gt;0,SUMIFS('Listas y Parametros'!$C$45:$L$45,'Listas y Parametros'!$C$35:$L$35,'Costo Directo Proyectos'!$AD110)*$AG110,0)+IF('Gantt Proyectos'!AJ178=2,$T110,0)/$W110,0)*$L110</f>
        <v>0</v>
      </c>
      <c r="AM110" s="169">
        <f>IFERROR(IF('Gantt Proyectos'!AK178&gt;0,SUMIFS('Listas y Parametros'!$C$45:$L$45,'Listas y Parametros'!$C$35:$L$35,'Costo Directo Proyectos'!$AD110)*$AG110,0)+IF('Gantt Proyectos'!AK178=2,$T110,0)/$W110,0)*$L110</f>
        <v>0</v>
      </c>
      <c r="AN110" s="169">
        <f>IFERROR(IF('Gantt Proyectos'!AL178&gt;0,SUMIFS('Listas y Parametros'!$C$45:$L$45,'Listas y Parametros'!$C$35:$L$35,'Costo Directo Proyectos'!$AD110)*$AG110,0)+IF('Gantt Proyectos'!AL178=2,$T110,0)/$W110,0)*$L110</f>
        <v>0</v>
      </c>
      <c r="AO110" s="169">
        <f>IFERROR(IF('Gantt Proyectos'!AM178&gt;0,SUMIFS('Listas y Parametros'!$C$45:$L$45,'Listas y Parametros'!$C$35:$L$35,'Costo Directo Proyectos'!$AD110)*$AG110,0)+IF('Gantt Proyectos'!AM178=2,$T110,0)/$W110,0)*$L110</f>
        <v>0</v>
      </c>
      <c r="AP110" s="170">
        <f>IFERROR(IF('Gantt Proyectos'!AN178&gt;0,SUMIFS('Listas y Parametros'!$C$45:$L$45,'Listas y Parametros'!$C$35:$L$35,'Costo Directo Proyectos'!$AD110)*$AG110,0)+IF('Gantt Proyectos'!AN178=2,$T110,0)/$W110,0)*$L110</f>
        <v>0</v>
      </c>
    </row>
    <row r="111" spans="3:42" ht="15" x14ac:dyDescent="0.2">
      <c r="C111" s="144">
        <f>+'Gantt Proyectos'!C179</f>
        <v>83</v>
      </c>
      <c r="D111" s="145">
        <f>+'Gantt Proyectos'!D179</f>
        <v>0</v>
      </c>
      <c r="E111" s="145">
        <f>+'Gantt Proyectos'!E179</f>
        <v>0</v>
      </c>
      <c r="F111" s="147">
        <f>+'Gantt Proyectos'!F179</f>
        <v>0</v>
      </c>
      <c r="G111" s="145">
        <f>+'Gantt Proyectos'!G179</f>
        <v>0</v>
      </c>
      <c r="H111" s="145">
        <f>+'Gantt Proyectos'!H179</f>
        <v>0</v>
      </c>
      <c r="I111" s="189">
        <v>1</v>
      </c>
      <c r="J111" s="189">
        <f t="shared" si="14"/>
        <v>0</v>
      </c>
      <c r="K111" s="145">
        <f>+'Gantt Proyectos'!I179</f>
        <v>0</v>
      </c>
      <c r="L111" s="120">
        <f>+'Gantt Proyectos'!J179</f>
        <v>0</v>
      </c>
      <c r="M111" s="145">
        <f>+'Gantt Proyectos'!K179</f>
        <v>0</v>
      </c>
      <c r="N111" s="145">
        <f>+'Gantt Proyectos'!L179</f>
        <v>0</v>
      </c>
      <c r="O111" s="145">
        <f>+'Gantt Proyectos'!M179</f>
        <v>0</v>
      </c>
      <c r="P111" s="145">
        <f>+'Gantt Proyectos'!N179</f>
        <v>0</v>
      </c>
      <c r="Q111" s="119">
        <f>+'Gantt Proyectos'!O179</f>
        <v>0</v>
      </c>
      <c r="R111" s="119">
        <f>+'Gantt Proyectos'!P179</f>
        <v>0</v>
      </c>
      <c r="S111" s="145">
        <f>+'Gantt Proyectos'!R179</f>
        <v>0</v>
      </c>
      <c r="T111" s="118">
        <f>+'Gantt Proyectos'!S179</f>
        <v>0</v>
      </c>
      <c r="U111" s="156">
        <f>+'Gantt Proyectos'!T179</f>
        <v>0</v>
      </c>
      <c r="V111" s="156">
        <f>+'Gantt Proyectos'!U179</f>
        <v>0</v>
      </c>
      <c r="W111" s="201">
        <f t="shared" si="15"/>
        <v>0</v>
      </c>
      <c r="X111" s="121">
        <f>+'Gantt Proyectos'!W179</f>
        <v>0</v>
      </c>
      <c r="Y111" s="122">
        <f>+'Gantt Proyectos'!X179</f>
        <v>0</v>
      </c>
      <c r="Z111" s="122">
        <f>+'Gantt Proyectos'!Y179</f>
        <v>0</v>
      </c>
      <c r="AA111" s="122">
        <f>+'Gantt Proyectos'!Z179</f>
        <v>0</v>
      </c>
      <c r="AB111" s="122">
        <f>+'Gantt Proyectos'!AA179</f>
        <v>0</v>
      </c>
      <c r="AC111" s="122">
        <f>+'Gantt Proyectos'!AB179</f>
        <v>0</v>
      </c>
      <c r="AD111" s="123">
        <f>+'Gantt Proyectos'!AC179</f>
        <v>0</v>
      </c>
      <c r="AE111" s="123">
        <f>+'Gantt Proyectos'!AD179</f>
        <v>0</v>
      </c>
      <c r="AF111" s="124">
        <f>+'Gantt Proyectos'!AE179</f>
        <v>0</v>
      </c>
      <c r="AG111" s="172">
        <v>1</v>
      </c>
      <c r="AH111" s="168">
        <f>IFERROR(IF('Gantt Proyectos'!AF179&gt;0,SUMIFS('Listas y Parametros'!$C$45:$L$45,'Listas y Parametros'!$C$35:$L$35,'Costo Directo Proyectos'!$AD111)*$AG111,0)+IF('Gantt Proyectos'!AF179=2,$T111,0)/$W111,0)*$L111</f>
        <v>0</v>
      </c>
      <c r="AI111" s="169">
        <f>IFERROR(IF('Gantt Proyectos'!AG179&gt;0,SUMIFS('Listas y Parametros'!$C$45:$L$45,'Listas y Parametros'!$C$35:$L$35,'Costo Directo Proyectos'!$AD111)*$AG111,0)+IF('Gantt Proyectos'!AG179=2,$T111,0)/$W111,0)*$L111</f>
        <v>0</v>
      </c>
      <c r="AJ111" s="169">
        <f>IFERROR(IF('Gantt Proyectos'!AH179&gt;0,SUMIFS('Listas y Parametros'!$C$45:$L$45,'Listas y Parametros'!$C$35:$L$35,'Costo Directo Proyectos'!$AD111)*$AG111,0)+IF('Gantt Proyectos'!AH179=2,$T111,0)/$W111,0)*$L111</f>
        <v>0</v>
      </c>
      <c r="AK111" s="169">
        <f>IFERROR(IF('Gantt Proyectos'!AI179&gt;0,SUMIFS('Listas y Parametros'!$C$45:$L$45,'Listas y Parametros'!$C$35:$L$35,'Costo Directo Proyectos'!$AD111)*$AG111,0)+IF('Gantt Proyectos'!AI179=2,$T111,0)/$W111,0)*$L111</f>
        <v>0</v>
      </c>
      <c r="AL111" s="169">
        <f>IFERROR(IF('Gantt Proyectos'!AJ179&gt;0,SUMIFS('Listas y Parametros'!$C$45:$L$45,'Listas y Parametros'!$C$35:$L$35,'Costo Directo Proyectos'!$AD111)*$AG111,0)+IF('Gantt Proyectos'!AJ179=2,$T111,0)/$W111,0)*$L111</f>
        <v>0</v>
      </c>
      <c r="AM111" s="169">
        <f>IFERROR(IF('Gantt Proyectos'!AK179&gt;0,SUMIFS('Listas y Parametros'!$C$45:$L$45,'Listas y Parametros'!$C$35:$L$35,'Costo Directo Proyectos'!$AD111)*$AG111,0)+IF('Gantt Proyectos'!AK179=2,$T111,0)/$W111,0)*$L111</f>
        <v>0</v>
      </c>
      <c r="AN111" s="169">
        <f>IFERROR(IF('Gantt Proyectos'!AL179&gt;0,SUMIFS('Listas y Parametros'!$C$45:$L$45,'Listas y Parametros'!$C$35:$L$35,'Costo Directo Proyectos'!$AD111)*$AG111,0)+IF('Gantt Proyectos'!AL179=2,$T111,0)/$W111,0)*$L111</f>
        <v>0</v>
      </c>
      <c r="AO111" s="169">
        <f>IFERROR(IF('Gantt Proyectos'!AM179&gt;0,SUMIFS('Listas y Parametros'!$C$45:$L$45,'Listas y Parametros'!$C$35:$L$35,'Costo Directo Proyectos'!$AD111)*$AG111,0)+IF('Gantt Proyectos'!AM179=2,$T111,0)/$W111,0)*$L111</f>
        <v>0</v>
      </c>
      <c r="AP111" s="170">
        <f>IFERROR(IF('Gantt Proyectos'!AN179&gt;0,SUMIFS('Listas y Parametros'!$C$45:$L$45,'Listas y Parametros'!$C$35:$L$35,'Costo Directo Proyectos'!$AD111)*$AG111,0)+IF('Gantt Proyectos'!AN179=2,$T111,0)/$W111,0)*$L111</f>
        <v>0</v>
      </c>
    </row>
    <row r="112" spans="3:42" ht="15" x14ac:dyDescent="0.2">
      <c r="C112" s="144">
        <f>+'Gantt Proyectos'!C180</f>
        <v>84</v>
      </c>
      <c r="D112" s="145">
        <f>+'Gantt Proyectos'!D180</f>
        <v>0</v>
      </c>
      <c r="E112" s="145">
        <f>+'Gantt Proyectos'!E180</f>
        <v>0</v>
      </c>
      <c r="F112" s="147">
        <f>+'Gantt Proyectos'!F180</f>
        <v>0</v>
      </c>
      <c r="G112" s="145">
        <f>+'Gantt Proyectos'!G180</f>
        <v>0</v>
      </c>
      <c r="H112" s="145">
        <f>+'Gantt Proyectos'!H180</f>
        <v>0</v>
      </c>
      <c r="I112" s="189">
        <v>1</v>
      </c>
      <c r="J112" s="189">
        <f t="shared" si="14"/>
        <v>0</v>
      </c>
      <c r="K112" s="145">
        <f>+'Gantt Proyectos'!I180</f>
        <v>0</v>
      </c>
      <c r="L112" s="120">
        <f>+'Gantt Proyectos'!J180</f>
        <v>0</v>
      </c>
      <c r="M112" s="145">
        <f>+'Gantt Proyectos'!K180</f>
        <v>0</v>
      </c>
      <c r="N112" s="145">
        <f>+'Gantt Proyectos'!L180</f>
        <v>0</v>
      </c>
      <c r="O112" s="145">
        <f>+'Gantt Proyectos'!M180</f>
        <v>0</v>
      </c>
      <c r="P112" s="145">
        <f>+'Gantt Proyectos'!N180</f>
        <v>0</v>
      </c>
      <c r="Q112" s="119">
        <f>+'Gantt Proyectos'!O180</f>
        <v>0</v>
      </c>
      <c r="R112" s="119">
        <f>+'Gantt Proyectos'!P180</f>
        <v>0</v>
      </c>
      <c r="S112" s="145">
        <f>+'Gantt Proyectos'!R180</f>
        <v>0</v>
      </c>
      <c r="T112" s="118">
        <f>+'Gantt Proyectos'!S180</f>
        <v>0</v>
      </c>
      <c r="U112" s="156">
        <f>+'Gantt Proyectos'!T180</f>
        <v>0</v>
      </c>
      <c r="V112" s="156">
        <f>+'Gantt Proyectos'!U180</f>
        <v>0</v>
      </c>
      <c r="W112" s="201">
        <f t="shared" si="15"/>
        <v>0</v>
      </c>
      <c r="X112" s="121">
        <f>+'Gantt Proyectos'!W180</f>
        <v>0</v>
      </c>
      <c r="Y112" s="122">
        <f>+'Gantt Proyectos'!X180</f>
        <v>0</v>
      </c>
      <c r="Z112" s="122">
        <f>+'Gantt Proyectos'!Y180</f>
        <v>0</v>
      </c>
      <c r="AA112" s="122">
        <f>+'Gantt Proyectos'!Z180</f>
        <v>0</v>
      </c>
      <c r="AB112" s="122">
        <f>+'Gantt Proyectos'!AA180</f>
        <v>0</v>
      </c>
      <c r="AC112" s="122">
        <f>+'Gantt Proyectos'!AB180</f>
        <v>0</v>
      </c>
      <c r="AD112" s="123">
        <f>+'Gantt Proyectos'!AC180</f>
        <v>0</v>
      </c>
      <c r="AE112" s="123">
        <f>+'Gantt Proyectos'!AD180</f>
        <v>0</v>
      </c>
      <c r="AF112" s="124">
        <f>+'Gantt Proyectos'!AE180</f>
        <v>0</v>
      </c>
      <c r="AG112" s="172">
        <v>1</v>
      </c>
      <c r="AH112" s="168">
        <f>IFERROR(IF('Gantt Proyectos'!AF180&gt;0,SUMIFS('Listas y Parametros'!$C$45:$L$45,'Listas y Parametros'!$C$35:$L$35,'Costo Directo Proyectos'!$AD112)*$AG112,0)+IF('Gantt Proyectos'!AF180=2,$T112,0)/$W112,0)*$L112</f>
        <v>0</v>
      </c>
      <c r="AI112" s="169">
        <f>IFERROR(IF('Gantt Proyectos'!AG180&gt;0,SUMIFS('Listas y Parametros'!$C$45:$L$45,'Listas y Parametros'!$C$35:$L$35,'Costo Directo Proyectos'!$AD112)*$AG112,0)+IF('Gantt Proyectos'!AG180=2,$T112,0)/$W112,0)*$L112</f>
        <v>0</v>
      </c>
      <c r="AJ112" s="169">
        <f>IFERROR(IF('Gantt Proyectos'!AH180&gt;0,SUMIFS('Listas y Parametros'!$C$45:$L$45,'Listas y Parametros'!$C$35:$L$35,'Costo Directo Proyectos'!$AD112)*$AG112,0)+IF('Gantt Proyectos'!AH180=2,$T112,0)/$W112,0)*$L112</f>
        <v>0</v>
      </c>
      <c r="AK112" s="169">
        <f>IFERROR(IF('Gantt Proyectos'!AI180&gt;0,SUMIFS('Listas y Parametros'!$C$45:$L$45,'Listas y Parametros'!$C$35:$L$35,'Costo Directo Proyectos'!$AD112)*$AG112,0)+IF('Gantt Proyectos'!AI180=2,$T112,0)/$W112,0)*$L112</f>
        <v>0</v>
      </c>
      <c r="AL112" s="169">
        <f>IFERROR(IF('Gantt Proyectos'!AJ180&gt;0,SUMIFS('Listas y Parametros'!$C$45:$L$45,'Listas y Parametros'!$C$35:$L$35,'Costo Directo Proyectos'!$AD112)*$AG112,0)+IF('Gantt Proyectos'!AJ180=2,$T112,0)/$W112,0)*$L112</f>
        <v>0</v>
      </c>
      <c r="AM112" s="169">
        <f>IFERROR(IF('Gantt Proyectos'!AK180&gt;0,SUMIFS('Listas y Parametros'!$C$45:$L$45,'Listas y Parametros'!$C$35:$L$35,'Costo Directo Proyectos'!$AD112)*$AG112,0)+IF('Gantt Proyectos'!AK180=2,$T112,0)/$W112,0)*$L112</f>
        <v>0</v>
      </c>
      <c r="AN112" s="169">
        <f>IFERROR(IF('Gantt Proyectos'!AL180&gt;0,SUMIFS('Listas y Parametros'!$C$45:$L$45,'Listas y Parametros'!$C$35:$L$35,'Costo Directo Proyectos'!$AD112)*$AG112,0)+IF('Gantt Proyectos'!AL180=2,$T112,0)/$W112,0)*$L112</f>
        <v>0</v>
      </c>
      <c r="AO112" s="169">
        <f>IFERROR(IF('Gantt Proyectos'!AM180&gt;0,SUMIFS('Listas y Parametros'!$C$45:$L$45,'Listas y Parametros'!$C$35:$L$35,'Costo Directo Proyectos'!$AD112)*$AG112,0)+IF('Gantt Proyectos'!AM180=2,$T112,0)/$W112,0)*$L112</f>
        <v>0</v>
      </c>
      <c r="AP112" s="170">
        <f>IFERROR(IF('Gantt Proyectos'!AN180&gt;0,SUMIFS('Listas y Parametros'!$C$45:$L$45,'Listas y Parametros'!$C$35:$L$35,'Costo Directo Proyectos'!$AD112)*$AG112,0)+IF('Gantt Proyectos'!AN180=2,$T112,0)/$W112,0)*$L112</f>
        <v>0</v>
      </c>
    </row>
    <row r="113" spans="3:42" ht="15" x14ac:dyDescent="0.2">
      <c r="C113" s="144">
        <f>+'Gantt Proyectos'!C181</f>
        <v>85</v>
      </c>
      <c r="D113" s="145">
        <f>+'Gantt Proyectos'!D181</f>
        <v>0</v>
      </c>
      <c r="E113" s="145">
        <f>+'Gantt Proyectos'!E181</f>
        <v>0</v>
      </c>
      <c r="F113" s="147">
        <f>+'Gantt Proyectos'!F181</f>
        <v>0</v>
      </c>
      <c r="G113" s="145">
        <f>+'Gantt Proyectos'!G181</f>
        <v>0</v>
      </c>
      <c r="H113" s="145">
        <f>+'Gantt Proyectos'!H181</f>
        <v>0</v>
      </c>
      <c r="I113" s="189">
        <v>1</v>
      </c>
      <c r="J113" s="189">
        <f t="shared" si="14"/>
        <v>0</v>
      </c>
      <c r="K113" s="145">
        <f>+'Gantt Proyectos'!I181</f>
        <v>0</v>
      </c>
      <c r="L113" s="120">
        <f>+'Gantt Proyectos'!J181</f>
        <v>0</v>
      </c>
      <c r="M113" s="145">
        <f>+'Gantt Proyectos'!K181</f>
        <v>0</v>
      </c>
      <c r="N113" s="145">
        <f>+'Gantt Proyectos'!L181</f>
        <v>0</v>
      </c>
      <c r="O113" s="145">
        <f>+'Gantt Proyectos'!M181</f>
        <v>0</v>
      </c>
      <c r="P113" s="145">
        <f>+'Gantt Proyectos'!N181</f>
        <v>0</v>
      </c>
      <c r="Q113" s="119">
        <f>+'Gantt Proyectos'!O181</f>
        <v>0</v>
      </c>
      <c r="R113" s="119">
        <f>+'Gantt Proyectos'!P181</f>
        <v>0</v>
      </c>
      <c r="S113" s="145">
        <f>+'Gantt Proyectos'!R181</f>
        <v>0</v>
      </c>
      <c r="T113" s="118">
        <f>+'Gantt Proyectos'!S181</f>
        <v>0</v>
      </c>
      <c r="U113" s="156">
        <f>+'Gantt Proyectos'!T181</f>
        <v>0</v>
      </c>
      <c r="V113" s="156">
        <f>+'Gantt Proyectos'!U181</f>
        <v>0</v>
      </c>
      <c r="W113" s="201">
        <f t="shared" si="15"/>
        <v>0</v>
      </c>
      <c r="X113" s="121">
        <f>+'Gantt Proyectos'!W181</f>
        <v>0</v>
      </c>
      <c r="Y113" s="122">
        <f>+'Gantt Proyectos'!X181</f>
        <v>0</v>
      </c>
      <c r="Z113" s="122">
        <f>+'Gantt Proyectos'!Y181</f>
        <v>0</v>
      </c>
      <c r="AA113" s="122">
        <f>+'Gantt Proyectos'!Z181</f>
        <v>0</v>
      </c>
      <c r="AB113" s="122">
        <f>+'Gantt Proyectos'!AA181</f>
        <v>0</v>
      </c>
      <c r="AC113" s="122">
        <f>+'Gantt Proyectos'!AB181</f>
        <v>0</v>
      </c>
      <c r="AD113" s="123">
        <f>+'Gantt Proyectos'!AC181</f>
        <v>0</v>
      </c>
      <c r="AE113" s="123">
        <f>+'Gantt Proyectos'!AD181</f>
        <v>0</v>
      </c>
      <c r="AF113" s="124">
        <f>+'Gantt Proyectos'!AE181</f>
        <v>0</v>
      </c>
      <c r="AG113" s="172">
        <v>1</v>
      </c>
      <c r="AH113" s="168">
        <f>IFERROR(IF('Gantt Proyectos'!AF181&gt;0,SUMIFS('Listas y Parametros'!$C$45:$L$45,'Listas y Parametros'!$C$35:$L$35,'Costo Directo Proyectos'!$AD113)*$AG113,0)+IF('Gantt Proyectos'!AF181=2,$T113,0)/$W113,0)*$L113</f>
        <v>0</v>
      </c>
      <c r="AI113" s="169">
        <f>IFERROR(IF('Gantt Proyectos'!AG181&gt;0,SUMIFS('Listas y Parametros'!$C$45:$L$45,'Listas y Parametros'!$C$35:$L$35,'Costo Directo Proyectos'!$AD113)*$AG113,0)+IF('Gantt Proyectos'!AG181=2,$T113,0)/$W113,0)*$L113</f>
        <v>0</v>
      </c>
      <c r="AJ113" s="169">
        <f>IFERROR(IF('Gantt Proyectos'!AH181&gt;0,SUMIFS('Listas y Parametros'!$C$45:$L$45,'Listas y Parametros'!$C$35:$L$35,'Costo Directo Proyectos'!$AD113)*$AG113,0)+IF('Gantt Proyectos'!AH181=2,$T113,0)/$W113,0)*$L113</f>
        <v>0</v>
      </c>
      <c r="AK113" s="169">
        <f>IFERROR(IF('Gantt Proyectos'!AI181&gt;0,SUMIFS('Listas y Parametros'!$C$45:$L$45,'Listas y Parametros'!$C$35:$L$35,'Costo Directo Proyectos'!$AD113)*$AG113,0)+IF('Gantt Proyectos'!AI181=2,$T113,0)/$W113,0)*$L113</f>
        <v>0</v>
      </c>
      <c r="AL113" s="169">
        <f>IFERROR(IF('Gantt Proyectos'!AJ181&gt;0,SUMIFS('Listas y Parametros'!$C$45:$L$45,'Listas y Parametros'!$C$35:$L$35,'Costo Directo Proyectos'!$AD113)*$AG113,0)+IF('Gantt Proyectos'!AJ181=2,$T113,0)/$W113,0)*$L113</f>
        <v>0</v>
      </c>
      <c r="AM113" s="169">
        <f>IFERROR(IF('Gantt Proyectos'!AK181&gt;0,SUMIFS('Listas y Parametros'!$C$45:$L$45,'Listas y Parametros'!$C$35:$L$35,'Costo Directo Proyectos'!$AD113)*$AG113,0)+IF('Gantt Proyectos'!AK181=2,$T113,0)/$W113,0)*$L113</f>
        <v>0</v>
      </c>
      <c r="AN113" s="169">
        <f>IFERROR(IF('Gantt Proyectos'!AL181&gt;0,SUMIFS('Listas y Parametros'!$C$45:$L$45,'Listas y Parametros'!$C$35:$L$35,'Costo Directo Proyectos'!$AD113)*$AG113,0)+IF('Gantt Proyectos'!AL181=2,$T113,0)/$W113,0)*$L113</f>
        <v>0</v>
      </c>
      <c r="AO113" s="169">
        <f>IFERROR(IF('Gantt Proyectos'!AM181&gt;0,SUMIFS('Listas y Parametros'!$C$45:$L$45,'Listas y Parametros'!$C$35:$L$35,'Costo Directo Proyectos'!$AD113)*$AG113,0)+IF('Gantt Proyectos'!AM181=2,$T113,0)/$W113,0)*$L113</f>
        <v>0</v>
      </c>
      <c r="AP113" s="170">
        <f>IFERROR(IF('Gantt Proyectos'!AN181&gt;0,SUMIFS('Listas y Parametros'!$C$45:$L$45,'Listas y Parametros'!$C$35:$L$35,'Costo Directo Proyectos'!$AD113)*$AG113,0)+IF('Gantt Proyectos'!AN181=2,$T113,0)/$W113,0)*$L113</f>
        <v>0</v>
      </c>
    </row>
    <row r="114" spans="3:42" ht="15" x14ac:dyDescent="0.2">
      <c r="C114" s="144">
        <f>+'Gantt Proyectos'!C182</f>
        <v>86</v>
      </c>
      <c r="D114" s="145">
        <f>+'Gantt Proyectos'!D182</f>
        <v>0</v>
      </c>
      <c r="E114" s="145">
        <f>+'Gantt Proyectos'!E182</f>
        <v>0</v>
      </c>
      <c r="F114" s="147">
        <f>+'Gantt Proyectos'!F182</f>
        <v>0</v>
      </c>
      <c r="G114" s="145">
        <f>+'Gantt Proyectos'!G182</f>
        <v>0</v>
      </c>
      <c r="H114" s="145">
        <f>+'Gantt Proyectos'!H182</f>
        <v>0</v>
      </c>
      <c r="I114" s="189">
        <v>1</v>
      </c>
      <c r="J114" s="189">
        <f t="shared" si="14"/>
        <v>0</v>
      </c>
      <c r="K114" s="145">
        <f>+'Gantt Proyectos'!I182</f>
        <v>0</v>
      </c>
      <c r="L114" s="120">
        <f>+'Gantt Proyectos'!J182</f>
        <v>0</v>
      </c>
      <c r="M114" s="145">
        <f>+'Gantt Proyectos'!K182</f>
        <v>0</v>
      </c>
      <c r="N114" s="145">
        <f>+'Gantt Proyectos'!L182</f>
        <v>0</v>
      </c>
      <c r="O114" s="145">
        <f>+'Gantt Proyectos'!M182</f>
        <v>0</v>
      </c>
      <c r="P114" s="145">
        <f>+'Gantt Proyectos'!N182</f>
        <v>0</v>
      </c>
      <c r="Q114" s="119">
        <f>+'Gantt Proyectos'!O182</f>
        <v>0</v>
      </c>
      <c r="R114" s="119">
        <f>+'Gantt Proyectos'!P182</f>
        <v>0</v>
      </c>
      <c r="S114" s="145">
        <f>+'Gantt Proyectos'!R182</f>
        <v>0</v>
      </c>
      <c r="T114" s="118">
        <f>+'Gantt Proyectos'!S182</f>
        <v>0</v>
      </c>
      <c r="U114" s="156">
        <f>+'Gantt Proyectos'!T182</f>
        <v>0</v>
      </c>
      <c r="V114" s="156">
        <f>+'Gantt Proyectos'!U182</f>
        <v>0</v>
      </c>
      <c r="W114" s="201">
        <f t="shared" si="15"/>
        <v>0</v>
      </c>
      <c r="X114" s="121">
        <f>+'Gantt Proyectos'!W182</f>
        <v>0</v>
      </c>
      <c r="Y114" s="122">
        <f>+'Gantt Proyectos'!X182</f>
        <v>0</v>
      </c>
      <c r="Z114" s="122">
        <f>+'Gantt Proyectos'!Y182</f>
        <v>0</v>
      </c>
      <c r="AA114" s="122">
        <f>+'Gantt Proyectos'!Z182</f>
        <v>0</v>
      </c>
      <c r="AB114" s="122">
        <f>+'Gantt Proyectos'!AA182</f>
        <v>0</v>
      </c>
      <c r="AC114" s="122">
        <f>+'Gantt Proyectos'!AB182</f>
        <v>0</v>
      </c>
      <c r="AD114" s="123">
        <f>+'Gantt Proyectos'!AC182</f>
        <v>0</v>
      </c>
      <c r="AE114" s="123">
        <f>+'Gantt Proyectos'!AD182</f>
        <v>0</v>
      </c>
      <c r="AF114" s="124">
        <f>+'Gantt Proyectos'!AE182</f>
        <v>0</v>
      </c>
      <c r="AG114" s="172">
        <v>1</v>
      </c>
      <c r="AH114" s="168">
        <f>IFERROR(IF('Gantt Proyectos'!AF182&gt;0,SUMIFS('Listas y Parametros'!$C$45:$L$45,'Listas y Parametros'!$C$35:$L$35,'Costo Directo Proyectos'!$AD114)*$AG114,0)+IF('Gantt Proyectos'!AF182=2,$T114,0)/$W114,0)*$L114</f>
        <v>0</v>
      </c>
      <c r="AI114" s="169">
        <f>IFERROR(IF('Gantt Proyectos'!AG182&gt;0,SUMIFS('Listas y Parametros'!$C$45:$L$45,'Listas y Parametros'!$C$35:$L$35,'Costo Directo Proyectos'!$AD114)*$AG114,0)+IF('Gantt Proyectos'!AG182=2,$T114,0)/$W114,0)*$L114</f>
        <v>0</v>
      </c>
      <c r="AJ114" s="169">
        <f>IFERROR(IF('Gantt Proyectos'!AH182&gt;0,SUMIFS('Listas y Parametros'!$C$45:$L$45,'Listas y Parametros'!$C$35:$L$35,'Costo Directo Proyectos'!$AD114)*$AG114,0)+IF('Gantt Proyectos'!AH182=2,$T114,0)/$W114,0)*$L114</f>
        <v>0</v>
      </c>
      <c r="AK114" s="169">
        <f>IFERROR(IF('Gantt Proyectos'!AI182&gt;0,SUMIFS('Listas y Parametros'!$C$45:$L$45,'Listas y Parametros'!$C$35:$L$35,'Costo Directo Proyectos'!$AD114)*$AG114,0)+IF('Gantt Proyectos'!AI182=2,$T114,0)/$W114,0)*$L114</f>
        <v>0</v>
      </c>
      <c r="AL114" s="169">
        <f>IFERROR(IF('Gantt Proyectos'!AJ182&gt;0,SUMIFS('Listas y Parametros'!$C$45:$L$45,'Listas y Parametros'!$C$35:$L$35,'Costo Directo Proyectos'!$AD114)*$AG114,0)+IF('Gantt Proyectos'!AJ182=2,$T114,0)/$W114,0)*$L114</f>
        <v>0</v>
      </c>
      <c r="AM114" s="169">
        <f>IFERROR(IF('Gantt Proyectos'!AK182&gt;0,SUMIFS('Listas y Parametros'!$C$45:$L$45,'Listas y Parametros'!$C$35:$L$35,'Costo Directo Proyectos'!$AD114)*$AG114,0)+IF('Gantt Proyectos'!AK182=2,$T114,0)/$W114,0)*$L114</f>
        <v>0</v>
      </c>
      <c r="AN114" s="169">
        <f>IFERROR(IF('Gantt Proyectos'!AL182&gt;0,SUMIFS('Listas y Parametros'!$C$45:$L$45,'Listas y Parametros'!$C$35:$L$35,'Costo Directo Proyectos'!$AD114)*$AG114,0)+IF('Gantt Proyectos'!AL182=2,$T114,0)/$W114,0)*$L114</f>
        <v>0</v>
      </c>
      <c r="AO114" s="169">
        <f>IFERROR(IF('Gantt Proyectos'!AM182&gt;0,SUMIFS('Listas y Parametros'!$C$45:$L$45,'Listas y Parametros'!$C$35:$L$35,'Costo Directo Proyectos'!$AD114)*$AG114,0)+IF('Gantt Proyectos'!AM182=2,$T114,0)/$W114,0)*$L114</f>
        <v>0</v>
      </c>
      <c r="AP114" s="170">
        <f>IFERROR(IF('Gantt Proyectos'!AN182&gt;0,SUMIFS('Listas y Parametros'!$C$45:$L$45,'Listas y Parametros'!$C$35:$L$35,'Costo Directo Proyectos'!$AD114)*$AG114,0)+IF('Gantt Proyectos'!AN182=2,$T114,0)/$W114,0)*$L114</f>
        <v>0</v>
      </c>
    </row>
    <row r="115" spans="3:42" ht="15" x14ac:dyDescent="0.2">
      <c r="C115" s="144">
        <f>+'Gantt Proyectos'!C183</f>
        <v>87</v>
      </c>
      <c r="D115" s="145">
        <f>+'Gantt Proyectos'!D183</f>
        <v>0</v>
      </c>
      <c r="E115" s="145">
        <f>+'Gantt Proyectos'!E183</f>
        <v>0</v>
      </c>
      <c r="F115" s="147">
        <f>+'Gantt Proyectos'!F183</f>
        <v>0</v>
      </c>
      <c r="G115" s="145">
        <f>+'Gantt Proyectos'!G183</f>
        <v>0</v>
      </c>
      <c r="H115" s="145">
        <f>+'Gantt Proyectos'!H183</f>
        <v>0</v>
      </c>
      <c r="I115" s="189">
        <v>1</v>
      </c>
      <c r="J115" s="189">
        <f t="shared" si="14"/>
        <v>0</v>
      </c>
      <c r="K115" s="145">
        <f>+'Gantt Proyectos'!I183</f>
        <v>0</v>
      </c>
      <c r="L115" s="120">
        <f>+'Gantt Proyectos'!J183</f>
        <v>0</v>
      </c>
      <c r="M115" s="145">
        <f>+'Gantt Proyectos'!K183</f>
        <v>0</v>
      </c>
      <c r="N115" s="145">
        <f>+'Gantt Proyectos'!L183</f>
        <v>0</v>
      </c>
      <c r="O115" s="145">
        <f>+'Gantt Proyectos'!M183</f>
        <v>0</v>
      </c>
      <c r="P115" s="145">
        <f>+'Gantt Proyectos'!N183</f>
        <v>0</v>
      </c>
      <c r="Q115" s="119">
        <f>+'Gantt Proyectos'!O183</f>
        <v>0</v>
      </c>
      <c r="R115" s="119">
        <f>+'Gantt Proyectos'!P183</f>
        <v>0</v>
      </c>
      <c r="S115" s="145">
        <f>+'Gantt Proyectos'!R183</f>
        <v>0</v>
      </c>
      <c r="T115" s="118">
        <f>+'Gantt Proyectos'!S183</f>
        <v>0</v>
      </c>
      <c r="U115" s="156">
        <f>+'Gantt Proyectos'!T183</f>
        <v>0</v>
      </c>
      <c r="V115" s="156">
        <f>+'Gantt Proyectos'!U183</f>
        <v>0</v>
      </c>
      <c r="W115" s="201">
        <f t="shared" si="15"/>
        <v>0</v>
      </c>
      <c r="X115" s="121">
        <f>+'Gantt Proyectos'!W183</f>
        <v>0</v>
      </c>
      <c r="Y115" s="122">
        <f>+'Gantt Proyectos'!X183</f>
        <v>0</v>
      </c>
      <c r="Z115" s="122">
        <f>+'Gantt Proyectos'!Y183</f>
        <v>0</v>
      </c>
      <c r="AA115" s="122">
        <f>+'Gantt Proyectos'!Z183</f>
        <v>0</v>
      </c>
      <c r="AB115" s="122">
        <f>+'Gantt Proyectos'!AA183</f>
        <v>0</v>
      </c>
      <c r="AC115" s="122">
        <f>+'Gantt Proyectos'!AB183</f>
        <v>0</v>
      </c>
      <c r="AD115" s="123">
        <f>+'Gantt Proyectos'!AC183</f>
        <v>0</v>
      </c>
      <c r="AE115" s="123">
        <f>+'Gantt Proyectos'!AD183</f>
        <v>0</v>
      </c>
      <c r="AF115" s="124">
        <f>+'Gantt Proyectos'!AE183</f>
        <v>0</v>
      </c>
      <c r="AG115" s="172">
        <v>1</v>
      </c>
      <c r="AH115" s="168">
        <f>IFERROR(IF('Gantt Proyectos'!AF183&gt;0,SUMIFS('Listas y Parametros'!$C$45:$L$45,'Listas y Parametros'!$C$35:$L$35,'Costo Directo Proyectos'!$AD115)*$AG115,0)+IF('Gantt Proyectos'!AF183=2,$T115,0)/$W115,0)*$L115</f>
        <v>0</v>
      </c>
      <c r="AI115" s="169">
        <f>IFERROR(IF('Gantt Proyectos'!AG183&gt;0,SUMIFS('Listas y Parametros'!$C$45:$L$45,'Listas y Parametros'!$C$35:$L$35,'Costo Directo Proyectos'!$AD115)*$AG115,0)+IF('Gantt Proyectos'!AG183=2,$T115,0)/$W115,0)*$L115</f>
        <v>0</v>
      </c>
      <c r="AJ115" s="169">
        <f>IFERROR(IF('Gantt Proyectos'!AH183&gt;0,SUMIFS('Listas y Parametros'!$C$45:$L$45,'Listas y Parametros'!$C$35:$L$35,'Costo Directo Proyectos'!$AD115)*$AG115,0)+IF('Gantt Proyectos'!AH183=2,$T115,0)/$W115,0)*$L115</f>
        <v>0</v>
      </c>
      <c r="AK115" s="169">
        <f>IFERROR(IF('Gantt Proyectos'!AI183&gt;0,SUMIFS('Listas y Parametros'!$C$45:$L$45,'Listas y Parametros'!$C$35:$L$35,'Costo Directo Proyectos'!$AD115)*$AG115,0)+IF('Gantt Proyectos'!AI183=2,$T115,0)/$W115,0)*$L115</f>
        <v>0</v>
      </c>
      <c r="AL115" s="169">
        <f>IFERROR(IF('Gantt Proyectos'!AJ183&gt;0,SUMIFS('Listas y Parametros'!$C$45:$L$45,'Listas y Parametros'!$C$35:$L$35,'Costo Directo Proyectos'!$AD115)*$AG115,0)+IF('Gantt Proyectos'!AJ183=2,$T115,0)/$W115,0)*$L115</f>
        <v>0</v>
      </c>
      <c r="AM115" s="169">
        <f>IFERROR(IF('Gantt Proyectos'!AK183&gt;0,SUMIFS('Listas y Parametros'!$C$45:$L$45,'Listas y Parametros'!$C$35:$L$35,'Costo Directo Proyectos'!$AD115)*$AG115,0)+IF('Gantt Proyectos'!AK183=2,$T115,0)/$W115,0)*$L115</f>
        <v>0</v>
      </c>
      <c r="AN115" s="169">
        <f>IFERROR(IF('Gantt Proyectos'!AL183&gt;0,SUMIFS('Listas y Parametros'!$C$45:$L$45,'Listas y Parametros'!$C$35:$L$35,'Costo Directo Proyectos'!$AD115)*$AG115,0)+IF('Gantt Proyectos'!AL183=2,$T115,0)/$W115,0)*$L115</f>
        <v>0</v>
      </c>
      <c r="AO115" s="169">
        <f>IFERROR(IF('Gantt Proyectos'!AM183&gt;0,SUMIFS('Listas y Parametros'!$C$45:$L$45,'Listas y Parametros'!$C$35:$L$35,'Costo Directo Proyectos'!$AD115)*$AG115,0)+IF('Gantt Proyectos'!AM183=2,$T115,0)/$W115,0)*$L115</f>
        <v>0</v>
      </c>
      <c r="AP115" s="170">
        <f>IFERROR(IF('Gantt Proyectos'!AN183&gt;0,SUMIFS('Listas y Parametros'!$C$45:$L$45,'Listas y Parametros'!$C$35:$L$35,'Costo Directo Proyectos'!$AD115)*$AG115,0)+IF('Gantt Proyectos'!AN183=2,$T115,0)/$W115,0)*$L115</f>
        <v>0</v>
      </c>
    </row>
    <row r="116" spans="3:42" ht="15" x14ac:dyDescent="0.2">
      <c r="C116" s="144">
        <f>+'Gantt Proyectos'!C184</f>
        <v>88</v>
      </c>
      <c r="D116" s="145">
        <f>+'Gantt Proyectos'!D184</f>
        <v>0</v>
      </c>
      <c r="E116" s="145">
        <f>+'Gantt Proyectos'!E184</f>
        <v>0</v>
      </c>
      <c r="F116" s="147">
        <f>+'Gantt Proyectos'!F184</f>
        <v>0</v>
      </c>
      <c r="G116" s="145">
        <f>+'Gantt Proyectos'!G184</f>
        <v>0</v>
      </c>
      <c r="H116" s="145">
        <f>+'Gantt Proyectos'!H184</f>
        <v>0</v>
      </c>
      <c r="I116" s="189">
        <v>1</v>
      </c>
      <c r="J116" s="189">
        <f t="shared" si="14"/>
        <v>0</v>
      </c>
      <c r="K116" s="145">
        <f>+'Gantt Proyectos'!I184</f>
        <v>0</v>
      </c>
      <c r="L116" s="120">
        <f>+'Gantt Proyectos'!J184</f>
        <v>0</v>
      </c>
      <c r="M116" s="145">
        <f>+'Gantt Proyectos'!K184</f>
        <v>0</v>
      </c>
      <c r="N116" s="145">
        <f>+'Gantt Proyectos'!L184</f>
        <v>0</v>
      </c>
      <c r="O116" s="145">
        <f>+'Gantt Proyectos'!M184</f>
        <v>0</v>
      </c>
      <c r="P116" s="145">
        <f>+'Gantt Proyectos'!N184</f>
        <v>0</v>
      </c>
      <c r="Q116" s="119">
        <f>+'Gantt Proyectos'!O184</f>
        <v>0</v>
      </c>
      <c r="R116" s="119">
        <f>+'Gantt Proyectos'!P184</f>
        <v>0</v>
      </c>
      <c r="S116" s="145">
        <f>+'Gantt Proyectos'!R184</f>
        <v>0</v>
      </c>
      <c r="T116" s="118">
        <f>+'Gantt Proyectos'!S184</f>
        <v>0</v>
      </c>
      <c r="U116" s="156">
        <f>+'Gantt Proyectos'!T184</f>
        <v>0</v>
      </c>
      <c r="V116" s="156">
        <f>+'Gantt Proyectos'!U184</f>
        <v>0</v>
      </c>
      <c r="W116" s="201">
        <f t="shared" si="15"/>
        <v>0</v>
      </c>
      <c r="X116" s="121">
        <f>+'Gantt Proyectos'!W184</f>
        <v>0</v>
      </c>
      <c r="Y116" s="122">
        <f>+'Gantt Proyectos'!X184</f>
        <v>0</v>
      </c>
      <c r="Z116" s="122">
        <f>+'Gantt Proyectos'!Y184</f>
        <v>0</v>
      </c>
      <c r="AA116" s="122">
        <f>+'Gantt Proyectos'!Z184</f>
        <v>0</v>
      </c>
      <c r="AB116" s="122">
        <f>+'Gantt Proyectos'!AA184</f>
        <v>0</v>
      </c>
      <c r="AC116" s="122">
        <f>+'Gantt Proyectos'!AB184</f>
        <v>0</v>
      </c>
      <c r="AD116" s="123">
        <f>+'Gantt Proyectos'!AC184</f>
        <v>0</v>
      </c>
      <c r="AE116" s="123">
        <f>+'Gantt Proyectos'!AD184</f>
        <v>0</v>
      </c>
      <c r="AF116" s="124">
        <f>+'Gantt Proyectos'!AE184</f>
        <v>0</v>
      </c>
      <c r="AG116" s="172">
        <v>1</v>
      </c>
      <c r="AH116" s="168">
        <f>IFERROR(IF('Gantt Proyectos'!AF184&gt;0,SUMIFS('Listas y Parametros'!$C$45:$L$45,'Listas y Parametros'!$C$35:$L$35,'Costo Directo Proyectos'!$AD116)*$AG116,0)+IF('Gantt Proyectos'!AF184=2,$T116,0)/$W116,0)*$L116</f>
        <v>0</v>
      </c>
      <c r="AI116" s="169">
        <f>IFERROR(IF('Gantt Proyectos'!AG184&gt;0,SUMIFS('Listas y Parametros'!$C$45:$L$45,'Listas y Parametros'!$C$35:$L$35,'Costo Directo Proyectos'!$AD116)*$AG116,0)+IF('Gantt Proyectos'!AG184=2,$T116,0)/$W116,0)*$L116</f>
        <v>0</v>
      </c>
      <c r="AJ116" s="169">
        <f>IFERROR(IF('Gantt Proyectos'!AH184&gt;0,SUMIFS('Listas y Parametros'!$C$45:$L$45,'Listas y Parametros'!$C$35:$L$35,'Costo Directo Proyectos'!$AD116)*$AG116,0)+IF('Gantt Proyectos'!AH184=2,$T116,0)/$W116,0)*$L116</f>
        <v>0</v>
      </c>
      <c r="AK116" s="169">
        <f>IFERROR(IF('Gantt Proyectos'!AI184&gt;0,SUMIFS('Listas y Parametros'!$C$45:$L$45,'Listas y Parametros'!$C$35:$L$35,'Costo Directo Proyectos'!$AD116)*$AG116,0)+IF('Gantt Proyectos'!AI184=2,$T116,0)/$W116,0)*$L116</f>
        <v>0</v>
      </c>
      <c r="AL116" s="169">
        <f>IFERROR(IF('Gantt Proyectos'!AJ184&gt;0,SUMIFS('Listas y Parametros'!$C$45:$L$45,'Listas y Parametros'!$C$35:$L$35,'Costo Directo Proyectos'!$AD116)*$AG116,0)+IF('Gantt Proyectos'!AJ184=2,$T116,0)/$W116,0)*$L116</f>
        <v>0</v>
      </c>
      <c r="AM116" s="169">
        <f>IFERROR(IF('Gantt Proyectos'!AK184&gt;0,SUMIFS('Listas y Parametros'!$C$45:$L$45,'Listas y Parametros'!$C$35:$L$35,'Costo Directo Proyectos'!$AD116)*$AG116,0)+IF('Gantt Proyectos'!AK184=2,$T116,0)/$W116,0)*$L116</f>
        <v>0</v>
      </c>
      <c r="AN116" s="169">
        <f>IFERROR(IF('Gantt Proyectos'!AL184&gt;0,SUMIFS('Listas y Parametros'!$C$45:$L$45,'Listas y Parametros'!$C$35:$L$35,'Costo Directo Proyectos'!$AD116)*$AG116,0)+IF('Gantt Proyectos'!AL184=2,$T116,0)/$W116,0)*$L116</f>
        <v>0</v>
      </c>
      <c r="AO116" s="169">
        <f>IFERROR(IF('Gantt Proyectos'!AM184&gt;0,SUMIFS('Listas y Parametros'!$C$45:$L$45,'Listas y Parametros'!$C$35:$L$35,'Costo Directo Proyectos'!$AD116)*$AG116,0)+IF('Gantt Proyectos'!AM184=2,$T116,0)/$W116,0)*$L116</f>
        <v>0</v>
      </c>
      <c r="AP116" s="170">
        <f>IFERROR(IF('Gantt Proyectos'!AN184&gt;0,SUMIFS('Listas y Parametros'!$C$45:$L$45,'Listas y Parametros'!$C$35:$L$35,'Costo Directo Proyectos'!$AD116)*$AG116,0)+IF('Gantt Proyectos'!AN184=2,$T116,0)/$W116,0)*$L116</f>
        <v>0</v>
      </c>
    </row>
    <row r="117" spans="3:42" ht="15" x14ac:dyDescent="0.2">
      <c r="C117" s="144">
        <f>+'Gantt Proyectos'!C185</f>
        <v>89</v>
      </c>
      <c r="D117" s="145">
        <f>+'Gantt Proyectos'!D185</f>
        <v>0</v>
      </c>
      <c r="E117" s="145">
        <f>+'Gantt Proyectos'!E185</f>
        <v>0</v>
      </c>
      <c r="F117" s="147">
        <f>+'Gantt Proyectos'!F185</f>
        <v>0</v>
      </c>
      <c r="G117" s="145">
        <f>+'Gantt Proyectos'!G185</f>
        <v>0</v>
      </c>
      <c r="H117" s="145">
        <f>+'Gantt Proyectos'!H185</f>
        <v>0</v>
      </c>
      <c r="I117" s="189">
        <v>1</v>
      </c>
      <c r="J117" s="189">
        <f t="shared" si="14"/>
        <v>0</v>
      </c>
      <c r="K117" s="145">
        <f>+'Gantt Proyectos'!I185</f>
        <v>0</v>
      </c>
      <c r="L117" s="120">
        <f>+'Gantt Proyectos'!J185</f>
        <v>0</v>
      </c>
      <c r="M117" s="145">
        <f>+'Gantt Proyectos'!K185</f>
        <v>0</v>
      </c>
      <c r="N117" s="145">
        <f>+'Gantt Proyectos'!L185</f>
        <v>0</v>
      </c>
      <c r="O117" s="145">
        <f>+'Gantt Proyectos'!M185</f>
        <v>0</v>
      </c>
      <c r="P117" s="145">
        <f>+'Gantt Proyectos'!N185</f>
        <v>0</v>
      </c>
      <c r="Q117" s="119">
        <f>+'Gantt Proyectos'!O185</f>
        <v>0</v>
      </c>
      <c r="R117" s="119">
        <f>+'Gantt Proyectos'!P185</f>
        <v>0</v>
      </c>
      <c r="S117" s="145">
        <f>+'Gantt Proyectos'!R185</f>
        <v>0</v>
      </c>
      <c r="T117" s="118">
        <f>+'Gantt Proyectos'!S185</f>
        <v>0</v>
      </c>
      <c r="U117" s="156">
        <f>+'Gantt Proyectos'!T185</f>
        <v>0</v>
      </c>
      <c r="V117" s="156">
        <f>+'Gantt Proyectos'!U185</f>
        <v>0</v>
      </c>
      <c r="W117" s="201">
        <f t="shared" si="15"/>
        <v>0</v>
      </c>
      <c r="X117" s="121">
        <f>+'Gantt Proyectos'!W185</f>
        <v>0</v>
      </c>
      <c r="Y117" s="122">
        <f>+'Gantt Proyectos'!X185</f>
        <v>0</v>
      </c>
      <c r="Z117" s="122">
        <f>+'Gantt Proyectos'!Y185</f>
        <v>0</v>
      </c>
      <c r="AA117" s="122">
        <f>+'Gantt Proyectos'!Z185</f>
        <v>0</v>
      </c>
      <c r="AB117" s="122">
        <f>+'Gantt Proyectos'!AA185</f>
        <v>0</v>
      </c>
      <c r="AC117" s="122">
        <f>+'Gantt Proyectos'!AB185</f>
        <v>0</v>
      </c>
      <c r="AD117" s="123">
        <f>+'Gantt Proyectos'!AC185</f>
        <v>0</v>
      </c>
      <c r="AE117" s="123">
        <f>+'Gantt Proyectos'!AD185</f>
        <v>0</v>
      </c>
      <c r="AF117" s="124">
        <f>+'Gantt Proyectos'!AE185</f>
        <v>0</v>
      </c>
      <c r="AG117" s="172">
        <v>1</v>
      </c>
      <c r="AH117" s="168">
        <f>IFERROR(IF('Gantt Proyectos'!AF185&gt;0,SUMIFS('Listas y Parametros'!$C$45:$L$45,'Listas y Parametros'!$C$35:$L$35,'Costo Directo Proyectos'!$AD117)*$AG117,0)+IF('Gantt Proyectos'!AF185=2,$T117,0)/$W117,0)*$L117</f>
        <v>0</v>
      </c>
      <c r="AI117" s="169">
        <f>IFERROR(IF('Gantt Proyectos'!AG185&gt;0,SUMIFS('Listas y Parametros'!$C$45:$L$45,'Listas y Parametros'!$C$35:$L$35,'Costo Directo Proyectos'!$AD117)*$AG117,0)+IF('Gantt Proyectos'!AG185=2,$T117,0)/$W117,0)*$L117</f>
        <v>0</v>
      </c>
      <c r="AJ117" s="169">
        <f>IFERROR(IF('Gantt Proyectos'!AH185&gt;0,SUMIFS('Listas y Parametros'!$C$45:$L$45,'Listas y Parametros'!$C$35:$L$35,'Costo Directo Proyectos'!$AD117)*$AG117,0)+IF('Gantt Proyectos'!AH185=2,$T117,0)/$W117,0)*$L117</f>
        <v>0</v>
      </c>
      <c r="AK117" s="169">
        <f>IFERROR(IF('Gantt Proyectos'!AI185&gt;0,SUMIFS('Listas y Parametros'!$C$45:$L$45,'Listas y Parametros'!$C$35:$L$35,'Costo Directo Proyectos'!$AD117)*$AG117,0)+IF('Gantt Proyectos'!AI185=2,$T117,0)/$W117,0)*$L117</f>
        <v>0</v>
      </c>
      <c r="AL117" s="169">
        <f>IFERROR(IF('Gantt Proyectos'!AJ185&gt;0,SUMIFS('Listas y Parametros'!$C$45:$L$45,'Listas y Parametros'!$C$35:$L$35,'Costo Directo Proyectos'!$AD117)*$AG117,0)+IF('Gantt Proyectos'!AJ185=2,$T117,0)/$W117,0)*$L117</f>
        <v>0</v>
      </c>
      <c r="AM117" s="169">
        <f>IFERROR(IF('Gantt Proyectos'!AK185&gt;0,SUMIFS('Listas y Parametros'!$C$45:$L$45,'Listas y Parametros'!$C$35:$L$35,'Costo Directo Proyectos'!$AD117)*$AG117,0)+IF('Gantt Proyectos'!AK185=2,$T117,0)/$W117,0)*$L117</f>
        <v>0</v>
      </c>
      <c r="AN117" s="169">
        <f>IFERROR(IF('Gantt Proyectos'!AL185&gt;0,SUMIFS('Listas y Parametros'!$C$45:$L$45,'Listas y Parametros'!$C$35:$L$35,'Costo Directo Proyectos'!$AD117)*$AG117,0)+IF('Gantt Proyectos'!AL185=2,$T117,0)/$W117,0)*$L117</f>
        <v>0</v>
      </c>
      <c r="AO117" s="169">
        <f>IFERROR(IF('Gantt Proyectos'!AM185&gt;0,SUMIFS('Listas y Parametros'!$C$45:$L$45,'Listas y Parametros'!$C$35:$L$35,'Costo Directo Proyectos'!$AD117)*$AG117,0)+IF('Gantt Proyectos'!AM185=2,$T117,0)/$W117,0)*$L117</f>
        <v>0</v>
      </c>
      <c r="AP117" s="170">
        <f>IFERROR(IF('Gantt Proyectos'!AN185&gt;0,SUMIFS('Listas y Parametros'!$C$45:$L$45,'Listas y Parametros'!$C$35:$L$35,'Costo Directo Proyectos'!$AD117)*$AG117,0)+IF('Gantt Proyectos'!AN185=2,$T117,0)/$W117,0)*$L117</f>
        <v>0</v>
      </c>
    </row>
    <row r="118" spans="3:42" ht="15" x14ac:dyDescent="0.2">
      <c r="C118" s="144">
        <f>+'Gantt Proyectos'!C186</f>
        <v>90</v>
      </c>
      <c r="D118" s="145">
        <f>+'Gantt Proyectos'!D186</f>
        <v>0</v>
      </c>
      <c r="E118" s="145">
        <f>+'Gantt Proyectos'!E186</f>
        <v>0</v>
      </c>
      <c r="F118" s="147">
        <f>+'Gantt Proyectos'!F186</f>
        <v>0</v>
      </c>
      <c r="G118" s="145">
        <f>+'Gantt Proyectos'!G186</f>
        <v>0</v>
      </c>
      <c r="H118" s="145">
        <f>+'Gantt Proyectos'!H186</f>
        <v>0</v>
      </c>
      <c r="I118" s="189">
        <v>1</v>
      </c>
      <c r="J118" s="189">
        <f t="shared" si="14"/>
        <v>0</v>
      </c>
      <c r="K118" s="145">
        <f>+'Gantt Proyectos'!I186</f>
        <v>0</v>
      </c>
      <c r="L118" s="120">
        <f>+'Gantt Proyectos'!J186</f>
        <v>0</v>
      </c>
      <c r="M118" s="145">
        <f>+'Gantt Proyectos'!K186</f>
        <v>0</v>
      </c>
      <c r="N118" s="145">
        <f>+'Gantt Proyectos'!L186</f>
        <v>0</v>
      </c>
      <c r="O118" s="145">
        <f>+'Gantt Proyectos'!M186</f>
        <v>0</v>
      </c>
      <c r="P118" s="145">
        <f>+'Gantt Proyectos'!N186</f>
        <v>0</v>
      </c>
      <c r="Q118" s="119">
        <f>+'Gantt Proyectos'!O186</f>
        <v>0</v>
      </c>
      <c r="R118" s="119">
        <f>+'Gantt Proyectos'!P186</f>
        <v>0</v>
      </c>
      <c r="S118" s="145">
        <f>+'Gantt Proyectos'!R186</f>
        <v>0</v>
      </c>
      <c r="T118" s="118">
        <f>+'Gantt Proyectos'!S186</f>
        <v>0</v>
      </c>
      <c r="U118" s="156">
        <f>+'Gantt Proyectos'!T186</f>
        <v>0</v>
      </c>
      <c r="V118" s="156">
        <f>+'Gantt Proyectos'!U186</f>
        <v>0</v>
      </c>
      <c r="W118" s="201">
        <f t="shared" si="15"/>
        <v>0</v>
      </c>
      <c r="X118" s="121">
        <f>+'Gantt Proyectos'!W186</f>
        <v>0</v>
      </c>
      <c r="Y118" s="122">
        <f>+'Gantt Proyectos'!X186</f>
        <v>0</v>
      </c>
      <c r="Z118" s="122">
        <f>+'Gantt Proyectos'!Y186</f>
        <v>0</v>
      </c>
      <c r="AA118" s="122">
        <f>+'Gantt Proyectos'!Z186</f>
        <v>0</v>
      </c>
      <c r="AB118" s="122">
        <f>+'Gantt Proyectos'!AA186</f>
        <v>0</v>
      </c>
      <c r="AC118" s="122">
        <f>+'Gantt Proyectos'!AB186</f>
        <v>0</v>
      </c>
      <c r="AD118" s="123">
        <f>+'Gantt Proyectos'!AC186</f>
        <v>0</v>
      </c>
      <c r="AE118" s="123">
        <f>+'Gantt Proyectos'!AD186</f>
        <v>0</v>
      </c>
      <c r="AF118" s="124">
        <f>+'Gantt Proyectos'!AE186</f>
        <v>0</v>
      </c>
      <c r="AG118" s="172">
        <v>1</v>
      </c>
      <c r="AH118" s="168">
        <f>IFERROR(IF('Gantt Proyectos'!AF186&gt;0,SUMIFS('Listas y Parametros'!$C$45:$L$45,'Listas y Parametros'!$C$35:$L$35,'Costo Directo Proyectos'!$AD118)*$AG118,0)+IF('Gantt Proyectos'!AF186=2,$T118,0)/$W118,0)*$L118</f>
        <v>0</v>
      </c>
      <c r="AI118" s="169">
        <f>IFERROR(IF('Gantt Proyectos'!AG186&gt;0,SUMIFS('Listas y Parametros'!$C$45:$L$45,'Listas y Parametros'!$C$35:$L$35,'Costo Directo Proyectos'!$AD118)*$AG118,0)+IF('Gantt Proyectos'!AG186=2,$T118,0)/$W118,0)*$L118</f>
        <v>0</v>
      </c>
      <c r="AJ118" s="169">
        <f>IFERROR(IF('Gantt Proyectos'!AH186&gt;0,SUMIFS('Listas y Parametros'!$C$45:$L$45,'Listas y Parametros'!$C$35:$L$35,'Costo Directo Proyectos'!$AD118)*$AG118,0)+IF('Gantt Proyectos'!AH186=2,$T118,0)/$W118,0)*$L118</f>
        <v>0</v>
      </c>
      <c r="AK118" s="169">
        <f>IFERROR(IF('Gantt Proyectos'!AI186&gt;0,SUMIFS('Listas y Parametros'!$C$45:$L$45,'Listas y Parametros'!$C$35:$L$35,'Costo Directo Proyectos'!$AD118)*$AG118,0)+IF('Gantt Proyectos'!AI186=2,$T118,0)/$W118,0)*$L118</f>
        <v>0</v>
      </c>
      <c r="AL118" s="169">
        <f>IFERROR(IF('Gantt Proyectos'!AJ186&gt;0,SUMIFS('Listas y Parametros'!$C$45:$L$45,'Listas y Parametros'!$C$35:$L$35,'Costo Directo Proyectos'!$AD118)*$AG118,0)+IF('Gantt Proyectos'!AJ186=2,$T118,0)/$W118,0)*$L118</f>
        <v>0</v>
      </c>
      <c r="AM118" s="169">
        <f>IFERROR(IF('Gantt Proyectos'!AK186&gt;0,SUMIFS('Listas y Parametros'!$C$45:$L$45,'Listas y Parametros'!$C$35:$L$35,'Costo Directo Proyectos'!$AD118)*$AG118,0)+IF('Gantt Proyectos'!AK186=2,$T118,0)/$W118,0)*$L118</f>
        <v>0</v>
      </c>
      <c r="AN118" s="169">
        <f>IFERROR(IF('Gantt Proyectos'!AL186&gt;0,SUMIFS('Listas y Parametros'!$C$45:$L$45,'Listas y Parametros'!$C$35:$L$35,'Costo Directo Proyectos'!$AD118)*$AG118,0)+IF('Gantt Proyectos'!AL186=2,$T118,0)/$W118,0)*$L118</f>
        <v>0</v>
      </c>
      <c r="AO118" s="169">
        <f>IFERROR(IF('Gantt Proyectos'!AM186&gt;0,SUMIFS('Listas y Parametros'!$C$45:$L$45,'Listas y Parametros'!$C$35:$L$35,'Costo Directo Proyectos'!$AD118)*$AG118,0)+IF('Gantt Proyectos'!AM186=2,$T118,0)/$W118,0)*$L118</f>
        <v>0</v>
      </c>
      <c r="AP118" s="170">
        <f>IFERROR(IF('Gantt Proyectos'!AN186&gt;0,SUMIFS('Listas y Parametros'!$C$45:$L$45,'Listas y Parametros'!$C$35:$L$35,'Costo Directo Proyectos'!$AD118)*$AG118,0)+IF('Gantt Proyectos'!AN186=2,$T118,0)/$W118,0)*$L118</f>
        <v>0</v>
      </c>
    </row>
    <row r="119" spans="3:42" ht="15" x14ac:dyDescent="0.2">
      <c r="C119" s="144">
        <f>+'Gantt Proyectos'!C187</f>
        <v>91</v>
      </c>
      <c r="D119" s="145">
        <f>+'Gantt Proyectos'!D187</f>
        <v>0</v>
      </c>
      <c r="E119" s="145">
        <f>+'Gantt Proyectos'!E187</f>
        <v>0</v>
      </c>
      <c r="F119" s="147">
        <f>+'Gantt Proyectos'!F187</f>
        <v>0</v>
      </c>
      <c r="G119" s="145">
        <f>+'Gantt Proyectos'!G187</f>
        <v>0</v>
      </c>
      <c r="H119" s="145">
        <f>+'Gantt Proyectos'!H187</f>
        <v>0</v>
      </c>
      <c r="I119" s="189">
        <v>1</v>
      </c>
      <c r="J119" s="189">
        <f t="shared" si="14"/>
        <v>0</v>
      </c>
      <c r="K119" s="145">
        <f>+'Gantt Proyectos'!I187</f>
        <v>0</v>
      </c>
      <c r="L119" s="120">
        <f>+'Gantt Proyectos'!J187</f>
        <v>0</v>
      </c>
      <c r="M119" s="145">
        <f>+'Gantt Proyectos'!K187</f>
        <v>0</v>
      </c>
      <c r="N119" s="145">
        <f>+'Gantt Proyectos'!L187</f>
        <v>0</v>
      </c>
      <c r="O119" s="145">
        <f>+'Gantt Proyectos'!M187</f>
        <v>0</v>
      </c>
      <c r="P119" s="145">
        <f>+'Gantt Proyectos'!N187</f>
        <v>0</v>
      </c>
      <c r="Q119" s="119">
        <f>+'Gantt Proyectos'!O187</f>
        <v>0</v>
      </c>
      <c r="R119" s="119">
        <f>+'Gantt Proyectos'!P187</f>
        <v>0</v>
      </c>
      <c r="S119" s="145">
        <f>+'Gantt Proyectos'!R187</f>
        <v>0</v>
      </c>
      <c r="T119" s="118">
        <f>+'Gantt Proyectos'!S187</f>
        <v>0</v>
      </c>
      <c r="U119" s="156">
        <f>+'Gantt Proyectos'!T187</f>
        <v>0</v>
      </c>
      <c r="V119" s="156">
        <f>+'Gantt Proyectos'!U187</f>
        <v>0</v>
      </c>
      <c r="W119" s="201">
        <f t="shared" si="15"/>
        <v>0</v>
      </c>
      <c r="X119" s="121">
        <f>+'Gantt Proyectos'!W187</f>
        <v>0</v>
      </c>
      <c r="Y119" s="122">
        <f>+'Gantt Proyectos'!X187</f>
        <v>0</v>
      </c>
      <c r="Z119" s="122">
        <f>+'Gantt Proyectos'!Y187</f>
        <v>0</v>
      </c>
      <c r="AA119" s="122">
        <f>+'Gantt Proyectos'!Z187</f>
        <v>0</v>
      </c>
      <c r="AB119" s="122">
        <f>+'Gantt Proyectos'!AA187</f>
        <v>0</v>
      </c>
      <c r="AC119" s="122">
        <f>+'Gantt Proyectos'!AB187</f>
        <v>0</v>
      </c>
      <c r="AD119" s="123">
        <f>+'Gantt Proyectos'!AC187</f>
        <v>0</v>
      </c>
      <c r="AE119" s="123">
        <f>+'Gantt Proyectos'!AD187</f>
        <v>0</v>
      </c>
      <c r="AF119" s="124">
        <f>+'Gantt Proyectos'!AE187</f>
        <v>0</v>
      </c>
      <c r="AG119" s="172">
        <v>1</v>
      </c>
      <c r="AH119" s="168">
        <f>IFERROR(IF('Gantt Proyectos'!AF187&gt;0,SUMIFS('Listas y Parametros'!$C$45:$L$45,'Listas y Parametros'!$C$35:$L$35,'Costo Directo Proyectos'!$AD119)*$AG119,0)+IF('Gantt Proyectos'!AF187=2,$T119,0)/$W119,0)*$L119</f>
        <v>0</v>
      </c>
      <c r="AI119" s="169">
        <f>IFERROR(IF('Gantt Proyectos'!AG187&gt;0,SUMIFS('Listas y Parametros'!$C$45:$L$45,'Listas y Parametros'!$C$35:$L$35,'Costo Directo Proyectos'!$AD119)*$AG119,0)+IF('Gantt Proyectos'!AG187=2,$T119,0)/$W119,0)*$L119</f>
        <v>0</v>
      </c>
      <c r="AJ119" s="169">
        <f>IFERROR(IF('Gantt Proyectos'!AH187&gt;0,SUMIFS('Listas y Parametros'!$C$45:$L$45,'Listas y Parametros'!$C$35:$L$35,'Costo Directo Proyectos'!$AD119)*$AG119,0)+IF('Gantt Proyectos'!AH187=2,$T119,0)/$W119,0)*$L119</f>
        <v>0</v>
      </c>
      <c r="AK119" s="169">
        <f>IFERROR(IF('Gantt Proyectos'!AI187&gt;0,SUMIFS('Listas y Parametros'!$C$45:$L$45,'Listas y Parametros'!$C$35:$L$35,'Costo Directo Proyectos'!$AD119)*$AG119,0)+IF('Gantt Proyectos'!AI187=2,$T119,0)/$W119,0)*$L119</f>
        <v>0</v>
      </c>
      <c r="AL119" s="169">
        <f>IFERROR(IF('Gantt Proyectos'!AJ187&gt;0,SUMIFS('Listas y Parametros'!$C$45:$L$45,'Listas y Parametros'!$C$35:$L$35,'Costo Directo Proyectos'!$AD119)*$AG119,0)+IF('Gantt Proyectos'!AJ187=2,$T119,0)/$W119,0)*$L119</f>
        <v>0</v>
      </c>
      <c r="AM119" s="169">
        <f>IFERROR(IF('Gantt Proyectos'!AK187&gt;0,SUMIFS('Listas y Parametros'!$C$45:$L$45,'Listas y Parametros'!$C$35:$L$35,'Costo Directo Proyectos'!$AD119)*$AG119,0)+IF('Gantt Proyectos'!AK187=2,$T119,0)/$W119,0)*$L119</f>
        <v>0</v>
      </c>
      <c r="AN119" s="169">
        <f>IFERROR(IF('Gantt Proyectos'!AL187&gt;0,SUMIFS('Listas y Parametros'!$C$45:$L$45,'Listas y Parametros'!$C$35:$L$35,'Costo Directo Proyectos'!$AD119)*$AG119,0)+IF('Gantt Proyectos'!AL187=2,$T119,0)/$W119,0)*$L119</f>
        <v>0</v>
      </c>
      <c r="AO119" s="169">
        <f>IFERROR(IF('Gantt Proyectos'!AM187&gt;0,SUMIFS('Listas y Parametros'!$C$45:$L$45,'Listas y Parametros'!$C$35:$L$35,'Costo Directo Proyectos'!$AD119)*$AG119,0)+IF('Gantt Proyectos'!AM187=2,$T119,0)/$W119,0)*$L119</f>
        <v>0</v>
      </c>
      <c r="AP119" s="170">
        <f>IFERROR(IF('Gantt Proyectos'!AN187&gt;0,SUMIFS('Listas y Parametros'!$C$45:$L$45,'Listas y Parametros'!$C$35:$L$35,'Costo Directo Proyectos'!$AD119)*$AG119,0)+IF('Gantt Proyectos'!AN187=2,$T119,0)/$W119,0)*$L119</f>
        <v>0</v>
      </c>
    </row>
    <row r="120" spans="3:42" ht="15" x14ac:dyDescent="0.2">
      <c r="C120" s="144">
        <f>+'Gantt Proyectos'!C188</f>
        <v>92</v>
      </c>
      <c r="D120" s="145">
        <f>+'Gantt Proyectos'!D188</f>
        <v>0</v>
      </c>
      <c r="E120" s="145">
        <f>+'Gantt Proyectos'!E188</f>
        <v>0</v>
      </c>
      <c r="F120" s="147">
        <f>+'Gantt Proyectos'!F188</f>
        <v>0</v>
      </c>
      <c r="G120" s="145">
        <f>+'Gantt Proyectos'!G188</f>
        <v>0</v>
      </c>
      <c r="H120" s="145">
        <f>+'Gantt Proyectos'!H188</f>
        <v>0</v>
      </c>
      <c r="I120" s="189">
        <v>1</v>
      </c>
      <c r="J120" s="189">
        <f t="shared" si="14"/>
        <v>0</v>
      </c>
      <c r="K120" s="145">
        <f>+'Gantt Proyectos'!I188</f>
        <v>0</v>
      </c>
      <c r="L120" s="120">
        <f>+'Gantt Proyectos'!J188</f>
        <v>0</v>
      </c>
      <c r="M120" s="145">
        <f>+'Gantt Proyectos'!K188</f>
        <v>0</v>
      </c>
      <c r="N120" s="145">
        <f>+'Gantt Proyectos'!L188</f>
        <v>0</v>
      </c>
      <c r="O120" s="145">
        <f>+'Gantt Proyectos'!M188</f>
        <v>0</v>
      </c>
      <c r="P120" s="145">
        <f>+'Gantt Proyectos'!N188</f>
        <v>0</v>
      </c>
      <c r="Q120" s="119">
        <f>+'Gantt Proyectos'!O188</f>
        <v>0</v>
      </c>
      <c r="R120" s="119">
        <f>+'Gantt Proyectos'!P188</f>
        <v>0</v>
      </c>
      <c r="S120" s="145">
        <f>+'Gantt Proyectos'!R188</f>
        <v>0</v>
      </c>
      <c r="T120" s="118">
        <f>+'Gantt Proyectos'!S188</f>
        <v>0</v>
      </c>
      <c r="U120" s="156">
        <f>+'Gantt Proyectos'!T188</f>
        <v>0</v>
      </c>
      <c r="V120" s="156">
        <f>+'Gantt Proyectos'!U188</f>
        <v>0</v>
      </c>
      <c r="W120" s="201">
        <f t="shared" si="15"/>
        <v>0</v>
      </c>
      <c r="X120" s="121">
        <f>+'Gantt Proyectos'!W188</f>
        <v>0</v>
      </c>
      <c r="Y120" s="122">
        <f>+'Gantt Proyectos'!X188</f>
        <v>0</v>
      </c>
      <c r="Z120" s="122">
        <f>+'Gantt Proyectos'!Y188</f>
        <v>0</v>
      </c>
      <c r="AA120" s="122">
        <f>+'Gantt Proyectos'!Z188</f>
        <v>0</v>
      </c>
      <c r="AB120" s="122">
        <f>+'Gantt Proyectos'!AA188</f>
        <v>0</v>
      </c>
      <c r="AC120" s="122">
        <f>+'Gantt Proyectos'!AB188</f>
        <v>0</v>
      </c>
      <c r="AD120" s="123">
        <f>+'Gantt Proyectos'!AC188</f>
        <v>0</v>
      </c>
      <c r="AE120" s="123">
        <f>+'Gantt Proyectos'!AD188</f>
        <v>0</v>
      </c>
      <c r="AF120" s="124">
        <f>+'Gantt Proyectos'!AE188</f>
        <v>0</v>
      </c>
      <c r="AG120" s="172">
        <v>1</v>
      </c>
      <c r="AH120" s="168">
        <f>IFERROR(IF('Gantt Proyectos'!AF188&gt;0,SUMIFS('Listas y Parametros'!$C$45:$L$45,'Listas y Parametros'!$C$35:$L$35,'Costo Directo Proyectos'!$AD120)*$AG120,0)+IF('Gantt Proyectos'!AF188=2,$T120,0)/$W120,0)*$L120</f>
        <v>0</v>
      </c>
      <c r="AI120" s="169">
        <f>IFERROR(IF('Gantt Proyectos'!AG188&gt;0,SUMIFS('Listas y Parametros'!$C$45:$L$45,'Listas y Parametros'!$C$35:$L$35,'Costo Directo Proyectos'!$AD120)*$AG120,0)+IF('Gantt Proyectos'!AG188=2,$T120,0)/$W120,0)*$L120</f>
        <v>0</v>
      </c>
      <c r="AJ120" s="169">
        <f>IFERROR(IF('Gantt Proyectos'!AH188&gt;0,SUMIFS('Listas y Parametros'!$C$45:$L$45,'Listas y Parametros'!$C$35:$L$35,'Costo Directo Proyectos'!$AD120)*$AG120,0)+IF('Gantt Proyectos'!AH188=2,$T120,0)/$W120,0)*$L120</f>
        <v>0</v>
      </c>
      <c r="AK120" s="169">
        <f>IFERROR(IF('Gantt Proyectos'!AI188&gt;0,SUMIFS('Listas y Parametros'!$C$45:$L$45,'Listas y Parametros'!$C$35:$L$35,'Costo Directo Proyectos'!$AD120)*$AG120,0)+IF('Gantt Proyectos'!AI188=2,$T120,0)/$W120,0)*$L120</f>
        <v>0</v>
      </c>
      <c r="AL120" s="169">
        <f>IFERROR(IF('Gantt Proyectos'!AJ188&gt;0,SUMIFS('Listas y Parametros'!$C$45:$L$45,'Listas y Parametros'!$C$35:$L$35,'Costo Directo Proyectos'!$AD120)*$AG120,0)+IF('Gantt Proyectos'!AJ188=2,$T120,0)/$W120,0)*$L120</f>
        <v>0</v>
      </c>
      <c r="AM120" s="169">
        <f>IFERROR(IF('Gantt Proyectos'!AK188&gt;0,SUMIFS('Listas y Parametros'!$C$45:$L$45,'Listas y Parametros'!$C$35:$L$35,'Costo Directo Proyectos'!$AD120)*$AG120,0)+IF('Gantt Proyectos'!AK188=2,$T120,0)/$W120,0)*$L120</f>
        <v>0</v>
      </c>
      <c r="AN120" s="169">
        <f>IFERROR(IF('Gantt Proyectos'!AL188&gt;0,SUMIFS('Listas y Parametros'!$C$45:$L$45,'Listas y Parametros'!$C$35:$L$35,'Costo Directo Proyectos'!$AD120)*$AG120,0)+IF('Gantt Proyectos'!AL188=2,$T120,0)/$W120,0)*$L120</f>
        <v>0</v>
      </c>
      <c r="AO120" s="169">
        <f>IFERROR(IF('Gantt Proyectos'!AM188&gt;0,SUMIFS('Listas y Parametros'!$C$45:$L$45,'Listas y Parametros'!$C$35:$L$35,'Costo Directo Proyectos'!$AD120)*$AG120,0)+IF('Gantt Proyectos'!AM188=2,$T120,0)/$W120,0)*$L120</f>
        <v>0</v>
      </c>
      <c r="AP120" s="170">
        <f>IFERROR(IF('Gantt Proyectos'!AN188&gt;0,SUMIFS('Listas y Parametros'!$C$45:$L$45,'Listas y Parametros'!$C$35:$L$35,'Costo Directo Proyectos'!$AD120)*$AG120,0)+IF('Gantt Proyectos'!AN188=2,$T120,0)/$W120,0)*$L120</f>
        <v>0</v>
      </c>
    </row>
    <row r="121" spans="3:42" ht="15" x14ac:dyDescent="0.2">
      <c r="C121" s="144">
        <f>+'Gantt Proyectos'!C189</f>
        <v>93</v>
      </c>
      <c r="D121" s="145">
        <f>+'Gantt Proyectos'!D189</f>
        <v>0</v>
      </c>
      <c r="E121" s="145">
        <f>+'Gantt Proyectos'!E189</f>
        <v>0</v>
      </c>
      <c r="F121" s="147">
        <f>+'Gantt Proyectos'!F189</f>
        <v>0</v>
      </c>
      <c r="G121" s="145">
        <f>+'Gantt Proyectos'!G189</f>
        <v>0</v>
      </c>
      <c r="H121" s="145">
        <f>+'Gantt Proyectos'!H189</f>
        <v>0</v>
      </c>
      <c r="I121" s="189">
        <v>1</v>
      </c>
      <c r="J121" s="189">
        <f t="shared" si="14"/>
        <v>0</v>
      </c>
      <c r="K121" s="145">
        <f>+'Gantt Proyectos'!I189</f>
        <v>0</v>
      </c>
      <c r="L121" s="120">
        <f>+'Gantt Proyectos'!J189</f>
        <v>0</v>
      </c>
      <c r="M121" s="145">
        <f>+'Gantt Proyectos'!K189</f>
        <v>0</v>
      </c>
      <c r="N121" s="145">
        <f>+'Gantt Proyectos'!L189</f>
        <v>0</v>
      </c>
      <c r="O121" s="145">
        <f>+'Gantt Proyectos'!M189</f>
        <v>0</v>
      </c>
      <c r="P121" s="145">
        <f>+'Gantt Proyectos'!N189</f>
        <v>0</v>
      </c>
      <c r="Q121" s="119">
        <f>+'Gantt Proyectos'!O189</f>
        <v>0</v>
      </c>
      <c r="R121" s="119">
        <f>+'Gantt Proyectos'!P189</f>
        <v>0</v>
      </c>
      <c r="S121" s="145">
        <f>+'Gantt Proyectos'!R189</f>
        <v>0</v>
      </c>
      <c r="T121" s="118">
        <f>+'Gantt Proyectos'!S189</f>
        <v>0</v>
      </c>
      <c r="U121" s="156">
        <f>+'Gantt Proyectos'!T189</f>
        <v>0</v>
      </c>
      <c r="V121" s="156">
        <f>+'Gantt Proyectos'!U189</f>
        <v>0</v>
      </c>
      <c r="W121" s="201">
        <f t="shared" si="15"/>
        <v>0</v>
      </c>
      <c r="X121" s="121">
        <f>+'Gantt Proyectos'!W189</f>
        <v>0</v>
      </c>
      <c r="Y121" s="122">
        <f>+'Gantt Proyectos'!X189</f>
        <v>0</v>
      </c>
      <c r="Z121" s="122">
        <f>+'Gantt Proyectos'!Y189</f>
        <v>0</v>
      </c>
      <c r="AA121" s="122">
        <f>+'Gantt Proyectos'!Z189</f>
        <v>0</v>
      </c>
      <c r="AB121" s="122">
        <f>+'Gantt Proyectos'!AA189</f>
        <v>0</v>
      </c>
      <c r="AC121" s="122">
        <f>+'Gantt Proyectos'!AB189</f>
        <v>0</v>
      </c>
      <c r="AD121" s="123">
        <f>+'Gantt Proyectos'!AC189</f>
        <v>0</v>
      </c>
      <c r="AE121" s="123">
        <f>+'Gantt Proyectos'!AD189</f>
        <v>0</v>
      </c>
      <c r="AF121" s="124">
        <f>+'Gantt Proyectos'!AE189</f>
        <v>0</v>
      </c>
      <c r="AG121" s="172">
        <v>1</v>
      </c>
      <c r="AH121" s="168">
        <f>IFERROR(IF('Gantt Proyectos'!AF189&gt;0,SUMIFS('Listas y Parametros'!$C$45:$L$45,'Listas y Parametros'!$C$35:$L$35,'Costo Directo Proyectos'!$AD121)*$AG121,0)+IF('Gantt Proyectos'!AF189=2,$T121,0)/$W121,0)*$L121</f>
        <v>0</v>
      </c>
      <c r="AI121" s="169">
        <f>IFERROR(IF('Gantt Proyectos'!AG189&gt;0,SUMIFS('Listas y Parametros'!$C$45:$L$45,'Listas y Parametros'!$C$35:$L$35,'Costo Directo Proyectos'!$AD121)*$AG121,0)+IF('Gantt Proyectos'!AG189=2,$T121,0)/$W121,0)*$L121</f>
        <v>0</v>
      </c>
      <c r="AJ121" s="169">
        <f>IFERROR(IF('Gantt Proyectos'!AH189&gt;0,SUMIFS('Listas y Parametros'!$C$45:$L$45,'Listas y Parametros'!$C$35:$L$35,'Costo Directo Proyectos'!$AD121)*$AG121,0)+IF('Gantt Proyectos'!AH189=2,$T121,0)/$W121,0)*$L121</f>
        <v>0</v>
      </c>
      <c r="AK121" s="169">
        <f>IFERROR(IF('Gantt Proyectos'!AI189&gt;0,SUMIFS('Listas y Parametros'!$C$45:$L$45,'Listas y Parametros'!$C$35:$L$35,'Costo Directo Proyectos'!$AD121)*$AG121,0)+IF('Gantt Proyectos'!AI189=2,$T121,0)/$W121,0)*$L121</f>
        <v>0</v>
      </c>
      <c r="AL121" s="169">
        <f>IFERROR(IF('Gantt Proyectos'!AJ189&gt;0,SUMIFS('Listas y Parametros'!$C$45:$L$45,'Listas y Parametros'!$C$35:$L$35,'Costo Directo Proyectos'!$AD121)*$AG121,0)+IF('Gantt Proyectos'!AJ189=2,$T121,0)/$W121,0)*$L121</f>
        <v>0</v>
      </c>
      <c r="AM121" s="169">
        <f>IFERROR(IF('Gantt Proyectos'!AK189&gt;0,SUMIFS('Listas y Parametros'!$C$45:$L$45,'Listas y Parametros'!$C$35:$L$35,'Costo Directo Proyectos'!$AD121)*$AG121,0)+IF('Gantt Proyectos'!AK189=2,$T121,0)/$W121,0)*$L121</f>
        <v>0</v>
      </c>
      <c r="AN121" s="169">
        <f>IFERROR(IF('Gantt Proyectos'!AL189&gt;0,SUMIFS('Listas y Parametros'!$C$45:$L$45,'Listas y Parametros'!$C$35:$L$35,'Costo Directo Proyectos'!$AD121)*$AG121,0)+IF('Gantt Proyectos'!AL189=2,$T121,0)/$W121,0)*$L121</f>
        <v>0</v>
      </c>
      <c r="AO121" s="169">
        <f>IFERROR(IF('Gantt Proyectos'!AM189&gt;0,SUMIFS('Listas y Parametros'!$C$45:$L$45,'Listas y Parametros'!$C$35:$L$35,'Costo Directo Proyectos'!$AD121)*$AG121,0)+IF('Gantt Proyectos'!AM189=2,$T121,0)/$W121,0)*$L121</f>
        <v>0</v>
      </c>
      <c r="AP121" s="170">
        <f>IFERROR(IF('Gantt Proyectos'!AN189&gt;0,SUMIFS('Listas y Parametros'!$C$45:$L$45,'Listas y Parametros'!$C$35:$L$35,'Costo Directo Proyectos'!$AD121)*$AG121,0)+IF('Gantt Proyectos'!AN189=2,$T121,0)/$W121,0)*$L121</f>
        <v>0</v>
      </c>
    </row>
    <row r="122" spans="3:42" ht="15" x14ac:dyDescent="0.2">
      <c r="C122" s="144">
        <f>+'Gantt Proyectos'!C190</f>
        <v>94</v>
      </c>
      <c r="D122" s="145">
        <f>+'Gantt Proyectos'!D190</f>
        <v>0</v>
      </c>
      <c r="E122" s="145">
        <f>+'Gantt Proyectos'!E190</f>
        <v>0</v>
      </c>
      <c r="F122" s="147">
        <f>+'Gantt Proyectos'!F190</f>
        <v>0</v>
      </c>
      <c r="G122" s="145">
        <f>+'Gantt Proyectos'!G190</f>
        <v>0</v>
      </c>
      <c r="H122" s="145">
        <f>+'Gantt Proyectos'!H190</f>
        <v>0</v>
      </c>
      <c r="I122" s="189">
        <v>1</v>
      </c>
      <c r="J122" s="189">
        <f t="shared" si="14"/>
        <v>0</v>
      </c>
      <c r="K122" s="145">
        <f>+'Gantt Proyectos'!I190</f>
        <v>0</v>
      </c>
      <c r="L122" s="120">
        <f>+'Gantt Proyectos'!J190</f>
        <v>0</v>
      </c>
      <c r="M122" s="145">
        <f>+'Gantt Proyectos'!K190</f>
        <v>0</v>
      </c>
      <c r="N122" s="145">
        <f>+'Gantt Proyectos'!L190</f>
        <v>0</v>
      </c>
      <c r="O122" s="145">
        <f>+'Gantt Proyectos'!M190</f>
        <v>0</v>
      </c>
      <c r="P122" s="145">
        <f>+'Gantt Proyectos'!N190</f>
        <v>0</v>
      </c>
      <c r="Q122" s="119">
        <f>+'Gantt Proyectos'!O190</f>
        <v>0</v>
      </c>
      <c r="R122" s="119">
        <f>+'Gantt Proyectos'!P190</f>
        <v>0</v>
      </c>
      <c r="S122" s="145">
        <f>+'Gantt Proyectos'!R190</f>
        <v>0</v>
      </c>
      <c r="T122" s="118">
        <f>+'Gantt Proyectos'!S190</f>
        <v>0</v>
      </c>
      <c r="U122" s="156">
        <f>+'Gantt Proyectos'!T190</f>
        <v>0</v>
      </c>
      <c r="V122" s="156">
        <f>+'Gantt Proyectos'!U190</f>
        <v>0</v>
      </c>
      <c r="W122" s="201">
        <f t="shared" si="15"/>
        <v>0</v>
      </c>
      <c r="X122" s="121">
        <f>+'Gantt Proyectos'!W190</f>
        <v>0</v>
      </c>
      <c r="Y122" s="122">
        <f>+'Gantt Proyectos'!X190</f>
        <v>0</v>
      </c>
      <c r="Z122" s="122">
        <f>+'Gantt Proyectos'!Y190</f>
        <v>0</v>
      </c>
      <c r="AA122" s="122">
        <f>+'Gantt Proyectos'!Z190</f>
        <v>0</v>
      </c>
      <c r="AB122" s="122">
        <f>+'Gantt Proyectos'!AA190</f>
        <v>0</v>
      </c>
      <c r="AC122" s="122">
        <f>+'Gantt Proyectos'!AB190</f>
        <v>0</v>
      </c>
      <c r="AD122" s="123">
        <f>+'Gantt Proyectos'!AC190</f>
        <v>0</v>
      </c>
      <c r="AE122" s="123">
        <f>+'Gantt Proyectos'!AD190</f>
        <v>0</v>
      </c>
      <c r="AF122" s="124">
        <f>+'Gantt Proyectos'!AE190</f>
        <v>0</v>
      </c>
      <c r="AG122" s="172">
        <v>1</v>
      </c>
      <c r="AH122" s="168">
        <f>IFERROR(IF('Gantt Proyectos'!AF190&gt;0,SUMIFS('Listas y Parametros'!$C$45:$L$45,'Listas y Parametros'!$C$35:$L$35,'Costo Directo Proyectos'!$AD122)*$AG122,0)+IF('Gantt Proyectos'!AF190=2,$T122,0)/$W122,0)*$L122</f>
        <v>0</v>
      </c>
      <c r="AI122" s="169">
        <f>IFERROR(IF('Gantt Proyectos'!AG190&gt;0,SUMIFS('Listas y Parametros'!$C$45:$L$45,'Listas y Parametros'!$C$35:$L$35,'Costo Directo Proyectos'!$AD122)*$AG122,0)+IF('Gantt Proyectos'!AG190=2,$T122,0)/$W122,0)*$L122</f>
        <v>0</v>
      </c>
      <c r="AJ122" s="169">
        <f>IFERROR(IF('Gantt Proyectos'!AH190&gt;0,SUMIFS('Listas y Parametros'!$C$45:$L$45,'Listas y Parametros'!$C$35:$L$35,'Costo Directo Proyectos'!$AD122)*$AG122,0)+IF('Gantt Proyectos'!AH190=2,$T122,0)/$W122,0)*$L122</f>
        <v>0</v>
      </c>
      <c r="AK122" s="169">
        <f>IFERROR(IF('Gantt Proyectos'!AI190&gt;0,SUMIFS('Listas y Parametros'!$C$45:$L$45,'Listas y Parametros'!$C$35:$L$35,'Costo Directo Proyectos'!$AD122)*$AG122,0)+IF('Gantt Proyectos'!AI190=2,$T122,0)/$W122,0)*$L122</f>
        <v>0</v>
      </c>
      <c r="AL122" s="169">
        <f>IFERROR(IF('Gantt Proyectos'!AJ190&gt;0,SUMIFS('Listas y Parametros'!$C$45:$L$45,'Listas y Parametros'!$C$35:$L$35,'Costo Directo Proyectos'!$AD122)*$AG122,0)+IF('Gantt Proyectos'!AJ190=2,$T122,0)/$W122,0)*$L122</f>
        <v>0</v>
      </c>
      <c r="AM122" s="169">
        <f>IFERROR(IF('Gantt Proyectos'!AK190&gt;0,SUMIFS('Listas y Parametros'!$C$45:$L$45,'Listas y Parametros'!$C$35:$L$35,'Costo Directo Proyectos'!$AD122)*$AG122,0)+IF('Gantt Proyectos'!AK190=2,$T122,0)/$W122,0)*$L122</f>
        <v>0</v>
      </c>
      <c r="AN122" s="169">
        <f>IFERROR(IF('Gantt Proyectos'!AL190&gt;0,SUMIFS('Listas y Parametros'!$C$45:$L$45,'Listas y Parametros'!$C$35:$L$35,'Costo Directo Proyectos'!$AD122)*$AG122,0)+IF('Gantt Proyectos'!AL190=2,$T122,0)/$W122,0)*$L122</f>
        <v>0</v>
      </c>
      <c r="AO122" s="169">
        <f>IFERROR(IF('Gantt Proyectos'!AM190&gt;0,SUMIFS('Listas y Parametros'!$C$45:$L$45,'Listas y Parametros'!$C$35:$L$35,'Costo Directo Proyectos'!$AD122)*$AG122,0)+IF('Gantt Proyectos'!AM190=2,$T122,0)/$W122,0)*$L122</f>
        <v>0</v>
      </c>
      <c r="AP122" s="170">
        <f>IFERROR(IF('Gantt Proyectos'!AN190&gt;0,SUMIFS('Listas y Parametros'!$C$45:$L$45,'Listas y Parametros'!$C$35:$L$35,'Costo Directo Proyectos'!$AD122)*$AG122,0)+IF('Gantt Proyectos'!AN190=2,$T122,0)/$W122,0)*$L122</f>
        <v>0</v>
      </c>
    </row>
    <row r="123" spans="3:42" ht="15" x14ac:dyDescent="0.2">
      <c r="C123" s="144">
        <f>+'Gantt Proyectos'!C191</f>
        <v>95</v>
      </c>
      <c r="D123" s="145">
        <f>+'Gantt Proyectos'!D191</f>
        <v>0</v>
      </c>
      <c r="E123" s="145">
        <f>+'Gantt Proyectos'!E191</f>
        <v>0</v>
      </c>
      <c r="F123" s="147">
        <f>+'Gantt Proyectos'!F191</f>
        <v>0</v>
      </c>
      <c r="G123" s="145">
        <f>+'Gantt Proyectos'!G191</f>
        <v>0</v>
      </c>
      <c r="H123" s="145">
        <f>+'Gantt Proyectos'!H191</f>
        <v>0</v>
      </c>
      <c r="I123" s="189">
        <v>1</v>
      </c>
      <c r="J123" s="189">
        <f t="shared" si="14"/>
        <v>0</v>
      </c>
      <c r="K123" s="145">
        <f>+'Gantt Proyectos'!I191</f>
        <v>0</v>
      </c>
      <c r="L123" s="120">
        <f>+'Gantt Proyectos'!J191</f>
        <v>0</v>
      </c>
      <c r="M123" s="145">
        <f>+'Gantt Proyectos'!K191</f>
        <v>0</v>
      </c>
      <c r="N123" s="145">
        <f>+'Gantt Proyectos'!L191</f>
        <v>0</v>
      </c>
      <c r="O123" s="145">
        <f>+'Gantt Proyectos'!M191</f>
        <v>0</v>
      </c>
      <c r="P123" s="145">
        <f>+'Gantt Proyectos'!N191</f>
        <v>0</v>
      </c>
      <c r="Q123" s="119">
        <f>+'Gantt Proyectos'!O191</f>
        <v>0</v>
      </c>
      <c r="R123" s="119">
        <f>+'Gantt Proyectos'!P191</f>
        <v>0</v>
      </c>
      <c r="S123" s="145">
        <f>+'Gantt Proyectos'!R191</f>
        <v>0</v>
      </c>
      <c r="T123" s="118">
        <f>+'Gantt Proyectos'!S191</f>
        <v>0</v>
      </c>
      <c r="U123" s="156">
        <f>+'Gantt Proyectos'!T191</f>
        <v>0</v>
      </c>
      <c r="V123" s="156">
        <f>+'Gantt Proyectos'!U191</f>
        <v>0</v>
      </c>
      <c r="W123" s="201">
        <f t="shared" si="15"/>
        <v>0</v>
      </c>
      <c r="X123" s="121">
        <f>+'Gantt Proyectos'!W191</f>
        <v>0</v>
      </c>
      <c r="Y123" s="122">
        <f>+'Gantt Proyectos'!X191</f>
        <v>0</v>
      </c>
      <c r="Z123" s="122">
        <f>+'Gantt Proyectos'!Y191</f>
        <v>0</v>
      </c>
      <c r="AA123" s="122">
        <f>+'Gantt Proyectos'!Z191</f>
        <v>0</v>
      </c>
      <c r="AB123" s="122">
        <f>+'Gantt Proyectos'!AA191</f>
        <v>0</v>
      </c>
      <c r="AC123" s="122">
        <f>+'Gantt Proyectos'!AB191</f>
        <v>0</v>
      </c>
      <c r="AD123" s="123">
        <f>+'Gantt Proyectos'!AC191</f>
        <v>0</v>
      </c>
      <c r="AE123" s="123">
        <f>+'Gantt Proyectos'!AD191</f>
        <v>0</v>
      </c>
      <c r="AF123" s="124">
        <f>+'Gantt Proyectos'!AE191</f>
        <v>0</v>
      </c>
      <c r="AG123" s="172">
        <v>1</v>
      </c>
      <c r="AH123" s="168">
        <f>IFERROR(IF('Gantt Proyectos'!AF191&gt;0,SUMIFS('Listas y Parametros'!$C$45:$L$45,'Listas y Parametros'!$C$35:$L$35,'Costo Directo Proyectos'!$AD123)*$AG123,0)+IF('Gantt Proyectos'!AF191=2,$T123,0)/$W123,0)*$L123</f>
        <v>0</v>
      </c>
      <c r="AI123" s="169">
        <f>IFERROR(IF('Gantt Proyectos'!AG191&gt;0,SUMIFS('Listas y Parametros'!$C$45:$L$45,'Listas y Parametros'!$C$35:$L$35,'Costo Directo Proyectos'!$AD123)*$AG123,0)+IF('Gantt Proyectos'!AG191=2,$T123,0)/$W123,0)*$L123</f>
        <v>0</v>
      </c>
      <c r="AJ123" s="169">
        <f>IFERROR(IF('Gantt Proyectos'!AH191&gt;0,SUMIFS('Listas y Parametros'!$C$45:$L$45,'Listas y Parametros'!$C$35:$L$35,'Costo Directo Proyectos'!$AD123)*$AG123,0)+IF('Gantt Proyectos'!AH191=2,$T123,0)/$W123,0)*$L123</f>
        <v>0</v>
      </c>
      <c r="AK123" s="169">
        <f>IFERROR(IF('Gantt Proyectos'!AI191&gt;0,SUMIFS('Listas y Parametros'!$C$45:$L$45,'Listas y Parametros'!$C$35:$L$35,'Costo Directo Proyectos'!$AD123)*$AG123,0)+IF('Gantt Proyectos'!AI191=2,$T123,0)/$W123,0)*$L123</f>
        <v>0</v>
      </c>
      <c r="AL123" s="169">
        <f>IFERROR(IF('Gantt Proyectos'!AJ191&gt;0,SUMIFS('Listas y Parametros'!$C$45:$L$45,'Listas y Parametros'!$C$35:$L$35,'Costo Directo Proyectos'!$AD123)*$AG123,0)+IF('Gantt Proyectos'!AJ191=2,$T123,0)/$W123,0)*$L123</f>
        <v>0</v>
      </c>
      <c r="AM123" s="169">
        <f>IFERROR(IF('Gantt Proyectos'!AK191&gt;0,SUMIFS('Listas y Parametros'!$C$45:$L$45,'Listas y Parametros'!$C$35:$L$35,'Costo Directo Proyectos'!$AD123)*$AG123,0)+IF('Gantt Proyectos'!AK191=2,$T123,0)/$W123,0)*$L123</f>
        <v>0</v>
      </c>
      <c r="AN123" s="169">
        <f>IFERROR(IF('Gantt Proyectos'!AL191&gt;0,SUMIFS('Listas y Parametros'!$C$45:$L$45,'Listas y Parametros'!$C$35:$L$35,'Costo Directo Proyectos'!$AD123)*$AG123,0)+IF('Gantt Proyectos'!AL191=2,$T123,0)/$W123,0)*$L123</f>
        <v>0</v>
      </c>
      <c r="AO123" s="169">
        <f>IFERROR(IF('Gantt Proyectos'!AM191&gt;0,SUMIFS('Listas y Parametros'!$C$45:$L$45,'Listas y Parametros'!$C$35:$L$35,'Costo Directo Proyectos'!$AD123)*$AG123,0)+IF('Gantt Proyectos'!AM191=2,$T123,0)/$W123,0)*$L123</f>
        <v>0</v>
      </c>
      <c r="AP123" s="170">
        <f>IFERROR(IF('Gantt Proyectos'!AN191&gt;0,SUMIFS('Listas y Parametros'!$C$45:$L$45,'Listas y Parametros'!$C$35:$L$35,'Costo Directo Proyectos'!$AD123)*$AG123,0)+IF('Gantt Proyectos'!AN191=2,$T123,0)/$W123,0)*$L123</f>
        <v>0</v>
      </c>
    </row>
    <row r="124" spans="3:42" ht="15" x14ac:dyDescent="0.2">
      <c r="C124" s="144">
        <f>+'Gantt Proyectos'!C192</f>
        <v>96</v>
      </c>
      <c r="D124" s="145">
        <f>+'Gantt Proyectos'!D192</f>
        <v>0</v>
      </c>
      <c r="E124" s="145">
        <f>+'Gantt Proyectos'!E192</f>
        <v>0</v>
      </c>
      <c r="F124" s="147">
        <f>+'Gantt Proyectos'!F192</f>
        <v>0</v>
      </c>
      <c r="G124" s="145">
        <f>+'Gantt Proyectos'!G192</f>
        <v>0</v>
      </c>
      <c r="H124" s="145">
        <f>+'Gantt Proyectos'!H192</f>
        <v>0</v>
      </c>
      <c r="I124" s="189">
        <v>1</v>
      </c>
      <c r="J124" s="189">
        <f t="shared" si="14"/>
        <v>0</v>
      </c>
      <c r="K124" s="145">
        <f>+'Gantt Proyectos'!I192</f>
        <v>0</v>
      </c>
      <c r="L124" s="120">
        <f>+'Gantt Proyectos'!J192</f>
        <v>0</v>
      </c>
      <c r="M124" s="145">
        <f>+'Gantt Proyectos'!K192</f>
        <v>0</v>
      </c>
      <c r="N124" s="145">
        <f>+'Gantt Proyectos'!L192</f>
        <v>0</v>
      </c>
      <c r="O124" s="145">
        <f>+'Gantt Proyectos'!M192</f>
        <v>0</v>
      </c>
      <c r="P124" s="145">
        <f>+'Gantt Proyectos'!N192</f>
        <v>0</v>
      </c>
      <c r="Q124" s="119">
        <f>+'Gantt Proyectos'!O192</f>
        <v>0</v>
      </c>
      <c r="R124" s="119">
        <f>+'Gantt Proyectos'!P192</f>
        <v>0</v>
      </c>
      <c r="S124" s="145">
        <f>+'Gantt Proyectos'!R192</f>
        <v>0</v>
      </c>
      <c r="T124" s="118">
        <f>+'Gantt Proyectos'!S192</f>
        <v>0</v>
      </c>
      <c r="U124" s="156">
        <f>+'Gantt Proyectos'!T192</f>
        <v>0</v>
      </c>
      <c r="V124" s="156">
        <f>+'Gantt Proyectos'!U192</f>
        <v>0</v>
      </c>
      <c r="W124" s="201">
        <f t="shared" si="15"/>
        <v>0</v>
      </c>
      <c r="X124" s="121">
        <f>+'Gantt Proyectos'!W192</f>
        <v>0</v>
      </c>
      <c r="Y124" s="122">
        <f>+'Gantt Proyectos'!X192</f>
        <v>0</v>
      </c>
      <c r="Z124" s="122">
        <f>+'Gantt Proyectos'!Y192</f>
        <v>0</v>
      </c>
      <c r="AA124" s="122">
        <f>+'Gantt Proyectos'!Z192</f>
        <v>0</v>
      </c>
      <c r="AB124" s="122">
        <f>+'Gantt Proyectos'!AA192</f>
        <v>0</v>
      </c>
      <c r="AC124" s="122">
        <f>+'Gantt Proyectos'!AB192</f>
        <v>0</v>
      </c>
      <c r="AD124" s="123">
        <f>+'Gantt Proyectos'!AC192</f>
        <v>0</v>
      </c>
      <c r="AE124" s="123">
        <f>+'Gantt Proyectos'!AD192</f>
        <v>0</v>
      </c>
      <c r="AF124" s="124">
        <f>+'Gantt Proyectos'!AE192</f>
        <v>0</v>
      </c>
      <c r="AG124" s="172">
        <v>1</v>
      </c>
      <c r="AH124" s="168">
        <f>IFERROR(IF('Gantt Proyectos'!AF192&gt;0,SUMIFS('Listas y Parametros'!$C$45:$L$45,'Listas y Parametros'!$C$35:$L$35,'Costo Directo Proyectos'!$AD124)*$AG124,0)+IF('Gantt Proyectos'!AF192=2,$T124,0)/$W124,0)*$L124</f>
        <v>0</v>
      </c>
      <c r="AI124" s="169">
        <f>IFERROR(IF('Gantt Proyectos'!AG192&gt;0,SUMIFS('Listas y Parametros'!$C$45:$L$45,'Listas y Parametros'!$C$35:$L$35,'Costo Directo Proyectos'!$AD124)*$AG124,0)+IF('Gantt Proyectos'!AG192=2,$T124,0)/$W124,0)*$L124</f>
        <v>0</v>
      </c>
      <c r="AJ124" s="169">
        <f>IFERROR(IF('Gantt Proyectos'!AH192&gt;0,SUMIFS('Listas y Parametros'!$C$45:$L$45,'Listas y Parametros'!$C$35:$L$35,'Costo Directo Proyectos'!$AD124)*$AG124,0)+IF('Gantt Proyectos'!AH192=2,$T124,0)/$W124,0)*$L124</f>
        <v>0</v>
      </c>
      <c r="AK124" s="169">
        <f>IFERROR(IF('Gantt Proyectos'!AI192&gt;0,SUMIFS('Listas y Parametros'!$C$45:$L$45,'Listas y Parametros'!$C$35:$L$35,'Costo Directo Proyectos'!$AD124)*$AG124,0)+IF('Gantt Proyectos'!AI192=2,$T124,0)/$W124,0)*$L124</f>
        <v>0</v>
      </c>
      <c r="AL124" s="169">
        <f>IFERROR(IF('Gantt Proyectos'!AJ192&gt;0,SUMIFS('Listas y Parametros'!$C$45:$L$45,'Listas y Parametros'!$C$35:$L$35,'Costo Directo Proyectos'!$AD124)*$AG124,0)+IF('Gantt Proyectos'!AJ192=2,$T124,0)/$W124,0)*$L124</f>
        <v>0</v>
      </c>
      <c r="AM124" s="169">
        <f>IFERROR(IF('Gantt Proyectos'!AK192&gt;0,SUMIFS('Listas y Parametros'!$C$45:$L$45,'Listas y Parametros'!$C$35:$L$35,'Costo Directo Proyectos'!$AD124)*$AG124,0)+IF('Gantt Proyectos'!AK192=2,$T124,0)/$W124,0)*$L124</f>
        <v>0</v>
      </c>
      <c r="AN124" s="169">
        <f>IFERROR(IF('Gantt Proyectos'!AL192&gt;0,SUMIFS('Listas y Parametros'!$C$45:$L$45,'Listas y Parametros'!$C$35:$L$35,'Costo Directo Proyectos'!$AD124)*$AG124,0)+IF('Gantt Proyectos'!AL192=2,$T124,0)/$W124,0)*$L124</f>
        <v>0</v>
      </c>
      <c r="AO124" s="169">
        <f>IFERROR(IF('Gantt Proyectos'!AM192&gt;0,SUMIFS('Listas y Parametros'!$C$45:$L$45,'Listas y Parametros'!$C$35:$L$35,'Costo Directo Proyectos'!$AD124)*$AG124,0)+IF('Gantt Proyectos'!AM192=2,$T124,0)/$W124,0)*$L124</f>
        <v>0</v>
      </c>
      <c r="AP124" s="170">
        <f>IFERROR(IF('Gantt Proyectos'!AN192&gt;0,SUMIFS('Listas y Parametros'!$C$45:$L$45,'Listas y Parametros'!$C$35:$L$35,'Costo Directo Proyectos'!$AD124)*$AG124,0)+IF('Gantt Proyectos'!AN192=2,$T124,0)/$W124,0)*$L124</f>
        <v>0</v>
      </c>
    </row>
    <row r="125" spans="3:42" ht="15" x14ac:dyDescent="0.2">
      <c r="C125" s="144">
        <f>+'Gantt Proyectos'!C193</f>
        <v>97</v>
      </c>
      <c r="D125" s="145">
        <f>+'Gantt Proyectos'!D193</f>
        <v>0</v>
      </c>
      <c r="E125" s="145">
        <f>+'Gantt Proyectos'!E193</f>
        <v>0</v>
      </c>
      <c r="F125" s="147">
        <f>+'Gantt Proyectos'!F193</f>
        <v>0</v>
      </c>
      <c r="G125" s="145">
        <f>+'Gantt Proyectos'!G193</f>
        <v>0</v>
      </c>
      <c r="H125" s="145">
        <f>+'Gantt Proyectos'!H193</f>
        <v>0</v>
      </c>
      <c r="I125" s="189">
        <v>1</v>
      </c>
      <c r="J125" s="189">
        <f t="shared" si="14"/>
        <v>0</v>
      </c>
      <c r="K125" s="145">
        <f>+'Gantt Proyectos'!I193</f>
        <v>0</v>
      </c>
      <c r="L125" s="120">
        <f>+'Gantt Proyectos'!J193</f>
        <v>0</v>
      </c>
      <c r="M125" s="145">
        <f>+'Gantt Proyectos'!K193</f>
        <v>0</v>
      </c>
      <c r="N125" s="145">
        <f>+'Gantt Proyectos'!L193</f>
        <v>0</v>
      </c>
      <c r="O125" s="145">
        <f>+'Gantt Proyectos'!M193</f>
        <v>0</v>
      </c>
      <c r="P125" s="145">
        <f>+'Gantt Proyectos'!N193</f>
        <v>0</v>
      </c>
      <c r="Q125" s="119">
        <f>+'Gantt Proyectos'!O193</f>
        <v>0</v>
      </c>
      <c r="R125" s="119">
        <f>+'Gantt Proyectos'!P193</f>
        <v>0</v>
      </c>
      <c r="S125" s="145">
        <f>+'Gantt Proyectos'!R193</f>
        <v>0</v>
      </c>
      <c r="T125" s="118">
        <f>+'Gantt Proyectos'!S193</f>
        <v>0</v>
      </c>
      <c r="U125" s="156">
        <f>+'Gantt Proyectos'!T193</f>
        <v>0</v>
      </c>
      <c r="V125" s="156">
        <f>+'Gantt Proyectos'!U193</f>
        <v>0</v>
      </c>
      <c r="W125" s="201">
        <f t="shared" si="15"/>
        <v>0</v>
      </c>
      <c r="X125" s="121">
        <f>+'Gantt Proyectos'!W193</f>
        <v>0</v>
      </c>
      <c r="Y125" s="122">
        <f>+'Gantt Proyectos'!X193</f>
        <v>0</v>
      </c>
      <c r="Z125" s="122">
        <f>+'Gantt Proyectos'!Y193</f>
        <v>0</v>
      </c>
      <c r="AA125" s="122">
        <f>+'Gantt Proyectos'!Z193</f>
        <v>0</v>
      </c>
      <c r="AB125" s="122">
        <f>+'Gantt Proyectos'!AA193</f>
        <v>0</v>
      </c>
      <c r="AC125" s="122">
        <f>+'Gantt Proyectos'!AB193</f>
        <v>0</v>
      </c>
      <c r="AD125" s="123">
        <f>+'Gantt Proyectos'!AC193</f>
        <v>0</v>
      </c>
      <c r="AE125" s="123">
        <f>+'Gantt Proyectos'!AD193</f>
        <v>0</v>
      </c>
      <c r="AF125" s="124">
        <f>+'Gantt Proyectos'!AE193</f>
        <v>0</v>
      </c>
      <c r="AG125" s="172">
        <v>1</v>
      </c>
      <c r="AH125" s="168">
        <f>IFERROR(IF('Gantt Proyectos'!AF193&gt;0,SUMIFS('Listas y Parametros'!$C$45:$L$45,'Listas y Parametros'!$C$35:$L$35,'Costo Directo Proyectos'!$AD125)*$AG125,0)+IF('Gantt Proyectos'!AF193=2,$T125,0)/$W125,0)*$L125</f>
        <v>0</v>
      </c>
      <c r="AI125" s="169">
        <f>IFERROR(IF('Gantt Proyectos'!AG193&gt;0,SUMIFS('Listas y Parametros'!$C$45:$L$45,'Listas y Parametros'!$C$35:$L$35,'Costo Directo Proyectos'!$AD125)*$AG125,0)+IF('Gantt Proyectos'!AG193=2,$T125,0)/$W125,0)*$L125</f>
        <v>0</v>
      </c>
      <c r="AJ125" s="169">
        <f>IFERROR(IF('Gantt Proyectos'!AH193&gt;0,SUMIFS('Listas y Parametros'!$C$45:$L$45,'Listas y Parametros'!$C$35:$L$35,'Costo Directo Proyectos'!$AD125)*$AG125,0)+IF('Gantt Proyectos'!AH193=2,$T125,0)/$W125,0)*$L125</f>
        <v>0</v>
      </c>
      <c r="AK125" s="169">
        <f>IFERROR(IF('Gantt Proyectos'!AI193&gt;0,SUMIFS('Listas y Parametros'!$C$45:$L$45,'Listas y Parametros'!$C$35:$L$35,'Costo Directo Proyectos'!$AD125)*$AG125,0)+IF('Gantt Proyectos'!AI193=2,$T125,0)/$W125,0)*$L125</f>
        <v>0</v>
      </c>
      <c r="AL125" s="169">
        <f>IFERROR(IF('Gantt Proyectos'!AJ193&gt;0,SUMIFS('Listas y Parametros'!$C$45:$L$45,'Listas y Parametros'!$C$35:$L$35,'Costo Directo Proyectos'!$AD125)*$AG125,0)+IF('Gantt Proyectos'!AJ193=2,$T125,0)/$W125,0)*$L125</f>
        <v>0</v>
      </c>
      <c r="AM125" s="169">
        <f>IFERROR(IF('Gantt Proyectos'!AK193&gt;0,SUMIFS('Listas y Parametros'!$C$45:$L$45,'Listas y Parametros'!$C$35:$L$35,'Costo Directo Proyectos'!$AD125)*$AG125,0)+IF('Gantt Proyectos'!AK193=2,$T125,0)/$W125,0)*$L125</f>
        <v>0</v>
      </c>
      <c r="AN125" s="169">
        <f>IFERROR(IF('Gantt Proyectos'!AL193&gt;0,SUMIFS('Listas y Parametros'!$C$45:$L$45,'Listas y Parametros'!$C$35:$L$35,'Costo Directo Proyectos'!$AD125)*$AG125,0)+IF('Gantt Proyectos'!AL193=2,$T125,0)/$W125,0)*$L125</f>
        <v>0</v>
      </c>
      <c r="AO125" s="169">
        <f>IFERROR(IF('Gantt Proyectos'!AM193&gt;0,SUMIFS('Listas y Parametros'!$C$45:$L$45,'Listas y Parametros'!$C$35:$L$35,'Costo Directo Proyectos'!$AD125)*$AG125,0)+IF('Gantt Proyectos'!AM193=2,$T125,0)/$W125,0)*$L125</f>
        <v>0</v>
      </c>
      <c r="AP125" s="170">
        <f>IFERROR(IF('Gantt Proyectos'!AN193&gt;0,SUMIFS('Listas y Parametros'!$C$45:$L$45,'Listas y Parametros'!$C$35:$L$35,'Costo Directo Proyectos'!$AD125)*$AG125,0)+IF('Gantt Proyectos'!AN193=2,$T125,0)/$W125,0)*$L125</f>
        <v>0</v>
      </c>
    </row>
    <row r="126" spans="3:42" ht="15" x14ac:dyDescent="0.2">
      <c r="C126" s="144">
        <f>+'Gantt Proyectos'!C194</f>
        <v>98</v>
      </c>
      <c r="D126" s="145">
        <f>+'Gantt Proyectos'!D194</f>
        <v>0</v>
      </c>
      <c r="E126" s="145">
        <f>+'Gantt Proyectos'!E194</f>
        <v>0</v>
      </c>
      <c r="F126" s="147">
        <f>+'Gantt Proyectos'!F194</f>
        <v>0</v>
      </c>
      <c r="G126" s="145">
        <f>+'Gantt Proyectos'!G194</f>
        <v>0</v>
      </c>
      <c r="H126" s="145">
        <f>+'Gantt Proyectos'!H194</f>
        <v>0</v>
      </c>
      <c r="I126" s="189">
        <v>1</v>
      </c>
      <c r="J126" s="189">
        <f t="shared" si="14"/>
        <v>0</v>
      </c>
      <c r="K126" s="145">
        <f>+'Gantt Proyectos'!I194</f>
        <v>0</v>
      </c>
      <c r="L126" s="120">
        <f>+'Gantt Proyectos'!J194</f>
        <v>0</v>
      </c>
      <c r="M126" s="145">
        <f>+'Gantt Proyectos'!K194</f>
        <v>0</v>
      </c>
      <c r="N126" s="145">
        <f>+'Gantt Proyectos'!L194</f>
        <v>0</v>
      </c>
      <c r="O126" s="145">
        <f>+'Gantt Proyectos'!M194</f>
        <v>0</v>
      </c>
      <c r="P126" s="145">
        <f>+'Gantt Proyectos'!N194</f>
        <v>0</v>
      </c>
      <c r="Q126" s="119">
        <f>+'Gantt Proyectos'!O194</f>
        <v>0</v>
      </c>
      <c r="R126" s="119">
        <f>+'Gantt Proyectos'!P194</f>
        <v>0</v>
      </c>
      <c r="S126" s="145">
        <f>+'Gantt Proyectos'!R194</f>
        <v>0</v>
      </c>
      <c r="T126" s="118">
        <f>+'Gantt Proyectos'!S194</f>
        <v>0</v>
      </c>
      <c r="U126" s="156">
        <f>+'Gantt Proyectos'!T194</f>
        <v>0</v>
      </c>
      <c r="V126" s="156">
        <f>+'Gantt Proyectos'!U194</f>
        <v>0</v>
      </c>
      <c r="W126" s="201">
        <f t="shared" si="15"/>
        <v>0</v>
      </c>
      <c r="X126" s="121">
        <f>+'Gantt Proyectos'!W194</f>
        <v>0</v>
      </c>
      <c r="Y126" s="122">
        <f>+'Gantt Proyectos'!X194</f>
        <v>0</v>
      </c>
      <c r="Z126" s="122">
        <f>+'Gantt Proyectos'!Y194</f>
        <v>0</v>
      </c>
      <c r="AA126" s="122">
        <f>+'Gantt Proyectos'!Z194</f>
        <v>0</v>
      </c>
      <c r="AB126" s="122">
        <f>+'Gantt Proyectos'!AA194</f>
        <v>0</v>
      </c>
      <c r="AC126" s="122">
        <f>+'Gantt Proyectos'!AB194</f>
        <v>0</v>
      </c>
      <c r="AD126" s="123">
        <f>+'Gantt Proyectos'!AC194</f>
        <v>0</v>
      </c>
      <c r="AE126" s="123">
        <f>+'Gantt Proyectos'!AD194</f>
        <v>0</v>
      </c>
      <c r="AF126" s="124">
        <f>+'Gantt Proyectos'!AE194</f>
        <v>0</v>
      </c>
      <c r="AG126" s="172">
        <v>1</v>
      </c>
      <c r="AH126" s="168">
        <f>IFERROR(IF('Gantt Proyectos'!AF194&gt;0,SUMIFS('Listas y Parametros'!$C$45:$L$45,'Listas y Parametros'!$C$35:$L$35,'Costo Directo Proyectos'!$AD126)*$AG126,0)+IF('Gantt Proyectos'!AF194=2,$T126,0)/$W126,0)*$L126</f>
        <v>0</v>
      </c>
      <c r="AI126" s="169">
        <f>IFERROR(IF('Gantt Proyectos'!AG194&gt;0,SUMIFS('Listas y Parametros'!$C$45:$L$45,'Listas y Parametros'!$C$35:$L$35,'Costo Directo Proyectos'!$AD126)*$AG126,0)+IF('Gantt Proyectos'!AG194=2,$T126,0)/$W126,0)*$L126</f>
        <v>0</v>
      </c>
      <c r="AJ126" s="169">
        <f>IFERROR(IF('Gantt Proyectos'!AH194&gt;0,SUMIFS('Listas y Parametros'!$C$45:$L$45,'Listas y Parametros'!$C$35:$L$35,'Costo Directo Proyectos'!$AD126)*$AG126,0)+IF('Gantt Proyectos'!AH194=2,$T126,0)/$W126,0)*$L126</f>
        <v>0</v>
      </c>
      <c r="AK126" s="169">
        <f>IFERROR(IF('Gantt Proyectos'!AI194&gt;0,SUMIFS('Listas y Parametros'!$C$45:$L$45,'Listas y Parametros'!$C$35:$L$35,'Costo Directo Proyectos'!$AD126)*$AG126,0)+IF('Gantt Proyectos'!AI194=2,$T126,0)/$W126,0)*$L126</f>
        <v>0</v>
      </c>
      <c r="AL126" s="169">
        <f>IFERROR(IF('Gantt Proyectos'!AJ194&gt;0,SUMIFS('Listas y Parametros'!$C$45:$L$45,'Listas y Parametros'!$C$35:$L$35,'Costo Directo Proyectos'!$AD126)*$AG126,0)+IF('Gantt Proyectos'!AJ194=2,$T126,0)/$W126,0)*$L126</f>
        <v>0</v>
      </c>
      <c r="AM126" s="169">
        <f>IFERROR(IF('Gantt Proyectos'!AK194&gt;0,SUMIFS('Listas y Parametros'!$C$45:$L$45,'Listas y Parametros'!$C$35:$L$35,'Costo Directo Proyectos'!$AD126)*$AG126,0)+IF('Gantt Proyectos'!AK194=2,$T126,0)/$W126,0)*$L126</f>
        <v>0</v>
      </c>
      <c r="AN126" s="169">
        <f>IFERROR(IF('Gantt Proyectos'!AL194&gt;0,SUMIFS('Listas y Parametros'!$C$45:$L$45,'Listas y Parametros'!$C$35:$L$35,'Costo Directo Proyectos'!$AD126)*$AG126,0)+IF('Gantt Proyectos'!AL194=2,$T126,0)/$W126,0)*$L126</f>
        <v>0</v>
      </c>
      <c r="AO126" s="169">
        <f>IFERROR(IF('Gantt Proyectos'!AM194&gt;0,SUMIFS('Listas y Parametros'!$C$45:$L$45,'Listas y Parametros'!$C$35:$L$35,'Costo Directo Proyectos'!$AD126)*$AG126,0)+IF('Gantt Proyectos'!AM194=2,$T126,0)/$W126,0)*$L126</f>
        <v>0</v>
      </c>
      <c r="AP126" s="170">
        <f>IFERROR(IF('Gantt Proyectos'!AN194&gt;0,SUMIFS('Listas y Parametros'!$C$45:$L$45,'Listas y Parametros'!$C$35:$L$35,'Costo Directo Proyectos'!$AD126)*$AG126,0)+IF('Gantt Proyectos'!AN194=2,$T126,0)/$W126,0)*$L126</f>
        <v>0</v>
      </c>
    </row>
    <row r="127" spans="3:42" ht="15" x14ac:dyDescent="0.2">
      <c r="C127" s="144">
        <f>+'Gantt Proyectos'!C195</f>
        <v>99</v>
      </c>
      <c r="D127" s="145">
        <f>+'Gantt Proyectos'!D195</f>
        <v>0</v>
      </c>
      <c r="E127" s="145">
        <f>+'Gantt Proyectos'!E195</f>
        <v>0</v>
      </c>
      <c r="F127" s="147">
        <f>+'Gantt Proyectos'!F195</f>
        <v>0</v>
      </c>
      <c r="G127" s="145">
        <f>+'Gantt Proyectos'!G195</f>
        <v>0</v>
      </c>
      <c r="H127" s="145">
        <f>+'Gantt Proyectos'!H195</f>
        <v>0</v>
      </c>
      <c r="I127" s="189">
        <v>1</v>
      </c>
      <c r="J127" s="189">
        <f t="shared" si="14"/>
        <v>0</v>
      </c>
      <c r="K127" s="145">
        <f>+'Gantt Proyectos'!I195</f>
        <v>0</v>
      </c>
      <c r="L127" s="120">
        <f>+'Gantt Proyectos'!J195</f>
        <v>0</v>
      </c>
      <c r="M127" s="145">
        <f>+'Gantt Proyectos'!K195</f>
        <v>0</v>
      </c>
      <c r="N127" s="145">
        <f>+'Gantt Proyectos'!L195</f>
        <v>0</v>
      </c>
      <c r="O127" s="145">
        <f>+'Gantt Proyectos'!M195</f>
        <v>0</v>
      </c>
      <c r="P127" s="145">
        <f>+'Gantt Proyectos'!N195</f>
        <v>0</v>
      </c>
      <c r="Q127" s="119">
        <f>+'Gantt Proyectos'!O195</f>
        <v>0</v>
      </c>
      <c r="R127" s="119">
        <f>+'Gantt Proyectos'!P195</f>
        <v>0</v>
      </c>
      <c r="S127" s="145">
        <f>+'Gantt Proyectos'!R195</f>
        <v>0</v>
      </c>
      <c r="T127" s="118">
        <f>+'Gantt Proyectos'!S195</f>
        <v>0</v>
      </c>
      <c r="U127" s="156">
        <f>+'Gantt Proyectos'!T195</f>
        <v>0</v>
      </c>
      <c r="V127" s="156">
        <f>+'Gantt Proyectos'!U195</f>
        <v>0</v>
      </c>
      <c r="W127" s="201">
        <f t="shared" si="15"/>
        <v>0</v>
      </c>
      <c r="X127" s="121">
        <f>+'Gantt Proyectos'!W195</f>
        <v>0</v>
      </c>
      <c r="Y127" s="122">
        <f>+'Gantt Proyectos'!X195</f>
        <v>0</v>
      </c>
      <c r="Z127" s="122">
        <f>+'Gantt Proyectos'!Y195</f>
        <v>0</v>
      </c>
      <c r="AA127" s="122">
        <f>+'Gantt Proyectos'!Z195</f>
        <v>0</v>
      </c>
      <c r="AB127" s="122">
        <f>+'Gantt Proyectos'!AA195</f>
        <v>0</v>
      </c>
      <c r="AC127" s="122">
        <f>+'Gantt Proyectos'!AB195</f>
        <v>0</v>
      </c>
      <c r="AD127" s="123">
        <f>+'Gantt Proyectos'!AC195</f>
        <v>0</v>
      </c>
      <c r="AE127" s="123">
        <f>+'Gantt Proyectos'!AD195</f>
        <v>0</v>
      </c>
      <c r="AF127" s="124">
        <f>+'Gantt Proyectos'!AE195</f>
        <v>0</v>
      </c>
      <c r="AG127" s="172">
        <v>1</v>
      </c>
      <c r="AH127" s="168">
        <f>IFERROR(IF('Gantt Proyectos'!AF195&gt;0,SUMIFS('Listas y Parametros'!$C$45:$L$45,'Listas y Parametros'!$C$35:$L$35,'Costo Directo Proyectos'!$AD127)*$AG127,0)+IF('Gantt Proyectos'!AF195=2,$T127,0)/$W127,0)*$L127</f>
        <v>0</v>
      </c>
      <c r="AI127" s="169">
        <f>IFERROR(IF('Gantt Proyectos'!AG195&gt;0,SUMIFS('Listas y Parametros'!$C$45:$L$45,'Listas y Parametros'!$C$35:$L$35,'Costo Directo Proyectos'!$AD127)*$AG127,0)+IF('Gantt Proyectos'!AG195=2,$T127,0)/$W127,0)*$L127</f>
        <v>0</v>
      </c>
      <c r="AJ127" s="169">
        <f>IFERROR(IF('Gantt Proyectos'!AH195&gt;0,SUMIFS('Listas y Parametros'!$C$45:$L$45,'Listas y Parametros'!$C$35:$L$35,'Costo Directo Proyectos'!$AD127)*$AG127,0)+IF('Gantt Proyectos'!AH195=2,$T127,0)/$W127,0)*$L127</f>
        <v>0</v>
      </c>
      <c r="AK127" s="169">
        <f>IFERROR(IF('Gantt Proyectos'!AI195&gt;0,SUMIFS('Listas y Parametros'!$C$45:$L$45,'Listas y Parametros'!$C$35:$L$35,'Costo Directo Proyectos'!$AD127)*$AG127,0)+IF('Gantt Proyectos'!AI195=2,$T127,0)/$W127,0)*$L127</f>
        <v>0</v>
      </c>
      <c r="AL127" s="169">
        <f>IFERROR(IF('Gantt Proyectos'!AJ195&gt;0,SUMIFS('Listas y Parametros'!$C$45:$L$45,'Listas y Parametros'!$C$35:$L$35,'Costo Directo Proyectos'!$AD127)*$AG127,0)+IF('Gantt Proyectos'!AJ195=2,$T127,0)/$W127,0)*$L127</f>
        <v>0</v>
      </c>
      <c r="AM127" s="169">
        <f>IFERROR(IF('Gantt Proyectos'!AK195&gt;0,SUMIFS('Listas y Parametros'!$C$45:$L$45,'Listas y Parametros'!$C$35:$L$35,'Costo Directo Proyectos'!$AD127)*$AG127,0)+IF('Gantt Proyectos'!AK195=2,$T127,0)/$W127,0)*$L127</f>
        <v>0</v>
      </c>
      <c r="AN127" s="169">
        <f>IFERROR(IF('Gantt Proyectos'!AL195&gt;0,SUMIFS('Listas y Parametros'!$C$45:$L$45,'Listas y Parametros'!$C$35:$L$35,'Costo Directo Proyectos'!$AD127)*$AG127,0)+IF('Gantt Proyectos'!AL195=2,$T127,0)/$W127,0)*$L127</f>
        <v>0</v>
      </c>
      <c r="AO127" s="169">
        <f>IFERROR(IF('Gantt Proyectos'!AM195&gt;0,SUMIFS('Listas y Parametros'!$C$45:$L$45,'Listas y Parametros'!$C$35:$L$35,'Costo Directo Proyectos'!$AD127)*$AG127,0)+IF('Gantt Proyectos'!AM195=2,$T127,0)/$W127,0)*$L127</f>
        <v>0</v>
      </c>
      <c r="AP127" s="170">
        <f>IFERROR(IF('Gantt Proyectos'!AN195&gt;0,SUMIFS('Listas y Parametros'!$C$45:$L$45,'Listas y Parametros'!$C$35:$L$35,'Costo Directo Proyectos'!$AD127)*$AG127,0)+IF('Gantt Proyectos'!AN195=2,$T127,0)/$W127,0)*$L127</f>
        <v>0</v>
      </c>
    </row>
    <row r="128" spans="3:42" ht="15" x14ac:dyDescent="0.2">
      <c r="C128" s="144">
        <f>+'Gantt Proyectos'!C196</f>
        <v>100</v>
      </c>
      <c r="D128" s="145">
        <f>+'Gantt Proyectos'!D196</f>
        <v>0</v>
      </c>
      <c r="E128" s="145">
        <f>+'Gantt Proyectos'!E196</f>
        <v>0</v>
      </c>
      <c r="F128" s="147">
        <f>+'Gantt Proyectos'!F196</f>
        <v>0</v>
      </c>
      <c r="G128" s="145">
        <f>+'Gantt Proyectos'!G196</f>
        <v>0</v>
      </c>
      <c r="H128" s="145">
        <f>+'Gantt Proyectos'!H196</f>
        <v>0</v>
      </c>
      <c r="I128" s="189">
        <v>1</v>
      </c>
      <c r="J128" s="189">
        <f t="shared" si="14"/>
        <v>0</v>
      </c>
      <c r="K128" s="145">
        <f>+'Gantt Proyectos'!I196</f>
        <v>0</v>
      </c>
      <c r="L128" s="120">
        <f>+'Gantt Proyectos'!J196</f>
        <v>0</v>
      </c>
      <c r="M128" s="145">
        <f>+'Gantt Proyectos'!K196</f>
        <v>0</v>
      </c>
      <c r="N128" s="145">
        <f>+'Gantt Proyectos'!L196</f>
        <v>0</v>
      </c>
      <c r="O128" s="145">
        <f>+'Gantt Proyectos'!M196</f>
        <v>0</v>
      </c>
      <c r="P128" s="145">
        <f>+'Gantt Proyectos'!N196</f>
        <v>0</v>
      </c>
      <c r="Q128" s="119">
        <f>+'Gantt Proyectos'!O196</f>
        <v>0</v>
      </c>
      <c r="R128" s="119">
        <f>+'Gantt Proyectos'!P196</f>
        <v>0</v>
      </c>
      <c r="S128" s="145">
        <f>+'Gantt Proyectos'!R196</f>
        <v>0</v>
      </c>
      <c r="T128" s="118">
        <f>+'Gantt Proyectos'!S196</f>
        <v>0</v>
      </c>
      <c r="U128" s="156">
        <f>+'Gantt Proyectos'!T196</f>
        <v>0</v>
      </c>
      <c r="V128" s="156">
        <f>+'Gantt Proyectos'!U196</f>
        <v>0</v>
      </c>
      <c r="W128" s="201">
        <f t="shared" si="15"/>
        <v>0</v>
      </c>
      <c r="X128" s="121">
        <f>+'Gantt Proyectos'!W196</f>
        <v>0</v>
      </c>
      <c r="Y128" s="122">
        <f>+'Gantt Proyectos'!X196</f>
        <v>0</v>
      </c>
      <c r="Z128" s="122">
        <f>+'Gantt Proyectos'!Y196</f>
        <v>0</v>
      </c>
      <c r="AA128" s="122">
        <f>+'Gantt Proyectos'!Z196</f>
        <v>0</v>
      </c>
      <c r="AB128" s="122">
        <f>+'Gantt Proyectos'!AA196</f>
        <v>0</v>
      </c>
      <c r="AC128" s="122">
        <f>+'Gantt Proyectos'!AB196</f>
        <v>0</v>
      </c>
      <c r="AD128" s="123">
        <f>+'Gantt Proyectos'!AC196</f>
        <v>0</v>
      </c>
      <c r="AE128" s="123">
        <f>+'Gantt Proyectos'!AD196</f>
        <v>0</v>
      </c>
      <c r="AF128" s="124">
        <f>+'Gantt Proyectos'!AE196</f>
        <v>0</v>
      </c>
      <c r="AG128" s="172">
        <v>1</v>
      </c>
      <c r="AH128" s="168">
        <f>IFERROR(IF('Gantt Proyectos'!AF196&gt;0,SUMIFS('Listas y Parametros'!$C$45:$L$45,'Listas y Parametros'!$C$35:$L$35,'Costo Directo Proyectos'!$AD128)*$AG128,0)+IF('Gantt Proyectos'!AF196=2,$T128,0)/$W128,0)*$L128</f>
        <v>0</v>
      </c>
      <c r="AI128" s="169">
        <f>IFERROR(IF('Gantt Proyectos'!AG196&gt;0,SUMIFS('Listas y Parametros'!$C$45:$L$45,'Listas y Parametros'!$C$35:$L$35,'Costo Directo Proyectos'!$AD128)*$AG128,0)+IF('Gantt Proyectos'!AG196=2,$T128,0)/$W128,0)*$L128</f>
        <v>0</v>
      </c>
      <c r="AJ128" s="169">
        <f>IFERROR(IF('Gantt Proyectos'!AH196&gt;0,SUMIFS('Listas y Parametros'!$C$45:$L$45,'Listas y Parametros'!$C$35:$L$35,'Costo Directo Proyectos'!$AD128)*$AG128,0)+IF('Gantt Proyectos'!AH196=2,$T128,0)/$W128,0)*$L128</f>
        <v>0</v>
      </c>
      <c r="AK128" s="169">
        <f>IFERROR(IF('Gantt Proyectos'!AI196&gt;0,SUMIFS('Listas y Parametros'!$C$45:$L$45,'Listas y Parametros'!$C$35:$L$35,'Costo Directo Proyectos'!$AD128)*$AG128,0)+IF('Gantt Proyectos'!AI196=2,$T128,0)/$W128,0)*$L128</f>
        <v>0</v>
      </c>
      <c r="AL128" s="169">
        <f>IFERROR(IF('Gantt Proyectos'!AJ196&gt;0,SUMIFS('Listas y Parametros'!$C$45:$L$45,'Listas y Parametros'!$C$35:$L$35,'Costo Directo Proyectos'!$AD128)*$AG128,0)+IF('Gantt Proyectos'!AJ196=2,$T128,0)/$W128,0)*$L128</f>
        <v>0</v>
      </c>
      <c r="AM128" s="169">
        <f>IFERROR(IF('Gantt Proyectos'!AK196&gt;0,SUMIFS('Listas y Parametros'!$C$45:$L$45,'Listas y Parametros'!$C$35:$L$35,'Costo Directo Proyectos'!$AD128)*$AG128,0)+IF('Gantt Proyectos'!AK196=2,$T128,0)/$W128,0)*$L128</f>
        <v>0</v>
      </c>
      <c r="AN128" s="169">
        <f>IFERROR(IF('Gantt Proyectos'!AL196&gt;0,SUMIFS('Listas y Parametros'!$C$45:$L$45,'Listas y Parametros'!$C$35:$L$35,'Costo Directo Proyectos'!$AD128)*$AG128,0)+IF('Gantt Proyectos'!AL196=2,$T128,0)/$W128,0)*$L128</f>
        <v>0</v>
      </c>
      <c r="AO128" s="169">
        <f>IFERROR(IF('Gantt Proyectos'!AM196&gt;0,SUMIFS('Listas y Parametros'!$C$45:$L$45,'Listas y Parametros'!$C$35:$L$35,'Costo Directo Proyectos'!$AD128)*$AG128,0)+IF('Gantt Proyectos'!AM196=2,$T128,0)/$W128,0)*$L128</f>
        <v>0</v>
      </c>
      <c r="AP128" s="170">
        <f>IFERROR(IF('Gantt Proyectos'!AN196&gt;0,SUMIFS('Listas y Parametros'!$C$45:$L$45,'Listas y Parametros'!$C$35:$L$35,'Costo Directo Proyectos'!$AD128)*$AG128,0)+IF('Gantt Proyectos'!AN196=2,$T128,0)/$W128,0)*$L128</f>
        <v>0</v>
      </c>
    </row>
    <row r="129" spans="3:42" ht="15" x14ac:dyDescent="0.2">
      <c r="C129" s="110">
        <f>+'Gantt Proyectos'!C197</f>
        <v>0</v>
      </c>
      <c r="D129" s="110" t="str">
        <f>+'Gantt Proyectos'!D146</f>
        <v>Ingeniería perfil Clavelinas</v>
      </c>
      <c r="E129" s="110" t="str">
        <f>+'Gantt Proyectos'!E146</f>
        <v>Minsur</v>
      </c>
      <c r="F129" s="148" t="str">
        <f>+'Gantt Proyectos'!F146</f>
        <v>Perú</v>
      </c>
      <c r="G129" s="110" t="str">
        <f>+'Gantt Proyectos'!G146</f>
        <v>Perú</v>
      </c>
      <c r="H129" s="110">
        <f>+'Gantt Proyectos'!H197</f>
        <v>0</v>
      </c>
      <c r="I129" s="189">
        <v>1</v>
      </c>
      <c r="J129" s="189">
        <f t="shared" si="14"/>
        <v>0</v>
      </c>
      <c r="K129" s="110">
        <f>+'Gantt Proyectos'!I197</f>
        <v>0</v>
      </c>
      <c r="L129" s="110">
        <f>+'Gantt Proyectos'!J197</f>
        <v>0</v>
      </c>
      <c r="M129" s="110">
        <f>+'Gantt Proyectos'!K197</f>
        <v>0</v>
      </c>
      <c r="N129" s="110">
        <f>+'Gantt Proyectos'!L197</f>
        <v>0</v>
      </c>
      <c r="O129" s="110">
        <f>+'Gantt Proyectos'!M197</f>
        <v>0</v>
      </c>
      <c r="P129" s="110">
        <f>+'Gantt Proyectos'!N197</f>
        <v>0</v>
      </c>
      <c r="Q129" s="110">
        <f>+'Gantt Proyectos'!O197</f>
        <v>0</v>
      </c>
      <c r="R129" s="110">
        <f>+'Gantt Proyectos'!P197</f>
        <v>0</v>
      </c>
      <c r="S129" s="110">
        <f>+'Gantt Proyectos'!R197</f>
        <v>0</v>
      </c>
      <c r="T129" s="118">
        <f>+'Gantt Proyectos'!S197</f>
        <v>0</v>
      </c>
      <c r="U129" s="157">
        <f>+'Gantt Proyectos'!T197</f>
        <v>0</v>
      </c>
      <c r="V129" s="157">
        <f>+'Gantt Proyectos'!U197</f>
        <v>0</v>
      </c>
      <c r="W129" s="201">
        <f t="shared" si="15"/>
        <v>0</v>
      </c>
      <c r="X129" s="110">
        <f>+'Gantt Proyectos'!W197</f>
        <v>0</v>
      </c>
      <c r="Y129" s="110">
        <f>+'Gantt Proyectos'!X197</f>
        <v>0</v>
      </c>
      <c r="Z129" s="110">
        <f>+'Gantt Proyectos'!Y197</f>
        <v>0</v>
      </c>
      <c r="AA129" s="110">
        <f>+'Gantt Proyectos'!Z197</f>
        <v>0</v>
      </c>
      <c r="AB129" s="110">
        <f>+'Gantt Proyectos'!AA197</f>
        <v>0</v>
      </c>
      <c r="AC129" s="110">
        <f>+'Gantt Proyectos'!AB197</f>
        <v>0</v>
      </c>
      <c r="AD129" s="110">
        <f>+'Gantt Proyectos'!AC197</f>
        <v>0</v>
      </c>
      <c r="AE129" s="110">
        <f>+'Gantt Proyectos'!AD197</f>
        <v>0</v>
      </c>
      <c r="AF129" s="110">
        <f>+'Gantt Proyectos'!AE197</f>
        <v>0</v>
      </c>
      <c r="AG129" s="172">
        <v>1</v>
      </c>
      <c r="AH129" s="168">
        <f>IFERROR(IF('Gantt Proyectos'!AF197&gt;0,SUMIFS('Listas y Parametros'!$C$45:$L$45,'Listas y Parametros'!$C$35:$L$35,'Costo Directo Proyectos'!$AD129)*$AG129,0)+IF('Gantt Proyectos'!AF197=2,$T129,0)/$W129,0)*$L129</f>
        <v>0</v>
      </c>
      <c r="AI129" s="169">
        <f>IFERROR(IF('Gantt Proyectos'!AG197&gt;0,SUMIFS('Listas y Parametros'!$C$45:$L$45,'Listas y Parametros'!$C$35:$L$35,'Costo Directo Proyectos'!$AD129)*$AG129,0)+IF('Gantt Proyectos'!AG197=2,$T129,0)/$W129,0)*$L129</f>
        <v>0</v>
      </c>
      <c r="AJ129" s="169">
        <f>IFERROR(IF('Gantt Proyectos'!AH197&gt;0,SUMIFS('Listas y Parametros'!$C$45:$L$45,'Listas y Parametros'!$C$35:$L$35,'Costo Directo Proyectos'!$AD129)*$AG129,0)+IF('Gantt Proyectos'!AH197=2,$T129,0)/$W129,0)*$L129</f>
        <v>0</v>
      </c>
      <c r="AK129" s="169">
        <f>IFERROR(IF('Gantt Proyectos'!AI197&gt;0,SUMIFS('Listas y Parametros'!$C$45:$L$45,'Listas y Parametros'!$C$35:$L$35,'Costo Directo Proyectos'!$AD129)*$AG129,0)+IF('Gantt Proyectos'!AI197=2,$T129,0)/$W129,0)*$L129</f>
        <v>0</v>
      </c>
      <c r="AL129" s="169">
        <f>IFERROR(IF('Gantt Proyectos'!AJ197&gt;0,SUMIFS('Listas y Parametros'!$C$45:$L$45,'Listas y Parametros'!$C$35:$L$35,'Costo Directo Proyectos'!$AD129)*$AG129,0)+IF('Gantt Proyectos'!AJ197=2,$T129,0)/$W129,0)*$L129</f>
        <v>0</v>
      </c>
      <c r="AM129" s="169">
        <f>IFERROR(IF('Gantt Proyectos'!AK197&gt;0,SUMIFS('Listas y Parametros'!$C$45:$L$45,'Listas y Parametros'!$C$35:$L$35,'Costo Directo Proyectos'!$AD129)*$AG129,0)+IF('Gantt Proyectos'!AK197=2,$T129,0)/$W129,0)*$L129</f>
        <v>0</v>
      </c>
      <c r="AN129" s="169">
        <f>IFERROR(IF('Gantt Proyectos'!AL197&gt;0,SUMIFS('Listas y Parametros'!$C$45:$L$45,'Listas y Parametros'!$C$35:$L$35,'Costo Directo Proyectos'!$AD129)*$AG129,0)+IF('Gantt Proyectos'!AL197=2,$T129,0)/$W129,0)*$L129</f>
        <v>0</v>
      </c>
      <c r="AO129" s="169">
        <f>IFERROR(IF('Gantt Proyectos'!AM197&gt;0,SUMIFS('Listas y Parametros'!$C$45:$L$45,'Listas y Parametros'!$C$35:$L$35,'Costo Directo Proyectos'!$AD129)*$AG129,0)+IF('Gantt Proyectos'!AM197=2,$T129,0)/$W129,0)*$L129</f>
        <v>0</v>
      </c>
      <c r="AP129" s="170">
        <f>IFERROR(IF('Gantt Proyectos'!AN197&gt;0,SUMIFS('Listas y Parametros'!$C$45:$L$45,'Listas y Parametros'!$C$35:$L$35,'Costo Directo Proyectos'!$AD129)*$AG129,0)+IF('Gantt Proyectos'!AN197=2,$T129,0)/$W129,0)*$L129</f>
        <v>0</v>
      </c>
    </row>
    <row r="130" spans="3:42" ht="15" x14ac:dyDescent="0.2">
      <c r="C130" s="110">
        <f>+'Gantt Proyectos'!C198</f>
        <v>0</v>
      </c>
      <c r="D130" s="110" t="str">
        <f>+'Gantt Proyectos'!D147</f>
        <v>Ingeniería de factibilidad Cristina</v>
      </c>
      <c r="E130" s="110" t="str">
        <f>+'Gantt Proyectos'!E147</f>
        <v>Insideo</v>
      </c>
      <c r="F130" s="148" t="str">
        <f>+'Gantt Proyectos'!F147</f>
        <v>Perú</v>
      </c>
      <c r="G130" s="110" t="str">
        <f>+'Gantt Proyectos'!G147</f>
        <v>Chile</v>
      </c>
      <c r="H130" s="110">
        <f>+'Gantt Proyectos'!H198</f>
        <v>0</v>
      </c>
      <c r="I130" s="189">
        <v>1</v>
      </c>
      <c r="J130" s="189">
        <f t="shared" si="14"/>
        <v>0</v>
      </c>
      <c r="K130" s="110">
        <f>+'Gantt Proyectos'!I198</f>
        <v>0</v>
      </c>
      <c r="L130" s="110">
        <f>+'Gantt Proyectos'!J198</f>
        <v>0</v>
      </c>
      <c r="M130" s="110">
        <f>+'Gantt Proyectos'!K198</f>
        <v>0</v>
      </c>
      <c r="N130" s="110">
        <f>+'Gantt Proyectos'!L198</f>
        <v>0</v>
      </c>
      <c r="O130" s="110">
        <f>+'Gantt Proyectos'!M198</f>
        <v>0</v>
      </c>
      <c r="P130" s="110">
        <f>+'Gantt Proyectos'!N198</f>
        <v>0</v>
      </c>
      <c r="Q130" s="110">
        <f>+'Gantt Proyectos'!O198</f>
        <v>0</v>
      </c>
      <c r="R130" s="110">
        <f>+'Gantt Proyectos'!P198</f>
        <v>0</v>
      </c>
      <c r="S130" s="110">
        <f>+'Gantt Proyectos'!R198</f>
        <v>0</v>
      </c>
      <c r="T130" s="118">
        <f>+'Gantt Proyectos'!S198</f>
        <v>0</v>
      </c>
      <c r="U130" s="157">
        <f>+'Gantt Proyectos'!T198</f>
        <v>0</v>
      </c>
      <c r="V130" s="157">
        <f>+'Gantt Proyectos'!U198</f>
        <v>0</v>
      </c>
      <c r="W130" s="201">
        <f t="shared" si="15"/>
        <v>0</v>
      </c>
      <c r="X130" s="110">
        <f>+'Gantt Proyectos'!W198</f>
        <v>0</v>
      </c>
      <c r="Y130" s="110">
        <f>+'Gantt Proyectos'!X198</f>
        <v>0</v>
      </c>
      <c r="Z130" s="110">
        <f>+'Gantt Proyectos'!Y198</f>
        <v>0</v>
      </c>
      <c r="AA130" s="110">
        <f>+'Gantt Proyectos'!Z198</f>
        <v>0</v>
      </c>
      <c r="AB130" s="110">
        <f>+'Gantt Proyectos'!AA198</f>
        <v>0</v>
      </c>
      <c r="AC130" s="110">
        <f>+'Gantt Proyectos'!AB198</f>
        <v>0</v>
      </c>
      <c r="AD130" s="110">
        <f>+'Gantt Proyectos'!AC198</f>
        <v>0</v>
      </c>
      <c r="AE130" s="110">
        <f>+'Gantt Proyectos'!AD198</f>
        <v>0</v>
      </c>
      <c r="AF130" s="110">
        <f>+'Gantt Proyectos'!AE198</f>
        <v>0</v>
      </c>
      <c r="AG130" s="172">
        <v>1</v>
      </c>
      <c r="AH130" s="168">
        <f>IFERROR(IF('Gantt Proyectos'!AF198&gt;0,SUMIFS('Listas y Parametros'!$C$45:$L$45,'Listas y Parametros'!$C$35:$L$35,'Costo Directo Proyectos'!$AD130)*$AG130,0)+IF('Gantt Proyectos'!AF198=2,$T130,0)/$W130,0)*$L130</f>
        <v>0</v>
      </c>
      <c r="AI130" s="169">
        <f>IFERROR(IF('Gantt Proyectos'!AG198&gt;0,SUMIFS('Listas y Parametros'!$C$45:$L$45,'Listas y Parametros'!$C$35:$L$35,'Costo Directo Proyectos'!$AD130)*$AG130,0)+IF('Gantt Proyectos'!AG198=2,$T130,0)/$W130,0)*$L130</f>
        <v>0</v>
      </c>
      <c r="AJ130" s="169">
        <f>IFERROR(IF('Gantt Proyectos'!AH198&gt;0,SUMIFS('Listas y Parametros'!$C$45:$L$45,'Listas y Parametros'!$C$35:$L$35,'Costo Directo Proyectos'!$AD130)*$AG130,0)+IF('Gantt Proyectos'!AH198=2,$T130,0)/$W130,0)*$L130</f>
        <v>0</v>
      </c>
      <c r="AK130" s="169">
        <f>IFERROR(IF('Gantt Proyectos'!AI198&gt;0,SUMIFS('Listas y Parametros'!$C$45:$L$45,'Listas y Parametros'!$C$35:$L$35,'Costo Directo Proyectos'!$AD130)*$AG130,0)+IF('Gantt Proyectos'!AI198=2,$T130,0)/$W130,0)*$L130</f>
        <v>0</v>
      </c>
      <c r="AL130" s="169">
        <f>IFERROR(IF('Gantt Proyectos'!AJ198&gt;0,SUMIFS('Listas y Parametros'!$C$45:$L$45,'Listas y Parametros'!$C$35:$L$35,'Costo Directo Proyectos'!$AD130)*$AG130,0)+IF('Gantt Proyectos'!AJ198=2,$T130,0)/$W130,0)*$L130</f>
        <v>0</v>
      </c>
      <c r="AM130" s="169">
        <f>IFERROR(IF('Gantt Proyectos'!AK198&gt;0,SUMIFS('Listas y Parametros'!$C$45:$L$45,'Listas y Parametros'!$C$35:$L$35,'Costo Directo Proyectos'!$AD130)*$AG130,0)+IF('Gantt Proyectos'!AK198=2,$T130,0)/$W130,0)*$L130</f>
        <v>0</v>
      </c>
      <c r="AN130" s="169">
        <f>IFERROR(IF('Gantt Proyectos'!AL198&gt;0,SUMIFS('Listas y Parametros'!$C$45:$L$45,'Listas y Parametros'!$C$35:$L$35,'Costo Directo Proyectos'!$AD130)*$AG130,0)+IF('Gantt Proyectos'!AL198=2,$T130,0)/$W130,0)*$L130</f>
        <v>0</v>
      </c>
      <c r="AO130" s="169">
        <f>IFERROR(IF('Gantt Proyectos'!AM198&gt;0,SUMIFS('Listas y Parametros'!$C$45:$L$45,'Listas y Parametros'!$C$35:$L$35,'Costo Directo Proyectos'!$AD130)*$AG130,0)+IF('Gantt Proyectos'!AM198=2,$T130,0)/$W130,0)*$L130</f>
        <v>0</v>
      </c>
      <c r="AP130" s="170">
        <f>IFERROR(IF('Gantt Proyectos'!AN198&gt;0,SUMIFS('Listas y Parametros'!$C$45:$L$45,'Listas y Parametros'!$C$35:$L$35,'Costo Directo Proyectos'!$AD130)*$AG130,0)+IF('Gantt Proyectos'!AN198=2,$T130,0)/$W130,0)*$L130</f>
        <v>0</v>
      </c>
    </row>
    <row r="131" spans="3:42" ht="15" x14ac:dyDescent="0.2">
      <c r="C131" s="110">
        <f>+'Gantt Proyectos'!C199</f>
        <v>0</v>
      </c>
      <c r="D131" s="110" t="str">
        <f>+'Gantt Proyectos'!D148</f>
        <v>Conceptual Chalcobamba UG</v>
      </c>
      <c r="E131" s="110" t="str">
        <f>+'Gantt Proyectos'!E148</f>
        <v>Las Bambas</v>
      </c>
      <c r="F131" s="148" t="str">
        <f>+'Gantt Proyectos'!F148</f>
        <v>Perú</v>
      </c>
      <c r="G131" s="110" t="str">
        <f>+'Gantt Proyectos'!G148</f>
        <v>Chile</v>
      </c>
      <c r="H131" s="110">
        <f>+'Gantt Proyectos'!H199</f>
        <v>0</v>
      </c>
      <c r="I131" s="189">
        <v>1</v>
      </c>
      <c r="J131" s="189">
        <f t="shared" si="14"/>
        <v>0</v>
      </c>
      <c r="K131" s="110">
        <f>+'Gantt Proyectos'!I199</f>
        <v>0</v>
      </c>
      <c r="L131" s="110">
        <f>+'Gantt Proyectos'!J199</f>
        <v>0</v>
      </c>
      <c r="M131" s="110">
        <f>+'Gantt Proyectos'!K199</f>
        <v>0</v>
      </c>
      <c r="N131" s="110">
        <f>+'Gantt Proyectos'!L199</f>
        <v>0</v>
      </c>
      <c r="O131" s="110">
        <f>+'Gantt Proyectos'!M199</f>
        <v>0</v>
      </c>
      <c r="P131" s="110">
        <f>+'Gantt Proyectos'!N199</f>
        <v>0</v>
      </c>
      <c r="Q131" s="110">
        <f>+'Gantt Proyectos'!O199</f>
        <v>0</v>
      </c>
      <c r="R131" s="110">
        <f>+'Gantt Proyectos'!P199</f>
        <v>0</v>
      </c>
      <c r="S131" s="110">
        <f>+'Gantt Proyectos'!R199</f>
        <v>0</v>
      </c>
      <c r="T131" s="118">
        <f>+'Gantt Proyectos'!S199</f>
        <v>0</v>
      </c>
      <c r="U131" s="157">
        <f>+'Gantt Proyectos'!T199</f>
        <v>0</v>
      </c>
      <c r="V131" s="157">
        <f>+'Gantt Proyectos'!U199</f>
        <v>0</v>
      </c>
      <c r="W131" s="201">
        <f t="shared" si="15"/>
        <v>0</v>
      </c>
      <c r="X131" s="110">
        <f>+'Gantt Proyectos'!W199</f>
        <v>0</v>
      </c>
      <c r="Y131" s="110">
        <f>+'Gantt Proyectos'!X199</f>
        <v>0</v>
      </c>
      <c r="Z131" s="110">
        <f>+'Gantt Proyectos'!Y199</f>
        <v>0</v>
      </c>
      <c r="AA131" s="110">
        <f>+'Gantt Proyectos'!Z199</f>
        <v>0</v>
      </c>
      <c r="AB131" s="110">
        <f>+'Gantt Proyectos'!AA199</f>
        <v>0</v>
      </c>
      <c r="AC131" s="110">
        <f>+'Gantt Proyectos'!AB199</f>
        <v>0</v>
      </c>
      <c r="AD131" s="110">
        <f>+'Gantt Proyectos'!AC199</f>
        <v>0</v>
      </c>
      <c r="AE131" s="110">
        <f>+'Gantt Proyectos'!AD199</f>
        <v>0</v>
      </c>
      <c r="AF131" s="110">
        <f>+'Gantt Proyectos'!AE199</f>
        <v>0</v>
      </c>
      <c r="AG131" s="172">
        <v>1</v>
      </c>
      <c r="AH131" s="168">
        <f>IFERROR(IF('Gantt Proyectos'!AF199&gt;0,SUMIFS('Listas y Parametros'!$C$45:$L$45,'Listas y Parametros'!$C$35:$L$35,'Costo Directo Proyectos'!$AD131)*$AG131,0)+IF('Gantt Proyectos'!AF199=2,$T131,0)/$W131,0)*$L131</f>
        <v>0</v>
      </c>
      <c r="AI131" s="169">
        <f>IFERROR(IF('Gantt Proyectos'!AG199&gt;0,SUMIFS('Listas y Parametros'!$C$45:$L$45,'Listas y Parametros'!$C$35:$L$35,'Costo Directo Proyectos'!$AD131)*$AG131,0)+IF('Gantt Proyectos'!AG199=2,$T131,0)/$W131,0)*$L131</f>
        <v>0</v>
      </c>
      <c r="AJ131" s="169">
        <f>IFERROR(IF('Gantt Proyectos'!AH199&gt;0,SUMIFS('Listas y Parametros'!$C$45:$L$45,'Listas y Parametros'!$C$35:$L$35,'Costo Directo Proyectos'!$AD131)*$AG131,0)+IF('Gantt Proyectos'!AH199=2,$T131,0)/$W131,0)*$L131</f>
        <v>0</v>
      </c>
      <c r="AK131" s="169">
        <f>IFERROR(IF('Gantt Proyectos'!AI199&gt;0,SUMIFS('Listas y Parametros'!$C$45:$L$45,'Listas y Parametros'!$C$35:$L$35,'Costo Directo Proyectos'!$AD131)*$AG131,0)+IF('Gantt Proyectos'!AI199=2,$T131,0)/$W131,0)*$L131</f>
        <v>0</v>
      </c>
      <c r="AL131" s="169">
        <f>IFERROR(IF('Gantt Proyectos'!AJ199&gt;0,SUMIFS('Listas y Parametros'!$C$45:$L$45,'Listas y Parametros'!$C$35:$L$35,'Costo Directo Proyectos'!$AD131)*$AG131,0)+IF('Gantt Proyectos'!AJ199=2,$T131,0)/$W131,0)*$L131</f>
        <v>0</v>
      </c>
      <c r="AM131" s="169">
        <f>IFERROR(IF('Gantt Proyectos'!AK199&gt;0,SUMIFS('Listas y Parametros'!$C$45:$L$45,'Listas y Parametros'!$C$35:$L$35,'Costo Directo Proyectos'!$AD131)*$AG131,0)+IF('Gantt Proyectos'!AK199=2,$T131,0)/$W131,0)*$L131</f>
        <v>0</v>
      </c>
      <c r="AN131" s="169">
        <f>IFERROR(IF('Gantt Proyectos'!AL199&gt;0,SUMIFS('Listas y Parametros'!$C$45:$L$45,'Listas y Parametros'!$C$35:$L$35,'Costo Directo Proyectos'!$AD131)*$AG131,0)+IF('Gantt Proyectos'!AL199=2,$T131,0)/$W131,0)*$L131</f>
        <v>0</v>
      </c>
      <c r="AO131" s="169">
        <f>IFERROR(IF('Gantt Proyectos'!AM199&gt;0,SUMIFS('Listas y Parametros'!$C$45:$L$45,'Listas y Parametros'!$C$35:$L$35,'Costo Directo Proyectos'!$AD131)*$AG131,0)+IF('Gantt Proyectos'!AM199=2,$T131,0)/$W131,0)*$L131</f>
        <v>0</v>
      </c>
      <c r="AP131" s="170">
        <f>IFERROR(IF('Gantt Proyectos'!AN199&gt;0,SUMIFS('Listas y Parametros'!$C$45:$L$45,'Listas y Parametros'!$C$35:$L$35,'Costo Directo Proyectos'!$AD131)*$AG131,0)+IF('Gantt Proyectos'!AN199=2,$T131,0)/$W131,0)*$L131</f>
        <v>0</v>
      </c>
    </row>
    <row r="132" spans="3:42" ht="15" x14ac:dyDescent="0.2">
      <c r="C132" s="110">
        <f>+'Gantt Proyectos'!C200</f>
        <v>0</v>
      </c>
      <c r="D132" s="110" t="str">
        <f>+'Gantt Proyectos'!D149</f>
        <v>Ingeniería a nivel factibilidad de desarrollo y profundización de labores subterráneas segunda meiad</v>
      </c>
      <c r="E132" s="110" t="str">
        <f>+'Gantt Proyectos'!E149</f>
        <v>Cerro Pasco</v>
      </c>
      <c r="F132" s="148" t="str">
        <f>+'Gantt Proyectos'!F149</f>
        <v>Perú</v>
      </c>
      <c r="G132" s="110" t="str">
        <f>+'Gantt Proyectos'!G149</f>
        <v>Chile</v>
      </c>
      <c r="H132" s="110">
        <f>+'Gantt Proyectos'!H200</f>
        <v>0</v>
      </c>
      <c r="I132" s="189">
        <v>1</v>
      </c>
      <c r="J132" s="189">
        <f t="shared" si="14"/>
        <v>0</v>
      </c>
      <c r="K132" s="110">
        <f>+'Gantt Proyectos'!I200</f>
        <v>0</v>
      </c>
      <c r="L132" s="110">
        <f>+'Gantt Proyectos'!J200</f>
        <v>0</v>
      </c>
      <c r="M132" s="110">
        <f>+'Gantt Proyectos'!K200</f>
        <v>0</v>
      </c>
      <c r="N132" s="110">
        <f>+'Gantt Proyectos'!L200</f>
        <v>0</v>
      </c>
      <c r="O132" s="110">
        <f>+'Gantt Proyectos'!M200</f>
        <v>0</v>
      </c>
      <c r="P132" s="110">
        <f>+'Gantt Proyectos'!N200</f>
        <v>0</v>
      </c>
      <c r="Q132" s="110">
        <f>+'Gantt Proyectos'!O200</f>
        <v>0</v>
      </c>
      <c r="R132" s="110">
        <f>+'Gantt Proyectos'!P200</f>
        <v>0</v>
      </c>
      <c r="S132" s="110">
        <f>+'Gantt Proyectos'!R200</f>
        <v>0</v>
      </c>
      <c r="T132" s="118">
        <f>+'Gantt Proyectos'!S200</f>
        <v>0</v>
      </c>
      <c r="U132" s="157">
        <f>+'Gantt Proyectos'!T200</f>
        <v>0</v>
      </c>
      <c r="V132" s="157">
        <f>+'Gantt Proyectos'!U200</f>
        <v>0</v>
      </c>
      <c r="W132" s="201">
        <f t="shared" si="15"/>
        <v>0</v>
      </c>
      <c r="X132" s="110">
        <f>+'Gantt Proyectos'!W200</f>
        <v>0</v>
      </c>
      <c r="Y132" s="110">
        <f>+'Gantt Proyectos'!X200</f>
        <v>0</v>
      </c>
      <c r="Z132" s="110">
        <f>+'Gantt Proyectos'!Y200</f>
        <v>0</v>
      </c>
      <c r="AA132" s="110">
        <f>+'Gantt Proyectos'!Z200</f>
        <v>0</v>
      </c>
      <c r="AB132" s="110">
        <f>+'Gantt Proyectos'!AA200</f>
        <v>0</v>
      </c>
      <c r="AC132" s="110">
        <f>+'Gantt Proyectos'!AB200</f>
        <v>0</v>
      </c>
      <c r="AD132" s="110">
        <f>+'Gantt Proyectos'!AC200</f>
        <v>0</v>
      </c>
      <c r="AE132" s="110">
        <f>+'Gantt Proyectos'!AD200</f>
        <v>0</v>
      </c>
      <c r="AF132" s="110">
        <f>+'Gantt Proyectos'!AE200</f>
        <v>0</v>
      </c>
      <c r="AG132" s="172">
        <v>1</v>
      </c>
      <c r="AH132" s="168">
        <f>IFERROR(IF('Gantt Proyectos'!AF200&gt;0,SUMIFS('Listas y Parametros'!$C$45:$L$45,'Listas y Parametros'!$C$35:$L$35,'Costo Directo Proyectos'!$AD132)*$AG132,0)+IF('Gantt Proyectos'!AF200=2,$T132,0)/$W132,0)*$L132</f>
        <v>0</v>
      </c>
      <c r="AI132" s="169">
        <f>IFERROR(IF('Gantt Proyectos'!AG200&gt;0,SUMIFS('Listas y Parametros'!$C$45:$L$45,'Listas y Parametros'!$C$35:$L$35,'Costo Directo Proyectos'!$AD132)*$AG132,0)+IF('Gantt Proyectos'!AG200=2,$T132,0)/$W132,0)*$L132</f>
        <v>0</v>
      </c>
      <c r="AJ132" s="169">
        <f>IFERROR(IF('Gantt Proyectos'!AH200&gt;0,SUMIFS('Listas y Parametros'!$C$45:$L$45,'Listas y Parametros'!$C$35:$L$35,'Costo Directo Proyectos'!$AD132)*$AG132,0)+IF('Gantt Proyectos'!AH200=2,$T132,0)/$W132,0)*$L132</f>
        <v>0</v>
      </c>
      <c r="AK132" s="169">
        <f>IFERROR(IF('Gantt Proyectos'!AI200&gt;0,SUMIFS('Listas y Parametros'!$C$45:$L$45,'Listas y Parametros'!$C$35:$L$35,'Costo Directo Proyectos'!$AD132)*$AG132,0)+IF('Gantt Proyectos'!AI200=2,$T132,0)/$W132,0)*$L132</f>
        <v>0</v>
      </c>
      <c r="AL132" s="169">
        <f>IFERROR(IF('Gantt Proyectos'!AJ200&gt;0,SUMIFS('Listas y Parametros'!$C$45:$L$45,'Listas y Parametros'!$C$35:$L$35,'Costo Directo Proyectos'!$AD132)*$AG132,0)+IF('Gantt Proyectos'!AJ200=2,$T132,0)/$W132,0)*$L132</f>
        <v>0</v>
      </c>
      <c r="AM132" s="169">
        <f>IFERROR(IF('Gantt Proyectos'!AK200&gt;0,SUMIFS('Listas y Parametros'!$C$45:$L$45,'Listas y Parametros'!$C$35:$L$35,'Costo Directo Proyectos'!$AD132)*$AG132,0)+IF('Gantt Proyectos'!AK200=2,$T132,0)/$W132,0)*$L132</f>
        <v>0</v>
      </c>
      <c r="AN132" s="169">
        <f>IFERROR(IF('Gantt Proyectos'!AL200&gt;0,SUMIFS('Listas y Parametros'!$C$45:$L$45,'Listas y Parametros'!$C$35:$L$35,'Costo Directo Proyectos'!$AD132)*$AG132,0)+IF('Gantt Proyectos'!AL200=2,$T132,0)/$W132,0)*$L132</f>
        <v>0</v>
      </c>
      <c r="AO132" s="169">
        <f>IFERROR(IF('Gantt Proyectos'!AM200&gt;0,SUMIFS('Listas y Parametros'!$C$45:$L$45,'Listas y Parametros'!$C$35:$L$35,'Costo Directo Proyectos'!$AD132)*$AG132,0)+IF('Gantt Proyectos'!AM200=2,$T132,0)/$W132,0)*$L132</f>
        <v>0</v>
      </c>
      <c r="AP132" s="170">
        <f>IFERROR(IF('Gantt Proyectos'!AN200&gt;0,SUMIFS('Listas y Parametros'!$C$45:$L$45,'Listas y Parametros'!$C$35:$L$35,'Costo Directo Proyectos'!$AD132)*$AG132,0)+IF('Gantt Proyectos'!AN200=2,$T132,0)/$W132,0)*$L132</f>
        <v>0</v>
      </c>
    </row>
    <row r="133" spans="3:42" ht="15" x14ac:dyDescent="0.2">
      <c r="C133" s="110">
        <f>+'Gantt Proyectos'!C201</f>
        <v>0</v>
      </c>
      <c r="D133" s="110">
        <f>+'Gantt Proyectos'!D201</f>
        <v>0</v>
      </c>
      <c r="E133" s="110">
        <f>+'Gantt Proyectos'!E201</f>
        <v>0</v>
      </c>
      <c r="F133" s="148">
        <f>+'Gantt Proyectos'!F201</f>
        <v>0</v>
      </c>
      <c r="G133" s="110">
        <f>+'Gantt Proyectos'!G201</f>
        <v>0</v>
      </c>
      <c r="H133" s="110">
        <f>+'Gantt Proyectos'!H201</f>
        <v>0</v>
      </c>
      <c r="I133" s="189">
        <v>1</v>
      </c>
      <c r="J133" s="189">
        <f t="shared" si="14"/>
        <v>0</v>
      </c>
      <c r="K133" s="110">
        <f>+'Gantt Proyectos'!I201</f>
        <v>0</v>
      </c>
      <c r="L133" s="110">
        <f>+'Gantt Proyectos'!J201</f>
        <v>0</v>
      </c>
      <c r="M133" s="110">
        <f>+'Gantt Proyectos'!K201</f>
        <v>0</v>
      </c>
      <c r="N133" s="110">
        <f>+'Gantt Proyectos'!L201</f>
        <v>0</v>
      </c>
      <c r="O133" s="110">
        <f>+'Gantt Proyectos'!M201</f>
        <v>0</v>
      </c>
      <c r="P133" s="110">
        <f>+'Gantt Proyectos'!N201</f>
        <v>0</v>
      </c>
      <c r="Q133" s="110">
        <f>+'Gantt Proyectos'!O201</f>
        <v>0</v>
      </c>
      <c r="R133" s="110">
        <f>+'Gantt Proyectos'!P201</f>
        <v>0</v>
      </c>
      <c r="S133" s="110">
        <f>+'Gantt Proyectos'!R201</f>
        <v>0</v>
      </c>
      <c r="T133" s="118">
        <f>+'Gantt Proyectos'!S201</f>
        <v>0</v>
      </c>
      <c r="U133" s="157">
        <f>+'Gantt Proyectos'!T201</f>
        <v>0</v>
      </c>
      <c r="V133" s="157">
        <f>+'Gantt Proyectos'!U201</f>
        <v>0</v>
      </c>
      <c r="W133" s="201">
        <f t="shared" si="15"/>
        <v>0</v>
      </c>
      <c r="X133" s="110">
        <f>+'Gantt Proyectos'!W201</f>
        <v>0</v>
      </c>
      <c r="Y133" s="110">
        <f>+'Gantt Proyectos'!X201</f>
        <v>0</v>
      </c>
      <c r="Z133" s="110">
        <f>+'Gantt Proyectos'!Y201</f>
        <v>0</v>
      </c>
      <c r="AA133" s="110">
        <f>+'Gantt Proyectos'!Z201</f>
        <v>0</v>
      </c>
      <c r="AB133" s="110">
        <f>+'Gantt Proyectos'!AA201</f>
        <v>0</v>
      </c>
      <c r="AC133" s="110">
        <f>+'Gantt Proyectos'!AB201</f>
        <v>0</v>
      </c>
      <c r="AD133" s="110">
        <f>+'Gantt Proyectos'!AC201</f>
        <v>0</v>
      </c>
      <c r="AE133" s="110">
        <f>+'Gantt Proyectos'!AD201</f>
        <v>0</v>
      </c>
      <c r="AF133" s="110">
        <f>+'Gantt Proyectos'!AE201</f>
        <v>0</v>
      </c>
      <c r="AG133" s="172">
        <v>1</v>
      </c>
      <c r="AH133" s="168">
        <f>IFERROR(IF('Gantt Proyectos'!AF201&gt;0,SUMIFS('Listas y Parametros'!$C$45:$L$45,'Listas y Parametros'!$C$35:$L$35,'Costo Directo Proyectos'!$AD133)*$AG133,0)+IF('Gantt Proyectos'!AF201=2,$T133,0)/$W133,0)*$L133</f>
        <v>0</v>
      </c>
      <c r="AI133" s="169">
        <f>IFERROR(IF('Gantt Proyectos'!AG201&gt;0,SUMIFS('Listas y Parametros'!$C$45:$L$45,'Listas y Parametros'!$C$35:$L$35,'Costo Directo Proyectos'!$AD133)*$AG133,0)+IF('Gantt Proyectos'!AG201=2,$T133,0)/$W133,0)*$L133</f>
        <v>0</v>
      </c>
      <c r="AJ133" s="169">
        <f>IFERROR(IF('Gantt Proyectos'!AH201&gt;0,SUMIFS('Listas y Parametros'!$C$45:$L$45,'Listas y Parametros'!$C$35:$L$35,'Costo Directo Proyectos'!$AD133)*$AG133,0)+IF('Gantt Proyectos'!AH201=2,$T133,0)/$W133,0)*$L133</f>
        <v>0</v>
      </c>
      <c r="AK133" s="169">
        <f>IFERROR(IF('Gantt Proyectos'!AI201&gt;0,SUMIFS('Listas y Parametros'!$C$45:$L$45,'Listas y Parametros'!$C$35:$L$35,'Costo Directo Proyectos'!$AD133)*$AG133,0)+IF('Gantt Proyectos'!AI201=2,$T133,0)/$W133,0)*$L133</f>
        <v>0</v>
      </c>
      <c r="AL133" s="169">
        <f>IFERROR(IF('Gantt Proyectos'!AJ201&gt;0,SUMIFS('Listas y Parametros'!$C$45:$L$45,'Listas y Parametros'!$C$35:$L$35,'Costo Directo Proyectos'!$AD133)*$AG133,0)+IF('Gantt Proyectos'!AJ201=2,$T133,0)/$W133,0)*$L133</f>
        <v>0</v>
      </c>
      <c r="AM133" s="169">
        <f>IFERROR(IF('Gantt Proyectos'!AK201&gt;0,SUMIFS('Listas y Parametros'!$C$45:$L$45,'Listas y Parametros'!$C$35:$L$35,'Costo Directo Proyectos'!$AD133)*$AG133,0)+IF('Gantt Proyectos'!AK201=2,$T133,0)/$W133,0)*$L133</f>
        <v>0</v>
      </c>
      <c r="AN133" s="169">
        <f>IFERROR(IF('Gantt Proyectos'!AL201&gt;0,SUMIFS('Listas y Parametros'!$C$45:$L$45,'Listas y Parametros'!$C$35:$L$35,'Costo Directo Proyectos'!$AD133)*$AG133,0)+IF('Gantt Proyectos'!AL201=2,$T133,0)/$W133,0)*$L133</f>
        <v>0</v>
      </c>
      <c r="AO133" s="169">
        <f>IFERROR(IF('Gantt Proyectos'!AM201&gt;0,SUMIFS('Listas y Parametros'!$C$45:$L$45,'Listas y Parametros'!$C$35:$L$35,'Costo Directo Proyectos'!$AD133)*$AG133,0)+IF('Gantt Proyectos'!AM201=2,$T133,0)/$W133,0)*$L133</f>
        <v>0</v>
      </c>
      <c r="AP133" s="170">
        <f>IFERROR(IF('Gantt Proyectos'!AN201&gt;0,SUMIFS('Listas y Parametros'!$C$45:$L$45,'Listas y Parametros'!$C$35:$L$35,'Costo Directo Proyectos'!$AD133)*$AG133,0)+IF('Gantt Proyectos'!AN201=2,$T133,0)/$W133,0)*$L133</f>
        <v>0</v>
      </c>
    </row>
    <row r="134" spans="3:42" ht="15" x14ac:dyDescent="0.2">
      <c r="C134" s="110">
        <f>+'Gantt Proyectos'!C202</f>
        <v>0</v>
      </c>
      <c r="D134" s="110">
        <f>+'Gantt Proyectos'!D202</f>
        <v>0</v>
      </c>
      <c r="E134" s="110">
        <f>+'Gantt Proyectos'!E202</f>
        <v>0</v>
      </c>
      <c r="F134" s="148">
        <f>+'Gantt Proyectos'!F202</f>
        <v>0</v>
      </c>
      <c r="G134" s="110">
        <f>+'Gantt Proyectos'!G202</f>
        <v>0</v>
      </c>
      <c r="H134" s="110">
        <f>+'Gantt Proyectos'!H202</f>
        <v>0</v>
      </c>
      <c r="I134" s="189">
        <v>1</v>
      </c>
      <c r="J134" s="189">
        <f t="shared" si="14"/>
        <v>0</v>
      </c>
      <c r="K134" s="110">
        <f>+'Gantt Proyectos'!I202</f>
        <v>0</v>
      </c>
      <c r="L134" s="110">
        <f>+'Gantt Proyectos'!J202</f>
        <v>0</v>
      </c>
      <c r="M134" s="110">
        <f>+'Gantt Proyectos'!K202</f>
        <v>0</v>
      </c>
      <c r="N134" s="110">
        <f>+'Gantt Proyectos'!L202</f>
        <v>0</v>
      </c>
      <c r="O134" s="110">
        <f>+'Gantt Proyectos'!M202</f>
        <v>0</v>
      </c>
      <c r="P134" s="110">
        <f>+'Gantt Proyectos'!N202</f>
        <v>0</v>
      </c>
      <c r="Q134" s="110">
        <f>+'Gantt Proyectos'!O202</f>
        <v>0</v>
      </c>
      <c r="R134" s="110">
        <f>+'Gantt Proyectos'!P202</f>
        <v>0</v>
      </c>
      <c r="S134" s="110">
        <f>+'Gantt Proyectos'!R202</f>
        <v>0</v>
      </c>
      <c r="T134" s="118">
        <f>+'Gantt Proyectos'!S202</f>
        <v>0</v>
      </c>
      <c r="U134" s="157">
        <f>+'Gantt Proyectos'!T202</f>
        <v>0</v>
      </c>
      <c r="V134" s="157">
        <f>+'Gantt Proyectos'!U202</f>
        <v>0</v>
      </c>
      <c r="W134" s="201">
        <f t="shared" si="15"/>
        <v>0</v>
      </c>
      <c r="X134" s="110">
        <f>+'Gantt Proyectos'!W202</f>
        <v>0</v>
      </c>
      <c r="Y134" s="110">
        <f>+'Gantt Proyectos'!X202</f>
        <v>0</v>
      </c>
      <c r="Z134" s="110">
        <f>+'Gantt Proyectos'!Y202</f>
        <v>0</v>
      </c>
      <c r="AA134" s="110">
        <f>+'Gantt Proyectos'!Z202</f>
        <v>0</v>
      </c>
      <c r="AB134" s="110">
        <f>+'Gantt Proyectos'!AA202</f>
        <v>0</v>
      </c>
      <c r="AC134" s="110">
        <f>+'Gantt Proyectos'!AB202</f>
        <v>0</v>
      </c>
      <c r="AD134" s="110">
        <f>+'Gantt Proyectos'!AC202</f>
        <v>0</v>
      </c>
      <c r="AE134" s="110">
        <f>+'Gantt Proyectos'!AD202</f>
        <v>0</v>
      </c>
      <c r="AF134" s="110">
        <f>+'Gantt Proyectos'!AE202</f>
        <v>0</v>
      </c>
      <c r="AG134" s="172">
        <v>1</v>
      </c>
      <c r="AH134" s="168">
        <f>IFERROR(IF('Gantt Proyectos'!AF202&gt;0,SUMIFS('Listas y Parametros'!$C$45:$L$45,'Listas y Parametros'!$C$35:$L$35,'Costo Directo Proyectos'!$AD134)*$AG134,0)+IF('Gantt Proyectos'!AF202=2,$T134,0)/$W134,0)*$L134</f>
        <v>0</v>
      </c>
      <c r="AI134" s="169">
        <f>IFERROR(IF('Gantt Proyectos'!AG202&gt;0,SUMIFS('Listas y Parametros'!$C$45:$L$45,'Listas y Parametros'!$C$35:$L$35,'Costo Directo Proyectos'!$AD134)*$AG134,0)+IF('Gantt Proyectos'!AG202=2,$T134,0)/$W134,0)*$L134</f>
        <v>0</v>
      </c>
      <c r="AJ134" s="169">
        <f>IFERROR(IF('Gantt Proyectos'!AH202&gt;0,SUMIFS('Listas y Parametros'!$C$45:$L$45,'Listas y Parametros'!$C$35:$L$35,'Costo Directo Proyectos'!$AD134)*$AG134,0)+IF('Gantt Proyectos'!AH202=2,$T134,0)/$W134,0)*$L134</f>
        <v>0</v>
      </c>
      <c r="AK134" s="169">
        <f>IFERROR(IF('Gantt Proyectos'!AI202&gt;0,SUMIFS('Listas y Parametros'!$C$45:$L$45,'Listas y Parametros'!$C$35:$L$35,'Costo Directo Proyectos'!$AD134)*$AG134,0)+IF('Gantt Proyectos'!AI202=2,$T134,0)/$W134,0)*$L134</f>
        <v>0</v>
      </c>
      <c r="AL134" s="169">
        <f>IFERROR(IF('Gantt Proyectos'!AJ202&gt;0,SUMIFS('Listas y Parametros'!$C$45:$L$45,'Listas y Parametros'!$C$35:$L$35,'Costo Directo Proyectos'!$AD134)*$AG134,0)+IF('Gantt Proyectos'!AJ202=2,$T134,0)/$W134,0)*$L134</f>
        <v>0</v>
      </c>
      <c r="AM134" s="169">
        <f>IFERROR(IF('Gantt Proyectos'!AK202&gt;0,SUMIFS('Listas y Parametros'!$C$45:$L$45,'Listas y Parametros'!$C$35:$L$35,'Costo Directo Proyectos'!$AD134)*$AG134,0)+IF('Gantt Proyectos'!AK202=2,$T134,0)/$W134,0)*$L134</f>
        <v>0</v>
      </c>
      <c r="AN134" s="169">
        <f>IFERROR(IF('Gantt Proyectos'!AL202&gt;0,SUMIFS('Listas y Parametros'!$C$45:$L$45,'Listas y Parametros'!$C$35:$L$35,'Costo Directo Proyectos'!$AD134)*$AG134,0)+IF('Gantt Proyectos'!AL202=2,$T134,0)/$W134,0)*$L134</f>
        <v>0</v>
      </c>
      <c r="AO134" s="169">
        <f>IFERROR(IF('Gantt Proyectos'!AM202&gt;0,SUMIFS('Listas y Parametros'!$C$45:$L$45,'Listas y Parametros'!$C$35:$L$35,'Costo Directo Proyectos'!$AD134)*$AG134,0)+IF('Gantt Proyectos'!AM202=2,$T134,0)/$W134,0)*$L134</f>
        <v>0</v>
      </c>
      <c r="AP134" s="170">
        <f>IFERROR(IF('Gantt Proyectos'!AN202&gt;0,SUMIFS('Listas y Parametros'!$C$45:$L$45,'Listas y Parametros'!$C$35:$L$35,'Costo Directo Proyectos'!$AD134)*$AG134,0)+IF('Gantt Proyectos'!AN202=2,$T134,0)/$W134,0)*$L134</f>
        <v>0</v>
      </c>
    </row>
    <row r="135" spans="3:42" ht="15" x14ac:dyDescent="0.2">
      <c r="C135" s="110">
        <f>+'Gantt Proyectos'!C203</f>
        <v>0</v>
      </c>
      <c r="D135" s="110">
        <f>+'Gantt Proyectos'!D203</f>
        <v>0</v>
      </c>
      <c r="E135" s="110">
        <f>+'Gantt Proyectos'!E203</f>
        <v>0</v>
      </c>
      <c r="F135" s="148">
        <f>+'Gantt Proyectos'!F203</f>
        <v>0</v>
      </c>
      <c r="G135" s="110">
        <f>+'Gantt Proyectos'!G203</f>
        <v>0</v>
      </c>
      <c r="H135" s="110">
        <f>+'Gantt Proyectos'!H203</f>
        <v>0</v>
      </c>
      <c r="I135" s="189">
        <v>1</v>
      </c>
      <c r="J135" s="189">
        <f t="shared" si="14"/>
        <v>0</v>
      </c>
      <c r="K135" s="110">
        <f>+'Gantt Proyectos'!I203</f>
        <v>0</v>
      </c>
      <c r="L135" s="110">
        <f>+'Gantt Proyectos'!J203</f>
        <v>0</v>
      </c>
      <c r="M135" s="110">
        <f>+'Gantt Proyectos'!K203</f>
        <v>0</v>
      </c>
      <c r="N135" s="110">
        <f>+'Gantt Proyectos'!L203</f>
        <v>0</v>
      </c>
      <c r="O135" s="110">
        <f>+'Gantt Proyectos'!M203</f>
        <v>0</v>
      </c>
      <c r="P135" s="110">
        <f>+'Gantt Proyectos'!N203</f>
        <v>0</v>
      </c>
      <c r="Q135" s="110">
        <f>+'Gantt Proyectos'!O203</f>
        <v>0</v>
      </c>
      <c r="R135" s="110">
        <f>+'Gantt Proyectos'!P203</f>
        <v>0</v>
      </c>
      <c r="S135" s="110">
        <f>+'Gantt Proyectos'!R203</f>
        <v>0</v>
      </c>
      <c r="T135" s="118">
        <f>+'Gantt Proyectos'!S203</f>
        <v>0</v>
      </c>
      <c r="U135" s="157">
        <f>+'Gantt Proyectos'!T203</f>
        <v>0</v>
      </c>
      <c r="V135" s="157">
        <f>+'Gantt Proyectos'!U203</f>
        <v>0</v>
      </c>
      <c r="W135" s="201">
        <f t="shared" si="15"/>
        <v>0</v>
      </c>
      <c r="X135" s="110">
        <f>+'Gantt Proyectos'!W203</f>
        <v>0</v>
      </c>
      <c r="Y135" s="110">
        <f>+'Gantt Proyectos'!X203</f>
        <v>0</v>
      </c>
      <c r="Z135" s="110">
        <f>+'Gantt Proyectos'!Y203</f>
        <v>0</v>
      </c>
      <c r="AA135" s="110">
        <f>+'Gantt Proyectos'!Z203</f>
        <v>0</v>
      </c>
      <c r="AB135" s="110">
        <f>+'Gantt Proyectos'!AA203</f>
        <v>0</v>
      </c>
      <c r="AC135" s="110">
        <f>+'Gantt Proyectos'!AB203</f>
        <v>0</v>
      </c>
      <c r="AD135" s="110">
        <f>+'Gantt Proyectos'!AC203</f>
        <v>0</v>
      </c>
      <c r="AE135" s="110">
        <f>+'Gantt Proyectos'!AD203</f>
        <v>0</v>
      </c>
      <c r="AF135" s="110">
        <f>+'Gantt Proyectos'!AE203</f>
        <v>0</v>
      </c>
      <c r="AG135" s="172">
        <v>1</v>
      </c>
      <c r="AH135" s="168">
        <f>IFERROR(IF('Gantt Proyectos'!AF203&gt;0,SUMIFS('Listas y Parametros'!$C$45:$L$45,'Listas y Parametros'!$C$35:$L$35,'Costo Directo Proyectos'!$AD135)*$AG135,0)+IF('Gantt Proyectos'!AF203=2,$T135,0)/$W135,0)*$L135</f>
        <v>0</v>
      </c>
      <c r="AI135" s="169">
        <f>IFERROR(IF('Gantt Proyectos'!AG203&gt;0,SUMIFS('Listas y Parametros'!$C$45:$L$45,'Listas y Parametros'!$C$35:$L$35,'Costo Directo Proyectos'!$AD135)*$AG135,0)+IF('Gantt Proyectos'!AG203=2,$T135,0)/$W135,0)*$L135</f>
        <v>0</v>
      </c>
      <c r="AJ135" s="169">
        <f>IFERROR(IF('Gantt Proyectos'!AH203&gt;0,SUMIFS('Listas y Parametros'!$C$45:$L$45,'Listas y Parametros'!$C$35:$L$35,'Costo Directo Proyectos'!$AD135)*$AG135,0)+IF('Gantt Proyectos'!AH203=2,$T135,0)/$W135,0)*$L135</f>
        <v>0</v>
      </c>
      <c r="AK135" s="169">
        <f>IFERROR(IF('Gantt Proyectos'!AI203&gt;0,SUMIFS('Listas y Parametros'!$C$45:$L$45,'Listas y Parametros'!$C$35:$L$35,'Costo Directo Proyectos'!$AD135)*$AG135,0)+IF('Gantt Proyectos'!AI203=2,$T135,0)/$W135,0)*$L135</f>
        <v>0</v>
      </c>
      <c r="AL135" s="169">
        <f>IFERROR(IF('Gantt Proyectos'!AJ203&gt;0,SUMIFS('Listas y Parametros'!$C$45:$L$45,'Listas y Parametros'!$C$35:$L$35,'Costo Directo Proyectos'!$AD135)*$AG135,0)+IF('Gantt Proyectos'!AJ203=2,$T135,0)/$W135,0)*$L135</f>
        <v>0</v>
      </c>
      <c r="AM135" s="169">
        <f>IFERROR(IF('Gantt Proyectos'!AK203&gt;0,SUMIFS('Listas y Parametros'!$C$45:$L$45,'Listas y Parametros'!$C$35:$L$35,'Costo Directo Proyectos'!$AD135)*$AG135,0)+IF('Gantt Proyectos'!AK203=2,$T135,0)/$W135,0)*$L135</f>
        <v>0</v>
      </c>
      <c r="AN135" s="169">
        <f>IFERROR(IF('Gantt Proyectos'!AL203&gt;0,SUMIFS('Listas y Parametros'!$C$45:$L$45,'Listas y Parametros'!$C$35:$L$35,'Costo Directo Proyectos'!$AD135)*$AG135,0)+IF('Gantt Proyectos'!AL203=2,$T135,0)/$W135,0)*$L135</f>
        <v>0</v>
      </c>
      <c r="AO135" s="169">
        <f>IFERROR(IF('Gantt Proyectos'!AM203&gt;0,SUMIFS('Listas y Parametros'!$C$45:$L$45,'Listas y Parametros'!$C$35:$L$35,'Costo Directo Proyectos'!$AD135)*$AG135,0)+IF('Gantt Proyectos'!AM203=2,$T135,0)/$W135,0)*$L135</f>
        <v>0</v>
      </c>
      <c r="AP135" s="170">
        <f>IFERROR(IF('Gantt Proyectos'!AN203&gt;0,SUMIFS('Listas y Parametros'!$C$45:$L$45,'Listas y Parametros'!$C$35:$L$35,'Costo Directo Proyectos'!$AD135)*$AG135,0)+IF('Gantt Proyectos'!AN203=2,$T135,0)/$W135,0)*$L135</f>
        <v>0</v>
      </c>
    </row>
    <row r="136" spans="3:42" ht="15" x14ac:dyDescent="0.2">
      <c r="C136" s="110">
        <f>+'Gantt Proyectos'!C204</f>
        <v>0</v>
      </c>
      <c r="D136" s="110">
        <f>+'Gantt Proyectos'!D204</f>
        <v>0</v>
      </c>
      <c r="E136" s="110">
        <f>+'Gantt Proyectos'!E204</f>
        <v>0</v>
      </c>
      <c r="F136" s="148">
        <f>+'Gantt Proyectos'!F204</f>
        <v>0</v>
      </c>
      <c r="G136" s="110">
        <f>+'Gantt Proyectos'!G204</f>
        <v>0</v>
      </c>
      <c r="H136" s="110">
        <f>+'Gantt Proyectos'!H204</f>
        <v>0</v>
      </c>
      <c r="I136" s="189">
        <v>1</v>
      </c>
      <c r="J136" s="189">
        <f t="shared" si="14"/>
        <v>0</v>
      </c>
      <c r="K136" s="110">
        <f>+'Gantt Proyectos'!I204</f>
        <v>0</v>
      </c>
      <c r="L136" s="110">
        <f>+'Gantt Proyectos'!J204</f>
        <v>0</v>
      </c>
      <c r="M136" s="110">
        <f>+'Gantt Proyectos'!K204</f>
        <v>0</v>
      </c>
      <c r="N136" s="110">
        <f>+'Gantt Proyectos'!L204</f>
        <v>0</v>
      </c>
      <c r="O136" s="110">
        <f>+'Gantt Proyectos'!M204</f>
        <v>0</v>
      </c>
      <c r="P136" s="110">
        <f>+'Gantt Proyectos'!N204</f>
        <v>0</v>
      </c>
      <c r="Q136" s="110">
        <f>+'Gantt Proyectos'!O204</f>
        <v>0</v>
      </c>
      <c r="R136" s="110">
        <f>+'Gantt Proyectos'!P204</f>
        <v>0</v>
      </c>
      <c r="S136" s="110">
        <f>+'Gantt Proyectos'!R204</f>
        <v>0</v>
      </c>
      <c r="T136" s="118">
        <f>+'Gantt Proyectos'!S204</f>
        <v>0</v>
      </c>
      <c r="U136" s="157">
        <f>+'Gantt Proyectos'!T204</f>
        <v>0</v>
      </c>
      <c r="V136" s="157">
        <f>+'Gantt Proyectos'!U204</f>
        <v>0</v>
      </c>
      <c r="W136" s="201">
        <f t="shared" si="15"/>
        <v>0</v>
      </c>
      <c r="X136" s="110">
        <f>+'Gantt Proyectos'!W204</f>
        <v>0</v>
      </c>
      <c r="Y136" s="110">
        <f>+'Gantt Proyectos'!X204</f>
        <v>0</v>
      </c>
      <c r="Z136" s="110">
        <f>+'Gantt Proyectos'!Y204</f>
        <v>0</v>
      </c>
      <c r="AA136" s="110">
        <f>+'Gantt Proyectos'!Z204</f>
        <v>0</v>
      </c>
      <c r="AB136" s="110">
        <f>+'Gantt Proyectos'!AA204</f>
        <v>0</v>
      </c>
      <c r="AC136" s="110">
        <f>+'Gantt Proyectos'!AB204</f>
        <v>0</v>
      </c>
      <c r="AD136" s="110">
        <f>+'Gantt Proyectos'!AC204</f>
        <v>0</v>
      </c>
      <c r="AE136" s="110">
        <f>+'Gantt Proyectos'!AD204</f>
        <v>0</v>
      </c>
      <c r="AF136" s="110">
        <f>+'Gantt Proyectos'!AE204</f>
        <v>0</v>
      </c>
      <c r="AG136" s="172">
        <v>1</v>
      </c>
      <c r="AH136" s="168">
        <f>IFERROR(IF('Gantt Proyectos'!AF204&gt;0,SUMIFS('Listas y Parametros'!$C$45:$L$45,'Listas y Parametros'!$C$35:$L$35,'Costo Directo Proyectos'!$AD136)*$AG136,0)+IF('Gantt Proyectos'!AF204=2,$T136,0)/$W136,0)*$L136</f>
        <v>0</v>
      </c>
      <c r="AI136" s="169">
        <f>IFERROR(IF('Gantt Proyectos'!AG204&gt;0,SUMIFS('Listas y Parametros'!$C$45:$L$45,'Listas y Parametros'!$C$35:$L$35,'Costo Directo Proyectos'!$AD136)*$AG136,0)+IF('Gantt Proyectos'!AG204=2,$T136,0)/$W136,0)*$L136</f>
        <v>0</v>
      </c>
      <c r="AJ136" s="169">
        <f>IFERROR(IF('Gantt Proyectos'!AH204&gt;0,SUMIFS('Listas y Parametros'!$C$45:$L$45,'Listas y Parametros'!$C$35:$L$35,'Costo Directo Proyectos'!$AD136)*$AG136,0)+IF('Gantt Proyectos'!AH204=2,$T136,0)/$W136,0)*$L136</f>
        <v>0</v>
      </c>
      <c r="AK136" s="169">
        <f>IFERROR(IF('Gantt Proyectos'!AI204&gt;0,SUMIFS('Listas y Parametros'!$C$45:$L$45,'Listas y Parametros'!$C$35:$L$35,'Costo Directo Proyectos'!$AD136)*$AG136,0)+IF('Gantt Proyectos'!AI204=2,$T136,0)/$W136,0)*$L136</f>
        <v>0</v>
      </c>
      <c r="AL136" s="169">
        <f>IFERROR(IF('Gantt Proyectos'!AJ204&gt;0,SUMIFS('Listas y Parametros'!$C$45:$L$45,'Listas y Parametros'!$C$35:$L$35,'Costo Directo Proyectos'!$AD136)*$AG136,0)+IF('Gantt Proyectos'!AJ204=2,$T136,0)/$W136,0)*$L136</f>
        <v>0</v>
      </c>
      <c r="AM136" s="169">
        <f>IFERROR(IF('Gantt Proyectos'!AK204&gt;0,SUMIFS('Listas y Parametros'!$C$45:$L$45,'Listas y Parametros'!$C$35:$L$35,'Costo Directo Proyectos'!$AD136)*$AG136,0)+IF('Gantt Proyectos'!AK204=2,$T136,0)/$W136,0)*$L136</f>
        <v>0</v>
      </c>
      <c r="AN136" s="169">
        <f>IFERROR(IF('Gantt Proyectos'!AL204&gt;0,SUMIFS('Listas y Parametros'!$C$45:$L$45,'Listas y Parametros'!$C$35:$L$35,'Costo Directo Proyectos'!$AD136)*$AG136,0)+IF('Gantt Proyectos'!AL204=2,$T136,0)/$W136,0)*$L136</f>
        <v>0</v>
      </c>
      <c r="AO136" s="169">
        <f>IFERROR(IF('Gantt Proyectos'!AM204&gt;0,SUMIFS('Listas y Parametros'!$C$45:$L$45,'Listas y Parametros'!$C$35:$L$35,'Costo Directo Proyectos'!$AD136)*$AG136,0)+IF('Gantt Proyectos'!AM204=2,$T136,0)/$W136,0)*$L136</f>
        <v>0</v>
      </c>
      <c r="AP136" s="170">
        <f>IFERROR(IF('Gantt Proyectos'!AN204&gt;0,SUMIFS('Listas y Parametros'!$C$45:$L$45,'Listas y Parametros'!$C$35:$L$35,'Costo Directo Proyectos'!$AD136)*$AG136,0)+IF('Gantt Proyectos'!AN204=2,$T136,0)/$W136,0)*$L136</f>
        <v>0</v>
      </c>
    </row>
    <row r="137" spans="3:42" ht="15" x14ac:dyDescent="0.2">
      <c r="C137" s="110">
        <f>+'Gantt Proyectos'!C205</f>
        <v>0</v>
      </c>
      <c r="D137" s="110">
        <f>+'Gantt Proyectos'!D205</f>
        <v>0</v>
      </c>
      <c r="E137" s="110">
        <f>+'Gantt Proyectos'!E205</f>
        <v>0</v>
      </c>
      <c r="F137" s="148">
        <f>+'Gantt Proyectos'!F205</f>
        <v>0</v>
      </c>
      <c r="G137" s="110">
        <f>+'Gantt Proyectos'!G205</f>
        <v>0</v>
      </c>
      <c r="H137" s="110">
        <f>+'Gantt Proyectos'!H205</f>
        <v>0</v>
      </c>
      <c r="I137" s="189">
        <v>1</v>
      </c>
      <c r="J137" s="189">
        <f t="shared" si="14"/>
        <v>0</v>
      </c>
      <c r="K137" s="110">
        <f>+'Gantt Proyectos'!I205</f>
        <v>0</v>
      </c>
      <c r="L137" s="110">
        <f>+'Gantt Proyectos'!J205</f>
        <v>0</v>
      </c>
      <c r="M137" s="110">
        <f>+'Gantt Proyectos'!K205</f>
        <v>0</v>
      </c>
      <c r="N137" s="110">
        <f>+'Gantt Proyectos'!L205</f>
        <v>0</v>
      </c>
      <c r="O137" s="110">
        <f>+'Gantt Proyectos'!M205</f>
        <v>0</v>
      </c>
      <c r="P137" s="110">
        <f>+'Gantt Proyectos'!N205</f>
        <v>0</v>
      </c>
      <c r="Q137" s="110">
        <f>+'Gantt Proyectos'!O205</f>
        <v>0</v>
      </c>
      <c r="R137" s="110">
        <f>+'Gantt Proyectos'!P205</f>
        <v>0</v>
      </c>
      <c r="S137" s="110">
        <f>+'Gantt Proyectos'!R205</f>
        <v>0</v>
      </c>
      <c r="T137" s="118">
        <f>+'Gantt Proyectos'!S205</f>
        <v>0</v>
      </c>
      <c r="U137" s="157">
        <f>+'Gantt Proyectos'!T205</f>
        <v>0</v>
      </c>
      <c r="V137" s="157">
        <f>+'Gantt Proyectos'!U205</f>
        <v>0</v>
      </c>
      <c r="W137" s="201">
        <f t="shared" si="15"/>
        <v>0</v>
      </c>
      <c r="X137" s="110">
        <f>+'Gantt Proyectos'!W205</f>
        <v>0</v>
      </c>
      <c r="Y137" s="110">
        <f>+'Gantt Proyectos'!X205</f>
        <v>0</v>
      </c>
      <c r="Z137" s="110">
        <f>+'Gantt Proyectos'!Y205</f>
        <v>0</v>
      </c>
      <c r="AA137" s="110">
        <f>+'Gantt Proyectos'!Z205</f>
        <v>0</v>
      </c>
      <c r="AB137" s="110">
        <f>+'Gantt Proyectos'!AA205</f>
        <v>0</v>
      </c>
      <c r="AC137" s="110">
        <f>+'Gantt Proyectos'!AB205</f>
        <v>0</v>
      </c>
      <c r="AD137" s="110">
        <f>+'Gantt Proyectos'!AC205</f>
        <v>0</v>
      </c>
      <c r="AE137" s="110">
        <f>+'Gantt Proyectos'!AD205</f>
        <v>0</v>
      </c>
      <c r="AF137" s="110">
        <f>+'Gantt Proyectos'!AE205</f>
        <v>0</v>
      </c>
      <c r="AG137" s="172">
        <v>1</v>
      </c>
      <c r="AH137" s="168">
        <f>IFERROR(IF('Gantt Proyectos'!AF205&gt;0,SUMIFS('Listas y Parametros'!$C$45:$L$45,'Listas y Parametros'!$C$35:$L$35,'Costo Directo Proyectos'!$AD137)*$AG137,0)+IF('Gantt Proyectos'!AF205=2,$T137,0)/$W137,0)*$L137</f>
        <v>0</v>
      </c>
      <c r="AI137" s="169">
        <f>IFERROR(IF('Gantt Proyectos'!AG205&gt;0,SUMIFS('Listas y Parametros'!$C$45:$L$45,'Listas y Parametros'!$C$35:$L$35,'Costo Directo Proyectos'!$AD137)*$AG137,0)+IF('Gantt Proyectos'!AG205=2,$T137,0)/$W137,0)*$L137</f>
        <v>0</v>
      </c>
      <c r="AJ137" s="169">
        <f>IFERROR(IF('Gantt Proyectos'!AH205&gt;0,SUMIFS('Listas y Parametros'!$C$45:$L$45,'Listas y Parametros'!$C$35:$L$35,'Costo Directo Proyectos'!$AD137)*$AG137,0)+IF('Gantt Proyectos'!AH205=2,$T137,0)/$W137,0)*$L137</f>
        <v>0</v>
      </c>
      <c r="AK137" s="169">
        <f>IFERROR(IF('Gantt Proyectos'!AI205&gt;0,SUMIFS('Listas y Parametros'!$C$45:$L$45,'Listas y Parametros'!$C$35:$L$35,'Costo Directo Proyectos'!$AD137)*$AG137,0)+IF('Gantt Proyectos'!AI205=2,$T137,0)/$W137,0)*$L137</f>
        <v>0</v>
      </c>
      <c r="AL137" s="169">
        <f>IFERROR(IF('Gantt Proyectos'!AJ205&gt;0,SUMIFS('Listas y Parametros'!$C$45:$L$45,'Listas y Parametros'!$C$35:$L$35,'Costo Directo Proyectos'!$AD137)*$AG137,0)+IF('Gantt Proyectos'!AJ205=2,$T137,0)/$W137,0)*$L137</f>
        <v>0</v>
      </c>
      <c r="AM137" s="169">
        <f>IFERROR(IF('Gantt Proyectos'!AK205&gt;0,SUMIFS('Listas y Parametros'!$C$45:$L$45,'Listas y Parametros'!$C$35:$L$35,'Costo Directo Proyectos'!$AD137)*$AG137,0)+IF('Gantt Proyectos'!AK205=2,$T137,0)/$W137,0)*$L137</f>
        <v>0</v>
      </c>
      <c r="AN137" s="169">
        <f>IFERROR(IF('Gantt Proyectos'!AL205&gt;0,SUMIFS('Listas y Parametros'!$C$45:$L$45,'Listas y Parametros'!$C$35:$L$35,'Costo Directo Proyectos'!$AD137)*$AG137,0)+IF('Gantt Proyectos'!AL205=2,$T137,0)/$W137,0)*$L137</f>
        <v>0</v>
      </c>
      <c r="AO137" s="169">
        <f>IFERROR(IF('Gantt Proyectos'!AM205&gt;0,SUMIFS('Listas y Parametros'!$C$45:$L$45,'Listas y Parametros'!$C$35:$L$35,'Costo Directo Proyectos'!$AD137)*$AG137,0)+IF('Gantt Proyectos'!AM205=2,$T137,0)/$W137,0)*$L137</f>
        <v>0</v>
      </c>
      <c r="AP137" s="170">
        <f>IFERROR(IF('Gantt Proyectos'!AN205&gt;0,SUMIFS('Listas y Parametros'!$C$45:$L$45,'Listas y Parametros'!$C$35:$L$35,'Costo Directo Proyectos'!$AD137)*$AG137,0)+IF('Gantt Proyectos'!AN205=2,$T137,0)/$W137,0)*$L137</f>
        <v>0</v>
      </c>
    </row>
    <row r="138" spans="3:42" ht="15" x14ac:dyDescent="0.2">
      <c r="C138" s="110">
        <f>+'Gantt Proyectos'!C206</f>
        <v>0</v>
      </c>
      <c r="D138" s="110">
        <f>+'Gantt Proyectos'!D206</f>
        <v>0</v>
      </c>
      <c r="E138" s="110">
        <f>+'Gantt Proyectos'!E206</f>
        <v>0</v>
      </c>
      <c r="F138" s="148">
        <f>+'Gantt Proyectos'!F206</f>
        <v>0</v>
      </c>
      <c r="G138" s="110">
        <f>+'Gantt Proyectos'!G206</f>
        <v>0</v>
      </c>
      <c r="H138" s="110">
        <f>+'Gantt Proyectos'!H206</f>
        <v>0</v>
      </c>
      <c r="I138" s="189">
        <v>1</v>
      </c>
      <c r="J138" s="189">
        <f t="shared" si="14"/>
        <v>0</v>
      </c>
      <c r="K138" s="110">
        <f>+'Gantt Proyectos'!I206</f>
        <v>0</v>
      </c>
      <c r="L138" s="110">
        <f>+'Gantt Proyectos'!J206</f>
        <v>0</v>
      </c>
      <c r="M138" s="110">
        <f>+'Gantt Proyectos'!K206</f>
        <v>0</v>
      </c>
      <c r="N138" s="110">
        <f>+'Gantt Proyectos'!L206</f>
        <v>0</v>
      </c>
      <c r="O138" s="110">
        <f>+'Gantt Proyectos'!M206</f>
        <v>0</v>
      </c>
      <c r="P138" s="110">
        <f>+'Gantt Proyectos'!N206</f>
        <v>0</v>
      </c>
      <c r="Q138" s="110">
        <f>+'Gantt Proyectos'!O206</f>
        <v>0</v>
      </c>
      <c r="R138" s="110">
        <f>+'Gantt Proyectos'!P206</f>
        <v>0</v>
      </c>
      <c r="S138" s="110">
        <f>+'Gantt Proyectos'!R206</f>
        <v>0</v>
      </c>
      <c r="T138" s="118">
        <f>+'Gantt Proyectos'!S206</f>
        <v>0</v>
      </c>
      <c r="U138" s="157">
        <f>+'Gantt Proyectos'!T206</f>
        <v>0</v>
      </c>
      <c r="V138" s="157">
        <f>+'Gantt Proyectos'!U206</f>
        <v>0</v>
      </c>
      <c r="W138" s="201">
        <f t="shared" si="15"/>
        <v>0</v>
      </c>
      <c r="X138" s="110">
        <f>+'Gantt Proyectos'!W206</f>
        <v>0</v>
      </c>
      <c r="Y138" s="110">
        <f>+'Gantt Proyectos'!X206</f>
        <v>0</v>
      </c>
      <c r="Z138" s="110">
        <f>+'Gantt Proyectos'!Y206</f>
        <v>0</v>
      </c>
      <c r="AA138" s="110">
        <f>+'Gantt Proyectos'!Z206</f>
        <v>0</v>
      </c>
      <c r="AB138" s="110">
        <f>+'Gantt Proyectos'!AA206</f>
        <v>0</v>
      </c>
      <c r="AC138" s="110">
        <f>+'Gantt Proyectos'!AB206</f>
        <v>0</v>
      </c>
      <c r="AD138" s="110">
        <f>+'Gantt Proyectos'!AC206</f>
        <v>0</v>
      </c>
      <c r="AE138" s="110">
        <f>+'Gantt Proyectos'!AD206</f>
        <v>0</v>
      </c>
      <c r="AF138" s="110">
        <f>+'Gantt Proyectos'!AE206</f>
        <v>0</v>
      </c>
      <c r="AG138" s="172">
        <v>1</v>
      </c>
      <c r="AH138" s="168">
        <f>IFERROR(IF('Gantt Proyectos'!AF206&gt;0,SUMIFS('Listas y Parametros'!$C$45:$L$45,'Listas y Parametros'!$C$35:$L$35,'Costo Directo Proyectos'!$AD138)*$AG138,0)+IF('Gantt Proyectos'!AF206=2,$T138,0)/$W138,0)*$L138</f>
        <v>0</v>
      </c>
      <c r="AI138" s="169">
        <f>IFERROR(IF('Gantt Proyectos'!AG206&gt;0,SUMIFS('Listas y Parametros'!$C$45:$L$45,'Listas y Parametros'!$C$35:$L$35,'Costo Directo Proyectos'!$AD138)*$AG138,0)+IF('Gantt Proyectos'!AG206=2,$T138,0)/$W138,0)*$L138</f>
        <v>0</v>
      </c>
      <c r="AJ138" s="169">
        <f>IFERROR(IF('Gantt Proyectos'!AH206&gt;0,SUMIFS('Listas y Parametros'!$C$45:$L$45,'Listas y Parametros'!$C$35:$L$35,'Costo Directo Proyectos'!$AD138)*$AG138,0)+IF('Gantt Proyectos'!AH206=2,$T138,0)/$W138,0)*$L138</f>
        <v>0</v>
      </c>
      <c r="AK138" s="169">
        <f>IFERROR(IF('Gantt Proyectos'!AI206&gt;0,SUMIFS('Listas y Parametros'!$C$45:$L$45,'Listas y Parametros'!$C$35:$L$35,'Costo Directo Proyectos'!$AD138)*$AG138,0)+IF('Gantt Proyectos'!AI206=2,$T138,0)/$W138,0)*$L138</f>
        <v>0</v>
      </c>
      <c r="AL138" s="169">
        <f>IFERROR(IF('Gantt Proyectos'!AJ206&gt;0,SUMIFS('Listas y Parametros'!$C$45:$L$45,'Listas y Parametros'!$C$35:$L$35,'Costo Directo Proyectos'!$AD138)*$AG138,0)+IF('Gantt Proyectos'!AJ206=2,$T138,0)/$W138,0)*$L138</f>
        <v>0</v>
      </c>
      <c r="AM138" s="169">
        <f>IFERROR(IF('Gantt Proyectos'!AK206&gt;0,SUMIFS('Listas y Parametros'!$C$45:$L$45,'Listas y Parametros'!$C$35:$L$35,'Costo Directo Proyectos'!$AD138)*$AG138,0)+IF('Gantt Proyectos'!AK206=2,$T138,0)/$W138,0)*$L138</f>
        <v>0</v>
      </c>
      <c r="AN138" s="169">
        <f>IFERROR(IF('Gantt Proyectos'!AL206&gt;0,SUMIFS('Listas y Parametros'!$C$45:$L$45,'Listas y Parametros'!$C$35:$L$35,'Costo Directo Proyectos'!$AD138)*$AG138,0)+IF('Gantt Proyectos'!AL206=2,$T138,0)/$W138,0)*$L138</f>
        <v>0</v>
      </c>
      <c r="AO138" s="169">
        <f>IFERROR(IF('Gantt Proyectos'!AM206&gt;0,SUMIFS('Listas y Parametros'!$C$45:$L$45,'Listas y Parametros'!$C$35:$L$35,'Costo Directo Proyectos'!$AD138)*$AG138,0)+IF('Gantt Proyectos'!AM206=2,$T138,0)/$W138,0)*$L138</f>
        <v>0</v>
      </c>
      <c r="AP138" s="170">
        <f>IFERROR(IF('Gantt Proyectos'!AN206&gt;0,SUMIFS('Listas y Parametros'!$C$45:$L$45,'Listas y Parametros'!$C$35:$L$35,'Costo Directo Proyectos'!$AD138)*$AG138,0)+IF('Gantt Proyectos'!AN206=2,$T138,0)/$W138,0)*$L138</f>
        <v>0</v>
      </c>
    </row>
    <row r="139" spans="3:42" ht="15" x14ac:dyDescent="0.2">
      <c r="C139" s="110">
        <f>+'Gantt Proyectos'!C207</f>
        <v>0</v>
      </c>
      <c r="D139" s="110">
        <f>+'Gantt Proyectos'!D207</f>
        <v>0</v>
      </c>
      <c r="E139" s="110">
        <f>+'Gantt Proyectos'!E207</f>
        <v>0</v>
      </c>
      <c r="F139" s="148">
        <f>+'Gantt Proyectos'!F207</f>
        <v>0</v>
      </c>
      <c r="G139" s="110">
        <f>+'Gantt Proyectos'!G207</f>
        <v>0</v>
      </c>
      <c r="H139" s="110">
        <f>+'Gantt Proyectos'!H207</f>
        <v>0</v>
      </c>
      <c r="I139" s="189">
        <v>1</v>
      </c>
      <c r="J139" s="189">
        <f t="shared" si="14"/>
        <v>0</v>
      </c>
      <c r="K139" s="110">
        <f>+'Gantt Proyectos'!I207</f>
        <v>0</v>
      </c>
      <c r="L139" s="110">
        <f>+'Gantt Proyectos'!J207</f>
        <v>0</v>
      </c>
      <c r="M139" s="110">
        <f>+'Gantt Proyectos'!K207</f>
        <v>0</v>
      </c>
      <c r="N139" s="110">
        <f>+'Gantt Proyectos'!L207</f>
        <v>0</v>
      </c>
      <c r="O139" s="110">
        <f>+'Gantt Proyectos'!M207</f>
        <v>0</v>
      </c>
      <c r="P139" s="110">
        <f>+'Gantt Proyectos'!N207</f>
        <v>0</v>
      </c>
      <c r="Q139" s="110">
        <f>+'Gantt Proyectos'!O207</f>
        <v>0</v>
      </c>
      <c r="R139" s="110">
        <f>+'Gantt Proyectos'!P207</f>
        <v>0</v>
      </c>
      <c r="S139" s="110">
        <f>+'Gantt Proyectos'!R207</f>
        <v>0</v>
      </c>
      <c r="T139" s="118">
        <f>+'Gantt Proyectos'!S207</f>
        <v>0</v>
      </c>
      <c r="U139" s="157">
        <f>+'Gantt Proyectos'!T207</f>
        <v>0</v>
      </c>
      <c r="V139" s="157">
        <f>+'Gantt Proyectos'!U207</f>
        <v>0</v>
      </c>
      <c r="W139" s="201">
        <f t="shared" si="15"/>
        <v>0</v>
      </c>
      <c r="X139" s="110">
        <f>+'Gantt Proyectos'!W207</f>
        <v>0</v>
      </c>
      <c r="Y139" s="110">
        <f>+'Gantt Proyectos'!X207</f>
        <v>0</v>
      </c>
      <c r="Z139" s="110">
        <f>+'Gantt Proyectos'!Y207</f>
        <v>0</v>
      </c>
      <c r="AA139" s="110">
        <f>+'Gantt Proyectos'!Z207</f>
        <v>0</v>
      </c>
      <c r="AB139" s="110">
        <f>+'Gantt Proyectos'!AA207</f>
        <v>0</v>
      </c>
      <c r="AC139" s="110">
        <f>+'Gantt Proyectos'!AB207</f>
        <v>0</v>
      </c>
      <c r="AD139" s="110">
        <f>+'Gantt Proyectos'!AC207</f>
        <v>0</v>
      </c>
      <c r="AE139" s="110">
        <f>+'Gantt Proyectos'!AD207</f>
        <v>0</v>
      </c>
      <c r="AF139" s="110">
        <f>+'Gantt Proyectos'!AE207</f>
        <v>0</v>
      </c>
      <c r="AG139" s="172">
        <v>1</v>
      </c>
      <c r="AH139" s="168">
        <f>IFERROR(IF('Gantt Proyectos'!AF207&gt;0,SUMIFS('Listas y Parametros'!$C$45:$L$45,'Listas y Parametros'!$C$35:$L$35,'Costo Directo Proyectos'!$AD139)*$AG139,0)+IF('Gantt Proyectos'!AF207=2,$T139,0)/$W139,0)*$L139</f>
        <v>0</v>
      </c>
      <c r="AI139" s="169">
        <f>IFERROR(IF('Gantt Proyectos'!AG207&gt;0,SUMIFS('Listas y Parametros'!$C$45:$L$45,'Listas y Parametros'!$C$35:$L$35,'Costo Directo Proyectos'!$AD139)*$AG139,0)+IF('Gantt Proyectos'!AG207=2,$T139,0)/$W139,0)*$L139</f>
        <v>0</v>
      </c>
      <c r="AJ139" s="169">
        <f>IFERROR(IF('Gantt Proyectos'!AH207&gt;0,SUMIFS('Listas y Parametros'!$C$45:$L$45,'Listas y Parametros'!$C$35:$L$35,'Costo Directo Proyectos'!$AD139)*$AG139,0)+IF('Gantt Proyectos'!AH207=2,$T139,0)/$W139,0)*$L139</f>
        <v>0</v>
      </c>
      <c r="AK139" s="169">
        <f>IFERROR(IF('Gantt Proyectos'!AI207&gt;0,SUMIFS('Listas y Parametros'!$C$45:$L$45,'Listas y Parametros'!$C$35:$L$35,'Costo Directo Proyectos'!$AD139)*$AG139,0)+IF('Gantt Proyectos'!AI207=2,$T139,0)/$W139,0)*$L139</f>
        <v>0</v>
      </c>
      <c r="AL139" s="169">
        <f>IFERROR(IF('Gantt Proyectos'!AJ207&gt;0,SUMIFS('Listas y Parametros'!$C$45:$L$45,'Listas y Parametros'!$C$35:$L$35,'Costo Directo Proyectos'!$AD139)*$AG139,0)+IF('Gantt Proyectos'!AJ207=2,$T139,0)/$W139,0)*$L139</f>
        <v>0</v>
      </c>
      <c r="AM139" s="169">
        <f>IFERROR(IF('Gantt Proyectos'!AK207&gt;0,SUMIFS('Listas y Parametros'!$C$45:$L$45,'Listas y Parametros'!$C$35:$L$35,'Costo Directo Proyectos'!$AD139)*$AG139,0)+IF('Gantt Proyectos'!AK207=2,$T139,0)/$W139,0)*$L139</f>
        <v>0</v>
      </c>
      <c r="AN139" s="169">
        <f>IFERROR(IF('Gantt Proyectos'!AL207&gt;0,SUMIFS('Listas y Parametros'!$C$45:$L$45,'Listas y Parametros'!$C$35:$L$35,'Costo Directo Proyectos'!$AD139)*$AG139,0)+IF('Gantt Proyectos'!AL207=2,$T139,0)/$W139,0)*$L139</f>
        <v>0</v>
      </c>
      <c r="AO139" s="169">
        <f>IFERROR(IF('Gantt Proyectos'!AM207&gt;0,SUMIFS('Listas y Parametros'!$C$45:$L$45,'Listas y Parametros'!$C$35:$L$35,'Costo Directo Proyectos'!$AD139)*$AG139,0)+IF('Gantt Proyectos'!AM207=2,$T139,0)/$W139,0)*$L139</f>
        <v>0</v>
      </c>
      <c r="AP139" s="170">
        <f>IFERROR(IF('Gantt Proyectos'!AN207&gt;0,SUMIFS('Listas y Parametros'!$C$45:$L$45,'Listas y Parametros'!$C$35:$L$35,'Costo Directo Proyectos'!$AD139)*$AG139,0)+IF('Gantt Proyectos'!AN207=2,$T139,0)/$W139,0)*$L139</f>
        <v>0</v>
      </c>
    </row>
    <row r="140" spans="3:42" ht="15" x14ac:dyDescent="0.2">
      <c r="C140" s="110">
        <f>+'Gantt Proyectos'!C208</f>
        <v>0</v>
      </c>
      <c r="D140" s="110">
        <f>+'Gantt Proyectos'!D208</f>
        <v>0</v>
      </c>
      <c r="E140" s="110">
        <f>+'Gantt Proyectos'!E208</f>
        <v>0</v>
      </c>
      <c r="F140" s="148">
        <f>+'Gantt Proyectos'!F208</f>
        <v>0</v>
      </c>
      <c r="G140" s="110">
        <f>+'Gantt Proyectos'!G208</f>
        <v>0</v>
      </c>
      <c r="H140" s="110">
        <f>+'Gantt Proyectos'!H208</f>
        <v>0</v>
      </c>
      <c r="I140" s="189">
        <v>1</v>
      </c>
      <c r="J140" s="189">
        <f t="shared" si="14"/>
        <v>0</v>
      </c>
      <c r="K140" s="110">
        <f>+'Gantt Proyectos'!I208</f>
        <v>0</v>
      </c>
      <c r="L140" s="110">
        <f>+'Gantt Proyectos'!J208</f>
        <v>0</v>
      </c>
      <c r="M140" s="110">
        <f>+'Gantt Proyectos'!K208</f>
        <v>0</v>
      </c>
      <c r="N140" s="110">
        <f>+'Gantt Proyectos'!L208</f>
        <v>0</v>
      </c>
      <c r="O140" s="110">
        <f>+'Gantt Proyectos'!M208</f>
        <v>0</v>
      </c>
      <c r="P140" s="110">
        <f>+'Gantt Proyectos'!N208</f>
        <v>0</v>
      </c>
      <c r="Q140" s="110">
        <f>+'Gantt Proyectos'!O208</f>
        <v>0</v>
      </c>
      <c r="R140" s="110">
        <f>+'Gantt Proyectos'!P208</f>
        <v>0</v>
      </c>
      <c r="S140" s="110">
        <f>+'Gantt Proyectos'!R208</f>
        <v>0</v>
      </c>
      <c r="T140" s="118">
        <f>+'Gantt Proyectos'!S208</f>
        <v>0</v>
      </c>
      <c r="U140" s="157">
        <f>+'Gantt Proyectos'!T208</f>
        <v>0</v>
      </c>
      <c r="V140" s="157">
        <f>+'Gantt Proyectos'!U208</f>
        <v>0</v>
      </c>
      <c r="W140" s="201">
        <f t="shared" si="15"/>
        <v>0</v>
      </c>
      <c r="X140" s="110">
        <f>+'Gantt Proyectos'!W208</f>
        <v>0</v>
      </c>
      <c r="Y140" s="110">
        <f>+'Gantt Proyectos'!X208</f>
        <v>0</v>
      </c>
      <c r="Z140" s="110">
        <f>+'Gantt Proyectos'!Y208</f>
        <v>0</v>
      </c>
      <c r="AA140" s="110">
        <f>+'Gantt Proyectos'!Z208</f>
        <v>0</v>
      </c>
      <c r="AB140" s="110">
        <f>+'Gantt Proyectos'!AA208</f>
        <v>0</v>
      </c>
      <c r="AC140" s="110">
        <f>+'Gantt Proyectos'!AB208</f>
        <v>0</v>
      </c>
      <c r="AD140" s="110">
        <f>+'Gantt Proyectos'!AC208</f>
        <v>0</v>
      </c>
      <c r="AE140" s="110">
        <f>+'Gantt Proyectos'!AD208</f>
        <v>0</v>
      </c>
      <c r="AF140" s="110">
        <f>+'Gantt Proyectos'!AE208</f>
        <v>0</v>
      </c>
      <c r="AG140" s="172">
        <v>1</v>
      </c>
      <c r="AH140" s="168">
        <f>IFERROR(IF('Gantt Proyectos'!AF208&gt;0,SUMIFS('Listas y Parametros'!$C$45:$L$45,'Listas y Parametros'!$C$35:$L$35,'Costo Directo Proyectos'!$AD140)*$AG140,0)+IF('Gantt Proyectos'!AF208=2,$T140,0)/$W140,0)*$L140</f>
        <v>0</v>
      </c>
      <c r="AI140" s="169">
        <f>IFERROR(IF('Gantt Proyectos'!AG208&gt;0,SUMIFS('Listas y Parametros'!$C$45:$L$45,'Listas y Parametros'!$C$35:$L$35,'Costo Directo Proyectos'!$AD140)*$AG140,0)+IF('Gantt Proyectos'!AG208=2,$T140,0)/$W140,0)*$L140</f>
        <v>0</v>
      </c>
      <c r="AJ140" s="169">
        <f>IFERROR(IF('Gantt Proyectos'!AH208&gt;0,SUMIFS('Listas y Parametros'!$C$45:$L$45,'Listas y Parametros'!$C$35:$L$35,'Costo Directo Proyectos'!$AD140)*$AG140,0)+IF('Gantt Proyectos'!AH208=2,$T140,0)/$W140,0)*$L140</f>
        <v>0</v>
      </c>
      <c r="AK140" s="169">
        <f>IFERROR(IF('Gantt Proyectos'!AI208&gt;0,SUMIFS('Listas y Parametros'!$C$45:$L$45,'Listas y Parametros'!$C$35:$L$35,'Costo Directo Proyectos'!$AD140)*$AG140,0)+IF('Gantt Proyectos'!AI208=2,$T140,0)/$W140,0)*$L140</f>
        <v>0</v>
      </c>
      <c r="AL140" s="169">
        <f>IFERROR(IF('Gantt Proyectos'!AJ208&gt;0,SUMIFS('Listas y Parametros'!$C$45:$L$45,'Listas y Parametros'!$C$35:$L$35,'Costo Directo Proyectos'!$AD140)*$AG140,0)+IF('Gantt Proyectos'!AJ208=2,$T140,0)/$W140,0)*$L140</f>
        <v>0</v>
      </c>
      <c r="AM140" s="169">
        <f>IFERROR(IF('Gantt Proyectos'!AK208&gt;0,SUMIFS('Listas y Parametros'!$C$45:$L$45,'Listas y Parametros'!$C$35:$L$35,'Costo Directo Proyectos'!$AD140)*$AG140,0)+IF('Gantt Proyectos'!AK208=2,$T140,0)/$W140,0)*$L140</f>
        <v>0</v>
      </c>
      <c r="AN140" s="169">
        <f>IFERROR(IF('Gantt Proyectos'!AL208&gt;0,SUMIFS('Listas y Parametros'!$C$45:$L$45,'Listas y Parametros'!$C$35:$L$35,'Costo Directo Proyectos'!$AD140)*$AG140,0)+IF('Gantt Proyectos'!AL208=2,$T140,0)/$W140,0)*$L140</f>
        <v>0</v>
      </c>
      <c r="AO140" s="169">
        <f>IFERROR(IF('Gantt Proyectos'!AM208&gt;0,SUMIFS('Listas y Parametros'!$C$45:$L$45,'Listas y Parametros'!$C$35:$L$35,'Costo Directo Proyectos'!$AD140)*$AG140,0)+IF('Gantt Proyectos'!AM208=2,$T140,0)/$W140,0)*$L140</f>
        <v>0</v>
      </c>
      <c r="AP140" s="170">
        <f>IFERROR(IF('Gantt Proyectos'!AN208&gt;0,SUMIFS('Listas y Parametros'!$C$45:$L$45,'Listas y Parametros'!$C$35:$L$35,'Costo Directo Proyectos'!$AD140)*$AG140,0)+IF('Gantt Proyectos'!AN208=2,$T140,0)/$W140,0)*$L140</f>
        <v>0</v>
      </c>
    </row>
    <row r="141" spans="3:42" ht="15" x14ac:dyDescent="0.2">
      <c r="C141" s="110">
        <f>+'Gantt Proyectos'!C209</f>
        <v>0</v>
      </c>
      <c r="D141" s="110">
        <f>+'Gantt Proyectos'!D209</f>
        <v>0</v>
      </c>
      <c r="E141" s="110">
        <f>+'Gantt Proyectos'!E209</f>
        <v>0</v>
      </c>
      <c r="F141" s="148">
        <f>+'Gantt Proyectos'!F209</f>
        <v>0</v>
      </c>
      <c r="G141" s="110">
        <f>+'Gantt Proyectos'!G209</f>
        <v>0</v>
      </c>
      <c r="H141" s="110">
        <f>+'Gantt Proyectos'!H209</f>
        <v>0</v>
      </c>
      <c r="I141" s="189">
        <v>1</v>
      </c>
      <c r="J141" s="189">
        <f t="shared" si="14"/>
        <v>0</v>
      </c>
      <c r="K141" s="110">
        <f>+'Gantt Proyectos'!I209</f>
        <v>0</v>
      </c>
      <c r="L141" s="110">
        <f>+'Gantt Proyectos'!J209</f>
        <v>0</v>
      </c>
      <c r="M141" s="110">
        <f>+'Gantt Proyectos'!K209</f>
        <v>0</v>
      </c>
      <c r="N141" s="110">
        <f>+'Gantt Proyectos'!L209</f>
        <v>0</v>
      </c>
      <c r="O141" s="110">
        <f>+'Gantt Proyectos'!M209</f>
        <v>0</v>
      </c>
      <c r="P141" s="110">
        <f>+'Gantt Proyectos'!N209</f>
        <v>0</v>
      </c>
      <c r="Q141" s="110">
        <f>+'Gantt Proyectos'!O209</f>
        <v>0</v>
      </c>
      <c r="R141" s="110">
        <f>+'Gantt Proyectos'!P209</f>
        <v>0</v>
      </c>
      <c r="S141" s="110">
        <f>+'Gantt Proyectos'!R209</f>
        <v>0</v>
      </c>
      <c r="T141" s="118">
        <f>+'Gantt Proyectos'!S209</f>
        <v>0</v>
      </c>
      <c r="U141" s="157">
        <f>+'Gantt Proyectos'!T209</f>
        <v>0</v>
      </c>
      <c r="V141" s="157">
        <f>+'Gantt Proyectos'!U209</f>
        <v>0</v>
      </c>
      <c r="W141" s="201">
        <f t="shared" si="15"/>
        <v>0</v>
      </c>
      <c r="X141" s="110">
        <f>+'Gantt Proyectos'!W209</f>
        <v>0</v>
      </c>
      <c r="Y141" s="110">
        <f>+'Gantt Proyectos'!X209</f>
        <v>0</v>
      </c>
      <c r="Z141" s="110">
        <f>+'Gantt Proyectos'!Y209</f>
        <v>0</v>
      </c>
      <c r="AA141" s="110">
        <f>+'Gantt Proyectos'!Z209</f>
        <v>0</v>
      </c>
      <c r="AB141" s="110">
        <f>+'Gantt Proyectos'!AA209</f>
        <v>0</v>
      </c>
      <c r="AC141" s="110">
        <f>+'Gantt Proyectos'!AB209</f>
        <v>0</v>
      </c>
      <c r="AD141" s="110">
        <f>+'Gantt Proyectos'!AC209</f>
        <v>0</v>
      </c>
      <c r="AE141" s="110">
        <f>+'Gantt Proyectos'!AD209</f>
        <v>0</v>
      </c>
      <c r="AF141" s="110">
        <f>+'Gantt Proyectos'!AE209</f>
        <v>0</v>
      </c>
      <c r="AG141" s="172">
        <v>1</v>
      </c>
      <c r="AH141" s="168">
        <f>IFERROR(IF('Gantt Proyectos'!AF209&gt;0,SUMIFS('Listas y Parametros'!$C$45:$L$45,'Listas y Parametros'!$C$35:$L$35,'Costo Directo Proyectos'!$AD141)*$AG141,0)+IF('Gantt Proyectos'!AF209=2,$T141,0)/$W141,0)*$L141</f>
        <v>0</v>
      </c>
      <c r="AI141" s="169">
        <f>IFERROR(IF('Gantt Proyectos'!AG209&gt;0,SUMIFS('Listas y Parametros'!$C$45:$L$45,'Listas y Parametros'!$C$35:$L$35,'Costo Directo Proyectos'!$AD141)*$AG141,0)+IF('Gantt Proyectos'!AG209=2,$T141,0)/$W141,0)*$L141</f>
        <v>0</v>
      </c>
      <c r="AJ141" s="169">
        <f>IFERROR(IF('Gantt Proyectos'!AH209&gt;0,SUMIFS('Listas y Parametros'!$C$45:$L$45,'Listas y Parametros'!$C$35:$L$35,'Costo Directo Proyectos'!$AD141)*$AG141,0)+IF('Gantt Proyectos'!AH209=2,$T141,0)/$W141,0)*$L141</f>
        <v>0</v>
      </c>
      <c r="AK141" s="169">
        <f>IFERROR(IF('Gantt Proyectos'!AI209&gt;0,SUMIFS('Listas y Parametros'!$C$45:$L$45,'Listas y Parametros'!$C$35:$L$35,'Costo Directo Proyectos'!$AD141)*$AG141,0)+IF('Gantt Proyectos'!AI209=2,$T141,0)/$W141,0)*$L141</f>
        <v>0</v>
      </c>
      <c r="AL141" s="169">
        <f>IFERROR(IF('Gantt Proyectos'!AJ209&gt;0,SUMIFS('Listas y Parametros'!$C$45:$L$45,'Listas y Parametros'!$C$35:$L$35,'Costo Directo Proyectos'!$AD141)*$AG141,0)+IF('Gantt Proyectos'!AJ209=2,$T141,0)/$W141,0)*$L141</f>
        <v>0</v>
      </c>
      <c r="AM141" s="169">
        <f>IFERROR(IF('Gantt Proyectos'!AK209&gt;0,SUMIFS('Listas y Parametros'!$C$45:$L$45,'Listas y Parametros'!$C$35:$L$35,'Costo Directo Proyectos'!$AD141)*$AG141,0)+IF('Gantt Proyectos'!AK209=2,$T141,0)/$W141,0)*$L141</f>
        <v>0</v>
      </c>
      <c r="AN141" s="169">
        <f>IFERROR(IF('Gantt Proyectos'!AL209&gt;0,SUMIFS('Listas y Parametros'!$C$45:$L$45,'Listas y Parametros'!$C$35:$L$35,'Costo Directo Proyectos'!$AD141)*$AG141,0)+IF('Gantt Proyectos'!AL209=2,$T141,0)/$W141,0)*$L141</f>
        <v>0</v>
      </c>
      <c r="AO141" s="169">
        <f>IFERROR(IF('Gantt Proyectos'!AM209&gt;0,SUMIFS('Listas y Parametros'!$C$45:$L$45,'Listas y Parametros'!$C$35:$L$35,'Costo Directo Proyectos'!$AD141)*$AG141,0)+IF('Gantt Proyectos'!AM209=2,$T141,0)/$W141,0)*$L141</f>
        <v>0</v>
      </c>
      <c r="AP141" s="170">
        <f>IFERROR(IF('Gantt Proyectos'!AN209&gt;0,SUMIFS('Listas y Parametros'!$C$45:$L$45,'Listas y Parametros'!$C$35:$L$35,'Costo Directo Proyectos'!$AD141)*$AG141,0)+IF('Gantt Proyectos'!AN209=2,$T141,0)/$W141,0)*$L141</f>
        <v>0</v>
      </c>
    </row>
    <row r="142" spans="3:42" ht="15" x14ac:dyDescent="0.2">
      <c r="C142" s="110">
        <f>+'Gantt Proyectos'!C210</f>
        <v>0</v>
      </c>
      <c r="D142" s="110">
        <f>+'Gantt Proyectos'!D210</f>
        <v>0</v>
      </c>
      <c r="E142" s="110">
        <f>+'Gantt Proyectos'!E210</f>
        <v>0</v>
      </c>
      <c r="F142" s="148">
        <f>+'Gantt Proyectos'!F210</f>
        <v>0</v>
      </c>
      <c r="G142" s="110">
        <f>+'Gantt Proyectos'!G210</f>
        <v>0</v>
      </c>
      <c r="H142" s="110">
        <f>+'Gantt Proyectos'!H210</f>
        <v>0</v>
      </c>
      <c r="I142" s="189">
        <v>1</v>
      </c>
      <c r="J142" s="189">
        <f t="shared" si="14"/>
        <v>0</v>
      </c>
      <c r="K142" s="110">
        <f>+'Gantt Proyectos'!I210</f>
        <v>0</v>
      </c>
      <c r="L142" s="110">
        <f>+'Gantt Proyectos'!J210</f>
        <v>0</v>
      </c>
      <c r="M142" s="110">
        <f>+'Gantt Proyectos'!K210</f>
        <v>0</v>
      </c>
      <c r="N142" s="110">
        <f>+'Gantt Proyectos'!L210</f>
        <v>0</v>
      </c>
      <c r="O142" s="110">
        <f>+'Gantt Proyectos'!M210</f>
        <v>0</v>
      </c>
      <c r="P142" s="110">
        <f>+'Gantt Proyectos'!N210</f>
        <v>0</v>
      </c>
      <c r="Q142" s="110">
        <f>+'Gantt Proyectos'!O210</f>
        <v>0</v>
      </c>
      <c r="R142" s="110">
        <f>+'Gantt Proyectos'!P210</f>
        <v>0</v>
      </c>
      <c r="S142" s="110">
        <f>+'Gantt Proyectos'!R210</f>
        <v>0</v>
      </c>
      <c r="T142" s="118">
        <f>+'Gantt Proyectos'!S210</f>
        <v>0</v>
      </c>
      <c r="U142" s="157">
        <f>+'Gantt Proyectos'!T210</f>
        <v>0</v>
      </c>
      <c r="V142" s="157">
        <f>+'Gantt Proyectos'!U210</f>
        <v>0</v>
      </c>
      <c r="W142" s="201">
        <f t="shared" si="15"/>
        <v>0</v>
      </c>
      <c r="X142" s="110">
        <f>+'Gantt Proyectos'!W210</f>
        <v>0</v>
      </c>
      <c r="Y142" s="110">
        <f>+'Gantt Proyectos'!X210</f>
        <v>0</v>
      </c>
      <c r="Z142" s="110">
        <f>+'Gantt Proyectos'!Y210</f>
        <v>0</v>
      </c>
      <c r="AA142" s="110">
        <f>+'Gantt Proyectos'!Z210</f>
        <v>0</v>
      </c>
      <c r="AB142" s="110">
        <f>+'Gantt Proyectos'!AA210</f>
        <v>0</v>
      </c>
      <c r="AC142" s="110">
        <f>+'Gantt Proyectos'!AB210</f>
        <v>0</v>
      </c>
      <c r="AD142" s="110">
        <f>+'Gantt Proyectos'!AC210</f>
        <v>0</v>
      </c>
      <c r="AE142" s="110">
        <f>+'Gantt Proyectos'!AD210</f>
        <v>0</v>
      </c>
      <c r="AF142" s="110">
        <f>+'Gantt Proyectos'!AE210</f>
        <v>0</v>
      </c>
      <c r="AG142" s="172">
        <v>1</v>
      </c>
      <c r="AH142" s="168">
        <f>IFERROR(IF('Gantt Proyectos'!AF210&gt;0,SUMIFS('Listas y Parametros'!$C$45:$L$45,'Listas y Parametros'!$C$35:$L$35,'Costo Directo Proyectos'!$AD142)*$AG142,0)+IF('Gantt Proyectos'!AF210=2,$T142,0)/$W142,0)*$L142</f>
        <v>0</v>
      </c>
      <c r="AI142" s="169">
        <f>IFERROR(IF('Gantt Proyectos'!AG210&gt;0,SUMIFS('Listas y Parametros'!$C$45:$L$45,'Listas y Parametros'!$C$35:$L$35,'Costo Directo Proyectos'!$AD142)*$AG142,0)+IF('Gantt Proyectos'!AG210=2,$T142,0)/$W142,0)*$L142</f>
        <v>0</v>
      </c>
      <c r="AJ142" s="169">
        <f>IFERROR(IF('Gantt Proyectos'!AH210&gt;0,SUMIFS('Listas y Parametros'!$C$45:$L$45,'Listas y Parametros'!$C$35:$L$35,'Costo Directo Proyectos'!$AD142)*$AG142,0)+IF('Gantt Proyectos'!AH210=2,$T142,0)/$W142,0)*$L142</f>
        <v>0</v>
      </c>
      <c r="AK142" s="169">
        <f>IFERROR(IF('Gantt Proyectos'!AI210&gt;0,SUMIFS('Listas y Parametros'!$C$45:$L$45,'Listas y Parametros'!$C$35:$L$35,'Costo Directo Proyectos'!$AD142)*$AG142,0)+IF('Gantt Proyectos'!AI210=2,$T142,0)/$W142,0)*$L142</f>
        <v>0</v>
      </c>
      <c r="AL142" s="169">
        <f>IFERROR(IF('Gantt Proyectos'!AJ210&gt;0,SUMIFS('Listas y Parametros'!$C$45:$L$45,'Listas y Parametros'!$C$35:$L$35,'Costo Directo Proyectos'!$AD142)*$AG142,0)+IF('Gantt Proyectos'!AJ210=2,$T142,0)/$W142,0)*$L142</f>
        <v>0</v>
      </c>
      <c r="AM142" s="169">
        <f>IFERROR(IF('Gantt Proyectos'!AK210&gt;0,SUMIFS('Listas y Parametros'!$C$45:$L$45,'Listas y Parametros'!$C$35:$L$35,'Costo Directo Proyectos'!$AD142)*$AG142,0)+IF('Gantt Proyectos'!AK210=2,$T142,0)/$W142,0)*$L142</f>
        <v>0</v>
      </c>
      <c r="AN142" s="169">
        <f>IFERROR(IF('Gantt Proyectos'!AL210&gt;0,SUMIFS('Listas y Parametros'!$C$45:$L$45,'Listas y Parametros'!$C$35:$L$35,'Costo Directo Proyectos'!$AD142)*$AG142,0)+IF('Gantt Proyectos'!AL210=2,$T142,0)/$W142,0)*$L142</f>
        <v>0</v>
      </c>
      <c r="AO142" s="169">
        <f>IFERROR(IF('Gantt Proyectos'!AM210&gt;0,SUMIFS('Listas y Parametros'!$C$45:$L$45,'Listas y Parametros'!$C$35:$L$35,'Costo Directo Proyectos'!$AD142)*$AG142,0)+IF('Gantt Proyectos'!AM210=2,$T142,0)/$W142,0)*$L142</f>
        <v>0</v>
      </c>
      <c r="AP142" s="170">
        <f>IFERROR(IF('Gantt Proyectos'!AN210&gt;0,SUMIFS('Listas y Parametros'!$C$45:$L$45,'Listas y Parametros'!$C$35:$L$35,'Costo Directo Proyectos'!$AD142)*$AG142,0)+IF('Gantt Proyectos'!AN210=2,$T142,0)/$W142,0)*$L142</f>
        <v>0</v>
      </c>
    </row>
    <row r="143" spans="3:42" ht="15" x14ac:dyDescent="0.2">
      <c r="C143" s="110">
        <f>+'Gantt Proyectos'!C211</f>
        <v>0</v>
      </c>
      <c r="D143" s="110">
        <f>+'Gantt Proyectos'!D211</f>
        <v>0</v>
      </c>
      <c r="E143" s="110">
        <f>+'Gantt Proyectos'!E211</f>
        <v>0</v>
      </c>
      <c r="F143" s="148">
        <f>+'Gantt Proyectos'!F211</f>
        <v>0</v>
      </c>
      <c r="G143" s="110">
        <f>+'Gantt Proyectos'!G211</f>
        <v>0</v>
      </c>
      <c r="H143" s="110">
        <f>+'Gantt Proyectos'!H211</f>
        <v>0</v>
      </c>
      <c r="I143" s="189">
        <v>1</v>
      </c>
      <c r="J143" s="189">
        <f t="shared" si="14"/>
        <v>0</v>
      </c>
      <c r="K143" s="110">
        <f>+'Gantt Proyectos'!I211</f>
        <v>0</v>
      </c>
      <c r="L143" s="110">
        <f>+'Gantt Proyectos'!J211</f>
        <v>0</v>
      </c>
      <c r="M143" s="110">
        <f>+'Gantt Proyectos'!K211</f>
        <v>0</v>
      </c>
      <c r="N143" s="110">
        <f>+'Gantt Proyectos'!L211</f>
        <v>0</v>
      </c>
      <c r="O143" s="110">
        <f>+'Gantt Proyectos'!M211</f>
        <v>0</v>
      </c>
      <c r="P143" s="110">
        <f>+'Gantt Proyectos'!N211</f>
        <v>0</v>
      </c>
      <c r="Q143" s="110">
        <f>+'Gantt Proyectos'!O211</f>
        <v>0</v>
      </c>
      <c r="R143" s="110">
        <f>+'Gantt Proyectos'!P211</f>
        <v>0</v>
      </c>
      <c r="S143" s="110">
        <f>+'Gantt Proyectos'!R211</f>
        <v>0</v>
      </c>
      <c r="T143" s="118">
        <f>+'Gantt Proyectos'!S211</f>
        <v>0</v>
      </c>
      <c r="U143" s="157">
        <f>+'Gantt Proyectos'!T211</f>
        <v>0</v>
      </c>
      <c r="V143" s="157">
        <f>+'Gantt Proyectos'!U211</f>
        <v>0</v>
      </c>
      <c r="W143" s="201">
        <f t="shared" si="15"/>
        <v>0</v>
      </c>
      <c r="X143" s="110">
        <f>+'Gantt Proyectos'!W211</f>
        <v>0</v>
      </c>
      <c r="Y143" s="110">
        <f>+'Gantt Proyectos'!X211</f>
        <v>0</v>
      </c>
      <c r="Z143" s="110">
        <f>+'Gantt Proyectos'!Y211</f>
        <v>0</v>
      </c>
      <c r="AA143" s="110">
        <f>+'Gantt Proyectos'!Z211</f>
        <v>0</v>
      </c>
      <c r="AB143" s="110">
        <f>+'Gantt Proyectos'!AA211</f>
        <v>0</v>
      </c>
      <c r="AC143" s="110">
        <f>+'Gantt Proyectos'!AB211</f>
        <v>0</v>
      </c>
      <c r="AD143" s="110">
        <f>+'Gantt Proyectos'!AC211</f>
        <v>0</v>
      </c>
      <c r="AE143" s="110">
        <f>+'Gantt Proyectos'!AD211</f>
        <v>0</v>
      </c>
      <c r="AF143" s="110">
        <f>+'Gantt Proyectos'!AE211</f>
        <v>0</v>
      </c>
      <c r="AG143" s="172">
        <v>1</v>
      </c>
      <c r="AH143" s="168">
        <f>IFERROR(IF('Gantt Proyectos'!AF211&gt;0,SUMIFS('Listas y Parametros'!$C$45:$L$45,'Listas y Parametros'!$C$35:$L$35,'Costo Directo Proyectos'!$AD143)*$AG143,0)+IF('Gantt Proyectos'!AF211=2,$T143,0)/$W143,0)*$L143</f>
        <v>0</v>
      </c>
      <c r="AI143" s="169">
        <f>IFERROR(IF('Gantt Proyectos'!AG211&gt;0,SUMIFS('Listas y Parametros'!$C$45:$L$45,'Listas y Parametros'!$C$35:$L$35,'Costo Directo Proyectos'!$AD143)*$AG143,0)+IF('Gantt Proyectos'!AG211=2,$T143,0)/$W143,0)*$L143</f>
        <v>0</v>
      </c>
      <c r="AJ143" s="169">
        <f>IFERROR(IF('Gantt Proyectos'!AH211&gt;0,SUMIFS('Listas y Parametros'!$C$45:$L$45,'Listas y Parametros'!$C$35:$L$35,'Costo Directo Proyectos'!$AD143)*$AG143,0)+IF('Gantt Proyectos'!AH211=2,$T143,0)/$W143,0)*$L143</f>
        <v>0</v>
      </c>
      <c r="AK143" s="169">
        <f>IFERROR(IF('Gantt Proyectos'!AI211&gt;0,SUMIFS('Listas y Parametros'!$C$45:$L$45,'Listas y Parametros'!$C$35:$L$35,'Costo Directo Proyectos'!$AD143)*$AG143,0)+IF('Gantt Proyectos'!AI211=2,$T143,0)/$W143,0)*$L143</f>
        <v>0</v>
      </c>
      <c r="AL143" s="169">
        <f>IFERROR(IF('Gantt Proyectos'!AJ211&gt;0,SUMIFS('Listas y Parametros'!$C$45:$L$45,'Listas y Parametros'!$C$35:$L$35,'Costo Directo Proyectos'!$AD143)*$AG143,0)+IF('Gantt Proyectos'!AJ211=2,$T143,0)/$W143,0)*$L143</f>
        <v>0</v>
      </c>
      <c r="AM143" s="169">
        <f>IFERROR(IF('Gantt Proyectos'!AK211&gt;0,SUMIFS('Listas y Parametros'!$C$45:$L$45,'Listas y Parametros'!$C$35:$L$35,'Costo Directo Proyectos'!$AD143)*$AG143,0)+IF('Gantt Proyectos'!AK211=2,$T143,0)/$W143,0)*$L143</f>
        <v>0</v>
      </c>
      <c r="AN143" s="169">
        <f>IFERROR(IF('Gantt Proyectos'!AL211&gt;0,SUMIFS('Listas y Parametros'!$C$45:$L$45,'Listas y Parametros'!$C$35:$L$35,'Costo Directo Proyectos'!$AD143)*$AG143,0)+IF('Gantt Proyectos'!AL211=2,$T143,0)/$W143,0)*$L143</f>
        <v>0</v>
      </c>
      <c r="AO143" s="169">
        <f>IFERROR(IF('Gantt Proyectos'!AM211&gt;0,SUMIFS('Listas y Parametros'!$C$45:$L$45,'Listas y Parametros'!$C$35:$L$35,'Costo Directo Proyectos'!$AD143)*$AG143,0)+IF('Gantt Proyectos'!AM211=2,$T143,0)/$W143,0)*$L143</f>
        <v>0</v>
      </c>
      <c r="AP143" s="170">
        <f>IFERROR(IF('Gantt Proyectos'!AN211&gt;0,SUMIFS('Listas y Parametros'!$C$45:$L$45,'Listas y Parametros'!$C$35:$L$35,'Costo Directo Proyectos'!$AD143)*$AG143,0)+IF('Gantt Proyectos'!AN211=2,$T143,0)/$W143,0)*$L143</f>
        <v>0</v>
      </c>
    </row>
    <row r="144" spans="3:42" ht="15" x14ac:dyDescent="0.2">
      <c r="C144" s="110">
        <f>+'Gantt Proyectos'!C212</f>
        <v>0</v>
      </c>
      <c r="D144" s="110">
        <f>+'Gantt Proyectos'!D212</f>
        <v>0</v>
      </c>
      <c r="E144" s="110">
        <f>+'Gantt Proyectos'!E212</f>
        <v>0</v>
      </c>
      <c r="F144" s="148">
        <f>+'Gantt Proyectos'!F212</f>
        <v>0</v>
      </c>
      <c r="G144" s="110">
        <f>+'Gantt Proyectos'!G212</f>
        <v>0</v>
      </c>
      <c r="H144" s="110">
        <f>+'Gantt Proyectos'!H212</f>
        <v>0</v>
      </c>
      <c r="I144" s="189">
        <v>1</v>
      </c>
      <c r="J144" s="189">
        <f t="shared" si="14"/>
        <v>0</v>
      </c>
      <c r="K144" s="110">
        <f>+'Gantt Proyectos'!I212</f>
        <v>0</v>
      </c>
      <c r="L144" s="110">
        <f>+'Gantt Proyectos'!J212</f>
        <v>0</v>
      </c>
      <c r="M144" s="110">
        <f>+'Gantt Proyectos'!K212</f>
        <v>0</v>
      </c>
      <c r="N144" s="110">
        <f>+'Gantt Proyectos'!L212</f>
        <v>0</v>
      </c>
      <c r="O144" s="110">
        <f>+'Gantt Proyectos'!M212</f>
        <v>0</v>
      </c>
      <c r="P144" s="110">
        <f>+'Gantt Proyectos'!N212</f>
        <v>0</v>
      </c>
      <c r="Q144" s="110">
        <f>+'Gantt Proyectos'!O212</f>
        <v>0</v>
      </c>
      <c r="R144" s="110">
        <f>+'Gantt Proyectos'!P212</f>
        <v>0</v>
      </c>
      <c r="S144" s="110">
        <f>+'Gantt Proyectos'!R212</f>
        <v>0</v>
      </c>
      <c r="T144" s="118">
        <f>+'Gantt Proyectos'!S212</f>
        <v>0</v>
      </c>
      <c r="U144" s="157">
        <f>+'Gantt Proyectos'!T212</f>
        <v>0</v>
      </c>
      <c r="V144" s="157">
        <f>+'Gantt Proyectos'!U212</f>
        <v>0</v>
      </c>
      <c r="W144" s="201">
        <f t="shared" si="15"/>
        <v>0</v>
      </c>
      <c r="X144" s="110">
        <f>+'Gantt Proyectos'!W212</f>
        <v>0</v>
      </c>
      <c r="Y144" s="110">
        <f>+'Gantt Proyectos'!X212</f>
        <v>0</v>
      </c>
      <c r="Z144" s="110">
        <f>+'Gantt Proyectos'!Y212</f>
        <v>0</v>
      </c>
      <c r="AA144" s="110">
        <f>+'Gantt Proyectos'!Z212</f>
        <v>0</v>
      </c>
      <c r="AB144" s="110">
        <f>+'Gantt Proyectos'!AA212</f>
        <v>0</v>
      </c>
      <c r="AC144" s="110">
        <f>+'Gantt Proyectos'!AB212</f>
        <v>0</v>
      </c>
      <c r="AD144" s="110">
        <f>+'Gantt Proyectos'!AC212</f>
        <v>0</v>
      </c>
      <c r="AE144" s="110">
        <f>+'Gantt Proyectos'!AD212</f>
        <v>0</v>
      </c>
      <c r="AF144" s="110">
        <f>+'Gantt Proyectos'!AE212</f>
        <v>0</v>
      </c>
      <c r="AG144" s="172">
        <v>1</v>
      </c>
      <c r="AH144" s="168">
        <f>IFERROR(IF('Gantt Proyectos'!AF212&gt;0,SUMIFS('Listas y Parametros'!$C$45:$L$45,'Listas y Parametros'!$C$35:$L$35,'Costo Directo Proyectos'!$AD144)*$AG144,0)+IF('Gantt Proyectos'!AF212=2,$T144,0)/$W144,0)*$L144</f>
        <v>0</v>
      </c>
      <c r="AI144" s="169">
        <f>IFERROR(IF('Gantt Proyectos'!AG212&gt;0,SUMIFS('Listas y Parametros'!$C$45:$L$45,'Listas y Parametros'!$C$35:$L$35,'Costo Directo Proyectos'!$AD144)*$AG144,0)+IF('Gantt Proyectos'!AG212=2,$T144,0)/$W144,0)*$L144</f>
        <v>0</v>
      </c>
      <c r="AJ144" s="169">
        <f>IFERROR(IF('Gantt Proyectos'!AH212&gt;0,SUMIFS('Listas y Parametros'!$C$45:$L$45,'Listas y Parametros'!$C$35:$L$35,'Costo Directo Proyectos'!$AD144)*$AG144,0)+IF('Gantt Proyectos'!AH212=2,$T144,0)/$W144,0)*$L144</f>
        <v>0</v>
      </c>
      <c r="AK144" s="169">
        <f>IFERROR(IF('Gantt Proyectos'!AI212&gt;0,SUMIFS('Listas y Parametros'!$C$45:$L$45,'Listas y Parametros'!$C$35:$L$35,'Costo Directo Proyectos'!$AD144)*$AG144,0)+IF('Gantt Proyectos'!AI212=2,$T144,0)/$W144,0)*$L144</f>
        <v>0</v>
      </c>
      <c r="AL144" s="169">
        <f>IFERROR(IF('Gantt Proyectos'!AJ212&gt;0,SUMIFS('Listas y Parametros'!$C$45:$L$45,'Listas y Parametros'!$C$35:$L$35,'Costo Directo Proyectos'!$AD144)*$AG144,0)+IF('Gantt Proyectos'!AJ212=2,$T144,0)/$W144,0)*$L144</f>
        <v>0</v>
      </c>
      <c r="AM144" s="169">
        <f>IFERROR(IF('Gantt Proyectos'!AK212&gt;0,SUMIFS('Listas y Parametros'!$C$45:$L$45,'Listas y Parametros'!$C$35:$L$35,'Costo Directo Proyectos'!$AD144)*$AG144,0)+IF('Gantt Proyectos'!AK212=2,$T144,0)/$W144,0)*$L144</f>
        <v>0</v>
      </c>
      <c r="AN144" s="169">
        <f>IFERROR(IF('Gantt Proyectos'!AL212&gt;0,SUMIFS('Listas y Parametros'!$C$45:$L$45,'Listas y Parametros'!$C$35:$L$35,'Costo Directo Proyectos'!$AD144)*$AG144,0)+IF('Gantt Proyectos'!AL212=2,$T144,0)/$W144,0)*$L144</f>
        <v>0</v>
      </c>
      <c r="AO144" s="169">
        <f>IFERROR(IF('Gantt Proyectos'!AM212&gt;0,SUMIFS('Listas y Parametros'!$C$45:$L$45,'Listas y Parametros'!$C$35:$L$35,'Costo Directo Proyectos'!$AD144)*$AG144,0)+IF('Gantt Proyectos'!AM212=2,$T144,0)/$W144,0)*$L144</f>
        <v>0</v>
      </c>
      <c r="AP144" s="170">
        <f>IFERROR(IF('Gantt Proyectos'!AN212&gt;0,SUMIFS('Listas y Parametros'!$C$45:$L$45,'Listas y Parametros'!$C$35:$L$35,'Costo Directo Proyectos'!$AD144)*$AG144,0)+IF('Gantt Proyectos'!AN212=2,$T144,0)/$W144,0)*$L144</f>
        <v>0</v>
      </c>
    </row>
    <row r="145" spans="3:42" ht="15" x14ac:dyDescent="0.2">
      <c r="C145" s="110">
        <f>+'Gantt Proyectos'!C213</f>
        <v>0</v>
      </c>
      <c r="D145" s="110">
        <f>+'Gantt Proyectos'!D213</f>
        <v>0</v>
      </c>
      <c r="E145" s="110">
        <f>+'Gantt Proyectos'!E213</f>
        <v>0</v>
      </c>
      <c r="F145" s="148">
        <f>+'Gantt Proyectos'!F213</f>
        <v>0</v>
      </c>
      <c r="G145" s="110">
        <f>+'Gantt Proyectos'!G213</f>
        <v>0</v>
      </c>
      <c r="H145" s="110">
        <f>+'Gantt Proyectos'!H213</f>
        <v>0</v>
      </c>
      <c r="I145" s="189">
        <v>1</v>
      </c>
      <c r="J145" s="189">
        <f t="shared" si="14"/>
        <v>0</v>
      </c>
      <c r="K145" s="110">
        <f>+'Gantt Proyectos'!I213</f>
        <v>0</v>
      </c>
      <c r="L145" s="110">
        <f>+'Gantt Proyectos'!J213</f>
        <v>0</v>
      </c>
      <c r="M145" s="110">
        <f>+'Gantt Proyectos'!K213</f>
        <v>0</v>
      </c>
      <c r="N145" s="110">
        <f>+'Gantt Proyectos'!L213</f>
        <v>0</v>
      </c>
      <c r="O145" s="110">
        <f>+'Gantt Proyectos'!M213</f>
        <v>0</v>
      </c>
      <c r="P145" s="110">
        <f>+'Gantt Proyectos'!N213</f>
        <v>0</v>
      </c>
      <c r="Q145" s="110">
        <f>+'Gantt Proyectos'!O213</f>
        <v>0</v>
      </c>
      <c r="R145" s="110">
        <f>+'Gantt Proyectos'!P213</f>
        <v>0</v>
      </c>
      <c r="S145" s="110">
        <f>+'Gantt Proyectos'!R213</f>
        <v>0</v>
      </c>
      <c r="T145" s="118">
        <f>+'Gantt Proyectos'!S213</f>
        <v>0</v>
      </c>
      <c r="U145" s="157">
        <f>+'Gantt Proyectos'!T213</f>
        <v>0</v>
      </c>
      <c r="V145" s="157">
        <f>+'Gantt Proyectos'!U213</f>
        <v>0</v>
      </c>
      <c r="W145" s="201">
        <f t="shared" si="15"/>
        <v>0</v>
      </c>
      <c r="X145" s="110">
        <f>+'Gantt Proyectos'!W213</f>
        <v>0</v>
      </c>
      <c r="Y145" s="110">
        <f>+'Gantt Proyectos'!X213</f>
        <v>0</v>
      </c>
      <c r="Z145" s="110">
        <f>+'Gantt Proyectos'!Y213</f>
        <v>0</v>
      </c>
      <c r="AA145" s="110">
        <f>+'Gantt Proyectos'!Z213</f>
        <v>0</v>
      </c>
      <c r="AB145" s="110">
        <f>+'Gantt Proyectos'!AA213</f>
        <v>0</v>
      </c>
      <c r="AC145" s="110">
        <f>+'Gantt Proyectos'!AB213</f>
        <v>0</v>
      </c>
      <c r="AD145" s="110">
        <f>+'Gantt Proyectos'!AC213</f>
        <v>0</v>
      </c>
      <c r="AE145" s="110">
        <f>+'Gantt Proyectos'!AD213</f>
        <v>0</v>
      </c>
      <c r="AF145" s="110">
        <f>+'Gantt Proyectos'!AE213</f>
        <v>0</v>
      </c>
      <c r="AG145" s="172">
        <v>1</v>
      </c>
      <c r="AH145" s="168">
        <f>IFERROR(IF('Gantt Proyectos'!AF213&gt;0,SUMIFS('Listas y Parametros'!$C$45:$L$45,'Listas y Parametros'!$C$35:$L$35,'Costo Directo Proyectos'!$AD145)*$AG145,0)+IF('Gantt Proyectos'!AF213=2,$T145,0)/$W145,0)*$L145</f>
        <v>0</v>
      </c>
      <c r="AI145" s="169">
        <f>IFERROR(IF('Gantt Proyectos'!AG213&gt;0,SUMIFS('Listas y Parametros'!$C$45:$L$45,'Listas y Parametros'!$C$35:$L$35,'Costo Directo Proyectos'!$AD145)*$AG145,0)+IF('Gantt Proyectos'!AG213=2,$T145,0)/$W145,0)*$L145</f>
        <v>0</v>
      </c>
      <c r="AJ145" s="169">
        <f>IFERROR(IF('Gantt Proyectos'!AH213&gt;0,SUMIFS('Listas y Parametros'!$C$45:$L$45,'Listas y Parametros'!$C$35:$L$35,'Costo Directo Proyectos'!$AD145)*$AG145,0)+IF('Gantt Proyectos'!AH213=2,$T145,0)/$W145,0)*$L145</f>
        <v>0</v>
      </c>
      <c r="AK145" s="169">
        <f>IFERROR(IF('Gantt Proyectos'!AI213&gt;0,SUMIFS('Listas y Parametros'!$C$45:$L$45,'Listas y Parametros'!$C$35:$L$35,'Costo Directo Proyectos'!$AD145)*$AG145,0)+IF('Gantt Proyectos'!AI213=2,$T145,0)/$W145,0)*$L145</f>
        <v>0</v>
      </c>
      <c r="AL145" s="169">
        <f>IFERROR(IF('Gantt Proyectos'!AJ213&gt;0,SUMIFS('Listas y Parametros'!$C$45:$L$45,'Listas y Parametros'!$C$35:$L$35,'Costo Directo Proyectos'!$AD145)*$AG145,0)+IF('Gantt Proyectos'!AJ213=2,$T145,0)/$W145,0)*$L145</f>
        <v>0</v>
      </c>
      <c r="AM145" s="169">
        <f>IFERROR(IF('Gantt Proyectos'!AK213&gt;0,SUMIFS('Listas y Parametros'!$C$45:$L$45,'Listas y Parametros'!$C$35:$L$35,'Costo Directo Proyectos'!$AD145)*$AG145,0)+IF('Gantt Proyectos'!AK213=2,$T145,0)/$W145,0)*$L145</f>
        <v>0</v>
      </c>
      <c r="AN145" s="169">
        <f>IFERROR(IF('Gantt Proyectos'!AL213&gt;0,SUMIFS('Listas y Parametros'!$C$45:$L$45,'Listas y Parametros'!$C$35:$L$35,'Costo Directo Proyectos'!$AD145)*$AG145,0)+IF('Gantt Proyectos'!AL213=2,$T145,0)/$W145,0)*$L145</f>
        <v>0</v>
      </c>
      <c r="AO145" s="169">
        <f>IFERROR(IF('Gantt Proyectos'!AM213&gt;0,SUMIFS('Listas y Parametros'!$C$45:$L$45,'Listas y Parametros'!$C$35:$L$35,'Costo Directo Proyectos'!$AD145)*$AG145,0)+IF('Gantt Proyectos'!AM213=2,$T145,0)/$W145,0)*$L145</f>
        <v>0</v>
      </c>
      <c r="AP145" s="170">
        <f>IFERROR(IF('Gantt Proyectos'!AN213&gt;0,SUMIFS('Listas y Parametros'!$C$45:$L$45,'Listas y Parametros'!$C$35:$L$35,'Costo Directo Proyectos'!$AD145)*$AG145,0)+IF('Gantt Proyectos'!AN213=2,$T145,0)/$W145,0)*$L145</f>
        <v>0</v>
      </c>
    </row>
    <row r="146" spans="3:42" ht="15" x14ac:dyDescent="0.2">
      <c r="C146" s="110">
        <f>+'Gantt Proyectos'!C214</f>
        <v>0</v>
      </c>
      <c r="D146" s="110">
        <f>+'Gantt Proyectos'!D214</f>
        <v>0</v>
      </c>
      <c r="E146" s="110">
        <f>+'Gantt Proyectos'!E214</f>
        <v>0</v>
      </c>
      <c r="F146" s="148">
        <f>+'Gantt Proyectos'!F214</f>
        <v>0</v>
      </c>
      <c r="G146" s="110">
        <f>+'Gantt Proyectos'!G214</f>
        <v>0</v>
      </c>
      <c r="H146" s="110">
        <f>+'Gantt Proyectos'!H214</f>
        <v>0</v>
      </c>
      <c r="I146" s="189">
        <v>1</v>
      </c>
      <c r="J146" s="189">
        <f t="shared" si="14"/>
        <v>0</v>
      </c>
      <c r="K146" s="110">
        <f>+'Gantt Proyectos'!I214</f>
        <v>0</v>
      </c>
      <c r="L146" s="110">
        <f>+'Gantt Proyectos'!J214</f>
        <v>0</v>
      </c>
      <c r="M146" s="110">
        <f>+'Gantt Proyectos'!K214</f>
        <v>0</v>
      </c>
      <c r="N146" s="110">
        <f>+'Gantt Proyectos'!L214</f>
        <v>0</v>
      </c>
      <c r="O146" s="110">
        <f>+'Gantt Proyectos'!M214</f>
        <v>0</v>
      </c>
      <c r="P146" s="110">
        <f>+'Gantt Proyectos'!N214</f>
        <v>0</v>
      </c>
      <c r="Q146" s="110">
        <f>+'Gantt Proyectos'!O214</f>
        <v>0</v>
      </c>
      <c r="R146" s="110">
        <f>+'Gantt Proyectos'!P214</f>
        <v>0</v>
      </c>
      <c r="S146" s="110">
        <f>+'Gantt Proyectos'!R214</f>
        <v>0</v>
      </c>
      <c r="T146" s="118">
        <f>+'Gantt Proyectos'!S214</f>
        <v>0</v>
      </c>
      <c r="U146" s="157">
        <f>+'Gantt Proyectos'!T214</f>
        <v>0</v>
      </c>
      <c r="V146" s="157">
        <f>+'Gantt Proyectos'!U214</f>
        <v>0</v>
      </c>
      <c r="W146" s="201">
        <f t="shared" si="15"/>
        <v>0</v>
      </c>
      <c r="X146" s="110">
        <f>+'Gantt Proyectos'!W214</f>
        <v>0</v>
      </c>
      <c r="Y146" s="110">
        <f>+'Gantt Proyectos'!X214</f>
        <v>0</v>
      </c>
      <c r="Z146" s="110">
        <f>+'Gantt Proyectos'!Y214</f>
        <v>0</v>
      </c>
      <c r="AA146" s="110">
        <f>+'Gantt Proyectos'!Z214</f>
        <v>0</v>
      </c>
      <c r="AB146" s="110">
        <f>+'Gantt Proyectos'!AA214</f>
        <v>0</v>
      </c>
      <c r="AC146" s="110">
        <f>+'Gantt Proyectos'!AB214</f>
        <v>0</v>
      </c>
      <c r="AD146" s="110">
        <f>+'Gantt Proyectos'!AC214</f>
        <v>0</v>
      </c>
      <c r="AE146" s="110">
        <f>+'Gantt Proyectos'!AD214</f>
        <v>0</v>
      </c>
      <c r="AF146" s="110">
        <f>+'Gantt Proyectos'!AE214</f>
        <v>0</v>
      </c>
      <c r="AG146" s="172">
        <v>1</v>
      </c>
      <c r="AH146" s="168">
        <f>IFERROR(IF('Gantt Proyectos'!AF214&gt;0,SUMIFS('Listas y Parametros'!$C$45:$L$45,'Listas y Parametros'!$C$35:$L$35,'Costo Directo Proyectos'!$AD146)*$AG146,0)+IF('Gantt Proyectos'!AF214=2,$T146,0)/$W146,0)*$L146</f>
        <v>0</v>
      </c>
      <c r="AI146" s="169">
        <f>IFERROR(IF('Gantt Proyectos'!AG214&gt;0,SUMIFS('Listas y Parametros'!$C$45:$L$45,'Listas y Parametros'!$C$35:$L$35,'Costo Directo Proyectos'!$AD146)*$AG146,0)+IF('Gantt Proyectos'!AG214=2,$T146,0)/$W146,0)*$L146</f>
        <v>0</v>
      </c>
      <c r="AJ146" s="169">
        <f>IFERROR(IF('Gantt Proyectos'!AH214&gt;0,SUMIFS('Listas y Parametros'!$C$45:$L$45,'Listas y Parametros'!$C$35:$L$35,'Costo Directo Proyectos'!$AD146)*$AG146,0)+IF('Gantt Proyectos'!AH214=2,$T146,0)/$W146,0)*$L146</f>
        <v>0</v>
      </c>
      <c r="AK146" s="169">
        <f>IFERROR(IF('Gantt Proyectos'!AI214&gt;0,SUMIFS('Listas y Parametros'!$C$45:$L$45,'Listas y Parametros'!$C$35:$L$35,'Costo Directo Proyectos'!$AD146)*$AG146,0)+IF('Gantt Proyectos'!AI214=2,$T146,0)/$W146,0)*$L146</f>
        <v>0</v>
      </c>
      <c r="AL146" s="169">
        <f>IFERROR(IF('Gantt Proyectos'!AJ214&gt;0,SUMIFS('Listas y Parametros'!$C$45:$L$45,'Listas y Parametros'!$C$35:$L$35,'Costo Directo Proyectos'!$AD146)*$AG146,0)+IF('Gantt Proyectos'!AJ214=2,$T146,0)/$W146,0)*$L146</f>
        <v>0</v>
      </c>
      <c r="AM146" s="169">
        <f>IFERROR(IF('Gantt Proyectos'!AK214&gt;0,SUMIFS('Listas y Parametros'!$C$45:$L$45,'Listas y Parametros'!$C$35:$L$35,'Costo Directo Proyectos'!$AD146)*$AG146,0)+IF('Gantt Proyectos'!AK214=2,$T146,0)/$W146,0)*$L146</f>
        <v>0</v>
      </c>
      <c r="AN146" s="169">
        <f>IFERROR(IF('Gantt Proyectos'!AL214&gt;0,SUMIFS('Listas y Parametros'!$C$45:$L$45,'Listas y Parametros'!$C$35:$L$35,'Costo Directo Proyectos'!$AD146)*$AG146,0)+IF('Gantt Proyectos'!AL214=2,$T146,0)/$W146,0)*$L146</f>
        <v>0</v>
      </c>
      <c r="AO146" s="169">
        <f>IFERROR(IF('Gantt Proyectos'!AM214&gt;0,SUMIFS('Listas y Parametros'!$C$45:$L$45,'Listas y Parametros'!$C$35:$L$35,'Costo Directo Proyectos'!$AD146)*$AG146,0)+IF('Gantt Proyectos'!AM214=2,$T146,0)/$W146,0)*$L146</f>
        <v>0</v>
      </c>
      <c r="AP146" s="170">
        <f>IFERROR(IF('Gantt Proyectos'!AN214&gt;0,SUMIFS('Listas y Parametros'!$C$45:$L$45,'Listas y Parametros'!$C$35:$L$35,'Costo Directo Proyectos'!$AD146)*$AG146,0)+IF('Gantt Proyectos'!AN214=2,$T146,0)/$W146,0)*$L146</f>
        <v>0</v>
      </c>
    </row>
    <row r="147" spans="3:42" ht="15" x14ac:dyDescent="0.2">
      <c r="C147" s="110">
        <f>+'Gantt Proyectos'!C215</f>
        <v>0</v>
      </c>
      <c r="D147" s="110">
        <f>+'Gantt Proyectos'!D215</f>
        <v>0</v>
      </c>
      <c r="E147" s="110">
        <f>+'Gantt Proyectos'!E215</f>
        <v>0</v>
      </c>
      <c r="F147" s="148">
        <f>+'Gantt Proyectos'!F215</f>
        <v>0</v>
      </c>
      <c r="G147" s="110">
        <f>+'Gantt Proyectos'!G215</f>
        <v>0</v>
      </c>
      <c r="H147" s="110">
        <f>+'Gantt Proyectos'!H215</f>
        <v>0</v>
      </c>
      <c r="I147" s="189">
        <v>1</v>
      </c>
      <c r="J147" s="189">
        <f t="shared" si="14"/>
        <v>0</v>
      </c>
      <c r="K147" s="110">
        <f>+'Gantt Proyectos'!I215</f>
        <v>0</v>
      </c>
      <c r="L147" s="110">
        <f>+'Gantt Proyectos'!J215</f>
        <v>0</v>
      </c>
      <c r="M147" s="110">
        <f>+'Gantt Proyectos'!K215</f>
        <v>0</v>
      </c>
      <c r="N147" s="110">
        <f>+'Gantt Proyectos'!L215</f>
        <v>0</v>
      </c>
      <c r="O147" s="110">
        <f>+'Gantt Proyectos'!M215</f>
        <v>0</v>
      </c>
      <c r="P147" s="110">
        <f>+'Gantt Proyectos'!N215</f>
        <v>0</v>
      </c>
      <c r="Q147" s="110">
        <f>+'Gantt Proyectos'!O215</f>
        <v>0</v>
      </c>
      <c r="R147" s="110">
        <f>+'Gantt Proyectos'!P215</f>
        <v>0</v>
      </c>
      <c r="S147" s="110">
        <f>+'Gantt Proyectos'!R215</f>
        <v>0</v>
      </c>
      <c r="T147" s="118">
        <f>+'Gantt Proyectos'!S215</f>
        <v>0</v>
      </c>
      <c r="U147" s="157">
        <f>+'Gantt Proyectos'!T215</f>
        <v>0</v>
      </c>
      <c r="V147" s="157">
        <f>+'Gantt Proyectos'!U215</f>
        <v>0</v>
      </c>
      <c r="W147" s="201">
        <f t="shared" si="15"/>
        <v>0</v>
      </c>
      <c r="X147" s="110">
        <f>+'Gantt Proyectos'!W215</f>
        <v>0</v>
      </c>
      <c r="Y147" s="110">
        <f>+'Gantt Proyectos'!X215</f>
        <v>0</v>
      </c>
      <c r="Z147" s="110">
        <f>+'Gantt Proyectos'!Y215</f>
        <v>0</v>
      </c>
      <c r="AA147" s="110">
        <f>+'Gantt Proyectos'!Z215</f>
        <v>0</v>
      </c>
      <c r="AB147" s="110">
        <f>+'Gantt Proyectos'!AA215</f>
        <v>0</v>
      </c>
      <c r="AC147" s="110">
        <f>+'Gantt Proyectos'!AB215</f>
        <v>0</v>
      </c>
      <c r="AD147" s="110">
        <f>+'Gantt Proyectos'!AC215</f>
        <v>0</v>
      </c>
      <c r="AE147" s="110">
        <f>+'Gantt Proyectos'!AD215</f>
        <v>0</v>
      </c>
      <c r="AF147" s="110">
        <f>+'Gantt Proyectos'!AE215</f>
        <v>0</v>
      </c>
      <c r="AG147" s="172">
        <v>1</v>
      </c>
      <c r="AH147" s="168">
        <f>IFERROR(IF('Gantt Proyectos'!AF215&gt;0,SUMIFS('Listas y Parametros'!$C$45:$L$45,'Listas y Parametros'!$C$35:$L$35,'Costo Directo Proyectos'!$AD147)*$AG147,0)+IF('Gantt Proyectos'!AF215=2,$T147,0)/$W147,0)*$L147</f>
        <v>0</v>
      </c>
      <c r="AI147" s="169">
        <f>IFERROR(IF('Gantt Proyectos'!AG215&gt;0,SUMIFS('Listas y Parametros'!$C$45:$L$45,'Listas y Parametros'!$C$35:$L$35,'Costo Directo Proyectos'!$AD147)*$AG147,0)+IF('Gantt Proyectos'!AG215=2,$T147,0)/$W147,0)*$L147</f>
        <v>0</v>
      </c>
      <c r="AJ147" s="169">
        <f>IFERROR(IF('Gantt Proyectos'!AH215&gt;0,SUMIFS('Listas y Parametros'!$C$45:$L$45,'Listas y Parametros'!$C$35:$L$35,'Costo Directo Proyectos'!$AD147)*$AG147,0)+IF('Gantt Proyectos'!AH215=2,$T147,0)/$W147,0)*$L147</f>
        <v>0</v>
      </c>
      <c r="AK147" s="169">
        <f>IFERROR(IF('Gantt Proyectos'!AI215&gt;0,SUMIFS('Listas y Parametros'!$C$45:$L$45,'Listas y Parametros'!$C$35:$L$35,'Costo Directo Proyectos'!$AD147)*$AG147,0)+IF('Gantt Proyectos'!AI215=2,$T147,0)/$W147,0)*$L147</f>
        <v>0</v>
      </c>
      <c r="AL147" s="169">
        <f>IFERROR(IF('Gantt Proyectos'!AJ215&gt;0,SUMIFS('Listas y Parametros'!$C$45:$L$45,'Listas y Parametros'!$C$35:$L$35,'Costo Directo Proyectos'!$AD147)*$AG147,0)+IF('Gantt Proyectos'!AJ215=2,$T147,0)/$W147,0)*$L147</f>
        <v>0</v>
      </c>
      <c r="AM147" s="169">
        <f>IFERROR(IF('Gantt Proyectos'!AK215&gt;0,SUMIFS('Listas y Parametros'!$C$45:$L$45,'Listas y Parametros'!$C$35:$L$35,'Costo Directo Proyectos'!$AD147)*$AG147,0)+IF('Gantt Proyectos'!AK215=2,$T147,0)/$W147,0)*$L147</f>
        <v>0</v>
      </c>
      <c r="AN147" s="169">
        <f>IFERROR(IF('Gantt Proyectos'!AL215&gt;0,SUMIFS('Listas y Parametros'!$C$45:$L$45,'Listas y Parametros'!$C$35:$L$35,'Costo Directo Proyectos'!$AD147)*$AG147,0)+IF('Gantt Proyectos'!AL215=2,$T147,0)/$W147,0)*$L147</f>
        <v>0</v>
      </c>
      <c r="AO147" s="169">
        <f>IFERROR(IF('Gantt Proyectos'!AM215&gt;0,SUMIFS('Listas y Parametros'!$C$45:$L$45,'Listas y Parametros'!$C$35:$L$35,'Costo Directo Proyectos'!$AD147)*$AG147,0)+IF('Gantt Proyectos'!AM215=2,$T147,0)/$W147,0)*$L147</f>
        <v>0</v>
      </c>
      <c r="AP147" s="170">
        <f>IFERROR(IF('Gantt Proyectos'!AN215&gt;0,SUMIFS('Listas y Parametros'!$C$45:$L$45,'Listas y Parametros'!$C$35:$L$35,'Costo Directo Proyectos'!$AD147)*$AG147,0)+IF('Gantt Proyectos'!AN215=2,$T147,0)/$W147,0)*$L147</f>
        <v>0</v>
      </c>
    </row>
    <row r="148" spans="3:42" ht="15" x14ac:dyDescent="0.2">
      <c r="C148" s="110">
        <f>+'Gantt Proyectos'!C216</f>
        <v>0</v>
      </c>
      <c r="D148" s="110">
        <f>+'Gantt Proyectos'!D216</f>
        <v>0</v>
      </c>
      <c r="E148" s="110">
        <f>+'Gantt Proyectos'!E216</f>
        <v>0</v>
      </c>
      <c r="F148" s="148">
        <f>+'Gantt Proyectos'!F216</f>
        <v>0</v>
      </c>
      <c r="G148" s="110">
        <f>+'Gantt Proyectos'!G216</f>
        <v>0</v>
      </c>
      <c r="H148" s="110">
        <f>+'Gantt Proyectos'!H216</f>
        <v>0</v>
      </c>
      <c r="I148" s="189">
        <v>1</v>
      </c>
      <c r="J148" s="189">
        <f t="shared" si="14"/>
        <v>0</v>
      </c>
      <c r="K148" s="110">
        <f>+'Gantt Proyectos'!I216</f>
        <v>0</v>
      </c>
      <c r="L148" s="110">
        <f>+'Gantt Proyectos'!J216</f>
        <v>0</v>
      </c>
      <c r="M148" s="110">
        <f>+'Gantt Proyectos'!K216</f>
        <v>0</v>
      </c>
      <c r="N148" s="110">
        <f>+'Gantt Proyectos'!L216</f>
        <v>0</v>
      </c>
      <c r="O148" s="110">
        <f>+'Gantt Proyectos'!M216</f>
        <v>0</v>
      </c>
      <c r="P148" s="110">
        <f>+'Gantt Proyectos'!N216</f>
        <v>0</v>
      </c>
      <c r="Q148" s="110">
        <f>+'Gantt Proyectos'!O216</f>
        <v>0</v>
      </c>
      <c r="R148" s="110">
        <f>+'Gantt Proyectos'!P216</f>
        <v>0</v>
      </c>
      <c r="S148" s="110">
        <f>+'Gantt Proyectos'!R216</f>
        <v>0</v>
      </c>
      <c r="T148" s="118">
        <f>+'Gantt Proyectos'!S216</f>
        <v>0</v>
      </c>
      <c r="U148" s="157">
        <f>+'Gantt Proyectos'!T216</f>
        <v>0</v>
      </c>
      <c r="V148" s="157">
        <f>+'Gantt Proyectos'!U216</f>
        <v>0</v>
      </c>
      <c r="W148" s="201">
        <f t="shared" si="15"/>
        <v>0</v>
      </c>
      <c r="X148" s="110">
        <f>+'Gantt Proyectos'!W216</f>
        <v>0</v>
      </c>
      <c r="Y148" s="110">
        <f>+'Gantt Proyectos'!X216</f>
        <v>0</v>
      </c>
      <c r="Z148" s="110">
        <f>+'Gantt Proyectos'!Y216</f>
        <v>0</v>
      </c>
      <c r="AA148" s="110">
        <f>+'Gantt Proyectos'!Z216</f>
        <v>0</v>
      </c>
      <c r="AB148" s="110">
        <f>+'Gantt Proyectos'!AA216</f>
        <v>0</v>
      </c>
      <c r="AC148" s="110">
        <f>+'Gantt Proyectos'!AB216</f>
        <v>0</v>
      </c>
      <c r="AD148" s="110">
        <f>+'Gantt Proyectos'!AC216</f>
        <v>0</v>
      </c>
      <c r="AE148" s="110">
        <f>+'Gantt Proyectos'!AD216</f>
        <v>0</v>
      </c>
      <c r="AF148" s="110">
        <f>+'Gantt Proyectos'!AE216</f>
        <v>0</v>
      </c>
      <c r="AG148" s="172">
        <v>1</v>
      </c>
      <c r="AH148" s="168">
        <f>IFERROR(IF('Gantt Proyectos'!AF216&gt;0,SUMIFS('Listas y Parametros'!$C$45:$L$45,'Listas y Parametros'!$C$35:$L$35,'Costo Directo Proyectos'!$AD148)*$AG148,0)+IF('Gantt Proyectos'!AF216=2,$T148,0)/$W148,0)*$L148</f>
        <v>0</v>
      </c>
      <c r="AI148" s="169">
        <f>IFERROR(IF('Gantt Proyectos'!AG216&gt;0,SUMIFS('Listas y Parametros'!$C$45:$L$45,'Listas y Parametros'!$C$35:$L$35,'Costo Directo Proyectos'!$AD148)*$AG148,0)+IF('Gantt Proyectos'!AG216=2,$T148,0)/$W148,0)*$L148</f>
        <v>0</v>
      </c>
      <c r="AJ148" s="169">
        <f>IFERROR(IF('Gantt Proyectos'!AH216&gt;0,SUMIFS('Listas y Parametros'!$C$45:$L$45,'Listas y Parametros'!$C$35:$L$35,'Costo Directo Proyectos'!$AD148)*$AG148,0)+IF('Gantt Proyectos'!AH216=2,$T148,0)/$W148,0)*$L148</f>
        <v>0</v>
      </c>
      <c r="AK148" s="169">
        <f>IFERROR(IF('Gantt Proyectos'!AI216&gt;0,SUMIFS('Listas y Parametros'!$C$45:$L$45,'Listas y Parametros'!$C$35:$L$35,'Costo Directo Proyectos'!$AD148)*$AG148,0)+IF('Gantt Proyectos'!AI216=2,$T148,0)/$W148,0)*$L148</f>
        <v>0</v>
      </c>
      <c r="AL148" s="169">
        <f>IFERROR(IF('Gantt Proyectos'!AJ216&gt;0,SUMIFS('Listas y Parametros'!$C$45:$L$45,'Listas y Parametros'!$C$35:$L$35,'Costo Directo Proyectos'!$AD148)*$AG148,0)+IF('Gantt Proyectos'!AJ216=2,$T148,0)/$W148,0)*$L148</f>
        <v>0</v>
      </c>
      <c r="AM148" s="169">
        <f>IFERROR(IF('Gantt Proyectos'!AK216&gt;0,SUMIFS('Listas y Parametros'!$C$45:$L$45,'Listas y Parametros'!$C$35:$L$35,'Costo Directo Proyectos'!$AD148)*$AG148,0)+IF('Gantt Proyectos'!AK216=2,$T148,0)/$W148,0)*$L148</f>
        <v>0</v>
      </c>
      <c r="AN148" s="169">
        <f>IFERROR(IF('Gantt Proyectos'!AL216&gt;0,SUMIFS('Listas y Parametros'!$C$45:$L$45,'Listas y Parametros'!$C$35:$L$35,'Costo Directo Proyectos'!$AD148)*$AG148,0)+IF('Gantt Proyectos'!AL216=2,$T148,0)/$W148,0)*$L148</f>
        <v>0</v>
      </c>
      <c r="AO148" s="169">
        <f>IFERROR(IF('Gantt Proyectos'!AM216&gt;0,SUMIFS('Listas y Parametros'!$C$45:$L$45,'Listas y Parametros'!$C$35:$L$35,'Costo Directo Proyectos'!$AD148)*$AG148,0)+IF('Gantt Proyectos'!AM216=2,$T148,0)/$W148,0)*$L148</f>
        <v>0</v>
      </c>
      <c r="AP148" s="170">
        <f>IFERROR(IF('Gantt Proyectos'!AN216&gt;0,SUMIFS('Listas y Parametros'!$C$45:$L$45,'Listas y Parametros'!$C$35:$L$35,'Costo Directo Proyectos'!$AD148)*$AG148,0)+IF('Gantt Proyectos'!AN216=2,$T148,0)/$W148,0)*$L148</f>
        <v>0</v>
      </c>
    </row>
    <row r="149" spans="3:42" ht="15" x14ac:dyDescent="0.2">
      <c r="C149" s="110">
        <f>+'Gantt Proyectos'!C217</f>
        <v>0</v>
      </c>
      <c r="D149" s="110">
        <f>+'Gantt Proyectos'!D217</f>
        <v>0</v>
      </c>
      <c r="E149" s="110">
        <f>+'Gantt Proyectos'!E217</f>
        <v>0</v>
      </c>
      <c r="F149" s="148">
        <f>+'Gantt Proyectos'!F217</f>
        <v>0</v>
      </c>
      <c r="G149" s="110">
        <f>+'Gantt Proyectos'!G217</f>
        <v>0</v>
      </c>
      <c r="H149" s="110">
        <f>+'Gantt Proyectos'!H217</f>
        <v>0</v>
      </c>
      <c r="I149" s="189">
        <v>1</v>
      </c>
      <c r="J149" s="189">
        <f t="shared" si="14"/>
        <v>0</v>
      </c>
      <c r="K149" s="110">
        <f>+'Gantt Proyectos'!I217</f>
        <v>0</v>
      </c>
      <c r="L149" s="110">
        <f>+'Gantt Proyectos'!J217</f>
        <v>0</v>
      </c>
      <c r="M149" s="110">
        <f>+'Gantt Proyectos'!K217</f>
        <v>0</v>
      </c>
      <c r="N149" s="110">
        <f>+'Gantt Proyectos'!L217</f>
        <v>0</v>
      </c>
      <c r="O149" s="110">
        <f>+'Gantt Proyectos'!M217</f>
        <v>0</v>
      </c>
      <c r="P149" s="110">
        <f>+'Gantt Proyectos'!N217</f>
        <v>0</v>
      </c>
      <c r="Q149" s="110">
        <f>+'Gantt Proyectos'!O217</f>
        <v>0</v>
      </c>
      <c r="R149" s="110">
        <f>+'Gantt Proyectos'!P217</f>
        <v>0</v>
      </c>
      <c r="S149" s="110">
        <f>+'Gantt Proyectos'!R217</f>
        <v>0</v>
      </c>
      <c r="T149" s="118">
        <f>+'Gantt Proyectos'!S217</f>
        <v>0</v>
      </c>
      <c r="U149" s="157">
        <f>+'Gantt Proyectos'!T217</f>
        <v>0</v>
      </c>
      <c r="V149" s="157">
        <f>+'Gantt Proyectos'!U217</f>
        <v>0</v>
      </c>
      <c r="W149" s="201">
        <f t="shared" si="15"/>
        <v>0</v>
      </c>
      <c r="X149" s="110">
        <f>+'Gantt Proyectos'!W217</f>
        <v>0</v>
      </c>
      <c r="Y149" s="110">
        <f>+'Gantt Proyectos'!X217</f>
        <v>0</v>
      </c>
      <c r="Z149" s="110">
        <f>+'Gantt Proyectos'!Y217</f>
        <v>0</v>
      </c>
      <c r="AA149" s="110">
        <f>+'Gantt Proyectos'!Z217</f>
        <v>0</v>
      </c>
      <c r="AB149" s="110">
        <f>+'Gantt Proyectos'!AA217</f>
        <v>0</v>
      </c>
      <c r="AC149" s="110">
        <f>+'Gantt Proyectos'!AB217</f>
        <v>0</v>
      </c>
      <c r="AD149" s="110">
        <f>+'Gantt Proyectos'!AC217</f>
        <v>0</v>
      </c>
      <c r="AE149" s="110">
        <f>+'Gantt Proyectos'!AD217</f>
        <v>0</v>
      </c>
      <c r="AF149" s="110">
        <f>+'Gantt Proyectos'!AE217</f>
        <v>0</v>
      </c>
      <c r="AG149" s="172">
        <v>1</v>
      </c>
      <c r="AH149" s="168">
        <f>IFERROR(IF('Gantt Proyectos'!AF217&gt;0,SUMIFS('Listas y Parametros'!$C$45:$L$45,'Listas y Parametros'!$C$35:$L$35,'Costo Directo Proyectos'!$AD149)*$AG149,0)+IF('Gantt Proyectos'!AF217=2,$T149,0)/$W149,0)*$L149</f>
        <v>0</v>
      </c>
      <c r="AI149" s="169">
        <f>IFERROR(IF('Gantt Proyectos'!AG217&gt;0,SUMIFS('Listas y Parametros'!$C$45:$L$45,'Listas y Parametros'!$C$35:$L$35,'Costo Directo Proyectos'!$AD149)*$AG149,0)+IF('Gantt Proyectos'!AG217=2,$T149,0)/$W149,0)*$L149</f>
        <v>0</v>
      </c>
      <c r="AJ149" s="169">
        <f>IFERROR(IF('Gantt Proyectos'!AH217&gt;0,SUMIFS('Listas y Parametros'!$C$45:$L$45,'Listas y Parametros'!$C$35:$L$35,'Costo Directo Proyectos'!$AD149)*$AG149,0)+IF('Gantt Proyectos'!AH217=2,$T149,0)/$W149,0)*$L149</f>
        <v>0</v>
      </c>
      <c r="AK149" s="169">
        <f>IFERROR(IF('Gantt Proyectos'!AI217&gt;0,SUMIFS('Listas y Parametros'!$C$45:$L$45,'Listas y Parametros'!$C$35:$L$35,'Costo Directo Proyectos'!$AD149)*$AG149,0)+IF('Gantt Proyectos'!AI217=2,$T149,0)/$W149,0)*$L149</f>
        <v>0</v>
      </c>
      <c r="AL149" s="169">
        <f>IFERROR(IF('Gantt Proyectos'!AJ217&gt;0,SUMIFS('Listas y Parametros'!$C$45:$L$45,'Listas y Parametros'!$C$35:$L$35,'Costo Directo Proyectos'!$AD149)*$AG149,0)+IF('Gantt Proyectos'!AJ217=2,$T149,0)/$W149,0)*$L149</f>
        <v>0</v>
      </c>
      <c r="AM149" s="169">
        <f>IFERROR(IF('Gantt Proyectos'!AK217&gt;0,SUMIFS('Listas y Parametros'!$C$45:$L$45,'Listas y Parametros'!$C$35:$L$35,'Costo Directo Proyectos'!$AD149)*$AG149,0)+IF('Gantt Proyectos'!AK217=2,$T149,0)/$W149,0)*$L149</f>
        <v>0</v>
      </c>
      <c r="AN149" s="169">
        <f>IFERROR(IF('Gantt Proyectos'!AL217&gt;0,SUMIFS('Listas y Parametros'!$C$45:$L$45,'Listas y Parametros'!$C$35:$L$35,'Costo Directo Proyectos'!$AD149)*$AG149,0)+IF('Gantt Proyectos'!AL217=2,$T149,0)/$W149,0)*$L149</f>
        <v>0</v>
      </c>
      <c r="AO149" s="169">
        <f>IFERROR(IF('Gantt Proyectos'!AM217&gt;0,SUMIFS('Listas y Parametros'!$C$45:$L$45,'Listas y Parametros'!$C$35:$L$35,'Costo Directo Proyectos'!$AD149)*$AG149,0)+IF('Gantt Proyectos'!AM217=2,$T149,0)/$W149,0)*$L149</f>
        <v>0</v>
      </c>
      <c r="AP149" s="170">
        <f>IFERROR(IF('Gantt Proyectos'!AN217&gt;0,SUMIFS('Listas y Parametros'!$C$45:$L$45,'Listas y Parametros'!$C$35:$L$35,'Costo Directo Proyectos'!$AD149)*$AG149,0)+IF('Gantt Proyectos'!AN217=2,$T149,0)/$W149,0)*$L149</f>
        <v>0</v>
      </c>
    </row>
    <row r="150" spans="3:42" ht="15" x14ac:dyDescent="0.2">
      <c r="C150" s="110">
        <f>+'Gantt Proyectos'!C218</f>
        <v>0</v>
      </c>
      <c r="D150" s="110">
        <f>+'Gantt Proyectos'!D218</f>
        <v>0</v>
      </c>
      <c r="E150" s="110">
        <f>+'Gantt Proyectos'!E218</f>
        <v>0</v>
      </c>
      <c r="F150" s="148">
        <f>+'Gantt Proyectos'!F218</f>
        <v>0</v>
      </c>
      <c r="G150" s="110">
        <f>+'Gantt Proyectos'!G218</f>
        <v>0</v>
      </c>
      <c r="H150" s="110">
        <f>+'Gantt Proyectos'!H218</f>
        <v>0</v>
      </c>
      <c r="I150" s="189">
        <v>1</v>
      </c>
      <c r="J150" s="189">
        <f t="shared" si="14"/>
        <v>0</v>
      </c>
      <c r="K150" s="110">
        <f>+'Gantt Proyectos'!I218</f>
        <v>0</v>
      </c>
      <c r="L150" s="110">
        <f>+'Gantt Proyectos'!J218</f>
        <v>0</v>
      </c>
      <c r="M150" s="110">
        <f>+'Gantt Proyectos'!K218</f>
        <v>0</v>
      </c>
      <c r="N150" s="110">
        <f>+'Gantt Proyectos'!L218</f>
        <v>0</v>
      </c>
      <c r="O150" s="110">
        <f>+'Gantt Proyectos'!M218</f>
        <v>0</v>
      </c>
      <c r="P150" s="110">
        <f>+'Gantt Proyectos'!N218</f>
        <v>0</v>
      </c>
      <c r="Q150" s="110">
        <f>+'Gantt Proyectos'!O218</f>
        <v>0</v>
      </c>
      <c r="R150" s="110">
        <f>+'Gantt Proyectos'!P218</f>
        <v>0</v>
      </c>
      <c r="S150" s="110">
        <f>+'Gantt Proyectos'!R218</f>
        <v>0</v>
      </c>
      <c r="T150" s="118">
        <f>+'Gantt Proyectos'!S218</f>
        <v>0</v>
      </c>
      <c r="U150" s="157">
        <f>+'Gantt Proyectos'!T218</f>
        <v>0</v>
      </c>
      <c r="V150" s="157">
        <f>+'Gantt Proyectos'!U218</f>
        <v>0</v>
      </c>
      <c r="W150" s="201">
        <f t="shared" si="15"/>
        <v>0</v>
      </c>
      <c r="X150" s="110">
        <f>+'Gantt Proyectos'!W218</f>
        <v>0</v>
      </c>
      <c r="Y150" s="110">
        <f>+'Gantt Proyectos'!X218</f>
        <v>0</v>
      </c>
      <c r="Z150" s="110">
        <f>+'Gantt Proyectos'!Y218</f>
        <v>0</v>
      </c>
      <c r="AA150" s="110">
        <f>+'Gantt Proyectos'!Z218</f>
        <v>0</v>
      </c>
      <c r="AB150" s="110">
        <f>+'Gantt Proyectos'!AA218</f>
        <v>0</v>
      </c>
      <c r="AC150" s="110">
        <f>+'Gantt Proyectos'!AB218</f>
        <v>0</v>
      </c>
      <c r="AD150" s="110">
        <f>+'Gantt Proyectos'!AC218</f>
        <v>0</v>
      </c>
      <c r="AE150" s="110">
        <f>+'Gantt Proyectos'!AD218</f>
        <v>0</v>
      </c>
      <c r="AF150" s="110">
        <f>+'Gantt Proyectos'!AE218</f>
        <v>0</v>
      </c>
      <c r="AG150" s="172">
        <v>1</v>
      </c>
      <c r="AH150" s="168">
        <f>IFERROR(IF('Gantt Proyectos'!AF218&gt;0,SUMIFS('Listas y Parametros'!$C$45:$L$45,'Listas y Parametros'!$C$35:$L$35,'Costo Directo Proyectos'!$AD150)*$AG150,0)+IF('Gantt Proyectos'!AF218=2,$T150,0)/$W150,0)*$L150</f>
        <v>0</v>
      </c>
      <c r="AI150" s="169">
        <f>IFERROR(IF('Gantt Proyectos'!AG218&gt;0,SUMIFS('Listas y Parametros'!$C$45:$L$45,'Listas y Parametros'!$C$35:$L$35,'Costo Directo Proyectos'!$AD150)*$AG150,0)+IF('Gantt Proyectos'!AG218=2,$T150,0)/$W150,0)*$L150</f>
        <v>0</v>
      </c>
      <c r="AJ150" s="169">
        <f>IFERROR(IF('Gantt Proyectos'!AH218&gt;0,SUMIFS('Listas y Parametros'!$C$45:$L$45,'Listas y Parametros'!$C$35:$L$35,'Costo Directo Proyectos'!$AD150)*$AG150,0)+IF('Gantt Proyectos'!AH218=2,$T150,0)/$W150,0)*$L150</f>
        <v>0</v>
      </c>
      <c r="AK150" s="169">
        <f>IFERROR(IF('Gantt Proyectos'!AI218&gt;0,SUMIFS('Listas y Parametros'!$C$45:$L$45,'Listas y Parametros'!$C$35:$L$35,'Costo Directo Proyectos'!$AD150)*$AG150,0)+IF('Gantt Proyectos'!AI218=2,$T150,0)/$W150,0)*$L150</f>
        <v>0</v>
      </c>
      <c r="AL150" s="169">
        <f>IFERROR(IF('Gantt Proyectos'!AJ218&gt;0,SUMIFS('Listas y Parametros'!$C$45:$L$45,'Listas y Parametros'!$C$35:$L$35,'Costo Directo Proyectos'!$AD150)*$AG150,0)+IF('Gantt Proyectos'!AJ218=2,$T150,0)/$W150,0)*$L150</f>
        <v>0</v>
      </c>
      <c r="AM150" s="169">
        <f>IFERROR(IF('Gantt Proyectos'!AK218&gt;0,SUMIFS('Listas y Parametros'!$C$45:$L$45,'Listas y Parametros'!$C$35:$L$35,'Costo Directo Proyectos'!$AD150)*$AG150,0)+IF('Gantt Proyectos'!AK218=2,$T150,0)/$W150,0)*$L150</f>
        <v>0</v>
      </c>
      <c r="AN150" s="169">
        <f>IFERROR(IF('Gantt Proyectos'!AL218&gt;0,SUMIFS('Listas y Parametros'!$C$45:$L$45,'Listas y Parametros'!$C$35:$L$35,'Costo Directo Proyectos'!$AD150)*$AG150,0)+IF('Gantt Proyectos'!AL218=2,$T150,0)/$W150,0)*$L150</f>
        <v>0</v>
      </c>
      <c r="AO150" s="169">
        <f>IFERROR(IF('Gantt Proyectos'!AM218&gt;0,SUMIFS('Listas y Parametros'!$C$45:$L$45,'Listas y Parametros'!$C$35:$L$35,'Costo Directo Proyectos'!$AD150)*$AG150,0)+IF('Gantt Proyectos'!AM218=2,$T150,0)/$W150,0)*$L150</f>
        <v>0</v>
      </c>
      <c r="AP150" s="170">
        <f>IFERROR(IF('Gantt Proyectos'!AN218&gt;0,SUMIFS('Listas y Parametros'!$C$45:$L$45,'Listas y Parametros'!$C$35:$L$35,'Costo Directo Proyectos'!$AD150)*$AG150,0)+IF('Gantt Proyectos'!AN218=2,$T150,0)/$W150,0)*$L150</f>
        <v>0</v>
      </c>
    </row>
    <row r="151" spans="3:42" ht="15" x14ac:dyDescent="0.2">
      <c r="C151" s="110">
        <f>+'Gantt Proyectos'!C219</f>
        <v>0</v>
      </c>
      <c r="D151" s="110">
        <f>+'Gantt Proyectos'!D219</f>
        <v>0</v>
      </c>
      <c r="E151" s="110">
        <f>+'Gantt Proyectos'!E219</f>
        <v>0</v>
      </c>
      <c r="F151" s="148">
        <f>+'Gantt Proyectos'!F219</f>
        <v>0</v>
      </c>
      <c r="G151" s="110">
        <f>+'Gantt Proyectos'!G219</f>
        <v>0</v>
      </c>
      <c r="H151" s="110">
        <f>+'Gantt Proyectos'!H219</f>
        <v>0</v>
      </c>
      <c r="I151" s="189">
        <v>1</v>
      </c>
      <c r="J151" s="189">
        <f t="shared" si="14"/>
        <v>0</v>
      </c>
      <c r="K151" s="110">
        <f>+'Gantt Proyectos'!I219</f>
        <v>0</v>
      </c>
      <c r="L151" s="110">
        <f>+'Gantt Proyectos'!J219</f>
        <v>0</v>
      </c>
      <c r="M151" s="110">
        <f>+'Gantt Proyectos'!K219</f>
        <v>0</v>
      </c>
      <c r="N151" s="110">
        <f>+'Gantt Proyectos'!L219</f>
        <v>0</v>
      </c>
      <c r="O151" s="110">
        <f>+'Gantt Proyectos'!M219</f>
        <v>0</v>
      </c>
      <c r="P151" s="110">
        <f>+'Gantt Proyectos'!N219</f>
        <v>0</v>
      </c>
      <c r="Q151" s="110">
        <f>+'Gantt Proyectos'!O219</f>
        <v>0</v>
      </c>
      <c r="R151" s="110">
        <f>+'Gantt Proyectos'!P219</f>
        <v>0</v>
      </c>
      <c r="S151" s="110">
        <f>+'Gantt Proyectos'!R219</f>
        <v>0</v>
      </c>
      <c r="T151" s="118">
        <f>+'Gantt Proyectos'!S219</f>
        <v>0</v>
      </c>
      <c r="U151" s="157">
        <f>+'Gantt Proyectos'!T219</f>
        <v>0</v>
      </c>
      <c r="V151" s="157">
        <f>+'Gantt Proyectos'!U219</f>
        <v>0</v>
      </c>
      <c r="W151" s="201">
        <f t="shared" si="15"/>
        <v>0</v>
      </c>
      <c r="X151" s="110">
        <f>+'Gantt Proyectos'!W219</f>
        <v>0</v>
      </c>
      <c r="Y151" s="110">
        <f>+'Gantt Proyectos'!X219</f>
        <v>0</v>
      </c>
      <c r="Z151" s="110">
        <f>+'Gantt Proyectos'!Y219</f>
        <v>0</v>
      </c>
      <c r="AA151" s="110">
        <f>+'Gantt Proyectos'!Z219</f>
        <v>0</v>
      </c>
      <c r="AB151" s="110">
        <f>+'Gantt Proyectos'!AA219</f>
        <v>0</v>
      </c>
      <c r="AC151" s="110">
        <f>+'Gantt Proyectos'!AB219</f>
        <v>0</v>
      </c>
      <c r="AD151" s="110">
        <f>+'Gantt Proyectos'!AC219</f>
        <v>0</v>
      </c>
      <c r="AE151" s="110">
        <f>+'Gantt Proyectos'!AD219</f>
        <v>0</v>
      </c>
      <c r="AF151" s="110">
        <f>+'Gantt Proyectos'!AE219</f>
        <v>0</v>
      </c>
      <c r="AG151" s="172">
        <v>1</v>
      </c>
      <c r="AH151" s="168">
        <f>IFERROR(IF('Gantt Proyectos'!AF219&gt;0,SUMIFS('Listas y Parametros'!$C$45:$L$45,'Listas y Parametros'!$C$35:$L$35,'Costo Directo Proyectos'!$AD151)*$AG151,0)+IF('Gantt Proyectos'!AF219=2,$T151,0)/$W151,0)*$L151</f>
        <v>0</v>
      </c>
      <c r="AI151" s="169">
        <f>IFERROR(IF('Gantt Proyectos'!AG219&gt;0,SUMIFS('Listas y Parametros'!$C$45:$L$45,'Listas y Parametros'!$C$35:$L$35,'Costo Directo Proyectos'!$AD151)*$AG151,0)+IF('Gantt Proyectos'!AG219=2,$T151,0)/$W151,0)*$L151</f>
        <v>0</v>
      </c>
      <c r="AJ151" s="169">
        <f>IFERROR(IF('Gantt Proyectos'!AH219&gt;0,SUMIFS('Listas y Parametros'!$C$45:$L$45,'Listas y Parametros'!$C$35:$L$35,'Costo Directo Proyectos'!$AD151)*$AG151,0)+IF('Gantt Proyectos'!AH219=2,$T151,0)/$W151,0)*$L151</f>
        <v>0</v>
      </c>
      <c r="AK151" s="169">
        <f>IFERROR(IF('Gantt Proyectos'!AI219&gt;0,SUMIFS('Listas y Parametros'!$C$45:$L$45,'Listas y Parametros'!$C$35:$L$35,'Costo Directo Proyectos'!$AD151)*$AG151,0)+IF('Gantt Proyectos'!AI219=2,$T151,0)/$W151,0)*$L151</f>
        <v>0</v>
      </c>
      <c r="AL151" s="169">
        <f>IFERROR(IF('Gantt Proyectos'!AJ219&gt;0,SUMIFS('Listas y Parametros'!$C$45:$L$45,'Listas y Parametros'!$C$35:$L$35,'Costo Directo Proyectos'!$AD151)*$AG151,0)+IF('Gantt Proyectos'!AJ219=2,$T151,0)/$W151,0)*$L151</f>
        <v>0</v>
      </c>
      <c r="AM151" s="169">
        <f>IFERROR(IF('Gantt Proyectos'!AK219&gt;0,SUMIFS('Listas y Parametros'!$C$45:$L$45,'Listas y Parametros'!$C$35:$L$35,'Costo Directo Proyectos'!$AD151)*$AG151,0)+IF('Gantt Proyectos'!AK219=2,$T151,0)/$W151,0)*$L151</f>
        <v>0</v>
      </c>
      <c r="AN151" s="169">
        <f>IFERROR(IF('Gantt Proyectos'!AL219&gt;0,SUMIFS('Listas y Parametros'!$C$45:$L$45,'Listas y Parametros'!$C$35:$L$35,'Costo Directo Proyectos'!$AD151)*$AG151,0)+IF('Gantt Proyectos'!AL219=2,$T151,0)/$W151,0)*$L151</f>
        <v>0</v>
      </c>
      <c r="AO151" s="169">
        <f>IFERROR(IF('Gantt Proyectos'!AM219&gt;0,SUMIFS('Listas y Parametros'!$C$45:$L$45,'Listas y Parametros'!$C$35:$L$35,'Costo Directo Proyectos'!$AD151)*$AG151,0)+IF('Gantt Proyectos'!AM219=2,$T151,0)/$W151,0)*$L151</f>
        <v>0</v>
      </c>
      <c r="AP151" s="170">
        <f>IFERROR(IF('Gantt Proyectos'!AN219&gt;0,SUMIFS('Listas y Parametros'!$C$45:$L$45,'Listas y Parametros'!$C$35:$L$35,'Costo Directo Proyectos'!$AD151)*$AG151,0)+IF('Gantt Proyectos'!AN219=2,$T151,0)/$W151,0)*$L151</f>
        <v>0</v>
      </c>
    </row>
    <row r="152" spans="3:42" ht="15" x14ac:dyDescent="0.2">
      <c r="C152" s="110">
        <f>+'Gantt Proyectos'!C220</f>
        <v>0</v>
      </c>
      <c r="D152" s="110">
        <f>+'Gantt Proyectos'!D220</f>
        <v>0</v>
      </c>
      <c r="E152" s="110">
        <f>+'Gantt Proyectos'!E220</f>
        <v>0</v>
      </c>
      <c r="F152" s="148">
        <f>+'Gantt Proyectos'!F220</f>
        <v>0</v>
      </c>
      <c r="G152" s="110">
        <f>+'Gantt Proyectos'!G220</f>
        <v>0</v>
      </c>
      <c r="H152" s="110">
        <f>+'Gantt Proyectos'!H220</f>
        <v>0</v>
      </c>
      <c r="I152" s="189">
        <v>1</v>
      </c>
      <c r="J152" s="189">
        <f t="shared" si="14"/>
        <v>0</v>
      </c>
      <c r="K152" s="110">
        <f>+'Gantt Proyectos'!I220</f>
        <v>0</v>
      </c>
      <c r="L152" s="110">
        <f>+'Gantt Proyectos'!J220</f>
        <v>0</v>
      </c>
      <c r="M152" s="110">
        <f>+'Gantt Proyectos'!K220</f>
        <v>0</v>
      </c>
      <c r="N152" s="110">
        <f>+'Gantt Proyectos'!L220</f>
        <v>0</v>
      </c>
      <c r="O152" s="110">
        <f>+'Gantt Proyectos'!M220</f>
        <v>0</v>
      </c>
      <c r="P152" s="110">
        <f>+'Gantt Proyectos'!N220</f>
        <v>0</v>
      </c>
      <c r="Q152" s="110">
        <f>+'Gantt Proyectos'!O220</f>
        <v>0</v>
      </c>
      <c r="R152" s="110">
        <f>+'Gantt Proyectos'!P220</f>
        <v>0</v>
      </c>
      <c r="S152" s="110">
        <f>+'Gantt Proyectos'!R220</f>
        <v>0</v>
      </c>
      <c r="T152" s="118">
        <f>+'Gantt Proyectos'!S220</f>
        <v>0</v>
      </c>
      <c r="U152" s="157">
        <f>+'Gantt Proyectos'!T220</f>
        <v>0</v>
      </c>
      <c r="V152" s="157">
        <f>+'Gantt Proyectos'!U220</f>
        <v>0</v>
      </c>
      <c r="W152" s="201">
        <f t="shared" si="15"/>
        <v>0</v>
      </c>
      <c r="X152" s="110">
        <f>+'Gantt Proyectos'!W220</f>
        <v>0</v>
      </c>
      <c r="Y152" s="110">
        <f>+'Gantt Proyectos'!X220</f>
        <v>0</v>
      </c>
      <c r="Z152" s="110">
        <f>+'Gantt Proyectos'!Y220</f>
        <v>0</v>
      </c>
      <c r="AA152" s="110">
        <f>+'Gantt Proyectos'!Z220</f>
        <v>0</v>
      </c>
      <c r="AB152" s="110">
        <f>+'Gantt Proyectos'!AA220</f>
        <v>0</v>
      </c>
      <c r="AC152" s="110">
        <f>+'Gantt Proyectos'!AB220</f>
        <v>0</v>
      </c>
      <c r="AD152" s="110">
        <f>+'Gantt Proyectos'!AC220</f>
        <v>0</v>
      </c>
      <c r="AE152" s="110">
        <f>+'Gantt Proyectos'!AD220</f>
        <v>0</v>
      </c>
      <c r="AF152" s="110">
        <f>+'Gantt Proyectos'!AE220</f>
        <v>0</v>
      </c>
      <c r="AG152" s="172">
        <v>1</v>
      </c>
      <c r="AH152" s="168">
        <f>IFERROR(IF('Gantt Proyectos'!AF220&gt;0,SUMIFS('Listas y Parametros'!$C$45:$L$45,'Listas y Parametros'!$C$35:$L$35,'Costo Directo Proyectos'!$AD152)*$AG152,0)+IF('Gantt Proyectos'!AF220=2,$T152,0)/$W152,0)*$L152</f>
        <v>0</v>
      </c>
      <c r="AI152" s="169">
        <f>IFERROR(IF('Gantt Proyectos'!AG220&gt;0,SUMIFS('Listas y Parametros'!$C$45:$L$45,'Listas y Parametros'!$C$35:$L$35,'Costo Directo Proyectos'!$AD152)*$AG152,0)+IF('Gantt Proyectos'!AG220=2,$T152,0)/$W152,0)*$L152</f>
        <v>0</v>
      </c>
      <c r="AJ152" s="169">
        <f>IFERROR(IF('Gantt Proyectos'!AH220&gt;0,SUMIFS('Listas y Parametros'!$C$45:$L$45,'Listas y Parametros'!$C$35:$L$35,'Costo Directo Proyectos'!$AD152)*$AG152,0)+IF('Gantt Proyectos'!AH220=2,$T152,0)/$W152,0)*$L152</f>
        <v>0</v>
      </c>
      <c r="AK152" s="169">
        <f>IFERROR(IF('Gantt Proyectos'!AI220&gt;0,SUMIFS('Listas y Parametros'!$C$45:$L$45,'Listas y Parametros'!$C$35:$L$35,'Costo Directo Proyectos'!$AD152)*$AG152,0)+IF('Gantt Proyectos'!AI220=2,$T152,0)/$W152,0)*$L152</f>
        <v>0</v>
      </c>
      <c r="AL152" s="169">
        <f>IFERROR(IF('Gantt Proyectos'!AJ220&gt;0,SUMIFS('Listas y Parametros'!$C$45:$L$45,'Listas y Parametros'!$C$35:$L$35,'Costo Directo Proyectos'!$AD152)*$AG152,0)+IF('Gantt Proyectos'!AJ220=2,$T152,0)/$W152,0)*$L152</f>
        <v>0</v>
      </c>
      <c r="AM152" s="169">
        <f>IFERROR(IF('Gantt Proyectos'!AK220&gt;0,SUMIFS('Listas y Parametros'!$C$45:$L$45,'Listas y Parametros'!$C$35:$L$35,'Costo Directo Proyectos'!$AD152)*$AG152,0)+IF('Gantt Proyectos'!AK220=2,$T152,0)/$W152,0)*$L152</f>
        <v>0</v>
      </c>
      <c r="AN152" s="169">
        <f>IFERROR(IF('Gantt Proyectos'!AL220&gt;0,SUMIFS('Listas y Parametros'!$C$45:$L$45,'Listas y Parametros'!$C$35:$L$35,'Costo Directo Proyectos'!$AD152)*$AG152,0)+IF('Gantt Proyectos'!AL220=2,$T152,0)/$W152,0)*$L152</f>
        <v>0</v>
      </c>
      <c r="AO152" s="169">
        <f>IFERROR(IF('Gantt Proyectos'!AM220&gt;0,SUMIFS('Listas y Parametros'!$C$45:$L$45,'Listas y Parametros'!$C$35:$L$35,'Costo Directo Proyectos'!$AD152)*$AG152,0)+IF('Gantt Proyectos'!AM220=2,$T152,0)/$W152,0)*$L152</f>
        <v>0</v>
      </c>
      <c r="AP152" s="170">
        <f>IFERROR(IF('Gantt Proyectos'!AN220&gt;0,SUMIFS('Listas y Parametros'!$C$45:$L$45,'Listas y Parametros'!$C$35:$L$35,'Costo Directo Proyectos'!$AD152)*$AG152,0)+IF('Gantt Proyectos'!AN220=2,$T152,0)/$W152,0)*$L152</f>
        <v>0</v>
      </c>
    </row>
    <row r="153" spans="3:42" ht="15" x14ac:dyDescent="0.2">
      <c r="C153" s="110">
        <f>+'Gantt Proyectos'!C221</f>
        <v>0</v>
      </c>
      <c r="D153" s="110">
        <f>+'Gantt Proyectos'!D221</f>
        <v>0</v>
      </c>
      <c r="E153" s="110">
        <f>+'Gantt Proyectos'!E221</f>
        <v>0</v>
      </c>
      <c r="F153" s="148">
        <f>+'Gantt Proyectos'!F221</f>
        <v>0</v>
      </c>
      <c r="G153" s="110">
        <f>+'Gantt Proyectos'!G221</f>
        <v>0</v>
      </c>
      <c r="H153" s="110">
        <f>+'Gantt Proyectos'!H221</f>
        <v>0</v>
      </c>
      <c r="I153" s="189">
        <v>1</v>
      </c>
      <c r="J153" s="189">
        <f t="shared" si="14"/>
        <v>0</v>
      </c>
      <c r="K153" s="110">
        <f>+'Gantt Proyectos'!I221</f>
        <v>0</v>
      </c>
      <c r="L153" s="110">
        <f>+'Gantt Proyectos'!J221</f>
        <v>0</v>
      </c>
      <c r="M153" s="110">
        <f>+'Gantt Proyectos'!K221</f>
        <v>0</v>
      </c>
      <c r="N153" s="110">
        <f>+'Gantt Proyectos'!L221</f>
        <v>0</v>
      </c>
      <c r="O153" s="110">
        <f>+'Gantt Proyectos'!M221</f>
        <v>0</v>
      </c>
      <c r="P153" s="110">
        <f>+'Gantt Proyectos'!N221</f>
        <v>0</v>
      </c>
      <c r="Q153" s="110">
        <f>+'Gantt Proyectos'!O221</f>
        <v>0</v>
      </c>
      <c r="R153" s="110">
        <f>+'Gantt Proyectos'!P221</f>
        <v>0</v>
      </c>
      <c r="S153" s="110">
        <f>+'Gantt Proyectos'!R221</f>
        <v>0</v>
      </c>
      <c r="T153" s="118">
        <f>+'Gantt Proyectos'!S221</f>
        <v>0</v>
      </c>
      <c r="U153" s="157">
        <f>+'Gantt Proyectos'!T221</f>
        <v>0</v>
      </c>
      <c r="V153" s="157">
        <f>+'Gantt Proyectos'!U221</f>
        <v>0</v>
      </c>
      <c r="W153" s="201">
        <f t="shared" si="15"/>
        <v>0</v>
      </c>
      <c r="X153" s="110">
        <f>+'Gantt Proyectos'!W221</f>
        <v>0</v>
      </c>
      <c r="Y153" s="110">
        <f>+'Gantt Proyectos'!X221</f>
        <v>0</v>
      </c>
      <c r="Z153" s="110">
        <f>+'Gantt Proyectos'!Y221</f>
        <v>0</v>
      </c>
      <c r="AA153" s="110">
        <f>+'Gantt Proyectos'!Z221</f>
        <v>0</v>
      </c>
      <c r="AB153" s="110">
        <f>+'Gantt Proyectos'!AA221</f>
        <v>0</v>
      </c>
      <c r="AC153" s="110">
        <f>+'Gantt Proyectos'!AB221</f>
        <v>0</v>
      </c>
      <c r="AD153" s="110">
        <f>+'Gantt Proyectos'!AC221</f>
        <v>0</v>
      </c>
      <c r="AE153" s="110">
        <f>+'Gantt Proyectos'!AD221</f>
        <v>0</v>
      </c>
      <c r="AF153" s="110">
        <f>+'Gantt Proyectos'!AE221</f>
        <v>0</v>
      </c>
      <c r="AG153" s="172">
        <v>1</v>
      </c>
      <c r="AH153" s="168">
        <f>IFERROR(IF('Gantt Proyectos'!AF221&gt;0,SUMIFS('Listas y Parametros'!$C$45:$L$45,'Listas y Parametros'!$C$35:$L$35,'Costo Directo Proyectos'!$AD153)*$AG153,0)+IF('Gantt Proyectos'!AF221=2,$T153,0)/$W153,0)*$L153</f>
        <v>0</v>
      </c>
      <c r="AI153" s="169">
        <f>IFERROR(IF('Gantt Proyectos'!AG221&gt;0,SUMIFS('Listas y Parametros'!$C$45:$L$45,'Listas y Parametros'!$C$35:$L$35,'Costo Directo Proyectos'!$AD153)*$AG153,0)+IF('Gantt Proyectos'!AG221=2,$T153,0)/$W153,0)*$L153</f>
        <v>0</v>
      </c>
      <c r="AJ153" s="169">
        <f>IFERROR(IF('Gantt Proyectos'!AH221&gt;0,SUMIFS('Listas y Parametros'!$C$45:$L$45,'Listas y Parametros'!$C$35:$L$35,'Costo Directo Proyectos'!$AD153)*$AG153,0)+IF('Gantt Proyectos'!AH221=2,$T153,0)/$W153,0)*$L153</f>
        <v>0</v>
      </c>
      <c r="AK153" s="169">
        <f>IFERROR(IF('Gantt Proyectos'!AI221&gt;0,SUMIFS('Listas y Parametros'!$C$45:$L$45,'Listas y Parametros'!$C$35:$L$35,'Costo Directo Proyectos'!$AD153)*$AG153,0)+IF('Gantt Proyectos'!AI221=2,$T153,0)/$W153,0)*$L153</f>
        <v>0</v>
      </c>
      <c r="AL153" s="169">
        <f>IFERROR(IF('Gantt Proyectos'!AJ221&gt;0,SUMIFS('Listas y Parametros'!$C$45:$L$45,'Listas y Parametros'!$C$35:$L$35,'Costo Directo Proyectos'!$AD153)*$AG153,0)+IF('Gantt Proyectos'!AJ221=2,$T153,0)/$W153,0)*$L153</f>
        <v>0</v>
      </c>
      <c r="AM153" s="169">
        <f>IFERROR(IF('Gantt Proyectos'!AK221&gt;0,SUMIFS('Listas y Parametros'!$C$45:$L$45,'Listas y Parametros'!$C$35:$L$35,'Costo Directo Proyectos'!$AD153)*$AG153,0)+IF('Gantt Proyectos'!AK221=2,$T153,0)/$W153,0)*$L153</f>
        <v>0</v>
      </c>
      <c r="AN153" s="169">
        <f>IFERROR(IF('Gantt Proyectos'!AL221&gt;0,SUMIFS('Listas y Parametros'!$C$45:$L$45,'Listas y Parametros'!$C$35:$L$35,'Costo Directo Proyectos'!$AD153)*$AG153,0)+IF('Gantt Proyectos'!AL221=2,$T153,0)/$W153,0)*$L153</f>
        <v>0</v>
      </c>
      <c r="AO153" s="169">
        <f>IFERROR(IF('Gantt Proyectos'!AM221&gt;0,SUMIFS('Listas y Parametros'!$C$45:$L$45,'Listas y Parametros'!$C$35:$L$35,'Costo Directo Proyectos'!$AD153)*$AG153,0)+IF('Gantt Proyectos'!AM221=2,$T153,0)/$W153,0)*$L153</f>
        <v>0</v>
      </c>
      <c r="AP153" s="170">
        <f>IFERROR(IF('Gantt Proyectos'!AN221&gt;0,SUMIFS('Listas y Parametros'!$C$45:$L$45,'Listas y Parametros'!$C$35:$L$35,'Costo Directo Proyectos'!$AD153)*$AG153,0)+IF('Gantt Proyectos'!AN221=2,$T153,0)/$W153,0)*$L153</f>
        <v>0</v>
      </c>
    </row>
    <row r="154" spans="3:42" ht="15" x14ac:dyDescent="0.2">
      <c r="C154" s="110">
        <f>+'Gantt Proyectos'!C222</f>
        <v>0</v>
      </c>
      <c r="D154" s="110">
        <f>+'Gantt Proyectos'!D222</f>
        <v>0</v>
      </c>
      <c r="E154" s="110">
        <f>+'Gantt Proyectos'!E222</f>
        <v>0</v>
      </c>
      <c r="F154" s="148">
        <f>+'Gantt Proyectos'!F222</f>
        <v>0</v>
      </c>
      <c r="G154" s="110">
        <f>+'Gantt Proyectos'!G222</f>
        <v>0</v>
      </c>
      <c r="H154" s="110">
        <f>+'Gantt Proyectos'!H222</f>
        <v>0</v>
      </c>
      <c r="I154" s="189">
        <v>1</v>
      </c>
      <c r="J154" s="189">
        <f t="shared" si="14"/>
        <v>0</v>
      </c>
      <c r="K154" s="110">
        <f>+'Gantt Proyectos'!I222</f>
        <v>0</v>
      </c>
      <c r="L154" s="110">
        <f>+'Gantt Proyectos'!J222</f>
        <v>0</v>
      </c>
      <c r="M154" s="110">
        <f>+'Gantt Proyectos'!K222</f>
        <v>0</v>
      </c>
      <c r="N154" s="110">
        <f>+'Gantt Proyectos'!L222</f>
        <v>0</v>
      </c>
      <c r="O154" s="110">
        <f>+'Gantt Proyectos'!M222</f>
        <v>0</v>
      </c>
      <c r="P154" s="110">
        <f>+'Gantt Proyectos'!N222</f>
        <v>0</v>
      </c>
      <c r="Q154" s="110">
        <f>+'Gantt Proyectos'!O222</f>
        <v>0</v>
      </c>
      <c r="R154" s="110">
        <f>+'Gantt Proyectos'!P222</f>
        <v>0</v>
      </c>
      <c r="S154" s="110">
        <f>+'Gantt Proyectos'!R222</f>
        <v>0</v>
      </c>
      <c r="T154" s="118">
        <f>+'Gantt Proyectos'!S222</f>
        <v>0</v>
      </c>
      <c r="U154" s="157">
        <f>+'Gantt Proyectos'!T222</f>
        <v>0</v>
      </c>
      <c r="V154" s="157">
        <f>+'Gantt Proyectos'!U222</f>
        <v>0</v>
      </c>
      <c r="W154" s="201">
        <f t="shared" si="15"/>
        <v>0</v>
      </c>
      <c r="X154" s="110">
        <f>+'Gantt Proyectos'!W222</f>
        <v>0</v>
      </c>
      <c r="Y154" s="110">
        <f>+'Gantt Proyectos'!X222</f>
        <v>0</v>
      </c>
      <c r="Z154" s="110">
        <f>+'Gantt Proyectos'!Y222</f>
        <v>0</v>
      </c>
      <c r="AA154" s="110">
        <f>+'Gantt Proyectos'!Z222</f>
        <v>0</v>
      </c>
      <c r="AB154" s="110">
        <f>+'Gantt Proyectos'!AA222</f>
        <v>0</v>
      </c>
      <c r="AC154" s="110">
        <f>+'Gantt Proyectos'!AB222</f>
        <v>0</v>
      </c>
      <c r="AD154" s="110">
        <f>+'Gantt Proyectos'!AC222</f>
        <v>0</v>
      </c>
      <c r="AE154" s="110">
        <f>+'Gantt Proyectos'!AD222</f>
        <v>0</v>
      </c>
      <c r="AF154" s="110">
        <f>+'Gantt Proyectos'!AE222</f>
        <v>0</v>
      </c>
      <c r="AG154" s="172">
        <v>1</v>
      </c>
      <c r="AH154" s="168">
        <f>IFERROR(IF('Gantt Proyectos'!AF222&gt;0,SUMIFS('Listas y Parametros'!$C$45:$L$45,'Listas y Parametros'!$C$35:$L$35,'Costo Directo Proyectos'!$AD154)*$AG154,0)+IF('Gantt Proyectos'!AF222=2,$T154,0)/$W154,0)*$L154</f>
        <v>0</v>
      </c>
      <c r="AI154" s="169">
        <f>IFERROR(IF('Gantt Proyectos'!AG222&gt;0,SUMIFS('Listas y Parametros'!$C$45:$L$45,'Listas y Parametros'!$C$35:$L$35,'Costo Directo Proyectos'!$AD154)*$AG154,0)+IF('Gantt Proyectos'!AG222=2,$T154,0)/$W154,0)*$L154</f>
        <v>0</v>
      </c>
      <c r="AJ154" s="169">
        <f>IFERROR(IF('Gantt Proyectos'!AH222&gt;0,SUMIFS('Listas y Parametros'!$C$45:$L$45,'Listas y Parametros'!$C$35:$L$35,'Costo Directo Proyectos'!$AD154)*$AG154,0)+IF('Gantt Proyectos'!AH222=2,$T154,0)/$W154,0)*$L154</f>
        <v>0</v>
      </c>
      <c r="AK154" s="169">
        <f>IFERROR(IF('Gantt Proyectos'!AI222&gt;0,SUMIFS('Listas y Parametros'!$C$45:$L$45,'Listas y Parametros'!$C$35:$L$35,'Costo Directo Proyectos'!$AD154)*$AG154,0)+IF('Gantt Proyectos'!AI222=2,$T154,0)/$W154,0)*$L154</f>
        <v>0</v>
      </c>
      <c r="AL154" s="169">
        <f>IFERROR(IF('Gantt Proyectos'!AJ222&gt;0,SUMIFS('Listas y Parametros'!$C$45:$L$45,'Listas y Parametros'!$C$35:$L$35,'Costo Directo Proyectos'!$AD154)*$AG154,0)+IF('Gantt Proyectos'!AJ222=2,$T154,0)/$W154,0)*$L154</f>
        <v>0</v>
      </c>
      <c r="AM154" s="169">
        <f>IFERROR(IF('Gantt Proyectos'!AK222&gt;0,SUMIFS('Listas y Parametros'!$C$45:$L$45,'Listas y Parametros'!$C$35:$L$35,'Costo Directo Proyectos'!$AD154)*$AG154,0)+IF('Gantt Proyectos'!AK222=2,$T154,0)/$W154,0)*$L154</f>
        <v>0</v>
      </c>
      <c r="AN154" s="169">
        <f>IFERROR(IF('Gantt Proyectos'!AL222&gt;0,SUMIFS('Listas y Parametros'!$C$45:$L$45,'Listas y Parametros'!$C$35:$L$35,'Costo Directo Proyectos'!$AD154)*$AG154,0)+IF('Gantt Proyectos'!AL222=2,$T154,0)/$W154,0)*$L154</f>
        <v>0</v>
      </c>
      <c r="AO154" s="169">
        <f>IFERROR(IF('Gantt Proyectos'!AM222&gt;0,SUMIFS('Listas y Parametros'!$C$45:$L$45,'Listas y Parametros'!$C$35:$L$35,'Costo Directo Proyectos'!$AD154)*$AG154,0)+IF('Gantt Proyectos'!AM222=2,$T154,0)/$W154,0)*$L154</f>
        <v>0</v>
      </c>
      <c r="AP154" s="170">
        <f>IFERROR(IF('Gantt Proyectos'!AN222&gt;0,SUMIFS('Listas y Parametros'!$C$45:$L$45,'Listas y Parametros'!$C$35:$L$35,'Costo Directo Proyectos'!$AD154)*$AG154,0)+IF('Gantt Proyectos'!AN222=2,$T154,0)/$W154,0)*$L154</f>
        <v>0</v>
      </c>
    </row>
    <row r="155" spans="3:42" ht="15" x14ac:dyDescent="0.2">
      <c r="C155" s="110">
        <f>+'Gantt Proyectos'!C223</f>
        <v>0</v>
      </c>
      <c r="D155" s="110">
        <f>+'Gantt Proyectos'!D223</f>
        <v>0</v>
      </c>
      <c r="E155" s="110">
        <f>+'Gantt Proyectos'!E223</f>
        <v>0</v>
      </c>
      <c r="F155" s="148">
        <f>+'Gantt Proyectos'!F223</f>
        <v>0</v>
      </c>
      <c r="G155" s="110">
        <f>+'Gantt Proyectos'!G223</f>
        <v>0</v>
      </c>
      <c r="H155" s="110">
        <f>+'Gantt Proyectos'!H223</f>
        <v>0</v>
      </c>
      <c r="I155" s="189">
        <v>1</v>
      </c>
      <c r="J155" s="189">
        <f t="shared" si="14"/>
        <v>0</v>
      </c>
      <c r="K155" s="110">
        <f>+'Gantt Proyectos'!I223</f>
        <v>0</v>
      </c>
      <c r="L155" s="110">
        <f>+'Gantt Proyectos'!J223</f>
        <v>0</v>
      </c>
      <c r="M155" s="110">
        <f>+'Gantt Proyectos'!K223</f>
        <v>0</v>
      </c>
      <c r="N155" s="110">
        <f>+'Gantt Proyectos'!L223</f>
        <v>0</v>
      </c>
      <c r="O155" s="110">
        <f>+'Gantt Proyectos'!M223</f>
        <v>0</v>
      </c>
      <c r="P155" s="110">
        <f>+'Gantt Proyectos'!N223</f>
        <v>0</v>
      </c>
      <c r="Q155" s="110">
        <f>+'Gantt Proyectos'!O223</f>
        <v>0</v>
      </c>
      <c r="R155" s="110">
        <f>+'Gantt Proyectos'!P223</f>
        <v>0</v>
      </c>
      <c r="S155" s="110">
        <f>+'Gantt Proyectos'!R223</f>
        <v>0</v>
      </c>
      <c r="T155" s="118">
        <f>+'Gantt Proyectos'!S223</f>
        <v>0</v>
      </c>
      <c r="U155" s="157">
        <f>+'Gantt Proyectos'!T223</f>
        <v>0</v>
      </c>
      <c r="V155" s="157">
        <f>+'Gantt Proyectos'!U223</f>
        <v>0</v>
      </c>
      <c r="W155" s="201">
        <f t="shared" si="15"/>
        <v>0</v>
      </c>
      <c r="X155" s="110">
        <f>+'Gantt Proyectos'!W223</f>
        <v>0</v>
      </c>
      <c r="Y155" s="110">
        <f>+'Gantt Proyectos'!X223</f>
        <v>0</v>
      </c>
      <c r="Z155" s="110">
        <f>+'Gantt Proyectos'!Y223</f>
        <v>0</v>
      </c>
      <c r="AA155" s="110">
        <f>+'Gantt Proyectos'!Z223</f>
        <v>0</v>
      </c>
      <c r="AB155" s="110">
        <f>+'Gantt Proyectos'!AA223</f>
        <v>0</v>
      </c>
      <c r="AC155" s="110">
        <f>+'Gantt Proyectos'!AB223</f>
        <v>0</v>
      </c>
      <c r="AD155" s="110">
        <f>+'Gantt Proyectos'!AC223</f>
        <v>0</v>
      </c>
      <c r="AE155" s="110">
        <f>+'Gantt Proyectos'!AD223</f>
        <v>0</v>
      </c>
      <c r="AF155" s="110">
        <f>+'Gantt Proyectos'!AE223</f>
        <v>0</v>
      </c>
      <c r="AG155" s="172">
        <v>1</v>
      </c>
      <c r="AH155" s="168">
        <f>IFERROR(IF('Gantt Proyectos'!AF223&gt;0,SUMIFS('Listas y Parametros'!$C$45:$L$45,'Listas y Parametros'!$C$35:$L$35,'Costo Directo Proyectos'!$AD155)*$AG155,0)+IF('Gantt Proyectos'!AF223=2,$T155,0)/$W155,0)*$L155</f>
        <v>0</v>
      </c>
      <c r="AI155" s="169">
        <f>IFERROR(IF('Gantt Proyectos'!AG223&gt;0,SUMIFS('Listas y Parametros'!$C$45:$L$45,'Listas y Parametros'!$C$35:$L$35,'Costo Directo Proyectos'!$AD155)*$AG155,0)+IF('Gantt Proyectos'!AG223=2,$T155,0)/$W155,0)*$L155</f>
        <v>0</v>
      </c>
      <c r="AJ155" s="169">
        <f>IFERROR(IF('Gantt Proyectos'!AH223&gt;0,SUMIFS('Listas y Parametros'!$C$45:$L$45,'Listas y Parametros'!$C$35:$L$35,'Costo Directo Proyectos'!$AD155)*$AG155,0)+IF('Gantt Proyectos'!AH223=2,$T155,0)/$W155,0)*$L155</f>
        <v>0</v>
      </c>
      <c r="AK155" s="169">
        <f>IFERROR(IF('Gantt Proyectos'!AI223&gt;0,SUMIFS('Listas y Parametros'!$C$45:$L$45,'Listas y Parametros'!$C$35:$L$35,'Costo Directo Proyectos'!$AD155)*$AG155,0)+IF('Gantt Proyectos'!AI223=2,$T155,0)/$W155,0)*$L155</f>
        <v>0</v>
      </c>
      <c r="AL155" s="169">
        <f>IFERROR(IF('Gantt Proyectos'!AJ223&gt;0,SUMIFS('Listas y Parametros'!$C$45:$L$45,'Listas y Parametros'!$C$35:$L$35,'Costo Directo Proyectos'!$AD155)*$AG155,0)+IF('Gantt Proyectos'!AJ223=2,$T155,0)/$W155,0)*$L155</f>
        <v>0</v>
      </c>
      <c r="AM155" s="169">
        <f>IFERROR(IF('Gantt Proyectos'!AK223&gt;0,SUMIFS('Listas y Parametros'!$C$45:$L$45,'Listas y Parametros'!$C$35:$L$35,'Costo Directo Proyectos'!$AD155)*$AG155,0)+IF('Gantt Proyectos'!AK223=2,$T155,0)/$W155,0)*$L155</f>
        <v>0</v>
      </c>
      <c r="AN155" s="169">
        <f>IFERROR(IF('Gantt Proyectos'!AL223&gt;0,SUMIFS('Listas y Parametros'!$C$45:$L$45,'Listas y Parametros'!$C$35:$L$35,'Costo Directo Proyectos'!$AD155)*$AG155,0)+IF('Gantt Proyectos'!AL223=2,$T155,0)/$W155,0)*$L155</f>
        <v>0</v>
      </c>
      <c r="AO155" s="169">
        <f>IFERROR(IF('Gantt Proyectos'!AM223&gt;0,SUMIFS('Listas y Parametros'!$C$45:$L$45,'Listas y Parametros'!$C$35:$L$35,'Costo Directo Proyectos'!$AD155)*$AG155,0)+IF('Gantt Proyectos'!AM223=2,$T155,0)/$W155,0)*$L155</f>
        <v>0</v>
      </c>
      <c r="AP155" s="170">
        <f>IFERROR(IF('Gantt Proyectos'!AN223&gt;0,SUMIFS('Listas y Parametros'!$C$45:$L$45,'Listas y Parametros'!$C$35:$L$35,'Costo Directo Proyectos'!$AD155)*$AG155,0)+IF('Gantt Proyectos'!AN223=2,$T155,0)/$W155,0)*$L155</f>
        <v>0</v>
      </c>
    </row>
    <row r="156" spans="3:42" ht="15" x14ac:dyDescent="0.2">
      <c r="C156" s="110">
        <f>+'Gantt Proyectos'!C224</f>
        <v>0</v>
      </c>
      <c r="D156" s="110">
        <f>+'Gantt Proyectos'!D224</f>
        <v>0</v>
      </c>
      <c r="E156" s="110">
        <f>+'Gantt Proyectos'!E224</f>
        <v>0</v>
      </c>
      <c r="F156" s="148">
        <f>+'Gantt Proyectos'!F224</f>
        <v>0</v>
      </c>
      <c r="G156" s="110">
        <f>+'Gantt Proyectos'!G224</f>
        <v>0</v>
      </c>
      <c r="H156" s="110">
        <f>+'Gantt Proyectos'!H224</f>
        <v>0</v>
      </c>
      <c r="I156" s="189">
        <v>1</v>
      </c>
      <c r="J156" s="189">
        <f t="shared" si="14"/>
        <v>0</v>
      </c>
      <c r="K156" s="110">
        <f>+'Gantt Proyectos'!I224</f>
        <v>0</v>
      </c>
      <c r="L156" s="110">
        <f>+'Gantt Proyectos'!J224</f>
        <v>0</v>
      </c>
      <c r="M156" s="110">
        <f>+'Gantt Proyectos'!K224</f>
        <v>0</v>
      </c>
      <c r="N156" s="110">
        <f>+'Gantt Proyectos'!L224</f>
        <v>0</v>
      </c>
      <c r="O156" s="110">
        <f>+'Gantt Proyectos'!M224</f>
        <v>0</v>
      </c>
      <c r="P156" s="110">
        <f>+'Gantt Proyectos'!N224</f>
        <v>0</v>
      </c>
      <c r="Q156" s="110">
        <f>+'Gantt Proyectos'!O224</f>
        <v>0</v>
      </c>
      <c r="R156" s="110">
        <f>+'Gantt Proyectos'!P224</f>
        <v>0</v>
      </c>
      <c r="S156" s="110">
        <f>+'Gantt Proyectos'!R224</f>
        <v>0</v>
      </c>
      <c r="T156" s="118">
        <f>+'Gantt Proyectos'!S224</f>
        <v>0</v>
      </c>
      <c r="U156" s="157">
        <f>+'Gantt Proyectos'!T224</f>
        <v>0</v>
      </c>
      <c r="V156" s="157">
        <f>+'Gantt Proyectos'!U224</f>
        <v>0</v>
      </c>
      <c r="W156" s="201">
        <f t="shared" si="15"/>
        <v>0</v>
      </c>
      <c r="X156" s="110">
        <f>+'Gantt Proyectos'!W224</f>
        <v>0</v>
      </c>
      <c r="Y156" s="110">
        <f>+'Gantt Proyectos'!X224</f>
        <v>0</v>
      </c>
      <c r="Z156" s="110">
        <f>+'Gantt Proyectos'!Y224</f>
        <v>0</v>
      </c>
      <c r="AA156" s="110">
        <f>+'Gantt Proyectos'!Z224</f>
        <v>0</v>
      </c>
      <c r="AB156" s="110">
        <f>+'Gantt Proyectos'!AA224</f>
        <v>0</v>
      </c>
      <c r="AC156" s="110">
        <f>+'Gantt Proyectos'!AB224</f>
        <v>0</v>
      </c>
      <c r="AD156" s="110">
        <f>+'Gantt Proyectos'!AC224</f>
        <v>0</v>
      </c>
      <c r="AE156" s="110">
        <f>+'Gantt Proyectos'!AD224</f>
        <v>0</v>
      </c>
      <c r="AF156" s="110">
        <f>+'Gantt Proyectos'!AE224</f>
        <v>0</v>
      </c>
      <c r="AG156" s="172">
        <v>1</v>
      </c>
      <c r="AH156" s="168">
        <f>IFERROR(IF('Gantt Proyectos'!AF224&gt;0,SUMIFS('Listas y Parametros'!$C$45:$L$45,'Listas y Parametros'!$C$35:$L$35,'Costo Directo Proyectos'!$AD156)*$AG156,0)+IF('Gantt Proyectos'!AF224=2,$T156,0)/$W156,0)*$L156</f>
        <v>0</v>
      </c>
      <c r="AI156" s="169">
        <f>IFERROR(IF('Gantt Proyectos'!AG224&gt;0,SUMIFS('Listas y Parametros'!$C$45:$L$45,'Listas y Parametros'!$C$35:$L$35,'Costo Directo Proyectos'!$AD156)*$AG156,0)+IF('Gantt Proyectos'!AG224=2,$T156,0)/$W156,0)*$L156</f>
        <v>0</v>
      </c>
      <c r="AJ156" s="169">
        <f>IFERROR(IF('Gantt Proyectos'!AH224&gt;0,SUMIFS('Listas y Parametros'!$C$45:$L$45,'Listas y Parametros'!$C$35:$L$35,'Costo Directo Proyectos'!$AD156)*$AG156,0)+IF('Gantt Proyectos'!AH224=2,$T156,0)/$W156,0)*$L156</f>
        <v>0</v>
      </c>
      <c r="AK156" s="169">
        <f>IFERROR(IF('Gantt Proyectos'!AI224&gt;0,SUMIFS('Listas y Parametros'!$C$45:$L$45,'Listas y Parametros'!$C$35:$L$35,'Costo Directo Proyectos'!$AD156)*$AG156,0)+IF('Gantt Proyectos'!AI224=2,$T156,0)/$W156,0)*$L156</f>
        <v>0</v>
      </c>
      <c r="AL156" s="169">
        <f>IFERROR(IF('Gantt Proyectos'!AJ224&gt;0,SUMIFS('Listas y Parametros'!$C$45:$L$45,'Listas y Parametros'!$C$35:$L$35,'Costo Directo Proyectos'!$AD156)*$AG156,0)+IF('Gantt Proyectos'!AJ224=2,$T156,0)/$W156,0)*$L156</f>
        <v>0</v>
      </c>
      <c r="AM156" s="169">
        <f>IFERROR(IF('Gantt Proyectos'!AK224&gt;0,SUMIFS('Listas y Parametros'!$C$45:$L$45,'Listas y Parametros'!$C$35:$L$35,'Costo Directo Proyectos'!$AD156)*$AG156,0)+IF('Gantt Proyectos'!AK224=2,$T156,0)/$W156,0)*$L156</f>
        <v>0</v>
      </c>
      <c r="AN156" s="169">
        <f>IFERROR(IF('Gantt Proyectos'!AL224&gt;0,SUMIFS('Listas y Parametros'!$C$45:$L$45,'Listas y Parametros'!$C$35:$L$35,'Costo Directo Proyectos'!$AD156)*$AG156,0)+IF('Gantt Proyectos'!AL224=2,$T156,0)/$W156,0)*$L156</f>
        <v>0</v>
      </c>
      <c r="AO156" s="169">
        <f>IFERROR(IF('Gantt Proyectos'!AM224&gt;0,SUMIFS('Listas y Parametros'!$C$45:$L$45,'Listas y Parametros'!$C$35:$L$35,'Costo Directo Proyectos'!$AD156)*$AG156,0)+IF('Gantt Proyectos'!AM224=2,$T156,0)/$W156,0)*$L156</f>
        <v>0</v>
      </c>
      <c r="AP156" s="170">
        <f>IFERROR(IF('Gantt Proyectos'!AN224&gt;0,SUMIFS('Listas y Parametros'!$C$45:$L$45,'Listas y Parametros'!$C$35:$L$35,'Costo Directo Proyectos'!$AD156)*$AG156,0)+IF('Gantt Proyectos'!AN224=2,$T156,0)/$W156,0)*$L156</f>
        <v>0</v>
      </c>
    </row>
    <row r="157" spans="3:42" ht="15" x14ac:dyDescent="0.2">
      <c r="C157" s="110">
        <f>+'Gantt Proyectos'!C225</f>
        <v>0</v>
      </c>
      <c r="D157" s="110">
        <f>+'Gantt Proyectos'!D225</f>
        <v>0</v>
      </c>
      <c r="E157" s="110">
        <f>+'Gantt Proyectos'!E225</f>
        <v>0</v>
      </c>
      <c r="F157" s="148">
        <f>+'Gantt Proyectos'!F225</f>
        <v>0</v>
      </c>
      <c r="G157" s="110">
        <f>+'Gantt Proyectos'!G225</f>
        <v>0</v>
      </c>
      <c r="H157" s="110">
        <f>+'Gantt Proyectos'!H225</f>
        <v>0</v>
      </c>
      <c r="I157" s="189">
        <v>1</v>
      </c>
      <c r="J157" s="189">
        <f t="shared" si="14"/>
        <v>0</v>
      </c>
      <c r="K157" s="110">
        <f>+'Gantt Proyectos'!I225</f>
        <v>0</v>
      </c>
      <c r="L157" s="110">
        <f>+'Gantt Proyectos'!J225</f>
        <v>0</v>
      </c>
      <c r="M157" s="110">
        <f>+'Gantt Proyectos'!K225</f>
        <v>0</v>
      </c>
      <c r="N157" s="110">
        <f>+'Gantt Proyectos'!L225</f>
        <v>0</v>
      </c>
      <c r="O157" s="110">
        <f>+'Gantt Proyectos'!M225</f>
        <v>0</v>
      </c>
      <c r="P157" s="110">
        <f>+'Gantt Proyectos'!N225</f>
        <v>0</v>
      </c>
      <c r="Q157" s="110">
        <f>+'Gantt Proyectos'!O225</f>
        <v>0</v>
      </c>
      <c r="R157" s="110">
        <f>+'Gantt Proyectos'!P225</f>
        <v>0</v>
      </c>
      <c r="S157" s="110">
        <f>+'Gantt Proyectos'!R225</f>
        <v>0</v>
      </c>
      <c r="T157" s="118">
        <f>+'Gantt Proyectos'!S225</f>
        <v>0</v>
      </c>
      <c r="U157" s="157">
        <f>+'Gantt Proyectos'!T225</f>
        <v>0</v>
      </c>
      <c r="V157" s="157">
        <f>+'Gantt Proyectos'!U225</f>
        <v>0</v>
      </c>
      <c r="W157" s="201">
        <f t="shared" si="15"/>
        <v>0</v>
      </c>
      <c r="X157" s="110">
        <f>+'Gantt Proyectos'!W225</f>
        <v>0</v>
      </c>
      <c r="Y157" s="110">
        <f>+'Gantt Proyectos'!X225</f>
        <v>0</v>
      </c>
      <c r="Z157" s="110">
        <f>+'Gantt Proyectos'!Y225</f>
        <v>0</v>
      </c>
      <c r="AA157" s="110">
        <f>+'Gantt Proyectos'!Z225</f>
        <v>0</v>
      </c>
      <c r="AB157" s="110">
        <f>+'Gantt Proyectos'!AA225</f>
        <v>0</v>
      </c>
      <c r="AC157" s="110">
        <f>+'Gantt Proyectos'!AB225</f>
        <v>0</v>
      </c>
      <c r="AD157" s="110">
        <f>+'Gantt Proyectos'!AC225</f>
        <v>0</v>
      </c>
      <c r="AE157" s="110">
        <f>+'Gantt Proyectos'!AD225</f>
        <v>0</v>
      </c>
      <c r="AF157" s="110">
        <f>+'Gantt Proyectos'!AE225</f>
        <v>0</v>
      </c>
      <c r="AG157" s="172">
        <v>1</v>
      </c>
      <c r="AH157" s="168">
        <f>IFERROR(IF('Gantt Proyectos'!AF225&gt;0,SUMIFS('Listas y Parametros'!$C$45:$L$45,'Listas y Parametros'!$C$35:$L$35,'Costo Directo Proyectos'!$AD157)*$AG157,0)+IF('Gantt Proyectos'!AF225=2,$T157,0)/$W157,0)*$L157</f>
        <v>0</v>
      </c>
      <c r="AI157" s="169">
        <f>IFERROR(IF('Gantt Proyectos'!AG225&gt;0,SUMIFS('Listas y Parametros'!$C$45:$L$45,'Listas y Parametros'!$C$35:$L$35,'Costo Directo Proyectos'!$AD157)*$AG157,0)+IF('Gantt Proyectos'!AG225=2,$T157,0)/$W157,0)*$L157</f>
        <v>0</v>
      </c>
      <c r="AJ157" s="169">
        <f>IFERROR(IF('Gantt Proyectos'!AH225&gt;0,SUMIFS('Listas y Parametros'!$C$45:$L$45,'Listas y Parametros'!$C$35:$L$35,'Costo Directo Proyectos'!$AD157)*$AG157,0)+IF('Gantt Proyectos'!AH225=2,$T157,0)/$W157,0)*$L157</f>
        <v>0</v>
      </c>
      <c r="AK157" s="169">
        <f>IFERROR(IF('Gantt Proyectos'!AI225&gt;0,SUMIFS('Listas y Parametros'!$C$45:$L$45,'Listas y Parametros'!$C$35:$L$35,'Costo Directo Proyectos'!$AD157)*$AG157,0)+IF('Gantt Proyectos'!AI225=2,$T157,0)/$W157,0)*$L157</f>
        <v>0</v>
      </c>
      <c r="AL157" s="169">
        <f>IFERROR(IF('Gantt Proyectos'!AJ225&gt;0,SUMIFS('Listas y Parametros'!$C$45:$L$45,'Listas y Parametros'!$C$35:$L$35,'Costo Directo Proyectos'!$AD157)*$AG157,0)+IF('Gantt Proyectos'!AJ225=2,$T157,0)/$W157,0)*$L157</f>
        <v>0</v>
      </c>
      <c r="AM157" s="169">
        <f>IFERROR(IF('Gantt Proyectos'!AK225&gt;0,SUMIFS('Listas y Parametros'!$C$45:$L$45,'Listas y Parametros'!$C$35:$L$35,'Costo Directo Proyectos'!$AD157)*$AG157,0)+IF('Gantt Proyectos'!AK225=2,$T157,0)/$W157,0)*$L157</f>
        <v>0</v>
      </c>
      <c r="AN157" s="169">
        <f>IFERROR(IF('Gantt Proyectos'!AL225&gt;0,SUMIFS('Listas y Parametros'!$C$45:$L$45,'Listas y Parametros'!$C$35:$L$35,'Costo Directo Proyectos'!$AD157)*$AG157,0)+IF('Gantt Proyectos'!AL225=2,$T157,0)/$W157,0)*$L157</f>
        <v>0</v>
      </c>
      <c r="AO157" s="169">
        <f>IFERROR(IF('Gantt Proyectos'!AM225&gt;0,SUMIFS('Listas y Parametros'!$C$45:$L$45,'Listas y Parametros'!$C$35:$L$35,'Costo Directo Proyectos'!$AD157)*$AG157,0)+IF('Gantt Proyectos'!AM225=2,$T157,0)/$W157,0)*$L157</f>
        <v>0</v>
      </c>
      <c r="AP157" s="170">
        <f>IFERROR(IF('Gantt Proyectos'!AN225&gt;0,SUMIFS('Listas y Parametros'!$C$45:$L$45,'Listas y Parametros'!$C$35:$L$35,'Costo Directo Proyectos'!$AD157)*$AG157,0)+IF('Gantt Proyectos'!AN225=2,$T157,0)/$W157,0)*$L157</f>
        <v>0</v>
      </c>
    </row>
    <row r="158" spans="3:42" ht="15" x14ac:dyDescent="0.2">
      <c r="C158" s="110">
        <f>+'Gantt Proyectos'!C226</f>
        <v>0</v>
      </c>
      <c r="D158" s="110">
        <f>+'Gantt Proyectos'!D226</f>
        <v>0</v>
      </c>
      <c r="E158" s="110">
        <f>+'Gantt Proyectos'!E226</f>
        <v>0</v>
      </c>
      <c r="F158" s="148">
        <f>+'Gantt Proyectos'!F226</f>
        <v>0</v>
      </c>
      <c r="G158" s="110">
        <f>+'Gantt Proyectos'!G226</f>
        <v>0</v>
      </c>
      <c r="H158" s="110">
        <f>+'Gantt Proyectos'!H226</f>
        <v>0</v>
      </c>
      <c r="I158" s="189">
        <v>1</v>
      </c>
      <c r="J158" s="189">
        <f t="shared" ref="J158:J194" si="16">1-I158</f>
        <v>0</v>
      </c>
      <c r="K158" s="110">
        <f>+'Gantt Proyectos'!I226</f>
        <v>0</v>
      </c>
      <c r="L158" s="110">
        <f>+'Gantt Proyectos'!J226</f>
        <v>0</v>
      </c>
      <c r="M158" s="110">
        <f>+'Gantt Proyectos'!K226</f>
        <v>0</v>
      </c>
      <c r="N158" s="110">
        <f>+'Gantt Proyectos'!L226</f>
        <v>0</v>
      </c>
      <c r="O158" s="110">
        <f>+'Gantt Proyectos'!M226</f>
        <v>0</v>
      </c>
      <c r="P158" s="110">
        <f>+'Gantt Proyectos'!N226</f>
        <v>0</v>
      </c>
      <c r="Q158" s="110">
        <f>+'Gantt Proyectos'!O226</f>
        <v>0</v>
      </c>
      <c r="R158" s="110">
        <f>+'Gantt Proyectos'!P226</f>
        <v>0</v>
      </c>
      <c r="S158" s="110">
        <f>+'Gantt Proyectos'!R226</f>
        <v>0</v>
      </c>
      <c r="T158" s="118">
        <f>+'Gantt Proyectos'!S226</f>
        <v>0</v>
      </c>
      <c r="U158" s="157">
        <f>+'Gantt Proyectos'!T226</f>
        <v>0</v>
      </c>
      <c r="V158" s="157">
        <f>+'Gantt Proyectos'!U226</f>
        <v>0</v>
      </c>
      <c r="W158" s="201">
        <f t="shared" ref="W158:W194" si="17">+ROUNDUP(_xlfn.DAYS(V158,U158)/30.5,0)</f>
        <v>0</v>
      </c>
      <c r="X158" s="110">
        <f>+'Gantt Proyectos'!W226</f>
        <v>0</v>
      </c>
      <c r="Y158" s="110">
        <f>+'Gantt Proyectos'!X226</f>
        <v>0</v>
      </c>
      <c r="Z158" s="110">
        <f>+'Gantt Proyectos'!Y226</f>
        <v>0</v>
      </c>
      <c r="AA158" s="110">
        <f>+'Gantt Proyectos'!Z226</f>
        <v>0</v>
      </c>
      <c r="AB158" s="110">
        <f>+'Gantt Proyectos'!AA226</f>
        <v>0</v>
      </c>
      <c r="AC158" s="110">
        <f>+'Gantt Proyectos'!AB226</f>
        <v>0</v>
      </c>
      <c r="AD158" s="110">
        <f>+'Gantt Proyectos'!AC226</f>
        <v>0</v>
      </c>
      <c r="AE158" s="110">
        <f>+'Gantt Proyectos'!AD226</f>
        <v>0</v>
      </c>
      <c r="AF158" s="110">
        <f>+'Gantt Proyectos'!AE226</f>
        <v>0</v>
      </c>
      <c r="AG158" s="172">
        <v>1</v>
      </c>
      <c r="AH158" s="168">
        <f>IFERROR(IF('Gantt Proyectos'!AF226&gt;0,SUMIFS('Listas y Parametros'!$C$45:$L$45,'Listas y Parametros'!$C$35:$L$35,'Costo Directo Proyectos'!$AD158)*$AG158,0)+IF('Gantt Proyectos'!AF226=2,$T158,0)/$W158,0)*$L158</f>
        <v>0</v>
      </c>
      <c r="AI158" s="169">
        <f>IFERROR(IF('Gantt Proyectos'!AG226&gt;0,SUMIFS('Listas y Parametros'!$C$45:$L$45,'Listas y Parametros'!$C$35:$L$35,'Costo Directo Proyectos'!$AD158)*$AG158,0)+IF('Gantt Proyectos'!AG226=2,$T158,0)/$W158,0)*$L158</f>
        <v>0</v>
      </c>
      <c r="AJ158" s="169">
        <f>IFERROR(IF('Gantt Proyectos'!AH226&gt;0,SUMIFS('Listas y Parametros'!$C$45:$L$45,'Listas y Parametros'!$C$35:$L$35,'Costo Directo Proyectos'!$AD158)*$AG158,0)+IF('Gantt Proyectos'!AH226=2,$T158,0)/$W158,0)*$L158</f>
        <v>0</v>
      </c>
      <c r="AK158" s="169">
        <f>IFERROR(IF('Gantt Proyectos'!AI226&gt;0,SUMIFS('Listas y Parametros'!$C$45:$L$45,'Listas y Parametros'!$C$35:$L$35,'Costo Directo Proyectos'!$AD158)*$AG158,0)+IF('Gantt Proyectos'!AI226=2,$T158,0)/$W158,0)*$L158</f>
        <v>0</v>
      </c>
      <c r="AL158" s="169">
        <f>IFERROR(IF('Gantt Proyectos'!AJ226&gt;0,SUMIFS('Listas y Parametros'!$C$45:$L$45,'Listas y Parametros'!$C$35:$L$35,'Costo Directo Proyectos'!$AD158)*$AG158,0)+IF('Gantt Proyectos'!AJ226=2,$T158,0)/$W158,0)*$L158</f>
        <v>0</v>
      </c>
      <c r="AM158" s="169">
        <f>IFERROR(IF('Gantt Proyectos'!AK226&gt;0,SUMIFS('Listas y Parametros'!$C$45:$L$45,'Listas y Parametros'!$C$35:$L$35,'Costo Directo Proyectos'!$AD158)*$AG158,0)+IF('Gantt Proyectos'!AK226=2,$T158,0)/$W158,0)*$L158</f>
        <v>0</v>
      </c>
      <c r="AN158" s="169">
        <f>IFERROR(IF('Gantt Proyectos'!AL226&gt;0,SUMIFS('Listas y Parametros'!$C$45:$L$45,'Listas y Parametros'!$C$35:$L$35,'Costo Directo Proyectos'!$AD158)*$AG158,0)+IF('Gantt Proyectos'!AL226=2,$T158,0)/$W158,0)*$L158</f>
        <v>0</v>
      </c>
      <c r="AO158" s="169">
        <f>IFERROR(IF('Gantt Proyectos'!AM226&gt;0,SUMIFS('Listas y Parametros'!$C$45:$L$45,'Listas y Parametros'!$C$35:$L$35,'Costo Directo Proyectos'!$AD158)*$AG158,0)+IF('Gantt Proyectos'!AM226=2,$T158,0)/$W158,0)*$L158</f>
        <v>0</v>
      </c>
      <c r="AP158" s="170">
        <f>IFERROR(IF('Gantt Proyectos'!AN226&gt;0,SUMIFS('Listas y Parametros'!$C$45:$L$45,'Listas y Parametros'!$C$35:$L$35,'Costo Directo Proyectos'!$AD158)*$AG158,0)+IF('Gantt Proyectos'!AN226=2,$T158,0)/$W158,0)*$L158</f>
        <v>0</v>
      </c>
    </row>
    <row r="159" spans="3:42" ht="15" x14ac:dyDescent="0.2">
      <c r="C159" s="110">
        <f>+'Gantt Proyectos'!C227</f>
        <v>0</v>
      </c>
      <c r="D159" s="110">
        <f>+'Gantt Proyectos'!D227</f>
        <v>0</v>
      </c>
      <c r="E159" s="110">
        <f>+'Gantt Proyectos'!E227</f>
        <v>0</v>
      </c>
      <c r="F159" s="148">
        <f>+'Gantt Proyectos'!F227</f>
        <v>0</v>
      </c>
      <c r="G159" s="110">
        <f>+'Gantt Proyectos'!G227</f>
        <v>0</v>
      </c>
      <c r="H159" s="110">
        <f>+'Gantt Proyectos'!H227</f>
        <v>0</v>
      </c>
      <c r="I159" s="189">
        <v>1</v>
      </c>
      <c r="J159" s="189">
        <f t="shared" si="16"/>
        <v>0</v>
      </c>
      <c r="K159" s="110">
        <f>+'Gantt Proyectos'!I227</f>
        <v>0</v>
      </c>
      <c r="L159" s="110">
        <f>+'Gantt Proyectos'!J227</f>
        <v>0</v>
      </c>
      <c r="M159" s="110">
        <f>+'Gantt Proyectos'!K227</f>
        <v>0</v>
      </c>
      <c r="N159" s="110">
        <f>+'Gantt Proyectos'!L227</f>
        <v>0</v>
      </c>
      <c r="O159" s="110">
        <f>+'Gantt Proyectos'!M227</f>
        <v>0</v>
      </c>
      <c r="P159" s="110">
        <f>+'Gantt Proyectos'!N227</f>
        <v>0</v>
      </c>
      <c r="Q159" s="110">
        <f>+'Gantt Proyectos'!O227</f>
        <v>0</v>
      </c>
      <c r="R159" s="110">
        <f>+'Gantt Proyectos'!P227</f>
        <v>0</v>
      </c>
      <c r="S159" s="110">
        <f>+'Gantt Proyectos'!R227</f>
        <v>0</v>
      </c>
      <c r="T159" s="118">
        <f>+'Gantt Proyectos'!S227</f>
        <v>0</v>
      </c>
      <c r="U159" s="157">
        <f>+'Gantt Proyectos'!T227</f>
        <v>0</v>
      </c>
      <c r="V159" s="157">
        <f>+'Gantt Proyectos'!U227</f>
        <v>0</v>
      </c>
      <c r="W159" s="201">
        <f t="shared" si="17"/>
        <v>0</v>
      </c>
      <c r="X159" s="110">
        <f>+'Gantt Proyectos'!W227</f>
        <v>0</v>
      </c>
      <c r="Y159" s="110">
        <f>+'Gantt Proyectos'!X227</f>
        <v>0</v>
      </c>
      <c r="Z159" s="110">
        <f>+'Gantt Proyectos'!Y227</f>
        <v>0</v>
      </c>
      <c r="AA159" s="110">
        <f>+'Gantt Proyectos'!Z227</f>
        <v>0</v>
      </c>
      <c r="AB159" s="110">
        <f>+'Gantt Proyectos'!AA227</f>
        <v>0</v>
      </c>
      <c r="AC159" s="110">
        <f>+'Gantt Proyectos'!AB227</f>
        <v>0</v>
      </c>
      <c r="AD159" s="110">
        <f>+'Gantt Proyectos'!AC227</f>
        <v>0</v>
      </c>
      <c r="AE159" s="110">
        <f>+'Gantt Proyectos'!AD227</f>
        <v>0</v>
      </c>
      <c r="AF159" s="110">
        <f>+'Gantt Proyectos'!AE227</f>
        <v>0</v>
      </c>
      <c r="AG159" s="172">
        <v>1</v>
      </c>
      <c r="AH159" s="168">
        <f>IFERROR(IF('Gantt Proyectos'!AF227&gt;0,SUMIFS('Listas y Parametros'!$C$45:$L$45,'Listas y Parametros'!$C$35:$L$35,'Costo Directo Proyectos'!$AD159)*$AG159,0)+IF('Gantt Proyectos'!AF227=2,$T159,0)/$W159,0)*$L159</f>
        <v>0</v>
      </c>
      <c r="AI159" s="169">
        <f>IFERROR(IF('Gantt Proyectos'!AG227&gt;0,SUMIFS('Listas y Parametros'!$C$45:$L$45,'Listas y Parametros'!$C$35:$L$35,'Costo Directo Proyectos'!$AD159)*$AG159,0)+IF('Gantt Proyectos'!AG227=2,$T159,0)/$W159,0)*$L159</f>
        <v>0</v>
      </c>
      <c r="AJ159" s="169">
        <f>IFERROR(IF('Gantt Proyectos'!AH227&gt;0,SUMIFS('Listas y Parametros'!$C$45:$L$45,'Listas y Parametros'!$C$35:$L$35,'Costo Directo Proyectos'!$AD159)*$AG159,0)+IF('Gantt Proyectos'!AH227=2,$T159,0)/$W159,0)*$L159</f>
        <v>0</v>
      </c>
      <c r="AK159" s="169">
        <f>IFERROR(IF('Gantt Proyectos'!AI227&gt;0,SUMIFS('Listas y Parametros'!$C$45:$L$45,'Listas y Parametros'!$C$35:$L$35,'Costo Directo Proyectos'!$AD159)*$AG159,0)+IF('Gantt Proyectos'!AI227=2,$T159,0)/$W159,0)*$L159</f>
        <v>0</v>
      </c>
      <c r="AL159" s="169">
        <f>IFERROR(IF('Gantt Proyectos'!AJ227&gt;0,SUMIFS('Listas y Parametros'!$C$45:$L$45,'Listas y Parametros'!$C$35:$L$35,'Costo Directo Proyectos'!$AD159)*$AG159,0)+IF('Gantt Proyectos'!AJ227=2,$T159,0)/$W159,0)*$L159</f>
        <v>0</v>
      </c>
      <c r="AM159" s="169">
        <f>IFERROR(IF('Gantt Proyectos'!AK227&gt;0,SUMIFS('Listas y Parametros'!$C$45:$L$45,'Listas y Parametros'!$C$35:$L$35,'Costo Directo Proyectos'!$AD159)*$AG159,0)+IF('Gantt Proyectos'!AK227=2,$T159,0)/$W159,0)*$L159</f>
        <v>0</v>
      </c>
      <c r="AN159" s="169">
        <f>IFERROR(IF('Gantt Proyectos'!AL227&gt;0,SUMIFS('Listas y Parametros'!$C$45:$L$45,'Listas y Parametros'!$C$35:$L$35,'Costo Directo Proyectos'!$AD159)*$AG159,0)+IF('Gantt Proyectos'!AL227=2,$T159,0)/$W159,0)*$L159</f>
        <v>0</v>
      </c>
      <c r="AO159" s="169">
        <f>IFERROR(IF('Gantt Proyectos'!AM227&gt;0,SUMIFS('Listas y Parametros'!$C$45:$L$45,'Listas y Parametros'!$C$35:$L$35,'Costo Directo Proyectos'!$AD159)*$AG159,0)+IF('Gantt Proyectos'!AM227=2,$T159,0)/$W159,0)*$L159</f>
        <v>0</v>
      </c>
      <c r="AP159" s="170">
        <f>IFERROR(IF('Gantt Proyectos'!AN227&gt;0,SUMIFS('Listas y Parametros'!$C$45:$L$45,'Listas y Parametros'!$C$35:$L$35,'Costo Directo Proyectos'!$AD159)*$AG159,0)+IF('Gantt Proyectos'!AN227=2,$T159,0)/$W159,0)*$L159</f>
        <v>0</v>
      </c>
    </row>
    <row r="160" spans="3:42" ht="15" x14ac:dyDescent="0.2">
      <c r="C160" s="110">
        <f>+'Gantt Proyectos'!C228</f>
        <v>0</v>
      </c>
      <c r="D160" s="110">
        <f>+'Gantt Proyectos'!D228</f>
        <v>0</v>
      </c>
      <c r="E160" s="110">
        <f>+'Gantt Proyectos'!E228</f>
        <v>0</v>
      </c>
      <c r="F160" s="148">
        <f>+'Gantt Proyectos'!F228</f>
        <v>0</v>
      </c>
      <c r="G160" s="110">
        <f>+'Gantt Proyectos'!G228</f>
        <v>0</v>
      </c>
      <c r="H160" s="110">
        <f>+'Gantt Proyectos'!H228</f>
        <v>0</v>
      </c>
      <c r="I160" s="189">
        <v>1</v>
      </c>
      <c r="J160" s="189">
        <f t="shared" si="16"/>
        <v>0</v>
      </c>
      <c r="K160" s="110">
        <f>+'Gantt Proyectos'!I228</f>
        <v>0</v>
      </c>
      <c r="L160" s="110">
        <f>+'Gantt Proyectos'!J228</f>
        <v>0</v>
      </c>
      <c r="M160" s="110">
        <f>+'Gantt Proyectos'!K228</f>
        <v>0</v>
      </c>
      <c r="N160" s="110">
        <f>+'Gantt Proyectos'!L228</f>
        <v>0</v>
      </c>
      <c r="O160" s="110">
        <f>+'Gantt Proyectos'!M228</f>
        <v>0</v>
      </c>
      <c r="P160" s="110">
        <f>+'Gantt Proyectos'!N228</f>
        <v>0</v>
      </c>
      <c r="Q160" s="110">
        <f>+'Gantt Proyectos'!O228</f>
        <v>0</v>
      </c>
      <c r="R160" s="110">
        <f>+'Gantt Proyectos'!P228</f>
        <v>0</v>
      </c>
      <c r="S160" s="110">
        <f>+'Gantt Proyectos'!R228</f>
        <v>0</v>
      </c>
      <c r="T160" s="118">
        <f>+'Gantt Proyectos'!S228</f>
        <v>0</v>
      </c>
      <c r="U160" s="157">
        <f>+'Gantt Proyectos'!T228</f>
        <v>0</v>
      </c>
      <c r="V160" s="157">
        <f>+'Gantt Proyectos'!U228</f>
        <v>0</v>
      </c>
      <c r="W160" s="201">
        <f t="shared" si="17"/>
        <v>0</v>
      </c>
      <c r="X160" s="110">
        <f>+'Gantt Proyectos'!W228</f>
        <v>0</v>
      </c>
      <c r="Y160" s="110">
        <f>+'Gantt Proyectos'!X228</f>
        <v>0</v>
      </c>
      <c r="Z160" s="110">
        <f>+'Gantt Proyectos'!Y228</f>
        <v>0</v>
      </c>
      <c r="AA160" s="110">
        <f>+'Gantt Proyectos'!Z228</f>
        <v>0</v>
      </c>
      <c r="AB160" s="110">
        <f>+'Gantt Proyectos'!AA228</f>
        <v>0</v>
      </c>
      <c r="AC160" s="110">
        <f>+'Gantt Proyectos'!AB228</f>
        <v>0</v>
      </c>
      <c r="AD160" s="110">
        <f>+'Gantt Proyectos'!AC228</f>
        <v>0</v>
      </c>
      <c r="AE160" s="110">
        <f>+'Gantt Proyectos'!AD228</f>
        <v>0</v>
      </c>
      <c r="AF160" s="110">
        <f>+'Gantt Proyectos'!AE228</f>
        <v>0</v>
      </c>
      <c r="AG160" s="172">
        <v>1</v>
      </c>
      <c r="AH160" s="168">
        <f>IFERROR(IF('Gantt Proyectos'!AF228&gt;0,SUMIFS('Listas y Parametros'!$C$45:$L$45,'Listas y Parametros'!$C$35:$L$35,'Costo Directo Proyectos'!$AD160)*$AG160,0)+IF('Gantt Proyectos'!AF228=2,$T160,0)/$W160,0)*$L160</f>
        <v>0</v>
      </c>
      <c r="AI160" s="169">
        <f>IFERROR(IF('Gantt Proyectos'!AG228&gt;0,SUMIFS('Listas y Parametros'!$C$45:$L$45,'Listas y Parametros'!$C$35:$L$35,'Costo Directo Proyectos'!$AD160)*$AG160,0)+IF('Gantt Proyectos'!AG228=2,$T160,0)/$W160,0)*$L160</f>
        <v>0</v>
      </c>
      <c r="AJ160" s="169">
        <f>IFERROR(IF('Gantt Proyectos'!AH228&gt;0,SUMIFS('Listas y Parametros'!$C$45:$L$45,'Listas y Parametros'!$C$35:$L$35,'Costo Directo Proyectos'!$AD160)*$AG160,0)+IF('Gantt Proyectos'!AH228=2,$T160,0)/$W160,0)*$L160</f>
        <v>0</v>
      </c>
      <c r="AK160" s="169">
        <f>IFERROR(IF('Gantt Proyectos'!AI228&gt;0,SUMIFS('Listas y Parametros'!$C$45:$L$45,'Listas y Parametros'!$C$35:$L$35,'Costo Directo Proyectos'!$AD160)*$AG160,0)+IF('Gantt Proyectos'!AI228=2,$T160,0)/$W160,0)*$L160</f>
        <v>0</v>
      </c>
      <c r="AL160" s="169">
        <f>IFERROR(IF('Gantt Proyectos'!AJ228&gt;0,SUMIFS('Listas y Parametros'!$C$45:$L$45,'Listas y Parametros'!$C$35:$L$35,'Costo Directo Proyectos'!$AD160)*$AG160,0)+IF('Gantt Proyectos'!AJ228=2,$T160,0)/$W160,0)*$L160</f>
        <v>0</v>
      </c>
      <c r="AM160" s="169">
        <f>IFERROR(IF('Gantt Proyectos'!AK228&gt;0,SUMIFS('Listas y Parametros'!$C$45:$L$45,'Listas y Parametros'!$C$35:$L$35,'Costo Directo Proyectos'!$AD160)*$AG160,0)+IF('Gantt Proyectos'!AK228=2,$T160,0)/$W160,0)*$L160</f>
        <v>0</v>
      </c>
      <c r="AN160" s="169">
        <f>IFERROR(IF('Gantt Proyectos'!AL228&gt;0,SUMIFS('Listas y Parametros'!$C$45:$L$45,'Listas y Parametros'!$C$35:$L$35,'Costo Directo Proyectos'!$AD160)*$AG160,0)+IF('Gantt Proyectos'!AL228=2,$T160,0)/$W160,0)*$L160</f>
        <v>0</v>
      </c>
      <c r="AO160" s="169">
        <f>IFERROR(IF('Gantt Proyectos'!AM228&gt;0,SUMIFS('Listas y Parametros'!$C$45:$L$45,'Listas y Parametros'!$C$35:$L$35,'Costo Directo Proyectos'!$AD160)*$AG160,0)+IF('Gantt Proyectos'!AM228=2,$T160,0)/$W160,0)*$L160</f>
        <v>0</v>
      </c>
      <c r="AP160" s="170">
        <f>IFERROR(IF('Gantt Proyectos'!AN228&gt;0,SUMIFS('Listas y Parametros'!$C$45:$L$45,'Listas y Parametros'!$C$35:$L$35,'Costo Directo Proyectos'!$AD160)*$AG160,0)+IF('Gantt Proyectos'!AN228=2,$T160,0)/$W160,0)*$L160</f>
        <v>0</v>
      </c>
    </row>
    <row r="161" spans="3:42" ht="15" x14ac:dyDescent="0.2">
      <c r="C161" s="110">
        <f>+'Gantt Proyectos'!C229</f>
        <v>0</v>
      </c>
      <c r="D161" s="110">
        <f>+'Gantt Proyectos'!D229</f>
        <v>0</v>
      </c>
      <c r="E161" s="110">
        <f>+'Gantt Proyectos'!E229</f>
        <v>0</v>
      </c>
      <c r="F161" s="148">
        <f>+'Gantt Proyectos'!F229</f>
        <v>0</v>
      </c>
      <c r="G161" s="110">
        <f>+'Gantt Proyectos'!G229</f>
        <v>0</v>
      </c>
      <c r="H161" s="110">
        <f>+'Gantt Proyectos'!H229</f>
        <v>0</v>
      </c>
      <c r="I161" s="189">
        <v>1</v>
      </c>
      <c r="J161" s="189">
        <f t="shared" si="16"/>
        <v>0</v>
      </c>
      <c r="K161" s="110">
        <f>+'Gantt Proyectos'!I229</f>
        <v>0</v>
      </c>
      <c r="L161" s="110">
        <f>+'Gantt Proyectos'!J229</f>
        <v>0</v>
      </c>
      <c r="M161" s="110">
        <f>+'Gantt Proyectos'!K229</f>
        <v>0</v>
      </c>
      <c r="N161" s="110">
        <f>+'Gantt Proyectos'!L229</f>
        <v>0</v>
      </c>
      <c r="O161" s="110">
        <f>+'Gantt Proyectos'!M229</f>
        <v>0</v>
      </c>
      <c r="P161" s="110">
        <f>+'Gantt Proyectos'!N229</f>
        <v>0</v>
      </c>
      <c r="Q161" s="110">
        <f>+'Gantt Proyectos'!O229</f>
        <v>0</v>
      </c>
      <c r="R161" s="110">
        <f>+'Gantt Proyectos'!P229</f>
        <v>0</v>
      </c>
      <c r="S161" s="110">
        <f>+'Gantt Proyectos'!R229</f>
        <v>0</v>
      </c>
      <c r="T161" s="118">
        <f>+'Gantt Proyectos'!S229</f>
        <v>0</v>
      </c>
      <c r="U161" s="157">
        <f>+'Gantt Proyectos'!T229</f>
        <v>0</v>
      </c>
      <c r="V161" s="157">
        <f>+'Gantt Proyectos'!U229</f>
        <v>0</v>
      </c>
      <c r="W161" s="201">
        <f t="shared" si="17"/>
        <v>0</v>
      </c>
      <c r="X161" s="110">
        <f>+'Gantt Proyectos'!W229</f>
        <v>0</v>
      </c>
      <c r="Y161" s="110">
        <f>+'Gantt Proyectos'!X229</f>
        <v>0</v>
      </c>
      <c r="Z161" s="110">
        <f>+'Gantt Proyectos'!Y229</f>
        <v>0</v>
      </c>
      <c r="AA161" s="110">
        <f>+'Gantt Proyectos'!Z229</f>
        <v>0</v>
      </c>
      <c r="AB161" s="110">
        <f>+'Gantt Proyectos'!AA229</f>
        <v>0</v>
      </c>
      <c r="AC161" s="110">
        <f>+'Gantt Proyectos'!AB229</f>
        <v>0</v>
      </c>
      <c r="AD161" s="110">
        <f>+'Gantt Proyectos'!AC229</f>
        <v>0</v>
      </c>
      <c r="AE161" s="110">
        <f>+'Gantt Proyectos'!AD229</f>
        <v>0</v>
      </c>
      <c r="AF161" s="110">
        <f>+'Gantt Proyectos'!AE229</f>
        <v>0</v>
      </c>
      <c r="AG161" s="172">
        <v>1</v>
      </c>
      <c r="AH161" s="168">
        <f>IFERROR(IF('Gantt Proyectos'!AF229&gt;0,SUMIFS('Listas y Parametros'!$C$45:$L$45,'Listas y Parametros'!$C$35:$L$35,'Costo Directo Proyectos'!$AD161)*$AG161,0)+IF('Gantt Proyectos'!AF229=2,$T161,0)/$W161,0)*$L161</f>
        <v>0</v>
      </c>
      <c r="AI161" s="169">
        <f>IFERROR(IF('Gantt Proyectos'!AG229&gt;0,SUMIFS('Listas y Parametros'!$C$45:$L$45,'Listas y Parametros'!$C$35:$L$35,'Costo Directo Proyectos'!$AD161)*$AG161,0)+IF('Gantt Proyectos'!AG229=2,$T161,0)/$W161,0)*$L161</f>
        <v>0</v>
      </c>
      <c r="AJ161" s="169">
        <f>IFERROR(IF('Gantt Proyectos'!AH229&gt;0,SUMIFS('Listas y Parametros'!$C$45:$L$45,'Listas y Parametros'!$C$35:$L$35,'Costo Directo Proyectos'!$AD161)*$AG161,0)+IF('Gantt Proyectos'!AH229=2,$T161,0)/$W161,0)*$L161</f>
        <v>0</v>
      </c>
      <c r="AK161" s="169">
        <f>IFERROR(IF('Gantt Proyectos'!AI229&gt;0,SUMIFS('Listas y Parametros'!$C$45:$L$45,'Listas y Parametros'!$C$35:$L$35,'Costo Directo Proyectos'!$AD161)*$AG161,0)+IF('Gantt Proyectos'!AI229=2,$T161,0)/$W161,0)*$L161</f>
        <v>0</v>
      </c>
      <c r="AL161" s="169">
        <f>IFERROR(IF('Gantt Proyectos'!AJ229&gt;0,SUMIFS('Listas y Parametros'!$C$45:$L$45,'Listas y Parametros'!$C$35:$L$35,'Costo Directo Proyectos'!$AD161)*$AG161,0)+IF('Gantt Proyectos'!AJ229=2,$T161,0)/$W161,0)*$L161</f>
        <v>0</v>
      </c>
      <c r="AM161" s="169">
        <f>IFERROR(IF('Gantt Proyectos'!AK229&gt;0,SUMIFS('Listas y Parametros'!$C$45:$L$45,'Listas y Parametros'!$C$35:$L$35,'Costo Directo Proyectos'!$AD161)*$AG161,0)+IF('Gantt Proyectos'!AK229=2,$T161,0)/$W161,0)*$L161</f>
        <v>0</v>
      </c>
      <c r="AN161" s="169">
        <f>IFERROR(IF('Gantt Proyectos'!AL229&gt;0,SUMIFS('Listas y Parametros'!$C$45:$L$45,'Listas y Parametros'!$C$35:$L$35,'Costo Directo Proyectos'!$AD161)*$AG161,0)+IF('Gantt Proyectos'!AL229=2,$T161,0)/$W161,0)*$L161</f>
        <v>0</v>
      </c>
      <c r="AO161" s="169">
        <f>IFERROR(IF('Gantt Proyectos'!AM229&gt;0,SUMIFS('Listas y Parametros'!$C$45:$L$45,'Listas y Parametros'!$C$35:$L$35,'Costo Directo Proyectos'!$AD161)*$AG161,0)+IF('Gantt Proyectos'!AM229=2,$T161,0)/$W161,0)*$L161</f>
        <v>0</v>
      </c>
      <c r="AP161" s="170">
        <f>IFERROR(IF('Gantt Proyectos'!AN229&gt;0,SUMIFS('Listas y Parametros'!$C$45:$L$45,'Listas y Parametros'!$C$35:$L$35,'Costo Directo Proyectos'!$AD161)*$AG161,0)+IF('Gantt Proyectos'!AN229=2,$T161,0)/$W161,0)*$L161</f>
        <v>0</v>
      </c>
    </row>
    <row r="162" spans="3:42" ht="15" x14ac:dyDescent="0.2">
      <c r="C162" s="110">
        <f>+'Gantt Proyectos'!C230</f>
        <v>0</v>
      </c>
      <c r="D162" s="110">
        <f>+'Gantt Proyectos'!D230</f>
        <v>0</v>
      </c>
      <c r="E162" s="110">
        <f>+'Gantt Proyectos'!E230</f>
        <v>0</v>
      </c>
      <c r="F162" s="148">
        <f>+'Gantt Proyectos'!F230</f>
        <v>0</v>
      </c>
      <c r="G162" s="110">
        <f>+'Gantt Proyectos'!G230</f>
        <v>0</v>
      </c>
      <c r="H162" s="110">
        <f>+'Gantt Proyectos'!H230</f>
        <v>0</v>
      </c>
      <c r="I162" s="189">
        <v>1</v>
      </c>
      <c r="J162" s="189">
        <f t="shared" si="16"/>
        <v>0</v>
      </c>
      <c r="K162" s="110">
        <f>+'Gantt Proyectos'!I230</f>
        <v>0</v>
      </c>
      <c r="L162" s="110">
        <f>+'Gantt Proyectos'!J230</f>
        <v>0</v>
      </c>
      <c r="M162" s="110">
        <f>+'Gantt Proyectos'!K230</f>
        <v>0</v>
      </c>
      <c r="N162" s="110">
        <f>+'Gantt Proyectos'!L230</f>
        <v>0</v>
      </c>
      <c r="O162" s="110">
        <f>+'Gantt Proyectos'!M230</f>
        <v>0</v>
      </c>
      <c r="P162" s="110">
        <f>+'Gantt Proyectos'!N230</f>
        <v>0</v>
      </c>
      <c r="Q162" s="110">
        <f>+'Gantt Proyectos'!O230</f>
        <v>0</v>
      </c>
      <c r="R162" s="110">
        <f>+'Gantt Proyectos'!P230</f>
        <v>0</v>
      </c>
      <c r="S162" s="110">
        <f>+'Gantt Proyectos'!R230</f>
        <v>0</v>
      </c>
      <c r="T162" s="118">
        <f>+'Gantt Proyectos'!S230</f>
        <v>0</v>
      </c>
      <c r="U162" s="157">
        <f>+'Gantt Proyectos'!T230</f>
        <v>0</v>
      </c>
      <c r="V162" s="157">
        <f>+'Gantt Proyectos'!U230</f>
        <v>0</v>
      </c>
      <c r="W162" s="201">
        <f t="shared" si="17"/>
        <v>0</v>
      </c>
      <c r="X162" s="110">
        <f>+'Gantt Proyectos'!W230</f>
        <v>0</v>
      </c>
      <c r="Y162" s="110">
        <f>+'Gantt Proyectos'!X230</f>
        <v>0</v>
      </c>
      <c r="Z162" s="110">
        <f>+'Gantt Proyectos'!Y230</f>
        <v>0</v>
      </c>
      <c r="AA162" s="110">
        <f>+'Gantt Proyectos'!Z230</f>
        <v>0</v>
      </c>
      <c r="AB162" s="110">
        <f>+'Gantt Proyectos'!AA230</f>
        <v>0</v>
      </c>
      <c r="AC162" s="110">
        <f>+'Gantt Proyectos'!AB230</f>
        <v>0</v>
      </c>
      <c r="AD162" s="110">
        <f>+'Gantt Proyectos'!AC230</f>
        <v>0</v>
      </c>
      <c r="AE162" s="110">
        <f>+'Gantt Proyectos'!AD230</f>
        <v>0</v>
      </c>
      <c r="AF162" s="110">
        <f>+'Gantt Proyectos'!AE230</f>
        <v>0</v>
      </c>
      <c r="AG162" s="172">
        <v>1</v>
      </c>
      <c r="AH162" s="168">
        <f>IFERROR(IF('Gantt Proyectos'!AF230&gt;0,SUMIFS('Listas y Parametros'!$C$45:$L$45,'Listas y Parametros'!$C$35:$L$35,'Costo Directo Proyectos'!$AD162)*$AG162,0)+IF('Gantt Proyectos'!AF230=2,$T162,0)/$W162,0)*$L162</f>
        <v>0</v>
      </c>
      <c r="AI162" s="169">
        <f>IFERROR(IF('Gantt Proyectos'!AG230&gt;0,SUMIFS('Listas y Parametros'!$C$45:$L$45,'Listas y Parametros'!$C$35:$L$35,'Costo Directo Proyectos'!$AD162)*$AG162,0)+IF('Gantt Proyectos'!AG230=2,$T162,0)/$W162,0)*$L162</f>
        <v>0</v>
      </c>
      <c r="AJ162" s="169">
        <f>IFERROR(IF('Gantt Proyectos'!AH230&gt;0,SUMIFS('Listas y Parametros'!$C$45:$L$45,'Listas y Parametros'!$C$35:$L$35,'Costo Directo Proyectos'!$AD162)*$AG162,0)+IF('Gantt Proyectos'!AH230=2,$T162,0)/$W162,0)*$L162</f>
        <v>0</v>
      </c>
      <c r="AK162" s="169">
        <f>IFERROR(IF('Gantt Proyectos'!AI230&gt;0,SUMIFS('Listas y Parametros'!$C$45:$L$45,'Listas y Parametros'!$C$35:$L$35,'Costo Directo Proyectos'!$AD162)*$AG162,0)+IF('Gantt Proyectos'!AI230=2,$T162,0)/$W162,0)*$L162</f>
        <v>0</v>
      </c>
      <c r="AL162" s="169">
        <f>IFERROR(IF('Gantt Proyectos'!AJ230&gt;0,SUMIFS('Listas y Parametros'!$C$45:$L$45,'Listas y Parametros'!$C$35:$L$35,'Costo Directo Proyectos'!$AD162)*$AG162,0)+IF('Gantt Proyectos'!AJ230=2,$T162,0)/$W162,0)*$L162</f>
        <v>0</v>
      </c>
      <c r="AM162" s="169">
        <f>IFERROR(IF('Gantt Proyectos'!AK230&gt;0,SUMIFS('Listas y Parametros'!$C$45:$L$45,'Listas y Parametros'!$C$35:$L$35,'Costo Directo Proyectos'!$AD162)*$AG162,0)+IF('Gantt Proyectos'!AK230=2,$T162,0)/$W162,0)*$L162</f>
        <v>0</v>
      </c>
      <c r="AN162" s="169">
        <f>IFERROR(IF('Gantt Proyectos'!AL230&gt;0,SUMIFS('Listas y Parametros'!$C$45:$L$45,'Listas y Parametros'!$C$35:$L$35,'Costo Directo Proyectos'!$AD162)*$AG162,0)+IF('Gantt Proyectos'!AL230=2,$T162,0)/$W162,0)*$L162</f>
        <v>0</v>
      </c>
      <c r="AO162" s="169">
        <f>IFERROR(IF('Gantt Proyectos'!AM230&gt;0,SUMIFS('Listas y Parametros'!$C$45:$L$45,'Listas y Parametros'!$C$35:$L$35,'Costo Directo Proyectos'!$AD162)*$AG162,0)+IF('Gantt Proyectos'!AM230=2,$T162,0)/$W162,0)*$L162</f>
        <v>0</v>
      </c>
      <c r="AP162" s="170">
        <f>IFERROR(IF('Gantt Proyectos'!AN230&gt;0,SUMIFS('Listas y Parametros'!$C$45:$L$45,'Listas y Parametros'!$C$35:$L$35,'Costo Directo Proyectos'!$AD162)*$AG162,0)+IF('Gantt Proyectos'!AN230=2,$T162,0)/$W162,0)*$L162</f>
        <v>0</v>
      </c>
    </row>
    <row r="163" spans="3:42" ht="15" x14ac:dyDescent="0.2">
      <c r="C163" s="110">
        <f>+'Gantt Proyectos'!C231</f>
        <v>0</v>
      </c>
      <c r="D163" s="110">
        <f>+'Gantt Proyectos'!D231</f>
        <v>0</v>
      </c>
      <c r="E163" s="110">
        <f>+'Gantt Proyectos'!E231</f>
        <v>0</v>
      </c>
      <c r="F163" s="148">
        <f>+'Gantt Proyectos'!F231</f>
        <v>0</v>
      </c>
      <c r="G163" s="110">
        <f>+'Gantt Proyectos'!G231</f>
        <v>0</v>
      </c>
      <c r="H163" s="110">
        <f>+'Gantt Proyectos'!H231</f>
        <v>0</v>
      </c>
      <c r="I163" s="189">
        <v>1</v>
      </c>
      <c r="J163" s="189">
        <f t="shared" si="16"/>
        <v>0</v>
      </c>
      <c r="K163" s="110">
        <f>+'Gantt Proyectos'!I231</f>
        <v>0</v>
      </c>
      <c r="L163" s="110">
        <f>+'Gantt Proyectos'!J231</f>
        <v>0</v>
      </c>
      <c r="M163" s="110">
        <f>+'Gantt Proyectos'!K231</f>
        <v>0</v>
      </c>
      <c r="N163" s="110">
        <f>+'Gantt Proyectos'!L231</f>
        <v>0</v>
      </c>
      <c r="O163" s="110">
        <f>+'Gantt Proyectos'!M231</f>
        <v>0</v>
      </c>
      <c r="P163" s="110">
        <f>+'Gantt Proyectos'!N231</f>
        <v>0</v>
      </c>
      <c r="Q163" s="110">
        <f>+'Gantt Proyectos'!O231</f>
        <v>0</v>
      </c>
      <c r="R163" s="110">
        <f>+'Gantt Proyectos'!P231</f>
        <v>0</v>
      </c>
      <c r="S163" s="110">
        <f>+'Gantt Proyectos'!R231</f>
        <v>0</v>
      </c>
      <c r="T163" s="118">
        <f>+'Gantt Proyectos'!S231</f>
        <v>0</v>
      </c>
      <c r="U163" s="157">
        <f>+'Gantt Proyectos'!T231</f>
        <v>0</v>
      </c>
      <c r="V163" s="157">
        <f>+'Gantt Proyectos'!U231</f>
        <v>0</v>
      </c>
      <c r="W163" s="201">
        <f t="shared" si="17"/>
        <v>0</v>
      </c>
      <c r="X163" s="110">
        <f>+'Gantt Proyectos'!W231</f>
        <v>0</v>
      </c>
      <c r="Y163" s="110">
        <f>+'Gantt Proyectos'!X231</f>
        <v>0</v>
      </c>
      <c r="Z163" s="110">
        <f>+'Gantt Proyectos'!Y231</f>
        <v>0</v>
      </c>
      <c r="AA163" s="110">
        <f>+'Gantt Proyectos'!Z231</f>
        <v>0</v>
      </c>
      <c r="AB163" s="110">
        <f>+'Gantt Proyectos'!AA231</f>
        <v>0</v>
      </c>
      <c r="AC163" s="110">
        <f>+'Gantt Proyectos'!AB231</f>
        <v>0</v>
      </c>
      <c r="AD163" s="110">
        <f>+'Gantt Proyectos'!AC231</f>
        <v>0</v>
      </c>
      <c r="AE163" s="110">
        <f>+'Gantt Proyectos'!AD231</f>
        <v>0</v>
      </c>
      <c r="AF163" s="110">
        <f>+'Gantt Proyectos'!AE231</f>
        <v>0</v>
      </c>
      <c r="AG163" s="172">
        <v>1</v>
      </c>
      <c r="AH163" s="168">
        <f>IFERROR(IF('Gantt Proyectos'!AF231&gt;0,SUMIFS('Listas y Parametros'!$C$45:$L$45,'Listas y Parametros'!$C$35:$L$35,'Costo Directo Proyectos'!$AD163)*$AG163,0)+IF('Gantt Proyectos'!AF231=2,$T163,0)/$W163,0)*$L163</f>
        <v>0</v>
      </c>
      <c r="AI163" s="169">
        <f>IFERROR(IF('Gantt Proyectos'!AG231&gt;0,SUMIFS('Listas y Parametros'!$C$45:$L$45,'Listas y Parametros'!$C$35:$L$35,'Costo Directo Proyectos'!$AD163)*$AG163,0)+IF('Gantt Proyectos'!AG231=2,$T163,0)/$W163,0)*$L163</f>
        <v>0</v>
      </c>
      <c r="AJ163" s="169">
        <f>IFERROR(IF('Gantt Proyectos'!AH231&gt;0,SUMIFS('Listas y Parametros'!$C$45:$L$45,'Listas y Parametros'!$C$35:$L$35,'Costo Directo Proyectos'!$AD163)*$AG163,0)+IF('Gantt Proyectos'!AH231=2,$T163,0)/$W163,0)*$L163</f>
        <v>0</v>
      </c>
      <c r="AK163" s="169">
        <f>IFERROR(IF('Gantt Proyectos'!AI231&gt;0,SUMIFS('Listas y Parametros'!$C$45:$L$45,'Listas y Parametros'!$C$35:$L$35,'Costo Directo Proyectos'!$AD163)*$AG163,0)+IF('Gantt Proyectos'!AI231=2,$T163,0)/$W163,0)*$L163</f>
        <v>0</v>
      </c>
      <c r="AL163" s="169">
        <f>IFERROR(IF('Gantt Proyectos'!AJ231&gt;0,SUMIFS('Listas y Parametros'!$C$45:$L$45,'Listas y Parametros'!$C$35:$L$35,'Costo Directo Proyectos'!$AD163)*$AG163,0)+IF('Gantt Proyectos'!AJ231=2,$T163,0)/$W163,0)*$L163</f>
        <v>0</v>
      </c>
      <c r="AM163" s="169">
        <f>IFERROR(IF('Gantt Proyectos'!AK231&gt;0,SUMIFS('Listas y Parametros'!$C$45:$L$45,'Listas y Parametros'!$C$35:$L$35,'Costo Directo Proyectos'!$AD163)*$AG163,0)+IF('Gantt Proyectos'!AK231=2,$T163,0)/$W163,0)*$L163</f>
        <v>0</v>
      </c>
      <c r="AN163" s="169">
        <f>IFERROR(IF('Gantt Proyectos'!AL231&gt;0,SUMIFS('Listas y Parametros'!$C$45:$L$45,'Listas y Parametros'!$C$35:$L$35,'Costo Directo Proyectos'!$AD163)*$AG163,0)+IF('Gantt Proyectos'!AL231=2,$T163,0)/$W163,0)*$L163</f>
        <v>0</v>
      </c>
      <c r="AO163" s="169">
        <f>IFERROR(IF('Gantt Proyectos'!AM231&gt;0,SUMIFS('Listas y Parametros'!$C$45:$L$45,'Listas y Parametros'!$C$35:$L$35,'Costo Directo Proyectos'!$AD163)*$AG163,0)+IF('Gantt Proyectos'!AM231=2,$T163,0)/$W163,0)*$L163</f>
        <v>0</v>
      </c>
      <c r="AP163" s="170">
        <f>IFERROR(IF('Gantt Proyectos'!AN231&gt;0,SUMIFS('Listas y Parametros'!$C$45:$L$45,'Listas y Parametros'!$C$35:$L$35,'Costo Directo Proyectos'!$AD163)*$AG163,0)+IF('Gantt Proyectos'!AN231=2,$T163,0)/$W163,0)*$L163</f>
        <v>0</v>
      </c>
    </row>
    <row r="164" spans="3:42" ht="15" x14ac:dyDescent="0.2">
      <c r="C164" s="110">
        <f>+'Gantt Proyectos'!C232</f>
        <v>0</v>
      </c>
      <c r="D164" s="110">
        <f>+'Gantt Proyectos'!D232</f>
        <v>0</v>
      </c>
      <c r="E164" s="110">
        <f>+'Gantt Proyectos'!E232</f>
        <v>0</v>
      </c>
      <c r="F164" s="148">
        <f>+'Gantt Proyectos'!F232</f>
        <v>0</v>
      </c>
      <c r="G164" s="110">
        <f>+'Gantt Proyectos'!G232</f>
        <v>0</v>
      </c>
      <c r="H164" s="110">
        <f>+'Gantt Proyectos'!H232</f>
        <v>0</v>
      </c>
      <c r="I164" s="189">
        <v>1</v>
      </c>
      <c r="J164" s="189">
        <f t="shared" si="16"/>
        <v>0</v>
      </c>
      <c r="K164" s="110">
        <f>+'Gantt Proyectos'!I232</f>
        <v>0</v>
      </c>
      <c r="L164" s="110">
        <f>+'Gantt Proyectos'!J232</f>
        <v>0</v>
      </c>
      <c r="M164" s="110">
        <f>+'Gantt Proyectos'!K232</f>
        <v>0</v>
      </c>
      <c r="N164" s="110">
        <f>+'Gantt Proyectos'!L232</f>
        <v>0</v>
      </c>
      <c r="O164" s="110">
        <f>+'Gantt Proyectos'!M232</f>
        <v>0</v>
      </c>
      <c r="P164" s="110">
        <f>+'Gantt Proyectos'!N232</f>
        <v>0</v>
      </c>
      <c r="Q164" s="110">
        <f>+'Gantt Proyectos'!O232</f>
        <v>0</v>
      </c>
      <c r="R164" s="110">
        <f>+'Gantt Proyectos'!P232</f>
        <v>0</v>
      </c>
      <c r="S164" s="110">
        <f>+'Gantt Proyectos'!R232</f>
        <v>0</v>
      </c>
      <c r="T164" s="118">
        <f>+'Gantt Proyectos'!S232</f>
        <v>0</v>
      </c>
      <c r="U164" s="157">
        <f>+'Gantt Proyectos'!T232</f>
        <v>0</v>
      </c>
      <c r="V164" s="157">
        <f>+'Gantt Proyectos'!U232</f>
        <v>0</v>
      </c>
      <c r="W164" s="201">
        <f t="shared" si="17"/>
        <v>0</v>
      </c>
      <c r="X164" s="110">
        <f>+'Gantt Proyectos'!W232</f>
        <v>0</v>
      </c>
      <c r="Y164" s="110">
        <f>+'Gantt Proyectos'!X232</f>
        <v>0</v>
      </c>
      <c r="Z164" s="110">
        <f>+'Gantt Proyectos'!Y232</f>
        <v>0</v>
      </c>
      <c r="AA164" s="110">
        <f>+'Gantt Proyectos'!Z232</f>
        <v>0</v>
      </c>
      <c r="AB164" s="110">
        <f>+'Gantt Proyectos'!AA232</f>
        <v>0</v>
      </c>
      <c r="AC164" s="110">
        <f>+'Gantt Proyectos'!AB232</f>
        <v>0</v>
      </c>
      <c r="AD164" s="110">
        <f>+'Gantt Proyectos'!AC232</f>
        <v>0</v>
      </c>
      <c r="AE164" s="110">
        <f>+'Gantt Proyectos'!AD232</f>
        <v>0</v>
      </c>
      <c r="AF164" s="110">
        <f>+'Gantt Proyectos'!AE232</f>
        <v>0</v>
      </c>
      <c r="AG164" s="172">
        <v>1</v>
      </c>
      <c r="AH164" s="168">
        <f>IFERROR(IF('Gantt Proyectos'!AF232&gt;0,SUMIFS('Listas y Parametros'!$C$45:$L$45,'Listas y Parametros'!$C$35:$L$35,'Costo Directo Proyectos'!$AD164)*$AG164,0)+IF('Gantt Proyectos'!AF232=2,$T164,0)/$W164,0)*$L164</f>
        <v>0</v>
      </c>
      <c r="AI164" s="169">
        <f>IFERROR(IF('Gantt Proyectos'!AG232&gt;0,SUMIFS('Listas y Parametros'!$C$45:$L$45,'Listas y Parametros'!$C$35:$L$35,'Costo Directo Proyectos'!$AD164)*$AG164,0)+IF('Gantt Proyectos'!AG232=2,$T164,0)/$W164,0)*$L164</f>
        <v>0</v>
      </c>
      <c r="AJ164" s="169">
        <f>IFERROR(IF('Gantt Proyectos'!AH232&gt;0,SUMIFS('Listas y Parametros'!$C$45:$L$45,'Listas y Parametros'!$C$35:$L$35,'Costo Directo Proyectos'!$AD164)*$AG164,0)+IF('Gantt Proyectos'!AH232=2,$T164,0)/$W164,0)*$L164</f>
        <v>0</v>
      </c>
      <c r="AK164" s="169">
        <f>IFERROR(IF('Gantt Proyectos'!AI232&gt;0,SUMIFS('Listas y Parametros'!$C$45:$L$45,'Listas y Parametros'!$C$35:$L$35,'Costo Directo Proyectos'!$AD164)*$AG164,0)+IF('Gantt Proyectos'!AI232=2,$T164,0)/$W164,0)*$L164</f>
        <v>0</v>
      </c>
      <c r="AL164" s="169">
        <f>IFERROR(IF('Gantt Proyectos'!AJ232&gt;0,SUMIFS('Listas y Parametros'!$C$45:$L$45,'Listas y Parametros'!$C$35:$L$35,'Costo Directo Proyectos'!$AD164)*$AG164,0)+IF('Gantt Proyectos'!AJ232=2,$T164,0)/$W164,0)*$L164</f>
        <v>0</v>
      </c>
      <c r="AM164" s="169">
        <f>IFERROR(IF('Gantt Proyectos'!AK232&gt;0,SUMIFS('Listas y Parametros'!$C$45:$L$45,'Listas y Parametros'!$C$35:$L$35,'Costo Directo Proyectos'!$AD164)*$AG164,0)+IF('Gantt Proyectos'!AK232=2,$T164,0)/$W164,0)*$L164</f>
        <v>0</v>
      </c>
      <c r="AN164" s="169">
        <f>IFERROR(IF('Gantt Proyectos'!AL232&gt;0,SUMIFS('Listas y Parametros'!$C$45:$L$45,'Listas y Parametros'!$C$35:$L$35,'Costo Directo Proyectos'!$AD164)*$AG164,0)+IF('Gantt Proyectos'!AL232=2,$T164,0)/$W164,0)*$L164</f>
        <v>0</v>
      </c>
      <c r="AO164" s="169">
        <f>IFERROR(IF('Gantt Proyectos'!AM232&gt;0,SUMIFS('Listas y Parametros'!$C$45:$L$45,'Listas y Parametros'!$C$35:$L$35,'Costo Directo Proyectos'!$AD164)*$AG164,0)+IF('Gantt Proyectos'!AM232=2,$T164,0)/$W164,0)*$L164</f>
        <v>0</v>
      </c>
      <c r="AP164" s="170">
        <f>IFERROR(IF('Gantt Proyectos'!AN232&gt;0,SUMIFS('Listas y Parametros'!$C$45:$L$45,'Listas y Parametros'!$C$35:$L$35,'Costo Directo Proyectos'!$AD164)*$AG164,0)+IF('Gantt Proyectos'!AN232=2,$T164,0)/$W164,0)*$L164</f>
        <v>0</v>
      </c>
    </row>
    <row r="165" spans="3:42" ht="15" x14ac:dyDescent="0.2">
      <c r="C165" s="110">
        <f>+'Gantt Proyectos'!C233</f>
        <v>0</v>
      </c>
      <c r="D165" s="110">
        <f>+'Gantt Proyectos'!D233</f>
        <v>0</v>
      </c>
      <c r="E165" s="110">
        <f>+'Gantt Proyectos'!E233</f>
        <v>0</v>
      </c>
      <c r="F165" s="148">
        <f>+'Gantt Proyectos'!F233</f>
        <v>0</v>
      </c>
      <c r="G165" s="110">
        <f>+'Gantt Proyectos'!G233</f>
        <v>0</v>
      </c>
      <c r="H165" s="110">
        <f>+'Gantt Proyectos'!H233</f>
        <v>0</v>
      </c>
      <c r="I165" s="189">
        <v>1</v>
      </c>
      <c r="J165" s="189">
        <f t="shared" si="16"/>
        <v>0</v>
      </c>
      <c r="K165" s="110">
        <f>+'Gantt Proyectos'!I233</f>
        <v>0</v>
      </c>
      <c r="L165" s="110">
        <f>+'Gantt Proyectos'!J233</f>
        <v>0</v>
      </c>
      <c r="M165" s="110">
        <f>+'Gantt Proyectos'!K233</f>
        <v>0</v>
      </c>
      <c r="N165" s="110">
        <f>+'Gantt Proyectos'!L233</f>
        <v>0</v>
      </c>
      <c r="O165" s="110">
        <f>+'Gantt Proyectos'!M233</f>
        <v>0</v>
      </c>
      <c r="P165" s="110">
        <f>+'Gantt Proyectos'!N233</f>
        <v>0</v>
      </c>
      <c r="Q165" s="110">
        <f>+'Gantt Proyectos'!O233</f>
        <v>0</v>
      </c>
      <c r="R165" s="110">
        <f>+'Gantt Proyectos'!P233</f>
        <v>0</v>
      </c>
      <c r="S165" s="110">
        <f>+'Gantt Proyectos'!R233</f>
        <v>0</v>
      </c>
      <c r="T165" s="118">
        <f>+'Gantt Proyectos'!S233</f>
        <v>0</v>
      </c>
      <c r="U165" s="157">
        <f>+'Gantt Proyectos'!T233</f>
        <v>0</v>
      </c>
      <c r="V165" s="157">
        <f>+'Gantt Proyectos'!U233</f>
        <v>0</v>
      </c>
      <c r="W165" s="201">
        <f t="shared" si="17"/>
        <v>0</v>
      </c>
      <c r="X165" s="110">
        <f>+'Gantt Proyectos'!W233</f>
        <v>0</v>
      </c>
      <c r="Y165" s="110">
        <f>+'Gantt Proyectos'!X233</f>
        <v>0</v>
      </c>
      <c r="Z165" s="110">
        <f>+'Gantt Proyectos'!Y233</f>
        <v>0</v>
      </c>
      <c r="AA165" s="110">
        <f>+'Gantt Proyectos'!Z233</f>
        <v>0</v>
      </c>
      <c r="AB165" s="110">
        <f>+'Gantt Proyectos'!AA233</f>
        <v>0</v>
      </c>
      <c r="AC165" s="110">
        <f>+'Gantt Proyectos'!AB233</f>
        <v>0</v>
      </c>
      <c r="AD165" s="110">
        <f>+'Gantt Proyectos'!AC233</f>
        <v>0</v>
      </c>
      <c r="AE165" s="110">
        <f>+'Gantt Proyectos'!AD233</f>
        <v>0</v>
      </c>
      <c r="AF165" s="110">
        <f>+'Gantt Proyectos'!AE233</f>
        <v>0</v>
      </c>
      <c r="AG165" s="172">
        <v>1</v>
      </c>
      <c r="AH165" s="168">
        <f>IFERROR(IF('Gantt Proyectos'!AF233&gt;0,SUMIFS('Listas y Parametros'!$C$45:$L$45,'Listas y Parametros'!$C$35:$L$35,'Costo Directo Proyectos'!$AD165)*$AG165,0)+IF('Gantt Proyectos'!AF233=2,$T165,0)/$W165,0)*$L165</f>
        <v>0</v>
      </c>
      <c r="AI165" s="169">
        <f>IFERROR(IF('Gantt Proyectos'!AG233&gt;0,SUMIFS('Listas y Parametros'!$C$45:$L$45,'Listas y Parametros'!$C$35:$L$35,'Costo Directo Proyectos'!$AD165)*$AG165,0)+IF('Gantt Proyectos'!AG233=2,$T165,0)/$W165,0)*$L165</f>
        <v>0</v>
      </c>
      <c r="AJ165" s="169">
        <f>IFERROR(IF('Gantt Proyectos'!AH233&gt;0,SUMIFS('Listas y Parametros'!$C$45:$L$45,'Listas y Parametros'!$C$35:$L$35,'Costo Directo Proyectos'!$AD165)*$AG165,0)+IF('Gantt Proyectos'!AH233=2,$T165,0)/$W165,0)*$L165</f>
        <v>0</v>
      </c>
      <c r="AK165" s="169">
        <f>IFERROR(IF('Gantt Proyectos'!AI233&gt;0,SUMIFS('Listas y Parametros'!$C$45:$L$45,'Listas y Parametros'!$C$35:$L$35,'Costo Directo Proyectos'!$AD165)*$AG165,0)+IF('Gantt Proyectos'!AI233=2,$T165,0)/$W165,0)*$L165</f>
        <v>0</v>
      </c>
      <c r="AL165" s="169">
        <f>IFERROR(IF('Gantt Proyectos'!AJ233&gt;0,SUMIFS('Listas y Parametros'!$C$45:$L$45,'Listas y Parametros'!$C$35:$L$35,'Costo Directo Proyectos'!$AD165)*$AG165,0)+IF('Gantt Proyectos'!AJ233=2,$T165,0)/$W165,0)*$L165</f>
        <v>0</v>
      </c>
      <c r="AM165" s="169">
        <f>IFERROR(IF('Gantt Proyectos'!AK233&gt;0,SUMIFS('Listas y Parametros'!$C$45:$L$45,'Listas y Parametros'!$C$35:$L$35,'Costo Directo Proyectos'!$AD165)*$AG165,0)+IF('Gantt Proyectos'!AK233=2,$T165,0)/$W165,0)*$L165</f>
        <v>0</v>
      </c>
      <c r="AN165" s="169">
        <f>IFERROR(IF('Gantt Proyectos'!AL233&gt;0,SUMIFS('Listas y Parametros'!$C$45:$L$45,'Listas y Parametros'!$C$35:$L$35,'Costo Directo Proyectos'!$AD165)*$AG165,0)+IF('Gantt Proyectos'!AL233=2,$T165,0)/$W165,0)*$L165</f>
        <v>0</v>
      </c>
      <c r="AO165" s="169">
        <f>IFERROR(IF('Gantt Proyectos'!AM233&gt;0,SUMIFS('Listas y Parametros'!$C$45:$L$45,'Listas y Parametros'!$C$35:$L$35,'Costo Directo Proyectos'!$AD165)*$AG165,0)+IF('Gantt Proyectos'!AM233=2,$T165,0)/$W165,0)*$L165</f>
        <v>0</v>
      </c>
      <c r="AP165" s="170">
        <f>IFERROR(IF('Gantt Proyectos'!AN233&gt;0,SUMIFS('Listas y Parametros'!$C$45:$L$45,'Listas y Parametros'!$C$35:$L$35,'Costo Directo Proyectos'!$AD165)*$AG165,0)+IF('Gantt Proyectos'!AN233=2,$T165,0)/$W165,0)*$L165</f>
        <v>0</v>
      </c>
    </row>
    <row r="166" spans="3:42" ht="15" x14ac:dyDescent="0.2">
      <c r="C166" s="110">
        <f>+'Gantt Proyectos'!C234</f>
        <v>0</v>
      </c>
      <c r="D166" s="110">
        <f>+'Gantt Proyectos'!D234</f>
        <v>0</v>
      </c>
      <c r="E166" s="110">
        <f>+'Gantt Proyectos'!E234</f>
        <v>0</v>
      </c>
      <c r="F166" s="148">
        <f>+'Gantt Proyectos'!F234</f>
        <v>0</v>
      </c>
      <c r="G166" s="110">
        <f>+'Gantt Proyectos'!G234</f>
        <v>0</v>
      </c>
      <c r="H166" s="110">
        <f>+'Gantt Proyectos'!H234</f>
        <v>0</v>
      </c>
      <c r="I166" s="189">
        <v>1</v>
      </c>
      <c r="J166" s="189">
        <f t="shared" si="16"/>
        <v>0</v>
      </c>
      <c r="K166" s="110">
        <f>+'Gantt Proyectos'!I234</f>
        <v>0</v>
      </c>
      <c r="L166" s="110">
        <f>+'Gantt Proyectos'!J234</f>
        <v>0</v>
      </c>
      <c r="M166" s="110">
        <f>+'Gantt Proyectos'!K234</f>
        <v>0</v>
      </c>
      <c r="N166" s="110">
        <f>+'Gantt Proyectos'!L234</f>
        <v>0</v>
      </c>
      <c r="O166" s="110">
        <f>+'Gantt Proyectos'!M234</f>
        <v>0</v>
      </c>
      <c r="P166" s="110">
        <f>+'Gantt Proyectos'!N234</f>
        <v>0</v>
      </c>
      <c r="Q166" s="110">
        <f>+'Gantt Proyectos'!O234</f>
        <v>0</v>
      </c>
      <c r="R166" s="110">
        <f>+'Gantt Proyectos'!P234</f>
        <v>0</v>
      </c>
      <c r="S166" s="110">
        <f>+'Gantt Proyectos'!R234</f>
        <v>0</v>
      </c>
      <c r="T166" s="118">
        <f>+'Gantt Proyectos'!S234</f>
        <v>0</v>
      </c>
      <c r="U166" s="157">
        <f>+'Gantt Proyectos'!T234</f>
        <v>0</v>
      </c>
      <c r="V166" s="157">
        <f>+'Gantt Proyectos'!U234</f>
        <v>0</v>
      </c>
      <c r="W166" s="201">
        <f t="shared" si="17"/>
        <v>0</v>
      </c>
      <c r="X166" s="110">
        <f>+'Gantt Proyectos'!W234</f>
        <v>0</v>
      </c>
      <c r="Y166" s="110">
        <f>+'Gantt Proyectos'!X234</f>
        <v>0</v>
      </c>
      <c r="Z166" s="110">
        <f>+'Gantt Proyectos'!Y234</f>
        <v>0</v>
      </c>
      <c r="AA166" s="110">
        <f>+'Gantt Proyectos'!Z234</f>
        <v>0</v>
      </c>
      <c r="AB166" s="110">
        <f>+'Gantt Proyectos'!AA234</f>
        <v>0</v>
      </c>
      <c r="AC166" s="110">
        <f>+'Gantt Proyectos'!AB234</f>
        <v>0</v>
      </c>
      <c r="AD166" s="110">
        <f>+'Gantt Proyectos'!AC234</f>
        <v>0</v>
      </c>
      <c r="AE166" s="110">
        <f>+'Gantt Proyectos'!AD234</f>
        <v>0</v>
      </c>
      <c r="AF166" s="110">
        <f>+'Gantt Proyectos'!AE234</f>
        <v>0</v>
      </c>
      <c r="AG166" s="172">
        <v>1</v>
      </c>
      <c r="AH166" s="168">
        <f>IFERROR(IF('Gantt Proyectos'!AF234&gt;0,SUMIFS('Listas y Parametros'!$C$45:$L$45,'Listas y Parametros'!$C$35:$L$35,'Costo Directo Proyectos'!$AD166)*$AG166,0)+IF('Gantt Proyectos'!AF234=2,$T166,0)/$W166,0)*$L166</f>
        <v>0</v>
      </c>
      <c r="AI166" s="169">
        <f>IFERROR(IF('Gantt Proyectos'!AG234&gt;0,SUMIFS('Listas y Parametros'!$C$45:$L$45,'Listas y Parametros'!$C$35:$L$35,'Costo Directo Proyectos'!$AD166)*$AG166,0)+IF('Gantt Proyectos'!AG234=2,$T166,0)/$W166,0)*$L166</f>
        <v>0</v>
      </c>
      <c r="AJ166" s="169">
        <f>IFERROR(IF('Gantt Proyectos'!AH234&gt;0,SUMIFS('Listas y Parametros'!$C$45:$L$45,'Listas y Parametros'!$C$35:$L$35,'Costo Directo Proyectos'!$AD166)*$AG166,0)+IF('Gantt Proyectos'!AH234=2,$T166,0)/$W166,0)*$L166</f>
        <v>0</v>
      </c>
      <c r="AK166" s="169">
        <f>IFERROR(IF('Gantt Proyectos'!AI234&gt;0,SUMIFS('Listas y Parametros'!$C$45:$L$45,'Listas y Parametros'!$C$35:$L$35,'Costo Directo Proyectos'!$AD166)*$AG166,0)+IF('Gantt Proyectos'!AI234=2,$T166,0)/$W166,0)*$L166</f>
        <v>0</v>
      </c>
      <c r="AL166" s="169">
        <f>IFERROR(IF('Gantt Proyectos'!AJ234&gt;0,SUMIFS('Listas y Parametros'!$C$45:$L$45,'Listas y Parametros'!$C$35:$L$35,'Costo Directo Proyectos'!$AD166)*$AG166,0)+IF('Gantt Proyectos'!AJ234=2,$T166,0)/$W166,0)*$L166</f>
        <v>0</v>
      </c>
      <c r="AM166" s="169">
        <f>IFERROR(IF('Gantt Proyectos'!AK234&gt;0,SUMIFS('Listas y Parametros'!$C$45:$L$45,'Listas y Parametros'!$C$35:$L$35,'Costo Directo Proyectos'!$AD166)*$AG166,0)+IF('Gantt Proyectos'!AK234=2,$T166,0)/$W166,0)*$L166</f>
        <v>0</v>
      </c>
      <c r="AN166" s="169">
        <f>IFERROR(IF('Gantt Proyectos'!AL234&gt;0,SUMIFS('Listas y Parametros'!$C$45:$L$45,'Listas y Parametros'!$C$35:$L$35,'Costo Directo Proyectos'!$AD166)*$AG166,0)+IF('Gantt Proyectos'!AL234=2,$T166,0)/$W166,0)*$L166</f>
        <v>0</v>
      </c>
      <c r="AO166" s="169">
        <f>IFERROR(IF('Gantt Proyectos'!AM234&gt;0,SUMIFS('Listas y Parametros'!$C$45:$L$45,'Listas y Parametros'!$C$35:$L$35,'Costo Directo Proyectos'!$AD166)*$AG166,0)+IF('Gantt Proyectos'!AM234=2,$T166,0)/$W166,0)*$L166</f>
        <v>0</v>
      </c>
      <c r="AP166" s="170">
        <f>IFERROR(IF('Gantt Proyectos'!AN234&gt;0,SUMIFS('Listas y Parametros'!$C$45:$L$45,'Listas y Parametros'!$C$35:$L$35,'Costo Directo Proyectos'!$AD166)*$AG166,0)+IF('Gantt Proyectos'!AN234=2,$T166,0)/$W166,0)*$L166</f>
        <v>0</v>
      </c>
    </row>
    <row r="167" spans="3:42" ht="15" x14ac:dyDescent="0.2">
      <c r="C167" s="110">
        <f>+'Gantt Proyectos'!C235</f>
        <v>0</v>
      </c>
      <c r="D167" s="110">
        <f>+'Gantt Proyectos'!D235</f>
        <v>0</v>
      </c>
      <c r="E167" s="110">
        <f>+'Gantt Proyectos'!E235</f>
        <v>0</v>
      </c>
      <c r="F167" s="148">
        <f>+'Gantt Proyectos'!F235</f>
        <v>0</v>
      </c>
      <c r="G167" s="110">
        <f>+'Gantt Proyectos'!G235</f>
        <v>0</v>
      </c>
      <c r="H167" s="110">
        <f>+'Gantt Proyectos'!H235</f>
        <v>0</v>
      </c>
      <c r="I167" s="189">
        <v>1</v>
      </c>
      <c r="J167" s="189">
        <f t="shared" si="16"/>
        <v>0</v>
      </c>
      <c r="K167" s="110">
        <f>+'Gantt Proyectos'!I235</f>
        <v>0</v>
      </c>
      <c r="L167" s="110">
        <f>+'Gantt Proyectos'!J235</f>
        <v>0</v>
      </c>
      <c r="M167" s="110">
        <f>+'Gantt Proyectos'!K235</f>
        <v>0</v>
      </c>
      <c r="N167" s="110">
        <f>+'Gantt Proyectos'!L235</f>
        <v>0</v>
      </c>
      <c r="O167" s="110">
        <f>+'Gantt Proyectos'!M235</f>
        <v>0</v>
      </c>
      <c r="P167" s="110">
        <f>+'Gantt Proyectos'!N235</f>
        <v>0</v>
      </c>
      <c r="Q167" s="110">
        <f>+'Gantt Proyectos'!O235</f>
        <v>0</v>
      </c>
      <c r="R167" s="110">
        <f>+'Gantt Proyectos'!P235</f>
        <v>0</v>
      </c>
      <c r="S167" s="110">
        <f>+'Gantt Proyectos'!R235</f>
        <v>0</v>
      </c>
      <c r="T167" s="118">
        <f>+'Gantt Proyectos'!S235</f>
        <v>0</v>
      </c>
      <c r="U167" s="157">
        <f>+'Gantt Proyectos'!T235</f>
        <v>0</v>
      </c>
      <c r="V167" s="157">
        <f>+'Gantt Proyectos'!U235</f>
        <v>0</v>
      </c>
      <c r="W167" s="201">
        <f t="shared" si="17"/>
        <v>0</v>
      </c>
      <c r="X167" s="110">
        <f>+'Gantt Proyectos'!W235</f>
        <v>0</v>
      </c>
      <c r="Y167" s="110">
        <f>+'Gantt Proyectos'!X235</f>
        <v>0</v>
      </c>
      <c r="Z167" s="110">
        <f>+'Gantt Proyectos'!Y235</f>
        <v>0</v>
      </c>
      <c r="AA167" s="110">
        <f>+'Gantt Proyectos'!Z235</f>
        <v>0</v>
      </c>
      <c r="AB167" s="110">
        <f>+'Gantt Proyectos'!AA235</f>
        <v>0</v>
      </c>
      <c r="AC167" s="110">
        <f>+'Gantt Proyectos'!AB235</f>
        <v>0</v>
      </c>
      <c r="AD167" s="110">
        <f>+'Gantt Proyectos'!AC235</f>
        <v>0</v>
      </c>
      <c r="AE167" s="110">
        <f>+'Gantt Proyectos'!AD235</f>
        <v>0</v>
      </c>
      <c r="AF167" s="110">
        <f>+'Gantt Proyectos'!AE235</f>
        <v>0</v>
      </c>
      <c r="AG167" s="172">
        <v>1</v>
      </c>
      <c r="AH167" s="168">
        <f>IFERROR(IF('Gantt Proyectos'!AF235&gt;0,SUMIFS('Listas y Parametros'!$C$45:$L$45,'Listas y Parametros'!$C$35:$L$35,'Costo Directo Proyectos'!$AD167)*$AG167,0)+IF('Gantt Proyectos'!AF235=2,$T167,0)/$W167,0)*$L167</f>
        <v>0</v>
      </c>
      <c r="AI167" s="169">
        <f>IFERROR(IF('Gantt Proyectos'!AG235&gt;0,SUMIFS('Listas y Parametros'!$C$45:$L$45,'Listas y Parametros'!$C$35:$L$35,'Costo Directo Proyectos'!$AD167)*$AG167,0)+IF('Gantt Proyectos'!AG235=2,$T167,0)/$W167,0)*$L167</f>
        <v>0</v>
      </c>
      <c r="AJ167" s="169">
        <f>IFERROR(IF('Gantt Proyectos'!AH235&gt;0,SUMIFS('Listas y Parametros'!$C$45:$L$45,'Listas y Parametros'!$C$35:$L$35,'Costo Directo Proyectos'!$AD167)*$AG167,0)+IF('Gantt Proyectos'!AH235=2,$T167,0)/$W167,0)*$L167</f>
        <v>0</v>
      </c>
      <c r="AK167" s="169">
        <f>IFERROR(IF('Gantt Proyectos'!AI235&gt;0,SUMIFS('Listas y Parametros'!$C$45:$L$45,'Listas y Parametros'!$C$35:$L$35,'Costo Directo Proyectos'!$AD167)*$AG167,0)+IF('Gantt Proyectos'!AI235=2,$T167,0)/$W167,0)*$L167</f>
        <v>0</v>
      </c>
      <c r="AL167" s="169">
        <f>IFERROR(IF('Gantt Proyectos'!AJ235&gt;0,SUMIFS('Listas y Parametros'!$C$45:$L$45,'Listas y Parametros'!$C$35:$L$35,'Costo Directo Proyectos'!$AD167)*$AG167,0)+IF('Gantt Proyectos'!AJ235=2,$T167,0)/$W167,0)*$L167</f>
        <v>0</v>
      </c>
      <c r="AM167" s="169">
        <f>IFERROR(IF('Gantt Proyectos'!AK235&gt;0,SUMIFS('Listas y Parametros'!$C$45:$L$45,'Listas y Parametros'!$C$35:$L$35,'Costo Directo Proyectos'!$AD167)*$AG167,0)+IF('Gantt Proyectos'!AK235=2,$T167,0)/$W167,0)*$L167</f>
        <v>0</v>
      </c>
      <c r="AN167" s="169">
        <f>IFERROR(IF('Gantt Proyectos'!AL235&gt;0,SUMIFS('Listas y Parametros'!$C$45:$L$45,'Listas y Parametros'!$C$35:$L$35,'Costo Directo Proyectos'!$AD167)*$AG167,0)+IF('Gantt Proyectos'!AL235=2,$T167,0)/$W167,0)*$L167</f>
        <v>0</v>
      </c>
      <c r="AO167" s="169">
        <f>IFERROR(IF('Gantt Proyectos'!AM235&gt;0,SUMIFS('Listas y Parametros'!$C$45:$L$45,'Listas y Parametros'!$C$35:$L$35,'Costo Directo Proyectos'!$AD167)*$AG167,0)+IF('Gantt Proyectos'!AM235=2,$T167,0)/$W167,0)*$L167</f>
        <v>0</v>
      </c>
      <c r="AP167" s="170">
        <f>IFERROR(IF('Gantt Proyectos'!AN235&gt;0,SUMIFS('Listas y Parametros'!$C$45:$L$45,'Listas y Parametros'!$C$35:$L$35,'Costo Directo Proyectos'!$AD167)*$AG167,0)+IF('Gantt Proyectos'!AN235=2,$T167,0)/$W167,0)*$L167</f>
        <v>0</v>
      </c>
    </row>
    <row r="168" spans="3:42" ht="15" x14ac:dyDescent="0.2">
      <c r="C168" s="110">
        <f>+'Gantt Proyectos'!C236</f>
        <v>0</v>
      </c>
      <c r="D168" s="110">
        <f>+'Gantt Proyectos'!D236</f>
        <v>0</v>
      </c>
      <c r="E168" s="110">
        <f>+'Gantt Proyectos'!E236</f>
        <v>0</v>
      </c>
      <c r="F168" s="148">
        <f>+'Gantt Proyectos'!F236</f>
        <v>0</v>
      </c>
      <c r="G168" s="110">
        <f>+'Gantt Proyectos'!G236</f>
        <v>0</v>
      </c>
      <c r="H168" s="110">
        <f>+'Gantt Proyectos'!H236</f>
        <v>0</v>
      </c>
      <c r="I168" s="189">
        <v>1</v>
      </c>
      <c r="J168" s="189">
        <f t="shared" si="16"/>
        <v>0</v>
      </c>
      <c r="K168" s="110">
        <f>+'Gantt Proyectos'!I236</f>
        <v>0</v>
      </c>
      <c r="L168" s="110">
        <f>+'Gantt Proyectos'!J236</f>
        <v>0</v>
      </c>
      <c r="M168" s="110">
        <f>+'Gantt Proyectos'!K236</f>
        <v>0</v>
      </c>
      <c r="N168" s="110">
        <f>+'Gantt Proyectos'!L236</f>
        <v>0</v>
      </c>
      <c r="O168" s="110">
        <f>+'Gantt Proyectos'!M236</f>
        <v>0</v>
      </c>
      <c r="P168" s="110">
        <f>+'Gantt Proyectos'!N236</f>
        <v>0</v>
      </c>
      <c r="Q168" s="110">
        <f>+'Gantt Proyectos'!O236</f>
        <v>0</v>
      </c>
      <c r="R168" s="110">
        <f>+'Gantt Proyectos'!P236</f>
        <v>0</v>
      </c>
      <c r="S168" s="110">
        <f>+'Gantt Proyectos'!R236</f>
        <v>0</v>
      </c>
      <c r="T168" s="118">
        <f>+'Gantt Proyectos'!S236</f>
        <v>0</v>
      </c>
      <c r="U168" s="157">
        <f>+'Gantt Proyectos'!T236</f>
        <v>0</v>
      </c>
      <c r="V168" s="157">
        <f>+'Gantt Proyectos'!U236</f>
        <v>0</v>
      </c>
      <c r="W168" s="201">
        <f t="shared" si="17"/>
        <v>0</v>
      </c>
      <c r="X168" s="110">
        <f>+'Gantt Proyectos'!W236</f>
        <v>0</v>
      </c>
      <c r="Y168" s="110">
        <f>+'Gantt Proyectos'!X236</f>
        <v>0</v>
      </c>
      <c r="Z168" s="110">
        <f>+'Gantt Proyectos'!Y236</f>
        <v>0</v>
      </c>
      <c r="AA168" s="110">
        <f>+'Gantt Proyectos'!Z236</f>
        <v>0</v>
      </c>
      <c r="AB168" s="110">
        <f>+'Gantt Proyectos'!AA236</f>
        <v>0</v>
      </c>
      <c r="AC168" s="110">
        <f>+'Gantt Proyectos'!AB236</f>
        <v>0</v>
      </c>
      <c r="AD168" s="110">
        <f>+'Gantt Proyectos'!AC236</f>
        <v>0</v>
      </c>
      <c r="AE168" s="110">
        <f>+'Gantt Proyectos'!AD236</f>
        <v>0</v>
      </c>
      <c r="AF168" s="110">
        <f>+'Gantt Proyectos'!AE236</f>
        <v>0</v>
      </c>
      <c r="AG168" s="172">
        <v>1</v>
      </c>
      <c r="AH168" s="168">
        <f>IFERROR(IF('Gantt Proyectos'!AF236&gt;0,SUMIFS('Listas y Parametros'!$C$45:$L$45,'Listas y Parametros'!$C$35:$L$35,'Costo Directo Proyectos'!$AD168)*$AG168,0)+IF('Gantt Proyectos'!AF236=2,$T168,0)/$W168,0)*$L168</f>
        <v>0</v>
      </c>
      <c r="AI168" s="169">
        <f>IFERROR(IF('Gantt Proyectos'!AG236&gt;0,SUMIFS('Listas y Parametros'!$C$45:$L$45,'Listas y Parametros'!$C$35:$L$35,'Costo Directo Proyectos'!$AD168)*$AG168,0)+IF('Gantt Proyectos'!AG236=2,$T168,0)/$W168,0)*$L168</f>
        <v>0</v>
      </c>
      <c r="AJ168" s="169">
        <f>IFERROR(IF('Gantt Proyectos'!AH236&gt;0,SUMIFS('Listas y Parametros'!$C$45:$L$45,'Listas y Parametros'!$C$35:$L$35,'Costo Directo Proyectos'!$AD168)*$AG168,0)+IF('Gantt Proyectos'!AH236=2,$T168,0)/$W168,0)*$L168</f>
        <v>0</v>
      </c>
      <c r="AK168" s="169">
        <f>IFERROR(IF('Gantt Proyectos'!AI236&gt;0,SUMIFS('Listas y Parametros'!$C$45:$L$45,'Listas y Parametros'!$C$35:$L$35,'Costo Directo Proyectos'!$AD168)*$AG168,0)+IF('Gantt Proyectos'!AI236=2,$T168,0)/$W168,0)*$L168</f>
        <v>0</v>
      </c>
      <c r="AL168" s="169">
        <f>IFERROR(IF('Gantt Proyectos'!AJ236&gt;0,SUMIFS('Listas y Parametros'!$C$45:$L$45,'Listas y Parametros'!$C$35:$L$35,'Costo Directo Proyectos'!$AD168)*$AG168,0)+IF('Gantt Proyectos'!AJ236=2,$T168,0)/$W168,0)*$L168</f>
        <v>0</v>
      </c>
      <c r="AM168" s="169">
        <f>IFERROR(IF('Gantt Proyectos'!AK236&gt;0,SUMIFS('Listas y Parametros'!$C$45:$L$45,'Listas y Parametros'!$C$35:$L$35,'Costo Directo Proyectos'!$AD168)*$AG168,0)+IF('Gantt Proyectos'!AK236=2,$T168,0)/$W168,0)*$L168</f>
        <v>0</v>
      </c>
      <c r="AN168" s="169">
        <f>IFERROR(IF('Gantt Proyectos'!AL236&gt;0,SUMIFS('Listas y Parametros'!$C$45:$L$45,'Listas y Parametros'!$C$35:$L$35,'Costo Directo Proyectos'!$AD168)*$AG168,0)+IF('Gantt Proyectos'!AL236=2,$T168,0)/$W168,0)*$L168</f>
        <v>0</v>
      </c>
      <c r="AO168" s="169">
        <f>IFERROR(IF('Gantt Proyectos'!AM236&gt;0,SUMIFS('Listas y Parametros'!$C$45:$L$45,'Listas y Parametros'!$C$35:$L$35,'Costo Directo Proyectos'!$AD168)*$AG168,0)+IF('Gantt Proyectos'!AM236=2,$T168,0)/$W168,0)*$L168</f>
        <v>0</v>
      </c>
      <c r="AP168" s="170">
        <f>IFERROR(IF('Gantt Proyectos'!AN236&gt;0,SUMIFS('Listas y Parametros'!$C$45:$L$45,'Listas y Parametros'!$C$35:$L$35,'Costo Directo Proyectos'!$AD168)*$AG168,0)+IF('Gantt Proyectos'!AN236=2,$T168,0)/$W168,0)*$L168</f>
        <v>0</v>
      </c>
    </row>
    <row r="169" spans="3:42" ht="15" x14ac:dyDescent="0.2">
      <c r="C169" s="110">
        <f>+'Gantt Proyectos'!C237</f>
        <v>0</v>
      </c>
      <c r="D169" s="110">
        <f>+'Gantt Proyectos'!D237</f>
        <v>0</v>
      </c>
      <c r="E169" s="110">
        <f>+'Gantt Proyectos'!E237</f>
        <v>0</v>
      </c>
      <c r="F169" s="148">
        <f>+'Gantt Proyectos'!F237</f>
        <v>0</v>
      </c>
      <c r="G169" s="110">
        <f>+'Gantt Proyectos'!G237</f>
        <v>0</v>
      </c>
      <c r="H169" s="110">
        <f>+'Gantt Proyectos'!H237</f>
        <v>0</v>
      </c>
      <c r="I169" s="189">
        <v>1</v>
      </c>
      <c r="J169" s="189">
        <f t="shared" si="16"/>
        <v>0</v>
      </c>
      <c r="K169" s="110">
        <f>+'Gantt Proyectos'!I237</f>
        <v>0</v>
      </c>
      <c r="L169" s="110">
        <f>+'Gantt Proyectos'!J237</f>
        <v>0</v>
      </c>
      <c r="M169" s="110">
        <f>+'Gantt Proyectos'!K237</f>
        <v>0</v>
      </c>
      <c r="N169" s="110">
        <f>+'Gantt Proyectos'!L237</f>
        <v>0</v>
      </c>
      <c r="O169" s="110">
        <f>+'Gantt Proyectos'!M237</f>
        <v>0</v>
      </c>
      <c r="P169" s="110">
        <f>+'Gantt Proyectos'!N237</f>
        <v>0</v>
      </c>
      <c r="Q169" s="110">
        <f>+'Gantt Proyectos'!O237</f>
        <v>0</v>
      </c>
      <c r="R169" s="110">
        <f>+'Gantt Proyectos'!P237</f>
        <v>0</v>
      </c>
      <c r="S169" s="110">
        <f>+'Gantt Proyectos'!R237</f>
        <v>0</v>
      </c>
      <c r="T169" s="118">
        <f>+'Gantt Proyectos'!S237</f>
        <v>0</v>
      </c>
      <c r="U169" s="157">
        <f>+'Gantt Proyectos'!T237</f>
        <v>0</v>
      </c>
      <c r="V169" s="157">
        <f>+'Gantt Proyectos'!U237</f>
        <v>0</v>
      </c>
      <c r="W169" s="201">
        <f t="shared" si="17"/>
        <v>0</v>
      </c>
      <c r="X169" s="110">
        <f>+'Gantt Proyectos'!W237</f>
        <v>0</v>
      </c>
      <c r="Y169" s="110">
        <f>+'Gantt Proyectos'!X237</f>
        <v>0</v>
      </c>
      <c r="Z169" s="110">
        <f>+'Gantt Proyectos'!Y237</f>
        <v>0</v>
      </c>
      <c r="AA169" s="110">
        <f>+'Gantt Proyectos'!Z237</f>
        <v>0</v>
      </c>
      <c r="AB169" s="110">
        <f>+'Gantt Proyectos'!AA237</f>
        <v>0</v>
      </c>
      <c r="AC169" s="110">
        <f>+'Gantt Proyectos'!AB237</f>
        <v>0</v>
      </c>
      <c r="AD169" s="110">
        <f>+'Gantt Proyectos'!AC237</f>
        <v>0</v>
      </c>
      <c r="AE169" s="110">
        <f>+'Gantt Proyectos'!AD237</f>
        <v>0</v>
      </c>
      <c r="AF169" s="110">
        <f>+'Gantt Proyectos'!AE237</f>
        <v>0</v>
      </c>
      <c r="AG169" s="172">
        <v>1</v>
      </c>
      <c r="AH169" s="168">
        <f>IFERROR(IF('Gantt Proyectos'!AF237&gt;0,SUMIFS('Listas y Parametros'!$C$45:$L$45,'Listas y Parametros'!$C$35:$L$35,'Costo Directo Proyectos'!$AD169)*$AG169,0)+IF('Gantt Proyectos'!AF237=2,$T169,0)/$W169,0)*$L169</f>
        <v>0</v>
      </c>
      <c r="AI169" s="169">
        <f>IFERROR(IF('Gantt Proyectos'!AG237&gt;0,SUMIFS('Listas y Parametros'!$C$45:$L$45,'Listas y Parametros'!$C$35:$L$35,'Costo Directo Proyectos'!$AD169)*$AG169,0)+IF('Gantt Proyectos'!AG237=2,$T169,0)/$W169,0)*$L169</f>
        <v>0</v>
      </c>
      <c r="AJ169" s="169">
        <f>IFERROR(IF('Gantt Proyectos'!AH237&gt;0,SUMIFS('Listas y Parametros'!$C$45:$L$45,'Listas y Parametros'!$C$35:$L$35,'Costo Directo Proyectos'!$AD169)*$AG169,0)+IF('Gantt Proyectos'!AH237=2,$T169,0)/$W169,0)*$L169</f>
        <v>0</v>
      </c>
      <c r="AK169" s="169">
        <f>IFERROR(IF('Gantt Proyectos'!AI237&gt;0,SUMIFS('Listas y Parametros'!$C$45:$L$45,'Listas y Parametros'!$C$35:$L$35,'Costo Directo Proyectos'!$AD169)*$AG169,0)+IF('Gantt Proyectos'!AI237=2,$T169,0)/$W169,0)*$L169</f>
        <v>0</v>
      </c>
      <c r="AL169" s="169">
        <f>IFERROR(IF('Gantt Proyectos'!AJ237&gt;0,SUMIFS('Listas y Parametros'!$C$45:$L$45,'Listas y Parametros'!$C$35:$L$35,'Costo Directo Proyectos'!$AD169)*$AG169,0)+IF('Gantt Proyectos'!AJ237=2,$T169,0)/$W169,0)*$L169</f>
        <v>0</v>
      </c>
      <c r="AM169" s="169">
        <f>IFERROR(IF('Gantt Proyectos'!AK237&gt;0,SUMIFS('Listas y Parametros'!$C$45:$L$45,'Listas y Parametros'!$C$35:$L$35,'Costo Directo Proyectos'!$AD169)*$AG169,0)+IF('Gantt Proyectos'!AK237=2,$T169,0)/$W169,0)*$L169</f>
        <v>0</v>
      </c>
      <c r="AN169" s="169">
        <f>IFERROR(IF('Gantt Proyectos'!AL237&gt;0,SUMIFS('Listas y Parametros'!$C$45:$L$45,'Listas y Parametros'!$C$35:$L$35,'Costo Directo Proyectos'!$AD169)*$AG169,0)+IF('Gantt Proyectos'!AL237=2,$T169,0)/$W169,0)*$L169</f>
        <v>0</v>
      </c>
      <c r="AO169" s="169">
        <f>IFERROR(IF('Gantt Proyectos'!AM237&gt;0,SUMIFS('Listas y Parametros'!$C$45:$L$45,'Listas y Parametros'!$C$35:$L$35,'Costo Directo Proyectos'!$AD169)*$AG169,0)+IF('Gantt Proyectos'!AM237=2,$T169,0)/$W169,0)*$L169</f>
        <v>0</v>
      </c>
      <c r="AP169" s="170">
        <f>IFERROR(IF('Gantt Proyectos'!AN237&gt;0,SUMIFS('Listas y Parametros'!$C$45:$L$45,'Listas y Parametros'!$C$35:$L$35,'Costo Directo Proyectos'!$AD169)*$AG169,0)+IF('Gantt Proyectos'!AN237=2,$T169,0)/$W169,0)*$L169</f>
        <v>0</v>
      </c>
    </row>
    <row r="170" spans="3:42" ht="15" x14ac:dyDescent="0.2">
      <c r="C170" s="110">
        <f>+'Gantt Proyectos'!C238</f>
        <v>0</v>
      </c>
      <c r="D170" s="110">
        <f>+'Gantt Proyectos'!D238</f>
        <v>0</v>
      </c>
      <c r="E170" s="110">
        <f>+'Gantt Proyectos'!E238</f>
        <v>0</v>
      </c>
      <c r="F170" s="148">
        <f>+'Gantt Proyectos'!F238</f>
        <v>0</v>
      </c>
      <c r="G170" s="110">
        <f>+'Gantt Proyectos'!G238</f>
        <v>0</v>
      </c>
      <c r="H170" s="110">
        <f>+'Gantt Proyectos'!H238</f>
        <v>0</v>
      </c>
      <c r="I170" s="189">
        <v>1</v>
      </c>
      <c r="J170" s="189">
        <f t="shared" si="16"/>
        <v>0</v>
      </c>
      <c r="K170" s="110">
        <f>+'Gantt Proyectos'!I238</f>
        <v>0</v>
      </c>
      <c r="L170" s="110">
        <f>+'Gantt Proyectos'!J238</f>
        <v>0</v>
      </c>
      <c r="M170" s="110">
        <f>+'Gantt Proyectos'!K238</f>
        <v>0</v>
      </c>
      <c r="N170" s="110">
        <f>+'Gantt Proyectos'!L238</f>
        <v>0</v>
      </c>
      <c r="O170" s="110">
        <f>+'Gantt Proyectos'!M238</f>
        <v>0</v>
      </c>
      <c r="P170" s="110">
        <f>+'Gantt Proyectos'!N238</f>
        <v>0</v>
      </c>
      <c r="Q170" s="110">
        <f>+'Gantt Proyectos'!O238</f>
        <v>0</v>
      </c>
      <c r="R170" s="110">
        <f>+'Gantt Proyectos'!P238</f>
        <v>0</v>
      </c>
      <c r="S170" s="110">
        <f>+'Gantt Proyectos'!R238</f>
        <v>0</v>
      </c>
      <c r="T170" s="118">
        <f>+'Gantt Proyectos'!S238</f>
        <v>0</v>
      </c>
      <c r="U170" s="157">
        <f>+'Gantt Proyectos'!T238</f>
        <v>0</v>
      </c>
      <c r="V170" s="157">
        <f>+'Gantt Proyectos'!U238</f>
        <v>0</v>
      </c>
      <c r="W170" s="201">
        <f t="shared" si="17"/>
        <v>0</v>
      </c>
      <c r="X170" s="110">
        <f>+'Gantt Proyectos'!W238</f>
        <v>0</v>
      </c>
      <c r="Y170" s="110">
        <f>+'Gantt Proyectos'!X238</f>
        <v>0</v>
      </c>
      <c r="Z170" s="110">
        <f>+'Gantt Proyectos'!Y238</f>
        <v>0</v>
      </c>
      <c r="AA170" s="110">
        <f>+'Gantt Proyectos'!Z238</f>
        <v>0</v>
      </c>
      <c r="AB170" s="110">
        <f>+'Gantt Proyectos'!AA238</f>
        <v>0</v>
      </c>
      <c r="AC170" s="110">
        <f>+'Gantt Proyectos'!AB238</f>
        <v>0</v>
      </c>
      <c r="AD170" s="110">
        <f>+'Gantt Proyectos'!AC238</f>
        <v>0</v>
      </c>
      <c r="AE170" s="110">
        <f>+'Gantt Proyectos'!AD238</f>
        <v>0</v>
      </c>
      <c r="AF170" s="110">
        <f>+'Gantt Proyectos'!AE238</f>
        <v>0</v>
      </c>
      <c r="AG170" s="172">
        <v>1</v>
      </c>
      <c r="AH170" s="168">
        <f>IFERROR(IF('Gantt Proyectos'!AF238&gt;0,SUMIFS('Listas y Parametros'!$C$45:$L$45,'Listas y Parametros'!$C$35:$L$35,'Costo Directo Proyectos'!$AD170)*$AG170,0)+IF('Gantt Proyectos'!AF238=2,$T170,0)/$W170,0)*$L170</f>
        <v>0</v>
      </c>
      <c r="AI170" s="169">
        <f>IFERROR(IF('Gantt Proyectos'!AG238&gt;0,SUMIFS('Listas y Parametros'!$C$45:$L$45,'Listas y Parametros'!$C$35:$L$35,'Costo Directo Proyectos'!$AD170)*$AG170,0)+IF('Gantt Proyectos'!AG238=2,$T170,0)/$W170,0)*$L170</f>
        <v>0</v>
      </c>
      <c r="AJ170" s="169">
        <f>IFERROR(IF('Gantt Proyectos'!AH238&gt;0,SUMIFS('Listas y Parametros'!$C$45:$L$45,'Listas y Parametros'!$C$35:$L$35,'Costo Directo Proyectos'!$AD170)*$AG170,0)+IF('Gantt Proyectos'!AH238=2,$T170,0)/$W170,0)*$L170</f>
        <v>0</v>
      </c>
      <c r="AK170" s="169">
        <f>IFERROR(IF('Gantt Proyectos'!AI238&gt;0,SUMIFS('Listas y Parametros'!$C$45:$L$45,'Listas y Parametros'!$C$35:$L$35,'Costo Directo Proyectos'!$AD170)*$AG170,0)+IF('Gantt Proyectos'!AI238=2,$T170,0)/$W170,0)*$L170</f>
        <v>0</v>
      </c>
      <c r="AL170" s="169">
        <f>IFERROR(IF('Gantt Proyectos'!AJ238&gt;0,SUMIFS('Listas y Parametros'!$C$45:$L$45,'Listas y Parametros'!$C$35:$L$35,'Costo Directo Proyectos'!$AD170)*$AG170,0)+IF('Gantt Proyectos'!AJ238=2,$T170,0)/$W170,0)*$L170</f>
        <v>0</v>
      </c>
      <c r="AM170" s="169">
        <f>IFERROR(IF('Gantt Proyectos'!AK238&gt;0,SUMIFS('Listas y Parametros'!$C$45:$L$45,'Listas y Parametros'!$C$35:$L$35,'Costo Directo Proyectos'!$AD170)*$AG170,0)+IF('Gantt Proyectos'!AK238=2,$T170,0)/$W170,0)*$L170</f>
        <v>0</v>
      </c>
      <c r="AN170" s="169">
        <f>IFERROR(IF('Gantt Proyectos'!AL238&gt;0,SUMIFS('Listas y Parametros'!$C$45:$L$45,'Listas y Parametros'!$C$35:$L$35,'Costo Directo Proyectos'!$AD170)*$AG170,0)+IF('Gantt Proyectos'!AL238=2,$T170,0)/$W170,0)*$L170</f>
        <v>0</v>
      </c>
      <c r="AO170" s="169">
        <f>IFERROR(IF('Gantt Proyectos'!AM238&gt;0,SUMIFS('Listas y Parametros'!$C$45:$L$45,'Listas y Parametros'!$C$35:$L$35,'Costo Directo Proyectos'!$AD170)*$AG170,0)+IF('Gantt Proyectos'!AM238=2,$T170,0)/$W170,0)*$L170</f>
        <v>0</v>
      </c>
      <c r="AP170" s="170">
        <f>IFERROR(IF('Gantt Proyectos'!AN238&gt;0,SUMIFS('Listas y Parametros'!$C$45:$L$45,'Listas y Parametros'!$C$35:$L$35,'Costo Directo Proyectos'!$AD170)*$AG170,0)+IF('Gantt Proyectos'!AN238=2,$T170,0)/$W170,0)*$L170</f>
        <v>0</v>
      </c>
    </row>
    <row r="171" spans="3:42" ht="15" x14ac:dyDescent="0.2">
      <c r="C171" s="110">
        <f>+'Gantt Proyectos'!C239</f>
        <v>0</v>
      </c>
      <c r="D171" s="110">
        <f>+'Gantt Proyectos'!D239</f>
        <v>0</v>
      </c>
      <c r="E171" s="110">
        <f>+'Gantt Proyectos'!E239</f>
        <v>0</v>
      </c>
      <c r="F171" s="148">
        <f>+'Gantt Proyectos'!F239</f>
        <v>0</v>
      </c>
      <c r="G171" s="110">
        <f>+'Gantt Proyectos'!G239</f>
        <v>0</v>
      </c>
      <c r="H171" s="110">
        <f>+'Gantt Proyectos'!H239</f>
        <v>0</v>
      </c>
      <c r="I171" s="189">
        <v>1</v>
      </c>
      <c r="J171" s="189">
        <f t="shared" si="16"/>
        <v>0</v>
      </c>
      <c r="K171" s="110">
        <f>+'Gantt Proyectos'!I239</f>
        <v>0</v>
      </c>
      <c r="L171" s="110">
        <f>+'Gantt Proyectos'!J239</f>
        <v>0</v>
      </c>
      <c r="M171" s="110">
        <f>+'Gantt Proyectos'!K239</f>
        <v>0</v>
      </c>
      <c r="N171" s="110">
        <f>+'Gantt Proyectos'!L239</f>
        <v>0</v>
      </c>
      <c r="O171" s="110">
        <f>+'Gantt Proyectos'!M239</f>
        <v>0</v>
      </c>
      <c r="P171" s="110">
        <f>+'Gantt Proyectos'!N239</f>
        <v>0</v>
      </c>
      <c r="Q171" s="110">
        <f>+'Gantt Proyectos'!O239</f>
        <v>0</v>
      </c>
      <c r="R171" s="110">
        <f>+'Gantt Proyectos'!P239</f>
        <v>0</v>
      </c>
      <c r="S171" s="110">
        <f>+'Gantt Proyectos'!R239</f>
        <v>0</v>
      </c>
      <c r="T171" s="118">
        <f>+'Gantt Proyectos'!S239</f>
        <v>0</v>
      </c>
      <c r="U171" s="157">
        <f>+'Gantt Proyectos'!T239</f>
        <v>0</v>
      </c>
      <c r="V171" s="157">
        <f>+'Gantt Proyectos'!U239</f>
        <v>0</v>
      </c>
      <c r="W171" s="201">
        <f t="shared" si="17"/>
        <v>0</v>
      </c>
      <c r="X171" s="110">
        <f>+'Gantt Proyectos'!W239</f>
        <v>0</v>
      </c>
      <c r="Y171" s="110">
        <f>+'Gantt Proyectos'!X239</f>
        <v>0</v>
      </c>
      <c r="Z171" s="110">
        <f>+'Gantt Proyectos'!Y239</f>
        <v>0</v>
      </c>
      <c r="AA171" s="110">
        <f>+'Gantt Proyectos'!Z239</f>
        <v>0</v>
      </c>
      <c r="AB171" s="110">
        <f>+'Gantt Proyectos'!AA239</f>
        <v>0</v>
      </c>
      <c r="AC171" s="110">
        <f>+'Gantt Proyectos'!AB239</f>
        <v>0</v>
      </c>
      <c r="AD171" s="110">
        <f>+'Gantt Proyectos'!AC239</f>
        <v>0</v>
      </c>
      <c r="AE171" s="110">
        <f>+'Gantt Proyectos'!AD239</f>
        <v>0</v>
      </c>
      <c r="AF171" s="110">
        <f>+'Gantt Proyectos'!AE239</f>
        <v>0</v>
      </c>
      <c r="AG171" s="172">
        <v>1</v>
      </c>
      <c r="AH171" s="168">
        <f>IFERROR(IF('Gantt Proyectos'!AF239&gt;0,SUMIFS('Listas y Parametros'!$C$45:$L$45,'Listas y Parametros'!$C$35:$L$35,'Costo Directo Proyectos'!$AD171)*$AG171,0)+IF('Gantt Proyectos'!AF239=2,$T171,0)/$W171,0)*$L171</f>
        <v>0</v>
      </c>
      <c r="AI171" s="169">
        <f>IFERROR(IF('Gantt Proyectos'!AG239&gt;0,SUMIFS('Listas y Parametros'!$C$45:$L$45,'Listas y Parametros'!$C$35:$L$35,'Costo Directo Proyectos'!$AD171)*$AG171,0)+IF('Gantt Proyectos'!AG239=2,$T171,0)/$W171,0)*$L171</f>
        <v>0</v>
      </c>
      <c r="AJ171" s="169">
        <f>IFERROR(IF('Gantt Proyectos'!AH239&gt;0,SUMIFS('Listas y Parametros'!$C$45:$L$45,'Listas y Parametros'!$C$35:$L$35,'Costo Directo Proyectos'!$AD171)*$AG171,0)+IF('Gantt Proyectos'!AH239=2,$T171,0)/$W171,0)*$L171</f>
        <v>0</v>
      </c>
      <c r="AK171" s="169">
        <f>IFERROR(IF('Gantt Proyectos'!AI239&gt;0,SUMIFS('Listas y Parametros'!$C$45:$L$45,'Listas y Parametros'!$C$35:$L$35,'Costo Directo Proyectos'!$AD171)*$AG171,0)+IF('Gantt Proyectos'!AI239=2,$T171,0)/$W171,0)*$L171</f>
        <v>0</v>
      </c>
      <c r="AL171" s="169">
        <f>IFERROR(IF('Gantt Proyectos'!AJ239&gt;0,SUMIFS('Listas y Parametros'!$C$45:$L$45,'Listas y Parametros'!$C$35:$L$35,'Costo Directo Proyectos'!$AD171)*$AG171,0)+IF('Gantt Proyectos'!AJ239=2,$T171,0)/$W171,0)*$L171</f>
        <v>0</v>
      </c>
      <c r="AM171" s="169">
        <f>IFERROR(IF('Gantt Proyectos'!AK239&gt;0,SUMIFS('Listas y Parametros'!$C$45:$L$45,'Listas y Parametros'!$C$35:$L$35,'Costo Directo Proyectos'!$AD171)*$AG171,0)+IF('Gantt Proyectos'!AK239=2,$T171,0)/$W171,0)*$L171</f>
        <v>0</v>
      </c>
      <c r="AN171" s="169">
        <f>IFERROR(IF('Gantt Proyectos'!AL239&gt;0,SUMIFS('Listas y Parametros'!$C$45:$L$45,'Listas y Parametros'!$C$35:$L$35,'Costo Directo Proyectos'!$AD171)*$AG171,0)+IF('Gantt Proyectos'!AL239=2,$T171,0)/$W171,0)*$L171</f>
        <v>0</v>
      </c>
      <c r="AO171" s="169">
        <f>IFERROR(IF('Gantt Proyectos'!AM239&gt;0,SUMIFS('Listas y Parametros'!$C$45:$L$45,'Listas y Parametros'!$C$35:$L$35,'Costo Directo Proyectos'!$AD171)*$AG171,0)+IF('Gantt Proyectos'!AM239=2,$T171,0)/$W171,0)*$L171</f>
        <v>0</v>
      </c>
      <c r="AP171" s="170">
        <f>IFERROR(IF('Gantt Proyectos'!AN239&gt;0,SUMIFS('Listas y Parametros'!$C$45:$L$45,'Listas y Parametros'!$C$35:$L$35,'Costo Directo Proyectos'!$AD171)*$AG171,0)+IF('Gantt Proyectos'!AN239=2,$T171,0)/$W171,0)*$L171</f>
        <v>0</v>
      </c>
    </row>
    <row r="172" spans="3:42" ht="15" x14ac:dyDescent="0.2">
      <c r="C172" s="110">
        <f>+'Gantt Proyectos'!C240</f>
        <v>0</v>
      </c>
      <c r="D172" s="110">
        <f>+'Gantt Proyectos'!D240</f>
        <v>0</v>
      </c>
      <c r="E172" s="110">
        <f>+'Gantt Proyectos'!E240</f>
        <v>0</v>
      </c>
      <c r="F172" s="148">
        <f>+'Gantt Proyectos'!F240</f>
        <v>0</v>
      </c>
      <c r="G172" s="110">
        <f>+'Gantt Proyectos'!G240</f>
        <v>0</v>
      </c>
      <c r="H172" s="110">
        <f>+'Gantt Proyectos'!H240</f>
        <v>0</v>
      </c>
      <c r="I172" s="189">
        <v>1</v>
      </c>
      <c r="J172" s="189">
        <f t="shared" si="16"/>
        <v>0</v>
      </c>
      <c r="K172" s="110">
        <f>+'Gantt Proyectos'!I240</f>
        <v>0</v>
      </c>
      <c r="L172" s="110">
        <f>+'Gantt Proyectos'!J240</f>
        <v>0</v>
      </c>
      <c r="M172" s="110">
        <f>+'Gantt Proyectos'!K240</f>
        <v>0</v>
      </c>
      <c r="N172" s="110">
        <f>+'Gantt Proyectos'!L240</f>
        <v>0</v>
      </c>
      <c r="O172" s="110">
        <f>+'Gantt Proyectos'!M240</f>
        <v>0</v>
      </c>
      <c r="P172" s="110">
        <f>+'Gantt Proyectos'!N240</f>
        <v>0</v>
      </c>
      <c r="Q172" s="110">
        <f>+'Gantt Proyectos'!O240</f>
        <v>0</v>
      </c>
      <c r="R172" s="110">
        <f>+'Gantt Proyectos'!P240</f>
        <v>0</v>
      </c>
      <c r="S172" s="110">
        <f>+'Gantt Proyectos'!R240</f>
        <v>0</v>
      </c>
      <c r="T172" s="118">
        <f>+'Gantt Proyectos'!S240</f>
        <v>0</v>
      </c>
      <c r="U172" s="157">
        <f>+'Gantt Proyectos'!T240</f>
        <v>0</v>
      </c>
      <c r="V172" s="157">
        <f>+'Gantt Proyectos'!U240</f>
        <v>0</v>
      </c>
      <c r="W172" s="201">
        <f t="shared" si="17"/>
        <v>0</v>
      </c>
      <c r="X172" s="110">
        <f>+'Gantt Proyectos'!W240</f>
        <v>0</v>
      </c>
      <c r="Y172" s="110">
        <f>+'Gantt Proyectos'!X240</f>
        <v>0</v>
      </c>
      <c r="Z172" s="110">
        <f>+'Gantt Proyectos'!Y240</f>
        <v>0</v>
      </c>
      <c r="AA172" s="110">
        <f>+'Gantt Proyectos'!Z240</f>
        <v>0</v>
      </c>
      <c r="AB172" s="110">
        <f>+'Gantt Proyectos'!AA240</f>
        <v>0</v>
      </c>
      <c r="AC172" s="110">
        <f>+'Gantt Proyectos'!AB240</f>
        <v>0</v>
      </c>
      <c r="AD172" s="110">
        <f>+'Gantt Proyectos'!AC240</f>
        <v>0</v>
      </c>
      <c r="AE172" s="110">
        <f>+'Gantt Proyectos'!AD240</f>
        <v>0</v>
      </c>
      <c r="AF172" s="110">
        <f>+'Gantt Proyectos'!AE240</f>
        <v>0</v>
      </c>
      <c r="AG172" s="172">
        <v>1</v>
      </c>
      <c r="AH172" s="168">
        <f>IFERROR(IF('Gantt Proyectos'!AF240&gt;0,SUMIFS('Listas y Parametros'!$C$45:$L$45,'Listas y Parametros'!$C$35:$L$35,'Costo Directo Proyectos'!$AD172)*$AG172,0)+IF('Gantt Proyectos'!AF240=2,$T172,0)/$W172,0)*$L172</f>
        <v>0</v>
      </c>
      <c r="AI172" s="169">
        <f>IFERROR(IF('Gantt Proyectos'!AG240&gt;0,SUMIFS('Listas y Parametros'!$C$45:$L$45,'Listas y Parametros'!$C$35:$L$35,'Costo Directo Proyectos'!$AD172)*$AG172,0)+IF('Gantt Proyectos'!AG240=2,$T172,0)/$W172,0)*$L172</f>
        <v>0</v>
      </c>
      <c r="AJ172" s="169">
        <f>IFERROR(IF('Gantt Proyectos'!AH240&gt;0,SUMIFS('Listas y Parametros'!$C$45:$L$45,'Listas y Parametros'!$C$35:$L$35,'Costo Directo Proyectos'!$AD172)*$AG172,0)+IF('Gantt Proyectos'!AH240=2,$T172,0)/$W172,0)*$L172</f>
        <v>0</v>
      </c>
      <c r="AK172" s="169">
        <f>IFERROR(IF('Gantt Proyectos'!AI240&gt;0,SUMIFS('Listas y Parametros'!$C$45:$L$45,'Listas y Parametros'!$C$35:$L$35,'Costo Directo Proyectos'!$AD172)*$AG172,0)+IF('Gantt Proyectos'!AI240=2,$T172,0)/$W172,0)*$L172</f>
        <v>0</v>
      </c>
      <c r="AL172" s="169">
        <f>IFERROR(IF('Gantt Proyectos'!AJ240&gt;0,SUMIFS('Listas y Parametros'!$C$45:$L$45,'Listas y Parametros'!$C$35:$L$35,'Costo Directo Proyectos'!$AD172)*$AG172,0)+IF('Gantt Proyectos'!AJ240=2,$T172,0)/$W172,0)*$L172</f>
        <v>0</v>
      </c>
      <c r="AM172" s="169">
        <f>IFERROR(IF('Gantt Proyectos'!AK240&gt;0,SUMIFS('Listas y Parametros'!$C$45:$L$45,'Listas y Parametros'!$C$35:$L$35,'Costo Directo Proyectos'!$AD172)*$AG172,0)+IF('Gantt Proyectos'!AK240=2,$T172,0)/$W172,0)*$L172</f>
        <v>0</v>
      </c>
      <c r="AN172" s="169">
        <f>IFERROR(IF('Gantt Proyectos'!AL240&gt;0,SUMIFS('Listas y Parametros'!$C$45:$L$45,'Listas y Parametros'!$C$35:$L$35,'Costo Directo Proyectos'!$AD172)*$AG172,0)+IF('Gantt Proyectos'!AL240=2,$T172,0)/$W172,0)*$L172</f>
        <v>0</v>
      </c>
      <c r="AO172" s="169">
        <f>IFERROR(IF('Gantt Proyectos'!AM240&gt;0,SUMIFS('Listas y Parametros'!$C$45:$L$45,'Listas y Parametros'!$C$35:$L$35,'Costo Directo Proyectos'!$AD172)*$AG172,0)+IF('Gantt Proyectos'!AM240=2,$T172,0)/$W172,0)*$L172</f>
        <v>0</v>
      </c>
      <c r="AP172" s="170">
        <f>IFERROR(IF('Gantt Proyectos'!AN240&gt;0,SUMIFS('Listas y Parametros'!$C$45:$L$45,'Listas y Parametros'!$C$35:$L$35,'Costo Directo Proyectos'!$AD172)*$AG172,0)+IF('Gantt Proyectos'!AN240=2,$T172,0)/$W172,0)*$L172</f>
        <v>0</v>
      </c>
    </row>
    <row r="173" spans="3:42" ht="15" x14ac:dyDescent="0.2">
      <c r="C173" s="110">
        <f>+'Gantt Proyectos'!C241</f>
        <v>0</v>
      </c>
      <c r="D173" s="110">
        <f>+'Gantt Proyectos'!D241</f>
        <v>0</v>
      </c>
      <c r="E173" s="110">
        <f>+'Gantt Proyectos'!E241</f>
        <v>0</v>
      </c>
      <c r="F173" s="148">
        <f>+'Gantt Proyectos'!F241</f>
        <v>0</v>
      </c>
      <c r="G173" s="110">
        <f>+'Gantt Proyectos'!G241</f>
        <v>0</v>
      </c>
      <c r="H173" s="110">
        <f>+'Gantt Proyectos'!H241</f>
        <v>0</v>
      </c>
      <c r="I173" s="189">
        <v>1</v>
      </c>
      <c r="J173" s="189">
        <f t="shared" si="16"/>
        <v>0</v>
      </c>
      <c r="K173" s="110">
        <f>+'Gantt Proyectos'!I241</f>
        <v>0</v>
      </c>
      <c r="L173" s="110">
        <f>+'Gantt Proyectos'!J241</f>
        <v>0</v>
      </c>
      <c r="M173" s="110">
        <f>+'Gantt Proyectos'!K241</f>
        <v>0</v>
      </c>
      <c r="N173" s="110">
        <f>+'Gantt Proyectos'!L241</f>
        <v>0</v>
      </c>
      <c r="O173" s="110">
        <f>+'Gantt Proyectos'!M241</f>
        <v>0</v>
      </c>
      <c r="P173" s="110">
        <f>+'Gantt Proyectos'!N241</f>
        <v>0</v>
      </c>
      <c r="Q173" s="110">
        <f>+'Gantt Proyectos'!O241</f>
        <v>0</v>
      </c>
      <c r="R173" s="110">
        <f>+'Gantt Proyectos'!P241</f>
        <v>0</v>
      </c>
      <c r="S173" s="110">
        <f>+'Gantt Proyectos'!R241</f>
        <v>0</v>
      </c>
      <c r="T173" s="118">
        <f>+'Gantt Proyectos'!S241</f>
        <v>0</v>
      </c>
      <c r="U173" s="157">
        <f>+'Gantt Proyectos'!T241</f>
        <v>0</v>
      </c>
      <c r="V173" s="157">
        <f>+'Gantt Proyectos'!U241</f>
        <v>0</v>
      </c>
      <c r="W173" s="201">
        <f t="shared" si="17"/>
        <v>0</v>
      </c>
      <c r="X173" s="110">
        <f>+'Gantt Proyectos'!W241</f>
        <v>0</v>
      </c>
      <c r="Y173" s="110">
        <f>+'Gantt Proyectos'!X241</f>
        <v>0</v>
      </c>
      <c r="Z173" s="110">
        <f>+'Gantt Proyectos'!Y241</f>
        <v>0</v>
      </c>
      <c r="AA173" s="110">
        <f>+'Gantt Proyectos'!Z241</f>
        <v>0</v>
      </c>
      <c r="AB173" s="110">
        <f>+'Gantt Proyectos'!AA241</f>
        <v>0</v>
      </c>
      <c r="AC173" s="110">
        <f>+'Gantt Proyectos'!AB241</f>
        <v>0</v>
      </c>
      <c r="AD173" s="110">
        <f>+'Gantt Proyectos'!AC241</f>
        <v>0</v>
      </c>
      <c r="AE173" s="110">
        <f>+'Gantt Proyectos'!AD241</f>
        <v>0</v>
      </c>
      <c r="AF173" s="110">
        <f>+'Gantt Proyectos'!AE241</f>
        <v>0</v>
      </c>
      <c r="AG173" s="172">
        <v>1</v>
      </c>
      <c r="AH173" s="168">
        <f>IFERROR(IF('Gantt Proyectos'!AF241&gt;0,SUMIFS('Listas y Parametros'!$C$45:$L$45,'Listas y Parametros'!$C$35:$L$35,'Costo Directo Proyectos'!$AD173)*$AG173,0)+IF('Gantt Proyectos'!AF241=2,$T173,0)/$W173,0)*$L173</f>
        <v>0</v>
      </c>
      <c r="AI173" s="169">
        <f>IFERROR(IF('Gantt Proyectos'!AG241&gt;0,SUMIFS('Listas y Parametros'!$C$45:$L$45,'Listas y Parametros'!$C$35:$L$35,'Costo Directo Proyectos'!$AD173)*$AG173,0)+IF('Gantt Proyectos'!AG241=2,$T173,0)/$W173,0)*$L173</f>
        <v>0</v>
      </c>
      <c r="AJ173" s="169">
        <f>IFERROR(IF('Gantt Proyectos'!AH241&gt;0,SUMIFS('Listas y Parametros'!$C$45:$L$45,'Listas y Parametros'!$C$35:$L$35,'Costo Directo Proyectos'!$AD173)*$AG173,0)+IF('Gantt Proyectos'!AH241=2,$T173,0)/$W173,0)*$L173</f>
        <v>0</v>
      </c>
      <c r="AK173" s="169">
        <f>IFERROR(IF('Gantt Proyectos'!AI241&gt;0,SUMIFS('Listas y Parametros'!$C$45:$L$45,'Listas y Parametros'!$C$35:$L$35,'Costo Directo Proyectos'!$AD173)*$AG173,0)+IF('Gantt Proyectos'!AI241=2,$T173,0)/$W173,0)*$L173</f>
        <v>0</v>
      </c>
      <c r="AL173" s="169">
        <f>IFERROR(IF('Gantt Proyectos'!AJ241&gt;0,SUMIFS('Listas y Parametros'!$C$45:$L$45,'Listas y Parametros'!$C$35:$L$35,'Costo Directo Proyectos'!$AD173)*$AG173,0)+IF('Gantt Proyectos'!AJ241=2,$T173,0)/$W173,0)*$L173</f>
        <v>0</v>
      </c>
      <c r="AM173" s="169">
        <f>IFERROR(IF('Gantt Proyectos'!AK241&gt;0,SUMIFS('Listas y Parametros'!$C$45:$L$45,'Listas y Parametros'!$C$35:$L$35,'Costo Directo Proyectos'!$AD173)*$AG173,0)+IF('Gantt Proyectos'!AK241=2,$T173,0)/$W173,0)*$L173</f>
        <v>0</v>
      </c>
      <c r="AN173" s="169">
        <f>IFERROR(IF('Gantt Proyectos'!AL241&gt;0,SUMIFS('Listas y Parametros'!$C$45:$L$45,'Listas y Parametros'!$C$35:$L$35,'Costo Directo Proyectos'!$AD173)*$AG173,0)+IF('Gantt Proyectos'!AL241=2,$T173,0)/$W173,0)*$L173</f>
        <v>0</v>
      </c>
      <c r="AO173" s="169">
        <f>IFERROR(IF('Gantt Proyectos'!AM241&gt;0,SUMIFS('Listas y Parametros'!$C$45:$L$45,'Listas y Parametros'!$C$35:$L$35,'Costo Directo Proyectos'!$AD173)*$AG173,0)+IF('Gantt Proyectos'!AM241=2,$T173,0)/$W173,0)*$L173</f>
        <v>0</v>
      </c>
      <c r="AP173" s="170">
        <f>IFERROR(IF('Gantt Proyectos'!AN241&gt;0,SUMIFS('Listas y Parametros'!$C$45:$L$45,'Listas y Parametros'!$C$35:$L$35,'Costo Directo Proyectos'!$AD173)*$AG173,0)+IF('Gantt Proyectos'!AN241=2,$T173,0)/$W173,0)*$L173</f>
        <v>0</v>
      </c>
    </row>
    <row r="174" spans="3:42" ht="15" x14ac:dyDescent="0.2">
      <c r="C174" s="110">
        <f>+'Gantt Proyectos'!C242</f>
        <v>0</v>
      </c>
      <c r="D174" s="110">
        <f>+'Gantt Proyectos'!D242</f>
        <v>0</v>
      </c>
      <c r="E174" s="110">
        <f>+'Gantt Proyectos'!E242</f>
        <v>0</v>
      </c>
      <c r="F174" s="148">
        <f>+'Gantt Proyectos'!F242</f>
        <v>0</v>
      </c>
      <c r="G174" s="110">
        <f>+'Gantt Proyectos'!G242</f>
        <v>0</v>
      </c>
      <c r="H174" s="110">
        <f>+'Gantt Proyectos'!H242</f>
        <v>0</v>
      </c>
      <c r="I174" s="189">
        <v>1</v>
      </c>
      <c r="J174" s="189">
        <f t="shared" si="16"/>
        <v>0</v>
      </c>
      <c r="K174" s="110">
        <f>+'Gantt Proyectos'!I242</f>
        <v>0</v>
      </c>
      <c r="L174" s="110">
        <f>+'Gantt Proyectos'!J242</f>
        <v>0</v>
      </c>
      <c r="M174" s="110">
        <f>+'Gantt Proyectos'!K242</f>
        <v>0</v>
      </c>
      <c r="N174" s="110">
        <f>+'Gantt Proyectos'!L242</f>
        <v>0</v>
      </c>
      <c r="O174" s="110">
        <f>+'Gantt Proyectos'!M242</f>
        <v>0</v>
      </c>
      <c r="P174" s="110">
        <f>+'Gantt Proyectos'!N242</f>
        <v>0</v>
      </c>
      <c r="Q174" s="110">
        <f>+'Gantt Proyectos'!O242</f>
        <v>0</v>
      </c>
      <c r="R174" s="110">
        <f>+'Gantt Proyectos'!P242</f>
        <v>0</v>
      </c>
      <c r="S174" s="110">
        <f>+'Gantt Proyectos'!R242</f>
        <v>0</v>
      </c>
      <c r="T174" s="118">
        <f>+'Gantt Proyectos'!S242</f>
        <v>0</v>
      </c>
      <c r="U174" s="157">
        <f>+'Gantt Proyectos'!T242</f>
        <v>0</v>
      </c>
      <c r="V174" s="157">
        <f>+'Gantt Proyectos'!U242</f>
        <v>0</v>
      </c>
      <c r="W174" s="201">
        <f t="shared" si="17"/>
        <v>0</v>
      </c>
      <c r="X174" s="110">
        <f>+'Gantt Proyectos'!W242</f>
        <v>0</v>
      </c>
      <c r="Y174" s="110">
        <f>+'Gantt Proyectos'!X242</f>
        <v>0</v>
      </c>
      <c r="Z174" s="110">
        <f>+'Gantt Proyectos'!Y242</f>
        <v>0</v>
      </c>
      <c r="AA174" s="110">
        <f>+'Gantt Proyectos'!Z242</f>
        <v>0</v>
      </c>
      <c r="AB174" s="110">
        <f>+'Gantt Proyectos'!AA242</f>
        <v>0</v>
      </c>
      <c r="AC174" s="110">
        <f>+'Gantt Proyectos'!AB242</f>
        <v>0</v>
      </c>
      <c r="AD174" s="110">
        <f>+'Gantt Proyectos'!AC242</f>
        <v>0</v>
      </c>
      <c r="AE174" s="110">
        <f>+'Gantt Proyectos'!AD242</f>
        <v>0</v>
      </c>
      <c r="AF174" s="110">
        <f>+'Gantt Proyectos'!AE242</f>
        <v>0</v>
      </c>
      <c r="AG174" s="172">
        <v>1</v>
      </c>
      <c r="AH174" s="168">
        <f>IFERROR(IF('Gantt Proyectos'!AF242&gt;0,SUMIFS('Listas y Parametros'!$C$45:$L$45,'Listas y Parametros'!$C$35:$L$35,'Costo Directo Proyectos'!$AD174)*$AG174,0)+IF('Gantt Proyectos'!AF242=2,$T174,0)/$W174,0)*$L174</f>
        <v>0</v>
      </c>
      <c r="AI174" s="169">
        <f>IFERROR(IF('Gantt Proyectos'!AG242&gt;0,SUMIFS('Listas y Parametros'!$C$45:$L$45,'Listas y Parametros'!$C$35:$L$35,'Costo Directo Proyectos'!$AD174)*$AG174,0)+IF('Gantt Proyectos'!AG242=2,$T174,0)/$W174,0)*$L174</f>
        <v>0</v>
      </c>
      <c r="AJ174" s="169">
        <f>IFERROR(IF('Gantt Proyectos'!AH242&gt;0,SUMIFS('Listas y Parametros'!$C$45:$L$45,'Listas y Parametros'!$C$35:$L$35,'Costo Directo Proyectos'!$AD174)*$AG174,0)+IF('Gantt Proyectos'!AH242=2,$T174,0)/$W174,0)*$L174</f>
        <v>0</v>
      </c>
      <c r="AK174" s="169">
        <f>IFERROR(IF('Gantt Proyectos'!AI242&gt;0,SUMIFS('Listas y Parametros'!$C$45:$L$45,'Listas y Parametros'!$C$35:$L$35,'Costo Directo Proyectos'!$AD174)*$AG174,0)+IF('Gantt Proyectos'!AI242=2,$T174,0)/$W174,0)*$L174</f>
        <v>0</v>
      </c>
      <c r="AL174" s="169">
        <f>IFERROR(IF('Gantt Proyectos'!AJ242&gt;0,SUMIFS('Listas y Parametros'!$C$45:$L$45,'Listas y Parametros'!$C$35:$L$35,'Costo Directo Proyectos'!$AD174)*$AG174,0)+IF('Gantt Proyectos'!AJ242=2,$T174,0)/$W174,0)*$L174</f>
        <v>0</v>
      </c>
      <c r="AM174" s="169">
        <f>IFERROR(IF('Gantt Proyectos'!AK242&gt;0,SUMIFS('Listas y Parametros'!$C$45:$L$45,'Listas y Parametros'!$C$35:$L$35,'Costo Directo Proyectos'!$AD174)*$AG174,0)+IF('Gantt Proyectos'!AK242=2,$T174,0)/$W174,0)*$L174</f>
        <v>0</v>
      </c>
      <c r="AN174" s="169">
        <f>IFERROR(IF('Gantt Proyectos'!AL242&gt;0,SUMIFS('Listas y Parametros'!$C$45:$L$45,'Listas y Parametros'!$C$35:$L$35,'Costo Directo Proyectos'!$AD174)*$AG174,0)+IF('Gantt Proyectos'!AL242=2,$T174,0)/$W174,0)*$L174</f>
        <v>0</v>
      </c>
      <c r="AO174" s="169">
        <f>IFERROR(IF('Gantt Proyectos'!AM242&gt;0,SUMIFS('Listas y Parametros'!$C$45:$L$45,'Listas y Parametros'!$C$35:$L$35,'Costo Directo Proyectos'!$AD174)*$AG174,0)+IF('Gantt Proyectos'!AM242=2,$T174,0)/$W174,0)*$L174</f>
        <v>0</v>
      </c>
      <c r="AP174" s="170">
        <f>IFERROR(IF('Gantt Proyectos'!AN242&gt;0,SUMIFS('Listas y Parametros'!$C$45:$L$45,'Listas y Parametros'!$C$35:$L$35,'Costo Directo Proyectos'!$AD174)*$AG174,0)+IF('Gantt Proyectos'!AN242=2,$T174,0)/$W174,0)*$L174</f>
        <v>0</v>
      </c>
    </row>
    <row r="175" spans="3:42" ht="15" x14ac:dyDescent="0.2">
      <c r="C175" s="110">
        <f>+'Gantt Proyectos'!C243</f>
        <v>0</v>
      </c>
      <c r="D175" s="110">
        <f>+'Gantt Proyectos'!D243</f>
        <v>0</v>
      </c>
      <c r="E175" s="110">
        <f>+'Gantt Proyectos'!E243</f>
        <v>0</v>
      </c>
      <c r="F175" s="148">
        <f>+'Gantt Proyectos'!F243</f>
        <v>0</v>
      </c>
      <c r="G175" s="110">
        <f>+'Gantt Proyectos'!G243</f>
        <v>0</v>
      </c>
      <c r="H175" s="110">
        <f>+'Gantt Proyectos'!H243</f>
        <v>0</v>
      </c>
      <c r="I175" s="189">
        <v>1</v>
      </c>
      <c r="J175" s="189">
        <f t="shared" si="16"/>
        <v>0</v>
      </c>
      <c r="K175" s="110">
        <f>+'Gantt Proyectos'!I243</f>
        <v>0</v>
      </c>
      <c r="L175" s="110">
        <f>+'Gantt Proyectos'!J243</f>
        <v>0</v>
      </c>
      <c r="M175" s="110">
        <f>+'Gantt Proyectos'!K243</f>
        <v>0</v>
      </c>
      <c r="N175" s="110">
        <f>+'Gantt Proyectos'!L243</f>
        <v>0</v>
      </c>
      <c r="O175" s="110">
        <f>+'Gantt Proyectos'!M243</f>
        <v>0</v>
      </c>
      <c r="P175" s="110">
        <f>+'Gantt Proyectos'!N243</f>
        <v>0</v>
      </c>
      <c r="Q175" s="110">
        <f>+'Gantt Proyectos'!O243</f>
        <v>0</v>
      </c>
      <c r="R175" s="110">
        <f>+'Gantt Proyectos'!P243</f>
        <v>0</v>
      </c>
      <c r="S175" s="110">
        <f>+'Gantt Proyectos'!R243</f>
        <v>0</v>
      </c>
      <c r="T175" s="118">
        <f>+'Gantt Proyectos'!S243</f>
        <v>0</v>
      </c>
      <c r="U175" s="157">
        <f>+'Gantt Proyectos'!T243</f>
        <v>0</v>
      </c>
      <c r="V175" s="157">
        <f>+'Gantt Proyectos'!U243</f>
        <v>0</v>
      </c>
      <c r="W175" s="201">
        <f t="shared" si="17"/>
        <v>0</v>
      </c>
      <c r="X175" s="110">
        <f>+'Gantt Proyectos'!W243</f>
        <v>0</v>
      </c>
      <c r="Y175" s="110">
        <f>+'Gantt Proyectos'!X243</f>
        <v>0</v>
      </c>
      <c r="Z175" s="110">
        <f>+'Gantt Proyectos'!Y243</f>
        <v>0</v>
      </c>
      <c r="AA175" s="110">
        <f>+'Gantt Proyectos'!Z243</f>
        <v>0</v>
      </c>
      <c r="AB175" s="110">
        <f>+'Gantt Proyectos'!AA243</f>
        <v>0</v>
      </c>
      <c r="AC175" s="110">
        <f>+'Gantt Proyectos'!AB243</f>
        <v>0</v>
      </c>
      <c r="AD175" s="110">
        <f>+'Gantt Proyectos'!AC243</f>
        <v>0</v>
      </c>
      <c r="AE175" s="110">
        <f>+'Gantt Proyectos'!AD243</f>
        <v>0</v>
      </c>
      <c r="AF175" s="110">
        <f>+'Gantt Proyectos'!AE243</f>
        <v>0</v>
      </c>
      <c r="AG175" s="172">
        <v>1</v>
      </c>
      <c r="AH175" s="168">
        <f>IFERROR(IF('Gantt Proyectos'!AF243&gt;0,SUMIFS('Listas y Parametros'!$C$45:$L$45,'Listas y Parametros'!$C$35:$L$35,'Costo Directo Proyectos'!$AD175)*$AG175,0)+IF('Gantt Proyectos'!AF243=2,$T175,0)/$W175,0)*$L175</f>
        <v>0</v>
      </c>
      <c r="AI175" s="169">
        <f>IFERROR(IF('Gantt Proyectos'!AG243&gt;0,SUMIFS('Listas y Parametros'!$C$45:$L$45,'Listas y Parametros'!$C$35:$L$35,'Costo Directo Proyectos'!$AD175)*$AG175,0)+IF('Gantt Proyectos'!AG243=2,$T175,0)/$W175,0)*$L175</f>
        <v>0</v>
      </c>
      <c r="AJ175" s="169">
        <f>IFERROR(IF('Gantt Proyectos'!AH243&gt;0,SUMIFS('Listas y Parametros'!$C$45:$L$45,'Listas y Parametros'!$C$35:$L$35,'Costo Directo Proyectos'!$AD175)*$AG175,0)+IF('Gantt Proyectos'!AH243=2,$T175,0)/$W175,0)*$L175</f>
        <v>0</v>
      </c>
      <c r="AK175" s="169">
        <f>IFERROR(IF('Gantt Proyectos'!AI243&gt;0,SUMIFS('Listas y Parametros'!$C$45:$L$45,'Listas y Parametros'!$C$35:$L$35,'Costo Directo Proyectos'!$AD175)*$AG175,0)+IF('Gantt Proyectos'!AI243=2,$T175,0)/$W175,0)*$L175</f>
        <v>0</v>
      </c>
      <c r="AL175" s="169">
        <f>IFERROR(IF('Gantt Proyectos'!AJ243&gt;0,SUMIFS('Listas y Parametros'!$C$45:$L$45,'Listas y Parametros'!$C$35:$L$35,'Costo Directo Proyectos'!$AD175)*$AG175,0)+IF('Gantt Proyectos'!AJ243=2,$T175,0)/$W175,0)*$L175</f>
        <v>0</v>
      </c>
      <c r="AM175" s="169">
        <f>IFERROR(IF('Gantt Proyectos'!AK243&gt;0,SUMIFS('Listas y Parametros'!$C$45:$L$45,'Listas y Parametros'!$C$35:$L$35,'Costo Directo Proyectos'!$AD175)*$AG175,0)+IF('Gantt Proyectos'!AK243=2,$T175,0)/$W175,0)*$L175</f>
        <v>0</v>
      </c>
      <c r="AN175" s="169">
        <f>IFERROR(IF('Gantt Proyectos'!AL243&gt;0,SUMIFS('Listas y Parametros'!$C$45:$L$45,'Listas y Parametros'!$C$35:$L$35,'Costo Directo Proyectos'!$AD175)*$AG175,0)+IF('Gantt Proyectos'!AL243=2,$T175,0)/$W175,0)*$L175</f>
        <v>0</v>
      </c>
      <c r="AO175" s="169">
        <f>IFERROR(IF('Gantt Proyectos'!AM243&gt;0,SUMIFS('Listas y Parametros'!$C$45:$L$45,'Listas y Parametros'!$C$35:$L$35,'Costo Directo Proyectos'!$AD175)*$AG175,0)+IF('Gantt Proyectos'!AM243=2,$T175,0)/$W175,0)*$L175</f>
        <v>0</v>
      </c>
      <c r="AP175" s="170">
        <f>IFERROR(IF('Gantt Proyectos'!AN243&gt;0,SUMIFS('Listas y Parametros'!$C$45:$L$45,'Listas y Parametros'!$C$35:$L$35,'Costo Directo Proyectos'!$AD175)*$AG175,0)+IF('Gantt Proyectos'!AN243=2,$T175,0)/$W175,0)*$L175</f>
        <v>0</v>
      </c>
    </row>
    <row r="176" spans="3:42" ht="15" x14ac:dyDescent="0.2">
      <c r="C176" s="110">
        <f>+'Gantt Proyectos'!C244</f>
        <v>0</v>
      </c>
      <c r="D176" s="110">
        <f>+'Gantt Proyectos'!D244</f>
        <v>0</v>
      </c>
      <c r="E176" s="110">
        <f>+'Gantt Proyectos'!E244</f>
        <v>0</v>
      </c>
      <c r="F176" s="148">
        <f>+'Gantt Proyectos'!F244</f>
        <v>0</v>
      </c>
      <c r="G176" s="110">
        <f>+'Gantt Proyectos'!G244</f>
        <v>0</v>
      </c>
      <c r="H176" s="110">
        <f>+'Gantt Proyectos'!H244</f>
        <v>0</v>
      </c>
      <c r="I176" s="189">
        <v>1</v>
      </c>
      <c r="J176" s="189">
        <f t="shared" si="16"/>
        <v>0</v>
      </c>
      <c r="K176" s="110">
        <f>+'Gantt Proyectos'!I244</f>
        <v>0</v>
      </c>
      <c r="L176" s="110">
        <f>+'Gantt Proyectos'!J244</f>
        <v>0</v>
      </c>
      <c r="M176" s="110">
        <f>+'Gantt Proyectos'!K244</f>
        <v>0</v>
      </c>
      <c r="N176" s="110">
        <f>+'Gantt Proyectos'!L244</f>
        <v>0</v>
      </c>
      <c r="O176" s="110">
        <f>+'Gantt Proyectos'!M244</f>
        <v>0</v>
      </c>
      <c r="P176" s="110">
        <f>+'Gantt Proyectos'!N244</f>
        <v>0</v>
      </c>
      <c r="Q176" s="110">
        <f>+'Gantt Proyectos'!O244</f>
        <v>0</v>
      </c>
      <c r="R176" s="110">
        <f>+'Gantt Proyectos'!P244</f>
        <v>0</v>
      </c>
      <c r="S176" s="110">
        <f>+'Gantt Proyectos'!R244</f>
        <v>0</v>
      </c>
      <c r="T176" s="118">
        <f>+'Gantt Proyectos'!S244</f>
        <v>0</v>
      </c>
      <c r="U176" s="157">
        <f>+'Gantt Proyectos'!T244</f>
        <v>0</v>
      </c>
      <c r="V176" s="157">
        <f>+'Gantt Proyectos'!U244</f>
        <v>0</v>
      </c>
      <c r="W176" s="201">
        <f t="shared" si="17"/>
        <v>0</v>
      </c>
      <c r="X176" s="110">
        <f>+'Gantt Proyectos'!W244</f>
        <v>0</v>
      </c>
      <c r="Y176" s="110">
        <f>+'Gantt Proyectos'!X244</f>
        <v>0</v>
      </c>
      <c r="Z176" s="110">
        <f>+'Gantt Proyectos'!Y244</f>
        <v>0</v>
      </c>
      <c r="AA176" s="110">
        <f>+'Gantt Proyectos'!Z244</f>
        <v>0</v>
      </c>
      <c r="AB176" s="110">
        <f>+'Gantt Proyectos'!AA244</f>
        <v>0</v>
      </c>
      <c r="AC176" s="110">
        <f>+'Gantt Proyectos'!AB244</f>
        <v>0</v>
      </c>
      <c r="AD176" s="110">
        <f>+'Gantt Proyectos'!AC244</f>
        <v>0</v>
      </c>
      <c r="AE176" s="110">
        <f>+'Gantt Proyectos'!AD244</f>
        <v>0</v>
      </c>
      <c r="AF176" s="110">
        <f>+'Gantt Proyectos'!AE244</f>
        <v>0</v>
      </c>
      <c r="AG176" s="172">
        <v>1</v>
      </c>
      <c r="AH176" s="168">
        <f>IFERROR(IF('Gantt Proyectos'!AF244&gt;0,SUMIFS('Listas y Parametros'!$C$45:$L$45,'Listas y Parametros'!$C$35:$L$35,'Costo Directo Proyectos'!$AD176)*$AG176,0)+IF('Gantt Proyectos'!AF244=2,$T176,0)/$W176,0)*$L176</f>
        <v>0</v>
      </c>
      <c r="AI176" s="169">
        <f>IFERROR(IF('Gantt Proyectos'!AG244&gt;0,SUMIFS('Listas y Parametros'!$C$45:$L$45,'Listas y Parametros'!$C$35:$L$35,'Costo Directo Proyectos'!$AD176)*$AG176,0)+IF('Gantt Proyectos'!AG244=2,$T176,0)/$W176,0)*$L176</f>
        <v>0</v>
      </c>
      <c r="AJ176" s="169">
        <f>IFERROR(IF('Gantt Proyectos'!AH244&gt;0,SUMIFS('Listas y Parametros'!$C$45:$L$45,'Listas y Parametros'!$C$35:$L$35,'Costo Directo Proyectos'!$AD176)*$AG176,0)+IF('Gantt Proyectos'!AH244=2,$T176,0)/$W176,0)*$L176</f>
        <v>0</v>
      </c>
      <c r="AK176" s="169">
        <f>IFERROR(IF('Gantt Proyectos'!AI244&gt;0,SUMIFS('Listas y Parametros'!$C$45:$L$45,'Listas y Parametros'!$C$35:$L$35,'Costo Directo Proyectos'!$AD176)*$AG176,0)+IF('Gantt Proyectos'!AI244=2,$T176,0)/$W176,0)*$L176</f>
        <v>0</v>
      </c>
      <c r="AL176" s="169">
        <f>IFERROR(IF('Gantt Proyectos'!AJ244&gt;0,SUMIFS('Listas y Parametros'!$C$45:$L$45,'Listas y Parametros'!$C$35:$L$35,'Costo Directo Proyectos'!$AD176)*$AG176,0)+IF('Gantt Proyectos'!AJ244=2,$T176,0)/$W176,0)*$L176</f>
        <v>0</v>
      </c>
      <c r="AM176" s="169">
        <f>IFERROR(IF('Gantt Proyectos'!AK244&gt;0,SUMIFS('Listas y Parametros'!$C$45:$L$45,'Listas y Parametros'!$C$35:$L$35,'Costo Directo Proyectos'!$AD176)*$AG176,0)+IF('Gantt Proyectos'!AK244=2,$T176,0)/$W176,0)*$L176</f>
        <v>0</v>
      </c>
      <c r="AN176" s="169">
        <f>IFERROR(IF('Gantt Proyectos'!AL244&gt;0,SUMIFS('Listas y Parametros'!$C$45:$L$45,'Listas y Parametros'!$C$35:$L$35,'Costo Directo Proyectos'!$AD176)*$AG176,0)+IF('Gantt Proyectos'!AL244=2,$T176,0)/$W176,0)*$L176</f>
        <v>0</v>
      </c>
      <c r="AO176" s="169">
        <f>IFERROR(IF('Gantt Proyectos'!AM244&gt;0,SUMIFS('Listas y Parametros'!$C$45:$L$45,'Listas y Parametros'!$C$35:$L$35,'Costo Directo Proyectos'!$AD176)*$AG176,0)+IF('Gantt Proyectos'!AM244=2,$T176,0)/$W176,0)*$L176</f>
        <v>0</v>
      </c>
      <c r="AP176" s="170">
        <f>IFERROR(IF('Gantt Proyectos'!AN244&gt;0,SUMIFS('Listas y Parametros'!$C$45:$L$45,'Listas y Parametros'!$C$35:$L$35,'Costo Directo Proyectos'!$AD176)*$AG176,0)+IF('Gantt Proyectos'!AN244=2,$T176,0)/$W176,0)*$L176</f>
        <v>0</v>
      </c>
    </row>
    <row r="177" spans="3:42" ht="15" x14ac:dyDescent="0.2">
      <c r="C177" s="110">
        <f>+'Gantt Proyectos'!C245</f>
        <v>0</v>
      </c>
      <c r="D177" s="110">
        <f>+'Gantt Proyectos'!D245</f>
        <v>0</v>
      </c>
      <c r="E177" s="110">
        <f>+'Gantt Proyectos'!E245</f>
        <v>0</v>
      </c>
      <c r="F177" s="148">
        <f>+'Gantt Proyectos'!F245</f>
        <v>0</v>
      </c>
      <c r="G177" s="110">
        <f>+'Gantt Proyectos'!G245</f>
        <v>0</v>
      </c>
      <c r="H177" s="110">
        <f>+'Gantt Proyectos'!H245</f>
        <v>0</v>
      </c>
      <c r="I177" s="189">
        <v>1</v>
      </c>
      <c r="J177" s="189">
        <f t="shared" si="16"/>
        <v>0</v>
      </c>
      <c r="K177" s="110">
        <f>+'Gantt Proyectos'!I245</f>
        <v>0</v>
      </c>
      <c r="L177" s="110">
        <f>+'Gantt Proyectos'!J245</f>
        <v>0</v>
      </c>
      <c r="M177" s="110">
        <f>+'Gantt Proyectos'!K245</f>
        <v>0</v>
      </c>
      <c r="N177" s="110">
        <f>+'Gantt Proyectos'!L245</f>
        <v>0</v>
      </c>
      <c r="O177" s="110">
        <f>+'Gantt Proyectos'!M245</f>
        <v>0</v>
      </c>
      <c r="P177" s="110">
        <f>+'Gantt Proyectos'!N245</f>
        <v>0</v>
      </c>
      <c r="Q177" s="110">
        <f>+'Gantt Proyectos'!O245</f>
        <v>0</v>
      </c>
      <c r="R177" s="110">
        <f>+'Gantt Proyectos'!P245</f>
        <v>0</v>
      </c>
      <c r="S177" s="110">
        <f>+'Gantt Proyectos'!R245</f>
        <v>0</v>
      </c>
      <c r="T177" s="118">
        <f>+'Gantt Proyectos'!S245</f>
        <v>0</v>
      </c>
      <c r="U177" s="157">
        <f>+'Gantt Proyectos'!T245</f>
        <v>0</v>
      </c>
      <c r="V177" s="157">
        <f>+'Gantt Proyectos'!U245</f>
        <v>0</v>
      </c>
      <c r="W177" s="201">
        <f t="shared" si="17"/>
        <v>0</v>
      </c>
      <c r="X177" s="110">
        <f>+'Gantt Proyectos'!W245</f>
        <v>0</v>
      </c>
      <c r="Y177" s="110">
        <f>+'Gantt Proyectos'!X245</f>
        <v>0</v>
      </c>
      <c r="Z177" s="110">
        <f>+'Gantt Proyectos'!Y245</f>
        <v>0</v>
      </c>
      <c r="AA177" s="110">
        <f>+'Gantt Proyectos'!Z245</f>
        <v>0</v>
      </c>
      <c r="AB177" s="110">
        <f>+'Gantt Proyectos'!AA245</f>
        <v>0</v>
      </c>
      <c r="AC177" s="110">
        <f>+'Gantt Proyectos'!AB245</f>
        <v>0</v>
      </c>
      <c r="AD177" s="110">
        <f>+'Gantt Proyectos'!AC245</f>
        <v>0</v>
      </c>
      <c r="AE177" s="110">
        <f>+'Gantt Proyectos'!AD245</f>
        <v>0</v>
      </c>
      <c r="AF177" s="110">
        <f>+'Gantt Proyectos'!AE245</f>
        <v>0</v>
      </c>
      <c r="AG177" s="172">
        <v>1</v>
      </c>
      <c r="AH177" s="168">
        <f>IFERROR(IF('Gantt Proyectos'!AF245&gt;0,SUMIFS('Listas y Parametros'!$C$45:$L$45,'Listas y Parametros'!$C$35:$L$35,'Costo Directo Proyectos'!$AD177)*$AG177,0)+IF('Gantt Proyectos'!AF245=2,$T177,0)/$W177,0)*$L177</f>
        <v>0</v>
      </c>
      <c r="AI177" s="169">
        <f>IFERROR(IF('Gantt Proyectos'!AG245&gt;0,SUMIFS('Listas y Parametros'!$C$45:$L$45,'Listas y Parametros'!$C$35:$L$35,'Costo Directo Proyectos'!$AD177)*$AG177,0)+IF('Gantt Proyectos'!AG245=2,$T177,0)/$W177,0)*$L177</f>
        <v>0</v>
      </c>
      <c r="AJ177" s="169">
        <f>IFERROR(IF('Gantt Proyectos'!AH245&gt;0,SUMIFS('Listas y Parametros'!$C$45:$L$45,'Listas y Parametros'!$C$35:$L$35,'Costo Directo Proyectos'!$AD177)*$AG177,0)+IF('Gantt Proyectos'!AH245=2,$T177,0)/$W177,0)*$L177</f>
        <v>0</v>
      </c>
      <c r="AK177" s="169">
        <f>IFERROR(IF('Gantt Proyectos'!AI245&gt;0,SUMIFS('Listas y Parametros'!$C$45:$L$45,'Listas y Parametros'!$C$35:$L$35,'Costo Directo Proyectos'!$AD177)*$AG177,0)+IF('Gantt Proyectos'!AI245=2,$T177,0)/$W177,0)*$L177</f>
        <v>0</v>
      </c>
      <c r="AL177" s="169">
        <f>IFERROR(IF('Gantt Proyectos'!AJ245&gt;0,SUMIFS('Listas y Parametros'!$C$45:$L$45,'Listas y Parametros'!$C$35:$L$35,'Costo Directo Proyectos'!$AD177)*$AG177,0)+IF('Gantt Proyectos'!AJ245=2,$T177,0)/$W177,0)*$L177</f>
        <v>0</v>
      </c>
      <c r="AM177" s="169">
        <f>IFERROR(IF('Gantt Proyectos'!AK245&gt;0,SUMIFS('Listas y Parametros'!$C$45:$L$45,'Listas y Parametros'!$C$35:$L$35,'Costo Directo Proyectos'!$AD177)*$AG177,0)+IF('Gantt Proyectos'!AK245=2,$T177,0)/$W177,0)*$L177</f>
        <v>0</v>
      </c>
      <c r="AN177" s="169">
        <f>IFERROR(IF('Gantt Proyectos'!AL245&gt;0,SUMIFS('Listas y Parametros'!$C$45:$L$45,'Listas y Parametros'!$C$35:$L$35,'Costo Directo Proyectos'!$AD177)*$AG177,0)+IF('Gantt Proyectos'!AL245=2,$T177,0)/$W177,0)*$L177</f>
        <v>0</v>
      </c>
      <c r="AO177" s="169">
        <f>IFERROR(IF('Gantt Proyectos'!AM245&gt;0,SUMIFS('Listas y Parametros'!$C$45:$L$45,'Listas y Parametros'!$C$35:$L$35,'Costo Directo Proyectos'!$AD177)*$AG177,0)+IF('Gantt Proyectos'!AM245=2,$T177,0)/$W177,0)*$L177</f>
        <v>0</v>
      </c>
      <c r="AP177" s="170">
        <f>IFERROR(IF('Gantt Proyectos'!AN245&gt;0,SUMIFS('Listas y Parametros'!$C$45:$L$45,'Listas y Parametros'!$C$35:$L$35,'Costo Directo Proyectos'!$AD177)*$AG177,0)+IF('Gantt Proyectos'!AN245=2,$T177,0)/$W177,0)*$L177</f>
        <v>0</v>
      </c>
    </row>
    <row r="178" spans="3:42" ht="15" x14ac:dyDescent="0.2">
      <c r="C178" s="110">
        <f>+'Gantt Proyectos'!C246</f>
        <v>0</v>
      </c>
      <c r="D178" s="110">
        <f>+'Gantt Proyectos'!D246</f>
        <v>0</v>
      </c>
      <c r="E178" s="110">
        <f>+'Gantt Proyectos'!E246</f>
        <v>0</v>
      </c>
      <c r="F178" s="148">
        <f>+'Gantt Proyectos'!F246</f>
        <v>0</v>
      </c>
      <c r="G178" s="110">
        <f>+'Gantt Proyectos'!G246</f>
        <v>0</v>
      </c>
      <c r="H178" s="110">
        <f>+'Gantt Proyectos'!H246</f>
        <v>0</v>
      </c>
      <c r="I178" s="189">
        <v>1</v>
      </c>
      <c r="J178" s="189">
        <f t="shared" si="16"/>
        <v>0</v>
      </c>
      <c r="K178" s="110">
        <f>+'Gantt Proyectos'!I246</f>
        <v>0</v>
      </c>
      <c r="L178" s="110">
        <f>+'Gantt Proyectos'!J246</f>
        <v>0</v>
      </c>
      <c r="M178" s="110">
        <f>+'Gantt Proyectos'!K246</f>
        <v>0</v>
      </c>
      <c r="N178" s="110">
        <f>+'Gantt Proyectos'!L246</f>
        <v>0</v>
      </c>
      <c r="O178" s="110">
        <f>+'Gantt Proyectos'!M246</f>
        <v>0</v>
      </c>
      <c r="P178" s="110">
        <f>+'Gantt Proyectos'!N246</f>
        <v>0</v>
      </c>
      <c r="Q178" s="110">
        <f>+'Gantt Proyectos'!O246</f>
        <v>0</v>
      </c>
      <c r="R178" s="110">
        <f>+'Gantt Proyectos'!P246</f>
        <v>0</v>
      </c>
      <c r="S178" s="110">
        <f>+'Gantt Proyectos'!R246</f>
        <v>0</v>
      </c>
      <c r="T178" s="118">
        <f>+'Gantt Proyectos'!S246</f>
        <v>0</v>
      </c>
      <c r="U178" s="157">
        <f>+'Gantt Proyectos'!T246</f>
        <v>0</v>
      </c>
      <c r="V178" s="157">
        <f>+'Gantt Proyectos'!U246</f>
        <v>0</v>
      </c>
      <c r="W178" s="201">
        <f t="shared" si="17"/>
        <v>0</v>
      </c>
      <c r="X178" s="110">
        <f>+'Gantt Proyectos'!W246</f>
        <v>0</v>
      </c>
      <c r="Y178" s="110">
        <f>+'Gantt Proyectos'!X246</f>
        <v>0</v>
      </c>
      <c r="Z178" s="110">
        <f>+'Gantt Proyectos'!Y246</f>
        <v>0</v>
      </c>
      <c r="AA178" s="110">
        <f>+'Gantt Proyectos'!Z246</f>
        <v>0</v>
      </c>
      <c r="AB178" s="110">
        <f>+'Gantt Proyectos'!AA246</f>
        <v>0</v>
      </c>
      <c r="AC178" s="110">
        <f>+'Gantt Proyectos'!AB246</f>
        <v>0</v>
      </c>
      <c r="AD178" s="110">
        <f>+'Gantt Proyectos'!AC246</f>
        <v>0</v>
      </c>
      <c r="AE178" s="110">
        <f>+'Gantt Proyectos'!AD246</f>
        <v>0</v>
      </c>
      <c r="AF178" s="110">
        <f>+'Gantt Proyectos'!AE246</f>
        <v>0</v>
      </c>
      <c r="AG178" s="172">
        <v>1</v>
      </c>
      <c r="AH178" s="168">
        <f>IFERROR(IF('Gantt Proyectos'!AF246&gt;0,SUMIFS('Listas y Parametros'!$C$45:$L$45,'Listas y Parametros'!$C$35:$L$35,'Costo Directo Proyectos'!$AD178)*$AG178,0)+IF('Gantt Proyectos'!AF246=2,$T178,0)/$W178,0)*$L178</f>
        <v>0</v>
      </c>
      <c r="AI178" s="169">
        <f>IFERROR(IF('Gantt Proyectos'!AG246&gt;0,SUMIFS('Listas y Parametros'!$C$45:$L$45,'Listas y Parametros'!$C$35:$L$35,'Costo Directo Proyectos'!$AD178)*$AG178,0)+IF('Gantt Proyectos'!AG246=2,$T178,0)/$W178,0)*$L178</f>
        <v>0</v>
      </c>
      <c r="AJ178" s="169">
        <f>IFERROR(IF('Gantt Proyectos'!AH246&gt;0,SUMIFS('Listas y Parametros'!$C$45:$L$45,'Listas y Parametros'!$C$35:$L$35,'Costo Directo Proyectos'!$AD178)*$AG178,0)+IF('Gantt Proyectos'!AH246=2,$T178,0)/$W178,0)*$L178</f>
        <v>0</v>
      </c>
      <c r="AK178" s="169">
        <f>IFERROR(IF('Gantt Proyectos'!AI246&gt;0,SUMIFS('Listas y Parametros'!$C$45:$L$45,'Listas y Parametros'!$C$35:$L$35,'Costo Directo Proyectos'!$AD178)*$AG178,0)+IF('Gantt Proyectos'!AI246=2,$T178,0)/$W178,0)*$L178</f>
        <v>0</v>
      </c>
      <c r="AL178" s="169">
        <f>IFERROR(IF('Gantt Proyectos'!AJ246&gt;0,SUMIFS('Listas y Parametros'!$C$45:$L$45,'Listas y Parametros'!$C$35:$L$35,'Costo Directo Proyectos'!$AD178)*$AG178,0)+IF('Gantt Proyectos'!AJ246=2,$T178,0)/$W178,0)*$L178</f>
        <v>0</v>
      </c>
      <c r="AM178" s="169">
        <f>IFERROR(IF('Gantt Proyectos'!AK246&gt;0,SUMIFS('Listas y Parametros'!$C$45:$L$45,'Listas y Parametros'!$C$35:$L$35,'Costo Directo Proyectos'!$AD178)*$AG178,0)+IF('Gantt Proyectos'!AK246=2,$T178,0)/$W178,0)*$L178</f>
        <v>0</v>
      </c>
      <c r="AN178" s="169">
        <f>IFERROR(IF('Gantt Proyectos'!AL246&gt;0,SUMIFS('Listas y Parametros'!$C$45:$L$45,'Listas y Parametros'!$C$35:$L$35,'Costo Directo Proyectos'!$AD178)*$AG178,0)+IF('Gantt Proyectos'!AL246=2,$T178,0)/$W178,0)*$L178</f>
        <v>0</v>
      </c>
      <c r="AO178" s="169">
        <f>IFERROR(IF('Gantt Proyectos'!AM246&gt;0,SUMIFS('Listas y Parametros'!$C$45:$L$45,'Listas y Parametros'!$C$35:$L$35,'Costo Directo Proyectos'!$AD178)*$AG178,0)+IF('Gantt Proyectos'!AM246=2,$T178,0)/$W178,0)*$L178</f>
        <v>0</v>
      </c>
      <c r="AP178" s="170">
        <f>IFERROR(IF('Gantt Proyectos'!AN246&gt;0,SUMIFS('Listas y Parametros'!$C$45:$L$45,'Listas y Parametros'!$C$35:$L$35,'Costo Directo Proyectos'!$AD178)*$AG178,0)+IF('Gantt Proyectos'!AN246=2,$T178,0)/$W178,0)*$L178</f>
        <v>0</v>
      </c>
    </row>
    <row r="179" spans="3:42" ht="15" x14ac:dyDescent="0.2">
      <c r="C179" s="110">
        <f>+'Gantt Proyectos'!C247</f>
        <v>0</v>
      </c>
      <c r="D179" s="110">
        <f>+'Gantt Proyectos'!D247</f>
        <v>0</v>
      </c>
      <c r="E179" s="110">
        <f>+'Gantt Proyectos'!E247</f>
        <v>0</v>
      </c>
      <c r="F179" s="148">
        <f>+'Gantt Proyectos'!F247</f>
        <v>0</v>
      </c>
      <c r="G179" s="110">
        <f>+'Gantt Proyectos'!G247</f>
        <v>0</v>
      </c>
      <c r="H179" s="110">
        <f>+'Gantt Proyectos'!H247</f>
        <v>0</v>
      </c>
      <c r="I179" s="189">
        <v>1</v>
      </c>
      <c r="J179" s="189">
        <f t="shared" si="16"/>
        <v>0</v>
      </c>
      <c r="K179" s="110">
        <f>+'Gantt Proyectos'!I247</f>
        <v>0</v>
      </c>
      <c r="L179" s="110">
        <f>+'Gantt Proyectos'!J247</f>
        <v>0</v>
      </c>
      <c r="M179" s="110">
        <f>+'Gantt Proyectos'!K247</f>
        <v>0</v>
      </c>
      <c r="N179" s="110">
        <f>+'Gantt Proyectos'!L247</f>
        <v>0</v>
      </c>
      <c r="O179" s="110">
        <f>+'Gantt Proyectos'!M247</f>
        <v>0</v>
      </c>
      <c r="P179" s="110">
        <f>+'Gantt Proyectos'!N247</f>
        <v>0</v>
      </c>
      <c r="Q179" s="110">
        <f>+'Gantt Proyectos'!O247</f>
        <v>0</v>
      </c>
      <c r="R179" s="110">
        <f>+'Gantt Proyectos'!P247</f>
        <v>0</v>
      </c>
      <c r="S179" s="110">
        <f>+'Gantt Proyectos'!R247</f>
        <v>0</v>
      </c>
      <c r="T179" s="118">
        <f>+'Gantt Proyectos'!S247</f>
        <v>0</v>
      </c>
      <c r="U179" s="157">
        <f>+'Gantt Proyectos'!T247</f>
        <v>0</v>
      </c>
      <c r="V179" s="157">
        <f>+'Gantt Proyectos'!U247</f>
        <v>0</v>
      </c>
      <c r="W179" s="201">
        <f t="shared" si="17"/>
        <v>0</v>
      </c>
      <c r="X179" s="110">
        <f>+'Gantt Proyectos'!W247</f>
        <v>0</v>
      </c>
      <c r="Y179" s="110">
        <f>+'Gantt Proyectos'!X247</f>
        <v>0</v>
      </c>
      <c r="Z179" s="110">
        <f>+'Gantt Proyectos'!Y247</f>
        <v>0</v>
      </c>
      <c r="AA179" s="110">
        <f>+'Gantt Proyectos'!Z247</f>
        <v>0</v>
      </c>
      <c r="AB179" s="110">
        <f>+'Gantt Proyectos'!AA247</f>
        <v>0</v>
      </c>
      <c r="AC179" s="110">
        <f>+'Gantt Proyectos'!AB247</f>
        <v>0</v>
      </c>
      <c r="AD179" s="110">
        <f>+'Gantt Proyectos'!AC247</f>
        <v>0</v>
      </c>
      <c r="AE179" s="110">
        <f>+'Gantt Proyectos'!AD247</f>
        <v>0</v>
      </c>
      <c r="AF179" s="110">
        <f>+'Gantt Proyectos'!AE247</f>
        <v>0</v>
      </c>
      <c r="AG179" s="172">
        <v>1</v>
      </c>
      <c r="AH179" s="168">
        <f>IFERROR(IF('Gantt Proyectos'!AF247&gt;0,SUMIFS('Listas y Parametros'!$C$45:$L$45,'Listas y Parametros'!$C$35:$L$35,'Costo Directo Proyectos'!$AD179)*$AG179,0)+IF('Gantt Proyectos'!AF247=2,$T179,0)/$W179,0)*$L179</f>
        <v>0</v>
      </c>
      <c r="AI179" s="169">
        <f>IFERROR(IF('Gantt Proyectos'!AG247&gt;0,SUMIFS('Listas y Parametros'!$C$45:$L$45,'Listas y Parametros'!$C$35:$L$35,'Costo Directo Proyectos'!$AD179)*$AG179,0)+IF('Gantt Proyectos'!AG247=2,$T179,0)/$W179,0)*$L179</f>
        <v>0</v>
      </c>
      <c r="AJ179" s="169">
        <f>IFERROR(IF('Gantt Proyectos'!AH247&gt;0,SUMIFS('Listas y Parametros'!$C$45:$L$45,'Listas y Parametros'!$C$35:$L$35,'Costo Directo Proyectos'!$AD179)*$AG179,0)+IF('Gantt Proyectos'!AH247=2,$T179,0)/$W179,0)*$L179</f>
        <v>0</v>
      </c>
      <c r="AK179" s="169">
        <f>IFERROR(IF('Gantt Proyectos'!AI247&gt;0,SUMIFS('Listas y Parametros'!$C$45:$L$45,'Listas y Parametros'!$C$35:$L$35,'Costo Directo Proyectos'!$AD179)*$AG179,0)+IF('Gantt Proyectos'!AI247=2,$T179,0)/$W179,0)*$L179</f>
        <v>0</v>
      </c>
      <c r="AL179" s="169">
        <f>IFERROR(IF('Gantt Proyectos'!AJ247&gt;0,SUMIFS('Listas y Parametros'!$C$45:$L$45,'Listas y Parametros'!$C$35:$L$35,'Costo Directo Proyectos'!$AD179)*$AG179,0)+IF('Gantt Proyectos'!AJ247=2,$T179,0)/$W179,0)*$L179</f>
        <v>0</v>
      </c>
      <c r="AM179" s="169">
        <f>IFERROR(IF('Gantt Proyectos'!AK247&gt;0,SUMIFS('Listas y Parametros'!$C$45:$L$45,'Listas y Parametros'!$C$35:$L$35,'Costo Directo Proyectos'!$AD179)*$AG179,0)+IF('Gantt Proyectos'!AK247=2,$T179,0)/$W179,0)*$L179</f>
        <v>0</v>
      </c>
      <c r="AN179" s="169">
        <f>IFERROR(IF('Gantt Proyectos'!AL247&gt;0,SUMIFS('Listas y Parametros'!$C$45:$L$45,'Listas y Parametros'!$C$35:$L$35,'Costo Directo Proyectos'!$AD179)*$AG179,0)+IF('Gantt Proyectos'!AL247=2,$T179,0)/$W179,0)*$L179</f>
        <v>0</v>
      </c>
      <c r="AO179" s="169">
        <f>IFERROR(IF('Gantt Proyectos'!AM247&gt;0,SUMIFS('Listas y Parametros'!$C$45:$L$45,'Listas y Parametros'!$C$35:$L$35,'Costo Directo Proyectos'!$AD179)*$AG179,0)+IF('Gantt Proyectos'!AM247=2,$T179,0)/$W179,0)*$L179</f>
        <v>0</v>
      </c>
      <c r="AP179" s="170">
        <f>IFERROR(IF('Gantt Proyectos'!AN247&gt;0,SUMIFS('Listas y Parametros'!$C$45:$L$45,'Listas y Parametros'!$C$35:$L$35,'Costo Directo Proyectos'!$AD179)*$AG179,0)+IF('Gantt Proyectos'!AN247=2,$T179,0)/$W179,0)*$L179</f>
        <v>0</v>
      </c>
    </row>
    <row r="180" spans="3:42" ht="15" x14ac:dyDescent="0.2">
      <c r="C180" s="110">
        <f>+'Gantt Proyectos'!C248</f>
        <v>0</v>
      </c>
      <c r="D180" s="110">
        <f>+'Gantt Proyectos'!D248</f>
        <v>0</v>
      </c>
      <c r="E180" s="110">
        <f>+'Gantt Proyectos'!E248</f>
        <v>0</v>
      </c>
      <c r="F180" s="148">
        <f>+'Gantt Proyectos'!F248</f>
        <v>0</v>
      </c>
      <c r="G180" s="110">
        <f>+'Gantt Proyectos'!G248</f>
        <v>0</v>
      </c>
      <c r="H180" s="110">
        <f>+'Gantt Proyectos'!H248</f>
        <v>0</v>
      </c>
      <c r="I180" s="189">
        <v>1</v>
      </c>
      <c r="J180" s="189">
        <f t="shared" si="16"/>
        <v>0</v>
      </c>
      <c r="K180" s="110">
        <f>+'Gantt Proyectos'!I248</f>
        <v>0</v>
      </c>
      <c r="L180" s="110">
        <f>+'Gantt Proyectos'!J248</f>
        <v>0</v>
      </c>
      <c r="M180" s="110">
        <f>+'Gantt Proyectos'!K248</f>
        <v>0</v>
      </c>
      <c r="N180" s="110">
        <f>+'Gantt Proyectos'!L248</f>
        <v>0</v>
      </c>
      <c r="O180" s="110">
        <f>+'Gantt Proyectos'!M248</f>
        <v>0</v>
      </c>
      <c r="P180" s="110">
        <f>+'Gantt Proyectos'!N248</f>
        <v>0</v>
      </c>
      <c r="Q180" s="110">
        <f>+'Gantt Proyectos'!O248</f>
        <v>0</v>
      </c>
      <c r="R180" s="110">
        <f>+'Gantt Proyectos'!P248</f>
        <v>0</v>
      </c>
      <c r="S180" s="110">
        <f>+'Gantt Proyectos'!R248</f>
        <v>0</v>
      </c>
      <c r="T180" s="118">
        <f>+'Gantt Proyectos'!S248</f>
        <v>0</v>
      </c>
      <c r="U180" s="157">
        <f>+'Gantt Proyectos'!T248</f>
        <v>0</v>
      </c>
      <c r="V180" s="157">
        <f>+'Gantt Proyectos'!U248</f>
        <v>0</v>
      </c>
      <c r="W180" s="201">
        <f t="shared" si="17"/>
        <v>0</v>
      </c>
      <c r="X180" s="110">
        <f>+'Gantt Proyectos'!W248</f>
        <v>0</v>
      </c>
      <c r="Y180" s="110">
        <f>+'Gantt Proyectos'!X248</f>
        <v>0</v>
      </c>
      <c r="Z180" s="110">
        <f>+'Gantt Proyectos'!Y248</f>
        <v>0</v>
      </c>
      <c r="AA180" s="110">
        <f>+'Gantt Proyectos'!Z248</f>
        <v>0</v>
      </c>
      <c r="AB180" s="110">
        <f>+'Gantt Proyectos'!AA248</f>
        <v>0</v>
      </c>
      <c r="AC180" s="110">
        <f>+'Gantt Proyectos'!AB248</f>
        <v>0</v>
      </c>
      <c r="AD180" s="110">
        <f>+'Gantt Proyectos'!AC248</f>
        <v>0</v>
      </c>
      <c r="AE180" s="110">
        <f>+'Gantt Proyectos'!AD248</f>
        <v>0</v>
      </c>
      <c r="AF180" s="110">
        <f>+'Gantt Proyectos'!AE248</f>
        <v>0</v>
      </c>
      <c r="AG180" s="172">
        <v>1</v>
      </c>
      <c r="AH180" s="168">
        <f>IFERROR(IF('Gantt Proyectos'!AF248&gt;0,SUMIFS('Listas y Parametros'!$C$45:$L$45,'Listas y Parametros'!$C$35:$L$35,'Costo Directo Proyectos'!$AD180)*$AG180,0)+IF('Gantt Proyectos'!AF248=2,$T180,0)/$W180,0)*$L180</f>
        <v>0</v>
      </c>
      <c r="AI180" s="169">
        <f>IFERROR(IF('Gantt Proyectos'!AG248&gt;0,SUMIFS('Listas y Parametros'!$C$45:$L$45,'Listas y Parametros'!$C$35:$L$35,'Costo Directo Proyectos'!$AD180)*$AG180,0)+IF('Gantt Proyectos'!AG248=2,$T180,0)/$W180,0)*$L180</f>
        <v>0</v>
      </c>
      <c r="AJ180" s="169">
        <f>IFERROR(IF('Gantt Proyectos'!AH248&gt;0,SUMIFS('Listas y Parametros'!$C$45:$L$45,'Listas y Parametros'!$C$35:$L$35,'Costo Directo Proyectos'!$AD180)*$AG180,0)+IF('Gantt Proyectos'!AH248=2,$T180,0)/$W180,0)*$L180</f>
        <v>0</v>
      </c>
      <c r="AK180" s="169">
        <f>IFERROR(IF('Gantt Proyectos'!AI248&gt;0,SUMIFS('Listas y Parametros'!$C$45:$L$45,'Listas y Parametros'!$C$35:$L$35,'Costo Directo Proyectos'!$AD180)*$AG180,0)+IF('Gantt Proyectos'!AI248=2,$T180,0)/$W180,0)*$L180</f>
        <v>0</v>
      </c>
      <c r="AL180" s="169">
        <f>IFERROR(IF('Gantt Proyectos'!AJ248&gt;0,SUMIFS('Listas y Parametros'!$C$45:$L$45,'Listas y Parametros'!$C$35:$L$35,'Costo Directo Proyectos'!$AD180)*$AG180,0)+IF('Gantt Proyectos'!AJ248=2,$T180,0)/$W180,0)*$L180</f>
        <v>0</v>
      </c>
      <c r="AM180" s="169">
        <f>IFERROR(IF('Gantt Proyectos'!AK248&gt;0,SUMIFS('Listas y Parametros'!$C$45:$L$45,'Listas y Parametros'!$C$35:$L$35,'Costo Directo Proyectos'!$AD180)*$AG180,0)+IF('Gantt Proyectos'!AK248=2,$T180,0)/$W180,0)*$L180</f>
        <v>0</v>
      </c>
      <c r="AN180" s="169">
        <f>IFERROR(IF('Gantt Proyectos'!AL248&gt;0,SUMIFS('Listas y Parametros'!$C$45:$L$45,'Listas y Parametros'!$C$35:$L$35,'Costo Directo Proyectos'!$AD180)*$AG180,0)+IF('Gantt Proyectos'!AL248=2,$T180,0)/$W180,0)*$L180</f>
        <v>0</v>
      </c>
      <c r="AO180" s="169">
        <f>IFERROR(IF('Gantt Proyectos'!AM248&gt;0,SUMIFS('Listas y Parametros'!$C$45:$L$45,'Listas y Parametros'!$C$35:$L$35,'Costo Directo Proyectos'!$AD180)*$AG180,0)+IF('Gantt Proyectos'!AM248=2,$T180,0)/$W180,0)*$L180</f>
        <v>0</v>
      </c>
      <c r="AP180" s="170">
        <f>IFERROR(IF('Gantt Proyectos'!AN248&gt;0,SUMIFS('Listas y Parametros'!$C$45:$L$45,'Listas y Parametros'!$C$35:$L$35,'Costo Directo Proyectos'!$AD180)*$AG180,0)+IF('Gantt Proyectos'!AN248=2,$T180,0)/$W180,0)*$L180</f>
        <v>0</v>
      </c>
    </row>
    <row r="181" spans="3:42" ht="15" x14ac:dyDescent="0.2">
      <c r="C181" s="110">
        <f>+'Gantt Proyectos'!C249</f>
        <v>0</v>
      </c>
      <c r="D181" s="110">
        <f>+'Gantt Proyectos'!D249</f>
        <v>0</v>
      </c>
      <c r="E181" s="110">
        <f>+'Gantt Proyectos'!E249</f>
        <v>0</v>
      </c>
      <c r="F181" s="148">
        <f>+'Gantt Proyectos'!F249</f>
        <v>0</v>
      </c>
      <c r="G181" s="110">
        <f>+'Gantt Proyectos'!G249</f>
        <v>0</v>
      </c>
      <c r="H181" s="110">
        <f>+'Gantt Proyectos'!H249</f>
        <v>0</v>
      </c>
      <c r="I181" s="189">
        <v>1</v>
      </c>
      <c r="J181" s="189">
        <f t="shared" si="16"/>
        <v>0</v>
      </c>
      <c r="K181" s="110">
        <f>+'Gantt Proyectos'!I249</f>
        <v>0</v>
      </c>
      <c r="L181" s="110">
        <f>+'Gantt Proyectos'!J249</f>
        <v>0</v>
      </c>
      <c r="M181" s="110">
        <f>+'Gantt Proyectos'!K249</f>
        <v>0</v>
      </c>
      <c r="N181" s="110">
        <f>+'Gantt Proyectos'!L249</f>
        <v>0</v>
      </c>
      <c r="O181" s="110">
        <f>+'Gantt Proyectos'!M249</f>
        <v>0</v>
      </c>
      <c r="P181" s="110">
        <f>+'Gantt Proyectos'!N249</f>
        <v>0</v>
      </c>
      <c r="Q181" s="110">
        <f>+'Gantt Proyectos'!O249</f>
        <v>0</v>
      </c>
      <c r="R181" s="110">
        <f>+'Gantt Proyectos'!P249</f>
        <v>0</v>
      </c>
      <c r="S181" s="110">
        <f>+'Gantt Proyectos'!R249</f>
        <v>0</v>
      </c>
      <c r="T181" s="118">
        <f>+'Gantt Proyectos'!S249</f>
        <v>0</v>
      </c>
      <c r="U181" s="157">
        <f>+'Gantt Proyectos'!T249</f>
        <v>0</v>
      </c>
      <c r="V181" s="157">
        <f>+'Gantt Proyectos'!U249</f>
        <v>0</v>
      </c>
      <c r="W181" s="201">
        <f t="shared" si="17"/>
        <v>0</v>
      </c>
      <c r="X181" s="110">
        <f>+'Gantt Proyectos'!W249</f>
        <v>0</v>
      </c>
      <c r="Y181" s="110">
        <f>+'Gantt Proyectos'!X249</f>
        <v>0</v>
      </c>
      <c r="Z181" s="110">
        <f>+'Gantt Proyectos'!Y249</f>
        <v>0</v>
      </c>
      <c r="AA181" s="110">
        <f>+'Gantt Proyectos'!Z249</f>
        <v>0</v>
      </c>
      <c r="AB181" s="110">
        <f>+'Gantt Proyectos'!AA249</f>
        <v>0</v>
      </c>
      <c r="AC181" s="110">
        <f>+'Gantt Proyectos'!AB249</f>
        <v>0</v>
      </c>
      <c r="AD181" s="110">
        <f>+'Gantt Proyectos'!AC249</f>
        <v>0</v>
      </c>
      <c r="AE181" s="110">
        <f>+'Gantt Proyectos'!AD249</f>
        <v>0</v>
      </c>
      <c r="AF181" s="110">
        <f>+'Gantt Proyectos'!AE249</f>
        <v>0</v>
      </c>
      <c r="AG181" s="172">
        <v>1</v>
      </c>
      <c r="AH181" s="168">
        <f>IFERROR(IF('Gantt Proyectos'!AF249&gt;0,SUMIFS('Listas y Parametros'!$C$45:$L$45,'Listas y Parametros'!$C$35:$L$35,'Costo Directo Proyectos'!$AD181)*$AG181,0)+IF('Gantt Proyectos'!AF249=2,$T181,0)/$W181,0)*$L181</f>
        <v>0</v>
      </c>
      <c r="AI181" s="169">
        <f>IFERROR(IF('Gantt Proyectos'!AG249&gt;0,SUMIFS('Listas y Parametros'!$C$45:$L$45,'Listas y Parametros'!$C$35:$L$35,'Costo Directo Proyectos'!$AD181)*$AG181,0)+IF('Gantt Proyectos'!AG249=2,$T181,0)/$W181,0)*$L181</f>
        <v>0</v>
      </c>
      <c r="AJ181" s="169">
        <f>IFERROR(IF('Gantt Proyectos'!AH249&gt;0,SUMIFS('Listas y Parametros'!$C$45:$L$45,'Listas y Parametros'!$C$35:$L$35,'Costo Directo Proyectos'!$AD181)*$AG181,0)+IF('Gantt Proyectos'!AH249=2,$T181,0)/$W181,0)*$L181</f>
        <v>0</v>
      </c>
      <c r="AK181" s="169">
        <f>IFERROR(IF('Gantt Proyectos'!AI249&gt;0,SUMIFS('Listas y Parametros'!$C$45:$L$45,'Listas y Parametros'!$C$35:$L$35,'Costo Directo Proyectos'!$AD181)*$AG181,0)+IF('Gantt Proyectos'!AI249=2,$T181,0)/$W181,0)*$L181</f>
        <v>0</v>
      </c>
      <c r="AL181" s="169">
        <f>IFERROR(IF('Gantt Proyectos'!AJ249&gt;0,SUMIFS('Listas y Parametros'!$C$45:$L$45,'Listas y Parametros'!$C$35:$L$35,'Costo Directo Proyectos'!$AD181)*$AG181,0)+IF('Gantt Proyectos'!AJ249=2,$T181,0)/$W181,0)*$L181</f>
        <v>0</v>
      </c>
      <c r="AM181" s="169">
        <f>IFERROR(IF('Gantt Proyectos'!AK249&gt;0,SUMIFS('Listas y Parametros'!$C$45:$L$45,'Listas y Parametros'!$C$35:$L$35,'Costo Directo Proyectos'!$AD181)*$AG181,0)+IF('Gantt Proyectos'!AK249=2,$T181,0)/$W181,0)*$L181</f>
        <v>0</v>
      </c>
      <c r="AN181" s="169">
        <f>IFERROR(IF('Gantt Proyectos'!AL249&gt;0,SUMIFS('Listas y Parametros'!$C$45:$L$45,'Listas y Parametros'!$C$35:$L$35,'Costo Directo Proyectos'!$AD181)*$AG181,0)+IF('Gantt Proyectos'!AL249=2,$T181,0)/$W181,0)*$L181</f>
        <v>0</v>
      </c>
      <c r="AO181" s="169">
        <f>IFERROR(IF('Gantt Proyectos'!AM249&gt;0,SUMIFS('Listas y Parametros'!$C$45:$L$45,'Listas y Parametros'!$C$35:$L$35,'Costo Directo Proyectos'!$AD181)*$AG181,0)+IF('Gantt Proyectos'!AM249=2,$T181,0)/$W181,0)*$L181</f>
        <v>0</v>
      </c>
      <c r="AP181" s="170">
        <f>IFERROR(IF('Gantt Proyectos'!AN249&gt;0,SUMIFS('Listas y Parametros'!$C$45:$L$45,'Listas y Parametros'!$C$35:$L$35,'Costo Directo Proyectos'!$AD181)*$AG181,0)+IF('Gantt Proyectos'!AN249=2,$T181,0)/$W181,0)*$L181</f>
        <v>0</v>
      </c>
    </row>
    <row r="182" spans="3:42" ht="15" x14ac:dyDescent="0.2">
      <c r="C182" s="110">
        <f>+'Gantt Proyectos'!C250</f>
        <v>0</v>
      </c>
      <c r="D182" s="110">
        <f>+'Gantt Proyectos'!D250</f>
        <v>0</v>
      </c>
      <c r="E182" s="110">
        <f>+'Gantt Proyectos'!E250</f>
        <v>0</v>
      </c>
      <c r="F182" s="148">
        <f>+'Gantt Proyectos'!F250</f>
        <v>0</v>
      </c>
      <c r="G182" s="110">
        <f>+'Gantt Proyectos'!G250</f>
        <v>0</v>
      </c>
      <c r="H182" s="110">
        <f>+'Gantt Proyectos'!H250</f>
        <v>0</v>
      </c>
      <c r="I182" s="189">
        <v>1</v>
      </c>
      <c r="J182" s="189">
        <f t="shared" si="16"/>
        <v>0</v>
      </c>
      <c r="K182" s="110">
        <f>+'Gantt Proyectos'!I250</f>
        <v>0</v>
      </c>
      <c r="L182" s="110">
        <f>+'Gantt Proyectos'!J250</f>
        <v>0</v>
      </c>
      <c r="M182" s="110">
        <f>+'Gantt Proyectos'!K250</f>
        <v>0</v>
      </c>
      <c r="N182" s="110">
        <f>+'Gantt Proyectos'!L250</f>
        <v>0</v>
      </c>
      <c r="O182" s="110">
        <f>+'Gantt Proyectos'!M250</f>
        <v>0</v>
      </c>
      <c r="P182" s="110">
        <f>+'Gantt Proyectos'!N250</f>
        <v>0</v>
      </c>
      <c r="Q182" s="110">
        <f>+'Gantt Proyectos'!O250</f>
        <v>0</v>
      </c>
      <c r="R182" s="110">
        <f>+'Gantt Proyectos'!P250</f>
        <v>0</v>
      </c>
      <c r="S182" s="110">
        <f>+'Gantt Proyectos'!R250</f>
        <v>0</v>
      </c>
      <c r="T182" s="118">
        <f>+'Gantt Proyectos'!S250</f>
        <v>0</v>
      </c>
      <c r="U182" s="157">
        <f>+'Gantt Proyectos'!T250</f>
        <v>0</v>
      </c>
      <c r="V182" s="157">
        <f>+'Gantt Proyectos'!U250</f>
        <v>0</v>
      </c>
      <c r="W182" s="201">
        <f t="shared" si="17"/>
        <v>0</v>
      </c>
      <c r="X182" s="110">
        <f>+'Gantt Proyectos'!W250</f>
        <v>0</v>
      </c>
      <c r="Y182" s="110">
        <f>+'Gantt Proyectos'!X250</f>
        <v>0</v>
      </c>
      <c r="Z182" s="110">
        <f>+'Gantt Proyectos'!Y250</f>
        <v>0</v>
      </c>
      <c r="AA182" s="110">
        <f>+'Gantt Proyectos'!Z250</f>
        <v>0</v>
      </c>
      <c r="AB182" s="110">
        <f>+'Gantt Proyectos'!AA250</f>
        <v>0</v>
      </c>
      <c r="AC182" s="110">
        <f>+'Gantt Proyectos'!AB250</f>
        <v>0</v>
      </c>
      <c r="AD182" s="110">
        <f>+'Gantt Proyectos'!AC250</f>
        <v>0</v>
      </c>
      <c r="AE182" s="110">
        <f>+'Gantt Proyectos'!AD250</f>
        <v>0</v>
      </c>
      <c r="AF182" s="110">
        <f>+'Gantt Proyectos'!AE250</f>
        <v>0</v>
      </c>
      <c r="AG182" s="172">
        <v>1</v>
      </c>
      <c r="AH182" s="168">
        <f>IFERROR(IF('Gantt Proyectos'!AF250&gt;0,SUMIFS('Listas y Parametros'!$C$45:$L$45,'Listas y Parametros'!$C$35:$L$35,'Costo Directo Proyectos'!$AD182)*$AG182,0)+IF('Gantt Proyectos'!AF250=2,$T182,0)/$W182,0)*$L182</f>
        <v>0</v>
      </c>
      <c r="AI182" s="169">
        <f>IFERROR(IF('Gantt Proyectos'!AG250&gt;0,SUMIFS('Listas y Parametros'!$C$45:$L$45,'Listas y Parametros'!$C$35:$L$35,'Costo Directo Proyectos'!$AD182)*$AG182,0)+IF('Gantt Proyectos'!AG250=2,$T182,0)/$W182,0)*$L182</f>
        <v>0</v>
      </c>
      <c r="AJ182" s="169">
        <f>IFERROR(IF('Gantt Proyectos'!AH250&gt;0,SUMIFS('Listas y Parametros'!$C$45:$L$45,'Listas y Parametros'!$C$35:$L$35,'Costo Directo Proyectos'!$AD182)*$AG182,0)+IF('Gantt Proyectos'!AH250=2,$T182,0)/$W182,0)*$L182</f>
        <v>0</v>
      </c>
      <c r="AK182" s="169">
        <f>IFERROR(IF('Gantt Proyectos'!AI250&gt;0,SUMIFS('Listas y Parametros'!$C$45:$L$45,'Listas y Parametros'!$C$35:$L$35,'Costo Directo Proyectos'!$AD182)*$AG182,0)+IF('Gantt Proyectos'!AI250=2,$T182,0)/$W182,0)*$L182</f>
        <v>0</v>
      </c>
      <c r="AL182" s="169">
        <f>IFERROR(IF('Gantt Proyectos'!AJ250&gt;0,SUMIFS('Listas y Parametros'!$C$45:$L$45,'Listas y Parametros'!$C$35:$L$35,'Costo Directo Proyectos'!$AD182)*$AG182,0)+IF('Gantt Proyectos'!AJ250=2,$T182,0)/$W182,0)*$L182</f>
        <v>0</v>
      </c>
      <c r="AM182" s="169">
        <f>IFERROR(IF('Gantt Proyectos'!AK250&gt;0,SUMIFS('Listas y Parametros'!$C$45:$L$45,'Listas y Parametros'!$C$35:$L$35,'Costo Directo Proyectos'!$AD182)*$AG182,0)+IF('Gantt Proyectos'!AK250=2,$T182,0)/$W182,0)*$L182</f>
        <v>0</v>
      </c>
      <c r="AN182" s="169">
        <f>IFERROR(IF('Gantt Proyectos'!AL250&gt;0,SUMIFS('Listas y Parametros'!$C$45:$L$45,'Listas y Parametros'!$C$35:$L$35,'Costo Directo Proyectos'!$AD182)*$AG182,0)+IF('Gantt Proyectos'!AL250=2,$T182,0)/$W182,0)*$L182</f>
        <v>0</v>
      </c>
      <c r="AO182" s="169">
        <f>IFERROR(IF('Gantt Proyectos'!AM250&gt;0,SUMIFS('Listas y Parametros'!$C$45:$L$45,'Listas y Parametros'!$C$35:$L$35,'Costo Directo Proyectos'!$AD182)*$AG182,0)+IF('Gantt Proyectos'!AM250=2,$T182,0)/$W182,0)*$L182</f>
        <v>0</v>
      </c>
      <c r="AP182" s="170">
        <f>IFERROR(IF('Gantt Proyectos'!AN250&gt;0,SUMIFS('Listas y Parametros'!$C$45:$L$45,'Listas y Parametros'!$C$35:$L$35,'Costo Directo Proyectos'!$AD182)*$AG182,0)+IF('Gantt Proyectos'!AN250=2,$T182,0)/$W182,0)*$L182</f>
        <v>0</v>
      </c>
    </row>
    <row r="183" spans="3:42" ht="15" x14ac:dyDescent="0.2">
      <c r="C183" s="110">
        <f>+'Gantt Proyectos'!C251</f>
        <v>0</v>
      </c>
      <c r="D183" s="110">
        <f>+'Gantt Proyectos'!D251</f>
        <v>0</v>
      </c>
      <c r="E183" s="110">
        <f>+'Gantt Proyectos'!E251</f>
        <v>0</v>
      </c>
      <c r="F183" s="148">
        <f>+'Gantt Proyectos'!F251</f>
        <v>0</v>
      </c>
      <c r="G183" s="110">
        <f>+'Gantt Proyectos'!G251</f>
        <v>0</v>
      </c>
      <c r="H183" s="110">
        <f>+'Gantt Proyectos'!H251</f>
        <v>0</v>
      </c>
      <c r="I183" s="189">
        <v>1</v>
      </c>
      <c r="J183" s="189">
        <f t="shared" si="16"/>
        <v>0</v>
      </c>
      <c r="K183" s="110">
        <f>+'Gantt Proyectos'!I251</f>
        <v>0</v>
      </c>
      <c r="L183" s="110">
        <f>+'Gantt Proyectos'!J251</f>
        <v>0</v>
      </c>
      <c r="M183" s="110">
        <f>+'Gantt Proyectos'!K251</f>
        <v>0</v>
      </c>
      <c r="N183" s="110">
        <f>+'Gantt Proyectos'!L251</f>
        <v>0</v>
      </c>
      <c r="O183" s="110">
        <f>+'Gantt Proyectos'!M251</f>
        <v>0</v>
      </c>
      <c r="P183" s="110">
        <f>+'Gantt Proyectos'!N251</f>
        <v>0</v>
      </c>
      <c r="Q183" s="110">
        <f>+'Gantt Proyectos'!O251</f>
        <v>0</v>
      </c>
      <c r="R183" s="110">
        <f>+'Gantt Proyectos'!P251</f>
        <v>0</v>
      </c>
      <c r="S183" s="110">
        <f>+'Gantt Proyectos'!R251</f>
        <v>0</v>
      </c>
      <c r="T183" s="118">
        <f>+'Gantt Proyectos'!S251</f>
        <v>0</v>
      </c>
      <c r="U183" s="157">
        <f>+'Gantt Proyectos'!T251</f>
        <v>0</v>
      </c>
      <c r="V183" s="157">
        <f>+'Gantt Proyectos'!U251</f>
        <v>0</v>
      </c>
      <c r="W183" s="201">
        <f t="shared" si="17"/>
        <v>0</v>
      </c>
      <c r="X183" s="110">
        <f>+'Gantt Proyectos'!W251</f>
        <v>0</v>
      </c>
      <c r="Y183" s="110">
        <f>+'Gantt Proyectos'!X251</f>
        <v>0</v>
      </c>
      <c r="Z183" s="110">
        <f>+'Gantt Proyectos'!Y251</f>
        <v>0</v>
      </c>
      <c r="AA183" s="110">
        <f>+'Gantt Proyectos'!Z251</f>
        <v>0</v>
      </c>
      <c r="AB183" s="110">
        <f>+'Gantt Proyectos'!AA251</f>
        <v>0</v>
      </c>
      <c r="AC183" s="110">
        <f>+'Gantt Proyectos'!AB251</f>
        <v>0</v>
      </c>
      <c r="AD183" s="110">
        <f>+'Gantt Proyectos'!AC251</f>
        <v>0</v>
      </c>
      <c r="AE183" s="110">
        <f>+'Gantt Proyectos'!AD251</f>
        <v>0</v>
      </c>
      <c r="AF183" s="110">
        <f>+'Gantt Proyectos'!AE251</f>
        <v>0</v>
      </c>
      <c r="AG183" s="172">
        <v>1</v>
      </c>
      <c r="AH183" s="168">
        <f>IFERROR(IF('Gantt Proyectos'!AF251&gt;0,SUMIFS('Listas y Parametros'!$C$45:$L$45,'Listas y Parametros'!$C$35:$L$35,'Costo Directo Proyectos'!$AD183)*$AG183,0)+IF('Gantt Proyectos'!AF251=2,$T183,0)/$W183,0)*$L183</f>
        <v>0</v>
      </c>
      <c r="AI183" s="169">
        <f>IFERROR(IF('Gantt Proyectos'!AG251&gt;0,SUMIFS('Listas y Parametros'!$C$45:$L$45,'Listas y Parametros'!$C$35:$L$35,'Costo Directo Proyectos'!$AD183)*$AG183,0)+IF('Gantt Proyectos'!AG251=2,$T183,0)/$W183,0)*$L183</f>
        <v>0</v>
      </c>
      <c r="AJ183" s="169">
        <f>IFERROR(IF('Gantt Proyectos'!AH251&gt;0,SUMIFS('Listas y Parametros'!$C$45:$L$45,'Listas y Parametros'!$C$35:$L$35,'Costo Directo Proyectos'!$AD183)*$AG183,0)+IF('Gantt Proyectos'!AH251=2,$T183,0)/$W183,0)*$L183</f>
        <v>0</v>
      </c>
      <c r="AK183" s="169">
        <f>IFERROR(IF('Gantt Proyectos'!AI251&gt;0,SUMIFS('Listas y Parametros'!$C$45:$L$45,'Listas y Parametros'!$C$35:$L$35,'Costo Directo Proyectos'!$AD183)*$AG183,0)+IF('Gantt Proyectos'!AI251=2,$T183,0)/$W183,0)*$L183</f>
        <v>0</v>
      </c>
      <c r="AL183" s="169">
        <f>IFERROR(IF('Gantt Proyectos'!AJ251&gt;0,SUMIFS('Listas y Parametros'!$C$45:$L$45,'Listas y Parametros'!$C$35:$L$35,'Costo Directo Proyectos'!$AD183)*$AG183,0)+IF('Gantt Proyectos'!AJ251=2,$T183,0)/$W183,0)*$L183</f>
        <v>0</v>
      </c>
      <c r="AM183" s="169">
        <f>IFERROR(IF('Gantt Proyectos'!AK251&gt;0,SUMIFS('Listas y Parametros'!$C$45:$L$45,'Listas y Parametros'!$C$35:$L$35,'Costo Directo Proyectos'!$AD183)*$AG183,0)+IF('Gantt Proyectos'!AK251=2,$T183,0)/$W183,0)*$L183</f>
        <v>0</v>
      </c>
      <c r="AN183" s="169">
        <f>IFERROR(IF('Gantt Proyectos'!AL251&gt;0,SUMIFS('Listas y Parametros'!$C$45:$L$45,'Listas y Parametros'!$C$35:$L$35,'Costo Directo Proyectos'!$AD183)*$AG183,0)+IF('Gantt Proyectos'!AL251=2,$T183,0)/$W183,0)*$L183</f>
        <v>0</v>
      </c>
      <c r="AO183" s="169">
        <f>IFERROR(IF('Gantt Proyectos'!AM251&gt;0,SUMIFS('Listas y Parametros'!$C$45:$L$45,'Listas y Parametros'!$C$35:$L$35,'Costo Directo Proyectos'!$AD183)*$AG183,0)+IF('Gantt Proyectos'!AM251=2,$T183,0)/$W183,0)*$L183</f>
        <v>0</v>
      </c>
      <c r="AP183" s="170">
        <f>IFERROR(IF('Gantt Proyectos'!AN251&gt;0,SUMIFS('Listas y Parametros'!$C$45:$L$45,'Listas y Parametros'!$C$35:$L$35,'Costo Directo Proyectos'!$AD183)*$AG183,0)+IF('Gantt Proyectos'!AN251=2,$T183,0)/$W183,0)*$L183</f>
        <v>0</v>
      </c>
    </row>
    <row r="184" spans="3:42" ht="15" x14ac:dyDescent="0.2">
      <c r="C184" s="110">
        <f>+'Gantt Proyectos'!C252</f>
        <v>0</v>
      </c>
      <c r="D184" s="110">
        <f>+'Gantt Proyectos'!D252</f>
        <v>0</v>
      </c>
      <c r="E184" s="110">
        <f>+'Gantt Proyectos'!E252</f>
        <v>0</v>
      </c>
      <c r="F184" s="148">
        <f>+'Gantt Proyectos'!F252</f>
        <v>0</v>
      </c>
      <c r="G184" s="110">
        <f>+'Gantt Proyectos'!G252</f>
        <v>0</v>
      </c>
      <c r="H184" s="110">
        <f>+'Gantt Proyectos'!H252</f>
        <v>0</v>
      </c>
      <c r="I184" s="189">
        <v>1</v>
      </c>
      <c r="J184" s="189">
        <f t="shared" si="16"/>
        <v>0</v>
      </c>
      <c r="K184" s="110">
        <f>+'Gantt Proyectos'!I252</f>
        <v>0</v>
      </c>
      <c r="L184" s="110">
        <f>+'Gantt Proyectos'!J252</f>
        <v>0</v>
      </c>
      <c r="M184" s="110">
        <f>+'Gantt Proyectos'!K252</f>
        <v>0</v>
      </c>
      <c r="N184" s="110">
        <f>+'Gantt Proyectos'!L252</f>
        <v>0</v>
      </c>
      <c r="O184" s="110">
        <f>+'Gantt Proyectos'!M252</f>
        <v>0</v>
      </c>
      <c r="P184" s="110">
        <f>+'Gantt Proyectos'!N252</f>
        <v>0</v>
      </c>
      <c r="Q184" s="110">
        <f>+'Gantt Proyectos'!O252</f>
        <v>0</v>
      </c>
      <c r="R184" s="110">
        <f>+'Gantt Proyectos'!P252</f>
        <v>0</v>
      </c>
      <c r="S184" s="110">
        <f>+'Gantt Proyectos'!R252</f>
        <v>0</v>
      </c>
      <c r="T184" s="118">
        <f>+'Gantt Proyectos'!S252</f>
        <v>0</v>
      </c>
      <c r="U184" s="157">
        <f>+'Gantt Proyectos'!T252</f>
        <v>0</v>
      </c>
      <c r="V184" s="157">
        <f>+'Gantt Proyectos'!U252</f>
        <v>0</v>
      </c>
      <c r="W184" s="201">
        <f t="shared" si="17"/>
        <v>0</v>
      </c>
      <c r="X184" s="110">
        <f>+'Gantt Proyectos'!W252</f>
        <v>0</v>
      </c>
      <c r="Y184" s="110">
        <f>+'Gantt Proyectos'!X252</f>
        <v>0</v>
      </c>
      <c r="Z184" s="110">
        <f>+'Gantt Proyectos'!Y252</f>
        <v>0</v>
      </c>
      <c r="AA184" s="110">
        <f>+'Gantt Proyectos'!Z252</f>
        <v>0</v>
      </c>
      <c r="AB184" s="110">
        <f>+'Gantt Proyectos'!AA252</f>
        <v>0</v>
      </c>
      <c r="AC184" s="110">
        <f>+'Gantt Proyectos'!AB252</f>
        <v>0</v>
      </c>
      <c r="AD184" s="110">
        <f>+'Gantt Proyectos'!AC252</f>
        <v>0</v>
      </c>
      <c r="AE184" s="110">
        <f>+'Gantt Proyectos'!AD252</f>
        <v>0</v>
      </c>
      <c r="AF184" s="110">
        <f>+'Gantt Proyectos'!AE252</f>
        <v>0</v>
      </c>
      <c r="AG184" s="172">
        <v>1</v>
      </c>
      <c r="AH184" s="168">
        <f>IFERROR(IF('Gantt Proyectos'!AF252&gt;0,SUMIFS('Listas y Parametros'!$C$45:$L$45,'Listas y Parametros'!$C$35:$L$35,'Costo Directo Proyectos'!$AD184)*$AG184,0)+IF('Gantt Proyectos'!AF252=2,$T184,0)/$W184,0)*$L184</f>
        <v>0</v>
      </c>
      <c r="AI184" s="169">
        <f>IFERROR(IF('Gantt Proyectos'!AG252&gt;0,SUMIFS('Listas y Parametros'!$C$45:$L$45,'Listas y Parametros'!$C$35:$L$35,'Costo Directo Proyectos'!$AD184)*$AG184,0)+IF('Gantt Proyectos'!AG252=2,$T184,0)/$W184,0)*$L184</f>
        <v>0</v>
      </c>
      <c r="AJ184" s="169">
        <f>IFERROR(IF('Gantt Proyectos'!AH252&gt;0,SUMIFS('Listas y Parametros'!$C$45:$L$45,'Listas y Parametros'!$C$35:$L$35,'Costo Directo Proyectos'!$AD184)*$AG184,0)+IF('Gantt Proyectos'!AH252=2,$T184,0)/$W184,0)*$L184</f>
        <v>0</v>
      </c>
      <c r="AK184" s="169">
        <f>IFERROR(IF('Gantt Proyectos'!AI252&gt;0,SUMIFS('Listas y Parametros'!$C$45:$L$45,'Listas y Parametros'!$C$35:$L$35,'Costo Directo Proyectos'!$AD184)*$AG184,0)+IF('Gantt Proyectos'!AI252=2,$T184,0)/$W184,0)*$L184</f>
        <v>0</v>
      </c>
      <c r="AL184" s="169">
        <f>IFERROR(IF('Gantt Proyectos'!AJ252&gt;0,SUMIFS('Listas y Parametros'!$C$45:$L$45,'Listas y Parametros'!$C$35:$L$35,'Costo Directo Proyectos'!$AD184)*$AG184,0)+IF('Gantt Proyectos'!AJ252=2,$T184,0)/$W184,0)*$L184</f>
        <v>0</v>
      </c>
      <c r="AM184" s="169">
        <f>IFERROR(IF('Gantt Proyectos'!AK252&gt;0,SUMIFS('Listas y Parametros'!$C$45:$L$45,'Listas y Parametros'!$C$35:$L$35,'Costo Directo Proyectos'!$AD184)*$AG184,0)+IF('Gantt Proyectos'!AK252=2,$T184,0)/$W184,0)*$L184</f>
        <v>0</v>
      </c>
      <c r="AN184" s="169">
        <f>IFERROR(IF('Gantt Proyectos'!AL252&gt;0,SUMIFS('Listas y Parametros'!$C$45:$L$45,'Listas y Parametros'!$C$35:$L$35,'Costo Directo Proyectos'!$AD184)*$AG184,0)+IF('Gantt Proyectos'!AL252=2,$T184,0)/$W184,0)*$L184</f>
        <v>0</v>
      </c>
      <c r="AO184" s="169">
        <f>IFERROR(IF('Gantt Proyectos'!AM252&gt;0,SUMIFS('Listas y Parametros'!$C$45:$L$45,'Listas y Parametros'!$C$35:$L$35,'Costo Directo Proyectos'!$AD184)*$AG184,0)+IF('Gantt Proyectos'!AM252=2,$T184,0)/$W184,0)*$L184</f>
        <v>0</v>
      </c>
      <c r="AP184" s="170">
        <f>IFERROR(IF('Gantt Proyectos'!AN252&gt;0,SUMIFS('Listas y Parametros'!$C$45:$L$45,'Listas y Parametros'!$C$35:$L$35,'Costo Directo Proyectos'!$AD184)*$AG184,0)+IF('Gantt Proyectos'!AN252=2,$T184,0)/$W184,0)*$L184</f>
        <v>0</v>
      </c>
    </row>
    <row r="185" spans="3:42" ht="15" x14ac:dyDescent="0.2">
      <c r="C185" s="110">
        <f>+'Gantt Proyectos'!C253</f>
        <v>0</v>
      </c>
      <c r="D185" s="110">
        <f>+'Gantt Proyectos'!D253</f>
        <v>0</v>
      </c>
      <c r="E185" s="110">
        <f>+'Gantt Proyectos'!E253</f>
        <v>0</v>
      </c>
      <c r="F185" s="148">
        <f>+'Gantt Proyectos'!F253</f>
        <v>0</v>
      </c>
      <c r="G185" s="110">
        <f>+'Gantt Proyectos'!G253</f>
        <v>0</v>
      </c>
      <c r="H185" s="110">
        <f>+'Gantt Proyectos'!H253</f>
        <v>0</v>
      </c>
      <c r="I185" s="189">
        <v>1</v>
      </c>
      <c r="J185" s="189">
        <f t="shared" si="16"/>
        <v>0</v>
      </c>
      <c r="K185" s="110">
        <f>+'Gantt Proyectos'!I253</f>
        <v>0</v>
      </c>
      <c r="L185" s="110">
        <f>+'Gantt Proyectos'!J253</f>
        <v>0</v>
      </c>
      <c r="M185" s="110">
        <f>+'Gantt Proyectos'!K253</f>
        <v>0</v>
      </c>
      <c r="N185" s="110">
        <f>+'Gantt Proyectos'!L253</f>
        <v>0</v>
      </c>
      <c r="O185" s="110">
        <f>+'Gantt Proyectos'!M253</f>
        <v>0</v>
      </c>
      <c r="P185" s="110">
        <f>+'Gantt Proyectos'!N253</f>
        <v>0</v>
      </c>
      <c r="Q185" s="110">
        <f>+'Gantt Proyectos'!O253</f>
        <v>0</v>
      </c>
      <c r="R185" s="110">
        <f>+'Gantt Proyectos'!P253</f>
        <v>0</v>
      </c>
      <c r="S185" s="110">
        <f>+'Gantt Proyectos'!R253</f>
        <v>0</v>
      </c>
      <c r="T185" s="118">
        <f>+'Gantt Proyectos'!S253</f>
        <v>0</v>
      </c>
      <c r="U185" s="157">
        <f>+'Gantt Proyectos'!T253</f>
        <v>0</v>
      </c>
      <c r="V185" s="157">
        <f>+'Gantt Proyectos'!U253</f>
        <v>0</v>
      </c>
      <c r="W185" s="201">
        <f t="shared" si="17"/>
        <v>0</v>
      </c>
      <c r="X185" s="110">
        <f>+'Gantt Proyectos'!W253</f>
        <v>0</v>
      </c>
      <c r="Y185" s="110">
        <f>+'Gantt Proyectos'!X253</f>
        <v>0</v>
      </c>
      <c r="Z185" s="110">
        <f>+'Gantt Proyectos'!Y253</f>
        <v>0</v>
      </c>
      <c r="AA185" s="110">
        <f>+'Gantt Proyectos'!Z253</f>
        <v>0</v>
      </c>
      <c r="AB185" s="110">
        <f>+'Gantt Proyectos'!AA253</f>
        <v>0</v>
      </c>
      <c r="AC185" s="110">
        <f>+'Gantt Proyectos'!AB253</f>
        <v>0</v>
      </c>
      <c r="AD185" s="110">
        <f>+'Gantt Proyectos'!AC253</f>
        <v>0</v>
      </c>
      <c r="AE185" s="110">
        <f>+'Gantt Proyectos'!AD253</f>
        <v>0</v>
      </c>
      <c r="AF185" s="110">
        <f>+'Gantt Proyectos'!AE253</f>
        <v>0</v>
      </c>
      <c r="AG185" s="172">
        <v>1</v>
      </c>
      <c r="AH185" s="168">
        <f>IFERROR(IF('Gantt Proyectos'!AF253&gt;0,SUMIFS('Listas y Parametros'!$C$45:$L$45,'Listas y Parametros'!$C$35:$L$35,'Costo Directo Proyectos'!$AD185)*$AG185,0)+IF('Gantt Proyectos'!AF253=2,$T185,0)/$W185,0)*$L185</f>
        <v>0</v>
      </c>
      <c r="AI185" s="169">
        <f>IFERROR(IF('Gantt Proyectos'!AG253&gt;0,SUMIFS('Listas y Parametros'!$C$45:$L$45,'Listas y Parametros'!$C$35:$L$35,'Costo Directo Proyectos'!$AD185)*$AG185,0)+IF('Gantt Proyectos'!AG253=2,$T185,0)/$W185,0)*$L185</f>
        <v>0</v>
      </c>
      <c r="AJ185" s="169">
        <f>IFERROR(IF('Gantt Proyectos'!AH253&gt;0,SUMIFS('Listas y Parametros'!$C$45:$L$45,'Listas y Parametros'!$C$35:$L$35,'Costo Directo Proyectos'!$AD185)*$AG185,0)+IF('Gantt Proyectos'!AH253=2,$T185,0)/$W185,0)*$L185</f>
        <v>0</v>
      </c>
      <c r="AK185" s="169">
        <f>IFERROR(IF('Gantt Proyectos'!AI253&gt;0,SUMIFS('Listas y Parametros'!$C$45:$L$45,'Listas y Parametros'!$C$35:$L$35,'Costo Directo Proyectos'!$AD185)*$AG185,0)+IF('Gantt Proyectos'!AI253=2,$T185,0)/$W185,0)*$L185</f>
        <v>0</v>
      </c>
      <c r="AL185" s="169">
        <f>IFERROR(IF('Gantt Proyectos'!AJ253&gt;0,SUMIFS('Listas y Parametros'!$C$45:$L$45,'Listas y Parametros'!$C$35:$L$35,'Costo Directo Proyectos'!$AD185)*$AG185,0)+IF('Gantt Proyectos'!AJ253=2,$T185,0)/$W185,0)*$L185</f>
        <v>0</v>
      </c>
      <c r="AM185" s="169">
        <f>IFERROR(IF('Gantt Proyectos'!AK253&gt;0,SUMIFS('Listas y Parametros'!$C$45:$L$45,'Listas y Parametros'!$C$35:$L$35,'Costo Directo Proyectos'!$AD185)*$AG185,0)+IF('Gantt Proyectos'!AK253=2,$T185,0)/$W185,0)*$L185</f>
        <v>0</v>
      </c>
      <c r="AN185" s="169">
        <f>IFERROR(IF('Gantt Proyectos'!AL253&gt;0,SUMIFS('Listas y Parametros'!$C$45:$L$45,'Listas y Parametros'!$C$35:$L$35,'Costo Directo Proyectos'!$AD185)*$AG185,0)+IF('Gantt Proyectos'!AL253=2,$T185,0)/$W185,0)*$L185</f>
        <v>0</v>
      </c>
      <c r="AO185" s="169">
        <f>IFERROR(IF('Gantt Proyectos'!AM253&gt;0,SUMIFS('Listas y Parametros'!$C$45:$L$45,'Listas y Parametros'!$C$35:$L$35,'Costo Directo Proyectos'!$AD185)*$AG185,0)+IF('Gantt Proyectos'!AM253=2,$T185,0)/$W185,0)*$L185</f>
        <v>0</v>
      </c>
      <c r="AP185" s="170">
        <f>IFERROR(IF('Gantt Proyectos'!AN253&gt;0,SUMIFS('Listas y Parametros'!$C$45:$L$45,'Listas y Parametros'!$C$35:$L$35,'Costo Directo Proyectos'!$AD185)*$AG185,0)+IF('Gantt Proyectos'!AN253=2,$T185,0)/$W185,0)*$L185</f>
        <v>0</v>
      </c>
    </row>
    <row r="186" spans="3:42" ht="15" x14ac:dyDescent="0.2">
      <c r="C186" s="110">
        <f>+'Gantt Proyectos'!C254</f>
        <v>0</v>
      </c>
      <c r="D186" s="110">
        <f>+'Gantt Proyectos'!D254</f>
        <v>0</v>
      </c>
      <c r="E186" s="110">
        <f>+'Gantt Proyectos'!E254</f>
        <v>0</v>
      </c>
      <c r="F186" s="148">
        <f>+'Gantt Proyectos'!F254</f>
        <v>0</v>
      </c>
      <c r="G186" s="110">
        <f>+'Gantt Proyectos'!G254</f>
        <v>0</v>
      </c>
      <c r="H186" s="110">
        <f>+'Gantt Proyectos'!H254</f>
        <v>0</v>
      </c>
      <c r="I186" s="189">
        <v>1</v>
      </c>
      <c r="J186" s="189">
        <f t="shared" si="16"/>
        <v>0</v>
      </c>
      <c r="K186" s="110">
        <f>+'Gantt Proyectos'!I254</f>
        <v>0</v>
      </c>
      <c r="L186" s="110">
        <f>+'Gantt Proyectos'!J254</f>
        <v>0</v>
      </c>
      <c r="M186" s="110">
        <f>+'Gantt Proyectos'!K254</f>
        <v>0</v>
      </c>
      <c r="N186" s="110">
        <f>+'Gantt Proyectos'!L254</f>
        <v>0</v>
      </c>
      <c r="O186" s="110">
        <f>+'Gantt Proyectos'!M254</f>
        <v>0</v>
      </c>
      <c r="P186" s="110">
        <f>+'Gantt Proyectos'!N254</f>
        <v>0</v>
      </c>
      <c r="Q186" s="110">
        <f>+'Gantt Proyectos'!O254</f>
        <v>0</v>
      </c>
      <c r="R186" s="110">
        <f>+'Gantt Proyectos'!P254</f>
        <v>0</v>
      </c>
      <c r="S186" s="110">
        <f>+'Gantt Proyectos'!R254</f>
        <v>0</v>
      </c>
      <c r="T186" s="118">
        <f>+'Gantt Proyectos'!S254</f>
        <v>0</v>
      </c>
      <c r="U186" s="157">
        <f>+'Gantt Proyectos'!T254</f>
        <v>0</v>
      </c>
      <c r="V186" s="157">
        <f>+'Gantt Proyectos'!U254</f>
        <v>0</v>
      </c>
      <c r="W186" s="201">
        <f t="shared" si="17"/>
        <v>0</v>
      </c>
      <c r="X186" s="110">
        <f>+'Gantt Proyectos'!W254</f>
        <v>0</v>
      </c>
      <c r="Y186" s="110">
        <f>+'Gantt Proyectos'!X254</f>
        <v>0</v>
      </c>
      <c r="Z186" s="110">
        <f>+'Gantt Proyectos'!Y254</f>
        <v>0</v>
      </c>
      <c r="AA186" s="110">
        <f>+'Gantt Proyectos'!Z254</f>
        <v>0</v>
      </c>
      <c r="AB186" s="110">
        <f>+'Gantt Proyectos'!AA254</f>
        <v>0</v>
      </c>
      <c r="AC186" s="110">
        <f>+'Gantt Proyectos'!AB254</f>
        <v>0</v>
      </c>
      <c r="AD186" s="110">
        <f>+'Gantt Proyectos'!AC254</f>
        <v>0</v>
      </c>
      <c r="AE186" s="110">
        <f>+'Gantt Proyectos'!AD254</f>
        <v>0</v>
      </c>
      <c r="AF186" s="110">
        <f>+'Gantt Proyectos'!AE254</f>
        <v>0</v>
      </c>
      <c r="AG186" s="172">
        <v>1</v>
      </c>
      <c r="AH186" s="168">
        <f>IFERROR(IF('Gantt Proyectos'!AF254&gt;0,SUMIFS('Listas y Parametros'!$C$45:$L$45,'Listas y Parametros'!$C$35:$L$35,'Costo Directo Proyectos'!$AD186)*$AG186,0)+IF('Gantt Proyectos'!AF254=2,$T186,0)/$W186,0)*$L186</f>
        <v>0</v>
      </c>
      <c r="AI186" s="169">
        <f>IFERROR(IF('Gantt Proyectos'!AG254&gt;0,SUMIFS('Listas y Parametros'!$C$45:$L$45,'Listas y Parametros'!$C$35:$L$35,'Costo Directo Proyectos'!$AD186)*$AG186,0)+IF('Gantt Proyectos'!AG254=2,$T186,0)/$W186,0)*$L186</f>
        <v>0</v>
      </c>
      <c r="AJ186" s="169">
        <f>IFERROR(IF('Gantt Proyectos'!AH254&gt;0,SUMIFS('Listas y Parametros'!$C$45:$L$45,'Listas y Parametros'!$C$35:$L$35,'Costo Directo Proyectos'!$AD186)*$AG186,0)+IF('Gantt Proyectos'!AH254=2,$T186,0)/$W186,0)*$L186</f>
        <v>0</v>
      </c>
      <c r="AK186" s="169">
        <f>IFERROR(IF('Gantt Proyectos'!AI254&gt;0,SUMIFS('Listas y Parametros'!$C$45:$L$45,'Listas y Parametros'!$C$35:$L$35,'Costo Directo Proyectos'!$AD186)*$AG186,0)+IF('Gantt Proyectos'!AI254=2,$T186,0)/$W186,0)*$L186</f>
        <v>0</v>
      </c>
      <c r="AL186" s="169">
        <f>IFERROR(IF('Gantt Proyectos'!AJ254&gt;0,SUMIFS('Listas y Parametros'!$C$45:$L$45,'Listas y Parametros'!$C$35:$L$35,'Costo Directo Proyectos'!$AD186)*$AG186,0)+IF('Gantt Proyectos'!AJ254=2,$T186,0)/$W186,0)*$L186</f>
        <v>0</v>
      </c>
      <c r="AM186" s="169">
        <f>IFERROR(IF('Gantt Proyectos'!AK254&gt;0,SUMIFS('Listas y Parametros'!$C$45:$L$45,'Listas y Parametros'!$C$35:$L$35,'Costo Directo Proyectos'!$AD186)*$AG186,0)+IF('Gantt Proyectos'!AK254=2,$T186,0)/$W186,0)*$L186</f>
        <v>0</v>
      </c>
      <c r="AN186" s="169">
        <f>IFERROR(IF('Gantt Proyectos'!AL254&gt;0,SUMIFS('Listas y Parametros'!$C$45:$L$45,'Listas y Parametros'!$C$35:$L$35,'Costo Directo Proyectos'!$AD186)*$AG186,0)+IF('Gantt Proyectos'!AL254=2,$T186,0)/$W186,0)*$L186</f>
        <v>0</v>
      </c>
      <c r="AO186" s="169">
        <f>IFERROR(IF('Gantt Proyectos'!AM254&gt;0,SUMIFS('Listas y Parametros'!$C$45:$L$45,'Listas y Parametros'!$C$35:$L$35,'Costo Directo Proyectos'!$AD186)*$AG186,0)+IF('Gantt Proyectos'!AM254=2,$T186,0)/$W186,0)*$L186</f>
        <v>0</v>
      </c>
      <c r="AP186" s="170">
        <f>IFERROR(IF('Gantt Proyectos'!AN254&gt;0,SUMIFS('Listas y Parametros'!$C$45:$L$45,'Listas y Parametros'!$C$35:$L$35,'Costo Directo Proyectos'!$AD186)*$AG186,0)+IF('Gantt Proyectos'!AN254=2,$T186,0)/$W186,0)*$L186</f>
        <v>0</v>
      </c>
    </row>
    <row r="187" spans="3:42" ht="15" x14ac:dyDescent="0.2">
      <c r="C187" s="110">
        <f>+'Gantt Proyectos'!C255</f>
        <v>0</v>
      </c>
      <c r="D187" s="110">
        <f>+'Gantt Proyectos'!D255</f>
        <v>0</v>
      </c>
      <c r="E187" s="110">
        <f>+'Gantt Proyectos'!E255</f>
        <v>0</v>
      </c>
      <c r="F187" s="148">
        <f>+'Gantt Proyectos'!F255</f>
        <v>0</v>
      </c>
      <c r="G187" s="110">
        <f>+'Gantt Proyectos'!G255</f>
        <v>0</v>
      </c>
      <c r="H187" s="110">
        <f>+'Gantt Proyectos'!H255</f>
        <v>0</v>
      </c>
      <c r="I187" s="189">
        <v>1</v>
      </c>
      <c r="J187" s="189">
        <f t="shared" si="16"/>
        <v>0</v>
      </c>
      <c r="K187" s="110">
        <f>+'Gantt Proyectos'!I255</f>
        <v>0</v>
      </c>
      <c r="L187" s="110">
        <f>+'Gantt Proyectos'!J255</f>
        <v>0</v>
      </c>
      <c r="M187" s="110">
        <f>+'Gantt Proyectos'!K255</f>
        <v>0</v>
      </c>
      <c r="N187" s="110">
        <f>+'Gantt Proyectos'!L255</f>
        <v>0</v>
      </c>
      <c r="O187" s="110">
        <f>+'Gantt Proyectos'!M255</f>
        <v>0</v>
      </c>
      <c r="P187" s="110">
        <f>+'Gantt Proyectos'!N255</f>
        <v>0</v>
      </c>
      <c r="Q187" s="110">
        <f>+'Gantt Proyectos'!O255</f>
        <v>0</v>
      </c>
      <c r="R187" s="110">
        <f>+'Gantt Proyectos'!P255</f>
        <v>0</v>
      </c>
      <c r="S187" s="110">
        <f>+'Gantt Proyectos'!R255</f>
        <v>0</v>
      </c>
      <c r="T187" s="118">
        <f>+'Gantt Proyectos'!S255</f>
        <v>0</v>
      </c>
      <c r="U187" s="157">
        <f>+'Gantt Proyectos'!T255</f>
        <v>0</v>
      </c>
      <c r="V187" s="157">
        <f>+'Gantt Proyectos'!U255</f>
        <v>0</v>
      </c>
      <c r="W187" s="201">
        <f t="shared" si="17"/>
        <v>0</v>
      </c>
      <c r="X187" s="110">
        <f>+'Gantt Proyectos'!W255</f>
        <v>0</v>
      </c>
      <c r="Y187" s="110">
        <f>+'Gantt Proyectos'!X255</f>
        <v>0</v>
      </c>
      <c r="Z187" s="110">
        <f>+'Gantt Proyectos'!Y255</f>
        <v>0</v>
      </c>
      <c r="AA187" s="110">
        <f>+'Gantt Proyectos'!Z255</f>
        <v>0</v>
      </c>
      <c r="AB187" s="110">
        <f>+'Gantt Proyectos'!AA255</f>
        <v>0</v>
      </c>
      <c r="AC187" s="110">
        <f>+'Gantt Proyectos'!AB255</f>
        <v>0</v>
      </c>
      <c r="AD187" s="110">
        <f>+'Gantt Proyectos'!AC255</f>
        <v>0</v>
      </c>
      <c r="AE187" s="110">
        <f>+'Gantt Proyectos'!AD255</f>
        <v>0</v>
      </c>
      <c r="AF187" s="110">
        <f>+'Gantt Proyectos'!AE255</f>
        <v>0</v>
      </c>
      <c r="AG187" s="172">
        <v>1</v>
      </c>
      <c r="AH187" s="168">
        <f>IFERROR(IF('Gantt Proyectos'!AF255&gt;0,SUMIFS('Listas y Parametros'!$C$45:$L$45,'Listas y Parametros'!$C$35:$L$35,'Costo Directo Proyectos'!$AD187)*$AG187,0)+IF('Gantt Proyectos'!AF255=2,$T187,0)/$W187,0)*$L187</f>
        <v>0</v>
      </c>
      <c r="AI187" s="169">
        <f>IFERROR(IF('Gantt Proyectos'!AG255&gt;0,SUMIFS('Listas y Parametros'!$C$45:$L$45,'Listas y Parametros'!$C$35:$L$35,'Costo Directo Proyectos'!$AD187)*$AG187,0)+IF('Gantt Proyectos'!AG255=2,$T187,0)/$W187,0)*$L187</f>
        <v>0</v>
      </c>
      <c r="AJ187" s="169">
        <f>IFERROR(IF('Gantt Proyectos'!AH255&gt;0,SUMIFS('Listas y Parametros'!$C$45:$L$45,'Listas y Parametros'!$C$35:$L$35,'Costo Directo Proyectos'!$AD187)*$AG187,0)+IF('Gantt Proyectos'!AH255=2,$T187,0)/$W187,0)*$L187</f>
        <v>0</v>
      </c>
      <c r="AK187" s="169">
        <f>IFERROR(IF('Gantt Proyectos'!AI255&gt;0,SUMIFS('Listas y Parametros'!$C$45:$L$45,'Listas y Parametros'!$C$35:$L$35,'Costo Directo Proyectos'!$AD187)*$AG187,0)+IF('Gantt Proyectos'!AI255=2,$T187,0)/$W187,0)*$L187</f>
        <v>0</v>
      </c>
      <c r="AL187" s="169">
        <f>IFERROR(IF('Gantt Proyectos'!AJ255&gt;0,SUMIFS('Listas y Parametros'!$C$45:$L$45,'Listas y Parametros'!$C$35:$L$35,'Costo Directo Proyectos'!$AD187)*$AG187,0)+IF('Gantt Proyectos'!AJ255=2,$T187,0)/$W187,0)*$L187</f>
        <v>0</v>
      </c>
      <c r="AM187" s="169">
        <f>IFERROR(IF('Gantt Proyectos'!AK255&gt;0,SUMIFS('Listas y Parametros'!$C$45:$L$45,'Listas y Parametros'!$C$35:$L$35,'Costo Directo Proyectos'!$AD187)*$AG187,0)+IF('Gantt Proyectos'!AK255=2,$T187,0)/$W187,0)*$L187</f>
        <v>0</v>
      </c>
      <c r="AN187" s="169">
        <f>IFERROR(IF('Gantt Proyectos'!AL255&gt;0,SUMIFS('Listas y Parametros'!$C$45:$L$45,'Listas y Parametros'!$C$35:$L$35,'Costo Directo Proyectos'!$AD187)*$AG187,0)+IF('Gantt Proyectos'!AL255=2,$T187,0)/$W187,0)*$L187</f>
        <v>0</v>
      </c>
      <c r="AO187" s="169">
        <f>IFERROR(IF('Gantt Proyectos'!AM255&gt;0,SUMIFS('Listas y Parametros'!$C$45:$L$45,'Listas y Parametros'!$C$35:$L$35,'Costo Directo Proyectos'!$AD187)*$AG187,0)+IF('Gantt Proyectos'!AM255=2,$T187,0)/$W187,0)*$L187</f>
        <v>0</v>
      </c>
      <c r="AP187" s="170">
        <f>IFERROR(IF('Gantt Proyectos'!AN255&gt;0,SUMIFS('Listas y Parametros'!$C$45:$L$45,'Listas y Parametros'!$C$35:$L$35,'Costo Directo Proyectos'!$AD187)*$AG187,0)+IF('Gantt Proyectos'!AN255=2,$T187,0)/$W187,0)*$L187</f>
        <v>0</v>
      </c>
    </row>
    <row r="188" spans="3:42" ht="15" x14ac:dyDescent="0.2">
      <c r="C188" s="110">
        <f>+'Gantt Proyectos'!C256</f>
        <v>0</v>
      </c>
      <c r="D188" s="110">
        <f>+'Gantt Proyectos'!D256</f>
        <v>0</v>
      </c>
      <c r="E188" s="110">
        <f>+'Gantt Proyectos'!E256</f>
        <v>0</v>
      </c>
      <c r="F188" s="148">
        <f>+'Gantt Proyectos'!F256</f>
        <v>0</v>
      </c>
      <c r="G188" s="110">
        <f>+'Gantt Proyectos'!G256</f>
        <v>0</v>
      </c>
      <c r="H188" s="110">
        <f>+'Gantt Proyectos'!H256</f>
        <v>0</v>
      </c>
      <c r="I188" s="189">
        <v>1</v>
      </c>
      <c r="J188" s="189">
        <f t="shared" si="16"/>
        <v>0</v>
      </c>
      <c r="K188" s="110">
        <f>+'Gantt Proyectos'!I256</f>
        <v>0</v>
      </c>
      <c r="L188" s="110">
        <f>+'Gantt Proyectos'!J256</f>
        <v>0</v>
      </c>
      <c r="M188" s="110">
        <f>+'Gantt Proyectos'!K256</f>
        <v>0</v>
      </c>
      <c r="N188" s="110">
        <f>+'Gantt Proyectos'!L256</f>
        <v>0</v>
      </c>
      <c r="O188" s="110">
        <f>+'Gantt Proyectos'!M256</f>
        <v>0</v>
      </c>
      <c r="P188" s="110">
        <f>+'Gantt Proyectos'!N256</f>
        <v>0</v>
      </c>
      <c r="Q188" s="110">
        <f>+'Gantt Proyectos'!O256</f>
        <v>0</v>
      </c>
      <c r="R188" s="110">
        <f>+'Gantt Proyectos'!P256</f>
        <v>0</v>
      </c>
      <c r="S188" s="110">
        <f>+'Gantt Proyectos'!R256</f>
        <v>0</v>
      </c>
      <c r="T188" s="118">
        <f>+'Gantt Proyectos'!S256</f>
        <v>0</v>
      </c>
      <c r="U188" s="157">
        <f>+'Gantt Proyectos'!T256</f>
        <v>0</v>
      </c>
      <c r="V188" s="157">
        <f>+'Gantt Proyectos'!U256</f>
        <v>0</v>
      </c>
      <c r="W188" s="201">
        <f t="shared" si="17"/>
        <v>0</v>
      </c>
      <c r="X188" s="110">
        <f>+'Gantt Proyectos'!W256</f>
        <v>0</v>
      </c>
      <c r="Y188" s="110">
        <f>+'Gantt Proyectos'!X256</f>
        <v>0</v>
      </c>
      <c r="Z188" s="110">
        <f>+'Gantt Proyectos'!Y256</f>
        <v>0</v>
      </c>
      <c r="AA188" s="110">
        <f>+'Gantt Proyectos'!Z256</f>
        <v>0</v>
      </c>
      <c r="AB188" s="110">
        <f>+'Gantt Proyectos'!AA256</f>
        <v>0</v>
      </c>
      <c r="AC188" s="110">
        <f>+'Gantt Proyectos'!AB256</f>
        <v>0</v>
      </c>
      <c r="AD188" s="110">
        <f>+'Gantt Proyectos'!AC256</f>
        <v>0</v>
      </c>
      <c r="AE188" s="110">
        <f>+'Gantt Proyectos'!AD256</f>
        <v>0</v>
      </c>
      <c r="AF188" s="110">
        <f>+'Gantt Proyectos'!AE256</f>
        <v>0</v>
      </c>
      <c r="AG188" s="172">
        <v>1</v>
      </c>
      <c r="AH188" s="168">
        <f>IFERROR(IF('Gantt Proyectos'!AF256&gt;0,SUMIFS('Listas y Parametros'!$C$45:$L$45,'Listas y Parametros'!$C$35:$L$35,'Costo Directo Proyectos'!$AD188)*$AG188,0)+IF('Gantt Proyectos'!AF256=2,$T188,0)/$W188,0)*$L188</f>
        <v>0</v>
      </c>
      <c r="AI188" s="169">
        <f>IFERROR(IF('Gantt Proyectos'!AG256&gt;0,SUMIFS('Listas y Parametros'!$C$45:$L$45,'Listas y Parametros'!$C$35:$L$35,'Costo Directo Proyectos'!$AD188)*$AG188,0)+IF('Gantt Proyectos'!AG256=2,$T188,0)/$W188,0)*$L188</f>
        <v>0</v>
      </c>
      <c r="AJ188" s="169">
        <f>IFERROR(IF('Gantt Proyectos'!AH256&gt;0,SUMIFS('Listas y Parametros'!$C$45:$L$45,'Listas y Parametros'!$C$35:$L$35,'Costo Directo Proyectos'!$AD188)*$AG188,0)+IF('Gantt Proyectos'!AH256=2,$T188,0)/$W188,0)*$L188</f>
        <v>0</v>
      </c>
      <c r="AK188" s="169">
        <f>IFERROR(IF('Gantt Proyectos'!AI256&gt;0,SUMIFS('Listas y Parametros'!$C$45:$L$45,'Listas y Parametros'!$C$35:$L$35,'Costo Directo Proyectos'!$AD188)*$AG188,0)+IF('Gantt Proyectos'!AI256=2,$T188,0)/$W188,0)*$L188</f>
        <v>0</v>
      </c>
      <c r="AL188" s="169">
        <f>IFERROR(IF('Gantt Proyectos'!AJ256&gt;0,SUMIFS('Listas y Parametros'!$C$45:$L$45,'Listas y Parametros'!$C$35:$L$35,'Costo Directo Proyectos'!$AD188)*$AG188,0)+IF('Gantt Proyectos'!AJ256=2,$T188,0)/$W188,0)*$L188</f>
        <v>0</v>
      </c>
      <c r="AM188" s="169">
        <f>IFERROR(IF('Gantt Proyectos'!AK256&gt;0,SUMIFS('Listas y Parametros'!$C$45:$L$45,'Listas y Parametros'!$C$35:$L$35,'Costo Directo Proyectos'!$AD188)*$AG188,0)+IF('Gantt Proyectos'!AK256=2,$T188,0)/$W188,0)*$L188</f>
        <v>0</v>
      </c>
      <c r="AN188" s="169">
        <f>IFERROR(IF('Gantt Proyectos'!AL256&gt;0,SUMIFS('Listas y Parametros'!$C$45:$L$45,'Listas y Parametros'!$C$35:$L$35,'Costo Directo Proyectos'!$AD188)*$AG188,0)+IF('Gantt Proyectos'!AL256=2,$T188,0)/$W188,0)*$L188</f>
        <v>0</v>
      </c>
      <c r="AO188" s="169">
        <f>IFERROR(IF('Gantt Proyectos'!AM256&gt;0,SUMIFS('Listas y Parametros'!$C$45:$L$45,'Listas y Parametros'!$C$35:$L$35,'Costo Directo Proyectos'!$AD188)*$AG188,0)+IF('Gantt Proyectos'!AM256=2,$T188,0)/$W188,0)*$L188</f>
        <v>0</v>
      </c>
      <c r="AP188" s="170">
        <f>IFERROR(IF('Gantt Proyectos'!AN256&gt;0,SUMIFS('Listas y Parametros'!$C$45:$L$45,'Listas y Parametros'!$C$35:$L$35,'Costo Directo Proyectos'!$AD188)*$AG188,0)+IF('Gantt Proyectos'!AN256=2,$T188,0)/$W188,0)*$L188</f>
        <v>0</v>
      </c>
    </row>
    <row r="189" spans="3:42" ht="15" x14ac:dyDescent="0.2">
      <c r="C189" s="110">
        <f>+'Gantt Proyectos'!C257</f>
        <v>0</v>
      </c>
      <c r="D189" s="110">
        <f>+'Gantt Proyectos'!D257</f>
        <v>0</v>
      </c>
      <c r="E189" s="110">
        <f>+'Gantt Proyectos'!E257</f>
        <v>0</v>
      </c>
      <c r="F189" s="148">
        <f>+'Gantt Proyectos'!F257</f>
        <v>0</v>
      </c>
      <c r="G189" s="110">
        <f>+'Gantt Proyectos'!G257</f>
        <v>0</v>
      </c>
      <c r="H189" s="110">
        <f>+'Gantt Proyectos'!H257</f>
        <v>0</v>
      </c>
      <c r="I189" s="189">
        <v>1</v>
      </c>
      <c r="J189" s="189">
        <f t="shared" si="16"/>
        <v>0</v>
      </c>
      <c r="K189" s="110">
        <f>+'Gantt Proyectos'!I257</f>
        <v>0</v>
      </c>
      <c r="L189" s="110">
        <f>+'Gantt Proyectos'!J257</f>
        <v>0</v>
      </c>
      <c r="M189" s="110">
        <f>+'Gantt Proyectos'!K257</f>
        <v>0</v>
      </c>
      <c r="N189" s="110">
        <f>+'Gantt Proyectos'!L257</f>
        <v>0</v>
      </c>
      <c r="O189" s="110">
        <f>+'Gantt Proyectos'!M257</f>
        <v>0</v>
      </c>
      <c r="P189" s="110">
        <f>+'Gantt Proyectos'!N257</f>
        <v>0</v>
      </c>
      <c r="Q189" s="110">
        <f>+'Gantt Proyectos'!O257</f>
        <v>0</v>
      </c>
      <c r="R189" s="110">
        <f>+'Gantt Proyectos'!P257</f>
        <v>0</v>
      </c>
      <c r="S189" s="110">
        <f>+'Gantt Proyectos'!R257</f>
        <v>0</v>
      </c>
      <c r="T189" s="118">
        <f>+'Gantt Proyectos'!S257</f>
        <v>0</v>
      </c>
      <c r="U189" s="157">
        <f>+'Gantt Proyectos'!T257</f>
        <v>0</v>
      </c>
      <c r="V189" s="157">
        <f>+'Gantt Proyectos'!U257</f>
        <v>0</v>
      </c>
      <c r="W189" s="201">
        <f t="shared" si="17"/>
        <v>0</v>
      </c>
      <c r="X189" s="110">
        <f>+'Gantt Proyectos'!W257</f>
        <v>0</v>
      </c>
      <c r="Y189" s="110">
        <f>+'Gantt Proyectos'!X257</f>
        <v>0</v>
      </c>
      <c r="Z189" s="110">
        <f>+'Gantt Proyectos'!Y257</f>
        <v>0</v>
      </c>
      <c r="AA189" s="110">
        <f>+'Gantt Proyectos'!Z257</f>
        <v>0</v>
      </c>
      <c r="AB189" s="110">
        <f>+'Gantt Proyectos'!AA257</f>
        <v>0</v>
      </c>
      <c r="AC189" s="110">
        <f>+'Gantt Proyectos'!AB257</f>
        <v>0</v>
      </c>
      <c r="AD189" s="110">
        <f>+'Gantt Proyectos'!AC257</f>
        <v>0</v>
      </c>
      <c r="AE189" s="110">
        <f>+'Gantt Proyectos'!AD257</f>
        <v>0</v>
      </c>
      <c r="AF189" s="110">
        <f>+'Gantt Proyectos'!AE257</f>
        <v>0</v>
      </c>
      <c r="AG189" s="172">
        <v>1</v>
      </c>
      <c r="AH189" s="168">
        <f>IFERROR(IF('Gantt Proyectos'!AF257&gt;0,SUMIFS('Listas y Parametros'!$C$45:$L$45,'Listas y Parametros'!$C$35:$L$35,'Costo Directo Proyectos'!$AD189)*$AG189,0)+IF('Gantt Proyectos'!AF257=2,$T189,0)/$W189,0)*$L189</f>
        <v>0</v>
      </c>
      <c r="AI189" s="169">
        <f>IFERROR(IF('Gantt Proyectos'!AG257&gt;0,SUMIFS('Listas y Parametros'!$C$45:$L$45,'Listas y Parametros'!$C$35:$L$35,'Costo Directo Proyectos'!$AD189)*$AG189,0)+IF('Gantt Proyectos'!AG257=2,$T189,0)/$W189,0)*$L189</f>
        <v>0</v>
      </c>
      <c r="AJ189" s="169">
        <f>IFERROR(IF('Gantt Proyectos'!AH257&gt;0,SUMIFS('Listas y Parametros'!$C$45:$L$45,'Listas y Parametros'!$C$35:$L$35,'Costo Directo Proyectos'!$AD189)*$AG189,0)+IF('Gantt Proyectos'!AH257=2,$T189,0)/$W189,0)*$L189</f>
        <v>0</v>
      </c>
      <c r="AK189" s="169">
        <f>IFERROR(IF('Gantt Proyectos'!AI257&gt;0,SUMIFS('Listas y Parametros'!$C$45:$L$45,'Listas y Parametros'!$C$35:$L$35,'Costo Directo Proyectos'!$AD189)*$AG189,0)+IF('Gantt Proyectos'!AI257=2,$T189,0)/$W189,0)*$L189</f>
        <v>0</v>
      </c>
      <c r="AL189" s="169">
        <f>IFERROR(IF('Gantt Proyectos'!AJ257&gt;0,SUMIFS('Listas y Parametros'!$C$45:$L$45,'Listas y Parametros'!$C$35:$L$35,'Costo Directo Proyectos'!$AD189)*$AG189,0)+IF('Gantt Proyectos'!AJ257=2,$T189,0)/$W189,0)*$L189</f>
        <v>0</v>
      </c>
      <c r="AM189" s="169">
        <f>IFERROR(IF('Gantt Proyectos'!AK257&gt;0,SUMIFS('Listas y Parametros'!$C$45:$L$45,'Listas y Parametros'!$C$35:$L$35,'Costo Directo Proyectos'!$AD189)*$AG189,0)+IF('Gantt Proyectos'!AK257=2,$T189,0)/$W189,0)*$L189</f>
        <v>0</v>
      </c>
      <c r="AN189" s="169">
        <f>IFERROR(IF('Gantt Proyectos'!AL257&gt;0,SUMIFS('Listas y Parametros'!$C$45:$L$45,'Listas y Parametros'!$C$35:$L$35,'Costo Directo Proyectos'!$AD189)*$AG189,0)+IF('Gantt Proyectos'!AL257=2,$T189,0)/$W189,0)*$L189</f>
        <v>0</v>
      </c>
      <c r="AO189" s="169">
        <f>IFERROR(IF('Gantt Proyectos'!AM257&gt;0,SUMIFS('Listas y Parametros'!$C$45:$L$45,'Listas y Parametros'!$C$35:$L$35,'Costo Directo Proyectos'!$AD189)*$AG189,0)+IF('Gantt Proyectos'!AM257=2,$T189,0)/$W189,0)*$L189</f>
        <v>0</v>
      </c>
      <c r="AP189" s="170">
        <f>IFERROR(IF('Gantt Proyectos'!AN257&gt;0,SUMIFS('Listas y Parametros'!$C$45:$L$45,'Listas y Parametros'!$C$35:$L$35,'Costo Directo Proyectos'!$AD189)*$AG189,0)+IF('Gantt Proyectos'!AN257=2,$T189,0)/$W189,0)*$L189</f>
        <v>0</v>
      </c>
    </row>
    <row r="190" spans="3:42" ht="15" x14ac:dyDescent="0.2">
      <c r="C190" s="110">
        <f>+'Gantt Proyectos'!C258</f>
        <v>0</v>
      </c>
      <c r="D190" s="110">
        <f>+'Gantt Proyectos'!D258</f>
        <v>0</v>
      </c>
      <c r="E190" s="110">
        <f>+'Gantt Proyectos'!E258</f>
        <v>0</v>
      </c>
      <c r="F190" s="148">
        <f>+'Gantt Proyectos'!F258</f>
        <v>0</v>
      </c>
      <c r="G190" s="110">
        <f>+'Gantt Proyectos'!G258</f>
        <v>0</v>
      </c>
      <c r="H190" s="110">
        <f>+'Gantt Proyectos'!H258</f>
        <v>0</v>
      </c>
      <c r="I190" s="189">
        <v>1</v>
      </c>
      <c r="J190" s="189">
        <f t="shared" si="16"/>
        <v>0</v>
      </c>
      <c r="K190" s="110">
        <f>+'Gantt Proyectos'!I258</f>
        <v>0</v>
      </c>
      <c r="L190" s="110">
        <f>+'Gantt Proyectos'!J258</f>
        <v>0</v>
      </c>
      <c r="M190" s="110">
        <f>+'Gantt Proyectos'!K258</f>
        <v>0</v>
      </c>
      <c r="N190" s="110">
        <f>+'Gantt Proyectos'!L258</f>
        <v>0</v>
      </c>
      <c r="O190" s="110">
        <f>+'Gantt Proyectos'!M258</f>
        <v>0</v>
      </c>
      <c r="P190" s="110">
        <f>+'Gantt Proyectos'!N258</f>
        <v>0</v>
      </c>
      <c r="Q190" s="110">
        <f>+'Gantt Proyectos'!O258</f>
        <v>0</v>
      </c>
      <c r="R190" s="110">
        <f>+'Gantt Proyectos'!P258</f>
        <v>0</v>
      </c>
      <c r="S190" s="110">
        <f>+'Gantt Proyectos'!R258</f>
        <v>0</v>
      </c>
      <c r="T190" s="118">
        <f>+'Gantt Proyectos'!S258</f>
        <v>0</v>
      </c>
      <c r="U190" s="157">
        <f>+'Gantt Proyectos'!T258</f>
        <v>0</v>
      </c>
      <c r="V190" s="157">
        <f>+'Gantt Proyectos'!U258</f>
        <v>0</v>
      </c>
      <c r="W190" s="201">
        <f t="shared" si="17"/>
        <v>0</v>
      </c>
      <c r="X190" s="110">
        <f>+'Gantt Proyectos'!W258</f>
        <v>0</v>
      </c>
      <c r="Y190" s="110">
        <f>+'Gantt Proyectos'!X258</f>
        <v>0</v>
      </c>
      <c r="Z190" s="110">
        <f>+'Gantt Proyectos'!Y258</f>
        <v>0</v>
      </c>
      <c r="AA190" s="110">
        <f>+'Gantt Proyectos'!Z258</f>
        <v>0</v>
      </c>
      <c r="AB190" s="110">
        <f>+'Gantt Proyectos'!AA258</f>
        <v>0</v>
      </c>
      <c r="AC190" s="110">
        <f>+'Gantt Proyectos'!AB258</f>
        <v>0</v>
      </c>
      <c r="AD190" s="110">
        <f>+'Gantt Proyectos'!AC258</f>
        <v>0</v>
      </c>
      <c r="AE190" s="110">
        <f>+'Gantt Proyectos'!AD258</f>
        <v>0</v>
      </c>
      <c r="AF190" s="110">
        <f>+'Gantt Proyectos'!AE258</f>
        <v>0</v>
      </c>
      <c r="AG190" s="172">
        <v>1</v>
      </c>
      <c r="AH190" s="168">
        <f>IFERROR(IF('Gantt Proyectos'!AF258&gt;0,SUMIFS('Listas y Parametros'!$C$45:$L$45,'Listas y Parametros'!$C$35:$L$35,'Costo Directo Proyectos'!$AD190)*$AG190,0)+IF('Gantt Proyectos'!AF258=2,$T190,0)/$W190,0)*$L190</f>
        <v>0</v>
      </c>
      <c r="AI190" s="169">
        <f>IFERROR(IF('Gantt Proyectos'!AG258&gt;0,SUMIFS('Listas y Parametros'!$C$45:$L$45,'Listas y Parametros'!$C$35:$L$35,'Costo Directo Proyectos'!$AD190)*$AG190,0)+IF('Gantt Proyectos'!AG258=2,$T190,0)/$W190,0)*$L190</f>
        <v>0</v>
      </c>
      <c r="AJ190" s="169">
        <f>IFERROR(IF('Gantt Proyectos'!AH258&gt;0,SUMIFS('Listas y Parametros'!$C$45:$L$45,'Listas y Parametros'!$C$35:$L$35,'Costo Directo Proyectos'!$AD190)*$AG190,0)+IF('Gantt Proyectos'!AH258=2,$T190,0)/$W190,0)*$L190</f>
        <v>0</v>
      </c>
      <c r="AK190" s="169">
        <f>IFERROR(IF('Gantt Proyectos'!AI258&gt;0,SUMIFS('Listas y Parametros'!$C$45:$L$45,'Listas y Parametros'!$C$35:$L$35,'Costo Directo Proyectos'!$AD190)*$AG190,0)+IF('Gantt Proyectos'!AI258=2,$T190,0)/$W190,0)*$L190</f>
        <v>0</v>
      </c>
      <c r="AL190" s="169">
        <f>IFERROR(IF('Gantt Proyectos'!AJ258&gt;0,SUMIFS('Listas y Parametros'!$C$45:$L$45,'Listas y Parametros'!$C$35:$L$35,'Costo Directo Proyectos'!$AD190)*$AG190,0)+IF('Gantt Proyectos'!AJ258=2,$T190,0)/$W190,0)*$L190</f>
        <v>0</v>
      </c>
      <c r="AM190" s="169">
        <f>IFERROR(IF('Gantt Proyectos'!AK258&gt;0,SUMIFS('Listas y Parametros'!$C$45:$L$45,'Listas y Parametros'!$C$35:$L$35,'Costo Directo Proyectos'!$AD190)*$AG190,0)+IF('Gantt Proyectos'!AK258=2,$T190,0)/$W190,0)*$L190</f>
        <v>0</v>
      </c>
      <c r="AN190" s="169">
        <f>IFERROR(IF('Gantt Proyectos'!AL258&gt;0,SUMIFS('Listas y Parametros'!$C$45:$L$45,'Listas y Parametros'!$C$35:$L$35,'Costo Directo Proyectos'!$AD190)*$AG190,0)+IF('Gantt Proyectos'!AL258=2,$T190,0)/$W190,0)*$L190</f>
        <v>0</v>
      </c>
      <c r="AO190" s="169">
        <f>IFERROR(IF('Gantt Proyectos'!AM258&gt;0,SUMIFS('Listas y Parametros'!$C$45:$L$45,'Listas y Parametros'!$C$35:$L$35,'Costo Directo Proyectos'!$AD190)*$AG190,0)+IF('Gantt Proyectos'!AM258=2,$T190,0)/$W190,0)*$L190</f>
        <v>0</v>
      </c>
      <c r="AP190" s="170">
        <f>IFERROR(IF('Gantt Proyectos'!AN258&gt;0,SUMIFS('Listas y Parametros'!$C$45:$L$45,'Listas y Parametros'!$C$35:$L$35,'Costo Directo Proyectos'!$AD190)*$AG190,0)+IF('Gantt Proyectos'!AN258=2,$T190,0)/$W190,0)*$L190</f>
        <v>0</v>
      </c>
    </row>
    <row r="191" spans="3:42" ht="15" x14ac:dyDescent="0.2">
      <c r="C191" s="110">
        <f>+'Gantt Proyectos'!C259</f>
        <v>0</v>
      </c>
      <c r="D191" s="110">
        <f>+'Gantt Proyectos'!D259</f>
        <v>0</v>
      </c>
      <c r="E191" s="110">
        <f>+'Gantt Proyectos'!E259</f>
        <v>0</v>
      </c>
      <c r="F191" s="148">
        <f>+'Gantt Proyectos'!F259</f>
        <v>0</v>
      </c>
      <c r="G191" s="110">
        <f>+'Gantt Proyectos'!G259</f>
        <v>0</v>
      </c>
      <c r="H191" s="110">
        <f>+'Gantt Proyectos'!H259</f>
        <v>0</v>
      </c>
      <c r="I191" s="189">
        <v>1</v>
      </c>
      <c r="J191" s="189">
        <f t="shared" si="16"/>
        <v>0</v>
      </c>
      <c r="K191" s="110">
        <f>+'Gantt Proyectos'!I259</f>
        <v>0</v>
      </c>
      <c r="L191" s="110">
        <f>+'Gantt Proyectos'!J259</f>
        <v>0</v>
      </c>
      <c r="M191" s="110">
        <f>+'Gantt Proyectos'!K259</f>
        <v>0</v>
      </c>
      <c r="N191" s="110">
        <f>+'Gantt Proyectos'!L259</f>
        <v>0</v>
      </c>
      <c r="O191" s="110">
        <f>+'Gantt Proyectos'!M259</f>
        <v>0</v>
      </c>
      <c r="P191" s="110">
        <f>+'Gantt Proyectos'!N259</f>
        <v>0</v>
      </c>
      <c r="Q191" s="110">
        <f>+'Gantt Proyectos'!O259</f>
        <v>0</v>
      </c>
      <c r="R191" s="110">
        <f>+'Gantt Proyectos'!P259</f>
        <v>0</v>
      </c>
      <c r="S191" s="110">
        <f>+'Gantt Proyectos'!R259</f>
        <v>0</v>
      </c>
      <c r="T191" s="118">
        <f>+'Gantt Proyectos'!S259</f>
        <v>0</v>
      </c>
      <c r="U191" s="157">
        <f>+'Gantt Proyectos'!T259</f>
        <v>0</v>
      </c>
      <c r="V191" s="157">
        <f>+'Gantt Proyectos'!U259</f>
        <v>0</v>
      </c>
      <c r="W191" s="201">
        <f t="shared" si="17"/>
        <v>0</v>
      </c>
      <c r="X191" s="110">
        <f>+'Gantt Proyectos'!W259</f>
        <v>0</v>
      </c>
      <c r="Y191" s="110">
        <f>+'Gantt Proyectos'!X259</f>
        <v>0</v>
      </c>
      <c r="Z191" s="110">
        <f>+'Gantt Proyectos'!Y259</f>
        <v>0</v>
      </c>
      <c r="AA191" s="110">
        <f>+'Gantt Proyectos'!Z259</f>
        <v>0</v>
      </c>
      <c r="AB191" s="110">
        <f>+'Gantt Proyectos'!AA259</f>
        <v>0</v>
      </c>
      <c r="AC191" s="110">
        <f>+'Gantt Proyectos'!AB259</f>
        <v>0</v>
      </c>
      <c r="AD191" s="110">
        <f>+'Gantt Proyectos'!AC259</f>
        <v>0</v>
      </c>
      <c r="AE191" s="110">
        <f>+'Gantt Proyectos'!AD259</f>
        <v>0</v>
      </c>
      <c r="AF191" s="110">
        <f>+'Gantt Proyectos'!AE259</f>
        <v>0</v>
      </c>
      <c r="AG191" s="172">
        <v>1</v>
      </c>
      <c r="AH191" s="168">
        <f>IFERROR(IF('Gantt Proyectos'!AF259&gt;0,SUMIFS('Listas y Parametros'!$C$45:$L$45,'Listas y Parametros'!$C$35:$L$35,'Costo Directo Proyectos'!$AD191)*$AG191,0)+IF('Gantt Proyectos'!AF259=2,$T191,0)/$W191,0)*$L191</f>
        <v>0</v>
      </c>
      <c r="AI191" s="169">
        <f>IFERROR(IF('Gantt Proyectos'!AG259&gt;0,SUMIFS('Listas y Parametros'!$C$45:$L$45,'Listas y Parametros'!$C$35:$L$35,'Costo Directo Proyectos'!$AD191)*$AG191,0)+IF('Gantt Proyectos'!AG259=2,$T191,0)/$W191,0)*$L191</f>
        <v>0</v>
      </c>
      <c r="AJ191" s="169">
        <f>IFERROR(IF('Gantt Proyectos'!AH259&gt;0,SUMIFS('Listas y Parametros'!$C$45:$L$45,'Listas y Parametros'!$C$35:$L$35,'Costo Directo Proyectos'!$AD191)*$AG191,0)+IF('Gantt Proyectos'!AH259=2,$T191,0)/$W191,0)*$L191</f>
        <v>0</v>
      </c>
      <c r="AK191" s="169">
        <f>IFERROR(IF('Gantt Proyectos'!AI259&gt;0,SUMIFS('Listas y Parametros'!$C$45:$L$45,'Listas y Parametros'!$C$35:$L$35,'Costo Directo Proyectos'!$AD191)*$AG191,0)+IF('Gantt Proyectos'!AI259=2,$T191,0)/$W191,0)*$L191</f>
        <v>0</v>
      </c>
      <c r="AL191" s="169">
        <f>IFERROR(IF('Gantt Proyectos'!AJ259&gt;0,SUMIFS('Listas y Parametros'!$C$45:$L$45,'Listas y Parametros'!$C$35:$L$35,'Costo Directo Proyectos'!$AD191)*$AG191,0)+IF('Gantt Proyectos'!AJ259=2,$T191,0)/$W191,0)*$L191</f>
        <v>0</v>
      </c>
      <c r="AM191" s="169">
        <f>IFERROR(IF('Gantt Proyectos'!AK259&gt;0,SUMIFS('Listas y Parametros'!$C$45:$L$45,'Listas y Parametros'!$C$35:$L$35,'Costo Directo Proyectos'!$AD191)*$AG191,0)+IF('Gantt Proyectos'!AK259=2,$T191,0)/$W191,0)*$L191</f>
        <v>0</v>
      </c>
      <c r="AN191" s="169">
        <f>IFERROR(IF('Gantt Proyectos'!AL259&gt;0,SUMIFS('Listas y Parametros'!$C$45:$L$45,'Listas y Parametros'!$C$35:$L$35,'Costo Directo Proyectos'!$AD191)*$AG191,0)+IF('Gantt Proyectos'!AL259=2,$T191,0)/$W191,0)*$L191</f>
        <v>0</v>
      </c>
      <c r="AO191" s="169">
        <f>IFERROR(IF('Gantt Proyectos'!AM259&gt;0,SUMIFS('Listas y Parametros'!$C$45:$L$45,'Listas y Parametros'!$C$35:$L$35,'Costo Directo Proyectos'!$AD191)*$AG191,0)+IF('Gantt Proyectos'!AM259=2,$T191,0)/$W191,0)*$L191</f>
        <v>0</v>
      </c>
      <c r="AP191" s="170">
        <f>IFERROR(IF('Gantt Proyectos'!AN259&gt;0,SUMIFS('Listas y Parametros'!$C$45:$L$45,'Listas y Parametros'!$C$35:$L$35,'Costo Directo Proyectos'!$AD191)*$AG191,0)+IF('Gantt Proyectos'!AN259=2,$T191,0)/$W191,0)*$L191</f>
        <v>0</v>
      </c>
    </row>
    <row r="192" spans="3:42" ht="15" x14ac:dyDescent="0.2">
      <c r="C192" s="110">
        <f>+'Gantt Proyectos'!C260</f>
        <v>0</v>
      </c>
      <c r="D192" s="110">
        <f>+'Gantt Proyectos'!D260</f>
        <v>0</v>
      </c>
      <c r="E192" s="110">
        <f>+'Gantt Proyectos'!E260</f>
        <v>0</v>
      </c>
      <c r="F192" s="148">
        <f>+'Gantt Proyectos'!F260</f>
        <v>0</v>
      </c>
      <c r="G192" s="110">
        <f>+'Gantt Proyectos'!G260</f>
        <v>0</v>
      </c>
      <c r="H192" s="110">
        <f>+'Gantt Proyectos'!H260</f>
        <v>0</v>
      </c>
      <c r="I192" s="189">
        <v>1</v>
      </c>
      <c r="J192" s="189">
        <f t="shared" si="16"/>
        <v>0</v>
      </c>
      <c r="K192" s="110">
        <f>+'Gantt Proyectos'!I260</f>
        <v>0</v>
      </c>
      <c r="L192" s="110">
        <f>+'Gantt Proyectos'!J260</f>
        <v>0</v>
      </c>
      <c r="M192" s="110">
        <f>+'Gantt Proyectos'!K260</f>
        <v>0</v>
      </c>
      <c r="N192" s="110">
        <f>+'Gantt Proyectos'!L260</f>
        <v>0</v>
      </c>
      <c r="O192" s="110">
        <f>+'Gantt Proyectos'!M260</f>
        <v>0</v>
      </c>
      <c r="P192" s="110">
        <f>+'Gantt Proyectos'!N260</f>
        <v>0</v>
      </c>
      <c r="Q192" s="110">
        <f>+'Gantt Proyectos'!O260</f>
        <v>0</v>
      </c>
      <c r="R192" s="110">
        <f>+'Gantt Proyectos'!P260</f>
        <v>0</v>
      </c>
      <c r="S192" s="110">
        <f>+'Gantt Proyectos'!R260</f>
        <v>0</v>
      </c>
      <c r="T192" s="118">
        <f>+'Gantt Proyectos'!S260</f>
        <v>0</v>
      </c>
      <c r="U192" s="157">
        <f>+'Gantt Proyectos'!T260</f>
        <v>0</v>
      </c>
      <c r="V192" s="157">
        <f>+'Gantt Proyectos'!U260</f>
        <v>0</v>
      </c>
      <c r="W192" s="201">
        <f t="shared" si="17"/>
        <v>0</v>
      </c>
      <c r="X192" s="110">
        <f>+'Gantt Proyectos'!W260</f>
        <v>0</v>
      </c>
      <c r="Y192" s="110">
        <f>+'Gantt Proyectos'!X260</f>
        <v>0</v>
      </c>
      <c r="Z192" s="110">
        <f>+'Gantt Proyectos'!Y260</f>
        <v>0</v>
      </c>
      <c r="AA192" s="110">
        <f>+'Gantt Proyectos'!Z260</f>
        <v>0</v>
      </c>
      <c r="AB192" s="110">
        <f>+'Gantt Proyectos'!AA260</f>
        <v>0</v>
      </c>
      <c r="AC192" s="110">
        <f>+'Gantt Proyectos'!AB260</f>
        <v>0</v>
      </c>
      <c r="AD192" s="110">
        <f>+'Gantt Proyectos'!AC260</f>
        <v>0</v>
      </c>
      <c r="AE192" s="110">
        <f>+'Gantt Proyectos'!AD260</f>
        <v>0</v>
      </c>
      <c r="AF192" s="110">
        <f>+'Gantt Proyectos'!AE260</f>
        <v>0</v>
      </c>
      <c r="AG192" s="172">
        <v>1</v>
      </c>
      <c r="AH192" s="168">
        <f>IFERROR(IF('Gantt Proyectos'!AF260&gt;0,SUMIFS('Listas y Parametros'!$C$45:$L$45,'Listas y Parametros'!$C$35:$L$35,'Costo Directo Proyectos'!$AD192)*$AG192,0)+IF('Gantt Proyectos'!AF260=2,$T192,0)/$W192,0)*$L192</f>
        <v>0</v>
      </c>
      <c r="AI192" s="169">
        <f>IFERROR(IF('Gantt Proyectos'!AG260&gt;0,SUMIFS('Listas y Parametros'!$C$45:$L$45,'Listas y Parametros'!$C$35:$L$35,'Costo Directo Proyectos'!$AD192)*$AG192,0)+IF('Gantt Proyectos'!AG260=2,$T192,0)/$W192,0)*$L192</f>
        <v>0</v>
      </c>
      <c r="AJ192" s="169">
        <f>IFERROR(IF('Gantt Proyectos'!AH260&gt;0,SUMIFS('Listas y Parametros'!$C$45:$L$45,'Listas y Parametros'!$C$35:$L$35,'Costo Directo Proyectos'!$AD192)*$AG192,0)+IF('Gantt Proyectos'!AH260=2,$T192,0)/$W192,0)*$L192</f>
        <v>0</v>
      </c>
      <c r="AK192" s="169">
        <f>IFERROR(IF('Gantt Proyectos'!AI260&gt;0,SUMIFS('Listas y Parametros'!$C$45:$L$45,'Listas y Parametros'!$C$35:$L$35,'Costo Directo Proyectos'!$AD192)*$AG192,0)+IF('Gantt Proyectos'!AI260=2,$T192,0)/$W192,0)*$L192</f>
        <v>0</v>
      </c>
      <c r="AL192" s="169">
        <f>IFERROR(IF('Gantt Proyectos'!AJ260&gt;0,SUMIFS('Listas y Parametros'!$C$45:$L$45,'Listas y Parametros'!$C$35:$L$35,'Costo Directo Proyectos'!$AD192)*$AG192,0)+IF('Gantt Proyectos'!AJ260=2,$T192,0)/$W192,0)*$L192</f>
        <v>0</v>
      </c>
      <c r="AM192" s="169">
        <f>IFERROR(IF('Gantt Proyectos'!AK260&gt;0,SUMIFS('Listas y Parametros'!$C$45:$L$45,'Listas y Parametros'!$C$35:$L$35,'Costo Directo Proyectos'!$AD192)*$AG192,0)+IF('Gantt Proyectos'!AK260=2,$T192,0)/$W192,0)*$L192</f>
        <v>0</v>
      </c>
      <c r="AN192" s="169">
        <f>IFERROR(IF('Gantt Proyectos'!AL260&gt;0,SUMIFS('Listas y Parametros'!$C$45:$L$45,'Listas y Parametros'!$C$35:$L$35,'Costo Directo Proyectos'!$AD192)*$AG192,0)+IF('Gantt Proyectos'!AL260=2,$T192,0)/$W192,0)*$L192</f>
        <v>0</v>
      </c>
      <c r="AO192" s="169">
        <f>IFERROR(IF('Gantt Proyectos'!AM260&gt;0,SUMIFS('Listas y Parametros'!$C$45:$L$45,'Listas y Parametros'!$C$35:$L$35,'Costo Directo Proyectos'!$AD192)*$AG192,0)+IF('Gantt Proyectos'!AM260=2,$T192,0)/$W192,0)*$L192</f>
        <v>0</v>
      </c>
      <c r="AP192" s="170">
        <f>IFERROR(IF('Gantt Proyectos'!AN260&gt;0,SUMIFS('Listas y Parametros'!$C$45:$L$45,'Listas y Parametros'!$C$35:$L$35,'Costo Directo Proyectos'!$AD192)*$AG192,0)+IF('Gantt Proyectos'!AN260=2,$T192,0)/$W192,0)*$L192</f>
        <v>0</v>
      </c>
    </row>
    <row r="193" spans="3:42" ht="15" x14ac:dyDescent="0.2">
      <c r="C193" s="110">
        <f>+'Gantt Proyectos'!C261</f>
        <v>0</v>
      </c>
      <c r="D193" s="110">
        <f>+'Gantt Proyectos'!D261</f>
        <v>0</v>
      </c>
      <c r="E193" s="110">
        <f>+'Gantt Proyectos'!E261</f>
        <v>0</v>
      </c>
      <c r="F193" s="148">
        <f>+'Gantt Proyectos'!F261</f>
        <v>0</v>
      </c>
      <c r="G193" s="110">
        <f>+'Gantt Proyectos'!G261</f>
        <v>0</v>
      </c>
      <c r="H193" s="110">
        <f>+'Gantt Proyectos'!H261</f>
        <v>0</v>
      </c>
      <c r="I193" s="189">
        <v>1</v>
      </c>
      <c r="J193" s="189">
        <f t="shared" si="16"/>
        <v>0</v>
      </c>
      <c r="K193" s="110">
        <f>+'Gantt Proyectos'!I261</f>
        <v>0</v>
      </c>
      <c r="L193" s="110">
        <f>+'Gantt Proyectos'!J261</f>
        <v>0</v>
      </c>
      <c r="M193" s="110">
        <f>+'Gantt Proyectos'!K261</f>
        <v>0</v>
      </c>
      <c r="N193" s="110">
        <f>+'Gantt Proyectos'!L261</f>
        <v>0</v>
      </c>
      <c r="O193" s="110">
        <f>+'Gantt Proyectos'!M261</f>
        <v>0</v>
      </c>
      <c r="P193" s="110">
        <f>+'Gantt Proyectos'!N261</f>
        <v>0</v>
      </c>
      <c r="Q193" s="110">
        <f>+'Gantt Proyectos'!O261</f>
        <v>0</v>
      </c>
      <c r="R193" s="110">
        <f>+'Gantt Proyectos'!P261</f>
        <v>0</v>
      </c>
      <c r="S193" s="110">
        <f>+'Gantt Proyectos'!R261</f>
        <v>0</v>
      </c>
      <c r="T193" s="118">
        <f>+'Gantt Proyectos'!S261</f>
        <v>0</v>
      </c>
      <c r="U193" s="157">
        <f>+'Gantt Proyectos'!T261</f>
        <v>0</v>
      </c>
      <c r="V193" s="157">
        <f>+'Gantt Proyectos'!U261</f>
        <v>0</v>
      </c>
      <c r="W193" s="201">
        <f t="shared" si="17"/>
        <v>0</v>
      </c>
      <c r="X193" s="110">
        <f>+'Gantt Proyectos'!W261</f>
        <v>0</v>
      </c>
      <c r="Y193" s="110">
        <f>+'Gantt Proyectos'!X261</f>
        <v>0</v>
      </c>
      <c r="Z193" s="110">
        <f>+'Gantt Proyectos'!Y261</f>
        <v>0</v>
      </c>
      <c r="AA193" s="110">
        <f>+'Gantt Proyectos'!Z261</f>
        <v>0</v>
      </c>
      <c r="AB193" s="110">
        <f>+'Gantt Proyectos'!AA261</f>
        <v>0</v>
      </c>
      <c r="AC193" s="110">
        <f>+'Gantt Proyectos'!AB261</f>
        <v>0</v>
      </c>
      <c r="AD193" s="110">
        <f>+'Gantt Proyectos'!AC261</f>
        <v>0</v>
      </c>
      <c r="AE193" s="110">
        <f>+'Gantt Proyectos'!AD261</f>
        <v>0</v>
      </c>
      <c r="AF193" s="110">
        <f>+'Gantt Proyectos'!AE261</f>
        <v>0</v>
      </c>
      <c r="AG193" s="172">
        <v>1</v>
      </c>
      <c r="AH193" s="168">
        <f>IFERROR(IF('Gantt Proyectos'!AF261&gt;0,SUMIFS('Listas y Parametros'!$C$45:$L$45,'Listas y Parametros'!$C$35:$L$35,'Costo Directo Proyectos'!$AD193)*$AG193,0)+IF('Gantt Proyectos'!AF261=2,$T193,0)/$W193,0)*$L193</f>
        <v>0</v>
      </c>
      <c r="AI193" s="169">
        <f>IFERROR(IF('Gantt Proyectos'!AG261&gt;0,SUMIFS('Listas y Parametros'!$C$45:$L$45,'Listas y Parametros'!$C$35:$L$35,'Costo Directo Proyectos'!$AD193)*$AG193,0)+IF('Gantt Proyectos'!AG261=2,$T193,0)/$W193,0)*$L193</f>
        <v>0</v>
      </c>
      <c r="AJ193" s="169">
        <f>IFERROR(IF('Gantt Proyectos'!AH261&gt;0,SUMIFS('Listas y Parametros'!$C$45:$L$45,'Listas y Parametros'!$C$35:$L$35,'Costo Directo Proyectos'!$AD193)*$AG193,0)+IF('Gantt Proyectos'!AH261=2,$T193,0)/$W193,0)*$L193</f>
        <v>0</v>
      </c>
      <c r="AK193" s="169">
        <f>IFERROR(IF('Gantt Proyectos'!AI261&gt;0,SUMIFS('Listas y Parametros'!$C$45:$L$45,'Listas y Parametros'!$C$35:$L$35,'Costo Directo Proyectos'!$AD193)*$AG193,0)+IF('Gantt Proyectos'!AI261=2,$T193,0)/$W193,0)*$L193</f>
        <v>0</v>
      </c>
      <c r="AL193" s="169">
        <f>IFERROR(IF('Gantt Proyectos'!AJ261&gt;0,SUMIFS('Listas y Parametros'!$C$45:$L$45,'Listas y Parametros'!$C$35:$L$35,'Costo Directo Proyectos'!$AD193)*$AG193,0)+IF('Gantt Proyectos'!AJ261=2,$T193,0)/$W193,0)*$L193</f>
        <v>0</v>
      </c>
      <c r="AM193" s="169">
        <f>IFERROR(IF('Gantt Proyectos'!AK261&gt;0,SUMIFS('Listas y Parametros'!$C$45:$L$45,'Listas y Parametros'!$C$35:$L$35,'Costo Directo Proyectos'!$AD193)*$AG193,0)+IF('Gantt Proyectos'!AK261=2,$T193,0)/$W193,0)*$L193</f>
        <v>0</v>
      </c>
      <c r="AN193" s="169">
        <f>IFERROR(IF('Gantt Proyectos'!AL261&gt;0,SUMIFS('Listas y Parametros'!$C$45:$L$45,'Listas y Parametros'!$C$35:$L$35,'Costo Directo Proyectos'!$AD193)*$AG193,0)+IF('Gantt Proyectos'!AL261=2,$T193,0)/$W193,0)*$L193</f>
        <v>0</v>
      </c>
      <c r="AO193" s="169">
        <f>IFERROR(IF('Gantt Proyectos'!AM261&gt;0,SUMIFS('Listas y Parametros'!$C$45:$L$45,'Listas y Parametros'!$C$35:$L$35,'Costo Directo Proyectos'!$AD193)*$AG193,0)+IF('Gantt Proyectos'!AM261=2,$T193,0)/$W193,0)*$L193</f>
        <v>0</v>
      </c>
      <c r="AP193" s="170">
        <f>IFERROR(IF('Gantt Proyectos'!AN261&gt;0,SUMIFS('Listas y Parametros'!$C$45:$L$45,'Listas y Parametros'!$C$35:$L$35,'Costo Directo Proyectos'!$AD193)*$AG193,0)+IF('Gantt Proyectos'!AN261=2,$T193,0)/$W193,0)*$L193</f>
        <v>0</v>
      </c>
    </row>
    <row r="194" spans="3:42" ht="15" x14ac:dyDescent="0.2">
      <c r="C194" s="110">
        <f>+'Gantt Proyectos'!C262</f>
        <v>0</v>
      </c>
      <c r="D194" s="110">
        <f>+'Gantt Proyectos'!D262</f>
        <v>0</v>
      </c>
      <c r="E194" s="110">
        <f>+'Gantt Proyectos'!E262</f>
        <v>0</v>
      </c>
      <c r="F194" s="148">
        <f>+'Gantt Proyectos'!F262</f>
        <v>0</v>
      </c>
      <c r="G194" s="110">
        <f>+'Gantt Proyectos'!G262</f>
        <v>0</v>
      </c>
      <c r="H194" s="110">
        <f>+'Gantt Proyectos'!H262</f>
        <v>0</v>
      </c>
      <c r="I194" s="189">
        <v>1</v>
      </c>
      <c r="J194" s="189">
        <f t="shared" si="16"/>
        <v>0</v>
      </c>
      <c r="K194" s="110">
        <f>+'Gantt Proyectos'!I262</f>
        <v>0</v>
      </c>
      <c r="L194" s="110">
        <f>+'Gantt Proyectos'!J262</f>
        <v>0</v>
      </c>
      <c r="M194" s="110">
        <f>+'Gantt Proyectos'!K262</f>
        <v>0</v>
      </c>
      <c r="N194" s="110">
        <f>+'Gantt Proyectos'!L262</f>
        <v>0</v>
      </c>
      <c r="O194" s="110">
        <f>+'Gantt Proyectos'!M262</f>
        <v>0</v>
      </c>
      <c r="P194" s="110">
        <f>+'Gantt Proyectos'!N262</f>
        <v>0</v>
      </c>
      <c r="Q194" s="110">
        <f>+'Gantt Proyectos'!O262</f>
        <v>0</v>
      </c>
      <c r="R194" s="110">
        <f>+'Gantt Proyectos'!P262</f>
        <v>0</v>
      </c>
      <c r="S194" s="110">
        <f>+'Gantt Proyectos'!R262</f>
        <v>0</v>
      </c>
      <c r="T194" s="118">
        <f>+'Gantt Proyectos'!S262</f>
        <v>0</v>
      </c>
      <c r="U194" s="157">
        <f>+'Gantt Proyectos'!T262</f>
        <v>0</v>
      </c>
      <c r="V194" s="157">
        <f>+'Gantt Proyectos'!U262</f>
        <v>0</v>
      </c>
      <c r="W194" s="201">
        <f t="shared" si="17"/>
        <v>0</v>
      </c>
      <c r="X194" s="110">
        <f>+'Gantt Proyectos'!W262</f>
        <v>0</v>
      </c>
      <c r="Y194" s="110">
        <f>+'Gantt Proyectos'!X262</f>
        <v>0</v>
      </c>
      <c r="Z194" s="110">
        <f>+'Gantt Proyectos'!Y262</f>
        <v>0</v>
      </c>
      <c r="AA194" s="110">
        <f>+'Gantt Proyectos'!Z262</f>
        <v>0</v>
      </c>
      <c r="AB194" s="110">
        <f>+'Gantt Proyectos'!AA262</f>
        <v>0</v>
      </c>
      <c r="AC194" s="110">
        <f>+'Gantt Proyectos'!AB262</f>
        <v>0</v>
      </c>
      <c r="AD194" s="110">
        <f>+'Gantt Proyectos'!AC262</f>
        <v>0</v>
      </c>
      <c r="AE194" s="110">
        <f>+'Gantt Proyectos'!AD262</f>
        <v>0</v>
      </c>
      <c r="AF194" s="110">
        <f>+'Gantt Proyectos'!AE262</f>
        <v>0</v>
      </c>
      <c r="AG194" s="172">
        <v>1</v>
      </c>
      <c r="AH194" s="168">
        <f>IFERROR(IF('Gantt Proyectos'!AF262&gt;0,SUMIFS('Listas y Parametros'!$C$45:$L$45,'Listas y Parametros'!$C$35:$L$35,'Costo Directo Proyectos'!$AD194)*$AG194,0)+IF('Gantt Proyectos'!AF262=2,$T194,0)/$W194,0)*$L194</f>
        <v>0</v>
      </c>
      <c r="AI194" s="169">
        <f>IFERROR(IF('Gantt Proyectos'!AG262&gt;0,SUMIFS('Listas y Parametros'!$C$45:$L$45,'Listas y Parametros'!$C$35:$L$35,'Costo Directo Proyectos'!$AD194)*$AG194,0)+IF('Gantt Proyectos'!AG262=2,$T194,0)/$W194,0)*$L194</f>
        <v>0</v>
      </c>
      <c r="AJ194" s="169">
        <f>IFERROR(IF('Gantt Proyectos'!AH262&gt;0,SUMIFS('Listas y Parametros'!$C$45:$L$45,'Listas y Parametros'!$C$35:$L$35,'Costo Directo Proyectos'!$AD194)*$AG194,0)+IF('Gantt Proyectos'!AH262=2,$T194,0)/$W194,0)*$L194</f>
        <v>0</v>
      </c>
      <c r="AK194" s="169">
        <f>IFERROR(IF('Gantt Proyectos'!AI262&gt;0,SUMIFS('Listas y Parametros'!$C$45:$L$45,'Listas y Parametros'!$C$35:$L$35,'Costo Directo Proyectos'!$AD194)*$AG194,0)+IF('Gantt Proyectos'!AI262=2,$T194,0)/$W194,0)*$L194</f>
        <v>0</v>
      </c>
      <c r="AL194" s="169">
        <f>IFERROR(IF('Gantt Proyectos'!AJ262&gt;0,SUMIFS('Listas y Parametros'!$C$45:$L$45,'Listas y Parametros'!$C$35:$L$35,'Costo Directo Proyectos'!$AD194)*$AG194,0)+IF('Gantt Proyectos'!AJ262=2,$T194,0)/$W194,0)*$L194</f>
        <v>0</v>
      </c>
      <c r="AM194" s="169">
        <f>IFERROR(IF('Gantt Proyectos'!AK262&gt;0,SUMIFS('Listas y Parametros'!$C$45:$L$45,'Listas y Parametros'!$C$35:$L$35,'Costo Directo Proyectos'!$AD194)*$AG194,0)+IF('Gantt Proyectos'!AK262=2,$T194,0)/$W194,0)*$L194</f>
        <v>0</v>
      </c>
      <c r="AN194" s="169">
        <f>IFERROR(IF('Gantt Proyectos'!AL262&gt;0,SUMIFS('Listas y Parametros'!$C$45:$L$45,'Listas y Parametros'!$C$35:$L$35,'Costo Directo Proyectos'!$AD194)*$AG194,0)+IF('Gantt Proyectos'!AL262=2,$T194,0)/$W194,0)*$L194</f>
        <v>0</v>
      </c>
      <c r="AO194" s="169">
        <f>IFERROR(IF('Gantt Proyectos'!AM262&gt;0,SUMIFS('Listas y Parametros'!$C$45:$L$45,'Listas y Parametros'!$C$35:$L$35,'Costo Directo Proyectos'!$AD194)*$AG194,0)+IF('Gantt Proyectos'!AM262=2,$T194,0)/$W194,0)*$L194</f>
        <v>0</v>
      </c>
      <c r="AP194" s="170">
        <f>IFERROR(IF('Gantt Proyectos'!AN262&gt;0,SUMIFS('Listas y Parametros'!$C$45:$L$45,'Listas y Parametros'!$C$35:$L$35,'Costo Directo Proyectos'!$AD194)*$AG194,0)+IF('Gantt Proyectos'!AN262=2,$T194,0)/$W194,0)*$L194</f>
        <v>0</v>
      </c>
    </row>
    <row r="195" spans="3:42" x14ac:dyDescent="0.2">
      <c r="F195" s="148"/>
    </row>
    <row r="196" spans="3:42" x14ac:dyDescent="0.2">
      <c r="F196" s="148"/>
    </row>
    <row r="197" spans="3:42" x14ac:dyDescent="0.2">
      <c r="F197" s="148"/>
    </row>
    <row r="198" spans="3:42" x14ac:dyDescent="0.2">
      <c r="F198" s="148"/>
    </row>
    <row r="199" spans="3:42" x14ac:dyDescent="0.2">
      <c r="F199" s="148"/>
    </row>
    <row r="200" spans="3:42" x14ac:dyDescent="0.2">
      <c r="F200" s="148"/>
    </row>
    <row r="201" spans="3:42" x14ac:dyDescent="0.2">
      <c r="F201" s="148"/>
    </row>
    <row r="202" spans="3:42" x14ac:dyDescent="0.2">
      <c r="F202" s="148"/>
    </row>
    <row r="203" spans="3:42" x14ac:dyDescent="0.2">
      <c r="F203" s="148"/>
    </row>
    <row r="204" spans="3:42" x14ac:dyDescent="0.2">
      <c r="F204" s="148"/>
    </row>
    <row r="205" spans="3:42" x14ac:dyDescent="0.2">
      <c r="F205" s="148"/>
    </row>
    <row r="206" spans="3:42" x14ac:dyDescent="0.2">
      <c r="F206" s="148"/>
    </row>
    <row r="207" spans="3:42" x14ac:dyDescent="0.2">
      <c r="F207" s="148"/>
    </row>
    <row r="208" spans="3:42" x14ac:dyDescent="0.2">
      <c r="F208" s="148"/>
    </row>
    <row r="209" spans="6:6" x14ac:dyDescent="0.2">
      <c r="F209" s="148"/>
    </row>
    <row r="210" spans="6:6" x14ac:dyDescent="0.2">
      <c r="F210" s="148"/>
    </row>
    <row r="211" spans="6:6" x14ac:dyDescent="0.2">
      <c r="F211" s="148"/>
    </row>
  </sheetData>
  <mergeCells count="1">
    <mergeCell ref="I27:J27"/>
  </mergeCells>
  <conditionalFormatting sqref="AH29:AH194">
    <cfRule type="cellIs" dxfId="7" priority="5" operator="equal">
      <formula>0</formula>
    </cfRule>
    <cfRule type="cellIs" dxfId="6" priority="6" operator="equal">
      <formula>1</formula>
    </cfRule>
  </conditionalFormatting>
  <conditionalFormatting sqref="AH29:AP19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:AP194">
    <cfRule type="cellIs" dxfId="5" priority="3" operator="equal">
      <formula>0</formula>
    </cfRule>
    <cfRule type="cellIs" dxfId="4" priority="4" operator="equal">
      <formula>1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B348C-8D4B-41F6-BB34-799AAAA8D870}">
  <sheetPr>
    <tabColor theme="5" tint="0.79998168889431442"/>
  </sheetPr>
  <dimension ref="A1:AU211"/>
  <sheetViews>
    <sheetView showGridLines="0" topLeftCell="U9" zoomScale="97" zoomScaleNormal="70" workbookViewId="0">
      <selection activeCell="N41" sqref="N41"/>
    </sheetView>
  </sheetViews>
  <sheetFormatPr baseColWidth="10" defaultColWidth="11.5" defaultRowHeight="11" outlineLevelCol="1" x14ac:dyDescent="0.2"/>
  <cols>
    <col min="1" max="1" width="11.83203125" style="110" bestFit="1" customWidth="1"/>
    <col min="2" max="2" width="11.5" style="110"/>
    <col min="3" max="3" width="11.83203125" style="110" customWidth="1"/>
    <col min="4" max="4" width="81.1640625" style="110" bestFit="1" customWidth="1"/>
    <col min="5" max="5" width="17.83203125" style="110" customWidth="1"/>
    <col min="6" max="6" width="15.1640625" style="110" customWidth="1"/>
    <col min="7" max="7" width="18.5" style="110" customWidth="1"/>
    <col min="8" max="8" width="18.83203125" style="110" customWidth="1"/>
    <col min="9" max="9" width="18.5" style="190" customWidth="1"/>
    <col min="10" max="10" width="18.83203125" style="190" customWidth="1"/>
    <col min="11" max="11" width="19" style="110" customWidth="1"/>
    <col min="12" max="12" width="12.5" style="110" customWidth="1"/>
    <col min="13" max="13" width="12.83203125" style="110" customWidth="1"/>
    <col min="14" max="14" width="11.1640625" style="110" customWidth="1"/>
    <col min="15" max="15" width="15.5" style="110" customWidth="1"/>
    <col min="16" max="16" width="13.1640625" style="110" customWidth="1"/>
    <col min="17" max="17" width="16.83203125" style="110" bestFit="1" customWidth="1"/>
    <col min="18" max="21" width="11.5" style="110"/>
    <col min="22" max="24" width="11.5" style="157"/>
    <col min="25" max="25" width="11.5" style="110"/>
    <col min="26" max="30" width="11.5" style="110" hidden="1" customWidth="1" outlineLevel="1"/>
    <col min="31" max="31" width="39.1640625" style="110" bestFit="1" customWidth="1" collapsed="1"/>
    <col min="32" max="32" width="39.1640625" style="110" customWidth="1"/>
    <col min="33" max="34" width="26.5" style="110" customWidth="1"/>
    <col min="35" max="35" width="19.83203125" style="110" bestFit="1" customWidth="1"/>
    <col min="36" max="42" width="11.5" style="110"/>
    <col min="43" max="43" width="19.83203125" style="110" bestFit="1" customWidth="1"/>
    <col min="44" max="44" width="12.83203125" style="110" bestFit="1" customWidth="1"/>
    <col min="45" max="16384" width="11.5" style="110"/>
  </cols>
  <sheetData>
    <row r="1" spans="1:43" s="159" customFormat="1" x14ac:dyDescent="0.2">
      <c r="A1" s="158"/>
    </row>
    <row r="2" spans="1:43" s="161" customFormat="1" x14ac:dyDescent="0.2">
      <c r="A2" s="160"/>
    </row>
    <row r="3" spans="1:43" s="161" customFormat="1" x14ac:dyDescent="0.2">
      <c r="A3" s="160"/>
      <c r="D3" s="164" t="s">
        <v>0</v>
      </c>
    </row>
    <row r="4" spans="1:43" s="161" customFormat="1" x14ac:dyDescent="0.2">
      <c r="A4" s="160"/>
      <c r="D4" s="164">
        <v>2025</v>
      </c>
    </row>
    <row r="5" spans="1:43" s="161" customFormat="1" x14ac:dyDescent="0.2">
      <c r="A5" s="160"/>
      <c r="D5" s="167" t="s">
        <v>406</v>
      </c>
    </row>
    <row r="6" spans="1:43" s="161" customFormat="1" x14ac:dyDescent="0.2">
      <c r="A6" s="160"/>
    </row>
    <row r="7" spans="1:43" s="163" customFormat="1" ht="12" thickBot="1" x14ac:dyDescent="0.25">
      <c r="A7" s="162"/>
    </row>
    <row r="8" spans="1:43" x14ac:dyDescent="0.2">
      <c r="I8" s="110"/>
      <c r="J8" s="110"/>
      <c r="V8" s="110"/>
      <c r="W8" s="110"/>
      <c r="X8" s="110"/>
    </row>
    <row r="9" spans="1:43" s="165" customFormat="1" x14ac:dyDescent="0.2">
      <c r="B9" s="166" t="s">
        <v>407</v>
      </c>
    </row>
    <row r="10" spans="1:43" ht="12" thickBot="1" x14ac:dyDescent="0.25">
      <c r="B10" s="148"/>
      <c r="I10" s="110"/>
      <c r="J10" s="110"/>
      <c r="V10" s="110"/>
      <c r="W10" s="110"/>
      <c r="X10" s="110"/>
    </row>
    <row r="11" spans="1:43" ht="13" thickBot="1" x14ac:dyDescent="0.25">
      <c r="B11" s="148"/>
      <c r="I11" s="110"/>
      <c r="J11" s="110"/>
      <c r="V11" s="110"/>
      <c r="W11" s="110"/>
      <c r="X11" s="110"/>
      <c r="AG11" s="173" t="s">
        <v>414</v>
      </c>
      <c r="AH11" s="173" t="s">
        <v>409</v>
      </c>
      <c r="AI11" s="138">
        <v>45777</v>
      </c>
      <c r="AJ11" s="138">
        <v>45807</v>
      </c>
      <c r="AK11" s="138">
        <v>45838</v>
      </c>
      <c r="AL11" s="138">
        <v>45868</v>
      </c>
      <c r="AM11" s="138">
        <v>45899</v>
      </c>
      <c r="AN11" s="138">
        <v>45930</v>
      </c>
      <c r="AO11" s="138">
        <v>45960</v>
      </c>
      <c r="AP11" s="138">
        <v>45991</v>
      </c>
      <c r="AQ11" s="139">
        <v>46021</v>
      </c>
    </row>
    <row r="12" spans="1:43" x14ac:dyDescent="0.2">
      <c r="B12" s="148"/>
      <c r="I12" s="110"/>
      <c r="J12" s="110"/>
      <c r="V12" s="110"/>
      <c r="W12" s="110"/>
      <c r="X12" s="110"/>
      <c r="AG12" s="174" t="s">
        <v>41</v>
      </c>
      <c r="AH12" s="178">
        <f t="shared" ref="AH12:AH17" si="0">+SUM(AI12:XFD12)</f>
        <v>2126262.1736091683</v>
      </c>
      <c r="AI12" s="182">
        <f t="shared" ref="AI12:AQ16" si="1">+SUMIFS(AI$29:AI$100002,$F$29:$F$100002,$AG12)</f>
        <v>646064.04335275828</v>
      </c>
      <c r="AJ12" s="182">
        <f t="shared" si="1"/>
        <v>437024.64128205122</v>
      </c>
      <c r="AK12" s="182">
        <f t="shared" si="1"/>
        <v>350600.68890109885</v>
      </c>
      <c r="AL12" s="182">
        <f t="shared" si="1"/>
        <v>235184.35556776557</v>
      </c>
      <c r="AM12" s="182">
        <f t="shared" si="1"/>
        <v>168877.68890109891</v>
      </c>
      <c r="AN12" s="182">
        <f t="shared" si="1"/>
        <v>93877.688901098896</v>
      </c>
      <c r="AO12" s="182">
        <f t="shared" si="1"/>
        <v>69877.688901098896</v>
      </c>
      <c r="AP12" s="182">
        <f t="shared" si="1"/>
        <v>69877.688901098896</v>
      </c>
      <c r="AQ12" s="183">
        <f t="shared" si="1"/>
        <v>54877.688901098896</v>
      </c>
    </row>
    <row r="13" spans="1:43" x14ac:dyDescent="0.2">
      <c r="B13" s="148"/>
      <c r="I13" s="110"/>
      <c r="J13" s="110"/>
      <c r="V13" s="110"/>
      <c r="W13" s="110"/>
      <c r="X13" s="110"/>
      <c r="AG13" s="175" t="s">
        <v>44</v>
      </c>
      <c r="AH13" s="179">
        <f t="shared" si="0"/>
        <v>2580957.7285714285</v>
      </c>
      <c r="AI13" s="184">
        <f t="shared" si="1"/>
        <v>257132.84523809524</v>
      </c>
      <c r="AJ13" s="184">
        <f t="shared" si="1"/>
        <v>257132.84523809524</v>
      </c>
      <c r="AK13" s="184">
        <f t="shared" si="1"/>
        <v>234623.89523809525</v>
      </c>
      <c r="AL13" s="184">
        <f t="shared" si="1"/>
        <v>435787.22857142857</v>
      </c>
      <c r="AM13" s="184">
        <f t="shared" si="1"/>
        <v>420617.84761904762</v>
      </c>
      <c r="AN13" s="184">
        <f t="shared" si="1"/>
        <v>285332.13333333336</v>
      </c>
      <c r="AO13" s="184">
        <f t="shared" si="1"/>
        <v>283082.13333333336</v>
      </c>
      <c r="AP13" s="184">
        <f t="shared" si="1"/>
        <v>227748.8</v>
      </c>
      <c r="AQ13" s="185">
        <f t="shared" si="1"/>
        <v>179500</v>
      </c>
    </row>
    <row r="14" spans="1:43" x14ac:dyDescent="0.2">
      <c r="B14" s="148"/>
      <c r="I14" s="110"/>
      <c r="J14" s="110"/>
      <c r="V14" s="110"/>
      <c r="W14" s="110"/>
      <c r="X14" s="110"/>
      <c r="AG14" s="175" t="s">
        <v>45</v>
      </c>
      <c r="AH14" s="179">
        <f t="shared" si="0"/>
        <v>1945085.0833333333</v>
      </c>
      <c r="AI14" s="184">
        <f t="shared" si="1"/>
        <v>149554.91666666666</v>
      </c>
      <c r="AJ14" s="184">
        <f t="shared" si="1"/>
        <v>219554.91666666666</v>
      </c>
      <c r="AK14" s="184">
        <f t="shared" si="1"/>
        <v>219554.91666666666</v>
      </c>
      <c r="AL14" s="184">
        <f t="shared" si="1"/>
        <v>284559.22222222225</v>
      </c>
      <c r="AM14" s="184">
        <f t="shared" si="1"/>
        <v>301513.88888888888</v>
      </c>
      <c r="AN14" s="184">
        <f t="shared" si="1"/>
        <v>301513.88888888888</v>
      </c>
      <c r="AO14" s="184">
        <f t="shared" si="1"/>
        <v>208847.22222222222</v>
      </c>
      <c r="AP14" s="184">
        <f t="shared" si="1"/>
        <v>194680.55555555556</v>
      </c>
      <c r="AQ14" s="185">
        <f t="shared" si="1"/>
        <v>65305.555555555555</v>
      </c>
    </row>
    <row r="15" spans="1:43" x14ac:dyDescent="0.2">
      <c r="B15" s="148"/>
      <c r="I15" s="110"/>
      <c r="J15" s="110"/>
      <c r="V15" s="110"/>
      <c r="W15" s="110"/>
      <c r="X15" s="110"/>
      <c r="AG15" s="175" t="s">
        <v>46</v>
      </c>
      <c r="AH15" s="179">
        <f t="shared" si="0"/>
        <v>540256.83333333337</v>
      </c>
      <c r="AI15" s="184">
        <f t="shared" si="1"/>
        <v>196923.5</v>
      </c>
      <c r="AJ15" s="184">
        <f t="shared" si="1"/>
        <v>156666.66666666666</v>
      </c>
      <c r="AK15" s="184">
        <f t="shared" si="1"/>
        <v>160952.38095238095</v>
      </c>
      <c r="AL15" s="184">
        <f t="shared" si="1"/>
        <v>4285.7142857142853</v>
      </c>
      <c r="AM15" s="184">
        <f t="shared" si="1"/>
        <v>4285.7142857142853</v>
      </c>
      <c r="AN15" s="184">
        <f t="shared" si="1"/>
        <v>4285.7142857142853</v>
      </c>
      <c r="AO15" s="184">
        <f t="shared" si="1"/>
        <v>4285.7142857142853</v>
      </c>
      <c r="AP15" s="184">
        <f t="shared" si="1"/>
        <v>4285.7142857142853</v>
      </c>
      <c r="AQ15" s="185">
        <f t="shared" si="1"/>
        <v>4285.7142857142853</v>
      </c>
    </row>
    <row r="16" spans="1:43" ht="12" thickBot="1" x14ac:dyDescent="0.25">
      <c r="B16" s="148"/>
      <c r="I16" s="110"/>
      <c r="J16" s="110"/>
      <c r="V16" s="110"/>
      <c r="W16" s="110"/>
      <c r="X16" s="110"/>
      <c r="AG16" s="176" t="s">
        <v>47</v>
      </c>
      <c r="AH16" s="180">
        <f t="shared" si="0"/>
        <v>0</v>
      </c>
      <c r="AI16" s="186">
        <f t="shared" si="1"/>
        <v>0</v>
      </c>
      <c r="AJ16" s="186">
        <f t="shared" si="1"/>
        <v>0</v>
      </c>
      <c r="AK16" s="186">
        <f t="shared" si="1"/>
        <v>0</v>
      </c>
      <c r="AL16" s="186">
        <f t="shared" si="1"/>
        <v>0</v>
      </c>
      <c r="AM16" s="186">
        <f t="shared" si="1"/>
        <v>0</v>
      </c>
      <c r="AN16" s="186">
        <f t="shared" si="1"/>
        <v>0</v>
      </c>
      <c r="AO16" s="186">
        <f t="shared" si="1"/>
        <v>0</v>
      </c>
      <c r="AP16" s="186">
        <f t="shared" si="1"/>
        <v>0</v>
      </c>
      <c r="AQ16" s="187">
        <f t="shared" si="1"/>
        <v>0</v>
      </c>
    </row>
    <row r="17" spans="2:45" ht="12" thickBot="1" x14ac:dyDescent="0.25">
      <c r="B17" s="148"/>
      <c r="I17" s="110"/>
      <c r="J17" s="110"/>
      <c r="V17" s="110"/>
      <c r="W17" s="110"/>
      <c r="X17" s="110"/>
      <c r="AG17" s="177" t="s">
        <v>32</v>
      </c>
      <c r="AH17" s="181">
        <f t="shared" si="0"/>
        <v>12069941.770027263</v>
      </c>
      <c r="AI17" s="186">
        <f>+SUM(AI12:AI16)</f>
        <v>1249675.3052575202</v>
      </c>
      <c r="AJ17" s="186">
        <f t="shared" ref="AJ17:AQ17" si="2">+SUM(AJ12:AJ16)</f>
        <v>1070379.0698534797</v>
      </c>
      <c r="AK17" s="186">
        <f t="shared" si="2"/>
        <v>965731.88175824168</v>
      </c>
      <c r="AL17" s="186">
        <f t="shared" si="2"/>
        <v>959816.52064713067</v>
      </c>
      <c r="AM17" s="186">
        <f t="shared" si="2"/>
        <v>895295.13969474973</v>
      </c>
      <c r="AN17" s="186">
        <f t="shared" si="2"/>
        <v>685009.42540903552</v>
      </c>
      <c r="AO17" s="186">
        <f t="shared" si="2"/>
        <v>566092.75874236878</v>
      </c>
      <c r="AP17" s="186">
        <f t="shared" si="2"/>
        <v>496592.75874236872</v>
      </c>
      <c r="AQ17" s="187">
        <f t="shared" si="2"/>
        <v>303968.95874236873</v>
      </c>
      <c r="AR17" s="184">
        <f>+SUM(AK17:AQ17)</f>
        <v>4872507.4437362645</v>
      </c>
      <c r="AS17" s="594">
        <f>+AR17/1000</f>
        <v>4872.5074437362646</v>
      </c>
    </row>
    <row r="18" spans="2:45" ht="12" thickBot="1" x14ac:dyDescent="0.25">
      <c r="B18" s="148"/>
      <c r="I18" s="110"/>
      <c r="J18" s="110"/>
      <c r="V18" s="110"/>
      <c r="W18" s="110"/>
      <c r="X18" s="110"/>
    </row>
    <row r="19" spans="2:45" ht="13" thickBot="1" x14ac:dyDescent="0.25">
      <c r="B19" s="148"/>
      <c r="I19" s="110"/>
      <c r="J19" s="110"/>
      <c r="V19" s="110"/>
      <c r="W19" s="110"/>
      <c r="X19" s="110"/>
      <c r="AG19" s="173" t="s">
        <v>415</v>
      </c>
      <c r="AH19" s="173" t="s">
        <v>409</v>
      </c>
      <c r="AI19" s="138">
        <v>45777</v>
      </c>
      <c r="AJ19" s="138">
        <v>45807</v>
      </c>
      <c r="AK19" s="138">
        <v>45838</v>
      </c>
      <c r="AL19" s="138">
        <v>45868</v>
      </c>
      <c r="AM19" s="138">
        <v>45899</v>
      </c>
      <c r="AN19" s="138">
        <v>45930</v>
      </c>
      <c r="AO19" s="138">
        <v>45960</v>
      </c>
      <c r="AP19" s="138">
        <v>45991</v>
      </c>
      <c r="AQ19" s="139">
        <v>46021</v>
      </c>
    </row>
    <row r="20" spans="2:45" x14ac:dyDescent="0.2">
      <c r="B20" s="148"/>
      <c r="I20" s="110"/>
      <c r="J20" s="110"/>
      <c r="V20" s="110"/>
      <c r="W20" s="110"/>
      <c r="X20" s="110"/>
      <c r="AG20" s="174" t="s">
        <v>41</v>
      </c>
      <c r="AH20" s="178">
        <f t="shared" ref="AH20:AH25" si="3">+SUM(AI20:XFD20)</f>
        <v>5854277.768450438</v>
      </c>
      <c r="AI20" s="191" cm="1">
        <f t="array" ref="AI20">+SUMPRODUCT(($G$29:$G$99999=$AG20)*$I$29:$I$99999*AI$29:AI$99999)+SUMPRODUCT(($H$29:$H$99999=$AG20)*$J$29:$J$99999*AI$29:AI$99999)</f>
        <v>976977.21319402813</v>
      </c>
      <c r="AJ20" s="191" cm="1">
        <f t="array" ref="AJ20">+SUMPRODUCT(($G$29:$G$99999=$AG20)*$I$29:$I$99999*AJ$29:AJ$99999)+SUMPRODUCT(($H$29:$H$99999=$AG20)*$J$29:$J$99999*AJ$29:AJ$99999)</f>
        <v>862210.02223443217</v>
      </c>
      <c r="AK20" s="191" cm="1">
        <f t="array" ref="AK20">+SUMPRODUCT(($G$29:$G$99999=$AG20)*$I$29:$I$99999*AK$29:AK$99999)+SUMPRODUCT(($H$29:$H$99999=$AG20)*$J$29:$J$99999*AK$29:AK$99999)</f>
        <v>822518.70913919422</v>
      </c>
      <c r="AL20" s="191" cm="1">
        <f t="array" ref="AL20">+SUMPRODUCT(($G$29:$G$99999=$AG20)*$I$29:$I$99999*AL$29:AL$99999)+SUMPRODUCT(($H$29:$H$99999=$AG20)*$J$29:$J$99999*AL$29:AL$99999)</f>
        <v>797019.52858363849</v>
      </c>
      <c r="AM20" s="191" cm="1">
        <f t="array" ref="AM20">+SUMPRODUCT(($G$29:$G$99999=$AG20)*$I$29:$I$99999*AM$29:AM$99999)+SUMPRODUCT(($H$29:$H$99999=$AG20)*$J$29:$J$99999*AM$29:AM$99999)</f>
        <v>759624.5047741147</v>
      </c>
      <c r="AN20" s="191" cm="1">
        <f t="array" ref="AN20">+SUMPRODUCT(($G$29:$G$99999=$AG20)*$I$29:$I$99999*AN$29:AN$99999)+SUMPRODUCT(($H$29:$H$99999=$AG20)*$J$29:$J$99999*AN$29:AN$99999)</f>
        <v>571481.64763125766</v>
      </c>
      <c r="AO20" s="191" cm="1">
        <f t="array" ref="AO20">+SUMPRODUCT(($G$29:$G$99999=$AG20)*$I$29:$I$99999*AO$29:AO$99999)+SUMPRODUCT(($H$29:$H$99999=$AG20)*$J$29:$J$99999*AO$29:AO$99999)</f>
        <v>453689.98096459097</v>
      </c>
      <c r="AP20" s="191" cm="1">
        <f t="array" ref="AP20">+SUMPRODUCT(($G$29:$G$99999=$AG20)*$I$29:$I$99999*AP$29:AP$99999)+SUMPRODUCT(($H$29:$H$99999=$AG20)*$J$29:$J$99999*AP$29:AP$99999)</f>
        <v>384189.98096459097</v>
      </c>
      <c r="AQ20" s="192" cm="1">
        <f t="array" ref="AQ20">+SUMPRODUCT(($G$29:$G$99999=$AG20)*$I$29:$I$99999*AQ$29:AQ$99999)+SUMPRODUCT(($H$29:$H$99999=$AG20)*$J$29:$J$99999*AQ$29:AQ$99999)</f>
        <v>226566.18096459098</v>
      </c>
    </row>
    <row r="21" spans="2:45" x14ac:dyDescent="0.2">
      <c r="B21" s="148"/>
      <c r="I21" s="110"/>
      <c r="J21" s="110"/>
      <c r="V21" s="110"/>
      <c r="W21" s="110"/>
      <c r="X21" s="110"/>
      <c r="AG21" s="175" t="s">
        <v>44</v>
      </c>
      <c r="AH21" s="179">
        <f t="shared" si="3"/>
        <v>1338284.0503968254</v>
      </c>
      <c r="AI21" s="193" cm="1">
        <f t="array" ref="AI21">+SUMPRODUCT(($G$29:$G$99999=$AG21)*$I$29:$I$99999*AI$29:AI$99999)+SUMPRODUCT(($H$29:$H$99999=$AG21)*$J$29:$J$99999*AI$29:AI$99999)</f>
        <v>272698.09206349205</v>
      </c>
      <c r="AJ21" s="193" cm="1">
        <f t="array" ref="AJ21">+SUMPRODUCT(($G$29:$G$99999=$AG21)*$I$29:$I$99999*AJ$29:AJ$99999)+SUMPRODUCT(($H$29:$H$99999=$AG21)*$J$29:$J$99999*AJ$29:AJ$99999)</f>
        <v>208169.04761904763</v>
      </c>
      <c r="AK21" s="193" cm="1">
        <f t="array" ref="AK21">+SUMPRODUCT(($G$29:$G$99999=$AG21)*$I$29:$I$99999*AK$29:AK$99999)+SUMPRODUCT(($H$29:$H$99999=$AG21)*$J$29:$J$99999*AK$29:AK$99999)</f>
        <v>143213.17261904763</v>
      </c>
      <c r="AL21" s="193" cm="1">
        <f t="array" ref="AL21">+SUMPRODUCT(($G$29:$G$99999=$AG21)*$I$29:$I$99999*AL$29:AL$99999)+SUMPRODUCT(($H$29:$H$99999=$AG21)*$J$29:$J$99999*AL$29:AL$99999)</f>
        <v>162796.99206349207</v>
      </c>
      <c r="AM21" s="193" cm="1">
        <f t="array" ref="AM21">+SUMPRODUCT(($G$29:$G$99999=$AG21)*$I$29:$I$99999*AM$29:AM$99999)+SUMPRODUCT(($H$29:$H$99999=$AG21)*$J$29:$J$99999*AM$29:AM$99999)</f>
        <v>135670.63492063491</v>
      </c>
      <c r="AN21" s="193" cm="1">
        <f t="array" ref="AN21">+SUMPRODUCT(($G$29:$G$99999=$AG21)*$I$29:$I$99999*AN$29:AN$99999)+SUMPRODUCT(($H$29:$H$99999=$AG21)*$J$29:$J$99999*AN$29:AN$99999)</f>
        <v>113527.77777777778</v>
      </c>
      <c r="AO21" s="193" cm="1">
        <f t="array" ref="AO21">+SUMPRODUCT(($G$29:$G$99999=$AG21)*$I$29:$I$99999*AO$29:AO$99999)+SUMPRODUCT(($H$29:$H$99999=$AG21)*$J$29:$J$99999*AO$29:AO$99999)</f>
        <v>112402.77777777778</v>
      </c>
      <c r="AP21" s="193" cm="1">
        <f t="array" ref="AP21">+SUMPRODUCT(($G$29:$G$99999=$AG21)*$I$29:$I$99999*AP$29:AP$99999)+SUMPRODUCT(($H$29:$H$99999=$AG21)*$J$29:$J$99999*AP$29:AP$99999)</f>
        <v>112402.77777777778</v>
      </c>
      <c r="AQ21" s="194" cm="1">
        <f t="array" ref="AQ21">+SUMPRODUCT(($G$29:$G$99999=$AG21)*$I$29:$I$99999*AQ$29:AQ$99999)+SUMPRODUCT(($H$29:$H$99999=$AG21)*$J$29:$J$99999*AQ$29:AQ$99999)</f>
        <v>77402.777777777781</v>
      </c>
    </row>
    <row r="22" spans="2:45" x14ac:dyDescent="0.2">
      <c r="B22" s="148"/>
      <c r="I22" s="110"/>
      <c r="J22" s="110"/>
      <c r="V22" s="110"/>
      <c r="W22" s="110"/>
      <c r="X22" s="110"/>
      <c r="AG22" s="175" t="s">
        <v>45</v>
      </c>
      <c r="AH22" s="179">
        <f t="shared" si="3"/>
        <v>0</v>
      </c>
      <c r="AI22" s="193" cm="1">
        <f t="array" ref="AI22">+SUMPRODUCT(($G$29:$G$99999=$AG22)*$I$29:$I$99999*AI$29:AI$99999)+SUMPRODUCT(($H$29:$H$99999=$AG22)*$J$29:$J$99999*AI$29:AI$99999)</f>
        <v>0</v>
      </c>
      <c r="AJ22" s="193" cm="1">
        <f t="array" ref="AJ22">+SUMPRODUCT(($G$29:$G$99999=$AG22)*$I$29:$I$99999*AJ$29:AJ$99999)+SUMPRODUCT(($H$29:$H$99999=$AG22)*$J$29:$J$99999*AJ$29:AJ$99999)</f>
        <v>0</v>
      </c>
      <c r="AK22" s="193" cm="1">
        <f t="array" ref="AK22">+SUMPRODUCT(($G$29:$G$99999=$AG22)*$I$29:$I$99999*AK$29:AK$99999)+SUMPRODUCT(($H$29:$H$99999=$AG22)*$J$29:$J$99999*AK$29:AK$99999)</f>
        <v>0</v>
      </c>
      <c r="AL22" s="193" cm="1">
        <f t="array" ref="AL22">+SUMPRODUCT(($G$29:$G$99999=$AG22)*$I$29:$I$99999*AL$29:AL$99999)+SUMPRODUCT(($H$29:$H$99999=$AG22)*$J$29:$J$99999*AL$29:AL$99999)</f>
        <v>0</v>
      </c>
      <c r="AM22" s="193" cm="1">
        <f t="array" ref="AM22">+SUMPRODUCT(($G$29:$G$99999=$AG22)*$I$29:$I$99999*AM$29:AM$99999)+SUMPRODUCT(($H$29:$H$99999=$AG22)*$J$29:$J$99999*AM$29:AM$99999)</f>
        <v>0</v>
      </c>
      <c r="AN22" s="193" cm="1">
        <f t="array" ref="AN22">+SUMPRODUCT(($G$29:$G$99999=$AG22)*$I$29:$I$99999*AN$29:AN$99999)+SUMPRODUCT(($H$29:$H$99999=$AG22)*$J$29:$J$99999*AN$29:AN$99999)</f>
        <v>0</v>
      </c>
      <c r="AO22" s="193" cm="1">
        <f t="array" ref="AO22">+SUMPRODUCT(($G$29:$G$99999=$AG22)*$I$29:$I$99999*AO$29:AO$99999)+SUMPRODUCT(($H$29:$H$99999=$AG22)*$J$29:$J$99999*AO$29:AO$99999)</f>
        <v>0</v>
      </c>
      <c r="AP22" s="193" cm="1">
        <f t="array" ref="AP22">+SUMPRODUCT(($G$29:$G$99999=$AG22)*$I$29:$I$99999*AP$29:AP$99999)+SUMPRODUCT(($H$29:$H$99999=$AG22)*$J$29:$J$99999*AP$29:AP$99999)</f>
        <v>0</v>
      </c>
      <c r="AQ22" s="194" cm="1">
        <f t="array" ref="AQ22">+SUMPRODUCT(($G$29:$G$99999=$AG22)*$I$29:$I$99999*AQ$29:AQ$99999)+SUMPRODUCT(($H$29:$H$99999=$AG22)*$J$29:$J$99999*AQ$29:AQ$99999)</f>
        <v>0</v>
      </c>
    </row>
    <row r="23" spans="2:45" x14ac:dyDescent="0.2">
      <c r="B23" s="148"/>
      <c r="I23" s="110"/>
      <c r="J23" s="110"/>
      <c r="V23" s="110"/>
      <c r="W23" s="110"/>
      <c r="X23" s="110"/>
      <c r="AG23" s="175" t="s">
        <v>46</v>
      </c>
      <c r="AH23" s="179">
        <f t="shared" si="3"/>
        <v>0</v>
      </c>
      <c r="AI23" s="193" cm="1">
        <f t="array" ref="AI23">+SUMPRODUCT(($G$29:$G$99999=$AG23)*$I$29:$I$99999*AI$29:AI$99999)+SUMPRODUCT(($H$29:$H$99999=$AG23)*$J$29:$J$99999*AI$29:AI$99999)</f>
        <v>0</v>
      </c>
      <c r="AJ23" s="193" cm="1">
        <f t="array" ref="AJ23">+SUMPRODUCT(($G$29:$G$99999=$AG23)*$I$29:$I$99999*AJ$29:AJ$99999)+SUMPRODUCT(($H$29:$H$99999=$AG23)*$J$29:$J$99999*AJ$29:AJ$99999)</f>
        <v>0</v>
      </c>
      <c r="AK23" s="193" cm="1">
        <f t="array" ref="AK23">+SUMPRODUCT(($G$29:$G$99999=$AG23)*$I$29:$I$99999*AK$29:AK$99999)+SUMPRODUCT(($H$29:$H$99999=$AG23)*$J$29:$J$99999*AK$29:AK$99999)</f>
        <v>0</v>
      </c>
      <c r="AL23" s="193" cm="1">
        <f t="array" ref="AL23">+SUMPRODUCT(($G$29:$G$99999=$AG23)*$I$29:$I$99999*AL$29:AL$99999)+SUMPRODUCT(($H$29:$H$99999=$AG23)*$J$29:$J$99999*AL$29:AL$99999)</f>
        <v>0</v>
      </c>
      <c r="AM23" s="193" cm="1">
        <f t="array" ref="AM23">+SUMPRODUCT(($G$29:$G$99999=$AG23)*$I$29:$I$99999*AM$29:AM$99999)+SUMPRODUCT(($H$29:$H$99999=$AG23)*$J$29:$J$99999*AM$29:AM$99999)</f>
        <v>0</v>
      </c>
      <c r="AN23" s="193" cm="1">
        <f t="array" ref="AN23">+SUMPRODUCT(($G$29:$G$99999=$AG23)*$I$29:$I$99999*AN$29:AN$99999)+SUMPRODUCT(($H$29:$H$99999=$AG23)*$J$29:$J$99999*AN$29:AN$99999)</f>
        <v>0</v>
      </c>
      <c r="AO23" s="193" cm="1">
        <f t="array" ref="AO23">+SUMPRODUCT(($G$29:$G$99999=$AG23)*$I$29:$I$99999*AO$29:AO$99999)+SUMPRODUCT(($H$29:$H$99999=$AG23)*$J$29:$J$99999*AO$29:AO$99999)</f>
        <v>0</v>
      </c>
      <c r="AP23" s="193" cm="1">
        <f t="array" ref="AP23">+SUMPRODUCT(($G$29:$G$99999=$AG23)*$I$29:$I$99999*AP$29:AP$99999)+SUMPRODUCT(($H$29:$H$99999=$AG23)*$J$29:$J$99999*AP$29:AP$99999)</f>
        <v>0</v>
      </c>
      <c r="AQ23" s="194" cm="1">
        <f t="array" ref="AQ23">+SUMPRODUCT(($G$29:$G$99999=$AG23)*$I$29:$I$99999*AQ$29:AQ$99999)+SUMPRODUCT(($H$29:$H$99999=$AG23)*$J$29:$J$99999*AQ$29:AQ$99999)</f>
        <v>0</v>
      </c>
    </row>
    <row r="24" spans="2:45" ht="12" thickBot="1" x14ac:dyDescent="0.25">
      <c r="B24" s="148"/>
      <c r="I24" s="110"/>
      <c r="J24" s="110"/>
      <c r="V24" s="110"/>
      <c r="W24" s="110"/>
      <c r="X24" s="110"/>
      <c r="AG24" s="176" t="s">
        <v>47</v>
      </c>
      <c r="AH24" s="180">
        <f t="shared" si="3"/>
        <v>0</v>
      </c>
      <c r="AI24" s="195" cm="1">
        <f t="array" ref="AI24">+SUMPRODUCT(($G$29:$G$99999=$AG24)*$I$29:$I$99999*AI$29:AI$99999)+SUMPRODUCT(($H$29:$H$99999=$AG24)*$J$29:$J$99999*AI$29:AI$99999)</f>
        <v>0</v>
      </c>
      <c r="AJ24" s="195" cm="1">
        <f t="array" ref="AJ24">+SUMPRODUCT(($G$29:$G$99999=$AG24)*$I$29:$I$99999*AJ$29:AJ$99999)+SUMPRODUCT(($H$29:$H$99999=$AG24)*$J$29:$J$99999*AJ$29:AJ$99999)</f>
        <v>0</v>
      </c>
      <c r="AK24" s="195" cm="1">
        <f t="array" ref="AK24">+SUMPRODUCT(($G$29:$G$99999=$AG24)*$I$29:$I$99999*AK$29:AK$99999)+SUMPRODUCT(($H$29:$H$99999=$AG24)*$J$29:$J$99999*AK$29:AK$99999)</f>
        <v>0</v>
      </c>
      <c r="AL24" s="195" cm="1">
        <f t="array" ref="AL24">+SUMPRODUCT(($G$29:$G$99999=$AG24)*$I$29:$I$99999*AL$29:AL$99999)+SUMPRODUCT(($H$29:$H$99999=$AG24)*$J$29:$J$99999*AL$29:AL$99999)</f>
        <v>0</v>
      </c>
      <c r="AM24" s="195" cm="1">
        <f t="array" ref="AM24">+SUMPRODUCT(($G$29:$G$99999=$AG24)*$I$29:$I$99999*AM$29:AM$99999)+SUMPRODUCT(($H$29:$H$99999=$AG24)*$J$29:$J$99999*AM$29:AM$99999)</f>
        <v>0</v>
      </c>
      <c r="AN24" s="195" cm="1">
        <f t="array" ref="AN24">+SUMPRODUCT(($G$29:$G$99999=$AG24)*$I$29:$I$99999*AN$29:AN$99999)+SUMPRODUCT(($H$29:$H$99999=$AG24)*$J$29:$J$99999*AN$29:AN$99999)</f>
        <v>0</v>
      </c>
      <c r="AO24" s="195" cm="1">
        <f t="array" ref="AO24">+SUMPRODUCT(($G$29:$G$99999=$AG24)*$I$29:$I$99999*AO$29:AO$99999)+SUMPRODUCT(($H$29:$H$99999=$AG24)*$J$29:$J$99999*AO$29:AO$99999)</f>
        <v>0</v>
      </c>
      <c r="AP24" s="195" cm="1">
        <f t="array" ref="AP24">+SUMPRODUCT(($G$29:$G$99999=$AG24)*$I$29:$I$99999*AP$29:AP$99999)+SUMPRODUCT(($H$29:$H$99999=$AG24)*$J$29:$J$99999*AP$29:AP$99999)</f>
        <v>0</v>
      </c>
      <c r="AQ24" s="196" cm="1">
        <f t="array" ref="AQ24">+SUMPRODUCT(($G$29:$G$99999=$AG24)*$I$29:$I$99999*AQ$29:AQ$99999)+SUMPRODUCT(($H$29:$H$99999=$AG24)*$J$29:$J$99999*AQ$29:AQ$99999)</f>
        <v>0</v>
      </c>
    </row>
    <row r="25" spans="2:45" ht="12" thickBot="1" x14ac:dyDescent="0.25">
      <c r="B25" s="148"/>
      <c r="I25" s="110"/>
      <c r="J25" s="110"/>
      <c r="V25" s="110"/>
      <c r="W25" s="110"/>
      <c r="X25" s="110"/>
      <c r="AG25" s="177" t="s">
        <v>32</v>
      </c>
      <c r="AH25" s="181">
        <f t="shared" si="3"/>
        <v>12065069.262583528</v>
      </c>
      <c r="AI25" s="186">
        <f>+SUM(AI20:AI24)</f>
        <v>1249675.3052575202</v>
      </c>
      <c r="AJ25" s="186">
        <f t="shared" ref="AJ25:AQ25" si="4">+SUM(AJ20:AJ24)</f>
        <v>1070379.0698534797</v>
      </c>
      <c r="AK25" s="186">
        <f t="shared" si="4"/>
        <v>965731.88175824191</v>
      </c>
      <c r="AL25" s="186">
        <f t="shared" si="4"/>
        <v>959816.52064713056</v>
      </c>
      <c r="AM25" s="186">
        <f t="shared" si="4"/>
        <v>895295.13969474961</v>
      </c>
      <c r="AN25" s="186">
        <f t="shared" si="4"/>
        <v>685009.42540903541</v>
      </c>
      <c r="AO25" s="186">
        <f t="shared" si="4"/>
        <v>566092.75874236878</v>
      </c>
      <c r="AP25" s="186">
        <f t="shared" si="4"/>
        <v>496592.75874236878</v>
      </c>
      <c r="AQ25" s="187">
        <f t="shared" si="4"/>
        <v>303968.95874236873</v>
      </c>
      <c r="AR25" s="184">
        <f>+SUM(AK25:AQ25)</f>
        <v>4872507.4437362645</v>
      </c>
    </row>
    <row r="26" spans="2:45" ht="12" thickBot="1" x14ac:dyDescent="0.25">
      <c r="B26" s="148"/>
      <c r="I26" s="110"/>
      <c r="J26" s="110"/>
      <c r="V26" s="110"/>
      <c r="W26" s="110"/>
      <c r="X26" s="110"/>
    </row>
    <row r="27" spans="2:45" ht="12" thickBot="1" x14ac:dyDescent="0.25">
      <c r="I27" s="671" t="s">
        <v>411</v>
      </c>
      <c r="J27" s="672"/>
      <c r="Q27" s="462"/>
      <c r="V27" s="110"/>
      <c r="W27" s="110"/>
      <c r="X27" s="110"/>
    </row>
    <row r="28" spans="2:45" ht="37" thickBot="1" x14ac:dyDescent="0.25">
      <c r="C28" s="111" t="s">
        <v>269</v>
      </c>
      <c r="D28" s="112" t="s">
        <v>15</v>
      </c>
      <c r="E28" s="112" t="s">
        <v>16</v>
      </c>
      <c r="F28" s="112" t="s">
        <v>17</v>
      </c>
      <c r="G28" s="149" t="s">
        <v>270</v>
      </c>
      <c r="H28" s="149" t="s">
        <v>271</v>
      </c>
      <c r="I28" s="188" t="s">
        <v>270</v>
      </c>
      <c r="J28" s="188" t="s">
        <v>271</v>
      </c>
      <c r="K28" s="112" t="s">
        <v>272</v>
      </c>
      <c r="L28" s="112" t="s">
        <v>273</v>
      </c>
      <c r="M28" s="112" t="s">
        <v>274</v>
      </c>
      <c r="N28" s="112" t="s">
        <v>275</v>
      </c>
      <c r="O28" s="112" t="s">
        <v>412</v>
      </c>
      <c r="P28" s="112" t="s">
        <v>277</v>
      </c>
      <c r="Q28" s="112" t="s">
        <v>416</v>
      </c>
      <c r="R28" s="112" t="s">
        <v>278</v>
      </c>
      <c r="S28" s="112" t="s">
        <v>279</v>
      </c>
      <c r="T28" s="149" t="s">
        <v>68</v>
      </c>
      <c r="U28" s="149" t="s">
        <v>281</v>
      </c>
      <c r="V28" s="149" t="s">
        <v>282</v>
      </c>
      <c r="W28" s="149" t="s">
        <v>283</v>
      </c>
      <c r="X28" s="200" t="s">
        <v>284</v>
      </c>
      <c r="Y28" s="112" t="s">
        <v>285</v>
      </c>
      <c r="Z28" s="112" t="s">
        <v>25</v>
      </c>
      <c r="AA28" s="112" t="s">
        <v>26</v>
      </c>
      <c r="AB28" s="112" t="s">
        <v>27</v>
      </c>
      <c r="AC28" s="112" t="s">
        <v>28</v>
      </c>
      <c r="AD28" s="112" t="s">
        <v>29</v>
      </c>
      <c r="AE28" s="112" t="s">
        <v>18</v>
      </c>
      <c r="AF28" s="113" t="s">
        <v>19</v>
      </c>
      <c r="AG28" s="113" t="s">
        <v>64</v>
      </c>
      <c r="AH28" s="171" t="s">
        <v>413</v>
      </c>
      <c r="AI28" s="137">
        <v>45777</v>
      </c>
      <c r="AJ28" s="138">
        <v>45807</v>
      </c>
      <c r="AK28" s="138">
        <v>45838</v>
      </c>
      <c r="AL28" s="138">
        <v>45868</v>
      </c>
      <c r="AM28" s="138">
        <v>45899</v>
      </c>
      <c r="AN28" s="138">
        <v>45930</v>
      </c>
      <c r="AO28" s="138">
        <v>45960</v>
      </c>
      <c r="AP28" s="138">
        <v>45991</v>
      </c>
      <c r="AQ28" s="139">
        <v>46021</v>
      </c>
    </row>
    <row r="29" spans="2:45" ht="15" x14ac:dyDescent="0.2">
      <c r="C29" s="117">
        <f>+'Gantt Proyectos'!C97</f>
        <v>1</v>
      </c>
      <c r="D29" s="140" t="str">
        <f>+'Gantt Proyectos'!D97</f>
        <v>CMP: Estrategia Minera para MLC Brownfield</v>
      </c>
      <c r="E29" s="118" t="str">
        <f>+'Gantt Proyectos'!E97</f>
        <v>CMP</v>
      </c>
      <c r="F29" s="146" t="str">
        <f>+'Gantt Proyectos'!F97</f>
        <v>Chile</v>
      </c>
      <c r="G29" s="118" t="str">
        <f>+'Gantt Proyectos'!G97</f>
        <v>Chile</v>
      </c>
      <c r="H29" s="118" t="str">
        <f>+'Gantt Proyectos'!H97</f>
        <v>Perú</v>
      </c>
      <c r="I29" s="189">
        <v>0.5</v>
      </c>
      <c r="J29" s="189">
        <f>1-I29</f>
        <v>0.5</v>
      </c>
      <c r="K29" s="118" t="str">
        <f>+'Gantt Proyectos'!I97</f>
        <v>Open Pit</v>
      </c>
      <c r="L29" s="120">
        <f>+'Gantt Proyectos'!J97</f>
        <v>1</v>
      </c>
      <c r="M29" s="118" t="str">
        <f>+'Gantt Proyectos'!K97</f>
        <v>FR</v>
      </c>
      <c r="N29" s="118">
        <f>+'Gantt Proyectos'!L97</f>
        <v>36143</v>
      </c>
      <c r="O29" s="118">
        <f>+'Gantt Proyectos'!M97</f>
        <v>0</v>
      </c>
      <c r="P29" s="118">
        <f>+'Gantt Proyectos'!N97</f>
        <v>1</v>
      </c>
      <c r="Q29" s="472">
        <f>+Dashboard!I11</f>
        <v>1</v>
      </c>
      <c r="R29" s="119">
        <f>+'Gantt Proyectos'!O97</f>
        <v>45502</v>
      </c>
      <c r="S29" s="119">
        <f>+'Gantt Proyectos'!P97</f>
        <v>45754</v>
      </c>
      <c r="T29" s="118" t="str">
        <f>+'Gantt Proyectos'!R97</f>
        <v>No</v>
      </c>
      <c r="U29" s="118">
        <f>+'Gantt Proyectos'!S97</f>
        <v>0</v>
      </c>
      <c r="V29" s="156">
        <f>+'Gantt Proyectos'!T97</f>
        <v>45502</v>
      </c>
      <c r="W29" s="156">
        <f>+'Gantt Proyectos'!U97</f>
        <v>45754</v>
      </c>
      <c r="X29" s="201">
        <f>+ROUNDUP(_xlfn.DAYS(W29,V29)/30.5,0)</f>
        <v>9</v>
      </c>
      <c r="Y29" s="121">
        <f>+'Gantt Proyectos'!W97</f>
        <v>0.72035794183445179</v>
      </c>
      <c r="Z29" s="122">
        <f>+'Gantt Proyectos'!X97</f>
        <v>0.25</v>
      </c>
      <c r="AA29" s="122">
        <f>+'Gantt Proyectos'!Y97</f>
        <v>0.33</v>
      </c>
      <c r="AB29" s="122">
        <f>+'Gantt Proyectos'!Z97</f>
        <v>0</v>
      </c>
      <c r="AC29" s="122">
        <f>+'Gantt Proyectos'!AA97</f>
        <v>0.5</v>
      </c>
      <c r="AD29" s="122">
        <f>+'Gantt Proyectos'!AB97</f>
        <v>0.5</v>
      </c>
      <c r="AE29" s="152" t="str">
        <f>+'Gantt Proyectos'!AC97</f>
        <v>Estudio Conceptual / LOM</v>
      </c>
      <c r="AF29" s="123" t="str">
        <f>+'Gantt Proyectos'!AD97</f>
        <v>Actual</v>
      </c>
      <c r="AG29" s="124" t="str">
        <f>+'Gantt Proyectos'!AE97</f>
        <v>7. Finalizado</v>
      </c>
      <c r="AH29" s="172">
        <v>1</v>
      </c>
      <c r="AI29" s="463">
        <f>IFERROR(IF('Gantt Proyectos'!AF97&lt;2,$N29*'Gantt Proyectos'!AF97,IF('Gantt Proyectos'!AF97=2,$N29*('Gantt Proyectos'!AF97-1))),0)*$L29*$Q29</f>
        <v>4015.8888888888887</v>
      </c>
      <c r="AJ29" s="464">
        <f>IFERROR(IF('Gantt Proyectos'!AG97&lt;2,$N29*'Gantt Proyectos'!AG97,IF('Gantt Proyectos'!AG97=2,$N29*('Gantt Proyectos'!AG97-1))),0)*$L29*$Q29</f>
        <v>0</v>
      </c>
      <c r="AK29" s="464">
        <f>IFERROR(IF('Gantt Proyectos'!AH97&lt;2,$N29*'Gantt Proyectos'!AH97,IF('Gantt Proyectos'!AH97=2,$N29*('Gantt Proyectos'!AH97-1))),0)*$L29*$Q29</f>
        <v>0</v>
      </c>
      <c r="AL29" s="464">
        <f>IFERROR(IF('Gantt Proyectos'!AI97&lt;2,$N29*'Gantt Proyectos'!AI97,IF('Gantt Proyectos'!AI97=2,$N29*('Gantt Proyectos'!AI97-1))),0)*$L29*$Q29</f>
        <v>0</v>
      </c>
      <c r="AM29" s="464">
        <f>IFERROR(IF('Gantt Proyectos'!AJ97&lt;2,$N29*'Gantt Proyectos'!AJ97,IF('Gantt Proyectos'!AJ97=2,$N29*('Gantt Proyectos'!AJ97-1))),0)*$L29*$Q29</f>
        <v>0</v>
      </c>
      <c r="AN29" s="464">
        <f>IFERROR(IF('Gantt Proyectos'!AK97&lt;2,$N29*'Gantt Proyectos'!AK97,IF('Gantt Proyectos'!AK97=2,$N29*('Gantt Proyectos'!AK97-1))),0)*$L29*$Q29</f>
        <v>0</v>
      </c>
      <c r="AO29" s="464">
        <f>IFERROR(IF('Gantt Proyectos'!AL97&lt;2,$N29*'Gantt Proyectos'!AL97,IF('Gantt Proyectos'!AL97=2,$N29*('Gantt Proyectos'!AL97-1))),0)*$L29*$Q29</f>
        <v>0</v>
      </c>
      <c r="AP29" s="464">
        <f>IFERROR(IF('Gantt Proyectos'!AM97&lt;2,$N29*'Gantt Proyectos'!AM97,IF('Gantt Proyectos'!AM97=2,$N29*('Gantt Proyectos'!AM97-1))),0)*$L29*$Q29</f>
        <v>0</v>
      </c>
      <c r="AQ29" s="465">
        <f>IFERROR(IF('Gantt Proyectos'!AN97&lt;2,$N29*'Gantt Proyectos'!AN97,IF('Gantt Proyectos'!AN97=2,$N29*('Gantt Proyectos'!AN97-1))),0)*$L29*$Q29</f>
        <v>0</v>
      </c>
      <c r="AR29" s="110">
        <f>+IF(ISNUMBER(AI29)&lt;&gt;0,1,0)</f>
        <v>1</v>
      </c>
    </row>
    <row r="30" spans="2:45" ht="15" x14ac:dyDescent="0.2">
      <c r="C30" s="117">
        <f>+'Gantt Proyectos'!C98</f>
        <v>2</v>
      </c>
      <c r="D30" s="140" t="str">
        <f>+'Gantt Proyectos'!D98</f>
        <v>Spence: Analisis proyecto SCUT</v>
      </c>
      <c r="E30" s="118" t="str">
        <f>+'Gantt Proyectos'!E98</f>
        <v>BHP</v>
      </c>
      <c r="F30" s="146" t="str">
        <f>+'Gantt Proyectos'!F98</f>
        <v>Chile</v>
      </c>
      <c r="G30" s="118" t="str">
        <f>+'Gantt Proyectos'!G98</f>
        <v>Chile</v>
      </c>
      <c r="H30" s="118" t="str">
        <f>+'Gantt Proyectos'!H98</f>
        <v>Perú</v>
      </c>
      <c r="I30" s="189">
        <v>0.5</v>
      </c>
      <c r="J30" s="189">
        <f t="shared" ref="J30:J93" si="5">1-I30</f>
        <v>0.5</v>
      </c>
      <c r="K30" s="118" t="str">
        <f>+'Gantt Proyectos'!I98</f>
        <v>Open Pit</v>
      </c>
      <c r="L30" s="120">
        <f>+'Gantt Proyectos'!J98</f>
        <v>1</v>
      </c>
      <c r="M30" s="118" t="str">
        <f>+'Gantt Proyectos'!K98</f>
        <v>FR</v>
      </c>
      <c r="N30" s="118">
        <f>+'Gantt Proyectos'!L98</f>
        <v>47590</v>
      </c>
      <c r="O30" s="118">
        <f>+'Gantt Proyectos'!M98</f>
        <v>0</v>
      </c>
      <c r="P30" s="118">
        <f>+'Gantt Proyectos'!N98</f>
        <v>1</v>
      </c>
      <c r="Q30" s="472">
        <f>+Dashboard!I12</f>
        <v>1</v>
      </c>
      <c r="R30" s="119">
        <f>+'Gantt Proyectos'!O98</f>
        <v>45719</v>
      </c>
      <c r="S30" s="119">
        <f>+'Gantt Proyectos'!P98</f>
        <v>45754</v>
      </c>
      <c r="T30" s="118" t="str">
        <f>+'Gantt Proyectos'!R98</f>
        <v>No</v>
      </c>
      <c r="U30" s="118">
        <f>+'Gantt Proyectos'!S98</f>
        <v>0</v>
      </c>
      <c r="V30" s="156">
        <f>+'Gantt Proyectos'!T98</f>
        <v>45719</v>
      </c>
      <c r="W30" s="156">
        <f>+'Gantt Proyectos'!U98</f>
        <v>45754</v>
      </c>
      <c r="X30" s="201">
        <f t="shared" ref="X30:X93" si="6">+ROUNDUP(_xlfn.DAYS(W30,V30)/30.5,0)</f>
        <v>2</v>
      </c>
      <c r="Y30" s="121">
        <f>+'Gantt Proyectos'!W98</f>
        <v>0.72035794183445179</v>
      </c>
      <c r="Z30" s="122">
        <f>+'Gantt Proyectos'!X98</f>
        <v>0.25</v>
      </c>
      <c r="AA30" s="122">
        <f>+'Gantt Proyectos'!Y98</f>
        <v>0.33</v>
      </c>
      <c r="AB30" s="122">
        <f>+'Gantt Proyectos'!Z98</f>
        <v>0</v>
      </c>
      <c r="AC30" s="122">
        <f>+'Gantt Proyectos'!AA98</f>
        <v>0.5</v>
      </c>
      <c r="AD30" s="122">
        <f>+'Gantt Proyectos'!AB98</f>
        <v>0.5</v>
      </c>
      <c r="AE30" s="152" t="str">
        <f>+'Gantt Proyectos'!AC98</f>
        <v>Confiabilidad Planes</v>
      </c>
      <c r="AF30" s="123" t="str">
        <f>+'Gantt Proyectos'!AD98</f>
        <v>Actual</v>
      </c>
      <c r="AG30" s="124" t="str">
        <f>+'Gantt Proyectos'!AE98</f>
        <v>7. Finalizado</v>
      </c>
      <c r="AH30" s="172">
        <v>1</v>
      </c>
      <c r="AI30" s="466">
        <f>IFERROR(IF('Gantt Proyectos'!AF98&lt;2,$N30*'Gantt Proyectos'!AF98,IF('Gantt Proyectos'!AF98=2,$N30*('Gantt Proyectos'!AF98-1))),0)*$L30*$Q30</f>
        <v>23795</v>
      </c>
      <c r="AJ30" s="467">
        <f>IFERROR(IF('Gantt Proyectos'!AG98&lt;2,$N30*'Gantt Proyectos'!AG98,IF('Gantt Proyectos'!AG98=2,$N30*('Gantt Proyectos'!AG98-1))),0)*$L30*$Q30</f>
        <v>0</v>
      </c>
      <c r="AK30" s="467">
        <f>IFERROR(IF('Gantt Proyectos'!AH98&lt;2,$N30*'Gantt Proyectos'!AH98,IF('Gantt Proyectos'!AH98=2,$N30*('Gantt Proyectos'!AH98-1))),0)*$L30*$Q30</f>
        <v>0</v>
      </c>
      <c r="AL30" s="467">
        <f>IFERROR(IF('Gantt Proyectos'!AI98&lt;2,$N30*'Gantt Proyectos'!AI98,IF('Gantt Proyectos'!AI98=2,$N30*('Gantt Proyectos'!AI98-1))),0)*$L30*$Q30</f>
        <v>0</v>
      </c>
      <c r="AM30" s="467">
        <f>IFERROR(IF('Gantt Proyectos'!AJ98&lt;2,$N30*'Gantt Proyectos'!AJ98,IF('Gantt Proyectos'!AJ98=2,$N30*('Gantt Proyectos'!AJ98-1))),0)*$L30*$Q30</f>
        <v>0</v>
      </c>
      <c r="AN30" s="467">
        <f>IFERROR(IF('Gantt Proyectos'!AK98&lt;2,$N30*'Gantt Proyectos'!AK98,IF('Gantt Proyectos'!AK98=2,$N30*('Gantt Proyectos'!AK98-1))),0)*$L30*$Q30</f>
        <v>0</v>
      </c>
      <c r="AO30" s="467">
        <f>IFERROR(IF('Gantt Proyectos'!AL98&lt;2,$N30*'Gantt Proyectos'!AL98,IF('Gantt Proyectos'!AL98=2,$N30*('Gantt Proyectos'!AL98-1))),0)*$L30*$Q30</f>
        <v>0</v>
      </c>
      <c r="AP30" s="467">
        <f>IFERROR(IF('Gantt Proyectos'!AM98&lt;2,$N30*'Gantt Proyectos'!AM98,IF('Gantt Proyectos'!AM98=2,$N30*('Gantt Proyectos'!AM98-1))),0)*$L30*$Q30</f>
        <v>0</v>
      </c>
      <c r="AQ30" s="468">
        <f>IFERROR(IF('Gantt Proyectos'!AN98&lt;2,$N30*'Gantt Proyectos'!AN98,IF('Gantt Proyectos'!AN98=2,$N30*('Gantt Proyectos'!AN98-1))),0)*$L30*$Q30</f>
        <v>0</v>
      </c>
    </row>
    <row r="31" spans="2:45" ht="15" x14ac:dyDescent="0.2">
      <c r="C31" s="117">
        <f>+'Gantt Proyectos'!C99</f>
        <v>3</v>
      </c>
      <c r="D31" s="140" t="str">
        <f>+'Gantt Proyectos'!D99</f>
        <v>Resolution: MinePlan Review (Scoping)</v>
      </c>
      <c r="E31" s="118" t="str">
        <f>+'Gantt Proyectos'!E99</f>
        <v>BHP</v>
      </c>
      <c r="F31" s="146" t="str">
        <f>+'Gantt Proyectos'!F99</f>
        <v>Chile</v>
      </c>
      <c r="G31" s="118" t="str">
        <f>+'Gantt Proyectos'!G99</f>
        <v>Chile</v>
      </c>
      <c r="H31" s="118">
        <f>+'Gantt Proyectos'!H99</f>
        <v>0</v>
      </c>
      <c r="I31" s="189">
        <v>1</v>
      </c>
      <c r="J31" s="189">
        <f t="shared" si="5"/>
        <v>0</v>
      </c>
      <c r="K31" s="118" t="str">
        <f>+'Gantt Proyectos'!I99</f>
        <v>Subterránea</v>
      </c>
      <c r="L31" s="120">
        <f>+'Gantt Proyectos'!J99</f>
        <v>1</v>
      </c>
      <c r="M31" s="118" t="str">
        <f>+'Gantt Proyectos'!K99</f>
        <v>CA</v>
      </c>
      <c r="N31" s="118">
        <f>+'Gantt Proyectos'!L99</f>
        <v>254012</v>
      </c>
      <c r="O31" s="118">
        <f>+'Gantt Proyectos'!M99</f>
        <v>0</v>
      </c>
      <c r="P31" s="118">
        <f>+'Gantt Proyectos'!N99</f>
        <v>1</v>
      </c>
      <c r="Q31" s="472">
        <f>+Dashboard!I13</f>
        <v>1</v>
      </c>
      <c r="R31" s="119">
        <f>+'Gantt Proyectos'!O99</f>
        <v>45635</v>
      </c>
      <c r="S31" s="119">
        <f>+'Gantt Proyectos'!P99</f>
        <v>45754</v>
      </c>
      <c r="T31" s="118" t="str">
        <f>+'Gantt Proyectos'!R99</f>
        <v>No</v>
      </c>
      <c r="U31" s="118">
        <f>+'Gantt Proyectos'!S99</f>
        <v>0</v>
      </c>
      <c r="V31" s="156">
        <f>+'Gantt Proyectos'!T99</f>
        <v>45635</v>
      </c>
      <c r="W31" s="156">
        <f>+'Gantt Proyectos'!U99</f>
        <v>45754</v>
      </c>
      <c r="X31" s="201">
        <f t="shared" si="6"/>
        <v>4</v>
      </c>
      <c r="Y31" s="121">
        <f>+'Gantt Proyectos'!W99</f>
        <v>1.4474272930648768</v>
      </c>
      <c r="Z31" s="122">
        <f>+'Gantt Proyectos'!X99</f>
        <v>0.33</v>
      </c>
      <c r="AA31" s="122">
        <f>+'Gantt Proyectos'!Y99</f>
        <v>0.5</v>
      </c>
      <c r="AB31" s="122">
        <f>+'Gantt Proyectos'!Z99</f>
        <v>0.33</v>
      </c>
      <c r="AC31" s="122">
        <f>+'Gantt Proyectos'!AA99</f>
        <v>1</v>
      </c>
      <c r="AD31" s="122">
        <f>+'Gantt Proyectos'!AB99</f>
        <v>1</v>
      </c>
      <c r="AE31" s="152" t="str">
        <f>+'Gantt Proyectos'!AC99</f>
        <v>Scoping</v>
      </c>
      <c r="AF31" s="123" t="str">
        <f>+'Gantt Proyectos'!AD99</f>
        <v>Actual</v>
      </c>
      <c r="AG31" s="124" t="str">
        <f>+'Gantt Proyectos'!AE99</f>
        <v>7. Finalizado</v>
      </c>
      <c r="AH31" s="172">
        <v>1</v>
      </c>
      <c r="AI31" s="466">
        <f>IFERROR(IF('Gantt Proyectos'!AF99&lt;2,$N31*'Gantt Proyectos'!AF99,IF('Gantt Proyectos'!AF99=2,$N31*('Gantt Proyectos'!AF99-1))),0)*$L31*$Q31</f>
        <v>63503</v>
      </c>
      <c r="AJ31" s="467">
        <f>IFERROR(IF('Gantt Proyectos'!AG99&lt;2,$N31*'Gantt Proyectos'!AG99,IF('Gantt Proyectos'!AG99=2,$N31*('Gantt Proyectos'!AG99-1))),0)*$L31*$Q31</f>
        <v>0</v>
      </c>
      <c r="AK31" s="467">
        <f>IFERROR(IF('Gantt Proyectos'!AH99&lt;2,$N31*'Gantt Proyectos'!AH99,IF('Gantt Proyectos'!AH99=2,$N31*('Gantt Proyectos'!AH99-1))),0)*$L31*$Q31</f>
        <v>0</v>
      </c>
      <c r="AL31" s="467">
        <f>IFERROR(IF('Gantt Proyectos'!AI99&lt;2,$N31*'Gantt Proyectos'!AI99,IF('Gantt Proyectos'!AI99=2,$N31*('Gantt Proyectos'!AI99-1))),0)*$L31*$Q31</f>
        <v>0</v>
      </c>
      <c r="AM31" s="467">
        <f>IFERROR(IF('Gantt Proyectos'!AJ99&lt;2,$N31*'Gantt Proyectos'!AJ99,IF('Gantt Proyectos'!AJ99=2,$N31*('Gantt Proyectos'!AJ99-1))),0)*$L31*$Q31</f>
        <v>0</v>
      </c>
      <c r="AN31" s="467">
        <f>IFERROR(IF('Gantt Proyectos'!AK99&lt;2,$N31*'Gantt Proyectos'!AK99,IF('Gantt Proyectos'!AK99=2,$N31*('Gantt Proyectos'!AK99-1))),0)*$L31*$Q31</f>
        <v>0</v>
      </c>
      <c r="AO31" s="467">
        <f>IFERROR(IF('Gantt Proyectos'!AL99&lt;2,$N31*'Gantt Proyectos'!AL99,IF('Gantt Proyectos'!AL99=2,$N31*('Gantt Proyectos'!AL99-1))),0)*$L31*$Q31</f>
        <v>0</v>
      </c>
      <c r="AP31" s="467">
        <f>IFERROR(IF('Gantt Proyectos'!AM99&lt;2,$N31*'Gantt Proyectos'!AM99,IF('Gantt Proyectos'!AM99=2,$N31*('Gantt Proyectos'!AM99-1))),0)*$L31*$Q31</f>
        <v>0</v>
      </c>
      <c r="AQ31" s="468">
        <f>IFERROR(IF('Gantt Proyectos'!AN99&lt;2,$N31*'Gantt Proyectos'!AN99,IF('Gantt Proyectos'!AN99=2,$N31*('Gantt Proyectos'!AN99-1))),0)*$L31*$Q31</f>
        <v>0</v>
      </c>
    </row>
    <row r="32" spans="2:45" ht="15" x14ac:dyDescent="0.2">
      <c r="C32" s="117">
        <f>+'Gantt Proyectos'!C100</f>
        <v>4</v>
      </c>
      <c r="D32" s="140" t="str">
        <f>+'Gantt Proyectos'!D100</f>
        <v>Twin Metals: Analisis integrado con Northmet</v>
      </c>
      <c r="E32" s="118" t="str">
        <f>+'Gantt Proyectos'!E100</f>
        <v>Twin Metals</v>
      </c>
      <c r="F32" s="146" t="str">
        <f>+'Gantt Proyectos'!F100</f>
        <v>Chile</v>
      </c>
      <c r="G32" s="118" t="str">
        <f>+'Gantt Proyectos'!G100</f>
        <v>Chile</v>
      </c>
      <c r="H32" s="118" t="str">
        <f>+'Gantt Proyectos'!H100</f>
        <v>Perú</v>
      </c>
      <c r="I32" s="189">
        <v>0.5</v>
      </c>
      <c r="J32" s="189">
        <f t="shared" si="5"/>
        <v>0.5</v>
      </c>
      <c r="K32" s="118" t="str">
        <f>+'Gantt Proyectos'!I100</f>
        <v>Open Pit</v>
      </c>
      <c r="L32" s="120">
        <f>+'Gantt Proyectos'!J100</f>
        <v>1</v>
      </c>
      <c r="M32" s="118" t="str">
        <f>+'Gantt Proyectos'!K100</f>
        <v>CA</v>
      </c>
      <c r="N32" s="118">
        <f>+'Gantt Proyectos'!L100</f>
        <v>132000</v>
      </c>
      <c r="O32" s="118">
        <f>+'Gantt Proyectos'!M100</f>
        <v>0</v>
      </c>
      <c r="P32" s="118">
        <f>+'Gantt Proyectos'!N100</f>
        <v>1</v>
      </c>
      <c r="Q32" s="472">
        <f>+Dashboard!I14</f>
        <v>1</v>
      </c>
      <c r="R32" s="119">
        <f>+'Gantt Proyectos'!O100</f>
        <v>45719</v>
      </c>
      <c r="S32" s="119">
        <f>+'Gantt Proyectos'!P100</f>
        <v>45803</v>
      </c>
      <c r="T32" s="118" t="str">
        <f>+'Gantt Proyectos'!R100</f>
        <v>No</v>
      </c>
      <c r="U32" s="118">
        <f>+'Gantt Proyectos'!S100</f>
        <v>0</v>
      </c>
      <c r="V32" s="156">
        <f>+'Gantt Proyectos'!T100</f>
        <v>45719</v>
      </c>
      <c r="W32" s="156">
        <f>+'Gantt Proyectos'!U100</f>
        <v>45803</v>
      </c>
      <c r="X32" s="201">
        <f t="shared" si="6"/>
        <v>3</v>
      </c>
      <c r="Y32" s="121">
        <f>+'Gantt Proyectos'!W100</f>
        <v>0.72035794183445179</v>
      </c>
      <c r="Z32" s="122">
        <f>+'Gantt Proyectos'!X100</f>
        <v>0.25</v>
      </c>
      <c r="AA32" s="122">
        <f>+'Gantt Proyectos'!Y100</f>
        <v>0.33</v>
      </c>
      <c r="AB32" s="122">
        <f>+'Gantt Proyectos'!Z100</f>
        <v>0</v>
      </c>
      <c r="AC32" s="122">
        <f>+'Gantt Proyectos'!AA100</f>
        <v>0.5</v>
      </c>
      <c r="AD32" s="122">
        <f>+'Gantt Proyectos'!AB100</f>
        <v>0.5</v>
      </c>
      <c r="AE32" s="152" t="str">
        <f>+'Gantt Proyectos'!AC100</f>
        <v>Estudio Conceptual / LOM</v>
      </c>
      <c r="AF32" s="123" t="str">
        <f>+'Gantt Proyectos'!AD100</f>
        <v>Actual</v>
      </c>
      <c r="AG32" s="124" t="str">
        <f>+'Gantt Proyectos'!AE100</f>
        <v>7. Finalizado</v>
      </c>
      <c r="AH32" s="172">
        <v>1</v>
      </c>
      <c r="AI32" s="466">
        <f>IFERROR(IF('Gantt Proyectos'!AF100&lt;2,$N32*'Gantt Proyectos'!AF100,IF('Gantt Proyectos'!AF100=2,$N32*('Gantt Proyectos'!AF100-1))),0)*$L32*$Q32</f>
        <v>44000</v>
      </c>
      <c r="AJ32" s="467">
        <f>IFERROR(IF('Gantt Proyectos'!AG100&lt;2,$N32*'Gantt Proyectos'!AG100,IF('Gantt Proyectos'!AG100=2,$N32*('Gantt Proyectos'!AG100-1))),0)*$L32*$Q32</f>
        <v>44000</v>
      </c>
      <c r="AK32" s="467">
        <f>IFERROR(IF('Gantt Proyectos'!AH100&lt;2,$N32*'Gantt Proyectos'!AH100,IF('Gantt Proyectos'!AH100=2,$N32*('Gantt Proyectos'!AH100-1))),0)*$L32*$Q32</f>
        <v>0</v>
      </c>
      <c r="AL32" s="467">
        <f>IFERROR(IF('Gantt Proyectos'!AI100&lt;2,$N32*'Gantt Proyectos'!AI100,IF('Gantt Proyectos'!AI100=2,$N32*('Gantt Proyectos'!AI100-1))),0)*$L32*$Q32</f>
        <v>0</v>
      </c>
      <c r="AM32" s="467">
        <f>IFERROR(IF('Gantt Proyectos'!AJ100&lt;2,$N32*'Gantt Proyectos'!AJ100,IF('Gantt Proyectos'!AJ100=2,$N32*('Gantt Proyectos'!AJ100-1))),0)*$L32*$Q32</f>
        <v>0</v>
      </c>
      <c r="AN32" s="467">
        <f>IFERROR(IF('Gantt Proyectos'!AK100&lt;2,$N32*'Gantt Proyectos'!AK100,IF('Gantt Proyectos'!AK100=2,$N32*('Gantt Proyectos'!AK100-1))),0)*$L32*$Q32</f>
        <v>0</v>
      </c>
      <c r="AO32" s="467">
        <f>IFERROR(IF('Gantt Proyectos'!AL100&lt;2,$N32*'Gantt Proyectos'!AL100,IF('Gantt Proyectos'!AL100=2,$N32*('Gantt Proyectos'!AL100-1))),0)*$L32*$Q32</f>
        <v>0</v>
      </c>
      <c r="AP32" s="467">
        <f>IFERROR(IF('Gantt Proyectos'!AM100&lt;2,$N32*'Gantt Proyectos'!AM100,IF('Gantt Proyectos'!AM100=2,$N32*('Gantt Proyectos'!AM100-1))),0)*$L32*$Q32</f>
        <v>0</v>
      </c>
      <c r="AQ32" s="468">
        <f>IFERROR(IF('Gantt Proyectos'!AN100&lt;2,$N32*'Gantt Proyectos'!AN100,IF('Gantt Proyectos'!AN100=2,$N32*('Gantt Proyectos'!AN100-1))),0)*$L32*$Q32</f>
        <v>0</v>
      </c>
    </row>
    <row r="33" spans="3:47" ht="15" x14ac:dyDescent="0.2">
      <c r="C33" s="117">
        <f>+'Gantt Proyectos'!C101</f>
        <v>5</v>
      </c>
      <c r="D33" s="140" t="str">
        <f>+'Gantt Proyectos'!D101</f>
        <v>FEL3 CNN</v>
      </c>
      <c r="E33" s="118" t="str">
        <f>+'Gantt Proyectos'!E101</f>
        <v>CMP</v>
      </c>
      <c r="F33" s="146" t="str">
        <f>+'Gantt Proyectos'!F101</f>
        <v>Chile</v>
      </c>
      <c r="G33" s="118" t="str">
        <f>+'Gantt Proyectos'!G101</f>
        <v>Chile</v>
      </c>
      <c r="H33" s="118">
        <f>+'Gantt Proyectos'!H101</f>
        <v>0</v>
      </c>
      <c r="I33" s="189">
        <v>1</v>
      </c>
      <c r="J33" s="189">
        <f t="shared" si="5"/>
        <v>0</v>
      </c>
      <c r="K33" s="118" t="str">
        <f>+'Gantt Proyectos'!I101</f>
        <v>Open Pit</v>
      </c>
      <c r="L33" s="120">
        <f>+'Gantt Proyectos'!J101</f>
        <v>1</v>
      </c>
      <c r="M33" s="118" t="str">
        <f>+'Gantt Proyectos'!K101</f>
        <v>FR</v>
      </c>
      <c r="N33" s="118">
        <f>+'Gantt Proyectos'!L101</f>
        <v>121038.49</v>
      </c>
      <c r="O33" s="118">
        <f>+'Gantt Proyectos'!M101</f>
        <v>0</v>
      </c>
      <c r="P33" s="118">
        <f>+'Gantt Proyectos'!N101</f>
        <v>1</v>
      </c>
      <c r="Q33" s="472">
        <f>+Dashboard!I15</f>
        <v>1</v>
      </c>
      <c r="R33" s="119">
        <f>+'Gantt Proyectos'!O101</f>
        <v>45579</v>
      </c>
      <c r="S33" s="119">
        <f>+'Gantt Proyectos'!P101</f>
        <v>45754</v>
      </c>
      <c r="T33" s="118" t="str">
        <f>+'Gantt Proyectos'!R101</f>
        <v>No</v>
      </c>
      <c r="U33" s="118">
        <f>+'Gantt Proyectos'!S101</f>
        <v>0</v>
      </c>
      <c r="V33" s="156">
        <f>+'Gantt Proyectos'!T101</f>
        <v>45579</v>
      </c>
      <c r="W33" s="156">
        <f>+'Gantt Proyectos'!U101</f>
        <v>45754</v>
      </c>
      <c r="X33" s="201">
        <f t="shared" si="6"/>
        <v>6</v>
      </c>
      <c r="Y33" s="121">
        <f>+'Gantt Proyectos'!W101</f>
        <v>2.1588366890380311</v>
      </c>
      <c r="Z33" s="122">
        <f>+'Gantt Proyectos'!X101</f>
        <v>0.5</v>
      </c>
      <c r="AA33" s="122">
        <f>+'Gantt Proyectos'!Y101</f>
        <v>0.5</v>
      </c>
      <c r="AB33" s="122">
        <f>+'Gantt Proyectos'!Z101</f>
        <v>0.75</v>
      </c>
      <c r="AC33" s="122">
        <f>+'Gantt Proyectos'!AA101</f>
        <v>2</v>
      </c>
      <c r="AD33" s="122">
        <f>+'Gantt Proyectos'!AB101</f>
        <v>1</v>
      </c>
      <c r="AE33" s="152" t="str">
        <f>+'Gantt Proyectos'!AC101</f>
        <v>PFS</v>
      </c>
      <c r="AF33" s="123" t="str">
        <f>+'Gantt Proyectos'!AD101</f>
        <v>Actual</v>
      </c>
      <c r="AG33" s="124" t="str">
        <f>+'Gantt Proyectos'!AE101</f>
        <v>6. Cierre: +90%</v>
      </c>
      <c r="AH33" s="172">
        <v>1</v>
      </c>
      <c r="AI33" s="466">
        <f>IFERROR(IF('Gantt Proyectos'!AF101&lt;2,$N33*'Gantt Proyectos'!AF101,IF('Gantt Proyectos'!AF101=2,$N33*('Gantt Proyectos'!AF101-1))),0)*$L33*$Q33</f>
        <v>20173.081666666665</v>
      </c>
      <c r="AJ33" s="467">
        <f>IFERROR(IF('Gantt Proyectos'!AG101&lt;2,$N33*'Gantt Proyectos'!AG101,IF('Gantt Proyectos'!AG101=2,$N33*('Gantt Proyectos'!AG101-1))),0)*$L33*$Q33</f>
        <v>0</v>
      </c>
      <c r="AK33" s="467">
        <f>IFERROR(IF('Gantt Proyectos'!AH101&lt;2,$N33*'Gantt Proyectos'!AH101,IF('Gantt Proyectos'!AH101=2,$N33*('Gantt Proyectos'!AH101-1))),0)*$L33*$Q33</f>
        <v>0</v>
      </c>
      <c r="AL33" s="467">
        <f>IFERROR(IF('Gantt Proyectos'!AI101&lt;2,$N33*'Gantt Proyectos'!AI101,IF('Gantt Proyectos'!AI101=2,$N33*('Gantt Proyectos'!AI101-1))),0)*$L33*$Q33</f>
        <v>0</v>
      </c>
      <c r="AM33" s="467">
        <f>IFERROR(IF('Gantt Proyectos'!AJ101&lt;2,$N33*'Gantt Proyectos'!AJ101,IF('Gantt Proyectos'!AJ101=2,$N33*('Gantt Proyectos'!AJ101-1))),0)*$L33*$Q33</f>
        <v>0</v>
      </c>
      <c r="AN33" s="467">
        <f>IFERROR(IF('Gantt Proyectos'!AK101&lt;2,$N33*'Gantt Proyectos'!AK101,IF('Gantt Proyectos'!AK101=2,$N33*('Gantt Proyectos'!AK101-1))),0)*$L33*$Q33</f>
        <v>0</v>
      </c>
      <c r="AO33" s="467">
        <f>IFERROR(IF('Gantt Proyectos'!AL101&lt;2,$N33*'Gantt Proyectos'!AL101,IF('Gantt Proyectos'!AL101=2,$N33*('Gantt Proyectos'!AL101-1))),0)*$L33*$Q33</f>
        <v>0</v>
      </c>
      <c r="AP33" s="467">
        <f>IFERROR(IF('Gantt Proyectos'!AM101&lt;2,$N33*'Gantt Proyectos'!AM101,IF('Gantt Proyectos'!AM101=2,$N33*('Gantt Proyectos'!AM101-1))),0)*$L33*$Q33</f>
        <v>0</v>
      </c>
      <c r="AQ33" s="468">
        <f>IFERROR(IF('Gantt Proyectos'!AN101&lt;2,$N33*'Gantt Proyectos'!AN101,IF('Gantt Proyectos'!AN101=2,$N33*('Gantt Proyectos'!AN101-1))),0)*$L33*$Q33</f>
        <v>0</v>
      </c>
      <c r="AT33" s="110">
        <f ca="1">+OFFSET('EDP Proyectado'!AI31,0,-'Ingreso Proyectado'!$P31)</f>
        <v>1</v>
      </c>
      <c r="AU33" s="110" t="b">
        <f ca="1">+ISNUMBER(AT33)</f>
        <v>1</v>
      </c>
    </row>
    <row r="34" spans="3:47" ht="15" x14ac:dyDescent="0.2">
      <c r="C34" s="117">
        <f>+'Gantt Proyectos'!C102</f>
        <v>6</v>
      </c>
      <c r="D34" s="140" t="str">
        <f>+'Gantt Proyectos'!D102</f>
        <v>Estudio de Factibilidad Mina Romeral UG - Acceso Mina SLS</v>
      </c>
      <c r="E34" s="118" t="str">
        <f>+'Gantt Proyectos'!E102</f>
        <v>CMP</v>
      </c>
      <c r="F34" s="146" t="str">
        <f>+'Gantt Proyectos'!F102</f>
        <v>Chile</v>
      </c>
      <c r="G34" s="118" t="str">
        <f>+'Gantt Proyectos'!G102</f>
        <v>Chile</v>
      </c>
      <c r="H34" s="118">
        <f>+'Gantt Proyectos'!H102</f>
        <v>0</v>
      </c>
      <c r="I34" s="189">
        <v>1</v>
      </c>
      <c r="J34" s="189">
        <f t="shared" si="5"/>
        <v>0</v>
      </c>
      <c r="K34" s="118" t="str">
        <f>+'Gantt Proyectos'!I102</f>
        <v>Subterránea</v>
      </c>
      <c r="L34" s="120">
        <f>+'Gantt Proyectos'!J102</f>
        <v>1</v>
      </c>
      <c r="M34" s="118" t="str">
        <f>+'Gantt Proyectos'!K102</f>
        <v>RM</v>
      </c>
      <c r="N34" s="118">
        <f>+'Gantt Proyectos'!L102</f>
        <v>900007.88</v>
      </c>
      <c r="O34" s="118">
        <f>+'Gantt Proyectos'!M102</f>
        <v>530757</v>
      </c>
      <c r="P34" s="118">
        <f>+'Gantt Proyectos'!N102</f>
        <v>1</v>
      </c>
      <c r="Q34" s="472">
        <f>+Dashboard!I16</f>
        <v>1</v>
      </c>
      <c r="R34" s="119">
        <f>+'Gantt Proyectos'!O102</f>
        <v>45446</v>
      </c>
      <c r="S34" s="119">
        <f>+'Gantt Proyectos'!P102</f>
        <v>45754</v>
      </c>
      <c r="T34" s="118" t="str">
        <f>+'Gantt Proyectos'!R102</f>
        <v>No</v>
      </c>
      <c r="U34" s="118">
        <f>+'Gantt Proyectos'!S102</f>
        <v>0</v>
      </c>
      <c r="V34" s="156">
        <f>+'Gantt Proyectos'!T102</f>
        <v>45446</v>
      </c>
      <c r="W34" s="156">
        <f>+'Gantt Proyectos'!U102</f>
        <v>45754</v>
      </c>
      <c r="X34" s="201">
        <f t="shared" si="6"/>
        <v>11</v>
      </c>
      <c r="Y34" s="121">
        <f>+'Gantt Proyectos'!W102</f>
        <v>2.5503355704697985</v>
      </c>
      <c r="Z34" s="122">
        <f>+'Gantt Proyectos'!X102</f>
        <v>0.5</v>
      </c>
      <c r="AA34" s="122">
        <f>+'Gantt Proyectos'!Y102</f>
        <v>0.67</v>
      </c>
      <c r="AB34" s="122">
        <f>+'Gantt Proyectos'!Z102</f>
        <v>1</v>
      </c>
      <c r="AC34" s="122">
        <f>+'Gantt Proyectos'!AA102</f>
        <v>2.5</v>
      </c>
      <c r="AD34" s="122">
        <f>+'Gantt Proyectos'!AB102</f>
        <v>1</v>
      </c>
      <c r="AE34" s="152" t="str">
        <f>+'Gantt Proyectos'!AC102</f>
        <v>FS e Ing. Basica</v>
      </c>
      <c r="AF34" s="123" t="str">
        <f>+'Gantt Proyectos'!AD102</f>
        <v>Actual</v>
      </c>
      <c r="AG34" s="124" t="str">
        <f>+'Gantt Proyectos'!AE102</f>
        <v>6. Cierre: +90%</v>
      </c>
      <c r="AH34" s="172">
        <v>1</v>
      </c>
      <c r="AI34" s="466">
        <f>IFERROR(IF('Gantt Proyectos'!AF102&lt;2,$N34*'Gantt Proyectos'!AF102,IF('Gantt Proyectos'!AF102=2,$N34*('Gantt Proyectos'!AF102-1))),0)*$L34*$Q34</f>
        <v>81818.898181818178</v>
      </c>
      <c r="AJ34" s="467">
        <f>IFERROR(IF('Gantt Proyectos'!AG102&lt;2,$N34*'Gantt Proyectos'!AG102,IF('Gantt Proyectos'!AG102=2,$N34*('Gantt Proyectos'!AG102-1))),0)*$L34*$Q34</f>
        <v>0</v>
      </c>
      <c r="AK34" s="467">
        <f>IFERROR(IF('Gantt Proyectos'!AH102&lt;2,$N34*'Gantt Proyectos'!AH102,IF('Gantt Proyectos'!AH102=2,$N34*('Gantt Proyectos'!AH102-1))),0)*$L34*$Q34</f>
        <v>0</v>
      </c>
      <c r="AL34" s="467">
        <f>IFERROR(IF('Gantt Proyectos'!AI102&lt;2,$N34*'Gantt Proyectos'!AI102,IF('Gantt Proyectos'!AI102=2,$N34*('Gantt Proyectos'!AI102-1))),0)*$L34*$Q34</f>
        <v>0</v>
      </c>
      <c r="AM34" s="467">
        <f>IFERROR(IF('Gantt Proyectos'!AJ102&lt;2,$N34*'Gantt Proyectos'!AJ102,IF('Gantt Proyectos'!AJ102=2,$N34*('Gantt Proyectos'!AJ102-1))),0)*$L34*$Q34</f>
        <v>0</v>
      </c>
      <c r="AN34" s="467">
        <f>IFERROR(IF('Gantt Proyectos'!AK102&lt;2,$N34*'Gantt Proyectos'!AK102,IF('Gantt Proyectos'!AK102=2,$N34*('Gantt Proyectos'!AK102-1))),0)*$L34*$Q34</f>
        <v>0</v>
      </c>
      <c r="AO34" s="467">
        <f>IFERROR(IF('Gantt Proyectos'!AL102&lt;2,$N34*'Gantt Proyectos'!AL102,IF('Gantt Proyectos'!AL102=2,$N34*('Gantt Proyectos'!AL102-1))),0)*$L34*$Q34</f>
        <v>0</v>
      </c>
      <c r="AP34" s="467">
        <f>IFERROR(IF('Gantt Proyectos'!AM102&lt;2,$N34*'Gantt Proyectos'!AM102,IF('Gantt Proyectos'!AM102=2,$N34*('Gantt Proyectos'!AM102-1))),0)*$L34*$Q34</f>
        <v>0</v>
      </c>
      <c r="AQ34" s="468">
        <f>IFERROR(IF('Gantt Proyectos'!AN102&lt;2,$N34*'Gantt Proyectos'!AN102,IF('Gantt Proyectos'!AN102=2,$N34*('Gantt Proyectos'!AN102-1))),0)*$L34*$Q34</f>
        <v>0</v>
      </c>
    </row>
    <row r="35" spans="3:47" ht="15" x14ac:dyDescent="0.2">
      <c r="C35" s="117">
        <f>+'Gantt Proyectos'!C103</f>
        <v>7</v>
      </c>
      <c r="D35" s="140" t="str">
        <f>+'Gantt Proyectos'!D103</f>
        <v>Cobre Panamá: Evaluación estratégica del activo</v>
      </c>
      <c r="E35" s="118" t="str">
        <f>+'Gantt Proyectos'!E103</f>
        <v>Debevoise&amp;Plimpton</v>
      </c>
      <c r="F35" s="146" t="str">
        <f>+'Gantt Proyectos'!F103</f>
        <v>Chile</v>
      </c>
      <c r="G35" s="118" t="str">
        <f>+'Gantt Proyectos'!G103</f>
        <v>Chile</v>
      </c>
      <c r="H35" s="118" t="str">
        <f>+'Gantt Proyectos'!H103</f>
        <v>Perú</v>
      </c>
      <c r="I35" s="189">
        <v>0.5</v>
      </c>
      <c r="J35" s="189">
        <f t="shared" si="5"/>
        <v>0.5</v>
      </c>
      <c r="K35" s="118" t="str">
        <f>+'Gantt Proyectos'!I103</f>
        <v>Open Pit</v>
      </c>
      <c r="L35" s="120">
        <f>+'Gantt Proyectos'!J103</f>
        <v>1</v>
      </c>
      <c r="M35" s="118" t="str">
        <f>+'Gantt Proyectos'!K103</f>
        <v>GD</v>
      </c>
      <c r="N35" s="118">
        <f>+'Gantt Proyectos'!L103</f>
        <v>272200.59999999998</v>
      </c>
      <c r="O35" s="118">
        <f>+'Gantt Proyectos'!M103</f>
        <v>2841972.1688888888</v>
      </c>
      <c r="P35" s="118">
        <f>+'Gantt Proyectos'!N103</f>
        <v>2</v>
      </c>
      <c r="Q35" s="472">
        <f>+Dashboard!I17</f>
        <v>1</v>
      </c>
      <c r="R35" s="119">
        <f>+'Gantt Proyectos'!O103</f>
        <v>45663</v>
      </c>
      <c r="S35" s="119">
        <f>+'Gantt Proyectos'!P103</f>
        <v>45754</v>
      </c>
      <c r="T35" s="118" t="str">
        <f>+'Gantt Proyectos'!R103</f>
        <v>No</v>
      </c>
      <c r="U35" s="118">
        <f>+'Gantt Proyectos'!S103</f>
        <v>0</v>
      </c>
      <c r="V35" s="156">
        <f>+'Gantt Proyectos'!T103</f>
        <v>45663</v>
      </c>
      <c r="W35" s="156">
        <f>+'Gantt Proyectos'!U103</f>
        <v>45754</v>
      </c>
      <c r="X35" s="201">
        <f t="shared" si="6"/>
        <v>3</v>
      </c>
      <c r="Y35" s="121">
        <f>+'Gantt Proyectos'!W103</f>
        <v>0.72035794183445179</v>
      </c>
      <c r="Z35" s="122">
        <f>+'Gantt Proyectos'!X103</f>
        <v>0.25</v>
      </c>
      <c r="AA35" s="122">
        <f>+'Gantt Proyectos'!Y103</f>
        <v>0.33</v>
      </c>
      <c r="AB35" s="122">
        <f>+'Gantt Proyectos'!Z103</f>
        <v>0</v>
      </c>
      <c r="AC35" s="122">
        <f>+'Gantt Proyectos'!AA103</f>
        <v>0.5</v>
      </c>
      <c r="AD35" s="122">
        <f>+'Gantt Proyectos'!AB103</f>
        <v>0.5</v>
      </c>
      <c r="AE35" s="152" t="str">
        <f>+'Gantt Proyectos'!AC103</f>
        <v>Estudio Conceptual / LOM</v>
      </c>
      <c r="AF35" s="123" t="str">
        <f>+'Gantt Proyectos'!AD103</f>
        <v>Actual</v>
      </c>
      <c r="AG35" s="124" t="str">
        <f>+'Gantt Proyectos'!AE103</f>
        <v>6. Cierre: +90%</v>
      </c>
      <c r="AH35" s="172">
        <v>1</v>
      </c>
      <c r="AI35" s="466">
        <f>IFERROR(IF('Gantt Proyectos'!AF103&lt;2,$N35*'Gantt Proyectos'!AF103,IF('Gantt Proyectos'!AF103=2,$N35*('Gantt Proyectos'!AF103-1))),0)*$L35*$Q35</f>
        <v>90733.533333333326</v>
      </c>
      <c r="AJ35" s="467">
        <f>IFERROR(IF('Gantt Proyectos'!AG103&lt;2,$N35*'Gantt Proyectos'!AG103,IF('Gantt Proyectos'!AG103=2,$N35*('Gantt Proyectos'!AG103-1))),0)*$L35*$Q35</f>
        <v>0</v>
      </c>
      <c r="AK35" s="467">
        <f>IFERROR(IF('Gantt Proyectos'!AH103&lt;2,$N35*'Gantt Proyectos'!AH103,IF('Gantt Proyectos'!AH103=2,$N35*('Gantt Proyectos'!AH103-1))),0)*$L35*$Q35</f>
        <v>0</v>
      </c>
      <c r="AL35" s="467">
        <f>IFERROR(IF('Gantt Proyectos'!AI103&lt;2,$N35*'Gantt Proyectos'!AI103,IF('Gantt Proyectos'!AI103=2,$N35*('Gantt Proyectos'!AI103-1))),0)*$L35*$Q35</f>
        <v>0</v>
      </c>
      <c r="AM35" s="467">
        <f>IFERROR(IF('Gantt Proyectos'!AJ103&lt;2,$N35*'Gantt Proyectos'!AJ103,IF('Gantt Proyectos'!AJ103=2,$N35*('Gantt Proyectos'!AJ103-1))),0)*$L35*$Q35</f>
        <v>0</v>
      </c>
      <c r="AN35" s="467">
        <f>IFERROR(IF('Gantt Proyectos'!AK103&lt;2,$N35*'Gantt Proyectos'!AK103,IF('Gantt Proyectos'!AK103=2,$N35*('Gantt Proyectos'!AK103-1))),0)*$L35*$Q35</f>
        <v>0</v>
      </c>
      <c r="AO35" s="467">
        <f>IFERROR(IF('Gantt Proyectos'!AL103&lt;2,$N35*'Gantt Proyectos'!AL103,IF('Gantt Proyectos'!AL103=2,$N35*('Gantt Proyectos'!AL103-1))),0)*$L35*$Q35</f>
        <v>0</v>
      </c>
      <c r="AP35" s="467">
        <f>IFERROR(IF('Gantt Proyectos'!AM103&lt;2,$N35*'Gantt Proyectos'!AM103,IF('Gantt Proyectos'!AM103=2,$N35*('Gantt Proyectos'!AM103-1))),0)*$L35*$Q35</f>
        <v>0</v>
      </c>
      <c r="AQ35" s="468">
        <f>IFERROR(IF('Gantt Proyectos'!AN103&lt;2,$N35*'Gantt Proyectos'!AN103,IF('Gantt Proyectos'!AN103=2,$N35*('Gantt Proyectos'!AN103-1))),0)*$L35*$Q35</f>
        <v>0</v>
      </c>
    </row>
    <row r="36" spans="3:47" ht="15" x14ac:dyDescent="0.2">
      <c r="C36" s="117">
        <f>+'Gantt Proyectos'!C104</f>
        <v>8</v>
      </c>
      <c r="D36" s="118" t="str">
        <f>+'Gantt Proyectos'!D104</f>
        <v>Ferrobamba Scoping Study: Escenarios de sensibilidad</v>
      </c>
      <c r="E36" s="118" t="str">
        <f>+'Gantt Proyectos'!E104</f>
        <v>Las Bambas</v>
      </c>
      <c r="F36" s="146" t="str">
        <f>+'Gantt Proyectos'!F104</f>
        <v>Perú</v>
      </c>
      <c r="G36" s="118" t="str">
        <f>+'Gantt Proyectos'!G104</f>
        <v>Chile</v>
      </c>
      <c r="H36" s="118" t="str">
        <f>+'Gantt Proyectos'!H104</f>
        <v>Perú</v>
      </c>
      <c r="I36" s="189">
        <v>0.5</v>
      </c>
      <c r="J36" s="189">
        <f t="shared" si="5"/>
        <v>0.5</v>
      </c>
      <c r="K36" s="118" t="str">
        <f>+'Gantt Proyectos'!I104</f>
        <v>Subterránea</v>
      </c>
      <c r="L36" s="120">
        <f>+'Gantt Proyectos'!J104</f>
        <v>1</v>
      </c>
      <c r="M36" s="118" t="str">
        <f>+'Gantt Proyectos'!K104</f>
        <v>RM</v>
      </c>
      <c r="N36" s="118">
        <f>+'Gantt Proyectos'!L104</f>
        <v>87520</v>
      </c>
      <c r="O36" s="118">
        <f>+'Gantt Proyectos'!M104</f>
        <v>0</v>
      </c>
      <c r="P36" s="118">
        <f>+'Gantt Proyectos'!N104</f>
        <v>2</v>
      </c>
      <c r="Q36" s="472">
        <f>+Dashboard!I18</f>
        <v>1</v>
      </c>
      <c r="R36" s="119">
        <f>+'Gantt Proyectos'!O104</f>
        <v>45649</v>
      </c>
      <c r="S36" s="119">
        <f>+'Gantt Proyectos'!P104</f>
        <v>45815</v>
      </c>
      <c r="T36" s="118" t="str">
        <f>+'Gantt Proyectos'!R104</f>
        <v>No</v>
      </c>
      <c r="U36" s="118">
        <f>+'Gantt Proyectos'!S104</f>
        <v>0</v>
      </c>
      <c r="V36" s="156">
        <f>+'Gantt Proyectos'!T104</f>
        <v>45649</v>
      </c>
      <c r="W36" s="156">
        <f>+'Gantt Proyectos'!U104</f>
        <v>45815</v>
      </c>
      <c r="X36" s="201">
        <f t="shared" si="6"/>
        <v>6</v>
      </c>
      <c r="Y36" s="121">
        <f>+'Gantt Proyectos'!W104</f>
        <v>0.72035794183445179</v>
      </c>
      <c r="Z36" s="122">
        <f>+'Gantt Proyectos'!X104</f>
        <v>0.25</v>
      </c>
      <c r="AA36" s="122">
        <f>+'Gantt Proyectos'!Y104</f>
        <v>0.33</v>
      </c>
      <c r="AB36" s="122">
        <f>+'Gantt Proyectos'!Z104</f>
        <v>0</v>
      </c>
      <c r="AC36" s="122">
        <f>+'Gantt Proyectos'!AA104</f>
        <v>0.5</v>
      </c>
      <c r="AD36" s="122">
        <f>+'Gantt Proyectos'!AB104</f>
        <v>0.5</v>
      </c>
      <c r="AE36" s="152" t="str">
        <f>+'Gantt Proyectos'!AC104</f>
        <v>Estudio Conceptual / LOM</v>
      </c>
      <c r="AF36" s="123" t="str">
        <f>+'Gantt Proyectos'!AD104</f>
        <v>Actual</v>
      </c>
      <c r="AG36" s="124" t="str">
        <f>+'Gantt Proyectos'!AE104</f>
        <v>5. Avance: 75%</v>
      </c>
      <c r="AH36" s="172">
        <v>1</v>
      </c>
      <c r="AI36" s="466">
        <f>IFERROR(IF('Gantt Proyectos'!AF104&lt;2,$N36*'Gantt Proyectos'!AF104,IF('Gantt Proyectos'!AF104=2,$N36*('Gantt Proyectos'!AF104-1))),0)*$L36*$Q36</f>
        <v>14586.666666666666</v>
      </c>
      <c r="AJ36" s="467">
        <f>IFERROR(IF('Gantt Proyectos'!AG104&lt;2,$N36*'Gantt Proyectos'!AG104,IF('Gantt Proyectos'!AG104=2,$N36*('Gantt Proyectos'!AG104-1))),0)*$L36*$Q36</f>
        <v>14586.666666666666</v>
      </c>
      <c r="AK36" s="467">
        <f>IFERROR(IF('Gantt Proyectos'!AH104&lt;2,$N36*'Gantt Proyectos'!AH104,IF('Gantt Proyectos'!AH104=2,$N36*('Gantt Proyectos'!AH104-1))),0)*$L36*$Q36</f>
        <v>14586.666666666666</v>
      </c>
      <c r="AL36" s="467">
        <f>IFERROR(IF('Gantt Proyectos'!AI104&lt;2,$N36*'Gantt Proyectos'!AI104,IF('Gantt Proyectos'!AI104=2,$N36*('Gantt Proyectos'!AI104-1))),0)*$L36*$Q36</f>
        <v>0</v>
      </c>
      <c r="AM36" s="467">
        <f>IFERROR(IF('Gantt Proyectos'!AJ104&lt;2,$N36*'Gantt Proyectos'!AJ104,IF('Gantt Proyectos'!AJ104=2,$N36*('Gantt Proyectos'!AJ104-1))),0)*$L36*$Q36</f>
        <v>0</v>
      </c>
      <c r="AN36" s="467">
        <f>IFERROR(IF('Gantt Proyectos'!AK104&lt;2,$N36*'Gantt Proyectos'!AK104,IF('Gantt Proyectos'!AK104=2,$N36*('Gantt Proyectos'!AK104-1))),0)*$L36*$Q36</f>
        <v>0</v>
      </c>
      <c r="AO36" s="467">
        <f>IFERROR(IF('Gantt Proyectos'!AL104&lt;2,$N36*'Gantt Proyectos'!AL104,IF('Gantt Proyectos'!AL104=2,$N36*('Gantt Proyectos'!AL104-1))),0)*$L36*$Q36</f>
        <v>0</v>
      </c>
      <c r="AP36" s="467">
        <f>IFERROR(IF('Gantt Proyectos'!AM104&lt;2,$N36*'Gantt Proyectos'!AM104,IF('Gantt Proyectos'!AM104=2,$N36*('Gantt Proyectos'!AM104-1))),0)*$L36*$Q36</f>
        <v>0</v>
      </c>
      <c r="AQ36" s="468">
        <f>IFERROR(IF('Gantt Proyectos'!AN104&lt;2,$N36*'Gantt Proyectos'!AN104,IF('Gantt Proyectos'!AN104=2,$N36*('Gantt Proyectos'!AN104-1))),0)*$L36*$Q36</f>
        <v>0</v>
      </c>
    </row>
    <row r="37" spans="3:47" ht="15" x14ac:dyDescent="0.2">
      <c r="C37" s="117">
        <f>+'Gantt Proyectos'!C105</f>
        <v>9</v>
      </c>
      <c r="D37" s="118" t="str">
        <f>+'Gantt Proyectos'!D105</f>
        <v>Pre-PFS Twin Metals Birch Lake - Maturi</v>
      </c>
      <c r="E37" s="118" t="str">
        <f>+'Gantt Proyectos'!E105</f>
        <v>Twin Metals</v>
      </c>
      <c r="F37" s="146" t="str">
        <f>+'Gantt Proyectos'!F105</f>
        <v>USA</v>
      </c>
      <c r="G37" s="118" t="str">
        <f>+'Gantt Proyectos'!G105</f>
        <v>Perú</v>
      </c>
      <c r="H37" s="118">
        <f>+'Gantt Proyectos'!H105</f>
        <v>0</v>
      </c>
      <c r="I37" s="189">
        <v>1</v>
      </c>
      <c r="J37" s="189">
        <f t="shared" si="5"/>
        <v>0</v>
      </c>
      <c r="K37" s="118" t="str">
        <f>+'Gantt Proyectos'!I105</f>
        <v>Subterránea</v>
      </c>
      <c r="L37" s="120">
        <f>+'Gantt Proyectos'!J105</f>
        <v>1</v>
      </c>
      <c r="M37" s="118" t="str">
        <f>+'Gantt Proyectos'!K105</f>
        <v>JB</v>
      </c>
      <c r="N37" s="118">
        <f>+'Gantt Proyectos'!L105</f>
        <v>481541</v>
      </c>
      <c r="O37" s="118">
        <f>+'Gantt Proyectos'!M105</f>
        <v>1108886.5899999999</v>
      </c>
      <c r="P37" s="118">
        <f>+'Gantt Proyectos'!N105</f>
        <v>1</v>
      </c>
      <c r="Q37" s="472">
        <f>+Dashboard!I19</f>
        <v>1</v>
      </c>
      <c r="R37" s="119">
        <f>+'Gantt Proyectos'!O105</f>
        <v>45600</v>
      </c>
      <c r="S37" s="119">
        <f>+'Gantt Proyectos'!P105</f>
        <v>45771</v>
      </c>
      <c r="T37" s="118" t="str">
        <f>+'Gantt Proyectos'!R105</f>
        <v>No</v>
      </c>
      <c r="U37" s="118">
        <f>+'Gantt Proyectos'!S105</f>
        <v>0</v>
      </c>
      <c r="V37" s="156">
        <f>+'Gantt Proyectos'!T105</f>
        <v>45600</v>
      </c>
      <c r="W37" s="156">
        <f>+'Gantt Proyectos'!U105</f>
        <v>45771</v>
      </c>
      <c r="X37" s="201">
        <f t="shared" si="6"/>
        <v>6</v>
      </c>
      <c r="Y37" s="121">
        <f>+'Gantt Proyectos'!W105</f>
        <v>2.1588366890380311</v>
      </c>
      <c r="Z37" s="122">
        <f>+'Gantt Proyectos'!X105</f>
        <v>0.5</v>
      </c>
      <c r="AA37" s="122">
        <f>+'Gantt Proyectos'!Y105</f>
        <v>0.5</v>
      </c>
      <c r="AB37" s="122">
        <f>+'Gantt Proyectos'!Z105</f>
        <v>0.75</v>
      </c>
      <c r="AC37" s="122">
        <f>+'Gantt Proyectos'!AA105</f>
        <v>2</v>
      </c>
      <c r="AD37" s="122">
        <f>+'Gantt Proyectos'!AB105</f>
        <v>1</v>
      </c>
      <c r="AE37" s="152" t="str">
        <f>+'Gantt Proyectos'!AC105</f>
        <v>PFS</v>
      </c>
      <c r="AF37" s="123" t="str">
        <f>+'Gantt Proyectos'!AD105</f>
        <v>Actual</v>
      </c>
      <c r="AG37" s="124" t="str">
        <f>+'Gantt Proyectos'!AE105</f>
        <v>5. Avance: 75%</v>
      </c>
      <c r="AH37" s="172">
        <v>1</v>
      </c>
      <c r="AI37" s="466">
        <f>IFERROR(IF('Gantt Proyectos'!AF105&lt;2,$N37*'Gantt Proyectos'!AF105,IF('Gantt Proyectos'!AF105=2,$N37*('Gantt Proyectos'!AF105-1))),0)*$L37*$Q37</f>
        <v>80256.833333333328</v>
      </c>
      <c r="AJ37" s="467">
        <f>IFERROR(IF('Gantt Proyectos'!AG105&lt;2,$N37*'Gantt Proyectos'!AG105,IF('Gantt Proyectos'!AG105=2,$N37*('Gantt Proyectos'!AG105-1))),0)*$L37*$Q37</f>
        <v>0</v>
      </c>
      <c r="AK37" s="467">
        <f>IFERROR(IF('Gantt Proyectos'!AH105&lt;2,$N37*'Gantt Proyectos'!AH105,IF('Gantt Proyectos'!AH105=2,$N37*('Gantt Proyectos'!AH105-1))),0)*$L37*$Q37</f>
        <v>0</v>
      </c>
      <c r="AL37" s="467">
        <f>IFERROR(IF('Gantt Proyectos'!AI105&lt;2,$N37*'Gantt Proyectos'!AI105,IF('Gantt Proyectos'!AI105=2,$N37*('Gantt Proyectos'!AI105-1))),0)*$L37*$Q37</f>
        <v>0</v>
      </c>
      <c r="AM37" s="467">
        <f>IFERROR(IF('Gantt Proyectos'!AJ105&lt;2,$N37*'Gantt Proyectos'!AJ105,IF('Gantt Proyectos'!AJ105=2,$N37*('Gantt Proyectos'!AJ105-1))),0)*$L37*$Q37</f>
        <v>0</v>
      </c>
      <c r="AN37" s="467">
        <f>IFERROR(IF('Gantt Proyectos'!AK105&lt;2,$N37*'Gantt Proyectos'!AK105,IF('Gantt Proyectos'!AK105=2,$N37*('Gantt Proyectos'!AK105-1))),0)*$L37*$Q37</f>
        <v>0</v>
      </c>
      <c r="AO37" s="467">
        <f>IFERROR(IF('Gantt Proyectos'!AL105&lt;2,$N37*'Gantt Proyectos'!AL105,IF('Gantt Proyectos'!AL105=2,$N37*('Gantt Proyectos'!AL105-1))),0)*$L37*$Q37</f>
        <v>0</v>
      </c>
      <c r="AP37" s="467">
        <f>IFERROR(IF('Gantt Proyectos'!AM105&lt;2,$N37*'Gantt Proyectos'!AM105,IF('Gantt Proyectos'!AM105=2,$N37*('Gantt Proyectos'!AM105-1))),0)*$L37*$Q37</f>
        <v>0</v>
      </c>
      <c r="AQ37" s="468">
        <f>IFERROR(IF('Gantt Proyectos'!AN105&lt;2,$N37*'Gantt Proyectos'!AN105,IF('Gantt Proyectos'!AN105=2,$N37*('Gantt Proyectos'!AN105-1))),0)*$L37*$Q37</f>
        <v>0</v>
      </c>
    </row>
    <row r="38" spans="3:47" ht="15" x14ac:dyDescent="0.2">
      <c r="C38" s="117">
        <f>+'Gantt Proyectos'!C106</f>
        <v>10</v>
      </c>
      <c r="D38" s="118" t="str">
        <f>+'Gantt Proyectos'!D106</f>
        <v>Análisis Conceptual - Aura UG</v>
      </c>
      <c r="E38" s="118" t="str">
        <f>+'Gantt Proyectos'!E106</f>
        <v>Aura Minerals</v>
      </c>
      <c r="F38" s="146" t="str">
        <f>+'Gantt Proyectos'!F106</f>
        <v>Brasil</v>
      </c>
      <c r="G38" s="118" t="str">
        <f>+'Gantt Proyectos'!G106</f>
        <v>Chile</v>
      </c>
      <c r="H38" s="118">
        <f>+'Gantt Proyectos'!H106</f>
        <v>0</v>
      </c>
      <c r="I38" s="189">
        <v>1</v>
      </c>
      <c r="J38" s="189">
        <f t="shared" si="5"/>
        <v>0</v>
      </c>
      <c r="K38" s="118" t="str">
        <f>+'Gantt Proyectos'!I106</f>
        <v>Subterránea</v>
      </c>
      <c r="L38" s="120">
        <f>+'Gantt Proyectos'!J106</f>
        <v>1</v>
      </c>
      <c r="M38" s="118" t="str">
        <f>+'Gantt Proyectos'!K106</f>
        <v>RMI</v>
      </c>
      <c r="N38" s="118">
        <f>+'Gantt Proyectos'!L106</f>
        <v>310000</v>
      </c>
      <c r="O38" s="118">
        <f>+'Gantt Proyectos'!M106</f>
        <v>86592</v>
      </c>
      <c r="P38" s="118">
        <f>+'Gantt Proyectos'!N106</f>
        <v>1</v>
      </c>
      <c r="Q38" s="472">
        <f>+Dashboard!I20</f>
        <v>1</v>
      </c>
      <c r="R38" s="119">
        <f>+'Gantt Proyectos'!O106</f>
        <v>45642</v>
      </c>
      <c r="S38" s="119">
        <f>+'Gantt Proyectos'!P106</f>
        <v>45824</v>
      </c>
      <c r="T38" s="118" t="str">
        <f>+'Gantt Proyectos'!R106</f>
        <v>No</v>
      </c>
      <c r="U38" s="118">
        <f>+'Gantt Proyectos'!S106</f>
        <v>0</v>
      </c>
      <c r="V38" s="156">
        <f>+'Gantt Proyectos'!T106</f>
        <v>45642</v>
      </c>
      <c r="W38" s="156">
        <f>+'Gantt Proyectos'!U106</f>
        <v>45824</v>
      </c>
      <c r="X38" s="201">
        <f t="shared" si="6"/>
        <v>6</v>
      </c>
      <c r="Y38" s="121">
        <f>+'Gantt Proyectos'!W106</f>
        <v>1.4474272930648768</v>
      </c>
      <c r="Z38" s="122">
        <f>+'Gantt Proyectos'!X106</f>
        <v>0.33</v>
      </c>
      <c r="AA38" s="122">
        <f>+'Gantt Proyectos'!Y106</f>
        <v>0.5</v>
      </c>
      <c r="AB38" s="122">
        <f>+'Gantt Proyectos'!Z106</f>
        <v>0.33</v>
      </c>
      <c r="AC38" s="122">
        <f>+'Gantt Proyectos'!AA106</f>
        <v>1</v>
      </c>
      <c r="AD38" s="122">
        <f>+'Gantt Proyectos'!AB106</f>
        <v>1</v>
      </c>
      <c r="AE38" s="152" t="str">
        <f>+'Gantt Proyectos'!AC106</f>
        <v>Scoping</v>
      </c>
      <c r="AF38" s="123" t="str">
        <f>+'Gantt Proyectos'!AD106</f>
        <v>Actual</v>
      </c>
      <c r="AG38" s="124" t="str">
        <f>+'Gantt Proyectos'!AE106</f>
        <v>5. Avance: 75%</v>
      </c>
      <c r="AH38" s="172">
        <v>1</v>
      </c>
      <c r="AI38" s="466">
        <f>IFERROR(IF('Gantt Proyectos'!AF106&lt;2,$N38*'Gantt Proyectos'!AF106,IF('Gantt Proyectos'!AF106=2,$N38*('Gantt Proyectos'!AF106-1))),0)*$L38*$Q38</f>
        <v>51666.666666666664</v>
      </c>
      <c r="AJ38" s="467">
        <f>IFERROR(IF('Gantt Proyectos'!AG106&lt;2,$N38*'Gantt Proyectos'!AG106,IF('Gantt Proyectos'!AG106=2,$N38*('Gantt Proyectos'!AG106-1))),0)*$L38*$Q38</f>
        <v>51666.666666666664</v>
      </c>
      <c r="AK38" s="467">
        <f>IFERROR(IF('Gantt Proyectos'!AH106&lt;2,$N38*'Gantt Proyectos'!AH106,IF('Gantt Proyectos'!AH106=2,$N38*('Gantt Proyectos'!AH106-1))),0)*$L38*$Q38</f>
        <v>51666.666666666664</v>
      </c>
      <c r="AL38" s="467">
        <f>IFERROR(IF('Gantt Proyectos'!AI106&lt;2,$N38*'Gantt Proyectos'!AI106,IF('Gantt Proyectos'!AI106=2,$N38*('Gantt Proyectos'!AI106-1))),0)*$L38*$Q38</f>
        <v>0</v>
      </c>
      <c r="AM38" s="467">
        <f>IFERROR(IF('Gantt Proyectos'!AJ106&lt;2,$N38*'Gantt Proyectos'!AJ106,IF('Gantt Proyectos'!AJ106=2,$N38*('Gantt Proyectos'!AJ106-1))),0)*$L38*$Q38</f>
        <v>0</v>
      </c>
      <c r="AN38" s="467">
        <f>IFERROR(IF('Gantt Proyectos'!AK106&lt;2,$N38*'Gantt Proyectos'!AK106,IF('Gantt Proyectos'!AK106=2,$N38*('Gantt Proyectos'!AK106-1))),0)*$L38*$Q38</f>
        <v>0</v>
      </c>
      <c r="AO38" s="467">
        <f>IFERROR(IF('Gantt Proyectos'!AL106&lt;2,$N38*'Gantt Proyectos'!AL106,IF('Gantt Proyectos'!AL106=2,$N38*('Gantt Proyectos'!AL106-1))),0)*$L38*$Q38</f>
        <v>0</v>
      </c>
      <c r="AP38" s="467">
        <f>IFERROR(IF('Gantt Proyectos'!AM106&lt;2,$N38*'Gantt Proyectos'!AM106,IF('Gantt Proyectos'!AM106=2,$N38*('Gantt Proyectos'!AM106-1))),0)*$L38*$Q38</f>
        <v>0</v>
      </c>
      <c r="AQ38" s="468">
        <f>IFERROR(IF('Gantt Proyectos'!AN106&lt;2,$N38*'Gantt Proyectos'!AN106,IF('Gantt Proyectos'!AN106=2,$N38*('Gantt Proyectos'!AN106-1))),0)*$L38*$Q38</f>
        <v>0</v>
      </c>
    </row>
    <row r="39" spans="3:47" ht="15" x14ac:dyDescent="0.2">
      <c r="C39" s="117">
        <f>+'Gantt Proyectos'!C107</f>
        <v>11</v>
      </c>
      <c r="D39" s="118" t="str">
        <f>+'Gantt Proyectos'!D107</f>
        <v>Los Calatos - Extensión (v3)</v>
      </c>
      <c r="E39" s="118" t="str">
        <f>+'Gantt Proyectos'!E107</f>
        <v>CD Capital</v>
      </c>
      <c r="F39" s="146" t="str">
        <f>+'Gantt Proyectos'!F107</f>
        <v>Perú</v>
      </c>
      <c r="G39" s="118" t="str">
        <f>+'Gantt Proyectos'!G107</f>
        <v>Chile</v>
      </c>
      <c r="H39" s="118" t="str">
        <f>+'Gantt Proyectos'!H107</f>
        <v>Perú</v>
      </c>
      <c r="I39" s="189">
        <v>0.5</v>
      </c>
      <c r="J39" s="189">
        <f t="shared" si="5"/>
        <v>0.5</v>
      </c>
      <c r="K39" s="118" t="str">
        <f>+'Gantt Proyectos'!I107</f>
        <v>Subterránea</v>
      </c>
      <c r="L39" s="120">
        <f>+'Gantt Proyectos'!J107</f>
        <v>1</v>
      </c>
      <c r="M39" s="118" t="str">
        <f>+'Gantt Proyectos'!K107</f>
        <v>AF</v>
      </c>
      <c r="N39" s="118">
        <f>+'Gantt Proyectos'!L107</f>
        <v>295769</v>
      </c>
      <c r="O39" s="118">
        <f>+'Gantt Proyectos'!M107</f>
        <v>11920</v>
      </c>
      <c r="P39" s="118">
        <f>+'Gantt Proyectos'!N107</f>
        <v>1</v>
      </c>
      <c r="Q39" s="472">
        <f>+Dashboard!I21</f>
        <v>1</v>
      </c>
      <c r="R39" s="119">
        <f>+'Gantt Proyectos'!O107</f>
        <v>45670</v>
      </c>
      <c r="S39" s="119">
        <f>+'Gantt Proyectos'!P107</f>
        <v>45866</v>
      </c>
      <c r="T39" s="118" t="str">
        <f>+'Gantt Proyectos'!R107</f>
        <v>No</v>
      </c>
      <c r="U39" s="118">
        <f>+'Gantt Proyectos'!S107</f>
        <v>0</v>
      </c>
      <c r="V39" s="156">
        <f>+'Gantt Proyectos'!T107</f>
        <v>45670</v>
      </c>
      <c r="W39" s="156">
        <f>+'Gantt Proyectos'!U107</f>
        <v>45866</v>
      </c>
      <c r="X39" s="201">
        <f t="shared" si="6"/>
        <v>7</v>
      </c>
      <c r="Y39" s="121">
        <f>+'Gantt Proyectos'!W107</f>
        <v>2.1588366890380311</v>
      </c>
      <c r="Z39" s="122">
        <f>+'Gantt Proyectos'!X107</f>
        <v>0.5</v>
      </c>
      <c r="AA39" s="122">
        <f>+'Gantt Proyectos'!Y107</f>
        <v>0.5</v>
      </c>
      <c r="AB39" s="122">
        <f>+'Gantt Proyectos'!Z107</f>
        <v>0.75</v>
      </c>
      <c r="AC39" s="122">
        <f>+'Gantt Proyectos'!AA107</f>
        <v>2</v>
      </c>
      <c r="AD39" s="122">
        <f>+'Gantt Proyectos'!AB107</f>
        <v>1</v>
      </c>
      <c r="AE39" s="152" t="str">
        <f>+'Gantt Proyectos'!AC107</f>
        <v>PFS</v>
      </c>
      <c r="AF39" s="123" t="str">
        <f>+'Gantt Proyectos'!AD107</f>
        <v>Actual</v>
      </c>
      <c r="AG39" s="124" t="str">
        <f>+'Gantt Proyectos'!AE107</f>
        <v>4. Avance: 50%</v>
      </c>
      <c r="AH39" s="172">
        <v>1</v>
      </c>
      <c r="AI39" s="466">
        <f>IFERROR(IF('Gantt Proyectos'!AF107&lt;2,$N39*'Gantt Proyectos'!AF107,IF('Gantt Proyectos'!AF107=2,$N39*('Gantt Proyectos'!AF107-1))),0)*$L39*$Q39</f>
        <v>42252.714285714283</v>
      </c>
      <c r="AJ39" s="467">
        <f>IFERROR(IF('Gantt Proyectos'!AG107&lt;2,$N39*'Gantt Proyectos'!AG107,IF('Gantt Proyectos'!AG107=2,$N39*('Gantt Proyectos'!AG107-1))),0)*$L39*$Q39</f>
        <v>42252.714285714283</v>
      </c>
      <c r="AK39" s="467">
        <f>IFERROR(IF('Gantt Proyectos'!AH107&lt;2,$N39*'Gantt Proyectos'!AH107,IF('Gantt Proyectos'!AH107=2,$N39*('Gantt Proyectos'!AH107-1))),0)*$L39*$Q39</f>
        <v>42252.714285714283</v>
      </c>
      <c r="AL39" s="467">
        <f>IFERROR(IF('Gantt Proyectos'!AI107&lt;2,$N39*'Gantt Proyectos'!AI107,IF('Gantt Proyectos'!AI107=2,$N39*('Gantt Proyectos'!AI107-1))),0)*$L39*$Q39</f>
        <v>42252.714285714283</v>
      </c>
      <c r="AM39" s="467">
        <f>IFERROR(IF('Gantt Proyectos'!AJ107&lt;2,$N39*'Gantt Proyectos'!AJ107,IF('Gantt Proyectos'!AJ107=2,$N39*('Gantt Proyectos'!AJ107-1))),0)*$L39*$Q39</f>
        <v>0</v>
      </c>
      <c r="AN39" s="467">
        <f>IFERROR(IF('Gantt Proyectos'!AK107&lt;2,$N39*'Gantt Proyectos'!AK107,IF('Gantt Proyectos'!AK107=2,$N39*('Gantt Proyectos'!AK107-1))),0)*$L39*$Q39</f>
        <v>0</v>
      </c>
      <c r="AO39" s="467">
        <f>IFERROR(IF('Gantt Proyectos'!AL107&lt;2,$N39*'Gantt Proyectos'!AL107,IF('Gantt Proyectos'!AL107=2,$N39*('Gantt Proyectos'!AL107-1))),0)*$L39*$Q39</f>
        <v>0</v>
      </c>
      <c r="AP39" s="467">
        <f>IFERROR(IF('Gantt Proyectos'!AM107&lt;2,$N39*'Gantt Proyectos'!AM107,IF('Gantt Proyectos'!AM107=2,$N39*('Gantt Proyectos'!AM107-1))),0)*$L39*$Q39</f>
        <v>0</v>
      </c>
      <c r="AQ39" s="468">
        <f>IFERROR(IF('Gantt Proyectos'!AN107&lt;2,$N39*'Gantt Proyectos'!AN107,IF('Gantt Proyectos'!AN107=2,$N39*('Gantt Proyectos'!AN107-1))),0)*$L39*$Q39</f>
        <v>0</v>
      </c>
    </row>
    <row r="40" spans="3:47" ht="15" x14ac:dyDescent="0.2">
      <c r="C40" s="117">
        <f>+'Gantt Proyectos'!C108</f>
        <v>12</v>
      </c>
      <c r="D40" s="118" t="str">
        <f>+'Gantt Proyectos'!D108</f>
        <v>Analisis Innovación Tecnologica Distrito Centinela</v>
      </c>
      <c r="E40" s="118" t="str">
        <f>+'Gantt Proyectos'!E108</f>
        <v>AMSA</v>
      </c>
      <c r="F40" s="146" t="str">
        <f>+'Gantt Proyectos'!F108</f>
        <v>Chile</v>
      </c>
      <c r="G40" s="118" t="str">
        <f>+'Gantt Proyectos'!G108</f>
        <v>Chile</v>
      </c>
      <c r="H40" s="118">
        <f>+'Gantt Proyectos'!H108</f>
        <v>0</v>
      </c>
      <c r="I40" s="189">
        <v>1</v>
      </c>
      <c r="J40" s="189">
        <f t="shared" si="5"/>
        <v>0</v>
      </c>
      <c r="K40" s="118" t="str">
        <f>+'Gantt Proyectos'!I108</f>
        <v>Open Pit</v>
      </c>
      <c r="L40" s="120">
        <f>+'Gantt Proyectos'!J108</f>
        <v>1</v>
      </c>
      <c r="M40" s="118" t="str">
        <f>+'Gantt Proyectos'!K108</f>
        <v>CAR</v>
      </c>
      <c r="N40" s="118">
        <f>+'Gantt Proyectos'!L108</f>
        <v>134445.66999999998</v>
      </c>
      <c r="O40" s="118">
        <f>+'Gantt Proyectos'!M108</f>
        <v>0</v>
      </c>
      <c r="P40" s="118">
        <f>+'Gantt Proyectos'!N108</f>
        <v>1</v>
      </c>
      <c r="Q40" s="472">
        <f>+Dashboard!I22</f>
        <v>1</v>
      </c>
      <c r="R40" s="119">
        <f>+'Gantt Proyectos'!O108</f>
        <v>45649</v>
      </c>
      <c r="S40" s="119">
        <f>+'Gantt Proyectos'!P108</f>
        <v>46020</v>
      </c>
      <c r="T40" s="118" t="str">
        <f>+'Gantt Proyectos'!R108</f>
        <v>No</v>
      </c>
      <c r="U40" s="118">
        <f>+'Gantt Proyectos'!S108</f>
        <v>0</v>
      </c>
      <c r="V40" s="156">
        <f>+'Gantt Proyectos'!T108</f>
        <v>45649</v>
      </c>
      <c r="W40" s="156">
        <f>+'Gantt Proyectos'!U108</f>
        <v>46020</v>
      </c>
      <c r="X40" s="201">
        <f t="shared" si="6"/>
        <v>13</v>
      </c>
      <c r="Y40" s="121">
        <f>+'Gantt Proyectos'!W108</f>
        <v>1.4474272930648768</v>
      </c>
      <c r="Z40" s="122">
        <f>+'Gantt Proyectos'!X108</f>
        <v>0.33</v>
      </c>
      <c r="AA40" s="122">
        <f>+'Gantt Proyectos'!Y108</f>
        <v>0.5</v>
      </c>
      <c r="AB40" s="122">
        <f>+'Gantt Proyectos'!Z108</f>
        <v>0.33</v>
      </c>
      <c r="AC40" s="122">
        <f>+'Gantt Proyectos'!AA108</f>
        <v>1</v>
      </c>
      <c r="AD40" s="122">
        <f>+'Gantt Proyectos'!AB108</f>
        <v>1</v>
      </c>
      <c r="AE40" s="152" t="str">
        <f>+'Gantt Proyectos'!AC108</f>
        <v>Scoping</v>
      </c>
      <c r="AF40" s="123" t="str">
        <f>+'Gantt Proyectos'!AD108</f>
        <v>Actual</v>
      </c>
      <c r="AG40" s="124" t="str">
        <f>+'Gantt Proyectos'!AE108</f>
        <v>4. Avance: 50%</v>
      </c>
      <c r="AH40" s="172">
        <v>1</v>
      </c>
      <c r="AI40" s="466">
        <f>IFERROR(IF('Gantt Proyectos'!AF108&lt;2,$N40*'Gantt Proyectos'!AF108,IF('Gantt Proyectos'!AF108=2,$N40*('Gantt Proyectos'!AF108-1))),0)*$L40*$Q40</f>
        <v>10341.974615384615</v>
      </c>
      <c r="AJ40" s="467">
        <f>IFERROR(IF('Gantt Proyectos'!AG108&lt;2,$N40*'Gantt Proyectos'!AG108,IF('Gantt Proyectos'!AG108=2,$N40*('Gantt Proyectos'!AG108-1))),0)*$L40*$Q40</f>
        <v>10341.974615384615</v>
      </c>
      <c r="AK40" s="467">
        <f>IFERROR(IF('Gantt Proyectos'!AH108&lt;2,$N40*'Gantt Proyectos'!AH108,IF('Gantt Proyectos'!AH108=2,$N40*('Gantt Proyectos'!AH108-1))),0)*$L40*$Q40</f>
        <v>10341.974615384615</v>
      </c>
      <c r="AL40" s="467">
        <f>IFERROR(IF('Gantt Proyectos'!AI108&lt;2,$N40*'Gantt Proyectos'!AI108,IF('Gantt Proyectos'!AI108=2,$N40*('Gantt Proyectos'!AI108-1))),0)*$L40*$Q40</f>
        <v>10341.974615384615</v>
      </c>
      <c r="AM40" s="467">
        <f>IFERROR(IF('Gantt Proyectos'!AJ108&lt;2,$N40*'Gantt Proyectos'!AJ108,IF('Gantt Proyectos'!AJ108=2,$N40*('Gantt Proyectos'!AJ108-1))),0)*$L40*$Q40</f>
        <v>10341.974615384615</v>
      </c>
      <c r="AN40" s="467">
        <f>IFERROR(IF('Gantt Proyectos'!AK108&lt;2,$N40*'Gantt Proyectos'!AK108,IF('Gantt Proyectos'!AK108=2,$N40*('Gantt Proyectos'!AK108-1))),0)*$L40*$Q40</f>
        <v>10341.974615384615</v>
      </c>
      <c r="AO40" s="467">
        <f>IFERROR(IF('Gantt Proyectos'!AL108&lt;2,$N40*'Gantt Proyectos'!AL108,IF('Gantt Proyectos'!AL108=2,$N40*('Gantt Proyectos'!AL108-1))),0)*$L40*$Q40</f>
        <v>10341.974615384615</v>
      </c>
      <c r="AP40" s="467">
        <f>IFERROR(IF('Gantt Proyectos'!AM108&lt;2,$N40*'Gantt Proyectos'!AM108,IF('Gantt Proyectos'!AM108=2,$N40*('Gantt Proyectos'!AM108-1))),0)*$L40*$Q40</f>
        <v>10341.974615384615</v>
      </c>
      <c r="AQ40" s="468">
        <f>IFERROR(IF('Gantt Proyectos'!AN108&lt;2,$N40*'Gantt Proyectos'!AN108,IF('Gantt Proyectos'!AN108=2,$N40*('Gantt Proyectos'!AN108-1))),0)*$L40*$Q40</f>
        <v>10341.974615384615</v>
      </c>
    </row>
    <row r="41" spans="3:47" ht="15" x14ac:dyDescent="0.2">
      <c r="C41" s="117">
        <f>+'Gantt Proyectos'!C109</f>
        <v>13</v>
      </c>
      <c r="D41" s="118" t="str">
        <f>+'Gantt Proyectos'!D109</f>
        <v>Cerro Colorado: Diseño Cierre de Botaderos</v>
      </c>
      <c r="E41" s="118" t="str">
        <f>+'Gantt Proyectos'!E109</f>
        <v>BHP</v>
      </c>
      <c r="F41" s="146" t="str">
        <f>+'Gantt Proyectos'!F109</f>
        <v>Chile</v>
      </c>
      <c r="G41" s="118" t="str">
        <f>+'Gantt Proyectos'!G109</f>
        <v>Chile</v>
      </c>
      <c r="H41" s="118">
        <f>+'Gantt Proyectos'!H109</f>
        <v>0</v>
      </c>
      <c r="I41" s="189">
        <v>1</v>
      </c>
      <c r="J41" s="189">
        <f t="shared" si="5"/>
        <v>0</v>
      </c>
      <c r="K41" s="118" t="str">
        <f>+'Gantt Proyectos'!I109</f>
        <v>Open Pit</v>
      </c>
      <c r="L41" s="120">
        <f>+'Gantt Proyectos'!J109</f>
        <v>1</v>
      </c>
      <c r="M41" s="118" t="str">
        <f>+'Gantt Proyectos'!K109</f>
        <v>RM</v>
      </c>
      <c r="N41" s="118">
        <f>+'Gantt Proyectos'!L109</f>
        <v>904853</v>
      </c>
      <c r="O41" s="118">
        <f>+'Gantt Proyectos'!M109</f>
        <v>469229.57888888888</v>
      </c>
      <c r="P41" s="118">
        <f>+'Gantt Proyectos'!N109</f>
        <v>1</v>
      </c>
      <c r="Q41" s="472">
        <f>+Dashboard!I23</f>
        <v>1</v>
      </c>
      <c r="R41" s="119">
        <f>+'Gantt Proyectos'!O109</f>
        <v>45649</v>
      </c>
      <c r="S41" s="119">
        <f>+'Gantt Proyectos'!P109</f>
        <v>45831</v>
      </c>
      <c r="T41" s="118" t="str">
        <f>+'Gantt Proyectos'!R109</f>
        <v>No</v>
      </c>
      <c r="U41" s="118">
        <f>+'Gantt Proyectos'!S109</f>
        <v>0</v>
      </c>
      <c r="V41" s="156">
        <f>+'Gantt Proyectos'!T109</f>
        <v>45649</v>
      </c>
      <c r="W41" s="156">
        <f>+'Gantt Proyectos'!U109</f>
        <v>45831</v>
      </c>
      <c r="X41" s="201">
        <f t="shared" si="6"/>
        <v>6</v>
      </c>
      <c r="Y41" s="121">
        <f>+'Gantt Proyectos'!W109</f>
        <v>2.5503355704697985</v>
      </c>
      <c r="Z41" s="122">
        <f>+'Gantt Proyectos'!X109</f>
        <v>0.5</v>
      </c>
      <c r="AA41" s="122">
        <f>+'Gantt Proyectos'!Y109</f>
        <v>0.67</v>
      </c>
      <c r="AB41" s="122">
        <f>+'Gantt Proyectos'!Z109</f>
        <v>1</v>
      </c>
      <c r="AC41" s="122">
        <f>+'Gantt Proyectos'!AA109</f>
        <v>2.5</v>
      </c>
      <c r="AD41" s="122">
        <f>+'Gantt Proyectos'!AB109</f>
        <v>1</v>
      </c>
      <c r="AE41" s="152" t="str">
        <f>+'Gantt Proyectos'!AC109</f>
        <v>FS e Ing. Basica</v>
      </c>
      <c r="AF41" s="123" t="str">
        <f>+'Gantt Proyectos'!AD109</f>
        <v>Actual</v>
      </c>
      <c r="AG41" s="124" t="str">
        <f>+'Gantt Proyectos'!AE109</f>
        <v>4. Avance: 50%</v>
      </c>
      <c r="AH41" s="172">
        <v>1</v>
      </c>
      <c r="AI41" s="466">
        <f>IFERROR(IF('Gantt Proyectos'!AF109&lt;2,$N41*'Gantt Proyectos'!AF109,IF('Gantt Proyectos'!AF109=2,$N41*('Gantt Proyectos'!AF109-1))),0)*$L41*$Q41</f>
        <v>150808.83333333331</v>
      </c>
      <c r="AJ41" s="467">
        <f>IFERROR(IF('Gantt Proyectos'!AG109&lt;2,$N41*'Gantt Proyectos'!AG109,IF('Gantt Proyectos'!AG109=2,$N41*('Gantt Proyectos'!AG109-1))),0)*$L41*$Q41</f>
        <v>150808.83333333331</v>
      </c>
      <c r="AK41" s="467">
        <f>IFERROR(IF('Gantt Proyectos'!AH109&lt;2,$N41*'Gantt Proyectos'!AH109,IF('Gantt Proyectos'!AH109=2,$N41*('Gantt Proyectos'!AH109-1))),0)*$L41*$Q41</f>
        <v>150808.83333333331</v>
      </c>
      <c r="AL41" s="467">
        <f>IFERROR(IF('Gantt Proyectos'!AI109&lt;2,$N41*'Gantt Proyectos'!AI109,IF('Gantt Proyectos'!AI109=2,$N41*('Gantt Proyectos'!AI109-1))),0)*$L41*$Q41</f>
        <v>0</v>
      </c>
      <c r="AM41" s="467">
        <f>IFERROR(IF('Gantt Proyectos'!AJ109&lt;2,$N41*'Gantt Proyectos'!AJ109,IF('Gantt Proyectos'!AJ109=2,$N41*('Gantt Proyectos'!AJ109-1))),0)*$L41*$Q41</f>
        <v>0</v>
      </c>
      <c r="AN41" s="467">
        <f>IFERROR(IF('Gantt Proyectos'!AK109&lt;2,$N41*'Gantt Proyectos'!AK109,IF('Gantt Proyectos'!AK109=2,$N41*('Gantt Proyectos'!AK109-1))),0)*$L41*$Q41</f>
        <v>0</v>
      </c>
      <c r="AO41" s="467">
        <f>IFERROR(IF('Gantt Proyectos'!AL109&lt;2,$N41*'Gantt Proyectos'!AL109,IF('Gantt Proyectos'!AL109=2,$N41*('Gantt Proyectos'!AL109-1))),0)*$L41*$Q41</f>
        <v>0</v>
      </c>
      <c r="AP41" s="467">
        <f>IFERROR(IF('Gantt Proyectos'!AM109&lt;2,$N41*'Gantt Proyectos'!AM109,IF('Gantt Proyectos'!AM109=2,$N41*('Gantt Proyectos'!AM109-1))),0)*$L41*$Q41</f>
        <v>0</v>
      </c>
      <c r="AQ41" s="468">
        <f>IFERROR(IF('Gantt Proyectos'!AN109&lt;2,$N41*'Gantt Proyectos'!AN109,IF('Gantt Proyectos'!AN109=2,$N41*('Gantt Proyectos'!AN109-1))),0)*$L41*$Q41</f>
        <v>0</v>
      </c>
    </row>
    <row r="42" spans="3:47" ht="15" x14ac:dyDescent="0.2">
      <c r="C42" s="117">
        <f>+'Gantt Proyectos'!C110</f>
        <v>14</v>
      </c>
      <c r="D42" s="118" t="str">
        <f>+'Gantt Proyectos'!D110</f>
        <v>Analisis de Productividad Los Bronces</v>
      </c>
      <c r="E42" s="118" t="str">
        <f>+'Gantt Proyectos'!E110</f>
        <v>AngloAmerican</v>
      </c>
      <c r="F42" s="146" t="str">
        <f>+'Gantt Proyectos'!F110</f>
        <v>Chile</v>
      </c>
      <c r="G42" s="118" t="str">
        <f>+'Gantt Proyectos'!G110</f>
        <v>Chile</v>
      </c>
      <c r="H42" s="118">
        <f>+'Gantt Proyectos'!H110</f>
        <v>0</v>
      </c>
      <c r="I42" s="189">
        <v>1</v>
      </c>
      <c r="J42" s="189">
        <f t="shared" si="5"/>
        <v>0</v>
      </c>
      <c r="K42" s="118" t="str">
        <f>+'Gantt Proyectos'!I110</f>
        <v>Open Pit</v>
      </c>
      <c r="L42" s="120">
        <f>+'Gantt Proyectos'!J110</f>
        <v>1</v>
      </c>
      <c r="M42" s="118" t="str">
        <f>+'Gantt Proyectos'!K110</f>
        <v>FR</v>
      </c>
      <c r="N42" s="118">
        <f>+'Gantt Proyectos'!L110</f>
        <v>62417</v>
      </c>
      <c r="O42" s="118">
        <f>+'Gantt Proyectos'!M110</f>
        <v>0</v>
      </c>
      <c r="P42" s="118">
        <f>+'Gantt Proyectos'!N110</f>
        <v>2</v>
      </c>
      <c r="Q42" s="472">
        <f>+Dashboard!I24</f>
        <v>1</v>
      </c>
      <c r="R42" s="119">
        <f>+'Gantt Proyectos'!O110</f>
        <v>45719</v>
      </c>
      <c r="S42" s="119">
        <f>+'Gantt Proyectos'!P110</f>
        <v>45782</v>
      </c>
      <c r="T42" s="118" t="str">
        <f>+'Gantt Proyectos'!R110</f>
        <v>No</v>
      </c>
      <c r="U42" s="118">
        <f>+'Gantt Proyectos'!S110</f>
        <v>0</v>
      </c>
      <c r="V42" s="156">
        <f>+'Gantt Proyectos'!T110</f>
        <v>45719</v>
      </c>
      <c r="W42" s="156">
        <f>+'Gantt Proyectos'!U110</f>
        <v>45782</v>
      </c>
      <c r="X42" s="201">
        <f t="shared" si="6"/>
        <v>3</v>
      </c>
      <c r="Y42" s="121">
        <f>+'Gantt Proyectos'!W110</f>
        <v>0.72035794183445179</v>
      </c>
      <c r="Z42" s="122">
        <f>+'Gantt Proyectos'!X110</f>
        <v>0.25</v>
      </c>
      <c r="AA42" s="122">
        <f>+'Gantt Proyectos'!Y110</f>
        <v>0.33</v>
      </c>
      <c r="AB42" s="122">
        <f>+'Gantt Proyectos'!Z110</f>
        <v>0</v>
      </c>
      <c r="AC42" s="122">
        <f>+'Gantt Proyectos'!AA110</f>
        <v>0.5</v>
      </c>
      <c r="AD42" s="122">
        <f>+'Gantt Proyectos'!AB110</f>
        <v>0.5</v>
      </c>
      <c r="AE42" s="152" t="str">
        <f>+'Gantt Proyectos'!AC110</f>
        <v>Confiabilidad Planes</v>
      </c>
      <c r="AF42" s="123" t="str">
        <f>+'Gantt Proyectos'!AD110</f>
        <v>Actual</v>
      </c>
      <c r="AG42" s="124" t="str">
        <f>+'Gantt Proyectos'!AE110</f>
        <v>4. Avance: 50%</v>
      </c>
      <c r="AH42" s="172">
        <v>1</v>
      </c>
      <c r="AI42" s="466">
        <f>IFERROR(IF('Gantt Proyectos'!AF110&lt;2,$N42*'Gantt Proyectos'!AF110,IF('Gantt Proyectos'!AF110=2,$N42*('Gantt Proyectos'!AF110-1))),0)*$L42*$Q42</f>
        <v>20805.666666666664</v>
      </c>
      <c r="AJ42" s="467">
        <f>IFERROR(IF('Gantt Proyectos'!AG110&lt;2,$N42*'Gantt Proyectos'!AG110,IF('Gantt Proyectos'!AG110=2,$N42*('Gantt Proyectos'!AG110-1))),0)*$L42*$Q42</f>
        <v>20805.666666666664</v>
      </c>
      <c r="AK42" s="467">
        <f>IFERROR(IF('Gantt Proyectos'!AH110&lt;2,$N42*'Gantt Proyectos'!AH110,IF('Gantt Proyectos'!AH110=2,$N42*('Gantt Proyectos'!AH110-1))),0)*$L42*$Q42</f>
        <v>0</v>
      </c>
      <c r="AL42" s="467">
        <f>IFERROR(IF('Gantt Proyectos'!AI110&lt;2,$N42*'Gantt Proyectos'!AI110,IF('Gantt Proyectos'!AI110=2,$N42*('Gantt Proyectos'!AI110-1))),0)*$L42*$Q42</f>
        <v>0</v>
      </c>
      <c r="AM42" s="467">
        <f>IFERROR(IF('Gantt Proyectos'!AJ110&lt;2,$N42*'Gantt Proyectos'!AJ110,IF('Gantt Proyectos'!AJ110=2,$N42*('Gantt Proyectos'!AJ110-1))),0)*$L42*$Q42</f>
        <v>0</v>
      </c>
      <c r="AN42" s="467">
        <f>IFERROR(IF('Gantt Proyectos'!AK110&lt;2,$N42*'Gantt Proyectos'!AK110,IF('Gantt Proyectos'!AK110=2,$N42*('Gantt Proyectos'!AK110-1))),0)*$L42*$Q42</f>
        <v>0</v>
      </c>
      <c r="AO42" s="467">
        <f>IFERROR(IF('Gantt Proyectos'!AL110&lt;2,$N42*'Gantt Proyectos'!AL110,IF('Gantt Proyectos'!AL110=2,$N42*('Gantt Proyectos'!AL110-1))),0)*$L42*$Q42</f>
        <v>0</v>
      </c>
      <c r="AP42" s="467">
        <f>IFERROR(IF('Gantt Proyectos'!AM110&lt;2,$N42*'Gantt Proyectos'!AM110,IF('Gantt Proyectos'!AM110=2,$N42*('Gantt Proyectos'!AM110-1))),0)*$L42*$Q42</f>
        <v>0</v>
      </c>
      <c r="AQ42" s="468">
        <f>IFERROR(IF('Gantt Proyectos'!AN110&lt;2,$N42*'Gantt Proyectos'!AN110,IF('Gantt Proyectos'!AN110=2,$N42*('Gantt Proyectos'!AN110-1))),0)*$L42*$Q42</f>
        <v>0</v>
      </c>
    </row>
    <row r="43" spans="3:47" ht="15" x14ac:dyDescent="0.2">
      <c r="C43" s="117">
        <f>+'Gantt Proyectos'!C111</f>
        <v>15</v>
      </c>
      <c r="D43" s="118" t="str">
        <f>+'Gantt Proyectos'!D111</f>
        <v>Ingenieria implementacion HDD Los Bronces</v>
      </c>
      <c r="E43" s="118" t="str">
        <f>+'Gantt Proyectos'!E111</f>
        <v>AngloAmerican</v>
      </c>
      <c r="F43" s="146" t="str">
        <f>+'Gantt Proyectos'!F111</f>
        <v>Chile</v>
      </c>
      <c r="G43" s="118" t="str">
        <f>+'Gantt Proyectos'!G111</f>
        <v>Chile</v>
      </c>
      <c r="H43" s="118">
        <f>+'Gantt Proyectos'!H111</f>
        <v>0</v>
      </c>
      <c r="I43" s="189">
        <v>1</v>
      </c>
      <c r="J43" s="189">
        <f t="shared" si="5"/>
        <v>0</v>
      </c>
      <c r="K43" s="118" t="str">
        <f>+'Gantt Proyectos'!I111</f>
        <v>Open Pit</v>
      </c>
      <c r="L43" s="120">
        <f>+'Gantt Proyectos'!J111</f>
        <v>1</v>
      </c>
      <c r="M43" s="118" t="str">
        <f>+'Gantt Proyectos'!K111</f>
        <v>RM</v>
      </c>
      <c r="N43" s="118">
        <f>+'Gantt Proyectos'!L111</f>
        <v>183430</v>
      </c>
      <c r="O43" s="118">
        <f>+'Gantt Proyectos'!M111</f>
        <v>0</v>
      </c>
      <c r="P43" s="118">
        <f>+'Gantt Proyectos'!N111</f>
        <v>1</v>
      </c>
      <c r="Q43" s="472">
        <f>+Dashboard!I25</f>
        <v>1</v>
      </c>
      <c r="R43" s="119">
        <f>+'Gantt Proyectos'!O111</f>
        <v>45719</v>
      </c>
      <c r="S43" s="119">
        <f>+'Gantt Proyectos'!P111</f>
        <v>45838</v>
      </c>
      <c r="T43" s="118" t="str">
        <f>+'Gantt Proyectos'!R111</f>
        <v>No</v>
      </c>
      <c r="U43" s="118">
        <f>+'Gantt Proyectos'!S111</f>
        <v>0</v>
      </c>
      <c r="V43" s="156">
        <f>+'Gantt Proyectos'!T111</f>
        <v>45719</v>
      </c>
      <c r="W43" s="156">
        <f>+'Gantt Proyectos'!U111</f>
        <v>45838</v>
      </c>
      <c r="X43" s="201">
        <f t="shared" si="6"/>
        <v>4</v>
      </c>
      <c r="Y43" s="121">
        <f>+'Gantt Proyectos'!W111</f>
        <v>0.72035794183445179</v>
      </c>
      <c r="Z43" s="122">
        <f>+'Gantt Proyectos'!X111</f>
        <v>0.25</v>
      </c>
      <c r="AA43" s="122">
        <f>+'Gantt Proyectos'!Y111</f>
        <v>0.33</v>
      </c>
      <c r="AB43" s="122">
        <f>+'Gantt Proyectos'!Z111</f>
        <v>0</v>
      </c>
      <c r="AC43" s="122">
        <f>+'Gantt Proyectos'!AA111</f>
        <v>0.5</v>
      </c>
      <c r="AD43" s="122">
        <f>+'Gantt Proyectos'!AB111</f>
        <v>0.5</v>
      </c>
      <c r="AE43" s="152" t="str">
        <f>+'Gantt Proyectos'!AC111</f>
        <v>Estudio Conceptual / LOM</v>
      </c>
      <c r="AF43" s="123" t="str">
        <f>+'Gantt Proyectos'!AD111</f>
        <v>Actual</v>
      </c>
      <c r="AG43" s="124" t="str">
        <f>+'Gantt Proyectos'!AE111</f>
        <v>4. Avance: 50%</v>
      </c>
      <c r="AH43" s="172">
        <v>1</v>
      </c>
      <c r="AI43" s="466">
        <f>IFERROR(IF('Gantt Proyectos'!AF111&lt;2,$N43*'Gantt Proyectos'!AF111,IF('Gantt Proyectos'!AF111=2,$N43*('Gantt Proyectos'!AF111-1))),0)*$L43*$Q43</f>
        <v>45857.5</v>
      </c>
      <c r="AJ43" s="467">
        <f>IFERROR(IF('Gantt Proyectos'!AG111&lt;2,$N43*'Gantt Proyectos'!AG111,IF('Gantt Proyectos'!AG111=2,$N43*('Gantt Proyectos'!AG111-1))),0)*$L43*$Q43</f>
        <v>45857.5</v>
      </c>
      <c r="AK43" s="467">
        <f>IFERROR(IF('Gantt Proyectos'!AH111&lt;2,$N43*'Gantt Proyectos'!AH111,IF('Gantt Proyectos'!AH111=2,$N43*('Gantt Proyectos'!AH111-1))),0)*$L43*$Q43</f>
        <v>45857.5</v>
      </c>
      <c r="AL43" s="467">
        <f>IFERROR(IF('Gantt Proyectos'!AI111&lt;2,$N43*'Gantt Proyectos'!AI111,IF('Gantt Proyectos'!AI111=2,$N43*('Gantt Proyectos'!AI111-1))),0)*$L43*$Q43</f>
        <v>0</v>
      </c>
      <c r="AM43" s="467">
        <f>IFERROR(IF('Gantt Proyectos'!AJ111&lt;2,$N43*'Gantt Proyectos'!AJ111,IF('Gantt Proyectos'!AJ111=2,$N43*('Gantt Proyectos'!AJ111-1))),0)*$L43*$Q43</f>
        <v>0</v>
      </c>
      <c r="AN43" s="467">
        <f>IFERROR(IF('Gantt Proyectos'!AK111&lt;2,$N43*'Gantt Proyectos'!AK111,IF('Gantt Proyectos'!AK111=2,$N43*('Gantt Proyectos'!AK111-1))),0)*$L43*$Q43</f>
        <v>0</v>
      </c>
      <c r="AO43" s="467">
        <f>IFERROR(IF('Gantt Proyectos'!AL111&lt;2,$N43*'Gantt Proyectos'!AL111,IF('Gantt Proyectos'!AL111=2,$N43*('Gantt Proyectos'!AL111-1))),0)*$L43*$Q43</f>
        <v>0</v>
      </c>
      <c r="AP43" s="467">
        <f>IFERROR(IF('Gantt Proyectos'!AM111&lt;2,$N43*'Gantt Proyectos'!AM111,IF('Gantt Proyectos'!AM111=2,$N43*('Gantt Proyectos'!AM111-1))),0)*$L43*$Q43</f>
        <v>0</v>
      </c>
      <c r="AQ43" s="468">
        <f>IFERROR(IF('Gantt Proyectos'!AN111&lt;2,$N43*'Gantt Proyectos'!AN111,IF('Gantt Proyectos'!AN111=2,$N43*('Gantt Proyectos'!AN111-1))),0)*$L43*$Q43</f>
        <v>0</v>
      </c>
    </row>
    <row r="44" spans="3:47" ht="15" x14ac:dyDescent="0.2">
      <c r="C44" s="117">
        <f>+'Gantt Proyectos'!C112</f>
        <v>16</v>
      </c>
      <c r="D44" s="118" t="str">
        <f>+'Gantt Proyectos'!D112</f>
        <v>V MEIA San Rafael</v>
      </c>
      <c r="E44" s="118" t="str">
        <f>+'Gantt Proyectos'!E112</f>
        <v>Minsur</v>
      </c>
      <c r="F44" s="146" t="str">
        <f>+'Gantt Proyectos'!F112</f>
        <v>Perú</v>
      </c>
      <c r="G44" s="118" t="str">
        <f>+'Gantt Proyectos'!G112</f>
        <v>Chile</v>
      </c>
      <c r="H44" s="118" t="str">
        <f>+'Gantt Proyectos'!H112</f>
        <v>Perú</v>
      </c>
      <c r="I44" s="189">
        <v>0.5</v>
      </c>
      <c r="J44" s="189">
        <f t="shared" si="5"/>
        <v>0.5</v>
      </c>
      <c r="K44" s="118" t="str">
        <f>+'Gantt Proyectos'!I112</f>
        <v>Subterránea</v>
      </c>
      <c r="L44" s="120">
        <f>+'Gantt Proyectos'!J112</f>
        <v>1</v>
      </c>
      <c r="M44" s="118" t="str">
        <f>+'Gantt Proyectos'!K112</f>
        <v>RM</v>
      </c>
      <c r="N44" s="118">
        <f>+'Gantt Proyectos'!L112</f>
        <v>248031</v>
      </c>
      <c r="O44" s="118">
        <f>+'Gantt Proyectos'!M112</f>
        <v>0</v>
      </c>
      <c r="P44" s="118">
        <f>+'Gantt Proyectos'!N112</f>
        <v>2</v>
      </c>
      <c r="Q44" s="472">
        <f>+Dashboard!I26</f>
        <v>1</v>
      </c>
      <c r="R44" s="119">
        <f>+'Gantt Proyectos'!O112</f>
        <v>45691</v>
      </c>
      <c r="S44" s="119">
        <f>+'Gantt Proyectos'!P112</f>
        <v>45789</v>
      </c>
      <c r="T44" s="118" t="str">
        <f>+'Gantt Proyectos'!R112</f>
        <v>No</v>
      </c>
      <c r="U44" s="118">
        <f>+'Gantt Proyectos'!S112</f>
        <v>0</v>
      </c>
      <c r="V44" s="156">
        <f>+'Gantt Proyectos'!T112</f>
        <v>45691</v>
      </c>
      <c r="W44" s="156">
        <f>+'Gantt Proyectos'!U112</f>
        <v>45789</v>
      </c>
      <c r="X44" s="201">
        <f t="shared" si="6"/>
        <v>4</v>
      </c>
      <c r="Y44" s="121">
        <f>+'Gantt Proyectos'!W112</f>
        <v>0.97986577181208034</v>
      </c>
      <c r="Z44" s="122">
        <f>+'Gantt Proyectos'!X112</f>
        <v>0.33</v>
      </c>
      <c r="AA44" s="122">
        <f>+'Gantt Proyectos'!Y112</f>
        <v>0.33</v>
      </c>
      <c r="AB44" s="122">
        <f>+'Gantt Proyectos'!Z112</f>
        <v>0.5</v>
      </c>
      <c r="AC44" s="122">
        <f>+'Gantt Proyectos'!AA112</f>
        <v>1</v>
      </c>
      <c r="AD44" s="122">
        <f>+'Gantt Proyectos'!AB112</f>
        <v>0</v>
      </c>
      <c r="AE44" s="152" t="str">
        <f>+'Gantt Proyectos'!AC112</f>
        <v>Permisos / MEIA</v>
      </c>
      <c r="AF44" s="123" t="str">
        <f>+'Gantt Proyectos'!AD112</f>
        <v>Actual</v>
      </c>
      <c r="AG44" s="124" t="str">
        <f>+'Gantt Proyectos'!AE112</f>
        <v>3. Avance: 25%</v>
      </c>
      <c r="AH44" s="172">
        <v>1</v>
      </c>
      <c r="AI44" s="466">
        <f>IFERROR(IF('Gantt Proyectos'!AF112&lt;2,$N44*'Gantt Proyectos'!AF112,IF('Gantt Proyectos'!AF112=2,$N44*('Gantt Proyectos'!AF112-1))),0)*$L44*$Q44</f>
        <v>62007.75</v>
      </c>
      <c r="AJ44" s="467">
        <f>IFERROR(IF('Gantt Proyectos'!AG112&lt;2,$N44*'Gantt Proyectos'!AG112,IF('Gantt Proyectos'!AG112=2,$N44*('Gantt Proyectos'!AG112-1))),0)*$L44*$Q44</f>
        <v>62007.75</v>
      </c>
      <c r="AK44" s="467">
        <f>IFERROR(IF('Gantt Proyectos'!AH112&lt;2,$N44*'Gantt Proyectos'!AH112,IF('Gantt Proyectos'!AH112=2,$N44*('Gantt Proyectos'!AH112-1))),0)*$L44*$Q44</f>
        <v>0</v>
      </c>
      <c r="AL44" s="467">
        <f>IFERROR(IF('Gantt Proyectos'!AI112&lt;2,$N44*'Gantt Proyectos'!AI112,IF('Gantt Proyectos'!AI112=2,$N44*('Gantt Proyectos'!AI112-1))),0)*$L44*$Q44</f>
        <v>0</v>
      </c>
      <c r="AM44" s="467">
        <f>IFERROR(IF('Gantt Proyectos'!AJ112&lt;2,$N44*'Gantt Proyectos'!AJ112,IF('Gantt Proyectos'!AJ112=2,$N44*('Gantt Proyectos'!AJ112-1))),0)*$L44*$Q44</f>
        <v>0</v>
      </c>
      <c r="AN44" s="467">
        <f>IFERROR(IF('Gantt Proyectos'!AK112&lt;2,$N44*'Gantt Proyectos'!AK112,IF('Gantt Proyectos'!AK112=2,$N44*('Gantt Proyectos'!AK112-1))),0)*$L44*$Q44</f>
        <v>0</v>
      </c>
      <c r="AO44" s="467">
        <f>IFERROR(IF('Gantt Proyectos'!AL112&lt;2,$N44*'Gantt Proyectos'!AL112,IF('Gantt Proyectos'!AL112=2,$N44*('Gantt Proyectos'!AL112-1))),0)*$L44*$Q44</f>
        <v>0</v>
      </c>
      <c r="AP44" s="467">
        <f>IFERROR(IF('Gantt Proyectos'!AM112&lt;2,$N44*'Gantt Proyectos'!AM112,IF('Gantt Proyectos'!AM112=2,$N44*('Gantt Proyectos'!AM112-1))),0)*$L44*$Q44</f>
        <v>0</v>
      </c>
      <c r="AQ44" s="468">
        <f>IFERROR(IF('Gantt Proyectos'!AN112&lt;2,$N44*'Gantt Proyectos'!AN112,IF('Gantt Proyectos'!AN112=2,$N44*('Gantt Proyectos'!AN112-1))),0)*$L44*$Q44</f>
        <v>0</v>
      </c>
    </row>
    <row r="45" spans="3:47" ht="15" x14ac:dyDescent="0.2">
      <c r="C45" s="117">
        <f>+'Gantt Proyectos'!C113</f>
        <v>17</v>
      </c>
      <c r="D45" s="118" t="str">
        <f>+'Gantt Proyectos'!D113</f>
        <v>Fase 2 CTV: Modelamiento Recursos, Geomecanica y LOM actualizado</v>
      </c>
      <c r="E45" s="118" t="str">
        <f>+'Gantt Proyectos'!E113</f>
        <v>Mosaic</v>
      </c>
      <c r="F45" s="146" t="str">
        <f>+'Gantt Proyectos'!F113</f>
        <v>Brasil</v>
      </c>
      <c r="G45" s="118" t="str">
        <f>+'Gantt Proyectos'!G113</f>
        <v>Perú</v>
      </c>
      <c r="H45" s="118" t="str">
        <f>+'Gantt Proyectos'!H113</f>
        <v>Chile</v>
      </c>
      <c r="I45" s="189">
        <v>0.5</v>
      </c>
      <c r="J45" s="189">
        <f t="shared" si="5"/>
        <v>0.5</v>
      </c>
      <c r="K45" s="118" t="str">
        <f>+'Gantt Proyectos'!I113</f>
        <v>Subterránea</v>
      </c>
      <c r="L45" s="120">
        <f>+'Gantt Proyectos'!J113</f>
        <v>1</v>
      </c>
      <c r="M45" s="118" t="str">
        <f>+'Gantt Proyectos'!K113</f>
        <v>CH</v>
      </c>
      <c r="N45" s="118">
        <f>+'Gantt Proyectos'!L113</f>
        <v>330410</v>
      </c>
      <c r="O45" s="118">
        <f>+'Gantt Proyectos'!M113</f>
        <v>0</v>
      </c>
      <c r="P45" s="118">
        <f>+'Gantt Proyectos'!N113</f>
        <v>3</v>
      </c>
      <c r="Q45" s="472">
        <f>+Dashboard!I27</f>
        <v>1</v>
      </c>
      <c r="R45" s="119">
        <f>+'Gantt Proyectos'!O113</f>
        <v>45600</v>
      </c>
      <c r="S45" s="119">
        <f>+'Gantt Proyectos'!P113</f>
        <v>45838</v>
      </c>
      <c r="T45" s="118" t="str">
        <f>+'Gantt Proyectos'!R113</f>
        <v>No</v>
      </c>
      <c r="U45" s="118">
        <f>+'Gantt Proyectos'!S113</f>
        <v>0</v>
      </c>
      <c r="V45" s="156">
        <f>+'Gantt Proyectos'!T113</f>
        <v>45600</v>
      </c>
      <c r="W45" s="156">
        <f>+'Gantt Proyectos'!U113</f>
        <v>45838</v>
      </c>
      <c r="X45" s="201">
        <f t="shared" si="6"/>
        <v>8</v>
      </c>
      <c r="Y45" s="121">
        <f>+'Gantt Proyectos'!W113</f>
        <v>1.4474272930648768</v>
      </c>
      <c r="Z45" s="122">
        <f>+'Gantt Proyectos'!X113</f>
        <v>0.33</v>
      </c>
      <c r="AA45" s="122">
        <f>+'Gantt Proyectos'!Y113</f>
        <v>0.5</v>
      </c>
      <c r="AB45" s="122">
        <f>+'Gantt Proyectos'!Z113</f>
        <v>0.33</v>
      </c>
      <c r="AC45" s="122">
        <f>+'Gantt Proyectos'!AA113</f>
        <v>1</v>
      </c>
      <c r="AD45" s="122">
        <f>+'Gantt Proyectos'!AB113</f>
        <v>1</v>
      </c>
      <c r="AE45" s="152" t="str">
        <f>+'Gantt Proyectos'!AC113</f>
        <v>Scoping</v>
      </c>
      <c r="AF45" s="123" t="str">
        <f>+'Gantt Proyectos'!AD113</f>
        <v>Actual</v>
      </c>
      <c r="AG45" s="124" t="str">
        <f>+'Gantt Proyectos'!AE113</f>
        <v>3. Avance: 25%</v>
      </c>
      <c r="AH45" s="172">
        <v>1</v>
      </c>
      <c r="AI45" s="466">
        <f>IFERROR(IF('Gantt Proyectos'!AF113&lt;2,$N45*'Gantt Proyectos'!AF113,IF('Gantt Proyectos'!AF113=2,$N45*('Gantt Proyectos'!AF113-1))),0)*$L45*$Q45</f>
        <v>41301.25</v>
      </c>
      <c r="AJ45" s="467">
        <f>IFERROR(IF('Gantt Proyectos'!AG113&lt;2,$N45*'Gantt Proyectos'!AG113,IF('Gantt Proyectos'!AG113=2,$N45*('Gantt Proyectos'!AG113-1))),0)*$L45*$Q45</f>
        <v>41301.25</v>
      </c>
      <c r="AK45" s="467">
        <f>IFERROR(IF('Gantt Proyectos'!AH113&lt;2,$N45*'Gantt Proyectos'!AH113,IF('Gantt Proyectos'!AH113=2,$N45*('Gantt Proyectos'!AH113-1))),0)*$L45*$Q45</f>
        <v>41301.25</v>
      </c>
      <c r="AL45" s="467">
        <f>IFERROR(IF('Gantt Proyectos'!AI113&lt;2,$N45*'Gantt Proyectos'!AI113,IF('Gantt Proyectos'!AI113=2,$N45*('Gantt Proyectos'!AI113-1))),0)*$L45*$Q45</f>
        <v>0</v>
      </c>
      <c r="AM45" s="467">
        <f>IFERROR(IF('Gantt Proyectos'!AJ113&lt;2,$N45*'Gantt Proyectos'!AJ113,IF('Gantt Proyectos'!AJ113=2,$N45*('Gantt Proyectos'!AJ113-1))),0)*$L45*$Q45</f>
        <v>0</v>
      </c>
      <c r="AN45" s="467">
        <f>IFERROR(IF('Gantt Proyectos'!AK113&lt;2,$N45*'Gantt Proyectos'!AK113,IF('Gantt Proyectos'!AK113=2,$N45*('Gantt Proyectos'!AK113-1))),0)*$L45*$Q45</f>
        <v>0</v>
      </c>
      <c r="AO45" s="467">
        <f>IFERROR(IF('Gantt Proyectos'!AL113&lt;2,$N45*'Gantt Proyectos'!AL113,IF('Gantt Proyectos'!AL113=2,$N45*('Gantt Proyectos'!AL113-1))),0)*$L45*$Q45</f>
        <v>0</v>
      </c>
      <c r="AP45" s="467">
        <f>IFERROR(IF('Gantt Proyectos'!AM113&lt;2,$N45*'Gantt Proyectos'!AM113,IF('Gantt Proyectos'!AM113=2,$N45*('Gantt Proyectos'!AM113-1))),0)*$L45*$Q45</f>
        <v>0</v>
      </c>
      <c r="AQ45" s="468">
        <f>IFERROR(IF('Gantt Proyectos'!AN113&lt;2,$N45*'Gantt Proyectos'!AN113,IF('Gantt Proyectos'!AN113=2,$N45*('Gantt Proyectos'!AN113-1))),0)*$L45*$Q45</f>
        <v>0</v>
      </c>
    </row>
    <row r="46" spans="3:47" ht="15" x14ac:dyDescent="0.2">
      <c r="C46" s="117">
        <f>+'Gantt Proyectos'!C114</f>
        <v>18</v>
      </c>
      <c r="D46" s="118" t="str">
        <f>+'Gantt Proyectos'!D114</f>
        <v>Estrategia de Valor para Mina Cobriza</v>
      </c>
      <c r="E46" s="118" t="str">
        <f>+'Gantt Proyectos'!E114</f>
        <v>OCP</v>
      </c>
      <c r="F46" s="146" t="str">
        <f>+'Gantt Proyectos'!F114</f>
        <v>Perú</v>
      </c>
      <c r="G46" s="118" t="str">
        <f>+'Gantt Proyectos'!G114</f>
        <v>Chile</v>
      </c>
      <c r="H46" s="118" t="str">
        <f>+'Gantt Proyectos'!H114</f>
        <v>Perú</v>
      </c>
      <c r="I46" s="189">
        <v>0.5</v>
      </c>
      <c r="J46" s="189">
        <f t="shared" si="5"/>
        <v>0.5</v>
      </c>
      <c r="K46" s="118" t="str">
        <f>+'Gantt Proyectos'!I114</f>
        <v>Subterránea</v>
      </c>
      <c r="L46" s="120">
        <f>+'Gantt Proyectos'!J114</f>
        <v>1</v>
      </c>
      <c r="M46" s="118" t="str">
        <f>+'Gantt Proyectos'!K114</f>
        <v>MF</v>
      </c>
      <c r="N46" s="118">
        <f>+'Gantt Proyectos'!L114</f>
        <v>184000</v>
      </c>
      <c r="O46" s="118">
        <f>+'Gantt Proyectos'!M114</f>
        <v>0</v>
      </c>
      <c r="P46" s="118">
        <f>+'Gantt Proyectos'!N114</f>
        <v>2</v>
      </c>
      <c r="Q46" s="472">
        <f>+Dashboard!I28</f>
        <v>1</v>
      </c>
      <c r="R46" s="119">
        <f>+'Gantt Proyectos'!O114</f>
        <v>45691</v>
      </c>
      <c r="S46" s="119">
        <f>+'Gantt Proyectos'!P114</f>
        <v>45881</v>
      </c>
      <c r="T46" s="118" t="str">
        <f>+'Gantt Proyectos'!R114</f>
        <v>No</v>
      </c>
      <c r="U46" s="118">
        <f>+'Gantt Proyectos'!S114</f>
        <v>0</v>
      </c>
      <c r="V46" s="156">
        <f>+'Gantt Proyectos'!T114</f>
        <v>45691</v>
      </c>
      <c r="W46" s="156">
        <f>+'Gantt Proyectos'!U114</f>
        <v>45881</v>
      </c>
      <c r="X46" s="201">
        <f t="shared" si="6"/>
        <v>7</v>
      </c>
      <c r="Y46" s="121">
        <f>+'Gantt Proyectos'!W114</f>
        <v>0.72035794183445179</v>
      </c>
      <c r="Z46" s="122">
        <f>+'Gantt Proyectos'!X114</f>
        <v>0.25</v>
      </c>
      <c r="AA46" s="122">
        <f>+'Gantt Proyectos'!Y114</f>
        <v>0.33</v>
      </c>
      <c r="AB46" s="122">
        <f>+'Gantt Proyectos'!Z114</f>
        <v>0</v>
      </c>
      <c r="AC46" s="122">
        <f>+'Gantt Proyectos'!AA114</f>
        <v>0.5</v>
      </c>
      <c r="AD46" s="122">
        <f>+'Gantt Proyectos'!AB114</f>
        <v>0.5</v>
      </c>
      <c r="AE46" s="152" t="str">
        <f>+'Gantt Proyectos'!AC114</f>
        <v>Estudio Conceptual / LOM</v>
      </c>
      <c r="AF46" s="123" t="str">
        <f>+'Gantt Proyectos'!AD114</f>
        <v>Actual</v>
      </c>
      <c r="AG46" s="124" t="str">
        <f>+'Gantt Proyectos'!AE114</f>
        <v>3. Avance: 25%</v>
      </c>
      <c r="AH46" s="172">
        <v>1</v>
      </c>
      <c r="AI46" s="466">
        <f>IFERROR(IF('Gantt Proyectos'!AF114&lt;2,$N46*'Gantt Proyectos'!AF114,IF('Gantt Proyectos'!AF114=2,$N46*('Gantt Proyectos'!AF114-1))),0)*$L46*$Q46</f>
        <v>26285.714285714283</v>
      </c>
      <c r="AJ46" s="467">
        <f>IFERROR(IF('Gantt Proyectos'!AG114&lt;2,$N46*'Gantt Proyectos'!AG114,IF('Gantt Proyectos'!AG114=2,$N46*('Gantt Proyectos'!AG114-1))),0)*$L46*$Q46</f>
        <v>26285.714285714283</v>
      </c>
      <c r="AK46" s="467">
        <f>IFERROR(IF('Gantt Proyectos'!AH114&lt;2,$N46*'Gantt Proyectos'!AH114,IF('Gantt Proyectos'!AH114=2,$N46*('Gantt Proyectos'!AH114-1))),0)*$L46*$Q46</f>
        <v>26285.714285714283</v>
      </c>
      <c r="AL46" s="467">
        <f>IFERROR(IF('Gantt Proyectos'!AI114&lt;2,$N46*'Gantt Proyectos'!AI114,IF('Gantt Proyectos'!AI114=2,$N46*('Gantt Proyectos'!AI114-1))),0)*$L46*$Q46</f>
        <v>26285.714285714283</v>
      </c>
      <c r="AM46" s="467">
        <f>IFERROR(IF('Gantt Proyectos'!AJ114&lt;2,$N46*'Gantt Proyectos'!AJ114,IF('Gantt Proyectos'!AJ114=2,$N46*('Gantt Proyectos'!AJ114-1))),0)*$L46*$Q46</f>
        <v>26285.714285714283</v>
      </c>
      <c r="AN46" s="467">
        <f>IFERROR(IF('Gantt Proyectos'!AK114&lt;2,$N46*'Gantt Proyectos'!AK114,IF('Gantt Proyectos'!AK114=2,$N46*('Gantt Proyectos'!AK114-1))),0)*$L46*$Q46</f>
        <v>0</v>
      </c>
      <c r="AO46" s="467">
        <f>IFERROR(IF('Gantt Proyectos'!AL114&lt;2,$N46*'Gantt Proyectos'!AL114,IF('Gantt Proyectos'!AL114=2,$N46*('Gantt Proyectos'!AL114-1))),0)*$L46*$Q46</f>
        <v>0</v>
      </c>
      <c r="AP46" s="467">
        <f>IFERROR(IF('Gantt Proyectos'!AM114&lt;2,$N46*'Gantt Proyectos'!AM114,IF('Gantt Proyectos'!AM114=2,$N46*('Gantt Proyectos'!AM114-1))),0)*$L46*$Q46</f>
        <v>0</v>
      </c>
      <c r="AQ46" s="468">
        <f>IFERROR(IF('Gantt Proyectos'!AN114&lt;2,$N46*'Gantt Proyectos'!AN114,IF('Gantt Proyectos'!AN114=2,$N46*('Gantt Proyectos'!AN114-1))),0)*$L46*$Q46</f>
        <v>0</v>
      </c>
    </row>
    <row r="47" spans="3:47" ht="15" x14ac:dyDescent="0.2">
      <c r="C47" s="117">
        <f>+'Gantt Proyectos'!C115</f>
        <v>19</v>
      </c>
      <c r="D47" s="118" t="str">
        <f>+'Gantt Proyectos'!D115</f>
        <v>PFS Ferrobamba UG (MEIA)</v>
      </c>
      <c r="E47" s="118" t="str">
        <f>+'Gantt Proyectos'!E115</f>
        <v>Las Bambas</v>
      </c>
      <c r="F47" s="146" t="str">
        <f>+'Gantt Proyectos'!F115</f>
        <v>Perú</v>
      </c>
      <c r="G47" s="118" t="str">
        <f>+'Gantt Proyectos'!G115</f>
        <v>Chile</v>
      </c>
      <c r="H47" s="118">
        <f>+'Gantt Proyectos'!H115</f>
        <v>0</v>
      </c>
      <c r="I47" s="189">
        <v>1</v>
      </c>
      <c r="J47" s="189">
        <f t="shared" si="5"/>
        <v>0</v>
      </c>
      <c r="K47" s="118" t="str">
        <f>+'Gantt Proyectos'!I115</f>
        <v>Subterránea</v>
      </c>
      <c r="L47" s="120">
        <f>+'Gantt Proyectos'!J115</f>
        <v>1</v>
      </c>
      <c r="M47" s="118" t="str">
        <f>+'Gantt Proyectos'!K115</f>
        <v>RM</v>
      </c>
      <c r="N47" s="118">
        <f>+'Gantt Proyectos'!L115</f>
        <v>600000</v>
      </c>
      <c r="O47" s="118">
        <f>+'Gantt Proyectos'!M115</f>
        <v>62911.409999999916</v>
      </c>
      <c r="P47" s="118">
        <f>+'Gantt Proyectos'!N115</f>
        <v>2</v>
      </c>
      <c r="Q47" s="472">
        <f>+Dashboard!I29</f>
        <v>1</v>
      </c>
      <c r="R47" s="119">
        <f>+'Gantt Proyectos'!O115</f>
        <v>45719</v>
      </c>
      <c r="S47" s="119">
        <f>+'Gantt Proyectos'!P115</f>
        <v>45872</v>
      </c>
      <c r="T47" s="118" t="str">
        <f>+'Gantt Proyectos'!R115</f>
        <v>No</v>
      </c>
      <c r="U47" s="118">
        <f>+'Gantt Proyectos'!S115</f>
        <v>0</v>
      </c>
      <c r="V47" s="156">
        <f>+'Gantt Proyectos'!T115</f>
        <v>45719</v>
      </c>
      <c r="W47" s="156">
        <f>+'Gantt Proyectos'!U115</f>
        <v>45872</v>
      </c>
      <c r="X47" s="201">
        <f t="shared" si="6"/>
        <v>6</v>
      </c>
      <c r="Y47" s="121">
        <f>+'Gantt Proyectos'!W115</f>
        <v>0.97986577181208034</v>
      </c>
      <c r="Z47" s="122">
        <f>+'Gantt Proyectos'!X115</f>
        <v>0.33</v>
      </c>
      <c r="AA47" s="122">
        <f>+'Gantt Proyectos'!Y115</f>
        <v>0.33</v>
      </c>
      <c r="AB47" s="122">
        <f>+'Gantt Proyectos'!Z115</f>
        <v>0.5</v>
      </c>
      <c r="AC47" s="122">
        <f>+'Gantt Proyectos'!AA115</f>
        <v>1</v>
      </c>
      <c r="AD47" s="122">
        <f>+'Gantt Proyectos'!AB115</f>
        <v>0</v>
      </c>
      <c r="AE47" s="152" t="str">
        <f>+'Gantt Proyectos'!AC115</f>
        <v>Permisos / MEIA</v>
      </c>
      <c r="AF47" s="123" t="str">
        <f>+'Gantt Proyectos'!AD115</f>
        <v>Actual</v>
      </c>
      <c r="AG47" s="124" t="str">
        <f>+'Gantt Proyectos'!AE115</f>
        <v>3. Avance: 25%</v>
      </c>
      <c r="AH47" s="172">
        <v>1</v>
      </c>
      <c r="AI47" s="466">
        <f>IFERROR(IF('Gantt Proyectos'!AF115&lt;2,$N47*'Gantt Proyectos'!AF115,IF('Gantt Proyectos'!AF115=2,$N47*('Gantt Proyectos'!AF115-1))),0)*$L47*$Q47</f>
        <v>100000</v>
      </c>
      <c r="AJ47" s="467">
        <f>IFERROR(IF('Gantt Proyectos'!AG115&lt;2,$N47*'Gantt Proyectos'!AG115,IF('Gantt Proyectos'!AG115=2,$N47*('Gantt Proyectos'!AG115-1))),0)*$L47*$Q47</f>
        <v>100000</v>
      </c>
      <c r="AK47" s="467">
        <f>IFERROR(IF('Gantt Proyectos'!AH115&lt;2,$N47*'Gantt Proyectos'!AH115,IF('Gantt Proyectos'!AH115=2,$N47*('Gantt Proyectos'!AH115-1))),0)*$L47*$Q47</f>
        <v>100000</v>
      </c>
      <c r="AL47" s="467">
        <f>IFERROR(IF('Gantt Proyectos'!AI115&lt;2,$N47*'Gantt Proyectos'!AI115,IF('Gantt Proyectos'!AI115=2,$N47*('Gantt Proyectos'!AI115-1))),0)*$L47*$Q47</f>
        <v>100000</v>
      </c>
      <c r="AM47" s="467">
        <f>IFERROR(IF('Gantt Proyectos'!AJ115&lt;2,$N47*'Gantt Proyectos'!AJ115,IF('Gantt Proyectos'!AJ115=2,$N47*('Gantt Proyectos'!AJ115-1))),0)*$L47*$Q47</f>
        <v>100000</v>
      </c>
      <c r="AN47" s="467">
        <f>IFERROR(IF('Gantt Proyectos'!AK115&lt;2,$N47*'Gantt Proyectos'!AK115,IF('Gantt Proyectos'!AK115=2,$N47*('Gantt Proyectos'!AK115-1))),0)*$L47*$Q47</f>
        <v>0</v>
      </c>
      <c r="AO47" s="467">
        <f>IFERROR(IF('Gantt Proyectos'!AL115&lt;2,$N47*'Gantt Proyectos'!AL115,IF('Gantt Proyectos'!AL115=2,$N47*('Gantt Proyectos'!AL115-1))),0)*$L47*$Q47</f>
        <v>0</v>
      </c>
      <c r="AP47" s="467">
        <f>IFERROR(IF('Gantt Proyectos'!AM115&lt;2,$N47*'Gantt Proyectos'!AM115,IF('Gantt Proyectos'!AM115=2,$N47*('Gantt Proyectos'!AM115-1))),0)*$L47*$Q47</f>
        <v>0</v>
      </c>
      <c r="AQ47" s="468">
        <f>IFERROR(IF('Gantt Proyectos'!AN115&lt;2,$N47*'Gantt Proyectos'!AN115,IF('Gantt Proyectos'!AN115=2,$N47*('Gantt Proyectos'!AN115-1))),0)*$L47*$Q47</f>
        <v>0</v>
      </c>
    </row>
    <row r="48" spans="3:47" ht="15" x14ac:dyDescent="0.2">
      <c r="C48" s="117">
        <f>+'Gantt Proyectos'!C116</f>
        <v>20</v>
      </c>
      <c r="D48" s="118" t="str">
        <f>+'Gantt Proyectos'!D116</f>
        <v>BHP: Análisis de accesibilidad para MEL UG</v>
      </c>
      <c r="E48" s="118" t="str">
        <f>+'Gantt Proyectos'!E116</f>
        <v>MEL</v>
      </c>
      <c r="F48" s="146" t="str">
        <f>+'Gantt Proyectos'!F116</f>
        <v>Chile</v>
      </c>
      <c r="G48" s="118" t="str">
        <f>+'Gantt Proyectos'!G116</f>
        <v>Chile</v>
      </c>
      <c r="H48" s="118">
        <f>+'Gantt Proyectos'!H116</f>
        <v>0</v>
      </c>
      <c r="I48" s="189">
        <v>1</v>
      </c>
      <c r="J48" s="189">
        <f t="shared" si="5"/>
        <v>0</v>
      </c>
      <c r="K48" s="118" t="str">
        <f>+'Gantt Proyectos'!I116</f>
        <v>Subterránea</v>
      </c>
      <c r="L48" s="120">
        <f>+'Gantt Proyectos'!J116</f>
        <v>1</v>
      </c>
      <c r="M48" s="118" t="str">
        <f>+'Gantt Proyectos'!K116</f>
        <v>CA</v>
      </c>
      <c r="N48" s="118">
        <f>+'Gantt Proyectos'!L116</f>
        <v>198920</v>
      </c>
      <c r="O48" s="118" t="str">
        <f>+'Gantt Proyectos'!M116</f>
        <v>Saldo [USD]</v>
      </c>
      <c r="P48" s="118">
        <f>+'Gantt Proyectos'!N116</f>
        <v>1</v>
      </c>
      <c r="Q48" s="472">
        <f>+Dashboard!I30</f>
        <v>1</v>
      </c>
      <c r="R48" s="119">
        <f>+'Gantt Proyectos'!O116</f>
        <v>45754</v>
      </c>
      <c r="S48" s="119">
        <f>+'Gantt Proyectos'!P116</f>
        <v>45845</v>
      </c>
      <c r="T48" s="118" t="str">
        <f>+'Gantt Proyectos'!R116</f>
        <v>No</v>
      </c>
      <c r="U48" s="118">
        <f>+'Gantt Proyectos'!S116</f>
        <v>0</v>
      </c>
      <c r="V48" s="156">
        <f>+'Gantt Proyectos'!T116</f>
        <v>45754</v>
      </c>
      <c r="W48" s="156">
        <f>+'Gantt Proyectos'!U116</f>
        <v>45845</v>
      </c>
      <c r="X48" s="201">
        <f t="shared" si="6"/>
        <v>3</v>
      </c>
      <c r="Y48" s="121">
        <f>+'Gantt Proyectos'!W116</f>
        <v>1.4474272930648768</v>
      </c>
      <c r="Z48" s="122">
        <f>+'Gantt Proyectos'!X116</f>
        <v>0.33</v>
      </c>
      <c r="AA48" s="122">
        <f>+'Gantt Proyectos'!Y116</f>
        <v>0.5</v>
      </c>
      <c r="AB48" s="122">
        <f>+'Gantt Proyectos'!Z116</f>
        <v>0.33</v>
      </c>
      <c r="AC48" s="122">
        <f>+'Gantt Proyectos'!AA116</f>
        <v>1</v>
      </c>
      <c r="AD48" s="122">
        <f>+'Gantt Proyectos'!AB116</f>
        <v>1</v>
      </c>
      <c r="AE48" s="152" t="str">
        <f>+'Gantt Proyectos'!AC116</f>
        <v>Scoping</v>
      </c>
      <c r="AF48" s="123" t="str">
        <f>+'Gantt Proyectos'!AD116</f>
        <v>Actual</v>
      </c>
      <c r="AG48" s="124" t="str">
        <f>+'Gantt Proyectos'!AE116</f>
        <v>3. Avance: 25%</v>
      </c>
      <c r="AH48" s="172">
        <v>1</v>
      </c>
      <c r="AI48" s="466">
        <f>IFERROR(IF('Gantt Proyectos'!AF116&lt;2,$N48*'Gantt Proyectos'!AF116,IF('Gantt Proyectos'!AF116=2,$N48*('Gantt Proyectos'!AF116-1))),0)*$L48*$Q48</f>
        <v>66306.666666666657</v>
      </c>
      <c r="AJ48" s="467">
        <f>IFERROR(IF('Gantt Proyectos'!AG116&lt;2,$N48*'Gantt Proyectos'!AG116,IF('Gantt Proyectos'!AG116=2,$N48*('Gantt Proyectos'!AG116-1))),0)*$L48*$Q48</f>
        <v>66306.666666666657</v>
      </c>
      <c r="AK48" s="467">
        <f>IFERROR(IF('Gantt Proyectos'!AH116&lt;2,$N48*'Gantt Proyectos'!AH116,IF('Gantt Proyectos'!AH116=2,$N48*('Gantt Proyectos'!AH116-1))),0)*$L48*$Q48</f>
        <v>66306.666666666657</v>
      </c>
      <c r="AL48" s="467">
        <f>IFERROR(IF('Gantt Proyectos'!AI116&lt;2,$N48*'Gantt Proyectos'!AI116,IF('Gantt Proyectos'!AI116=2,$N48*('Gantt Proyectos'!AI116-1))),0)*$L48*$Q48</f>
        <v>66306.666666666657</v>
      </c>
      <c r="AM48" s="467">
        <f>IFERROR(IF('Gantt Proyectos'!AJ116&lt;2,$N48*'Gantt Proyectos'!AJ116,IF('Gantt Proyectos'!AJ116=2,$N48*('Gantt Proyectos'!AJ116-1))),0)*$L48*$Q48</f>
        <v>0</v>
      </c>
      <c r="AN48" s="467">
        <f>IFERROR(IF('Gantt Proyectos'!AK116&lt;2,$N48*'Gantt Proyectos'!AK116,IF('Gantt Proyectos'!AK116=2,$N48*('Gantt Proyectos'!AK116-1))),0)*$L48*$Q48</f>
        <v>0</v>
      </c>
      <c r="AO48" s="467">
        <f>IFERROR(IF('Gantt Proyectos'!AL116&lt;2,$N48*'Gantt Proyectos'!AL116,IF('Gantt Proyectos'!AL116=2,$N48*('Gantt Proyectos'!AL116-1))),0)*$L48*$Q48</f>
        <v>0</v>
      </c>
      <c r="AP48" s="467">
        <f>IFERROR(IF('Gantt Proyectos'!AM116&lt;2,$N48*'Gantt Proyectos'!AM116,IF('Gantt Proyectos'!AM116=2,$N48*('Gantt Proyectos'!AM116-1))),0)*$L48*$Q48</f>
        <v>0</v>
      </c>
      <c r="AQ48" s="468">
        <f>IFERROR(IF('Gantt Proyectos'!AN116&lt;2,$N48*'Gantt Proyectos'!AN116,IF('Gantt Proyectos'!AN116=2,$N48*('Gantt Proyectos'!AN116-1))),0)*$L48*$Q48</f>
        <v>0</v>
      </c>
    </row>
    <row r="49" spans="1:43" ht="15" x14ac:dyDescent="0.2">
      <c r="C49" s="117">
        <f>+'Gantt Proyectos'!C117</f>
        <v>21</v>
      </c>
      <c r="D49" s="118" t="str">
        <f>+'Gantt Proyectos'!D117</f>
        <v>Resolution: Análisis de Proyecto Túnel 68L</v>
      </c>
      <c r="E49" s="118" t="str">
        <f>+'Gantt Proyectos'!E117</f>
        <v>BHP</v>
      </c>
      <c r="F49" s="146" t="str">
        <f>+'Gantt Proyectos'!F117</f>
        <v>Chile</v>
      </c>
      <c r="G49" s="118" t="str">
        <f>+'Gantt Proyectos'!G117</f>
        <v>Chile</v>
      </c>
      <c r="H49" s="118" t="str">
        <f>+'Gantt Proyectos'!H117</f>
        <v>Perú</v>
      </c>
      <c r="I49" s="189">
        <v>0.5</v>
      </c>
      <c r="J49" s="189">
        <f t="shared" si="5"/>
        <v>0.5</v>
      </c>
      <c r="K49" s="118" t="str">
        <f>+'Gantt Proyectos'!I117</f>
        <v>Subterránea</v>
      </c>
      <c r="L49" s="120">
        <f>+'Gantt Proyectos'!J117</f>
        <v>1</v>
      </c>
      <c r="M49" s="118" t="str">
        <f>+'Gantt Proyectos'!K117</f>
        <v>CA</v>
      </c>
      <c r="N49" s="118">
        <f>+'Gantt Proyectos'!L117</f>
        <v>47808</v>
      </c>
      <c r="O49" s="118">
        <f>+'Gantt Proyectos'!M117</f>
        <v>0</v>
      </c>
      <c r="P49" s="118">
        <f>+'Gantt Proyectos'!N117</f>
        <v>1</v>
      </c>
      <c r="Q49" s="472">
        <f>+Dashboard!I31</f>
        <v>1</v>
      </c>
      <c r="R49" s="119">
        <f>+'Gantt Proyectos'!O117</f>
        <v>45768</v>
      </c>
      <c r="S49" s="119">
        <f>+'Gantt Proyectos'!P117</f>
        <v>45803</v>
      </c>
      <c r="T49" s="118" t="str">
        <f>+'Gantt Proyectos'!R117</f>
        <v>No</v>
      </c>
      <c r="U49" s="118">
        <f>+'Gantt Proyectos'!S117</f>
        <v>0</v>
      </c>
      <c r="V49" s="156">
        <f>+'Gantt Proyectos'!T117</f>
        <v>45768</v>
      </c>
      <c r="W49" s="156">
        <f>+'Gantt Proyectos'!U117</f>
        <v>45803</v>
      </c>
      <c r="X49" s="201">
        <f t="shared" si="6"/>
        <v>2</v>
      </c>
      <c r="Y49" s="121">
        <f>+'Gantt Proyectos'!W117</f>
        <v>1</v>
      </c>
      <c r="Z49" s="122">
        <f>+'Gantt Proyectos'!X117</f>
        <v>0.33</v>
      </c>
      <c r="AA49" s="122">
        <f>+'Gantt Proyectos'!Y117</f>
        <v>0.5</v>
      </c>
      <c r="AB49" s="122">
        <f>+'Gantt Proyectos'!Z117</f>
        <v>0.33</v>
      </c>
      <c r="AC49" s="122">
        <f>+'Gantt Proyectos'!AA117</f>
        <v>1</v>
      </c>
      <c r="AD49" s="122">
        <f>+'Gantt Proyectos'!AB117</f>
        <v>0</v>
      </c>
      <c r="AE49" s="152" t="str">
        <f>+'Gantt Proyectos'!AC117</f>
        <v>Consultoria y Due Dilligence</v>
      </c>
      <c r="AF49" s="123" t="str">
        <f>+'Gantt Proyectos'!AD117</f>
        <v>Actual</v>
      </c>
      <c r="AG49" s="124" t="str">
        <f>+'Gantt Proyectos'!AE117</f>
        <v>2. KOM</v>
      </c>
      <c r="AH49" s="172">
        <v>1</v>
      </c>
      <c r="AI49" s="466">
        <f>IFERROR(IF('Gantt Proyectos'!AF117&lt;2,$N49*'Gantt Proyectos'!AF117,IF('Gantt Proyectos'!AF117=2,$N49*('Gantt Proyectos'!AF117-1))),0)*$L49*$Q49</f>
        <v>23904</v>
      </c>
      <c r="AJ49" s="467">
        <f>IFERROR(IF('Gantt Proyectos'!AG117&lt;2,$N49*'Gantt Proyectos'!AG117,IF('Gantt Proyectos'!AG117=2,$N49*('Gantt Proyectos'!AG117-1))),0)*$L49*$Q49</f>
        <v>23904</v>
      </c>
      <c r="AK49" s="467">
        <f>IFERROR(IF('Gantt Proyectos'!AH117&lt;2,$N49*'Gantt Proyectos'!AH117,IF('Gantt Proyectos'!AH117=2,$N49*('Gantt Proyectos'!AH117-1))),0)*$L49*$Q49</f>
        <v>0</v>
      </c>
      <c r="AL49" s="467">
        <f>IFERROR(IF('Gantt Proyectos'!AI117&lt;2,$N49*'Gantt Proyectos'!AI117,IF('Gantt Proyectos'!AI117=2,$N49*('Gantt Proyectos'!AI117-1))),0)*$L49*$Q49</f>
        <v>0</v>
      </c>
      <c r="AM49" s="467">
        <f>IFERROR(IF('Gantt Proyectos'!AJ117&lt;2,$N49*'Gantt Proyectos'!AJ117,IF('Gantt Proyectos'!AJ117=2,$N49*('Gantt Proyectos'!AJ117-1))),0)*$L49*$Q49</f>
        <v>0</v>
      </c>
      <c r="AN49" s="467">
        <f>IFERROR(IF('Gantt Proyectos'!AK117&lt;2,$N49*'Gantt Proyectos'!AK117,IF('Gantt Proyectos'!AK117=2,$N49*('Gantt Proyectos'!AK117-1))),0)*$L49*$Q49</f>
        <v>0</v>
      </c>
      <c r="AO49" s="467">
        <f>IFERROR(IF('Gantt Proyectos'!AL117&lt;2,$N49*'Gantt Proyectos'!AL117,IF('Gantt Proyectos'!AL117=2,$N49*('Gantt Proyectos'!AL117-1))),0)*$L49*$Q49</f>
        <v>0</v>
      </c>
      <c r="AP49" s="467">
        <f>IFERROR(IF('Gantt Proyectos'!AM117&lt;2,$N49*'Gantt Proyectos'!AM117,IF('Gantt Proyectos'!AM117=2,$N49*('Gantt Proyectos'!AM117-1))),0)*$L49*$Q49</f>
        <v>0</v>
      </c>
      <c r="AQ49" s="468">
        <f>IFERROR(IF('Gantt Proyectos'!AN117&lt;2,$N49*'Gantt Proyectos'!AN117,IF('Gantt Proyectos'!AN117=2,$N49*('Gantt Proyectos'!AN117-1))),0)*$L49*$Q49</f>
        <v>0</v>
      </c>
    </row>
    <row r="50" spans="1:43" ht="15" x14ac:dyDescent="0.2">
      <c r="C50" s="117">
        <f>+'Gantt Proyectos'!C118</f>
        <v>22</v>
      </c>
      <c r="D50" s="118" t="str">
        <f>+'Gantt Proyectos'!D118</f>
        <v>Cajati: Actualización Ingeniería P1</v>
      </c>
      <c r="E50" s="118" t="str">
        <f>+'Gantt Proyectos'!E118</f>
        <v>Mosaic</v>
      </c>
      <c r="F50" s="146" t="str">
        <f>+'Gantt Proyectos'!F118</f>
        <v>Brasil</v>
      </c>
      <c r="G50" s="118" t="str">
        <f>+'Gantt Proyectos'!G118</f>
        <v>Chile</v>
      </c>
      <c r="H50" s="118">
        <f>+'Gantt Proyectos'!H118</f>
        <v>0</v>
      </c>
      <c r="I50" s="189">
        <v>1</v>
      </c>
      <c r="J50" s="189">
        <f t="shared" si="5"/>
        <v>0</v>
      </c>
      <c r="K50" s="118" t="str">
        <f>+'Gantt Proyectos'!I118</f>
        <v>Subterránea</v>
      </c>
      <c r="L50" s="120">
        <f>+'Gantt Proyectos'!J118</f>
        <v>1</v>
      </c>
      <c r="M50" s="118" t="str">
        <f>+'Gantt Proyectos'!K118</f>
        <v>AF</v>
      </c>
      <c r="N50" s="118">
        <f>+'Gantt Proyectos'!L118</f>
        <v>147935</v>
      </c>
      <c r="O50" s="118">
        <f>+'Gantt Proyectos'!M118</f>
        <v>0</v>
      </c>
      <c r="P50" s="118">
        <f>+'Gantt Proyectos'!N118</f>
        <v>3</v>
      </c>
      <c r="Q50" s="472">
        <f>+Dashboard!I32</f>
        <v>1</v>
      </c>
      <c r="R50" s="119">
        <f>+'Gantt Proyectos'!O118</f>
        <v>45726</v>
      </c>
      <c r="S50" s="119">
        <f>+'Gantt Proyectos'!P118</f>
        <v>45866</v>
      </c>
      <c r="T50" s="118" t="str">
        <f>+'Gantt Proyectos'!R118</f>
        <v>No</v>
      </c>
      <c r="U50" s="118">
        <f>+'Gantt Proyectos'!S118</f>
        <v>0</v>
      </c>
      <c r="V50" s="156">
        <f>+'Gantt Proyectos'!T118</f>
        <v>45726</v>
      </c>
      <c r="W50" s="156">
        <f>+'Gantt Proyectos'!U118</f>
        <v>45866</v>
      </c>
      <c r="X50" s="201">
        <f t="shared" si="6"/>
        <v>5</v>
      </c>
      <c r="Y50" s="121">
        <f>+'Gantt Proyectos'!W118</f>
        <v>2.5503355704697985</v>
      </c>
      <c r="Z50" s="122">
        <f>+'Gantt Proyectos'!X118</f>
        <v>0.5</v>
      </c>
      <c r="AA50" s="122">
        <f>+'Gantt Proyectos'!Y118</f>
        <v>0.67</v>
      </c>
      <c r="AB50" s="122">
        <f>+'Gantt Proyectos'!Z118</f>
        <v>1</v>
      </c>
      <c r="AC50" s="122">
        <f>+'Gantt Proyectos'!AA118</f>
        <v>2.5</v>
      </c>
      <c r="AD50" s="122">
        <f>+'Gantt Proyectos'!AB118</f>
        <v>1</v>
      </c>
      <c r="AE50" s="152" t="str">
        <f>+'Gantt Proyectos'!AC118</f>
        <v>FS e Ing. Basica</v>
      </c>
      <c r="AF50" s="123" t="str">
        <f>+'Gantt Proyectos'!AD118</f>
        <v>Actual</v>
      </c>
      <c r="AG50" s="124" t="str">
        <f>+'Gantt Proyectos'!AE118</f>
        <v>2. KOM</v>
      </c>
      <c r="AH50" s="172">
        <v>1</v>
      </c>
      <c r="AI50" s="466">
        <f>IFERROR(IF('Gantt Proyectos'!AF118&lt;2,$N50*'Gantt Proyectos'!AF118,IF('Gantt Proyectos'!AF118=2,$N50*('Gantt Proyectos'!AF118-1))),0)*$L50*$Q50</f>
        <v>29587</v>
      </c>
      <c r="AJ50" s="467">
        <f>IFERROR(IF('Gantt Proyectos'!AG118&lt;2,$N50*'Gantt Proyectos'!AG118,IF('Gantt Proyectos'!AG118=2,$N50*('Gantt Proyectos'!AG118-1))),0)*$L50*$Q50</f>
        <v>29587</v>
      </c>
      <c r="AK50" s="467">
        <f>IFERROR(IF('Gantt Proyectos'!AH118&lt;2,$N50*'Gantt Proyectos'!AH118,IF('Gantt Proyectos'!AH118=2,$N50*('Gantt Proyectos'!AH118-1))),0)*$L50*$Q50</f>
        <v>29587</v>
      </c>
      <c r="AL50" s="467">
        <f>IFERROR(IF('Gantt Proyectos'!AI118&lt;2,$N50*'Gantt Proyectos'!AI118,IF('Gantt Proyectos'!AI118=2,$N50*('Gantt Proyectos'!AI118-1))),0)*$L50*$Q50</f>
        <v>29587</v>
      </c>
      <c r="AM50" s="467">
        <f>IFERROR(IF('Gantt Proyectos'!AJ118&lt;2,$N50*'Gantt Proyectos'!AJ118,IF('Gantt Proyectos'!AJ118=2,$N50*('Gantt Proyectos'!AJ118-1))),0)*$L50*$Q50</f>
        <v>0</v>
      </c>
      <c r="AN50" s="467">
        <f>IFERROR(IF('Gantt Proyectos'!AK118&lt;2,$N50*'Gantt Proyectos'!AK118,IF('Gantt Proyectos'!AK118=2,$N50*('Gantt Proyectos'!AK118-1))),0)*$L50*$Q50</f>
        <v>0</v>
      </c>
      <c r="AO50" s="467">
        <f>IFERROR(IF('Gantt Proyectos'!AL118&lt;2,$N50*'Gantt Proyectos'!AL118,IF('Gantt Proyectos'!AL118=2,$N50*('Gantt Proyectos'!AL118-1))),0)*$L50*$Q50</f>
        <v>0</v>
      </c>
      <c r="AP50" s="467">
        <f>IFERROR(IF('Gantt Proyectos'!AM118&lt;2,$N50*'Gantt Proyectos'!AM118,IF('Gantt Proyectos'!AM118=2,$N50*('Gantt Proyectos'!AM118-1))),0)*$L50*$Q50</f>
        <v>0</v>
      </c>
      <c r="AQ50" s="468">
        <f>IFERROR(IF('Gantt Proyectos'!AN118&lt;2,$N50*'Gantt Proyectos'!AN118,IF('Gantt Proyectos'!AN118=2,$N50*('Gantt Proyectos'!AN118-1))),0)*$L50*$Q50</f>
        <v>0</v>
      </c>
    </row>
    <row r="51" spans="1:43" ht="15" x14ac:dyDescent="0.2">
      <c r="C51" s="117">
        <f>+'Gantt Proyectos'!C119</f>
        <v>23</v>
      </c>
      <c r="D51" s="118" t="str">
        <f>+'Gantt Proyectos'!D119</f>
        <v>LOM Integrado San Rafael: 2025</v>
      </c>
      <c r="E51" s="118" t="str">
        <f>+'Gantt Proyectos'!E119</f>
        <v>Minsur</v>
      </c>
      <c r="F51" s="146" t="str">
        <f>+'Gantt Proyectos'!F119</f>
        <v>Perú</v>
      </c>
      <c r="G51" s="118" t="str">
        <f>+'Gantt Proyectos'!G119</f>
        <v>Perú</v>
      </c>
      <c r="H51" s="118" t="str">
        <f>+'Gantt Proyectos'!H119</f>
        <v>Chile</v>
      </c>
      <c r="I51" s="189">
        <v>0.5</v>
      </c>
      <c r="J51" s="189">
        <f t="shared" si="5"/>
        <v>0.5</v>
      </c>
      <c r="K51" s="118" t="str">
        <f>+'Gantt Proyectos'!I119</f>
        <v>Subterránea</v>
      </c>
      <c r="L51" s="120">
        <f>+'Gantt Proyectos'!J119</f>
        <v>1</v>
      </c>
      <c r="M51" s="118" t="str">
        <f>+'Gantt Proyectos'!K119</f>
        <v>MF</v>
      </c>
      <c r="N51" s="118">
        <f>+'Gantt Proyectos'!L119</f>
        <v>60000</v>
      </c>
      <c r="O51" s="118">
        <f>+'Gantt Proyectos'!M119</f>
        <v>0</v>
      </c>
      <c r="P51" s="118">
        <f>+'Gantt Proyectos'!N119</f>
        <v>2</v>
      </c>
      <c r="Q51" s="472">
        <f>+Dashboard!I33</f>
        <v>1</v>
      </c>
      <c r="R51" s="119">
        <f>+'Gantt Proyectos'!O119</f>
        <v>45719</v>
      </c>
      <c r="S51" s="119">
        <f>+'Gantt Proyectos'!P119</f>
        <v>45859</v>
      </c>
      <c r="T51" s="118" t="str">
        <f>+'Gantt Proyectos'!R119</f>
        <v>No</v>
      </c>
      <c r="U51" s="118">
        <f>+'Gantt Proyectos'!S119</f>
        <v>0</v>
      </c>
      <c r="V51" s="156">
        <f>+'Gantt Proyectos'!T119</f>
        <v>45719</v>
      </c>
      <c r="W51" s="156">
        <f>+'Gantt Proyectos'!U119</f>
        <v>45859</v>
      </c>
      <c r="X51" s="201">
        <f t="shared" si="6"/>
        <v>5</v>
      </c>
      <c r="Y51" s="121">
        <f>+'Gantt Proyectos'!W119</f>
        <v>0.72035794183445179</v>
      </c>
      <c r="Z51" s="122">
        <f>+'Gantt Proyectos'!X119</f>
        <v>0.25</v>
      </c>
      <c r="AA51" s="122">
        <f>+'Gantt Proyectos'!Y119</f>
        <v>0.33</v>
      </c>
      <c r="AB51" s="122">
        <f>+'Gantt Proyectos'!Z119</f>
        <v>0</v>
      </c>
      <c r="AC51" s="122">
        <f>+'Gantt Proyectos'!AA119</f>
        <v>0.5</v>
      </c>
      <c r="AD51" s="122">
        <f>+'Gantt Proyectos'!AB119</f>
        <v>0.5</v>
      </c>
      <c r="AE51" s="152" t="str">
        <f>+'Gantt Proyectos'!AC119</f>
        <v>Estudio Conceptual / LOM</v>
      </c>
      <c r="AF51" s="123" t="str">
        <f>+'Gantt Proyectos'!AD119</f>
        <v>Actual</v>
      </c>
      <c r="AG51" s="124" t="str">
        <f>+'Gantt Proyectos'!AE119</f>
        <v>2. KOM</v>
      </c>
      <c r="AH51" s="172">
        <v>1</v>
      </c>
      <c r="AI51" s="466">
        <f>IFERROR(IF('Gantt Proyectos'!AF119&lt;2,$N51*'Gantt Proyectos'!AF119,IF('Gantt Proyectos'!AF119=2,$N51*('Gantt Proyectos'!AF119-1))),0)*$L51*$Q51</f>
        <v>12000</v>
      </c>
      <c r="AJ51" s="467">
        <f>IFERROR(IF('Gantt Proyectos'!AG119&lt;2,$N51*'Gantt Proyectos'!AG119,IF('Gantt Proyectos'!AG119=2,$N51*('Gantt Proyectos'!AG119-1))),0)*$L51*$Q51</f>
        <v>12000</v>
      </c>
      <c r="AK51" s="467">
        <f>IFERROR(IF('Gantt Proyectos'!AH119&lt;2,$N51*'Gantt Proyectos'!AH119,IF('Gantt Proyectos'!AH119=2,$N51*('Gantt Proyectos'!AH119-1))),0)*$L51*$Q51</f>
        <v>12000</v>
      </c>
      <c r="AL51" s="467">
        <f>IFERROR(IF('Gantt Proyectos'!AI119&lt;2,$N51*'Gantt Proyectos'!AI119,IF('Gantt Proyectos'!AI119=2,$N51*('Gantt Proyectos'!AI119-1))),0)*$L51*$Q51</f>
        <v>12000</v>
      </c>
      <c r="AM51" s="467">
        <f>IFERROR(IF('Gantt Proyectos'!AJ119&lt;2,$N51*'Gantt Proyectos'!AJ119,IF('Gantt Proyectos'!AJ119=2,$N51*('Gantt Proyectos'!AJ119-1))),0)*$L51*$Q51</f>
        <v>0</v>
      </c>
      <c r="AN51" s="467">
        <f>IFERROR(IF('Gantt Proyectos'!AK119&lt;2,$N51*'Gantt Proyectos'!AK119,IF('Gantt Proyectos'!AK119=2,$N51*('Gantt Proyectos'!AK119-1))),0)*$L51*$Q51</f>
        <v>0</v>
      </c>
      <c r="AO51" s="467">
        <f>IFERROR(IF('Gantt Proyectos'!AL119&lt;2,$N51*'Gantt Proyectos'!AL119,IF('Gantt Proyectos'!AL119=2,$N51*('Gantt Proyectos'!AL119-1))),0)*$L51*$Q51</f>
        <v>0</v>
      </c>
      <c r="AP51" s="467">
        <f>IFERROR(IF('Gantt Proyectos'!AM119&lt;2,$N51*'Gantt Proyectos'!AM119,IF('Gantt Proyectos'!AM119=2,$N51*('Gantt Proyectos'!AM119-1))),0)*$L51*$Q51</f>
        <v>0</v>
      </c>
      <c r="AQ51" s="468">
        <f>IFERROR(IF('Gantt Proyectos'!AN119&lt;2,$N51*'Gantt Proyectos'!AN119,IF('Gantt Proyectos'!AN119=2,$N51*('Gantt Proyectos'!AN119-1))),0)*$L51*$Q51</f>
        <v>0</v>
      </c>
    </row>
    <row r="52" spans="1:43" ht="15" x14ac:dyDescent="0.2">
      <c r="C52" s="117">
        <f>+'Gantt Proyectos'!C120</f>
        <v>24</v>
      </c>
      <c r="D52" s="118" t="str">
        <f>+'Gantt Proyectos'!D120</f>
        <v>Soporte Minero en Litigio OT - Gobierno Mongolia (Fase 2)</v>
      </c>
      <c r="E52" s="118" t="str">
        <f>+'Gantt Proyectos'!E120</f>
        <v>ThreeCrowns</v>
      </c>
      <c r="F52" s="146" t="str">
        <f>+'Gantt Proyectos'!F120</f>
        <v>USA</v>
      </c>
      <c r="G52" s="118" t="str">
        <f>+'Gantt Proyectos'!G120</f>
        <v>Chile</v>
      </c>
      <c r="H52" s="118">
        <f>+'Gantt Proyectos'!H120</f>
        <v>0</v>
      </c>
      <c r="I52" s="189">
        <v>1</v>
      </c>
      <c r="J52" s="189">
        <f t="shared" si="5"/>
        <v>0</v>
      </c>
      <c r="K52" s="118" t="str">
        <f>+'Gantt Proyectos'!I120</f>
        <v>Subterránea</v>
      </c>
      <c r="L52" s="120">
        <f>+'Gantt Proyectos'!J120</f>
        <v>1</v>
      </c>
      <c r="M52" s="118" t="str">
        <f>+'Gantt Proyectos'!K120</f>
        <v>-</v>
      </c>
      <c r="N52" s="118">
        <f>+'Gantt Proyectos'!L120</f>
        <v>350000</v>
      </c>
      <c r="O52" s="118">
        <f>+'Gantt Proyectos'!M120</f>
        <v>350000</v>
      </c>
      <c r="P52" s="118">
        <f>+'Gantt Proyectos'!N120</f>
        <v>2</v>
      </c>
      <c r="Q52" s="472">
        <f>+Dashboard!I34</f>
        <v>1</v>
      </c>
      <c r="R52" s="119">
        <f>+'Gantt Proyectos'!O120</f>
        <v>45775</v>
      </c>
      <c r="S52" s="119">
        <f>+'Gantt Proyectos'!P120</f>
        <v>45838</v>
      </c>
      <c r="T52" s="118" t="str">
        <f>+'Gantt Proyectos'!R120</f>
        <v>No</v>
      </c>
      <c r="U52" s="118">
        <f>+'Gantt Proyectos'!S120</f>
        <v>0</v>
      </c>
      <c r="V52" s="156">
        <f>+'Gantt Proyectos'!T120</f>
        <v>45775</v>
      </c>
      <c r="W52" s="156">
        <f>+'Gantt Proyectos'!U120</f>
        <v>45838</v>
      </c>
      <c r="X52" s="201">
        <f t="shared" si="6"/>
        <v>3</v>
      </c>
      <c r="Y52" s="121">
        <f>+'Gantt Proyectos'!W120</f>
        <v>1</v>
      </c>
      <c r="Z52" s="122">
        <f>+'Gantt Proyectos'!X120</f>
        <v>0.33</v>
      </c>
      <c r="AA52" s="122">
        <f>+'Gantt Proyectos'!Y120</f>
        <v>0.5</v>
      </c>
      <c r="AB52" s="122">
        <f>+'Gantt Proyectos'!Z120</f>
        <v>0.33</v>
      </c>
      <c r="AC52" s="122">
        <f>+'Gantt Proyectos'!AA120</f>
        <v>1</v>
      </c>
      <c r="AD52" s="122">
        <f>+'Gantt Proyectos'!AB120</f>
        <v>0</v>
      </c>
      <c r="AE52" s="152" t="str">
        <f>+'Gantt Proyectos'!AC120</f>
        <v>Consultoria y Due Dilligence</v>
      </c>
      <c r="AF52" s="123" t="str">
        <f>+'Gantt Proyectos'!AD120</f>
        <v>Actual</v>
      </c>
      <c r="AG52" s="124" t="str">
        <f>+'Gantt Proyectos'!AE120</f>
        <v>2. KOM</v>
      </c>
      <c r="AH52" s="172">
        <v>1</v>
      </c>
      <c r="AI52" s="466">
        <f>IFERROR(IF('Gantt Proyectos'!AF120&lt;2,$N52*'Gantt Proyectos'!AF120,IF('Gantt Proyectos'!AF120=2,$N52*('Gantt Proyectos'!AF120-1))),0)*$L52*$Q52</f>
        <v>116666.66666666666</v>
      </c>
      <c r="AJ52" s="467">
        <f>IFERROR(IF('Gantt Proyectos'!AG120&lt;2,$N52*'Gantt Proyectos'!AG120,IF('Gantt Proyectos'!AG120=2,$N52*('Gantt Proyectos'!AG120-1))),0)*$L52*$Q52</f>
        <v>116666.66666666666</v>
      </c>
      <c r="AK52" s="467">
        <f>IFERROR(IF('Gantt Proyectos'!AH120&lt;2,$N52*'Gantt Proyectos'!AH120,IF('Gantt Proyectos'!AH120=2,$N52*('Gantt Proyectos'!AH120-1))),0)*$L52*$Q52</f>
        <v>116666.66666666666</v>
      </c>
      <c r="AL52" s="467">
        <f>IFERROR(IF('Gantt Proyectos'!AI120&lt;2,$N52*'Gantt Proyectos'!AI120,IF('Gantt Proyectos'!AI120=2,$N52*('Gantt Proyectos'!AI120-1))),0)*$L52*$Q52</f>
        <v>0</v>
      </c>
      <c r="AM52" s="467">
        <f>IFERROR(IF('Gantt Proyectos'!AJ120&lt;2,$N52*'Gantt Proyectos'!AJ120,IF('Gantt Proyectos'!AJ120=2,$N52*('Gantt Proyectos'!AJ120-1))),0)*$L52*$Q52</f>
        <v>0</v>
      </c>
      <c r="AN52" s="467">
        <f>IFERROR(IF('Gantt Proyectos'!AK120&lt;2,$N52*'Gantt Proyectos'!AK120,IF('Gantt Proyectos'!AK120=2,$N52*('Gantt Proyectos'!AK120-1))),0)*$L52*$Q52</f>
        <v>0</v>
      </c>
      <c r="AO52" s="467">
        <f>IFERROR(IF('Gantt Proyectos'!AL120&lt;2,$N52*'Gantt Proyectos'!AL120,IF('Gantt Proyectos'!AL120=2,$N52*('Gantt Proyectos'!AL120-1))),0)*$L52*$Q52</f>
        <v>0</v>
      </c>
      <c r="AP52" s="467">
        <f>IFERROR(IF('Gantt Proyectos'!AM120&lt;2,$N52*'Gantt Proyectos'!AM120,IF('Gantt Proyectos'!AM120=2,$N52*('Gantt Proyectos'!AM120-1))),0)*$L52*$Q52</f>
        <v>0</v>
      </c>
      <c r="AQ52" s="468">
        <f>IFERROR(IF('Gantt Proyectos'!AN120&lt;2,$N52*'Gantt Proyectos'!AN120,IF('Gantt Proyectos'!AN120=2,$N52*('Gantt Proyectos'!AN120-1))),0)*$L52*$Q52</f>
        <v>0</v>
      </c>
    </row>
    <row r="53" spans="1:43" ht="15" x14ac:dyDescent="0.2">
      <c r="C53" s="117">
        <f>+'Gantt Proyectos'!C121</f>
        <v>25</v>
      </c>
      <c r="D53" s="118" t="str">
        <f>+'Gantt Proyectos'!D121</f>
        <v>Aura: Ingeniería Túnel de Exploraciones</v>
      </c>
      <c r="E53" s="118" t="str">
        <f>+'Gantt Proyectos'!E121</f>
        <v>Aura Minerals</v>
      </c>
      <c r="F53" s="146" t="str">
        <f>+'Gantt Proyectos'!F121</f>
        <v>Brasil</v>
      </c>
      <c r="G53" s="118" t="str">
        <f>+'Gantt Proyectos'!G121</f>
        <v>Chile</v>
      </c>
      <c r="H53" s="118">
        <f>+'Gantt Proyectos'!H121</f>
        <v>0</v>
      </c>
      <c r="I53" s="189">
        <v>1</v>
      </c>
      <c r="J53" s="189">
        <f t="shared" si="5"/>
        <v>0</v>
      </c>
      <c r="K53" s="118" t="str">
        <f>+'Gantt Proyectos'!I121</f>
        <v>Subterránea</v>
      </c>
      <c r="L53" s="120">
        <f>+'Gantt Proyectos'!J121</f>
        <v>1</v>
      </c>
      <c r="M53" s="118" t="str">
        <f>+'Gantt Proyectos'!K121</f>
        <v>AF</v>
      </c>
      <c r="N53" s="118">
        <f>+'Gantt Proyectos'!L121</f>
        <v>108000</v>
      </c>
      <c r="O53" s="118">
        <f>+'Gantt Proyectos'!M121</f>
        <v>108000</v>
      </c>
      <c r="P53" s="118">
        <f>+'Gantt Proyectos'!N121</f>
        <v>1</v>
      </c>
      <c r="Q53" s="472">
        <f>+Dashboard!I35</f>
        <v>1</v>
      </c>
      <c r="R53" s="119">
        <f>+'Gantt Proyectos'!O121</f>
        <v>45761</v>
      </c>
      <c r="S53" s="119">
        <f>+'Gantt Proyectos'!P121</f>
        <v>45859</v>
      </c>
      <c r="T53" s="118" t="str">
        <f>+'Gantt Proyectos'!R121</f>
        <v>No</v>
      </c>
      <c r="U53" s="118">
        <f>+'Gantt Proyectos'!S121</f>
        <v>0</v>
      </c>
      <c r="V53" s="156">
        <f>+'Gantt Proyectos'!T121</f>
        <v>45761</v>
      </c>
      <c r="W53" s="156">
        <f>+'Gantt Proyectos'!U121</f>
        <v>45859</v>
      </c>
      <c r="X53" s="201">
        <f t="shared" si="6"/>
        <v>4</v>
      </c>
      <c r="Y53" s="121">
        <f>+'Gantt Proyectos'!W121</f>
        <v>1.4474272930648768</v>
      </c>
      <c r="Z53" s="122">
        <f>+'Gantt Proyectos'!X121</f>
        <v>0.33</v>
      </c>
      <c r="AA53" s="122">
        <f>+'Gantt Proyectos'!Y121</f>
        <v>0.5</v>
      </c>
      <c r="AB53" s="122">
        <f>+'Gantt Proyectos'!Z121</f>
        <v>0.33</v>
      </c>
      <c r="AC53" s="122">
        <f>+'Gantt Proyectos'!AA121</f>
        <v>1</v>
      </c>
      <c r="AD53" s="122">
        <f>+'Gantt Proyectos'!AB121</f>
        <v>1</v>
      </c>
      <c r="AE53" s="152" t="str">
        <f>+'Gantt Proyectos'!AC121</f>
        <v>Scoping</v>
      </c>
      <c r="AF53" s="123" t="str">
        <f>+'Gantt Proyectos'!AD121</f>
        <v>Actual</v>
      </c>
      <c r="AG53" s="124" t="str">
        <f>+'Gantt Proyectos'!AE121</f>
        <v>2. KOM</v>
      </c>
      <c r="AH53" s="172">
        <v>1</v>
      </c>
      <c r="AI53" s="466">
        <f>IFERROR(IF('Gantt Proyectos'!AF121&lt;2,$N53*'Gantt Proyectos'!AF121,IF('Gantt Proyectos'!AF121=2,$N53*('Gantt Proyectos'!AF121-1))),0)*$L53*$Q53</f>
        <v>27000</v>
      </c>
      <c r="AJ53" s="467">
        <f>IFERROR(IF('Gantt Proyectos'!AG121&lt;2,$N53*'Gantt Proyectos'!AG121,IF('Gantt Proyectos'!AG121=2,$N53*('Gantt Proyectos'!AG121-1))),0)*$L53*$Q53</f>
        <v>27000</v>
      </c>
      <c r="AK53" s="467">
        <f>IFERROR(IF('Gantt Proyectos'!AH121&lt;2,$N53*'Gantt Proyectos'!AH121,IF('Gantt Proyectos'!AH121=2,$N53*('Gantt Proyectos'!AH121-1))),0)*$L53*$Q53</f>
        <v>27000</v>
      </c>
      <c r="AL53" s="467">
        <f>IFERROR(IF('Gantt Proyectos'!AI121&lt;2,$N53*'Gantt Proyectos'!AI121,IF('Gantt Proyectos'!AI121=2,$N53*('Gantt Proyectos'!AI121-1))),0)*$L53*$Q53</f>
        <v>27000</v>
      </c>
      <c r="AM53" s="467">
        <f>IFERROR(IF('Gantt Proyectos'!AJ121&lt;2,$N53*'Gantt Proyectos'!AJ121,IF('Gantt Proyectos'!AJ121=2,$N53*('Gantt Proyectos'!AJ121-1))),0)*$L53*$Q53</f>
        <v>0</v>
      </c>
      <c r="AN53" s="467">
        <f>IFERROR(IF('Gantt Proyectos'!AK121&lt;2,$N53*'Gantt Proyectos'!AK121,IF('Gantt Proyectos'!AK121=2,$N53*('Gantt Proyectos'!AK121-1))),0)*$L53*$Q53</f>
        <v>0</v>
      </c>
      <c r="AO53" s="467">
        <f>IFERROR(IF('Gantt Proyectos'!AL121&lt;2,$N53*'Gantt Proyectos'!AL121,IF('Gantt Proyectos'!AL121=2,$N53*('Gantt Proyectos'!AL121-1))),0)*$L53*$Q53</f>
        <v>0</v>
      </c>
      <c r="AP53" s="467">
        <f>IFERROR(IF('Gantt Proyectos'!AM121&lt;2,$N53*'Gantt Proyectos'!AM121,IF('Gantt Proyectos'!AM121=2,$N53*('Gantt Proyectos'!AM121-1))),0)*$L53*$Q53</f>
        <v>0</v>
      </c>
      <c r="AQ53" s="468">
        <f>IFERROR(IF('Gantt Proyectos'!AN121&lt;2,$N53*'Gantt Proyectos'!AN121,IF('Gantt Proyectos'!AN121=2,$N53*('Gantt Proyectos'!AN121-1))),0)*$L53*$Q53</f>
        <v>0</v>
      </c>
    </row>
    <row r="54" spans="1:43" ht="15" x14ac:dyDescent="0.2">
      <c r="A54" s="110" t="b">
        <f>+B54=Q54</f>
        <v>0</v>
      </c>
      <c r="B54" s="610">
        <v>0.7</v>
      </c>
      <c r="C54" s="117">
        <f>+'Gantt Proyectos'!C122</f>
        <v>26</v>
      </c>
      <c r="D54" s="604" t="str">
        <f>+'Gantt Proyectos'!D122</f>
        <v>Los Calatos - DFS</v>
      </c>
      <c r="E54" s="602" t="str">
        <f>+'Gantt Proyectos'!E122</f>
        <v>CD Capital</v>
      </c>
      <c r="F54" s="605" t="str">
        <f>+'Gantt Proyectos'!F122</f>
        <v>Perú</v>
      </c>
      <c r="G54" s="604" t="str">
        <f>+'Gantt Proyectos'!G122</f>
        <v>Chile</v>
      </c>
      <c r="H54" s="604" t="str">
        <f>+'Gantt Proyectos'!H122</f>
        <v>Perú</v>
      </c>
      <c r="I54" s="606">
        <v>0.5</v>
      </c>
      <c r="J54" s="606">
        <f t="shared" si="5"/>
        <v>0.5</v>
      </c>
      <c r="K54" s="604" t="str">
        <f>+'Gantt Proyectos'!I122</f>
        <v>Subterránea</v>
      </c>
      <c r="L54" s="607">
        <f>+'Gantt Proyectos'!J122</f>
        <v>1</v>
      </c>
      <c r="M54" s="602" t="str">
        <f>+'Gantt Proyectos'!K122</f>
        <v>AF</v>
      </c>
      <c r="N54" s="602">
        <f>+'Gantt Proyectos'!L122</f>
        <v>1100000</v>
      </c>
      <c r="O54" s="602">
        <f>+'Gantt Proyectos'!M122</f>
        <v>1100000</v>
      </c>
      <c r="P54" s="602">
        <f>+'Gantt Proyectos'!N122</f>
        <v>1</v>
      </c>
      <c r="Q54" s="603">
        <f>+Dashboard!I36</f>
        <v>1</v>
      </c>
      <c r="R54" s="119">
        <f>+'Gantt Proyectos'!O122</f>
        <v>45840</v>
      </c>
      <c r="S54" s="119">
        <f>+'Gantt Proyectos'!P122</f>
        <v>46058</v>
      </c>
      <c r="T54" s="145" t="str">
        <f>+'Gantt Proyectos'!R122</f>
        <v>No</v>
      </c>
      <c r="U54" s="118">
        <f>+'Gantt Proyectos'!S122</f>
        <v>0</v>
      </c>
      <c r="V54" s="156">
        <f>+'Gantt Proyectos'!T122</f>
        <v>45840</v>
      </c>
      <c r="W54" s="156">
        <f>+'Gantt Proyectos'!U122</f>
        <v>46058</v>
      </c>
      <c r="X54" s="201">
        <f t="shared" si="6"/>
        <v>8</v>
      </c>
      <c r="Y54" s="121">
        <f>+'Gantt Proyectos'!W122</f>
        <v>2.5503355704697985</v>
      </c>
      <c r="Z54" s="122">
        <f>+'Gantt Proyectos'!X122</f>
        <v>0.5</v>
      </c>
      <c r="AA54" s="122">
        <f>+'Gantt Proyectos'!Y122</f>
        <v>0.67</v>
      </c>
      <c r="AB54" s="122">
        <f>+'Gantt Proyectos'!Z122</f>
        <v>1</v>
      </c>
      <c r="AC54" s="122">
        <f>+'Gantt Proyectos'!AA122</f>
        <v>2.5</v>
      </c>
      <c r="AD54" s="122">
        <f>+'Gantt Proyectos'!AB122</f>
        <v>1</v>
      </c>
      <c r="AE54" s="152" t="str">
        <f>+'Gantt Proyectos'!AC122</f>
        <v>FS e Ing. Basica</v>
      </c>
      <c r="AF54" s="123" t="str">
        <f>+'Gantt Proyectos'!AD122</f>
        <v>Asignado</v>
      </c>
      <c r="AG54" s="124" t="str">
        <f>+'Gantt Proyectos'!AE122</f>
        <v>1. Proyectado: Asignado</v>
      </c>
      <c r="AH54" s="172">
        <v>1</v>
      </c>
      <c r="AI54" s="466">
        <f>IFERROR(IF('Gantt Proyectos'!AF122&lt;2,$N54*'Gantt Proyectos'!AF122,IF('Gantt Proyectos'!AF122=2,$N54*('Gantt Proyectos'!AF122-1))),0)*$L54*$Q54</f>
        <v>0</v>
      </c>
      <c r="AJ54" s="467">
        <f>IFERROR(IF('Gantt Proyectos'!AG122&lt;2,$N54*'Gantt Proyectos'!AG122,IF('Gantt Proyectos'!AG122=2,$N54*('Gantt Proyectos'!AG122-1))),0)*$L54*$Q54</f>
        <v>0</v>
      </c>
      <c r="AK54" s="467">
        <f>IFERROR(IF('Gantt Proyectos'!AH122&lt;2,$N54*'Gantt Proyectos'!AH122,IF('Gantt Proyectos'!AH122=2,$N54*('Gantt Proyectos'!AH122-1))),0)*$L54*$Q54</f>
        <v>0</v>
      </c>
      <c r="AL54" s="467">
        <f>IFERROR(IF('Gantt Proyectos'!AI122&lt;2,$N54*'Gantt Proyectos'!AI122,IF('Gantt Proyectos'!AI122=2,$N54*('Gantt Proyectos'!AI122-1))),0)*$L54*$Q54</f>
        <v>137500</v>
      </c>
      <c r="AM54" s="467">
        <f>IFERROR(IF('Gantt Proyectos'!AJ122&lt;2,$N54*'Gantt Proyectos'!AJ122,IF('Gantt Proyectos'!AJ122=2,$N54*('Gantt Proyectos'!AJ122-1))),0)*$L54*$Q54</f>
        <v>137500</v>
      </c>
      <c r="AN54" s="467">
        <f>IFERROR(IF('Gantt Proyectos'!AK122&lt;2,$N54*'Gantt Proyectos'!AK122,IF('Gantt Proyectos'!AK122=2,$N54*('Gantt Proyectos'!AK122-1))),0)*$L54*$Q54</f>
        <v>137500</v>
      </c>
      <c r="AO54" s="467">
        <f>IFERROR(IF('Gantt Proyectos'!AL122&lt;2,$N54*'Gantt Proyectos'!AL122,IF('Gantt Proyectos'!AL122=2,$N54*('Gantt Proyectos'!AL122-1))),0)*$L54*$Q54</f>
        <v>137500</v>
      </c>
      <c r="AP54" s="467">
        <f>IFERROR(IF('Gantt Proyectos'!AM122&lt;2,$N54*'Gantt Proyectos'!AM122,IF('Gantt Proyectos'!AM122=2,$N54*('Gantt Proyectos'!AM122-1))),0)*$L54*$Q54</f>
        <v>137500</v>
      </c>
      <c r="AQ54" s="468">
        <f>IFERROR(IF('Gantt Proyectos'!AN122&lt;2,$N54*'Gantt Proyectos'!AN122,IF('Gantt Proyectos'!AN122=2,$N54*('Gantt Proyectos'!AN122-1))),0)*$L54*$Q54</f>
        <v>137500</v>
      </c>
    </row>
    <row r="55" spans="1:43" ht="15" x14ac:dyDescent="0.2">
      <c r="A55" s="110" t="b">
        <f t="shared" ref="A55:A85" si="7">+B55=Q55</f>
        <v>1</v>
      </c>
      <c r="B55" s="610">
        <v>0.7</v>
      </c>
      <c r="C55" s="117">
        <f>+'Gantt Proyectos'!C123</f>
        <v>27</v>
      </c>
      <c r="D55" s="604" t="str">
        <f>+'Gantt Proyectos'!D123</f>
        <v>Ferrobamba PFS</v>
      </c>
      <c r="E55" s="602" t="str">
        <f>+'Gantt Proyectos'!E123</f>
        <v>Las Bambas</v>
      </c>
      <c r="F55" s="605" t="str">
        <f>+'Gantt Proyectos'!F123</f>
        <v>Perú</v>
      </c>
      <c r="G55" s="604" t="str">
        <f>+'Gantt Proyectos'!G123</f>
        <v>Chile</v>
      </c>
      <c r="H55" s="604">
        <f>+'Gantt Proyectos'!H123</f>
        <v>0</v>
      </c>
      <c r="I55" s="606">
        <v>1</v>
      </c>
      <c r="J55" s="606">
        <f t="shared" si="5"/>
        <v>0</v>
      </c>
      <c r="K55" s="604" t="str">
        <f>+'Gantt Proyectos'!I123</f>
        <v>Subterránea</v>
      </c>
      <c r="L55" s="607">
        <f>+'Gantt Proyectos'!J123</f>
        <v>1</v>
      </c>
      <c r="M55" s="602" t="str">
        <f>+'Gantt Proyectos'!K123</f>
        <v>RM</v>
      </c>
      <c r="N55" s="602">
        <f>+'Gantt Proyectos'!L123</f>
        <v>600000</v>
      </c>
      <c r="O55" s="602">
        <f>+'Gantt Proyectos'!M123</f>
        <v>600000</v>
      </c>
      <c r="P55" s="602">
        <f>+'Gantt Proyectos'!N123</f>
        <v>2</v>
      </c>
      <c r="Q55" s="603">
        <f>+Dashboard!I37</f>
        <v>0.7</v>
      </c>
      <c r="R55" s="500">
        <f>+'Gantt Proyectos'!O123</f>
        <v>45845</v>
      </c>
      <c r="S55" s="500">
        <f>+'Gantt Proyectos'!P123</f>
        <v>46139</v>
      </c>
      <c r="T55" s="145" t="str">
        <f>+'Gantt Proyectos'!R123</f>
        <v>No</v>
      </c>
      <c r="U55" s="118">
        <f>+'Gantt Proyectos'!S123</f>
        <v>0</v>
      </c>
      <c r="V55" s="156">
        <f>+'Gantt Proyectos'!T123</f>
        <v>45845</v>
      </c>
      <c r="W55" s="156">
        <f>+'Gantt Proyectos'!U123</f>
        <v>46139</v>
      </c>
      <c r="X55" s="201">
        <f t="shared" si="6"/>
        <v>10</v>
      </c>
      <c r="Y55" s="121">
        <f>+'Gantt Proyectos'!W123</f>
        <v>1.5111856823266216</v>
      </c>
      <c r="Z55" s="122">
        <f>+'Gantt Proyectos'!X123</f>
        <v>0.5</v>
      </c>
      <c r="AA55" s="122">
        <f>+'Gantt Proyectos'!Y123</f>
        <v>0.5</v>
      </c>
      <c r="AB55" s="122">
        <f>+'Gantt Proyectos'!Z123</f>
        <v>0.75</v>
      </c>
      <c r="AC55" s="122">
        <f>+'Gantt Proyectos'!AA123</f>
        <v>2</v>
      </c>
      <c r="AD55" s="122">
        <f>+'Gantt Proyectos'!AB123</f>
        <v>1</v>
      </c>
      <c r="AE55" s="152" t="str">
        <f>+'Gantt Proyectos'!AC123</f>
        <v>PFS</v>
      </c>
      <c r="AF55" s="123" t="str">
        <f>+'Gantt Proyectos'!AD123</f>
        <v>No Asignado</v>
      </c>
      <c r="AG55" s="124" t="str">
        <f>+'Gantt Proyectos'!AE123</f>
        <v>1. Proyectado: No  Asignado</v>
      </c>
      <c r="AH55" s="172">
        <v>1</v>
      </c>
      <c r="AI55" s="466">
        <f>IFERROR(IF('Gantt Proyectos'!AF123&lt;2,$N55*'Gantt Proyectos'!AF123,IF('Gantt Proyectos'!AF123=2,$N55*('Gantt Proyectos'!AF123-1))),0)*$L55*$Q55</f>
        <v>0</v>
      </c>
      <c r="AJ55" s="467">
        <f>IFERROR(IF('Gantt Proyectos'!AG123&lt;2,$N55*'Gantt Proyectos'!AG123,IF('Gantt Proyectos'!AG123=2,$N55*('Gantt Proyectos'!AG123-1))),0)*$L55*$Q55</f>
        <v>0</v>
      </c>
      <c r="AK55" s="467">
        <f>IFERROR(IF('Gantt Proyectos'!AH123&lt;2,$N55*'Gantt Proyectos'!AH123,IF('Gantt Proyectos'!AH123=2,$N55*('Gantt Proyectos'!AH123-1))),0)*$L55*$Q55</f>
        <v>0</v>
      </c>
      <c r="AL55" s="467">
        <f>IFERROR(IF('Gantt Proyectos'!AI123&lt;2,$N55*'Gantt Proyectos'!AI123,IF('Gantt Proyectos'!AI123=2,$N55*('Gantt Proyectos'!AI123-1))),0)*$L55*$Q55</f>
        <v>42000</v>
      </c>
      <c r="AM55" s="467">
        <f>IFERROR(IF('Gantt Proyectos'!AJ123&lt;2,$N55*'Gantt Proyectos'!AJ123,IF('Gantt Proyectos'!AJ123=2,$N55*('Gantt Proyectos'!AJ123-1))),0)*$L55*$Q55</f>
        <v>42000</v>
      </c>
      <c r="AN55" s="467">
        <f>IFERROR(IF('Gantt Proyectos'!AK123&lt;2,$N55*'Gantt Proyectos'!AK123,IF('Gantt Proyectos'!AK123=2,$N55*('Gantt Proyectos'!AK123-1))),0)*$L55*$Q55</f>
        <v>42000</v>
      </c>
      <c r="AO55" s="467">
        <f>IFERROR(IF('Gantt Proyectos'!AL123&lt;2,$N55*'Gantt Proyectos'!AL123,IF('Gantt Proyectos'!AL123=2,$N55*('Gantt Proyectos'!AL123-1))),0)*$L55*$Q55</f>
        <v>42000</v>
      </c>
      <c r="AP55" s="467">
        <f>IFERROR(IF('Gantt Proyectos'!AM123&lt;2,$N55*'Gantt Proyectos'!AM123,IF('Gantt Proyectos'!AM123=2,$N55*('Gantt Proyectos'!AM123-1))),0)*$L55*$Q55</f>
        <v>42000</v>
      </c>
      <c r="AQ55" s="468">
        <f>IFERROR(IF('Gantt Proyectos'!AN123&lt;2,$N55*'Gantt Proyectos'!AN123,IF('Gantt Proyectos'!AN123=2,$N55*('Gantt Proyectos'!AN123-1))),0)*$L55*$Q55</f>
        <v>42000</v>
      </c>
    </row>
    <row r="56" spans="1:43" ht="15" x14ac:dyDescent="0.2">
      <c r="A56" s="110" t="b">
        <f t="shared" si="7"/>
        <v>1</v>
      </c>
      <c r="B56" s="610">
        <v>0</v>
      </c>
      <c r="C56" s="117">
        <f>+'Gantt Proyectos'!C124</f>
        <v>28</v>
      </c>
      <c r="D56" s="608" t="str">
        <f>+'Gantt Proyectos'!D124</f>
        <v>Caserones: Implementacion NSR en Corto Plazo</v>
      </c>
      <c r="E56" s="145" t="str">
        <f>+'Gantt Proyectos'!E124</f>
        <v>Lundin</v>
      </c>
      <c r="F56" s="147" t="str">
        <f>+'Gantt Proyectos'!F124</f>
        <v>Chile</v>
      </c>
      <c r="G56" s="118" t="str">
        <f>+'Gantt Proyectos'!G124</f>
        <v>Chile</v>
      </c>
      <c r="H56" s="118">
        <f>+'Gantt Proyectos'!H124</f>
        <v>0</v>
      </c>
      <c r="I56" s="189">
        <v>1</v>
      </c>
      <c r="J56" s="189">
        <f t="shared" si="5"/>
        <v>0</v>
      </c>
      <c r="K56" s="118" t="str">
        <f>+'Gantt Proyectos'!I124</f>
        <v>Open Pit</v>
      </c>
      <c r="L56" s="120">
        <f>+'Gantt Proyectos'!J124</f>
        <v>0</v>
      </c>
      <c r="M56" s="145" t="str">
        <f>+'Gantt Proyectos'!K124</f>
        <v>FR</v>
      </c>
      <c r="N56" s="145">
        <f>+'Gantt Proyectos'!L124</f>
        <v>0</v>
      </c>
      <c r="O56" s="145">
        <f>+'Gantt Proyectos'!M124</f>
        <v>0</v>
      </c>
      <c r="P56" s="145">
        <f>+'Gantt Proyectos'!N124</f>
        <v>2</v>
      </c>
      <c r="Q56" s="566">
        <f>+Dashboard!I38</f>
        <v>0</v>
      </c>
      <c r="R56" s="119">
        <f>+'Gantt Proyectos'!O124</f>
        <v>45782</v>
      </c>
      <c r="S56" s="119">
        <f>+'Gantt Proyectos'!P124</f>
        <v>45866</v>
      </c>
      <c r="T56" s="145" t="str">
        <f>+'Gantt Proyectos'!R124</f>
        <v>No</v>
      </c>
      <c r="U56" s="118">
        <f>+'Gantt Proyectos'!S124</f>
        <v>0</v>
      </c>
      <c r="V56" s="156">
        <f>+'Gantt Proyectos'!T124</f>
        <v>45782</v>
      </c>
      <c r="W56" s="156">
        <f>+'Gantt Proyectos'!U124</f>
        <v>45866</v>
      </c>
      <c r="X56" s="201">
        <f t="shared" si="6"/>
        <v>3</v>
      </c>
      <c r="Y56" s="121">
        <f>+'Gantt Proyectos'!W124</f>
        <v>0</v>
      </c>
      <c r="Z56" s="122">
        <f>+'Gantt Proyectos'!X124</f>
        <v>0</v>
      </c>
      <c r="AA56" s="122">
        <f>+'Gantt Proyectos'!Y124</f>
        <v>0</v>
      </c>
      <c r="AB56" s="122">
        <f>+'Gantt Proyectos'!Z124</f>
        <v>0</v>
      </c>
      <c r="AC56" s="122">
        <f>+'Gantt Proyectos'!AA124</f>
        <v>0</v>
      </c>
      <c r="AD56" s="122">
        <f>+'Gantt Proyectos'!AB124</f>
        <v>0</v>
      </c>
      <c r="AE56" s="152" t="str">
        <f>+'Gantt Proyectos'!AC124</f>
        <v>Consultoria y Due Dilligence</v>
      </c>
      <c r="AF56" s="123" t="str">
        <f>+'Gantt Proyectos'!AD124</f>
        <v>No Asignado</v>
      </c>
      <c r="AG56" s="124" t="str">
        <f>+'Gantt Proyectos'!AE124</f>
        <v>1. Proyectado: No  Asignado</v>
      </c>
      <c r="AH56" s="172">
        <v>1</v>
      </c>
      <c r="AI56" s="466">
        <f>IFERROR(IF('Gantt Proyectos'!AF124&lt;2,$N56*'Gantt Proyectos'!AF124,IF('Gantt Proyectos'!AF124=2,$N56*('Gantt Proyectos'!AF124-1))),0)*$L56*$Q56</f>
        <v>0</v>
      </c>
      <c r="AJ56" s="467">
        <f>IFERROR(IF('Gantt Proyectos'!AG124&lt;2,$N56*'Gantt Proyectos'!AG124,IF('Gantt Proyectos'!AG124=2,$N56*('Gantt Proyectos'!AG124-1))),0)*$L56*$Q56</f>
        <v>0</v>
      </c>
      <c r="AK56" s="467">
        <f>IFERROR(IF('Gantt Proyectos'!AH124&lt;2,$N56*'Gantt Proyectos'!AH124,IF('Gantt Proyectos'!AH124=2,$N56*('Gantt Proyectos'!AH124-1))),0)*$L56*$Q56</f>
        <v>0</v>
      </c>
      <c r="AL56" s="467">
        <f>IFERROR(IF('Gantt Proyectos'!AI124&lt;2,$N56*'Gantt Proyectos'!AI124,IF('Gantt Proyectos'!AI124=2,$N56*('Gantt Proyectos'!AI124-1))),0)*$L56*$Q56</f>
        <v>0</v>
      </c>
      <c r="AM56" s="467">
        <f>IFERROR(IF('Gantt Proyectos'!AJ124&lt;2,$N56*'Gantt Proyectos'!AJ124,IF('Gantt Proyectos'!AJ124=2,$N56*('Gantt Proyectos'!AJ124-1))),0)*$L56*$Q56</f>
        <v>0</v>
      </c>
      <c r="AN56" s="467">
        <f>IFERROR(IF('Gantt Proyectos'!AK124&lt;2,$N56*'Gantt Proyectos'!AK124,IF('Gantt Proyectos'!AK124=2,$N56*('Gantt Proyectos'!AK124-1))),0)*$L56*$Q56</f>
        <v>0</v>
      </c>
      <c r="AO56" s="467">
        <f>IFERROR(IF('Gantt Proyectos'!AL124&lt;2,$N56*'Gantt Proyectos'!AL124,IF('Gantt Proyectos'!AL124=2,$N56*('Gantt Proyectos'!AL124-1))),0)*$L56*$Q56</f>
        <v>0</v>
      </c>
      <c r="AP56" s="467">
        <f>IFERROR(IF('Gantt Proyectos'!AM124&lt;2,$N56*'Gantt Proyectos'!AM124,IF('Gantt Proyectos'!AM124=2,$N56*('Gantt Proyectos'!AM124-1))),0)*$L56*$Q56</f>
        <v>0</v>
      </c>
      <c r="AQ56" s="468">
        <f>IFERROR(IF('Gantt Proyectos'!AN124&lt;2,$N56*'Gantt Proyectos'!AN124,IF('Gantt Proyectos'!AN124=2,$N56*('Gantt Proyectos'!AN124-1))),0)*$L56*$Q56</f>
        <v>0</v>
      </c>
    </row>
    <row r="57" spans="1:43" ht="15" x14ac:dyDescent="0.2">
      <c r="A57" s="110" t="b">
        <f t="shared" si="7"/>
        <v>1</v>
      </c>
      <c r="B57" s="610">
        <v>1</v>
      </c>
      <c r="C57" s="117">
        <f>+'Gantt Proyectos'!C125</f>
        <v>29</v>
      </c>
      <c r="D57" s="118" t="str">
        <f>+'Gantt Proyectos'!D125</f>
        <v>Caserones: Análisis Estratégico</v>
      </c>
      <c r="E57" s="145" t="str">
        <f>+'Gantt Proyectos'!E125</f>
        <v>Lundin</v>
      </c>
      <c r="F57" s="147" t="str">
        <f>+'Gantt Proyectos'!F125</f>
        <v>Chile</v>
      </c>
      <c r="G57" s="118" t="str">
        <f>+'Gantt Proyectos'!G125</f>
        <v>Chile</v>
      </c>
      <c r="H57" s="118">
        <f>+'Gantt Proyectos'!H125</f>
        <v>0</v>
      </c>
      <c r="I57" s="461">
        <v>1</v>
      </c>
      <c r="J57" s="461">
        <f t="shared" si="5"/>
        <v>0</v>
      </c>
      <c r="K57" s="118" t="str">
        <f>+'Gantt Proyectos'!I125</f>
        <v>Open Pit</v>
      </c>
      <c r="L57" s="118">
        <f>+'Gantt Proyectos'!J125</f>
        <v>1</v>
      </c>
      <c r="M57" s="145" t="str">
        <f>+'Gantt Proyectos'!K125</f>
        <v>FR</v>
      </c>
      <c r="N57" s="145">
        <f>+'Gantt Proyectos'!L125</f>
        <v>300000</v>
      </c>
      <c r="O57" s="145">
        <f>+'Gantt Proyectos'!M125</f>
        <v>300000</v>
      </c>
      <c r="P57" s="145">
        <f>+'Gantt Proyectos'!N125</f>
        <v>2</v>
      </c>
      <c r="Q57" s="472">
        <f>+Dashboard!I39</f>
        <v>1</v>
      </c>
      <c r="R57" s="119">
        <f>+'Gantt Proyectos'!O125</f>
        <v>45782</v>
      </c>
      <c r="S57" s="119">
        <f>+'Gantt Proyectos'!P125</f>
        <v>45887</v>
      </c>
      <c r="T57" s="145" t="str">
        <f>+'Gantt Proyectos'!R125</f>
        <v>No</v>
      </c>
      <c r="U57" s="118">
        <f>+'Gantt Proyectos'!S125</f>
        <v>0</v>
      </c>
      <c r="V57" s="156">
        <f>+'Gantt Proyectos'!T125</f>
        <v>45782</v>
      </c>
      <c r="W57" s="156">
        <f>+'Gantt Proyectos'!U125</f>
        <v>45887</v>
      </c>
      <c r="X57" s="201">
        <f t="shared" si="6"/>
        <v>4</v>
      </c>
      <c r="Y57" s="121">
        <f>+'Gantt Proyectos'!W125</f>
        <v>0.72035794183445179</v>
      </c>
      <c r="Z57" s="122">
        <f>+'Gantt Proyectos'!X125</f>
        <v>0.25</v>
      </c>
      <c r="AA57" s="122">
        <f>+'Gantt Proyectos'!Y125</f>
        <v>0.33</v>
      </c>
      <c r="AB57" s="122">
        <f>+'Gantt Proyectos'!Z125</f>
        <v>0</v>
      </c>
      <c r="AC57" s="122">
        <f>+'Gantt Proyectos'!AA125</f>
        <v>0.5</v>
      </c>
      <c r="AD57" s="122">
        <f>+'Gantt Proyectos'!AB125</f>
        <v>0.5</v>
      </c>
      <c r="AE57" s="152" t="str">
        <f>+'Gantt Proyectos'!AC125</f>
        <v>Estudio Conceptual / LOM</v>
      </c>
      <c r="AF57" s="123" t="str">
        <f>+'Gantt Proyectos'!AD125</f>
        <v>Actual</v>
      </c>
      <c r="AG57" s="124" t="str">
        <f>+'Gantt Proyectos'!AE125</f>
        <v>3. Avance: 25%</v>
      </c>
      <c r="AH57" s="172">
        <v>1</v>
      </c>
      <c r="AI57" s="466">
        <f>IFERROR(IF('Gantt Proyectos'!AF125&lt;2,$N57*'Gantt Proyectos'!AF125,IF('Gantt Proyectos'!AF125=2,$N57*('Gantt Proyectos'!AF125-1))),0)*$L57*$Q57</f>
        <v>0</v>
      </c>
      <c r="AJ57" s="467">
        <f>IFERROR(IF('Gantt Proyectos'!AG125&lt;2,$N57*'Gantt Proyectos'!AG125,IF('Gantt Proyectos'!AG125=2,$N57*('Gantt Proyectos'!AG125-1))),0)*$L57*$Q57</f>
        <v>75000</v>
      </c>
      <c r="AK57" s="467">
        <f>IFERROR(IF('Gantt Proyectos'!AH125&lt;2,$N57*'Gantt Proyectos'!AH125,IF('Gantt Proyectos'!AH125=2,$N57*('Gantt Proyectos'!AH125-1))),0)*$L57*$Q57</f>
        <v>75000</v>
      </c>
      <c r="AL57" s="467">
        <f>IFERROR(IF('Gantt Proyectos'!AI125&lt;2,$N57*'Gantt Proyectos'!AI125,IF('Gantt Proyectos'!AI125=2,$N57*('Gantt Proyectos'!AI125-1))),0)*$L57*$Q57</f>
        <v>75000</v>
      </c>
      <c r="AM57" s="467">
        <f>IFERROR(IF('Gantt Proyectos'!AJ125&lt;2,$N57*'Gantt Proyectos'!AJ125,IF('Gantt Proyectos'!AJ125=2,$N57*('Gantt Proyectos'!AJ125-1))),0)*$L57*$Q57</f>
        <v>75000</v>
      </c>
      <c r="AN57" s="467">
        <f>IFERROR(IF('Gantt Proyectos'!AK125&lt;2,$N57*'Gantt Proyectos'!AK125,IF('Gantt Proyectos'!AK125=2,$N57*('Gantt Proyectos'!AK125-1))),0)*$L57*$Q57</f>
        <v>0</v>
      </c>
      <c r="AO57" s="467">
        <f>IFERROR(IF('Gantt Proyectos'!AL125&lt;2,$N57*'Gantt Proyectos'!AL125,IF('Gantt Proyectos'!AL125=2,$N57*('Gantt Proyectos'!AL125-1))),0)*$L57*$Q57</f>
        <v>0</v>
      </c>
      <c r="AP57" s="467">
        <f>IFERROR(IF('Gantt Proyectos'!AM125&lt;2,$N57*'Gantt Proyectos'!AM125,IF('Gantt Proyectos'!AM125=2,$N57*('Gantt Proyectos'!AM125-1))),0)*$L57*$Q57</f>
        <v>0</v>
      </c>
      <c r="AQ57" s="468">
        <f>IFERROR(IF('Gantt Proyectos'!AN125&lt;2,$N57*'Gantt Proyectos'!AN125,IF('Gantt Proyectos'!AN125=2,$N57*('Gantt Proyectos'!AN125-1))),0)*$L57*$Q57</f>
        <v>0</v>
      </c>
    </row>
    <row r="58" spans="1:43" ht="15" x14ac:dyDescent="0.2">
      <c r="A58" s="110" t="b">
        <f t="shared" si="7"/>
        <v>1</v>
      </c>
      <c r="B58" s="610">
        <v>0.1</v>
      </c>
      <c r="C58" s="117">
        <f>+'Gantt Proyectos'!C126</f>
        <v>30</v>
      </c>
      <c r="D58" s="604" t="str">
        <f>+'Gantt Proyectos'!D126</f>
        <v>QuinnEmanuel: OT Allegation</v>
      </c>
      <c r="E58" s="603" t="str">
        <f>+'Gantt Proyectos'!E126</f>
        <v>QuinnEmanuel</v>
      </c>
      <c r="F58" s="147" t="str">
        <f>+'Gantt Proyectos'!F126</f>
        <v>USA</v>
      </c>
      <c r="G58" s="118" t="str">
        <f>+'Gantt Proyectos'!G126</f>
        <v>Chile</v>
      </c>
      <c r="H58" s="118">
        <f>+'Gantt Proyectos'!H126</f>
        <v>0</v>
      </c>
      <c r="I58" s="189">
        <v>1</v>
      </c>
      <c r="J58" s="189">
        <f t="shared" si="5"/>
        <v>0</v>
      </c>
      <c r="K58" s="118" t="str">
        <f>+'Gantt Proyectos'!I126</f>
        <v>Subterránea</v>
      </c>
      <c r="L58" s="120">
        <f>+'Gantt Proyectos'!J126</f>
        <v>1</v>
      </c>
      <c r="M58" s="145" t="str">
        <f>+'Gantt Proyectos'!K126</f>
        <v>MF</v>
      </c>
      <c r="N58" s="145">
        <f>+'Gantt Proyectos'!L126</f>
        <v>300000</v>
      </c>
      <c r="O58" s="145">
        <f>+'Gantt Proyectos'!M126</f>
        <v>300000</v>
      </c>
      <c r="P58" s="145">
        <f>+'Gantt Proyectos'!N126</f>
        <v>2</v>
      </c>
      <c r="Q58" s="603">
        <f>+Dashboard!I40</f>
        <v>0.1</v>
      </c>
      <c r="R58" s="119">
        <f>+'Gantt Proyectos'!O126</f>
        <v>45838</v>
      </c>
      <c r="S58" s="119">
        <f>+'Gantt Proyectos'!P126</f>
        <v>46023</v>
      </c>
      <c r="T58" s="145" t="str">
        <f>+'Gantt Proyectos'!R126</f>
        <v>No</v>
      </c>
      <c r="U58" s="118">
        <f>+'Gantt Proyectos'!S126</f>
        <v>0</v>
      </c>
      <c r="V58" s="156">
        <f>+'Gantt Proyectos'!T126</f>
        <v>45838</v>
      </c>
      <c r="W58" s="156">
        <f>+'Gantt Proyectos'!U126</f>
        <v>46023</v>
      </c>
      <c r="X58" s="201">
        <f t="shared" si="6"/>
        <v>7</v>
      </c>
      <c r="Y58" s="121">
        <f>+'Gantt Proyectos'!W126</f>
        <v>0.1</v>
      </c>
      <c r="Z58" s="122">
        <f>+'Gantt Proyectos'!X126</f>
        <v>0.33</v>
      </c>
      <c r="AA58" s="122">
        <f>+'Gantt Proyectos'!Y126</f>
        <v>0.5</v>
      </c>
      <c r="AB58" s="122">
        <f>+'Gantt Proyectos'!Z126</f>
        <v>0.33</v>
      </c>
      <c r="AC58" s="122">
        <f>+'Gantt Proyectos'!AA126</f>
        <v>1</v>
      </c>
      <c r="AD58" s="122">
        <f>+'Gantt Proyectos'!AB126</f>
        <v>0</v>
      </c>
      <c r="AE58" s="152" t="str">
        <f>+'Gantt Proyectos'!AC126</f>
        <v>Consultoria y Due Dilligence</v>
      </c>
      <c r="AF58" s="123" t="str">
        <f>+'Gantt Proyectos'!AD126</f>
        <v>No Asignado</v>
      </c>
      <c r="AG58" s="124" t="str">
        <f>+'Gantt Proyectos'!AE126</f>
        <v>1. Proyectado: No  Asignado</v>
      </c>
      <c r="AH58" s="172">
        <v>1</v>
      </c>
      <c r="AI58" s="466">
        <f>IFERROR(IF('Gantt Proyectos'!AF126&lt;2,$N58*'Gantt Proyectos'!AF126,IF('Gantt Proyectos'!AF126=2,$N58*('Gantt Proyectos'!AF126-1))),0)*$L58*$Q58</f>
        <v>0</v>
      </c>
      <c r="AJ58" s="467">
        <f>IFERROR(IF('Gantt Proyectos'!AG126&lt;2,$N58*'Gantt Proyectos'!AG126,IF('Gantt Proyectos'!AG126=2,$N58*('Gantt Proyectos'!AG126-1))),0)*$L58*$Q58</f>
        <v>0</v>
      </c>
      <c r="AK58" s="467">
        <f>IFERROR(IF('Gantt Proyectos'!AH126&lt;2,$N58*'Gantt Proyectos'!AH126,IF('Gantt Proyectos'!AH126=2,$N58*('Gantt Proyectos'!AH126-1))),0)*$L58*$Q58</f>
        <v>4285.7142857142853</v>
      </c>
      <c r="AL58" s="467">
        <f>IFERROR(IF('Gantt Proyectos'!AI126&lt;2,$N58*'Gantt Proyectos'!AI126,IF('Gantt Proyectos'!AI126=2,$N58*('Gantt Proyectos'!AI126-1))),0)*$L58*$Q58</f>
        <v>4285.7142857142853</v>
      </c>
      <c r="AM58" s="467">
        <f>IFERROR(IF('Gantt Proyectos'!AJ126&lt;2,$N58*'Gantt Proyectos'!AJ126,IF('Gantt Proyectos'!AJ126=2,$N58*('Gantt Proyectos'!AJ126-1))),0)*$L58*$Q58</f>
        <v>4285.7142857142853</v>
      </c>
      <c r="AN58" s="467">
        <f>IFERROR(IF('Gantt Proyectos'!AK126&lt;2,$N58*'Gantt Proyectos'!AK126,IF('Gantt Proyectos'!AK126=2,$N58*('Gantt Proyectos'!AK126-1))),0)*$L58*$Q58</f>
        <v>4285.7142857142853</v>
      </c>
      <c r="AO58" s="467">
        <f>IFERROR(IF('Gantt Proyectos'!AL126&lt;2,$N58*'Gantt Proyectos'!AL126,IF('Gantt Proyectos'!AL126=2,$N58*('Gantt Proyectos'!AL126-1))),0)*$L58*$Q58</f>
        <v>4285.7142857142853</v>
      </c>
      <c r="AP58" s="467">
        <f>IFERROR(IF('Gantt Proyectos'!AM126&lt;2,$N58*'Gantt Proyectos'!AM126,IF('Gantt Proyectos'!AM126=2,$N58*('Gantt Proyectos'!AM126-1))),0)*$L58*$Q58</f>
        <v>4285.7142857142853</v>
      </c>
      <c r="AQ58" s="468">
        <f>IFERROR(IF('Gantt Proyectos'!AN126&lt;2,$N58*'Gantt Proyectos'!AN126,IF('Gantt Proyectos'!AN126=2,$N58*('Gantt Proyectos'!AN126-1))),0)*$L58*$Q58</f>
        <v>4285.7142857142853</v>
      </c>
    </row>
    <row r="59" spans="1:43" ht="15" x14ac:dyDescent="0.2">
      <c r="A59" s="110" t="b">
        <f t="shared" si="7"/>
        <v>1</v>
      </c>
      <c r="B59" s="610">
        <v>0.2</v>
      </c>
      <c r="C59" s="117">
        <f>+'Gantt Proyectos'!C127</f>
        <v>31</v>
      </c>
      <c r="D59" s="604" t="str">
        <f>+'Gantt Proyectos'!D127</f>
        <v xml:space="preserve">DET: Ingeniería Perfil Sector Teniente 9 </v>
      </c>
      <c r="E59" s="145" t="str">
        <f>+'Gantt Proyectos'!E127</f>
        <v>Codelco</v>
      </c>
      <c r="F59" s="147" t="str">
        <f>+'Gantt Proyectos'!F127</f>
        <v>Chile</v>
      </c>
      <c r="G59" s="118" t="str">
        <f>+'Gantt Proyectos'!G127</f>
        <v>Chile</v>
      </c>
      <c r="H59" s="118">
        <f>+'Gantt Proyectos'!H127</f>
        <v>0</v>
      </c>
      <c r="I59" s="189">
        <v>1</v>
      </c>
      <c r="J59" s="189">
        <f t="shared" si="5"/>
        <v>0</v>
      </c>
      <c r="K59" s="118" t="str">
        <f>+'Gantt Proyectos'!I127</f>
        <v>Subterránea</v>
      </c>
      <c r="L59" s="120">
        <f>+'Gantt Proyectos'!J127</f>
        <v>1</v>
      </c>
      <c r="M59" s="145" t="str">
        <f>+'Gantt Proyectos'!K127</f>
        <v>CA</v>
      </c>
      <c r="N59" s="145">
        <f>+'Gantt Proyectos'!L127</f>
        <v>300000</v>
      </c>
      <c r="O59" s="145">
        <f>+'Gantt Proyectos'!M127</f>
        <v>300000</v>
      </c>
      <c r="P59" s="145">
        <f>+'Gantt Proyectos'!N127</f>
        <v>2</v>
      </c>
      <c r="Q59" s="603">
        <f>+Dashboard!I41</f>
        <v>0.2</v>
      </c>
      <c r="R59" s="119">
        <f>+'Gantt Proyectos'!O127</f>
        <v>45859</v>
      </c>
      <c r="S59" s="119">
        <f>+'Gantt Proyectos'!P127</f>
        <v>45978</v>
      </c>
      <c r="T59" s="145" t="str">
        <f>+'Gantt Proyectos'!R127</f>
        <v>No</v>
      </c>
      <c r="U59" s="118">
        <f>+'Gantt Proyectos'!S127</f>
        <v>0</v>
      </c>
      <c r="V59" s="156">
        <f>+'Gantt Proyectos'!T127</f>
        <v>45859</v>
      </c>
      <c r="W59" s="156">
        <f>+'Gantt Proyectos'!U127</f>
        <v>45978</v>
      </c>
      <c r="X59" s="201">
        <f t="shared" si="6"/>
        <v>4</v>
      </c>
      <c r="Y59" s="121">
        <f>+'Gantt Proyectos'!W127</f>
        <v>0.28948545861297537</v>
      </c>
      <c r="Z59" s="122">
        <f>+'Gantt Proyectos'!X127</f>
        <v>0.33</v>
      </c>
      <c r="AA59" s="122">
        <f>+'Gantt Proyectos'!Y127</f>
        <v>0.5</v>
      </c>
      <c r="AB59" s="122">
        <f>+'Gantt Proyectos'!Z127</f>
        <v>0.33</v>
      </c>
      <c r="AC59" s="122">
        <f>+'Gantt Proyectos'!AA127</f>
        <v>1</v>
      </c>
      <c r="AD59" s="122">
        <f>+'Gantt Proyectos'!AB127</f>
        <v>1</v>
      </c>
      <c r="AE59" s="152" t="str">
        <f>+'Gantt Proyectos'!AC127</f>
        <v>Scoping</v>
      </c>
      <c r="AF59" s="123" t="str">
        <f>+'Gantt Proyectos'!AD127</f>
        <v>No Asignado</v>
      </c>
      <c r="AG59" s="124" t="str">
        <f>+'Gantt Proyectos'!AE127</f>
        <v>1. Proyectado: No  Asignado</v>
      </c>
      <c r="AH59" s="172">
        <v>1</v>
      </c>
      <c r="AI59" s="466">
        <f>IFERROR(IF('Gantt Proyectos'!AF127&lt;2,$N59*'Gantt Proyectos'!AF127,IF('Gantt Proyectos'!AF127=2,$N59*('Gantt Proyectos'!AF127-1))),0)*$L59*$Q59</f>
        <v>0</v>
      </c>
      <c r="AJ59" s="467">
        <f>IFERROR(IF('Gantt Proyectos'!AG127&lt;2,$N59*'Gantt Proyectos'!AG127,IF('Gantt Proyectos'!AG127=2,$N59*('Gantt Proyectos'!AG127-1))),0)*$L59*$Q59</f>
        <v>0</v>
      </c>
      <c r="AK59" s="467">
        <f>IFERROR(IF('Gantt Proyectos'!AH127&lt;2,$N59*'Gantt Proyectos'!AH127,IF('Gantt Proyectos'!AH127=2,$N59*('Gantt Proyectos'!AH127-1))),0)*$L59*$Q59</f>
        <v>0</v>
      </c>
      <c r="AL59" s="467">
        <f>IFERROR(IF('Gantt Proyectos'!AI127&lt;2,$N59*'Gantt Proyectos'!AI127,IF('Gantt Proyectos'!AI127=2,$N59*('Gantt Proyectos'!AI127-1))),0)*$L59*$Q59</f>
        <v>15000</v>
      </c>
      <c r="AM59" s="467">
        <f>IFERROR(IF('Gantt Proyectos'!AJ127&lt;2,$N59*'Gantt Proyectos'!AJ127,IF('Gantt Proyectos'!AJ127=2,$N59*('Gantt Proyectos'!AJ127-1))),0)*$L59*$Q59</f>
        <v>15000</v>
      </c>
      <c r="AN59" s="467">
        <f>IFERROR(IF('Gantt Proyectos'!AK127&lt;2,$N59*'Gantt Proyectos'!AK127,IF('Gantt Proyectos'!AK127=2,$N59*('Gantt Proyectos'!AK127-1))),0)*$L59*$Q59</f>
        <v>15000</v>
      </c>
      <c r="AO59" s="467">
        <f>IFERROR(IF('Gantt Proyectos'!AL127&lt;2,$N59*'Gantt Proyectos'!AL127,IF('Gantt Proyectos'!AL127=2,$N59*('Gantt Proyectos'!AL127-1))),0)*$L59*$Q59</f>
        <v>15000</v>
      </c>
      <c r="AP59" s="467">
        <f>IFERROR(IF('Gantt Proyectos'!AM127&lt;2,$N59*'Gantt Proyectos'!AM127,IF('Gantt Proyectos'!AM127=2,$N59*('Gantt Proyectos'!AM127-1))),0)*$L59*$Q59</f>
        <v>15000</v>
      </c>
      <c r="AQ59" s="468">
        <f>IFERROR(IF('Gantt Proyectos'!AN127&lt;2,$N59*'Gantt Proyectos'!AN127,IF('Gantt Proyectos'!AN127=2,$N59*('Gantt Proyectos'!AN127-1))),0)*$L59*$Q59</f>
        <v>0</v>
      </c>
    </row>
    <row r="60" spans="1:43" ht="15" x14ac:dyDescent="0.2">
      <c r="A60" s="110" t="b">
        <f t="shared" si="7"/>
        <v>1</v>
      </c>
      <c r="B60" s="610">
        <v>0</v>
      </c>
      <c r="C60" s="117">
        <f>+'Gantt Proyectos'!C128</f>
        <v>32</v>
      </c>
      <c r="D60" s="608" t="str">
        <f>+'Gantt Proyectos'!D128</f>
        <v>Ingeniería Basica Sistema Manejo Materiales Candelaria</v>
      </c>
      <c r="E60" s="145" t="str">
        <f>+'Gantt Proyectos'!E128</f>
        <v>Lundin</v>
      </c>
      <c r="F60" s="147" t="str">
        <f>+'Gantt Proyectos'!F128</f>
        <v>Chile</v>
      </c>
      <c r="G60" s="118" t="str">
        <f>+'Gantt Proyectos'!G128</f>
        <v>Chile</v>
      </c>
      <c r="H60" s="118">
        <f>+'Gantt Proyectos'!H128</f>
        <v>0</v>
      </c>
      <c r="I60" s="189">
        <v>1</v>
      </c>
      <c r="J60" s="189">
        <f t="shared" si="5"/>
        <v>0</v>
      </c>
      <c r="K60" s="118" t="str">
        <f>+'Gantt Proyectos'!I128</f>
        <v>Subterránea</v>
      </c>
      <c r="L60" s="120">
        <f>+'Gantt Proyectos'!J128</f>
        <v>0</v>
      </c>
      <c r="M60" s="145" t="str">
        <f>+'Gantt Proyectos'!K128</f>
        <v>RM</v>
      </c>
      <c r="N60" s="145">
        <f>+'Gantt Proyectos'!L128</f>
        <v>1300000</v>
      </c>
      <c r="O60" s="145">
        <f>+'Gantt Proyectos'!M128</f>
        <v>1300000</v>
      </c>
      <c r="P60" s="145">
        <f>+'Gantt Proyectos'!N128</f>
        <v>2</v>
      </c>
      <c r="Q60" s="566">
        <f>+Dashboard!I42</f>
        <v>0</v>
      </c>
      <c r="R60" s="119">
        <f>+'Gantt Proyectos'!O128</f>
        <v>45796</v>
      </c>
      <c r="S60" s="119">
        <f>+'Gantt Proyectos'!P128</f>
        <v>46020</v>
      </c>
      <c r="T60" s="145" t="str">
        <f>+'Gantt Proyectos'!R128</f>
        <v>No</v>
      </c>
      <c r="U60" s="118">
        <f>+'Gantt Proyectos'!S128</f>
        <v>0</v>
      </c>
      <c r="V60" s="156">
        <f>+'Gantt Proyectos'!T128</f>
        <v>45796</v>
      </c>
      <c r="W60" s="156">
        <f>+'Gantt Proyectos'!U128</f>
        <v>46020</v>
      </c>
      <c r="X60" s="201">
        <f t="shared" si="6"/>
        <v>8</v>
      </c>
      <c r="Y60" s="121">
        <f>+'Gantt Proyectos'!W128</f>
        <v>0</v>
      </c>
      <c r="Z60" s="122">
        <f>+'Gantt Proyectos'!X128</f>
        <v>0</v>
      </c>
      <c r="AA60" s="122">
        <f>+'Gantt Proyectos'!Y128</f>
        <v>0</v>
      </c>
      <c r="AB60" s="122">
        <f>+'Gantt Proyectos'!Z128</f>
        <v>0</v>
      </c>
      <c r="AC60" s="122">
        <f>+'Gantt Proyectos'!AA128</f>
        <v>0</v>
      </c>
      <c r="AD60" s="122">
        <f>+'Gantt Proyectos'!AB128</f>
        <v>0</v>
      </c>
      <c r="AE60" s="152" t="str">
        <f>+'Gantt Proyectos'!AC128</f>
        <v>FS e Ing. Basica</v>
      </c>
      <c r="AF60" s="123" t="str">
        <f>+'Gantt Proyectos'!AD128</f>
        <v>No Asignado</v>
      </c>
      <c r="AG60" s="124" t="str">
        <f>+'Gantt Proyectos'!AE128</f>
        <v>1. Proyectado: No  Asignado</v>
      </c>
      <c r="AH60" s="172">
        <v>1</v>
      </c>
      <c r="AI60" s="466">
        <f>IFERROR(IF('Gantt Proyectos'!AF128&lt;2,$N60*'Gantt Proyectos'!AF128,IF('Gantt Proyectos'!AF128=2,$N60*('Gantt Proyectos'!AF128-1))),0)*$L60*$Q60</f>
        <v>0</v>
      </c>
      <c r="AJ60" s="467">
        <f>IFERROR(IF('Gantt Proyectos'!AG128&lt;2,$N60*'Gantt Proyectos'!AG128,IF('Gantt Proyectos'!AG128=2,$N60*('Gantt Proyectos'!AG128-1))),0)*$L60*$Q60</f>
        <v>0</v>
      </c>
      <c r="AK60" s="467">
        <f>IFERROR(IF('Gantt Proyectos'!AH128&lt;2,$N60*'Gantt Proyectos'!AH128,IF('Gantt Proyectos'!AH128=2,$N60*('Gantt Proyectos'!AH128-1))),0)*$L60*$Q60</f>
        <v>0</v>
      </c>
      <c r="AL60" s="467">
        <f>IFERROR(IF('Gantt Proyectos'!AI128&lt;2,$N60*'Gantt Proyectos'!AI128,IF('Gantt Proyectos'!AI128=2,$N60*('Gantt Proyectos'!AI128-1))),0)*$L60*$Q60</f>
        <v>0</v>
      </c>
      <c r="AM60" s="467">
        <f>IFERROR(IF('Gantt Proyectos'!AJ128&lt;2,$N60*'Gantt Proyectos'!AJ128,IF('Gantt Proyectos'!AJ128=2,$N60*('Gantt Proyectos'!AJ128-1))),0)*$L60*$Q60</f>
        <v>0</v>
      </c>
      <c r="AN60" s="467">
        <f>IFERROR(IF('Gantt Proyectos'!AK128&lt;2,$N60*'Gantt Proyectos'!AK128,IF('Gantt Proyectos'!AK128=2,$N60*('Gantt Proyectos'!AK128-1))),0)*$L60*$Q60</f>
        <v>0</v>
      </c>
      <c r="AO60" s="467">
        <f>IFERROR(IF('Gantt Proyectos'!AL128&lt;2,$N60*'Gantt Proyectos'!AL128,IF('Gantt Proyectos'!AL128=2,$N60*('Gantt Proyectos'!AL128-1))),0)*$L60*$Q60</f>
        <v>0</v>
      </c>
      <c r="AP60" s="467">
        <f>IFERROR(IF('Gantt Proyectos'!AM128&lt;2,$N60*'Gantt Proyectos'!AM128,IF('Gantt Proyectos'!AM128=2,$N60*('Gantt Proyectos'!AM128-1))),0)*$L60*$Q60</f>
        <v>0</v>
      </c>
      <c r="AQ60" s="468">
        <f>IFERROR(IF('Gantt Proyectos'!AN128&lt;2,$N60*'Gantt Proyectos'!AN128,IF('Gantt Proyectos'!AN128=2,$N60*('Gantt Proyectos'!AN128-1))),0)*$L60*$Q60</f>
        <v>0</v>
      </c>
    </row>
    <row r="61" spans="1:43" ht="15" x14ac:dyDescent="0.2">
      <c r="A61" s="110" t="b">
        <f t="shared" si="7"/>
        <v>1</v>
      </c>
      <c r="B61" s="610">
        <v>1</v>
      </c>
      <c r="C61" s="117">
        <f>+'Gantt Proyectos'!C129</f>
        <v>33</v>
      </c>
      <c r="D61" s="118" t="str">
        <f>+'Gantt Proyectos'!D129</f>
        <v>PEA Proyecto Furnas</v>
      </c>
      <c r="E61" s="145" t="str">
        <f>+'Gantt Proyectos'!E129</f>
        <v>Ero Copper</v>
      </c>
      <c r="F61" s="147" t="str">
        <f>+'Gantt Proyectos'!F129</f>
        <v>Brasil</v>
      </c>
      <c r="G61" s="118" t="str">
        <f>+'Gantt Proyectos'!G129</f>
        <v>Chile</v>
      </c>
      <c r="H61" s="118" t="str">
        <f>+'Gantt Proyectos'!H129</f>
        <v>Perú</v>
      </c>
      <c r="I61" s="461">
        <v>0.5</v>
      </c>
      <c r="J61" s="461">
        <f t="shared" si="5"/>
        <v>0.5</v>
      </c>
      <c r="K61" s="118" t="str">
        <f>+'Gantt Proyectos'!I129</f>
        <v>Subterránea</v>
      </c>
      <c r="L61" s="118">
        <f>+'Gantt Proyectos'!J129</f>
        <v>1</v>
      </c>
      <c r="M61" s="145" t="str">
        <f>+'Gantt Proyectos'!K129</f>
        <v>-</v>
      </c>
      <c r="N61" s="145">
        <f>+'Gantt Proyectos'!L129</f>
        <v>490000</v>
      </c>
      <c r="O61" s="145">
        <f>+'Gantt Proyectos'!M129</f>
        <v>490000</v>
      </c>
      <c r="P61" s="145">
        <f>+'Gantt Proyectos'!N129</f>
        <v>2</v>
      </c>
      <c r="Q61" s="472">
        <f>+Dashboard!I43</f>
        <v>1</v>
      </c>
      <c r="R61" s="119">
        <f>+'Gantt Proyectos'!O129</f>
        <v>45789</v>
      </c>
      <c r="S61" s="119">
        <f>+'Gantt Proyectos'!P129</f>
        <v>45985</v>
      </c>
      <c r="T61" s="145" t="str">
        <f>+'Gantt Proyectos'!R129</f>
        <v>No</v>
      </c>
      <c r="U61" s="118">
        <f>+'Gantt Proyectos'!S129</f>
        <v>0</v>
      </c>
      <c r="V61" s="156">
        <f>+'Gantt Proyectos'!T129</f>
        <v>45789</v>
      </c>
      <c r="W61" s="156">
        <f>+'Gantt Proyectos'!U129</f>
        <v>45985</v>
      </c>
      <c r="X61" s="201">
        <f t="shared" si="6"/>
        <v>7</v>
      </c>
      <c r="Y61" s="121">
        <f>+'Gantt Proyectos'!W129</f>
        <v>1.4474272930648799</v>
      </c>
      <c r="Z61" s="122">
        <f>+'Gantt Proyectos'!X129</f>
        <v>0.33</v>
      </c>
      <c r="AA61" s="122">
        <f>+'Gantt Proyectos'!Y129</f>
        <v>0.5</v>
      </c>
      <c r="AB61" s="122">
        <f>+'Gantt Proyectos'!Z129</f>
        <v>0.33</v>
      </c>
      <c r="AC61" s="122">
        <f>+'Gantt Proyectos'!AA129</f>
        <v>1</v>
      </c>
      <c r="AD61" s="122">
        <f>+'Gantt Proyectos'!AB129</f>
        <v>1</v>
      </c>
      <c r="AE61" s="152" t="str">
        <f>+'Gantt Proyectos'!AC129</f>
        <v>PEA</v>
      </c>
      <c r="AF61" s="123" t="str">
        <f>+'Gantt Proyectos'!AD129</f>
        <v>Actual</v>
      </c>
      <c r="AG61" s="124" t="str">
        <f>+'Gantt Proyectos'!AE129</f>
        <v>3. Avance: 25%</v>
      </c>
      <c r="AH61" s="172">
        <v>1</v>
      </c>
      <c r="AI61" s="466">
        <f>IFERROR(IF('Gantt Proyectos'!AF129&lt;2,$N61*'Gantt Proyectos'!AF129,IF('Gantt Proyectos'!AF129=2,$N61*('Gantt Proyectos'!AF129-1))),0)*$L61*$Q61</f>
        <v>0</v>
      </c>
      <c r="AJ61" s="467">
        <f>IFERROR(IF('Gantt Proyectos'!AG129&lt;2,$N61*'Gantt Proyectos'!AG129,IF('Gantt Proyectos'!AG129=2,$N61*('Gantt Proyectos'!AG129-1))),0)*$L61*$Q61</f>
        <v>70000</v>
      </c>
      <c r="AK61" s="467">
        <f>IFERROR(IF('Gantt Proyectos'!AH129&lt;2,$N61*'Gantt Proyectos'!AH129,IF('Gantt Proyectos'!AH129=2,$N61*('Gantt Proyectos'!AH129-1))),0)*$L61*$Q61</f>
        <v>70000</v>
      </c>
      <c r="AL61" s="467">
        <f>IFERROR(IF('Gantt Proyectos'!AI129&lt;2,$N61*'Gantt Proyectos'!AI129,IF('Gantt Proyectos'!AI129=2,$N61*('Gantt Proyectos'!AI129-1))),0)*$L61*$Q61</f>
        <v>70000</v>
      </c>
      <c r="AM61" s="467">
        <f>IFERROR(IF('Gantt Proyectos'!AJ129&lt;2,$N61*'Gantt Proyectos'!AJ129,IF('Gantt Proyectos'!AJ129=2,$N61*('Gantt Proyectos'!AJ129-1))),0)*$L61*$Q61</f>
        <v>70000</v>
      </c>
      <c r="AN61" s="467">
        <f>IFERROR(IF('Gantt Proyectos'!AK129&lt;2,$N61*'Gantt Proyectos'!AK129,IF('Gantt Proyectos'!AK129=2,$N61*('Gantt Proyectos'!AK129-1))),0)*$L61*$Q61</f>
        <v>70000</v>
      </c>
      <c r="AO61" s="467">
        <f>IFERROR(IF('Gantt Proyectos'!AL129&lt;2,$N61*'Gantt Proyectos'!AL129,IF('Gantt Proyectos'!AL129=2,$N61*('Gantt Proyectos'!AL129-1))),0)*$L61*$Q61</f>
        <v>70000</v>
      </c>
      <c r="AP61" s="467">
        <f>IFERROR(IF('Gantt Proyectos'!AM129&lt;2,$N61*'Gantt Proyectos'!AM129,IF('Gantt Proyectos'!AM129=2,$N61*('Gantt Proyectos'!AM129-1))),0)*$L61*$Q61</f>
        <v>70000</v>
      </c>
      <c r="AQ61" s="468">
        <f>IFERROR(IF('Gantt Proyectos'!AN129&lt;2,$N61*'Gantt Proyectos'!AN129,IF('Gantt Proyectos'!AN129=2,$N61*('Gantt Proyectos'!AN129-1))),0)*$L61*$Q61</f>
        <v>0</v>
      </c>
    </row>
    <row r="62" spans="1:43" ht="15" x14ac:dyDescent="0.2">
      <c r="A62" s="110" t="b">
        <f t="shared" si="7"/>
        <v>1</v>
      </c>
      <c r="B62" s="610">
        <v>0.2</v>
      </c>
      <c r="C62" s="117">
        <f>+'Gantt Proyectos'!C130</f>
        <v>34</v>
      </c>
      <c r="D62" s="602" t="str">
        <f>+'Gantt Proyectos'!D130</f>
        <v xml:space="preserve">Cerro Blanco: FS Minería + Ing Detalle componentes </v>
      </c>
      <c r="E62" s="602" t="str">
        <f>+'Gantt Proyectos'!E130</f>
        <v>Aura Minerals</v>
      </c>
      <c r="F62" s="605" t="str">
        <f>+'Gantt Proyectos'!F130</f>
        <v>Brasil</v>
      </c>
      <c r="G62" s="604" t="str">
        <f>+'Gantt Proyectos'!G130</f>
        <v>Chile</v>
      </c>
      <c r="H62" s="604">
        <f>+'Gantt Proyectos'!H130</f>
        <v>0</v>
      </c>
      <c r="I62" s="606">
        <v>1</v>
      </c>
      <c r="J62" s="606">
        <f t="shared" si="5"/>
        <v>0</v>
      </c>
      <c r="K62" s="604" t="str">
        <f>+'Gantt Proyectos'!I130</f>
        <v>Subterránea</v>
      </c>
      <c r="L62" s="607">
        <f>+'Gantt Proyectos'!J130</f>
        <v>1</v>
      </c>
      <c r="M62" s="602" t="str">
        <f>+'Gantt Proyectos'!K130</f>
        <v>-</v>
      </c>
      <c r="N62" s="602">
        <f>+'Gantt Proyectos'!L130</f>
        <v>2400000</v>
      </c>
      <c r="O62" s="602">
        <f>+'Gantt Proyectos'!M130</f>
        <v>2400000</v>
      </c>
      <c r="P62" s="602">
        <f>+'Gantt Proyectos'!N130</f>
        <v>2</v>
      </c>
      <c r="Q62" s="603">
        <f>+Dashboard!I44</f>
        <v>0.2</v>
      </c>
      <c r="R62" s="119">
        <f>+'Gantt Proyectos'!O130</f>
        <v>45850</v>
      </c>
      <c r="S62" s="119">
        <f>+'Gantt Proyectos'!P130</f>
        <v>46128</v>
      </c>
      <c r="T62" s="145" t="str">
        <f>+'Gantt Proyectos'!R130</f>
        <v>No</v>
      </c>
      <c r="U62" s="118">
        <f>+'Gantt Proyectos'!S130</f>
        <v>0</v>
      </c>
      <c r="V62" s="156">
        <f>+'Gantt Proyectos'!T130</f>
        <v>45850</v>
      </c>
      <c r="W62" s="156">
        <f>+'Gantt Proyectos'!U130</f>
        <v>46128</v>
      </c>
      <c r="X62" s="201">
        <f t="shared" si="6"/>
        <v>10</v>
      </c>
      <c r="Y62" s="121">
        <f>+'Gantt Proyectos'!W130</f>
        <v>0.51006711409395977</v>
      </c>
      <c r="Z62" s="122">
        <f>+'Gantt Proyectos'!X130</f>
        <v>0.5</v>
      </c>
      <c r="AA62" s="122">
        <f>+'Gantt Proyectos'!Y130</f>
        <v>0.67</v>
      </c>
      <c r="AB62" s="122">
        <f>+'Gantt Proyectos'!Z130</f>
        <v>1</v>
      </c>
      <c r="AC62" s="122">
        <f>+'Gantt Proyectos'!AA130</f>
        <v>2.5</v>
      </c>
      <c r="AD62" s="122">
        <f>+'Gantt Proyectos'!AB130</f>
        <v>1</v>
      </c>
      <c r="AE62" s="152" t="str">
        <f>+'Gantt Proyectos'!AC130</f>
        <v>FS e Ing. Basica</v>
      </c>
      <c r="AF62" s="123" t="str">
        <f>+'Gantt Proyectos'!AD130</f>
        <v>No Asignado</v>
      </c>
      <c r="AG62" s="124" t="str">
        <f>+'Gantt Proyectos'!AE130</f>
        <v>1. Proyectado: No  Asignado</v>
      </c>
      <c r="AH62" s="172">
        <v>1</v>
      </c>
      <c r="AI62" s="466">
        <f>IFERROR(IF('Gantt Proyectos'!AF130&lt;2,$N62*'Gantt Proyectos'!AF130,IF('Gantt Proyectos'!AF130=2,$N62*('Gantt Proyectos'!AF130-1))),0)*$L62*$Q62</f>
        <v>0</v>
      </c>
      <c r="AJ62" s="467">
        <f>IFERROR(IF('Gantt Proyectos'!AG130&lt;2,$N62*'Gantt Proyectos'!AG130,IF('Gantt Proyectos'!AG130=2,$N62*('Gantt Proyectos'!AG130-1))),0)*$L62*$Q62</f>
        <v>0</v>
      </c>
      <c r="AK62" s="467">
        <f>IFERROR(IF('Gantt Proyectos'!AH130&lt;2,$N62*'Gantt Proyectos'!AH130,IF('Gantt Proyectos'!AH130=2,$N62*('Gantt Proyectos'!AH130-1))),0)*$L62*$Q62</f>
        <v>0</v>
      </c>
      <c r="AL62" s="467">
        <f>IFERROR(IF('Gantt Proyectos'!AI130&lt;2,$N62*'Gantt Proyectos'!AI130,IF('Gantt Proyectos'!AI130=2,$N62*('Gantt Proyectos'!AI130-1))),0)*$L62*$Q62</f>
        <v>48000</v>
      </c>
      <c r="AM62" s="467">
        <f>IFERROR(IF('Gantt Proyectos'!AJ130&lt;2,$N62*'Gantt Proyectos'!AJ130,IF('Gantt Proyectos'!AJ130=2,$N62*('Gantt Proyectos'!AJ130-1))),0)*$L62*$Q62</f>
        <v>48000</v>
      </c>
      <c r="AN62" s="467">
        <f>IFERROR(IF('Gantt Proyectos'!AK130&lt;2,$N62*'Gantt Proyectos'!AK130,IF('Gantt Proyectos'!AK130=2,$N62*('Gantt Proyectos'!AK130-1))),0)*$L62*$Q62</f>
        <v>48000</v>
      </c>
      <c r="AO62" s="467">
        <f>IFERROR(IF('Gantt Proyectos'!AL130&lt;2,$N62*'Gantt Proyectos'!AL130,IF('Gantt Proyectos'!AL130=2,$N62*('Gantt Proyectos'!AL130-1))),0)*$L62*$Q62</f>
        <v>48000</v>
      </c>
      <c r="AP62" s="467">
        <f>IFERROR(IF('Gantt Proyectos'!AM130&lt;2,$N62*'Gantt Proyectos'!AM130,IF('Gantt Proyectos'!AM130=2,$N62*('Gantt Proyectos'!AM130-1))),0)*$L62*$Q62</f>
        <v>48000</v>
      </c>
      <c r="AQ62" s="468">
        <f>IFERROR(IF('Gantt Proyectos'!AN130&lt;2,$N62*'Gantt Proyectos'!AN130,IF('Gantt Proyectos'!AN130=2,$N62*('Gantt Proyectos'!AN130-1))),0)*$L62*$Q62</f>
        <v>48000</v>
      </c>
    </row>
    <row r="63" spans="1:43" ht="15" x14ac:dyDescent="0.2">
      <c r="A63" s="110" t="b">
        <f t="shared" si="7"/>
        <v>1</v>
      </c>
      <c r="B63" s="610">
        <v>0.1</v>
      </c>
      <c r="C63" s="117">
        <f>+'Gantt Proyectos'!C131</f>
        <v>35</v>
      </c>
      <c r="D63" s="602" t="str">
        <f>+'Gantt Proyectos'!D131</f>
        <v>Scoping Study Algarrobo UG</v>
      </c>
      <c r="E63" s="602" t="str">
        <f>+'Gantt Proyectos'!E131</f>
        <v>CMP</v>
      </c>
      <c r="F63" s="605" t="str">
        <f>+'Gantt Proyectos'!F131</f>
        <v>Chile</v>
      </c>
      <c r="G63" s="604" t="str">
        <f>+'Gantt Proyectos'!G131</f>
        <v>Chile</v>
      </c>
      <c r="H63" s="604">
        <f>+'Gantt Proyectos'!H131</f>
        <v>0</v>
      </c>
      <c r="I63" s="606">
        <v>1</v>
      </c>
      <c r="J63" s="606">
        <f t="shared" si="5"/>
        <v>0</v>
      </c>
      <c r="K63" s="604" t="str">
        <f>+'Gantt Proyectos'!I131</f>
        <v>Subterránea</v>
      </c>
      <c r="L63" s="607">
        <f>+'Gantt Proyectos'!J131</f>
        <v>1</v>
      </c>
      <c r="M63" s="602" t="str">
        <f>+'Gantt Proyectos'!K131</f>
        <v>-</v>
      </c>
      <c r="N63" s="602">
        <f>+'Gantt Proyectos'!L131</f>
        <v>160000</v>
      </c>
      <c r="O63" s="602">
        <f>+'Gantt Proyectos'!M131</f>
        <v>160000</v>
      </c>
      <c r="P63" s="602">
        <f>+'Gantt Proyectos'!N131</f>
        <v>2</v>
      </c>
      <c r="Q63" s="603">
        <f>+Dashboard!I45</f>
        <v>0.1</v>
      </c>
      <c r="R63" s="119">
        <f>+'Gantt Proyectos'!O131</f>
        <v>45824</v>
      </c>
      <c r="S63" s="119">
        <f>+'Gantt Proyectos'!P131</f>
        <v>46027</v>
      </c>
      <c r="T63" s="145" t="str">
        <f>+'Gantt Proyectos'!R131</f>
        <v>No</v>
      </c>
      <c r="U63" s="118">
        <f>+'Gantt Proyectos'!S131</f>
        <v>0</v>
      </c>
      <c r="V63" s="156">
        <f>+'Gantt Proyectos'!T131</f>
        <v>45824</v>
      </c>
      <c r="W63" s="156">
        <f>+'Gantt Proyectos'!U131</f>
        <v>46027</v>
      </c>
      <c r="X63" s="201">
        <f t="shared" si="6"/>
        <v>7</v>
      </c>
      <c r="Y63" s="121">
        <f>+'Gantt Proyectos'!W131</f>
        <v>0.14474272930648768</v>
      </c>
      <c r="Z63" s="122">
        <f>+'Gantt Proyectos'!X131</f>
        <v>0.33</v>
      </c>
      <c r="AA63" s="122">
        <f>+'Gantt Proyectos'!Y131</f>
        <v>0.5</v>
      </c>
      <c r="AB63" s="122">
        <f>+'Gantt Proyectos'!Z131</f>
        <v>0.33</v>
      </c>
      <c r="AC63" s="122">
        <f>+'Gantt Proyectos'!AA131</f>
        <v>1</v>
      </c>
      <c r="AD63" s="122">
        <f>+'Gantt Proyectos'!AB131</f>
        <v>1</v>
      </c>
      <c r="AE63" s="152" t="str">
        <f>+'Gantt Proyectos'!AC131</f>
        <v>Scoping</v>
      </c>
      <c r="AF63" s="123" t="str">
        <f>+'Gantt Proyectos'!AD131</f>
        <v>No Asignado</v>
      </c>
      <c r="AG63" s="124" t="str">
        <f>+'Gantt Proyectos'!AE131</f>
        <v>1. Proyectado: No  Asignado</v>
      </c>
      <c r="AH63" s="172">
        <v>1</v>
      </c>
      <c r="AI63" s="466">
        <f>IFERROR(IF('Gantt Proyectos'!AF131&lt;2,$N63*'Gantt Proyectos'!AF131,IF('Gantt Proyectos'!AF131=2,$N63*('Gantt Proyectos'!AF131-1))),0)*$L63*$Q63</f>
        <v>0</v>
      </c>
      <c r="AJ63" s="467">
        <f>IFERROR(IF('Gantt Proyectos'!AG131&lt;2,$N63*'Gantt Proyectos'!AG131,IF('Gantt Proyectos'!AG131=2,$N63*('Gantt Proyectos'!AG131-1))),0)*$L63*$Q63</f>
        <v>0</v>
      </c>
      <c r="AK63" s="467">
        <f>IFERROR(IF('Gantt Proyectos'!AH131&lt;2,$N63*'Gantt Proyectos'!AH131,IF('Gantt Proyectos'!AH131=2,$N63*('Gantt Proyectos'!AH131-1))),0)*$L63*$Q63</f>
        <v>2285.7142857142858</v>
      </c>
      <c r="AL63" s="467">
        <f>IFERROR(IF('Gantt Proyectos'!AI131&lt;2,$N63*'Gantt Proyectos'!AI131,IF('Gantt Proyectos'!AI131=2,$N63*('Gantt Proyectos'!AI131-1))),0)*$L63*$Q63</f>
        <v>2285.7142857142858</v>
      </c>
      <c r="AM63" s="467">
        <f>IFERROR(IF('Gantt Proyectos'!AJ131&lt;2,$N63*'Gantt Proyectos'!AJ131,IF('Gantt Proyectos'!AJ131=2,$N63*('Gantt Proyectos'!AJ131-1))),0)*$L63*$Q63</f>
        <v>2285.7142857142858</v>
      </c>
      <c r="AN63" s="467">
        <f>IFERROR(IF('Gantt Proyectos'!AK131&lt;2,$N63*'Gantt Proyectos'!AK131,IF('Gantt Proyectos'!AK131=2,$N63*('Gantt Proyectos'!AK131-1))),0)*$L63*$Q63</f>
        <v>2285.7142857142858</v>
      </c>
      <c r="AO63" s="467">
        <f>IFERROR(IF('Gantt Proyectos'!AL131&lt;2,$N63*'Gantt Proyectos'!AL131,IF('Gantt Proyectos'!AL131=2,$N63*('Gantt Proyectos'!AL131-1))),0)*$L63*$Q63</f>
        <v>2285.7142857142858</v>
      </c>
      <c r="AP63" s="467">
        <f>IFERROR(IF('Gantt Proyectos'!AM131&lt;2,$N63*'Gantt Proyectos'!AM131,IF('Gantt Proyectos'!AM131=2,$N63*('Gantt Proyectos'!AM131-1))),0)*$L63*$Q63</f>
        <v>2285.7142857142858</v>
      </c>
      <c r="AQ63" s="468">
        <f>IFERROR(IF('Gantt Proyectos'!AN131&lt;2,$N63*'Gantt Proyectos'!AN131,IF('Gantt Proyectos'!AN131=2,$N63*('Gantt Proyectos'!AN131-1))),0)*$L63*$Q63</f>
        <v>2285.7142857142858</v>
      </c>
    </row>
    <row r="64" spans="1:43" ht="15" x14ac:dyDescent="0.2">
      <c r="A64" s="110" t="b">
        <f t="shared" si="7"/>
        <v>1</v>
      </c>
      <c r="B64" s="610">
        <v>0.3</v>
      </c>
      <c r="C64" s="117">
        <f>+'Gantt Proyectos'!C132</f>
        <v>36</v>
      </c>
      <c r="D64" s="602" t="str">
        <f>+'Gantt Proyectos'!D132</f>
        <v>Soporte Romeral, construcción túnel exploratorio</v>
      </c>
      <c r="E64" s="602" t="str">
        <f>+'Gantt Proyectos'!E132</f>
        <v>Romeral</v>
      </c>
      <c r="F64" s="605" t="str">
        <f>+'Gantt Proyectos'!F132</f>
        <v>Chile</v>
      </c>
      <c r="G64" s="604" t="str">
        <f>+'Gantt Proyectos'!G132</f>
        <v>Chile</v>
      </c>
      <c r="H64" s="604">
        <f>+'Gantt Proyectos'!H132</f>
        <v>0</v>
      </c>
      <c r="I64" s="606">
        <v>1</v>
      </c>
      <c r="J64" s="606">
        <f t="shared" si="5"/>
        <v>0</v>
      </c>
      <c r="K64" s="604" t="str">
        <f>+'Gantt Proyectos'!I132</f>
        <v>Subterránea</v>
      </c>
      <c r="L64" s="607">
        <f>+'Gantt Proyectos'!J132</f>
        <v>1</v>
      </c>
      <c r="M64" s="602" t="str">
        <f>+'Gantt Proyectos'!K132</f>
        <v>RM</v>
      </c>
      <c r="N64" s="602">
        <f>+'Gantt Proyectos'!L132</f>
        <v>500000</v>
      </c>
      <c r="O64" s="602">
        <f>+'Gantt Proyectos'!M132</f>
        <v>500000</v>
      </c>
      <c r="P64" s="602">
        <f>+'Gantt Proyectos'!N132</f>
        <v>2</v>
      </c>
      <c r="Q64" s="603">
        <f>+Dashboard!I46</f>
        <v>0.3</v>
      </c>
      <c r="R64" s="119">
        <f>+'Gantt Proyectos'!O132</f>
        <v>45839</v>
      </c>
      <c r="S64" s="119">
        <f>+'Gantt Proyectos'!P132</f>
        <v>46569</v>
      </c>
      <c r="T64" s="145" t="str">
        <f>+'Gantt Proyectos'!R132</f>
        <v>No</v>
      </c>
      <c r="U64" s="118">
        <f>+'Gantt Proyectos'!S132</f>
        <v>0</v>
      </c>
      <c r="V64" s="156">
        <f>+'Gantt Proyectos'!T132</f>
        <v>45839</v>
      </c>
      <c r="W64" s="156">
        <f>+'Gantt Proyectos'!U132</f>
        <v>46569</v>
      </c>
      <c r="X64" s="201">
        <f t="shared" si="6"/>
        <v>24</v>
      </c>
      <c r="Y64" s="121">
        <f>+'Gantt Proyectos'!W132</f>
        <v>0.3</v>
      </c>
      <c r="Z64" s="122">
        <f>+'Gantt Proyectos'!X132</f>
        <v>0.33</v>
      </c>
      <c r="AA64" s="122">
        <f>+'Gantt Proyectos'!Y132</f>
        <v>0.5</v>
      </c>
      <c r="AB64" s="122">
        <f>+'Gantt Proyectos'!Z132</f>
        <v>0.33</v>
      </c>
      <c r="AC64" s="122">
        <f>+'Gantt Proyectos'!AA132</f>
        <v>1</v>
      </c>
      <c r="AD64" s="122">
        <f>+'Gantt Proyectos'!AB132</f>
        <v>0</v>
      </c>
      <c r="AE64" s="152" t="str">
        <f>+'Gantt Proyectos'!AC132</f>
        <v>Consultoria y Due Dilligence</v>
      </c>
      <c r="AF64" s="123" t="str">
        <f>+'Gantt Proyectos'!AD132</f>
        <v>No Asignado</v>
      </c>
      <c r="AG64" s="124" t="str">
        <f>+'Gantt Proyectos'!AE132</f>
        <v>1. Proyectado: No  Asignado</v>
      </c>
      <c r="AH64" s="172">
        <v>1</v>
      </c>
      <c r="AI64" s="466">
        <f>IFERROR(IF('Gantt Proyectos'!AF132&lt;2,$N64*'Gantt Proyectos'!AF132,IF('Gantt Proyectos'!AF132=2,$N64*('Gantt Proyectos'!AF132-1))),0)*$L64*$Q64</f>
        <v>0</v>
      </c>
      <c r="AJ64" s="467">
        <f>IFERROR(IF('Gantt Proyectos'!AG132&lt;2,$N64*'Gantt Proyectos'!AG132,IF('Gantt Proyectos'!AG132=2,$N64*('Gantt Proyectos'!AG132-1))),0)*$L64*$Q64</f>
        <v>0</v>
      </c>
      <c r="AK64" s="467">
        <f>IFERROR(IF('Gantt Proyectos'!AH132&lt;2,$N64*'Gantt Proyectos'!AH132,IF('Gantt Proyectos'!AH132=2,$N64*('Gantt Proyectos'!AH132-1))),0)*$L64*$Q64</f>
        <v>0</v>
      </c>
      <c r="AL64" s="467">
        <f>IFERROR(IF('Gantt Proyectos'!AI132&lt;2,$N64*'Gantt Proyectos'!AI132,IF('Gantt Proyectos'!AI132=2,$N64*('Gantt Proyectos'!AI132-1))),0)*$L64*$Q64</f>
        <v>6249.9999999999991</v>
      </c>
      <c r="AM64" s="467">
        <f>IFERROR(IF('Gantt Proyectos'!AJ132&lt;2,$N64*'Gantt Proyectos'!AJ132,IF('Gantt Proyectos'!AJ132=2,$N64*('Gantt Proyectos'!AJ132-1))),0)*$L64*$Q64</f>
        <v>6249.9999999999991</v>
      </c>
      <c r="AN64" s="467">
        <f>IFERROR(IF('Gantt Proyectos'!AK132&lt;2,$N64*'Gantt Proyectos'!AK132,IF('Gantt Proyectos'!AK132=2,$N64*('Gantt Proyectos'!AK132-1))),0)*$L64*$Q64</f>
        <v>6249.9999999999991</v>
      </c>
      <c r="AO64" s="467">
        <f>IFERROR(IF('Gantt Proyectos'!AL132&lt;2,$N64*'Gantt Proyectos'!AL132,IF('Gantt Proyectos'!AL132=2,$N64*('Gantt Proyectos'!AL132-1))),0)*$L64*$Q64</f>
        <v>6249.9999999999991</v>
      </c>
      <c r="AP64" s="467">
        <f>IFERROR(IF('Gantt Proyectos'!AM132&lt;2,$N64*'Gantt Proyectos'!AM132,IF('Gantt Proyectos'!AM132=2,$N64*('Gantt Proyectos'!AM132-1))),0)*$L64*$Q64</f>
        <v>6249.9999999999991</v>
      </c>
      <c r="AQ64" s="468">
        <f>IFERROR(IF('Gantt Proyectos'!AN132&lt;2,$N64*'Gantt Proyectos'!AN132,IF('Gantt Proyectos'!AN132=2,$N64*('Gantt Proyectos'!AN132-1))),0)*$L64*$Q64</f>
        <v>6249.9999999999991</v>
      </c>
    </row>
    <row r="65" spans="1:43" ht="15" x14ac:dyDescent="0.2">
      <c r="A65" s="110" t="b">
        <f t="shared" si="7"/>
        <v>1</v>
      </c>
      <c r="B65" s="610">
        <v>0.35</v>
      </c>
      <c r="C65" s="117">
        <f>+'Gantt Proyectos'!C133</f>
        <v>37</v>
      </c>
      <c r="D65" s="602" t="str">
        <f>+'Gantt Proyectos'!D133</f>
        <v>Servicios de geología y planificación (3 años)</v>
      </c>
      <c r="E65" s="602" t="str">
        <f>+'Gantt Proyectos'!E133</f>
        <v>Alcoa</v>
      </c>
      <c r="F65" s="605" t="str">
        <f>+'Gantt Proyectos'!F133</f>
        <v>Brasil</v>
      </c>
      <c r="G65" s="604" t="str">
        <f>+'Gantt Proyectos'!G133</f>
        <v>Chile</v>
      </c>
      <c r="H65" s="604" t="str">
        <f>+'Gantt Proyectos'!H133</f>
        <v>Perú</v>
      </c>
      <c r="I65" s="606">
        <v>0.5</v>
      </c>
      <c r="J65" s="606">
        <f t="shared" si="5"/>
        <v>0.5</v>
      </c>
      <c r="K65" s="604" t="str">
        <f>+'Gantt Proyectos'!I133</f>
        <v>Open Pit</v>
      </c>
      <c r="L65" s="607">
        <f>+'Gantt Proyectos'!J133</f>
        <v>1</v>
      </c>
      <c r="M65" s="602" t="str">
        <f>+'Gantt Proyectos'!K133</f>
        <v>CH</v>
      </c>
      <c r="N65" s="602">
        <f>+'Gantt Proyectos'!L133</f>
        <v>890000</v>
      </c>
      <c r="O65" s="602">
        <f>+'Gantt Proyectos'!M133</f>
        <v>890000</v>
      </c>
      <c r="P65" s="602">
        <f>+'Gantt Proyectos'!N133</f>
        <v>2</v>
      </c>
      <c r="Q65" s="603">
        <f>+Dashboard!I47</f>
        <v>0.35</v>
      </c>
      <c r="R65" s="119">
        <f>+'Gantt Proyectos'!O133</f>
        <v>45839</v>
      </c>
      <c r="S65" s="119">
        <f>+'Gantt Proyectos'!P133</f>
        <v>46388</v>
      </c>
      <c r="T65" s="145" t="str">
        <f>+'Gantt Proyectos'!R133</f>
        <v>No</v>
      </c>
      <c r="U65" s="118">
        <f>+'Gantt Proyectos'!S133</f>
        <v>0</v>
      </c>
      <c r="V65" s="156">
        <f>+'Gantt Proyectos'!T133</f>
        <v>45839</v>
      </c>
      <c r="W65" s="156">
        <f>+'Gantt Proyectos'!U133</f>
        <v>46388</v>
      </c>
      <c r="X65" s="201">
        <f t="shared" si="6"/>
        <v>18</v>
      </c>
      <c r="Y65" s="121">
        <f>+'Gantt Proyectos'!W133</f>
        <v>0.89261744966442946</v>
      </c>
      <c r="Z65" s="122">
        <f>+'Gantt Proyectos'!X133</f>
        <v>0.5</v>
      </c>
      <c r="AA65" s="122">
        <f>+'Gantt Proyectos'!Y133</f>
        <v>0.67</v>
      </c>
      <c r="AB65" s="122">
        <f>+'Gantt Proyectos'!Z133</f>
        <v>1</v>
      </c>
      <c r="AC65" s="122">
        <f>+'Gantt Proyectos'!AA133</f>
        <v>2.5</v>
      </c>
      <c r="AD65" s="122">
        <f>+'Gantt Proyectos'!AB133</f>
        <v>1</v>
      </c>
      <c r="AE65" s="152" t="str">
        <f>+'Gantt Proyectos'!AC133</f>
        <v>FS e Ing. Basica</v>
      </c>
      <c r="AF65" s="123" t="str">
        <f>+'Gantt Proyectos'!AD133</f>
        <v>No Asignado</v>
      </c>
      <c r="AG65" s="124" t="str">
        <f>+'Gantt Proyectos'!AE133</f>
        <v>1. Proyectado: No  Asignado</v>
      </c>
      <c r="AH65" s="172">
        <v>1</v>
      </c>
      <c r="AI65" s="466">
        <f>IFERROR(IF('Gantt Proyectos'!AF133&lt;2,$N65*'Gantt Proyectos'!AF133,IF('Gantt Proyectos'!AF133=2,$N65*('Gantt Proyectos'!AF133-1))),0)*$L65*$Q65</f>
        <v>0</v>
      </c>
      <c r="AJ65" s="467">
        <f>IFERROR(IF('Gantt Proyectos'!AG133&lt;2,$N65*'Gantt Proyectos'!AG133,IF('Gantt Proyectos'!AG133=2,$N65*('Gantt Proyectos'!AG133-1))),0)*$L65*$Q65</f>
        <v>0</v>
      </c>
      <c r="AK65" s="467">
        <f>IFERROR(IF('Gantt Proyectos'!AH133&lt;2,$N65*'Gantt Proyectos'!AH133,IF('Gantt Proyectos'!AH133=2,$N65*('Gantt Proyectos'!AH133-1))),0)*$L65*$Q65</f>
        <v>0</v>
      </c>
      <c r="AL65" s="467">
        <f>IFERROR(IF('Gantt Proyectos'!AI133&lt;2,$N65*'Gantt Proyectos'!AI133,IF('Gantt Proyectos'!AI133=2,$N65*('Gantt Proyectos'!AI133-1))),0)*$L65*$Q65</f>
        <v>17305.555555555555</v>
      </c>
      <c r="AM65" s="467">
        <f>IFERROR(IF('Gantt Proyectos'!AJ133&lt;2,$N65*'Gantt Proyectos'!AJ133,IF('Gantt Proyectos'!AJ133=2,$N65*('Gantt Proyectos'!AJ133-1))),0)*$L65*$Q65</f>
        <v>17305.555555555555</v>
      </c>
      <c r="AN65" s="467">
        <f>IFERROR(IF('Gantt Proyectos'!AK133&lt;2,$N65*'Gantt Proyectos'!AK133,IF('Gantt Proyectos'!AK133=2,$N65*('Gantt Proyectos'!AK133-1))),0)*$L65*$Q65</f>
        <v>17305.555555555555</v>
      </c>
      <c r="AO65" s="467">
        <f>IFERROR(IF('Gantt Proyectos'!AL133&lt;2,$N65*'Gantt Proyectos'!AL133,IF('Gantt Proyectos'!AL133=2,$N65*('Gantt Proyectos'!AL133-1))),0)*$L65*$Q65</f>
        <v>17305.555555555555</v>
      </c>
      <c r="AP65" s="467">
        <f>IFERROR(IF('Gantt Proyectos'!AM133&lt;2,$N65*'Gantt Proyectos'!AM133,IF('Gantt Proyectos'!AM133=2,$N65*('Gantt Proyectos'!AM133-1))),0)*$L65*$Q65</f>
        <v>17305.555555555555</v>
      </c>
      <c r="AQ65" s="468">
        <f>IFERROR(IF('Gantt Proyectos'!AN133&lt;2,$N65*'Gantt Proyectos'!AN133,IF('Gantt Proyectos'!AN133=2,$N65*('Gantt Proyectos'!AN133-1))),0)*$L65*$Q65</f>
        <v>17305.555555555555</v>
      </c>
    </row>
    <row r="66" spans="1:43" ht="15" x14ac:dyDescent="0.2">
      <c r="A66" s="110" t="b">
        <f t="shared" si="7"/>
        <v>1</v>
      </c>
      <c r="B66" s="610">
        <v>0.9</v>
      </c>
      <c r="C66" s="117">
        <f>+'Gantt Proyectos'!C134</f>
        <v>38</v>
      </c>
      <c r="D66" s="602" t="str">
        <f>+'Gantt Proyectos'!D134</f>
        <v>Evaluación de diferentes escenarios estrategicos (Cambio de producto)</v>
      </c>
      <c r="E66" s="602" t="str">
        <f>+'Gantt Proyectos'!E134</f>
        <v>BCG</v>
      </c>
      <c r="F66" s="605" t="str">
        <f>+'Gantt Proyectos'!F134</f>
        <v>Brasil</v>
      </c>
      <c r="G66" s="604" t="str">
        <f>+'Gantt Proyectos'!G134</f>
        <v>Chile</v>
      </c>
      <c r="H66" s="604">
        <f>+'Gantt Proyectos'!H134</f>
        <v>0</v>
      </c>
      <c r="I66" s="606">
        <v>1</v>
      </c>
      <c r="J66" s="606">
        <f t="shared" si="5"/>
        <v>0</v>
      </c>
      <c r="K66" s="604" t="str">
        <f>+'Gantt Proyectos'!I134</f>
        <v>Open Pit</v>
      </c>
      <c r="L66" s="607">
        <f>+'Gantt Proyectos'!J134</f>
        <v>1</v>
      </c>
      <c r="M66" s="602" t="str">
        <f>+'Gantt Proyectos'!K134</f>
        <v>FR</v>
      </c>
      <c r="N66" s="602">
        <f>+'Gantt Proyectos'!L134</f>
        <v>180000</v>
      </c>
      <c r="O66" s="602">
        <f>+'Gantt Proyectos'!M134</f>
        <v>180000</v>
      </c>
      <c r="P66" s="602">
        <f>+'Gantt Proyectos'!N134</f>
        <v>2</v>
      </c>
      <c r="Q66" s="603">
        <f>+Dashboard!I48</f>
        <v>0.9</v>
      </c>
      <c r="R66" s="119">
        <f>+'Gantt Proyectos'!O134</f>
        <v>45839</v>
      </c>
      <c r="S66" s="119">
        <f>+'Gantt Proyectos'!P134</f>
        <v>45920</v>
      </c>
      <c r="T66" s="145" t="str">
        <f>+'Gantt Proyectos'!R134</f>
        <v>No</v>
      </c>
      <c r="U66" s="118">
        <f>+'Gantt Proyectos'!S134</f>
        <v>0</v>
      </c>
      <c r="V66" s="156">
        <f>+'Gantt Proyectos'!T134</f>
        <v>45839</v>
      </c>
      <c r="W66" s="156">
        <f>+'Gantt Proyectos'!U134</f>
        <v>45920</v>
      </c>
      <c r="X66" s="201">
        <f t="shared" si="6"/>
        <v>3</v>
      </c>
      <c r="Y66" s="121">
        <f>+'Gantt Proyectos'!W134</f>
        <v>0.9</v>
      </c>
      <c r="Z66" s="122">
        <f>+'Gantt Proyectos'!X134</f>
        <v>0.33</v>
      </c>
      <c r="AA66" s="122">
        <f>+'Gantt Proyectos'!Y134</f>
        <v>0.5</v>
      </c>
      <c r="AB66" s="122">
        <f>+'Gantt Proyectos'!Z134</f>
        <v>0.33</v>
      </c>
      <c r="AC66" s="122">
        <f>+'Gantt Proyectos'!AA134</f>
        <v>1</v>
      </c>
      <c r="AD66" s="122">
        <f>+'Gantt Proyectos'!AB134</f>
        <v>0</v>
      </c>
      <c r="AE66" s="152" t="str">
        <f>+'Gantt Proyectos'!AC134</f>
        <v>Consultoria y Due Dilligence</v>
      </c>
      <c r="AF66" s="123" t="str">
        <f>+'Gantt Proyectos'!AD134</f>
        <v>No Asignado</v>
      </c>
      <c r="AG66" s="124" t="str">
        <f>+'Gantt Proyectos'!AE134</f>
        <v>1. Proyectado: No  Asignado</v>
      </c>
      <c r="AH66" s="172">
        <v>1</v>
      </c>
      <c r="AI66" s="466">
        <f>IFERROR(IF('Gantt Proyectos'!AF134&lt;2,$N66*'Gantt Proyectos'!AF134,IF('Gantt Proyectos'!AF134=2,$N66*('Gantt Proyectos'!AF134-1))),0)*$L66*$Q66</f>
        <v>0</v>
      </c>
      <c r="AJ66" s="467">
        <f>IFERROR(IF('Gantt Proyectos'!AG134&lt;2,$N66*'Gantt Proyectos'!AG134,IF('Gantt Proyectos'!AG134=2,$N66*('Gantt Proyectos'!AG134-1))),0)*$L66*$Q66</f>
        <v>0</v>
      </c>
      <c r="AK66" s="467">
        <f>IFERROR(IF('Gantt Proyectos'!AH134&lt;2,$N66*'Gantt Proyectos'!AH134,IF('Gantt Proyectos'!AH134=2,$N66*('Gantt Proyectos'!AH134-1))),0)*$L66*$Q66</f>
        <v>0</v>
      </c>
      <c r="AL66" s="467">
        <f>IFERROR(IF('Gantt Proyectos'!AI134&lt;2,$N66*'Gantt Proyectos'!AI134,IF('Gantt Proyectos'!AI134=2,$N66*('Gantt Proyectos'!AI134-1))),0)*$L66*$Q66</f>
        <v>54000</v>
      </c>
      <c r="AM66" s="467">
        <f>IFERROR(IF('Gantt Proyectos'!AJ134&lt;2,$N66*'Gantt Proyectos'!AJ134,IF('Gantt Proyectos'!AJ134=2,$N66*('Gantt Proyectos'!AJ134-1))),0)*$L66*$Q66</f>
        <v>54000</v>
      </c>
      <c r="AN66" s="467">
        <f>IFERROR(IF('Gantt Proyectos'!AK134&lt;2,$N66*'Gantt Proyectos'!AK134,IF('Gantt Proyectos'!AK134=2,$N66*('Gantt Proyectos'!AK134-1))),0)*$L66*$Q66</f>
        <v>54000</v>
      </c>
      <c r="AO66" s="467">
        <f>IFERROR(IF('Gantt Proyectos'!AL134&lt;2,$N66*'Gantt Proyectos'!AL134,IF('Gantt Proyectos'!AL134=2,$N66*('Gantt Proyectos'!AL134-1))),0)*$L66*$Q66</f>
        <v>0</v>
      </c>
      <c r="AP66" s="467">
        <f>IFERROR(IF('Gantt Proyectos'!AM134&lt;2,$N66*'Gantt Proyectos'!AM134,IF('Gantt Proyectos'!AM134=2,$N66*('Gantt Proyectos'!AM134-1))),0)*$L66*$Q66</f>
        <v>0</v>
      </c>
      <c r="AQ66" s="468">
        <f>IFERROR(IF('Gantt Proyectos'!AN134&lt;2,$N66*'Gantt Proyectos'!AN134,IF('Gantt Proyectos'!AN134=2,$N66*('Gantt Proyectos'!AN134-1))),0)*$L66*$Q66</f>
        <v>0</v>
      </c>
    </row>
    <row r="67" spans="1:43" ht="15" x14ac:dyDescent="0.2">
      <c r="A67" s="110" t="b">
        <f t="shared" si="7"/>
        <v>1</v>
      </c>
      <c r="B67" s="610">
        <v>0</v>
      </c>
      <c r="C67" s="117">
        <f>+'Gantt Proyectos'!C135</f>
        <v>39</v>
      </c>
      <c r="D67" s="608" t="str">
        <f>+'Gantt Proyectos'!D135</f>
        <v>Optimización proceso LOM + Implementación SIMPLAN</v>
      </c>
      <c r="E67" s="145" t="str">
        <f>+'Gantt Proyectos'!E135</f>
        <v>LHG</v>
      </c>
      <c r="F67" s="147" t="str">
        <f>+'Gantt Proyectos'!F135</f>
        <v>Brasil</v>
      </c>
      <c r="G67" s="118" t="str">
        <f>+'Gantt Proyectos'!G135</f>
        <v>Chile</v>
      </c>
      <c r="H67" s="118">
        <f>+'Gantt Proyectos'!H135</f>
        <v>0</v>
      </c>
      <c r="I67" s="189">
        <v>1</v>
      </c>
      <c r="J67" s="189">
        <f t="shared" si="5"/>
        <v>0</v>
      </c>
      <c r="K67" s="118" t="str">
        <f>+'Gantt Proyectos'!I135</f>
        <v>Open Pit</v>
      </c>
      <c r="L67" s="120">
        <f>+'Gantt Proyectos'!J135</f>
        <v>0</v>
      </c>
      <c r="M67" s="145" t="str">
        <f>+'Gantt Proyectos'!K135</f>
        <v>RL</v>
      </c>
      <c r="N67" s="145">
        <f>+'Gantt Proyectos'!L135</f>
        <v>150000</v>
      </c>
      <c r="O67" s="145">
        <f>+'Gantt Proyectos'!M135</f>
        <v>150000</v>
      </c>
      <c r="P67" s="145">
        <f>+'Gantt Proyectos'!N135</f>
        <v>2</v>
      </c>
      <c r="Q67" s="566">
        <f>+Dashboard!I49</f>
        <v>0</v>
      </c>
      <c r="R67" s="119">
        <f>+'Gantt Proyectos'!O135</f>
        <v>45809</v>
      </c>
      <c r="S67" s="119">
        <f>+'Gantt Proyectos'!P135</f>
        <v>45901</v>
      </c>
      <c r="T67" s="145" t="str">
        <f>+'Gantt Proyectos'!R135</f>
        <v>No</v>
      </c>
      <c r="U67" s="118">
        <f>+'Gantt Proyectos'!S135</f>
        <v>0</v>
      </c>
      <c r="V67" s="156">
        <f>+'Gantt Proyectos'!T135</f>
        <v>45809</v>
      </c>
      <c r="W67" s="156">
        <f>+'Gantt Proyectos'!U135</f>
        <v>45901</v>
      </c>
      <c r="X67" s="201">
        <f t="shared" si="6"/>
        <v>4</v>
      </c>
      <c r="Y67" s="121">
        <f>+'Gantt Proyectos'!W135</f>
        <v>0</v>
      </c>
      <c r="Z67" s="122">
        <f>+'Gantt Proyectos'!X135</f>
        <v>0</v>
      </c>
      <c r="AA67" s="122">
        <f>+'Gantt Proyectos'!Y135</f>
        <v>0</v>
      </c>
      <c r="AB67" s="122">
        <f>+'Gantt Proyectos'!Z135</f>
        <v>0</v>
      </c>
      <c r="AC67" s="122">
        <f>+'Gantt Proyectos'!AA135</f>
        <v>0</v>
      </c>
      <c r="AD67" s="122">
        <f>+'Gantt Proyectos'!AB135</f>
        <v>0</v>
      </c>
      <c r="AE67" s="152" t="str">
        <f>+'Gantt Proyectos'!AC135</f>
        <v>Consultoria y Due Dilligence</v>
      </c>
      <c r="AF67" s="123" t="str">
        <f>+'Gantt Proyectos'!AD135</f>
        <v>No Asignado</v>
      </c>
      <c r="AG67" s="124" t="str">
        <f>+'Gantt Proyectos'!AE135</f>
        <v>1. Proyectado: No  Asignado</v>
      </c>
      <c r="AH67" s="172">
        <v>1</v>
      </c>
      <c r="AI67" s="466">
        <f>IFERROR(IF('Gantt Proyectos'!AF135&lt;2,$N67*'Gantt Proyectos'!AF135,IF('Gantt Proyectos'!AF135=2,$N67*('Gantt Proyectos'!AF135-1))),0)*$L67*$Q67</f>
        <v>0</v>
      </c>
      <c r="AJ67" s="467">
        <f>IFERROR(IF('Gantt Proyectos'!AG135&lt;2,$N67*'Gantt Proyectos'!AG135,IF('Gantt Proyectos'!AG135=2,$N67*('Gantt Proyectos'!AG135-1))),0)*$L67*$Q67</f>
        <v>0</v>
      </c>
      <c r="AK67" s="467">
        <f>IFERROR(IF('Gantt Proyectos'!AH135&lt;2,$N67*'Gantt Proyectos'!AH135,IF('Gantt Proyectos'!AH135=2,$N67*('Gantt Proyectos'!AH135-1))),0)*$L67*$Q67</f>
        <v>0</v>
      </c>
      <c r="AL67" s="467">
        <f>IFERROR(IF('Gantt Proyectos'!AI135&lt;2,$N67*'Gantt Proyectos'!AI135,IF('Gantt Proyectos'!AI135=2,$N67*('Gantt Proyectos'!AI135-1))),0)*$L67*$Q67</f>
        <v>0</v>
      </c>
      <c r="AM67" s="467">
        <f>IFERROR(IF('Gantt Proyectos'!AJ135&lt;2,$N67*'Gantt Proyectos'!AJ135,IF('Gantt Proyectos'!AJ135=2,$N67*('Gantt Proyectos'!AJ135-1))),0)*$L67*$Q67</f>
        <v>0</v>
      </c>
      <c r="AN67" s="467">
        <f>IFERROR(IF('Gantt Proyectos'!AK135&lt;2,$N67*'Gantt Proyectos'!AK135,IF('Gantt Proyectos'!AK135=2,$N67*('Gantt Proyectos'!AK135-1))),0)*$L67*$Q67</f>
        <v>0</v>
      </c>
      <c r="AO67" s="467">
        <f>IFERROR(IF('Gantt Proyectos'!AL135&lt;2,$N67*'Gantt Proyectos'!AL135,IF('Gantt Proyectos'!AL135=2,$N67*('Gantt Proyectos'!AL135-1))),0)*$L67*$Q67</f>
        <v>0</v>
      </c>
      <c r="AP67" s="467">
        <f>IFERROR(IF('Gantt Proyectos'!AM135&lt;2,$N67*'Gantt Proyectos'!AM135,IF('Gantt Proyectos'!AM135=2,$N67*('Gantt Proyectos'!AM135-1))),0)*$L67*$Q67</f>
        <v>0</v>
      </c>
      <c r="AQ67" s="468">
        <f>IFERROR(IF('Gantt Proyectos'!AN135&lt;2,$N67*'Gantt Proyectos'!AN135,IF('Gantt Proyectos'!AN135=2,$N67*('Gantt Proyectos'!AN135-1))),0)*$L67*$Q67</f>
        <v>0</v>
      </c>
    </row>
    <row r="68" spans="1:43" ht="15" x14ac:dyDescent="0.2">
      <c r="A68" s="110" t="b">
        <f t="shared" si="7"/>
        <v>1</v>
      </c>
      <c r="B68" s="610">
        <v>0</v>
      </c>
      <c r="C68" s="117">
        <f>+'Gantt Proyectos'!C136</f>
        <v>40</v>
      </c>
      <c r="D68" s="608" t="str">
        <f>+'Gantt Proyectos'!D136</f>
        <v>Servicio de Modelamiento Geotécnico Botaderos Parca</v>
      </c>
      <c r="E68" s="145" t="str">
        <f>+'Gantt Proyectos'!E136</f>
        <v>BHP</v>
      </c>
      <c r="F68" s="147" t="str">
        <f>+'Gantt Proyectos'!F136</f>
        <v>Chile</v>
      </c>
      <c r="G68" s="118" t="str">
        <f>+'Gantt Proyectos'!G136</f>
        <v>Chile</v>
      </c>
      <c r="H68" s="118" t="str">
        <f>+'Gantt Proyectos'!H136</f>
        <v>Perú</v>
      </c>
      <c r="I68" s="189">
        <v>0.5</v>
      </c>
      <c r="J68" s="189">
        <f t="shared" si="5"/>
        <v>0.5</v>
      </c>
      <c r="K68" s="118" t="str">
        <f>+'Gantt Proyectos'!I136</f>
        <v>Geomecánica</v>
      </c>
      <c r="L68" s="120">
        <f>+'Gantt Proyectos'!J136</f>
        <v>0</v>
      </c>
      <c r="M68" s="145" t="str">
        <f>+'Gantt Proyectos'!K136</f>
        <v>RM</v>
      </c>
      <c r="N68" s="145">
        <f>+'Gantt Proyectos'!L136</f>
        <v>300000</v>
      </c>
      <c r="O68" s="145">
        <f>+'Gantt Proyectos'!M136</f>
        <v>300000</v>
      </c>
      <c r="P68" s="145">
        <f>+'Gantt Proyectos'!N136</f>
        <v>2</v>
      </c>
      <c r="Q68" s="566">
        <f>+Dashboard!I50</f>
        <v>0</v>
      </c>
      <c r="R68" s="119">
        <f>+'Gantt Proyectos'!O136</f>
        <v>45809</v>
      </c>
      <c r="S68" s="119">
        <f>+'Gantt Proyectos'!P136</f>
        <v>45950</v>
      </c>
      <c r="T68" s="145" t="str">
        <f>+'Gantt Proyectos'!R136</f>
        <v>No</v>
      </c>
      <c r="U68" s="118">
        <f>+'Gantt Proyectos'!S136</f>
        <v>0</v>
      </c>
      <c r="V68" s="156">
        <f>+'Gantt Proyectos'!T136</f>
        <v>45809</v>
      </c>
      <c r="W68" s="156">
        <f>+'Gantt Proyectos'!U136</f>
        <v>45950</v>
      </c>
      <c r="X68" s="201">
        <f t="shared" si="6"/>
        <v>5</v>
      </c>
      <c r="Y68" s="121">
        <f>+'Gantt Proyectos'!W136</f>
        <v>0</v>
      </c>
      <c r="Z68" s="122">
        <f>+'Gantt Proyectos'!X136</f>
        <v>0</v>
      </c>
      <c r="AA68" s="122">
        <f>+'Gantt Proyectos'!Y136</f>
        <v>0</v>
      </c>
      <c r="AB68" s="122">
        <f>+'Gantt Proyectos'!Z136</f>
        <v>0</v>
      </c>
      <c r="AC68" s="122">
        <f>+'Gantt Proyectos'!AA136</f>
        <v>0</v>
      </c>
      <c r="AD68" s="122">
        <f>+'Gantt Proyectos'!AB136</f>
        <v>0</v>
      </c>
      <c r="AE68" s="152" t="str">
        <f>+'Gantt Proyectos'!AC136</f>
        <v>FS e Ing. Basica</v>
      </c>
      <c r="AF68" s="123" t="str">
        <f>+'Gantt Proyectos'!AD136</f>
        <v>No Asignado</v>
      </c>
      <c r="AG68" s="124" t="str">
        <f>+'Gantt Proyectos'!AE136</f>
        <v>1. Proyectado: No  Asignado</v>
      </c>
      <c r="AH68" s="172">
        <v>1</v>
      </c>
      <c r="AI68" s="466">
        <f>IFERROR(IF('Gantt Proyectos'!AF136&lt;2,$N68*'Gantt Proyectos'!AF136,IF('Gantt Proyectos'!AF136=2,$N68*('Gantt Proyectos'!AF136-1))),0)*$L68*$Q68</f>
        <v>0</v>
      </c>
      <c r="AJ68" s="467">
        <f>IFERROR(IF('Gantt Proyectos'!AG136&lt;2,$N68*'Gantt Proyectos'!AG136,IF('Gantt Proyectos'!AG136=2,$N68*('Gantt Proyectos'!AG136-1))),0)*$L68*$Q68</f>
        <v>0</v>
      </c>
      <c r="AK68" s="467">
        <f>IFERROR(IF('Gantt Proyectos'!AH136&lt;2,$N68*'Gantt Proyectos'!AH136,IF('Gantt Proyectos'!AH136=2,$N68*('Gantt Proyectos'!AH136-1))),0)*$L68*$Q68</f>
        <v>0</v>
      </c>
      <c r="AL68" s="467">
        <f>IFERROR(IF('Gantt Proyectos'!AI136&lt;2,$N68*'Gantt Proyectos'!AI136,IF('Gantt Proyectos'!AI136=2,$N68*('Gantt Proyectos'!AI136-1))),0)*$L68*$Q68</f>
        <v>0</v>
      </c>
      <c r="AM68" s="467">
        <f>IFERROR(IF('Gantt Proyectos'!AJ136&lt;2,$N68*'Gantt Proyectos'!AJ136,IF('Gantt Proyectos'!AJ136=2,$N68*('Gantt Proyectos'!AJ136-1))),0)*$L68*$Q68</f>
        <v>0</v>
      </c>
      <c r="AN68" s="467">
        <f>IFERROR(IF('Gantt Proyectos'!AK136&lt;2,$N68*'Gantt Proyectos'!AK136,IF('Gantt Proyectos'!AK136=2,$N68*('Gantt Proyectos'!AK136-1))),0)*$L68*$Q68</f>
        <v>0</v>
      </c>
      <c r="AO68" s="467">
        <f>IFERROR(IF('Gantt Proyectos'!AL136&lt;2,$N68*'Gantt Proyectos'!AL136,IF('Gantt Proyectos'!AL136=2,$N68*('Gantt Proyectos'!AL136-1))),0)*$L68*$Q68</f>
        <v>0</v>
      </c>
      <c r="AP68" s="467">
        <f>IFERROR(IF('Gantt Proyectos'!AM136&lt;2,$N68*'Gantt Proyectos'!AM136,IF('Gantt Proyectos'!AM136=2,$N68*('Gantt Proyectos'!AM136-1))),0)*$L68*$Q68</f>
        <v>0</v>
      </c>
      <c r="AQ68" s="468">
        <f>IFERROR(IF('Gantt Proyectos'!AN136&lt;2,$N68*'Gantt Proyectos'!AN136,IF('Gantt Proyectos'!AN136=2,$N68*('Gantt Proyectos'!AN136-1))),0)*$L68*$Q68</f>
        <v>0</v>
      </c>
    </row>
    <row r="69" spans="1:43" ht="15" x14ac:dyDescent="0.2">
      <c r="A69" s="110" t="b">
        <f t="shared" si="7"/>
        <v>1</v>
      </c>
      <c r="B69" s="610">
        <v>0.05</v>
      </c>
      <c r="C69" s="117">
        <f>+'Gantt Proyectos'!C137</f>
        <v>41</v>
      </c>
      <c r="D69" s="602" t="str">
        <f>+'Gantt Proyectos'!D137</f>
        <v>Evaluación de cumplimiento de planes de corto plazo</v>
      </c>
      <c r="E69" s="145" t="str">
        <f>+'Gantt Proyectos'!E137</f>
        <v>Antamina</v>
      </c>
      <c r="F69" s="147" t="str">
        <f>+'Gantt Proyectos'!F137</f>
        <v>Perú</v>
      </c>
      <c r="G69" s="118" t="str">
        <f>+'Gantt Proyectos'!G137</f>
        <v>Perú</v>
      </c>
      <c r="H69" s="118" t="str">
        <f>+'Gantt Proyectos'!H137</f>
        <v>Chile</v>
      </c>
      <c r="I69" s="189">
        <v>0.5</v>
      </c>
      <c r="J69" s="189">
        <f t="shared" si="5"/>
        <v>0.5</v>
      </c>
      <c r="K69" s="118" t="str">
        <f>+'Gantt Proyectos'!I137</f>
        <v>Open Pit</v>
      </c>
      <c r="L69" s="120">
        <f>+'Gantt Proyectos'!J137</f>
        <v>1</v>
      </c>
      <c r="M69" s="145" t="str">
        <f>+'Gantt Proyectos'!K137</f>
        <v>FR</v>
      </c>
      <c r="N69" s="145">
        <f>+'Gantt Proyectos'!L137</f>
        <v>180000</v>
      </c>
      <c r="O69" s="145">
        <f>+'Gantt Proyectos'!M137</f>
        <v>180000</v>
      </c>
      <c r="P69" s="145">
        <f>+'Gantt Proyectos'!N137</f>
        <v>2</v>
      </c>
      <c r="Q69" s="603">
        <f>+Dashboard!I51</f>
        <v>0.05</v>
      </c>
      <c r="R69" s="119">
        <f>+'Gantt Proyectos'!O137</f>
        <v>45839</v>
      </c>
      <c r="S69" s="119">
        <f>+'Gantt Proyectos'!P137</f>
        <v>45931</v>
      </c>
      <c r="T69" s="145" t="str">
        <f>+'Gantt Proyectos'!R137</f>
        <v>No</v>
      </c>
      <c r="U69" s="118">
        <f>+'Gantt Proyectos'!S137</f>
        <v>0</v>
      </c>
      <c r="V69" s="156">
        <f>+'Gantt Proyectos'!T137</f>
        <v>45839</v>
      </c>
      <c r="W69" s="156">
        <f>+'Gantt Proyectos'!U137</f>
        <v>45931</v>
      </c>
      <c r="X69" s="201">
        <f t="shared" si="6"/>
        <v>4</v>
      </c>
      <c r="Y69" s="121">
        <f>+'Gantt Proyectos'!W137</f>
        <v>0.05</v>
      </c>
      <c r="Z69" s="122">
        <f>+'Gantt Proyectos'!X137</f>
        <v>0.33</v>
      </c>
      <c r="AA69" s="122">
        <f>+'Gantt Proyectos'!Y137</f>
        <v>0.5</v>
      </c>
      <c r="AB69" s="122">
        <f>+'Gantt Proyectos'!Z137</f>
        <v>0.33</v>
      </c>
      <c r="AC69" s="122">
        <f>+'Gantt Proyectos'!AA137</f>
        <v>1</v>
      </c>
      <c r="AD69" s="122">
        <f>+'Gantt Proyectos'!AB137</f>
        <v>0</v>
      </c>
      <c r="AE69" s="152" t="str">
        <f>+'Gantt Proyectos'!AC137</f>
        <v>Consultoria y Due Dilligence</v>
      </c>
      <c r="AF69" s="123" t="str">
        <f>+'Gantt Proyectos'!AD137</f>
        <v>No Asignado</v>
      </c>
      <c r="AG69" s="124" t="str">
        <f>+'Gantt Proyectos'!AE137</f>
        <v>1. Proyectado: No  Asignado</v>
      </c>
      <c r="AH69" s="172">
        <v>1</v>
      </c>
      <c r="AI69" s="466">
        <f>IFERROR(IF('Gantt Proyectos'!AF137&lt;2,$N69*'Gantt Proyectos'!AF137,IF('Gantt Proyectos'!AF137=2,$N69*('Gantt Proyectos'!AF137-1))),0)*$L69*$Q69</f>
        <v>0</v>
      </c>
      <c r="AJ69" s="467">
        <f>IFERROR(IF('Gantt Proyectos'!AG137&lt;2,$N69*'Gantt Proyectos'!AG137,IF('Gantt Proyectos'!AG137=2,$N69*('Gantt Proyectos'!AG137-1))),0)*$L69*$Q69</f>
        <v>0</v>
      </c>
      <c r="AK69" s="467">
        <f>IFERROR(IF('Gantt Proyectos'!AH137&lt;2,$N69*'Gantt Proyectos'!AH137,IF('Gantt Proyectos'!AH137=2,$N69*('Gantt Proyectos'!AH137-1))),0)*$L69*$Q69</f>
        <v>0</v>
      </c>
      <c r="AL69" s="467">
        <f>IFERROR(IF('Gantt Proyectos'!AI137&lt;2,$N69*'Gantt Proyectos'!AI137,IF('Gantt Proyectos'!AI137=2,$N69*('Gantt Proyectos'!AI137-1))),0)*$L69*$Q69</f>
        <v>2250</v>
      </c>
      <c r="AM69" s="467">
        <f>IFERROR(IF('Gantt Proyectos'!AJ137&lt;2,$N69*'Gantt Proyectos'!AJ137,IF('Gantt Proyectos'!AJ137=2,$N69*('Gantt Proyectos'!AJ137-1))),0)*$L69*$Q69</f>
        <v>2250</v>
      </c>
      <c r="AN69" s="467">
        <f>IFERROR(IF('Gantt Proyectos'!AK137&lt;2,$N69*'Gantt Proyectos'!AK137,IF('Gantt Proyectos'!AK137=2,$N69*('Gantt Proyectos'!AK137-1))),0)*$L69*$Q69</f>
        <v>2250</v>
      </c>
      <c r="AO69" s="467">
        <f>IFERROR(IF('Gantt Proyectos'!AL137&lt;2,$N69*'Gantt Proyectos'!AL137,IF('Gantt Proyectos'!AL137=2,$N69*('Gantt Proyectos'!AL137-1))),0)*$L69*$Q69</f>
        <v>0</v>
      </c>
      <c r="AP69" s="467">
        <f>IFERROR(IF('Gantt Proyectos'!AM137&lt;2,$N69*'Gantt Proyectos'!AM137,IF('Gantt Proyectos'!AM137=2,$N69*('Gantt Proyectos'!AM137-1))),0)*$L69*$Q69</f>
        <v>0</v>
      </c>
      <c r="AQ69" s="468">
        <f>IFERROR(IF('Gantt Proyectos'!AN137&lt;2,$N69*'Gantt Proyectos'!AN137,IF('Gantt Proyectos'!AN137=2,$N69*('Gantt Proyectos'!AN137-1))),0)*$L69*$Q69</f>
        <v>0</v>
      </c>
    </row>
    <row r="70" spans="1:43" ht="15" x14ac:dyDescent="0.2">
      <c r="A70" s="110" t="b">
        <f t="shared" si="7"/>
        <v>1</v>
      </c>
      <c r="B70" s="610">
        <v>0</v>
      </c>
      <c r="C70" s="117">
        <f>+'Gantt Proyectos'!C138</f>
        <v>42</v>
      </c>
      <c r="D70" s="608" t="str">
        <f>+'Gantt Proyectos'!D138</f>
        <v xml:space="preserve"> Actualización del Estudio Geomecánico</v>
      </c>
      <c r="E70" s="145" t="str">
        <f>+'Gantt Proyectos'!E138</f>
        <v>Nexa</v>
      </c>
      <c r="F70" s="147" t="str">
        <f>+'Gantt Proyectos'!F138</f>
        <v>Perú</v>
      </c>
      <c r="G70" s="118" t="str">
        <f>+'Gantt Proyectos'!G138</f>
        <v>Chile</v>
      </c>
      <c r="H70" s="118" t="str">
        <f>+'Gantt Proyectos'!H138</f>
        <v>Perú</v>
      </c>
      <c r="I70" s="189">
        <v>0.5</v>
      </c>
      <c r="J70" s="189">
        <f t="shared" si="5"/>
        <v>0.5</v>
      </c>
      <c r="K70" s="118" t="str">
        <f>+'Gantt Proyectos'!I138</f>
        <v>Geomecánica</v>
      </c>
      <c r="L70" s="120">
        <f>+'Gantt Proyectos'!J138</f>
        <v>0</v>
      </c>
      <c r="M70" s="145" t="str">
        <f>+'Gantt Proyectos'!K138</f>
        <v>CH</v>
      </c>
      <c r="N70" s="145">
        <f>+'Gantt Proyectos'!L138</f>
        <v>120000</v>
      </c>
      <c r="O70" s="145">
        <f>+'Gantt Proyectos'!M138</f>
        <v>120000</v>
      </c>
      <c r="P70" s="145">
        <f>+'Gantt Proyectos'!N138</f>
        <v>2</v>
      </c>
      <c r="Q70" s="566">
        <f>+Dashboard!I52</f>
        <v>0</v>
      </c>
      <c r="R70" s="119">
        <f>+'Gantt Proyectos'!O138</f>
        <v>45809</v>
      </c>
      <c r="S70" s="119">
        <f>+'Gantt Proyectos'!P138</f>
        <v>45901</v>
      </c>
      <c r="T70" s="145" t="str">
        <f>+'Gantt Proyectos'!R138</f>
        <v>No</v>
      </c>
      <c r="U70" s="118">
        <f>+'Gantt Proyectos'!S138</f>
        <v>0</v>
      </c>
      <c r="V70" s="156">
        <f>+'Gantt Proyectos'!T138</f>
        <v>45809</v>
      </c>
      <c r="W70" s="156">
        <f>+'Gantt Proyectos'!U138</f>
        <v>45901</v>
      </c>
      <c r="X70" s="201">
        <f t="shared" si="6"/>
        <v>4</v>
      </c>
      <c r="Y70" s="121">
        <f>+'Gantt Proyectos'!W138</f>
        <v>0</v>
      </c>
      <c r="Z70" s="122">
        <f>+'Gantt Proyectos'!X138</f>
        <v>0</v>
      </c>
      <c r="AA70" s="122">
        <f>+'Gantt Proyectos'!Y138</f>
        <v>0</v>
      </c>
      <c r="AB70" s="122">
        <f>+'Gantt Proyectos'!Z138</f>
        <v>0</v>
      </c>
      <c r="AC70" s="122">
        <f>+'Gantt Proyectos'!AA138</f>
        <v>0</v>
      </c>
      <c r="AD70" s="122">
        <f>+'Gantt Proyectos'!AB138</f>
        <v>0</v>
      </c>
      <c r="AE70" s="152" t="str">
        <f>+'Gantt Proyectos'!AC138</f>
        <v>Consultoria y Due Dilligence</v>
      </c>
      <c r="AF70" s="123" t="str">
        <f>+'Gantt Proyectos'!AD138</f>
        <v>No Asignado</v>
      </c>
      <c r="AG70" s="124" t="str">
        <f>+'Gantt Proyectos'!AE138</f>
        <v>1. Proyectado: No  Asignado</v>
      </c>
      <c r="AH70" s="172">
        <v>1</v>
      </c>
      <c r="AI70" s="466">
        <f>IFERROR(IF('Gantt Proyectos'!AF138&lt;2,$N70*'Gantt Proyectos'!AF138,IF('Gantt Proyectos'!AF138=2,$N70*('Gantt Proyectos'!AF138-1))),0)*$L70*$Q70</f>
        <v>0</v>
      </c>
      <c r="AJ70" s="467">
        <f>IFERROR(IF('Gantt Proyectos'!AG138&lt;2,$N70*'Gantt Proyectos'!AG138,IF('Gantt Proyectos'!AG138=2,$N70*('Gantt Proyectos'!AG138-1))),0)*$L70*$Q70</f>
        <v>0</v>
      </c>
      <c r="AK70" s="467">
        <f>IFERROR(IF('Gantt Proyectos'!AH138&lt;2,$N70*'Gantt Proyectos'!AH138,IF('Gantt Proyectos'!AH138=2,$N70*('Gantt Proyectos'!AH138-1))),0)*$L70*$Q70</f>
        <v>0</v>
      </c>
      <c r="AL70" s="467">
        <f>IFERROR(IF('Gantt Proyectos'!AI138&lt;2,$N70*'Gantt Proyectos'!AI138,IF('Gantt Proyectos'!AI138=2,$N70*('Gantt Proyectos'!AI138-1))),0)*$L70*$Q70</f>
        <v>0</v>
      </c>
      <c r="AM70" s="467">
        <f>IFERROR(IF('Gantt Proyectos'!AJ138&lt;2,$N70*'Gantt Proyectos'!AJ138,IF('Gantt Proyectos'!AJ138=2,$N70*('Gantt Proyectos'!AJ138-1))),0)*$L70*$Q70</f>
        <v>0</v>
      </c>
      <c r="AN70" s="467">
        <f>IFERROR(IF('Gantt Proyectos'!AK138&lt;2,$N70*'Gantt Proyectos'!AK138,IF('Gantt Proyectos'!AK138=2,$N70*('Gantt Proyectos'!AK138-1))),0)*$L70*$Q70</f>
        <v>0</v>
      </c>
      <c r="AO70" s="467">
        <f>IFERROR(IF('Gantt Proyectos'!AL138&lt;2,$N70*'Gantt Proyectos'!AL138,IF('Gantt Proyectos'!AL138=2,$N70*('Gantt Proyectos'!AL138-1))),0)*$L70*$Q70</f>
        <v>0</v>
      </c>
      <c r="AP70" s="467">
        <f>IFERROR(IF('Gantt Proyectos'!AM138&lt;2,$N70*'Gantt Proyectos'!AM138,IF('Gantt Proyectos'!AM138=2,$N70*('Gantt Proyectos'!AM138-1))),0)*$L70*$Q70</f>
        <v>0</v>
      </c>
      <c r="AQ70" s="468">
        <f>IFERROR(IF('Gantt Proyectos'!AN138&lt;2,$N70*'Gantt Proyectos'!AN138,IF('Gantt Proyectos'!AN138=2,$N70*('Gantt Proyectos'!AN138-1))),0)*$L70*$Q70</f>
        <v>0</v>
      </c>
    </row>
    <row r="71" spans="1:43" ht="15" x14ac:dyDescent="0.2">
      <c r="A71" s="110" t="b">
        <f t="shared" si="7"/>
        <v>1</v>
      </c>
      <c r="B71" s="610">
        <v>0</v>
      </c>
      <c r="C71" s="117">
        <f>+'Gantt Proyectos'!C139</f>
        <v>43</v>
      </c>
      <c r="D71" s="608" t="str">
        <f>+'Gantt Proyectos'!D139</f>
        <v>Ing detalle infraestructura Mina</v>
      </c>
      <c r="E71" s="145" t="str">
        <f>+'Gantt Proyectos'!E139</f>
        <v>BR Nickel</v>
      </c>
      <c r="F71" s="147" t="str">
        <f>+'Gantt Proyectos'!F139</f>
        <v>Brasil</v>
      </c>
      <c r="G71" s="118" t="str">
        <f>+'Gantt Proyectos'!G139</f>
        <v>Chile</v>
      </c>
      <c r="H71" s="118">
        <f>+'Gantt Proyectos'!H139</f>
        <v>0</v>
      </c>
      <c r="I71" s="189">
        <v>1</v>
      </c>
      <c r="J71" s="189">
        <f t="shared" si="5"/>
        <v>0</v>
      </c>
      <c r="K71" s="118" t="str">
        <f>+'Gantt Proyectos'!I139</f>
        <v>Open Pit</v>
      </c>
      <c r="L71" s="120">
        <f>+'Gantt Proyectos'!J139</f>
        <v>0</v>
      </c>
      <c r="M71" s="145" t="str">
        <f>+'Gantt Proyectos'!K139</f>
        <v>RM</v>
      </c>
      <c r="N71" s="145">
        <f>+'Gantt Proyectos'!L139</f>
        <v>700000</v>
      </c>
      <c r="O71" s="145">
        <f>+'Gantt Proyectos'!M139</f>
        <v>700000</v>
      </c>
      <c r="P71" s="145">
        <f>+'Gantt Proyectos'!N139</f>
        <v>2</v>
      </c>
      <c r="Q71" s="566">
        <f>+Dashboard!I53</f>
        <v>0</v>
      </c>
      <c r="R71" s="119">
        <f>+'Gantt Proyectos'!O139</f>
        <v>45809</v>
      </c>
      <c r="S71" s="119">
        <f>+'Gantt Proyectos'!P139</f>
        <v>46357</v>
      </c>
      <c r="T71" s="145" t="str">
        <f>+'Gantt Proyectos'!R139</f>
        <v>No</v>
      </c>
      <c r="U71" s="118">
        <f>+'Gantt Proyectos'!S139</f>
        <v>0</v>
      </c>
      <c r="V71" s="156">
        <f>+'Gantt Proyectos'!T139</f>
        <v>45809</v>
      </c>
      <c r="W71" s="156">
        <f>+'Gantt Proyectos'!U139</f>
        <v>46357</v>
      </c>
      <c r="X71" s="201">
        <f t="shared" si="6"/>
        <v>18</v>
      </c>
      <c r="Y71" s="121">
        <f>+'Gantt Proyectos'!W139</f>
        <v>0</v>
      </c>
      <c r="Z71" s="122">
        <f>+'Gantt Proyectos'!X139</f>
        <v>0</v>
      </c>
      <c r="AA71" s="122">
        <f>+'Gantt Proyectos'!Y139</f>
        <v>0</v>
      </c>
      <c r="AB71" s="122">
        <f>+'Gantt Proyectos'!Z139</f>
        <v>0</v>
      </c>
      <c r="AC71" s="122">
        <f>+'Gantt Proyectos'!AA139</f>
        <v>0</v>
      </c>
      <c r="AD71" s="122">
        <f>+'Gantt Proyectos'!AB139</f>
        <v>0</v>
      </c>
      <c r="AE71" s="152" t="str">
        <f>+'Gantt Proyectos'!AC139</f>
        <v>FS e Ing. Basica</v>
      </c>
      <c r="AF71" s="123" t="str">
        <f>+'Gantt Proyectos'!AD139</f>
        <v>No Asignado</v>
      </c>
      <c r="AG71" s="124" t="str">
        <f>+'Gantt Proyectos'!AE139</f>
        <v>1. Proyectado: No  Asignado</v>
      </c>
      <c r="AH71" s="172">
        <v>1</v>
      </c>
      <c r="AI71" s="466">
        <f>IFERROR(IF('Gantt Proyectos'!AF139&lt;2,$N71*'Gantt Proyectos'!AF139,IF('Gantt Proyectos'!AF139=2,$N71*('Gantt Proyectos'!AF139-1))),0)*$L71*$Q71</f>
        <v>0</v>
      </c>
      <c r="AJ71" s="467">
        <f>IFERROR(IF('Gantt Proyectos'!AG139&lt;2,$N71*'Gantt Proyectos'!AG139,IF('Gantt Proyectos'!AG139=2,$N71*('Gantt Proyectos'!AG139-1))),0)*$L71*$Q71</f>
        <v>0</v>
      </c>
      <c r="AK71" s="467">
        <f>IFERROR(IF('Gantt Proyectos'!AH139&lt;2,$N71*'Gantt Proyectos'!AH139,IF('Gantt Proyectos'!AH139=2,$N71*('Gantt Proyectos'!AH139-1))),0)*$L71*$Q71</f>
        <v>0</v>
      </c>
      <c r="AL71" s="467">
        <f>IFERROR(IF('Gantt Proyectos'!AI139&lt;2,$N71*'Gantt Proyectos'!AI139,IF('Gantt Proyectos'!AI139=2,$N71*('Gantt Proyectos'!AI139-1))),0)*$L71*$Q71</f>
        <v>0</v>
      </c>
      <c r="AM71" s="467">
        <f>IFERROR(IF('Gantt Proyectos'!AJ139&lt;2,$N71*'Gantt Proyectos'!AJ139,IF('Gantt Proyectos'!AJ139=2,$N71*('Gantt Proyectos'!AJ139-1))),0)*$L71*$Q71</f>
        <v>0</v>
      </c>
      <c r="AN71" s="467">
        <f>IFERROR(IF('Gantt Proyectos'!AK139&lt;2,$N71*'Gantt Proyectos'!AK139,IF('Gantt Proyectos'!AK139=2,$N71*('Gantt Proyectos'!AK139-1))),0)*$L71*$Q71</f>
        <v>0</v>
      </c>
      <c r="AO71" s="467">
        <f>IFERROR(IF('Gantt Proyectos'!AL139&lt;2,$N71*'Gantt Proyectos'!AL139,IF('Gantt Proyectos'!AL139=2,$N71*('Gantt Proyectos'!AL139-1))),0)*$L71*$Q71</f>
        <v>0</v>
      </c>
      <c r="AP71" s="467">
        <f>IFERROR(IF('Gantt Proyectos'!AM139&lt;2,$N71*'Gantt Proyectos'!AM139,IF('Gantt Proyectos'!AM139=2,$N71*('Gantt Proyectos'!AM139-1))),0)*$L71*$Q71</f>
        <v>0</v>
      </c>
      <c r="AQ71" s="468">
        <f>IFERROR(IF('Gantt Proyectos'!AN139&lt;2,$N71*'Gantt Proyectos'!AN139,IF('Gantt Proyectos'!AN139=2,$N71*('Gantt Proyectos'!AN139-1))),0)*$L71*$Q71</f>
        <v>0</v>
      </c>
    </row>
    <row r="72" spans="1:43" ht="15" x14ac:dyDescent="0.2">
      <c r="A72" s="110" t="b">
        <f t="shared" si="7"/>
        <v>1</v>
      </c>
      <c r="B72" s="610">
        <v>0</v>
      </c>
      <c r="C72" s="117">
        <f>+'Gantt Proyectos'!C140</f>
        <v>44</v>
      </c>
      <c r="D72" s="608" t="str">
        <f>+'Gantt Proyectos'!D140</f>
        <v>Estudio Geomecánico de Interacción Block Caving – Chancado Primario</v>
      </c>
      <c r="E72" s="145" t="str">
        <f>+'Gantt Proyectos'!E140</f>
        <v>Nexa</v>
      </c>
      <c r="F72" s="147" t="str">
        <f>+'Gantt Proyectos'!F140</f>
        <v>Perú</v>
      </c>
      <c r="G72" s="118" t="str">
        <f>+'Gantt Proyectos'!G140</f>
        <v>Chile</v>
      </c>
      <c r="H72" s="118" t="str">
        <f>+'Gantt Proyectos'!H140</f>
        <v>Perú</v>
      </c>
      <c r="I72" s="189">
        <v>0.5</v>
      </c>
      <c r="J72" s="189">
        <f t="shared" si="5"/>
        <v>0.5</v>
      </c>
      <c r="K72" s="118" t="str">
        <f>+'Gantt Proyectos'!I140</f>
        <v>Geomecánica</v>
      </c>
      <c r="L72" s="120">
        <f>+'Gantt Proyectos'!J140</f>
        <v>0</v>
      </c>
      <c r="M72" s="145" t="str">
        <f>+'Gantt Proyectos'!K140</f>
        <v>CH</v>
      </c>
      <c r="N72" s="145">
        <f>+'Gantt Proyectos'!L140</f>
        <v>150000</v>
      </c>
      <c r="O72" s="145">
        <f>+'Gantt Proyectos'!M140</f>
        <v>150000</v>
      </c>
      <c r="P72" s="145">
        <f>+'Gantt Proyectos'!N140</f>
        <v>2</v>
      </c>
      <c r="Q72" s="566">
        <f>+Dashboard!I54</f>
        <v>0</v>
      </c>
      <c r="R72" s="119">
        <f>+'Gantt Proyectos'!O140</f>
        <v>45809</v>
      </c>
      <c r="S72" s="119">
        <f>+'Gantt Proyectos'!P140</f>
        <v>45901</v>
      </c>
      <c r="T72" s="145" t="str">
        <f>+'Gantt Proyectos'!R140</f>
        <v>No</v>
      </c>
      <c r="U72" s="118">
        <f>+'Gantt Proyectos'!S140</f>
        <v>0</v>
      </c>
      <c r="V72" s="156">
        <f>+'Gantt Proyectos'!T140</f>
        <v>45809</v>
      </c>
      <c r="W72" s="156">
        <f>+'Gantt Proyectos'!U140</f>
        <v>45901</v>
      </c>
      <c r="X72" s="201">
        <f t="shared" si="6"/>
        <v>4</v>
      </c>
      <c r="Y72" s="121">
        <f>+'Gantt Proyectos'!W140</f>
        <v>0</v>
      </c>
      <c r="Z72" s="122">
        <f>+'Gantt Proyectos'!X140</f>
        <v>0</v>
      </c>
      <c r="AA72" s="122">
        <f>+'Gantt Proyectos'!Y140</f>
        <v>0</v>
      </c>
      <c r="AB72" s="122">
        <f>+'Gantt Proyectos'!Z140</f>
        <v>0</v>
      </c>
      <c r="AC72" s="122">
        <f>+'Gantt Proyectos'!AA140</f>
        <v>0</v>
      </c>
      <c r="AD72" s="122">
        <f>+'Gantt Proyectos'!AB140</f>
        <v>0</v>
      </c>
      <c r="AE72" s="152" t="str">
        <f>+'Gantt Proyectos'!AC140</f>
        <v>Consultoria y Due Dilligence</v>
      </c>
      <c r="AF72" s="123" t="str">
        <f>+'Gantt Proyectos'!AD140</f>
        <v>No Asignado</v>
      </c>
      <c r="AG72" s="124" t="str">
        <f>+'Gantt Proyectos'!AE140</f>
        <v>1. Proyectado: No  Asignado</v>
      </c>
      <c r="AH72" s="172">
        <v>1</v>
      </c>
      <c r="AI72" s="466">
        <f>IFERROR(IF('Gantt Proyectos'!AF140&lt;2,$N72*'Gantt Proyectos'!AF140,IF('Gantt Proyectos'!AF140=2,$N72*('Gantt Proyectos'!AF140-1))),0)*$L72*$Q72</f>
        <v>0</v>
      </c>
      <c r="AJ72" s="467">
        <f>IFERROR(IF('Gantt Proyectos'!AG140&lt;2,$N72*'Gantt Proyectos'!AG140,IF('Gantt Proyectos'!AG140=2,$N72*('Gantt Proyectos'!AG140-1))),0)*$L72*$Q72</f>
        <v>0</v>
      </c>
      <c r="AK72" s="467">
        <f>IFERROR(IF('Gantt Proyectos'!AH140&lt;2,$N72*'Gantt Proyectos'!AH140,IF('Gantt Proyectos'!AH140=2,$N72*('Gantt Proyectos'!AH140-1))),0)*$L72*$Q72</f>
        <v>0</v>
      </c>
      <c r="AL72" s="467">
        <f>IFERROR(IF('Gantt Proyectos'!AI140&lt;2,$N72*'Gantt Proyectos'!AI140,IF('Gantt Proyectos'!AI140=2,$N72*('Gantt Proyectos'!AI140-1))),0)*$L72*$Q72</f>
        <v>0</v>
      </c>
      <c r="AM72" s="467">
        <f>IFERROR(IF('Gantt Proyectos'!AJ140&lt;2,$N72*'Gantt Proyectos'!AJ140,IF('Gantt Proyectos'!AJ140=2,$N72*('Gantt Proyectos'!AJ140-1))),0)*$L72*$Q72</f>
        <v>0</v>
      </c>
      <c r="AN72" s="467">
        <f>IFERROR(IF('Gantt Proyectos'!AK140&lt;2,$N72*'Gantt Proyectos'!AK140,IF('Gantt Proyectos'!AK140=2,$N72*('Gantt Proyectos'!AK140-1))),0)*$L72*$Q72</f>
        <v>0</v>
      </c>
      <c r="AO72" s="467">
        <f>IFERROR(IF('Gantt Proyectos'!AL140&lt;2,$N72*'Gantt Proyectos'!AL140,IF('Gantt Proyectos'!AL140=2,$N72*('Gantt Proyectos'!AL140-1))),0)*$L72*$Q72</f>
        <v>0</v>
      </c>
      <c r="AP72" s="467">
        <f>IFERROR(IF('Gantt Proyectos'!AM140&lt;2,$N72*'Gantt Proyectos'!AM140,IF('Gantt Proyectos'!AM140=2,$N72*('Gantt Proyectos'!AM140-1))),0)*$L72*$Q72</f>
        <v>0</v>
      </c>
      <c r="AQ72" s="468">
        <f>IFERROR(IF('Gantt Proyectos'!AN140&lt;2,$N72*'Gantt Proyectos'!AN140,IF('Gantt Proyectos'!AN140=2,$N72*('Gantt Proyectos'!AN140-1))),0)*$L72*$Q72</f>
        <v>0</v>
      </c>
    </row>
    <row r="73" spans="1:43" ht="15" x14ac:dyDescent="0.2">
      <c r="A73" s="110" t="b">
        <f t="shared" si="7"/>
        <v>1</v>
      </c>
      <c r="B73" s="610">
        <v>0</v>
      </c>
      <c r="C73" s="117">
        <f>+'Gantt Proyectos'!C141</f>
        <v>45</v>
      </c>
      <c r="D73" s="608" t="str">
        <f>+'Gantt Proyectos'!D141</f>
        <v>Servicio de revisón independiente de infraestructura (relaves)</v>
      </c>
      <c r="E73" s="145" t="str">
        <f>+'Gantt Proyectos'!E141</f>
        <v>ERG</v>
      </c>
      <c r="F73" s="147" t="str">
        <f>+'Gantt Proyectos'!F141</f>
        <v>Brasil</v>
      </c>
      <c r="G73" s="118" t="str">
        <f>+'Gantt Proyectos'!G141</f>
        <v>Chile</v>
      </c>
      <c r="H73" s="118">
        <f>+'Gantt Proyectos'!H141</f>
        <v>0</v>
      </c>
      <c r="I73" s="189">
        <v>1</v>
      </c>
      <c r="J73" s="189">
        <f t="shared" si="5"/>
        <v>0</v>
      </c>
      <c r="K73" s="118" t="str">
        <f>+'Gantt Proyectos'!I141</f>
        <v>Open Pit</v>
      </c>
      <c r="L73" s="120">
        <f>+'Gantt Proyectos'!J141</f>
        <v>0</v>
      </c>
      <c r="M73" s="145" t="str">
        <f>+'Gantt Proyectos'!K141</f>
        <v>CH</v>
      </c>
      <c r="N73" s="145">
        <f>+'Gantt Proyectos'!L141</f>
        <v>490000</v>
      </c>
      <c r="O73" s="145">
        <f>+'Gantt Proyectos'!M141</f>
        <v>490000</v>
      </c>
      <c r="P73" s="145">
        <f>+'Gantt Proyectos'!N141</f>
        <v>2</v>
      </c>
      <c r="Q73" s="566">
        <f>+Dashboard!I55</f>
        <v>0</v>
      </c>
      <c r="R73" s="119">
        <f>+'Gantt Proyectos'!O141</f>
        <v>45809</v>
      </c>
      <c r="S73" s="119">
        <f>+'Gantt Proyectos'!P141</f>
        <v>46011</v>
      </c>
      <c r="T73" s="145" t="str">
        <f>+'Gantt Proyectos'!R141</f>
        <v>No</v>
      </c>
      <c r="U73" s="118">
        <f>+'Gantt Proyectos'!S141</f>
        <v>0</v>
      </c>
      <c r="V73" s="156">
        <f>+'Gantt Proyectos'!T141</f>
        <v>45809</v>
      </c>
      <c r="W73" s="156">
        <f>+'Gantt Proyectos'!U141</f>
        <v>46011</v>
      </c>
      <c r="X73" s="201">
        <f t="shared" si="6"/>
        <v>7</v>
      </c>
      <c r="Y73" s="121">
        <f>+'Gantt Proyectos'!W141</f>
        <v>0</v>
      </c>
      <c r="Z73" s="122">
        <f>+'Gantt Proyectos'!X141</f>
        <v>0</v>
      </c>
      <c r="AA73" s="122">
        <f>+'Gantt Proyectos'!Y141</f>
        <v>0</v>
      </c>
      <c r="AB73" s="122">
        <f>+'Gantt Proyectos'!Z141</f>
        <v>0</v>
      </c>
      <c r="AC73" s="122">
        <f>+'Gantt Proyectos'!AA141</f>
        <v>0</v>
      </c>
      <c r="AD73" s="122">
        <f>+'Gantt Proyectos'!AB141</f>
        <v>0</v>
      </c>
      <c r="AE73" s="152" t="str">
        <f>+'Gantt Proyectos'!AC141</f>
        <v>Consultoria y Due Dilligence</v>
      </c>
      <c r="AF73" s="123" t="str">
        <f>+'Gantt Proyectos'!AD141</f>
        <v>No Asignado</v>
      </c>
      <c r="AG73" s="124" t="str">
        <f>+'Gantt Proyectos'!AE141</f>
        <v>1. Proyectado: No  Asignado</v>
      </c>
      <c r="AH73" s="172">
        <v>1</v>
      </c>
      <c r="AI73" s="466">
        <f>IFERROR(IF('Gantt Proyectos'!AF141&lt;2,$N73*'Gantt Proyectos'!AF141,IF('Gantt Proyectos'!AF141=2,$N73*('Gantt Proyectos'!AF141-1))),0)*$L73*$Q73</f>
        <v>0</v>
      </c>
      <c r="AJ73" s="467">
        <f>IFERROR(IF('Gantt Proyectos'!AG141&lt;2,$N73*'Gantt Proyectos'!AG141,IF('Gantt Proyectos'!AG141=2,$N73*('Gantt Proyectos'!AG141-1))),0)*$L73*$Q73</f>
        <v>0</v>
      </c>
      <c r="AK73" s="467">
        <f>IFERROR(IF('Gantt Proyectos'!AH141&lt;2,$N73*'Gantt Proyectos'!AH141,IF('Gantt Proyectos'!AH141=2,$N73*('Gantt Proyectos'!AH141-1))),0)*$L73*$Q73</f>
        <v>0</v>
      </c>
      <c r="AL73" s="467">
        <f>IFERROR(IF('Gantt Proyectos'!AI141&lt;2,$N73*'Gantt Proyectos'!AI141,IF('Gantt Proyectos'!AI141=2,$N73*('Gantt Proyectos'!AI141-1))),0)*$L73*$Q73</f>
        <v>0</v>
      </c>
      <c r="AM73" s="467">
        <f>IFERROR(IF('Gantt Proyectos'!AJ141&lt;2,$N73*'Gantt Proyectos'!AJ141,IF('Gantt Proyectos'!AJ141=2,$N73*('Gantt Proyectos'!AJ141-1))),0)*$L73*$Q73</f>
        <v>0</v>
      </c>
      <c r="AN73" s="467">
        <f>IFERROR(IF('Gantt Proyectos'!AK141&lt;2,$N73*'Gantt Proyectos'!AK141,IF('Gantt Proyectos'!AK141=2,$N73*('Gantt Proyectos'!AK141-1))),0)*$L73*$Q73</f>
        <v>0</v>
      </c>
      <c r="AO73" s="467">
        <f>IFERROR(IF('Gantt Proyectos'!AL141&lt;2,$N73*'Gantt Proyectos'!AL141,IF('Gantt Proyectos'!AL141=2,$N73*('Gantt Proyectos'!AL141-1))),0)*$L73*$Q73</f>
        <v>0</v>
      </c>
      <c r="AP73" s="467">
        <f>IFERROR(IF('Gantt Proyectos'!AM141&lt;2,$N73*'Gantt Proyectos'!AM141,IF('Gantt Proyectos'!AM141=2,$N73*('Gantt Proyectos'!AM141-1))),0)*$L73*$Q73</f>
        <v>0</v>
      </c>
      <c r="AQ73" s="468">
        <f>IFERROR(IF('Gantt Proyectos'!AN141&lt;2,$N73*'Gantt Proyectos'!AN141,IF('Gantt Proyectos'!AN141=2,$N73*('Gantt Proyectos'!AN141-1))),0)*$L73*$Q73</f>
        <v>0</v>
      </c>
    </row>
    <row r="74" spans="1:43" ht="15" x14ac:dyDescent="0.2">
      <c r="A74" s="110" t="b">
        <f t="shared" si="7"/>
        <v>1</v>
      </c>
      <c r="B74" s="610">
        <v>0</v>
      </c>
      <c r="C74" s="117">
        <f>+'Gantt Proyectos'!C142</f>
        <v>46</v>
      </c>
      <c r="D74" s="608" t="str">
        <f>+'Gantt Proyectos'!D142</f>
        <v>Rockhaven Klaza Project (PFS)</v>
      </c>
      <c r="E74" s="145" t="str">
        <f>+'Gantt Proyectos'!E142</f>
        <v>Rockhaven</v>
      </c>
      <c r="F74" s="147" t="str">
        <f>+'Gantt Proyectos'!F142</f>
        <v>USA</v>
      </c>
      <c r="G74" s="145" t="str">
        <f>+'Gantt Proyectos'!G142</f>
        <v>Chile</v>
      </c>
      <c r="H74" s="145" t="str">
        <f>+'Gantt Proyectos'!H142</f>
        <v>Perú</v>
      </c>
      <c r="I74" s="189">
        <v>1</v>
      </c>
      <c r="J74" s="189">
        <f t="shared" si="5"/>
        <v>0</v>
      </c>
      <c r="K74" s="145" t="str">
        <f>+'Gantt Proyectos'!I142</f>
        <v>Subterránea</v>
      </c>
      <c r="L74" s="120">
        <f>+'Gantt Proyectos'!J142</f>
        <v>0</v>
      </c>
      <c r="M74" s="145">
        <f>+'Gantt Proyectos'!K142</f>
        <v>0</v>
      </c>
      <c r="N74" s="145">
        <f>+'Gantt Proyectos'!L142</f>
        <v>1500000</v>
      </c>
      <c r="O74" s="145">
        <f>+'Gantt Proyectos'!M142</f>
        <v>1500000</v>
      </c>
      <c r="P74" s="145">
        <f>+'Gantt Proyectos'!N142</f>
        <v>2</v>
      </c>
      <c r="Q74" s="566">
        <f>+Dashboard!I56</f>
        <v>0</v>
      </c>
      <c r="R74" s="119">
        <f>+'Gantt Proyectos'!O142</f>
        <v>45885</v>
      </c>
      <c r="S74" s="119">
        <f>+'Gantt Proyectos'!P142</f>
        <v>46189</v>
      </c>
      <c r="T74" s="145" t="str">
        <f>+'Gantt Proyectos'!R142</f>
        <v>No</v>
      </c>
      <c r="U74" s="118">
        <f>+'Gantt Proyectos'!S142</f>
        <v>0</v>
      </c>
      <c r="V74" s="156">
        <f>+'Gantt Proyectos'!T142</f>
        <v>45885</v>
      </c>
      <c r="W74" s="156">
        <f>+'Gantt Proyectos'!U142</f>
        <v>46189</v>
      </c>
      <c r="X74" s="201">
        <f t="shared" si="6"/>
        <v>10</v>
      </c>
      <c r="Y74" s="121">
        <f>+'Gantt Proyectos'!W142</f>
        <v>0</v>
      </c>
      <c r="Z74" s="122">
        <f>+'Gantt Proyectos'!X142</f>
        <v>0</v>
      </c>
      <c r="AA74" s="122">
        <f>+'Gantt Proyectos'!Y142</f>
        <v>0</v>
      </c>
      <c r="AB74" s="122">
        <f>+'Gantt Proyectos'!Z142</f>
        <v>0</v>
      </c>
      <c r="AC74" s="122">
        <f>+'Gantt Proyectos'!AA142</f>
        <v>0</v>
      </c>
      <c r="AD74" s="122">
        <f>+'Gantt Proyectos'!AB142</f>
        <v>0</v>
      </c>
      <c r="AE74" s="153" t="str">
        <f>+'Gantt Proyectos'!AC142</f>
        <v>PFS</v>
      </c>
      <c r="AF74" s="123" t="str">
        <f>+'Gantt Proyectos'!AD142</f>
        <v>No Asignado</v>
      </c>
      <c r="AG74" s="124" t="str">
        <f>+'Gantt Proyectos'!AE142</f>
        <v>1. Proyectado: No  Asignado</v>
      </c>
      <c r="AH74" s="172">
        <v>1</v>
      </c>
      <c r="AI74" s="466">
        <f>IFERROR(IF('Gantt Proyectos'!AF142&lt;2,$N74*'Gantt Proyectos'!AF142,IF('Gantt Proyectos'!AF142=2,$N74*('Gantt Proyectos'!AF142-1))),0)*$L74*$Q74</f>
        <v>0</v>
      </c>
      <c r="AJ74" s="467">
        <f>IFERROR(IF('Gantt Proyectos'!AG142&lt;2,$N74*'Gantt Proyectos'!AG142,IF('Gantt Proyectos'!AG142=2,$N74*('Gantt Proyectos'!AG142-1))),0)*$L74*$Q74</f>
        <v>0</v>
      </c>
      <c r="AK74" s="467">
        <f>IFERROR(IF('Gantt Proyectos'!AH142&lt;2,$N74*'Gantt Proyectos'!AH142,IF('Gantt Proyectos'!AH142=2,$N74*('Gantt Proyectos'!AH142-1))),0)*$L74*$Q74</f>
        <v>0</v>
      </c>
      <c r="AL74" s="467">
        <f>IFERROR(IF('Gantt Proyectos'!AI142&lt;2,$N74*'Gantt Proyectos'!AI142,IF('Gantt Proyectos'!AI142=2,$N74*('Gantt Proyectos'!AI142-1))),0)*$L74*$Q74</f>
        <v>0</v>
      </c>
      <c r="AM74" s="467">
        <f>IFERROR(IF('Gantt Proyectos'!AJ142&lt;2,$N74*'Gantt Proyectos'!AJ142,IF('Gantt Proyectos'!AJ142=2,$N74*('Gantt Proyectos'!AJ142-1))),0)*$L74*$Q74</f>
        <v>0</v>
      </c>
      <c r="AN74" s="467">
        <f>IFERROR(IF('Gantt Proyectos'!AK142&lt;2,$N74*'Gantt Proyectos'!AK142,IF('Gantt Proyectos'!AK142=2,$N74*('Gantt Proyectos'!AK142-1))),0)*$L74*$Q74</f>
        <v>0</v>
      </c>
      <c r="AO74" s="467">
        <f>IFERROR(IF('Gantt Proyectos'!AL142&lt;2,$N74*'Gantt Proyectos'!AL142,IF('Gantt Proyectos'!AL142=2,$N74*('Gantt Proyectos'!AL142-1))),0)*$L74*$Q74</f>
        <v>0</v>
      </c>
      <c r="AP74" s="467">
        <f>IFERROR(IF('Gantt Proyectos'!AM142&lt;2,$N74*'Gantt Proyectos'!AM142,IF('Gantt Proyectos'!AM142=2,$N74*('Gantt Proyectos'!AM142-1))),0)*$L74*$Q74</f>
        <v>0</v>
      </c>
      <c r="AQ74" s="468">
        <f>IFERROR(IF('Gantt Proyectos'!AN142&lt;2,$N74*'Gantt Proyectos'!AN142,IF('Gantt Proyectos'!AN142=2,$N74*('Gantt Proyectos'!AN142-1))),0)*$L74*$Q74</f>
        <v>0</v>
      </c>
    </row>
    <row r="75" spans="1:43" ht="15" x14ac:dyDescent="0.2">
      <c r="A75" s="110" t="b">
        <f t="shared" si="7"/>
        <v>1</v>
      </c>
      <c r="B75" s="610">
        <v>1</v>
      </c>
      <c r="C75" s="144">
        <f>+'Gantt Proyectos'!C143</f>
        <v>47</v>
      </c>
      <c r="D75" s="459" t="str">
        <f>+'Gantt Proyectos'!D143</f>
        <v>HILL OF VALUE AND OPTIMIZED CUT-OFF GRADE STRATEGY ANALYSIS</v>
      </c>
      <c r="E75" s="145" t="str">
        <f>+'Gantt Proyectos'!E143</f>
        <v>South 32</v>
      </c>
      <c r="F75" s="147" t="str">
        <f>+'Gantt Proyectos'!F143</f>
        <v>USA</v>
      </c>
      <c r="G75" s="145" t="str">
        <f>+'Gantt Proyectos'!G143</f>
        <v>Perú</v>
      </c>
      <c r="H75" s="145">
        <f>+'Gantt Proyectos'!H143</f>
        <v>0</v>
      </c>
      <c r="I75" s="189">
        <v>1</v>
      </c>
      <c r="J75" s="189">
        <f t="shared" si="5"/>
        <v>0</v>
      </c>
      <c r="K75" s="145" t="str">
        <f>+'Gantt Proyectos'!I143</f>
        <v>Subterránea</v>
      </c>
      <c r="L75" s="120">
        <f>+'Gantt Proyectos'!J143</f>
        <v>1</v>
      </c>
      <c r="M75" s="145" t="str">
        <f>+'Gantt Proyectos'!K143</f>
        <v>PV</v>
      </c>
      <c r="N75" s="145">
        <f>+'Gantt Proyectos'!L143</f>
        <v>40000</v>
      </c>
      <c r="O75" s="145">
        <f>+'Gantt Proyectos'!M143</f>
        <v>40000</v>
      </c>
      <c r="P75" s="145">
        <f>+'Gantt Proyectos'!N143</f>
        <v>1</v>
      </c>
      <c r="Q75" s="566">
        <f>+Dashboard!I57</f>
        <v>1</v>
      </c>
      <c r="R75" s="119">
        <f>+'Gantt Proyectos'!O143</f>
        <v>45807</v>
      </c>
      <c r="S75" s="119">
        <f>+'Gantt Proyectos'!P143</f>
        <v>45836</v>
      </c>
      <c r="T75" s="145" t="str">
        <f>+'Gantt Proyectos'!R143</f>
        <v>No</v>
      </c>
      <c r="U75" s="118">
        <f>+'Gantt Proyectos'!S143</f>
        <v>0</v>
      </c>
      <c r="V75" s="156">
        <f>+'Gantt Proyectos'!T143</f>
        <v>45807</v>
      </c>
      <c r="W75" s="156">
        <f>+'Gantt Proyectos'!U143</f>
        <v>45836</v>
      </c>
      <c r="X75" s="201">
        <f t="shared" si="6"/>
        <v>1</v>
      </c>
      <c r="Y75" s="121">
        <f>+'Gantt Proyectos'!W143</f>
        <v>1</v>
      </c>
      <c r="Z75" s="122">
        <f>+'Gantt Proyectos'!X143</f>
        <v>0.33</v>
      </c>
      <c r="AA75" s="122">
        <f>+'Gantt Proyectos'!Y143</f>
        <v>0.5</v>
      </c>
      <c r="AB75" s="122">
        <f>+'Gantt Proyectos'!Z143</f>
        <v>0.33</v>
      </c>
      <c r="AC75" s="122">
        <f>+'Gantt Proyectos'!AA143</f>
        <v>1</v>
      </c>
      <c r="AD75" s="122">
        <f>+'Gantt Proyectos'!AB143</f>
        <v>0</v>
      </c>
      <c r="AE75" s="123" t="str">
        <f>+'Gantt Proyectos'!AC143</f>
        <v>Consultoria y Due Dilligence</v>
      </c>
      <c r="AF75" s="123" t="str">
        <f>+'Gantt Proyectos'!AD143</f>
        <v>Asignado</v>
      </c>
      <c r="AG75" s="124" t="str">
        <f>+'Gantt Proyectos'!AE143</f>
        <v>1. Proyectado: Asignado</v>
      </c>
      <c r="AH75" s="172">
        <v>1</v>
      </c>
      <c r="AI75" s="466">
        <f>IFERROR(IF('Gantt Proyectos'!AF143&lt;2,$N75*'Gantt Proyectos'!AF143,IF('Gantt Proyectos'!AF143=2,$N75*('Gantt Proyectos'!AF143-1))),0)*$L75*$Q75</f>
        <v>0</v>
      </c>
      <c r="AJ75" s="467">
        <f>IFERROR(IF('Gantt Proyectos'!AG143&lt;2,$N75*'Gantt Proyectos'!AG143,IF('Gantt Proyectos'!AG143=2,$N75*('Gantt Proyectos'!AG143-1))),0)*$L75*$Q75</f>
        <v>40000</v>
      </c>
      <c r="AK75" s="467">
        <f>IFERROR(IF('Gantt Proyectos'!AH143&lt;2,$N75*'Gantt Proyectos'!AH143,IF('Gantt Proyectos'!AH143=2,$N75*('Gantt Proyectos'!AH143-1))),0)*$L75*$Q75</f>
        <v>40000</v>
      </c>
      <c r="AL75" s="467">
        <f>IFERROR(IF('Gantt Proyectos'!AI143&lt;2,$N75*'Gantt Proyectos'!AI143,IF('Gantt Proyectos'!AI143=2,$N75*('Gantt Proyectos'!AI143-1))),0)*$L75*$Q75</f>
        <v>0</v>
      </c>
      <c r="AM75" s="467">
        <f>IFERROR(IF('Gantt Proyectos'!AJ143&lt;2,$N75*'Gantt Proyectos'!AJ143,IF('Gantt Proyectos'!AJ143=2,$N75*('Gantt Proyectos'!AJ143-1))),0)*$L75*$Q75</f>
        <v>0</v>
      </c>
      <c r="AN75" s="467">
        <f>IFERROR(IF('Gantt Proyectos'!AK143&lt;2,$N75*'Gantt Proyectos'!AK143,IF('Gantt Proyectos'!AK143=2,$N75*('Gantt Proyectos'!AK143-1))),0)*$L75*$Q75</f>
        <v>0</v>
      </c>
      <c r="AO75" s="467">
        <f>IFERROR(IF('Gantt Proyectos'!AL143&lt;2,$N75*'Gantt Proyectos'!AL143,IF('Gantt Proyectos'!AL143=2,$N75*('Gantt Proyectos'!AL143-1))),0)*$L75*$Q75</f>
        <v>0</v>
      </c>
      <c r="AP75" s="467">
        <f>IFERROR(IF('Gantt Proyectos'!AM143&lt;2,$N75*'Gantt Proyectos'!AM143,IF('Gantt Proyectos'!AM143=2,$N75*('Gantt Proyectos'!AM143-1))),0)*$L75*$Q75</f>
        <v>0</v>
      </c>
      <c r="AQ75" s="468">
        <f>IFERROR(IF('Gantt Proyectos'!AN143&lt;2,$N75*'Gantt Proyectos'!AN143,IF('Gantt Proyectos'!AN143=2,$N75*('Gantt Proyectos'!AN143-1))),0)*$L75*$Q75</f>
        <v>0</v>
      </c>
    </row>
    <row r="76" spans="1:43" ht="15" x14ac:dyDescent="0.2">
      <c r="A76" s="110" t="b">
        <f t="shared" si="7"/>
        <v>0</v>
      </c>
      <c r="B76" s="610">
        <v>0.25</v>
      </c>
      <c r="C76" s="144">
        <f>+'Gantt Proyectos'!C144</f>
        <v>48</v>
      </c>
      <c r="D76" s="602" t="str">
        <f>+'Gantt Proyectos'!D144</f>
        <v>Analisis de confiafilidad de plan + Entrenamiento de usuario</v>
      </c>
      <c r="E76" s="602" t="str">
        <f>+'Gantt Proyectos'!E144</f>
        <v>Capstone Copper</v>
      </c>
      <c r="F76" s="605" t="str">
        <f>+'Gantt Proyectos'!F144</f>
        <v>Chile</v>
      </c>
      <c r="G76" s="602" t="str">
        <f>+'Gantt Proyectos'!G144</f>
        <v>Chile</v>
      </c>
      <c r="H76" s="602">
        <f>+'Gantt Proyectos'!H144</f>
        <v>0</v>
      </c>
      <c r="I76" s="606">
        <v>1</v>
      </c>
      <c r="J76" s="606">
        <f t="shared" si="5"/>
        <v>0</v>
      </c>
      <c r="K76" s="602" t="str">
        <f>+'Gantt Proyectos'!I144</f>
        <v>Open Pit</v>
      </c>
      <c r="L76" s="607">
        <f>+'Gantt Proyectos'!J144</f>
        <v>1</v>
      </c>
      <c r="M76" s="602" t="str">
        <f>+'Gantt Proyectos'!K144</f>
        <v>GD</v>
      </c>
      <c r="N76" s="602">
        <f>+'Gantt Proyectos'!L144</f>
        <v>200000</v>
      </c>
      <c r="O76" s="602">
        <f>+'Gantt Proyectos'!M144</f>
        <v>200000</v>
      </c>
      <c r="P76" s="602">
        <f>+'Gantt Proyectos'!N144</f>
        <v>1</v>
      </c>
      <c r="Q76" s="603">
        <f>+Dashboard!I58</f>
        <v>0.9</v>
      </c>
      <c r="R76" s="119">
        <f>+'Gantt Proyectos'!O144</f>
        <v>45853</v>
      </c>
      <c r="S76" s="119">
        <f>+'Gantt Proyectos'!P144</f>
        <v>46003</v>
      </c>
      <c r="T76" s="145" t="str">
        <f>+'Gantt Proyectos'!R144</f>
        <v>No</v>
      </c>
      <c r="U76" s="118">
        <f>+'Gantt Proyectos'!S144</f>
        <v>0</v>
      </c>
      <c r="V76" s="156">
        <f>+'Gantt Proyectos'!T144</f>
        <v>45853</v>
      </c>
      <c r="W76" s="156">
        <f>+'Gantt Proyectos'!U144</f>
        <v>46003</v>
      </c>
      <c r="X76" s="201">
        <f t="shared" si="6"/>
        <v>5</v>
      </c>
      <c r="Y76" s="121">
        <f>+'Gantt Proyectos'!W144</f>
        <v>0.9</v>
      </c>
      <c r="Z76" s="122">
        <f>+'Gantt Proyectos'!X144</f>
        <v>0.33</v>
      </c>
      <c r="AA76" s="122">
        <f>+'Gantt Proyectos'!Y144</f>
        <v>0.5</v>
      </c>
      <c r="AB76" s="122">
        <f>+'Gantt Proyectos'!Z144</f>
        <v>0.33</v>
      </c>
      <c r="AC76" s="122">
        <f>+'Gantt Proyectos'!AA144</f>
        <v>1</v>
      </c>
      <c r="AD76" s="122">
        <f>+'Gantt Proyectos'!AB144</f>
        <v>0</v>
      </c>
      <c r="AE76" s="123" t="str">
        <f>+'Gantt Proyectos'!AC144</f>
        <v>Consultoria y Due Dilligence</v>
      </c>
      <c r="AF76" s="123" t="str">
        <f>+'Gantt Proyectos'!AD144</f>
        <v>No Asignado</v>
      </c>
      <c r="AG76" s="124" t="str">
        <f>+'Gantt Proyectos'!AE144</f>
        <v>1. Proyectado: No  Asignado</v>
      </c>
      <c r="AH76" s="172">
        <v>1</v>
      </c>
      <c r="AI76" s="466">
        <f>IFERROR(IF('Gantt Proyectos'!AF144&lt;2,$N76*'Gantt Proyectos'!AF144,IF('Gantt Proyectos'!AF144=2,$N76*('Gantt Proyectos'!AF144-1))),0)*$L76*$Q76</f>
        <v>0</v>
      </c>
      <c r="AJ76" s="467">
        <f>IFERROR(IF('Gantt Proyectos'!AG144&lt;2,$N76*'Gantt Proyectos'!AG144,IF('Gantt Proyectos'!AG144=2,$N76*('Gantt Proyectos'!AG144-1))),0)*$L76*$Q76</f>
        <v>0</v>
      </c>
      <c r="AK76" s="467">
        <f>IFERROR(IF('Gantt Proyectos'!AH144&lt;2,$N76*'Gantt Proyectos'!AH144,IF('Gantt Proyectos'!AH144=2,$N76*('Gantt Proyectos'!AH144-1))),0)*$L76*$Q76</f>
        <v>0</v>
      </c>
      <c r="AL76" s="467">
        <f>IFERROR(IF('Gantt Proyectos'!AI144&lt;2,$N76*'Gantt Proyectos'!AI144,IF('Gantt Proyectos'!AI144=2,$N76*('Gantt Proyectos'!AI144-1))),0)*$L76*$Q76</f>
        <v>36000</v>
      </c>
      <c r="AM76" s="467">
        <f>IFERROR(IF('Gantt Proyectos'!AJ144&lt;2,$N76*'Gantt Proyectos'!AJ144,IF('Gantt Proyectos'!AJ144=2,$N76*('Gantt Proyectos'!AJ144-1))),0)*$L76*$Q76</f>
        <v>36000</v>
      </c>
      <c r="AN76" s="467">
        <f>IFERROR(IF('Gantt Proyectos'!AK144&lt;2,$N76*'Gantt Proyectos'!AK144,IF('Gantt Proyectos'!AK144=2,$N76*('Gantt Proyectos'!AK144-1))),0)*$L76*$Q76</f>
        <v>36000</v>
      </c>
      <c r="AO76" s="467">
        <f>IFERROR(IF('Gantt Proyectos'!AL144&lt;2,$N76*'Gantt Proyectos'!AL144,IF('Gantt Proyectos'!AL144=2,$N76*('Gantt Proyectos'!AL144-1))),0)*$L76*$Q76</f>
        <v>36000</v>
      </c>
      <c r="AP76" s="467">
        <f>IFERROR(IF('Gantt Proyectos'!AM144&lt;2,$N76*'Gantt Proyectos'!AM144,IF('Gantt Proyectos'!AM144=2,$N76*('Gantt Proyectos'!AM144-1))),0)*$L76*$Q76</f>
        <v>36000</v>
      </c>
      <c r="AQ76" s="468">
        <f>IFERROR(IF('Gantt Proyectos'!AN144&lt;2,$N76*'Gantt Proyectos'!AN144,IF('Gantt Proyectos'!AN144=2,$N76*('Gantt Proyectos'!AN144-1))),0)*$L76*$Q76</f>
        <v>36000</v>
      </c>
    </row>
    <row r="77" spans="1:43" ht="15" x14ac:dyDescent="0.2">
      <c r="A77" s="110" t="b">
        <f t="shared" si="7"/>
        <v>1</v>
      </c>
      <c r="B77" s="610">
        <v>0</v>
      </c>
      <c r="C77" s="144">
        <f>+'Gantt Proyectos'!C145</f>
        <v>49</v>
      </c>
      <c r="D77" s="608" t="str">
        <f>+'Gantt Proyectos'!D145</f>
        <v xml:space="preserve">Viabilidad Económica del proyecto </v>
      </c>
      <c r="E77" s="145" t="str">
        <f>+'Gantt Proyectos'!E145</f>
        <v>Minsur</v>
      </c>
      <c r="F77" s="147" t="str">
        <f>+'Gantt Proyectos'!F145</f>
        <v>Perú</v>
      </c>
      <c r="G77" s="145" t="str">
        <f>+'Gantt Proyectos'!G145</f>
        <v>Perú</v>
      </c>
      <c r="H77" s="145">
        <f>+'Gantt Proyectos'!H145</f>
        <v>0</v>
      </c>
      <c r="I77" s="189">
        <v>1</v>
      </c>
      <c r="J77" s="189">
        <f t="shared" si="5"/>
        <v>0</v>
      </c>
      <c r="K77" s="145" t="str">
        <f>+'Gantt Proyectos'!I145</f>
        <v>Subterránea</v>
      </c>
      <c r="L77" s="120">
        <f>+'Gantt Proyectos'!J145</f>
        <v>0</v>
      </c>
      <c r="M77" s="145" t="str">
        <f>+'Gantt Proyectos'!K145</f>
        <v>PA</v>
      </c>
      <c r="N77" s="145">
        <f>+'Gantt Proyectos'!L145</f>
        <v>150000</v>
      </c>
      <c r="O77" s="145">
        <f>+'Gantt Proyectos'!M145</f>
        <v>150000</v>
      </c>
      <c r="P77" s="145">
        <f>+'Gantt Proyectos'!N145</f>
        <v>2</v>
      </c>
      <c r="Q77" s="566">
        <f>+Dashboard!I59</f>
        <v>0</v>
      </c>
      <c r="R77" s="119">
        <f>+'Gantt Proyectos'!O145</f>
        <v>45823</v>
      </c>
      <c r="S77" s="119">
        <f>+'Gantt Proyectos'!P145</f>
        <v>45883</v>
      </c>
      <c r="T77" s="145" t="str">
        <f>+'Gantt Proyectos'!R145</f>
        <v>No</v>
      </c>
      <c r="U77" s="118">
        <f>+'Gantt Proyectos'!S145</f>
        <v>0</v>
      </c>
      <c r="V77" s="156">
        <f>+'Gantt Proyectos'!T145</f>
        <v>45823</v>
      </c>
      <c r="W77" s="156">
        <f>+'Gantt Proyectos'!U145</f>
        <v>45883</v>
      </c>
      <c r="X77" s="201">
        <f t="shared" si="6"/>
        <v>2</v>
      </c>
      <c r="Y77" s="121">
        <f>+'Gantt Proyectos'!W145</f>
        <v>0</v>
      </c>
      <c r="Z77" s="122">
        <f>+'Gantt Proyectos'!X145</f>
        <v>0</v>
      </c>
      <c r="AA77" s="122">
        <f>+'Gantt Proyectos'!Y145</f>
        <v>0</v>
      </c>
      <c r="AB77" s="122">
        <f>+'Gantt Proyectos'!Z145</f>
        <v>0</v>
      </c>
      <c r="AC77" s="122">
        <f>+'Gantt Proyectos'!AA145</f>
        <v>0</v>
      </c>
      <c r="AD77" s="122">
        <f>+'Gantt Proyectos'!AB145</f>
        <v>0</v>
      </c>
      <c r="AE77" s="123" t="str">
        <f>+'Gantt Proyectos'!AC145</f>
        <v>Consultoria y Due Dilligence</v>
      </c>
      <c r="AF77" s="123" t="str">
        <f>+'Gantt Proyectos'!AD145</f>
        <v>No Asignado</v>
      </c>
      <c r="AG77" s="124" t="str">
        <f>+'Gantt Proyectos'!AE145</f>
        <v>1. Proyectado: No  Asignado</v>
      </c>
      <c r="AH77" s="172">
        <v>1</v>
      </c>
      <c r="AI77" s="466">
        <f>IFERROR(IF('Gantt Proyectos'!AF145&lt;2,$N77*'Gantt Proyectos'!AF145,IF('Gantt Proyectos'!AF145=2,$N77*('Gantt Proyectos'!AF145-1))),0)*$L77*$Q77</f>
        <v>0</v>
      </c>
      <c r="AJ77" s="467">
        <f>IFERROR(IF('Gantt Proyectos'!AG145&lt;2,$N77*'Gantt Proyectos'!AG145,IF('Gantt Proyectos'!AG145=2,$N77*('Gantt Proyectos'!AG145-1))),0)*$L77*$Q77</f>
        <v>0</v>
      </c>
      <c r="AK77" s="467">
        <f>IFERROR(IF('Gantt Proyectos'!AH145&lt;2,$N77*'Gantt Proyectos'!AH145,IF('Gantt Proyectos'!AH145=2,$N77*('Gantt Proyectos'!AH145-1))),0)*$L77*$Q77</f>
        <v>0</v>
      </c>
      <c r="AL77" s="467">
        <f>IFERROR(IF('Gantt Proyectos'!AI145&lt;2,$N77*'Gantt Proyectos'!AI145,IF('Gantt Proyectos'!AI145=2,$N77*('Gantt Proyectos'!AI145-1))),0)*$L77*$Q77</f>
        <v>0</v>
      </c>
      <c r="AM77" s="467">
        <f>IFERROR(IF('Gantt Proyectos'!AJ145&lt;2,$N77*'Gantt Proyectos'!AJ145,IF('Gantt Proyectos'!AJ145=2,$N77*('Gantt Proyectos'!AJ145-1))),0)*$L77*$Q77</f>
        <v>0</v>
      </c>
      <c r="AN77" s="467">
        <f>IFERROR(IF('Gantt Proyectos'!AK145&lt;2,$N77*'Gantt Proyectos'!AK145,IF('Gantt Proyectos'!AK145=2,$N77*('Gantt Proyectos'!AK145-1))),0)*$L77*$Q77</f>
        <v>0</v>
      </c>
      <c r="AO77" s="467">
        <f>IFERROR(IF('Gantt Proyectos'!AL145&lt;2,$N77*'Gantt Proyectos'!AL145,IF('Gantt Proyectos'!AL145=2,$N77*('Gantt Proyectos'!AL145-1))),0)*$L77*$Q77</f>
        <v>0</v>
      </c>
      <c r="AP77" s="467">
        <f>IFERROR(IF('Gantt Proyectos'!AM145&lt;2,$N77*'Gantt Proyectos'!AM145,IF('Gantt Proyectos'!AM145=2,$N77*('Gantt Proyectos'!AM145-1))),0)*$L77*$Q77</f>
        <v>0</v>
      </c>
      <c r="AQ77" s="468">
        <f>IFERROR(IF('Gantt Proyectos'!AN145&lt;2,$N77*'Gantt Proyectos'!AN145,IF('Gantt Proyectos'!AN145=2,$N77*('Gantt Proyectos'!AN145-1))),0)*$L77*$Q77</f>
        <v>0</v>
      </c>
    </row>
    <row r="78" spans="1:43" ht="15" x14ac:dyDescent="0.2">
      <c r="A78" s="110" t="b">
        <f t="shared" si="7"/>
        <v>1</v>
      </c>
      <c r="B78" s="610">
        <v>0.15</v>
      </c>
      <c r="C78" s="144">
        <f>+'Gantt Proyectos'!C146</f>
        <v>50</v>
      </c>
      <c r="D78" s="602" t="str">
        <f>+'Gantt Proyectos'!D146</f>
        <v>Ingeniería perfil Clavelinas</v>
      </c>
      <c r="E78" s="145" t="str">
        <f>+'Gantt Proyectos'!E146</f>
        <v>Minsur</v>
      </c>
      <c r="F78" s="147" t="str">
        <f>+'Gantt Proyectos'!F146</f>
        <v>Perú</v>
      </c>
      <c r="G78" s="145" t="str">
        <f>+'Gantt Proyectos'!G146</f>
        <v>Perú</v>
      </c>
      <c r="H78" s="145">
        <f>+'Gantt Proyectos'!H146</f>
        <v>0</v>
      </c>
      <c r="I78" s="189">
        <v>1</v>
      </c>
      <c r="J78" s="189">
        <f t="shared" si="5"/>
        <v>0</v>
      </c>
      <c r="K78" s="145">
        <f>+'Gantt Proyectos'!I146</f>
        <v>0</v>
      </c>
      <c r="L78" s="120">
        <f>+'Gantt Proyectos'!J146</f>
        <v>1</v>
      </c>
      <c r="M78" s="145">
        <f>+'Gantt Proyectos'!K146</f>
        <v>0</v>
      </c>
      <c r="N78" s="145">
        <f>+'Gantt Proyectos'!L146</f>
        <v>180000</v>
      </c>
      <c r="O78" s="145">
        <f>+'Gantt Proyectos'!M146</f>
        <v>180000</v>
      </c>
      <c r="P78" s="145">
        <f>+'Gantt Proyectos'!N146</f>
        <v>2</v>
      </c>
      <c r="Q78" s="603">
        <f>+Dashboard!I60</f>
        <v>0.15</v>
      </c>
      <c r="R78" s="119">
        <f>+'Gantt Proyectos'!O146</f>
        <v>45839</v>
      </c>
      <c r="S78" s="119">
        <f>+'Gantt Proyectos'!P146</f>
        <v>45901</v>
      </c>
      <c r="T78" s="145" t="str">
        <f>+'Gantt Proyectos'!R146</f>
        <v>No</v>
      </c>
      <c r="U78" s="118">
        <f>+'Gantt Proyectos'!S146</f>
        <v>0</v>
      </c>
      <c r="V78" s="156">
        <f>+'Gantt Proyectos'!T146</f>
        <v>45839</v>
      </c>
      <c r="W78" s="156">
        <f>+'Gantt Proyectos'!U146</f>
        <v>45901</v>
      </c>
      <c r="X78" s="201">
        <f t="shared" si="6"/>
        <v>3</v>
      </c>
      <c r="Y78" s="121">
        <f>+'Gantt Proyectos'!W146</f>
        <v>0.21711409395973152</v>
      </c>
      <c r="Z78" s="122">
        <f>+'Gantt Proyectos'!X146</f>
        <v>0.33</v>
      </c>
      <c r="AA78" s="122">
        <f>+'Gantt Proyectos'!Y146</f>
        <v>0.5</v>
      </c>
      <c r="AB78" s="122">
        <f>+'Gantt Proyectos'!Z146</f>
        <v>0.33</v>
      </c>
      <c r="AC78" s="122">
        <f>+'Gantt Proyectos'!AA146</f>
        <v>1</v>
      </c>
      <c r="AD78" s="122">
        <f>+'Gantt Proyectos'!AB146</f>
        <v>1</v>
      </c>
      <c r="AE78" s="123" t="str">
        <f>+'Gantt Proyectos'!AC146</f>
        <v>Scoping</v>
      </c>
      <c r="AF78" s="123" t="str">
        <f>+'Gantt Proyectos'!AD146</f>
        <v>No Asignado</v>
      </c>
      <c r="AG78" s="124" t="str">
        <f>+'Gantt Proyectos'!AE146</f>
        <v>1. Proyectado: No  Asignado</v>
      </c>
      <c r="AH78" s="172">
        <v>1</v>
      </c>
      <c r="AI78" s="466">
        <f>IFERROR(IF('Gantt Proyectos'!AF146&lt;2,$N78*'Gantt Proyectos'!AF146,IF('Gantt Proyectos'!AF146=2,$N78*('Gantt Proyectos'!AF146-1))),0)*$L78*$Q78</f>
        <v>0</v>
      </c>
      <c r="AJ78" s="467">
        <f>IFERROR(IF('Gantt Proyectos'!AG146&lt;2,$N78*'Gantt Proyectos'!AG146,IF('Gantt Proyectos'!AG146=2,$N78*('Gantt Proyectos'!AG146-1))),0)*$L78*$Q78</f>
        <v>0</v>
      </c>
      <c r="AK78" s="467">
        <f>IFERROR(IF('Gantt Proyectos'!AH146&lt;2,$N78*'Gantt Proyectos'!AH146,IF('Gantt Proyectos'!AH146=2,$N78*('Gantt Proyectos'!AH146-1))),0)*$L78*$Q78</f>
        <v>0</v>
      </c>
      <c r="AL78" s="467">
        <f>IFERROR(IF('Gantt Proyectos'!AI146&lt;2,$N78*'Gantt Proyectos'!AI146,IF('Gantt Proyectos'!AI146=2,$N78*('Gantt Proyectos'!AI146-1))),0)*$L78*$Q78</f>
        <v>9000</v>
      </c>
      <c r="AM78" s="467">
        <f>IFERROR(IF('Gantt Proyectos'!AJ146&lt;2,$N78*'Gantt Proyectos'!AJ146,IF('Gantt Proyectos'!AJ146=2,$N78*('Gantt Proyectos'!AJ146-1))),0)*$L78*$Q78</f>
        <v>9000</v>
      </c>
      <c r="AN78" s="467">
        <f>IFERROR(IF('Gantt Proyectos'!AK146&lt;2,$N78*'Gantt Proyectos'!AK146,IF('Gantt Proyectos'!AK146=2,$N78*('Gantt Proyectos'!AK146-1))),0)*$L78*$Q78</f>
        <v>0</v>
      </c>
      <c r="AO78" s="467">
        <f>IFERROR(IF('Gantt Proyectos'!AL146&lt;2,$N78*'Gantt Proyectos'!AL146,IF('Gantt Proyectos'!AL146=2,$N78*('Gantt Proyectos'!AL146-1))),0)*$L78*$Q78</f>
        <v>0</v>
      </c>
      <c r="AP78" s="467">
        <f>IFERROR(IF('Gantt Proyectos'!AM146&lt;2,$N78*'Gantt Proyectos'!AM146,IF('Gantt Proyectos'!AM146=2,$N78*('Gantt Proyectos'!AM146-1))),0)*$L78*$Q78</f>
        <v>0</v>
      </c>
      <c r="AQ78" s="468">
        <f>IFERROR(IF('Gantt Proyectos'!AN146&lt;2,$N78*'Gantt Proyectos'!AN146,IF('Gantt Proyectos'!AN146=2,$N78*('Gantt Proyectos'!AN146-1))),0)*$L78*$Q78</f>
        <v>0</v>
      </c>
    </row>
    <row r="79" spans="1:43" ht="15" x14ac:dyDescent="0.2">
      <c r="A79" s="110" t="b">
        <f t="shared" si="7"/>
        <v>1</v>
      </c>
      <c r="B79" s="610">
        <v>0.1</v>
      </c>
      <c r="C79" s="144">
        <f>+'Gantt Proyectos'!C147</f>
        <v>51</v>
      </c>
      <c r="D79" s="602" t="str">
        <f>+'Gantt Proyectos'!D147</f>
        <v>Ingeniería de factibilidad Cristina</v>
      </c>
      <c r="E79" s="145" t="str">
        <f>+'Gantt Proyectos'!E147</f>
        <v>Insideo</v>
      </c>
      <c r="F79" s="147" t="str">
        <f>+'Gantt Proyectos'!F147</f>
        <v>Perú</v>
      </c>
      <c r="G79" s="145" t="str">
        <f>+'Gantt Proyectos'!G147</f>
        <v>Chile</v>
      </c>
      <c r="H79" s="145">
        <f>+'Gantt Proyectos'!H147</f>
        <v>0</v>
      </c>
      <c r="I79" s="189">
        <v>1</v>
      </c>
      <c r="J79" s="189">
        <f t="shared" si="5"/>
        <v>0</v>
      </c>
      <c r="K79" s="145">
        <f>+'Gantt Proyectos'!I147</f>
        <v>0</v>
      </c>
      <c r="L79" s="120">
        <f>+'Gantt Proyectos'!J147</f>
        <v>1</v>
      </c>
      <c r="M79" s="145">
        <f>+'Gantt Proyectos'!K147</f>
        <v>0</v>
      </c>
      <c r="N79" s="145">
        <f>+'Gantt Proyectos'!L147</f>
        <v>350000</v>
      </c>
      <c r="O79" s="145">
        <f>+'Gantt Proyectos'!M147</f>
        <v>350000</v>
      </c>
      <c r="P79" s="145">
        <f>+'Gantt Proyectos'!N147</f>
        <v>2</v>
      </c>
      <c r="Q79" s="603">
        <f>+Dashboard!I61</f>
        <v>0.1</v>
      </c>
      <c r="R79" s="119">
        <f>+'Gantt Proyectos'!O147</f>
        <v>45870</v>
      </c>
      <c r="S79" s="119">
        <f>+'Gantt Proyectos'!P147</f>
        <v>45992</v>
      </c>
      <c r="T79" s="145" t="str">
        <f>+'Gantt Proyectos'!R147</f>
        <v>No</v>
      </c>
      <c r="U79" s="118">
        <f>+'Gantt Proyectos'!S147</f>
        <v>0</v>
      </c>
      <c r="V79" s="156">
        <f>+'Gantt Proyectos'!T147</f>
        <v>45870</v>
      </c>
      <c r="W79" s="156">
        <f>+'Gantt Proyectos'!U147</f>
        <v>45992</v>
      </c>
      <c r="X79" s="201">
        <f t="shared" si="6"/>
        <v>4</v>
      </c>
      <c r="Y79" s="121">
        <f>+'Gantt Proyectos'!W147</f>
        <v>0.25503355704697989</v>
      </c>
      <c r="Z79" s="122">
        <f>+'Gantt Proyectos'!X147</f>
        <v>0</v>
      </c>
      <c r="AA79" s="122">
        <f>+'Gantt Proyectos'!Y147</f>
        <v>0</v>
      </c>
      <c r="AB79" s="122">
        <f>+'Gantt Proyectos'!Z147</f>
        <v>0</v>
      </c>
      <c r="AC79" s="122">
        <f>+'Gantt Proyectos'!AA147</f>
        <v>0</v>
      </c>
      <c r="AD79" s="122">
        <f>+'Gantt Proyectos'!AB147</f>
        <v>0</v>
      </c>
      <c r="AE79" s="123" t="str">
        <f>+'Gantt Proyectos'!AC147</f>
        <v>FS e Ing. Basica</v>
      </c>
      <c r="AF79" s="123" t="str">
        <f>+'Gantt Proyectos'!AD147</f>
        <v>No Asignado</v>
      </c>
      <c r="AG79" s="124" t="str">
        <f>+'Gantt Proyectos'!AE147</f>
        <v>1. Proyectado: No  Asignado</v>
      </c>
      <c r="AH79" s="172">
        <v>1</v>
      </c>
      <c r="AI79" s="466">
        <f>IFERROR(IF('Gantt Proyectos'!AF147&lt;2,$N79*'Gantt Proyectos'!AF147,IF('Gantt Proyectos'!AF147=2,$N79*('Gantt Proyectos'!AF147-1))),0)*$L79*$Q79</f>
        <v>0</v>
      </c>
      <c r="AJ79" s="467">
        <f>IFERROR(IF('Gantt Proyectos'!AG147&lt;2,$N79*'Gantt Proyectos'!AG147,IF('Gantt Proyectos'!AG147=2,$N79*('Gantt Proyectos'!AG147-1))),0)*$L79*$Q79</f>
        <v>0</v>
      </c>
      <c r="AK79" s="467">
        <f>IFERROR(IF('Gantt Proyectos'!AH147&lt;2,$N79*'Gantt Proyectos'!AH147,IF('Gantt Proyectos'!AH147=2,$N79*('Gantt Proyectos'!AH147-1))),0)*$L79*$Q79</f>
        <v>0</v>
      </c>
      <c r="AL79" s="467">
        <f>IFERROR(IF('Gantt Proyectos'!AI147&lt;2,$N79*'Gantt Proyectos'!AI147,IF('Gantt Proyectos'!AI147=2,$N79*('Gantt Proyectos'!AI147-1))),0)*$L79*$Q79</f>
        <v>0</v>
      </c>
      <c r="AM79" s="467">
        <f>IFERROR(IF('Gantt Proyectos'!AJ147&lt;2,$N79*'Gantt Proyectos'!AJ147,IF('Gantt Proyectos'!AJ147=2,$N79*('Gantt Proyectos'!AJ147-1))),0)*$L79*$Q79</f>
        <v>8750</v>
      </c>
      <c r="AN79" s="467">
        <f>IFERROR(IF('Gantt Proyectos'!AK147&lt;2,$N79*'Gantt Proyectos'!AK147,IF('Gantt Proyectos'!AK147=2,$N79*('Gantt Proyectos'!AK147-1))),0)*$L79*$Q79</f>
        <v>8750</v>
      </c>
      <c r="AO79" s="467">
        <f>IFERROR(IF('Gantt Proyectos'!AL147&lt;2,$N79*'Gantt Proyectos'!AL147,IF('Gantt Proyectos'!AL147=2,$N79*('Gantt Proyectos'!AL147-1))),0)*$L79*$Q79</f>
        <v>8750</v>
      </c>
      <c r="AP79" s="467">
        <f>IFERROR(IF('Gantt Proyectos'!AM147&lt;2,$N79*'Gantt Proyectos'!AM147,IF('Gantt Proyectos'!AM147=2,$N79*('Gantt Proyectos'!AM147-1))),0)*$L79*$Q79</f>
        <v>8750</v>
      </c>
      <c r="AQ79" s="468">
        <f>IFERROR(IF('Gantt Proyectos'!AN147&lt;2,$N79*'Gantt Proyectos'!AN147,IF('Gantt Proyectos'!AN147=2,$N79*('Gantt Proyectos'!AN147-1))),0)*$L79*$Q79</f>
        <v>0</v>
      </c>
    </row>
    <row r="80" spans="1:43" ht="15" x14ac:dyDescent="0.2">
      <c r="A80" s="110" t="b">
        <f t="shared" si="7"/>
        <v>0</v>
      </c>
      <c r="B80" s="610">
        <v>0.95</v>
      </c>
      <c r="C80" s="144">
        <f>+'Gantt Proyectos'!C148</f>
        <v>52</v>
      </c>
      <c r="D80" s="602" t="str">
        <f>+'Gantt Proyectos'!D148</f>
        <v>Conceptual Chalcobamba UG</v>
      </c>
      <c r="E80" s="145" t="str">
        <f>+'Gantt Proyectos'!E148</f>
        <v>Las Bambas</v>
      </c>
      <c r="F80" s="147" t="str">
        <f>+'Gantt Proyectos'!F148</f>
        <v>Perú</v>
      </c>
      <c r="G80" s="145" t="str">
        <f>+'Gantt Proyectos'!G148</f>
        <v>Chile</v>
      </c>
      <c r="H80" s="145">
        <f>+'Gantt Proyectos'!H148</f>
        <v>0</v>
      </c>
      <c r="I80" s="189">
        <v>1</v>
      </c>
      <c r="J80" s="189">
        <f t="shared" si="5"/>
        <v>0</v>
      </c>
      <c r="K80" s="145" t="str">
        <f>+'Gantt Proyectos'!I148</f>
        <v>Subterránea</v>
      </c>
      <c r="L80" s="120">
        <f>+'Gantt Proyectos'!J148</f>
        <v>1</v>
      </c>
      <c r="M80" s="145">
        <f>+'Gantt Proyectos'!K148</f>
        <v>0</v>
      </c>
      <c r="N80" s="145">
        <f>+'Gantt Proyectos'!L148</f>
        <v>91000</v>
      </c>
      <c r="O80" s="145">
        <f>+'Gantt Proyectos'!M148</f>
        <v>91000</v>
      </c>
      <c r="P80" s="145">
        <f>+'Gantt Proyectos'!N148</f>
        <v>2</v>
      </c>
      <c r="Q80" s="603">
        <f>+Dashboard!I62</f>
        <v>1</v>
      </c>
      <c r="R80" s="119">
        <f>+'Gantt Proyectos'!O148</f>
        <v>45870</v>
      </c>
      <c r="S80" s="119">
        <f>+'Gantt Proyectos'!P148</f>
        <v>45960</v>
      </c>
      <c r="T80" s="145" t="str">
        <f>+'Gantt Proyectos'!R148</f>
        <v>No</v>
      </c>
      <c r="U80" s="118">
        <f>+'Gantt Proyectos'!S148</f>
        <v>0</v>
      </c>
      <c r="V80" s="156">
        <f>+'Gantt Proyectos'!T148</f>
        <v>45870</v>
      </c>
      <c r="W80" s="156">
        <f>+'Gantt Proyectos'!U148</f>
        <v>45960</v>
      </c>
      <c r="X80" s="201">
        <f t="shared" si="6"/>
        <v>3</v>
      </c>
      <c r="Y80" s="121">
        <f>+'Gantt Proyectos'!W148</f>
        <v>0.72035794183445179</v>
      </c>
      <c r="Z80" s="122">
        <f>+'Gantt Proyectos'!X148</f>
        <v>0</v>
      </c>
      <c r="AA80" s="122">
        <f>+'Gantt Proyectos'!Y148</f>
        <v>0</v>
      </c>
      <c r="AB80" s="122">
        <f>+'Gantt Proyectos'!Z148</f>
        <v>0</v>
      </c>
      <c r="AC80" s="122">
        <f>+'Gantt Proyectos'!AA148</f>
        <v>0</v>
      </c>
      <c r="AD80" s="122">
        <f>+'Gantt Proyectos'!AB148</f>
        <v>0</v>
      </c>
      <c r="AE80" s="123" t="str">
        <f>+'Gantt Proyectos'!AC148</f>
        <v>Estudio Conceptual / LOM</v>
      </c>
      <c r="AF80" s="123" t="str">
        <f>+'Gantt Proyectos'!AD148</f>
        <v>Asignado</v>
      </c>
      <c r="AG80" s="124" t="str">
        <f>+'Gantt Proyectos'!AE148</f>
        <v>1. Proyectado: Asignado</v>
      </c>
      <c r="AH80" s="172">
        <v>1</v>
      </c>
      <c r="AI80" s="466">
        <f>IFERROR(IF('Gantt Proyectos'!AF148&lt;2,$N80*'Gantt Proyectos'!AF148,IF('Gantt Proyectos'!AF148=2,$N80*('Gantt Proyectos'!AF148-1))),0)*$L80*$Q80</f>
        <v>0</v>
      </c>
      <c r="AJ80" s="467">
        <f>IFERROR(IF('Gantt Proyectos'!AG148&lt;2,$N80*'Gantt Proyectos'!AG148,IF('Gantt Proyectos'!AG148=2,$N80*('Gantt Proyectos'!AG148-1))),0)*$L80*$Q80</f>
        <v>0</v>
      </c>
      <c r="AK80" s="467">
        <f>IFERROR(IF('Gantt Proyectos'!AH148&lt;2,$N80*'Gantt Proyectos'!AH148,IF('Gantt Proyectos'!AH148=2,$N80*('Gantt Proyectos'!AH148-1))),0)*$L80*$Q80</f>
        <v>0</v>
      </c>
      <c r="AL80" s="467">
        <f>IFERROR(IF('Gantt Proyectos'!AI148&lt;2,$N80*'Gantt Proyectos'!AI148,IF('Gantt Proyectos'!AI148=2,$N80*('Gantt Proyectos'!AI148-1))),0)*$L80*$Q80</f>
        <v>0</v>
      </c>
      <c r="AM80" s="467">
        <f>IFERROR(IF('Gantt Proyectos'!AJ148&lt;2,$N80*'Gantt Proyectos'!AJ148,IF('Gantt Proyectos'!AJ148=2,$N80*('Gantt Proyectos'!AJ148-1))),0)*$L80*$Q80</f>
        <v>30333.333333333332</v>
      </c>
      <c r="AN80" s="467">
        <f>IFERROR(IF('Gantt Proyectos'!AK148&lt;2,$N80*'Gantt Proyectos'!AK148,IF('Gantt Proyectos'!AK148=2,$N80*('Gantt Proyectos'!AK148-1))),0)*$L80*$Q80</f>
        <v>30333.333333333332</v>
      </c>
      <c r="AO80" s="467">
        <f>IFERROR(IF('Gantt Proyectos'!AL148&lt;2,$N80*'Gantt Proyectos'!AL148,IF('Gantt Proyectos'!AL148=2,$N80*('Gantt Proyectos'!AL148-1))),0)*$L80*$Q80</f>
        <v>30333.333333333332</v>
      </c>
      <c r="AP80" s="467">
        <f>IFERROR(IF('Gantt Proyectos'!AM148&lt;2,$N80*'Gantt Proyectos'!AM148,IF('Gantt Proyectos'!AM148=2,$N80*('Gantt Proyectos'!AM148-1))),0)*$L80*$Q80</f>
        <v>0</v>
      </c>
      <c r="AQ80" s="468">
        <f>IFERROR(IF('Gantt Proyectos'!AN148&lt;2,$N80*'Gantt Proyectos'!AN148,IF('Gantt Proyectos'!AN148=2,$N80*('Gantt Proyectos'!AN148-1))),0)*$L80*$Q80</f>
        <v>0</v>
      </c>
    </row>
    <row r="81" spans="1:43" ht="15" x14ac:dyDescent="0.2">
      <c r="A81" s="110" t="b">
        <f t="shared" si="7"/>
        <v>0</v>
      </c>
      <c r="B81" s="610">
        <v>0.9</v>
      </c>
      <c r="C81" s="144">
        <f>+'Gantt Proyectos'!C149</f>
        <v>53</v>
      </c>
      <c r="D81" s="602" t="str">
        <f>+'Gantt Proyectos'!D149</f>
        <v>Ingeniería a nivel factibilidad de desarrollo y profundización de labores subterráneas segunda meiad</v>
      </c>
      <c r="E81" s="145" t="str">
        <f>+'Gantt Proyectos'!E149</f>
        <v>Cerro Pasco</v>
      </c>
      <c r="F81" s="147" t="str">
        <f>+'Gantt Proyectos'!F149</f>
        <v>Perú</v>
      </c>
      <c r="G81" s="145" t="str">
        <f>+'Gantt Proyectos'!G149</f>
        <v>Chile</v>
      </c>
      <c r="H81" s="145">
        <f>+'Gantt Proyectos'!H149</f>
        <v>0</v>
      </c>
      <c r="I81" s="189">
        <v>1</v>
      </c>
      <c r="J81" s="189">
        <f t="shared" si="5"/>
        <v>0</v>
      </c>
      <c r="K81" s="145" t="str">
        <f>+'Gantt Proyectos'!I149</f>
        <v>Subterránea</v>
      </c>
      <c r="L81" s="120">
        <f>+'Gantt Proyectos'!J149</f>
        <v>1</v>
      </c>
      <c r="M81" s="145">
        <f>+'Gantt Proyectos'!K149</f>
        <v>0</v>
      </c>
      <c r="N81" s="145">
        <f>+'Gantt Proyectos'!L149</f>
        <v>100000</v>
      </c>
      <c r="O81" s="145">
        <f>+'Gantt Proyectos'!M149</f>
        <v>100000</v>
      </c>
      <c r="P81" s="145">
        <f>+'Gantt Proyectos'!N149</f>
        <v>2</v>
      </c>
      <c r="Q81" s="603">
        <f>+Dashboard!I63</f>
        <v>1</v>
      </c>
      <c r="R81" s="119">
        <f>+'Gantt Proyectos'!O149</f>
        <v>45839</v>
      </c>
      <c r="S81" s="119">
        <f>+'Gantt Proyectos'!P149</f>
        <v>45960</v>
      </c>
      <c r="T81" s="145" t="str">
        <f>+'Gantt Proyectos'!R149</f>
        <v>No</v>
      </c>
      <c r="U81" s="118">
        <f>+'Gantt Proyectos'!S149</f>
        <v>0</v>
      </c>
      <c r="V81" s="156">
        <f>+'Gantt Proyectos'!T149</f>
        <v>45839</v>
      </c>
      <c r="W81" s="156">
        <f>+'Gantt Proyectos'!U149</f>
        <v>45960</v>
      </c>
      <c r="X81" s="201">
        <f t="shared" si="6"/>
        <v>4</v>
      </c>
      <c r="Y81" s="121">
        <f>+'Gantt Proyectos'!W149</f>
        <v>2.5503355704697985</v>
      </c>
      <c r="Z81" s="122">
        <f>+'Gantt Proyectos'!X149</f>
        <v>0</v>
      </c>
      <c r="AA81" s="122">
        <f>+'Gantt Proyectos'!Y149</f>
        <v>0</v>
      </c>
      <c r="AB81" s="122">
        <f>+'Gantt Proyectos'!Z149</f>
        <v>0</v>
      </c>
      <c r="AC81" s="122">
        <f>+'Gantt Proyectos'!AA149</f>
        <v>0</v>
      </c>
      <c r="AD81" s="122">
        <f>+'Gantt Proyectos'!AB149</f>
        <v>0</v>
      </c>
      <c r="AE81" s="123" t="str">
        <f>+'Gantt Proyectos'!AC149</f>
        <v>FS e Ing. Basica</v>
      </c>
      <c r="AF81" s="123" t="str">
        <f>+'Gantt Proyectos'!AD149</f>
        <v>Asignado</v>
      </c>
      <c r="AG81" s="124" t="str">
        <f>+'Gantt Proyectos'!AE149</f>
        <v>1. Proyectado: Asignado</v>
      </c>
      <c r="AH81" s="172">
        <v>1</v>
      </c>
      <c r="AI81" s="466">
        <f>IFERROR(IF('Gantt Proyectos'!AF149&lt;2,$N81*'Gantt Proyectos'!AF149,IF('Gantt Proyectos'!AF149=2,$N81*('Gantt Proyectos'!AF149-1))),0)*$L81*$Q81</f>
        <v>0</v>
      </c>
      <c r="AJ81" s="467">
        <f>IFERROR(IF('Gantt Proyectos'!AG149&lt;2,$N81*'Gantt Proyectos'!AG149,IF('Gantt Proyectos'!AG149=2,$N81*('Gantt Proyectos'!AG149-1))),0)*$L81*$Q81</f>
        <v>0</v>
      </c>
      <c r="AK81" s="467">
        <f>IFERROR(IF('Gantt Proyectos'!AH149&lt;2,$N81*'Gantt Proyectos'!AH149,IF('Gantt Proyectos'!AH149=2,$N81*('Gantt Proyectos'!AH149-1))),0)*$L81*$Q81</f>
        <v>0</v>
      </c>
      <c r="AL81" s="467">
        <f>IFERROR(IF('Gantt Proyectos'!AI149&lt;2,$N81*'Gantt Proyectos'!AI149,IF('Gantt Proyectos'!AI149=2,$N81*('Gantt Proyectos'!AI149-1))),0)*$L81*$Q81</f>
        <v>25000</v>
      </c>
      <c r="AM81" s="467">
        <f>IFERROR(IF('Gantt Proyectos'!AJ149&lt;2,$N81*'Gantt Proyectos'!AJ149,IF('Gantt Proyectos'!AJ149=2,$N81*('Gantt Proyectos'!AJ149-1))),0)*$L81*$Q81</f>
        <v>25000</v>
      </c>
      <c r="AN81" s="467">
        <f>IFERROR(IF('Gantt Proyectos'!AK149&lt;2,$N81*'Gantt Proyectos'!AK149,IF('Gantt Proyectos'!AK149=2,$N81*('Gantt Proyectos'!AK149-1))),0)*$L81*$Q81</f>
        <v>25000</v>
      </c>
      <c r="AO81" s="467">
        <f>IFERROR(IF('Gantt Proyectos'!AL149&lt;2,$N81*'Gantt Proyectos'!AL149,IF('Gantt Proyectos'!AL149=2,$N81*('Gantt Proyectos'!AL149-1))),0)*$L81*$Q81</f>
        <v>25000</v>
      </c>
      <c r="AP81" s="467">
        <f>IFERROR(IF('Gantt Proyectos'!AM149&lt;2,$N81*'Gantt Proyectos'!AM149,IF('Gantt Proyectos'!AM149=2,$N81*('Gantt Proyectos'!AM149-1))),0)*$L81*$Q81</f>
        <v>0</v>
      </c>
      <c r="AQ81" s="468">
        <f>IFERROR(IF('Gantt Proyectos'!AN149&lt;2,$N81*'Gantt Proyectos'!AN149,IF('Gantt Proyectos'!AN149=2,$N81*('Gantt Proyectos'!AN149-1))),0)*$L81*$Q81</f>
        <v>0</v>
      </c>
    </row>
    <row r="82" spans="1:43" ht="15" x14ac:dyDescent="0.2">
      <c r="A82" s="110" t="b">
        <f t="shared" si="7"/>
        <v>1</v>
      </c>
      <c r="B82" s="610">
        <v>0.3</v>
      </c>
      <c r="C82" s="144">
        <f>+'Gantt Proyectos'!C150</f>
        <v>54</v>
      </c>
      <c r="D82" s="602" t="str">
        <f>+'Gantt Proyectos'!D150</f>
        <v>Corto plazo</v>
      </c>
      <c r="E82" s="145" t="str">
        <f>+'Gantt Proyectos'!E150</f>
        <v>CMDIC</v>
      </c>
      <c r="F82" s="147" t="str">
        <f>+'Gantt Proyectos'!F150</f>
        <v>Chile</v>
      </c>
      <c r="G82" s="145" t="str">
        <f>+'Gantt Proyectos'!G150</f>
        <v>Chile</v>
      </c>
      <c r="H82" s="145">
        <f>+'Gantt Proyectos'!H150</f>
        <v>0</v>
      </c>
      <c r="I82" s="189">
        <v>1</v>
      </c>
      <c r="J82" s="189">
        <f t="shared" si="5"/>
        <v>0</v>
      </c>
      <c r="K82" s="145">
        <f>+'Gantt Proyectos'!I150</f>
        <v>0</v>
      </c>
      <c r="L82" s="120">
        <f>+'Gantt Proyectos'!J150</f>
        <v>1</v>
      </c>
      <c r="M82" s="145">
        <f>+'Gantt Proyectos'!K150</f>
        <v>0</v>
      </c>
      <c r="N82" s="145">
        <f>+'Gantt Proyectos'!L150</f>
        <v>120000</v>
      </c>
      <c r="O82" s="145">
        <f>+'Gantt Proyectos'!M150</f>
        <v>120000</v>
      </c>
      <c r="P82" s="145">
        <f>+'Gantt Proyectos'!N150</f>
        <v>1</v>
      </c>
      <c r="Q82" s="603">
        <f>+Dashboard!I64</f>
        <v>0.3</v>
      </c>
      <c r="R82" s="119">
        <f>+'Gantt Proyectos'!O150</f>
        <v>45839</v>
      </c>
      <c r="S82" s="119">
        <f>+'Gantt Proyectos'!P150</f>
        <v>45930</v>
      </c>
      <c r="T82" s="145" t="str">
        <f>+'Gantt Proyectos'!R150</f>
        <v>No</v>
      </c>
      <c r="U82" s="118">
        <f>+'Gantt Proyectos'!S150</f>
        <v>0</v>
      </c>
      <c r="V82" s="156">
        <f>+'Gantt Proyectos'!T150</f>
        <v>45839</v>
      </c>
      <c r="W82" s="156">
        <f>+'Gantt Proyectos'!U150</f>
        <v>45930</v>
      </c>
      <c r="X82" s="201">
        <f t="shared" si="6"/>
        <v>3</v>
      </c>
      <c r="Y82" s="121">
        <f>+'Gantt Proyectos'!W150</f>
        <v>0.21610738255033554</v>
      </c>
      <c r="Z82" s="122">
        <f>+'Gantt Proyectos'!X150</f>
        <v>0</v>
      </c>
      <c r="AA82" s="122">
        <f>+'Gantt Proyectos'!Y150</f>
        <v>0</v>
      </c>
      <c r="AB82" s="122">
        <f>+'Gantt Proyectos'!Z150</f>
        <v>0</v>
      </c>
      <c r="AC82" s="122">
        <f>+'Gantt Proyectos'!AA150</f>
        <v>0</v>
      </c>
      <c r="AD82" s="122">
        <f>+'Gantt Proyectos'!AB150</f>
        <v>0</v>
      </c>
      <c r="AE82" s="123" t="str">
        <f>+'Gantt Proyectos'!AC150</f>
        <v>Estudio Conceptual / LOM</v>
      </c>
      <c r="AF82" s="123" t="str">
        <f>+'Gantt Proyectos'!AD150</f>
        <v>No Asignado</v>
      </c>
      <c r="AG82" s="124" t="str">
        <f>+'Gantt Proyectos'!AE150</f>
        <v>1. Proyectado: No  Asignado</v>
      </c>
      <c r="AH82" s="172">
        <v>1</v>
      </c>
      <c r="AI82" s="466">
        <f>IFERROR(IF('Gantt Proyectos'!AF150&lt;2,$N82*'Gantt Proyectos'!AF150,IF('Gantt Proyectos'!AF150=2,$N82*('Gantt Proyectos'!AF150-1))),0)*$L82*$Q82</f>
        <v>0</v>
      </c>
      <c r="AJ82" s="467">
        <f>IFERROR(IF('Gantt Proyectos'!AG150&lt;2,$N82*'Gantt Proyectos'!AG150,IF('Gantt Proyectos'!AG150=2,$N82*('Gantt Proyectos'!AG150-1))),0)*$L82*$Q82</f>
        <v>0</v>
      </c>
      <c r="AK82" s="467">
        <f>IFERROR(IF('Gantt Proyectos'!AH150&lt;2,$N82*'Gantt Proyectos'!AH150,IF('Gantt Proyectos'!AH150=2,$N82*('Gantt Proyectos'!AH150-1))),0)*$L82*$Q82</f>
        <v>0</v>
      </c>
      <c r="AL82" s="467">
        <f>IFERROR(IF('Gantt Proyectos'!AI150&lt;2,$N82*'Gantt Proyectos'!AI150,IF('Gantt Proyectos'!AI150=2,$N82*('Gantt Proyectos'!AI150-1))),0)*$L82*$Q82</f>
        <v>12000</v>
      </c>
      <c r="AM82" s="467">
        <f>IFERROR(IF('Gantt Proyectos'!AJ150&lt;2,$N82*'Gantt Proyectos'!AJ150,IF('Gantt Proyectos'!AJ150=2,$N82*('Gantt Proyectos'!AJ150-1))),0)*$L82*$Q82</f>
        <v>12000</v>
      </c>
      <c r="AN82" s="467">
        <f>IFERROR(IF('Gantt Proyectos'!AK150&lt;2,$N82*'Gantt Proyectos'!AK150,IF('Gantt Proyectos'!AK150=2,$N82*('Gantt Proyectos'!AK150-1))),0)*$L82*$Q82</f>
        <v>12000</v>
      </c>
      <c r="AO82" s="467">
        <f>IFERROR(IF('Gantt Proyectos'!AL150&lt;2,$N82*'Gantt Proyectos'!AL150,IF('Gantt Proyectos'!AL150=2,$N82*('Gantt Proyectos'!AL150-1))),0)*$L82*$Q82</f>
        <v>0</v>
      </c>
      <c r="AP82" s="467">
        <f>IFERROR(IF('Gantt Proyectos'!AM150&lt;2,$N82*'Gantt Proyectos'!AM150,IF('Gantt Proyectos'!AM150=2,$N82*('Gantt Proyectos'!AM150-1))),0)*$L82*$Q82</f>
        <v>0</v>
      </c>
      <c r="AQ82" s="468">
        <f>IFERROR(IF('Gantt Proyectos'!AN150&lt;2,$N82*'Gantt Proyectos'!AN150,IF('Gantt Proyectos'!AN150=2,$N82*('Gantt Proyectos'!AN150-1))),0)*$L82*$Q82</f>
        <v>0</v>
      </c>
    </row>
    <row r="83" spans="1:43" ht="15" x14ac:dyDescent="0.2">
      <c r="A83" s="110" t="b">
        <f t="shared" si="7"/>
        <v>1</v>
      </c>
      <c r="B83" s="610">
        <v>0.3</v>
      </c>
      <c r="C83" s="144">
        <f>+'Gantt Proyectos'!C151</f>
        <v>55</v>
      </c>
      <c r="D83" s="602" t="str">
        <f>+'Gantt Proyectos'!D151</f>
        <v>Corto plazo</v>
      </c>
      <c r="E83" s="145" t="str">
        <f>+'Gantt Proyectos'!E151</f>
        <v>AMSA</v>
      </c>
      <c r="F83" s="147" t="str">
        <f>+'Gantt Proyectos'!F151</f>
        <v>Chile</v>
      </c>
      <c r="G83" s="145" t="str">
        <f>+'Gantt Proyectos'!G151</f>
        <v>Chile</v>
      </c>
      <c r="H83" s="145">
        <f>+'Gantt Proyectos'!H151</f>
        <v>0</v>
      </c>
      <c r="I83" s="189">
        <v>1</v>
      </c>
      <c r="J83" s="189">
        <f t="shared" si="5"/>
        <v>0</v>
      </c>
      <c r="K83" s="145">
        <f>+'Gantt Proyectos'!I151</f>
        <v>0</v>
      </c>
      <c r="L83" s="120">
        <f>+'Gantt Proyectos'!J151</f>
        <v>1</v>
      </c>
      <c r="M83" s="145">
        <f>+'Gantt Proyectos'!K151</f>
        <v>0</v>
      </c>
      <c r="N83" s="145">
        <f>+'Gantt Proyectos'!L151</f>
        <v>120000</v>
      </c>
      <c r="O83" s="145">
        <f>+'Gantt Proyectos'!M151</f>
        <v>120000</v>
      </c>
      <c r="P83" s="145">
        <f>+'Gantt Proyectos'!N151</f>
        <v>1</v>
      </c>
      <c r="Q83" s="603">
        <f>+Dashboard!I65</f>
        <v>0.3</v>
      </c>
      <c r="R83" s="119">
        <f>+'Gantt Proyectos'!O151</f>
        <v>45839</v>
      </c>
      <c r="S83" s="119">
        <f>+'Gantt Proyectos'!P151</f>
        <v>45930</v>
      </c>
      <c r="T83" s="145" t="str">
        <f>+'Gantt Proyectos'!R151</f>
        <v>No</v>
      </c>
      <c r="U83" s="118">
        <f>+'Gantt Proyectos'!S151</f>
        <v>0</v>
      </c>
      <c r="V83" s="156">
        <f>+'Gantt Proyectos'!T151</f>
        <v>45839</v>
      </c>
      <c r="W83" s="156">
        <f>+'Gantt Proyectos'!U151</f>
        <v>45930</v>
      </c>
      <c r="X83" s="201">
        <f t="shared" si="6"/>
        <v>3</v>
      </c>
      <c r="Y83" s="121">
        <f>+'Gantt Proyectos'!W151</f>
        <v>0.21610738255033554</v>
      </c>
      <c r="Z83" s="122">
        <f>+'Gantt Proyectos'!X151</f>
        <v>0</v>
      </c>
      <c r="AA83" s="122">
        <f>+'Gantt Proyectos'!Y151</f>
        <v>0</v>
      </c>
      <c r="AB83" s="122">
        <f>+'Gantt Proyectos'!Z151</f>
        <v>0</v>
      </c>
      <c r="AC83" s="122">
        <f>+'Gantt Proyectos'!AA151</f>
        <v>0</v>
      </c>
      <c r="AD83" s="122">
        <f>+'Gantt Proyectos'!AB151</f>
        <v>0</v>
      </c>
      <c r="AE83" s="123" t="str">
        <f>+'Gantt Proyectos'!AC151</f>
        <v>Estudio Conceptual / LOM</v>
      </c>
      <c r="AF83" s="123" t="str">
        <f>+'Gantt Proyectos'!AD151</f>
        <v>No Asignado</v>
      </c>
      <c r="AG83" s="124" t="str">
        <f>+'Gantt Proyectos'!AE151</f>
        <v>1. Proyectado: No  Asignado</v>
      </c>
      <c r="AH83" s="172">
        <v>1</v>
      </c>
      <c r="AI83" s="466">
        <f>IFERROR(IF('Gantt Proyectos'!AF151&lt;2,$N83*'Gantt Proyectos'!AF151,IF('Gantt Proyectos'!AF151=2,$N83*('Gantt Proyectos'!AF151-1))),0)*$L83*$Q83</f>
        <v>0</v>
      </c>
      <c r="AJ83" s="467">
        <f>IFERROR(IF('Gantt Proyectos'!AG151&lt;2,$N83*'Gantt Proyectos'!AG151,IF('Gantt Proyectos'!AG151=2,$N83*('Gantt Proyectos'!AG151-1))),0)*$L83*$Q83</f>
        <v>0</v>
      </c>
      <c r="AK83" s="467">
        <f>IFERROR(IF('Gantt Proyectos'!AH151&lt;2,$N83*'Gantt Proyectos'!AH151,IF('Gantt Proyectos'!AH151=2,$N83*('Gantt Proyectos'!AH151-1))),0)*$L83*$Q83</f>
        <v>0</v>
      </c>
      <c r="AL83" s="467">
        <f>IFERROR(IF('Gantt Proyectos'!AI151&lt;2,$N83*'Gantt Proyectos'!AI151,IF('Gantt Proyectos'!AI151=2,$N83*('Gantt Proyectos'!AI151-1))),0)*$L83*$Q83</f>
        <v>12000</v>
      </c>
      <c r="AM83" s="467">
        <f>IFERROR(IF('Gantt Proyectos'!AJ151&lt;2,$N83*'Gantt Proyectos'!AJ151,IF('Gantt Proyectos'!AJ151=2,$N83*('Gantt Proyectos'!AJ151-1))),0)*$L83*$Q83</f>
        <v>12000</v>
      </c>
      <c r="AN83" s="467">
        <f>IFERROR(IF('Gantt Proyectos'!AK151&lt;2,$N83*'Gantt Proyectos'!AK151,IF('Gantt Proyectos'!AK151=2,$N83*('Gantt Proyectos'!AK151-1))),0)*$L83*$Q83</f>
        <v>12000</v>
      </c>
      <c r="AO83" s="467">
        <f>IFERROR(IF('Gantt Proyectos'!AL151&lt;2,$N83*'Gantt Proyectos'!AL151,IF('Gantt Proyectos'!AL151=2,$N83*('Gantt Proyectos'!AL151-1))),0)*$L83*$Q83</f>
        <v>0</v>
      </c>
      <c r="AP83" s="467">
        <f>IFERROR(IF('Gantt Proyectos'!AM151&lt;2,$N83*'Gantt Proyectos'!AM151,IF('Gantt Proyectos'!AM151=2,$N83*('Gantt Proyectos'!AM151-1))),0)*$L83*$Q83</f>
        <v>0</v>
      </c>
      <c r="AQ83" s="468">
        <f>IFERROR(IF('Gantt Proyectos'!AN151&lt;2,$N83*'Gantt Proyectos'!AN151,IF('Gantt Proyectos'!AN151=2,$N83*('Gantt Proyectos'!AN151-1))),0)*$L83*$Q83</f>
        <v>0</v>
      </c>
    </row>
    <row r="84" spans="1:43" ht="15" x14ac:dyDescent="0.2">
      <c r="A84" s="110" t="b">
        <f t="shared" si="7"/>
        <v>1</v>
      </c>
      <c r="B84" s="610">
        <v>0.5</v>
      </c>
      <c r="C84" s="144">
        <f>+'Gantt Proyectos'!C152</f>
        <v>56</v>
      </c>
      <c r="D84" s="602" t="str">
        <f>+'Gantt Proyectos'!D152</f>
        <v>Acompañamiento simplan Cajati</v>
      </c>
      <c r="E84" s="145" t="str">
        <f>+'Gantt Proyectos'!E152</f>
        <v>Mosaic</v>
      </c>
      <c r="F84" s="147" t="str">
        <f>+'Gantt Proyectos'!F152</f>
        <v>Brasil</v>
      </c>
      <c r="G84" s="145" t="str">
        <f>+'Gantt Proyectos'!G152</f>
        <v>Chile</v>
      </c>
      <c r="H84" s="145">
        <f>+'Gantt Proyectos'!H152</f>
        <v>0</v>
      </c>
      <c r="I84" s="189">
        <v>1</v>
      </c>
      <c r="J84" s="189">
        <f t="shared" si="5"/>
        <v>0</v>
      </c>
      <c r="K84" s="145">
        <f>+'Gantt Proyectos'!I152</f>
        <v>0</v>
      </c>
      <c r="L84" s="120">
        <f>+'Gantt Proyectos'!J152</f>
        <v>1</v>
      </c>
      <c r="M84" s="145">
        <f>+'Gantt Proyectos'!K152</f>
        <v>0</v>
      </c>
      <c r="N84" s="145">
        <f>+'Gantt Proyectos'!L152</f>
        <v>85000</v>
      </c>
      <c r="O84" s="145">
        <f>+'Gantt Proyectos'!M152</f>
        <v>85000</v>
      </c>
      <c r="P84" s="145">
        <f>+'Gantt Proyectos'!N152</f>
        <v>3</v>
      </c>
      <c r="Q84" s="603">
        <f>+Dashboard!I66</f>
        <v>0.5</v>
      </c>
      <c r="R84" s="119">
        <f>+'Gantt Proyectos'!O152</f>
        <v>45870</v>
      </c>
      <c r="S84" s="119">
        <f>+'Gantt Proyectos'!P152</f>
        <v>45960</v>
      </c>
      <c r="T84" s="145" t="str">
        <f>+'Gantt Proyectos'!R152</f>
        <v>No</v>
      </c>
      <c r="U84" s="118">
        <f>+'Gantt Proyectos'!S152</f>
        <v>0</v>
      </c>
      <c r="V84" s="156">
        <f>+'Gantt Proyectos'!T152</f>
        <v>45870</v>
      </c>
      <c r="W84" s="156">
        <f>+'Gantt Proyectos'!U152</f>
        <v>45960</v>
      </c>
      <c r="X84" s="201">
        <f t="shared" si="6"/>
        <v>3</v>
      </c>
      <c r="Y84" s="121">
        <f>+'Gantt Proyectos'!W152</f>
        <v>0.5</v>
      </c>
      <c r="Z84" s="122">
        <f>+'Gantt Proyectos'!X152</f>
        <v>0</v>
      </c>
      <c r="AA84" s="122">
        <f>+'Gantt Proyectos'!Y152</f>
        <v>0</v>
      </c>
      <c r="AB84" s="122">
        <f>+'Gantt Proyectos'!Z152</f>
        <v>0</v>
      </c>
      <c r="AC84" s="122">
        <f>+'Gantt Proyectos'!AA152</f>
        <v>0</v>
      </c>
      <c r="AD84" s="122">
        <f>+'Gantt Proyectos'!AB152</f>
        <v>0</v>
      </c>
      <c r="AE84" s="123" t="str">
        <f>+'Gantt Proyectos'!AC152</f>
        <v>Consultoria y Due Dilligence</v>
      </c>
      <c r="AF84" s="123" t="str">
        <f>+'Gantt Proyectos'!AD152</f>
        <v>No Asignado</v>
      </c>
      <c r="AG84" s="124" t="str">
        <f>+'Gantt Proyectos'!AE152</f>
        <v>1. Proyectado: No  Asignado</v>
      </c>
      <c r="AH84" s="172">
        <v>1</v>
      </c>
      <c r="AI84" s="466">
        <f>IFERROR(IF('Gantt Proyectos'!AF152&lt;2,$N84*'Gantt Proyectos'!AF152,IF('Gantt Proyectos'!AF152=2,$N84*('Gantt Proyectos'!AF152-1))),0)*$L84*$Q84</f>
        <v>0</v>
      </c>
      <c r="AJ84" s="467">
        <f>IFERROR(IF('Gantt Proyectos'!AG152&lt;2,$N84*'Gantt Proyectos'!AG152,IF('Gantt Proyectos'!AG152=2,$N84*('Gantt Proyectos'!AG152-1))),0)*$L84*$Q84</f>
        <v>0</v>
      </c>
      <c r="AK84" s="467">
        <f>IFERROR(IF('Gantt Proyectos'!AH152&lt;2,$N84*'Gantt Proyectos'!AH152,IF('Gantt Proyectos'!AH152=2,$N84*('Gantt Proyectos'!AH152-1))),0)*$L84*$Q84</f>
        <v>0</v>
      </c>
      <c r="AL84" s="467">
        <f>IFERROR(IF('Gantt Proyectos'!AI152&lt;2,$N84*'Gantt Proyectos'!AI152,IF('Gantt Proyectos'!AI152=2,$N84*('Gantt Proyectos'!AI152-1))),0)*$L84*$Q84</f>
        <v>0</v>
      </c>
      <c r="AM84" s="467">
        <f>IFERROR(IF('Gantt Proyectos'!AJ152&lt;2,$N84*'Gantt Proyectos'!AJ152,IF('Gantt Proyectos'!AJ152=2,$N84*('Gantt Proyectos'!AJ152-1))),0)*$L84*$Q84</f>
        <v>14166.666666666666</v>
      </c>
      <c r="AN84" s="467">
        <f>IFERROR(IF('Gantt Proyectos'!AK152&lt;2,$N84*'Gantt Proyectos'!AK152,IF('Gantt Proyectos'!AK152=2,$N84*('Gantt Proyectos'!AK152-1))),0)*$L84*$Q84</f>
        <v>14166.666666666666</v>
      </c>
      <c r="AO84" s="467">
        <f>IFERROR(IF('Gantt Proyectos'!AL152&lt;2,$N84*'Gantt Proyectos'!AL152,IF('Gantt Proyectos'!AL152=2,$N84*('Gantt Proyectos'!AL152-1))),0)*$L84*$Q84</f>
        <v>14166.666666666666</v>
      </c>
      <c r="AP84" s="467">
        <f>IFERROR(IF('Gantt Proyectos'!AM152&lt;2,$N84*'Gantt Proyectos'!AM152,IF('Gantt Proyectos'!AM152=2,$N84*('Gantt Proyectos'!AM152-1))),0)*$L84*$Q84</f>
        <v>0</v>
      </c>
      <c r="AQ84" s="468">
        <f>IFERROR(IF('Gantt Proyectos'!AN152&lt;2,$N84*'Gantt Proyectos'!AN152,IF('Gantt Proyectos'!AN152=2,$N84*('Gantt Proyectos'!AN152-1))),0)*$L84*$Q84</f>
        <v>0</v>
      </c>
    </row>
    <row r="85" spans="1:43" ht="15" x14ac:dyDescent="0.2">
      <c r="A85" s="110" t="b">
        <f t="shared" si="7"/>
        <v>1</v>
      </c>
      <c r="B85" s="610">
        <v>0.8</v>
      </c>
      <c r="C85" s="144">
        <f>+'Gantt Proyectos'!C153</f>
        <v>57</v>
      </c>
      <c r="D85" s="602" t="str">
        <f>+'Gantt Proyectos'!D153</f>
        <v xml:space="preserve">Actualziación LOM </v>
      </c>
      <c r="E85" s="145" t="str">
        <f>+'Gantt Proyectos'!E153</f>
        <v>LHG</v>
      </c>
      <c r="F85" s="147" t="str">
        <f>+'Gantt Proyectos'!F153</f>
        <v>Brasil</v>
      </c>
      <c r="G85" s="145" t="str">
        <f>+'Gantt Proyectos'!G153</f>
        <v>Chile</v>
      </c>
      <c r="H85" s="145">
        <f>+'Gantt Proyectos'!H153</f>
        <v>0</v>
      </c>
      <c r="I85" s="189">
        <v>1</v>
      </c>
      <c r="J85" s="189">
        <f t="shared" si="5"/>
        <v>0</v>
      </c>
      <c r="K85" s="145">
        <f>+'Gantt Proyectos'!I153</f>
        <v>0</v>
      </c>
      <c r="L85" s="120">
        <f>+'Gantt Proyectos'!J153</f>
        <v>1</v>
      </c>
      <c r="M85" s="145">
        <f>+'Gantt Proyectos'!K153</f>
        <v>0</v>
      </c>
      <c r="N85" s="145">
        <f>+'Gantt Proyectos'!L153</f>
        <v>145000</v>
      </c>
      <c r="O85" s="145">
        <f>+'Gantt Proyectos'!M153</f>
        <v>145000</v>
      </c>
      <c r="P85" s="145">
        <f>+'Gantt Proyectos'!N153</f>
        <v>2</v>
      </c>
      <c r="Q85" s="603">
        <f>+Dashboard!I67</f>
        <v>0.8</v>
      </c>
      <c r="R85" s="119">
        <f>+'Gantt Proyectos'!O153</f>
        <v>45839</v>
      </c>
      <c r="S85" s="119">
        <f>+'Gantt Proyectos'!P153</f>
        <v>45930</v>
      </c>
      <c r="T85" s="145" t="str">
        <f>+'Gantt Proyectos'!R153</f>
        <v>No</v>
      </c>
      <c r="U85" s="118">
        <f>+'Gantt Proyectos'!S153</f>
        <v>0</v>
      </c>
      <c r="V85" s="156">
        <f>+'Gantt Proyectos'!T153</f>
        <v>45839</v>
      </c>
      <c r="W85" s="156">
        <f>+'Gantt Proyectos'!U153</f>
        <v>45930</v>
      </c>
      <c r="X85" s="201">
        <f t="shared" si="6"/>
        <v>3</v>
      </c>
      <c r="Y85" s="121">
        <f>+'Gantt Proyectos'!W153</f>
        <v>0.57628635346756141</v>
      </c>
      <c r="Z85" s="122">
        <f>+'Gantt Proyectos'!X153</f>
        <v>0</v>
      </c>
      <c r="AA85" s="122">
        <f>+'Gantt Proyectos'!Y153</f>
        <v>0</v>
      </c>
      <c r="AB85" s="122">
        <f>+'Gantt Proyectos'!Z153</f>
        <v>0</v>
      </c>
      <c r="AC85" s="122">
        <f>+'Gantt Proyectos'!AA153</f>
        <v>0</v>
      </c>
      <c r="AD85" s="122">
        <f>+'Gantt Proyectos'!AB153</f>
        <v>0</v>
      </c>
      <c r="AE85" s="123" t="str">
        <f>+'Gantt Proyectos'!AC153</f>
        <v>Estudio Conceptual / LOM</v>
      </c>
      <c r="AF85" s="123" t="str">
        <f>+'Gantt Proyectos'!AD153</f>
        <v>No Asignado</v>
      </c>
      <c r="AG85" s="124" t="str">
        <f>+'Gantt Proyectos'!AE153</f>
        <v>1. Proyectado: No  Asignado</v>
      </c>
      <c r="AH85" s="172">
        <v>1</v>
      </c>
      <c r="AI85" s="466">
        <f>IFERROR(IF('Gantt Proyectos'!AF153&lt;2,$N85*'Gantt Proyectos'!AF153,IF('Gantt Proyectos'!AF153=2,$N85*('Gantt Proyectos'!AF153-1))),0)*$L85*$Q85</f>
        <v>0</v>
      </c>
      <c r="AJ85" s="467">
        <f>IFERROR(IF('Gantt Proyectos'!AG153&lt;2,$N85*'Gantt Proyectos'!AG153,IF('Gantt Proyectos'!AG153=2,$N85*('Gantt Proyectos'!AG153-1))),0)*$L85*$Q85</f>
        <v>0</v>
      </c>
      <c r="AK85" s="467">
        <f>IFERROR(IF('Gantt Proyectos'!AH153&lt;2,$N85*'Gantt Proyectos'!AH153,IF('Gantt Proyectos'!AH153=2,$N85*('Gantt Proyectos'!AH153-1))),0)*$L85*$Q85</f>
        <v>0</v>
      </c>
      <c r="AL85" s="467">
        <f>IFERROR(IF('Gantt Proyectos'!AI153&lt;2,$N85*'Gantt Proyectos'!AI153,IF('Gantt Proyectos'!AI153=2,$N85*('Gantt Proyectos'!AI153-1))),0)*$L85*$Q85</f>
        <v>38666.666666666664</v>
      </c>
      <c r="AM85" s="467">
        <f>IFERROR(IF('Gantt Proyectos'!AJ153&lt;2,$N85*'Gantt Proyectos'!AJ153,IF('Gantt Proyectos'!AJ153=2,$N85*('Gantt Proyectos'!AJ153-1))),0)*$L85*$Q85</f>
        <v>38666.666666666664</v>
      </c>
      <c r="AN85" s="467">
        <f>IFERROR(IF('Gantt Proyectos'!AK153&lt;2,$N85*'Gantt Proyectos'!AK153,IF('Gantt Proyectos'!AK153=2,$N85*('Gantt Proyectos'!AK153-1))),0)*$L85*$Q85</f>
        <v>38666.666666666664</v>
      </c>
      <c r="AO85" s="467">
        <f>IFERROR(IF('Gantt Proyectos'!AL153&lt;2,$N85*'Gantt Proyectos'!AL153,IF('Gantt Proyectos'!AL153=2,$N85*('Gantt Proyectos'!AL153-1))),0)*$L85*$Q85</f>
        <v>0</v>
      </c>
      <c r="AP85" s="467">
        <f>IFERROR(IF('Gantt Proyectos'!AM153&lt;2,$N85*'Gantt Proyectos'!AM153,IF('Gantt Proyectos'!AM153=2,$N85*('Gantt Proyectos'!AM153-1))),0)*$L85*$Q85</f>
        <v>0</v>
      </c>
      <c r="AQ85" s="468">
        <f>IFERROR(IF('Gantt Proyectos'!AN153&lt;2,$N85*'Gantt Proyectos'!AN153,IF('Gantt Proyectos'!AN153=2,$N85*('Gantt Proyectos'!AN153-1))),0)*$L85*$Q85</f>
        <v>0</v>
      </c>
    </row>
    <row r="86" spans="1:43" ht="15" x14ac:dyDescent="0.2">
      <c r="C86" s="144">
        <f>+'Gantt Proyectos'!C154</f>
        <v>58</v>
      </c>
      <c r="D86" s="602" t="str">
        <f>+'Gantt Proyectos'!D154</f>
        <v>Alpayana Estudio de Sismicidad</v>
      </c>
      <c r="E86" s="145" t="str">
        <f>+'Gantt Proyectos'!E154</f>
        <v>Alpayana</v>
      </c>
      <c r="F86" s="147" t="str">
        <f>+'Gantt Proyectos'!F154</f>
        <v>Perú</v>
      </c>
      <c r="G86" s="145" t="str">
        <f>+'Gantt Proyectos'!G154</f>
        <v>Chile</v>
      </c>
      <c r="H86" s="145">
        <f>+'Gantt Proyectos'!H154</f>
        <v>0</v>
      </c>
      <c r="I86" s="189">
        <v>1</v>
      </c>
      <c r="J86" s="189">
        <f t="shared" si="5"/>
        <v>0</v>
      </c>
      <c r="K86" s="145">
        <f>+'Gantt Proyectos'!I154</f>
        <v>0</v>
      </c>
      <c r="L86" s="120">
        <f>+'Gantt Proyectos'!J154</f>
        <v>1</v>
      </c>
      <c r="M86" s="145">
        <f>+'Gantt Proyectos'!K154</f>
        <v>0</v>
      </c>
      <c r="N86" s="145">
        <f>+'Gantt Proyectos'!L154</f>
        <v>197494</v>
      </c>
      <c r="O86" s="145">
        <f>+'Gantt Proyectos'!M154</f>
        <v>197494</v>
      </c>
      <c r="P86" s="145">
        <f>+'Gantt Proyectos'!N154</f>
        <v>2</v>
      </c>
      <c r="Q86" s="603">
        <f>+Dashboard!I68</f>
        <v>1</v>
      </c>
      <c r="R86" s="119">
        <f>+'Gantt Proyectos'!O154</f>
        <v>45823</v>
      </c>
      <c r="S86" s="119">
        <f>+'Gantt Proyectos'!P154</f>
        <v>45975</v>
      </c>
      <c r="T86" s="145" t="str">
        <f>+'Gantt Proyectos'!R154</f>
        <v>No</v>
      </c>
      <c r="U86" s="118">
        <f>+'Gantt Proyectos'!S154</f>
        <v>0</v>
      </c>
      <c r="V86" s="156">
        <f>+'Gantt Proyectos'!T154</f>
        <v>45823</v>
      </c>
      <c r="W86" s="156">
        <f>+'Gantt Proyectos'!U154</f>
        <v>45975</v>
      </c>
      <c r="X86" s="201">
        <f t="shared" si="6"/>
        <v>5</v>
      </c>
      <c r="Y86" s="121">
        <f>+'Gantt Proyectos'!W154</f>
        <v>0.72035794183445179</v>
      </c>
      <c r="Z86" s="122">
        <f>+'Gantt Proyectos'!X154</f>
        <v>0</v>
      </c>
      <c r="AA86" s="122">
        <f>+'Gantt Proyectos'!Y154</f>
        <v>0</v>
      </c>
      <c r="AB86" s="122">
        <f>+'Gantt Proyectos'!Z154</f>
        <v>0</v>
      </c>
      <c r="AC86" s="122">
        <f>+'Gantt Proyectos'!AA154</f>
        <v>0</v>
      </c>
      <c r="AD86" s="122">
        <f>+'Gantt Proyectos'!AB154</f>
        <v>0</v>
      </c>
      <c r="AE86" s="123" t="str">
        <f>+'Gantt Proyectos'!AC154</f>
        <v>Estudio Conceptual / LOM</v>
      </c>
      <c r="AF86" s="123" t="str">
        <f>+'Gantt Proyectos'!AD154</f>
        <v>Asignado</v>
      </c>
      <c r="AG86" s="124" t="str">
        <f>+'Gantt Proyectos'!AE154</f>
        <v>1. Proyectado: Asignado</v>
      </c>
      <c r="AH86" s="172">
        <v>1</v>
      </c>
      <c r="AI86" s="466">
        <f>IFERROR(IF('Gantt Proyectos'!AF154&lt;2,$N86*'Gantt Proyectos'!AF154,IF('Gantt Proyectos'!AF154=2,$N86*('Gantt Proyectos'!AF154-1))),0)*$L86*$Q86</f>
        <v>0</v>
      </c>
      <c r="AJ86" s="467">
        <f>IFERROR(IF('Gantt Proyectos'!AG154&lt;2,$N86*'Gantt Proyectos'!AG154,IF('Gantt Proyectos'!AG154=2,$N86*('Gantt Proyectos'!AG154-1))),0)*$L86*$Q86</f>
        <v>0</v>
      </c>
      <c r="AK86" s="467">
        <f>IFERROR(IF('Gantt Proyectos'!AH154&lt;2,$N86*'Gantt Proyectos'!AH154,IF('Gantt Proyectos'!AH154=2,$N86*('Gantt Proyectos'!AH154-1))),0)*$L86*$Q86</f>
        <v>39498.800000000003</v>
      </c>
      <c r="AL86" s="467">
        <f>IFERROR(IF('Gantt Proyectos'!AI154&lt;2,$N86*'Gantt Proyectos'!AI154,IF('Gantt Proyectos'!AI154=2,$N86*('Gantt Proyectos'!AI154-1))),0)*$L86*$Q86</f>
        <v>39498.800000000003</v>
      </c>
      <c r="AM86" s="467">
        <f>IFERROR(IF('Gantt Proyectos'!AJ154&lt;2,$N86*'Gantt Proyectos'!AJ154,IF('Gantt Proyectos'!AJ154=2,$N86*('Gantt Proyectos'!AJ154-1))),0)*$L86*$Q86</f>
        <v>39498.800000000003</v>
      </c>
      <c r="AN86" s="467">
        <f>IFERROR(IF('Gantt Proyectos'!AK154&lt;2,$N86*'Gantt Proyectos'!AK154,IF('Gantt Proyectos'!AK154=2,$N86*('Gantt Proyectos'!AK154-1))),0)*$L86*$Q86</f>
        <v>39498.800000000003</v>
      </c>
      <c r="AO86" s="467">
        <f>IFERROR(IF('Gantt Proyectos'!AL154&lt;2,$N86*'Gantt Proyectos'!AL154,IF('Gantt Proyectos'!AL154=2,$N86*('Gantt Proyectos'!AL154-1))),0)*$L86*$Q86</f>
        <v>39498.800000000003</v>
      </c>
      <c r="AP86" s="467">
        <f>IFERROR(IF('Gantt Proyectos'!AM154&lt;2,$N86*'Gantt Proyectos'!AM154,IF('Gantt Proyectos'!AM154=2,$N86*('Gantt Proyectos'!AM154-1))),0)*$L86*$Q86</f>
        <v>39498.800000000003</v>
      </c>
      <c r="AQ86" s="468">
        <f>IFERROR(IF('Gantt Proyectos'!AN154&lt;2,$N86*'Gantt Proyectos'!AN154,IF('Gantt Proyectos'!AN154=2,$N86*('Gantt Proyectos'!AN154-1))),0)*$L86*$Q86</f>
        <v>0</v>
      </c>
    </row>
    <row r="87" spans="1:43" ht="15" x14ac:dyDescent="0.2">
      <c r="C87" s="144">
        <f>+'Gantt Proyectos'!C155</f>
        <v>59</v>
      </c>
      <c r="D87" s="602" t="str">
        <f>+'Gantt Proyectos'!D155</f>
        <v>Vale Gongo Soco</v>
      </c>
      <c r="E87" s="145" t="str">
        <f>+'Gantt Proyectos'!E155</f>
        <v>Vale</v>
      </c>
      <c r="F87" s="147" t="str">
        <f>+'Gantt Proyectos'!F155</f>
        <v>Brasil</v>
      </c>
      <c r="G87" s="145" t="str">
        <f>+'Gantt Proyectos'!G155</f>
        <v>Chile</v>
      </c>
      <c r="H87" s="145">
        <f>+'Gantt Proyectos'!H155</f>
        <v>0</v>
      </c>
      <c r="I87" s="189">
        <v>1</v>
      </c>
      <c r="J87" s="189">
        <f t="shared" si="5"/>
        <v>0</v>
      </c>
      <c r="K87" s="145">
        <f>+'Gantt Proyectos'!I155</f>
        <v>0</v>
      </c>
      <c r="L87" s="120">
        <f>+'Gantt Proyectos'!J155</f>
        <v>1</v>
      </c>
      <c r="M87" s="145">
        <f>+'Gantt Proyectos'!K155</f>
        <v>0</v>
      </c>
      <c r="N87" s="145">
        <f>+'Gantt Proyectos'!L155</f>
        <v>475000</v>
      </c>
      <c r="O87" s="145">
        <f>+'Gantt Proyectos'!M155</f>
        <v>475000</v>
      </c>
      <c r="P87" s="145">
        <f>+'Gantt Proyectos'!N155</f>
        <v>1</v>
      </c>
      <c r="Q87" s="603">
        <f>+Dashboard!I69</f>
        <v>0.5</v>
      </c>
      <c r="R87" s="119">
        <f>+'Gantt Proyectos'!O155</f>
        <v>45870</v>
      </c>
      <c r="S87" s="119">
        <f>+'Gantt Proyectos'!P155</f>
        <v>45991</v>
      </c>
      <c r="T87" s="145" t="str">
        <f>+'Gantt Proyectos'!R155</f>
        <v>No</v>
      </c>
      <c r="U87" s="118">
        <f>+'Gantt Proyectos'!S155</f>
        <v>0</v>
      </c>
      <c r="V87" s="156">
        <f>+'Gantt Proyectos'!T155</f>
        <v>45870</v>
      </c>
      <c r="W87" s="156">
        <f>+'Gantt Proyectos'!U155</f>
        <v>45991</v>
      </c>
      <c r="X87" s="201">
        <f t="shared" si="6"/>
        <v>4</v>
      </c>
      <c r="Y87" s="121">
        <f>+'Gantt Proyectos'!W155</f>
        <v>0.72371364653243841</v>
      </c>
      <c r="Z87" s="122">
        <f>+'Gantt Proyectos'!X155</f>
        <v>0</v>
      </c>
      <c r="AA87" s="122">
        <f>+'Gantt Proyectos'!Y155</f>
        <v>0</v>
      </c>
      <c r="AB87" s="122">
        <f>+'Gantt Proyectos'!Z155</f>
        <v>0</v>
      </c>
      <c r="AC87" s="122">
        <f>+'Gantt Proyectos'!AA155</f>
        <v>0</v>
      </c>
      <c r="AD87" s="122">
        <f>+'Gantt Proyectos'!AB155</f>
        <v>0</v>
      </c>
      <c r="AE87" s="123" t="str">
        <f>+'Gantt Proyectos'!AC155</f>
        <v>Scoping</v>
      </c>
      <c r="AF87" s="123" t="str">
        <f>+'Gantt Proyectos'!AD155</f>
        <v>No Asignado</v>
      </c>
      <c r="AG87" s="124" t="str">
        <f>+'Gantt Proyectos'!AE155</f>
        <v>1. Proyectado: No  Asignado</v>
      </c>
      <c r="AH87" s="172">
        <v>1</v>
      </c>
      <c r="AI87" s="466">
        <f>IFERROR(IF('Gantt Proyectos'!AF155&lt;2,$N87*'Gantt Proyectos'!AF155,IF('Gantt Proyectos'!AF155=2,$N87*('Gantt Proyectos'!AF155-1))),0)*$L87*$Q87</f>
        <v>0</v>
      </c>
      <c r="AJ87" s="467">
        <f>IFERROR(IF('Gantt Proyectos'!AG155&lt;2,$N87*'Gantt Proyectos'!AG155,IF('Gantt Proyectos'!AG155=2,$N87*('Gantt Proyectos'!AG155-1))),0)*$L87*$Q87</f>
        <v>0</v>
      </c>
      <c r="AK87" s="467">
        <f>IFERROR(IF('Gantt Proyectos'!AH155&lt;2,$N87*'Gantt Proyectos'!AH155,IF('Gantt Proyectos'!AH155=2,$N87*('Gantt Proyectos'!AH155-1))),0)*$L87*$Q87</f>
        <v>0</v>
      </c>
      <c r="AL87" s="467">
        <f>IFERROR(IF('Gantt Proyectos'!AI155&lt;2,$N87*'Gantt Proyectos'!AI155,IF('Gantt Proyectos'!AI155=2,$N87*('Gantt Proyectos'!AI155-1))),0)*$L87*$Q87</f>
        <v>0</v>
      </c>
      <c r="AM87" s="467">
        <f>IFERROR(IF('Gantt Proyectos'!AJ155&lt;2,$N87*'Gantt Proyectos'!AJ155,IF('Gantt Proyectos'!AJ155=2,$N87*('Gantt Proyectos'!AJ155-1))),0)*$L87*$Q87</f>
        <v>59375</v>
      </c>
      <c r="AN87" s="467">
        <f>IFERROR(IF('Gantt Proyectos'!AK155&lt;2,$N87*'Gantt Proyectos'!AK155,IF('Gantt Proyectos'!AK155=2,$N87*('Gantt Proyectos'!AK155-1))),0)*$L87*$Q87</f>
        <v>59375</v>
      </c>
      <c r="AO87" s="467">
        <f>IFERROR(IF('Gantt Proyectos'!AL155&lt;2,$N87*'Gantt Proyectos'!AL155,IF('Gantt Proyectos'!AL155=2,$N87*('Gantt Proyectos'!AL155-1))),0)*$L87*$Q87</f>
        <v>59375</v>
      </c>
      <c r="AP87" s="467">
        <f>IFERROR(IF('Gantt Proyectos'!AM155&lt;2,$N87*'Gantt Proyectos'!AM155,IF('Gantt Proyectos'!AM155=2,$N87*('Gantt Proyectos'!AM155-1))),0)*$L87*$Q87</f>
        <v>59375</v>
      </c>
      <c r="AQ87" s="468">
        <f>IFERROR(IF('Gantt Proyectos'!AN155&lt;2,$N87*'Gantt Proyectos'!AN155,IF('Gantt Proyectos'!AN155=2,$N87*('Gantt Proyectos'!AN155-1))),0)*$L87*$Q87</f>
        <v>0</v>
      </c>
    </row>
    <row r="88" spans="1:43" ht="15" x14ac:dyDescent="0.2">
      <c r="C88" s="144">
        <f>+'Gantt Proyectos'!C156</f>
        <v>60</v>
      </c>
      <c r="D88" s="145">
        <f>+'Gantt Proyectos'!D156</f>
        <v>0</v>
      </c>
      <c r="E88" s="145">
        <f>+'Gantt Proyectos'!E156</f>
        <v>0</v>
      </c>
      <c r="F88" s="147">
        <f>+'Gantt Proyectos'!F156</f>
        <v>0</v>
      </c>
      <c r="G88" s="145">
        <f>+'Gantt Proyectos'!G156</f>
        <v>0</v>
      </c>
      <c r="H88" s="145">
        <f>+'Gantt Proyectos'!H156</f>
        <v>0</v>
      </c>
      <c r="I88" s="189">
        <v>1</v>
      </c>
      <c r="J88" s="189">
        <f t="shared" si="5"/>
        <v>0</v>
      </c>
      <c r="K88" s="145">
        <f>+'Gantt Proyectos'!I156</f>
        <v>0</v>
      </c>
      <c r="L88" s="120">
        <f>+'Gantt Proyectos'!J156</f>
        <v>0</v>
      </c>
      <c r="M88" s="145">
        <f>+'Gantt Proyectos'!K156</f>
        <v>0</v>
      </c>
      <c r="N88" s="145">
        <f>+'Gantt Proyectos'!L156</f>
        <v>0</v>
      </c>
      <c r="O88" s="145">
        <f>+'Gantt Proyectos'!M156</f>
        <v>0</v>
      </c>
      <c r="P88" s="145">
        <f>+'Gantt Proyectos'!N156</f>
        <v>0</v>
      </c>
      <c r="Q88" s="472">
        <v>1</v>
      </c>
      <c r="R88" s="119">
        <f>+'Gantt Proyectos'!O156</f>
        <v>0</v>
      </c>
      <c r="S88" s="119">
        <f>+'Gantt Proyectos'!P156</f>
        <v>0</v>
      </c>
      <c r="T88" s="145">
        <f>+'Gantt Proyectos'!R156</f>
        <v>0</v>
      </c>
      <c r="U88" s="118">
        <f>+'Gantt Proyectos'!S156</f>
        <v>0</v>
      </c>
      <c r="V88" s="156">
        <f>+'Gantt Proyectos'!T156</f>
        <v>0</v>
      </c>
      <c r="W88" s="156">
        <f>+'Gantt Proyectos'!U156</f>
        <v>0</v>
      </c>
      <c r="X88" s="201">
        <f t="shared" si="6"/>
        <v>0</v>
      </c>
      <c r="Y88" s="121">
        <f>+'Gantt Proyectos'!W156</f>
        <v>0</v>
      </c>
      <c r="Z88" s="122">
        <f>+'Gantt Proyectos'!X156</f>
        <v>0</v>
      </c>
      <c r="AA88" s="122">
        <f>+'Gantt Proyectos'!Y156</f>
        <v>0</v>
      </c>
      <c r="AB88" s="122">
        <f>+'Gantt Proyectos'!Z156</f>
        <v>0</v>
      </c>
      <c r="AC88" s="122">
        <f>+'Gantt Proyectos'!AA156</f>
        <v>0</v>
      </c>
      <c r="AD88" s="122">
        <f>+'Gantt Proyectos'!AB156</f>
        <v>0</v>
      </c>
      <c r="AE88" s="123">
        <f>+'Gantt Proyectos'!AC156</f>
        <v>0</v>
      </c>
      <c r="AF88" s="123">
        <f>+'Gantt Proyectos'!AD156</f>
        <v>0</v>
      </c>
      <c r="AG88" s="124">
        <f>+'Gantt Proyectos'!AE156</f>
        <v>0</v>
      </c>
      <c r="AH88" s="172">
        <v>1</v>
      </c>
      <c r="AI88" s="466">
        <f>IFERROR(IF('Gantt Proyectos'!AF156&lt;2,$N88*'Gantt Proyectos'!AF156,IF('Gantt Proyectos'!AF156=2,$N88*('Gantt Proyectos'!AF156-1))),0)*$L88*$Q88</f>
        <v>0</v>
      </c>
      <c r="AJ88" s="467">
        <f>IFERROR(IF('Gantt Proyectos'!AG156&lt;2,$N88*'Gantt Proyectos'!AG156,IF('Gantt Proyectos'!AG156=2,$N88*('Gantt Proyectos'!AG156-1))),0)*$L88*$Q88</f>
        <v>0</v>
      </c>
      <c r="AK88" s="467">
        <f>IFERROR(IF('Gantt Proyectos'!AH156&lt;2,$N88*'Gantt Proyectos'!AH156,IF('Gantt Proyectos'!AH156=2,$N88*('Gantt Proyectos'!AH156-1))),0)*$L88*$Q88</f>
        <v>0</v>
      </c>
      <c r="AL88" s="467">
        <f>IFERROR(IF('Gantt Proyectos'!AI156&lt;2,$N88*'Gantt Proyectos'!AI156,IF('Gantt Proyectos'!AI156=2,$N88*('Gantt Proyectos'!AI156-1))),0)*$L88*$Q88</f>
        <v>0</v>
      </c>
      <c r="AM88" s="467">
        <f>IFERROR(IF('Gantt Proyectos'!AJ156&lt;2,$N88*'Gantt Proyectos'!AJ156,IF('Gantt Proyectos'!AJ156=2,$N88*('Gantt Proyectos'!AJ156-1))),0)*$L88*$Q88</f>
        <v>0</v>
      </c>
      <c r="AN88" s="467">
        <f>IFERROR(IF('Gantt Proyectos'!AK156&lt;2,$N88*'Gantt Proyectos'!AK156,IF('Gantt Proyectos'!AK156=2,$N88*('Gantt Proyectos'!AK156-1))),0)*$L88*$Q88</f>
        <v>0</v>
      </c>
      <c r="AO88" s="467">
        <f>IFERROR(IF('Gantt Proyectos'!AL156&lt;2,$N88*'Gantt Proyectos'!AL156,IF('Gantt Proyectos'!AL156=2,$N88*('Gantt Proyectos'!AL156-1))),0)*$L88*$Q88</f>
        <v>0</v>
      </c>
      <c r="AP88" s="467">
        <f>IFERROR(IF('Gantt Proyectos'!AM156&lt;2,$N88*'Gantt Proyectos'!AM156,IF('Gantt Proyectos'!AM156=2,$N88*('Gantt Proyectos'!AM156-1))),0)*$L88*$Q88</f>
        <v>0</v>
      </c>
      <c r="AQ88" s="468">
        <f>IFERROR(IF('Gantt Proyectos'!AN156&lt;2,$N88*'Gantt Proyectos'!AN156,IF('Gantt Proyectos'!AN156=2,$N88*('Gantt Proyectos'!AN156-1))),0)*$L88*$Q88</f>
        <v>0</v>
      </c>
    </row>
    <row r="89" spans="1:43" ht="15" x14ac:dyDescent="0.2">
      <c r="C89" s="144">
        <f>+'Gantt Proyectos'!C157</f>
        <v>61</v>
      </c>
      <c r="D89" s="145">
        <f>+'Gantt Proyectos'!D157</f>
        <v>0</v>
      </c>
      <c r="E89" s="145">
        <f>+'Gantt Proyectos'!E157</f>
        <v>0</v>
      </c>
      <c r="F89" s="147">
        <f>+'Gantt Proyectos'!F157</f>
        <v>0</v>
      </c>
      <c r="G89" s="145">
        <f>+'Gantt Proyectos'!G157</f>
        <v>0</v>
      </c>
      <c r="H89" s="145">
        <f>+'Gantt Proyectos'!H157</f>
        <v>0</v>
      </c>
      <c r="I89" s="189">
        <v>1</v>
      </c>
      <c r="J89" s="189">
        <f t="shared" si="5"/>
        <v>0</v>
      </c>
      <c r="K89" s="145">
        <f>+'Gantt Proyectos'!I157</f>
        <v>0</v>
      </c>
      <c r="L89" s="120">
        <f>+'Gantt Proyectos'!J157</f>
        <v>0</v>
      </c>
      <c r="M89" s="145">
        <f>+'Gantt Proyectos'!K157</f>
        <v>0</v>
      </c>
      <c r="N89" s="145">
        <f>+'Gantt Proyectos'!L157</f>
        <v>0</v>
      </c>
      <c r="O89" s="145">
        <f>+'Gantt Proyectos'!M157</f>
        <v>0</v>
      </c>
      <c r="P89" s="145">
        <f>+'Gantt Proyectos'!N157</f>
        <v>0</v>
      </c>
      <c r="Q89" s="472">
        <v>1</v>
      </c>
      <c r="R89" s="119">
        <f>+'Gantt Proyectos'!O157</f>
        <v>0</v>
      </c>
      <c r="S89" s="119">
        <f>+'Gantt Proyectos'!P157</f>
        <v>0</v>
      </c>
      <c r="T89" s="145">
        <f>+'Gantt Proyectos'!R157</f>
        <v>0</v>
      </c>
      <c r="U89" s="118">
        <f>+'Gantt Proyectos'!S157</f>
        <v>0</v>
      </c>
      <c r="V89" s="156">
        <f>+'Gantt Proyectos'!T157</f>
        <v>0</v>
      </c>
      <c r="W89" s="156">
        <f>+'Gantt Proyectos'!U157</f>
        <v>0</v>
      </c>
      <c r="X89" s="201">
        <f t="shared" si="6"/>
        <v>0</v>
      </c>
      <c r="Y89" s="121">
        <f>+'Gantt Proyectos'!W157</f>
        <v>0</v>
      </c>
      <c r="Z89" s="122">
        <f>+'Gantt Proyectos'!X157</f>
        <v>0</v>
      </c>
      <c r="AA89" s="122">
        <f>+'Gantt Proyectos'!Y157</f>
        <v>0</v>
      </c>
      <c r="AB89" s="122">
        <f>+'Gantt Proyectos'!Z157</f>
        <v>0</v>
      </c>
      <c r="AC89" s="122">
        <f>+'Gantt Proyectos'!AA157</f>
        <v>0</v>
      </c>
      <c r="AD89" s="122">
        <f>+'Gantt Proyectos'!AB157</f>
        <v>0</v>
      </c>
      <c r="AE89" s="123">
        <f>+'Gantt Proyectos'!AC157</f>
        <v>0</v>
      </c>
      <c r="AF89" s="123">
        <f>+'Gantt Proyectos'!AD157</f>
        <v>0</v>
      </c>
      <c r="AG89" s="124">
        <f>+'Gantt Proyectos'!AE157</f>
        <v>0</v>
      </c>
      <c r="AH89" s="172">
        <v>1</v>
      </c>
      <c r="AI89" s="466">
        <f>IFERROR(IF('Gantt Proyectos'!AF157&lt;2,$N89*'Gantt Proyectos'!AF157,IF('Gantt Proyectos'!AF157=2,$N89*('Gantt Proyectos'!AF157-1))),0)*$L89*$Q89</f>
        <v>0</v>
      </c>
      <c r="AJ89" s="467">
        <f>IFERROR(IF('Gantt Proyectos'!AG157&lt;2,$N89*'Gantt Proyectos'!AG157,IF('Gantt Proyectos'!AG157=2,$N89*('Gantt Proyectos'!AG157-1))),0)*$L89*$Q89</f>
        <v>0</v>
      </c>
      <c r="AK89" s="467">
        <f>IFERROR(IF('Gantt Proyectos'!AH157&lt;2,$N89*'Gantt Proyectos'!AH157,IF('Gantt Proyectos'!AH157=2,$N89*('Gantt Proyectos'!AH157-1))),0)*$L89*$Q89</f>
        <v>0</v>
      </c>
      <c r="AL89" s="467">
        <f>IFERROR(IF('Gantt Proyectos'!AI157&lt;2,$N89*'Gantt Proyectos'!AI157,IF('Gantt Proyectos'!AI157=2,$N89*('Gantt Proyectos'!AI157-1))),0)*$L89*$Q89</f>
        <v>0</v>
      </c>
      <c r="AM89" s="467">
        <f>IFERROR(IF('Gantt Proyectos'!AJ157&lt;2,$N89*'Gantt Proyectos'!AJ157,IF('Gantt Proyectos'!AJ157=2,$N89*('Gantt Proyectos'!AJ157-1))),0)*$L89*$Q89</f>
        <v>0</v>
      </c>
      <c r="AN89" s="467">
        <f>IFERROR(IF('Gantt Proyectos'!AK157&lt;2,$N89*'Gantt Proyectos'!AK157,IF('Gantt Proyectos'!AK157=2,$N89*('Gantt Proyectos'!AK157-1))),0)*$L89*$Q89</f>
        <v>0</v>
      </c>
      <c r="AO89" s="467">
        <f>IFERROR(IF('Gantt Proyectos'!AL157&lt;2,$N89*'Gantt Proyectos'!AL157,IF('Gantt Proyectos'!AL157=2,$N89*('Gantt Proyectos'!AL157-1))),0)*$L89*$Q89</f>
        <v>0</v>
      </c>
      <c r="AP89" s="467">
        <f>IFERROR(IF('Gantt Proyectos'!AM157&lt;2,$N89*'Gantt Proyectos'!AM157,IF('Gantt Proyectos'!AM157=2,$N89*('Gantt Proyectos'!AM157-1))),0)*$L89*$Q89</f>
        <v>0</v>
      </c>
      <c r="AQ89" s="468">
        <f>IFERROR(IF('Gantt Proyectos'!AN157&lt;2,$N89*'Gantt Proyectos'!AN157,IF('Gantt Proyectos'!AN157=2,$N89*('Gantt Proyectos'!AN157-1))),0)*$L89*$Q89</f>
        <v>0</v>
      </c>
    </row>
    <row r="90" spans="1:43" ht="15" x14ac:dyDescent="0.2">
      <c r="C90" s="144">
        <f>+'Gantt Proyectos'!C158</f>
        <v>62</v>
      </c>
      <c r="D90" s="145">
        <f>+'Gantt Proyectos'!D158</f>
        <v>0</v>
      </c>
      <c r="E90" s="145">
        <f>+'Gantt Proyectos'!E158</f>
        <v>0</v>
      </c>
      <c r="F90" s="147">
        <f>+'Gantt Proyectos'!F158</f>
        <v>0</v>
      </c>
      <c r="G90" s="145">
        <f>+'Gantt Proyectos'!G158</f>
        <v>0</v>
      </c>
      <c r="H90" s="145">
        <f>+'Gantt Proyectos'!H158</f>
        <v>0</v>
      </c>
      <c r="I90" s="189">
        <v>1</v>
      </c>
      <c r="J90" s="189">
        <f t="shared" si="5"/>
        <v>0</v>
      </c>
      <c r="K90" s="145">
        <f>+'Gantt Proyectos'!I158</f>
        <v>0</v>
      </c>
      <c r="L90" s="120">
        <f>+'Gantt Proyectos'!J158</f>
        <v>0</v>
      </c>
      <c r="M90" s="145">
        <f>+'Gantt Proyectos'!K158</f>
        <v>0</v>
      </c>
      <c r="N90" s="145">
        <f>+'Gantt Proyectos'!L158</f>
        <v>0</v>
      </c>
      <c r="O90" s="145">
        <f>+'Gantt Proyectos'!M158</f>
        <v>0</v>
      </c>
      <c r="P90" s="145">
        <f>+'Gantt Proyectos'!N158</f>
        <v>0</v>
      </c>
      <c r="Q90" s="472">
        <v>1</v>
      </c>
      <c r="R90" s="119">
        <f>+'Gantt Proyectos'!O158</f>
        <v>0</v>
      </c>
      <c r="S90" s="119">
        <f>+'Gantt Proyectos'!P158</f>
        <v>0</v>
      </c>
      <c r="T90" s="145">
        <f>+'Gantt Proyectos'!R158</f>
        <v>0</v>
      </c>
      <c r="U90" s="118">
        <f>+'Gantt Proyectos'!S158</f>
        <v>0</v>
      </c>
      <c r="V90" s="156">
        <f>+'Gantt Proyectos'!T158</f>
        <v>0</v>
      </c>
      <c r="W90" s="156">
        <f>+'Gantt Proyectos'!U158</f>
        <v>0</v>
      </c>
      <c r="X90" s="201">
        <f t="shared" si="6"/>
        <v>0</v>
      </c>
      <c r="Y90" s="121">
        <f>+'Gantt Proyectos'!W158</f>
        <v>0</v>
      </c>
      <c r="Z90" s="122">
        <f>+'Gantt Proyectos'!X158</f>
        <v>0</v>
      </c>
      <c r="AA90" s="122">
        <f>+'Gantt Proyectos'!Y158</f>
        <v>0</v>
      </c>
      <c r="AB90" s="122">
        <f>+'Gantt Proyectos'!Z158</f>
        <v>0</v>
      </c>
      <c r="AC90" s="122">
        <f>+'Gantt Proyectos'!AA158</f>
        <v>0</v>
      </c>
      <c r="AD90" s="122">
        <f>+'Gantt Proyectos'!AB158</f>
        <v>0</v>
      </c>
      <c r="AE90" s="123">
        <f>+'Gantt Proyectos'!AC158</f>
        <v>0</v>
      </c>
      <c r="AF90" s="123">
        <f>+'Gantt Proyectos'!AD158</f>
        <v>0</v>
      </c>
      <c r="AG90" s="124">
        <f>+'Gantt Proyectos'!AE158</f>
        <v>0</v>
      </c>
      <c r="AH90" s="172">
        <v>1</v>
      </c>
      <c r="AI90" s="466">
        <f>IFERROR(IF('Gantt Proyectos'!AF158&lt;2,$N90*'Gantt Proyectos'!AF158,IF('Gantt Proyectos'!AF158=2,$N90*('Gantt Proyectos'!AF158-1))),0)*$L90*$Q90</f>
        <v>0</v>
      </c>
      <c r="AJ90" s="467">
        <f>IFERROR(IF('Gantt Proyectos'!AG158&lt;2,$N90*'Gantt Proyectos'!AG158,IF('Gantt Proyectos'!AG158=2,$N90*('Gantt Proyectos'!AG158-1))),0)*$L90*$Q90</f>
        <v>0</v>
      </c>
      <c r="AK90" s="467">
        <f>IFERROR(IF('Gantt Proyectos'!AH158&lt;2,$N90*'Gantt Proyectos'!AH158,IF('Gantt Proyectos'!AH158=2,$N90*('Gantt Proyectos'!AH158-1))),0)*$L90*$Q90</f>
        <v>0</v>
      </c>
      <c r="AL90" s="467">
        <f>IFERROR(IF('Gantt Proyectos'!AI158&lt;2,$N90*'Gantt Proyectos'!AI158,IF('Gantt Proyectos'!AI158=2,$N90*('Gantt Proyectos'!AI158-1))),0)*$L90*$Q90</f>
        <v>0</v>
      </c>
      <c r="AM90" s="467">
        <f>IFERROR(IF('Gantt Proyectos'!AJ158&lt;2,$N90*'Gantt Proyectos'!AJ158,IF('Gantt Proyectos'!AJ158=2,$N90*('Gantt Proyectos'!AJ158-1))),0)*$L90*$Q90</f>
        <v>0</v>
      </c>
      <c r="AN90" s="467">
        <f>IFERROR(IF('Gantt Proyectos'!AK158&lt;2,$N90*'Gantt Proyectos'!AK158,IF('Gantt Proyectos'!AK158=2,$N90*('Gantt Proyectos'!AK158-1))),0)*$L90*$Q90</f>
        <v>0</v>
      </c>
      <c r="AO90" s="467">
        <f>IFERROR(IF('Gantt Proyectos'!AL158&lt;2,$N90*'Gantt Proyectos'!AL158,IF('Gantt Proyectos'!AL158=2,$N90*('Gantt Proyectos'!AL158-1))),0)*$L90*$Q90</f>
        <v>0</v>
      </c>
      <c r="AP90" s="467">
        <f>IFERROR(IF('Gantt Proyectos'!AM158&lt;2,$N90*'Gantt Proyectos'!AM158,IF('Gantt Proyectos'!AM158=2,$N90*('Gantt Proyectos'!AM158-1))),0)*$L90*$Q90</f>
        <v>0</v>
      </c>
      <c r="AQ90" s="468">
        <f>IFERROR(IF('Gantt Proyectos'!AN158&lt;2,$N90*'Gantt Proyectos'!AN158,IF('Gantt Proyectos'!AN158=2,$N90*('Gantt Proyectos'!AN158-1))),0)*$L90*$Q90</f>
        <v>0</v>
      </c>
    </row>
    <row r="91" spans="1:43" ht="15" x14ac:dyDescent="0.2">
      <c r="C91" s="144">
        <f>+'Gantt Proyectos'!C159</f>
        <v>63</v>
      </c>
      <c r="D91" s="145">
        <f>+'Gantt Proyectos'!D159</f>
        <v>0</v>
      </c>
      <c r="E91" s="145">
        <f>+'Gantt Proyectos'!E159</f>
        <v>0</v>
      </c>
      <c r="F91" s="147">
        <f>+'Gantt Proyectos'!F159</f>
        <v>0</v>
      </c>
      <c r="G91" s="145">
        <f>+'Gantt Proyectos'!G159</f>
        <v>0</v>
      </c>
      <c r="H91" s="145">
        <f>+'Gantt Proyectos'!H159</f>
        <v>0</v>
      </c>
      <c r="I91" s="189">
        <v>1</v>
      </c>
      <c r="J91" s="189">
        <f t="shared" si="5"/>
        <v>0</v>
      </c>
      <c r="K91" s="145">
        <f>+'Gantt Proyectos'!I159</f>
        <v>0</v>
      </c>
      <c r="L91" s="120">
        <f>+'Gantt Proyectos'!J159</f>
        <v>0</v>
      </c>
      <c r="M91" s="145">
        <f>+'Gantt Proyectos'!K159</f>
        <v>0</v>
      </c>
      <c r="N91" s="145">
        <f>+'Gantt Proyectos'!L159</f>
        <v>0</v>
      </c>
      <c r="O91" s="145">
        <f>+'Gantt Proyectos'!M159</f>
        <v>0</v>
      </c>
      <c r="P91" s="145">
        <f>+'Gantt Proyectos'!N159</f>
        <v>0</v>
      </c>
      <c r="Q91" s="472">
        <v>1</v>
      </c>
      <c r="R91" s="119">
        <f>+'Gantt Proyectos'!O159</f>
        <v>0</v>
      </c>
      <c r="S91" s="119">
        <f>+'Gantt Proyectos'!P159</f>
        <v>0</v>
      </c>
      <c r="T91" s="145">
        <f>+'Gantt Proyectos'!R159</f>
        <v>0</v>
      </c>
      <c r="U91" s="118">
        <f>+'Gantt Proyectos'!S159</f>
        <v>0</v>
      </c>
      <c r="V91" s="156">
        <f>+'Gantt Proyectos'!T159</f>
        <v>0</v>
      </c>
      <c r="W91" s="156">
        <f>+'Gantt Proyectos'!U159</f>
        <v>0</v>
      </c>
      <c r="X91" s="201">
        <f t="shared" si="6"/>
        <v>0</v>
      </c>
      <c r="Y91" s="121">
        <f>+'Gantt Proyectos'!W159</f>
        <v>0</v>
      </c>
      <c r="Z91" s="122">
        <f>+'Gantt Proyectos'!X159</f>
        <v>0</v>
      </c>
      <c r="AA91" s="122">
        <f>+'Gantt Proyectos'!Y159</f>
        <v>0</v>
      </c>
      <c r="AB91" s="122">
        <f>+'Gantt Proyectos'!Z159</f>
        <v>0</v>
      </c>
      <c r="AC91" s="122">
        <f>+'Gantt Proyectos'!AA159</f>
        <v>0</v>
      </c>
      <c r="AD91" s="122">
        <f>+'Gantt Proyectos'!AB159</f>
        <v>0</v>
      </c>
      <c r="AE91" s="123">
        <f>+'Gantt Proyectos'!AC159</f>
        <v>0</v>
      </c>
      <c r="AF91" s="123">
        <f>+'Gantt Proyectos'!AD159</f>
        <v>0</v>
      </c>
      <c r="AG91" s="124">
        <f>+'Gantt Proyectos'!AE159</f>
        <v>0</v>
      </c>
      <c r="AH91" s="172">
        <v>1</v>
      </c>
      <c r="AI91" s="466">
        <f>IFERROR(IF('Gantt Proyectos'!AF159&lt;2,$N91*'Gantt Proyectos'!AF159,IF('Gantt Proyectos'!AF159=2,$N91*('Gantt Proyectos'!AF159-1))),0)*$L91*$Q91</f>
        <v>0</v>
      </c>
      <c r="AJ91" s="467">
        <f>IFERROR(IF('Gantt Proyectos'!AG159&lt;2,$N91*'Gantt Proyectos'!AG159,IF('Gantt Proyectos'!AG159=2,$N91*('Gantt Proyectos'!AG159-1))),0)*$L91*$Q91</f>
        <v>0</v>
      </c>
      <c r="AK91" s="467">
        <f>IFERROR(IF('Gantt Proyectos'!AH159&lt;2,$N91*'Gantt Proyectos'!AH159,IF('Gantt Proyectos'!AH159=2,$N91*('Gantt Proyectos'!AH159-1))),0)*$L91*$Q91</f>
        <v>0</v>
      </c>
      <c r="AL91" s="467">
        <f>IFERROR(IF('Gantt Proyectos'!AI159&lt;2,$N91*'Gantt Proyectos'!AI159,IF('Gantt Proyectos'!AI159=2,$N91*('Gantt Proyectos'!AI159-1))),0)*$L91*$Q91</f>
        <v>0</v>
      </c>
      <c r="AM91" s="467">
        <f>IFERROR(IF('Gantt Proyectos'!AJ159&lt;2,$N91*'Gantt Proyectos'!AJ159,IF('Gantt Proyectos'!AJ159=2,$N91*('Gantt Proyectos'!AJ159-1))),0)*$L91*$Q91</f>
        <v>0</v>
      </c>
      <c r="AN91" s="467">
        <f>IFERROR(IF('Gantt Proyectos'!AK159&lt;2,$N91*'Gantt Proyectos'!AK159,IF('Gantt Proyectos'!AK159=2,$N91*('Gantt Proyectos'!AK159-1))),0)*$L91*$Q91</f>
        <v>0</v>
      </c>
      <c r="AO91" s="467">
        <f>IFERROR(IF('Gantt Proyectos'!AL159&lt;2,$N91*'Gantt Proyectos'!AL159,IF('Gantt Proyectos'!AL159=2,$N91*('Gantt Proyectos'!AL159-1))),0)*$L91*$Q91</f>
        <v>0</v>
      </c>
      <c r="AP91" s="467">
        <f>IFERROR(IF('Gantt Proyectos'!AM159&lt;2,$N91*'Gantt Proyectos'!AM159,IF('Gantt Proyectos'!AM159=2,$N91*('Gantt Proyectos'!AM159-1))),0)*$L91*$Q91</f>
        <v>0</v>
      </c>
      <c r="AQ91" s="468">
        <f>IFERROR(IF('Gantt Proyectos'!AN159&lt;2,$N91*'Gantt Proyectos'!AN159,IF('Gantt Proyectos'!AN159=2,$N91*('Gantt Proyectos'!AN159-1))),0)*$L91*$Q91</f>
        <v>0</v>
      </c>
    </row>
    <row r="92" spans="1:43" ht="15" x14ac:dyDescent="0.2">
      <c r="C92" s="144">
        <f>+'Gantt Proyectos'!C160</f>
        <v>64</v>
      </c>
      <c r="D92" s="145">
        <f>+'Gantt Proyectos'!D160</f>
        <v>0</v>
      </c>
      <c r="E92" s="145">
        <f>+'Gantt Proyectos'!E160</f>
        <v>0</v>
      </c>
      <c r="F92" s="147">
        <f>+'Gantt Proyectos'!F160</f>
        <v>0</v>
      </c>
      <c r="G92" s="145">
        <f>+'Gantt Proyectos'!G160</f>
        <v>0</v>
      </c>
      <c r="H92" s="145">
        <f>+'Gantt Proyectos'!H160</f>
        <v>0</v>
      </c>
      <c r="I92" s="189">
        <v>1</v>
      </c>
      <c r="J92" s="189">
        <f t="shared" si="5"/>
        <v>0</v>
      </c>
      <c r="K92" s="145">
        <f>+'Gantt Proyectos'!I160</f>
        <v>0</v>
      </c>
      <c r="L92" s="120">
        <f>+'Gantt Proyectos'!J160</f>
        <v>0</v>
      </c>
      <c r="M92" s="145">
        <f>+'Gantt Proyectos'!K160</f>
        <v>0</v>
      </c>
      <c r="N92" s="145">
        <f>+'Gantt Proyectos'!L160</f>
        <v>0</v>
      </c>
      <c r="O92" s="145">
        <f>+'Gantt Proyectos'!M160</f>
        <v>0</v>
      </c>
      <c r="P92" s="145">
        <f>+'Gantt Proyectos'!N160</f>
        <v>0</v>
      </c>
      <c r="Q92" s="472">
        <v>1</v>
      </c>
      <c r="R92" s="119">
        <f>+'Gantt Proyectos'!O160</f>
        <v>0</v>
      </c>
      <c r="S92" s="119">
        <f>+'Gantt Proyectos'!P160</f>
        <v>0</v>
      </c>
      <c r="T92" s="145">
        <f>+'Gantt Proyectos'!R160</f>
        <v>0</v>
      </c>
      <c r="U92" s="118">
        <f>+'Gantt Proyectos'!S160</f>
        <v>0</v>
      </c>
      <c r="V92" s="156">
        <f>+'Gantt Proyectos'!T160</f>
        <v>0</v>
      </c>
      <c r="W92" s="156">
        <f>+'Gantt Proyectos'!U160</f>
        <v>0</v>
      </c>
      <c r="X92" s="201">
        <f t="shared" si="6"/>
        <v>0</v>
      </c>
      <c r="Y92" s="121">
        <f>+'Gantt Proyectos'!W160</f>
        <v>0</v>
      </c>
      <c r="Z92" s="122">
        <f>+'Gantt Proyectos'!X160</f>
        <v>0</v>
      </c>
      <c r="AA92" s="122">
        <f>+'Gantt Proyectos'!Y160</f>
        <v>0</v>
      </c>
      <c r="AB92" s="122">
        <f>+'Gantt Proyectos'!Z160</f>
        <v>0</v>
      </c>
      <c r="AC92" s="122">
        <f>+'Gantt Proyectos'!AA160</f>
        <v>0</v>
      </c>
      <c r="AD92" s="122">
        <f>+'Gantt Proyectos'!AB160</f>
        <v>0</v>
      </c>
      <c r="AE92" s="123">
        <f>+'Gantt Proyectos'!AC160</f>
        <v>0</v>
      </c>
      <c r="AF92" s="123">
        <f>+'Gantt Proyectos'!AD160</f>
        <v>0</v>
      </c>
      <c r="AG92" s="124">
        <f>+'Gantt Proyectos'!AE160</f>
        <v>0</v>
      </c>
      <c r="AH92" s="172">
        <v>1</v>
      </c>
      <c r="AI92" s="466">
        <f>IFERROR(IF('Gantt Proyectos'!AF160&lt;2,$N92*'Gantt Proyectos'!AF160,IF('Gantt Proyectos'!AF160=2,$N92*('Gantt Proyectos'!AF160-1))),0)*$L92*$Q92</f>
        <v>0</v>
      </c>
      <c r="AJ92" s="467">
        <f>IFERROR(IF('Gantt Proyectos'!AG160&lt;2,$N92*'Gantt Proyectos'!AG160,IF('Gantt Proyectos'!AG160=2,$N92*('Gantt Proyectos'!AG160-1))),0)*$L92*$Q92</f>
        <v>0</v>
      </c>
      <c r="AK92" s="467">
        <f>IFERROR(IF('Gantt Proyectos'!AH160&lt;2,$N92*'Gantt Proyectos'!AH160,IF('Gantt Proyectos'!AH160=2,$N92*('Gantt Proyectos'!AH160-1))),0)*$L92*$Q92</f>
        <v>0</v>
      </c>
      <c r="AL92" s="467">
        <f>IFERROR(IF('Gantt Proyectos'!AI160&lt;2,$N92*'Gantt Proyectos'!AI160,IF('Gantt Proyectos'!AI160=2,$N92*('Gantt Proyectos'!AI160-1))),0)*$L92*$Q92</f>
        <v>0</v>
      </c>
      <c r="AM92" s="467">
        <f>IFERROR(IF('Gantt Proyectos'!AJ160&lt;2,$N92*'Gantt Proyectos'!AJ160,IF('Gantt Proyectos'!AJ160=2,$N92*('Gantt Proyectos'!AJ160-1))),0)*$L92*$Q92</f>
        <v>0</v>
      </c>
      <c r="AN92" s="467">
        <f>IFERROR(IF('Gantt Proyectos'!AK160&lt;2,$N92*'Gantt Proyectos'!AK160,IF('Gantt Proyectos'!AK160=2,$N92*('Gantt Proyectos'!AK160-1))),0)*$L92*$Q92</f>
        <v>0</v>
      </c>
      <c r="AO92" s="467">
        <f>IFERROR(IF('Gantt Proyectos'!AL160&lt;2,$N92*'Gantt Proyectos'!AL160,IF('Gantt Proyectos'!AL160=2,$N92*('Gantt Proyectos'!AL160-1))),0)*$L92*$Q92</f>
        <v>0</v>
      </c>
      <c r="AP92" s="467">
        <f>IFERROR(IF('Gantt Proyectos'!AM160&lt;2,$N92*'Gantt Proyectos'!AM160,IF('Gantt Proyectos'!AM160=2,$N92*('Gantt Proyectos'!AM160-1))),0)*$L92*$Q92</f>
        <v>0</v>
      </c>
      <c r="AQ92" s="468">
        <f>IFERROR(IF('Gantt Proyectos'!AN160&lt;2,$N92*'Gantt Proyectos'!AN160,IF('Gantt Proyectos'!AN160=2,$N92*('Gantt Proyectos'!AN160-1))),0)*$L92*$Q92</f>
        <v>0</v>
      </c>
    </row>
    <row r="93" spans="1:43" ht="15" x14ac:dyDescent="0.2">
      <c r="C93" s="144">
        <f>+'Gantt Proyectos'!C161</f>
        <v>65</v>
      </c>
      <c r="D93" s="145">
        <f>+'Gantt Proyectos'!D161</f>
        <v>0</v>
      </c>
      <c r="E93" s="145">
        <f>+'Gantt Proyectos'!E161</f>
        <v>0</v>
      </c>
      <c r="F93" s="147">
        <f>+'Gantt Proyectos'!F161</f>
        <v>0</v>
      </c>
      <c r="G93" s="145">
        <f>+'Gantt Proyectos'!G161</f>
        <v>0</v>
      </c>
      <c r="H93" s="145">
        <f>+'Gantt Proyectos'!H161</f>
        <v>0</v>
      </c>
      <c r="I93" s="189">
        <v>1</v>
      </c>
      <c r="J93" s="189">
        <f t="shared" si="5"/>
        <v>0</v>
      </c>
      <c r="K93" s="145">
        <f>+'Gantt Proyectos'!I161</f>
        <v>0</v>
      </c>
      <c r="L93" s="120">
        <f>+'Gantt Proyectos'!J161</f>
        <v>0</v>
      </c>
      <c r="M93" s="145">
        <f>+'Gantt Proyectos'!K161</f>
        <v>0</v>
      </c>
      <c r="N93" s="145">
        <f>+'Gantt Proyectos'!L161</f>
        <v>0</v>
      </c>
      <c r="O93" s="145">
        <f>+'Gantt Proyectos'!M161</f>
        <v>0</v>
      </c>
      <c r="P93" s="145">
        <f>+'Gantt Proyectos'!N161</f>
        <v>0</v>
      </c>
      <c r="Q93" s="472">
        <v>1</v>
      </c>
      <c r="R93" s="119">
        <f>+'Gantt Proyectos'!O161</f>
        <v>0</v>
      </c>
      <c r="S93" s="119">
        <f>+'Gantt Proyectos'!P161</f>
        <v>0</v>
      </c>
      <c r="T93" s="145">
        <f>+'Gantt Proyectos'!R161</f>
        <v>0</v>
      </c>
      <c r="U93" s="118">
        <f>+'Gantt Proyectos'!S161</f>
        <v>0</v>
      </c>
      <c r="V93" s="156">
        <f>+'Gantt Proyectos'!T161</f>
        <v>0</v>
      </c>
      <c r="W93" s="156">
        <f>+'Gantt Proyectos'!U161</f>
        <v>0</v>
      </c>
      <c r="X93" s="201">
        <f t="shared" si="6"/>
        <v>0</v>
      </c>
      <c r="Y93" s="121">
        <f>+'Gantt Proyectos'!W161</f>
        <v>0</v>
      </c>
      <c r="Z93" s="122">
        <f>+'Gantt Proyectos'!X161</f>
        <v>0</v>
      </c>
      <c r="AA93" s="122">
        <f>+'Gantt Proyectos'!Y161</f>
        <v>0</v>
      </c>
      <c r="AB93" s="122">
        <f>+'Gantt Proyectos'!Z161</f>
        <v>0</v>
      </c>
      <c r="AC93" s="122">
        <f>+'Gantt Proyectos'!AA161</f>
        <v>0</v>
      </c>
      <c r="AD93" s="122">
        <f>+'Gantt Proyectos'!AB161</f>
        <v>0</v>
      </c>
      <c r="AE93" s="123">
        <f>+'Gantt Proyectos'!AC161</f>
        <v>0</v>
      </c>
      <c r="AF93" s="123">
        <f>+'Gantt Proyectos'!AD161</f>
        <v>0</v>
      </c>
      <c r="AG93" s="124">
        <f>+'Gantt Proyectos'!AE161</f>
        <v>0</v>
      </c>
      <c r="AH93" s="172">
        <v>1</v>
      </c>
      <c r="AI93" s="466">
        <f>IFERROR(IF('Gantt Proyectos'!AF161&lt;2,$N93*'Gantt Proyectos'!AF161,IF('Gantt Proyectos'!AF161=2,$N93*('Gantt Proyectos'!AF161-1))),0)*$L93*$Q93</f>
        <v>0</v>
      </c>
      <c r="AJ93" s="467">
        <f>IFERROR(IF('Gantt Proyectos'!AG161&lt;2,$N93*'Gantt Proyectos'!AG161,IF('Gantt Proyectos'!AG161=2,$N93*('Gantt Proyectos'!AG161-1))),0)*$L93*$Q93</f>
        <v>0</v>
      </c>
      <c r="AK93" s="467">
        <f>IFERROR(IF('Gantt Proyectos'!AH161&lt;2,$N93*'Gantt Proyectos'!AH161,IF('Gantt Proyectos'!AH161=2,$N93*('Gantt Proyectos'!AH161-1))),0)*$L93*$Q93</f>
        <v>0</v>
      </c>
      <c r="AL93" s="467">
        <f>IFERROR(IF('Gantt Proyectos'!AI161&lt;2,$N93*'Gantt Proyectos'!AI161,IF('Gantt Proyectos'!AI161=2,$N93*('Gantt Proyectos'!AI161-1))),0)*$L93*$Q93</f>
        <v>0</v>
      </c>
      <c r="AM93" s="467">
        <f>IFERROR(IF('Gantt Proyectos'!AJ161&lt;2,$N93*'Gantt Proyectos'!AJ161,IF('Gantt Proyectos'!AJ161=2,$N93*('Gantt Proyectos'!AJ161-1))),0)*$L93*$Q93</f>
        <v>0</v>
      </c>
      <c r="AN93" s="467">
        <f>IFERROR(IF('Gantt Proyectos'!AK161&lt;2,$N93*'Gantt Proyectos'!AK161,IF('Gantt Proyectos'!AK161=2,$N93*('Gantt Proyectos'!AK161-1))),0)*$L93*$Q93</f>
        <v>0</v>
      </c>
      <c r="AO93" s="467">
        <f>IFERROR(IF('Gantt Proyectos'!AL161&lt;2,$N93*'Gantt Proyectos'!AL161,IF('Gantt Proyectos'!AL161=2,$N93*('Gantt Proyectos'!AL161-1))),0)*$L93*$Q93</f>
        <v>0</v>
      </c>
      <c r="AP93" s="467">
        <f>IFERROR(IF('Gantt Proyectos'!AM161&lt;2,$N93*'Gantt Proyectos'!AM161,IF('Gantt Proyectos'!AM161=2,$N93*('Gantt Proyectos'!AM161-1))),0)*$L93*$Q93</f>
        <v>0</v>
      </c>
      <c r="AQ93" s="468">
        <f>IFERROR(IF('Gantt Proyectos'!AN161&lt;2,$N93*'Gantt Proyectos'!AN161,IF('Gantt Proyectos'!AN161=2,$N93*('Gantt Proyectos'!AN161-1))),0)*$L93*$Q93</f>
        <v>0</v>
      </c>
    </row>
    <row r="94" spans="1:43" ht="15" x14ac:dyDescent="0.2">
      <c r="C94" s="144">
        <f>+'Gantt Proyectos'!C162</f>
        <v>66</v>
      </c>
      <c r="D94" s="145">
        <f>+'Gantt Proyectos'!D162</f>
        <v>0</v>
      </c>
      <c r="E94" s="145">
        <f>+'Gantt Proyectos'!E162</f>
        <v>0</v>
      </c>
      <c r="F94" s="147">
        <f>+'Gantt Proyectos'!F162</f>
        <v>0</v>
      </c>
      <c r="G94" s="145">
        <f>+'Gantt Proyectos'!G162</f>
        <v>0</v>
      </c>
      <c r="H94" s="145">
        <f>+'Gantt Proyectos'!H162</f>
        <v>0</v>
      </c>
      <c r="I94" s="189">
        <v>1</v>
      </c>
      <c r="J94" s="189">
        <f t="shared" ref="J94:J157" si="8">1-I94</f>
        <v>0</v>
      </c>
      <c r="K94" s="145">
        <f>+'Gantt Proyectos'!I162</f>
        <v>0</v>
      </c>
      <c r="L94" s="120">
        <f>+'Gantt Proyectos'!J162</f>
        <v>0</v>
      </c>
      <c r="M94" s="145">
        <f>+'Gantt Proyectos'!K162</f>
        <v>0</v>
      </c>
      <c r="N94" s="145">
        <f>+'Gantt Proyectos'!L162</f>
        <v>0</v>
      </c>
      <c r="O94" s="145">
        <f>+'Gantt Proyectos'!M162</f>
        <v>0</v>
      </c>
      <c r="P94" s="145">
        <f>+'Gantt Proyectos'!N162</f>
        <v>0</v>
      </c>
      <c r="Q94" s="472">
        <v>1</v>
      </c>
      <c r="R94" s="119">
        <f>+'Gantt Proyectos'!O162</f>
        <v>0</v>
      </c>
      <c r="S94" s="119">
        <f>+'Gantt Proyectos'!P162</f>
        <v>0</v>
      </c>
      <c r="T94" s="145">
        <f>+'Gantt Proyectos'!R162</f>
        <v>0</v>
      </c>
      <c r="U94" s="118">
        <f>+'Gantt Proyectos'!S162</f>
        <v>0</v>
      </c>
      <c r="V94" s="156">
        <f>+'Gantt Proyectos'!T162</f>
        <v>0</v>
      </c>
      <c r="W94" s="156">
        <f>+'Gantt Proyectos'!U162</f>
        <v>0</v>
      </c>
      <c r="X94" s="201">
        <f t="shared" ref="X94:X157" si="9">+ROUNDUP(_xlfn.DAYS(W94,V94)/30.5,0)</f>
        <v>0</v>
      </c>
      <c r="Y94" s="121">
        <f>+'Gantt Proyectos'!W162</f>
        <v>0</v>
      </c>
      <c r="Z94" s="122">
        <f>+'Gantt Proyectos'!X162</f>
        <v>0</v>
      </c>
      <c r="AA94" s="122">
        <f>+'Gantt Proyectos'!Y162</f>
        <v>0</v>
      </c>
      <c r="AB94" s="122">
        <f>+'Gantt Proyectos'!Z162</f>
        <v>0</v>
      </c>
      <c r="AC94" s="122">
        <f>+'Gantt Proyectos'!AA162</f>
        <v>0</v>
      </c>
      <c r="AD94" s="122">
        <f>+'Gantt Proyectos'!AB162</f>
        <v>0</v>
      </c>
      <c r="AE94" s="123">
        <f>+'Gantt Proyectos'!AC162</f>
        <v>0</v>
      </c>
      <c r="AF94" s="123">
        <f>+'Gantt Proyectos'!AD162</f>
        <v>0</v>
      </c>
      <c r="AG94" s="124">
        <f>+'Gantt Proyectos'!AE162</f>
        <v>0</v>
      </c>
      <c r="AH94" s="172">
        <v>1</v>
      </c>
      <c r="AI94" s="466">
        <f>IFERROR(IF('Gantt Proyectos'!AF162&lt;2,$N94*'Gantt Proyectos'!AF162,IF('Gantt Proyectos'!AF162=2,$N94*('Gantt Proyectos'!AF162-1))),0)*$L94*$Q94</f>
        <v>0</v>
      </c>
      <c r="AJ94" s="467">
        <f>IFERROR(IF('Gantt Proyectos'!AG162&lt;2,$N94*'Gantt Proyectos'!AG162,IF('Gantt Proyectos'!AG162=2,$N94*('Gantt Proyectos'!AG162-1))),0)*$L94*$Q94</f>
        <v>0</v>
      </c>
      <c r="AK94" s="467">
        <f>IFERROR(IF('Gantt Proyectos'!AH162&lt;2,$N94*'Gantt Proyectos'!AH162,IF('Gantt Proyectos'!AH162=2,$N94*('Gantt Proyectos'!AH162-1))),0)*$L94*$Q94</f>
        <v>0</v>
      </c>
      <c r="AL94" s="467">
        <f>IFERROR(IF('Gantt Proyectos'!AI162&lt;2,$N94*'Gantt Proyectos'!AI162,IF('Gantt Proyectos'!AI162=2,$N94*('Gantt Proyectos'!AI162-1))),0)*$L94*$Q94</f>
        <v>0</v>
      </c>
      <c r="AM94" s="467">
        <f>IFERROR(IF('Gantt Proyectos'!AJ162&lt;2,$N94*'Gantt Proyectos'!AJ162,IF('Gantt Proyectos'!AJ162=2,$N94*('Gantt Proyectos'!AJ162-1))),0)*$L94*$Q94</f>
        <v>0</v>
      </c>
      <c r="AN94" s="467">
        <f>IFERROR(IF('Gantt Proyectos'!AK162&lt;2,$N94*'Gantt Proyectos'!AK162,IF('Gantt Proyectos'!AK162=2,$N94*('Gantt Proyectos'!AK162-1))),0)*$L94*$Q94</f>
        <v>0</v>
      </c>
      <c r="AO94" s="467">
        <f>IFERROR(IF('Gantt Proyectos'!AL162&lt;2,$N94*'Gantt Proyectos'!AL162,IF('Gantt Proyectos'!AL162=2,$N94*('Gantt Proyectos'!AL162-1))),0)*$L94*$Q94</f>
        <v>0</v>
      </c>
      <c r="AP94" s="467">
        <f>IFERROR(IF('Gantt Proyectos'!AM162&lt;2,$N94*'Gantt Proyectos'!AM162,IF('Gantt Proyectos'!AM162=2,$N94*('Gantt Proyectos'!AM162-1))),0)*$L94*$Q94</f>
        <v>0</v>
      </c>
      <c r="AQ94" s="468">
        <f>IFERROR(IF('Gantt Proyectos'!AN162&lt;2,$N94*'Gantt Proyectos'!AN162,IF('Gantt Proyectos'!AN162=2,$N94*('Gantt Proyectos'!AN162-1))),0)*$L94*$Q94</f>
        <v>0</v>
      </c>
    </row>
    <row r="95" spans="1:43" ht="15" x14ac:dyDescent="0.2">
      <c r="C95" s="144">
        <f>+'Gantt Proyectos'!C163</f>
        <v>67</v>
      </c>
      <c r="D95" s="145">
        <f>+'Gantt Proyectos'!D163</f>
        <v>0</v>
      </c>
      <c r="E95" s="145">
        <f>+'Gantt Proyectos'!E163</f>
        <v>0</v>
      </c>
      <c r="F95" s="147">
        <f>+'Gantt Proyectos'!F163</f>
        <v>0</v>
      </c>
      <c r="G95" s="145">
        <f>+'Gantt Proyectos'!G163</f>
        <v>0</v>
      </c>
      <c r="H95" s="145">
        <f>+'Gantt Proyectos'!H163</f>
        <v>0</v>
      </c>
      <c r="I95" s="189">
        <v>1</v>
      </c>
      <c r="J95" s="189">
        <f t="shared" si="8"/>
        <v>0</v>
      </c>
      <c r="K95" s="145">
        <f>+'Gantt Proyectos'!I163</f>
        <v>0</v>
      </c>
      <c r="L95" s="120">
        <f>+'Gantt Proyectos'!J163</f>
        <v>0</v>
      </c>
      <c r="M95" s="145">
        <f>+'Gantt Proyectos'!K163</f>
        <v>0</v>
      </c>
      <c r="N95" s="145">
        <f>+'Gantt Proyectos'!L163</f>
        <v>0</v>
      </c>
      <c r="O95" s="145">
        <f>+'Gantt Proyectos'!M163</f>
        <v>0</v>
      </c>
      <c r="P95" s="145">
        <f>+'Gantt Proyectos'!N163</f>
        <v>0</v>
      </c>
      <c r="Q95" s="472">
        <v>1</v>
      </c>
      <c r="R95" s="119">
        <f>+'Gantt Proyectos'!O163</f>
        <v>0</v>
      </c>
      <c r="S95" s="119">
        <f>+'Gantt Proyectos'!P163</f>
        <v>0</v>
      </c>
      <c r="T95" s="145">
        <f>+'Gantt Proyectos'!R163</f>
        <v>0</v>
      </c>
      <c r="U95" s="118">
        <f>+'Gantt Proyectos'!S163</f>
        <v>0</v>
      </c>
      <c r="V95" s="156">
        <f>+'Gantt Proyectos'!T163</f>
        <v>0</v>
      </c>
      <c r="W95" s="156">
        <f>+'Gantt Proyectos'!U163</f>
        <v>0</v>
      </c>
      <c r="X95" s="201">
        <f t="shared" si="9"/>
        <v>0</v>
      </c>
      <c r="Y95" s="121">
        <f>+'Gantt Proyectos'!W163</f>
        <v>0</v>
      </c>
      <c r="Z95" s="122">
        <f>+'Gantt Proyectos'!X163</f>
        <v>0</v>
      </c>
      <c r="AA95" s="122">
        <f>+'Gantt Proyectos'!Y163</f>
        <v>0</v>
      </c>
      <c r="AB95" s="122">
        <f>+'Gantt Proyectos'!Z163</f>
        <v>0</v>
      </c>
      <c r="AC95" s="122">
        <f>+'Gantt Proyectos'!AA163</f>
        <v>0</v>
      </c>
      <c r="AD95" s="122">
        <f>+'Gantt Proyectos'!AB163</f>
        <v>0</v>
      </c>
      <c r="AE95" s="123">
        <f>+'Gantt Proyectos'!AC163</f>
        <v>0</v>
      </c>
      <c r="AF95" s="123">
        <f>+'Gantt Proyectos'!AD163</f>
        <v>0</v>
      </c>
      <c r="AG95" s="124">
        <f>+'Gantt Proyectos'!AE163</f>
        <v>0</v>
      </c>
      <c r="AH95" s="172">
        <v>1</v>
      </c>
      <c r="AI95" s="466">
        <f>IFERROR(IF('Gantt Proyectos'!AF163&lt;2,$N95*'Gantt Proyectos'!AF163,IF('Gantt Proyectos'!AF163=2,$N95*('Gantt Proyectos'!AF163-1))),0)*$L95*$Q95</f>
        <v>0</v>
      </c>
      <c r="AJ95" s="467">
        <f>IFERROR(IF('Gantt Proyectos'!AG163&lt;2,$N95*'Gantt Proyectos'!AG163,IF('Gantt Proyectos'!AG163=2,$N95*('Gantt Proyectos'!AG163-1))),0)*$L95*$Q95</f>
        <v>0</v>
      </c>
      <c r="AK95" s="467">
        <f>IFERROR(IF('Gantt Proyectos'!AH163&lt;2,$N95*'Gantt Proyectos'!AH163,IF('Gantt Proyectos'!AH163=2,$N95*('Gantt Proyectos'!AH163-1))),0)*$L95*$Q95</f>
        <v>0</v>
      </c>
      <c r="AL95" s="467">
        <f>IFERROR(IF('Gantt Proyectos'!AI163&lt;2,$N95*'Gantt Proyectos'!AI163,IF('Gantt Proyectos'!AI163=2,$N95*('Gantt Proyectos'!AI163-1))),0)*$L95*$Q95</f>
        <v>0</v>
      </c>
      <c r="AM95" s="467">
        <f>IFERROR(IF('Gantt Proyectos'!AJ163&lt;2,$N95*'Gantt Proyectos'!AJ163,IF('Gantt Proyectos'!AJ163=2,$N95*('Gantt Proyectos'!AJ163-1))),0)*$L95*$Q95</f>
        <v>0</v>
      </c>
      <c r="AN95" s="467">
        <f>IFERROR(IF('Gantt Proyectos'!AK163&lt;2,$N95*'Gantt Proyectos'!AK163,IF('Gantt Proyectos'!AK163=2,$N95*('Gantt Proyectos'!AK163-1))),0)*$L95*$Q95</f>
        <v>0</v>
      </c>
      <c r="AO95" s="467">
        <f>IFERROR(IF('Gantt Proyectos'!AL163&lt;2,$N95*'Gantt Proyectos'!AL163,IF('Gantt Proyectos'!AL163=2,$N95*('Gantt Proyectos'!AL163-1))),0)*$L95*$Q95</f>
        <v>0</v>
      </c>
      <c r="AP95" s="467">
        <f>IFERROR(IF('Gantt Proyectos'!AM163&lt;2,$N95*'Gantt Proyectos'!AM163,IF('Gantt Proyectos'!AM163=2,$N95*('Gantt Proyectos'!AM163-1))),0)*$L95*$Q95</f>
        <v>0</v>
      </c>
      <c r="AQ95" s="468">
        <f>IFERROR(IF('Gantt Proyectos'!AN163&lt;2,$N95*'Gantt Proyectos'!AN163,IF('Gantt Proyectos'!AN163=2,$N95*('Gantt Proyectos'!AN163-1))),0)*$L95*$Q95</f>
        <v>0</v>
      </c>
    </row>
    <row r="96" spans="1:43" ht="15" x14ac:dyDescent="0.2">
      <c r="C96" s="144">
        <f>+'Gantt Proyectos'!C164</f>
        <v>68</v>
      </c>
      <c r="D96" s="145">
        <f>+'Gantt Proyectos'!D164</f>
        <v>0</v>
      </c>
      <c r="E96" s="145">
        <f>+'Gantt Proyectos'!E164</f>
        <v>0</v>
      </c>
      <c r="F96" s="147">
        <f>+'Gantt Proyectos'!F164</f>
        <v>0</v>
      </c>
      <c r="G96" s="145">
        <f>+'Gantt Proyectos'!G164</f>
        <v>0</v>
      </c>
      <c r="H96" s="145">
        <f>+'Gantt Proyectos'!H164</f>
        <v>0</v>
      </c>
      <c r="I96" s="189">
        <v>1</v>
      </c>
      <c r="J96" s="189">
        <f t="shared" si="8"/>
        <v>0</v>
      </c>
      <c r="K96" s="145">
        <f>+'Gantt Proyectos'!I164</f>
        <v>0</v>
      </c>
      <c r="L96" s="120">
        <f>+'Gantt Proyectos'!J164</f>
        <v>0</v>
      </c>
      <c r="M96" s="145">
        <f>+'Gantt Proyectos'!K164</f>
        <v>0</v>
      </c>
      <c r="N96" s="145">
        <f>+'Gantt Proyectos'!L164</f>
        <v>0</v>
      </c>
      <c r="O96" s="145">
        <f>+'Gantt Proyectos'!M164</f>
        <v>0</v>
      </c>
      <c r="P96" s="145">
        <f>+'Gantt Proyectos'!N164</f>
        <v>0</v>
      </c>
      <c r="Q96" s="472">
        <v>1</v>
      </c>
      <c r="R96" s="119">
        <f>+'Gantt Proyectos'!O164</f>
        <v>0</v>
      </c>
      <c r="S96" s="119">
        <f>+'Gantt Proyectos'!P164</f>
        <v>0</v>
      </c>
      <c r="T96" s="145">
        <f>+'Gantt Proyectos'!R164</f>
        <v>0</v>
      </c>
      <c r="U96" s="118">
        <f>+'Gantt Proyectos'!S164</f>
        <v>0</v>
      </c>
      <c r="V96" s="156">
        <f>+'Gantt Proyectos'!T164</f>
        <v>0</v>
      </c>
      <c r="W96" s="156">
        <f>+'Gantt Proyectos'!U164</f>
        <v>0</v>
      </c>
      <c r="X96" s="201">
        <f t="shared" si="9"/>
        <v>0</v>
      </c>
      <c r="Y96" s="121">
        <f>+'Gantt Proyectos'!W164</f>
        <v>0</v>
      </c>
      <c r="Z96" s="122">
        <f>+'Gantt Proyectos'!X164</f>
        <v>0</v>
      </c>
      <c r="AA96" s="122">
        <f>+'Gantt Proyectos'!Y164</f>
        <v>0</v>
      </c>
      <c r="AB96" s="122">
        <f>+'Gantt Proyectos'!Z164</f>
        <v>0</v>
      </c>
      <c r="AC96" s="122">
        <f>+'Gantt Proyectos'!AA164</f>
        <v>0</v>
      </c>
      <c r="AD96" s="122">
        <f>+'Gantt Proyectos'!AB164</f>
        <v>0</v>
      </c>
      <c r="AE96" s="123">
        <f>+'Gantt Proyectos'!AC164</f>
        <v>0</v>
      </c>
      <c r="AF96" s="123">
        <f>+'Gantt Proyectos'!AD164</f>
        <v>0</v>
      </c>
      <c r="AG96" s="124">
        <f>+'Gantt Proyectos'!AE164</f>
        <v>0</v>
      </c>
      <c r="AH96" s="172">
        <v>1</v>
      </c>
      <c r="AI96" s="466">
        <f>IFERROR(IF('Gantt Proyectos'!AF164&lt;2,$N96*'Gantt Proyectos'!AF164,IF('Gantt Proyectos'!AF164=2,$N96*('Gantt Proyectos'!AF164-1))),0)*$L96*$Q96</f>
        <v>0</v>
      </c>
      <c r="AJ96" s="467">
        <f>IFERROR(IF('Gantt Proyectos'!AG164&lt;2,$N96*'Gantt Proyectos'!AG164,IF('Gantt Proyectos'!AG164=2,$N96*('Gantt Proyectos'!AG164-1))),0)*$L96*$Q96</f>
        <v>0</v>
      </c>
      <c r="AK96" s="467">
        <f>IFERROR(IF('Gantt Proyectos'!AH164&lt;2,$N96*'Gantt Proyectos'!AH164,IF('Gantt Proyectos'!AH164=2,$N96*('Gantt Proyectos'!AH164-1))),0)*$L96*$Q96</f>
        <v>0</v>
      </c>
      <c r="AL96" s="467">
        <f>IFERROR(IF('Gantt Proyectos'!AI164&lt;2,$N96*'Gantt Proyectos'!AI164,IF('Gantt Proyectos'!AI164=2,$N96*('Gantt Proyectos'!AI164-1))),0)*$L96*$Q96</f>
        <v>0</v>
      </c>
      <c r="AM96" s="467">
        <f>IFERROR(IF('Gantt Proyectos'!AJ164&lt;2,$N96*'Gantt Proyectos'!AJ164,IF('Gantt Proyectos'!AJ164=2,$N96*('Gantt Proyectos'!AJ164-1))),0)*$L96*$Q96</f>
        <v>0</v>
      </c>
      <c r="AN96" s="467">
        <f>IFERROR(IF('Gantt Proyectos'!AK164&lt;2,$N96*'Gantt Proyectos'!AK164,IF('Gantt Proyectos'!AK164=2,$N96*('Gantt Proyectos'!AK164-1))),0)*$L96*$Q96</f>
        <v>0</v>
      </c>
      <c r="AO96" s="467">
        <f>IFERROR(IF('Gantt Proyectos'!AL164&lt;2,$N96*'Gantt Proyectos'!AL164,IF('Gantt Proyectos'!AL164=2,$N96*('Gantt Proyectos'!AL164-1))),0)*$L96*$Q96</f>
        <v>0</v>
      </c>
      <c r="AP96" s="467">
        <f>IFERROR(IF('Gantt Proyectos'!AM164&lt;2,$N96*'Gantt Proyectos'!AM164,IF('Gantt Proyectos'!AM164=2,$N96*('Gantt Proyectos'!AM164-1))),0)*$L96*$Q96</f>
        <v>0</v>
      </c>
      <c r="AQ96" s="468">
        <f>IFERROR(IF('Gantt Proyectos'!AN164&lt;2,$N96*'Gantt Proyectos'!AN164,IF('Gantt Proyectos'!AN164=2,$N96*('Gantt Proyectos'!AN164-1))),0)*$L96*$Q96</f>
        <v>0</v>
      </c>
    </row>
    <row r="97" spans="3:43" ht="15" x14ac:dyDescent="0.2">
      <c r="C97" s="144">
        <f>+'Gantt Proyectos'!C165</f>
        <v>69</v>
      </c>
      <c r="D97" s="145">
        <f>+'Gantt Proyectos'!D165</f>
        <v>0</v>
      </c>
      <c r="E97" s="145">
        <f>+'Gantt Proyectos'!E165</f>
        <v>0</v>
      </c>
      <c r="F97" s="147">
        <f>+'Gantt Proyectos'!F165</f>
        <v>0</v>
      </c>
      <c r="G97" s="145">
        <f>+'Gantt Proyectos'!G165</f>
        <v>0</v>
      </c>
      <c r="H97" s="145">
        <f>+'Gantt Proyectos'!H165</f>
        <v>0</v>
      </c>
      <c r="I97" s="189">
        <v>1</v>
      </c>
      <c r="J97" s="189">
        <f t="shared" si="8"/>
        <v>0</v>
      </c>
      <c r="K97" s="145">
        <f>+'Gantt Proyectos'!I165</f>
        <v>0</v>
      </c>
      <c r="L97" s="120">
        <f>+'Gantt Proyectos'!J165</f>
        <v>0</v>
      </c>
      <c r="M97" s="145">
        <f>+'Gantt Proyectos'!K165</f>
        <v>0</v>
      </c>
      <c r="N97" s="145">
        <f>+'Gantt Proyectos'!L165</f>
        <v>0</v>
      </c>
      <c r="O97" s="145">
        <f>+'Gantt Proyectos'!M165</f>
        <v>0</v>
      </c>
      <c r="P97" s="145">
        <f>+'Gantt Proyectos'!N165</f>
        <v>0</v>
      </c>
      <c r="Q97" s="472">
        <v>1</v>
      </c>
      <c r="R97" s="119">
        <f>+'Gantt Proyectos'!O165</f>
        <v>0</v>
      </c>
      <c r="S97" s="119">
        <f>+'Gantt Proyectos'!P165</f>
        <v>0</v>
      </c>
      <c r="T97" s="145">
        <f>+'Gantt Proyectos'!R165</f>
        <v>0</v>
      </c>
      <c r="U97" s="118">
        <f>+'Gantt Proyectos'!S165</f>
        <v>0</v>
      </c>
      <c r="V97" s="156">
        <f>+'Gantt Proyectos'!T165</f>
        <v>0</v>
      </c>
      <c r="W97" s="156">
        <f>+'Gantt Proyectos'!U165</f>
        <v>0</v>
      </c>
      <c r="X97" s="201">
        <f t="shared" si="9"/>
        <v>0</v>
      </c>
      <c r="Y97" s="121">
        <f>+'Gantt Proyectos'!W165</f>
        <v>0</v>
      </c>
      <c r="Z97" s="122">
        <f>+'Gantt Proyectos'!X165</f>
        <v>0</v>
      </c>
      <c r="AA97" s="122">
        <f>+'Gantt Proyectos'!Y165</f>
        <v>0</v>
      </c>
      <c r="AB97" s="122">
        <f>+'Gantt Proyectos'!Z165</f>
        <v>0</v>
      </c>
      <c r="AC97" s="122">
        <f>+'Gantt Proyectos'!AA165</f>
        <v>0</v>
      </c>
      <c r="AD97" s="122">
        <f>+'Gantt Proyectos'!AB165</f>
        <v>0</v>
      </c>
      <c r="AE97" s="123">
        <f>+'Gantt Proyectos'!AC165</f>
        <v>0</v>
      </c>
      <c r="AF97" s="123">
        <f>+'Gantt Proyectos'!AD165</f>
        <v>0</v>
      </c>
      <c r="AG97" s="124">
        <f>+'Gantt Proyectos'!AE165</f>
        <v>0</v>
      </c>
      <c r="AH97" s="172">
        <v>1</v>
      </c>
      <c r="AI97" s="466">
        <f>IFERROR(IF('Gantt Proyectos'!AF165&lt;2,$N97*'Gantt Proyectos'!AF165,IF('Gantt Proyectos'!AF165=2,$N97*('Gantt Proyectos'!AF165-1))),0)*$L97*$Q97</f>
        <v>0</v>
      </c>
      <c r="AJ97" s="467">
        <f>IFERROR(IF('Gantt Proyectos'!AG165&lt;2,$N97*'Gantt Proyectos'!AG165,IF('Gantt Proyectos'!AG165=2,$N97*('Gantt Proyectos'!AG165-1))),0)*$L97*$Q97</f>
        <v>0</v>
      </c>
      <c r="AK97" s="467">
        <f>IFERROR(IF('Gantt Proyectos'!AH165&lt;2,$N97*'Gantt Proyectos'!AH165,IF('Gantt Proyectos'!AH165=2,$N97*('Gantt Proyectos'!AH165-1))),0)*$L97*$Q97</f>
        <v>0</v>
      </c>
      <c r="AL97" s="467">
        <f>IFERROR(IF('Gantt Proyectos'!AI165&lt;2,$N97*'Gantt Proyectos'!AI165,IF('Gantt Proyectos'!AI165=2,$N97*('Gantt Proyectos'!AI165-1))),0)*$L97*$Q97</f>
        <v>0</v>
      </c>
      <c r="AM97" s="467">
        <f>IFERROR(IF('Gantt Proyectos'!AJ165&lt;2,$N97*'Gantt Proyectos'!AJ165,IF('Gantt Proyectos'!AJ165=2,$N97*('Gantt Proyectos'!AJ165-1))),0)*$L97*$Q97</f>
        <v>0</v>
      </c>
      <c r="AN97" s="467">
        <f>IFERROR(IF('Gantt Proyectos'!AK165&lt;2,$N97*'Gantt Proyectos'!AK165,IF('Gantt Proyectos'!AK165=2,$N97*('Gantt Proyectos'!AK165-1))),0)*$L97*$Q97</f>
        <v>0</v>
      </c>
      <c r="AO97" s="467">
        <f>IFERROR(IF('Gantt Proyectos'!AL165&lt;2,$N97*'Gantt Proyectos'!AL165,IF('Gantt Proyectos'!AL165=2,$N97*('Gantt Proyectos'!AL165-1))),0)*$L97*$Q97</f>
        <v>0</v>
      </c>
      <c r="AP97" s="467">
        <f>IFERROR(IF('Gantt Proyectos'!AM165&lt;2,$N97*'Gantt Proyectos'!AM165,IF('Gantt Proyectos'!AM165=2,$N97*('Gantt Proyectos'!AM165-1))),0)*$L97*$Q97</f>
        <v>0</v>
      </c>
      <c r="AQ97" s="468">
        <f>IFERROR(IF('Gantt Proyectos'!AN165&lt;2,$N97*'Gantt Proyectos'!AN165,IF('Gantt Proyectos'!AN165=2,$N97*('Gantt Proyectos'!AN165-1))),0)*$L97*$Q97</f>
        <v>0</v>
      </c>
    </row>
    <row r="98" spans="3:43" ht="15" x14ac:dyDescent="0.2">
      <c r="C98" s="144">
        <f>+'Gantt Proyectos'!C166</f>
        <v>70</v>
      </c>
      <c r="D98" s="145">
        <f>+'Gantt Proyectos'!D166</f>
        <v>0</v>
      </c>
      <c r="E98" s="145">
        <f>+'Gantt Proyectos'!E166</f>
        <v>0</v>
      </c>
      <c r="F98" s="147">
        <f>+'Gantt Proyectos'!F166</f>
        <v>0</v>
      </c>
      <c r="G98" s="145">
        <f>+'Gantt Proyectos'!G166</f>
        <v>0</v>
      </c>
      <c r="H98" s="145">
        <f>+'Gantt Proyectos'!H166</f>
        <v>0</v>
      </c>
      <c r="I98" s="189">
        <v>1</v>
      </c>
      <c r="J98" s="189">
        <f t="shared" si="8"/>
        <v>0</v>
      </c>
      <c r="K98" s="145">
        <f>+'Gantt Proyectos'!I166</f>
        <v>0</v>
      </c>
      <c r="L98" s="120">
        <f>+'Gantt Proyectos'!J166</f>
        <v>0</v>
      </c>
      <c r="M98" s="145">
        <f>+'Gantt Proyectos'!K166</f>
        <v>0</v>
      </c>
      <c r="N98" s="145">
        <f>+'Gantt Proyectos'!L166</f>
        <v>0</v>
      </c>
      <c r="O98" s="145">
        <f>+'Gantt Proyectos'!M166</f>
        <v>0</v>
      </c>
      <c r="P98" s="145">
        <f>+'Gantt Proyectos'!N166</f>
        <v>0</v>
      </c>
      <c r="Q98" s="472">
        <v>1</v>
      </c>
      <c r="R98" s="119">
        <f>+'Gantt Proyectos'!O166</f>
        <v>0</v>
      </c>
      <c r="S98" s="119">
        <f>+'Gantt Proyectos'!P166</f>
        <v>0</v>
      </c>
      <c r="T98" s="145">
        <f>+'Gantt Proyectos'!R166</f>
        <v>0</v>
      </c>
      <c r="U98" s="118">
        <f>+'Gantt Proyectos'!S166</f>
        <v>0</v>
      </c>
      <c r="V98" s="156">
        <f>+'Gantt Proyectos'!T166</f>
        <v>0</v>
      </c>
      <c r="W98" s="156">
        <f>+'Gantt Proyectos'!U166</f>
        <v>0</v>
      </c>
      <c r="X98" s="201">
        <f t="shared" si="9"/>
        <v>0</v>
      </c>
      <c r="Y98" s="121">
        <f>+'Gantt Proyectos'!W166</f>
        <v>0</v>
      </c>
      <c r="Z98" s="122">
        <f>+'Gantt Proyectos'!X166</f>
        <v>0</v>
      </c>
      <c r="AA98" s="122">
        <f>+'Gantt Proyectos'!Y166</f>
        <v>0</v>
      </c>
      <c r="AB98" s="122">
        <f>+'Gantt Proyectos'!Z166</f>
        <v>0</v>
      </c>
      <c r="AC98" s="122">
        <f>+'Gantt Proyectos'!AA166</f>
        <v>0</v>
      </c>
      <c r="AD98" s="122">
        <f>+'Gantt Proyectos'!AB166</f>
        <v>0</v>
      </c>
      <c r="AE98" s="123">
        <f>+'Gantt Proyectos'!AC166</f>
        <v>0</v>
      </c>
      <c r="AF98" s="123">
        <f>+'Gantt Proyectos'!AD166</f>
        <v>0</v>
      </c>
      <c r="AG98" s="124">
        <f>+'Gantt Proyectos'!AE166</f>
        <v>0</v>
      </c>
      <c r="AH98" s="172">
        <v>1</v>
      </c>
      <c r="AI98" s="466">
        <f>IFERROR(IF('Gantt Proyectos'!AF166&lt;2,$N98*'Gantt Proyectos'!AF166,IF('Gantt Proyectos'!AF166=2,$N98*('Gantt Proyectos'!AF166-1))),0)*$L98*$Q98</f>
        <v>0</v>
      </c>
      <c r="AJ98" s="467">
        <f>IFERROR(IF('Gantt Proyectos'!AG166&lt;2,$N98*'Gantt Proyectos'!AG166,IF('Gantt Proyectos'!AG166=2,$N98*('Gantt Proyectos'!AG166-1))),0)*$L98*$Q98</f>
        <v>0</v>
      </c>
      <c r="AK98" s="467">
        <f>IFERROR(IF('Gantt Proyectos'!AH166&lt;2,$N98*'Gantt Proyectos'!AH166,IF('Gantt Proyectos'!AH166=2,$N98*('Gantt Proyectos'!AH166-1))),0)*$L98*$Q98</f>
        <v>0</v>
      </c>
      <c r="AL98" s="467">
        <f>IFERROR(IF('Gantt Proyectos'!AI166&lt;2,$N98*'Gantt Proyectos'!AI166,IF('Gantt Proyectos'!AI166=2,$N98*('Gantt Proyectos'!AI166-1))),0)*$L98*$Q98</f>
        <v>0</v>
      </c>
      <c r="AM98" s="467">
        <f>IFERROR(IF('Gantt Proyectos'!AJ166&lt;2,$N98*'Gantt Proyectos'!AJ166,IF('Gantt Proyectos'!AJ166=2,$N98*('Gantt Proyectos'!AJ166-1))),0)*$L98*$Q98</f>
        <v>0</v>
      </c>
      <c r="AN98" s="467">
        <f>IFERROR(IF('Gantt Proyectos'!AK166&lt;2,$N98*'Gantt Proyectos'!AK166,IF('Gantt Proyectos'!AK166=2,$N98*('Gantt Proyectos'!AK166-1))),0)*$L98*$Q98</f>
        <v>0</v>
      </c>
      <c r="AO98" s="467">
        <f>IFERROR(IF('Gantt Proyectos'!AL166&lt;2,$N98*'Gantt Proyectos'!AL166,IF('Gantt Proyectos'!AL166=2,$N98*('Gantt Proyectos'!AL166-1))),0)*$L98*$Q98</f>
        <v>0</v>
      </c>
      <c r="AP98" s="467">
        <f>IFERROR(IF('Gantt Proyectos'!AM166&lt;2,$N98*'Gantt Proyectos'!AM166,IF('Gantt Proyectos'!AM166=2,$N98*('Gantt Proyectos'!AM166-1))),0)*$L98*$Q98</f>
        <v>0</v>
      </c>
      <c r="AQ98" s="468">
        <f>IFERROR(IF('Gantt Proyectos'!AN166&lt;2,$N98*'Gantt Proyectos'!AN166,IF('Gantt Proyectos'!AN166=2,$N98*('Gantt Proyectos'!AN166-1))),0)*$L98*$Q98</f>
        <v>0</v>
      </c>
    </row>
    <row r="99" spans="3:43" ht="15" x14ac:dyDescent="0.2">
      <c r="C99" s="144">
        <f>+'Gantt Proyectos'!C167</f>
        <v>71</v>
      </c>
      <c r="D99" s="145">
        <f>+'Gantt Proyectos'!D167</f>
        <v>0</v>
      </c>
      <c r="E99" s="145">
        <f>+'Gantt Proyectos'!E167</f>
        <v>0</v>
      </c>
      <c r="F99" s="147">
        <f>+'Gantt Proyectos'!F167</f>
        <v>0</v>
      </c>
      <c r="G99" s="145">
        <f>+'Gantt Proyectos'!G167</f>
        <v>0</v>
      </c>
      <c r="H99" s="145">
        <f>+'Gantt Proyectos'!H167</f>
        <v>0</v>
      </c>
      <c r="I99" s="189">
        <v>1</v>
      </c>
      <c r="J99" s="189">
        <f t="shared" si="8"/>
        <v>0</v>
      </c>
      <c r="K99" s="145">
        <f>+'Gantt Proyectos'!I167</f>
        <v>0</v>
      </c>
      <c r="L99" s="120">
        <f>+'Gantt Proyectos'!J167</f>
        <v>0</v>
      </c>
      <c r="M99" s="145">
        <f>+'Gantt Proyectos'!K167</f>
        <v>0</v>
      </c>
      <c r="N99" s="145">
        <f>+'Gantt Proyectos'!L167</f>
        <v>0</v>
      </c>
      <c r="O99" s="145">
        <f>+'Gantt Proyectos'!M167</f>
        <v>0</v>
      </c>
      <c r="P99" s="145">
        <f>+'Gantt Proyectos'!N167</f>
        <v>0</v>
      </c>
      <c r="Q99" s="472">
        <v>1</v>
      </c>
      <c r="R99" s="119">
        <f>+'Gantt Proyectos'!O167</f>
        <v>0</v>
      </c>
      <c r="S99" s="119">
        <f>+'Gantt Proyectos'!P167</f>
        <v>0</v>
      </c>
      <c r="T99" s="145">
        <f>+'Gantt Proyectos'!R167</f>
        <v>0</v>
      </c>
      <c r="U99" s="118">
        <f>+'Gantt Proyectos'!S167</f>
        <v>0</v>
      </c>
      <c r="V99" s="156">
        <f>+'Gantt Proyectos'!T167</f>
        <v>0</v>
      </c>
      <c r="W99" s="156">
        <f>+'Gantt Proyectos'!U167</f>
        <v>0</v>
      </c>
      <c r="X99" s="201">
        <f t="shared" si="9"/>
        <v>0</v>
      </c>
      <c r="Y99" s="121">
        <f>+'Gantt Proyectos'!W167</f>
        <v>0</v>
      </c>
      <c r="Z99" s="122">
        <f>+'Gantt Proyectos'!X167</f>
        <v>0</v>
      </c>
      <c r="AA99" s="122">
        <f>+'Gantt Proyectos'!Y167</f>
        <v>0</v>
      </c>
      <c r="AB99" s="122">
        <f>+'Gantt Proyectos'!Z167</f>
        <v>0</v>
      </c>
      <c r="AC99" s="122">
        <f>+'Gantt Proyectos'!AA167</f>
        <v>0</v>
      </c>
      <c r="AD99" s="122">
        <f>+'Gantt Proyectos'!AB167</f>
        <v>0</v>
      </c>
      <c r="AE99" s="123">
        <f>+'Gantt Proyectos'!AC167</f>
        <v>0</v>
      </c>
      <c r="AF99" s="123">
        <f>+'Gantt Proyectos'!AD167</f>
        <v>0</v>
      </c>
      <c r="AG99" s="124">
        <f>+'Gantt Proyectos'!AE167</f>
        <v>0</v>
      </c>
      <c r="AH99" s="172">
        <v>1</v>
      </c>
      <c r="AI99" s="466">
        <f>IFERROR(IF('Gantt Proyectos'!AF167&lt;2,$N99*'Gantt Proyectos'!AF167,IF('Gantt Proyectos'!AF167=2,$N99*('Gantt Proyectos'!AF167-1))),0)*$L99*$Q99</f>
        <v>0</v>
      </c>
      <c r="AJ99" s="467">
        <f>IFERROR(IF('Gantt Proyectos'!AG167&lt;2,$N99*'Gantt Proyectos'!AG167,IF('Gantt Proyectos'!AG167=2,$N99*('Gantt Proyectos'!AG167-1))),0)*$L99*$Q99</f>
        <v>0</v>
      </c>
      <c r="AK99" s="467">
        <f>IFERROR(IF('Gantt Proyectos'!AH167&lt;2,$N99*'Gantt Proyectos'!AH167,IF('Gantt Proyectos'!AH167=2,$N99*('Gantt Proyectos'!AH167-1))),0)*$L99*$Q99</f>
        <v>0</v>
      </c>
      <c r="AL99" s="467">
        <f>IFERROR(IF('Gantt Proyectos'!AI167&lt;2,$N99*'Gantt Proyectos'!AI167,IF('Gantt Proyectos'!AI167=2,$N99*('Gantt Proyectos'!AI167-1))),0)*$L99*$Q99</f>
        <v>0</v>
      </c>
      <c r="AM99" s="467">
        <f>IFERROR(IF('Gantt Proyectos'!AJ167&lt;2,$N99*'Gantt Proyectos'!AJ167,IF('Gantt Proyectos'!AJ167=2,$N99*('Gantt Proyectos'!AJ167-1))),0)*$L99*$Q99</f>
        <v>0</v>
      </c>
      <c r="AN99" s="467">
        <f>IFERROR(IF('Gantt Proyectos'!AK167&lt;2,$N99*'Gantt Proyectos'!AK167,IF('Gantt Proyectos'!AK167=2,$N99*('Gantt Proyectos'!AK167-1))),0)*$L99*$Q99</f>
        <v>0</v>
      </c>
      <c r="AO99" s="467">
        <f>IFERROR(IF('Gantt Proyectos'!AL167&lt;2,$N99*'Gantt Proyectos'!AL167,IF('Gantt Proyectos'!AL167=2,$N99*('Gantt Proyectos'!AL167-1))),0)*$L99*$Q99</f>
        <v>0</v>
      </c>
      <c r="AP99" s="467">
        <f>IFERROR(IF('Gantt Proyectos'!AM167&lt;2,$N99*'Gantt Proyectos'!AM167,IF('Gantt Proyectos'!AM167=2,$N99*('Gantt Proyectos'!AM167-1))),0)*$L99*$Q99</f>
        <v>0</v>
      </c>
      <c r="AQ99" s="468">
        <f>IFERROR(IF('Gantt Proyectos'!AN167&lt;2,$N99*'Gantt Proyectos'!AN167,IF('Gantt Proyectos'!AN167=2,$N99*('Gantt Proyectos'!AN167-1))),0)*$L99*$Q99</f>
        <v>0</v>
      </c>
    </row>
    <row r="100" spans="3:43" ht="15" x14ac:dyDescent="0.2">
      <c r="C100" s="144">
        <f>+'Gantt Proyectos'!C168</f>
        <v>72</v>
      </c>
      <c r="D100" s="145">
        <f>+'Gantt Proyectos'!D168</f>
        <v>0</v>
      </c>
      <c r="E100" s="145">
        <f>+'Gantt Proyectos'!E168</f>
        <v>0</v>
      </c>
      <c r="F100" s="147">
        <f>+'Gantt Proyectos'!F168</f>
        <v>0</v>
      </c>
      <c r="G100" s="145">
        <f>+'Gantt Proyectos'!G168</f>
        <v>0</v>
      </c>
      <c r="H100" s="145">
        <f>+'Gantt Proyectos'!H168</f>
        <v>0</v>
      </c>
      <c r="I100" s="189">
        <v>1</v>
      </c>
      <c r="J100" s="189">
        <f t="shared" si="8"/>
        <v>0</v>
      </c>
      <c r="K100" s="145">
        <f>+'Gantt Proyectos'!I168</f>
        <v>0</v>
      </c>
      <c r="L100" s="120">
        <f>+'Gantt Proyectos'!J168</f>
        <v>0</v>
      </c>
      <c r="M100" s="145">
        <f>+'Gantt Proyectos'!K168</f>
        <v>0</v>
      </c>
      <c r="N100" s="145">
        <f>+'Gantt Proyectos'!L168</f>
        <v>0</v>
      </c>
      <c r="O100" s="145">
        <f>+'Gantt Proyectos'!M168</f>
        <v>0</v>
      </c>
      <c r="P100" s="145">
        <f>+'Gantt Proyectos'!N168</f>
        <v>0</v>
      </c>
      <c r="Q100" s="472">
        <v>1</v>
      </c>
      <c r="R100" s="119">
        <f>+'Gantt Proyectos'!O168</f>
        <v>0</v>
      </c>
      <c r="S100" s="119">
        <f>+'Gantt Proyectos'!P168</f>
        <v>0</v>
      </c>
      <c r="T100" s="145">
        <f>+'Gantt Proyectos'!R168</f>
        <v>0</v>
      </c>
      <c r="U100" s="118">
        <f>+'Gantt Proyectos'!S168</f>
        <v>0</v>
      </c>
      <c r="V100" s="156">
        <f>+'Gantt Proyectos'!T168</f>
        <v>0</v>
      </c>
      <c r="W100" s="156">
        <f>+'Gantt Proyectos'!U168</f>
        <v>0</v>
      </c>
      <c r="X100" s="201">
        <f t="shared" si="9"/>
        <v>0</v>
      </c>
      <c r="Y100" s="121">
        <f>+'Gantt Proyectos'!W168</f>
        <v>0</v>
      </c>
      <c r="Z100" s="122">
        <f>+'Gantt Proyectos'!X168</f>
        <v>0</v>
      </c>
      <c r="AA100" s="122">
        <f>+'Gantt Proyectos'!Y168</f>
        <v>0</v>
      </c>
      <c r="AB100" s="122">
        <f>+'Gantt Proyectos'!Z168</f>
        <v>0</v>
      </c>
      <c r="AC100" s="122">
        <f>+'Gantt Proyectos'!AA168</f>
        <v>0</v>
      </c>
      <c r="AD100" s="122">
        <f>+'Gantt Proyectos'!AB168</f>
        <v>0</v>
      </c>
      <c r="AE100" s="123">
        <f>+'Gantt Proyectos'!AC168</f>
        <v>0</v>
      </c>
      <c r="AF100" s="123">
        <f>+'Gantt Proyectos'!AD168</f>
        <v>0</v>
      </c>
      <c r="AG100" s="124">
        <f>+'Gantt Proyectos'!AE168</f>
        <v>0</v>
      </c>
      <c r="AH100" s="172">
        <v>1</v>
      </c>
      <c r="AI100" s="466">
        <f>IFERROR(IF('Gantt Proyectos'!AF168&lt;2,$N100*'Gantt Proyectos'!AF168,IF('Gantt Proyectos'!AF168=2,$N100*('Gantt Proyectos'!AF168-1))),0)*$L100*$Q100</f>
        <v>0</v>
      </c>
      <c r="AJ100" s="467">
        <f>IFERROR(IF('Gantt Proyectos'!AG168&lt;2,$N100*'Gantt Proyectos'!AG168,IF('Gantt Proyectos'!AG168=2,$N100*('Gantt Proyectos'!AG168-1))),0)*$L100*$Q100</f>
        <v>0</v>
      </c>
      <c r="AK100" s="467">
        <f>IFERROR(IF('Gantt Proyectos'!AH168&lt;2,$N100*'Gantt Proyectos'!AH168,IF('Gantt Proyectos'!AH168=2,$N100*('Gantt Proyectos'!AH168-1))),0)*$L100*$Q100</f>
        <v>0</v>
      </c>
      <c r="AL100" s="467">
        <f>IFERROR(IF('Gantt Proyectos'!AI168&lt;2,$N100*'Gantt Proyectos'!AI168,IF('Gantt Proyectos'!AI168=2,$N100*('Gantt Proyectos'!AI168-1))),0)*$L100*$Q100</f>
        <v>0</v>
      </c>
      <c r="AM100" s="467">
        <f>IFERROR(IF('Gantt Proyectos'!AJ168&lt;2,$N100*'Gantt Proyectos'!AJ168,IF('Gantt Proyectos'!AJ168=2,$N100*('Gantt Proyectos'!AJ168-1))),0)*$L100*$Q100</f>
        <v>0</v>
      </c>
      <c r="AN100" s="467">
        <f>IFERROR(IF('Gantt Proyectos'!AK168&lt;2,$N100*'Gantt Proyectos'!AK168,IF('Gantt Proyectos'!AK168=2,$N100*('Gantt Proyectos'!AK168-1))),0)*$L100*$Q100</f>
        <v>0</v>
      </c>
      <c r="AO100" s="467">
        <f>IFERROR(IF('Gantt Proyectos'!AL168&lt;2,$N100*'Gantt Proyectos'!AL168,IF('Gantt Proyectos'!AL168=2,$N100*('Gantt Proyectos'!AL168-1))),0)*$L100*$Q100</f>
        <v>0</v>
      </c>
      <c r="AP100" s="467">
        <f>IFERROR(IF('Gantt Proyectos'!AM168&lt;2,$N100*'Gantt Proyectos'!AM168,IF('Gantt Proyectos'!AM168=2,$N100*('Gantt Proyectos'!AM168-1))),0)*$L100*$Q100</f>
        <v>0</v>
      </c>
      <c r="AQ100" s="468">
        <f>IFERROR(IF('Gantt Proyectos'!AN168&lt;2,$N100*'Gantt Proyectos'!AN168,IF('Gantt Proyectos'!AN168=2,$N100*('Gantt Proyectos'!AN168-1))),0)*$L100*$Q100</f>
        <v>0</v>
      </c>
    </row>
    <row r="101" spans="3:43" ht="15" x14ac:dyDescent="0.2">
      <c r="C101" s="144">
        <f>+'Gantt Proyectos'!C169</f>
        <v>73</v>
      </c>
      <c r="D101" s="145">
        <f>+'Gantt Proyectos'!D169</f>
        <v>0</v>
      </c>
      <c r="E101" s="145">
        <f>+'Gantt Proyectos'!E169</f>
        <v>0</v>
      </c>
      <c r="F101" s="147">
        <f>+'Gantt Proyectos'!F169</f>
        <v>0</v>
      </c>
      <c r="G101" s="145">
        <f>+'Gantt Proyectos'!G169</f>
        <v>0</v>
      </c>
      <c r="H101" s="145">
        <f>+'Gantt Proyectos'!H169</f>
        <v>0</v>
      </c>
      <c r="I101" s="189">
        <v>1</v>
      </c>
      <c r="J101" s="189">
        <f t="shared" si="8"/>
        <v>0</v>
      </c>
      <c r="K101" s="145">
        <f>+'Gantt Proyectos'!I169</f>
        <v>0</v>
      </c>
      <c r="L101" s="120">
        <f>+'Gantt Proyectos'!J169</f>
        <v>0</v>
      </c>
      <c r="M101" s="145">
        <f>+'Gantt Proyectos'!K169</f>
        <v>0</v>
      </c>
      <c r="N101" s="145">
        <f>+'Gantt Proyectos'!L169</f>
        <v>0</v>
      </c>
      <c r="O101" s="145">
        <f>+'Gantt Proyectos'!M169</f>
        <v>0</v>
      </c>
      <c r="P101" s="145">
        <f>+'Gantt Proyectos'!N169</f>
        <v>0</v>
      </c>
      <c r="Q101" s="472">
        <v>1</v>
      </c>
      <c r="R101" s="119">
        <f>+'Gantt Proyectos'!O169</f>
        <v>0</v>
      </c>
      <c r="S101" s="119">
        <f>+'Gantt Proyectos'!P169</f>
        <v>0</v>
      </c>
      <c r="T101" s="145">
        <f>+'Gantt Proyectos'!R169</f>
        <v>0</v>
      </c>
      <c r="U101" s="118">
        <f>+'Gantt Proyectos'!S169</f>
        <v>0</v>
      </c>
      <c r="V101" s="156">
        <f>+'Gantt Proyectos'!T169</f>
        <v>0</v>
      </c>
      <c r="W101" s="156">
        <f>+'Gantt Proyectos'!U169</f>
        <v>0</v>
      </c>
      <c r="X101" s="201">
        <f t="shared" si="9"/>
        <v>0</v>
      </c>
      <c r="Y101" s="121">
        <f>+'Gantt Proyectos'!W169</f>
        <v>0</v>
      </c>
      <c r="Z101" s="122">
        <f>+'Gantt Proyectos'!X169</f>
        <v>0</v>
      </c>
      <c r="AA101" s="122">
        <f>+'Gantt Proyectos'!Y169</f>
        <v>0</v>
      </c>
      <c r="AB101" s="122">
        <f>+'Gantt Proyectos'!Z169</f>
        <v>0</v>
      </c>
      <c r="AC101" s="122">
        <f>+'Gantt Proyectos'!AA169</f>
        <v>0</v>
      </c>
      <c r="AD101" s="122">
        <f>+'Gantt Proyectos'!AB169</f>
        <v>0</v>
      </c>
      <c r="AE101" s="123">
        <f>+'Gantt Proyectos'!AC169</f>
        <v>0</v>
      </c>
      <c r="AF101" s="123">
        <f>+'Gantt Proyectos'!AD169</f>
        <v>0</v>
      </c>
      <c r="AG101" s="124">
        <f>+'Gantt Proyectos'!AE169</f>
        <v>0</v>
      </c>
      <c r="AH101" s="172">
        <v>1</v>
      </c>
      <c r="AI101" s="466">
        <f>IFERROR(IF('Gantt Proyectos'!AF169&lt;2,$N101*'Gantt Proyectos'!AF169,IF('Gantt Proyectos'!AF169=2,$N101*('Gantt Proyectos'!AF169-1))),0)*$L101*$Q101</f>
        <v>0</v>
      </c>
      <c r="AJ101" s="467">
        <f>IFERROR(IF('Gantt Proyectos'!AG169&lt;2,$N101*'Gantt Proyectos'!AG169,IF('Gantt Proyectos'!AG169=2,$N101*('Gantt Proyectos'!AG169-1))),0)*$L101*$Q101</f>
        <v>0</v>
      </c>
      <c r="AK101" s="467">
        <f>IFERROR(IF('Gantt Proyectos'!AH169&lt;2,$N101*'Gantt Proyectos'!AH169,IF('Gantt Proyectos'!AH169=2,$N101*('Gantt Proyectos'!AH169-1))),0)*$L101*$Q101</f>
        <v>0</v>
      </c>
      <c r="AL101" s="467">
        <f>IFERROR(IF('Gantt Proyectos'!AI169&lt;2,$N101*'Gantt Proyectos'!AI169,IF('Gantt Proyectos'!AI169=2,$N101*('Gantt Proyectos'!AI169-1))),0)*$L101*$Q101</f>
        <v>0</v>
      </c>
      <c r="AM101" s="467">
        <f>IFERROR(IF('Gantt Proyectos'!AJ169&lt;2,$N101*'Gantt Proyectos'!AJ169,IF('Gantt Proyectos'!AJ169=2,$N101*('Gantt Proyectos'!AJ169-1))),0)*$L101*$Q101</f>
        <v>0</v>
      </c>
      <c r="AN101" s="467">
        <f>IFERROR(IF('Gantt Proyectos'!AK169&lt;2,$N101*'Gantt Proyectos'!AK169,IF('Gantt Proyectos'!AK169=2,$N101*('Gantt Proyectos'!AK169-1))),0)*$L101*$Q101</f>
        <v>0</v>
      </c>
      <c r="AO101" s="467">
        <f>IFERROR(IF('Gantt Proyectos'!AL169&lt;2,$N101*'Gantt Proyectos'!AL169,IF('Gantt Proyectos'!AL169=2,$N101*('Gantt Proyectos'!AL169-1))),0)*$L101*$Q101</f>
        <v>0</v>
      </c>
      <c r="AP101" s="467">
        <f>IFERROR(IF('Gantt Proyectos'!AM169&lt;2,$N101*'Gantt Proyectos'!AM169,IF('Gantt Proyectos'!AM169=2,$N101*('Gantt Proyectos'!AM169-1))),0)*$L101*$Q101</f>
        <v>0</v>
      </c>
      <c r="AQ101" s="468">
        <f>IFERROR(IF('Gantt Proyectos'!AN169&lt;2,$N101*'Gantt Proyectos'!AN169,IF('Gantt Proyectos'!AN169=2,$N101*('Gantt Proyectos'!AN169-1))),0)*$L101*$Q101</f>
        <v>0</v>
      </c>
    </row>
    <row r="102" spans="3:43" ht="15" x14ac:dyDescent="0.2">
      <c r="C102" s="144">
        <f>+'Gantt Proyectos'!C170</f>
        <v>74</v>
      </c>
      <c r="D102" s="145">
        <f>+'Gantt Proyectos'!D170</f>
        <v>0</v>
      </c>
      <c r="E102" s="145">
        <f>+'Gantt Proyectos'!E170</f>
        <v>0</v>
      </c>
      <c r="F102" s="147">
        <f>+'Gantt Proyectos'!F170</f>
        <v>0</v>
      </c>
      <c r="G102" s="145">
        <f>+'Gantt Proyectos'!G170</f>
        <v>0</v>
      </c>
      <c r="H102" s="145">
        <f>+'Gantt Proyectos'!H170</f>
        <v>0</v>
      </c>
      <c r="I102" s="189">
        <v>1</v>
      </c>
      <c r="J102" s="189">
        <f t="shared" si="8"/>
        <v>0</v>
      </c>
      <c r="K102" s="145">
        <f>+'Gantt Proyectos'!I170</f>
        <v>0</v>
      </c>
      <c r="L102" s="120">
        <f>+'Gantt Proyectos'!J170</f>
        <v>0</v>
      </c>
      <c r="M102" s="145">
        <f>+'Gantt Proyectos'!K170</f>
        <v>0</v>
      </c>
      <c r="N102" s="145">
        <f>+'Gantt Proyectos'!L170</f>
        <v>0</v>
      </c>
      <c r="O102" s="145">
        <f>+'Gantt Proyectos'!M170</f>
        <v>0</v>
      </c>
      <c r="P102" s="145">
        <f>+'Gantt Proyectos'!N170</f>
        <v>0</v>
      </c>
      <c r="Q102" s="472">
        <v>1</v>
      </c>
      <c r="R102" s="119">
        <f>+'Gantt Proyectos'!O170</f>
        <v>0</v>
      </c>
      <c r="S102" s="119">
        <f>+'Gantt Proyectos'!P170</f>
        <v>0</v>
      </c>
      <c r="T102" s="145">
        <f>+'Gantt Proyectos'!R170</f>
        <v>0</v>
      </c>
      <c r="U102" s="118">
        <f>+'Gantt Proyectos'!S170</f>
        <v>0</v>
      </c>
      <c r="V102" s="156">
        <f>+'Gantt Proyectos'!T170</f>
        <v>0</v>
      </c>
      <c r="W102" s="156">
        <f>+'Gantt Proyectos'!U170</f>
        <v>0</v>
      </c>
      <c r="X102" s="201">
        <f t="shared" si="9"/>
        <v>0</v>
      </c>
      <c r="Y102" s="121">
        <f>+'Gantt Proyectos'!W170</f>
        <v>0</v>
      </c>
      <c r="Z102" s="122">
        <f>+'Gantt Proyectos'!X170</f>
        <v>0</v>
      </c>
      <c r="AA102" s="122">
        <f>+'Gantt Proyectos'!Y170</f>
        <v>0</v>
      </c>
      <c r="AB102" s="122">
        <f>+'Gantt Proyectos'!Z170</f>
        <v>0</v>
      </c>
      <c r="AC102" s="122">
        <f>+'Gantt Proyectos'!AA170</f>
        <v>0</v>
      </c>
      <c r="AD102" s="122">
        <f>+'Gantt Proyectos'!AB170</f>
        <v>0</v>
      </c>
      <c r="AE102" s="123">
        <f>+'Gantt Proyectos'!AC170</f>
        <v>0</v>
      </c>
      <c r="AF102" s="123">
        <f>+'Gantt Proyectos'!AD170</f>
        <v>0</v>
      </c>
      <c r="AG102" s="124">
        <f>+'Gantt Proyectos'!AE170</f>
        <v>0</v>
      </c>
      <c r="AH102" s="172">
        <v>1</v>
      </c>
      <c r="AI102" s="466">
        <f>IFERROR(IF('Gantt Proyectos'!AF170&lt;2,$N102*'Gantt Proyectos'!AF170,IF('Gantt Proyectos'!AF170=2,$N102*('Gantt Proyectos'!AF170-1))),0)*$L102*$Q102</f>
        <v>0</v>
      </c>
      <c r="AJ102" s="467">
        <f>IFERROR(IF('Gantt Proyectos'!AG170&lt;2,$N102*'Gantt Proyectos'!AG170,IF('Gantt Proyectos'!AG170=2,$N102*('Gantt Proyectos'!AG170-1))),0)*$L102*$Q102</f>
        <v>0</v>
      </c>
      <c r="AK102" s="467">
        <f>IFERROR(IF('Gantt Proyectos'!AH170&lt;2,$N102*'Gantt Proyectos'!AH170,IF('Gantt Proyectos'!AH170=2,$N102*('Gantt Proyectos'!AH170-1))),0)*$L102*$Q102</f>
        <v>0</v>
      </c>
      <c r="AL102" s="467">
        <f>IFERROR(IF('Gantt Proyectos'!AI170&lt;2,$N102*'Gantt Proyectos'!AI170,IF('Gantt Proyectos'!AI170=2,$N102*('Gantt Proyectos'!AI170-1))),0)*$L102*$Q102</f>
        <v>0</v>
      </c>
      <c r="AM102" s="467">
        <f>IFERROR(IF('Gantt Proyectos'!AJ170&lt;2,$N102*'Gantt Proyectos'!AJ170,IF('Gantt Proyectos'!AJ170=2,$N102*('Gantt Proyectos'!AJ170-1))),0)*$L102*$Q102</f>
        <v>0</v>
      </c>
      <c r="AN102" s="467">
        <f>IFERROR(IF('Gantt Proyectos'!AK170&lt;2,$N102*'Gantt Proyectos'!AK170,IF('Gantt Proyectos'!AK170=2,$N102*('Gantt Proyectos'!AK170-1))),0)*$L102*$Q102</f>
        <v>0</v>
      </c>
      <c r="AO102" s="467">
        <f>IFERROR(IF('Gantt Proyectos'!AL170&lt;2,$N102*'Gantt Proyectos'!AL170,IF('Gantt Proyectos'!AL170=2,$N102*('Gantt Proyectos'!AL170-1))),0)*$L102*$Q102</f>
        <v>0</v>
      </c>
      <c r="AP102" s="467">
        <f>IFERROR(IF('Gantt Proyectos'!AM170&lt;2,$N102*'Gantt Proyectos'!AM170,IF('Gantt Proyectos'!AM170=2,$N102*('Gantt Proyectos'!AM170-1))),0)*$L102*$Q102</f>
        <v>0</v>
      </c>
      <c r="AQ102" s="468">
        <f>IFERROR(IF('Gantt Proyectos'!AN170&lt;2,$N102*'Gantt Proyectos'!AN170,IF('Gantt Proyectos'!AN170=2,$N102*('Gantt Proyectos'!AN170-1))),0)*$L102*$Q102</f>
        <v>0</v>
      </c>
    </row>
    <row r="103" spans="3:43" ht="15" x14ac:dyDescent="0.2">
      <c r="C103" s="144">
        <f>+'Gantt Proyectos'!C171</f>
        <v>75</v>
      </c>
      <c r="D103" s="145">
        <f>+'Gantt Proyectos'!D171</f>
        <v>0</v>
      </c>
      <c r="E103" s="145">
        <f>+'Gantt Proyectos'!E171</f>
        <v>0</v>
      </c>
      <c r="F103" s="147">
        <f>+'Gantt Proyectos'!F171</f>
        <v>0</v>
      </c>
      <c r="G103" s="145">
        <f>+'Gantt Proyectos'!G171</f>
        <v>0</v>
      </c>
      <c r="H103" s="145">
        <f>+'Gantt Proyectos'!H171</f>
        <v>0</v>
      </c>
      <c r="I103" s="189">
        <v>1</v>
      </c>
      <c r="J103" s="189">
        <f t="shared" si="8"/>
        <v>0</v>
      </c>
      <c r="K103" s="145">
        <f>+'Gantt Proyectos'!I171</f>
        <v>0</v>
      </c>
      <c r="L103" s="120">
        <f>+'Gantt Proyectos'!J171</f>
        <v>0</v>
      </c>
      <c r="M103" s="145">
        <f>+'Gantt Proyectos'!K171</f>
        <v>0</v>
      </c>
      <c r="N103" s="145">
        <f>+'Gantt Proyectos'!L171</f>
        <v>0</v>
      </c>
      <c r="O103" s="145">
        <f>+'Gantt Proyectos'!M171</f>
        <v>0</v>
      </c>
      <c r="P103" s="145">
        <f>+'Gantt Proyectos'!N171</f>
        <v>0</v>
      </c>
      <c r="Q103" s="472">
        <v>1</v>
      </c>
      <c r="R103" s="119">
        <f>+'Gantt Proyectos'!O171</f>
        <v>0</v>
      </c>
      <c r="S103" s="119">
        <f>+'Gantt Proyectos'!P171</f>
        <v>0</v>
      </c>
      <c r="T103" s="145">
        <f>+'Gantt Proyectos'!R171</f>
        <v>0</v>
      </c>
      <c r="U103" s="118">
        <f>+'Gantt Proyectos'!S171</f>
        <v>0</v>
      </c>
      <c r="V103" s="156">
        <f>+'Gantt Proyectos'!T171</f>
        <v>0</v>
      </c>
      <c r="W103" s="156">
        <f>+'Gantt Proyectos'!U171</f>
        <v>0</v>
      </c>
      <c r="X103" s="201">
        <f t="shared" si="9"/>
        <v>0</v>
      </c>
      <c r="Y103" s="121">
        <f>+'Gantt Proyectos'!W171</f>
        <v>0</v>
      </c>
      <c r="Z103" s="122">
        <f>+'Gantt Proyectos'!X171</f>
        <v>0</v>
      </c>
      <c r="AA103" s="122">
        <f>+'Gantt Proyectos'!Y171</f>
        <v>0</v>
      </c>
      <c r="AB103" s="122">
        <f>+'Gantt Proyectos'!Z171</f>
        <v>0</v>
      </c>
      <c r="AC103" s="122">
        <f>+'Gantt Proyectos'!AA171</f>
        <v>0</v>
      </c>
      <c r="AD103" s="122">
        <f>+'Gantt Proyectos'!AB171</f>
        <v>0</v>
      </c>
      <c r="AE103" s="123">
        <f>+'Gantt Proyectos'!AC171</f>
        <v>0</v>
      </c>
      <c r="AF103" s="123">
        <f>+'Gantt Proyectos'!AD171</f>
        <v>0</v>
      </c>
      <c r="AG103" s="124">
        <f>+'Gantt Proyectos'!AE171</f>
        <v>0</v>
      </c>
      <c r="AH103" s="172">
        <v>1</v>
      </c>
      <c r="AI103" s="466">
        <f>IFERROR(IF('Gantt Proyectos'!AF171&lt;2,$N103*'Gantt Proyectos'!AF171,IF('Gantt Proyectos'!AF171=2,$N103*('Gantt Proyectos'!AF171-1))),0)*$L103*$Q103</f>
        <v>0</v>
      </c>
      <c r="AJ103" s="467">
        <f>IFERROR(IF('Gantt Proyectos'!AG171&lt;2,$N103*'Gantt Proyectos'!AG171,IF('Gantt Proyectos'!AG171=2,$N103*('Gantt Proyectos'!AG171-1))),0)*$L103*$Q103</f>
        <v>0</v>
      </c>
      <c r="AK103" s="467">
        <f>IFERROR(IF('Gantt Proyectos'!AH171&lt;2,$N103*'Gantt Proyectos'!AH171,IF('Gantt Proyectos'!AH171=2,$N103*('Gantt Proyectos'!AH171-1))),0)*$L103*$Q103</f>
        <v>0</v>
      </c>
      <c r="AL103" s="467">
        <f>IFERROR(IF('Gantt Proyectos'!AI171&lt;2,$N103*'Gantt Proyectos'!AI171,IF('Gantt Proyectos'!AI171=2,$N103*('Gantt Proyectos'!AI171-1))),0)*$L103*$Q103</f>
        <v>0</v>
      </c>
      <c r="AM103" s="467">
        <f>IFERROR(IF('Gantt Proyectos'!AJ171&lt;2,$N103*'Gantt Proyectos'!AJ171,IF('Gantt Proyectos'!AJ171=2,$N103*('Gantt Proyectos'!AJ171-1))),0)*$L103*$Q103</f>
        <v>0</v>
      </c>
      <c r="AN103" s="467">
        <f>IFERROR(IF('Gantt Proyectos'!AK171&lt;2,$N103*'Gantt Proyectos'!AK171,IF('Gantt Proyectos'!AK171=2,$N103*('Gantt Proyectos'!AK171-1))),0)*$L103*$Q103</f>
        <v>0</v>
      </c>
      <c r="AO103" s="467">
        <f>IFERROR(IF('Gantt Proyectos'!AL171&lt;2,$N103*'Gantt Proyectos'!AL171,IF('Gantt Proyectos'!AL171=2,$N103*('Gantt Proyectos'!AL171-1))),0)*$L103*$Q103</f>
        <v>0</v>
      </c>
      <c r="AP103" s="467">
        <f>IFERROR(IF('Gantt Proyectos'!AM171&lt;2,$N103*'Gantt Proyectos'!AM171,IF('Gantt Proyectos'!AM171=2,$N103*('Gantt Proyectos'!AM171-1))),0)*$L103*$Q103</f>
        <v>0</v>
      </c>
      <c r="AQ103" s="468">
        <f>IFERROR(IF('Gantt Proyectos'!AN171&lt;2,$N103*'Gantt Proyectos'!AN171,IF('Gantt Proyectos'!AN171=2,$N103*('Gantt Proyectos'!AN171-1))),0)*$L103*$Q103</f>
        <v>0</v>
      </c>
    </row>
    <row r="104" spans="3:43" ht="15" x14ac:dyDescent="0.2">
      <c r="C104" s="144">
        <f>+'Gantt Proyectos'!C172</f>
        <v>76</v>
      </c>
      <c r="D104" s="145">
        <f>+'Gantt Proyectos'!D172</f>
        <v>0</v>
      </c>
      <c r="E104" s="145">
        <f>+'Gantt Proyectos'!E172</f>
        <v>0</v>
      </c>
      <c r="F104" s="147">
        <f>+'Gantt Proyectos'!F172</f>
        <v>0</v>
      </c>
      <c r="G104" s="145">
        <f>+'Gantt Proyectos'!G172</f>
        <v>0</v>
      </c>
      <c r="H104" s="145">
        <f>+'Gantt Proyectos'!H172</f>
        <v>0</v>
      </c>
      <c r="I104" s="189">
        <v>1</v>
      </c>
      <c r="J104" s="189">
        <f t="shared" si="8"/>
        <v>0</v>
      </c>
      <c r="K104" s="145">
        <f>+'Gantt Proyectos'!I172</f>
        <v>0</v>
      </c>
      <c r="L104" s="120">
        <f>+'Gantt Proyectos'!J172</f>
        <v>0</v>
      </c>
      <c r="M104" s="145">
        <f>+'Gantt Proyectos'!K172</f>
        <v>0</v>
      </c>
      <c r="N104" s="145">
        <f>+'Gantt Proyectos'!L172</f>
        <v>0</v>
      </c>
      <c r="O104" s="145">
        <f>+'Gantt Proyectos'!M172</f>
        <v>0</v>
      </c>
      <c r="P104" s="145">
        <f>+'Gantt Proyectos'!N172</f>
        <v>0</v>
      </c>
      <c r="Q104" s="472">
        <v>1</v>
      </c>
      <c r="R104" s="119">
        <f>+'Gantt Proyectos'!O172</f>
        <v>0</v>
      </c>
      <c r="S104" s="119">
        <f>+'Gantt Proyectos'!P172</f>
        <v>0</v>
      </c>
      <c r="T104" s="145">
        <f>+'Gantt Proyectos'!R172</f>
        <v>0</v>
      </c>
      <c r="U104" s="118">
        <f>+'Gantt Proyectos'!S172</f>
        <v>0</v>
      </c>
      <c r="V104" s="156">
        <f>+'Gantt Proyectos'!T172</f>
        <v>0</v>
      </c>
      <c r="W104" s="156">
        <f>+'Gantt Proyectos'!U172</f>
        <v>0</v>
      </c>
      <c r="X104" s="201">
        <f t="shared" si="9"/>
        <v>0</v>
      </c>
      <c r="Y104" s="121">
        <f>+'Gantt Proyectos'!W172</f>
        <v>0</v>
      </c>
      <c r="Z104" s="122">
        <f>+'Gantt Proyectos'!X172</f>
        <v>0</v>
      </c>
      <c r="AA104" s="122">
        <f>+'Gantt Proyectos'!Y172</f>
        <v>0</v>
      </c>
      <c r="AB104" s="122">
        <f>+'Gantt Proyectos'!Z172</f>
        <v>0</v>
      </c>
      <c r="AC104" s="122">
        <f>+'Gantt Proyectos'!AA172</f>
        <v>0</v>
      </c>
      <c r="AD104" s="122">
        <f>+'Gantt Proyectos'!AB172</f>
        <v>0</v>
      </c>
      <c r="AE104" s="123">
        <f>+'Gantt Proyectos'!AC172</f>
        <v>0</v>
      </c>
      <c r="AF104" s="123">
        <f>+'Gantt Proyectos'!AD172</f>
        <v>0</v>
      </c>
      <c r="AG104" s="124">
        <f>+'Gantt Proyectos'!AE172</f>
        <v>0</v>
      </c>
      <c r="AH104" s="172">
        <v>1</v>
      </c>
      <c r="AI104" s="466">
        <f>IFERROR(IF('Gantt Proyectos'!AF172&lt;2,$N104*'Gantt Proyectos'!AF172,IF('Gantt Proyectos'!AF172=2,$N104*('Gantt Proyectos'!AF172-1))),0)*$L104*$Q104</f>
        <v>0</v>
      </c>
      <c r="AJ104" s="467">
        <f>IFERROR(IF('Gantt Proyectos'!AG172&lt;2,$N104*'Gantt Proyectos'!AG172,IF('Gantt Proyectos'!AG172=2,$N104*('Gantt Proyectos'!AG172-1))),0)*$L104*$Q104</f>
        <v>0</v>
      </c>
      <c r="AK104" s="467">
        <f>IFERROR(IF('Gantt Proyectos'!AH172&lt;2,$N104*'Gantt Proyectos'!AH172,IF('Gantt Proyectos'!AH172=2,$N104*('Gantt Proyectos'!AH172-1))),0)*$L104*$Q104</f>
        <v>0</v>
      </c>
      <c r="AL104" s="467">
        <f>IFERROR(IF('Gantt Proyectos'!AI172&lt;2,$N104*'Gantt Proyectos'!AI172,IF('Gantt Proyectos'!AI172=2,$N104*('Gantt Proyectos'!AI172-1))),0)*$L104*$Q104</f>
        <v>0</v>
      </c>
      <c r="AM104" s="467">
        <f>IFERROR(IF('Gantt Proyectos'!AJ172&lt;2,$N104*'Gantt Proyectos'!AJ172,IF('Gantt Proyectos'!AJ172=2,$N104*('Gantt Proyectos'!AJ172-1))),0)*$L104*$Q104</f>
        <v>0</v>
      </c>
      <c r="AN104" s="467">
        <f>IFERROR(IF('Gantt Proyectos'!AK172&lt;2,$N104*'Gantt Proyectos'!AK172,IF('Gantt Proyectos'!AK172=2,$N104*('Gantt Proyectos'!AK172-1))),0)*$L104*$Q104</f>
        <v>0</v>
      </c>
      <c r="AO104" s="467">
        <f>IFERROR(IF('Gantt Proyectos'!AL172&lt;2,$N104*'Gantt Proyectos'!AL172,IF('Gantt Proyectos'!AL172=2,$N104*('Gantt Proyectos'!AL172-1))),0)*$L104*$Q104</f>
        <v>0</v>
      </c>
      <c r="AP104" s="467">
        <f>IFERROR(IF('Gantt Proyectos'!AM172&lt;2,$N104*'Gantt Proyectos'!AM172,IF('Gantt Proyectos'!AM172=2,$N104*('Gantt Proyectos'!AM172-1))),0)*$L104*$Q104</f>
        <v>0</v>
      </c>
      <c r="AQ104" s="468">
        <f>IFERROR(IF('Gantt Proyectos'!AN172&lt;2,$N104*'Gantt Proyectos'!AN172,IF('Gantt Proyectos'!AN172=2,$N104*('Gantt Proyectos'!AN172-1))),0)*$L104*$Q104</f>
        <v>0</v>
      </c>
    </row>
    <row r="105" spans="3:43" ht="15" x14ac:dyDescent="0.2">
      <c r="C105" s="144">
        <f>+'Gantt Proyectos'!C173</f>
        <v>77</v>
      </c>
      <c r="D105" s="145">
        <f>+'Gantt Proyectos'!D173</f>
        <v>0</v>
      </c>
      <c r="E105" s="145">
        <f>+'Gantt Proyectos'!E173</f>
        <v>0</v>
      </c>
      <c r="F105" s="147">
        <f>+'Gantt Proyectos'!F173</f>
        <v>0</v>
      </c>
      <c r="G105" s="145">
        <f>+'Gantt Proyectos'!G173</f>
        <v>0</v>
      </c>
      <c r="H105" s="145">
        <f>+'Gantt Proyectos'!H173</f>
        <v>0</v>
      </c>
      <c r="I105" s="189">
        <v>1</v>
      </c>
      <c r="J105" s="189">
        <f t="shared" si="8"/>
        <v>0</v>
      </c>
      <c r="K105" s="145">
        <f>+'Gantt Proyectos'!I173</f>
        <v>0</v>
      </c>
      <c r="L105" s="120">
        <f>+'Gantt Proyectos'!J173</f>
        <v>0</v>
      </c>
      <c r="M105" s="145">
        <f>+'Gantt Proyectos'!K173</f>
        <v>0</v>
      </c>
      <c r="N105" s="145">
        <f>+'Gantt Proyectos'!L173</f>
        <v>0</v>
      </c>
      <c r="O105" s="145">
        <f>+'Gantt Proyectos'!M173</f>
        <v>0</v>
      </c>
      <c r="P105" s="145">
        <f>+'Gantt Proyectos'!N173</f>
        <v>0</v>
      </c>
      <c r="Q105" s="472">
        <v>1</v>
      </c>
      <c r="R105" s="119">
        <f>+'Gantt Proyectos'!O173</f>
        <v>0</v>
      </c>
      <c r="S105" s="119">
        <f>+'Gantt Proyectos'!P173</f>
        <v>0</v>
      </c>
      <c r="T105" s="145">
        <f>+'Gantt Proyectos'!R173</f>
        <v>0</v>
      </c>
      <c r="U105" s="118">
        <f>+'Gantt Proyectos'!S173</f>
        <v>0</v>
      </c>
      <c r="V105" s="156">
        <f>+'Gantt Proyectos'!T173</f>
        <v>0</v>
      </c>
      <c r="W105" s="156">
        <f>+'Gantt Proyectos'!U173</f>
        <v>0</v>
      </c>
      <c r="X105" s="201">
        <f t="shared" si="9"/>
        <v>0</v>
      </c>
      <c r="Y105" s="121">
        <f>+'Gantt Proyectos'!W173</f>
        <v>0</v>
      </c>
      <c r="Z105" s="122">
        <f>+'Gantt Proyectos'!X173</f>
        <v>0</v>
      </c>
      <c r="AA105" s="122">
        <f>+'Gantt Proyectos'!Y173</f>
        <v>0</v>
      </c>
      <c r="AB105" s="122">
        <f>+'Gantt Proyectos'!Z173</f>
        <v>0</v>
      </c>
      <c r="AC105" s="122">
        <f>+'Gantt Proyectos'!AA173</f>
        <v>0</v>
      </c>
      <c r="AD105" s="122">
        <f>+'Gantt Proyectos'!AB173</f>
        <v>0</v>
      </c>
      <c r="AE105" s="123">
        <f>+'Gantt Proyectos'!AC173</f>
        <v>0</v>
      </c>
      <c r="AF105" s="123">
        <f>+'Gantt Proyectos'!AD173</f>
        <v>0</v>
      </c>
      <c r="AG105" s="124">
        <f>+'Gantt Proyectos'!AE173</f>
        <v>0</v>
      </c>
      <c r="AH105" s="172">
        <v>1</v>
      </c>
      <c r="AI105" s="466">
        <f>IFERROR(IF('Gantt Proyectos'!AF173&lt;2,$N105*'Gantt Proyectos'!AF173,IF('Gantt Proyectos'!AF173=2,$N105*('Gantt Proyectos'!AF173-1))),0)*$L105*$Q105</f>
        <v>0</v>
      </c>
      <c r="AJ105" s="467">
        <f>IFERROR(IF('Gantt Proyectos'!AG173&lt;2,$N105*'Gantt Proyectos'!AG173,IF('Gantt Proyectos'!AG173=2,$N105*('Gantt Proyectos'!AG173-1))),0)*$L105*$Q105</f>
        <v>0</v>
      </c>
      <c r="AK105" s="467">
        <f>IFERROR(IF('Gantt Proyectos'!AH173&lt;2,$N105*'Gantt Proyectos'!AH173,IF('Gantt Proyectos'!AH173=2,$N105*('Gantt Proyectos'!AH173-1))),0)*$L105*$Q105</f>
        <v>0</v>
      </c>
      <c r="AL105" s="467">
        <f>IFERROR(IF('Gantt Proyectos'!AI173&lt;2,$N105*'Gantt Proyectos'!AI173,IF('Gantt Proyectos'!AI173=2,$N105*('Gantt Proyectos'!AI173-1))),0)*$L105*$Q105</f>
        <v>0</v>
      </c>
      <c r="AM105" s="467">
        <f>IFERROR(IF('Gantt Proyectos'!AJ173&lt;2,$N105*'Gantt Proyectos'!AJ173,IF('Gantt Proyectos'!AJ173=2,$N105*('Gantt Proyectos'!AJ173-1))),0)*$L105*$Q105</f>
        <v>0</v>
      </c>
      <c r="AN105" s="467">
        <f>IFERROR(IF('Gantt Proyectos'!AK173&lt;2,$N105*'Gantt Proyectos'!AK173,IF('Gantt Proyectos'!AK173=2,$N105*('Gantt Proyectos'!AK173-1))),0)*$L105*$Q105</f>
        <v>0</v>
      </c>
      <c r="AO105" s="467">
        <f>IFERROR(IF('Gantt Proyectos'!AL173&lt;2,$N105*'Gantt Proyectos'!AL173,IF('Gantt Proyectos'!AL173=2,$N105*('Gantt Proyectos'!AL173-1))),0)*$L105*$Q105</f>
        <v>0</v>
      </c>
      <c r="AP105" s="467">
        <f>IFERROR(IF('Gantt Proyectos'!AM173&lt;2,$N105*'Gantt Proyectos'!AM173,IF('Gantt Proyectos'!AM173=2,$N105*('Gantt Proyectos'!AM173-1))),0)*$L105*$Q105</f>
        <v>0</v>
      </c>
      <c r="AQ105" s="468">
        <f>IFERROR(IF('Gantt Proyectos'!AN173&lt;2,$N105*'Gantt Proyectos'!AN173,IF('Gantt Proyectos'!AN173=2,$N105*('Gantt Proyectos'!AN173-1))),0)*$L105*$Q105</f>
        <v>0</v>
      </c>
    </row>
    <row r="106" spans="3:43" ht="15" x14ac:dyDescent="0.2">
      <c r="C106" s="144">
        <f>+'Gantt Proyectos'!C174</f>
        <v>78</v>
      </c>
      <c r="D106" s="145">
        <f>+'Gantt Proyectos'!D174</f>
        <v>0</v>
      </c>
      <c r="E106" s="145">
        <f>+'Gantt Proyectos'!E174</f>
        <v>0</v>
      </c>
      <c r="F106" s="147">
        <f>+'Gantt Proyectos'!F174</f>
        <v>0</v>
      </c>
      <c r="G106" s="145">
        <f>+'Gantt Proyectos'!G174</f>
        <v>0</v>
      </c>
      <c r="H106" s="145">
        <f>+'Gantt Proyectos'!H174</f>
        <v>0</v>
      </c>
      <c r="I106" s="189">
        <v>1</v>
      </c>
      <c r="J106" s="189">
        <f t="shared" si="8"/>
        <v>0</v>
      </c>
      <c r="K106" s="145">
        <f>+'Gantt Proyectos'!I174</f>
        <v>0</v>
      </c>
      <c r="L106" s="120">
        <f>+'Gantt Proyectos'!J174</f>
        <v>0</v>
      </c>
      <c r="M106" s="145">
        <f>+'Gantt Proyectos'!K174</f>
        <v>0</v>
      </c>
      <c r="N106" s="145">
        <f>+'Gantt Proyectos'!L174</f>
        <v>0</v>
      </c>
      <c r="O106" s="145">
        <f>+'Gantt Proyectos'!M174</f>
        <v>0</v>
      </c>
      <c r="P106" s="145">
        <f>+'Gantt Proyectos'!N174</f>
        <v>0</v>
      </c>
      <c r="Q106" s="472">
        <v>1</v>
      </c>
      <c r="R106" s="119">
        <f>+'Gantt Proyectos'!O174</f>
        <v>0</v>
      </c>
      <c r="S106" s="119">
        <f>+'Gantt Proyectos'!P174</f>
        <v>0</v>
      </c>
      <c r="T106" s="145">
        <f>+'Gantt Proyectos'!R174</f>
        <v>0</v>
      </c>
      <c r="U106" s="118">
        <f>+'Gantt Proyectos'!S174</f>
        <v>0</v>
      </c>
      <c r="V106" s="156">
        <f>+'Gantt Proyectos'!T174</f>
        <v>0</v>
      </c>
      <c r="W106" s="156">
        <f>+'Gantt Proyectos'!U174</f>
        <v>0</v>
      </c>
      <c r="X106" s="201">
        <f t="shared" si="9"/>
        <v>0</v>
      </c>
      <c r="Y106" s="121">
        <f>+'Gantt Proyectos'!W174</f>
        <v>0</v>
      </c>
      <c r="Z106" s="122">
        <f>+'Gantt Proyectos'!X174</f>
        <v>0</v>
      </c>
      <c r="AA106" s="122">
        <f>+'Gantt Proyectos'!Y174</f>
        <v>0</v>
      </c>
      <c r="AB106" s="122">
        <f>+'Gantt Proyectos'!Z174</f>
        <v>0</v>
      </c>
      <c r="AC106" s="122">
        <f>+'Gantt Proyectos'!AA174</f>
        <v>0</v>
      </c>
      <c r="AD106" s="122">
        <f>+'Gantt Proyectos'!AB174</f>
        <v>0</v>
      </c>
      <c r="AE106" s="123">
        <f>+'Gantt Proyectos'!AC174</f>
        <v>0</v>
      </c>
      <c r="AF106" s="123">
        <f>+'Gantt Proyectos'!AD174</f>
        <v>0</v>
      </c>
      <c r="AG106" s="124">
        <f>+'Gantt Proyectos'!AE174</f>
        <v>0</v>
      </c>
      <c r="AH106" s="172">
        <v>1</v>
      </c>
      <c r="AI106" s="466">
        <f>IFERROR(IF('Gantt Proyectos'!AF174&lt;2,$N106*'Gantt Proyectos'!AF174,IF('Gantt Proyectos'!AF174=2,$N106*('Gantt Proyectos'!AF174-1))),0)*$L106*$Q106</f>
        <v>0</v>
      </c>
      <c r="AJ106" s="467">
        <f>IFERROR(IF('Gantt Proyectos'!AG174&lt;2,$N106*'Gantt Proyectos'!AG174,IF('Gantt Proyectos'!AG174=2,$N106*('Gantt Proyectos'!AG174-1))),0)*$L106*$Q106</f>
        <v>0</v>
      </c>
      <c r="AK106" s="467">
        <f>IFERROR(IF('Gantt Proyectos'!AH174&lt;2,$N106*'Gantt Proyectos'!AH174,IF('Gantt Proyectos'!AH174=2,$N106*('Gantt Proyectos'!AH174-1))),0)*$L106*$Q106</f>
        <v>0</v>
      </c>
      <c r="AL106" s="467">
        <f>IFERROR(IF('Gantt Proyectos'!AI174&lt;2,$N106*'Gantt Proyectos'!AI174,IF('Gantt Proyectos'!AI174=2,$N106*('Gantt Proyectos'!AI174-1))),0)*$L106*$Q106</f>
        <v>0</v>
      </c>
      <c r="AM106" s="467">
        <f>IFERROR(IF('Gantt Proyectos'!AJ174&lt;2,$N106*'Gantt Proyectos'!AJ174,IF('Gantt Proyectos'!AJ174=2,$N106*('Gantt Proyectos'!AJ174-1))),0)*$L106*$Q106</f>
        <v>0</v>
      </c>
      <c r="AN106" s="467">
        <f>IFERROR(IF('Gantt Proyectos'!AK174&lt;2,$N106*'Gantt Proyectos'!AK174,IF('Gantt Proyectos'!AK174=2,$N106*('Gantt Proyectos'!AK174-1))),0)*$L106*$Q106</f>
        <v>0</v>
      </c>
      <c r="AO106" s="467">
        <f>IFERROR(IF('Gantt Proyectos'!AL174&lt;2,$N106*'Gantt Proyectos'!AL174,IF('Gantt Proyectos'!AL174=2,$N106*('Gantt Proyectos'!AL174-1))),0)*$L106*$Q106</f>
        <v>0</v>
      </c>
      <c r="AP106" s="467">
        <f>IFERROR(IF('Gantt Proyectos'!AM174&lt;2,$N106*'Gantt Proyectos'!AM174,IF('Gantt Proyectos'!AM174=2,$N106*('Gantt Proyectos'!AM174-1))),0)*$L106*$Q106</f>
        <v>0</v>
      </c>
      <c r="AQ106" s="468">
        <f>IFERROR(IF('Gantt Proyectos'!AN174&lt;2,$N106*'Gantt Proyectos'!AN174,IF('Gantt Proyectos'!AN174=2,$N106*('Gantt Proyectos'!AN174-1))),0)*$L106*$Q106</f>
        <v>0</v>
      </c>
    </row>
    <row r="107" spans="3:43" ht="15" x14ac:dyDescent="0.2">
      <c r="C107" s="144">
        <f>+'Gantt Proyectos'!C175</f>
        <v>79</v>
      </c>
      <c r="D107" s="145">
        <f>+'Gantt Proyectos'!D175</f>
        <v>0</v>
      </c>
      <c r="E107" s="145">
        <f>+'Gantt Proyectos'!E175</f>
        <v>0</v>
      </c>
      <c r="F107" s="147">
        <f>+'Gantt Proyectos'!F175</f>
        <v>0</v>
      </c>
      <c r="G107" s="145">
        <f>+'Gantt Proyectos'!G175</f>
        <v>0</v>
      </c>
      <c r="H107" s="145">
        <f>+'Gantt Proyectos'!H175</f>
        <v>0</v>
      </c>
      <c r="I107" s="189">
        <v>1</v>
      </c>
      <c r="J107" s="189">
        <f t="shared" si="8"/>
        <v>0</v>
      </c>
      <c r="K107" s="145">
        <f>+'Gantt Proyectos'!I175</f>
        <v>0</v>
      </c>
      <c r="L107" s="120">
        <f>+'Gantt Proyectos'!J175</f>
        <v>0</v>
      </c>
      <c r="M107" s="145">
        <f>+'Gantt Proyectos'!K175</f>
        <v>0</v>
      </c>
      <c r="N107" s="145">
        <f>+'Gantt Proyectos'!L175</f>
        <v>0</v>
      </c>
      <c r="O107" s="145">
        <f>+'Gantt Proyectos'!M175</f>
        <v>0</v>
      </c>
      <c r="P107" s="145">
        <f>+'Gantt Proyectos'!N175</f>
        <v>0</v>
      </c>
      <c r="Q107" s="472">
        <v>1</v>
      </c>
      <c r="R107" s="119">
        <f>+'Gantt Proyectos'!O175</f>
        <v>0</v>
      </c>
      <c r="S107" s="119">
        <f>+'Gantt Proyectos'!P175</f>
        <v>0</v>
      </c>
      <c r="T107" s="145">
        <f>+'Gantt Proyectos'!R175</f>
        <v>0</v>
      </c>
      <c r="U107" s="118">
        <f>+'Gantt Proyectos'!S175</f>
        <v>0</v>
      </c>
      <c r="V107" s="156">
        <f>+'Gantt Proyectos'!T175</f>
        <v>0</v>
      </c>
      <c r="W107" s="156">
        <f>+'Gantt Proyectos'!U175</f>
        <v>0</v>
      </c>
      <c r="X107" s="201">
        <f t="shared" si="9"/>
        <v>0</v>
      </c>
      <c r="Y107" s="121">
        <f>+'Gantt Proyectos'!W175</f>
        <v>0</v>
      </c>
      <c r="Z107" s="122">
        <f>+'Gantt Proyectos'!X175</f>
        <v>0</v>
      </c>
      <c r="AA107" s="122">
        <f>+'Gantt Proyectos'!Y175</f>
        <v>0</v>
      </c>
      <c r="AB107" s="122">
        <f>+'Gantt Proyectos'!Z175</f>
        <v>0</v>
      </c>
      <c r="AC107" s="122">
        <f>+'Gantt Proyectos'!AA175</f>
        <v>0</v>
      </c>
      <c r="AD107" s="122">
        <f>+'Gantt Proyectos'!AB175</f>
        <v>0</v>
      </c>
      <c r="AE107" s="123">
        <f>+'Gantt Proyectos'!AC175</f>
        <v>0</v>
      </c>
      <c r="AF107" s="123">
        <f>+'Gantt Proyectos'!AD175</f>
        <v>0</v>
      </c>
      <c r="AG107" s="124">
        <f>+'Gantt Proyectos'!AE175</f>
        <v>0</v>
      </c>
      <c r="AH107" s="172">
        <v>1</v>
      </c>
      <c r="AI107" s="466">
        <f>IFERROR(IF('Gantt Proyectos'!AF175&lt;2,$N107*'Gantt Proyectos'!AF175,IF('Gantt Proyectos'!AF175=2,$N107*('Gantt Proyectos'!AF175-1))),0)*$L107*$Q107</f>
        <v>0</v>
      </c>
      <c r="AJ107" s="467">
        <f>IFERROR(IF('Gantt Proyectos'!AG175&lt;2,$N107*'Gantt Proyectos'!AG175,IF('Gantt Proyectos'!AG175=2,$N107*('Gantt Proyectos'!AG175-1))),0)*$L107*$Q107</f>
        <v>0</v>
      </c>
      <c r="AK107" s="467">
        <f>IFERROR(IF('Gantt Proyectos'!AH175&lt;2,$N107*'Gantt Proyectos'!AH175,IF('Gantt Proyectos'!AH175=2,$N107*('Gantt Proyectos'!AH175-1))),0)*$L107*$Q107</f>
        <v>0</v>
      </c>
      <c r="AL107" s="467">
        <f>IFERROR(IF('Gantt Proyectos'!AI175&lt;2,$N107*'Gantt Proyectos'!AI175,IF('Gantt Proyectos'!AI175=2,$N107*('Gantt Proyectos'!AI175-1))),0)*$L107*$Q107</f>
        <v>0</v>
      </c>
      <c r="AM107" s="467">
        <f>IFERROR(IF('Gantt Proyectos'!AJ175&lt;2,$N107*'Gantt Proyectos'!AJ175,IF('Gantt Proyectos'!AJ175=2,$N107*('Gantt Proyectos'!AJ175-1))),0)*$L107*$Q107</f>
        <v>0</v>
      </c>
      <c r="AN107" s="467">
        <f>IFERROR(IF('Gantt Proyectos'!AK175&lt;2,$N107*'Gantt Proyectos'!AK175,IF('Gantt Proyectos'!AK175=2,$N107*('Gantt Proyectos'!AK175-1))),0)*$L107*$Q107</f>
        <v>0</v>
      </c>
      <c r="AO107" s="467">
        <f>IFERROR(IF('Gantt Proyectos'!AL175&lt;2,$N107*'Gantt Proyectos'!AL175,IF('Gantt Proyectos'!AL175=2,$N107*('Gantt Proyectos'!AL175-1))),0)*$L107*$Q107</f>
        <v>0</v>
      </c>
      <c r="AP107" s="467">
        <f>IFERROR(IF('Gantt Proyectos'!AM175&lt;2,$N107*'Gantt Proyectos'!AM175,IF('Gantt Proyectos'!AM175=2,$N107*('Gantt Proyectos'!AM175-1))),0)*$L107*$Q107</f>
        <v>0</v>
      </c>
      <c r="AQ107" s="468">
        <f>IFERROR(IF('Gantt Proyectos'!AN175&lt;2,$N107*'Gantt Proyectos'!AN175,IF('Gantt Proyectos'!AN175=2,$N107*('Gantt Proyectos'!AN175-1))),0)*$L107*$Q107</f>
        <v>0</v>
      </c>
    </row>
    <row r="108" spans="3:43" ht="15" x14ac:dyDescent="0.2">
      <c r="C108" s="144">
        <f>+'Gantt Proyectos'!C176</f>
        <v>80</v>
      </c>
      <c r="D108" s="145">
        <f>+'Gantt Proyectos'!D176</f>
        <v>0</v>
      </c>
      <c r="E108" s="145">
        <f>+'Gantt Proyectos'!E176</f>
        <v>0</v>
      </c>
      <c r="F108" s="147">
        <f>+'Gantt Proyectos'!F176</f>
        <v>0</v>
      </c>
      <c r="G108" s="145">
        <f>+'Gantt Proyectos'!G176</f>
        <v>0</v>
      </c>
      <c r="H108" s="145">
        <f>+'Gantt Proyectos'!H176</f>
        <v>0</v>
      </c>
      <c r="I108" s="189">
        <v>1</v>
      </c>
      <c r="J108" s="189">
        <f t="shared" si="8"/>
        <v>0</v>
      </c>
      <c r="K108" s="145">
        <f>+'Gantt Proyectos'!I176</f>
        <v>0</v>
      </c>
      <c r="L108" s="120">
        <f>+'Gantt Proyectos'!J176</f>
        <v>0</v>
      </c>
      <c r="M108" s="145">
        <f>+'Gantt Proyectos'!K176</f>
        <v>0</v>
      </c>
      <c r="N108" s="145">
        <f>+'Gantt Proyectos'!L176</f>
        <v>0</v>
      </c>
      <c r="O108" s="145">
        <f>+'Gantt Proyectos'!M176</f>
        <v>0</v>
      </c>
      <c r="P108" s="145">
        <f>+'Gantt Proyectos'!N176</f>
        <v>0</v>
      </c>
      <c r="Q108" s="472">
        <v>1</v>
      </c>
      <c r="R108" s="119">
        <f>+'Gantt Proyectos'!O176</f>
        <v>0</v>
      </c>
      <c r="S108" s="119">
        <f>+'Gantt Proyectos'!P176</f>
        <v>0</v>
      </c>
      <c r="T108" s="145">
        <f>+'Gantt Proyectos'!R176</f>
        <v>0</v>
      </c>
      <c r="U108" s="118">
        <f>+'Gantt Proyectos'!S176</f>
        <v>0</v>
      </c>
      <c r="V108" s="156">
        <f>+'Gantt Proyectos'!T176</f>
        <v>0</v>
      </c>
      <c r="W108" s="156">
        <f>+'Gantt Proyectos'!U176</f>
        <v>0</v>
      </c>
      <c r="X108" s="201">
        <f t="shared" si="9"/>
        <v>0</v>
      </c>
      <c r="Y108" s="121">
        <f>+'Gantt Proyectos'!W176</f>
        <v>0</v>
      </c>
      <c r="Z108" s="122">
        <f>+'Gantt Proyectos'!X176</f>
        <v>0</v>
      </c>
      <c r="AA108" s="122">
        <f>+'Gantt Proyectos'!Y176</f>
        <v>0</v>
      </c>
      <c r="AB108" s="122">
        <f>+'Gantt Proyectos'!Z176</f>
        <v>0</v>
      </c>
      <c r="AC108" s="122">
        <f>+'Gantt Proyectos'!AA176</f>
        <v>0</v>
      </c>
      <c r="AD108" s="122">
        <f>+'Gantt Proyectos'!AB176</f>
        <v>0</v>
      </c>
      <c r="AE108" s="123">
        <f>+'Gantt Proyectos'!AC176</f>
        <v>0</v>
      </c>
      <c r="AF108" s="123">
        <f>+'Gantt Proyectos'!AD176</f>
        <v>0</v>
      </c>
      <c r="AG108" s="124">
        <f>+'Gantt Proyectos'!AE176</f>
        <v>0</v>
      </c>
      <c r="AH108" s="172">
        <v>1</v>
      </c>
      <c r="AI108" s="466">
        <f>IFERROR(IF('Gantt Proyectos'!AF176&lt;2,$N108*'Gantt Proyectos'!AF176,IF('Gantt Proyectos'!AF176=2,$N108*('Gantt Proyectos'!AF176-1))),0)*$L108*$Q108</f>
        <v>0</v>
      </c>
      <c r="AJ108" s="467">
        <f>IFERROR(IF('Gantt Proyectos'!AG176&lt;2,$N108*'Gantt Proyectos'!AG176,IF('Gantt Proyectos'!AG176=2,$N108*('Gantt Proyectos'!AG176-1))),0)*$L108*$Q108</f>
        <v>0</v>
      </c>
      <c r="AK108" s="467">
        <f>IFERROR(IF('Gantt Proyectos'!AH176&lt;2,$N108*'Gantt Proyectos'!AH176,IF('Gantt Proyectos'!AH176=2,$N108*('Gantt Proyectos'!AH176-1))),0)*$L108*$Q108</f>
        <v>0</v>
      </c>
      <c r="AL108" s="467">
        <f>IFERROR(IF('Gantt Proyectos'!AI176&lt;2,$N108*'Gantt Proyectos'!AI176,IF('Gantt Proyectos'!AI176=2,$N108*('Gantt Proyectos'!AI176-1))),0)*$L108*$Q108</f>
        <v>0</v>
      </c>
      <c r="AM108" s="467">
        <f>IFERROR(IF('Gantt Proyectos'!AJ176&lt;2,$N108*'Gantt Proyectos'!AJ176,IF('Gantt Proyectos'!AJ176=2,$N108*('Gantt Proyectos'!AJ176-1))),0)*$L108*$Q108</f>
        <v>0</v>
      </c>
      <c r="AN108" s="467">
        <f>IFERROR(IF('Gantt Proyectos'!AK176&lt;2,$N108*'Gantt Proyectos'!AK176,IF('Gantt Proyectos'!AK176=2,$N108*('Gantt Proyectos'!AK176-1))),0)*$L108*$Q108</f>
        <v>0</v>
      </c>
      <c r="AO108" s="467">
        <f>IFERROR(IF('Gantt Proyectos'!AL176&lt;2,$N108*'Gantt Proyectos'!AL176,IF('Gantt Proyectos'!AL176=2,$N108*('Gantt Proyectos'!AL176-1))),0)*$L108*$Q108</f>
        <v>0</v>
      </c>
      <c r="AP108" s="467">
        <f>IFERROR(IF('Gantt Proyectos'!AM176&lt;2,$N108*'Gantt Proyectos'!AM176,IF('Gantt Proyectos'!AM176=2,$N108*('Gantt Proyectos'!AM176-1))),0)*$L108*$Q108</f>
        <v>0</v>
      </c>
      <c r="AQ108" s="468">
        <f>IFERROR(IF('Gantt Proyectos'!AN176&lt;2,$N108*'Gantt Proyectos'!AN176,IF('Gantt Proyectos'!AN176=2,$N108*('Gantt Proyectos'!AN176-1))),0)*$L108*$Q108</f>
        <v>0</v>
      </c>
    </row>
    <row r="109" spans="3:43" ht="15" x14ac:dyDescent="0.2">
      <c r="C109" s="144">
        <f>+'Gantt Proyectos'!C177</f>
        <v>81</v>
      </c>
      <c r="D109" s="145">
        <f>+'Gantt Proyectos'!D177</f>
        <v>0</v>
      </c>
      <c r="E109" s="145">
        <f>+'Gantt Proyectos'!E177</f>
        <v>0</v>
      </c>
      <c r="F109" s="147">
        <f>+'Gantt Proyectos'!F177</f>
        <v>0</v>
      </c>
      <c r="G109" s="145">
        <f>+'Gantt Proyectos'!G177</f>
        <v>0</v>
      </c>
      <c r="H109" s="145">
        <f>+'Gantt Proyectos'!H177</f>
        <v>0</v>
      </c>
      <c r="I109" s="189">
        <v>1</v>
      </c>
      <c r="J109" s="189">
        <f t="shared" si="8"/>
        <v>0</v>
      </c>
      <c r="K109" s="145">
        <f>+'Gantt Proyectos'!I177</f>
        <v>0</v>
      </c>
      <c r="L109" s="120">
        <f>+'Gantt Proyectos'!J177</f>
        <v>0</v>
      </c>
      <c r="M109" s="145">
        <f>+'Gantt Proyectos'!K177</f>
        <v>0</v>
      </c>
      <c r="N109" s="145">
        <f>+'Gantt Proyectos'!L177</f>
        <v>0</v>
      </c>
      <c r="O109" s="145">
        <f>+'Gantt Proyectos'!M177</f>
        <v>0</v>
      </c>
      <c r="P109" s="145">
        <f>+'Gantt Proyectos'!N177</f>
        <v>0</v>
      </c>
      <c r="Q109" s="472">
        <v>1</v>
      </c>
      <c r="R109" s="119">
        <f>+'Gantt Proyectos'!O177</f>
        <v>0</v>
      </c>
      <c r="S109" s="119">
        <f>+'Gantt Proyectos'!P177</f>
        <v>0</v>
      </c>
      <c r="T109" s="145">
        <f>+'Gantt Proyectos'!R177</f>
        <v>0</v>
      </c>
      <c r="U109" s="118">
        <f>+'Gantt Proyectos'!S177</f>
        <v>0</v>
      </c>
      <c r="V109" s="156">
        <f>+'Gantt Proyectos'!T177</f>
        <v>0</v>
      </c>
      <c r="W109" s="156">
        <f>+'Gantt Proyectos'!U177</f>
        <v>0</v>
      </c>
      <c r="X109" s="201">
        <f t="shared" si="9"/>
        <v>0</v>
      </c>
      <c r="Y109" s="121">
        <f>+'Gantt Proyectos'!W177</f>
        <v>0</v>
      </c>
      <c r="Z109" s="122">
        <f>+'Gantt Proyectos'!X177</f>
        <v>0</v>
      </c>
      <c r="AA109" s="122">
        <f>+'Gantt Proyectos'!Y177</f>
        <v>0</v>
      </c>
      <c r="AB109" s="122">
        <f>+'Gantt Proyectos'!Z177</f>
        <v>0</v>
      </c>
      <c r="AC109" s="122">
        <f>+'Gantt Proyectos'!AA177</f>
        <v>0</v>
      </c>
      <c r="AD109" s="122">
        <f>+'Gantt Proyectos'!AB177</f>
        <v>0</v>
      </c>
      <c r="AE109" s="123">
        <f>+'Gantt Proyectos'!AC177</f>
        <v>0</v>
      </c>
      <c r="AF109" s="123">
        <f>+'Gantt Proyectos'!AD177</f>
        <v>0</v>
      </c>
      <c r="AG109" s="124">
        <f>+'Gantt Proyectos'!AE177</f>
        <v>0</v>
      </c>
      <c r="AH109" s="172">
        <v>1</v>
      </c>
      <c r="AI109" s="466">
        <f>IFERROR(IF('Gantt Proyectos'!AF177&lt;2,$N109*'Gantt Proyectos'!AF177,IF('Gantt Proyectos'!AF177=2,$N109*('Gantt Proyectos'!AF177-1))),0)*$L109*$Q109</f>
        <v>0</v>
      </c>
      <c r="AJ109" s="467">
        <f>IFERROR(IF('Gantt Proyectos'!AG177&lt;2,$N109*'Gantt Proyectos'!AG177,IF('Gantt Proyectos'!AG177=2,$N109*('Gantt Proyectos'!AG177-1))),0)*$L109*$Q109</f>
        <v>0</v>
      </c>
      <c r="AK109" s="467">
        <f>IFERROR(IF('Gantt Proyectos'!AH177&lt;2,$N109*'Gantt Proyectos'!AH177,IF('Gantt Proyectos'!AH177=2,$N109*('Gantt Proyectos'!AH177-1))),0)*$L109*$Q109</f>
        <v>0</v>
      </c>
      <c r="AL109" s="467">
        <f>IFERROR(IF('Gantt Proyectos'!AI177&lt;2,$N109*'Gantt Proyectos'!AI177,IF('Gantt Proyectos'!AI177=2,$N109*('Gantt Proyectos'!AI177-1))),0)*$L109*$Q109</f>
        <v>0</v>
      </c>
      <c r="AM109" s="467">
        <f>IFERROR(IF('Gantt Proyectos'!AJ177&lt;2,$N109*'Gantt Proyectos'!AJ177,IF('Gantt Proyectos'!AJ177=2,$N109*('Gantt Proyectos'!AJ177-1))),0)*$L109*$Q109</f>
        <v>0</v>
      </c>
      <c r="AN109" s="467">
        <f>IFERROR(IF('Gantt Proyectos'!AK177&lt;2,$N109*'Gantt Proyectos'!AK177,IF('Gantt Proyectos'!AK177=2,$N109*('Gantt Proyectos'!AK177-1))),0)*$L109*$Q109</f>
        <v>0</v>
      </c>
      <c r="AO109" s="467">
        <f>IFERROR(IF('Gantt Proyectos'!AL177&lt;2,$N109*'Gantt Proyectos'!AL177,IF('Gantt Proyectos'!AL177=2,$N109*('Gantt Proyectos'!AL177-1))),0)*$L109*$Q109</f>
        <v>0</v>
      </c>
      <c r="AP109" s="467">
        <f>IFERROR(IF('Gantt Proyectos'!AM177&lt;2,$N109*'Gantt Proyectos'!AM177,IF('Gantt Proyectos'!AM177=2,$N109*('Gantt Proyectos'!AM177-1))),0)*$L109*$Q109</f>
        <v>0</v>
      </c>
      <c r="AQ109" s="468">
        <f>IFERROR(IF('Gantt Proyectos'!AN177&lt;2,$N109*'Gantt Proyectos'!AN177,IF('Gantt Proyectos'!AN177=2,$N109*('Gantt Proyectos'!AN177-1))),0)*$L109*$Q109</f>
        <v>0</v>
      </c>
    </row>
    <row r="110" spans="3:43" ht="15" x14ac:dyDescent="0.2">
      <c r="C110" s="144">
        <f>+'Gantt Proyectos'!C178</f>
        <v>82</v>
      </c>
      <c r="D110" s="145">
        <f>+'Gantt Proyectos'!D178</f>
        <v>0</v>
      </c>
      <c r="E110" s="145">
        <f>+'Gantt Proyectos'!E178</f>
        <v>0</v>
      </c>
      <c r="F110" s="147">
        <f>+'Gantt Proyectos'!F178</f>
        <v>0</v>
      </c>
      <c r="G110" s="145">
        <f>+'Gantt Proyectos'!G178</f>
        <v>0</v>
      </c>
      <c r="H110" s="145">
        <f>+'Gantt Proyectos'!H178</f>
        <v>0</v>
      </c>
      <c r="I110" s="189">
        <v>1</v>
      </c>
      <c r="J110" s="189">
        <f t="shared" si="8"/>
        <v>0</v>
      </c>
      <c r="K110" s="145">
        <f>+'Gantt Proyectos'!I178</f>
        <v>0</v>
      </c>
      <c r="L110" s="120">
        <f>+'Gantt Proyectos'!J178</f>
        <v>0</v>
      </c>
      <c r="M110" s="145">
        <f>+'Gantt Proyectos'!K178</f>
        <v>0</v>
      </c>
      <c r="N110" s="145">
        <f>+'Gantt Proyectos'!L178</f>
        <v>0</v>
      </c>
      <c r="O110" s="145">
        <f>+'Gantt Proyectos'!M178</f>
        <v>0</v>
      </c>
      <c r="P110" s="145">
        <f>+'Gantt Proyectos'!N178</f>
        <v>0</v>
      </c>
      <c r="Q110" s="472">
        <v>1</v>
      </c>
      <c r="R110" s="119">
        <f>+'Gantt Proyectos'!O178</f>
        <v>0</v>
      </c>
      <c r="S110" s="119">
        <f>+'Gantt Proyectos'!P178</f>
        <v>0</v>
      </c>
      <c r="T110" s="145">
        <f>+'Gantt Proyectos'!R178</f>
        <v>0</v>
      </c>
      <c r="U110" s="118">
        <f>+'Gantt Proyectos'!S178</f>
        <v>0</v>
      </c>
      <c r="V110" s="156">
        <f>+'Gantt Proyectos'!T178</f>
        <v>0</v>
      </c>
      <c r="W110" s="156">
        <f>+'Gantt Proyectos'!U178</f>
        <v>0</v>
      </c>
      <c r="X110" s="201">
        <f t="shared" si="9"/>
        <v>0</v>
      </c>
      <c r="Y110" s="121">
        <f>+'Gantt Proyectos'!W178</f>
        <v>0</v>
      </c>
      <c r="Z110" s="122">
        <f>+'Gantt Proyectos'!X178</f>
        <v>0</v>
      </c>
      <c r="AA110" s="122">
        <f>+'Gantt Proyectos'!Y178</f>
        <v>0</v>
      </c>
      <c r="AB110" s="122">
        <f>+'Gantt Proyectos'!Z178</f>
        <v>0</v>
      </c>
      <c r="AC110" s="122">
        <f>+'Gantt Proyectos'!AA178</f>
        <v>0</v>
      </c>
      <c r="AD110" s="122">
        <f>+'Gantt Proyectos'!AB178</f>
        <v>0</v>
      </c>
      <c r="AE110" s="123">
        <f>+'Gantt Proyectos'!AC178</f>
        <v>0</v>
      </c>
      <c r="AF110" s="123">
        <f>+'Gantt Proyectos'!AD178</f>
        <v>0</v>
      </c>
      <c r="AG110" s="124">
        <f>+'Gantt Proyectos'!AE178</f>
        <v>0</v>
      </c>
      <c r="AH110" s="172">
        <v>1</v>
      </c>
      <c r="AI110" s="466">
        <f>IFERROR(IF('Gantt Proyectos'!AF178&lt;2,$N110*'Gantt Proyectos'!AF178,IF('Gantt Proyectos'!AF178=2,$N110*('Gantt Proyectos'!AF178-1))),0)*$L110*$Q110</f>
        <v>0</v>
      </c>
      <c r="AJ110" s="467">
        <f>IFERROR(IF('Gantt Proyectos'!AG178&lt;2,$N110*'Gantt Proyectos'!AG178,IF('Gantt Proyectos'!AG178=2,$N110*('Gantt Proyectos'!AG178-1))),0)*$L110*$Q110</f>
        <v>0</v>
      </c>
      <c r="AK110" s="467">
        <f>IFERROR(IF('Gantt Proyectos'!AH178&lt;2,$N110*'Gantt Proyectos'!AH178,IF('Gantt Proyectos'!AH178=2,$N110*('Gantt Proyectos'!AH178-1))),0)*$L110*$Q110</f>
        <v>0</v>
      </c>
      <c r="AL110" s="467">
        <f>IFERROR(IF('Gantt Proyectos'!AI178&lt;2,$N110*'Gantt Proyectos'!AI178,IF('Gantt Proyectos'!AI178=2,$N110*('Gantt Proyectos'!AI178-1))),0)*$L110*$Q110</f>
        <v>0</v>
      </c>
      <c r="AM110" s="467">
        <f>IFERROR(IF('Gantt Proyectos'!AJ178&lt;2,$N110*'Gantt Proyectos'!AJ178,IF('Gantt Proyectos'!AJ178=2,$N110*('Gantt Proyectos'!AJ178-1))),0)*$L110*$Q110</f>
        <v>0</v>
      </c>
      <c r="AN110" s="467">
        <f>IFERROR(IF('Gantt Proyectos'!AK178&lt;2,$N110*'Gantt Proyectos'!AK178,IF('Gantt Proyectos'!AK178=2,$N110*('Gantt Proyectos'!AK178-1))),0)*$L110*$Q110</f>
        <v>0</v>
      </c>
      <c r="AO110" s="467">
        <f>IFERROR(IF('Gantt Proyectos'!AL178&lt;2,$N110*'Gantt Proyectos'!AL178,IF('Gantt Proyectos'!AL178=2,$N110*('Gantt Proyectos'!AL178-1))),0)*$L110*$Q110</f>
        <v>0</v>
      </c>
      <c r="AP110" s="467">
        <f>IFERROR(IF('Gantt Proyectos'!AM178&lt;2,$N110*'Gantt Proyectos'!AM178,IF('Gantt Proyectos'!AM178=2,$N110*('Gantt Proyectos'!AM178-1))),0)*$L110*$Q110</f>
        <v>0</v>
      </c>
      <c r="AQ110" s="468">
        <f>IFERROR(IF('Gantt Proyectos'!AN178&lt;2,$N110*'Gantt Proyectos'!AN178,IF('Gantt Proyectos'!AN178=2,$N110*('Gantt Proyectos'!AN178-1))),0)*$L110*$Q110</f>
        <v>0</v>
      </c>
    </row>
    <row r="111" spans="3:43" ht="15" x14ac:dyDescent="0.2">
      <c r="C111" s="144">
        <f>+'Gantt Proyectos'!C179</f>
        <v>83</v>
      </c>
      <c r="D111" s="145">
        <f>+'Gantt Proyectos'!D179</f>
        <v>0</v>
      </c>
      <c r="E111" s="145">
        <f>+'Gantt Proyectos'!E179</f>
        <v>0</v>
      </c>
      <c r="F111" s="147">
        <f>+'Gantt Proyectos'!F179</f>
        <v>0</v>
      </c>
      <c r="G111" s="145">
        <f>+'Gantt Proyectos'!G179</f>
        <v>0</v>
      </c>
      <c r="H111" s="145">
        <f>+'Gantt Proyectos'!H179</f>
        <v>0</v>
      </c>
      <c r="I111" s="189">
        <v>1</v>
      </c>
      <c r="J111" s="189">
        <f t="shared" si="8"/>
        <v>0</v>
      </c>
      <c r="K111" s="145">
        <f>+'Gantt Proyectos'!I179</f>
        <v>0</v>
      </c>
      <c r="L111" s="120">
        <f>+'Gantt Proyectos'!J179</f>
        <v>0</v>
      </c>
      <c r="M111" s="145">
        <f>+'Gantt Proyectos'!K179</f>
        <v>0</v>
      </c>
      <c r="N111" s="145">
        <f>+'Gantt Proyectos'!L179</f>
        <v>0</v>
      </c>
      <c r="O111" s="145">
        <f>+'Gantt Proyectos'!M179</f>
        <v>0</v>
      </c>
      <c r="P111" s="145">
        <f>+'Gantt Proyectos'!N179</f>
        <v>0</v>
      </c>
      <c r="Q111" s="472">
        <v>1</v>
      </c>
      <c r="R111" s="119">
        <f>+'Gantt Proyectos'!O179</f>
        <v>0</v>
      </c>
      <c r="S111" s="119">
        <f>+'Gantt Proyectos'!P179</f>
        <v>0</v>
      </c>
      <c r="T111" s="145">
        <f>+'Gantt Proyectos'!R179</f>
        <v>0</v>
      </c>
      <c r="U111" s="118">
        <f>+'Gantt Proyectos'!S179</f>
        <v>0</v>
      </c>
      <c r="V111" s="156">
        <f>+'Gantt Proyectos'!T179</f>
        <v>0</v>
      </c>
      <c r="W111" s="156">
        <f>+'Gantt Proyectos'!U179</f>
        <v>0</v>
      </c>
      <c r="X111" s="201">
        <f t="shared" si="9"/>
        <v>0</v>
      </c>
      <c r="Y111" s="121">
        <f>+'Gantt Proyectos'!W179</f>
        <v>0</v>
      </c>
      <c r="Z111" s="122">
        <f>+'Gantt Proyectos'!X179</f>
        <v>0</v>
      </c>
      <c r="AA111" s="122">
        <f>+'Gantt Proyectos'!Y179</f>
        <v>0</v>
      </c>
      <c r="AB111" s="122">
        <f>+'Gantt Proyectos'!Z179</f>
        <v>0</v>
      </c>
      <c r="AC111" s="122">
        <f>+'Gantt Proyectos'!AA179</f>
        <v>0</v>
      </c>
      <c r="AD111" s="122">
        <f>+'Gantt Proyectos'!AB179</f>
        <v>0</v>
      </c>
      <c r="AE111" s="123">
        <f>+'Gantt Proyectos'!AC179</f>
        <v>0</v>
      </c>
      <c r="AF111" s="123">
        <f>+'Gantt Proyectos'!AD179</f>
        <v>0</v>
      </c>
      <c r="AG111" s="124">
        <f>+'Gantt Proyectos'!AE179</f>
        <v>0</v>
      </c>
      <c r="AH111" s="172">
        <v>1</v>
      </c>
      <c r="AI111" s="466">
        <f>IFERROR(IF('Gantt Proyectos'!AF179&lt;2,$N111*'Gantt Proyectos'!AF179,IF('Gantt Proyectos'!AF179=2,$N111*('Gantt Proyectos'!AF179-1))),0)*$L111*$Q111</f>
        <v>0</v>
      </c>
      <c r="AJ111" s="467">
        <f>IFERROR(IF('Gantt Proyectos'!AG179&lt;2,$N111*'Gantt Proyectos'!AG179,IF('Gantt Proyectos'!AG179=2,$N111*('Gantt Proyectos'!AG179-1))),0)*$L111*$Q111</f>
        <v>0</v>
      </c>
      <c r="AK111" s="467">
        <f>IFERROR(IF('Gantt Proyectos'!AH179&lt;2,$N111*'Gantt Proyectos'!AH179,IF('Gantt Proyectos'!AH179=2,$N111*('Gantt Proyectos'!AH179-1))),0)*$L111*$Q111</f>
        <v>0</v>
      </c>
      <c r="AL111" s="467">
        <f>IFERROR(IF('Gantt Proyectos'!AI179&lt;2,$N111*'Gantt Proyectos'!AI179,IF('Gantt Proyectos'!AI179=2,$N111*('Gantt Proyectos'!AI179-1))),0)*$L111*$Q111</f>
        <v>0</v>
      </c>
      <c r="AM111" s="467">
        <f>IFERROR(IF('Gantt Proyectos'!AJ179&lt;2,$N111*'Gantt Proyectos'!AJ179,IF('Gantt Proyectos'!AJ179=2,$N111*('Gantt Proyectos'!AJ179-1))),0)*$L111*$Q111</f>
        <v>0</v>
      </c>
      <c r="AN111" s="467">
        <f>IFERROR(IF('Gantt Proyectos'!AK179&lt;2,$N111*'Gantt Proyectos'!AK179,IF('Gantt Proyectos'!AK179=2,$N111*('Gantt Proyectos'!AK179-1))),0)*$L111*$Q111</f>
        <v>0</v>
      </c>
      <c r="AO111" s="467">
        <f>IFERROR(IF('Gantt Proyectos'!AL179&lt;2,$N111*'Gantt Proyectos'!AL179,IF('Gantt Proyectos'!AL179=2,$N111*('Gantt Proyectos'!AL179-1))),0)*$L111*$Q111</f>
        <v>0</v>
      </c>
      <c r="AP111" s="467">
        <f>IFERROR(IF('Gantt Proyectos'!AM179&lt;2,$N111*'Gantt Proyectos'!AM179,IF('Gantt Proyectos'!AM179=2,$N111*('Gantt Proyectos'!AM179-1))),0)*$L111*$Q111</f>
        <v>0</v>
      </c>
      <c r="AQ111" s="468">
        <f>IFERROR(IF('Gantt Proyectos'!AN179&lt;2,$N111*'Gantt Proyectos'!AN179,IF('Gantt Proyectos'!AN179=2,$N111*('Gantt Proyectos'!AN179-1))),0)*$L111*$Q111</f>
        <v>0</v>
      </c>
    </row>
    <row r="112" spans="3:43" ht="15" x14ac:dyDescent="0.2">
      <c r="C112" s="144">
        <f>+'Gantt Proyectos'!C180</f>
        <v>84</v>
      </c>
      <c r="D112" s="145">
        <f>+'Gantt Proyectos'!D180</f>
        <v>0</v>
      </c>
      <c r="E112" s="145">
        <f>+'Gantt Proyectos'!E180</f>
        <v>0</v>
      </c>
      <c r="F112" s="147">
        <f>+'Gantt Proyectos'!F180</f>
        <v>0</v>
      </c>
      <c r="G112" s="145">
        <f>+'Gantt Proyectos'!G180</f>
        <v>0</v>
      </c>
      <c r="H112" s="145">
        <f>+'Gantt Proyectos'!H180</f>
        <v>0</v>
      </c>
      <c r="I112" s="189">
        <v>1</v>
      </c>
      <c r="J112" s="189">
        <f t="shared" si="8"/>
        <v>0</v>
      </c>
      <c r="K112" s="145">
        <f>+'Gantt Proyectos'!I180</f>
        <v>0</v>
      </c>
      <c r="L112" s="120">
        <f>+'Gantt Proyectos'!J180</f>
        <v>0</v>
      </c>
      <c r="M112" s="145">
        <f>+'Gantt Proyectos'!K180</f>
        <v>0</v>
      </c>
      <c r="N112" s="145">
        <f>+'Gantt Proyectos'!L180</f>
        <v>0</v>
      </c>
      <c r="O112" s="145">
        <f>+'Gantt Proyectos'!M180</f>
        <v>0</v>
      </c>
      <c r="P112" s="145">
        <f>+'Gantt Proyectos'!N180</f>
        <v>0</v>
      </c>
      <c r="Q112" s="472">
        <v>1</v>
      </c>
      <c r="R112" s="119">
        <f>+'Gantt Proyectos'!O180</f>
        <v>0</v>
      </c>
      <c r="S112" s="119">
        <f>+'Gantt Proyectos'!P180</f>
        <v>0</v>
      </c>
      <c r="T112" s="145">
        <f>+'Gantt Proyectos'!R180</f>
        <v>0</v>
      </c>
      <c r="U112" s="118">
        <f>+'Gantt Proyectos'!S180</f>
        <v>0</v>
      </c>
      <c r="V112" s="156">
        <f>+'Gantt Proyectos'!T180</f>
        <v>0</v>
      </c>
      <c r="W112" s="156">
        <f>+'Gantt Proyectos'!U180</f>
        <v>0</v>
      </c>
      <c r="X112" s="201">
        <f t="shared" si="9"/>
        <v>0</v>
      </c>
      <c r="Y112" s="121">
        <f>+'Gantt Proyectos'!W180</f>
        <v>0</v>
      </c>
      <c r="Z112" s="122">
        <f>+'Gantt Proyectos'!X180</f>
        <v>0</v>
      </c>
      <c r="AA112" s="122">
        <f>+'Gantt Proyectos'!Y180</f>
        <v>0</v>
      </c>
      <c r="AB112" s="122">
        <f>+'Gantt Proyectos'!Z180</f>
        <v>0</v>
      </c>
      <c r="AC112" s="122">
        <f>+'Gantt Proyectos'!AA180</f>
        <v>0</v>
      </c>
      <c r="AD112" s="122">
        <f>+'Gantt Proyectos'!AB180</f>
        <v>0</v>
      </c>
      <c r="AE112" s="123">
        <f>+'Gantt Proyectos'!AC180</f>
        <v>0</v>
      </c>
      <c r="AF112" s="123">
        <f>+'Gantt Proyectos'!AD180</f>
        <v>0</v>
      </c>
      <c r="AG112" s="124">
        <f>+'Gantt Proyectos'!AE180</f>
        <v>0</v>
      </c>
      <c r="AH112" s="172">
        <v>1</v>
      </c>
      <c r="AI112" s="466">
        <f>IFERROR(IF('Gantt Proyectos'!AF180&lt;2,$N112*'Gantt Proyectos'!AF180,IF('Gantt Proyectos'!AF180=2,$N112*('Gantt Proyectos'!AF180-1))),0)*$L112*$Q112</f>
        <v>0</v>
      </c>
      <c r="AJ112" s="467">
        <f>IFERROR(IF('Gantt Proyectos'!AG180&lt;2,$N112*'Gantt Proyectos'!AG180,IF('Gantt Proyectos'!AG180=2,$N112*('Gantt Proyectos'!AG180-1))),0)*$L112*$Q112</f>
        <v>0</v>
      </c>
      <c r="AK112" s="467">
        <f>IFERROR(IF('Gantt Proyectos'!AH180&lt;2,$N112*'Gantt Proyectos'!AH180,IF('Gantt Proyectos'!AH180=2,$N112*('Gantt Proyectos'!AH180-1))),0)*$L112*$Q112</f>
        <v>0</v>
      </c>
      <c r="AL112" s="467">
        <f>IFERROR(IF('Gantt Proyectos'!AI180&lt;2,$N112*'Gantt Proyectos'!AI180,IF('Gantt Proyectos'!AI180=2,$N112*('Gantt Proyectos'!AI180-1))),0)*$L112*$Q112</f>
        <v>0</v>
      </c>
      <c r="AM112" s="467">
        <f>IFERROR(IF('Gantt Proyectos'!AJ180&lt;2,$N112*'Gantt Proyectos'!AJ180,IF('Gantt Proyectos'!AJ180=2,$N112*('Gantt Proyectos'!AJ180-1))),0)*$L112*$Q112</f>
        <v>0</v>
      </c>
      <c r="AN112" s="467">
        <f>IFERROR(IF('Gantt Proyectos'!AK180&lt;2,$N112*'Gantt Proyectos'!AK180,IF('Gantt Proyectos'!AK180=2,$N112*('Gantt Proyectos'!AK180-1))),0)*$L112*$Q112</f>
        <v>0</v>
      </c>
      <c r="AO112" s="467">
        <f>IFERROR(IF('Gantt Proyectos'!AL180&lt;2,$N112*'Gantt Proyectos'!AL180,IF('Gantt Proyectos'!AL180=2,$N112*('Gantt Proyectos'!AL180-1))),0)*$L112*$Q112</f>
        <v>0</v>
      </c>
      <c r="AP112" s="467">
        <f>IFERROR(IF('Gantt Proyectos'!AM180&lt;2,$N112*'Gantt Proyectos'!AM180,IF('Gantt Proyectos'!AM180=2,$N112*('Gantt Proyectos'!AM180-1))),0)*$L112*$Q112</f>
        <v>0</v>
      </c>
      <c r="AQ112" s="468">
        <f>IFERROR(IF('Gantt Proyectos'!AN180&lt;2,$N112*'Gantt Proyectos'!AN180,IF('Gantt Proyectos'!AN180=2,$N112*('Gantt Proyectos'!AN180-1))),0)*$L112*$Q112</f>
        <v>0</v>
      </c>
    </row>
    <row r="113" spans="3:43" ht="15" x14ac:dyDescent="0.2">
      <c r="C113" s="144">
        <f>+'Gantt Proyectos'!C181</f>
        <v>85</v>
      </c>
      <c r="D113" s="145">
        <f>+'Gantt Proyectos'!D181</f>
        <v>0</v>
      </c>
      <c r="E113" s="145">
        <f>+'Gantt Proyectos'!E181</f>
        <v>0</v>
      </c>
      <c r="F113" s="147">
        <f>+'Gantt Proyectos'!F181</f>
        <v>0</v>
      </c>
      <c r="G113" s="145">
        <f>+'Gantt Proyectos'!G181</f>
        <v>0</v>
      </c>
      <c r="H113" s="145">
        <f>+'Gantt Proyectos'!H181</f>
        <v>0</v>
      </c>
      <c r="I113" s="189">
        <v>1</v>
      </c>
      <c r="J113" s="189">
        <f t="shared" si="8"/>
        <v>0</v>
      </c>
      <c r="K113" s="145">
        <f>+'Gantt Proyectos'!I181</f>
        <v>0</v>
      </c>
      <c r="L113" s="120">
        <f>+'Gantt Proyectos'!J181</f>
        <v>0</v>
      </c>
      <c r="M113" s="145">
        <f>+'Gantt Proyectos'!K181</f>
        <v>0</v>
      </c>
      <c r="N113" s="145">
        <f>+'Gantt Proyectos'!L181</f>
        <v>0</v>
      </c>
      <c r="O113" s="145">
        <f>+'Gantt Proyectos'!M181</f>
        <v>0</v>
      </c>
      <c r="P113" s="145">
        <f>+'Gantt Proyectos'!N181</f>
        <v>0</v>
      </c>
      <c r="Q113" s="472">
        <v>1</v>
      </c>
      <c r="R113" s="119">
        <f>+'Gantt Proyectos'!O181</f>
        <v>0</v>
      </c>
      <c r="S113" s="119">
        <f>+'Gantt Proyectos'!P181</f>
        <v>0</v>
      </c>
      <c r="T113" s="145">
        <f>+'Gantt Proyectos'!R181</f>
        <v>0</v>
      </c>
      <c r="U113" s="118">
        <f>+'Gantt Proyectos'!S181</f>
        <v>0</v>
      </c>
      <c r="V113" s="156">
        <f>+'Gantt Proyectos'!T181</f>
        <v>0</v>
      </c>
      <c r="W113" s="156">
        <f>+'Gantt Proyectos'!U181</f>
        <v>0</v>
      </c>
      <c r="X113" s="201">
        <f t="shared" si="9"/>
        <v>0</v>
      </c>
      <c r="Y113" s="121">
        <f>+'Gantt Proyectos'!W181</f>
        <v>0</v>
      </c>
      <c r="Z113" s="122">
        <f>+'Gantt Proyectos'!X181</f>
        <v>0</v>
      </c>
      <c r="AA113" s="122">
        <f>+'Gantt Proyectos'!Y181</f>
        <v>0</v>
      </c>
      <c r="AB113" s="122">
        <f>+'Gantt Proyectos'!Z181</f>
        <v>0</v>
      </c>
      <c r="AC113" s="122">
        <f>+'Gantt Proyectos'!AA181</f>
        <v>0</v>
      </c>
      <c r="AD113" s="122">
        <f>+'Gantt Proyectos'!AB181</f>
        <v>0</v>
      </c>
      <c r="AE113" s="123">
        <f>+'Gantt Proyectos'!AC181</f>
        <v>0</v>
      </c>
      <c r="AF113" s="123">
        <f>+'Gantt Proyectos'!AD181</f>
        <v>0</v>
      </c>
      <c r="AG113" s="124">
        <f>+'Gantt Proyectos'!AE181</f>
        <v>0</v>
      </c>
      <c r="AH113" s="172">
        <v>1</v>
      </c>
      <c r="AI113" s="466">
        <f>IFERROR(IF('Gantt Proyectos'!AF181&lt;2,$N113*'Gantt Proyectos'!AF181,IF('Gantt Proyectos'!AF181=2,$N113*('Gantt Proyectos'!AF181-1))),0)*$L113*$Q113</f>
        <v>0</v>
      </c>
      <c r="AJ113" s="467">
        <f>IFERROR(IF('Gantt Proyectos'!AG181&lt;2,$N113*'Gantt Proyectos'!AG181,IF('Gantt Proyectos'!AG181=2,$N113*('Gantt Proyectos'!AG181-1))),0)*$L113*$Q113</f>
        <v>0</v>
      </c>
      <c r="AK113" s="467">
        <f>IFERROR(IF('Gantt Proyectos'!AH181&lt;2,$N113*'Gantt Proyectos'!AH181,IF('Gantt Proyectos'!AH181=2,$N113*('Gantt Proyectos'!AH181-1))),0)*$L113*$Q113</f>
        <v>0</v>
      </c>
      <c r="AL113" s="467">
        <f>IFERROR(IF('Gantt Proyectos'!AI181&lt;2,$N113*'Gantt Proyectos'!AI181,IF('Gantt Proyectos'!AI181=2,$N113*('Gantt Proyectos'!AI181-1))),0)*$L113*$Q113</f>
        <v>0</v>
      </c>
      <c r="AM113" s="467">
        <f>IFERROR(IF('Gantt Proyectos'!AJ181&lt;2,$N113*'Gantt Proyectos'!AJ181,IF('Gantt Proyectos'!AJ181=2,$N113*('Gantt Proyectos'!AJ181-1))),0)*$L113*$Q113</f>
        <v>0</v>
      </c>
      <c r="AN113" s="467">
        <f>IFERROR(IF('Gantt Proyectos'!AK181&lt;2,$N113*'Gantt Proyectos'!AK181,IF('Gantt Proyectos'!AK181=2,$N113*('Gantt Proyectos'!AK181-1))),0)*$L113*$Q113</f>
        <v>0</v>
      </c>
      <c r="AO113" s="467">
        <f>IFERROR(IF('Gantt Proyectos'!AL181&lt;2,$N113*'Gantt Proyectos'!AL181,IF('Gantt Proyectos'!AL181=2,$N113*('Gantt Proyectos'!AL181-1))),0)*$L113*$Q113</f>
        <v>0</v>
      </c>
      <c r="AP113" s="467">
        <f>IFERROR(IF('Gantt Proyectos'!AM181&lt;2,$N113*'Gantt Proyectos'!AM181,IF('Gantt Proyectos'!AM181=2,$N113*('Gantt Proyectos'!AM181-1))),0)*$L113*$Q113</f>
        <v>0</v>
      </c>
      <c r="AQ113" s="468">
        <f>IFERROR(IF('Gantt Proyectos'!AN181&lt;2,$N113*'Gantt Proyectos'!AN181,IF('Gantt Proyectos'!AN181=2,$N113*('Gantt Proyectos'!AN181-1))),0)*$L113*$Q113</f>
        <v>0</v>
      </c>
    </row>
    <row r="114" spans="3:43" ht="15" x14ac:dyDescent="0.2">
      <c r="C114" s="144">
        <f>+'Gantt Proyectos'!C182</f>
        <v>86</v>
      </c>
      <c r="D114" s="145">
        <f>+'Gantt Proyectos'!D182</f>
        <v>0</v>
      </c>
      <c r="E114" s="145">
        <f>+'Gantt Proyectos'!E182</f>
        <v>0</v>
      </c>
      <c r="F114" s="147">
        <f>+'Gantt Proyectos'!F182</f>
        <v>0</v>
      </c>
      <c r="G114" s="145">
        <f>+'Gantt Proyectos'!G182</f>
        <v>0</v>
      </c>
      <c r="H114" s="145">
        <f>+'Gantt Proyectos'!H182</f>
        <v>0</v>
      </c>
      <c r="I114" s="189">
        <v>1</v>
      </c>
      <c r="J114" s="189">
        <f t="shared" si="8"/>
        <v>0</v>
      </c>
      <c r="K114" s="145">
        <f>+'Gantt Proyectos'!I182</f>
        <v>0</v>
      </c>
      <c r="L114" s="120">
        <f>+'Gantt Proyectos'!J182</f>
        <v>0</v>
      </c>
      <c r="M114" s="145">
        <f>+'Gantt Proyectos'!K182</f>
        <v>0</v>
      </c>
      <c r="N114" s="145">
        <f>+'Gantt Proyectos'!L182</f>
        <v>0</v>
      </c>
      <c r="O114" s="145">
        <f>+'Gantt Proyectos'!M182</f>
        <v>0</v>
      </c>
      <c r="P114" s="145">
        <f>+'Gantt Proyectos'!N182</f>
        <v>0</v>
      </c>
      <c r="Q114" s="472">
        <v>1</v>
      </c>
      <c r="R114" s="119">
        <f>+'Gantt Proyectos'!O182</f>
        <v>0</v>
      </c>
      <c r="S114" s="119">
        <f>+'Gantt Proyectos'!P182</f>
        <v>0</v>
      </c>
      <c r="T114" s="145">
        <f>+'Gantt Proyectos'!R182</f>
        <v>0</v>
      </c>
      <c r="U114" s="118">
        <f>+'Gantt Proyectos'!S182</f>
        <v>0</v>
      </c>
      <c r="V114" s="156">
        <f>+'Gantt Proyectos'!T182</f>
        <v>0</v>
      </c>
      <c r="W114" s="156">
        <f>+'Gantt Proyectos'!U182</f>
        <v>0</v>
      </c>
      <c r="X114" s="201">
        <f t="shared" si="9"/>
        <v>0</v>
      </c>
      <c r="Y114" s="121">
        <f>+'Gantt Proyectos'!W182</f>
        <v>0</v>
      </c>
      <c r="Z114" s="122">
        <f>+'Gantt Proyectos'!X182</f>
        <v>0</v>
      </c>
      <c r="AA114" s="122">
        <f>+'Gantt Proyectos'!Y182</f>
        <v>0</v>
      </c>
      <c r="AB114" s="122">
        <f>+'Gantt Proyectos'!Z182</f>
        <v>0</v>
      </c>
      <c r="AC114" s="122">
        <f>+'Gantt Proyectos'!AA182</f>
        <v>0</v>
      </c>
      <c r="AD114" s="122">
        <f>+'Gantt Proyectos'!AB182</f>
        <v>0</v>
      </c>
      <c r="AE114" s="123">
        <f>+'Gantt Proyectos'!AC182</f>
        <v>0</v>
      </c>
      <c r="AF114" s="123">
        <f>+'Gantt Proyectos'!AD182</f>
        <v>0</v>
      </c>
      <c r="AG114" s="124">
        <f>+'Gantt Proyectos'!AE182</f>
        <v>0</v>
      </c>
      <c r="AH114" s="172">
        <v>1</v>
      </c>
      <c r="AI114" s="466">
        <f>IFERROR(IF('Gantt Proyectos'!AF182&lt;2,$N114*'Gantt Proyectos'!AF182,IF('Gantt Proyectos'!AF182=2,$N114*('Gantt Proyectos'!AF182-1))),0)*$L114*$Q114</f>
        <v>0</v>
      </c>
      <c r="AJ114" s="467">
        <f>IFERROR(IF('Gantt Proyectos'!AG182&lt;2,$N114*'Gantt Proyectos'!AG182,IF('Gantt Proyectos'!AG182=2,$N114*('Gantt Proyectos'!AG182-1))),0)*$L114*$Q114</f>
        <v>0</v>
      </c>
      <c r="AK114" s="467">
        <f>IFERROR(IF('Gantt Proyectos'!AH182&lt;2,$N114*'Gantt Proyectos'!AH182,IF('Gantt Proyectos'!AH182=2,$N114*('Gantt Proyectos'!AH182-1))),0)*$L114*$Q114</f>
        <v>0</v>
      </c>
      <c r="AL114" s="467">
        <f>IFERROR(IF('Gantt Proyectos'!AI182&lt;2,$N114*'Gantt Proyectos'!AI182,IF('Gantt Proyectos'!AI182=2,$N114*('Gantt Proyectos'!AI182-1))),0)*$L114*$Q114</f>
        <v>0</v>
      </c>
      <c r="AM114" s="467">
        <f>IFERROR(IF('Gantt Proyectos'!AJ182&lt;2,$N114*'Gantt Proyectos'!AJ182,IF('Gantt Proyectos'!AJ182=2,$N114*('Gantt Proyectos'!AJ182-1))),0)*$L114*$Q114</f>
        <v>0</v>
      </c>
      <c r="AN114" s="467">
        <f>IFERROR(IF('Gantt Proyectos'!AK182&lt;2,$N114*'Gantt Proyectos'!AK182,IF('Gantt Proyectos'!AK182=2,$N114*('Gantt Proyectos'!AK182-1))),0)*$L114*$Q114</f>
        <v>0</v>
      </c>
      <c r="AO114" s="467">
        <f>IFERROR(IF('Gantt Proyectos'!AL182&lt;2,$N114*'Gantt Proyectos'!AL182,IF('Gantt Proyectos'!AL182=2,$N114*('Gantt Proyectos'!AL182-1))),0)*$L114*$Q114</f>
        <v>0</v>
      </c>
      <c r="AP114" s="467">
        <f>IFERROR(IF('Gantt Proyectos'!AM182&lt;2,$N114*'Gantt Proyectos'!AM182,IF('Gantt Proyectos'!AM182=2,$N114*('Gantt Proyectos'!AM182-1))),0)*$L114*$Q114</f>
        <v>0</v>
      </c>
      <c r="AQ114" s="468">
        <f>IFERROR(IF('Gantt Proyectos'!AN182&lt;2,$N114*'Gantt Proyectos'!AN182,IF('Gantt Proyectos'!AN182=2,$N114*('Gantt Proyectos'!AN182-1))),0)*$L114*$Q114</f>
        <v>0</v>
      </c>
    </row>
    <row r="115" spans="3:43" ht="15" x14ac:dyDescent="0.2">
      <c r="C115" s="144">
        <f>+'Gantt Proyectos'!C183</f>
        <v>87</v>
      </c>
      <c r="D115" s="145">
        <f>+'Gantt Proyectos'!D183</f>
        <v>0</v>
      </c>
      <c r="E115" s="145">
        <f>+'Gantt Proyectos'!E183</f>
        <v>0</v>
      </c>
      <c r="F115" s="147">
        <f>+'Gantt Proyectos'!F183</f>
        <v>0</v>
      </c>
      <c r="G115" s="145">
        <f>+'Gantt Proyectos'!G183</f>
        <v>0</v>
      </c>
      <c r="H115" s="145">
        <f>+'Gantt Proyectos'!H183</f>
        <v>0</v>
      </c>
      <c r="I115" s="189">
        <v>1</v>
      </c>
      <c r="J115" s="189">
        <f t="shared" si="8"/>
        <v>0</v>
      </c>
      <c r="K115" s="145">
        <f>+'Gantt Proyectos'!I183</f>
        <v>0</v>
      </c>
      <c r="L115" s="120">
        <f>+'Gantt Proyectos'!J183</f>
        <v>0</v>
      </c>
      <c r="M115" s="145">
        <f>+'Gantt Proyectos'!K183</f>
        <v>0</v>
      </c>
      <c r="N115" s="145">
        <f>+'Gantt Proyectos'!L183</f>
        <v>0</v>
      </c>
      <c r="O115" s="145">
        <f>+'Gantt Proyectos'!M183</f>
        <v>0</v>
      </c>
      <c r="P115" s="145">
        <f>+'Gantt Proyectos'!N183</f>
        <v>0</v>
      </c>
      <c r="Q115" s="472">
        <v>1</v>
      </c>
      <c r="R115" s="119">
        <f>+'Gantt Proyectos'!O183</f>
        <v>0</v>
      </c>
      <c r="S115" s="119">
        <f>+'Gantt Proyectos'!P183</f>
        <v>0</v>
      </c>
      <c r="T115" s="145">
        <f>+'Gantt Proyectos'!R183</f>
        <v>0</v>
      </c>
      <c r="U115" s="118">
        <f>+'Gantt Proyectos'!S183</f>
        <v>0</v>
      </c>
      <c r="V115" s="156">
        <f>+'Gantt Proyectos'!T183</f>
        <v>0</v>
      </c>
      <c r="W115" s="156">
        <f>+'Gantt Proyectos'!U183</f>
        <v>0</v>
      </c>
      <c r="X115" s="201">
        <f t="shared" si="9"/>
        <v>0</v>
      </c>
      <c r="Y115" s="121">
        <f>+'Gantt Proyectos'!W183</f>
        <v>0</v>
      </c>
      <c r="Z115" s="122">
        <f>+'Gantt Proyectos'!X183</f>
        <v>0</v>
      </c>
      <c r="AA115" s="122">
        <f>+'Gantt Proyectos'!Y183</f>
        <v>0</v>
      </c>
      <c r="AB115" s="122">
        <f>+'Gantt Proyectos'!Z183</f>
        <v>0</v>
      </c>
      <c r="AC115" s="122">
        <f>+'Gantt Proyectos'!AA183</f>
        <v>0</v>
      </c>
      <c r="AD115" s="122">
        <f>+'Gantt Proyectos'!AB183</f>
        <v>0</v>
      </c>
      <c r="AE115" s="123">
        <f>+'Gantt Proyectos'!AC183</f>
        <v>0</v>
      </c>
      <c r="AF115" s="123">
        <f>+'Gantt Proyectos'!AD183</f>
        <v>0</v>
      </c>
      <c r="AG115" s="124">
        <f>+'Gantt Proyectos'!AE183</f>
        <v>0</v>
      </c>
      <c r="AH115" s="172">
        <v>1</v>
      </c>
      <c r="AI115" s="466">
        <f>IFERROR(IF('Gantt Proyectos'!AF183&lt;2,$N115*'Gantt Proyectos'!AF183,IF('Gantt Proyectos'!AF183=2,$N115*('Gantt Proyectos'!AF183-1))),0)*$L115*$Q115</f>
        <v>0</v>
      </c>
      <c r="AJ115" s="467">
        <f>IFERROR(IF('Gantt Proyectos'!AG183&lt;2,$N115*'Gantt Proyectos'!AG183,IF('Gantt Proyectos'!AG183=2,$N115*('Gantt Proyectos'!AG183-1))),0)*$L115*$Q115</f>
        <v>0</v>
      </c>
      <c r="AK115" s="467">
        <f>IFERROR(IF('Gantt Proyectos'!AH183&lt;2,$N115*'Gantt Proyectos'!AH183,IF('Gantt Proyectos'!AH183=2,$N115*('Gantt Proyectos'!AH183-1))),0)*$L115*$Q115</f>
        <v>0</v>
      </c>
      <c r="AL115" s="467">
        <f>IFERROR(IF('Gantt Proyectos'!AI183&lt;2,$N115*'Gantt Proyectos'!AI183,IF('Gantt Proyectos'!AI183=2,$N115*('Gantt Proyectos'!AI183-1))),0)*$L115*$Q115</f>
        <v>0</v>
      </c>
      <c r="AM115" s="467">
        <f>IFERROR(IF('Gantt Proyectos'!AJ183&lt;2,$N115*'Gantt Proyectos'!AJ183,IF('Gantt Proyectos'!AJ183=2,$N115*('Gantt Proyectos'!AJ183-1))),0)*$L115*$Q115</f>
        <v>0</v>
      </c>
      <c r="AN115" s="467">
        <f>IFERROR(IF('Gantt Proyectos'!AK183&lt;2,$N115*'Gantt Proyectos'!AK183,IF('Gantt Proyectos'!AK183=2,$N115*('Gantt Proyectos'!AK183-1))),0)*$L115*$Q115</f>
        <v>0</v>
      </c>
      <c r="AO115" s="467">
        <f>IFERROR(IF('Gantt Proyectos'!AL183&lt;2,$N115*'Gantt Proyectos'!AL183,IF('Gantt Proyectos'!AL183=2,$N115*('Gantt Proyectos'!AL183-1))),0)*$L115*$Q115</f>
        <v>0</v>
      </c>
      <c r="AP115" s="467">
        <f>IFERROR(IF('Gantt Proyectos'!AM183&lt;2,$N115*'Gantt Proyectos'!AM183,IF('Gantt Proyectos'!AM183=2,$N115*('Gantt Proyectos'!AM183-1))),0)*$L115*$Q115</f>
        <v>0</v>
      </c>
      <c r="AQ115" s="468">
        <f>IFERROR(IF('Gantt Proyectos'!AN183&lt;2,$N115*'Gantt Proyectos'!AN183,IF('Gantt Proyectos'!AN183=2,$N115*('Gantt Proyectos'!AN183-1))),0)*$L115*$Q115</f>
        <v>0</v>
      </c>
    </row>
    <row r="116" spans="3:43" ht="15" x14ac:dyDescent="0.2">
      <c r="C116" s="144">
        <f>+'Gantt Proyectos'!C184</f>
        <v>88</v>
      </c>
      <c r="D116" s="145">
        <f>+'Gantt Proyectos'!D184</f>
        <v>0</v>
      </c>
      <c r="E116" s="145">
        <f>+'Gantt Proyectos'!E184</f>
        <v>0</v>
      </c>
      <c r="F116" s="147">
        <f>+'Gantt Proyectos'!F184</f>
        <v>0</v>
      </c>
      <c r="G116" s="145">
        <f>+'Gantt Proyectos'!G184</f>
        <v>0</v>
      </c>
      <c r="H116" s="145">
        <f>+'Gantt Proyectos'!H184</f>
        <v>0</v>
      </c>
      <c r="I116" s="189">
        <v>1</v>
      </c>
      <c r="J116" s="189">
        <f t="shared" si="8"/>
        <v>0</v>
      </c>
      <c r="K116" s="145">
        <f>+'Gantt Proyectos'!I184</f>
        <v>0</v>
      </c>
      <c r="L116" s="120">
        <f>+'Gantt Proyectos'!J184</f>
        <v>0</v>
      </c>
      <c r="M116" s="145">
        <f>+'Gantt Proyectos'!K184</f>
        <v>0</v>
      </c>
      <c r="N116" s="145">
        <f>+'Gantt Proyectos'!L184</f>
        <v>0</v>
      </c>
      <c r="O116" s="145">
        <f>+'Gantt Proyectos'!M184</f>
        <v>0</v>
      </c>
      <c r="P116" s="145">
        <f>+'Gantt Proyectos'!N184</f>
        <v>0</v>
      </c>
      <c r="Q116" s="472">
        <v>1</v>
      </c>
      <c r="R116" s="119">
        <f>+'Gantt Proyectos'!O184</f>
        <v>0</v>
      </c>
      <c r="S116" s="119">
        <f>+'Gantt Proyectos'!P184</f>
        <v>0</v>
      </c>
      <c r="T116" s="145">
        <f>+'Gantt Proyectos'!R184</f>
        <v>0</v>
      </c>
      <c r="U116" s="118">
        <f>+'Gantt Proyectos'!S184</f>
        <v>0</v>
      </c>
      <c r="V116" s="156">
        <f>+'Gantt Proyectos'!T184</f>
        <v>0</v>
      </c>
      <c r="W116" s="156">
        <f>+'Gantt Proyectos'!U184</f>
        <v>0</v>
      </c>
      <c r="X116" s="201">
        <f t="shared" si="9"/>
        <v>0</v>
      </c>
      <c r="Y116" s="121">
        <f>+'Gantt Proyectos'!W184</f>
        <v>0</v>
      </c>
      <c r="Z116" s="122">
        <f>+'Gantt Proyectos'!X184</f>
        <v>0</v>
      </c>
      <c r="AA116" s="122">
        <f>+'Gantt Proyectos'!Y184</f>
        <v>0</v>
      </c>
      <c r="AB116" s="122">
        <f>+'Gantt Proyectos'!Z184</f>
        <v>0</v>
      </c>
      <c r="AC116" s="122">
        <f>+'Gantt Proyectos'!AA184</f>
        <v>0</v>
      </c>
      <c r="AD116" s="122">
        <f>+'Gantt Proyectos'!AB184</f>
        <v>0</v>
      </c>
      <c r="AE116" s="123">
        <f>+'Gantt Proyectos'!AC184</f>
        <v>0</v>
      </c>
      <c r="AF116" s="123">
        <f>+'Gantt Proyectos'!AD184</f>
        <v>0</v>
      </c>
      <c r="AG116" s="124">
        <f>+'Gantt Proyectos'!AE184</f>
        <v>0</v>
      </c>
      <c r="AH116" s="172">
        <v>1</v>
      </c>
      <c r="AI116" s="466">
        <f>IFERROR(IF('Gantt Proyectos'!AF184&lt;2,$N116*'Gantt Proyectos'!AF184,IF('Gantt Proyectos'!AF184=2,$N116*('Gantt Proyectos'!AF184-1))),0)*$L116*$Q116</f>
        <v>0</v>
      </c>
      <c r="AJ116" s="467">
        <f>IFERROR(IF('Gantt Proyectos'!AG184&lt;2,$N116*'Gantt Proyectos'!AG184,IF('Gantt Proyectos'!AG184=2,$N116*('Gantt Proyectos'!AG184-1))),0)*$L116*$Q116</f>
        <v>0</v>
      </c>
      <c r="AK116" s="467">
        <f>IFERROR(IF('Gantt Proyectos'!AH184&lt;2,$N116*'Gantt Proyectos'!AH184,IF('Gantt Proyectos'!AH184=2,$N116*('Gantt Proyectos'!AH184-1))),0)*$L116*$Q116</f>
        <v>0</v>
      </c>
      <c r="AL116" s="467">
        <f>IFERROR(IF('Gantt Proyectos'!AI184&lt;2,$N116*'Gantt Proyectos'!AI184,IF('Gantt Proyectos'!AI184=2,$N116*('Gantt Proyectos'!AI184-1))),0)*$L116*$Q116</f>
        <v>0</v>
      </c>
      <c r="AM116" s="467">
        <f>IFERROR(IF('Gantt Proyectos'!AJ184&lt;2,$N116*'Gantt Proyectos'!AJ184,IF('Gantt Proyectos'!AJ184=2,$N116*('Gantt Proyectos'!AJ184-1))),0)*$L116*$Q116</f>
        <v>0</v>
      </c>
      <c r="AN116" s="467">
        <f>IFERROR(IF('Gantt Proyectos'!AK184&lt;2,$N116*'Gantt Proyectos'!AK184,IF('Gantt Proyectos'!AK184=2,$N116*('Gantt Proyectos'!AK184-1))),0)*$L116*$Q116</f>
        <v>0</v>
      </c>
      <c r="AO116" s="467">
        <f>IFERROR(IF('Gantt Proyectos'!AL184&lt;2,$N116*'Gantt Proyectos'!AL184,IF('Gantt Proyectos'!AL184=2,$N116*('Gantt Proyectos'!AL184-1))),0)*$L116*$Q116</f>
        <v>0</v>
      </c>
      <c r="AP116" s="467">
        <f>IFERROR(IF('Gantt Proyectos'!AM184&lt;2,$N116*'Gantt Proyectos'!AM184,IF('Gantt Proyectos'!AM184=2,$N116*('Gantt Proyectos'!AM184-1))),0)*$L116*$Q116</f>
        <v>0</v>
      </c>
      <c r="AQ116" s="468">
        <f>IFERROR(IF('Gantt Proyectos'!AN184&lt;2,$N116*'Gantt Proyectos'!AN184,IF('Gantt Proyectos'!AN184=2,$N116*('Gantt Proyectos'!AN184-1))),0)*$L116*$Q116</f>
        <v>0</v>
      </c>
    </row>
    <row r="117" spans="3:43" ht="15" x14ac:dyDescent="0.2">
      <c r="C117" s="144">
        <f>+'Gantt Proyectos'!C185</f>
        <v>89</v>
      </c>
      <c r="D117" s="145">
        <f>+'Gantt Proyectos'!D185</f>
        <v>0</v>
      </c>
      <c r="E117" s="145">
        <f>+'Gantt Proyectos'!E185</f>
        <v>0</v>
      </c>
      <c r="F117" s="147">
        <f>+'Gantt Proyectos'!F185</f>
        <v>0</v>
      </c>
      <c r="G117" s="145">
        <f>+'Gantt Proyectos'!G185</f>
        <v>0</v>
      </c>
      <c r="H117" s="145">
        <f>+'Gantt Proyectos'!H185</f>
        <v>0</v>
      </c>
      <c r="I117" s="189">
        <v>1</v>
      </c>
      <c r="J117" s="189">
        <f t="shared" si="8"/>
        <v>0</v>
      </c>
      <c r="K117" s="145">
        <f>+'Gantt Proyectos'!I185</f>
        <v>0</v>
      </c>
      <c r="L117" s="120">
        <f>+'Gantt Proyectos'!J185</f>
        <v>0</v>
      </c>
      <c r="M117" s="145">
        <f>+'Gantt Proyectos'!K185</f>
        <v>0</v>
      </c>
      <c r="N117" s="145">
        <f>+'Gantt Proyectos'!L185</f>
        <v>0</v>
      </c>
      <c r="O117" s="145">
        <f>+'Gantt Proyectos'!M185</f>
        <v>0</v>
      </c>
      <c r="P117" s="145">
        <f>+'Gantt Proyectos'!N185</f>
        <v>0</v>
      </c>
      <c r="Q117" s="472">
        <v>1</v>
      </c>
      <c r="R117" s="119">
        <f>+'Gantt Proyectos'!O185</f>
        <v>0</v>
      </c>
      <c r="S117" s="119">
        <f>+'Gantt Proyectos'!P185</f>
        <v>0</v>
      </c>
      <c r="T117" s="145">
        <f>+'Gantt Proyectos'!R185</f>
        <v>0</v>
      </c>
      <c r="U117" s="118">
        <f>+'Gantt Proyectos'!S185</f>
        <v>0</v>
      </c>
      <c r="V117" s="156">
        <f>+'Gantt Proyectos'!T185</f>
        <v>0</v>
      </c>
      <c r="W117" s="156">
        <f>+'Gantt Proyectos'!U185</f>
        <v>0</v>
      </c>
      <c r="X117" s="201">
        <f t="shared" si="9"/>
        <v>0</v>
      </c>
      <c r="Y117" s="121">
        <f>+'Gantt Proyectos'!W185</f>
        <v>0</v>
      </c>
      <c r="Z117" s="122">
        <f>+'Gantt Proyectos'!X185</f>
        <v>0</v>
      </c>
      <c r="AA117" s="122">
        <f>+'Gantt Proyectos'!Y185</f>
        <v>0</v>
      </c>
      <c r="AB117" s="122">
        <f>+'Gantt Proyectos'!Z185</f>
        <v>0</v>
      </c>
      <c r="AC117" s="122">
        <f>+'Gantt Proyectos'!AA185</f>
        <v>0</v>
      </c>
      <c r="AD117" s="122">
        <f>+'Gantt Proyectos'!AB185</f>
        <v>0</v>
      </c>
      <c r="AE117" s="123">
        <f>+'Gantt Proyectos'!AC185</f>
        <v>0</v>
      </c>
      <c r="AF117" s="123">
        <f>+'Gantt Proyectos'!AD185</f>
        <v>0</v>
      </c>
      <c r="AG117" s="124">
        <f>+'Gantt Proyectos'!AE185</f>
        <v>0</v>
      </c>
      <c r="AH117" s="172">
        <v>1</v>
      </c>
      <c r="AI117" s="466">
        <f>IFERROR(IF('Gantt Proyectos'!AF185&lt;2,$N117*'Gantt Proyectos'!AF185,IF('Gantt Proyectos'!AF185=2,$N117*('Gantt Proyectos'!AF185-1))),0)*$L117*$Q117</f>
        <v>0</v>
      </c>
      <c r="AJ117" s="467">
        <f>IFERROR(IF('Gantt Proyectos'!AG185&lt;2,$N117*'Gantt Proyectos'!AG185,IF('Gantt Proyectos'!AG185=2,$N117*('Gantt Proyectos'!AG185-1))),0)*$L117*$Q117</f>
        <v>0</v>
      </c>
      <c r="AK117" s="467">
        <f>IFERROR(IF('Gantt Proyectos'!AH185&lt;2,$N117*'Gantt Proyectos'!AH185,IF('Gantt Proyectos'!AH185=2,$N117*('Gantt Proyectos'!AH185-1))),0)*$L117*$Q117</f>
        <v>0</v>
      </c>
      <c r="AL117" s="467">
        <f>IFERROR(IF('Gantt Proyectos'!AI185&lt;2,$N117*'Gantt Proyectos'!AI185,IF('Gantt Proyectos'!AI185=2,$N117*('Gantt Proyectos'!AI185-1))),0)*$L117*$Q117</f>
        <v>0</v>
      </c>
      <c r="AM117" s="467">
        <f>IFERROR(IF('Gantt Proyectos'!AJ185&lt;2,$N117*'Gantt Proyectos'!AJ185,IF('Gantt Proyectos'!AJ185=2,$N117*('Gantt Proyectos'!AJ185-1))),0)*$L117*$Q117</f>
        <v>0</v>
      </c>
      <c r="AN117" s="467">
        <f>IFERROR(IF('Gantt Proyectos'!AK185&lt;2,$N117*'Gantt Proyectos'!AK185,IF('Gantt Proyectos'!AK185=2,$N117*('Gantt Proyectos'!AK185-1))),0)*$L117*$Q117</f>
        <v>0</v>
      </c>
      <c r="AO117" s="467">
        <f>IFERROR(IF('Gantt Proyectos'!AL185&lt;2,$N117*'Gantt Proyectos'!AL185,IF('Gantt Proyectos'!AL185=2,$N117*('Gantt Proyectos'!AL185-1))),0)*$L117*$Q117</f>
        <v>0</v>
      </c>
      <c r="AP117" s="467">
        <f>IFERROR(IF('Gantt Proyectos'!AM185&lt;2,$N117*'Gantt Proyectos'!AM185,IF('Gantt Proyectos'!AM185=2,$N117*('Gantt Proyectos'!AM185-1))),0)*$L117*$Q117</f>
        <v>0</v>
      </c>
      <c r="AQ117" s="468">
        <f>IFERROR(IF('Gantt Proyectos'!AN185&lt;2,$N117*'Gantt Proyectos'!AN185,IF('Gantt Proyectos'!AN185=2,$N117*('Gantt Proyectos'!AN185-1))),0)*$L117*$Q117</f>
        <v>0</v>
      </c>
    </row>
    <row r="118" spans="3:43" ht="15" x14ac:dyDescent="0.2">
      <c r="C118" s="144">
        <f>+'Gantt Proyectos'!C186</f>
        <v>90</v>
      </c>
      <c r="D118" s="145">
        <f>+'Gantt Proyectos'!D186</f>
        <v>0</v>
      </c>
      <c r="E118" s="145">
        <f>+'Gantt Proyectos'!E186</f>
        <v>0</v>
      </c>
      <c r="F118" s="147">
        <f>+'Gantt Proyectos'!F186</f>
        <v>0</v>
      </c>
      <c r="G118" s="145">
        <f>+'Gantt Proyectos'!G186</f>
        <v>0</v>
      </c>
      <c r="H118" s="145">
        <f>+'Gantt Proyectos'!H186</f>
        <v>0</v>
      </c>
      <c r="I118" s="189">
        <v>1</v>
      </c>
      <c r="J118" s="189">
        <f t="shared" si="8"/>
        <v>0</v>
      </c>
      <c r="K118" s="145">
        <f>+'Gantt Proyectos'!I186</f>
        <v>0</v>
      </c>
      <c r="L118" s="120">
        <f>+'Gantt Proyectos'!J186</f>
        <v>0</v>
      </c>
      <c r="M118" s="145">
        <f>+'Gantt Proyectos'!K186</f>
        <v>0</v>
      </c>
      <c r="N118" s="145">
        <f>+'Gantt Proyectos'!L186</f>
        <v>0</v>
      </c>
      <c r="O118" s="145">
        <f>+'Gantt Proyectos'!M186</f>
        <v>0</v>
      </c>
      <c r="P118" s="145">
        <f>+'Gantt Proyectos'!N186</f>
        <v>0</v>
      </c>
      <c r="Q118" s="472">
        <v>1</v>
      </c>
      <c r="R118" s="119">
        <f>+'Gantt Proyectos'!O186</f>
        <v>0</v>
      </c>
      <c r="S118" s="119">
        <f>+'Gantt Proyectos'!P186</f>
        <v>0</v>
      </c>
      <c r="T118" s="145">
        <f>+'Gantt Proyectos'!R186</f>
        <v>0</v>
      </c>
      <c r="U118" s="118">
        <f>+'Gantt Proyectos'!S186</f>
        <v>0</v>
      </c>
      <c r="V118" s="156">
        <f>+'Gantt Proyectos'!T186</f>
        <v>0</v>
      </c>
      <c r="W118" s="156">
        <f>+'Gantt Proyectos'!U186</f>
        <v>0</v>
      </c>
      <c r="X118" s="201">
        <f t="shared" si="9"/>
        <v>0</v>
      </c>
      <c r="Y118" s="121">
        <f>+'Gantt Proyectos'!W186</f>
        <v>0</v>
      </c>
      <c r="Z118" s="122">
        <f>+'Gantt Proyectos'!X186</f>
        <v>0</v>
      </c>
      <c r="AA118" s="122">
        <f>+'Gantt Proyectos'!Y186</f>
        <v>0</v>
      </c>
      <c r="AB118" s="122">
        <f>+'Gantt Proyectos'!Z186</f>
        <v>0</v>
      </c>
      <c r="AC118" s="122">
        <f>+'Gantt Proyectos'!AA186</f>
        <v>0</v>
      </c>
      <c r="AD118" s="122">
        <f>+'Gantt Proyectos'!AB186</f>
        <v>0</v>
      </c>
      <c r="AE118" s="123">
        <f>+'Gantt Proyectos'!AC186</f>
        <v>0</v>
      </c>
      <c r="AF118" s="123">
        <f>+'Gantt Proyectos'!AD186</f>
        <v>0</v>
      </c>
      <c r="AG118" s="124">
        <f>+'Gantt Proyectos'!AE186</f>
        <v>0</v>
      </c>
      <c r="AH118" s="172">
        <v>1</v>
      </c>
      <c r="AI118" s="466">
        <f>IFERROR(IF('Gantt Proyectos'!AF186&lt;2,$N118*'Gantt Proyectos'!AF186,IF('Gantt Proyectos'!AF186=2,$N118*('Gantt Proyectos'!AF186-1))),0)*$L118*$Q118</f>
        <v>0</v>
      </c>
      <c r="AJ118" s="467">
        <f>IFERROR(IF('Gantt Proyectos'!AG186&lt;2,$N118*'Gantt Proyectos'!AG186,IF('Gantt Proyectos'!AG186=2,$N118*('Gantt Proyectos'!AG186-1))),0)*$L118*$Q118</f>
        <v>0</v>
      </c>
      <c r="AK118" s="467">
        <f>IFERROR(IF('Gantt Proyectos'!AH186&lt;2,$N118*'Gantt Proyectos'!AH186,IF('Gantt Proyectos'!AH186=2,$N118*('Gantt Proyectos'!AH186-1))),0)*$L118*$Q118</f>
        <v>0</v>
      </c>
      <c r="AL118" s="467">
        <f>IFERROR(IF('Gantt Proyectos'!AI186&lt;2,$N118*'Gantt Proyectos'!AI186,IF('Gantt Proyectos'!AI186=2,$N118*('Gantt Proyectos'!AI186-1))),0)*$L118*$Q118</f>
        <v>0</v>
      </c>
      <c r="AM118" s="467">
        <f>IFERROR(IF('Gantt Proyectos'!AJ186&lt;2,$N118*'Gantt Proyectos'!AJ186,IF('Gantt Proyectos'!AJ186=2,$N118*('Gantt Proyectos'!AJ186-1))),0)*$L118*$Q118</f>
        <v>0</v>
      </c>
      <c r="AN118" s="467">
        <f>IFERROR(IF('Gantt Proyectos'!AK186&lt;2,$N118*'Gantt Proyectos'!AK186,IF('Gantt Proyectos'!AK186=2,$N118*('Gantt Proyectos'!AK186-1))),0)*$L118*$Q118</f>
        <v>0</v>
      </c>
      <c r="AO118" s="467">
        <f>IFERROR(IF('Gantt Proyectos'!AL186&lt;2,$N118*'Gantt Proyectos'!AL186,IF('Gantt Proyectos'!AL186=2,$N118*('Gantt Proyectos'!AL186-1))),0)*$L118*$Q118</f>
        <v>0</v>
      </c>
      <c r="AP118" s="467">
        <f>IFERROR(IF('Gantt Proyectos'!AM186&lt;2,$N118*'Gantt Proyectos'!AM186,IF('Gantt Proyectos'!AM186=2,$N118*('Gantt Proyectos'!AM186-1))),0)*$L118*$Q118</f>
        <v>0</v>
      </c>
      <c r="AQ118" s="468">
        <f>IFERROR(IF('Gantt Proyectos'!AN186&lt;2,$N118*'Gantt Proyectos'!AN186,IF('Gantt Proyectos'!AN186=2,$N118*('Gantt Proyectos'!AN186-1))),0)*$L118*$Q118</f>
        <v>0</v>
      </c>
    </row>
    <row r="119" spans="3:43" ht="15" x14ac:dyDescent="0.2">
      <c r="C119" s="144">
        <f>+'Gantt Proyectos'!C187</f>
        <v>91</v>
      </c>
      <c r="D119" s="145">
        <f>+'Gantt Proyectos'!D187</f>
        <v>0</v>
      </c>
      <c r="E119" s="145">
        <f>+'Gantt Proyectos'!E187</f>
        <v>0</v>
      </c>
      <c r="F119" s="147">
        <f>+'Gantt Proyectos'!F187</f>
        <v>0</v>
      </c>
      <c r="G119" s="145">
        <f>+'Gantt Proyectos'!G187</f>
        <v>0</v>
      </c>
      <c r="H119" s="145">
        <f>+'Gantt Proyectos'!H187</f>
        <v>0</v>
      </c>
      <c r="I119" s="189">
        <v>1</v>
      </c>
      <c r="J119" s="189">
        <f t="shared" si="8"/>
        <v>0</v>
      </c>
      <c r="K119" s="145">
        <f>+'Gantt Proyectos'!I187</f>
        <v>0</v>
      </c>
      <c r="L119" s="120">
        <f>+'Gantt Proyectos'!J187</f>
        <v>0</v>
      </c>
      <c r="M119" s="145">
        <f>+'Gantt Proyectos'!K187</f>
        <v>0</v>
      </c>
      <c r="N119" s="145">
        <f>+'Gantt Proyectos'!L187</f>
        <v>0</v>
      </c>
      <c r="O119" s="145">
        <f>+'Gantt Proyectos'!M187</f>
        <v>0</v>
      </c>
      <c r="P119" s="145">
        <f>+'Gantt Proyectos'!N187</f>
        <v>0</v>
      </c>
      <c r="Q119" s="472">
        <v>1</v>
      </c>
      <c r="R119" s="119">
        <f>+'Gantt Proyectos'!O187</f>
        <v>0</v>
      </c>
      <c r="S119" s="119">
        <f>+'Gantt Proyectos'!P187</f>
        <v>0</v>
      </c>
      <c r="T119" s="145">
        <f>+'Gantt Proyectos'!R187</f>
        <v>0</v>
      </c>
      <c r="U119" s="118">
        <f>+'Gantt Proyectos'!S187</f>
        <v>0</v>
      </c>
      <c r="V119" s="156">
        <f>+'Gantt Proyectos'!T187</f>
        <v>0</v>
      </c>
      <c r="W119" s="156">
        <f>+'Gantt Proyectos'!U187</f>
        <v>0</v>
      </c>
      <c r="X119" s="201">
        <f t="shared" si="9"/>
        <v>0</v>
      </c>
      <c r="Y119" s="121">
        <f>+'Gantt Proyectos'!W187</f>
        <v>0</v>
      </c>
      <c r="Z119" s="122">
        <f>+'Gantt Proyectos'!X187</f>
        <v>0</v>
      </c>
      <c r="AA119" s="122">
        <f>+'Gantt Proyectos'!Y187</f>
        <v>0</v>
      </c>
      <c r="AB119" s="122">
        <f>+'Gantt Proyectos'!Z187</f>
        <v>0</v>
      </c>
      <c r="AC119" s="122">
        <f>+'Gantt Proyectos'!AA187</f>
        <v>0</v>
      </c>
      <c r="AD119" s="122">
        <f>+'Gantt Proyectos'!AB187</f>
        <v>0</v>
      </c>
      <c r="AE119" s="123">
        <f>+'Gantt Proyectos'!AC187</f>
        <v>0</v>
      </c>
      <c r="AF119" s="123">
        <f>+'Gantt Proyectos'!AD187</f>
        <v>0</v>
      </c>
      <c r="AG119" s="124">
        <f>+'Gantt Proyectos'!AE187</f>
        <v>0</v>
      </c>
      <c r="AH119" s="172">
        <v>1</v>
      </c>
      <c r="AI119" s="466">
        <f>IFERROR(IF('Gantt Proyectos'!AF187&lt;2,$N119*'Gantt Proyectos'!AF187,IF('Gantt Proyectos'!AF187=2,$N119*('Gantt Proyectos'!AF187-1))),0)*$L119*$Q119</f>
        <v>0</v>
      </c>
      <c r="AJ119" s="467">
        <f>IFERROR(IF('Gantt Proyectos'!AG187&lt;2,$N119*'Gantt Proyectos'!AG187,IF('Gantt Proyectos'!AG187=2,$N119*('Gantt Proyectos'!AG187-1))),0)*$L119*$Q119</f>
        <v>0</v>
      </c>
      <c r="AK119" s="467">
        <f>IFERROR(IF('Gantt Proyectos'!AH187&lt;2,$N119*'Gantt Proyectos'!AH187,IF('Gantt Proyectos'!AH187=2,$N119*('Gantt Proyectos'!AH187-1))),0)*$L119*$Q119</f>
        <v>0</v>
      </c>
      <c r="AL119" s="467">
        <f>IFERROR(IF('Gantt Proyectos'!AI187&lt;2,$N119*'Gantt Proyectos'!AI187,IF('Gantt Proyectos'!AI187=2,$N119*('Gantt Proyectos'!AI187-1))),0)*$L119*$Q119</f>
        <v>0</v>
      </c>
      <c r="AM119" s="467">
        <f>IFERROR(IF('Gantt Proyectos'!AJ187&lt;2,$N119*'Gantt Proyectos'!AJ187,IF('Gantt Proyectos'!AJ187=2,$N119*('Gantt Proyectos'!AJ187-1))),0)*$L119*$Q119</f>
        <v>0</v>
      </c>
      <c r="AN119" s="467">
        <f>IFERROR(IF('Gantt Proyectos'!AK187&lt;2,$N119*'Gantt Proyectos'!AK187,IF('Gantt Proyectos'!AK187=2,$N119*('Gantt Proyectos'!AK187-1))),0)*$L119*$Q119</f>
        <v>0</v>
      </c>
      <c r="AO119" s="467">
        <f>IFERROR(IF('Gantt Proyectos'!AL187&lt;2,$N119*'Gantt Proyectos'!AL187,IF('Gantt Proyectos'!AL187=2,$N119*('Gantt Proyectos'!AL187-1))),0)*$L119*$Q119</f>
        <v>0</v>
      </c>
      <c r="AP119" s="467">
        <f>IFERROR(IF('Gantt Proyectos'!AM187&lt;2,$N119*'Gantt Proyectos'!AM187,IF('Gantt Proyectos'!AM187=2,$N119*('Gantt Proyectos'!AM187-1))),0)*$L119*$Q119</f>
        <v>0</v>
      </c>
      <c r="AQ119" s="468">
        <f>IFERROR(IF('Gantt Proyectos'!AN187&lt;2,$N119*'Gantt Proyectos'!AN187,IF('Gantt Proyectos'!AN187=2,$N119*('Gantt Proyectos'!AN187-1))),0)*$L119*$Q119</f>
        <v>0</v>
      </c>
    </row>
    <row r="120" spans="3:43" ht="15" x14ac:dyDescent="0.2">
      <c r="C120" s="144">
        <f>+'Gantt Proyectos'!C188</f>
        <v>92</v>
      </c>
      <c r="D120" s="145">
        <f>+'Gantt Proyectos'!D188</f>
        <v>0</v>
      </c>
      <c r="E120" s="145">
        <f>+'Gantt Proyectos'!E188</f>
        <v>0</v>
      </c>
      <c r="F120" s="147">
        <f>+'Gantt Proyectos'!F188</f>
        <v>0</v>
      </c>
      <c r="G120" s="145">
        <f>+'Gantt Proyectos'!G188</f>
        <v>0</v>
      </c>
      <c r="H120" s="145">
        <f>+'Gantt Proyectos'!H188</f>
        <v>0</v>
      </c>
      <c r="I120" s="189">
        <v>1</v>
      </c>
      <c r="J120" s="189">
        <f t="shared" si="8"/>
        <v>0</v>
      </c>
      <c r="K120" s="145">
        <f>+'Gantt Proyectos'!I188</f>
        <v>0</v>
      </c>
      <c r="L120" s="120">
        <f>+'Gantt Proyectos'!J188</f>
        <v>0</v>
      </c>
      <c r="M120" s="145">
        <f>+'Gantt Proyectos'!K188</f>
        <v>0</v>
      </c>
      <c r="N120" s="145">
        <f>+'Gantt Proyectos'!L188</f>
        <v>0</v>
      </c>
      <c r="O120" s="145">
        <f>+'Gantt Proyectos'!M188</f>
        <v>0</v>
      </c>
      <c r="P120" s="145">
        <f>+'Gantt Proyectos'!N188</f>
        <v>0</v>
      </c>
      <c r="Q120" s="472">
        <v>1</v>
      </c>
      <c r="R120" s="119">
        <f>+'Gantt Proyectos'!O188</f>
        <v>0</v>
      </c>
      <c r="S120" s="119">
        <f>+'Gantt Proyectos'!P188</f>
        <v>0</v>
      </c>
      <c r="T120" s="145">
        <f>+'Gantt Proyectos'!R188</f>
        <v>0</v>
      </c>
      <c r="U120" s="118">
        <f>+'Gantt Proyectos'!S188</f>
        <v>0</v>
      </c>
      <c r="V120" s="156">
        <f>+'Gantt Proyectos'!T188</f>
        <v>0</v>
      </c>
      <c r="W120" s="156">
        <f>+'Gantt Proyectos'!U188</f>
        <v>0</v>
      </c>
      <c r="X120" s="201">
        <f t="shared" si="9"/>
        <v>0</v>
      </c>
      <c r="Y120" s="121">
        <f>+'Gantt Proyectos'!W188</f>
        <v>0</v>
      </c>
      <c r="Z120" s="122">
        <f>+'Gantt Proyectos'!X188</f>
        <v>0</v>
      </c>
      <c r="AA120" s="122">
        <f>+'Gantt Proyectos'!Y188</f>
        <v>0</v>
      </c>
      <c r="AB120" s="122">
        <f>+'Gantt Proyectos'!Z188</f>
        <v>0</v>
      </c>
      <c r="AC120" s="122">
        <f>+'Gantt Proyectos'!AA188</f>
        <v>0</v>
      </c>
      <c r="AD120" s="122">
        <f>+'Gantt Proyectos'!AB188</f>
        <v>0</v>
      </c>
      <c r="AE120" s="123">
        <f>+'Gantt Proyectos'!AC188</f>
        <v>0</v>
      </c>
      <c r="AF120" s="123">
        <f>+'Gantt Proyectos'!AD188</f>
        <v>0</v>
      </c>
      <c r="AG120" s="124">
        <f>+'Gantt Proyectos'!AE188</f>
        <v>0</v>
      </c>
      <c r="AH120" s="172">
        <v>1</v>
      </c>
      <c r="AI120" s="466">
        <f>IFERROR(IF('Gantt Proyectos'!AF188&lt;2,$N120*'Gantt Proyectos'!AF188,IF('Gantt Proyectos'!AF188=2,$N120*('Gantt Proyectos'!AF188-1))),0)*$L120*$Q120</f>
        <v>0</v>
      </c>
      <c r="AJ120" s="467">
        <f>IFERROR(IF('Gantt Proyectos'!AG188&lt;2,$N120*'Gantt Proyectos'!AG188,IF('Gantt Proyectos'!AG188=2,$N120*('Gantt Proyectos'!AG188-1))),0)*$L120*$Q120</f>
        <v>0</v>
      </c>
      <c r="AK120" s="467">
        <f>IFERROR(IF('Gantt Proyectos'!AH188&lt;2,$N120*'Gantt Proyectos'!AH188,IF('Gantt Proyectos'!AH188=2,$N120*('Gantt Proyectos'!AH188-1))),0)*$L120*$Q120</f>
        <v>0</v>
      </c>
      <c r="AL120" s="467">
        <f>IFERROR(IF('Gantt Proyectos'!AI188&lt;2,$N120*'Gantt Proyectos'!AI188,IF('Gantt Proyectos'!AI188=2,$N120*('Gantt Proyectos'!AI188-1))),0)*$L120*$Q120</f>
        <v>0</v>
      </c>
      <c r="AM120" s="467">
        <f>IFERROR(IF('Gantt Proyectos'!AJ188&lt;2,$N120*'Gantt Proyectos'!AJ188,IF('Gantt Proyectos'!AJ188=2,$N120*('Gantt Proyectos'!AJ188-1))),0)*$L120*$Q120</f>
        <v>0</v>
      </c>
      <c r="AN120" s="467">
        <f>IFERROR(IF('Gantt Proyectos'!AK188&lt;2,$N120*'Gantt Proyectos'!AK188,IF('Gantt Proyectos'!AK188=2,$N120*('Gantt Proyectos'!AK188-1))),0)*$L120*$Q120</f>
        <v>0</v>
      </c>
      <c r="AO120" s="467">
        <f>IFERROR(IF('Gantt Proyectos'!AL188&lt;2,$N120*'Gantt Proyectos'!AL188,IF('Gantt Proyectos'!AL188=2,$N120*('Gantt Proyectos'!AL188-1))),0)*$L120*$Q120</f>
        <v>0</v>
      </c>
      <c r="AP120" s="467">
        <f>IFERROR(IF('Gantt Proyectos'!AM188&lt;2,$N120*'Gantt Proyectos'!AM188,IF('Gantt Proyectos'!AM188=2,$N120*('Gantt Proyectos'!AM188-1))),0)*$L120*$Q120</f>
        <v>0</v>
      </c>
      <c r="AQ120" s="468">
        <f>IFERROR(IF('Gantt Proyectos'!AN188&lt;2,$N120*'Gantt Proyectos'!AN188,IF('Gantt Proyectos'!AN188=2,$N120*('Gantt Proyectos'!AN188-1))),0)*$L120*$Q120</f>
        <v>0</v>
      </c>
    </row>
    <row r="121" spans="3:43" ht="15" x14ac:dyDescent="0.2">
      <c r="C121" s="144">
        <f>+'Gantt Proyectos'!C189</f>
        <v>93</v>
      </c>
      <c r="D121" s="145">
        <f>+'Gantt Proyectos'!D189</f>
        <v>0</v>
      </c>
      <c r="E121" s="145">
        <f>+'Gantt Proyectos'!E189</f>
        <v>0</v>
      </c>
      <c r="F121" s="147">
        <f>+'Gantt Proyectos'!F189</f>
        <v>0</v>
      </c>
      <c r="G121" s="145">
        <f>+'Gantt Proyectos'!G189</f>
        <v>0</v>
      </c>
      <c r="H121" s="145">
        <f>+'Gantt Proyectos'!H189</f>
        <v>0</v>
      </c>
      <c r="I121" s="189">
        <v>1</v>
      </c>
      <c r="J121" s="189">
        <f t="shared" si="8"/>
        <v>0</v>
      </c>
      <c r="K121" s="145">
        <f>+'Gantt Proyectos'!I189</f>
        <v>0</v>
      </c>
      <c r="L121" s="120">
        <f>+'Gantt Proyectos'!J189</f>
        <v>0</v>
      </c>
      <c r="M121" s="145">
        <f>+'Gantt Proyectos'!K189</f>
        <v>0</v>
      </c>
      <c r="N121" s="145">
        <f>+'Gantt Proyectos'!L189</f>
        <v>0</v>
      </c>
      <c r="O121" s="145">
        <f>+'Gantt Proyectos'!M189</f>
        <v>0</v>
      </c>
      <c r="P121" s="145">
        <f>+'Gantt Proyectos'!N189</f>
        <v>0</v>
      </c>
      <c r="Q121" s="472">
        <v>1</v>
      </c>
      <c r="R121" s="119">
        <f>+'Gantt Proyectos'!O189</f>
        <v>0</v>
      </c>
      <c r="S121" s="119">
        <f>+'Gantt Proyectos'!P189</f>
        <v>0</v>
      </c>
      <c r="T121" s="145">
        <f>+'Gantt Proyectos'!R189</f>
        <v>0</v>
      </c>
      <c r="U121" s="118">
        <f>+'Gantt Proyectos'!S189</f>
        <v>0</v>
      </c>
      <c r="V121" s="156">
        <f>+'Gantt Proyectos'!T189</f>
        <v>0</v>
      </c>
      <c r="W121" s="156">
        <f>+'Gantt Proyectos'!U189</f>
        <v>0</v>
      </c>
      <c r="X121" s="201">
        <f t="shared" si="9"/>
        <v>0</v>
      </c>
      <c r="Y121" s="121">
        <f>+'Gantt Proyectos'!W189</f>
        <v>0</v>
      </c>
      <c r="Z121" s="122">
        <f>+'Gantt Proyectos'!X189</f>
        <v>0</v>
      </c>
      <c r="AA121" s="122">
        <f>+'Gantt Proyectos'!Y189</f>
        <v>0</v>
      </c>
      <c r="AB121" s="122">
        <f>+'Gantt Proyectos'!Z189</f>
        <v>0</v>
      </c>
      <c r="AC121" s="122">
        <f>+'Gantt Proyectos'!AA189</f>
        <v>0</v>
      </c>
      <c r="AD121" s="122">
        <f>+'Gantt Proyectos'!AB189</f>
        <v>0</v>
      </c>
      <c r="AE121" s="123">
        <f>+'Gantt Proyectos'!AC189</f>
        <v>0</v>
      </c>
      <c r="AF121" s="123">
        <f>+'Gantt Proyectos'!AD189</f>
        <v>0</v>
      </c>
      <c r="AG121" s="124">
        <f>+'Gantt Proyectos'!AE189</f>
        <v>0</v>
      </c>
      <c r="AH121" s="172">
        <v>1</v>
      </c>
      <c r="AI121" s="466">
        <f>IFERROR(IF('Gantt Proyectos'!AF189&lt;2,$N121*'Gantt Proyectos'!AF189,IF('Gantt Proyectos'!AF189=2,$N121*('Gantt Proyectos'!AF189-1))),0)*$L121*$Q121</f>
        <v>0</v>
      </c>
      <c r="AJ121" s="467">
        <f>IFERROR(IF('Gantt Proyectos'!AG189&lt;2,$N121*'Gantt Proyectos'!AG189,IF('Gantt Proyectos'!AG189=2,$N121*('Gantt Proyectos'!AG189-1))),0)*$L121*$Q121</f>
        <v>0</v>
      </c>
      <c r="AK121" s="467">
        <f>IFERROR(IF('Gantt Proyectos'!AH189&lt;2,$N121*'Gantt Proyectos'!AH189,IF('Gantt Proyectos'!AH189=2,$N121*('Gantt Proyectos'!AH189-1))),0)*$L121*$Q121</f>
        <v>0</v>
      </c>
      <c r="AL121" s="467">
        <f>IFERROR(IF('Gantt Proyectos'!AI189&lt;2,$N121*'Gantt Proyectos'!AI189,IF('Gantt Proyectos'!AI189=2,$N121*('Gantt Proyectos'!AI189-1))),0)*$L121*$Q121</f>
        <v>0</v>
      </c>
      <c r="AM121" s="467">
        <f>IFERROR(IF('Gantt Proyectos'!AJ189&lt;2,$N121*'Gantt Proyectos'!AJ189,IF('Gantt Proyectos'!AJ189=2,$N121*('Gantt Proyectos'!AJ189-1))),0)*$L121*$Q121</f>
        <v>0</v>
      </c>
      <c r="AN121" s="467">
        <f>IFERROR(IF('Gantt Proyectos'!AK189&lt;2,$N121*'Gantt Proyectos'!AK189,IF('Gantt Proyectos'!AK189=2,$N121*('Gantt Proyectos'!AK189-1))),0)*$L121*$Q121</f>
        <v>0</v>
      </c>
      <c r="AO121" s="467">
        <f>IFERROR(IF('Gantt Proyectos'!AL189&lt;2,$N121*'Gantt Proyectos'!AL189,IF('Gantt Proyectos'!AL189=2,$N121*('Gantt Proyectos'!AL189-1))),0)*$L121*$Q121</f>
        <v>0</v>
      </c>
      <c r="AP121" s="467">
        <f>IFERROR(IF('Gantt Proyectos'!AM189&lt;2,$N121*'Gantt Proyectos'!AM189,IF('Gantt Proyectos'!AM189=2,$N121*('Gantt Proyectos'!AM189-1))),0)*$L121*$Q121</f>
        <v>0</v>
      </c>
      <c r="AQ121" s="468">
        <f>IFERROR(IF('Gantt Proyectos'!AN189&lt;2,$N121*'Gantt Proyectos'!AN189,IF('Gantt Proyectos'!AN189=2,$N121*('Gantt Proyectos'!AN189-1))),0)*$L121*$Q121</f>
        <v>0</v>
      </c>
    </row>
    <row r="122" spans="3:43" ht="15" x14ac:dyDescent="0.2">
      <c r="C122" s="144">
        <f>+'Gantt Proyectos'!C190</f>
        <v>94</v>
      </c>
      <c r="D122" s="145">
        <f>+'Gantt Proyectos'!D190</f>
        <v>0</v>
      </c>
      <c r="E122" s="145">
        <f>+'Gantt Proyectos'!E190</f>
        <v>0</v>
      </c>
      <c r="F122" s="147">
        <f>+'Gantt Proyectos'!F190</f>
        <v>0</v>
      </c>
      <c r="G122" s="145">
        <f>+'Gantt Proyectos'!G190</f>
        <v>0</v>
      </c>
      <c r="H122" s="145">
        <f>+'Gantt Proyectos'!H190</f>
        <v>0</v>
      </c>
      <c r="I122" s="189">
        <v>1</v>
      </c>
      <c r="J122" s="189">
        <f t="shared" si="8"/>
        <v>0</v>
      </c>
      <c r="K122" s="145">
        <f>+'Gantt Proyectos'!I190</f>
        <v>0</v>
      </c>
      <c r="L122" s="120">
        <f>+'Gantt Proyectos'!J190</f>
        <v>0</v>
      </c>
      <c r="M122" s="145">
        <f>+'Gantt Proyectos'!K190</f>
        <v>0</v>
      </c>
      <c r="N122" s="145">
        <f>+'Gantt Proyectos'!L190</f>
        <v>0</v>
      </c>
      <c r="O122" s="145">
        <f>+'Gantt Proyectos'!M190</f>
        <v>0</v>
      </c>
      <c r="P122" s="145">
        <f>+'Gantt Proyectos'!N190</f>
        <v>0</v>
      </c>
      <c r="Q122" s="472">
        <v>1</v>
      </c>
      <c r="R122" s="119">
        <f>+'Gantt Proyectos'!O190</f>
        <v>0</v>
      </c>
      <c r="S122" s="119">
        <f>+'Gantt Proyectos'!P190</f>
        <v>0</v>
      </c>
      <c r="T122" s="145">
        <f>+'Gantt Proyectos'!R190</f>
        <v>0</v>
      </c>
      <c r="U122" s="118">
        <f>+'Gantt Proyectos'!S190</f>
        <v>0</v>
      </c>
      <c r="V122" s="156">
        <f>+'Gantt Proyectos'!T190</f>
        <v>0</v>
      </c>
      <c r="W122" s="156">
        <f>+'Gantt Proyectos'!U190</f>
        <v>0</v>
      </c>
      <c r="X122" s="201">
        <f t="shared" si="9"/>
        <v>0</v>
      </c>
      <c r="Y122" s="121">
        <f>+'Gantt Proyectos'!W190</f>
        <v>0</v>
      </c>
      <c r="Z122" s="122">
        <f>+'Gantt Proyectos'!X190</f>
        <v>0</v>
      </c>
      <c r="AA122" s="122">
        <f>+'Gantt Proyectos'!Y190</f>
        <v>0</v>
      </c>
      <c r="AB122" s="122">
        <f>+'Gantt Proyectos'!Z190</f>
        <v>0</v>
      </c>
      <c r="AC122" s="122">
        <f>+'Gantt Proyectos'!AA190</f>
        <v>0</v>
      </c>
      <c r="AD122" s="122">
        <f>+'Gantt Proyectos'!AB190</f>
        <v>0</v>
      </c>
      <c r="AE122" s="123">
        <f>+'Gantt Proyectos'!AC190</f>
        <v>0</v>
      </c>
      <c r="AF122" s="123">
        <f>+'Gantt Proyectos'!AD190</f>
        <v>0</v>
      </c>
      <c r="AG122" s="124">
        <f>+'Gantt Proyectos'!AE190</f>
        <v>0</v>
      </c>
      <c r="AH122" s="172">
        <v>1</v>
      </c>
      <c r="AI122" s="466">
        <f>IFERROR(IF('Gantt Proyectos'!AF190&lt;2,$N122*'Gantt Proyectos'!AF190,IF('Gantt Proyectos'!AF190=2,$N122*('Gantt Proyectos'!AF190-1))),0)*$L122*$Q122</f>
        <v>0</v>
      </c>
      <c r="AJ122" s="467">
        <f>IFERROR(IF('Gantt Proyectos'!AG190&lt;2,$N122*'Gantt Proyectos'!AG190,IF('Gantt Proyectos'!AG190=2,$N122*('Gantt Proyectos'!AG190-1))),0)*$L122*$Q122</f>
        <v>0</v>
      </c>
      <c r="AK122" s="467">
        <f>IFERROR(IF('Gantt Proyectos'!AH190&lt;2,$N122*'Gantt Proyectos'!AH190,IF('Gantt Proyectos'!AH190=2,$N122*('Gantt Proyectos'!AH190-1))),0)*$L122*$Q122</f>
        <v>0</v>
      </c>
      <c r="AL122" s="467">
        <f>IFERROR(IF('Gantt Proyectos'!AI190&lt;2,$N122*'Gantt Proyectos'!AI190,IF('Gantt Proyectos'!AI190=2,$N122*('Gantt Proyectos'!AI190-1))),0)*$L122*$Q122</f>
        <v>0</v>
      </c>
      <c r="AM122" s="467">
        <f>IFERROR(IF('Gantt Proyectos'!AJ190&lt;2,$N122*'Gantt Proyectos'!AJ190,IF('Gantt Proyectos'!AJ190=2,$N122*('Gantt Proyectos'!AJ190-1))),0)*$L122*$Q122</f>
        <v>0</v>
      </c>
      <c r="AN122" s="467">
        <f>IFERROR(IF('Gantt Proyectos'!AK190&lt;2,$N122*'Gantt Proyectos'!AK190,IF('Gantt Proyectos'!AK190=2,$N122*('Gantt Proyectos'!AK190-1))),0)*$L122*$Q122</f>
        <v>0</v>
      </c>
      <c r="AO122" s="467">
        <f>IFERROR(IF('Gantt Proyectos'!AL190&lt;2,$N122*'Gantt Proyectos'!AL190,IF('Gantt Proyectos'!AL190=2,$N122*('Gantt Proyectos'!AL190-1))),0)*$L122*$Q122</f>
        <v>0</v>
      </c>
      <c r="AP122" s="467">
        <f>IFERROR(IF('Gantt Proyectos'!AM190&lt;2,$N122*'Gantt Proyectos'!AM190,IF('Gantt Proyectos'!AM190=2,$N122*('Gantt Proyectos'!AM190-1))),0)*$L122*$Q122</f>
        <v>0</v>
      </c>
      <c r="AQ122" s="468">
        <f>IFERROR(IF('Gantt Proyectos'!AN190&lt;2,$N122*'Gantt Proyectos'!AN190,IF('Gantt Proyectos'!AN190=2,$N122*('Gantt Proyectos'!AN190-1))),0)*$L122*$Q122</f>
        <v>0</v>
      </c>
    </row>
    <row r="123" spans="3:43" ht="15" x14ac:dyDescent="0.2">
      <c r="C123" s="144">
        <f>+'Gantt Proyectos'!C191</f>
        <v>95</v>
      </c>
      <c r="D123" s="145">
        <f>+'Gantt Proyectos'!D191</f>
        <v>0</v>
      </c>
      <c r="E123" s="145">
        <f>+'Gantt Proyectos'!E191</f>
        <v>0</v>
      </c>
      <c r="F123" s="147">
        <f>+'Gantt Proyectos'!F191</f>
        <v>0</v>
      </c>
      <c r="G123" s="145">
        <f>+'Gantt Proyectos'!G191</f>
        <v>0</v>
      </c>
      <c r="H123" s="145">
        <f>+'Gantt Proyectos'!H191</f>
        <v>0</v>
      </c>
      <c r="I123" s="189">
        <v>1</v>
      </c>
      <c r="J123" s="189">
        <f t="shared" si="8"/>
        <v>0</v>
      </c>
      <c r="K123" s="145">
        <f>+'Gantt Proyectos'!I191</f>
        <v>0</v>
      </c>
      <c r="L123" s="120">
        <f>+'Gantt Proyectos'!J191</f>
        <v>0</v>
      </c>
      <c r="M123" s="145">
        <f>+'Gantt Proyectos'!K191</f>
        <v>0</v>
      </c>
      <c r="N123" s="145">
        <f>+'Gantt Proyectos'!L191</f>
        <v>0</v>
      </c>
      <c r="O123" s="145">
        <f>+'Gantt Proyectos'!M191</f>
        <v>0</v>
      </c>
      <c r="P123" s="145">
        <f>+'Gantt Proyectos'!N191</f>
        <v>0</v>
      </c>
      <c r="Q123" s="472">
        <v>1</v>
      </c>
      <c r="R123" s="119">
        <f>+'Gantt Proyectos'!O191</f>
        <v>0</v>
      </c>
      <c r="S123" s="119">
        <f>+'Gantt Proyectos'!P191</f>
        <v>0</v>
      </c>
      <c r="T123" s="145">
        <f>+'Gantt Proyectos'!R191</f>
        <v>0</v>
      </c>
      <c r="U123" s="118">
        <f>+'Gantt Proyectos'!S191</f>
        <v>0</v>
      </c>
      <c r="V123" s="156">
        <f>+'Gantt Proyectos'!T191</f>
        <v>0</v>
      </c>
      <c r="W123" s="156">
        <f>+'Gantt Proyectos'!U191</f>
        <v>0</v>
      </c>
      <c r="X123" s="201">
        <f t="shared" si="9"/>
        <v>0</v>
      </c>
      <c r="Y123" s="121">
        <f>+'Gantt Proyectos'!W191</f>
        <v>0</v>
      </c>
      <c r="Z123" s="122">
        <f>+'Gantt Proyectos'!X191</f>
        <v>0</v>
      </c>
      <c r="AA123" s="122">
        <f>+'Gantt Proyectos'!Y191</f>
        <v>0</v>
      </c>
      <c r="AB123" s="122">
        <f>+'Gantt Proyectos'!Z191</f>
        <v>0</v>
      </c>
      <c r="AC123" s="122">
        <f>+'Gantt Proyectos'!AA191</f>
        <v>0</v>
      </c>
      <c r="AD123" s="122">
        <f>+'Gantt Proyectos'!AB191</f>
        <v>0</v>
      </c>
      <c r="AE123" s="123">
        <f>+'Gantt Proyectos'!AC191</f>
        <v>0</v>
      </c>
      <c r="AF123" s="123">
        <f>+'Gantt Proyectos'!AD191</f>
        <v>0</v>
      </c>
      <c r="AG123" s="124">
        <f>+'Gantt Proyectos'!AE191</f>
        <v>0</v>
      </c>
      <c r="AH123" s="172">
        <v>1</v>
      </c>
      <c r="AI123" s="466">
        <f>IFERROR(IF('Gantt Proyectos'!AF191&lt;2,$N123*'Gantt Proyectos'!AF191,IF('Gantt Proyectos'!AF191=2,$N123*('Gantt Proyectos'!AF191-1))),0)*$L123*$Q123</f>
        <v>0</v>
      </c>
      <c r="AJ123" s="467">
        <f>IFERROR(IF('Gantt Proyectos'!AG191&lt;2,$N123*'Gantt Proyectos'!AG191,IF('Gantt Proyectos'!AG191=2,$N123*('Gantt Proyectos'!AG191-1))),0)*$L123*$Q123</f>
        <v>0</v>
      </c>
      <c r="AK123" s="467">
        <f>IFERROR(IF('Gantt Proyectos'!AH191&lt;2,$N123*'Gantt Proyectos'!AH191,IF('Gantt Proyectos'!AH191=2,$N123*('Gantt Proyectos'!AH191-1))),0)*$L123*$Q123</f>
        <v>0</v>
      </c>
      <c r="AL123" s="467">
        <f>IFERROR(IF('Gantt Proyectos'!AI191&lt;2,$N123*'Gantt Proyectos'!AI191,IF('Gantt Proyectos'!AI191=2,$N123*('Gantt Proyectos'!AI191-1))),0)*$L123*$Q123</f>
        <v>0</v>
      </c>
      <c r="AM123" s="467">
        <f>IFERROR(IF('Gantt Proyectos'!AJ191&lt;2,$N123*'Gantt Proyectos'!AJ191,IF('Gantt Proyectos'!AJ191=2,$N123*('Gantt Proyectos'!AJ191-1))),0)*$L123*$Q123</f>
        <v>0</v>
      </c>
      <c r="AN123" s="467">
        <f>IFERROR(IF('Gantt Proyectos'!AK191&lt;2,$N123*'Gantt Proyectos'!AK191,IF('Gantt Proyectos'!AK191=2,$N123*('Gantt Proyectos'!AK191-1))),0)*$L123*$Q123</f>
        <v>0</v>
      </c>
      <c r="AO123" s="467">
        <f>IFERROR(IF('Gantt Proyectos'!AL191&lt;2,$N123*'Gantt Proyectos'!AL191,IF('Gantt Proyectos'!AL191=2,$N123*('Gantt Proyectos'!AL191-1))),0)*$L123*$Q123</f>
        <v>0</v>
      </c>
      <c r="AP123" s="467">
        <f>IFERROR(IF('Gantt Proyectos'!AM191&lt;2,$N123*'Gantt Proyectos'!AM191,IF('Gantt Proyectos'!AM191=2,$N123*('Gantt Proyectos'!AM191-1))),0)*$L123*$Q123</f>
        <v>0</v>
      </c>
      <c r="AQ123" s="468">
        <f>IFERROR(IF('Gantt Proyectos'!AN191&lt;2,$N123*'Gantt Proyectos'!AN191,IF('Gantt Proyectos'!AN191=2,$N123*('Gantt Proyectos'!AN191-1))),0)*$L123*$Q123</f>
        <v>0</v>
      </c>
    </row>
    <row r="124" spans="3:43" ht="15" x14ac:dyDescent="0.2">
      <c r="C124" s="144">
        <f>+'Gantt Proyectos'!C192</f>
        <v>96</v>
      </c>
      <c r="D124" s="145">
        <f>+'Gantt Proyectos'!D192</f>
        <v>0</v>
      </c>
      <c r="E124" s="145">
        <f>+'Gantt Proyectos'!E192</f>
        <v>0</v>
      </c>
      <c r="F124" s="147">
        <f>+'Gantt Proyectos'!F192</f>
        <v>0</v>
      </c>
      <c r="G124" s="145">
        <f>+'Gantt Proyectos'!G192</f>
        <v>0</v>
      </c>
      <c r="H124" s="145">
        <f>+'Gantt Proyectos'!H192</f>
        <v>0</v>
      </c>
      <c r="I124" s="189">
        <v>1</v>
      </c>
      <c r="J124" s="189">
        <f t="shared" si="8"/>
        <v>0</v>
      </c>
      <c r="K124" s="145">
        <f>+'Gantt Proyectos'!I192</f>
        <v>0</v>
      </c>
      <c r="L124" s="120">
        <f>+'Gantt Proyectos'!J192</f>
        <v>0</v>
      </c>
      <c r="M124" s="145">
        <f>+'Gantt Proyectos'!K192</f>
        <v>0</v>
      </c>
      <c r="N124" s="145">
        <f>+'Gantt Proyectos'!L192</f>
        <v>0</v>
      </c>
      <c r="O124" s="145">
        <f>+'Gantt Proyectos'!M192</f>
        <v>0</v>
      </c>
      <c r="P124" s="145">
        <f>+'Gantt Proyectos'!N192</f>
        <v>0</v>
      </c>
      <c r="Q124" s="472">
        <v>1</v>
      </c>
      <c r="R124" s="119">
        <f>+'Gantt Proyectos'!O192</f>
        <v>0</v>
      </c>
      <c r="S124" s="119">
        <f>+'Gantt Proyectos'!P192</f>
        <v>0</v>
      </c>
      <c r="T124" s="145">
        <f>+'Gantt Proyectos'!R192</f>
        <v>0</v>
      </c>
      <c r="U124" s="118">
        <f>+'Gantt Proyectos'!S192</f>
        <v>0</v>
      </c>
      <c r="V124" s="156">
        <f>+'Gantt Proyectos'!T192</f>
        <v>0</v>
      </c>
      <c r="W124" s="156">
        <f>+'Gantt Proyectos'!U192</f>
        <v>0</v>
      </c>
      <c r="X124" s="201">
        <f t="shared" si="9"/>
        <v>0</v>
      </c>
      <c r="Y124" s="121">
        <f>+'Gantt Proyectos'!W192</f>
        <v>0</v>
      </c>
      <c r="Z124" s="122">
        <f>+'Gantt Proyectos'!X192</f>
        <v>0</v>
      </c>
      <c r="AA124" s="122">
        <f>+'Gantt Proyectos'!Y192</f>
        <v>0</v>
      </c>
      <c r="AB124" s="122">
        <f>+'Gantt Proyectos'!Z192</f>
        <v>0</v>
      </c>
      <c r="AC124" s="122">
        <f>+'Gantt Proyectos'!AA192</f>
        <v>0</v>
      </c>
      <c r="AD124" s="122">
        <f>+'Gantt Proyectos'!AB192</f>
        <v>0</v>
      </c>
      <c r="AE124" s="123">
        <f>+'Gantt Proyectos'!AC192</f>
        <v>0</v>
      </c>
      <c r="AF124" s="123">
        <f>+'Gantt Proyectos'!AD192</f>
        <v>0</v>
      </c>
      <c r="AG124" s="124">
        <f>+'Gantt Proyectos'!AE192</f>
        <v>0</v>
      </c>
      <c r="AH124" s="172">
        <v>1</v>
      </c>
      <c r="AI124" s="466">
        <f>IFERROR(IF('Gantt Proyectos'!AF192&lt;2,$N124*'Gantt Proyectos'!AF192,IF('Gantt Proyectos'!AF192=2,$N124*('Gantt Proyectos'!AF192-1))),0)*$L124*$Q124</f>
        <v>0</v>
      </c>
      <c r="AJ124" s="467">
        <f>IFERROR(IF('Gantt Proyectos'!AG192&lt;2,$N124*'Gantt Proyectos'!AG192,IF('Gantt Proyectos'!AG192=2,$N124*('Gantt Proyectos'!AG192-1))),0)*$L124*$Q124</f>
        <v>0</v>
      </c>
      <c r="AK124" s="467">
        <f>IFERROR(IF('Gantt Proyectos'!AH192&lt;2,$N124*'Gantt Proyectos'!AH192,IF('Gantt Proyectos'!AH192=2,$N124*('Gantt Proyectos'!AH192-1))),0)*$L124*$Q124</f>
        <v>0</v>
      </c>
      <c r="AL124" s="467">
        <f>IFERROR(IF('Gantt Proyectos'!AI192&lt;2,$N124*'Gantt Proyectos'!AI192,IF('Gantt Proyectos'!AI192=2,$N124*('Gantt Proyectos'!AI192-1))),0)*$L124*$Q124</f>
        <v>0</v>
      </c>
      <c r="AM124" s="467">
        <f>IFERROR(IF('Gantt Proyectos'!AJ192&lt;2,$N124*'Gantt Proyectos'!AJ192,IF('Gantt Proyectos'!AJ192=2,$N124*('Gantt Proyectos'!AJ192-1))),0)*$L124*$Q124</f>
        <v>0</v>
      </c>
      <c r="AN124" s="467">
        <f>IFERROR(IF('Gantt Proyectos'!AK192&lt;2,$N124*'Gantt Proyectos'!AK192,IF('Gantt Proyectos'!AK192=2,$N124*('Gantt Proyectos'!AK192-1))),0)*$L124*$Q124</f>
        <v>0</v>
      </c>
      <c r="AO124" s="467">
        <f>IFERROR(IF('Gantt Proyectos'!AL192&lt;2,$N124*'Gantt Proyectos'!AL192,IF('Gantt Proyectos'!AL192=2,$N124*('Gantt Proyectos'!AL192-1))),0)*$L124*$Q124</f>
        <v>0</v>
      </c>
      <c r="AP124" s="467">
        <f>IFERROR(IF('Gantt Proyectos'!AM192&lt;2,$N124*'Gantt Proyectos'!AM192,IF('Gantt Proyectos'!AM192=2,$N124*('Gantt Proyectos'!AM192-1))),0)*$L124*$Q124</f>
        <v>0</v>
      </c>
      <c r="AQ124" s="468">
        <f>IFERROR(IF('Gantt Proyectos'!AN192&lt;2,$N124*'Gantt Proyectos'!AN192,IF('Gantt Proyectos'!AN192=2,$N124*('Gantt Proyectos'!AN192-1))),0)*$L124*$Q124</f>
        <v>0</v>
      </c>
    </row>
    <row r="125" spans="3:43" ht="15" x14ac:dyDescent="0.2">
      <c r="C125" s="144">
        <f>+'Gantt Proyectos'!C193</f>
        <v>97</v>
      </c>
      <c r="D125" s="145">
        <f>+'Gantt Proyectos'!D193</f>
        <v>0</v>
      </c>
      <c r="E125" s="145">
        <f>+'Gantt Proyectos'!E193</f>
        <v>0</v>
      </c>
      <c r="F125" s="147">
        <f>+'Gantt Proyectos'!F193</f>
        <v>0</v>
      </c>
      <c r="G125" s="145">
        <f>+'Gantt Proyectos'!G193</f>
        <v>0</v>
      </c>
      <c r="H125" s="145">
        <f>+'Gantt Proyectos'!H193</f>
        <v>0</v>
      </c>
      <c r="I125" s="189">
        <v>1</v>
      </c>
      <c r="J125" s="189">
        <f t="shared" si="8"/>
        <v>0</v>
      </c>
      <c r="K125" s="145">
        <f>+'Gantt Proyectos'!I193</f>
        <v>0</v>
      </c>
      <c r="L125" s="120">
        <f>+'Gantt Proyectos'!J193</f>
        <v>0</v>
      </c>
      <c r="M125" s="145">
        <f>+'Gantt Proyectos'!K193</f>
        <v>0</v>
      </c>
      <c r="N125" s="145">
        <f>+'Gantt Proyectos'!L193</f>
        <v>0</v>
      </c>
      <c r="O125" s="145">
        <f>+'Gantt Proyectos'!M193</f>
        <v>0</v>
      </c>
      <c r="P125" s="145">
        <f>+'Gantt Proyectos'!N193</f>
        <v>0</v>
      </c>
      <c r="Q125" s="472">
        <v>1</v>
      </c>
      <c r="R125" s="119">
        <f>+'Gantt Proyectos'!O193</f>
        <v>0</v>
      </c>
      <c r="S125" s="119">
        <f>+'Gantt Proyectos'!P193</f>
        <v>0</v>
      </c>
      <c r="T125" s="145">
        <f>+'Gantt Proyectos'!R193</f>
        <v>0</v>
      </c>
      <c r="U125" s="118">
        <f>+'Gantt Proyectos'!S193</f>
        <v>0</v>
      </c>
      <c r="V125" s="156">
        <f>+'Gantt Proyectos'!T193</f>
        <v>0</v>
      </c>
      <c r="W125" s="156">
        <f>+'Gantt Proyectos'!U193</f>
        <v>0</v>
      </c>
      <c r="X125" s="201">
        <f t="shared" si="9"/>
        <v>0</v>
      </c>
      <c r="Y125" s="121">
        <f>+'Gantt Proyectos'!W193</f>
        <v>0</v>
      </c>
      <c r="Z125" s="122">
        <f>+'Gantt Proyectos'!X193</f>
        <v>0</v>
      </c>
      <c r="AA125" s="122">
        <f>+'Gantt Proyectos'!Y193</f>
        <v>0</v>
      </c>
      <c r="AB125" s="122">
        <f>+'Gantt Proyectos'!Z193</f>
        <v>0</v>
      </c>
      <c r="AC125" s="122">
        <f>+'Gantt Proyectos'!AA193</f>
        <v>0</v>
      </c>
      <c r="AD125" s="122">
        <f>+'Gantt Proyectos'!AB193</f>
        <v>0</v>
      </c>
      <c r="AE125" s="123">
        <f>+'Gantt Proyectos'!AC193</f>
        <v>0</v>
      </c>
      <c r="AF125" s="123">
        <f>+'Gantt Proyectos'!AD193</f>
        <v>0</v>
      </c>
      <c r="AG125" s="124">
        <f>+'Gantt Proyectos'!AE193</f>
        <v>0</v>
      </c>
      <c r="AH125" s="172">
        <v>1</v>
      </c>
      <c r="AI125" s="466">
        <f>IFERROR(IF('Gantt Proyectos'!AF193&lt;2,$N125*'Gantt Proyectos'!AF193,IF('Gantt Proyectos'!AF193=2,$N125*('Gantt Proyectos'!AF193-1))),0)*$L125*$Q125</f>
        <v>0</v>
      </c>
      <c r="AJ125" s="467">
        <f>IFERROR(IF('Gantt Proyectos'!AG193&lt;2,$N125*'Gantt Proyectos'!AG193,IF('Gantt Proyectos'!AG193=2,$N125*('Gantt Proyectos'!AG193-1))),0)*$L125*$Q125</f>
        <v>0</v>
      </c>
      <c r="AK125" s="467">
        <f>IFERROR(IF('Gantt Proyectos'!AH193&lt;2,$N125*'Gantt Proyectos'!AH193,IF('Gantt Proyectos'!AH193=2,$N125*('Gantt Proyectos'!AH193-1))),0)*$L125*$Q125</f>
        <v>0</v>
      </c>
      <c r="AL125" s="467">
        <f>IFERROR(IF('Gantt Proyectos'!AI193&lt;2,$N125*'Gantt Proyectos'!AI193,IF('Gantt Proyectos'!AI193=2,$N125*('Gantt Proyectos'!AI193-1))),0)*$L125*$Q125</f>
        <v>0</v>
      </c>
      <c r="AM125" s="467">
        <f>IFERROR(IF('Gantt Proyectos'!AJ193&lt;2,$N125*'Gantt Proyectos'!AJ193,IF('Gantt Proyectos'!AJ193=2,$N125*('Gantt Proyectos'!AJ193-1))),0)*$L125*$Q125</f>
        <v>0</v>
      </c>
      <c r="AN125" s="467">
        <f>IFERROR(IF('Gantt Proyectos'!AK193&lt;2,$N125*'Gantt Proyectos'!AK193,IF('Gantt Proyectos'!AK193=2,$N125*('Gantt Proyectos'!AK193-1))),0)*$L125*$Q125</f>
        <v>0</v>
      </c>
      <c r="AO125" s="467">
        <f>IFERROR(IF('Gantt Proyectos'!AL193&lt;2,$N125*'Gantt Proyectos'!AL193,IF('Gantt Proyectos'!AL193=2,$N125*('Gantt Proyectos'!AL193-1))),0)*$L125*$Q125</f>
        <v>0</v>
      </c>
      <c r="AP125" s="467">
        <f>IFERROR(IF('Gantt Proyectos'!AM193&lt;2,$N125*'Gantt Proyectos'!AM193,IF('Gantt Proyectos'!AM193=2,$N125*('Gantt Proyectos'!AM193-1))),0)*$L125*$Q125</f>
        <v>0</v>
      </c>
      <c r="AQ125" s="468">
        <f>IFERROR(IF('Gantt Proyectos'!AN193&lt;2,$N125*'Gantt Proyectos'!AN193,IF('Gantt Proyectos'!AN193=2,$N125*('Gantt Proyectos'!AN193-1))),0)*$L125*$Q125</f>
        <v>0</v>
      </c>
    </row>
    <row r="126" spans="3:43" ht="15" x14ac:dyDescent="0.2">
      <c r="C126" s="144">
        <f>+'Gantt Proyectos'!C194</f>
        <v>98</v>
      </c>
      <c r="D126" s="145">
        <f>+'Gantt Proyectos'!D194</f>
        <v>0</v>
      </c>
      <c r="E126" s="145">
        <f>+'Gantt Proyectos'!E194</f>
        <v>0</v>
      </c>
      <c r="F126" s="147">
        <f>+'Gantt Proyectos'!F194</f>
        <v>0</v>
      </c>
      <c r="G126" s="145">
        <f>+'Gantt Proyectos'!G194</f>
        <v>0</v>
      </c>
      <c r="H126" s="145">
        <f>+'Gantt Proyectos'!H194</f>
        <v>0</v>
      </c>
      <c r="I126" s="189">
        <v>1</v>
      </c>
      <c r="J126" s="189">
        <f t="shared" si="8"/>
        <v>0</v>
      </c>
      <c r="K126" s="145">
        <f>+'Gantt Proyectos'!I194</f>
        <v>0</v>
      </c>
      <c r="L126" s="120">
        <f>+'Gantt Proyectos'!J194</f>
        <v>0</v>
      </c>
      <c r="M126" s="145">
        <f>+'Gantt Proyectos'!K194</f>
        <v>0</v>
      </c>
      <c r="N126" s="145">
        <f>+'Gantt Proyectos'!L194</f>
        <v>0</v>
      </c>
      <c r="O126" s="145">
        <f>+'Gantt Proyectos'!M194</f>
        <v>0</v>
      </c>
      <c r="P126" s="145">
        <f>+'Gantt Proyectos'!N194</f>
        <v>0</v>
      </c>
      <c r="Q126" s="472">
        <v>1</v>
      </c>
      <c r="R126" s="119">
        <f>+'Gantt Proyectos'!O194</f>
        <v>0</v>
      </c>
      <c r="S126" s="119">
        <f>+'Gantt Proyectos'!P194</f>
        <v>0</v>
      </c>
      <c r="T126" s="145">
        <f>+'Gantt Proyectos'!R194</f>
        <v>0</v>
      </c>
      <c r="U126" s="118">
        <f>+'Gantt Proyectos'!S194</f>
        <v>0</v>
      </c>
      <c r="V126" s="156">
        <f>+'Gantt Proyectos'!T194</f>
        <v>0</v>
      </c>
      <c r="W126" s="156">
        <f>+'Gantt Proyectos'!U194</f>
        <v>0</v>
      </c>
      <c r="X126" s="201">
        <f t="shared" si="9"/>
        <v>0</v>
      </c>
      <c r="Y126" s="121">
        <f>+'Gantt Proyectos'!W194</f>
        <v>0</v>
      </c>
      <c r="Z126" s="122">
        <f>+'Gantt Proyectos'!X194</f>
        <v>0</v>
      </c>
      <c r="AA126" s="122">
        <f>+'Gantt Proyectos'!Y194</f>
        <v>0</v>
      </c>
      <c r="AB126" s="122">
        <f>+'Gantt Proyectos'!Z194</f>
        <v>0</v>
      </c>
      <c r="AC126" s="122">
        <f>+'Gantt Proyectos'!AA194</f>
        <v>0</v>
      </c>
      <c r="AD126" s="122">
        <f>+'Gantt Proyectos'!AB194</f>
        <v>0</v>
      </c>
      <c r="AE126" s="123">
        <f>+'Gantt Proyectos'!AC194</f>
        <v>0</v>
      </c>
      <c r="AF126" s="123">
        <f>+'Gantt Proyectos'!AD194</f>
        <v>0</v>
      </c>
      <c r="AG126" s="124">
        <f>+'Gantt Proyectos'!AE194</f>
        <v>0</v>
      </c>
      <c r="AH126" s="172">
        <v>1</v>
      </c>
      <c r="AI126" s="466">
        <f>IFERROR(IF('Gantt Proyectos'!AF194&lt;2,$N126*'Gantt Proyectos'!AF194,IF('Gantt Proyectos'!AF194=2,$N126*('Gantt Proyectos'!AF194-1))),0)*$L126*$Q126</f>
        <v>0</v>
      </c>
      <c r="AJ126" s="467">
        <f>IFERROR(IF('Gantt Proyectos'!AG194&lt;2,$N126*'Gantt Proyectos'!AG194,IF('Gantt Proyectos'!AG194=2,$N126*('Gantt Proyectos'!AG194-1))),0)*$L126*$Q126</f>
        <v>0</v>
      </c>
      <c r="AK126" s="467">
        <f>IFERROR(IF('Gantt Proyectos'!AH194&lt;2,$N126*'Gantt Proyectos'!AH194,IF('Gantt Proyectos'!AH194=2,$N126*('Gantt Proyectos'!AH194-1))),0)*$L126*$Q126</f>
        <v>0</v>
      </c>
      <c r="AL126" s="467">
        <f>IFERROR(IF('Gantt Proyectos'!AI194&lt;2,$N126*'Gantt Proyectos'!AI194,IF('Gantt Proyectos'!AI194=2,$N126*('Gantt Proyectos'!AI194-1))),0)*$L126*$Q126</f>
        <v>0</v>
      </c>
      <c r="AM126" s="467">
        <f>IFERROR(IF('Gantt Proyectos'!AJ194&lt;2,$N126*'Gantt Proyectos'!AJ194,IF('Gantt Proyectos'!AJ194=2,$N126*('Gantt Proyectos'!AJ194-1))),0)*$L126*$Q126</f>
        <v>0</v>
      </c>
      <c r="AN126" s="467">
        <f>IFERROR(IF('Gantt Proyectos'!AK194&lt;2,$N126*'Gantt Proyectos'!AK194,IF('Gantt Proyectos'!AK194=2,$N126*('Gantt Proyectos'!AK194-1))),0)*$L126*$Q126</f>
        <v>0</v>
      </c>
      <c r="AO126" s="467">
        <f>IFERROR(IF('Gantt Proyectos'!AL194&lt;2,$N126*'Gantt Proyectos'!AL194,IF('Gantt Proyectos'!AL194=2,$N126*('Gantt Proyectos'!AL194-1))),0)*$L126*$Q126</f>
        <v>0</v>
      </c>
      <c r="AP126" s="467">
        <f>IFERROR(IF('Gantt Proyectos'!AM194&lt;2,$N126*'Gantt Proyectos'!AM194,IF('Gantt Proyectos'!AM194=2,$N126*('Gantt Proyectos'!AM194-1))),0)*$L126*$Q126</f>
        <v>0</v>
      </c>
      <c r="AQ126" s="468">
        <f>IFERROR(IF('Gantt Proyectos'!AN194&lt;2,$N126*'Gantt Proyectos'!AN194,IF('Gantt Proyectos'!AN194=2,$N126*('Gantt Proyectos'!AN194-1))),0)*$L126*$Q126</f>
        <v>0</v>
      </c>
    </row>
    <row r="127" spans="3:43" ht="15" x14ac:dyDescent="0.2">
      <c r="C127" s="144">
        <f>+'Gantt Proyectos'!C195</f>
        <v>99</v>
      </c>
      <c r="D127" s="145">
        <f>+'Gantt Proyectos'!D195</f>
        <v>0</v>
      </c>
      <c r="E127" s="145">
        <f>+'Gantt Proyectos'!E195</f>
        <v>0</v>
      </c>
      <c r="F127" s="147">
        <f>+'Gantt Proyectos'!F195</f>
        <v>0</v>
      </c>
      <c r="G127" s="145">
        <f>+'Gantt Proyectos'!G195</f>
        <v>0</v>
      </c>
      <c r="H127" s="145">
        <f>+'Gantt Proyectos'!H195</f>
        <v>0</v>
      </c>
      <c r="I127" s="189">
        <v>1</v>
      </c>
      <c r="J127" s="189">
        <f t="shared" si="8"/>
        <v>0</v>
      </c>
      <c r="K127" s="145">
        <f>+'Gantt Proyectos'!I195</f>
        <v>0</v>
      </c>
      <c r="L127" s="120">
        <f>+'Gantt Proyectos'!J195</f>
        <v>0</v>
      </c>
      <c r="M127" s="145">
        <f>+'Gantt Proyectos'!K195</f>
        <v>0</v>
      </c>
      <c r="N127" s="145">
        <f>+'Gantt Proyectos'!L195</f>
        <v>0</v>
      </c>
      <c r="O127" s="145">
        <f>+'Gantt Proyectos'!M195</f>
        <v>0</v>
      </c>
      <c r="P127" s="145">
        <f>+'Gantt Proyectos'!N195</f>
        <v>0</v>
      </c>
      <c r="Q127" s="472">
        <v>1</v>
      </c>
      <c r="R127" s="119">
        <f>+'Gantt Proyectos'!O195</f>
        <v>0</v>
      </c>
      <c r="S127" s="119">
        <f>+'Gantt Proyectos'!P195</f>
        <v>0</v>
      </c>
      <c r="T127" s="145">
        <f>+'Gantt Proyectos'!R195</f>
        <v>0</v>
      </c>
      <c r="U127" s="118">
        <f>+'Gantt Proyectos'!S195</f>
        <v>0</v>
      </c>
      <c r="V127" s="156">
        <f>+'Gantt Proyectos'!T195</f>
        <v>0</v>
      </c>
      <c r="W127" s="156">
        <f>+'Gantt Proyectos'!U195</f>
        <v>0</v>
      </c>
      <c r="X127" s="201">
        <f t="shared" si="9"/>
        <v>0</v>
      </c>
      <c r="Y127" s="121">
        <f>+'Gantt Proyectos'!W195</f>
        <v>0</v>
      </c>
      <c r="Z127" s="122">
        <f>+'Gantt Proyectos'!X195</f>
        <v>0</v>
      </c>
      <c r="AA127" s="122">
        <f>+'Gantt Proyectos'!Y195</f>
        <v>0</v>
      </c>
      <c r="AB127" s="122">
        <f>+'Gantt Proyectos'!Z195</f>
        <v>0</v>
      </c>
      <c r="AC127" s="122">
        <f>+'Gantt Proyectos'!AA195</f>
        <v>0</v>
      </c>
      <c r="AD127" s="122">
        <f>+'Gantt Proyectos'!AB195</f>
        <v>0</v>
      </c>
      <c r="AE127" s="123">
        <f>+'Gantt Proyectos'!AC195</f>
        <v>0</v>
      </c>
      <c r="AF127" s="123">
        <f>+'Gantt Proyectos'!AD195</f>
        <v>0</v>
      </c>
      <c r="AG127" s="124">
        <f>+'Gantt Proyectos'!AE195</f>
        <v>0</v>
      </c>
      <c r="AH127" s="172">
        <v>1</v>
      </c>
      <c r="AI127" s="466">
        <f>IFERROR(IF('Gantt Proyectos'!AF195&lt;2,$N127*'Gantt Proyectos'!AF195,IF('Gantt Proyectos'!AF195=2,$N127*('Gantt Proyectos'!AF195-1))),0)*$L127*$Q127</f>
        <v>0</v>
      </c>
      <c r="AJ127" s="467">
        <f>IFERROR(IF('Gantt Proyectos'!AG195&lt;2,$N127*'Gantt Proyectos'!AG195,IF('Gantt Proyectos'!AG195=2,$N127*('Gantt Proyectos'!AG195-1))),0)*$L127*$Q127</f>
        <v>0</v>
      </c>
      <c r="AK127" s="467">
        <f>IFERROR(IF('Gantt Proyectos'!AH195&lt;2,$N127*'Gantt Proyectos'!AH195,IF('Gantt Proyectos'!AH195=2,$N127*('Gantt Proyectos'!AH195-1))),0)*$L127*$Q127</f>
        <v>0</v>
      </c>
      <c r="AL127" s="467">
        <f>IFERROR(IF('Gantt Proyectos'!AI195&lt;2,$N127*'Gantt Proyectos'!AI195,IF('Gantt Proyectos'!AI195=2,$N127*('Gantt Proyectos'!AI195-1))),0)*$L127*$Q127</f>
        <v>0</v>
      </c>
      <c r="AM127" s="467">
        <f>IFERROR(IF('Gantt Proyectos'!AJ195&lt;2,$N127*'Gantt Proyectos'!AJ195,IF('Gantt Proyectos'!AJ195=2,$N127*('Gantt Proyectos'!AJ195-1))),0)*$L127*$Q127</f>
        <v>0</v>
      </c>
      <c r="AN127" s="467">
        <f>IFERROR(IF('Gantt Proyectos'!AK195&lt;2,$N127*'Gantt Proyectos'!AK195,IF('Gantt Proyectos'!AK195=2,$N127*('Gantt Proyectos'!AK195-1))),0)*$L127*$Q127</f>
        <v>0</v>
      </c>
      <c r="AO127" s="467">
        <f>IFERROR(IF('Gantt Proyectos'!AL195&lt;2,$N127*'Gantt Proyectos'!AL195,IF('Gantt Proyectos'!AL195=2,$N127*('Gantt Proyectos'!AL195-1))),0)*$L127*$Q127</f>
        <v>0</v>
      </c>
      <c r="AP127" s="467">
        <f>IFERROR(IF('Gantt Proyectos'!AM195&lt;2,$N127*'Gantt Proyectos'!AM195,IF('Gantt Proyectos'!AM195=2,$N127*('Gantt Proyectos'!AM195-1))),0)*$L127*$Q127</f>
        <v>0</v>
      </c>
      <c r="AQ127" s="468">
        <f>IFERROR(IF('Gantt Proyectos'!AN195&lt;2,$N127*'Gantt Proyectos'!AN195,IF('Gantt Proyectos'!AN195=2,$N127*('Gantt Proyectos'!AN195-1))),0)*$L127*$Q127</f>
        <v>0</v>
      </c>
    </row>
    <row r="128" spans="3:43" ht="15" x14ac:dyDescent="0.2">
      <c r="C128" s="144">
        <f>+'Gantt Proyectos'!C196</f>
        <v>100</v>
      </c>
      <c r="D128" s="145">
        <f>+'Gantt Proyectos'!D196</f>
        <v>0</v>
      </c>
      <c r="E128" s="145">
        <f>+'Gantt Proyectos'!E196</f>
        <v>0</v>
      </c>
      <c r="F128" s="147">
        <f>+'Gantt Proyectos'!F196</f>
        <v>0</v>
      </c>
      <c r="G128" s="145">
        <f>+'Gantt Proyectos'!G196</f>
        <v>0</v>
      </c>
      <c r="H128" s="145">
        <f>+'Gantt Proyectos'!H196</f>
        <v>0</v>
      </c>
      <c r="I128" s="189">
        <v>1</v>
      </c>
      <c r="J128" s="189">
        <f t="shared" si="8"/>
        <v>0</v>
      </c>
      <c r="K128" s="145">
        <f>+'Gantt Proyectos'!I196</f>
        <v>0</v>
      </c>
      <c r="L128" s="120">
        <f>+'Gantt Proyectos'!J196</f>
        <v>0</v>
      </c>
      <c r="M128" s="145">
        <f>+'Gantt Proyectos'!K196</f>
        <v>0</v>
      </c>
      <c r="N128" s="145">
        <f>+'Gantt Proyectos'!L196</f>
        <v>0</v>
      </c>
      <c r="O128" s="145">
        <f>+'Gantt Proyectos'!M196</f>
        <v>0</v>
      </c>
      <c r="P128" s="145">
        <f>+'Gantt Proyectos'!N196</f>
        <v>0</v>
      </c>
      <c r="Q128" s="472">
        <v>1</v>
      </c>
      <c r="R128" s="119">
        <f>+'Gantt Proyectos'!O196</f>
        <v>0</v>
      </c>
      <c r="S128" s="119">
        <f>+'Gantt Proyectos'!P196</f>
        <v>0</v>
      </c>
      <c r="T128" s="145">
        <f>+'Gantt Proyectos'!R196</f>
        <v>0</v>
      </c>
      <c r="U128" s="118">
        <f>+'Gantt Proyectos'!S196</f>
        <v>0</v>
      </c>
      <c r="V128" s="156">
        <f>+'Gantt Proyectos'!T196</f>
        <v>0</v>
      </c>
      <c r="W128" s="156">
        <f>+'Gantt Proyectos'!U196</f>
        <v>0</v>
      </c>
      <c r="X128" s="201">
        <f t="shared" si="9"/>
        <v>0</v>
      </c>
      <c r="Y128" s="121">
        <f>+'Gantt Proyectos'!W196</f>
        <v>0</v>
      </c>
      <c r="Z128" s="122">
        <f>+'Gantt Proyectos'!X196</f>
        <v>0</v>
      </c>
      <c r="AA128" s="122">
        <f>+'Gantt Proyectos'!Y196</f>
        <v>0</v>
      </c>
      <c r="AB128" s="122">
        <f>+'Gantt Proyectos'!Z196</f>
        <v>0</v>
      </c>
      <c r="AC128" s="122">
        <f>+'Gantt Proyectos'!AA196</f>
        <v>0</v>
      </c>
      <c r="AD128" s="122">
        <f>+'Gantt Proyectos'!AB196</f>
        <v>0</v>
      </c>
      <c r="AE128" s="123">
        <f>+'Gantt Proyectos'!AC196</f>
        <v>0</v>
      </c>
      <c r="AF128" s="123">
        <f>+'Gantt Proyectos'!AD196</f>
        <v>0</v>
      </c>
      <c r="AG128" s="124">
        <f>+'Gantt Proyectos'!AE196</f>
        <v>0</v>
      </c>
      <c r="AH128" s="172">
        <v>1</v>
      </c>
      <c r="AI128" s="466">
        <f>IFERROR(IF('Gantt Proyectos'!AF196&lt;2,$N128*'Gantt Proyectos'!AF196,IF('Gantt Proyectos'!AF196=2,$N128*('Gantt Proyectos'!AF196-1))),0)*$L128*$Q128</f>
        <v>0</v>
      </c>
      <c r="AJ128" s="467">
        <f>IFERROR(IF('Gantt Proyectos'!AG196&lt;2,$N128*'Gantt Proyectos'!AG196,IF('Gantt Proyectos'!AG196=2,$N128*('Gantt Proyectos'!AG196-1))),0)*$L128*$Q128</f>
        <v>0</v>
      </c>
      <c r="AK128" s="467">
        <f>IFERROR(IF('Gantt Proyectos'!AH196&lt;2,$N128*'Gantt Proyectos'!AH196,IF('Gantt Proyectos'!AH196=2,$N128*('Gantt Proyectos'!AH196-1))),0)*$L128*$Q128</f>
        <v>0</v>
      </c>
      <c r="AL128" s="467">
        <f>IFERROR(IF('Gantt Proyectos'!AI196&lt;2,$N128*'Gantt Proyectos'!AI196,IF('Gantt Proyectos'!AI196=2,$N128*('Gantt Proyectos'!AI196-1))),0)*$L128*$Q128</f>
        <v>0</v>
      </c>
      <c r="AM128" s="467">
        <f>IFERROR(IF('Gantt Proyectos'!AJ196&lt;2,$N128*'Gantt Proyectos'!AJ196,IF('Gantt Proyectos'!AJ196=2,$N128*('Gantt Proyectos'!AJ196-1))),0)*$L128*$Q128</f>
        <v>0</v>
      </c>
      <c r="AN128" s="467">
        <f>IFERROR(IF('Gantt Proyectos'!AK196&lt;2,$N128*'Gantt Proyectos'!AK196,IF('Gantt Proyectos'!AK196=2,$N128*('Gantt Proyectos'!AK196-1))),0)*$L128*$Q128</f>
        <v>0</v>
      </c>
      <c r="AO128" s="467">
        <f>IFERROR(IF('Gantt Proyectos'!AL196&lt;2,$N128*'Gantt Proyectos'!AL196,IF('Gantt Proyectos'!AL196=2,$N128*('Gantt Proyectos'!AL196-1))),0)*$L128*$Q128</f>
        <v>0</v>
      </c>
      <c r="AP128" s="467">
        <f>IFERROR(IF('Gantt Proyectos'!AM196&lt;2,$N128*'Gantt Proyectos'!AM196,IF('Gantt Proyectos'!AM196=2,$N128*('Gantt Proyectos'!AM196-1))),0)*$L128*$Q128</f>
        <v>0</v>
      </c>
      <c r="AQ128" s="468">
        <f>IFERROR(IF('Gantt Proyectos'!AN196&lt;2,$N128*'Gantt Proyectos'!AN196,IF('Gantt Proyectos'!AN196=2,$N128*('Gantt Proyectos'!AN196-1))),0)*$L128*$Q128</f>
        <v>0</v>
      </c>
    </row>
    <row r="129" spans="3:43" ht="15" x14ac:dyDescent="0.2">
      <c r="C129" s="110">
        <f>+'Gantt Proyectos'!C197</f>
        <v>0</v>
      </c>
      <c r="D129" s="110" t="str">
        <f>+'Gantt Proyectos'!D146</f>
        <v>Ingeniería perfil Clavelinas</v>
      </c>
      <c r="E129" s="110" t="str">
        <f>+'Gantt Proyectos'!E146</f>
        <v>Minsur</v>
      </c>
      <c r="F129" s="148" t="str">
        <f>+'Gantt Proyectos'!F146</f>
        <v>Perú</v>
      </c>
      <c r="G129" s="110" t="str">
        <f>+'Gantt Proyectos'!G146</f>
        <v>Perú</v>
      </c>
      <c r="H129" s="110">
        <f>+'Gantt Proyectos'!H197</f>
        <v>0</v>
      </c>
      <c r="I129" s="189">
        <v>1</v>
      </c>
      <c r="J129" s="189">
        <f t="shared" si="8"/>
        <v>0</v>
      </c>
      <c r="K129" s="110">
        <f>+'Gantt Proyectos'!I197</f>
        <v>0</v>
      </c>
      <c r="L129" s="110">
        <f>+'Gantt Proyectos'!J197</f>
        <v>0</v>
      </c>
      <c r="M129" s="110">
        <f>+'Gantt Proyectos'!K197</f>
        <v>0</v>
      </c>
      <c r="N129" s="110">
        <f>+'Gantt Proyectos'!L197</f>
        <v>0</v>
      </c>
      <c r="O129" s="110">
        <f>+'Gantt Proyectos'!M197</f>
        <v>0</v>
      </c>
      <c r="P129" s="110">
        <f>+'Gantt Proyectos'!N197</f>
        <v>0</v>
      </c>
      <c r="Q129" s="472">
        <v>1</v>
      </c>
      <c r="R129" s="110">
        <f>+'Gantt Proyectos'!O197</f>
        <v>0</v>
      </c>
      <c r="S129" s="110">
        <f>+'Gantt Proyectos'!P197</f>
        <v>0</v>
      </c>
      <c r="T129" s="110">
        <f>+'Gantt Proyectos'!R197</f>
        <v>0</v>
      </c>
      <c r="U129" s="118">
        <f>+'Gantt Proyectos'!S197</f>
        <v>0</v>
      </c>
      <c r="V129" s="157">
        <f>+'Gantt Proyectos'!T197</f>
        <v>0</v>
      </c>
      <c r="W129" s="157">
        <f>+'Gantt Proyectos'!U197</f>
        <v>0</v>
      </c>
      <c r="X129" s="201">
        <f t="shared" si="9"/>
        <v>0</v>
      </c>
      <c r="Y129" s="110">
        <f>+'Gantt Proyectos'!W197</f>
        <v>0</v>
      </c>
      <c r="Z129" s="110">
        <f>+'Gantt Proyectos'!X197</f>
        <v>0</v>
      </c>
      <c r="AA129" s="110">
        <f>+'Gantt Proyectos'!Y197</f>
        <v>0</v>
      </c>
      <c r="AB129" s="110">
        <f>+'Gantt Proyectos'!Z197</f>
        <v>0</v>
      </c>
      <c r="AC129" s="110">
        <f>+'Gantt Proyectos'!AA197</f>
        <v>0</v>
      </c>
      <c r="AD129" s="110">
        <f>+'Gantt Proyectos'!AB197</f>
        <v>0</v>
      </c>
      <c r="AE129" s="110">
        <f>+'Gantt Proyectos'!AC197</f>
        <v>0</v>
      </c>
      <c r="AF129" s="110">
        <f>+'Gantt Proyectos'!AD197</f>
        <v>0</v>
      </c>
      <c r="AG129" s="110">
        <f>+'Gantt Proyectos'!AE197</f>
        <v>0</v>
      </c>
      <c r="AH129" s="172">
        <v>1</v>
      </c>
      <c r="AI129" s="466">
        <f>IFERROR(IF('Gantt Proyectos'!AF197&lt;2,$N129*'Gantt Proyectos'!AF197,IF('Gantt Proyectos'!AF197=2,$N129*('Gantt Proyectos'!AF197-1))),0)*$L129*$Q129</f>
        <v>0</v>
      </c>
      <c r="AJ129" s="467">
        <f>IFERROR(IF('Gantt Proyectos'!AG197&lt;2,$N129*'Gantt Proyectos'!AG197,IF('Gantt Proyectos'!AG197=2,$N129*('Gantt Proyectos'!AG197-1))),0)*$L129*$Q129</f>
        <v>0</v>
      </c>
      <c r="AK129" s="467">
        <f>IFERROR(IF('Gantt Proyectos'!AH197&lt;2,$N129*'Gantt Proyectos'!AH197,IF('Gantt Proyectos'!AH197=2,$N129*('Gantt Proyectos'!AH197-1))),0)*$L129*$Q129</f>
        <v>0</v>
      </c>
      <c r="AL129" s="467">
        <f>IFERROR(IF('Gantt Proyectos'!AI197&lt;2,$N129*'Gantt Proyectos'!AI197,IF('Gantt Proyectos'!AI197=2,$N129*('Gantt Proyectos'!AI197-1))),0)*$L129*$Q129</f>
        <v>0</v>
      </c>
      <c r="AM129" s="467">
        <f>IFERROR(IF('Gantt Proyectos'!AJ197&lt;2,$N129*'Gantt Proyectos'!AJ197,IF('Gantt Proyectos'!AJ197=2,$N129*('Gantt Proyectos'!AJ197-1))),0)*$L129*$Q129</f>
        <v>0</v>
      </c>
      <c r="AN129" s="467">
        <f>IFERROR(IF('Gantt Proyectos'!AK197&lt;2,$N129*'Gantt Proyectos'!AK197,IF('Gantt Proyectos'!AK197=2,$N129*('Gantt Proyectos'!AK197-1))),0)*$L129*$Q129</f>
        <v>0</v>
      </c>
      <c r="AO129" s="467">
        <f>IFERROR(IF('Gantt Proyectos'!AL197&lt;2,$N129*'Gantt Proyectos'!AL197,IF('Gantt Proyectos'!AL197=2,$N129*('Gantt Proyectos'!AL197-1))),0)*$L129*$Q129</f>
        <v>0</v>
      </c>
      <c r="AP129" s="467">
        <f>IFERROR(IF('Gantt Proyectos'!AM197&lt;2,$N129*'Gantt Proyectos'!AM197,IF('Gantt Proyectos'!AM197=2,$N129*('Gantt Proyectos'!AM197-1))),0)*$L129*$Q129</f>
        <v>0</v>
      </c>
      <c r="AQ129" s="468">
        <f>IFERROR(IF('Gantt Proyectos'!AN197&lt;2,$N129*'Gantt Proyectos'!AN197,IF('Gantt Proyectos'!AN197=2,$N129*('Gantt Proyectos'!AN197-1))),0)*$L129*$Q129</f>
        <v>0</v>
      </c>
    </row>
    <row r="130" spans="3:43" ht="15" x14ac:dyDescent="0.2">
      <c r="C130" s="110">
        <f>+'Gantt Proyectos'!C198</f>
        <v>0</v>
      </c>
      <c r="D130" s="110" t="str">
        <f>+'Gantt Proyectos'!D147</f>
        <v>Ingeniería de factibilidad Cristina</v>
      </c>
      <c r="E130" s="110" t="str">
        <f>+'Gantt Proyectos'!E147</f>
        <v>Insideo</v>
      </c>
      <c r="F130" s="148" t="str">
        <f>+'Gantt Proyectos'!F147</f>
        <v>Perú</v>
      </c>
      <c r="G130" s="110" t="str">
        <f>+'Gantt Proyectos'!G147</f>
        <v>Chile</v>
      </c>
      <c r="H130" s="110">
        <f>+'Gantt Proyectos'!H198</f>
        <v>0</v>
      </c>
      <c r="I130" s="189">
        <v>1</v>
      </c>
      <c r="J130" s="189">
        <f t="shared" si="8"/>
        <v>0</v>
      </c>
      <c r="K130" s="110">
        <f>+'Gantt Proyectos'!I198</f>
        <v>0</v>
      </c>
      <c r="L130" s="110">
        <f>+'Gantt Proyectos'!J198</f>
        <v>0</v>
      </c>
      <c r="M130" s="110">
        <f>+'Gantt Proyectos'!K198</f>
        <v>0</v>
      </c>
      <c r="N130" s="110">
        <f>+'Gantt Proyectos'!L198</f>
        <v>0</v>
      </c>
      <c r="O130" s="110">
        <f>+'Gantt Proyectos'!M198</f>
        <v>0</v>
      </c>
      <c r="P130" s="110">
        <f>+'Gantt Proyectos'!N198</f>
        <v>0</v>
      </c>
      <c r="Q130" s="472">
        <v>1</v>
      </c>
      <c r="R130" s="110">
        <f>+'Gantt Proyectos'!O198</f>
        <v>0</v>
      </c>
      <c r="S130" s="110">
        <f>+'Gantt Proyectos'!P198</f>
        <v>0</v>
      </c>
      <c r="T130" s="110">
        <f>+'Gantt Proyectos'!R198</f>
        <v>0</v>
      </c>
      <c r="U130" s="118">
        <f>+'Gantt Proyectos'!S198</f>
        <v>0</v>
      </c>
      <c r="V130" s="157">
        <f>+'Gantt Proyectos'!T198</f>
        <v>0</v>
      </c>
      <c r="W130" s="157">
        <f>+'Gantt Proyectos'!U198</f>
        <v>0</v>
      </c>
      <c r="X130" s="201">
        <f t="shared" si="9"/>
        <v>0</v>
      </c>
      <c r="Y130" s="110">
        <f>+'Gantt Proyectos'!W198</f>
        <v>0</v>
      </c>
      <c r="Z130" s="110">
        <f>+'Gantt Proyectos'!X198</f>
        <v>0</v>
      </c>
      <c r="AA130" s="110">
        <f>+'Gantt Proyectos'!Y198</f>
        <v>0</v>
      </c>
      <c r="AB130" s="110">
        <f>+'Gantt Proyectos'!Z198</f>
        <v>0</v>
      </c>
      <c r="AC130" s="110">
        <f>+'Gantt Proyectos'!AA198</f>
        <v>0</v>
      </c>
      <c r="AD130" s="110">
        <f>+'Gantt Proyectos'!AB198</f>
        <v>0</v>
      </c>
      <c r="AE130" s="110">
        <f>+'Gantt Proyectos'!AC198</f>
        <v>0</v>
      </c>
      <c r="AF130" s="110">
        <f>+'Gantt Proyectos'!AD198</f>
        <v>0</v>
      </c>
      <c r="AG130" s="110">
        <f>+'Gantt Proyectos'!AE198</f>
        <v>0</v>
      </c>
      <c r="AH130" s="172">
        <v>1</v>
      </c>
      <c r="AI130" s="466">
        <f>IFERROR(IF('Gantt Proyectos'!AF198&lt;2,$N130*'Gantt Proyectos'!AF198,IF('Gantt Proyectos'!AF198=2,$N130*('Gantt Proyectos'!AF198-1))),0)*$L130*$Q130</f>
        <v>0</v>
      </c>
      <c r="AJ130" s="467">
        <f>IFERROR(IF('Gantt Proyectos'!AG198&lt;2,$N130*'Gantt Proyectos'!AG198,IF('Gantt Proyectos'!AG198=2,$N130*('Gantt Proyectos'!AG198-1))),0)*$L130*$Q130</f>
        <v>0</v>
      </c>
      <c r="AK130" s="467">
        <f>IFERROR(IF('Gantt Proyectos'!AH198&lt;2,$N130*'Gantt Proyectos'!AH198,IF('Gantt Proyectos'!AH198=2,$N130*('Gantt Proyectos'!AH198-1))),0)*$L130*$Q130</f>
        <v>0</v>
      </c>
      <c r="AL130" s="467">
        <f>IFERROR(IF('Gantt Proyectos'!AI198&lt;2,$N130*'Gantt Proyectos'!AI198,IF('Gantt Proyectos'!AI198=2,$N130*('Gantt Proyectos'!AI198-1))),0)*$L130*$Q130</f>
        <v>0</v>
      </c>
      <c r="AM130" s="467">
        <f>IFERROR(IF('Gantt Proyectos'!AJ198&lt;2,$N130*'Gantt Proyectos'!AJ198,IF('Gantt Proyectos'!AJ198=2,$N130*('Gantt Proyectos'!AJ198-1))),0)*$L130*$Q130</f>
        <v>0</v>
      </c>
      <c r="AN130" s="467">
        <f>IFERROR(IF('Gantt Proyectos'!AK198&lt;2,$N130*'Gantt Proyectos'!AK198,IF('Gantt Proyectos'!AK198=2,$N130*('Gantt Proyectos'!AK198-1))),0)*$L130*$Q130</f>
        <v>0</v>
      </c>
      <c r="AO130" s="467">
        <f>IFERROR(IF('Gantt Proyectos'!AL198&lt;2,$N130*'Gantt Proyectos'!AL198,IF('Gantt Proyectos'!AL198=2,$N130*('Gantt Proyectos'!AL198-1))),0)*$L130*$Q130</f>
        <v>0</v>
      </c>
      <c r="AP130" s="467">
        <f>IFERROR(IF('Gantt Proyectos'!AM198&lt;2,$N130*'Gantt Proyectos'!AM198,IF('Gantt Proyectos'!AM198=2,$N130*('Gantt Proyectos'!AM198-1))),0)*$L130*$Q130</f>
        <v>0</v>
      </c>
      <c r="AQ130" s="468">
        <f>IFERROR(IF('Gantt Proyectos'!AN198&lt;2,$N130*'Gantt Proyectos'!AN198,IF('Gantt Proyectos'!AN198=2,$N130*('Gantt Proyectos'!AN198-1))),0)*$L130*$Q130</f>
        <v>0</v>
      </c>
    </row>
    <row r="131" spans="3:43" ht="15" x14ac:dyDescent="0.2">
      <c r="C131" s="110">
        <f>+'Gantt Proyectos'!C199</f>
        <v>0</v>
      </c>
      <c r="D131" s="110" t="str">
        <f>+'Gantt Proyectos'!D148</f>
        <v>Conceptual Chalcobamba UG</v>
      </c>
      <c r="E131" s="110" t="str">
        <f>+'Gantt Proyectos'!E148</f>
        <v>Las Bambas</v>
      </c>
      <c r="F131" s="148" t="str">
        <f>+'Gantt Proyectos'!F148</f>
        <v>Perú</v>
      </c>
      <c r="G131" s="110" t="str">
        <f>+'Gantt Proyectos'!G148</f>
        <v>Chile</v>
      </c>
      <c r="H131" s="110">
        <f>+'Gantt Proyectos'!H199</f>
        <v>0</v>
      </c>
      <c r="I131" s="189">
        <v>1</v>
      </c>
      <c r="J131" s="189">
        <f t="shared" si="8"/>
        <v>0</v>
      </c>
      <c r="K131" s="110">
        <f>+'Gantt Proyectos'!I199</f>
        <v>0</v>
      </c>
      <c r="L131" s="110">
        <f>+'Gantt Proyectos'!J199</f>
        <v>0</v>
      </c>
      <c r="M131" s="110">
        <f>+'Gantt Proyectos'!K199</f>
        <v>0</v>
      </c>
      <c r="N131" s="110">
        <f>+'Gantt Proyectos'!L199</f>
        <v>0</v>
      </c>
      <c r="O131" s="110">
        <f>+'Gantt Proyectos'!M199</f>
        <v>0</v>
      </c>
      <c r="P131" s="110">
        <f>+'Gantt Proyectos'!N199</f>
        <v>0</v>
      </c>
      <c r="Q131" s="472">
        <v>1</v>
      </c>
      <c r="R131" s="110">
        <f>+'Gantt Proyectos'!O199</f>
        <v>0</v>
      </c>
      <c r="S131" s="110">
        <f>+'Gantt Proyectos'!P199</f>
        <v>0</v>
      </c>
      <c r="T131" s="110">
        <f>+'Gantt Proyectos'!R199</f>
        <v>0</v>
      </c>
      <c r="U131" s="118">
        <f>+'Gantt Proyectos'!S199</f>
        <v>0</v>
      </c>
      <c r="V131" s="157">
        <f>+'Gantt Proyectos'!T199</f>
        <v>0</v>
      </c>
      <c r="W131" s="157">
        <f>+'Gantt Proyectos'!U199</f>
        <v>0</v>
      </c>
      <c r="X131" s="201">
        <f t="shared" si="9"/>
        <v>0</v>
      </c>
      <c r="Y131" s="110">
        <f>+'Gantt Proyectos'!W199</f>
        <v>0</v>
      </c>
      <c r="Z131" s="110">
        <f>+'Gantt Proyectos'!X199</f>
        <v>0</v>
      </c>
      <c r="AA131" s="110">
        <f>+'Gantt Proyectos'!Y199</f>
        <v>0</v>
      </c>
      <c r="AB131" s="110">
        <f>+'Gantt Proyectos'!Z199</f>
        <v>0</v>
      </c>
      <c r="AC131" s="110">
        <f>+'Gantt Proyectos'!AA199</f>
        <v>0</v>
      </c>
      <c r="AD131" s="110">
        <f>+'Gantt Proyectos'!AB199</f>
        <v>0</v>
      </c>
      <c r="AE131" s="110">
        <f>+'Gantt Proyectos'!AC199</f>
        <v>0</v>
      </c>
      <c r="AF131" s="110">
        <f>+'Gantt Proyectos'!AD199</f>
        <v>0</v>
      </c>
      <c r="AG131" s="110">
        <f>+'Gantt Proyectos'!AE199</f>
        <v>0</v>
      </c>
      <c r="AH131" s="172">
        <v>1</v>
      </c>
      <c r="AI131" s="466">
        <f>IFERROR(IF('Gantt Proyectos'!AF199&lt;2,$N131*'Gantt Proyectos'!AF199,IF('Gantt Proyectos'!AF199=2,$N131*('Gantt Proyectos'!AF199-1))),0)*$L131*$Q131</f>
        <v>0</v>
      </c>
      <c r="AJ131" s="467">
        <f>IFERROR(IF('Gantt Proyectos'!AG199&lt;2,$N131*'Gantt Proyectos'!AG199,IF('Gantt Proyectos'!AG199=2,$N131*('Gantt Proyectos'!AG199-1))),0)*$L131*$Q131</f>
        <v>0</v>
      </c>
      <c r="AK131" s="467">
        <f>IFERROR(IF('Gantt Proyectos'!AH199&lt;2,$N131*'Gantt Proyectos'!AH199,IF('Gantt Proyectos'!AH199=2,$N131*('Gantt Proyectos'!AH199-1))),0)*$L131*$Q131</f>
        <v>0</v>
      </c>
      <c r="AL131" s="467">
        <f>IFERROR(IF('Gantt Proyectos'!AI199&lt;2,$N131*'Gantt Proyectos'!AI199,IF('Gantt Proyectos'!AI199=2,$N131*('Gantt Proyectos'!AI199-1))),0)*$L131*$Q131</f>
        <v>0</v>
      </c>
      <c r="AM131" s="467">
        <f>IFERROR(IF('Gantt Proyectos'!AJ199&lt;2,$N131*'Gantt Proyectos'!AJ199,IF('Gantt Proyectos'!AJ199=2,$N131*('Gantt Proyectos'!AJ199-1))),0)*$L131*$Q131</f>
        <v>0</v>
      </c>
      <c r="AN131" s="467">
        <f>IFERROR(IF('Gantt Proyectos'!AK199&lt;2,$N131*'Gantt Proyectos'!AK199,IF('Gantt Proyectos'!AK199=2,$N131*('Gantt Proyectos'!AK199-1))),0)*$L131*$Q131</f>
        <v>0</v>
      </c>
      <c r="AO131" s="467">
        <f>IFERROR(IF('Gantt Proyectos'!AL199&lt;2,$N131*'Gantt Proyectos'!AL199,IF('Gantt Proyectos'!AL199=2,$N131*('Gantt Proyectos'!AL199-1))),0)*$L131*$Q131</f>
        <v>0</v>
      </c>
      <c r="AP131" s="467">
        <f>IFERROR(IF('Gantt Proyectos'!AM199&lt;2,$N131*'Gantt Proyectos'!AM199,IF('Gantt Proyectos'!AM199=2,$N131*('Gantt Proyectos'!AM199-1))),0)*$L131*$Q131</f>
        <v>0</v>
      </c>
      <c r="AQ131" s="468">
        <f>IFERROR(IF('Gantt Proyectos'!AN199&lt;2,$N131*'Gantt Proyectos'!AN199,IF('Gantt Proyectos'!AN199=2,$N131*('Gantt Proyectos'!AN199-1))),0)*$L131*$Q131</f>
        <v>0</v>
      </c>
    </row>
    <row r="132" spans="3:43" ht="15" x14ac:dyDescent="0.2">
      <c r="C132" s="110">
        <f>+'Gantt Proyectos'!C200</f>
        <v>0</v>
      </c>
      <c r="D132" s="110" t="str">
        <f>+'Gantt Proyectos'!D149</f>
        <v>Ingeniería a nivel factibilidad de desarrollo y profundización de labores subterráneas segunda meiad</v>
      </c>
      <c r="E132" s="110" t="str">
        <f>+'Gantt Proyectos'!E149</f>
        <v>Cerro Pasco</v>
      </c>
      <c r="F132" s="148" t="str">
        <f>+'Gantt Proyectos'!F149</f>
        <v>Perú</v>
      </c>
      <c r="G132" s="110" t="str">
        <f>+'Gantt Proyectos'!G149</f>
        <v>Chile</v>
      </c>
      <c r="H132" s="110">
        <f>+'Gantt Proyectos'!H200</f>
        <v>0</v>
      </c>
      <c r="I132" s="189">
        <v>1</v>
      </c>
      <c r="J132" s="189">
        <f t="shared" si="8"/>
        <v>0</v>
      </c>
      <c r="K132" s="110">
        <f>+'Gantt Proyectos'!I200</f>
        <v>0</v>
      </c>
      <c r="L132" s="110">
        <f>+'Gantt Proyectos'!J200</f>
        <v>0</v>
      </c>
      <c r="M132" s="110">
        <f>+'Gantt Proyectos'!K200</f>
        <v>0</v>
      </c>
      <c r="N132" s="110">
        <f>+'Gantt Proyectos'!L200</f>
        <v>0</v>
      </c>
      <c r="O132" s="110">
        <f>+'Gantt Proyectos'!M200</f>
        <v>0</v>
      </c>
      <c r="P132" s="110">
        <f>+'Gantt Proyectos'!N200</f>
        <v>0</v>
      </c>
      <c r="Q132" s="472">
        <v>1</v>
      </c>
      <c r="R132" s="110">
        <f>+'Gantt Proyectos'!O200</f>
        <v>0</v>
      </c>
      <c r="S132" s="110">
        <f>+'Gantt Proyectos'!P200</f>
        <v>0</v>
      </c>
      <c r="T132" s="110">
        <f>+'Gantt Proyectos'!R200</f>
        <v>0</v>
      </c>
      <c r="U132" s="118">
        <f>+'Gantt Proyectos'!S200</f>
        <v>0</v>
      </c>
      <c r="V132" s="157">
        <f>+'Gantt Proyectos'!T200</f>
        <v>0</v>
      </c>
      <c r="W132" s="157">
        <f>+'Gantt Proyectos'!U200</f>
        <v>0</v>
      </c>
      <c r="X132" s="201">
        <f t="shared" si="9"/>
        <v>0</v>
      </c>
      <c r="Y132" s="110">
        <f>+'Gantt Proyectos'!W200</f>
        <v>0</v>
      </c>
      <c r="Z132" s="110">
        <f>+'Gantt Proyectos'!X200</f>
        <v>0</v>
      </c>
      <c r="AA132" s="110">
        <f>+'Gantt Proyectos'!Y200</f>
        <v>0</v>
      </c>
      <c r="AB132" s="110">
        <f>+'Gantt Proyectos'!Z200</f>
        <v>0</v>
      </c>
      <c r="AC132" s="110">
        <f>+'Gantt Proyectos'!AA200</f>
        <v>0</v>
      </c>
      <c r="AD132" s="110">
        <f>+'Gantt Proyectos'!AB200</f>
        <v>0</v>
      </c>
      <c r="AE132" s="110">
        <f>+'Gantt Proyectos'!AC200</f>
        <v>0</v>
      </c>
      <c r="AF132" s="110">
        <f>+'Gantt Proyectos'!AD200</f>
        <v>0</v>
      </c>
      <c r="AG132" s="110">
        <f>+'Gantt Proyectos'!AE200</f>
        <v>0</v>
      </c>
      <c r="AH132" s="172">
        <v>1</v>
      </c>
      <c r="AI132" s="466">
        <f>IFERROR(IF('Gantt Proyectos'!AF200&lt;2,$N132*'Gantt Proyectos'!AF200,IF('Gantt Proyectos'!AF200=2,$N132*('Gantt Proyectos'!AF200-1))),0)*$L132*$Q132</f>
        <v>0</v>
      </c>
      <c r="AJ132" s="467">
        <f>IFERROR(IF('Gantt Proyectos'!AG200&lt;2,$N132*'Gantt Proyectos'!AG200,IF('Gantt Proyectos'!AG200=2,$N132*('Gantt Proyectos'!AG200-1))),0)*$L132*$Q132</f>
        <v>0</v>
      </c>
      <c r="AK132" s="467">
        <f>IFERROR(IF('Gantt Proyectos'!AH200&lt;2,$N132*'Gantt Proyectos'!AH200,IF('Gantt Proyectos'!AH200=2,$N132*('Gantt Proyectos'!AH200-1))),0)*$L132*$Q132</f>
        <v>0</v>
      </c>
      <c r="AL132" s="467">
        <f>IFERROR(IF('Gantt Proyectos'!AI200&lt;2,$N132*'Gantt Proyectos'!AI200,IF('Gantt Proyectos'!AI200=2,$N132*('Gantt Proyectos'!AI200-1))),0)*$L132*$Q132</f>
        <v>0</v>
      </c>
      <c r="AM132" s="467">
        <f>IFERROR(IF('Gantt Proyectos'!AJ200&lt;2,$N132*'Gantt Proyectos'!AJ200,IF('Gantt Proyectos'!AJ200=2,$N132*('Gantt Proyectos'!AJ200-1))),0)*$L132*$Q132</f>
        <v>0</v>
      </c>
      <c r="AN132" s="467">
        <f>IFERROR(IF('Gantt Proyectos'!AK200&lt;2,$N132*'Gantt Proyectos'!AK200,IF('Gantt Proyectos'!AK200=2,$N132*('Gantt Proyectos'!AK200-1))),0)*$L132*$Q132</f>
        <v>0</v>
      </c>
      <c r="AO132" s="467">
        <f>IFERROR(IF('Gantt Proyectos'!AL200&lt;2,$N132*'Gantt Proyectos'!AL200,IF('Gantt Proyectos'!AL200=2,$N132*('Gantt Proyectos'!AL200-1))),0)*$L132*$Q132</f>
        <v>0</v>
      </c>
      <c r="AP132" s="467">
        <f>IFERROR(IF('Gantt Proyectos'!AM200&lt;2,$N132*'Gantt Proyectos'!AM200,IF('Gantt Proyectos'!AM200=2,$N132*('Gantt Proyectos'!AM200-1))),0)*$L132*$Q132</f>
        <v>0</v>
      </c>
      <c r="AQ132" s="468">
        <f>IFERROR(IF('Gantt Proyectos'!AN200&lt;2,$N132*'Gantt Proyectos'!AN200,IF('Gantt Proyectos'!AN200=2,$N132*('Gantt Proyectos'!AN200-1))),0)*$L132*$Q132</f>
        <v>0</v>
      </c>
    </row>
    <row r="133" spans="3:43" ht="15" x14ac:dyDescent="0.2">
      <c r="C133" s="110">
        <f>+'Gantt Proyectos'!C201</f>
        <v>0</v>
      </c>
      <c r="D133" s="110">
        <f>+'Gantt Proyectos'!D201</f>
        <v>0</v>
      </c>
      <c r="E133" s="110">
        <f>+'Gantt Proyectos'!E201</f>
        <v>0</v>
      </c>
      <c r="F133" s="148">
        <f>+'Gantt Proyectos'!F201</f>
        <v>0</v>
      </c>
      <c r="G133" s="110">
        <f>+'Gantt Proyectos'!G201</f>
        <v>0</v>
      </c>
      <c r="H133" s="110">
        <f>+'Gantt Proyectos'!H201</f>
        <v>0</v>
      </c>
      <c r="I133" s="189">
        <v>1</v>
      </c>
      <c r="J133" s="189">
        <f t="shared" si="8"/>
        <v>0</v>
      </c>
      <c r="K133" s="110">
        <f>+'Gantt Proyectos'!I201</f>
        <v>0</v>
      </c>
      <c r="L133" s="110">
        <f>+'Gantt Proyectos'!J201</f>
        <v>0</v>
      </c>
      <c r="M133" s="110">
        <f>+'Gantt Proyectos'!K201</f>
        <v>0</v>
      </c>
      <c r="N133" s="110">
        <f>+'Gantt Proyectos'!L201</f>
        <v>0</v>
      </c>
      <c r="O133" s="110">
        <f>+'Gantt Proyectos'!M201</f>
        <v>0</v>
      </c>
      <c r="P133" s="110">
        <f>+'Gantt Proyectos'!N201</f>
        <v>0</v>
      </c>
      <c r="Q133" s="472">
        <v>1</v>
      </c>
      <c r="R133" s="110">
        <f>+'Gantt Proyectos'!O201</f>
        <v>0</v>
      </c>
      <c r="S133" s="110">
        <f>+'Gantt Proyectos'!P201</f>
        <v>0</v>
      </c>
      <c r="T133" s="110">
        <f>+'Gantt Proyectos'!R201</f>
        <v>0</v>
      </c>
      <c r="U133" s="118">
        <f>+'Gantt Proyectos'!S201</f>
        <v>0</v>
      </c>
      <c r="V133" s="157">
        <f>+'Gantt Proyectos'!T201</f>
        <v>0</v>
      </c>
      <c r="W133" s="157">
        <f>+'Gantt Proyectos'!U201</f>
        <v>0</v>
      </c>
      <c r="X133" s="201">
        <f t="shared" si="9"/>
        <v>0</v>
      </c>
      <c r="Y133" s="110">
        <f>+'Gantt Proyectos'!W201</f>
        <v>0</v>
      </c>
      <c r="Z133" s="110">
        <f>+'Gantt Proyectos'!X201</f>
        <v>0</v>
      </c>
      <c r="AA133" s="110">
        <f>+'Gantt Proyectos'!Y201</f>
        <v>0</v>
      </c>
      <c r="AB133" s="110">
        <f>+'Gantt Proyectos'!Z201</f>
        <v>0</v>
      </c>
      <c r="AC133" s="110">
        <f>+'Gantt Proyectos'!AA201</f>
        <v>0</v>
      </c>
      <c r="AD133" s="110">
        <f>+'Gantt Proyectos'!AB201</f>
        <v>0</v>
      </c>
      <c r="AE133" s="110">
        <f>+'Gantt Proyectos'!AC201</f>
        <v>0</v>
      </c>
      <c r="AF133" s="110">
        <f>+'Gantt Proyectos'!AD201</f>
        <v>0</v>
      </c>
      <c r="AG133" s="110">
        <f>+'Gantt Proyectos'!AE201</f>
        <v>0</v>
      </c>
      <c r="AH133" s="172">
        <v>1</v>
      </c>
      <c r="AI133" s="466">
        <f>IFERROR(IF('Gantt Proyectos'!AF201&lt;2,$N133*'Gantt Proyectos'!AF201,IF('Gantt Proyectos'!AF201=2,$N133*('Gantt Proyectos'!AF201-1))),0)*$L133*$Q133</f>
        <v>0</v>
      </c>
      <c r="AJ133" s="467">
        <f>IFERROR(IF('Gantt Proyectos'!AG201&lt;2,$N133*'Gantt Proyectos'!AG201,IF('Gantt Proyectos'!AG201=2,$N133*('Gantt Proyectos'!AG201-1))),0)*$L133*$Q133</f>
        <v>0</v>
      </c>
      <c r="AK133" s="467">
        <f>IFERROR(IF('Gantt Proyectos'!AH201&lt;2,$N133*'Gantt Proyectos'!AH201,IF('Gantt Proyectos'!AH201=2,$N133*('Gantt Proyectos'!AH201-1))),0)*$L133*$Q133</f>
        <v>0</v>
      </c>
      <c r="AL133" s="467">
        <f>IFERROR(IF('Gantt Proyectos'!AI201&lt;2,$N133*'Gantt Proyectos'!AI201,IF('Gantt Proyectos'!AI201=2,$N133*('Gantt Proyectos'!AI201-1))),0)*$L133*$Q133</f>
        <v>0</v>
      </c>
      <c r="AM133" s="467">
        <f>IFERROR(IF('Gantt Proyectos'!AJ201&lt;2,$N133*'Gantt Proyectos'!AJ201,IF('Gantt Proyectos'!AJ201=2,$N133*('Gantt Proyectos'!AJ201-1))),0)*$L133*$Q133</f>
        <v>0</v>
      </c>
      <c r="AN133" s="467">
        <f>IFERROR(IF('Gantt Proyectos'!AK201&lt;2,$N133*'Gantt Proyectos'!AK201,IF('Gantt Proyectos'!AK201=2,$N133*('Gantt Proyectos'!AK201-1))),0)*$L133*$Q133</f>
        <v>0</v>
      </c>
      <c r="AO133" s="467">
        <f>IFERROR(IF('Gantt Proyectos'!AL201&lt;2,$N133*'Gantt Proyectos'!AL201,IF('Gantt Proyectos'!AL201=2,$N133*('Gantt Proyectos'!AL201-1))),0)*$L133*$Q133</f>
        <v>0</v>
      </c>
      <c r="AP133" s="467">
        <f>IFERROR(IF('Gantt Proyectos'!AM201&lt;2,$N133*'Gantt Proyectos'!AM201,IF('Gantt Proyectos'!AM201=2,$N133*('Gantt Proyectos'!AM201-1))),0)*$L133*$Q133</f>
        <v>0</v>
      </c>
      <c r="AQ133" s="468">
        <f>IFERROR(IF('Gantt Proyectos'!AN201&lt;2,$N133*'Gantt Proyectos'!AN201,IF('Gantt Proyectos'!AN201=2,$N133*('Gantt Proyectos'!AN201-1))),0)*$L133*$Q133</f>
        <v>0</v>
      </c>
    </row>
    <row r="134" spans="3:43" ht="15" x14ac:dyDescent="0.2">
      <c r="C134" s="110">
        <f>+'Gantt Proyectos'!C202</f>
        <v>0</v>
      </c>
      <c r="D134" s="110">
        <f>+'Gantt Proyectos'!D202</f>
        <v>0</v>
      </c>
      <c r="E134" s="110">
        <f>+'Gantt Proyectos'!E202</f>
        <v>0</v>
      </c>
      <c r="F134" s="148">
        <f>+'Gantt Proyectos'!F202</f>
        <v>0</v>
      </c>
      <c r="G134" s="110">
        <f>+'Gantt Proyectos'!G202</f>
        <v>0</v>
      </c>
      <c r="H134" s="110">
        <f>+'Gantt Proyectos'!H202</f>
        <v>0</v>
      </c>
      <c r="I134" s="189">
        <v>1</v>
      </c>
      <c r="J134" s="189">
        <f t="shared" si="8"/>
        <v>0</v>
      </c>
      <c r="K134" s="110">
        <f>+'Gantt Proyectos'!I202</f>
        <v>0</v>
      </c>
      <c r="L134" s="110">
        <f>+'Gantt Proyectos'!J202</f>
        <v>0</v>
      </c>
      <c r="M134" s="110">
        <f>+'Gantt Proyectos'!K202</f>
        <v>0</v>
      </c>
      <c r="N134" s="110">
        <f>+'Gantt Proyectos'!L202</f>
        <v>0</v>
      </c>
      <c r="O134" s="110">
        <f>+'Gantt Proyectos'!M202</f>
        <v>0</v>
      </c>
      <c r="P134" s="110">
        <f>+'Gantt Proyectos'!N202</f>
        <v>0</v>
      </c>
      <c r="Q134" s="472">
        <v>1</v>
      </c>
      <c r="R134" s="110">
        <f>+'Gantt Proyectos'!O202</f>
        <v>0</v>
      </c>
      <c r="S134" s="110">
        <f>+'Gantt Proyectos'!P202</f>
        <v>0</v>
      </c>
      <c r="T134" s="110">
        <f>+'Gantt Proyectos'!R202</f>
        <v>0</v>
      </c>
      <c r="U134" s="118">
        <f>+'Gantt Proyectos'!S202</f>
        <v>0</v>
      </c>
      <c r="V134" s="157">
        <f>+'Gantt Proyectos'!T202</f>
        <v>0</v>
      </c>
      <c r="W134" s="157">
        <f>+'Gantt Proyectos'!U202</f>
        <v>0</v>
      </c>
      <c r="X134" s="201">
        <f t="shared" si="9"/>
        <v>0</v>
      </c>
      <c r="Y134" s="110">
        <f>+'Gantt Proyectos'!W202</f>
        <v>0</v>
      </c>
      <c r="Z134" s="110">
        <f>+'Gantt Proyectos'!X202</f>
        <v>0</v>
      </c>
      <c r="AA134" s="110">
        <f>+'Gantt Proyectos'!Y202</f>
        <v>0</v>
      </c>
      <c r="AB134" s="110">
        <f>+'Gantt Proyectos'!Z202</f>
        <v>0</v>
      </c>
      <c r="AC134" s="110">
        <f>+'Gantt Proyectos'!AA202</f>
        <v>0</v>
      </c>
      <c r="AD134" s="110">
        <f>+'Gantt Proyectos'!AB202</f>
        <v>0</v>
      </c>
      <c r="AE134" s="110">
        <f>+'Gantt Proyectos'!AC202</f>
        <v>0</v>
      </c>
      <c r="AF134" s="110">
        <f>+'Gantt Proyectos'!AD202</f>
        <v>0</v>
      </c>
      <c r="AG134" s="110">
        <f>+'Gantt Proyectos'!AE202</f>
        <v>0</v>
      </c>
      <c r="AH134" s="172">
        <v>1</v>
      </c>
      <c r="AI134" s="466">
        <f>IFERROR(IF('Gantt Proyectos'!AF202&lt;2,$N134*'Gantt Proyectos'!AF202,IF('Gantt Proyectos'!AF202=2,$N134*('Gantt Proyectos'!AF202-1))),0)*$L134*$Q134</f>
        <v>0</v>
      </c>
      <c r="AJ134" s="467">
        <f>IFERROR(IF('Gantt Proyectos'!AG202&lt;2,$N134*'Gantt Proyectos'!AG202,IF('Gantt Proyectos'!AG202=2,$N134*('Gantt Proyectos'!AG202-1))),0)*$L134*$Q134</f>
        <v>0</v>
      </c>
      <c r="AK134" s="467">
        <f>IFERROR(IF('Gantt Proyectos'!AH202&lt;2,$N134*'Gantt Proyectos'!AH202,IF('Gantt Proyectos'!AH202=2,$N134*('Gantt Proyectos'!AH202-1))),0)*$L134*$Q134</f>
        <v>0</v>
      </c>
      <c r="AL134" s="467">
        <f>IFERROR(IF('Gantt Proyectos'!AI202&lt;2,$N134*'Gantt Proyectos'!AI202,IF('Gantt Proyectos'!AI202=2,$N134*('Gantt Proyectos'!AI202-1))),0)*$L134*$Q134</f>
        <v>0</v>
      </c>
      <c r="AM134" s="467">
        <f>IFERROR(IF('Gantt Proyectos'!AJ202&lt;2,$N134*'Gantt Proyectos'!AJ202,IF('Gantt Proyectos'!AJ202=2,$N134*('Gantt Proyectos'!AJ202-1))),0)*$L134*$Q134</f>
        <v>0</v>
      </c>
      <c r="AN134" s="467">
        <f>IFERROR(IF('Gantt Proyectos'!AK202&lt;2,$N134*'Gantt Proyectos'!AK202,IF('Gantt Proyectos'!AK202=2,$N134*('Gantt Proyectos'!AK202-1))),0)*$L134*$Q134</f>
        <v>0</v>
      </c>
      <c r="AO134" s="467">
        <f>IFERROR(IF('Gantt Proyectos'!AL202&lt;2,$N134*'Gantt Proyectos'!AL202,IF('Gantt Proyectos'!AL202=2,$N134*('Gantt Proyectos'!AL202-1))),0)*$L134*$Q134</f>
        <v>0</v>
      </c>
      <c r="AP134" s="467">
        <f>IFERROR(IF('Gantt Proyectos'!AM202&lt;2,$N134*'Gantt Proyectos'!AM202,IF('Gantt Proyectos'!AM202=2,$N134*('Gantt Proyectos'!AM202-1))),0)*$L134*$Q134</f>
        <v>0</v>
      </c>
      <c r="AQ134" s="468">
        <f>IFERROR(IF('Gantt Proyectos'!AN202&lt;2,$N134*'Gantt Proyectos'!AN202,IF('Gantt Proyectos'!AN202=2,$N134*('Gantt Proyectos'!AN202-1))),0)*$L134*$Q134</f>
        <v>0</v>
      </c>
    </row>
    <row r="135" spans="3:43" ht="15" x14ac:dyDescent="0.2">
      <c r="C135" s="110">
        <f>+'Gantt Proyectos'!C203</f>
        <v>0</v>
      </c>
      <c r="D135" s="110">
        <f>+'Gantt Proyectos'!D203</f>
        <v>0</v>
      </c>
      <c r="E135" s="110">
        <f>+'Gantt Proyectos'!E203</f>
        <v>0</v>
      </c>
      <c r="F135" s="148">
        <f>+'Gantt Proyectos'!F203</f>
        <v>0</v>
      </c>
      <c r="G135" s="110">
        <f>+'Gantt Proyectos'!G203</f>
        <v>0</v>
      </c>
      <c r="H135" s="110">
        <f>+'Gantt Proyectos'!H203</f>
        <v>0</v>
      </c>
      <c r="I135" s="189">
        <v>1</v>
      </c>
      <c r="J135" s="189">
        <f t="shared" si="8"/>
        <v>0</v>
      </c>
      <c r="K135" s="110">
        <f>+'Gantt Proyectos'!I203</f>
        <v>0</v>
      </c>
      <c r="L135" s="110">
        <f>+'Gantt Proyectos'!J203</f>
        <v>0</v>
      </c>
      <c r="M135" s="110">
        <f>+'Gantt Proyectos'!K203</f>
        <v>0</v>
      </c>
      <c r="N135" s="110">
        <f>+'Gantt Proyectos'!L203</f>
        <v>0</v>
      </c>
      <c r="O135" s="110">
        <f>+'Gantt Proyectos'!M203</f>
        <v>0</v>
      </c>
      <c r="P135" s="110">
        <f>+'Gantt Proyectos'!N203</f>
        <v>0</v>
      </c>
      <c r="Q135" s="472">
        <v>1</v>
      </c>
      <c r="R135" s="110">
        <f>+'Gantt Proyectos'!O203</f>
        <v>0</v>
      </c>
      <c r="S135" s="110">
        <f>+'Gantt Proyectos'!P203</f>
        <v>0</v>
      </c>
      <c r="T135" s="110">
        <f>+'Gantt Proyectos'!R203</f>
        <v>0</v>
      </c>
      <c r="U135" s="118">
        <f>+'Gantt Proyectos'!S203</f>
        <v>0</v>
      </c>
      <c r="V135" s="157">
        <f>+'Gantt Proyectos'!T203</f>
        <v>0</v>
      </c>
      <c r="W135" s="157">
        <f>+'Gantt Proyectos'!U203</f>
        <v>0</v>
      </c>
      <c r="X135" s="201">
        <f t="shared" si="9"/>
        <v>0</v>
      </c>
      <c r="Y135" s="110">
        <f>+'Gantt Proyectos'!W203</f>
        <v>0</v>
      </c>
      <c r="Z135" s="110">
        <f>+'Gantt Proyectos'!X203</f>
        <v>0</v>
      </c>
      <c r="AA135" s="110">
        <f>+'Gantt Proyectos'!Y203</f>
        <v>0</v>
      </c>
      <c r="AB135" s="110">
        <f>+'Gantt Proyectos'!Z203</f>
        <v>0</v>
      </c>
      <c r="AC135" s="110">
        <f>+'Gantt Proyectos'!AA203</f>
        <v>0</v>
      </c>
      <c r="AD135" s="110">
        <f>+'Gantt Proyectos'!AB203</f>
        <v>0</v>
      </c>
      <c r="AE135" s="110">
        <f>+'Gantt Proyectos'!AC203</f>
        <v>0</v>
      </c>
      <c r="AF135" s="110">
        <f>+'Gantt Proyectos'!AD203</f>
        <v>0</v>
      </c>
      <c r="AG135" s="110">
        <f>+'Gantt Proyectos'!AE203</f>
        <v>0</v>
      </c>
      <c r="AH135" s="172">
        <v>1</v>
      </c>
      <c r="AI135" s="466">
        <f>IFERROR(IF('Gantt Proyectos'!AF203&lt;2,$N135*'Gantt Proyectos'!AF203,IF('Gantt Proyectos'!AF203=2,$N135*('Gantt Proyectos'!AF203-1))),0)*$L135*$Q135</f>
        <v>0</v>
      </c>
      <c r="AJ135" s="467">
        <f>IFERROR(IF('Gantt Proyectos'!AG203&lt;2,$N135*'Gantt Proyectos'!AG203,IF('Gantt Proyectos'!AG203=2,$N135*('Gantt Proyectos'!AG203-1))),0)*$L135*$Q135</f>
        <v>0</v>
      </c>
      <c r="AK135" s="467">
        <f>IFERROR(IF('Gantt Proyectos'!AH203&lt;2,$N135*'Gantt Proyectos'!AH203,IF('Gantt Proyectos'!AH203=2,$N135*('Gantt Proyectos'!AH203-1))),0)*$L135*$Q135</f>
        <v>0</v>
      </c>
      <c r="AL135" s="467">
        <f>IFERROR(IF('Gantt Proyectos'!AI203&lt;2,$N135*'Gantt Proyectos'!AI203,IF('Gantt Proyectos'!AI203=2,$N135*('Gantt Proyectos'!AI203-1))),0)*$L135*$Q135</f>
        <v>0</v>
      </c>
      <c r="AM135" s="467">
        <f>IFERROR(IF('Gantt Proyectos'!AJ203&lt;2,$N135*'Gantt Proyectos'!AJ203,IF('Gantt Proyectos'!AJ203=2,$N135*('Gantt Proyectos'!AJ203-1))),0)*$L135*$Q135</f>
        <v>0</v>
      </c>
      <c r="AN135" s="467">
        <f>IFERROR(IF('Gantt Proyectos'!AK203&lt;2,$N135*'Gantt Proyectos'!AK203,IF('Gantt Proyectos'!AK203=2,$N135*('Gantt Proyectos'!AK203-1))),0)*$L135*$Q135</f>
        <v>0</v>
      </c>
      <c r="AO135" s="467">
        <f>IFERROR(IF('Gantt Proyectos'!AL203&lt;2,$N135*'Gantt Proyectos'!AL203,IF('Gantt Proyectos'!AL203=2,$N135*('Gantt Proyectos'!AL203-1))),0)*$L135*$Q135</f>
        <v>0</v>
      </c>
      <c r="AP135" s="467">
        <f>IFERROR(IF('Gantt Proyectos'!AM203&lt;2,$N135*'Gantt Proyectos'!AM203,IF('Gantt Proyectos'!AM203=2,$N135*('Gantt Proyectos'!AM203-1))),0)*$L135*$Q135</f>
        <v>0</v>
      </c>
      <c r="AQ135" s="468">
        <f>IFERROR(IF('Gantt Proyectos'!AN203&lt;2,$N135*'Gantt Proyectos'!AN203,IF('Gantt Proyectos'!AN203=2,$N135*('Gantt Proyectos'!AN203-1))),0)*$L135*$Q135</f>
        <v>0</v>
      </c>
    </row>
    <row r="136" spans="3:43" ht="15" x14ac:dyDescent="0.2">
      <c r="C136" s="110">
        <f>+'Gantt Proyectos'!C204</f>
        <v>0</v>
      </c>
      <c r="D136" s="110">
        <f>+'Gantt Proyectos'!D204</f>
        <v>0</v>
      </c>
      <c r="E136" s="110">
        <f>+'Gantt Proyectos'!E204</f>
        <v>0</v>
      </c>
      <c r="F136" s="148">
        <f>+'Gantt Proyectos'!F204</f>
        <v>0</v>
      </c>
      <c r="G136" s="110">
        <f>+'Gantt Proyectos'!G204</f>
        <v>0</v>
      </c>
      <c r="H136" s="110">
        <f>+'Gantt Proyectos'!H204</f>
        <v>0</v>
      </c>
      <c r="I136" s="189">
        <v>1</v>
      </c>
      <c r="J136" s="189">
        <f t="shared" si="8"/>
        <v>0</v>
      </c>
      <c r="K136" s="110">
        <f>+'Gantt Proyectos'!I204</f>
        <v>0</v>
      </c>
      <c r="L136" s="110">
        <f>+'Gantt Proyectos'!J204</f>
        <v>0</v>
      </c>
      <c r="M136" s="110">
        <f>+'Gantt Proyectos'!K204</f>
        <v>0</v>
      </c>
      <c r="N136" s="110">
        <f>+'Gantt Proyectos'!L204</f>
        <v>0</v>
      </c>
      <c r="O136" s="110">
        <f>+'Gantt Proyectos'!M204</f>
        <v>0</v>
      </c>
      <c r="P136" s="110">
        <f>+'Gantt Proyectos'!N204</f>
        <v>0</v>
      </c>
      <c r="Q136" s="472">
        <v>1</v>
      </c>
      <c r="R136" s="110">
        <f>+'Gantt Proyectos'!O204</f>
        <v>0</v>
      </c>
      <c r="S136" s="110">
        <f>+'Gantt Proyectos'!P204</f>
        <v>0</v>
      </c>
      <c r="T136" s="110">
        <f>+'Gantt Proyectos'!R204</f>
        <v>0</v>
      </c>
      <c r="U136" s="118">
        <f>+'Gantt Proyectos'!S204</f>
        <v>0</v>
      </c>
      <c r="V136" s="157">
        <f>+'Gantt Proyectos'!T204</f>
        <v>0</v>
      </c>
      <c r="W136" s="157">
        <f>+'Gantt Proyectos'!U204</f>
        <v>0</v>
      </c>
      <c r="X136" s="201">
        <f t="shared" si="9"/>
        <v>0</v>
      </c>
      <c r="Y136" s="110">
        <f>+'Gantt Proyectos'!W204</f>
        <v>0</v>
      </c>
      <c r="Z136" s="110">
        <f>+'Gantt Proyectos'!X204</f>
        <v>0</v>
      </c>
      <c r="AA136" s="110">
        <f>+'Gantt Proyectos'!Y204</f>
        <v>0</v>
      </c>
      <c r="AB136" s="110">
        <f>+'Gantt Proyectos'!Z204</f>
        <v>0</v>
      </c>
      <c r="AC136" s="110">
        <f>+'Gantt Proyectos'!AA204</f>
        <v>0</v>
      </c>
      <c r="AD136" s="110">
        <f>+'Gantt Proyectos'!AB204</f>
        <v>0</v>
      </c>
      <c r="AE136" s="110">
        <f>+'Gantt Proyectos'!AC204</f>
        <v>0</v>
      </c>
      <c r="AF136" s="110">
        <f>+'Gantt Proyectos'!AD204</f>
        <v>0</v>
      </c>
      <c r="AG136" s="110">
        <f>+'Gantt Proyectos'!AE204</f>
        <v>0</v>
      </c>
      <c r="AH136" s="172">
        <v>1</v>
      </c>
      <c r="AI136" s="466">
        <f>IFERROR(IF('Gantt Proyectos'!AF204&lt;2,$N136*'Gantt Proyectos'!AF204,IF('Gantt Proyectos'!AF204=2,$N136*('Gantt Proyectos'!AF204-1))),0)*$L136*$Q136</f>
        <v>0</v>
      </c>
      <c r="AJ136" s="467">
        <f>IFERROR(IF('Gantt Proyectos'!AG204&lt;2,$N136*'Gantt Proyectos'!AG204,IF('Gantt Proyectos'!AG204=2,$N136*('Gantt Proyectos'!AG204-1))),0)*$L136*$Q136</f>
        <v>0</v>
      </c>
      <c r="AK136" s="467">
        <f>IFERROR(IF('Gantt Proyectos'!AH204&lt;2,$N136*'Gantt Proyectos'!AH204,IF('Gantt Proyectos'!AH204=2,$N136*('Gantt Proyectos'!AH204-1))),0)*$L136*$Q136</f>
        <v>0</v>
      </c>
      <c r="AL136" s="467">
        <f>IFERROR(IF('Gantt Proyectos'!AI204&lt;2,$N136*'Gantt Proyectos'!AI204,IF('Gantt Proyectos'!AI204=2,$N136*('Gantt Proyectos'!AI204-1))),0)*$L136*$Q136</f>
        <v>0</v>
      </c>
      <c r="AM136" s="467">
        <f>IFERROR(IF('Gantt Proyectos'!AJ204&lt;2,$N136*'Gantt Proyectos'!AJ204,IF('Gantt Proyectos'!AJ204=2,$N136*('Gantt Proyectos'!AJ204-1))),0)*$L136*$Q136</f>
        <v>0</v>
      </c>
      <c r="AN136" s="467">
        <f>IFERROR(IF('Gantt Proyectos'!AK204&lt;2,$N136*'Gantt Proyectos'!AK204,IF('Gantt Proyectos'!AK204=2,$N136*('Gantt Proyectos'!AK204-1))),0)*$L136*$Q136</f>
        <v>0</v>
      </c>
      <c r="AO136" s="467">
        <f>IFERROR(IF('Gantt Proyectos'!AL204&lt;2,$N136*'Gantt Proyectos'!AL204,IF('Gantt Proyectos'!AL204=2,$N136*('Gantt Proyectos'!AL204-1))),0)*$L136*$Q136</f>
        <v>0</v>
      </c>
      <c r="AP136" s="467">
        <f>IFERROR(IF('Gantt Proyectos'!AM204&lt;2,$N136*'Gantt Proyectos'!AM204,IF('Gantt Proyectos'!AM204=2,$N136*('Gantt Proyectos'!AM204-1))),0)*$L136*$Q136</f>
        <v>0</v>
      </c>
      <c r="AQ136" s="468">
        <f>IFERROR(IF('Gantt Proyectos'!AN204&lt;2,$N136*'Gantt Proyectos'!AN204,IF('Gantt Proyectos'!AN204=2,$N136*('Gantt Proyectos'!AN204-1))),0)*$L136*$Q136</f>
        <v>0</v>
      </c>
    </row>
    <row r="137" spans="3:43" ht="15" x14ac:dyDescent="0.2">
      <c r="C137" s="110">
        <f>+'Gantt Proyectos'!C205</f>
        <v>0</v>
      </c>
      <c r="D137" s="110">
        <f>+'Gantt Proyectos'!D205</f>
        <v>0</v>
      </c>
      <c r="E137" s="110">
        <f>+'Gantt Proyectos'!E205</f>
        <v>0</v>
      </c>
      <c r="F137" s="148">
        <f>+'Gantt Proyectos'!F205</f>
        <v>0</v>
      </c>
      <c r="G137" s="110">
        <f>+'Gantt Proyectos'!G205</f>
        <v>0</v>
      </c>
      <c r="H137" s="110">
        <f>+'Gantt Proyectos'!H205</f>
        <v>0</v>
      </c>
      <c r="I137" s="189">
        <v>1</v>
      </c>
      <c r="J137" s="189">
        <f t="shared" si="8"/>
        <v>0</v>
      </c>
      <c r="K137" s="110">
        <f>+'Gantt Proyectos'!I205</f>
        <v>0</v>
      </c>
      <c r="L137" s="110">
        <f>+'Gantt Proyectos'!J205</f>
        <v>0</v>
      </c>
      <c r="M137" s="110">
        <f>+'Gantt Proyectos'!K205</f>
        <v>0</v>
      </c>
      <c r="N137" s="110">
        <f>+'Gantt Proyectos'!L205</f>
        <v>0</v>
      </c>
      <c r="O137" s="110">
        <f>+'Gantt Proyectos'!M205</f>
        <v>0</v>
      </c>
      <c r="P137" s="110">
        <f>+'Gantt Proyectos'!N205</f>
        <v>0</v>
      </c>
      <c r="Q137" s="472">
        <v>1</v>
      </c>
      <c r="R137" s="110">
        <f>+'Gantt Proyectos'!O205</f>
        <v>0</v>
      </c>
      <c r="S137" s="110">
        <f>+'Gantt Proyectos'!P205</f>
        <v>0</v>
      </c>
      <c r="T137" s="110">
        <f>+'Gantt Proyectos'!R205</f>
        <v>0</v>
      </c>
      <c r="U137" s="118">
        <f>+'Gantt Proyectos'!S205</f>
        <v>0</v>
      </c>
      <c r="V137" s="157">
        <f>+'Gantt Proyectos'!T205</f>
        <v>0</v>
      </c>
      <c r="W137" s="157">
        <f>+'Gantt Proyectos'!U205</f>
        <v>0</v>
      </c>
      <c r="X137" s="201">
        <f t="shared" si="9"/>
        <v>0</v>
      </c>
      <c r="Y137" s="110">
        <f>+'Gantt Proyectos'!W205</f>
        <v>0</v>
      </c>
      <c r="Z137" s="110">
        <f>+'Gantt Proyectos'!X205</f>
        <v>0</v>
      </c>
      <c r="AA137" s="110">
        <f>+'Gantt Proyectos'!Y205</f>
        <v>0</v>
      </c>
      <c r="AB137" s="110">
        <f>+'Gantt Proyectos'!Z205</f>
        <v>0</v>
      </c>
      <c r="AC137" s="110">
        <f>+'Gantt Proyectos'!AA205</f>
        <v>0</v>
      </c>
      <c r="AD137" s="110">
        <f>+'Gantt Proyectos'!AB205</f>
        <v>0</v>
      </c>
      <c r="AE137" s="110">
        <f>+'Gantt Proyectos'!AC205</f>
        <v>0</v>
      </c>
      <c r="AF137" s="110">
        <f>+'Gantt Proyectos'!AD205</f>
        <v>0</v>
      </c>
      <c r="AG137" s="110">
        <f>+'Gantt Proyectos'!AE205</f>
        <v>0</v>
      </c>
      <c r="AH137" s="172">
        <v>1</v>
      </c>
      <c r="AI137" s="466">
        <f>IFERROR(IF('Gantt Proyectos'!AF205&lt;2,$N137*'Gantt Proyectos'!AF205,IF('Gantt Proyectos'!AF205=2,$N137*('Gantt Proyectos'!AF205-1))),0)*$L137*$Q137</f>
        <v>0</v>
      </c>
      <c r="AJ137" s="467">
        <f>IFERROR(IF('Gantt Proyectos'!AG205&lt;2,$N137*'Gantt Proyectos'!AG205,IF('Gantt Proyectos'!AG205=2,$N137*('Gantt Proyectos'!AG205-1))),0)*$L137*$Q137</f>
        <v>0</v>
      </c>
      <c r="AK137" s="467">
        <f>IFERROR(IF('Gantt Proyectos'!AH205&lt;2,$N137*'Gantt Proyectos'!AH205,IF('Gantt Proyectos'!AH205=2,$N137*('Gantt Proyectos'!AH205-1))),0)*$L137*$Q137</f>
        <v>0</v>
      </c>
      <c r="AL137" s="467">
        <f>IFERROR(IF('Gantt Proyectos'!AI205&lt;2,$N137*'Gantt Proyectos'!AI205,IF('Gantt Proyectos'!AI205=2,$N137*('Gantt Proyectos'!AI205-1))),0)*$L137*$Q137</f>
        <v>0</v>
      </c>
      <c r="AM137" s="467">
        <f>IFERROR(IF('Gantt Proyectos'!AJ205&lt;2,$N137*'Gantt Proyectos'!AJ205,IF('Gantt Proyectos'!AJ205=2,$N137*('Gantt Proyectos'!AJ205-1))),0)*$L137*$Q137</f>
        <v>0</v>
      </c>
      <c r="AN137" s="467">
        <f>IFERROR(IF('Gantt Proyectos'!AK205&lt;2,$N137*'Gantt Proyectos'!AK205,IF('Gantt Proyectos'!AK205=2,$N137*('Gantt Proyectos'!AK205-1))),0)*$L137*$Q137</f>
        <v>0</v>
      </c>
      <c r="AO137" s="467">
        <f>IFERROR(IF('Gantt Proyectos'!AL205&lt;2,$N137*'Gantt Proyectos'!AL205,IF('Gantt Proyectos'!AL205=2,$N137*('Gantt Proyectos'!AL205-1))),0)*$L137*$Q137</f>
        <v>0</v>
      </c>
      <c r="AP137" s="467">
        <f>IFERROR(IF('Gantt Proyectos'!AM205&lt;2,$N137*'Gantt Proyectos'!AM205,IF('Gantt Proyectos'!AM205=2,$N137*('Gantt Proyectos'!AM205-1))),0)*$L137*$Q137</f>
        <v>0</v>
      </c>
      <c r="AQ137" s="468">
        <f>IFERROR(IF('Gantt Proyectos'!AN205&lt;2,$N137*'Gantt Proyectos'!AN205,IF('Gantt Proyectos'!AN205=2,$N137*('Gantt Proyectos'!AN205-1))),0)*$L137*$Q137</f>
        <v>0</v>
      </c>
    </row>
    <row r="138" spans="3:43" ht="15" x14ac:dyDescent="0.2">
      <c r="C138" s="110">
        <f>+'Gantt Proyectos'!C206</f>
        <v>0</v>
      </c>
      <c r="D138" s="110">
        <f>+'Gantt Proyectos'!D206</f>
        <v>0</v>
      </c>
      <c r="E138" s="110">
        <f>+'Gantt Proyectos'!E206</f>
        <v>0</v>
      </c>
      <c r="F138" s="148">
        <f>+'Gantt Proyectos'!F206</f>
        <v>0</v>
      </c>
      <c r="G138" s="110">
        <f>+'Gantt Proyectos'!G206</f>
        <v>0</v>
      </c>
      <c r="H138" s="110">
        <f>+'Gantt Proyectos'!H206</f>
        <v>0</v>
      </c>
      <c r="I138" s="189">
        <v>1</v>
      </c>
      <c r="J138" s="189">
        <f t="shared" si="8"/>
        <v>0</v>
      </c>
      <c r="K138" s="110">
        <f>+'Gantt Proyectos'!I206</f>
        <v>0</v>
      </c>
      <c r="L138" s="110">
        <f>+'Gantt Proyectos'!J206</f>
        <v>0</v>
      </c>
      <c r="M138" s="110">
        <f>+'Gantt Proyectos'!K206</f>
        <v>0</v>
      </c>
      <c r="N138" s="110">
        <f>+'Gantt Proyectos'!L206</f>
        <v>0</v>
      </c>
      <c r="O138" s="110">
        <f>+'Gantt Proyectos'!M206</f>
        <v>0</v>
      </c>
      <c r="P138" s="110">
        <f>+'Gantt Proyectos'!N206</f>
        <v>0</v>
      </c>
      <c r="Q138" s="472">
        <v>1</v>
      </c>
      <c r="R138" s="110">
        <f>+'Gantt Proyectos'!O206</f>
        <v>0</v>
      </c>
      <c r="S138" s="110">
        <f>+'Gantt Proyectos'!P206</f>
        <v>0</v>
      </c>
      <c r="T138" s="110">
        <f>+'Gantt Proyectos'!R206</f>
        <v>0</v>
      </c>
      <c r="U138" s="118">
        <f>+'Gantt Proyectos'!S206</f>
        <v>0</v>
      </c>
      <c r="V138" s="157">
        <f>+'Gantt Proyectos'!T206</f>
        <v>0</v>
      </c>
      <c r="W138" s="157">
        <f>+'Gantt Proyectos'!U206</f>
        <v>0</v>
      </c>
      <c r="X138" s="201">
        <f t="shared" si="9"/>
        <v>0</v>
      </c>
      <c r="Y138" s="110">
        <f>+'Gantt Proyectos'!W206</f>
        <v>0</v>
      </c>
      <c r="Z138" s="110">
        <f>+'Gantt Proyectos'!X206</f>
        <v>0</v>
      </c>
      <c r="AA138" s="110">
        <f>+'Gantt Proyectos'!Y206</f>
        <v>0</v>
      </c>
      <c r="AB138" s="110">
        <f>+'Gantt Proyectos'!Z206</f>
        <v>0</v>
      </c>
      <c r="AC138" s="110">
        <f>+'Gantt Proyectos'!AA206</f>
        <v>0</v>
      </c>
      <c r="AD138" s="110">
        <f>+'Gantt Proyectos'!AB206</f>
        <v>0</v>
      </c>
      <c r="AE138" s="110">
        <f>+'Gantt Proyectos'!AC206</f>
        <v>0</v>
      </c>
      <c r="AF138" s="110">
        <f>+'Gantt Proyectos'!AD206</f>
        <v>0</v>
      </c>
      <c r="AG138" s="110">
        <f>+'Gantt Proyectos'!AE206</f>
        <v>0</v>
      </c>
      <c r="AH138" s="172">
        <v>1</v>
      </c>
      <c r="AI138" s="466">
        <f>IFERROR(IF('Gantt Proyectos'!AF206&lt;2,$N138*'Gantt Proyectos'!AF206,IF('Gantt Proyectos'!AF206=2,$N138*('Gantt Proyectos'!AF206-1))),0)*$L138*$Q138</f>
        <v>0</v>
      </c>
      <c r="AJ138" s="467">
        <f>IFERROR(IF('Gantt Proyectos'!AG206&lt;2,$N138*'Gantt Proyectos'!AG206,IF('Gantt Proyectos'!AG206=2,$N138*('Gantt Proyectos'!AG206-1))),0)*$L138*$Q138</f>
        <v>0</v>
      </c>
      <c r="AK138" s="467">
        <f>IFERROR(IF('Gantt Proyectos'!AH206&lt;2,$N138*'Gantt Proyectos'!AH206,IF('Gantt Proyectos'!AH206=2,$N138*('Gantt Proyectos'!AH206-1))),0)*$L138*$Q138</f>
        <v>0</v>
      </c>
      <c r="AL138" s="467">
        <f>IFERROR(IF('Gantt Proyectos'!AI206&lt;2,$N138*'Gantt Proyectos'!AI206,IF('Gantt Proyectos'!AI206=2,$N138*('Gantt Proyectos'!AI206-1))),0)*$L138*$Q138</f>
        <v>0</v>
      </c>
      <c r="AM138" s="467">
        <f>IFERROR(IF('Gantt Proyectos'!AJ206&lt;2,$N138*'Gantt Proyectos'!AJ206,IF('Gantt Proyectos'!AJ206=2,$N138*('Gantt Proyectos'!AJ206-1))),0)*$L138*$Q138</f>
        <v>0</v>
      </c>
      <c r="AN138" s="467">
        <f>IFERROR(IF('Gantt Proyectos'!AK206&lt;2,$N138*'Gantt Proyectos'!AK206,IF('Gantt Proyectos'!AK206=2,$N138*('Gantt Proyectos'!AK206-1))),0)*$L138*$Q138</f>
        <v>0</v>
      </c>
      <c r="AO138" s="467">
        <f>IFERROR(IF('Gantt Proyectos'!AL206&lt;2,$N138*'Gantt Proyectos'!AL206,IF('Gantt Proyectos'!AL206=2,$N138*('Gantt Proyectos'!AL206-1))),0)*$L138*$Q138</f>
        <v>0</v>
      </c>
      <c r="AP138" s="467">
        <f>IFERROR(IF('Gantt Proyectos'!AM206&lt;2,$N138*'Gantt Proyectos'!AM206,IF('Gantt Proyectos'!AM206=2,$N138*('Gantt Proyectos'!AM206-1))),0)*$L138*$Q138</f>
        <v>0</v>
      </c>
      <c r="AQ138" s="468">
        <f>IFERROR(IF('Gantt Proyectos'!AN206&lt;2,$N138*'Gantt Proyectos'!AN206,IF('Gantt Proyectos'!AN206=2,$N138*('Gantt Proyectos'!AN206-1))),0)*$L138*$Q138</f>
        <v>0</v>
      </c>
    </row>
    <row r="139" spans="3:43" ht="15" x14ac:dyDescent="0.2">
      <c r="C139" s="110">
        <f>+'Gantt Proyectos'!C207</f>
        <v>0</v>
      </c>
      <c r="D139" s="110">
        <f>+'Gantt Proyectos'!D207</f>
        <v>0</v>
      </c>
      <c r="E139" s="110">
        <f>+'Gantt Proyectos'!E207</f>
        <v>0</v>
      </c>
      <c r="F139" s="148">
        <f>+'Gantt Proyectos'!F207</f>
        <v>0</v>
      </c>
      <c r="G139" s="110">
        <f>+'Gantt Proyectos'!G207</f>
        <v>0</v>
      </c>
      <c r="H139" s="110">
        <f>+'Gantt Proyectos'!H207</f>
        <v>0</v>
      </c>
      <c r="I139" s="189">
        <v>1</v>
      </c>
      <c r="J139" s="189">
        <f t="shared" si="8"/>
        <v>0</v>
      </c>
      <c r="K139" s="110">
        <f>+'Gantt Proyectos'!I207</f>
        <v>0</v>
      </c>
      <c r="L139" s="110">
        <f>+'Gantt Proyectos'!J207</f>
        <v>0</v>
      </c>
      <c r="M139" s="110">
        <f>+'Gantt Proyectos'!K207</f>
        <v>0</v>
      </c>
      <c r="N139" s="110">
        <f>+'Gantt Proyectos'!L207</f>
        <v>0</v>
      </c>
      <c r="O139" s="110">
        <f>+'Gantt Proyectos'!M207</f>
        <v>0</v>
      </c>
      <c r="P139" s="110">
        <f>+'Gantt Proyectos'!N207</f>
        <v>0</v>
      </c>
      <c r="Q139" s="472">
        <v>1</v>
      </c>
      <c r="R139" s="110">
        <f>+'Gantt Proyectos'!O207</f>
        <v>0</v>
      </c>
      <c r="S139" s="110">
        <f>+'Gantt Proyectos'!P207</f>
        <v>0</v>
      </c>
      <c r="T139" s="110">
        <f>+'Gantt Proyectos'!R207</f>
        <v>0</v>
      </c>
      <c r="U139" s="118">
        <f>+'Gantt Proyectos'!S207</f>
        <v>0</v>
      </c>
      <c r="V139" s="157">
        <f>+'Gantt Proyectos'!T207</f>
        <v>0</v>
      </c>
      <c r="W139" s="157">
        <f>+'Gantt Proyectos'!U207</f>
        <v>0</v>
      </c>
      <c r="X139" s="201">
        <f t="shared" si="9"/>
        <v>0</v>
      </c>
      <c r="Y139" s="110">
        <f>+'Gantt Proyectos'!W207</f>
        <v>0</v>
      </c>
      <c r="Z139" s="110">
        <f>+'Gantt Proyectos'!X207</f>
        <v>0</v>
      </c>
      <c r="AA139" s="110">
        <f>+'Gantt Proyectos'!Y207</f>
        <v>0</v>
      </c>
      <c r="AB139" s="110">
        <f>+'Gantt Proyectos'!Z207</f>
        <v>0</v>
      </c>
      <c r="AC139" s="110">
        <f>+'Gantt Proyectos'!AA207</f>
        <v>0</v>
      </c>
      <c r="AD139" s="110">
        <f>+'Gantt Proyectos'!AB207</f>
        <v>0</v>
      </c>
      <c r="AE139" s="110">
        <f>+'Gantt Proyectos'!AC207</f>
        <v>0</v>
      </c>
      <c r="AF139" s="110">
        <f>+'Gantt Proyectos'!AD207</f>
        <v>0</v>
      </c>
      <c r="AG139" s="110">
        <f>+'Gantt Proyectos'!AE207</f>
        <v>0</v>
      </c>
      <c r="AH139" s="172">
        <v>1</v>
      </c>
      <c r="AI139" s="466">
        <f>IFERROR(IF('Gantt Proyectos'!AF207&lt;2,$N139*'Gantt Proyectos'!AF207,IF('Gantt Proyectos'!AF207=2,$N139*('Gantt Proyectos'!AF207-1))),0)*$L139*$Q139</f>
        <v>0</v>
      </c>
      <c r="AJ139" s="467">
        <f>IFERROR(IF('Gantt Proyectos'!AG207&lt;2,$N139*'Gantt Proyectos'!AG207,IF('Gantt Proyectos'!AG207=2,$N139*('Gantt Proyectos'!AG207-1))),0)*$L139*$Q139</f>
        <v>0</v>
      </c>
      <c r="AK139" s="467">
        <f>IFERROR(IF('Gantt Proyectos'!AH207&lt;2,$N139*'Gantt Proyectos'!AH207,IF('Gantt Proyectos'!AH207=2,$N139*('Gantt Proyectos'!AH207-1))),0)*$L139*$Q139</f>
        <v>0</v>
      </c>
      <c r="AL139" s="467">
        <f>IFERROR(IF('Gantt Proyectos'!AI207&lt;2,$N139*'Gantt Proyectos'!AI207,IF('Gantt Proyectos'!AI207=2,$N139*('Gantt Proyectos'!AI207-1))),0)*$L139*$Q139</f>
        <v>0</v>
      </c>
      <c r="AM139" s="467">
        <f>IFERROR(IF('Gantt Proyectos'!AJ207&lt;2,$N139*'Gantt Proyectos'!AJ207,IF('Gantt Proyectos'!AJ207=2,$N139*('Gantt Proyectos'!AJ207-1))),0)*$L139*$Q139</f>
        <v>0</v>
      </c>
      <c r="AN139" s="467">
        <f>IFERROR(IF('Gantt Proyectos'!AK207&lt;2,$N139*'Gantt Proyectos'!AK207,IF('Gantt Proyectos'!AK207=2,$N139*('Gantt Proyectos'!AK207-1))),0)*$L139*$Q139</f>
        <v>0</v>
      </c>
      <c r="AO139" s="467">
        <f>IFERROR(IF('Gantt Proyectos'!AL207&lt;2,$N139*'Gantt Proyectos'!AL207,IF('Gantt Proyectos'!AL207=2,$N139*('Gantt Proyectos'!AL207-1))),0)*$L139*$Q139</f>
        <v>0</v>
      </c>
      <c r="AP139" s="467">
        <f>IFERROR(IF('Gantt Proyectos'!AM207&lt;2,$N139*'Gantt Proyectos'!AM207,IF('Gantt Proyectos'!AM207=2,$N139*('Gantt Proyectos'!AM207-1))),0)*$L139*$Q139</f>
        <v>0</v>
      </c>
      <c r="AQ139" s="468">
        <f>IFERROR(IF('Gantt Proyectos'!AN207&lt;2,$N139*'Gantt Proyectos'!AN207,IF('Gantt Proyectos'!AN207=2,$N139*('Gantt Proyectos'!AN207-1))),0)*$L139*$Q139</f>
        <v>0</v>
      </c>
    </row>
    <row r="140" spans="3:43" ht="15" x14ac:dyDescent="0.2">
      <c r="C140" s="110">
        <f>+'Gantt Proyectos'!C208</f>
        <v>0</v>
      </c>
      <c r="D140" s="110">
        <f>+'Gantt Proyectos'!D208</f>
        <v>0</v>
      </c>
      <c r="E140" s="110">
        <f>+'Gantt Proyectos'!E208</f>
        <v>0</v>
      </c>
      <c r="F140" s="148">
        <f>+'Gantt Proyectos'!F208</f>
        <v>0</v>
      </c>
      <c r="G140" s="110">
        <f>+'Gantt Proyectos'!G208</f>
        <v>0</v>
      </c>
      <c r="H140" s="110">
        <f>+'Gantt Proyectos'!H208</f>
        <v>0</v>
      </c>
      <c r="I140" s="189">
        <v>1</v>
      </c>
      <c r="J140" s="189">
        <f t="shared" si="8"/>
        <v>0</v>
      </c>
      <c r="K140" s="110">
        <f>+'Gantt Proyectos'!I208</f>
        <v>0</v>
      </c>
      <c r="L140" s="110">
        <f>+'Gantt Proyectos'!J208</f>
        <v>0</v>
      </c>
      <c r="M140" s="110">
        <f>+'Gantt Proyectos'!K208</f>
        <v>0</v>
      </c>
      <c r="N140" s="110">
        <f>+'Gantt Proyectos'!L208</f>
        <v>0</v>
      </c>
      <c r="O140" s="110">
        <f>+'Gantt Proyectos'!M208</f>
        <v>0</v>
      </c>
      <c r="P140" s="110">
        <f>+'Gantt Proyectos'!N208</f>
        <v>0</v>
      </c>
      <c r="Q140" s="472">
        <v>1</v>
      </c>
      <c r="R140" s="110">
        <f>+'Gantt Proyectos'!O208</f>
        <v>0</v>
      </c>
      <c r="S140" s="110">
        <f>+'Gantt Proyectos'!P208</f>
        <v>0</v>
      </c>
      <c r="T140" s="110">
        <f>+'Gantt Proyectos'!R208</f>
        <v>0</v>
      </c>
      <c r="U140" s="118">
        <f>+'Gantt Proyectos'!S208</f>
        <v>0</v>
      </c>
      <c r="V140" s="157">
        <f>+'Gantt Proyectos'!T208</f>
        <v>0</v>
      </c>
      <c r="W140" s="157">
        <f>+'Gantt Proyectos'!U208</f>
        <v>0</v>
      </c>
      <c r="X140" s="201">
        <f t="shared" si="9"/>
        <v>0</v>
      </c>
      <c r="Y140" s="110">
        <f>+'Gantt Proyectos'!W208</f>
        <v>0</v>
      </c>
      <c r="Z140" s="110">
        <f>+'Gantt Proyectos'!X208</f>
        <v>0</v>
      </c>
      <c r="AA140" s="110">
        <f>+'Gantt Proyectos'!Y208</f>
        <v>0</v>
      </c>
      <c r="AB140" s="110">
        <f>+'Gantt Proyectos'!Z208</f>
        <v>0</v>
      </c>
      <c r="AC140" s="110">
        <f>+'Gantt Proyectos'!AA208</f>
        <v>0</v>
      </c>
      <c r="AD140" s="110">
        <f>+'Gantt Proyectos'!AB208</f>
        <v>0</v>
      </c>
      <c r="AE140" s="110">
        <f>+'Gantt Proyectos'!AC208</f>
        <v>0</v>
      </c>
      <c r="AF140" s="110">
        <f>+'Gantt Proyectos'!AD208</f>
        <v>0</v>
      </c>
      <c r="AG140" s="110">
        <f>+'Gantt Proyectos'!AE208</f>
        <v>0</v>
      </c>
      <c r="AH140" s="172">
        <v>1</v>
      </c>
      <c r="AI140" s="466">
        <f>IFERROR(IF('Gantt Proyectos'!AF208&lt;2,$N140*'Gantt Proyectos'!AF208,IF('Gantt Proyectos'!AF208=2,$N140*('Gantt Proyectos'!AF208-1))),0)*$L140*$Q140</f>
        <v>0</v>
      </c>
      <c r="AJ140" s="467">
        <f>IFERROR(IF('Gantt Proyectos'!AG208&lt;2,$N140*'Gantt Proyectos'!AG208,IF('Gantt Proyectos'!AG208=2,$N140*('Gantt Proyectos'!AG208-1))),0)*$L140*$Q140</f>
        <v>0</v>
      </c>
      <c r="AK140" s="467">
        <f>IFERROR(IF('Gantt Proyectos'!AH208&lt;2,$N140*'Gantt Proyectos'!AH208,IF('Gantt Proyectos'!AH208=2,$N140*('Gantt Proyectos'!AH208-1))),0)*$L140*$Q140</f>
        <v>0</v>
      </c>
      <c r="AL140" s="467">
        <f>IFERROR(IF('Gantt Proyectos'!AI208&lt;2,$N140*'Gantt Proyectos'!AI208,IF('Gantt Proyectos'!AI208=2,$N140*('Gantt Proyectos'!AI208-1))),0)*$L140*$Q140</f>
        <v>0</v>
      </c>
      <c r="AM140" s="467">
        <f>IFERROR(IF('Gantt Proyectos'!AJ208&lt;2,$N140*'Gantt Proyectos'!AJ208,IF('Gantt Proyectos'!AJ208=2,$N140*('Gantt Proyectos'!AJ208-1))),0)*$L140*$Q140</f>
        <v>0</v>
      </c>
      <c r="AN140" s="467">
        <f>IFERROR(IF('Gantt Proyectos'!AK208&lt;2,$N140*'Gantt Proyectos'!AK208,IF('Gantt Proyectos'!AK208=2,$N140*('Gantt Proyectos'!AK208-1))),0)*$L140*$Q140</f>
        <v>0</v>
      </c>
      <c r="AO140" s="467">
        <f>IFERROR(IF('Gantt Proyectos'!AL208&lt;2,$N140*'Gantt Proyectos'!AL208,IF('Gantt Proyectos'!AL208=2,$N140*('Gantt Proyectos'!AL208-1))),0)*$L140*$Q140</f>
        <v>0</v>
      </c>
      <c r="AP140" s="467">
        <f>IFERROR(IF('Gantt Proyectos'!AM208&lt;2,$N140*'Gantt Proyectos'!AM208,IF('Gantt Proyectos'!AM208=2,$N140*('Gantt Proyectos'!AM208-1))),0)*$L140*$Q140</f>
        <v>0</v>
      </c>
      <c r="AQ140" s="468">
        <f>IFERROR(IF('Gantt Proyectos'!AN208&lt;2,$N140*'Gantt Proyectos'!AN208,IF('Gantt Proyectos'!AN208=2,$N140*('Gantt Proyectos'!AN208-1))),0)*$L140*$Q140</f>
        <v>0</v>
      </c>
    </row>
    <row r="141" spans="3:43" ht="15" x14ac:dyDescent="0.2">
      <c r="C141" s="110">
        <f>+'Gantt Proyectos'!C209</f>
        <v>0</v>
      </c>
      <c r="D141" s="110">
        <f>+'Gantt Proyectos'!D209</f>
        <v>0</v>
      </c>
      <c r="E141" s="110">
        <f>+'Gantt Proyectos'!E209</f>
        <v>0</v>
      </c>
      <c r="F141" s="148">
        <f>+'Gantt Proyectos'!F209</f>
        <v>0</v>
      </c>
      <c r="G141" s="110">
        <f>+'Gantt Proyectos'!G209</f>
        <v>0</v>
      </c>
      <c r="H141" s="110">
        <f>+'Gantt Proyectos'!H209</f>
        <v>0</v>
      </c>
      <c r="I141" s="189">
        <v>1</v>
      </c>
      <c r="J141" s="189">
        <f t="shared" si="8"/>
        <v>0</v>
      </c>
      <c r="K141" s="110">
        <f>+'Gantt Proyectos'!I209</f>
        <v>0</v>
      </c>
      <c r="L141" s="110">
        <f>+'Gantt Proyectos'!J209</f>
        <v>0</v>
      </c>
      <c r="M141" s="110">
        <f>+'Gantt Proyectos'!K209</f>
        <v>0</v>
      </c>
      <c r="N141" s="110">
        <f>+'Gantt Proyectos'!L209</f>
        <v>0</v>
      </c>
      <c r="O141" s="110">
        <f>+'Gantt Proyectos'!M209</f>
        <v>0</v>
      </c>
      <c r="P141" s="110">
        <f>+'Gantt Proyectos'!N209</f>
        <v>0</v>
      </c>
      <c r="Q141" s="472">
        <v>1</v>
      </c>
      <c r="R141" s="110">
        <f>+'Gantt Proyectos'!O209</f>
        <v>0</v>
      </c>
      <c r="S141" s="110">
        <f>+'Gantt Proyectos'!P209</f>
        <v>0</v>
      </c>
      <c r="T141" s="110">
        <f>+'Gantt Proyectos'!R209</f>
        <v>0</v>
      </c>
      <c r="U141" s="118">
        <f>+'Gantt Proyectos'!S209</f>
        <v>0</v>
      </c>
      <c r="V141" s="157">
        <f>+'Gantt Proyectos'!T209</f>
        <v>0</v>
      </c>
      <c r="W141" s="157">
        <f>+'Gantt Proyectos'!U209</f>
        <v>0</v>
      </c>
      <c r="X141" s="201">
        <f t="shared" si="9"/>
        <v>0</v>
      </c>
      <c r="Y141" s="110">
        <f>+'Gantt Proyectos'!W209</f>
        <v>0</v>
      </c>
      <c r="Z141" s="110">
        <f>+'Gantt Proyectos'!X209</f>
        <v>0</v>
      </c>
      <c r="AA141" s="110">
        <f>+'Gantt Proyectos'!Y209</f>
        <v>0</v>
      </c>
      <c r="AB141" s="110">
        <f>+'Gantt Proyectos'!Z209</f>
        <v>0</v>
      </c>
      <c r="AC141" s="110">
        <f>+'Gantt Proyectos'!AA209</f>
        <v>0</v>
      </c>
      <c r="AD141" s="110">
        <f>+'Gantt Proyectos'!AB209</f>
        <v>0</v>
      </c>
      <c r="AE141" s="110">
        <f>+'Gantt Proyectos'!AC209</f>
        <v>0</v>
      </c>
      <c r="AF141" s="110">
        <f>+'Gantt Proyectos'!AD209</f>
        <v>0</v>
      </c>
      <c r="AG141" s="110">
        <f>+'Gantt Proyectos'!AE209</f>
        <v>0</v>
      </c>
      <c r="AH141" s="172">
        <v>1</v>
      </c>
      <c r="AI141" s="466">
        <f>IFERROR(IF('Gantt Proyectos'!AF209&lt;2,$N141*'Gantt Proyectos'!AF209,IF('Gantt Proyectos'!AF209=2,$N141*('Gantt Proyectos'!AF209-1))),0)*$L141*$Q141</f>
        <v>0</v>
      </c>
      <c r="AJ141" s="467">
        <f>IFERROR(IF('Gantt Proyectos'!AG209&lt;2,$N141*'Gantt Proyectos'!AG209,IF('Gantt Proyectos'!AG209=2,$N141*('Gantt Proyectos'!AG209-1))),0)*$L141*$Q141</f>
        <v>0</v>
      </c>
      <c r="AK141" s="467">
        <f>IFERROR(IF('Gantt Proyectos'!AH209&lt;2,$N141*'Gantt Proyectos'!AH209,IF('Gantt Proyectos'!AH209=2,$N141*('Gantt Proyectos'!AH209-1))),0)*$L141*$Q141</f>
        <v>0</v>
      </c>
      <c r="AL141" s="467">
        <f>IFERROR(IF('Gantt Proyectos'!AI209&lt;2,$N141*'Gantt Proyectos'!AI209,IF('Gantt Proyectos'!AI209=2,$N141*('Gantt Proyectos'!AI209-1))),0)*$L141*$Q141</f>
        <v>0</v>
      </c>
      <c r="AM141" s="467">
        <f>IFERROR(IF('Gantt Proyectos'!AJ209&lt;2,$N141*'Gantt Proyectos'!AJ209,IF('Gantt Proyectos'!AJ209=2,$N141*('Gantt Proyectos'!AJ209-1))),0)*$L141*$Q141</f>
        <v>0</v>
      </c>
      <c r="AN141" s="467">
        <f>IFERROR(IF('Gantt Proyectos'!AK209&lt;2,$N141*'Gantt Proyectos'!AK209,IF('Gantt Proyectos'!AK209=2,$N141*('Gantt Proyectos'!AK209-1))),0)*$L141*$Q141</f>
        <v>0</v>
      </c>
      <c r="AO141" s="467">
        <f>IFERROR(IF('Gantt Proyectos'!AL209&lt;2,$N141*'Gantt Proyectos'!AL209,IF('Gantt Proyectos'!AL209=2,$N141*('Gantt Proyectos'!AL209-1))),0)*$L141*$Q141</f>
        <v>0</v>
      </c>
      <c r="AP141" s="467">
        <f>IFERROR(IF('Gantt Proyectos'!AM209&lt;2,$N141*'Gantt Proyectos'!AM209,IF('Gantt Proyectos'!AM209=2,$N141*('Gantt Proyectos'!AM209-1))),0)*$L141*$Q141</f>
        <v>0</v>
      </c>
      <c r="AQ141" s="468">
        <f>IFERROR(IF('Gantt Proyectos'!AN209&lt;2,$N141*'Gantt Proyectos'!AN209,IF('Gantt Proyectos'!AN209=2,$N141*('Gantt Proyectos'!AN209-1))),0)*$L141*$Q141</f>
        <v>0</v>
      </c>
    </row>
    <row r="142" spans="3:43" ht="15" x14ac:dyDescent="0.2">
      <c r="C142" s="110">
        <f>+'Gantt Proyectos'!C210</f>
        <v>0</v>
      </c>
      <c r="D142" s="110">
        <f>+'Gantt Proyectos'!D210</f>
        <v>0</v>
      </c>
      <c r="E142" s="110">
        <f>+'Gantt Proyectos'!E210</f>
        <v>0</v>
      </c>
      <c r="F142" s="148">
        <f>+'Gantt Proyectos'!F210</f>
        <v>0</v>
      </c>
      <c r="G142" s="110">
        <f>+'Gantt Proyectos'!G210</f>
        <v>0</v>
      </c>
      <c r="H142" s="110">
        <f>+'Gantt Proyectos'!H210</f>
        <v>0</v>
      </c>
      <c r="I142" s="189">
        <v>1</v>
      </c>
      <c r="J142" s="189">
        <f t="shared" si="8"/>
        <v>0</v>
      </c>
      <c r="K142" s="110">
        <f>+'Gantt Proyectos'!I210</f>
        <v>0</v>
      </c>
      <c r="L142" s="110">
        <f>+'Gantt Proyectos'!J210</f>
        <v>0</v>
      </c>
      <c r="M142" s="110">
        <f>+'Gantt Proyectos'!K210</f>
        <v>0</v>
      </c>
      <c r="N142" s="110">
        <f>+'Gantt Proyectos'!L210</f>
        <v>0</v>
      </c>
      <c r="O142" s="110">
        <f>+'Gantt Proyectos'!M210</f>
        <v>0</v>
      </c>
      <c r="P142" s="110">
        <f>+'Gantt Proyectos'!N210</f>
        <v>0</v>
      </c>
      <c r="Q142" s="472">
        <v>1</v>
      </c>
      <c r="R142" s="110">
        <f>+'Gantt Proyectos'!O210</f>
        <v>0</v>
      </c>
      <c r="S142" s="110">
        <f>+'Gantt Proyectos'!P210</f>
        <v>0</v>
      </c>
      <c r="T142" s="110">
        <f>+'Gantt Proyectos'!R210</f>
        <v>0</v>
      </c>
      <c r="U142" s="118">
        <f>+'Gantt Proyectos'!S210</f>
        <v>0</v>
      </c>
      <c r="V142" s="157">
        <f>+'Gantt Proyectos'!T210</f>
        <v>0</v>
      </c>
      <c r="W142" s="157">
        <f>+'Gantt Proyectos'!U210</f>
        <v>0</v>
      </c>
      <c r="X142" s="201">
        <f t="shared" si="9"/>
        <v>0</v>
      </c>
      <c r="Y142" s="110">
        <f>+'Gantt Proyectos'!W210</f>
        <v>0</v>
      </c>
      <c r="Z142" s="110">
        <f>+'Gantt Proyectos'!X210</f>
        <v>0</v>
      </c>
      <c r="AA142" s="110">
        <f>+'Gantt Proyectos'!Y210</f>
        <v>0</v>
      </c>
      <c r="AB142" s="110">
        <f>+'Gantt Proyectos'!Z210</f>
        <v>0</v>
      </c>
      <c r="AC142" s="110">
        <f>+'Gantt Proyectos'!AA210</f>
        <v>0</v>
      </c>
      <c r="AD142" s="110">
        <f>+'Gantt Proyectos'!AB210</f>
        <v>0</v>
      </c>
      <c r="AE142" s="110">
        <f>+'Gantt Proyectos'!AC210</f>
        <v>0</v>
      </c>
      <c r="AF142" s="110">
        <f>+'Gantt Proyectos'!AD210</f>
        <v>0</v>
      </c>
      <c r="AG142" s="110">
        <f>+'Gantt Proyectos'!AE210</f>
        <v>0</v>
      </c>
      <c r="AH142" s="172">
        <v>1</v>
      </c>
      <c r="AI142" s="466">
        <f>IFERROR(IF('Gantt Proyectos'!AF210&lt;2,$N142*'Gantt Proyectos'!AF210,IF('Gantt Proyectos'!AF210=2,$N142*('Gantt Proyectos'!AF210-1))),0)*$L142*$Q142</f>
        <v>0</v>
      </c>
      <c r="AJ142" s="467">
        <f>IFERROR(IF('Gantt Proyectos'!AG210&lt;2,$N142*'Gantt Proyectos'!AG210,IF('Gantt Proyectos'!AG210=2,$N142*('Gantt Proyectos'!AG210-1))),0)*$L142*$Q142</f>
        <v>0</v>
      </c>
      <c r="AK142" s="467">
        <f>IFERROR(IF('Gantt Proyectos'!AH210&lt;2,$N142*'Gantt Proyectos'!AH210,IF('Gantt Proyectos'!AH210=2,$N142*('Gantt Proyectos'!AH210-1))),0)*$L142*$Q142</f>
        <v>0</v>
      </c>
      <c r="AL142" s="467">
        <f>IFERROR(IF('Gantt Proyectos'!AI210&lt;2,$N142*'Gantt Proyectos'!AI210,IF('Gantt Proyectos'!AI210=2,$N142*('Gantt Proyectos'!AI210-1))),0)*$L142*$Q142</f>
        <v>0</v>
      </c>
      <c r="AM142" s="467">
        <f>IFERROR(IF('Gantt Proyectos'!AJ210&lt;2,$N142*'Gantt Proyectos'!AJ210,IF('Gantt Proyectos'!AJ210=2,$N142*('Gantt Proyectos'!AJ210-1))),0)*$L142*$Q142</f>
        <v>0</v>
      </c>
      <c r="AN142" s="467">
        <f>IFERROR(IF('Gantt Proyectos'!AK210&lt;2,$N142*'Gantt Proyectos'!AK210,IF('Gantt Proyectos'!AK210=2,$N142*('Gantt Proyectos'!AK210-1))),0)*$L142*$Q142</f>
        <v>0</v>
      </c>
      <c r="AO142" s="467">
        <f>IFERROR(IF('Gantt Proyectos'!AL210&lt;2,$N142*'Gantt Proyectos'!AL210,IF('Gantt Proyectos'!AL210=2,$N142*('Gantt Proyectos'!AL210-1))),0)*$L142*$Q142</f>
        <v>0</v>
      </c>
      <c r="AP142" s="467">
        <f>IFERROR(IF('Gantt Proyectos'!AM210&lt;2,$N142*'Gantt Proyectos'!AM210,IF('Gantt Proyectos'!AM210=2,$N142*('Gantt Proyectos'!AM210-1))),0)*$L142*$Q142</f>
        <v>0</v>
      </c>
      <c r="AQ142" s="468">
        <f>IFERROR(IF('Gantt Proyectos'!AN210&lt;2,$N142*'Gantt Proyectos'!AN210,IF('Gantt Proyectos'!AN210=2,$N142*('Gantt Proyectos'!AN210-1))),0)*$L142*$Q142</f>
        <v>0</v>
      </c>
    </row>
    <row r="143" spans="3:43" ht="15" x14ac:dyDescent="0.2">
      <c r="C143" s="110">
        <f>+'Gantt Proyectos'!C211</f>
        <v>0</v>
      </c>
      <c r="D143" s="110">
        <f>+'Gantt Proyectos'!D211</f>
        <v>0</v>
      </c>
      <c r="E143" s="110">
        <f>+'Gantt Proyectos'!E211</f>
        <v>0</v>
      </c>
      <c r="F143" s="148">
        <f>+'Gantt Proyectos'!F211</f>
        <v>0</v>
      </c>
      <c r="G143" s="110">
        <f>+'Gantt Proyectos'!G211</f>
        <v>0</v>
      </c>
      <c r="H143" s="110">
        <f>+'Gantt Proyectos'!H211</f>
        <v>0</v>
      </c>
      <c r="I143" s="189">
        <v>1</v>
      </c>
      <c r="J143" s="189">
        <f t="shared" si="8"/>
        <v>0</v>
      </c>
      <c r="K143" s="110">
        <f>+'Gantt Proyectos'!I211</f>
        <v>0</v>
      </c>
      <c r="L143" s="110">
        <f>+'Gantt Proyectos'!J211</f>
        <v>0</v>
      </c>
      <c r="M143" s="110">
        <f>+'Gantt Proyectos'!K211</f>
        <v>0</v>
      </c>
      <c r="N143" s="110">
        <f>+'Gantt Proyectos'!L211</f>
        <v>0</v>
      </c>
      <c r="O143" s="110">
        <f>+'Gantt Proyectos'!M211</f>
        <v>0</v>
      </c>
      <c r="P143" s="110">
        <f>+'Gantt Proyectos'!N211</f>
        <v>0</v>
      </c>
      <c r="Q143" s="472">
        <v>1</v>
      </c>
      <c r="R143" s="110">
        <f>+'Gantt Proyectos'!O211</f>
        <v>0</v>
      </c>
      <c r="S143" s="110">
        <f>+'Gantt Proyectos'!P211</f>
        <v>0</v>
      </c>
      <c r="T143" s="110">
        <f>+'Gantt Proyectos'!R211</f>
        <v>0</v>
      </c>
      <c r="U143" s="118">
        <f>+'Gantt Proyectos'!S211</f>
        <v>0</v>
      </c>
      <c r="V143" s="157">
        <f>+'Gantt Proyectos'!T211</f>
        <v>0</v>
      </c>
      <c r="W143" s="157">
        <f>+'Gantt Proyectos'!U211</f>
        <v>0</v>
      </c>
      <c r="X143" s="201">
        <f t="shared" si="9"/>
        <v>0</v>
      </c>
      <c r="Y143" s="110">
        <f>+'Gantt Proyectos'!W211</f>
        <v>0</v>
      </c>
      <c r="Z143" s="110">
        <f>+'Gantt Proyectos'!X211</f>
        <v>0</v>
      </c>
      <c r="AA143" s="110">
        <f>+'Gantt Proyectos'!Y211</f>
        <v>0</v>
      </c>
      <c r="AB143" s="110">
        <f>+'Gantt Proyectos'!Z211</f>
        <v>0</v>
      </c>
      <c r="AC143" s="110">
        <f>+'Gantt Proyectos'!AA211</f>
        <v>0</v>
      </c>
      <c r="AD143" s="110">
        <f>+'Gantt Proyectos'!AB211</f>
        <v>0</v>
      </c>
      <c r="AE143" s="110">
        <f>+'Gantt Proyectos'!AC211</f>
        <v>0</v>
      </c>
      <c r="AF143" s="110">
        <f>+'Gantt Proyectos'!AD211</f>
        <v>0</v>
      </c>
      <c r="AG143" s="110">
        <f>+'Gantt Proyectos'!AE211</f>
        <v>0</v>
      </c>
      <c r="AH143" s="172">
        <v>1</v>
      </c>
      <c r="AI143" s="466">
        <f>IFERROR(IF('Gantt Proyectos'!AF211&lt;2,$N143*'Gantt Proyectos'!AF211,IF('Gantt Proyectos'!AF211=2,$N143*('Gantt Proyectos'!AF211-1))),0)*$L143*$Q143</f>
        <v>0</v>
      </c>
      <c r="AJ143" s="467">
        <f>IFERROR(IF('Gantt Proyectos'!AG211&lt;2,$N143*'Gantt Proyectos'!AG211,IF('Gantt Proyectos'!AG211=2,$N143*('Gantt Proyectos'!AG211-1))),0)*$L143*$Q143</f>
        <v>0</v>
      </c>
      <c r="AK143" s="467">
        <f>IFERROR(IF('Gantt Proyectos'!AH211&lt;2,$N143*'Gantt Proyectos'!AH211,IF('Gantt Proyectos'!AH211=2,$N143*('Gantt Proyectos'!AH211-1))),0)*$L143*$Q143</f>
        <v>0</v>
      </c>
      <c r="AL143" s="467">
        <f>IFERROR(IF('Gantt Proyectos'!AI211&lt;2,$N143*'Gantt Proyectos'!AI211,IF('Gantt Proyectos'!AI211=2,$N143*('Gantt Proyectos'!AI211-1))),0)*$L143*$Q143</f>
        <v>0</v>
      </c>
      <c r="AM143" s="467">
        <f>IFERROR(IF('Gantt Proyectos'!AJ211&lt;2,$N143*'Gantt Proyectos'!AJ211,IF('Gantt Proyectos'!AJ211=2,$N143*('Gantt Proyectos'!AJ211-1))),0)*$L143*$Q143</f>
        <v>0</v>
      </c>
      <c r="AN143" s="467">
        <f>IFERROR(IF('Gantt Proyectos'!AK211&lt;2,$N143*'Gantt Proyectos'!AK211,IF('Gantt Proyectos'!AK211=2,$N143*('Gantt Proyectos'!AK211-1))),0)*$L143*$Q143</f>
        <v>0</v>
      </c>
      <c r="AO143" s="467">
        <f>IFERROR(IF('Gantt Proyectos'!AL211&lt;2,$N143*'Gantt Proyectos'!AL211,IF('Gantt Proyectos'!AL211=2,$N143*('Gantt Proyectos'!AL211-1))),0)*$L143*$Q143</f>
        <v>0</v>
      </c>
      <c r="AP143" s="467">
        <f>IFERROR(IF('Gantt Proyectos'!AM211&lt;2,$N143*'Gantt Proyectos'!AM211,IF('Gantt Proyectos'!AM211=2,$N143*('Gantt Proyectos'!AM211-1))),0)*$L143*$Q143</f>
        <v>0</v>
      </c>
      <c r="AQ143" s="468">
        <f>IFERROR(IF('Gantt Proyectos'!AN211&lt;2,$N143*'Gantt Proyectos'!AN211,IF('Gantt Proyectos'!AN211=2,$N143*('Gantt Proyectos'!AN211-1))),0)*$L143*$Q143</f>
        <v>0</v>
      </c>
    </row>
    <row r="144" spans="3:43" ht="15" x14ac:dyDescent="0.2">
      <c r="C144" s="110">
        <f>+'Gantt Proyectos'!C212</f>
        <v>0</v>
      </c>
      <c r="D144" s="110">
        <f>+'Gantt Proyectos'!D212</f>
        <v>0</v>
      </c>
      <c r="E144" s="110">
        <f>+'Gantt Proyectos'!E212</f>
        <v>0</v>
      </c>
      <c r="F144" s="148">
        <f>+'Gantt Proyectos'!F212</f>
        <v>0</v>
      </c>
      <c r="G144" s="110">
        <f>+'Gantt Proyectos'!G212</f>
        <v>0</v>
      </c>
      <c r="H144" s="110">
        <f>+'Gantt Proyectos'!H212</f>
        <v>0</v>
      </c>
      <c r="I144" s="189">
        <v>1</v>
      </c>
      <c r="J144" s="189">
        <f t="shared" si="8"/>
        <v>0</v>
      </c>
      <c r="K144" s="110">
        <f>+'Gantt Proyectos'!I212</f>
        <v>0</v>
      </c>
      <c r="L144" s="110">
        <f>+'Gantt Proyectos'!J212</f>
        <v>0</v>
      </c>
      <c r="M144" s="110">
        <f>+'Gantt Proyectos'!K212</f>
        <v>0</v>
      </c>
      <c r="N144" s="110">
        <f>+'Gantt Proyectos'!L212</f>
        <v>0</v>
      </c>
      <c r="O144" s="110">
        <f>+'Gantt Proyectos'!M212</f>
        <v>0</v>
      </c>
      <c r="P144" s="110">
        <f>+'Gantt Proyectos'!N212</f>
        <v>0</v>
      </c>
      <c r="Q144" s="472">
        <v>1</v>
      </c>
      <c r="R144" s="110">
        <f>+'Gantt Proyectos'!O212</f>
        <v>0</v>
      </c>
      <c r="S144" s="110">
        <f>+'Gantt Proyectos'!P212</f>
        <v>0</v>
      </c>
      <c r="T144" s="110">
        <f>+'Gantt Proyectos'!R212</f>
        <v>0</v>
      </c>
      <c r="U144" s="118">
        <f>+'Gantt Proyectos'!S212</f>
        <v>0</v>
      </c>
      <c r="V144" s="157">
        <f>+'Gantt Proyectos'!T212</f>
        <v>0</v>
      </c>
      <c r="W144" s="157">
        <f>+'Gantt Proyectos'!U212</f>
        <v>0</v>
      </c>
      <c r="X144" s="201">
        <f t="shared" si="9"/>
        <v>0</v>
      </c>
      <c r="Y144" s="110">
        <f>+'Gantt Proyectos'!W212</f>
        <v>0</v>
      </c>
      <c r="Z144" s="110">
        <f>+'Gantt Proyectos'!X212</f>
        <v>0</v>
      </c>
      <c r="AA144" s="110">
        <f>+'Gantt Proyectos'!Y212</f>
        <v>0</v>
      </c>
      <c r="AB144" s="110">
        <f>+'Gantt Proyectos'!Z212</f>
        <v>0</v>
      </c>
      <c r="AC144" s="110">
        <f>+'Gantt Proyectos'!AA212</f>
        <v>0</v>
      </c>
      <c r="AD144" s="110">
        <f>+'Gantt Proyectos'!AB212</f>
        <v>0</v>
      </c>
      <c r="AE144" s="110">
        <f>+'Gantt Proyectos'!AC212</f>
        <v>0</v>
      </c>
      <c r="AF144" s="110">
        <f>+'Gantt Proyectos'!AD212</f>
        <v>0</v>
      </c>
      <c r="AG144" s="110">
        <f>+'Gantt Proyectos'!AE212</f>
        <v>0</v>
      </c>
      <c r="AH144" s="172">
        <v>1</v>
      </c>
      <c r="AI144" s="466">
        <f>IFERROR(IF('Gantt Proyectos'!AF212&lt;2,$N144*'Gantt Proyectos'!AF212,IF('Gantt Proyectos'!AF212=2,$N144*('Gantt Proyectos'!AF212-1))),0)*$L144*$Q144</f>
        <v>0</v>
      </c>
      <c r="AJ144" s="467">
        <f>IFERROR(IF('Gantt Proyectos'!AG212&lt;2,$N144*'Gantt Proyectos'!AG212,IF('Gantt Proyectos'!AG212=2,$N144*('Gantt Proyectos'!AG212-1))),0)*$L144*$Q144</f>
        <v>0</v>
      </c>
      <c r="AK144" s="467">
        <f>IFERROR(IF('Gantt Proyectos'!AH212&lt;2,$N144*'Gantt Proyectos'!AH212,IF('Gantt Proyectos'!AH212=2,$N144*('Gantt Proyectos'!AH212-1))),0)*$L144*$Q144</f>
        <v>0</v>
      </c>
      <c r="AL144" s="467">
        <f>IFERROR(IF('Gantt Proyectos'!AI212&lt;2,$N144*'Gantt Proyectos'!AI212,IF('Gantt Proyectos'!AI212=2,$N144*('Gantt Proyectos'!AI212-1))),0)*$L144*$Q144</f>
        <v>0</v>
      </c>
      <c r="AM144" s="467">
        <f>IFERROR(IF('Gantt Proyectos'!AJ212&lt;2,$N144*'Gantt Proyectos'!AJ212,IF('Gantt Proyectos'!AJ212=2,$N144*('Gantt Proyectos'!AJ212-1))),0)*$L144*$Q144</f>
        <v>0</v>
      </c>
      <c r="AN144" s="467">
        <f>IFERROR(IF('Gantt Proyectos'!AK212&lt;2,$N144*'Gantt Proyectos'!AK212,IF('Gantt Proyectos'!AK212=2,$N144*('Gantt Proyectos'!AK212-1))),0)*$L144*$Q144</f>
        <v>0</v>
      </c>
      <c r="AO144" s="467">
        <f>IFERROR(IF('Gantt Proyectos'!AL212&lt;2,$N144*'Gantt Proyectos'!AL212,IF('Gantt Proyectos'!AL212=2,$N144*('Gantt Proyectos'!AL212-1))),0)*$L144*$Q144</f>
        <v>0</v>
      </c>
      <c r="AP144" s="467">
        <f>IFERROR(IF('Gantt Proyectos'!AM212&lt;2,$N144*'Gantt Proyectos'!AM212,IF('Gantt Proyectos'!AM212=2,$N144*('Gantt Proyectos'!AM212-1))),0)*$L144*$Q144</f>
        <v>0</v>
      </c>
      <c r="AQ144" s="468">
        <f>IFERROR(IF('Gantt Proyectos'!AN212&lt;2,$N144*'Gantt Proyectos'!AN212,IF('Gantt Proyectos'!AN212=2,$N144*('Gantt Proyectos'!AN212-1))),0)*$L144*$Q144</f>
        <v>0</v>
      </c>
    </row>
    <row r="145" spans="3:43" ht="15" x14ac:dyDescent="0.2">
      <c r="C145" s="110">
        <f>+'Gantt Proyectos'!C213</f>
        <v>0</v>
      </c>
      <c r="D145" s="110">
        <f>+'Gantt Proyectos'!D213</f>
        <v>0</v>
      </c>
      <c r="E145" s="110">
        <f>+'Gantt Proyectos'!E213</f>
        <v>0</v>
      </c>
      <c r="F145" s="148">
        <f>+'Gantt Proyectos'!F213</f>
        <v>0</v>
      </c>
      <c r="G145" s="110">
        <f>+'Gantt Proyectos'!G213</f>
        <v>0</v>
      </c>
      <c r="H145" s="110">
        <f>+'Gantt Proyectos'!H213</f>
        <v>0</v>
      </c>
      <c r="I145" s="189">
        <v>1</v>
      </c>
      <c r="J145" s="189">
        <f t="shared" si="8"/>
        <v>0</v>
      </c>
      <c r="K145" s="110">
        <f>+'Gantt Proyectos'!I213</f>
        <v>0</v>
      </c>
      <c r="L145" s="110">
        <f>+'Gantt Proyectos'!J213</f>
        <v>0</v>
      </c>
      <c r="M145" s="110">
        <f>+'Gantt Proyectos'!K213</f>
        <v>0</v>
      </c>
      <c r="N145" s="110">
        <f>+'Gantt Proyectos'!L213</f>
        <v>0</v>
      </c>
      <c r="O145" s="110">
        <f>+'Gantt Proyectos'!M213</f>
        <v>0</v>
      </c>
      <c r="P145" s="110">
        <f>+'Gantt Proyectos'!N213</f>
        <v>0</v>
      </c>
      <c r="Q145" s="472">
        <v>1</v>
      </c>
      <c r="R145" s="110">
        <f>+'Gantt Proyectos'!O213</f>
        <v>0</v>
      </c>
      <c r="S145" s="110">
        <f>+'Gantt Proyectos'!P213</f>
        <v>0</v>
      </c>
      <c r="T145" s="110">
        <f>+'Gantt Proyectos'!R213</f>
        <v>0</v>
      </c>
      <c r="U145" s="118">
        <f>+'Gantt Proyectos'!S213</f>
        <v>0</v>
      </c>
      <c r="V145" s="157">
        <f>+'Gantt Proyectos'!T213</f>
        <v>0</v>
      </c>
      <c r="W145" s="157">
        <f>+'Gantt Proyectos'!U213</f>
        <v>0</v>
      </c>
      <c r="X145" s="201">
        <f t="shared" si="9"/>
        <v>0</v>
      </c>
      <c r="Y145" s="110">
        <f>+'Gantt Proyectos'!W213</f>
        <v>0</v>
      </c>
      <c r="Z145" s="110">
        <f>+'Gantt Proyectos'!X213</f>
        <v>0</v>
      </c>
      <c r="AA145" s="110">
        <f>+'Gantt Proyectos'!Y213</f>
        <v>0</v>
      </c>
      <c r="AB145" s="110">
        <f>+'Gantt Proyectos'!Z213</f>
        <v>0</v>
      </c>
      <c r="AC145" s="110">
        <f>+'Gantt Proyectos'!AA213</f>
        <v>0</v>
      </c>
      <c r="AD145" s="110">
        <f>+'Gantt Proyectos'!AB213</f>
        <v>0</v>
      </c>
      <c r="AE145" s="110">
        <f>+'Gantt Proyectos'!AC213</f>
        <v>0</v>
      </c>
      <c r="AF145" s="110">
        <f>+'Gantt Proyectos'!AD213</f>
        <v>0</v>
      </c>
      <c r="AG145" s="110">
        <f>+'Gantt Proyectos'!AE213</f>
        <v>0</v>
      </c>
      <c r="AH145" s="172">
        <v>1</v>
      </c>
      <c r="AI145" s="466">
        <f>IFERROR(IF('Gantt Proyectos'!AF213&lt;2,$N145*'Gantt Proyectos'!AF213,IF('Gantt Proyectos'!AF213=2,$N145*('Gantt Proyectos'!AF213-1))),0)*$L145*$Q145</f>
        <v>0</v>
      </c>
      <c r="AJ145" s="467">
        <f>IFERROR(IF('Gantt Proyectos'!AG213&lt;2,$N145*'Gantt Proyectos'!AG213,IF('Gantt Proyectos'!AG213=2,$N145*('Gantt Proyectos'!AG213-1))),0)*$L145*$Q145</f>
        <v>0</v>
      </c>
      <c r="AK145" s="467">
        <f>IFERROR(IF('Gantt Proyectos'!AH213&lt;2,$N145*'Gantt Proyectos'!AH213,IF('Gantt Proyectos'!AH213=2,$N145*('Gantt Proyectos'!AH213-1))),0)*$L145*$Q145</f>
        <v>0</v>
      </c>
      <c r="AL145" s="467">
        <f>IFERROR(IF('Gantt Proyectos'!AI213&lt;2,$N145*'Gantt Proyectos'!AI213,IF('Gantt Proyectos'!AI213=2,$N145*('Gantt Proyectos'!AI213-1))),0)*$L145*$Q145</f>
        <v>0</v>
      </c>
      <c r="AM145" s="467">
        <f>IFERROR(IF('Gantt Proyectos'!AJ213&lt;2,$N145*'Gantt Proyectos'!AJ213,IF('Gantt Proyectos'!AJ213=2,$N145*('Gantt Proyectos'!AJ213-1))),0)*$L145*$Q145</f>
        <v>0</v>
      </c>
      <c r="AN145" s="467">
        <f>IFERROR(IF('Gantt Proyectos'!AK213&lt;2,$N145*'Gantt Proyectos'!AK213,IF('Gantt Proyectos'!AK213=2,$N145*('Gantt Proyectos'!AK213-1))),0)*$L145*$Q145</f>
        <v>0</v>
      </c>
      <c r="AO145" s="467">
        <f>IFERROR(IF('Gantt Proyectos'!AL213&lt;2,$N145*'Gantt Proyectos'!AL213,IF('Gantt Proyectos'!AL213=2,$N145*('Gantt Proyectos'!AL213-1))),0)*$L145*$Q145</f>
        <v>0</v>
      </c>
      <c r="AP145" s="467">
        <f>IFERROR(IF('Gantt Proyectos'!AM213&lt;2,$N145*'Gantt Proyectos'!AM213,IF('Gantt Proyectos'!AM213=2,$N145*('Gantt Proyectos'!AM213-1))),0)*$L145*$Q145</f>
        <v>0</v>
      </c>
      <c r="AQ145" s="468">
        <f>IFERROR(IF('Gantt Proyectos'!AN213&lt;2,$N145*'Gantt Proyectos'!AN213,IF('Gantt Proyectos'!AN213=2,$N145*('Gantt Proyectos'!AN213-1))),0)*$L145*$Q145</f>
        <v>0</v>
      </c>
    </row>
    <row r="146" spans="3:43" ht="15" x14ac:dyDescent="0.2">
      <c r="C146" s="110">
        <f>+'Gantt Proyectos'!C214</f>
        <v>0</v>
      </c>
      <c r="D146" s="110">
        <f>+'Gantt Proyectos'!D214</f>
        <v>0</v>
      </c>
      <c r="E146" s="110">
        <f>+'Gantt Proyectos'!E214</f>
        <v>0</v>
      </c>
      <c r="F146" s="148">
        <f>+'Gantt Proyectos'!F214</f>
        <v>0</v>
      </c>
      <c r="G146" s="110">
        <f>+'Gantt Proyectos'!G214</f>
        <v>0</v>
      </c>
      <c r="H146" s="110">
        <f>+'Gantt Proyectos'!H214</f>
        <v>0</v>
      </c>
      <c r="I146" s="189">
        <v>1</v>
      </c>
      <c r="J146" s="189">
        <f t="shared" si="8"/>
        <v>0</v>
      </c>
      <c r="K146" s="110">
        <f>+'Gantt Proyectos'!I214</f>
        <v>0</v>
      </c>
      <c r="L146" s="110">
        <f>+'Gantt Proyectos'!J214</f>
        <v>0</v>
      </c>
      <c r="M146" s="110">
        <f>+'Gantt Proyectos'!K214</f>
        <v>0</v>
      </c>
      <c r="N146" s="110">
        <f>+'Gantt Proyectos'!L214</f>
        <v>0</v>
      </c>
      <c r="O146" s="110">
        <f>+'Gantt Proyectos'!M214</f>
        <v>0</v>
      </c>
      <c r="P146" s="110">
        <f>+'Gantt Proyectos'!N214</f>
        <v>0</v>
      </c>
      <c r="Q146" s="472">
        <v>1</v>
      </c>
      <c r="R146" s="110">
        <f>+'Gantt Proyectos'!O214</f>
        <v>0</v>
      </c>
      <c r="S146" s="110">
        <f>+'Gantt Proyectos'!P214</f>
        <v>0</v>
      </c>
      <c r="T146" s="110">
        <f>+'Gantt Proyectos'!R214</f>
        <v>0</v>
      </c>
      <c r="U146" s="118">
        <f>+'Gantt Proyectos'!S214</f>
        <v>0</v>
      </c>
      <c r="V146" s="157">
        <f>+'Gantt Proyectos'!T214</f>
        <v>0</v>
      </c>
      <c r="W146" s="157">
        <f>+'Gantt Proyectos'!U214</f>
        <v>0</v>
      </c>
      <c r="X146" s="201">
        <f t="shared" si="9"/>
        <v>0</v>
      </c>
      <c r="Y146" s="110">
        <f>+'Gantt Proyectos'!W214</f>
        <v>0</v>
      </c>
      <c r="Z146" s="110">
        <f>+'Gantt Proyectos'!X214</f>
        <v>0</v>
      </c>
      <c r="AA146" s="110">
        <f>+'Gantt Proyectos'!Y214</f>
        <v>0</v>
      </c>
      <c r="AB146" s="110">
        <f>+'Gantt Proyectos'!Z214</f>
        <v>0</v>
      </c>
      <c r="AC146" s="110">
        <f>+'Gantt Proyectos'!AA214</f>
        <v>0</v>
      </c>
      <c r="AD146" s="110">
        <f>+'Gantt Proyectos'!AB214</f>
        <v>0</v>
      </c>
      <c r="AE146" s="110">
        <f>+'Gantt Proyectos'!AC214</f>
        <v>0</v>
      </c>
      <c r="AF146" s="110">
        <f>+'Gantt Proyectos'!AD214</f>
        <v>0</v>
      </c>
      <c r="AG146" s="110">
        <f>+'Gantt Proyectos'!AE214</f>
        <v>0</v>
      </c>
      <c r="AH146" s="172">
        <v>1</v>
      </c>
      <c r="AI146" s="466">
        <f>IFERROR(IF('Gantt Proyectos'!AF214&lt;2,$N146*'Gantt Proyectos'!AF214,IF('Gantt Proyectos'!AF214=2,$N146*('Gantt Proyectos'!AF214-1))),0)*$L146*$Q146</f>
        <v>0</v>
      </c>
      <c r="AJ146" s="467">
        <f>IFERROR(IF('Gantt Proyectos'!AG214&lt;2,$N146*'Gantt Proyectos'!AG214,IF('Gantt Proyectos'!AG214=2,$N146*('Gantt Proyectos'!AG214-1))),0)*$L146*$Q146</f>
        <v>0</v>
      </c>
      <c r="AK146" s="467">
        <f>IFERROR(IF('Gantt Proyectos'!AH214&lt;2,$N146*'Gantt Proyectos'!AH214,IF('Gantt Proyectos'!AH214=2,$N146*('Gantt Proyectos'!AH214-1))),0)*$L146*$Q146</f>
        <v>0</v>
      </c>
      <c r="AL146" s="467">
        <f>IFERROR(IF('Gantt Proyectos'!AI214&lt;2,$N146*'Gantt Proyectos'!AI214,IF('Gantt Proyectos'!AI214=2,$N146*('Gantt Proyectos'!AI214-1))),0)*$L146*$Q146</f>
        <v>0</v>
      </c>
      <c r="AM146" s="467">
        <f>IFERROR(IF('Gantt Proyectos'!AJ214&lt;2,$N146*'Gantt Proyectos'!AJ214,IF('Gantt Proyectos'!AJ214=2,$N146*('Gantt Proyectos'!AJ214-1))),0)*$L146*$Q146</f>
        <v>0</v>
      </c>
      <c r="AN146" s="467">
        <f>IFERROR(IF('Gantt Proyectos'!AK214&lt;2,$N146*'Gantt Proyectos'!AK214,IF('Gantt Proyectos'!AK214=2,$N146*('Gantt Proyectos'!AK214-1))),0)*$L146*$Q146</f>
        <v>0</v>
      </c>
      <c r="AO146" s="467">
        <f>IFERROR(IF('Gantt Proyectos'!AL214&lt;2,$N146*'Gantt Proyectos'!AL214,IF('Gantt Proyectos'!AL214=2,$N146*('Gantt Proyectos'!AL214-1))),0)*$L146*$Q146</f>
        <v>0</v>
      </c>
      <c r="AP146" s="467">
        <f>IFERROR(IF('Gantt Proyectos'!AM214&lt;2,$N146*'Gantt Proyectos'!AM214,IF('Gantt Proyectos'!AM214=2,$N146*('Gantt Proyectos'!AM214-1))),0)*$L146*$Q146</f>
        <v>0</v>
      </c>
      <c r="AQ146" s="468">
        <f>IFERROR(IF('Gantt Proyectos'!AN214&lt;2,$N146*'Gantt Proyectos'!AN214,IF('Gantt Proyectos'!AN214=2,$N146*('Gantt Proyectos'!AN214-1))),0)*$L146*$Q146</f>
        <v>0</v>
      </c>
    </row>
    <row r="147" spans="3:43" ht="15" x14ac:dyDescent="0.2">
      <c r="C147" s="110">
        <f>+'Gantt Proyectos'!C215</f>
        <v>0</v>
      </c>
      <c r="D147" s="110">
        <f>+'Gantt Proyectos'!D215</f>
        <v>0</v>
      </c>
      <c r="E147" s="110">
        <f>+'Gantt Proyectos'!E215</f>
        <v>0</v>
      </c>
      <c r="F147" s="148">
        <f>+'Gantt Proyectos'!F215</f>
        <v>0</v>
      </c>
      <c r="G147" s="110">
        <f>+'Gantt Proyectos'!G215</f>
        <v>0</v>
      </c>
      <c r="H147" s="110">
        <f>+'Gantt Proyectos'!H215</f>
        <v>0</v>
      </c>
      <c r="I147" s="189">
        <v>1</v>
      </c>
      <c r="J147" s="189">
        <f t="shared" si="8"/>
        <v>0</v>
      </c>
      <c r="K147" s="110">
        <f>+'Gantt Proyectos'!I215</f>
        <v>0</v>
      </c>
      <c r="L147" s="110">
        <f>+'Gantt Proyectos'!J215</f>
        <v>0</v>
      </c>
      <c r="M147" s="110">
        <f>+'Gantt Proyectos'!K215</f>
        <v>0</v>
      </c>
      <c r="N147" s="110">
        <f>+'Gantt Proyectos'!L215</f>
        <v>0</v>
      </c>
      <c r="O147" s="110">
        <f>+'Gantt Proyectos'!M215</f>
        <v>0</v>
      </c>
      <c r="P147" s="110">
        <f>+'Gantt Proyectos'!N215</f>
        <v>0</v>
      </c>
      <c r="Q147" s="472">
        <v>1</v>
      </c>
      <c r="R147" s="110">
        <f>+'Gantt Proyectos'!O215</f>
        <v>0</v>
      </c>
      <c r="S147" s="110">
        <f>+'Gantt Proyectos'!P215</f>
        <v>0</v>
      </c>
      <c r="T147" s="110">
        <f>+'Gantt Proyectos'!R215</f>
        <v>0</v>
      </c>
      <c r="U147" s="118">
        <f>+'Gantt Proyectos'!S215</f>
        <v>0</v>
      </c>
      <c r="V147" s="157">
        <f>+'Gantt Proyectos'!T215</f>
        <v>0</v>
      </c>
      <c r="W147" s="157">
        <f>+'Gantt Proyectos'!U215</f>
        <v>0</v>
      </c>
      <c r="X147" s="201">
        <f t="shared" si="9"/>
        <v>0</v>
      </c>
      <c r="Y147" s="110">
        <f>+'Gantt Proyectos'!W215</f>
        <v>0</v>
      </c>
      <c r="Z147" s="110">
        <f>+'Gantt Proyectos'!X215</f>
        <v>0</v>
      </c>
      <c r="AA147" s="110">
        <f>+'Gantt Proyectos'!Y215</f>
        <v>0</v>
      </c>
      <c r="AB147" s="110">
        <f>+'Gantt Proyectos'!Z215</f>
        <v>0</v>
      </c>
      <c r="AC147" s="110">
        <f>+'Gantt Proyectos'!AA215</f>
        <v>0</v>
      </c>
      <c r="AD147" s="110">
        <f>+'Gantt Proyectos'!AB215</f>
        <v>0</v>
      </c>
      <c r="AE147" s="110">
        <f>+'Gantt Proyectos'!AC215</f>
        <v>0</v>
      </c>
      <c r="AF147" s="110">
        <f>+'Gantt Proyectos'!AD215</f>
        <v>0</v>
      </c>
      <c r="AG147" s="110">
        <f>+'Gantt Proyectos'!AE215</f>
        <v>0</v>
      </c>
      <c r="AH147" s="172">
        <v>1</v>
      </c>
      <c r="AI147" s="466">
        <f>IFERROR(IF('Gantt Proyectos'!AF215&lt;2,$N147*'Gantt Proyectos'!AF215,IF('Gantt Proyectos'!AF215=2,$N147*('Gantt Proyectos'!AF215-1))),0)*$L147*$Q147</f>
        <v>0</v>
      </c>
      <c r="AJ147" s="467">
        <f>IFERROR(IF('Gantt Proyectos'!AG215&lt;2,$N147*'Gantt Proyectos'!AG215,IF('Gantt Proyectos'!AG215=2,$N147*('Gantt Proyectos'!AG215-1))),0)*$L147*$Q147</f>
        <v>0</v>
      </c>
      <c r="AK147" s="467">
        <f>IFERROR(IF('Gantt Proyectos'!AH215&lt;2,$N147*'Gantt Proyectos'!AH215,IF('Gantt Proyectos'!AH215=2,$N147*('Gantt Proyectos'!AH215-1))),0)*$L147*$Q147</f>
        <v>0</v>
      </c>
      <c r="AL147" s="467">
        <f>IFERROR(IF('Gantt Proyectos'!AI215&lt;2,$N147*'Gantt Proyectos'!AI215,IF('Gantt Proyectos'!AI215=2,$N147*('Gantt Proyectos'!AI215-1))),0)*$L147*$Q147</f>
        <v>0</v>
      </c>
      <c r="AM147" s="467">
        <f>IFERROR(IF('Gantt Proyectos'!AJ215&lt;2,$N147*'Gantt Proyectos'!AJ215,IF('Gantt Proyectos'!AJ215=2,$N147*('Gantt Proyectos'!AJ215-1))),0)*$L147*$Q147</f>
        <v>0</v>
      </c>
      <c r="AN147" s="467">
        <f>IFERROR(IF('Gantt Proyectos'!AK215&lt;2,$N147*'Gantt Proyectos'!AK215,IF('Gantt Proyectos'!AK215=2,$N147*('Gantt Proyectos'!AK215-1))),0)*$L147*$Q147</f>
        <v>0</v>
      </c>
      <c r="AO147" s="467">
        <f>IFERROR(IF('Gantt Proyectos'!AL215&lt;2,$N147*'Gantt Proyectos'!AL215,IF('Gantt Proyectos'!AL215=2,$N147*('Gantt Proyectos'!AL215-1))),0)*$L147*$Q147</f>
        <v>0</v>
      </c>
      <c r="AP147" s="467">
        <f>IFERROR(IF('Gantt Proyectos'!AM215&lt;2,$N147*'Gantt Proyectos'!AM215,IF('Gantt Proyectos'!AM215=2,$N147*('Gantt Proyectos'!AM215-1))),0)*$L147*$Q147</f>
        <v>0</v>
      </c>
      <c r="AQ147" s="468">
        <f>IFERROR(IF('Gantt Proyectos'!AN215&lt;2,$N147*'Gantt Proyectos'!AN215,IF('Gantt Proyectos'!AN215=2,$N147*('Gantt Proyectos'!AN215-1))),0)*$L147*$Q147</f>
        <v>0</v>
      </c>
    </row>
    <row r="148" spans="3:43" ht="15" x14ac:dyDescent="0.2">
      <c r="C148" s="110">
        <f>+'Gantt Proyectos'!C216</f>
        <v>0</v>
      </c>
      <c r="D148" s="110">
        <f>+'Gantt Proyectos'!D216</f>
        <v>0</v>
      </c>
      <c r="E148" s="110">
        <f>+'Gantt Proyectos'!E216</f>
        <v>0</v>
      </c>
      <c r="F148" s="148">
        <f>+'Gantt Proyectos'!F216</f>
        <v>0</v>
      </c>
      <c r="G148" s="110">
        <f>+'Gantt Proyectos'!G216</f>
        <v>0</v>
      </c>
      <c r="H148" s="110">
        <f>+'Gantt Proyectos'!H216</f>
        <v>0</v>
      </c>
      <c r="I148" s="189">
        <v>1</v>
      </c>
      <c r="J148" s="189">
        <f t="shared" si="8"/>
        <v>0</v>
      </c>
      <c r="K148" s="110">
        <f>+'Gantt Proyectos'!I216</f>
        <v>0</v>
      </c>
      <c r="L148" s="110">
        <f>+'Gantt Proyectos'!J216</f>
        <v>0</v>
      </c>
      <c r="M148" s="110">
        <f>+'Gantt Proyectos'!K216</f>
        <v>0</v>
      </c>
      <c r="N148" s="110">
        <f>+'Gantt Proyectos'!L216</f>
        <v>0</v>
      </c>
      <c r="O148" s="110">
        <f>+'Gantt Proyectos'!M216</f>
        <v>0</v>
      </c>
      <c r="P148" s="110">
        <f>+'Gantt Proyectos'!N216</f>
        <v>0</v>
      </c>
      <c r="Q148" s="472">
        <v>1</v>
      </c>
      <c r="R148" s="110">
        <f>+'Gantt Proyectos'!O216</f>
        <v>0</v>
      </c>
      <c r="S148" s="110">
        <f>+'Gantt Proyectos'!P216</f>
        <v>0</v>
      </c>
      <c r="T148" s="110">
        <f>+'Gantt Proyectos'!R216</f>
        <v>0</v>
      </c>
      <c r="U148" s="118">
        <f>+'Gantt Proyectos'!S216</f>
        <v>0</v>
      </c>
      <c r="V148" s="157">
        <f>+'Gantt Proyectos'!T216</f>
        <v>0</v>
      </c>
      <c r="W148" s="157">
        <f>+'Gantt Proyectos'!U216</f>
        <v>0</v>
      </c>
      <c r="X148" s="201">
        <f t="shared" si="9"/>
        <v>0</v>
      </c>
      <c r="Y148" s="110">
        <f>+'Gantt Proyectos'!W216</f>
        <v>0</v>
      </c>
      <c r="Z148" s="110">
        <f>+'Gantt Proyectos'!X216</f>
        <v>0</v>
      </c>
      <c r="AA148" s="110">
        <f>+'Gantt Proyectos'!Y216</f>
        <v>0</v>
      </c>
      <c r="AB148" s="110">
        <f>+'Gantt Proyectos'!Z216</f>
        <v>0</v>
      </c>
      <c r="AC148" s="110">
        <f>+'Gantt Proyectos'!AA216</f>
        <v>0</v>
      </c>
      <c r="AD148" s="110">
        <f>+'Gantt Proyectos'!AB216</f>
        <v>0</v>
      </c>
      <c r="AE148" s="110">
        <f>+'Gantt Proyectos'!AC216</f>
        <v>0</v>
      </c>
      <c r="AF148" s="110">
        <f>+'Gantt Proyectos'!AD216</f>
        <v>0</v>
      </c>
      <c r="AG148" s="110">
        <f>+'Gantt Proyectos'!AE216</f>
        <v>0</v>
      </c>
      <c r="AH148" s="172">
        <v>1</v>
      </c>
      <c r="AI148" s="466">
        <f>IFERROR(IF('Gantt Proyectos'!AF216&lt;2,$N148*'Gantt Proyectos'!AF216,IF('Gantt Proyectos'!AF216=2,$N148*('Gantt Proyectos'!AF216-1))),0)*$L148*$Q148</f>
        <v>0</v>
      </c>
      <c r="AJ148" s="467">
        <f>IFERROR(IF('Gantt Proyectos'!AG216&lt;2,$N148*'Gantt Proyectos'!AG216,IF('Gantt Proyectos'!AG216=2,$N148*('Gantt Proyectos'!AG216-1))),0)*$L148*$Q148</f>
        <v>0</v>
      </c>
      <c r="AK148" s="467">
        <f>IFERROR(IF('Gantt Proyectos'!AH216&lt;2,$N148*'Gantt Proyectos'!AH216,IF('Gantt Proyectos'!AH216=2,$N148*('Gantt Proyectos'!AH216-1))),0)*$L148*$Q148</f>
        <v>0</v>
      </c>
      <c r="AL148" s="467">
        <f>IFERROR(IF('Gantt Proyectos'!AI216&lt;2,$N148*'Gantt Proyectos'!AI216,IF('Gantt Proyectos'!AI216=2,$N148*('Gantt Proyectos'!AI216-1))),0)*$L148*$Q148</f>
        <v>0</v>
      </c>
      <c r="AM148" s="467">
        <f>IFERROR(IF('Gantt Proyectos'!AJ216&lt;2,$N148*'Gantt Proyectos'!AJ216,IF('Gantt Proyectos'!AJ216=2,$N148*('Gantt Proyectos'!AJ216-1))),0)*$L148*$Q148</f>
        <v>0</v>
      </c>
      <c r="AN148" s="467">
        <f>IFERROR(IF('Gantt Proyectos'!AK216&lt;2,$N148*'Gantt Proyectos'!AK216,IF('Gantt Proyectos'!AK216=2,$N148*('Gantt Proyectos'!AK216-1))),0)*$L148*$Q148</f>
        <v>0</v>
      </c>
      <c r="AO148" s="467">
        <f>IFERROR(IF('Gantt Proyectos'!AL216&lt;2,$N148*'Gantt Proyectos'!AL216,IF('Gantt Proyectos'!AL216=2,$N148*('Gantt Proyectos'!AL216-1))),0)*$L148*$Q148</f>
        <v>0</v>
      </c>
      <c r="AP148" s="467">
        <f>IFERROR(IF('Gantt Proyectos'!AM216&lt;2,$N148*'Gantt Proyectos'!AM216,IF('Gantt Proyectos'!AM216=2,$N148*('Gantt Proyectos'!AM216-1))),0)*$L148*$Q148</f>
        <v>0</v>
      </c>
      <c r="AQ148" s="468">
        <f>IFERROR(IF('Gantt Proyectos'!AN216&lt;2,$N148*'Gantt Proyectos'!AN216,IF('Gantt Proyectos'!AN216=2,$N148*('Gantt Proyectos'!AN216-1))),0)*$L148*$Q148</f>
        <v>0</v>
      </c>
    </row>
    <row r="149" spans="3:43" ht="15" x14ac:dyDescent="0.2">
      <c r="C149" s="110">
        <f>+'Gantt Proyectos'!C217</f>
        <v>0</v>
      </c>
      <c r="D149" s="110">
        <f>+'Gantt Proyectos'!D217</f>
        <v>0</v>
      </c>
      <c r="E149" s="110">
        <f>+'Gantt Proyectos'!E217</f>
        <v>0</v>
      </c>
      <c r="F149" s="148">
        <f>+'Gantt Proyectos'!F217</f>
        <v>0</v>
      </c>
      <c r="G149" s="110">
        <f>+'Gantt Proyectos'!G217</f>
        <v>0</v>
      </c>
      <c r="H149" s="110">
        <f>+'Gantt Proyectos'!H217</f>
        <v>0</v>
      </c>
      <c r="I149" s="189">
        <v>1</v>
      </c>
      <c r="J149" s="189">
        <f t="shared" si="8"/>
        <v>0</v>
      </c>
      <c r="K149" s="110">
        <f>+'Gantt Proyectos'!I217</f>
        <v>0</v>
      </c>
      <c r="L149" s="110">
        <f>+'Gantt Proyectos'!J217</f>
        <v>0</v>
      </c>
      <c r="M149" s="110">
        <f>+'Gantt Proyectos'!K217</f>
        <v>0</v>
      </c>
      <c r="N149" s="110">
        <f>+'Gantt Proyectos'!L217</f>
        <v>0</v>
      </c>
      <c r="O149" s="110">
        <f>+'Gantt Proyectos'!M217</f>
        <v>0</v>
      </c>
      <c r="P149" s="110">
        <f>+'Gantt Proyectos'!N217</f>
        <v>0</v>
      </c>
      <c r="Q149" s="472">
        <v>1</v>
      </c>
      <c r="R149" s="110">
        <f>+'Gantt Proyectos'!O217</f>
        <v>0</v>
      </c>
      <c r="S149" s="110">
        <f>+'Gantt Proyectos'!P217</f>
        <v>0</v>
      </c>
      <c r="T149" s="110">
        <f>+'Gantt Proyectos'!R217</f>
        <v>0</v>
      </c>
      <c r="U149" s="118">
        <f>+'Gantt Proyectos'!S217</f>
        <v>0</v>
      </c>
      <c r="V149" s="157">
        <f>+'Gantt Proyectos'!T217</f>
        <v>0</v>
      </c>
      <c r="W149" s="157">
        <f>+'Gantt Proyectos'!U217</f>
        <v>0</v>
      </c>
      <c r="X149" s="201">
        <f t="shared" si="9"/>
        <v>0</v>
      </c>
      <c r="Y149" s="110">
        <f>+'Gantt Proyectos'!W217</f>
        <v>0</v>
      </c>
      <c r="Z149" s="110">
        <f>+'Gantt Proyectos'!X217</f>
        <v>0</v>
      </c>
      <c r="AA149" s="110">
        <f>+'Gantt Proyectos'!Y217</f>
        <v>0</v>
      </c>
      <c r="AB149" s="110">
        <f>+'Gantt Proyectos'!Z217</f>
        <v>0</v>
      </c>
      <c r="AC149" s="110">
        <f>+'Gantt Proyectos'!AA217</f>
        <v>0</v>
      </c>
      <c r="AD149" s="110">
        <f>+'Gantt Proyectos'!AB217</f>
        <v>0</v>
      </c>
      <c r="AE149" s="110">
        <f>+'Gantt Proyectos'!AC217</f>
        <v>0</v>
      </c>
      <c r="AF149" s="110">
        <f>+'Gantt Proyectos'!AD217</f>
        <v>0</v>
      </c>
      <c r="AG149" s="110">
        <f>+'Gantt Proyectos'!AE217</f>
        <v>0</v>
      </c>
      <c r="AH149" s="172">
        <v>1</v>
      </c>
      <c r="AI149" s="466">
        <f>IFERROR(IF('Gantt Proyectos'!AF217&lt;2,$N149*'Gantt Proyectos'!AF217,IF('Gantt Proyectos'!AF217=2,$N149*('Gantt Proyectos'!AF217-1))),0)*$L149*$Q149</f>
        <v>0</v>
      </c>
      <c r="AJ149" s="467">
        <f>IFERROR(IF('Gantt Proyectos'!AG217&lt;2,$N149*'Gantt Proyectos'!AG217,IF('Gantt Proyectos'!AG217=2,$N149*('Gantt Proyectos'!AG217-1))),0)*$L149*$Q149</f>
        <v>0</v>
      </c>
      <c r="AK149" s="467">
        <f>IFERROR(IF('Gantt Proyectos'!AH217&lt;2,$N149*'Gantt Proyectos'!AH217,IF('Gantt Proyectos'!AH217=2,$N149*('Gantt Proyectos'!AH217-1))),0)*$L149*$Q149</f>
        <v>0</v>
      </c>
      <c r="AL149" s="467">
        <f>IFERROR(IF('Gantt Proyectos'!AI217&lt;2,$N149*'Gantt Proyectos'!AI217,IF('Gantt Proyectos'!AI217=2,$N149*('Gantt Proyectos'!AI217-1))),0)*$L149*$Q149</f>
        <v>0</v>
      </c>
      <c r="AM149" s="467">
        <f>IFERROR(IF('Gantt Proyectos'!AJ217&lt;2,$N149*'Gantt Proyectos'!AJ217,IF('Gantt Proyectos'!AJ217=2,$N149*('Gantt Proyectos'!AJ217-1))),0)*$L149*$Q149</f>
        <v>0</v>
      </c>
      <c r="AN149" s="467">
        <f>IFERROR(IF('Gantt Proyectos'!AK217&lt;2,$N149*'Gantt Proyectos'!AK217,IF('Gantt Proyectos'!AK217=2,$N149*('Gantt Proyectos'!AK217-1))),0)*$L149*$Q149</f>
        <v>0</v>
      </c>
      <c r="AO149" s="467">
        <f>IFERROR(IF('Gantt Proyectos'!AL217&lt;2,$N149*'Gantt Proyectos'!AL217,IF('Gantt Proyectos'!AL217=2,$N149*('Gantt Proyectos'!AL217-1))),0)*$L149*$Q149</f>
        <v>0</v>
      </c>
      <c r="AP149" s="467">
        <f>IFERROR(IF('Gantt Proyectos'!AM217&lt;2,$N149*'Gantt Proyectos'!AM217,IF('Gantt Proyectos'!AM217=2,$N149*('Gantt Proyectos'!AM217-1))),0)*$L149*$Q149</f>
        <v>0</v>
      </c>
      <c r="AQ149" s="468">
        <f>IFERROR(IF('Gantt Proyectos'!AN217&lt;2,$N149*'Gantt Proyectos'!AN217,IF('Gantt Proyectos'!AN217=2,$N149*('Gantt Proyectos'!AN217-1))),0)*$L149*$Q149</f>
        <v>0</v>
      </c>
    </row>
    <row r="150" spans="3:43" ht="15" x14ac:dyDescent="0.2">
      <c r="C150" s="110">
        <f>+'Gantt Proyectos'!C218</f>
        <v>0</v>
      </c>
      <c r="D150" s="110">
        <f>+'Gantt Proyectos'!D218</f>
        <v>0</v>
      </c>
      <c r="E150" s="110">
        <f>+'Gantt Proyectos'!E218</f>
        <v>0</v>
      </c>
      <c r="F150" s="148">
        <f>+'Gantt Proyectos'!F218</f>
        <v>0</v>
      </c>
      <c r="G150" s="110">
        <f>+'Gantt Proyectos'!G218</f>
        <v>0</v>
      </c>
      <c r="H150" s="110">
        <f>+'Gantt Proyectos'!H218</f>
        <v>0</v>
      </c>
      <c r="I150" s="189">
        <v>1</v>
      </c>
      <c r="J150" s="189">
        <f t="shared" si="8"/>
        <v>0</v>
      </c>
      <c r="K150" s="110">
        <f>+'Gantt Proyectos'!I218</f>
        <v>0</v>
      </c>
      <c r="L150" s="110">
        <f>+'Gantt Proyectos'!J218</f>
        <v>0</v>
      </c>
      <c r="M150" s="110">
        <f>+'Gantt Proyectos'!K218</f>
        <v>0</v>
      </c>
      <c r="N150" s="110">
        <f>+'Gantt Proyectos'!L218</f>
        <v>0</v>
      </c>
      <c r="O150" s="110">
        <f>+'Gantt Proyectos'!M218</f>
        <v>0</v>
      </c>
      <c r="P150" s="110">
        <f>+'Gantt Proyectos'!N218</f>
        <v>0</v>
      </c>
      <c r="Q150" s="472">
        <v>1</v>
      </c>
      <c r="R150" s="110">
        <f>+'Gantt Proyectos'!O218</f>
        <v>0</v>
      </c>
      <c r="S150" s="110">
        <f>+'Gantt Proyectos'!P218</f>
        <v>0</v>
      </c>
      <c r="T150" s="110">
        <f>+'Gantt Proyectos'!R218</f>
        <v>0</v>
      </c>
      <c r="U150" s="118">
        <f>+'Gantt Proyectos'!S218</f>
        <v>0</v>
      </c>
      <c r="V150" s="157">
        <f>+'Gantt Proyectos'!T218</f>
        <v>0</v>
      </c>
      <c r="W150" s="157">
        <f>+'Gantt Proyectos'!U218</f>
        <v>0</v>
      </c>
      <c r="X150" s="201">
        <f t="shared" si="9"/>
        <v>0</v>
      </c>
      <c r="Y150" s="110">
        <f>+'Gantt Proyectos'!W218</f>
        <v>0</v>
      </c>
      <c r="Z150" s="110">
        <f>+'Gantt Proyectos'!X218</f>
        <v>0</v>
      </c>
      <c r="AA150" s="110">
        <f>+'Gantt Proyectos'!Y218</f>
        <v>0</v>
      </c>
      <c r="AB150" s="110">
        <f>+'Gantt Proyectos'!Z218</f>
        <v>0</v>
      </c>
      <c r="AC150" s="110">
        <f>+'Gantt Proyectos'!AA218</f>
        <v>0</v>
      </c>
      <c r="AD150" s="110">
        <f>+'Gantt Proyectos'!AB218</f>
        <v>0</v>
      </c>
      <c r="AE150" s="110">
        <f>+'Gantt Proyectos'!AC218</f>
        <v>0</v>
      </c>
      <c r="AF150" s="110">
        <f>+'Gantt Proyectos'!AD218</f>
        <v>0</v>
      </c>
      <c r="AG150" s="110">
        <f>+'Gantt Proyectos'!AE218</f>
        <v>0</v>
      </c>
      <c r="AH150" s="172">
        <v>1</v>
      </c>
      <c r="AI150" s="466">
        <f>IFERROR(IF('Gantt Proyectos'!AF218&lt;2,$N150*'Gantt Proyectos'!AF218,IF('Gantt Proyectos'!AF218=2,$N150*('Gantt Proyectos'!AF218-1))),0)*$L150*$Q150</f>
        <v>0</v>
      </c>
      <c r="AJ150" s="467">
        <f>IFERROR(IF('Gantt Proyectos'!AG218&lt;2,$N150*'Gantt Proyectos'!AG218,IF('Gantt Proyectos'!AG218=2,$N150*('Gantt Proyectos'!AG218-1))),0)*$L150*$Q150</f>
        <v>0</v>
      </c>
      <c r="AK150" s="467">
        <f>IFERROR(IF('Gantt Proyectos'!AH218&lt;2,$N150*'Gantt Proyectos'!AH218,IF('Gantt Proyectos'!AH218=2,$N150*('Gantt Proyectos'!AH218-1))),0)*$L150*$Q150</f>
        <v>0</v>
      </c>
      <c r="AL150" s="467">
        <f>IFERROR(IF('Gantt Proyectos'!AI218&lt;2,$N150*'Gantt Proyectos'!AI218,IF('Gantt Proyectos'!AI218=2,$N150*('Gantt Proyectos'!AI218-1))),0)*$L150*$Q150</f>
        <v>0</v>
      </c>
      <c r="AM150" s="467">
        <f>IFERROR(IF('Gantt Proyectos'!AJ218&lt;2,$N150*'Gantt Proyectos'!AJ218,IF('Gantt Proyectos'!AJ218=2,$N150*('Gantt Proyectos'!AJ218-1))),0)*$L150*$Q150</f>
        <v>0</v>
      </c>
      <c r="AN150" s="467">
        <f>IFERROR(IF('Gantt Proyectos'!AK218&lt;2,$N150*'Gantt Proyectos'!AK218,IF('Gantt Proyectos'!AK218=2,$N150*('Gantt Proyectos'!AK218-1))),0)*$L150*$Q150</f>
        <v>0</v>
      </c>
      <c r="AO150" s="467">
        <f>IFERROR(IF('Gantt Proyectos'!AL218&lt;2,$N150*'Gantt Proyectos'!AL218,IF('Gantt Proyectos'!AL218=2,$N150*('Gantt Proyectos'!AL218-1))),0)*$L150*$Q150</f>
        <v>0</v>
      </c>
      <c r="AP150" s="467">
        <f>IFERROR(IF('Gantt Proyectos'!AM218&lt;2,$N150*'Gantt Proyectos'!AM218,IF('Gantt Proyectos'!AM218=2,$N150*('Gantt Proyectos'!AM218-1))),0)*$L150*$Q150</f>
        <v>0</v>
      </c>
      <c r="AQ150" s="468">
        <f>IFERROR(IF('Gantt Proyectos'!AN218&lt;2,$N150*'Gantt Proyectos'!AN218,IF('Gantt Proyectos'!AN218=2,$N150*('Gantt Proyectos'!AN218-1))),0)*$L150*$Q150</f>
        <v>0</v>
      </c>
    </row>
    <row r="151" spans="3:43" ht="15" x14ac:dyDescent="0.2">
      <c r="C151" s="110">
        <f>+'Gantt Proyectos'!C219</f>
        <v>0</v>
      </c>
      <c r="D151" s="110">
        <f>+'Gantt Proyectos'!D219</f>
        <v>0</v>
      </c>
      <c r="E151" s="110">
        <f>+'Gantt Proyectos'!E219</f>
        <v>0</v>
      </c>
      <c r="F151" s="148">
        <f>+'Gantt Proyectos'!F219</f>
        <v>0</v>
      </c>
      <c r="G151" s="110">
        <f>+'Gantt Proyectos'!G219</f>
        <v>0</v>
      </c>
      <c r="H151" s="110">
        <f>+'Gantt Proyectos'!H219</f>
        <v>0</v>
      </c>
      <c r="I151" s="189">
        <v>1</v>
      </c>
      <c r="J151" s="189">
        <f t="shared" si="8"/>
        <v>0</v>
      </c>
      <c r="K151" s="110">
        <f>+'Gantt Proyectos'!I219</f>
        <v>0</v>
      </c>
      <c r="L151" s="110">
        <f>+'Gantt Proyectos'!J219</f>
        <v>0</v>
      </c>
      <c r="M151" s="110">
        <f>+'Gantt Proyectos'!K219</f>
        <v>0</v>
      </c>
      <c r="N151" s="110">
        <f>+'Gantt Proyectos'!L219</f>
        <v>0</v>
      </c>
      <c r="O151" s="110">
        <f>+'Gantt Proyectos'!M219</f>
        <v>0</v>
      </c>
      <c r="P151" s="110">
        <f>+'Gantt Proyectos'!N219</f>
        <v>0</v>
      </c>
      <c r="Q151" s="472">
        <v>1</v>
      </c>
      <c r="R151" s="110">
        <f>+'Gantt Proyectos'!O219</f>
        <v>0</v>
      </c>
      <c r="S151" s="110">
        <f>+'Gantt Proyectos'!P219</f>
        <v>0</v>
      </c>
      <c r="T151" s="110">
        <f>+'Gantt Proyectos'!R219</f>
        <v>0</v>
      </c>
      <c r="U151" s="118">
        <f>+'Gantt Proyectos'!S219</f>
        <v>0</v>
      </c>
      <c r="V151" s="157">
        <f>+'Gantt Proyectos'!T219</f>
        <v>0</v>
      </c>
      <c r="W151" s="157">
        <f>+'Gantt Proyectos'!U219</f>
        <v>0</v>
      </c>
      <c r="X151" s="201">
        <f t="shared" si="9"/>
        <v>0</v>
      </c>
      <c r="Y151" s="110">
        <f>+'Gantt Proyectos'!W219</f>
        <v>0</v>
      </c>
      <c r="Z151" s="110">
        <f>+'Gantt Proyectos'!X219</f>
        <v>0</v>
      </c>
      <c r="AA151" s="110">
        <f>+'Gantt Proyectos'!Y219</f>
        <v>0</v>
      </c>
      <c r="AB151" s="110">
        <f>+'Gantt Proyectos'!Z219</f>
        <v>0</v>
      </c>
      <c r="AC151" s="110">
        <f>+'Gantt Proyectos'!AA219</f>
        <v>0</v>
      </c>
      <c r="AD151" s="110">
        <f>+'Gantt Proyectos'!AB219</f>
        <v>0</v>
      </c>
      <c r="AE151" s="110">
        <f>+'Gantt Proyectos'!AC219</f>
        <v>0</v>
      </c>
      <c r="AF151" s="110">
        <f>+'Gantt Proyectos'!AD219</f>
        <v>0</v>
      </c>
      <c r="AG151" s="110">
        <f>+'Gantt Proyectos'!AE219</f>
        <v>0</v>
      </c>
      <c r="AH151" s="172">
        <v>1</v>
      </c>
      <c r="AI151" s="466">
        <f>IFERROR(IF('Gantt Proyectos'!AF219&lt;2,$N151*'Gantt Proyectos'!AF219,IF('Gantt Proyectos'!AF219=2,$N151*('Gantt Proyectos'!AF219-1))),0)*$L151*$Q151</f>
        <v>0</v>
      </c>
      <c r="AJ151" s="467">
        <f>IFERROR(IF('Gantt Proyectos'!AG219&lt;2,$N151*'Gantt Proyectos'!AG219,IF('Gantt Proyectos'!AG219=2,$N151*('Gantt Proyectos'!AG219-1))),0)*$L151*$Q151</f>
        <v>0</v>
      </c>
      <c r="AK151" s="467">
        <f>IFERROR(IF('Gantt Proyectos'!AH219&lt;2,$N151*'Gantt Proyectos'!AH219,IF('Gantt Proyectos'!AH219=2,$N151*('Gantt Proyectos'!AH219-1))),0)*$L151*$Q151</f>
        <v>0</v>
      </c>
      <c r="AL151" s="467">
        <f>IFERROR(IF('Gantt Proyectos'!AI219&lt;2,$N151*'Gantt Proyectos'!AI219,IF('Gantt Proyectos'!AI219=2,$N151*('Gantt Proyectos'!AI219-1))),0)*$L151*$Q151</f>
        <v>0</v>
      </c>
      <c r="AM151" s="467">
        <f>IFERROR(IF('Gantt Proyectos'!AJ219&lt;2,$N151*'Gantt Proyectos'!AJ219,IF('Gantt Proyectos'!AJ219=2,$N151*('Gantt Proyectos'!AJ219-1))),0)*$L151*$Q151</f>
        <v>0</v>
      </c>
      <c r="AN151" s="467">
        <f>IFERROR(IF('Gantt Proyectos'!AK219&lt;2,$N151*'Gantt Proyectos'!AK219,IF('Gantt Proyectos'!AK219=2,$N151*('Gantt Proyectos'!AK219-1))),0)*$L151*$Q151</f>
        <v>0</v>
      </c>
      <c r="AO151" s="467">
        <f>IFERROR(IF('Gantt Proyectos'!AL219&lt;2,$N151*'Gantt Proyectos'!AL219,IF('Gantt Proyectos'!AL219=2,$N151*('Gantt Proyectos'!AL219-1))),0)*$L151*$Q151</f>
        <v>0</v>
      </c>
      <c r="AP151" s="467">
        <f>IFERROR(IF('Gantt Proyectos'!AM219&lt;2,$N151*'Gantt Proyectos'!AM219,IF('Gantt Proyectos'!AM219=2,$N151*('Gantt Proyectos'!AM219-1))),0)*$L151*$Q151</f>
        <v>0</v>
      </c>
      <c r="AQ151" s="468">
        <f>IFERROR(IF('Gantt Proyectos'!AN219&lt;2,$N151*'Gantt Proyectos'!AN219,IF('Gantt Proyectos'!AN219=2,$N151*('Gantt Proyectos'!AN219-1))),0)*$L151*$Q151</f>
        <v>0</v>
      </c>
    </row>
    <row r="152" spans="3:43" ht="15" x14ac:dyDescent="0.2">
      <c r="C152" s="110">
        <f>+'Gantt Proyectos'!C220</f>
        <v>0</v>
      </c>
      <c r="D152" s="110">
        <f>+'Gantt Proyectos'!D220</f>
        <v>0</v>
      </c>
      <c r="E152" s="110">
        <f>+'Gantt Proyectos'!E220</f>
        <v>0</v>
      </c>
      <c r="F152" s="148">
        <f>+'Gantt Proyectos'!F220</f>
        <v>0</v>
      </c>
      <c r="G152" s="110">
        <f>+'Gantt Proyectos'!G220</f>
        <v>0</v>
      </c>
      <c r="H152" s="110">
        <f>+'Gantt Proyectos'!H220</f>
        <v>0</v>
      </c>
      <c r="I152" s="189">
        <v>1</v>
      </c>
      <c r="J152" s="189">
        <f t="shared" si="8"/>
        <v>0</v>
      </c>
      <c r="K152" s="110">
        <f>+'Gantt Proyectos'!I220</f>
        <v>0</v>
      </c>
      <c r="L152" s="110">
        <f>+'Gantt Proyectos'!J220</f>
        <v>0</v>
      </c>
      <c r="M152" s="110">
        <f>+'Gantt Proyectos'!K220</f>
        <v>0</v>
      </c>
      <c r="N152" s="110">
        <f>+'Gantt Proyectos'!L220</f>
        <v>0</v>
      </c>
      <c r="O152" s="110">
        <f>+'Gantt Proyectos'!M220</f>
        <v>0</v>
      </c>
      <c r="P152" s="110">
        <f>+'Gantt Proyectos'!N220</f>
        <v>0</v>
      </c>
      <c r="Q152" s="472">
        <v>1</v>
      </c>
      <c r="R152" s="110">
        <f>+'Gantt Proyectos'!O220</f>
        <v>0</v>
      </c>
      <c r="S152" s="110">
        <f>+'Gantt Proyectos'!P220</f>
        <v>0</v>
      </c>
      <c r="T152" s="110">
        <f>+'Gantt Proyectos'!R220</f>
        <v>0</v>
      </c>
      <c r="U152" s="118">
        <f>+'Gantt Proyectos'!S220</f>
        <v>0</v>
      </c>
      <c r="V152" s="157">
        <f>+'Gantt Proyectos'!T220</f>
        <v>0</v>
      </c>
      <c r="W152" s="157">
        <f>+'Gantt Proyectos'!U220</f>
        <v>0</v>
      </c>
      <c r="X152" s="201">
        <f t="shared" si="9"/>
        <v>0</v>
      </c>
      <c r="Y152" s="110">
        <f>+'Gantt Proyectos'!W220</f>
        <v>0</v>
      </c>
      <c r="Z152" s="110">
        <f>+'Gantt Proyectos'!X220</f>
        <v>0</v>
      </c>
      <c r="AA152" s="110">
        <f>+'Gantt Proyectos'!Y220</f>
        <v>0</v>
      </c>
      <c r="AB152" s="110">
        <f>+'Gantt Proyectos'!Z220</f>
        <v>0</v>
      </c>
      <c r="AC152" s="110">
        <f>+'Gantt Proyectos'!AA220</f>
        <v>0</v>
      </c>
      <c r="AD152" s="110">
        <f>+'Gantt Proyectos'!AB220</f>
        <v>0</v>
      </c>
      <c r="AE152" s="110">
        <f>+'Gantt Proyectos'!AC220</f>
        <v>0</v>
      </c>
      <c r="AF152" s="110">
        <f>+'Gantt Proyectos'!AD220</f>
        <v>0</v>
      </c>
      <c r="AG152" s="110">
        <f>+'Gantt Proyectos'!AE220</f>
        <v>0</v>
      </c>
      <c r="AH152" s="172">
        <v>1</v>
      </c>
      <c r="AI152" s="466">
        <f>IFERROR(IF('Gantt Proyectos'!AF220&lt;2,$N152*'Gantt Proyectos'!AF220,IF('Gantt Proyectos'!AF220=2,$N152*('Gantt Proyectos'!AF220-1))),0)*$L152*$Q152</f>
        <v>0</v>
      </c>
      <c r="AJ152" s="467">
        <f>IFERROR(IF('Gantt Proyectos'!AG220&lt;2,$N152*'Gantt Proyectos'!AG220,IF('Gantt Proyectos'!AG220=2,$N152*('Gantt Proyectos'!AG220-1))),0)*$L152*$Q152</f>
        <v>0</v>
      </c>
      <c r="AK152" s="467">
        <f>IFERROR(IF('Gantt Proyectos'!AH220&lt;2,$N152*'Gantt Proyectos'!AH220,IF('Gantt Proyectos'!AH220=2,$N152*('Gantt Proyectos'!AH220-1))),0)*$L152*$Q152</f>
        <v>0</v>
      </c>
      <c r="AL152" s="467">
        <f>IFERROR(IF('Gantt Proyectos'!AI220&lt;2,$N152*'Gantt Proyectos'!AI220,IF('Gantt Proyectos'!AI220=2,$N152*('Gantt Proyectos'!AI220-1))),0)*$L152*$Q152</f>
        <v>0</v>
      </c>
      <c r="AM152" s="467">
        <f>IFERROR(IF('Gantt Proyectos'!AJ220&lt;2,$N152*'Gantt Proyectos'!AJ220,IF('Gantt Proyectos'!AJ220=2,$N152*('Gantt Proyectos'!AJ220-1))),0)*$L152*$Q152</f>
        <v>0</v>
      </c>
      <c r="AN152" s="467">
        <f>IFERROR(IF('Gantt Proyectos'!AK220&lt;2,$N152*'Gantt Proyectos'!AK220,IF('Gantt Proyectos'!AK220=2,$N152*('Gantt Proyectos'!AK220-1))),0)*$L152*$Q152</f>
        <v>0</v>
      </c>
      <c r="AO152" s="467">
        <f>IFERROR(IF('Gantt Proyectos'!AL220&lt;2,$N152*'Gantt Proyectos'!AL220,IF('Gantt Proyectos'!AL220=2,$N152*('Gantt Proyectos'!AL220-1))),0)*$L152*$Q152</f>
        <v>0</v>
      </c>
      <c r="AP152" s="467">
        <f>IFERROR(IF('Gantt Proyectos'!AM220&lt;2,$N152*'Gantt Proyectos'!AM220,IF('Gantt Proyectos'!AM220=2,$N152*('Gantt Proyectos'!AM220-1))),0)*$L152*$Q152</f>
        <v>0</v>
      </c>
      <c r="AQ152" s="468">
        <f>IFERROR(IF('Gantt Proyectos'!AN220&lt;2,$N152*'Gantt Proyectos'!AN220,IF('Gantt Proyectos'!AN220=2,$N152*('Gantt Proyectos'!AN220-1))),0)*$L152*$Q152</f>
        <v>0</v>
      </c>
    </row>
    <row r="153" spans="3:43" ht="15" x14ac:dyDescent="0.2">
      <c r="C153" s="110">
        <f>+'Gantt Proyectos'!C221</f>
        <v>0</v>
      </c>
      <c r="D153" s="110">
        <f>+'Gantt Proyectos'!D221</f>
        <v>0</v>
      </c>
      <c r="E153" s="110">
        <f>+'Gantt Proyectos'!E221</f>
        <v>0</v>
      </c>
      <c r="F153" s="148">
        <f>+'Gantt Proyectos'!F221</f>
        <v>0</v>
      </c>
      <c r="G153" s="110">
        <f>+'Gantt Proyectos'!G221</f>
        <v>0</v>
      </c>
      <c r="H153" s="110">
        <f>+'Gantt Proyectos'!H221</f>
        <v>0</v>
      </c>
      <c r="I153" s="189">
        <v>1</v>
      </c>
      <c r="J153" s="189">
        <f t="shared" si="8"/>
        <v>0</v>
      </c>
      <c r="K153" s="110">
        <f>+'Gantt Proyectos'!I221</f>
        <v>0</v>
      </c>
      <c r="L153" s="110">
        <f>+'Gantt Proyectos'!J221</f>
        <v>0</v>
      </c>
      <c r="M153" s="110">
        <f>+'Gantt Proyectos'!K221</f>
        <v>0</v>
      </c>
      <c r="N153" s="110">
        <f>+'Gantt Proyectos'!L221</f>
        <v>0</v>
      </c>
      <c r="O153" s="110">
        <f>+'Gantt Proyectos'!M221</f>
        <v>0</v>
      </c>
      <c r="P153" s="110">
        <f>+'Gantt Proyectos'!N221</f>
        <v>0</v>
      </c>
      <c r="Q153" s="472">
        <v>1</v>
      </c>
      <c r="R153" s="110">
        <f>+'Gantt Proyectos'!O221</f>
        <v>0</v>
      </c>
      <c r="S153" s="110">
        <f>+'Gantt Proyectos'!P221</f>
        <v>0</v>
      </c>
      <c r="T153" s="110">
        <f>+'Gantt Proyectos'!R221</f>
        <v>0</v>
      </c>
      <c r="U153" s="118">
        <f>+'Gantt Proyectos'!S221</f>
        <v>0</v>
      </c>
      <c r="V153" s="157">
        <f>+'Gantt Proyectos'!T221</f>
        <v>0</v>
      </c>
      <c r="W153" s="157">
        <f>+'Gantt Proyectos'!U221</f>
        <v>0</v>
      </c>
      <c r="X153" s="201">
        <f t="shared" si="9"/>
        <v>0</v>
      </c>
      <c r="Y153" s="110">
        <f>+'Gantt Proyectos'!W221</f>
        <v>0</v>
      </c>
      <c r="Z153" s="110">
        <f>+'Gantt Proyectos'!X221</f>
        <v>0</v>
      </c>
      <c r="AA153" s="110">
        <f>+'Gantt Proyectos'!Y221</f>
        <v>0</v>
      </c>
      <c r="AB153" s="110">
        <f>+'Gantt Proyectos'!Z221</f>
        <v>0</v>
      </c>
      <c r="AC153" s="110">
        <f>+'Gantt Proyectos'!AA221</f>
        <v>0</v>
      </c>
      <c r="AD153" s="110">
        <f>+'Gantt Proyectos'!AB221</f>
        <v>0</v>
      </c>
      <c r="AE153" s="110">
        <f>+'Gantt Proyectos'!AC221</f>
        <v>0</v>
      </c>
      <c r="AF153" s="110">
        <f>+'Gantt Proyectos'!AD221</f>
        <v>0</v>
      </c>
      <c r="AG153" s="110">
        <f>+'Gantt Proyectos'!AE221</f>
        <v>0</v>
      </c>
      <c r="AH153" s="172">
        <v>1</v>
      </c>
      <c r="AI153" s="466">
        <f>IFERROR(IF('Gantt Proyectos'!AF221&lt;2,$N153*'Gantt Proyectos'!AF221,IF('Gantt Proyectos'!AF221=2,$N153*('Gantt Proyectos'!AF221-1))),0)*$L153*$Q153</f>
        <v>0</v>
      </c>
      <c r="AJ153" s="467">
        <f>IFERROR(IF('Gantt Proyectos'!AG221&lt;2,$N153*'Gantt Proyectos'!AG221,IF('Gantt Proyectos'!AG221=2,$N153*('Gantt Proyectos'!AG221-1))),0)*$L153*$Q153</f>
        <v>0</v>
      </c>
      <c r="AK153" s="467">
        <f>IFERROR(IF('Gantt Proyectos'!AH221&lt;2,$N153*'Gantt Proyectos'!AH221,IF('Gantt Proyectos'!AH221=2,$N153*('Gantt Proyectos'!AH221-1))),0)*$L153*$Q153</f>
        <v>0</v>
      </c>
      <c r="AL153" s="467">
        <f>IFERROR(IF('Gantt Proyectos'!AI221&lt;2,$N153*'Gantt Proyectos'!AI221,IF('Gantt Proyectos'!AI221=2,$N153*('Gantt Proyectos'!AI221-1))),0)*$L153*$Q153</f>
        <v>0</v>
      </c>
      <c r="AM153" s="467">
        <f>IFERROR(IF('Gantt Proyectos'!AJ221&lt;2,$N153*'Gantt Proyectos'!AJ221,IF('Gantt Proyectos'!AJ221=2,$N153*('Gantt Proyectos'!AJ221-1))),0)*$L153*$Q153</f>
        <v>0</v>
      </c>
      <c r="AN153" s="467">
        <f>IFERROR(IF('Gantt Proyectos'!AK221&lt;2,$N153*'Gantt Proyectos'!AK221,IF('Gantt Proyectos'!AK221=2,$N153*('Gantt Proyectos'!AK221-1))),0)*$L153*$Q153</f>
        <v>0</v>
      </c>
      <c r="AO153" s="467">
        <f>IFERROR(IF('Gantt Proyectos'!AL221&lt;2,$N153*'Gantt Proyectos'!AL221,IF('Gantt Proyectos'!AL221=2,$N153*('Gantt Proyectos'!AL221-1))),0)*$L153*$Q153</f>
        <v>0</v>
      </c>
      <c r="AP153" s="467">
        <f>IFERROR(IF('Gantt Proyectos'!AM221&lt;2,$N153*'Gantt Proyectos'!AM221,IF('Gantt Proyectos'!AM221=2,$N153*('Gantt Proyectos'!AM221-1))),0)*$L153*$Q153</f>
        <v>0</v>
      </c>
      <c r="AQ153" s="468">
        <f>IFERROR(IF('Gantt Proyectos'!AN221&lt;2,$N153*'Gantt Proyectos'!AN221,IF('Gantt Proyectos'!AN221=2,$N153*('Gantt Proyectos'!AN221-1))),0)*$L153*$Q153</f>
        <v>0</v>
      </c>
    </row>
    <row r="154" spans="3:43" ht="15" x14ac:dyDescent="0.2">
      <c r="C154" s="110">
        <f>+'Gantt Proyectos'!C222</f>
        <v>0</v>
      </c>
      <c r="D154" s="110">
        <f>+'Gantt Proyectos'!D222</f>
        <v>0</v>
      </c>
      <c r="E154" s="110">
        <f>+'Gantt Proyectos'!E222</f>
        <v>0</v>
      </c>
      <c r="F154" s="148">
        <f>+'Gantt Proyectos'!F222</f>
        <v>0</v>
      </c>
      <c r="G154" s="110">
        <f>+'Gantt Proyectos'!G222</f>
        <v>0</v>
      </c>
      <c r="H154" s="110">
        <f>+'Gantt Proyectos'!H222</f>
        <v>0</v>
      </c>
      <c r="I154" s="189">
        <v>1</v>
      </c>
      <c r="J154" s="189">
        <f t="shared" si="8"/>
        <v>0</v>
      </c>
      <c r="K154" s="110">
        <f>+'Gantt Proyectos'!I222</f>
        <v>0</v>
      </c>
      <c r="L154" s="110">
        <f>+'Gantt Proyectos'!J222</f>
        <v>0</v>
      </c>
      <c r="M154" s="110">
        <f>+'Gantt Proyectos'!K222</f>
        <v>0</v>
      </c>
      <c r="N154" s="110">
        <f>+'Gantt Proyectos'!L222</f>
        <v>0</v>
      </c>
      <c r="O154" s="110">
        <f>+'Gantt Proyectos'!M222</f>
        <v>0</v>
      </c>
      <c r="P154" s="110">
        <f>+'Gantt Proyectos'!N222</f>
        <v>0</v>
      </c>
      <c r="Q154" s="472">
        <v>1</v>
      </c>
      <c r="R154" s="110">
        <f>+'Gantt Proyectos'!O222</f>
        <v>0</v>
      </c>
      <c r="S154" s="110">
        <f>+'Gantt Proyectos'!P222</f>
        <v>0</v>
      </c>
      <c r="T154" s="110">
        <f>+'Gantt Proyectos'!R222</f>
        <v>0</v>
      </c>
      <c r="U154" s="118">
        <f>+'Gantt Proyectos'!S222</f>
        <v>0</v>
      </c>
      <c r="V154" s="157">
        <f>+'Gantt Proyectos'!T222</f>
        <v>0</v>
      </c>
      <c r="W154" s="157">
        <f>+'Gantt Proyectos'!U222</f>
        <v>0</v>
      </c>
      <c r="X154" s="201">
        <f t="shared" si="9"/>
        <v>0</v>
      </c>
      <c r="Y154" s="110">
        <f>+'Gantt Proyectos'!W222</f>
        <v>0</v>
      </c>
      <c r="Z154" s="110">
        <f>+'Gantt Proyectos'!X222</f>
        <v>0</v>
      </c>
      <c r="AA154" s="110">
        <f>+'Gantt Proyectos'!Y222</f>
        <v>0</v>
      </c>
      <c r="AB154" s="110">
        <f>+'Gantt Proyectos'!Z222</f>
        <v>0</v>
      </c>
      <c r="AC154" s="110">
        <f>+'Gantt Proyectos'!AA222</f>
        <v>0</v>
      </c>
      <c r="AD154" s="110">
        <f>+'Gantt Proyectos'!AB222</f>
        <v>0</v>
      </c>
      <c r="AE154" s="110">
        <f>+'Gantt Proyectos'!AC222</f>
        <v>0</v>
      </c>
      <c r="AF154" s="110">
        <f>+'Gantt Proyectos'!AD222</f>
        <v>0</v>
      </c>
      <c r="AG154" s="110">
        <f>+'Gantt Proyectos'!AE222</f>
        <v>0</v>
      </c>
      <c r="AH154" s="172">
        <v>1</v>
      </c>
      <c r="AI154" s="466">
        <f>IFERROR(IF('Gantt Proyectos'!AF222&lt;2,$N154*'Gantt Proyectos'!AF222,IF('Gantt Proyectos'!AF222=2,$N154*('Gantt Proyectos'!AF222-1))),0)*$L154*$Q154</f>
        <v>0</v>
      </c>
      <c r="AJ154" s="467">
        <f>IFERROR(IF('Gantt Proyectos'!AG222&lt;2,$N154*'Gantt Proyectos'!AG222,IF('Gantt Proyectos'!AG222=2,$N154*('Gantt Proyectos'!AG222-1))),0)*$L154*$Q154</f>
        <v>0</v>
      </c>
      <c r="AK154" s="467">
        <f>IFERROR(IF('Gantt Proyectos'!AH222&lt;2,$N154*'Gantt Proyectos'!AH222,IF('Gantt Proyectos'!AH222=2,$N154*('Gantt Proyectos'!AH222-1))),0)*$L154*$Q154</f>
        <v>0</v>
      </c>
      <c r="AL154" s="467">
        <f>IFERROR(IF('Gantt Proyectos'!AI222&lt;2,$N154*'Gantt Proyectos'!AI222,IF('Gantt Proyectos'!AI222=2,$N154*('Gantt Proyectos'!AI222-1))),0)*$L154*$Q154</f>
        <v>0</v>
      </c>
      <c r="AM154" s="467">
        <f>IFERROR(IF('Gantt Proyectos'!AJ222&lt;2,$N154*'Gantt Proyectos'!AJ222,IF('Gantt Proyectos'!AJ222=2,$N154*('Gantt Proyectos'!AJ222-1))),0)*$L154*$Q154</f>
        <v>0</v>
      </c>
      <c r="AN154" s="467">
        <f>IFERROR(IF('Gantt Proyectos'!AK222&lt;2,$N154*'Gantt Proyectos'!AK222,IF('Gantt Proyectos'!AK222=2,$N154*('Gantt Proyectos'!AK222-1))),0)*$L154*$Q154</f>
        <v>0</v>
      </c>
      <c r="AO154" s="467">
        <f>IFERROR(IF('Gantt Proyectos'!AL222&lt;2,$N154*'Gantt Proyectos'!AL222,IF('Gantt Proyectos'!AL222=2,$N154*('Gantt Proyectos'!AL222-1))),0)*$L154*$Q154</f>
        <v>0</v>
      </c>
      <c r="AP154" s="467">
        <f>IFERROR(IF('Gantt Proyectos'!AM222&lt;2,$N154*'Gantt Proyectos'!AM222,IF('Gantt Proyectos'!AM222=2,$N154*('Gantt Proyectos'!AM222-1))),0)*$L154*$Q154</f>
        <v>0</v>
      </c>
      <c r="AQ154" s="468">
        <f>IFERROR(IF('Gantt Proyectos'!AN222&lt;2,$N154*'Gantt Proyectos'!AN222,IF('Gantt Proyectos'!AN222=2,$N154*('Gantt Proyectos'!AN222-1))),0)*$L154*$Q154</f>
        <v>0</v>
      </c>
    </row>
    <row r="155" spans="3:43" ht="15" x14ac:dyDescent="0.2">
      <c r="C155" s="110">
        <f>+'Gantt Proyectos'!C223</f>
        <v>0</v>
      </c>
      <c r="D155" s="110">
        <f>+'Gantt Proyectos'!D223</f>
        <v>0</v>
      </c>
      <c r="E155" s="110">
        <f>+'Gantt Proyectos'!E223</f>
        <v>0</v>
      </c>
      <c r="F155" s="148">
        <f>+'Gantt Proyectos'!F223</f>
        <v>0</v>
      </c>
      <c r="G155" s="110">
        <f>+'Gantt Proyectos'!G223</f>
        <v>0</v>
      </c>
      <c r="H155" s="110">
        <f>+'Gantt Proyectos'!H223</f>
        <v>0</v>
      </c>
      <c r="I155" s="189">
        <v>1</v>
      </c>
      <c r="J155" s="189">
        <f t="shared" si="8"/>
        <v>0</v>
      </c>
      <c r="K155" s="110">
        <f>+'Gantt Proyectos'!I223</f>
        <v>0</v>
      </c>
      <c r="L155" s="110">
        <f>+'Gantt Proyectos'!J223</f>
        <v>0</v>
      </c>
      <c r="M155" s="110">
        <f>+'Gantt Proyectos'!K223</f>
        <v>0</v>
      </c>
      <c r="N155" s="110">
        <f>+'Gantt Proyectos'!L223</f>
        <v>0</v>
      </c>
      <c r="O155" s="110">
        <f>+'Gantt Proyectos'!M223</f>
        <v>0</v>
      </c>
      <c r="P155" s="110">
        <f>+'Gantt Proyectos'!N223</f>
        <v>0</v>
      </c>
      <c r="Q155" s="472">
        <v>1</v>
      </c>
      <c r="R155" s="110">
        <f>+'Gantt Proyectos'!O223</f>
        <v>0</v>
      </c>
      <c r="S155" s="110">
        <f>+'Gantt Proyectos'!P223</f>
        <v>0</v>
      </c>
      <c r="T155" s="110">
        <f>+'Gantt Proyectos'!R223</f>
        <v>0</v>
      </c>
      <c r="U155" s="118">
        <f>+'Gantt Proyectos'!S223</f>
        <v>0</v>
      </c>
      <c r="V155" s="157">
        <f>+'Gantt Proyectos'!T223</f>
        <v>0</v>
      </c>
      <c r="W155" s="157">
        <f>+'Gantt Proyectos'!U223</f>
        <v>0</v>
      </c>
      <c r="X155" s="201">
        <f t="shared" si="9"/>
        <v>0</v>
      </c>
      <c r="Y155" s="110">
        <f>+'Gantt Proyectos'!W223</f>
        <v>0</v>
      </c>
      <c r="Z155" s="110">
        <f>+'Gantt Proyectos'!X223</f>
        <v>0</v>
      </c>
      <c r="AA155" s="110">
        <f>+'Gantt Proyectos'!Y223</f>
        <v>0</v>
      </c>
      <c r="AB155" s="110">
        <f>+'Gantt Proyectos'!Z223</f>
        <v>0</v>
      </c>
      <c r="AC155" s="110">
        <f>+'Gantt Proyectos'!AA223</f>
        <v>0</v>
      </c>
      <c r="AD155" s="110">
        <f>+'Gantt Proyectos'!AB223</f>
        <v>0</v>
      </c>
      <c r="AE155" s="110">
        <f>+'Gantt Proyectos'!AC223</f>
        <v>0</v>
      </c>
      <c r="AF155" s="110">
        <f>+'Gantt Proyectos'!AD223</f>
        <v>0</v>
      </c>
      <c r="AG155" s="110">
        <f>+'Gantt Proyectos'!AE223</f>
        <v>0</v>
      </c>
      <c r="AH155" s="172">
        <v>1</v>
      </c>
      <c r="AI155" s="466">
        <f>IFERROR(IF('Gantt Proyectos'!AF223&lt;2,$N155*'Gantt Proyectos'!AF223,IF('Gantt Proyectos'!AF223=2,$N155*('Gantt Proyectos'!AF223-1))),0)*$L155*$Q155</f>
        <v>0</v>
      </c>
      <c r="AJ155" s="467">
        <f>IFERROR(IF('Gantt Proyectos'!AG223&lt;2,$N155*'Gantt Proyectos'!AG223,IF('Gantt Proyectos'!AG223=2,$N155*('Gantt Proyectos'!AG223-1))),0)*$L155*$Q155</f>
        <v>0</v>
      </c>
      <c r="AK155" s="467">
        <f>IFERROR(IF('Gantt Proyectos'!AH223&lt;2,$N155*'Gantt Proyectos'!AH223,IF('Gantt Proyectos'!AH223=2,$N155*('Gantt Proyectos'!AH223-1))),0)*$L155*$Q155</f>
        <v>0</v>
      </c>
      <c r="AL155" s="467">
        <f>IFERROR(IF('Gantt Proyectos'!AI223&lt;2,$N155*'Gantt Proyectos'!AI223,IF('Gantt Proyectos'!AI223=2,$N155*('Gantt Proyectos'!AI223-1))),0)*$L155*$Q155</f>
        <v>0</v>
      </c>
      <c r="AM155" s="467">
        <f>IFERROR(IF('Gantt Proyectos'!AJ223&lt;2,$N155*'Gantt Proyectos'!AJ223,IF('Gantt Proyectos'!AJ223=2,$N155*('Gantt Proyectos'!AJ223-1))),0)*$L155*$Q155</f>
        <v>0</v>
      </c>
      <c r="AN155" s="467">
        <f>IFERROR(IF('Gantt Proyectos'!AK223&lt;2,$N155*'Gantt Proyectos'!AK223,IF('Gantt Proyectos'!AK223=2,$N155*('Gantt Proyectos'!AK223-1))),0)*$L155*$Q155</f>
        <v>0</v>
      </c>
      <c r="AO155" s="467">
        <f>IFERROR(IF('Gantt Proyectos'!AL223&lt;2,$N155*'Gantt Proyectos'!AL223,IF('Gantt Proyectos'!AL223=2,$N155*('Gantt Proyectos'!AL223-1))),0)*$L155*$Q155</f>
        <v>0</v>
      </c>
      <c r="AP155" s="467">
        <f>IFERROR(IF('Gantt Proyectos'!AM223&lt;2,$N155*'Gantt Proyectos'!AM223,IF('Gantt Proyectos'!AM223=2,$N155*('Gantt Proyectos'!AM223-1))),0)*$L155*$Q155</f>
        <v>0</v>
      </c>
      <c r="AQ155" s="468">
        <f>IFERROR(IF('Gantt Proyectos'!AN223&lt;2,$N155*'Gantt Proyectos'!AN223,IF('Gantt Proyectos'!AN223=2,$N155*('Gantt Proyectos'!AN223-1))),0)*$L155*$Q155</f>
        <v>0</v>
      </c>
    </row>
    <row r="156" spans="3:43" ht="15" x14ac:dyDescent="0.2">
      <c r="C156" s="110">
        <f>+'Gantt Proyectos'!C224</f>
        <v>0</v>
      </c>
      <c r="D156" s="110">
        <f>+'Gantt Proyectos'!D224</f>
        <v>0</v>
      </c>
      <c r="E156" s="110">
        <f>+'Gantt Proyectos'!E224</f>
        <v>0</v>
      </c>
      <c r="F156" s="148">
        <f>+'Gantt Proyectos'!F224</f>
        <v>0</v>
      </c>
      <c r="G156" s="110">
        <f>+'Gantt Proyectos'!G224</f>
        <v>0</v>
      </c>
      <c r="H156" s="110">
        <f>+'Gantt Proyectos'!H224</f>
        <v>0</v>
      </c>
      <c r="I156" s="189">
        <v>1</v>
      </c>
      <c r="J156" s="189">
        <f t="shared" si="8"/>
        <v>0</v>
      </c>
      <c r="K156" s="110">
        <f>+'Gantt Proyectos'!I224</f>
        <v>0</v>
      </c>
      <c r="L156" s="110">
        <f>+'Gantt Proyectos'!J224</f>
        <v>0</v>
      </c>
      <c r="M156" s="110">
        <f>+'Gantt Proyectos'!K224</f>
        <v>0</v>
      </c>
      <c r="N156" s="110">
        <f>+'Gantt Proyectos'!L224</f>
        <v>0</v>
      </c>
      <c r="O156" s="110">
        <f>+'Gantt Proyectos'!M224</f>
        <v>0</v>
      </c>
      <c r="P156" s="110">
        <f>+'Gantt Proyectos'!N224</f>
        <v>0</v>
      </c>
      <c r="Q156" s="472">
        <v>1</v>
      </c>
      <c r="R156" s="110">
        <f>+'Gantt Proyectos'!O224</f>
        <v>0</v>
      </c>
      <c r="S156" s="110">
        <f>+'Gantt Proyectos'!P224</f>
        <v>0</v>
      </c>
      <c r="T156" s="110">
        <f>+'Gantt Proyectos'!R224</f>
        <v>0</v>
      </c>
      <c r="U156" s="118">
        <f>+'Gantt Proyectos'!S224</f>
        <v>0</v>
      </c>
      <c r="V156" s="157">
        <f>+'Gantt Proyectos'!T224</f>
        <v>0</v>
      </c>
      <c r="W156" s="157">
        <f>+'Gantt Proyectos'!U224</f>
        <v>0</v>
      </c>
      <c r="X156" s="201">
        <f t="shared" si="9"/>
        <v>0</v>
      </c>
      <c r="Y156" s="110">
        <f>+'Gantt Proyectos'!W224</f>
        <v>0</v>
      </c>
      <c r="Z156" s="110">
        <f>+'Gantt Proyectos'!X224</f>
        <v>0</v>
      </c>
      <c r="AA156" s="110">
        <f>+'Gantt Proyectos'!Y224</f>
        <v>0</v>
      </c>
      <c r="AB156" s="110">
        <f>+'Gantt Proyectos'!Z224</f>
        <v>0</v>
      </c>
      <c r="AC156" s="110">
        <f>+'Gantt Proyectos'!AA224</f>
        <v>0</v>
      </c>
      <c r="AD156" s="110">
        <f>+'Gantt Proyectos'!AB224</f>
        <v>0</v>
      </c>
      <c r="AE156" s="110">
        <f>+'Gantt Proyectos'!AC224</f>
        <v>0</v>
      </c>
      <c r="AF156" s="110">
        <f>+'Gantt Proyectos'!AD224</f>
        <v>0</v>
      </c>
      <c r="AG156" s="110">
        <f>+'Gantt Proyectos'!AE224</f>
        <v>0</v>
      </c>
      <c r="AH156" s="172">
        <v>1</v>
      </c>
      <c r="AI156" s="466">
        <f>IFERROR(IF('Gantt Proyectos'!AF224&lt;2,$N156*'Gantt Proyectos'!AF224,IF('Gantt Proyectos'!AF224=2,$N156*('Gantt Proyectos'!AF224-1))),0)*$L156*$Q156</f>
        <v>0</v>
      </c>
      <c r="AJ156" s="467">
        <f>IFERROR(IF('Gantt Proyectos'!AG224&lt;2,$N156*'Gantt Proyectos'!AG224,IF('Gantt Proyectos'!AG224=2,$N156*('Gantt Proyectos'!AG224-1))),0)*$L156*$Q156</f>
        <v>0</v>
      </c>
      <c r="AK156" s="467">
        <f>IFERROR(IF('Gantt Proyectos'!AH224&lt;2,$N156*'Gantt Proyectos'!AH224,IF('Gantt Proyectos'!AH224=2,$N156*('Gantt Proyectos'!AH224-1))),0)*$L156*$Q156</f>
        <v>0</v>
      </c>
      <c r="AL156" s="467">
        <f>IFERROR(IF('Gantt Proyectos'!AI224&lt;2,$N156*'Gantt Proyectos'!AI224,IF('Gantt Proyectos'!AI224=2,$N156*('Gantt Proyectos'!AI224-1))),0)*$L156*$Q156</f>
        <v>0</v>
      </c>
      <c r="AM156" s="467">
        <f>IFERROR(IF('Gantt Proyectos'!AJ224&lt;2,$N156*'Gantt Proyectos'!AJ224,IF('Gantt Proyectos'!AJ224=2,$N156*('Gantt Proyectos'!AJ224-1))),0)*$L156*$Q156</f>
        <v>0</v>
      </c>
      <c r="AN156" s="467">
        <f>IFERROR(IF('Gantt Proyectos'!AK224&lt;2,$N156*'Gantt Proyectos'!AK224,IF('Gantt Proyectos'!AK224=2,$N156*('Gantt Proyectos'!AK224-1))),0)*$L156*$Q156</f>
        <v>0</v>
      </c>
      <c r="AO156" s="467">
        <f>IFERROR(IF('Gantt Proyectos'!AL224&lt;2,$N156*'Gantt Proyectos'!AL224,IF('Gantt Proyectos'!AL224=2,$N156*('Gantt Proyectos'!AL224-1))),0)*$L156*$Q156</f>
        <v>0</v>
      </c>
      <c r="AP156" s="467">
        <f>IFERROR(IF('Gantt Proyectos'!AM224&lt;2,$N156*'Gantt Proyectos'!AM224,IF('Gantt Proyectos'!AM224=2,$N156*('Gantt Proyectos'!AM224-1))),0)*$L156*$Q156</f>
        <v>0</v>
      </c>
      <c r="AQ156" s="468">
        <f>IFERROR(IF('Gantt Proyectos'!AN224&lt;2,$N156*'Gantt Proyectos'!AN224,IF('Gantt Proyectos'!AN224=2,$N156*('Gantt Proyectos'!AN224-1))),0)*$L156*$Q156</f>
        <v>0</v>
      </c>
    </row>
    <row r="157" spans="3:43" ht="15" x14ac:dyDescent="0.2">
      <c r="C157" s="110">
        <f>+'Gantt Proyectos'!C225</f>
        <v>0</v>
      </c>
      <c r="D157" s="110">
        <f>+'Gantt Proyectos'!D225</f>
        <v>0</v>
      </c>
      <c r="E157" s="110">
        <f>+'Gantt Proyectos'!E225</f>
        <v>0</v>
      </c>
      <c r="F157" s="148">
        <f>+'Gantt Proyectos'!F225</f>
        <v>0</v>
      </c>
      <c r="G157" s="110">
        <f>+'Gantt Proyectos'!G225</f>
        <v>0</v>
      </c>
      <c r="H157" s="110">
        <f>+'Gantt Proyectos'!H225</f>
        <v>0</v>
      </c>
      <c r="I157" s="189">
        <v>1</v>
      </c>
      <c r="J157" s="189">
        <f t="shared" si="8"/>
        <v>0</v>
      </c>
      <c r="K157" s="110">
        <f>+'Gantt Proyectos'!I225</f>
        <v>0</v>
      </c>
      <c r="L157" s="110">
        <f>+'Gantt Proyectos'!J225</f>
        <v>0</v>
      </c>
      <c r="M157" s="110">
        <f>+'Gantt Proyectos'!K225</f>
        <v>0</v>
      </c>
      <c r="N157" s="110">
        <f>+'Gantt Proyectos'!L225</f>
        <v>0</v>
      </c>
      <c r="O157" s="110">
        <f>+'Gantt Proyectos'!M225</f>
        <v>0</v>
      </c>
      <c r="P157" s="110">
        <f>+'Gantt Proyectos'!N225</f>
        <v>0</v>
      </c>
      <c r="Q157" s="472">
        <v>1</v>
      </c>
      <c r="R157" s="110">
        <f>+'Gantt Proyectos'!O225</f>
        <v>0</v>
      </c>
      <c r="S157" s="110">
        <f>+'Gantt Proyectos'!P225</f>
        <v>0</v>
      </c>
      <c r="T157" s="110">
        <f>+'Gantt Proyectos'!R225</f>
        <v>0</v>
      </c>
      <c r="U157" s="118">
        <f>+'Gantt Proyectos'!S225</f>
        <v>0</v>
      </c>
      <c r="V157" s="157">
        <f>+'Gantt Proyectos'!T225</f>
        <v>0</v>
      </c>
      <c r="W157" s="157">
        <f>+'Gantt Proyectos'!U225</f>
        <v>0</v>
      </c>
      <c r="X157" s="201">
        <f t="shared" si="9"/>
        <v>0</v>
      </c>
      <c r="Y157" s="110">
        <f>+'Gantt Proyectos'!W225</f>
        <v>0</v>
      </c>
      <c r="Z157" s="110">
        <f>+'Gantt Proyectos'!X225</f>
        <v>0</v>
      </c>
      <c r="AA157" s="110">
        <f>+'Gantt Proyectos'!Y225</f>
        <v>0</v>
      </c>
      <c r="AB157" s="110">
        <f>+'Gantt Proyectos'!Z225</f>
        <v>0</v>
      </c>
      <c r="AC157" s="110">
        <f>+'Gantt Proyectos'!AA225</f>
        <v>0</v>
      </c>
      <c r="AD157" s="110">
        <f>+'Gantt Proyectos'!AB225</f>
        <v>0</v>
      </c>
      <c r="AE157" s="110">
        <f>+'Gantt Proyectos'!AC225</f>
        <v>0</v>
      </c>
      <c r="AF157" s="110">
        <f>+'Gantt Proyectos'!AD225</f>
        <v>0</v>
      </c>
      <c r="AG157" s="110">
        <f>+'Gantt Proyectos'!AE225</f>
        <v>0</v>
      </c>
      <c r="AH157" s="172">
        <v>1</v>
      </c>
      <c r="AI157" s="466">
        <f>IFERROR(IF('Gantt Proyectos'!AF225&lt;2,$N157*'Gantt Proyectos'!AF225,IF('Gantt Proyectos'!AF225=2,$N157*('Gantt Proyectos'!AF225-1))),0)*$L157*$Q157</f>
        <v>0</v>
      </c>
      <c r="AJ157" s="467">
        <f>IFERROR(IF('Gantt Proyectos'!AG225&lt;2,$N157*'Gantt Proyectos'!AG225,IF('Gantt Proyectos'!AG225=2,$N157*('Gantt Proyectos'!AG225-1))),0)*$L157*$Q157</f>
        <v>0</v>
      </c>
      <c r="AK157" s="467">
        <f>IFERROR(IF('Gantt Proyectos'!AH225&lt;2,$N157*'Gantt Proyectos'!AH225,IF('Gantt Proyectos'!AH225=2,$N157*('Gantt Proyectos'!AH225-1))),0)*$L157*$Q157</f>
        <v>0</v>
      </c>
      <c r="AL157" s="467">
        <f>IFERROR(IF('Gantt Proyectos'!AI225&lt;2,$N157*'Gantt Proyectos'!AI225,IF('Gantt Proyectos'!AI225=2,$N157*('Gantt Proyectos'!AI225-1))),0)*$L157*$Q157</f>
        <v>0</v>
      </c>
      <c r="AM157" s="467">
        <f>IFERROR(IF('Gantt Proyectos'!AJ225&lt;2,$N157*'Gantt Proyectos'!AJ225,IF('Gantt Proyectos'!AJ225=2,$N157*('Gantt Proyectos'!AJ225-1))),0)*$L157*$Q157</f>
        <v>0</v>
      </c>
      <c r="AN157" s="467">
        <f>IFERROR(IF('Gantt Proyectos'!AK225&lt;2,$N157*'Gantt Proyectos'!AK225,IF('Gantt Proyectos'!AK225=2,$N157*('Gantt Proyectos'!AK225-1))),0)*$L157*$Q157</f>
        <v>0</v>
      </c>
      <c r="AO157" s="467">
        <f>IFERROR(IF('Gantt Proyectos'!AL225&lt;2,$N157*'Gantt Proyectos'!AL225,IF('Gantt Proyectos'!AL225=2,$N157*('Gantt Proyectos'!AL225-1))),0)*$L157*$Q157</f>
        <v>0</v>
      </c>
      <c r="AP157" s="467">
        <f>IFERROR(IF('Gantt Proyectos'!AM225&lt;2,$N157*'Gantt Proyectos'!AM225,IF('Gantt Proyectos'!AM225=2,$N157*('Gantt Proyectos'!AM225-1))),0)*$L157*$Q157</f>
        <v>0</v>
      </c>
      <c r="AQ157" s="468">
        <f>IFERROR(IF('Gantt Proyectos'!AN225&lt;2,$N157*'Gantt Proyectos'!AN225,IF('Gantt Proyectos'!AN225=2,$N157*('Gantt Proyectos'!AN225-1))),0)*$L157*$Q157</f>
        <v>0</v>
      </c>
    </row>
    <row r="158" spans="3:43" ht="15" x14ac:dyDescent="0.2">
      <c r="C158" s="110">
        <f>+'Gantt Proyectos'!C226</f>
        <v>0</v>
      </c>
      <c r="D158" s="110">
        <f>+'Gantt Proyectos'!D226</f>
        <v>0</v>
      </c>
      <c r="E158" s="110">
        <f>+'Gantt Proyectos'!E226</f>
        <v>0</v>
      </c>
      <c r="F158" s="148">
        <f>+'Gantt Proyectos'!F226</f>
        <v>0</v>
      </c>
      <c r="G158" s="110">
        <f>+'Gantt Proyectos'!G226</f>
        <v>0</v>
      </c>
      <c r="H158" s="110">
        <f>+'Gantt Proyectos'!H226</f>
        <v>0</v>
      </c>
      <c r="I158" s="189">
        <v>1</v>
      </c>
      <c r="J158" s="189">
        <f t="shared" ref="J158:J194" si="10">1-I158</f>
        <v>0</v>
      </c>
      <c r="K158" s="110">
        <f>+'Gantt Proyectos'!I226</f>
        <v>0</v>
      </c>
      <c r="L158" s="110">
        <f>+'Gantt Proyectos'!J226</f>
        <v>0</v>
      </c>
      <c r="M158" s="110">
        <f>+'Gantt Proyectos'!K226</f>
        <v>0</v>
      </c>
      <c r="N158" s="110">
        <f>+'Gantt Proyectos'!L226</f>
        <v>0</v>
      </c>
      <c r="O158" s="110">
        <f>+'Gantt Proyectos'!M226</f>
        <v>0</v>
      </c>
      <c r="P158" s="110">
        <f>+'Gantt Proyectos'!N226</f>
        <v>0</v>
      </c>
      <c r="Q158" s="472">
        <v>1</v>
      </c>
      <c r="R158" s="110">
        <f>+'Gantt Proyectos'!O226</f>
        <v>0</v>
      </c>
      <c r="S158" s="110">
        <f>+'Gantt Proyectos'!P226</f>
        <v>0</v>
      </c>
      <c r="T158" s="110">
        <f>+'Gantt Proyectos'!R226</f>
        <v>0</v>
      </c>
      <c r="U158" s="118">
        <f>+'Gantt Proyectos'!S226</f>
        <v>0</v>
      </c>
      <c r="V158" s="157">
        <f>+'Gantt Proyectos'!T226</f>
        <v>0</v>
      </c>
      <c r="W158" s="157">
        <f>+'Gantt Proyectos'!U226</f>
        <v>0</v>
      </c>
      <c r="X158" s="201">
        <f t="shared" ref="X158:X194" si="11">+ROUNDUP(_xlfn.DAYS(W158,V158)/30.5,0)</f>
        <v>0</v>
      </c>
      <c r="Y158" s="110">
        <f>+'Gantt Proyectos'!W226</f>
        <v>0</v>
      </c>
      <c r="Z158" s="110">
        <f>+'Gantt Proyectos'!X226</f>
        <v>0</v>
      </c>
      <c r="AA158" s="110">
        <f>+'Gantt Proyectos'!Y226</f>
        <v>0</v>
      </c>
      <c r="AB158" s="110">
        <f>+'Gantt Proyectos'!Z226</f>
        <v>0</v>
      </c>
      <c r="AC158" s="110">
        <f>+'Gantt Proyectos'!AA226</f>
        <v>0</v>
      </c>
      <c r="AD158" s="110">
        <f>+'Gantt Proyectos'!AB226</f>
        <v>0</v>
      </c>
      <c r="AE158" s="110">
        <f>+'Gantt Proyectos'!AC226</f>
        <v>0</v>
      </c>
      <c r="AF158" s="110">
        <f>+'Gantt Proyectos'!AD226</f>
        <v>0</v>
      </c>
      <c r="AG158" s="110">
        <f>+'Gantt Proyectos'!AE226</f>
        <v>0</v>
      </c>
      <c r="AH158" s="172">
        <v>1</v>
      </c>
      <c r="AI158" s="466">
        <f>IFERROR(IF('Gantt Proyectos'!AF226&lt;2,$N158*'Gantt Proyectos'!AF226,IF('Gantt Proyectos'!AF226=2,$N158*('Gantt Proyectos'!AF226-1))),0)*$L158*$Q158</f>
        <v>0</v>
      </c>
      <c r="AJ158" s="467">
        <f>IFERROR(IF('Gantt Proyectos'!AG226&lt;2,$N158*'Gantt Proyectos'!AG226,IF('Gantt Proyectos'!AG226=2,$N158*('Gantt Proyectos'!AG226-1))),0)*$L158*$Q158</f>
        <v>0</v>
      </c>
      <c r="AK158" s="467">
        <f>IFERROR(IF('Gantt Proyectos'!AH226&lt;2,$N158*'Gantt Proyectos'!AH226,IF('Gantt Proyectos'!AH226=2,$N158*('Gantt Proyectos'!AH226-1))),0)*$L158*$Q158</f>
        <v>0</v>
      </c>
      <c r="AL158" s="467">
        <f>IFERROR(IF('Gantt Proyectos'!AI226&lt;2,$N158*'Gantt Proyectos'!AI226,IF('Gantt Proyectos'!AI226=2,$N158*('Gantt Proyectos'!AI226-1))),0)*$L158*$Q158</f>
        <v>0</v>
      </c>
      <c r="AM158" s="467">
        <f>IFERROR(IF('Gantt Proyectos'!AJ226&lt;2,$N158*'Gantt Proyectos'!AJ226,IF('Gantt Proyectos'!AJ226=2,$N158*('Gantt Proyectos'!AJ226-1))),0)*$L158*$Q158</f>
        <v>0</v>
      </c>
      <c r="AN158" s="467">
        <f>IFERROR(IF('Gantt Proyectos'!AK226&lt;2,$N158*'Gantt Proyectos'!AK226,IF('Gantt Proyectos'!AK226=2,$N158*('Gantt Proyectos'!AK226-1))),0)*$L158*$Q158</f>
        <v>0</v>
      </c>
      <c r="AO158" s="467">
        <f>IFERROR(IF('Gantt Proyectos'!AL226&lt;2,$N158*'Gantt Proyectos'!AL226,IF('Gantt Proyectos'!AL226=2,$N158*('Gantt Proyectos'!AL226-1))),0)*$L158*$Q158</f>
        <v>0</v>
      </c>
      <c r="AP158" s="467">
        <f>IFERROR(IF('Gantt Proyectos'!AM226&lt;2,$N158*'Gantt Proyectos'!AM226,IF('Gantt Proyectos'!AM226=2,$N158*('Gantt Proyectos'!AM226-1))),0)*$L158*$Q158</f>
        <v>0</v>
      </c>
      <c r="AQ158" s="468">
        <f>IFERROR(IF('Gantt Proyectos'!AN226&lt;2,$N158*'Gantt Proyectos'!AN226,IF('Gantt Proyectos'!AN226=2,$N158*('Gantt Proyectos'!AN226-1))),0)*$L158*$Q158</f>
        <v>0</v>
      </c>
    </row>
    <row r="159" spans="3:43" ht="15" x14ac:dyDescent="0.2">
      <c r="C159" s="110">
        <f>+'Gantt Proyectos'!C227</f>
        <v>0</v>
      </c>
      <c r="D159" s="110">
        <f>+'Gantt Proyectos'!D227</f>
        <v>0</v>
      </c>
      <c r="E159" s="110">
        <f>+'Gantt Proyectos'!E227</f>
        <v>0</v>
      </c>
      <c r="F159" s="148">
        <f>+'Gantt Proyectos'!F227</f>
        <v>0</v>
      </c>
      <c r="G159" s="110">
        <f>+'Gantt Proyectos'!G227</f>
        <v>0</v>
      </c>
      <c r="H159" s="110">
        <f>+'Gantt Proyectos'!H227</f>
        <v>0</v>
      </c>
      <c r="I159" s="189">
        <v>1</v>
      </c>
      <c r="J159" s="189">
        <f t="shared" si="10"/>
        <v>0</v>
      </c>
      <c r="K159" s="110">
        <f>+'Gantt Proyectos'!I227</f>
        <v>0</v>
      </c>
      <c r="L159" s="110">
        <f>+'Gantt Proyectos'!J227</f>
        <v>0</v>
      </c>
      <c r="M159" s="110">
        <f>+'Gantt Proyectos'!K227</f>
        <v>0</v>
      </c>
      <c r="N159" s="110">
        <f>+'Gantt Proyectos'!L227</f>
        <v>0</v>
      </c>
      <c r="O159" s="110">
        <f>+'Gantt Proyectos'!M227</f>
        <v>0</v>
      </c>
      <c r="P159" s="110">
        <f>+'Gantt Proyectos'!N227</f>
        <v>0</v>
      </c>
      <c r="Q159" s="472">
        <v>1</v>
      </c>
      <c r="R159" s="110">
        <f>+'Gantt Proyectos'!O227</f>
        <v>0</v>
      </c>
      <c r="S159" s="110">
        <f>+'Gantt Proyectos'!P227</f>
        <v>0</v>
      </c>
      <c r="T159" s="110">
        <f>+'Gantt Proyectos'!R227</f>
        <v>0</v>
      </c>
      <c r="U159" s="118">
        <f>+'Gantt Proyectos'!S227</f>
        <v>0</v>
      </c>
      <c r="V159" s="157">
        <f>+'Gantt Proyectos'!T227</f>
        <v>0</v>
      </c>
      <c r="W159" s="157">
        <f>+'Gantt Proyectos'!U227</f>
        <v>0</v>
      </c>
      <c r="X159" s="201">
        <f t="shared" si="11"/>
        <v>0</v>
      </c>
      <c r="Y159" s="110">
        <f>+'Gantt Proyectos'!W227</f>
        <v>0</v>
      </c>
      <c r="Z159" s="110">
        <f>+'Gantt Proyectos'!X227</f>
        <v>0</v>
      </c>
      <c r="AA159" s="110">
        <f>+'Gantt Proyectos'!Y227</f>
        <v>0</v>
      </c>
      <c r="AB159" s="110">
        <f>+'Gantt Proyectos'!Z227</f>
        <v>0</v>
      </c>
      <c r="AC159" s="110">
        <f>+'Gantt Proyectos'!AA227</f>
        <v>0</v>
      </c>
      <c r="AD159" s="110">
        <f>+'Gantt Proyectos'!AB227</f>
        <v>0</v>
      </c>
      <c r="AE159" s="110">
        <f>+'Gantt Proyectos'!AC227</f>
        <v>0</v>
      </c>
      <c r="AF159" s="110">
        <f>+'Gantt Proyectos'!AD227</f>
        <v>0</v>
      </c>
      <c r="AG159" s="110">
        <f>+'Gantt Proyectos'!AE227</f>
        <v>0</v>
      </c>
      <c r="AH159" s="172">
        <v>1</v>
      </c>
      <c r="AI159" s="466">
        <f>IFERROR(IF('Gantt Proyectos'!AF227&lt;2,$N159*'Gantt Proyectos'!AF227,IF('Gantt Proyectos'!AF227=2,$N159*('Gantt Proyectos'!AF227-1))),0)*$L159*$Q159</f>
        <v>0</v>
      </c>
      <c r="AJ159" s="467">
        <f>IFERROR(IF('Gantt Proyectos'!AG227&lt;2,$N159*'Gantt Proyectos'!AG227,IF('Gantt Proyectos'!AG227=2,$N159*('Gantt Proyectos'!AG227-1))),0)*$L159*$Q159</f>
        <v>0</v>
      </c>
      <c r="AK159" s="467">
        <f>IFERROR(IF('Gantt Proyectos'!AH227&lt;2,$N159*'Gantt Proyectos'!AH227,IF('Gantt Proyectos'!AH227=2,$N159*('Gantt Proyectos'!AH227-1))),0)*$L159*$Q159</f>
        <v>0</v>
      </c>
      <c r="AL159" s="467">
        <f>IFERROR(IF('Gantt Proyectos'!AI227&lt;2,$N159*'Gantt Proyectos'!AI227,IF('Gantt Proyectos'!AI227=2,$N159*('Gantt Proyectos'!AI227-1))),0)*$L159*$Q159</f>
        <v>0</v>
      </c>
      <c r="AM159" s="467">
        <f>IFERROR(IF('Gantt Proyectos'!AJ227&lt;2,$N159*'Gantt Proyectos'!AJ227,IF('Gantt Proyectos'!AJ227=2,$N159*('Gantt Proyectos'!AJ227-1))),0)*$L159*$Q159</f>
        <v>0</v>
      </c>
      <c r="AN159" s="467">
        <f>IFERROR(IF('Gantt Proyectos'!AK227&lt;2,$N159*'Gantt Proyectos'!AK227,IF('Gantt Proyectos'!AK227=2,$N159*('Gantt Proyectos'!AK227-1))),0)*$L159*$Q159</f>
        <v>0</v>
      </c>
      <c r="AO159" s="467">
        <f>IFERROR(IF('Gantt Proyectos'!AL227&lt;2,$N159*'Gantt Proyectos'!AL227,IF('Gantt Proyectos'!AL227=2,$N159*('Gantt Proyectos'!AL227-1))),0)*$L159*$Q159</f>
        <v>0</v>
      </c>
      <c r="AP159" s="467">
        <f>IFERROR(IF('Gantt Proyectos'!AM227&lt;2,$N159*'Gantt Proyectos'!AM227,IF('Gantt Proyectos'!AM227=2,$N159*('Gantt Proyectos'!AM227-1))),0)*$L159*$Q159</f>
        <v>0</v>
      </c>
      <c r="AQ159" s="468">
        <f>IFERROR(IF('Gantt Proyectos'!AN227&lt;2,$N159*'Gantt Proyectos'!AN227,IF('Gantt Proyectos'!AN227=2,$N159*('Gantt Proyectos'!AN227-1))),0)*$L159*$Q159</f>
        <v>0</v>
      </c>
    </row>
    <row r="160" spans="3:43" ht="15" x14ac:dyDescent="0.2">
      <c r="C160" s="110">
        <f>+'Gantt Proyectos'!C228</f>
        <v>0</v>
      </c>
      <c r="D160" s="110">
        <f>+'Gantt Proyectos'!D228</f>
        <v>0</v>
      </c>
      <c r="E160" s="110">
        <f>+'Gantt Proyectos'!E228</f>
        <v>0</v>
      </c>
      <c r="F160" s="148">
        <f>+'Gantt Proyectos'!F228</f>
        <v>0</v>
      </c>
      <c r="G160" s="110">
        <f>+'Gantt Proyectos'!G228</f>
        <v>0</v>
      </c>
      <c r="H160" s="110">
        <f>+'Gantt Proyectos'!H228</f>
        <v>0</v>
      </c>
      <c r="I160" s="189">
        <v>1</v>
      </c>
      <c r="J160" s="189">
        <f t="shared" si="10"/>
        <v>0</v>
      </c>
      <c r="K160" s="110">
        <f>+'Gantt Proyectos'!I228</f>
        <v>0</v>
      </c>
      <c r="L160" s="110">
        <f>+'Gantt Proyectos'!J228</f>
        <v>0</v>
      </c>
      <c r="M160" s="110">
        <f>+'Gantt Proyectos'!K228</f>
        <v>0</v>
      </c>
      <c r="N160" s="110">
        <f>+'Gantt Proyectos'!L228</f>
        <v>0</v>
      </c>
      <c r="O160" s="110">
        <f>+'Gantt Proyectos'!M228</f>
        <v>0</v>
      </c>
      <c r="P160" s="110">
        <f>+'Gantt Proyectos'!N228</f>
        <v>0</v>
      </c>
      <c r="Q160" s="472">
        <v>1</v>
      </c>
      <c r="R160" s="110">
        <f>+'Gantt Proyectos'!O228</f>
        <v>0</v>
      </c>
      <c r="S160" s="110">
        <f>+'Gantt Proyectos'!P228</f>
        <v>0</v>
      </c>
      <c r="T160" s="110">
        <f>+'Gantt Proyectos'!R228</f>
        <v>0</v>
      </c>
      <c r="U160" s="118">
        <f>+'Gantt Proyectos'!S228</f>
        <v>0</v>
      </c>
      <c r="V160" s="157">
        <f>+'Gantt Proyectos'!T228</f>
        <v>0</v>
      </c>
      <c r="W160" s="157">
        <f>+'Gantt Proyectos'!U228</f>
        <v>0</v>
      </c>
      <c r="X160" s="201">
        <f t="shared" si="11"/>
        <v>0</v>
      </c>
      <c r="Y160" s="110">
        <f>+'Gantt Proyectos'!W228</f>
        <v>0</v>
      </c>
      <c r="Z160" s="110">
        <f>+'Gantt Proyectos'!X228</f>
        <v>0</v>
      </c>
      <c r="AA160" s="110">
        <f>+'Gantt Proyectos'!Y228</f>
        <v>0</v>
      </c>
      <c r="AB160" s="110">
        <f>+'Gantt Proyectos'!Z228</f>
        <v>0</v>
      </c>
      <c r="AC160" s="110">
        <f>+'Gantt Proyectos'!AA228</f>
        <v>0</v>
      </c>
      <c r="AD160" s="110">
        <f>+'Gantt Proyectos'!AB228</f>
        <v>0</v>
      </c>
      <c r="AE160" s="110">
        <f>+'Gantt Proyectos'!AC228</f>
        <v>0</v>
      </c>
      <c r="AF160" s="110">
        <f>+'Gantt Proyectos'!AD228</f>
        <v>0</v>
      </c>
      <c r="AG160" s="110">
        <f>+'Gantt Proyectos'!AE228</f>
        <v>0</v>
      </c>
      <c r="AH160" s="172">
        <v>1</v>
      </c>
      <c r="AI160" s="466">
        <f>IFERROR(IF('Gantt Proyectos'!AF228&lt;2,$N160*'Gantt Proyectos'!AF228,IF('Gantt Proyectos'!AF228=2,$N160*('Gantt Proyectos'!AF228-1))),0)*$L160*$Q160</f>
        <v>0</v>
      </c>
      <c r="AJ160" s="467">
        <f>IFERROR(IF('Gantt Proyectos'!AG228&lt;2,$N160*'Gantt Proyectos'!AG228,IF('Gantt Proyectos'!AG228=2,$N160*('Gantt Proyectos'!AG228-1))),0)*$L160*$Q160</f>
        <v>0</v>
      </c>
      <c r="AK160" s="467">
        <f>IFERROR(IF('Gantt Proyectos'!AH228&lt;2,$N160*'Gantt Proyectos'!AH228,IF('Gantt Proyectos'!AH228=2,$N160*('Gantt Proyectos'!AH228-1))),0)*$L160*$Q160</f>
        <v>0</v>
      </c>
      <c r="AL160" s="467">
        <f>IFERROR(IF('Gantt Proyectos'!AI228&lt;2,$N160*'Gantt Proyectos'!AI228,IF('Gantt Proyectos'!AI228=2,$N160*('Gantt Proyectos'!AI228-1))),0)*$L160*$Q160</f>
        <v>0</v>
      </c>
      <c r="AM160" s="467">
        <f>IFERROR(IF('Gantt Proyectos'!AJ228&lt;2,$N160*'Gantt Proyectos'!AJ228,IF('Gantt Proyectos'!AJ228=2,$N160*('Gantt Proyectos'!AJ228-1))),0)*$L160*$Q160</f>
        <v>0</v>
      </c>
      <c r="AN160" s="467">
        <f>IFERROR(IF('Gantt Proyectos'!AK228&lt;2,$N160*'Gantt Proyectos'!AK228,IF('Gantt Proyectos'!AK228=2,$N160*('Gantt Proyectos'!AK228-1))),0)*$L160*$Q160</f>
        <v>0</v>
      </c>
      <c r="AO160" s="467">
        <f>IFERROR(IF('Gantt Proyectos'!AL228&lt;2,$N160*'Gantt Proyectos'!AL228,IF('Gantt Proyectos'!AL228=2,$N160*('Gantt Proyectos'!AL228-1))),0)*$L160*$Q160</f>
        <v>0</v>
      </c>
      <c r="AP160" s="467">
        <f>IFERROR(IF('Gantt Proyectos'!AM228&lt;2,$N160*'Gantt Proyectos'!AM228,IF('Gantt Proyectos'!AM228=2,$N160*('Gantt Proyectos'!AM228-1))),0)*$L160*$Q160</f>
        <v>0</v>
      </c>
      <c r="AQ160" s="468">
        <f>IFERROR(IF('Gantt Proyectos'!AN228&lt;2,$N160*'Gantt Proyectos'!AN228,IF('Gantt Proyectos'!AN228=2,$N160*('Gantt Proyectos'!AN228-1))),0)*$L160*$Q160</f>
        <v>0</v>
      </c>
    </row>
    <row r="161" spans="3:43" ht="15" x14ac:dyDescent="0.2">
      <c r="C161" s="110">
        <f>+'Gantt Proyectos'!C229</f>
        <v>0</v>
      </c>
      <c r="D161" s="110">
        <f>+'Gantt Proyectos'!D229</f>
        <v>0</v>
      </c>
      <c r="E161" s="110">
        <f>+'Gantt Proyectos'!E229</f>
        <v>0</v>
      </c>
      <c r="F161" s="148">
        <f>+'Gantt Proyectos'!F229</f>
        <v>0</v>
      </c>
      <c r="G161" s="110">
        <f>+'Gantt Proyectos'!G229</f>
        <v>0</v>
      </c>
      <c r="H161" s="110">
        <f>+'Gantt Proyectos'!H229</f>
        <v>0</v>
      </c>
      <c r="I161" s="189">
        <v>1</v>
      </c>
      <c r="J161" s="189">
        <f t="shared" si="10"/>
        <v>0</v>
      </c>
      <c r="K161" s="110">
        <f>+'Gantt Proyectos'!I229</f>
        <v>0</v>
      </c>
      <c r="L161" s="110">
        <f>+'Gantt Proyectos'!J229</f>
        <v>0</v>
      </c>
      <c r="M161" s="110">
        <f>+'Gantt Proyectos'!K229</f>
        <v>0</v>
      </c>
      <c r="N161" s="110">
        <f>+'Gantt Proyectos'!L229</f>
        <v>0</v>
      </c>
      <c r="O161" s="110">
        <f>+'Gantt Proyectos'!M229</f>
        <v>0</v>
      </c>
      <c r="P161" s="110">
        <f>+'Gantt Proyectos'!N229</f>
        <v>0</v>
      </c>
      <c r="Q161" s="472">
        <v>1</v>
      </c>
      <c r="R161" s="110">
        <f>+'Gantt Proyectos'!O229</f>
        <v>0</v>
      </c>
      <c r="S161" s="110">
        <f>+'Gantt Proyectos'!P229</f>
        <v>0</v>
      </c>
      <c r="T161" s="110">
        <f>+'Gantt Proyectos'!R229</f>
        <v>0</v>
      </c>
      <c r="U161" s="118">
        <f>+'Gantt Proyectos'!S229</f>
        <v>0</v>
      </c>
      <c r="V161" s="157">
        <f>+'Gantt Proyectos'!T229</f>
        <v>0</v>
      </c>
      <c r="W161" s="157">
        <f>+'Gantt Proyectos'!U229</f>
        <v>0</v>
      </c>
      <c r="X161" s="201">
        <f t="shared" si="11"/>
        <v>0</v>
      </c>
      <c r="Y161" s="110">
        <f>+'Gantt Proyectos'!W229</f>
        <v>0</v>
      </c>
      <c r="Z161" s="110">
        <f>+'Gantt Proyectos'!X229</f>
        <v>0</v>
      </c>
      <c r="AA161" s="110">
        <f>+'Gantt Proyectos'!Y229</f>
        <v>0</v>
      </c>
      <c r="AB161" s="110">
        <f>+'Gantt Proyectos'!Z229</f>
        <v>0</v>
      </c>
      <c r="AC161" s="110">
        <f>+'Gantt Proyectos'!AA229</f>
        <v>0</v>
      </c>
      <c r="AD161" s="110">
        <f>+'Gantt Proyectos'!AB229</f>
        <v>0</v>
      </c>
      <c r="AE161" s="110">
        <f>+'Gantt Proyectos'!AC229</f>
        <v>0</v>
      </c>
      <c r="AF161" s="110">
        <f>+'Gantt Proyectos'!AD229</f>
        <v>0</v>
      </c>
      <c r="AG161" s="110">
        <f>+'Gantt Proyectos'!AE229</f>
        <v>0</v>
      </c>
      <c r="AH161" s="172">
        <v>1</v>
      </c>
      <c r="AI161" s="466">
        <f>IFERROR(IF('Gantt Proyectos'!AF229&lt;2,$N161*'Gantt Proyectos'!AF229,IF('Gantt Proyectos'!AF229=2,$N161*('Gantt Proyectos'!AF229-1))),0)*$L161*$Q161</f>
        <v>0</v>
      </c>
      <c r="AJ161" s="467">
        <f>IFERROR(IF('Gantt Proyectos'!AG229&lt;2,$N161*'Gantt Proyectos'!AG229,IF('Gantt Proyectos'!AG229=2,$N161*('Gantt Proyectos'!AG229-1))),0)*$L161*$Q161</f>
        <v>0</v>
      </c>
      <c r="AK161" s="467">
        <f>IFERROR(IF('Gantt Proyectos'!AH229&lt;2,$N161*'Gantt Proyectos'!AH229,IF('Gantt Proyectos'!AH229=2,$N161*('Gantt Proyectos'!AH229-1))),0)*$L161*$Q161</f>
        <v>0</v>
      </c>
      <c r="AL161" s="467">
        <f>IFERROR(IF('Gantt Proyectos'!AI229&lt;2,$N161*'Gantt Proyectos'!AI229,IF('Gantt Proyectos'!AI229=2,$N161*('Gantt Proyectos'!AI229-1))),0)*$L161*$Q161</f>
        <v>0</v>
      </c>
      <c r="AM161" s="467">
        <f>IFERROR(IF('Gantt Proyectos'!AJ229&lt;2,$N161*'Gantt Proyectos'!AJ229,IF('Gantt Proyectos'!AJ229=2,$N161*('Gantt Proyectos'!AJ229-1))),0)*$L161*$Q161</f>
        <v>0</v>
      </c>
      <c r="AN161" s="467">
        <f>IFERROR(IF('Gantt Proyectos'!AK229&lt;2,$N161*'Gantt Proyectos'!AK229,IF('Gantt Proyectos'!AK229=2,$N161*('Gantt Proyectos'!AK229-1))),0)*$L161*$Q161</f>
        <v>0</v>
      </c>
      <c r="AO161" s="467">
        <f>IFERROR(IF('Gantt Proyectos'!AL229&lt;2,$N161*'Gantt Proyectos'!AL229,IF('Gantt Proyectos'!AL229=2,$N161*('Gantt Proyectos'!AL229-1))),0)*$L161*$Q161</f>
        <v>0</v>
      </c>
      <c r="AP161" s="467">
        <f>IFERROR(IF('Gantt Proyectos'!AM229&lt;2,$N161*'Gantt Proyectos'!AM229,IF('Gantt Proyectos'!AM229=2,$N161*('Gantt Proyectos'!AM229-1))),0)*$L161*$Q161</f>
        <v>0</v>
      </c>
      <c r="AQ161" s="468">
        <f>IFERROR(IF('Gantt Proyectos'!AN229&lt;2,$N161*'Gantt Proyectos'!AN229,IF('Gantt Proyectos'!AN229=2,$N161*('Gantt Proyectos'!AN229-1))),0)*$L161*$Q161</f>
        <v>0</v>
      </c>
    </row>
    <row r="162" spans="3:43" ht="15" x14ac:dyDescent="0.2">
      <c r="C162" s="110">
        <f>+'Gantt Proyectos'!C230</f>
        <v>0</v>
      </c>
      <c r="D162" s="110">
        <f>+'Gantt Proyectos'!D230</f>
        <v>0</v>
      </c>
      <c r="E162" s="110">
        <f>+'Gantt Proyectos'!E230</f>
        <v>0</v>
      </c>
      <c r="F162" s="148">
        <f>+'Gantt Proyectos'!F230</f>
        <v>0</v>
      </c>
      <c r="G162" s="110">
        <f>+'Gantt Proyectos'!G230</f>
        <v>0</v>
      </c>
      <c r="H162" s="110">
        <f>+'Gantt Proyectos'!H230</f>
        <v>0</v>
      </c>
      <c r="I162" s="189">
        <v>1</v>
      </c>
      <c r="J162" s="189">
        <f t="shared" si="10"/>
        <v>0</v>
      </c>
      <c r="K162" s="110">
        <f>+'Gantt Proyectos'!I230</f>
        <v>0</v>
      </c>
      <c r="L162" s="110">
        <f>+'Gantt Proyectos'!J230</f>
        <v>0</v>
      </c>
      <c r="M162" s="110">
        <f>+'Gantt Proyectos'!K230</f>
        <v>0</v>
      </c>
      <c r="N162" s="110">
        <f>+'Gantt Proyectos'!L230</f>
        <v>0</v>
      </c>
      <c r="O162" s="110">
        <f>+'Gantt Proyectos'!M230</f>
        <v>0</v>
      </c>
      <c r="P162" s="110">
        <f>+'Gantt Proyectos'!N230</f>
        <v>0</v>
      </c>
      <c r="Q162" s="472">
        <v>1</v>
      </c>
      <c r="R162" s="110">
        <f>+'Gantt Proyectos'!O230</f>
        <v>0</v>
      </c>
      <c r="S162" s="110">
        <f>+'Gantt Proyectos'!P230</f>
        <v>0</v>
      </c>
      <c r="T162" s="110">
        <f>+'Gantt Proyectos'!R230</f>
        <v>0</v>
      </c>
      <c r="U162" s="118">
        <f>+'Gantt Proyectos'!S230</f>
        <v>0</v>
      </c>
      <c r="V162" s="157">
        <f>+'Gantt Proyectos'!T230</f>
        <v>0</v>
      </c>
      <c r="W162" s="157">
        <f>+'Gantt Proyectos'!U230</f>
        <v>0</v>
      </c>
      <c r="X162" s="201">
        <f t="shared" si="11"/>
        <v>0</v>
      </c>
      <c r="Y162" s="110">
        <f>+'Gantt Proyectos'!W230</f>
        <v>0</v>
      </c>
      <c r="Z162" s="110">
        <f>+'Gantt Proyectos'!X230</f>
        <v>0</v>
      </c>
      <c r="AA162" s="110">
        <f>+'Gantt Proyectos'!Y230</f>
        <v>0</v>
      </c>
      <c r="AB162" s="110">
        <f>+'Gantt Proyectos'!Z230</f>
        <v>0</v>
      </c>
      <c r="AC162" s="110">
        <f>+'Gantt Proyectos'!AA230</f>
        <v>0</v>
      </c>
      <c r="AD162" s="110">
        <f>+'Gantt Proyectos'!AB230</f>
        <v>0</v>
      </c>
      <c r="AE162" s="110">
        <f>+'Gantt Proyectos'!AC230</f>
        <v>0</v>
      </c>
      <c r="AF162" s="110">
        <f>+'Gantt Proyectos'!AD230</f>
        <v>0</v>
      </c>
      <c r="AG162" s="110">
        <f>+'Gantt Proyectos'!AE230</f>
        <v>0</v>
      </c>
      <c r="AH162" s="172">
        <v>1</v>
      </c>
      <c r="AI162" s="466">
        <f>IFERROR(IF('Gantt Proyectos'!AF230&lt;2,$N162*'Gantt Proyectos'!AF230,IF('Gantt Proyectos'!AF230=2,$N162*('Gantt Proyectos'!AF230-1))),0)*$L162*$Q162</f>
        <v>0</v>
      </c>
      <c r="AJ162" s="467">
        <f>IFERROR(IF('Gantt Proyectos'!AG230&lt;2,$N162*'Gantt Proyectos'!AG230,IF('Gantt Proyectos'!AG230=2,$N162*('Gantt Proyectos'!AG230-1))),0)*$L162*$Q162</f>
        <v>0</v>
      </c>
      <c r="AK162" s="467">
        <f>IFERROR(IF('Gantt Proyectos'!AH230&lt;2,$N162*'Gantt Proyectos'!AH230,IF('Gantt Proyectos'!AH230=2,$N162*('Gantt Proyectos'!AH230-1))),0)*$L162*$Q162</f>
        <v>0</v>
      </c>
      <c r="AL162" s="467">
        <f>IFERROR(IF('Gantt Proyectos'!AI230&lt;2,$N162*'Gantt Proyectos'!AI230,IF('Gantt Proyectos'!AI230=2,$N162*('Gantt Proyectos'!AI230-1))),0)*$L162*$Q162</f>
        <v>0</v>
      </c>
      <c r="AM162" s="467">
        <f>IFERROR(IF('Gantt Proyectos'!AJ230&lt;2,$N162*'Gantt Proyectos'!AJ230,IF('Gantt Proyectos'!AJ230=2,$N162*('Gantt Proyectos'!AJ230-1))),0)*$L162*$Q162</f>
        <v>0</v>
      </c>
      <c r="AN162" s="467">
        <f>IFERROR(IF('Gantt Proyectos'!AK230&lt;2,$N162*'Gantt Proyectos'!AK230,IF('Gantt Proyectos'!AK230=2,$N162*('Gantt Proyectos'!AK230-1))),0)*$L162*$Q162</f>
        <v>0</v>
      </c>
      <c r="AO162" s="467">
        <f>IFERROR(IF('Gantt Proyectos'!AL230&lt;2,$N162*'Gantt Proyectos'!AL230,IF('Gantt Proyectos'!AL230=2,$N162*('Gantt Proyectos'!AL230-1))),0)*$L162*$Q162</f>
        <v>0</v>
      </c>
      <c r="AP162" s="467">
        <f>IFERROR(IF('Gantt Proyectos'!AM230&lt;2,$N162*'Gantt Proyectos'!AM230,IF('Gantt Proyectos'!AM230=2,$N162*('Gantt Proyectos'!AM230-1))),0)*$L162*$Q162</f>
        <v>0</v>
      </c>
      <c r="AQ162" s="468">
        <f>IFERROR(IF('Gantt Proyectos'!AN230&lt;2,$N162*'Gantt Proyectos'!AN230,IF('Gantt Proyectos'!AN230=2,$N162*('Gantt Proyectos'!AN230-1))),0)*$L162*$Q162</f>
        <v>0</v>
      </c>
    </row>
    <row r="163" spans="3:43" ht="15" x14ac:dyDescent="0.2">
      <c r="C163" s="110">
        <f>+'Gantt Proyectos'!C231</f>
        <v>0</v>
      </c>
      <c r="D163" s="110">
        <f>+'Gantt Proyectos'!D231</f>
        <v>0</v>
      </c>
      <c r="E163" s="110">
        <f>+'Gantt Proyectos'!E231</f>
        <v>0</v>
      </c>
      <c r="F163" s="148">
        <f>+'Gantt Proyectos'!F231</f>
        <v>0</v>
      </c>
      <c r="G163" s="110">
        <f>+'Gantt Proyectos'!G231</f>
        <v>0</v>
      </c>
      <c r="H163" s="110">
        <f>+'Gantt Proyectos'!H231</f>
        <v>0</v>
      </c>
      <c r="I163" s="189">
        <v>1</v>
      </c>
      <c r="J163" s="189">
        <f t="shared" si="10"/>
        <v>0</v>
      </c>
      <c r="K163" s="110">
        <f>+'Gantt Proyectos'!I231</f>
        <v>0</v>
      </c>
      <c r="L163" s="110">
        <f>+'Gantt Proyectos'!J231</f>
        <v>0</v>
      </c>
      <c r="M163" s="110">
        <f>+'Gantt Proyectos'!K231</f>
        <v>0</v>
      </c>
      <c r="N163" s="110">
        <f>+'Gantt Proyectos'!L231</f>
        <v>0</v>
      </c>
      <c r="O163" s="110">
        <f>+'Gantt Proyectos'!M231</f>
        <v>0</v>
      </c>
      <c r="P163" s="110">
        <f>+'Gantt Proyectos'!N231</f>
        <v>0</v>
      </c>
      <c r="Q163" s="472">
        <v>1</v>
      </c>
      <c r="R163" s="110">
        <f>+'Gantt Proyectos'!O231</f>
        <v>0</v>
      </c>
      <c r="S163" s="110">
        <f>+'Gantt Proyectos'!P231</f>
        <v>0</v>
      </c>
      <c r="T163" s="110">
        <f>+'Gantt Proyectos'!R231</f>
        <v>0</v>
      </c>
      <c r="U163" s="118">
        <f>+'Gantt Proyectos'!S231</f>
        <v>0</v>
      </c>
      <c r="V163" s="157">
        <f>+'Gantt Proyectos'!T231</f>
        <v>0</v>
      </c>
      <c r="W163" s="157">
        <f>+'Gantt Proyectos'!U231</f>
        <v>0</v>
      </c>
      <c r="X163" s="201">
        <f t="shared" si="11"/>
        <v>0</v>
      </c>
      <c r="Y163" s="110">
        <f>+'Gantt Proyectos'!W231</f>
        <v>0</v>
      </c>
      <c r="Z163" s="110">
        <f>+'Gantt Proyectos'!X231</f>
        <v>0</v>
      </c>
      <c r="AA163" s="110">
        <f>+'Gantt Proyectos'!Y231</f>
        <v>0</v>
      </c>
      <c r="AB163" s="110">
        <f>+'Gantt Proyectos'!Z231</f>
        <v>0</v>
      </c>
      <c r="AC163" s="110">
        <f>+'Gantt Proyectos'!AA231</f>
        <v>0</v>
      </c>
      <c r="AD163" s="110">
        <f>+'Gantt Proyectos'!AB231</f>
        <v>0</v>
      </c>
      <c r="AE163" s="110">
        <f>+'Gantt Proyectos'!AC231</f>
        <v>0</v>
      </c>
      <c r="AF163" s="110">
        <f>+'Gantt Proyectos'!AD231</f>
        <v>0</v>
      </c>
      <c r="AG163" s="110">
        <f>+'Gantt Proyectos'!AE231</f>
        <v>0</v>
      </c>
      <c r="AH163" s="172">
        <v>1</v>
      </c>
      <c r="AI163" s="466">
        <f>IFERROR(IF('Gantt Proyectos'!AF231&lt;2,$N163*'Gantt Proyectos'!AF231,IF('Gantt Proyectos'!AF231=2,$N163*('Gantt Proyectos'!AF231-1))),0)*$L163*$Q163</f>
        <v>0</v>
      </c>
      <c r="AJ163" s="467">
        <f>IFERROR(IF('Gantt Proyectos'!AG231&lt;2,$N163*'Gantt Proyectos'!AG231,IF('Gantt Proyectos'!AG231=2,$N163*('Gantt Proyectos'!AG231-1))),0)*$L163*$Q163</f>
        <v>0</v>
      </c>
      <c r="AK163" s="467">
        <f>IFERROR(IF('Gantt Proyectos'!AH231&lt;2,$N163*'Gantt Proyectos'!AH231,IF('Gantt Proyectos'!AH231=2,$N163*('Gantt Proyectos'!AH231-1))),0)*$L163*$Q163</f>
        <v>0</v>
      </c>
      <c r="AL163" s="467">
        <f>IFERROR(IF('Gantt Proyectos'!AI231&lt;2,$N163*'Gantt Proyectos'!AI231,IF('Gantt Proyectos'!AI231=2,$N163*('Gantt Proyectos'!AI231-1))),0)*$L163*$Q163</f>
        <v>0</v>
      </c>
      <c r="AM163" s="467">
        <f>IFERROR(IF('Gantt Proyectos'!AJ231&lt;2,$N163*'Gantt Proyectos'!AJ231,IF('Gantt Proyectos'!AJ231=2,$N163*('Gantt Proyectos'!AJ231-1))),0)*$L163*$Q163</f>
        <v>0</v>
      </c>
      <c r="AN163" s="467">
        <f>IFERROR(IF('Gantt Proyectos'!AK231&lt;2,$N163*'Gantt Proyectos'!AK231,IF('Gantt Proyectos'!AK231=2,$N163*('Gantt Proyectos'!AK231-1))),0)*$L163*$Q163</f>
        <v>0</v>
      </c>
      <c r="AO163" s="467">
        <f>IFERROR(IF('Gantt Proyectos'!AL231&lt;2,$N163*'Gantt Proyectos'!AL231,IF('Gantt Proyectos'!AL231=2,$N163*('Gantt Proyectos'!AL231-1))),0)*$L163*$Q163</f>
        <v>0</v>
      </c>
      <c r="AP163" s="467">
        <f>IFERROR(IF('Gantt Proyectos'!AM231&lt;2,$N163*'Gantt Proyectos'!AM231,IF('Gantt Proyectos'!AM231=2,$N163*('Gantt Proyectos'!AM231-1))),0)*$L163*$Q163</f>
        <v>0</v>
      </c>
      <c r="AQ163" s="468">
        <f>IFERROR(IF('Gantt Proyectos'!AN231&lt;2,$N163*'Gantt Proyectos'!AN231,IF('Gantt Proyectos'!AN231=2,$N163*('Gantt Proyectos'!AN231-1))),0)*$L163*$Q163</f>
        <v>0</v>
      </c>
    </row>
    <row r="164" spans="3:43" ht="15" x14ac:dyDescent="0.2">
      <c r="C164" s="110">
        <f>+'Gantt Proyectos'!C232</f>
        <v>0</v>
      </c>
      <c r="D164" s="110">
        <f>+'Gantt Proyectos'!D232</f>
        <v>0</v>
      </c>
      <c r="E164" s="110">
        <f>+'Gantt Proyectos'!E232</f>
        <v>0</v>
      </c>
      <c r="F164" s="148">
        <f>+'Gantt Proyectos'!F232</f>
        <v>0</v>
      </c>
      <c r="G164" s="110">
        <f>+'Gantt Proyectos'!G232</f>
        <v>0</v>
      </c>
      <c r="H164" s="110">
        <f>+'Gantt Proyectos'!H232</f>
        <v>0</v>
      </c>
      <c r="I164" s="189">
        <v>1</v>
      </c>
      <c r="J164" s="189">
        <f t="shared" si="10"/>
        <v>0</v>
      </c>
      <c r="K164" s="110">
        <f>+'Gantt Proyectos'!I232</f>
        <v>0</v>
      </c>
      <c r="L164" s="110">
        <f>+'Gantt Proyectos'!J232</f>
        <v>0</v>
      </c>
      <c r="M164" s="110">
        <f>+'Gantt Proyectos'!K232</f>
        <v>0</v>
      </c>
      <c r="N164" s="110">
        <f>+'Gantt Proyectos'!L232</f>
        <v>0</v>
      </c>
      <c r="O164" s="110">
        <f>+'Gantt Proyectos'!M232</f>
        <v>0</v>
      </c>
      <c r="P164" s="110">
        <f>+'Gantt Proyectos'!N232</f>
        <v>0</v>
      </c>
      <c r="Q164" s="472">
        <v>1</v>
      </c>
      <c r="R164" s="110">
        <f>+'Gantt Proyectos'!O232</f>
        <v>0</v>
      </c>
      <c r="S164" s="110">
        <f>+'Gantt Proyectos'!P232</f>
        <v>0</v>
      </c>
      <c r="T164" s="110">
        <f>+'Gantt Proyectos'!R232</f>
        <v>0</v>
      </c>
      <c r="U164" s="118">
        <f>+'Gantt Proyectos'!S232</f>
        <v>0</v>
      </c>
      <c r="V164" s="157">
        <f>+'Gantt Proyectos'!T232</f>
        <v>0</v>
      </c>
      <c r="W164" s="157">
        <f>+'Gantt Proyectos'!U232</f>
        <v>0</v>
      </c>
      <c r="X164" s="201">
        <f t="shared" si="11"/>
        <v>0</v>
      </c>
      <c r="Y164" s="110">
        <f>+'Gantt Proyectos'!W232</f>
        <v>0</v>
      </c>
      <c r="Z164" s="110">
        <f>+'Gantt Proyectos'!X232</f>
        <v>0</v>
      </c>
      <c r="AA164" s="110">
        <f>+'Gantt Proyectos'!Y232</f>
        <v>0</v>
      </c>
      <c r="AB164" s="110">
        <f>+'Gantt Proyectos'!Z232</f>
        <v>0</v>
      </c>
      <c r="AC164" s="110">
        <f>+'Gantt Proyectos'!AA232</f>
        <v>0</v>
      </c>
      <c r="AD164" s="110">
        <f>+'Gantt Proyectos'!AB232</f>
        <v>0</v>
      </c>
      <c r="AE164" s="110">
        <f>+'Gantt Proyectos'!AC232</f>
        <v>0</v>
      </c>
      <c r="AF164" s="110">
        <f>+'Gantt Proyectos'!AD232</f>
        <v>0</v>
      </c>
      <c r="AG164" s="110">
        <f>+'Gantt Proyectos'!AE232</f>
        <v>0</v>
      </c>
      <c r="AH164" s="172">
        <v>1</v>
      </c>
      <c r="AI164" s="466">
        <f>IFERROR(IF('Gantt Proyectos'!AF232&lt;2,$N164*'Gantt Proyectos'!AF232,IF('Gantt Proyectos'!AF232=2,$N164*('Gantt Proyectos'!AF232-1))),0)*$L164*$Q164</f>
        <v>0</v>
      </c>
      <c r="AJ164" s="467">
        <f>IFERROR(IF('Gantt Proyectos'!AG232&lt;2,$N164*'Gantt Proyectos'!AG232,IF('Gantt Proyectos'!AG232=2,$N164*('Gantt Proyectos'!AG232-1))),0)*$L164*$Q164</f>
        <v>0</v>
      </c>
      <c r="AK164" s="467">
        <f>IFERROR(IF('Gantt Proyectos'!AH232&lt;2,$N164*'Gantt Proyectos'!AH232,IF('Gantt Proyectos'!AH232=2,$N164*('Gantt Proyectos'!AH232-1))),0)*$L164*$Q164</f>
        <v>0</v>
      </c>
      <c r="AL164" s="467">
        <f>IFERROR(IF('Gantt Proyectos'!AI232&lt;2,$N164*'Gantt Proyectos'!AI232,IF('Gantt Proyectos'!AI232=2,$N164*('Gantt Proyectos'!AI232-1))),0)*$L164*$Q164</f>
        <v>0</v>
      </c>
      <c r="AM164" s="467">
        <f>IFERROR(IF('Gantt Proyectos'!AJ232&lt;2,$N164*'Gantt Proyectos'!AJ232,IF('Gantt Proyectos'!AJ232=2,$N164*('Gantt Proyectos'!AJ232-1))),0)*$L164*$Q164</f>
        <v>0</v>
      </c>
      <c r="AN164" s="467">
        <f>IFERROR(IF('Gantt Proyectos'!AK232&lt;2,$N164*'Gantt Proyectos'!AK232,IF('Gantt Proyectos'!AK232=2,$N164*('Gantt Proyectos'!AK232-1))),0)*$L164*$Q164</f>
        <v>0</v>
      </c>
      <c r="AO164" s="467">
        <f>IFERROR(IF('Gantt Proyectos'!AL232&lt;2,$N164*'Gantt Proyectos'!AL232,IF('Gantt Proyectos'!AL232=2,$N164*('Gantt Proyectos'!AL232-1))),0)*$L164*$Q164</f>
        <v>0</v>
      </c>
      <c r="AP164" s="467">
        <f>IFERROR(IF('Gantt Proyectos'!AM232&lt;2,$N164*'Gantt Proyectos'!AM232,IF('Gantt Proyectos'!AM232=2,$N164*('Gantt Proyectos'!AM232-1))),0)*$L164*$Q164</f>
        <v>0</v>
      </c>
      <c r="AQ164" s="468">
        <f>IFERROR(IF('Gantt Proyectos'!AN232&lt;2,$N164*'Gantt Proyectos'!AN232,IF('Gantt Proyectos'!AN232=2,$N164*('Gantt Proyectos'!AN232-1))),0)*$L164*$Q164</f>
        <v>0</v>
      </c>
    </row>
    <row r="165" spans="3:43" ht="15" x14ac:dyDescent="0.2">
      <c r="C165" s="110">
        <f>+'Gantt Proyectos'!C233</f>
        <v>0</v>
      </c>
      <c r="D165" s="110">
        <f>+'Gantt Proyectos'!D233</f>
        <v>0</v>
      </c>
      <c r="E165" s="110">
        <f>+'Gantt Proyectos'!E233</f>
        <v>0</v>
      </c>
      <c r="F165" s="148">
        <f>+'Gantt Proyectos'!F233</f>
        <v>0</v>
      </c>
      <c r="G165" s="110">
        <f>+'Gantt Proyectos'!G233</f>
        <v>0</v>
      </c>
      <c r="H165" s="110">
        <f>+'Gantt Proyectos'!H233</f>
        <v>0</v>
      </c>
      <c r="I165" s="189">
        <v>1</v>
      </c>
      <c r="J165" s="189">
        <f t="shared" si="10"/>
        <v>0</v>
      </c>
      <c r="K165" s="110">
        <f>+'Gantt Proyectos'!I233</f>
        <v>0</v>
      </c>
      <c r="L165" s="110">
        <f>+'Gantt Proyectos'!J233</f>
        <v>0</v>
      </c>
      <c r="M165" s="110">
        <f>+'Gantt Proyectos'!K233</f>
        <v>0</v>
      </c>
      <c r="N165" s="110">
        <f>+'Gantt Proyectos'!L233</f>
        <v>0</v>
      </c>
      <c r="O165" s="110">
        <f>+'Gantt Proyectos'!M233</f>
        <v>0</v>
      </c>
      <c r="P165" s="110">
        <f>+'Gantt Proyectos'!N233</f>
        <v>0</v>
      </c>
      <c r="Q165" s="472">
        <v>1</v>
      </c>
      <c r="R165" s="110">
        <f>+'Gantt Proyectos'!O233</f>
        <v>0</v>
      </c>
      <c r="S165" s="110">
        <f>+'Gantt Proyectos'!P233</f>
        <v>0</v>
      </c>
      <c r="T165" s="110">
        <f>+'Gantt Proyectos'!R233</f>
        <v>0</v>
      </c>
      <c r="U165" s="118">
        <f>+'Gantt Proyectos'!S233</f>
        <v>0</v>
      </c>
      <c r="V165" s="157">
        <f>+'Gantt Proyectos'!T233</f>
        <v>0</v>
      </c>
      <c r="W165" s="157">
        <f>+'Gantt Proyectos'!U233</f>
        <v>0</v>
      </c>
      <c r="X165" s="201">
        <f t="shared" si="11"/>
        <v>0</v>
      </c>
      <c r="Y165" s="110">
        <f>+'Gantt Proyectos'!W233</f>
        <v>0</v>
      </c>
      <c r="Z165" s="110">
        <f>+'Gantt Proyectos'!X233</f>
        <v>0</v>
      </c>
      <c r="AA165" s="110">
        <f>+'Gantt Proyectos'!Y233</f>
        <v>0</v>
      </c>
      <c r="AB165" s="110">
        <f>+'Gantt Proyectos'!Z233</f>
        <v>0</v>
      </c>
      <c r="AC165" s="110">
        <f>+'Gantt Proyectos'!AA233</f>
        <v>0</v>
      </c>
      <c r="AD165" s="110">
        <f>+'Gantt Proyectos'!AB233</f>
        <v>0</v>
      </c>
      <c r="AE165" s="110">
        <f>+'Gantt Proyectos'!AC233</f>
        <v>0</v>
      </c>
      <c r="AF165" s="110">
        <f>+'Gantt Proyectos'!AD233</f>
        <v>0</v>
      </c>
      <c r="AG165" s="110">
        <f>+'Gantt Proyectos'!AE233</f>
        <v>0</v>
      </c>
      <c r="AH165" s="172">
        <v>1</v>
      </c>
      <c r="AI165" s="466">
        <f>IFERROR(IF('Gantt Proyectos'!AF233&lt;2,$N165*'Gantt Proyectos'!AF233,IF('Gantt Proyectos'!AF233=2,$N165*('Gantt Proyectos'!AF233-1))),0)*$L165*$Q165</f>
        <v>0</v>
      </c>
      <c r="AJ165" s="467">
        <f>IFERROR(IF('Gantt Proyectos'!AG233&lt;2,$N165*'Gantt Proyectos'!AG233,IF('Gantt Proyectos'!AG233=2,$N165*('Gantt Proyectos'!AG233-1))),0)*$L165*$Q165</f>
        <v>0</v>
      </c>
      <c r="AK165" s="467">
        <f>IFERROR(IF('Gantt Proyectos'!AH233&lt;2,$N165*'Gantt Proyectos'!AH233,IF('Gantt Proyectos'!AH233=2,$N165*('Gantt Proyectos'!AH233-1))),0)*$L165*$Q165</f>
        <v>0</v>
      </c>
      <c r="AL165" s="467">
        <f>IFERROR(IF('Gantt Proyectos'!AI233&lt;2,$N165*'Gantt Proyectos'!AI233,IF('Gantt Proyectos'!AI233=2,$N165*('Gantt Proyectos'!AI233-1))),0)*$L165*$Q165</f>
        <v>0</v>
      </c>
      <c r="AM165" s="467">
        <f>IFERROR(IF('Gantt Proyectos'!AJ233&lt;2,$N165*'Gantt Proyectos'!AJ233,IF('Gantt Proyectos'!AJ233=2,$N165*('Gantt Proyectos'!AJ233-1))),0)*$L165*$Q165</f>
        <v>0</v>
      </c>
      <c r="AN165" s="467">
        <f>IFERROR(IF('Gantt Proyectos'!AK233&lt;2,$N165*'Gantt Proyectos'!AK233,IF('Gantt Proyectos'!AK233=2,$N165*('Gantt Proyectos'!AK233-1))),0)*$L165*$Q165</f>
        <v>0</v>
      </c>
      <c r="AO165" s="467">
        <f>IFERROR(IF('Gantt Proyectos'!AL233&lt;2,$N165*'Gantt Proyectos'!AL233,IF('Gantt Proyectos'!AL233=2,$N165*('Gantt Proyectos'!AL233-1))),0)*$L165*$Q165</f>
        <v>0</v>
      </c>
      <c r="AP165" s="467">
        <f>IFERROR(IF('Gantt Proyectos'!AM233&lt;2,$N165*'Gantt Proyectos'!AM233,IF('Gantt Proyectos'!AM233=2,$N165*('Gantt Proyectos'!AM233-1))),0)*$L165*$Q165</f>
        <v>0</v>
      </c>
      <c r="AQ165" s="468">
        <f>IFERROR(IF('Gantt Proyectos'!AN233&lt;2,$N165*'Gantt Proyectos'!AN233,IF('Gantt Proyectos'!AN233=2,$N165*('Gantt Proyectos'!AN233-1))),0)*$L165*$Q165</f>
        <v>0</v>
      </c>
    </row>
    <row r="166" spans="3:43" ht="15" x14ac:dyDescent="0.2">
      <c r="C166" s="110">
        <f>+'Gantt Proyectos'!C234</f>
        <v>0</v>
      </c>
      <c r="D166" s="110">
        <f>+'Gantt Proyectos'!D234</f>
        <v>0</v>
      </c>
      <c r="E166" s="110">
        <f>+'Gantt Proyectos'!E234</f>
        <v>0</v>
      </c>
      <c r="F166" s="148">
        <f>+'Gantt Proyectos'!F234</f>
        <v>0</v>
      </c>
      <c r="G166" s="110">
        <f>+'Gantt Proyectos'!G234</f>
        <v>0</v>
      </c>
      <c r="H166" s="110">
        <f>+'Gantt Proyectos'!H234</f>
        <v>0</v>
      </c>
      <c r="I166" s="189">
        <v>1</v>
      </c>
      <c r="J166" s="189">
        <f t="shared" si="10"/>
        <v>0</v>
      </c>
      <c r="K166" s="110">
        <f>+'Gantt Proyectos'!I234</f>
        <v>0</v>
      </c>
      <c r="L166" s="110">
        <f>+'Gantt Proyectos'!J234</f>
        <v>0</v>
      </c>
      <c r="M166" s="110">
        <f>+'Gantt Proyectos'!K234</f>
        <v>0</v>
      </c>
      <c r="N166" s="110">
        <f>+'Gantt Proyectos'!L234</f>
        <v>0</v>
      </c>
      <c r="O166" s="110">
        <f>+'Gantt Proyectos'!M234</f>
        <v>0</v>
      </c>
      <c r="P166" s="110">
        <f>+'Gantt Proyectos'!N234</f>
        <v>0</v>
      </c>
      <c r="Q166" s="472">
        <v>1</v>
      </c>
      <c r="R166" s="110">
        <f>+'Gantt Proyectos'!O234</f>
        <v>0</v>
      </c>
      <c r="S166" s="110">
        <f>+'Gantt Proyectos'!P234</f>
        <v>0</v>
      </c>
      <c r="T166" s="110">
        <f>+'Gantt Proyectos'!R234</f>
        <v>0</v>
      </c>
      <c r="U166" s="118">
        <f>+'Gantt Proyectos'!S234</f>
        <v>0</v>
      </c>
      <c r="V166" s="157">
        <f>+'Gantt Proyectos'!T234</f>
        <v>0</v>
      </c>
      <c r="W166" s="157">
        <f>+'Gantt Proyectos'!U234</f>
        <v>0</v>
      </c>
      <c r="X166" s="201">
        <f t="shared" si="11"/>
        <v>0</v>
      </c>
      <c r="Y166" s="110">
        <f>+'Gantt Proyectos'!W234</f>
        <v>0</v>
      </c>
      <c r="Z166" s="110">
        <f>+'Gantt Proyectos'!X234</f>
        <v>0</v>
      </c>
      <c r="AA166" s="110">
        <f>+'Gantt Proyectos'!Y234</f>
        <v>0</v>
      </c>
      <c r="AB166" s="110">
        <f>+'Gantt Proyectos'!Z234</f>
        <v>0</v>
      </c>
      <c r="AC166" s="110">
        <f>+'Gantt Proyectos'!AA234</f>
        <v>0</v>
      </c>
      <c r="AD166" s="110">
        <f>+'Gantt Proyectos'!AB234</f>
        <v>0</v>
      </c>
      <c r="AE166" s="110">
        <f>+'Gantt Proyectos'!AC234</f>
        <v>0</v>
      </c>
      <c r="AF166" s="110">
        <f>+'Gantt Proyectos'!AD234</f>
        <v>0</v>
      </c>
      <c r="AG166" s="110">
        <f>+'Gantt Proyectos'!AE234</f>
        <v>0</v>
      </c>
      <c r="AH166" s="172">
        <v>1</v>
      </c>
      <c r="AI166" s="466">
        <f>IFERROR(IF('Gantt Proyectos'!AF234&lt;2,$N166*'Gantt Proyectos'!AF234,IF('Gantt Proyectos'!AF234=2,$N166*('Gantt Proyectos'!AF234-1))),0)*$L166*$Q166</f>
        <v>0</v>
      </c>
      <c r="AJ166" s="467">
        <f>IFERROR(IF('Gantt Proyectos'!AG234&lt;2,$N166*'Gantt Proyectos'!AG234,IF('Gantt Proyectos'!AG234=2,$N166*('Gantt Proyectos'!AG234-1))),0)*$L166*$Q166</f>
        <v>0</v>
      </c>
      <c r="AK166" s="467">
        <f>IFERROR(IF('Gantt Proyectos'!AH234&lt;2,$N166*'Gantt Proyectos'!AH234,IF('Gantt Proyectos'!AH234=2,$N166*('Gantt Proyectos'!AH234-1))),0)*$L166*$Q166</f>
        <v>0</v>
      </c>
      <c r="AL166" s="467">
        <f>IFERROR(IF('Gantt Proyectos'!AI234&lt;2,$N166*'Gantt Proyectos'!AI234,IF('Gantt Proyectos'!AI234=2,$N166*('Gantt Proyectos'!AI234-1))),0)*$L166*$Q166</f>
        <v>0</v>
      </c>
      <c r="AM166" s="467">
        <f>IFERROR(IF('Gantt Proyectos'!AJ234&lt;2,$N166*'Gantt Proyectos'!AJ234,IF('Gantt Proyectos'!AJ234=2,$N166*('Gantt Proyectos'!AJ234-1))),0)*$L166*$Q166</f>
        <v>0</v>
      </c>
      <c r="AN166" s="467">
        <f>IFERROR(IF('Gantt Proyectos'!AK234&lt;2,$N166*'Gantt Proyectos'!AK234,IF('Gantt Proyectos'!AK234=2,$N166*('Gantt Proyectos'!AK234-1))),0)*$L166*$Q166</f>
        <v>0</v>
      </c>
      <c r="AO166" s="467">
        <f>IFERROR(IF('Gantt Proyectos'!AL234&lt;2,$N166*'Gantt Proyectos'!AL234,IF('Gantt Proyectos'!AL234=2,$N166*('Gantt Proyectos'!AL234-1))),0)*$L166*$Q166</f>
        <v>0</v>
      </c>
      <c r="AP166" s="467">
        <f>IFERROR(IF('Gantt Proyectos'!AM234&lt;2,$N166*'Gantt Proyectos'!AM234,IF('Gantt Proyectos'!AM234=2,$N166*('Gantt Proyectos'!AM234-1))),0)*$L166*$Q166</f>
        <v>0</v>
      </c>
      <c r="AQ166" s="468">
        <f>IFERROR(IF('Gantt Proyectos'!AN234&lt;2,$N166*'Gantt Proyectos'!AN234,IF('Gantt Proyectos'!AN234=2,$N166*('Gantt Proyectos'!AN234-1))),0)*$L166*$Q166</f>
        <v>0</v>
      </c>
    </row>
    <row r="167" spans="3:43" ht="15" x14ac:dyDescent="0.2">
      <c r="C167" s="110">
        <f>+'Gantt Proyectos'!C235</f>
        <v>0</v>
      </c>
      <c r="D167" s="110">
        <f>+'Gantt Proyectos'!D235</f>
        <v>0</v>
      </c>
      <c r="E167" s="110">
        <f>+'Gantt Proyectos'!E235</f>
        <v>0</v>
      </c>
      <c r="F167" s="148">
        <f>+'Gantt Proyectos'!F235</f>
        <v>0</v>
      </c>
      <c r="G167" s="110">
        <f>+'Gantt Proyectos'!G235</f>
        <v>0</v>
      </c>
      <c r="H167" s="110">
        <f>+'Gantt Proyectos'!H235</f>
        <v>0</v>
      </c>
      <c r="I167" s="189">
        <v>1</v>
      </c>
      <c r="J167" s="189">
        <f t="shared" si="10"/>
        <v>0</v>
      </c>
      <c r="K167" s="110">
        <f>+'Gantt Proyectos'!I235</f>
        <v>0</v>
      </c>
      <c r="L167" s="110">
        <f>+'Gantt Proyectos'!J235</f>
        <v>0</v>
      </c>
      <c r="M167" s="110">
        <f>+'Gantt Proyectos'!K235</f>
        <v>0</v>
      </c>
      <c r="N167" s="110">
        <f>+'Gantt Proyectos'!L235</f>
        <v>0</v>
      </c>
      <c r="O167" s="110">
        <f>+'Gantt Proyectos'!M235</f>
        <v>0</v>
      </c>
      <c r="P167" s="110">
        <f>+'Gantt Proyectos'!N235</f>
        <v>0</v>
      </c>
      <c r="Q167" s="472">
        <v>1</v>
      </c>
      <c r="R167" s="110">
        <f>+'Gantt Proyectos'!O235</f>
        <v>0</v>
      </c>
      <c r="S167" s="110">
        <f>+'Gantt Proyectos'!P235</f>
        <v>0</v>
      </c>
      <c r="T167" s="110">
        <f>+'Gantt Proyectos'!R235</f>
        <v>0</v>
      </c>
      <c r="U167" s="118">
        <f>+'Gantt Proyectos'!S235</f>
        <v>0</v>
      </c>
      <c r="V167" s="157">
        <f>+'Gantt Proyectos'!T235</f>
        <v>0</v>
      </c>
      <c r="W167" s="157">
        <f>+'Gantt Proyectos'!U235</f>
        <v>0</v>
      </c>
      <c r="X167" s="201">
        <f t="shared" si="11"/>
        <v>0</v>
      </c>
      <c r="Y167" s="110">
        <f>+'Gantt Proyectos'!W235</f>
        <v>0</v>
      </c>
      <c r="Z167" s="110">
        <f>+'Gantt Proyectos'!X235</f>
        <v>0</v>
      </c>
      <c r="AA167" s="110">
        <f>+'Gantt Proyectos'!Y235</f>
        <v>0</v>
      </c>
      <c r="AB167" s="110">
        <f>+'Gantt Proyectos'!Z235</f>
        <v>0</v>
      </c>
      <c r="AC167" s="110">
        <f>+'Gantt Proyectos'!AA235</f>
        <v>0</v>
      </c>
      <c r="AD167" s="110">
        <f>+'Gantt Proyectos'!AB235</f>
        <v>0</v>
      </c>
      <c r="AE167" s="110">
        <f>+'Gantt Proyectos'!AC235</f>
        <v>0</v>
      </c>
      <c r="AF167" s="110">
        <f>+'Gantt Proyectos'!AD235</f>
        <v>0</v>
      </c>
      <c r="AG167" s="110">
        <f>+'Gantt Proyectos'!AE235</f>
        <v>0</v>
      </c>
      <c r="AH167" s="172">
        <v>1</v>
      </c>
      <c r="AI167" s="466">
        <f>IFERROR(IF('Gantt Proyectos'!AF235&lt;2,$N167*'Gantt Proyectos'!AF235,IF('Gantt Proyectos'!AF235=2,$N167*('Gantt Proyectos'!AF235-1))),0)*$L167*$Q167</f>
        <v>0</v>
      </c>
      <c r="AJ167" s="467">
        <f>IFERROR(IF('Gantt Proyectos'!AG235&lt;2,$N167*'Gantt Proyectos'!AG235,IF('Gantt Proyectos'!AG235=2,$N167*('Gantt Proyectos'!AG235-1))),0)*$L167*$Q167</f>
        <v>0</v>
      </c>
      <c r="AK167" s="467">
        <f>IFERROR(IF('Gantt Proyectos'!AH235&lt;2,$N167*'Gantt Proyectos'!AH235,IF('Gantt Proyectos'!AH235=2,$N167*('Gantt Proyectos'!AH235-1))),0)*$L167*$Q167</f>
        <v>0</v>
      </c>
      <c r="AL167" s="467">
        <f>IFERROR(IF('Gantt Proyectos'!AI235&lt;2,$N167*'Gantt Proyectos'!AI235,IF('Gantt Proyectos'!AI235=2,$N167*('Gantt Proyectos'!AI235-1))),0)*$L167*$Q167</f>
        <v>0</v>
      </c>
      <c r="AM167" s="467">
        <f>IFERROR(IF('Gantt Proyectos'!AJ235&lt;2,$N167*'Gantt Proyectos'!AJ235,IF('Gantt Proyectos'!AJ235=2,$N167*('Gantt Proyectos'!AJ235-1))),0)*$L167*$Q167</f>
        <v>0</v>
      </c>
      <c r="AN167" s="467">
        <f>IFERROR(IF('Gantt Proyectos'!AK235&lt;2,$N167*'Gantt Proyectos'!AK235,IF('Gantt Proyectos'!AK235=2,$N167*('Gantt Proyectos'!AK235-1))),0)*$L167*$Q167</f>
        <v>0</v>
      </c>
      <c r="AO167" s="467">
        <f>IFERROR(IF('Gantt Proyectos'!AL235&lt;2,$N167*'Gantt Proyectos'!AL235,IF('Gantt Proyectos'!AL235=2,$N167*('Gantt Proyectos'!AL235-1))),0)*$L167*$Q167</f>
        <v>0</v>
      </c>
      <c r="AP167" s="467">
        <f>IFERROR(IF('Gantt Proyectos'!AM235&lt;2,$N167*'Gantt Proyectos'!AM235,IF('Gantt Proyectos'!AM235=2,$N167*('Gantt Proyectos'!AM235-1))),0)*$L167*$Q167</f>
        <v>0</v>
      </c>
      <c r="AQ167" s="468">
        <f>IFERROR(IF('Gantt Proyectos'!AN235&lt;2,$N167*'Gantt Proyectos'!AN235,IF('Gantt Proyectos'!AN235=2,$N167*('Gantt Proyectos'!AN235-1))),0)*$L167*$Q167</f>
        <v>0</v>
      </c>
    </row>
    <row r="168" spans="3:43" ht="15" x14ac:dyDescent="0.2">
      <c r="C168" s="110">
        <f>+'Gantt Proyectos'!C236</f>
        <v>0</v>
      </c>
      <c r="D168" s="110">
        <f>+'Gantt Proyectos'!D236</f>
        <v>0</v>
      </c>
      <c r="E168" s="110">
        <f>+'Gantt Proyectos'!E236</f>
        <v>0</v>
      </c>
      <c r="F168" s="148">
        <f>+'Gantt Proyectos'!F236</f>
        <v>0</v>
      </c>
      <c r="G168" s="110">
        <f>+'Gantt Proyectos'!G236</f>
        <v>0</v>
      </c>
      <c r="H168" s="110">
        <f>+'Gantt Proyectos'!H236</f>
        <v>0</v>
      </c>
      <c r="I168" s="189">
        <v>1</v>
      </c>
      <c r="J168" s="189">
        <f t="shared" si="10"/>
        <v>0</v>
      </c>
      <c r="K168" s="110">
        <f>+'Gantt Proyectos'!I236</f>
        <v>0</v>
      </c>
      <c r="L168" s="110">
        <f>+'Gantt Proyectos'!J236</f>
        <v>0</v>
      </c>
      <c r="M168" s="110">
        <f>+'Gantt Proyectos'!K236</f>
        <v>0</v>
      </c>
      <c r="N168" s="110">
        <f>+'Gantt Proyectos'!L236</f>
        <v>0</v>
      </c>
      <c r="O168" s="110">
        <f>+'Gantt Proyectos'!M236</f>
        <v>0</v>
      </c>
      <c r="P168" s="110">
        <f>+'Gantt Proyectos'!N236</f>
        <v>0</v>
      </c>
      <c r="Q168" s="472">
        <v>1</v>
      </c>
      <c r="R168" s="110">
        <f>+'Gantt Proyectos'!O236</f>
        <v>0</v>
      </c>
      <c r="S168" s="110">
        <f>+'Gantt Proyectos'!P236</f>
        <v>0</v>
      </c>
      <c r="T168" s="110">
        <f>+'Gantt Proyectos'!R236</f>
        <v>0</v>
      </c>
      <c r="U168" s="118">
        <f>+'Gantt Proyectos'!S236</f>
        <v>0</v>
      </c>
      <c r="V168" s="157">
        <f>+'Gantt Proyectos'!T236</f>
        <v>0</v>
      </c>
      <c r="W168" s="157">
        <f>+'Gantt Proyectos'!U236</f>
        <v>0</v>
      </c>
      <c r="X168" s="201">
        <f t="shared" si="11"/>
        <v>0</v>
      </c>
      <c r="Y168" s="110">
        <f>+'Gantt Proyectos'!W236</f>
        <v>0</v>
      </c>
      <c r="Z168" s="110">
        <f>+'Gantt Proyectos'!X236</f>
        <v>0</v>
      </c>
      <c r="AA168" s="110">
        <f>+'Gantt Proyectos'!Y236</f>
        <v>0</v>
      </c>
      <c r="AB168" s="110">
        <f>+'Gantt Proyectos'!Z236</f>
        <v>0</v>
      </c>
      <c r="AC168" s="110">
        <f>+'Gantt Proyectos'!AA236</f>
        <v>0</v>
      </c>
      <c r="AD168" s="110">
        <f>+'Gantt Proyectos'!AB236</f>
        <v>0</v>
      </c>
      <c r="AE168" s="110">
        <f>+'Gantt Proyectos'!AC236</f>
        <v>0</v>
      </c>
      <c r="AF168" s="110">
        <f>+'Gantt Proyectos'!AD236</f>
        <v>0</v>
      </c>
      <c r="AG168" s="110">
        <f>+'Gantt Proyectos'!AE236</f>
        <v>0</v>
      </c>
      <c r="AH168" s="172">
        <v>1</v>
      </c>
      <c r="AI168" s="466">
        <f>IFERROR(IF('Gantt Proyectos'!AF236&lt;2,$N168*'Gantt Proyectos'!AF236,IF('Gantt Proyectos'!AF236=2,$N168*('Gantt Proyectos'!AF236-1))),0)*$L168*$Q168</f>
        <v>0</v>
      </c>
      <c r="AJ168" s="467">
        <f>IFERROR(IF('Gantt Proyectos'!AG236&lt;2,$N168*'Gantt Proyectos'!AG236,IF('Gantt Proyectos'!AG236=2,$N168*('Gantt Proyectos'!AG236-1))),0)*$L168*$Q168</f>
        <v>0</v>
      </c>
      <c r="AK168" s="467">
        <f>IFERROR(IF('Gantt Proyectos'!AH236&lt;2,$N168*'Gantt Proyectos'!AH236,IF('Gantt Proyectos'!AH236=2,$N168*('Gantt Proyectos'!AH236-1))),0)*$L168*$Q168</f>
        <v>0</v>
      </c>
      <c r="AL168" s="467">
        <f>IFERROR(IF('Gantt Proyectos'!AI236&lt;2,$N168*'Gantt Proyectos'!AI236,IF('Gantt Proyectos'!AI236=2,$N168*('Gantt Proyectos'!AI236-1))),0)*$L168*$Q168</f>
        <v>0</v>
      </c>
      <c r="AM168" s="467">
        <f>IFERROR(IF('Gantt Proyectos'!AJ236&lt;2,$N168*'Gantt Proyectos'!AJ236,IF('Gantt Proyectos'!AJ236=2,$N168*('Gantt Proyectos'!AJ236-1))),0)*$L168*$Q168</f>
        <v>0</v>
      </c>
      <c r="AN168" s="467">
        <f>IFERROR(IF('Gantt Proyectos'!AK236&lt;2,$N168*'Gantt Proyectos'!AK236,IF('Gantt Proyectos'!AK236=2,$N168*('Gantt Proyectos'!AK236-1))),0)*$L168*$Q168</f>
        <v>0</v>
      </c>
      <c r="AO168" s="467">
        <f>IFERROR(IF('Gantt Proyectos'!AL236&lt;2,$N168*'Gantt Proyectos'!AL236,IF('Gantt Proyectos'!AL236=2,$N168*('Gantt Proyectos'!AL236-1))),0)*$L168*$Q168</f>
        <v>0</v>
      </c>
      <c r="AP168" s="467">
        <f>IFERROR(IF('Gantt Proyectos'!AM236&lt;2,$N168*'Gantt Proyectos'!AM236,IF('Gantt Proyectos'!AM236=2,$N168*('Gantt Proyectos'!AM236-1))),0)*$L168*$Q168</f>
        <v>0</v>
      </c>
      <c r="AQ168" s="468">
        <f>IFERROR(IF('Gantt Proyectos'!AN236&lt;2,$N168*'Gantt Proyectos'!AN236,IF('Gantt Proyectos'!AN236=2,$N168*('Gantt Proyectos'!AN236-1))),0)*$L168*$Q168</f>
        <v>0</v>
      </c>
    </row>
    <row r="169" spans="3:43" ht="15" x14ac:dyDescent="0.2">
      <c r="C169" s="110">
        <f>+'Gantt Proyectos'!C237</f>
        <v>0</v>
      </c>
      <c r="D169" s="110">
        <f>+'Gantt Proyectos'!D237</f>
        <v>0</v>
      </c>
      <c r="E169" s="110">
        <f>+'Gantt Proyectos'!E237</f>
        <v>0</v>
      </c>
      <c r="F169" s="148">
        <f>+'Gantt Proyectos'!F237</f>
        <v>0</v>
      </c>
      <c r="G169" s="110">
        <f>+'Gantt Proyectos'!G237</f>
        <v>0</v>
      </c>
      <c r="H169" s="110">
        <f>+'Gantt Proyectos'!H237</f>
        <v>0</v>
      </c>
      <c r="I169" s="189">
        <v>1</v>
      </c>
      <c r="J169" s="189">
        <f t="shared" si="10"/>
        <v>0</v>
      </c>
      <c r="K169" s="110">
        <f>+'Gantt Proyectos'!I237</f>
        <v>0</v>
      </c>
      <c r="L169" s="110">
        <f>+'Gantt Proyectos'!J237</f>
        <v>0</v>
      </c>
      <c r="M169" s="110">
        <f>+'Gantt Proyectos'!K237</f>
        <v>0</v>
      </c>
      <c r="N169" s="110">
        <f>+'Gantt Proyectos'!L237</f>
        <v>0</v>
      </c>
      <c r="O169" s="110">
        <f>+'Gantt Proyectos'!M237</f>
        <v>0</v>
      </c>
      <c r="P169" s="110">
        <f>+'Gantt Proyectos'!N237</f>
        <v>0</v>
      </c>
      <c r="Q169" s="472">
        <v>1</v>
      </c>
      <c r="R169" s="110">
        <f>+'Gantt Proyectos'!O237</f>
        <v>0</v>
      </c>
      <c r="S169" s="110">
        <f>+'Gantt Proyectos'!P237</f>
        <v>0</v>
      </c>
      <c r="T169" s="110">
        <f>+'Gantt Proyectos'!R237</f>
        <v>0</v>
      </c>
      <c r="U169" s="118">
        <f>+'Gantt Proyectos'!S237</f>
        <v>0</v>
      </c>
      <c r="V169" s="157">
        <f>+'Gantt Proyectos'!T237</f>
        <v>0</v>
      </c>
      <c r="W169" s="157">
        <f>+'Gantt Proyectos'!U237</f>
        <v>0</v>
      </c>
      <c r="X169" s="201">
        <f t="shared" si="11"/>
        <v>0</v>
      </c>
      <c r="Y169" s="110">
        <f>+'Gantt Proyectos'!W237</f>
        <v>0</v>
      </c>
      <c r="Z169" s="110">
        <f>+'Gantt Proyectos'!X237</f>
        <v>0</v>
      </c>
      <c r="AA169" s="110">
        <f>+'Gantt Proyectos'!Y237</f>
        <v>0</v>
      </c>
      <c r="AB169" s="110">
        <f>+'Gantt Proyectos'!Z237</f>
        <v>0</v>
      </c>
      <c r="AC169" s="110">
        <f>+'Gantt Proyectos'!AA237</f>
        <v>0</v>
      </c>
      <c r="AD169" s="110">
        <f>+'Gantt Proyectos'!AB237</f>
        <v>0</v>
      </c>
      <c r="AE169" s="110">
        <f>+'Gantt Proyectos'!AC237</f>
        <v>0</v>
      </c>
      <c r="AF169" s="110">
        <f>+'Gantt Proyectos'!AD237</f>
        <v>0</v>
      </c>
      <c r="AG169" s="110">
        <f>+'Gantt Proyectos'!AE237</f>
        <v>0</v>
      </c>
      <c r="AH169" s="172">
        <v>1</v>
      </c>
      <c r="AI169" s="466">
        <f>IFERROR(IF('Gantt Proyectos'!AF237&lt;2,$N169*'Gantt Proyectos'!AF237,IF('Gantt Proyectos'!AF237=2,$N169*('Gantt Proyectos'!AF237-1))),0)*$L169*$Q169</f>
        <v>0</v>
      </c>
      <c r="AJ169" s="467">
        <f>IFERROR(IF('Gantt Proyectos'!AG237&lt;2,$N169*'Gantt Proyectos'!AG237,IF('Gantt Proyectos'!AG237=2,$N169*('Gantt Proyectos'!AG237-1))),0)*$L169*$Q169</f>
        <v>0</v>
      </c>
      <c r="AK169" s="467">
        <f>IFERROR(IF('Gantt Proyectos'!AH237&lt;2,$N169*'Gantt Proyectos'!AH237,IF('Gantt Proyectos'!AH237=2,$N169*('Gantt Proyectos'!AH237-1))),0)*$L169*$Q169</f>
        <v>0</v>
      </c>
      <c r="AL169" s="467">
        <f>IFERROR(IF('Gantt Proyectos'!AI237&lt;2,$N169*'Gantt Proyectos'!AI237,IF('Gantt Proyectos'!AI237=2,$N169*('Gantt Proyectos'!AI237-1))),0)*$L169*$Q169</f>
        <v>0</v>
      </c>
      <c r="AM169" s="467">
        <f>IFERROR(IF('Gantt Proyectos'!AJ237&lt;2,$N169*'Gantt Proyectos'!AJ237,IF('Gantt Proyectos'!AJ237=2,$N169*('Gantt Proyectos'!AJ237-1))),0)*$L169*$Q169</f>
        <v>0</v>
      </c>
      <c r="AN169" s="467">
        <f>IFERROR(IF('Gantt Proyectos'!AK237&lt;2,$N169*'Gantt Proyectos'!AK237,IF('Gantt Proyectos'!AK237=2,$N169*('Gantt Proyectos'!AK237-1))),0)*$L169*$Q169</f>
        <v>0</v>
      </c>
      <c r="AO169" s="467">
        <f>IFERROR(IF('Gantt Proyectos'!AL237&lt;2,$N169*'Gantt Proyectos'!AL237,IF('Gantt Proyectos'!AL237=2,$N169*('Gantt Proyectos'!AL237-1))),0)*$L169*$Q169</f>
        <v>0</v>
      </c>
      <c r="AP169" s="467">
        <f>IFERROR(IF('Gantt Proyectos'!AM237&lt;2,$N169*'Gantt Proyectos'!AM237,IF('Gantt Proyectos'!AM237=2,$N169*('Gantt Proyectos'!AM237-1))),0)*$L169*$Q169</f>
        <v>0</v>
      </c>
      <c r="AQ169" s="468">
        <f>IFERROR(IF('Gantt Proyectos'!AN237&lt;2,$N169*'Gantt Proyectos'!AN237,IF('Gantt Proyectos'!AN237=2,$N169*('Gantt Proyectos'!AN237-1))),0)*$L169*$Q169</f>
        <v>0</v>
      </c>
    </row>
    <row r="170" spans="3:43" ht="15" x14ac:dyDescent="0.2">
      <c r="C170" s="110">
        <f>+'Gantt Proyectos'!C238</f>
        <v>0</v>
      </c>
      <c r="D170" s="110">
        <f>+'Gantt Proyectos'!D238</f>
        <v>0</v>
      </c>
      <c r="E170" s="110">
        <f>+'Gantt Proyectos'!E238</f>
        <v>0</v>
      </c>
      <c r="F170" s="148">
        <f>+'Gantt Proyectos'!F238</f>
        <v>0</v>
      </c>
      <c r="G170" s="110">
        <f>+'Gantt Proyectos'!G238</f>
        <v>0</v>
      </c>
      <c r="H170" s="110">
        <f>+'Gantt Proyectos'!H238</f>
        <v>0</v>
      </c>
      <c r="I170" s="189">
        <v>1</v>
      </c>
      <c r="J170" s="189">
        <f t="shared" si="10"/>
        <v>0</v>
      </c>
      <c r="K170" s="110">
        <f>+'Gantt Proyectos'!I238</f>
        <v>0</v>
      </c>
      <c r="L170" s="110">
        <f>+'Gantt Proyectos'!J238</f>
        <v>0</v>
      </c>
      <c r="M170" s="110">
        <f>+'Gantt Proyectos'!K238</f>
        <v>0</v>
      </c>
      <c r="N170" s="110">
        <f>+'Gantt Proyectos'!L238</f>
        <v>0</v>
      </c>
      <c r="O170" s="110">
        <f>+'Gantt Proyectos'!M238</f>
        <v>0</v>
      </c>
      <c r="P170" s="110">
        <f>+'Gantt Proyectos'!N238</f>
        <v>0</v>
      </c>
      <c r="Q170" s="472">
        <v>1</v>
      </c>
      <c r="R170" s="110">
        <f>+'Gantt Proyectos'!O238</f>
        <v>0</v>
      </c>
      <c r="S170" s="110">
        <f>+'Gantt Proyectos'!P238</f>
        <v>0</v>
      </c>
      <c r="T170" s="110">
        <f>+'Gantt Proyectos'!R238</f>
        <v>0</v>
      </c>
      <c r="U170" s="118">
        <f>+'Gantt Proyectos'!S238</f>
        <v>0</v>
      </c>
      <c r="V170" s="157">
        <f>+'Gantt Proyectos'!T238</f>
        <v>0</v>
      </c>
      <c r="W170" s="157">
        <f>+'Gantt Proyectos'!U238</f>
        <v>0</v>
      </c>
      <c r="X170" s="201">
        <f t="shared" si="11"/>
        <v>0</v>
      </c>
      <c r="Y170" s="110">
        <f>+'Gantt Proyectos'!W238</f>
        <v>0</v>
      </c>
      <c r="Z170" s="110">
        <f>+'Gantt Proyectos'!X238</f>
        <v>0</v>
      </c>
      <c r="AA170" s="110">
        <f>+'Gantt Proyectos'!Y238</f>
        <v>0</v>
      </c>
      <c r="AB170" s="110">
        <f>+'Gantt Proyectos'!Z238</f>
        <v>0</v>
      </c>
      <c r="AC170" s="110">
        <f>+'Gantt Proyectos'!AA238</f>
        <v>0</v>
      </c>
      <c r="AD170" s="110">
        <f>+'Gantt Proyectos'!AB238</f>
        <v>0</v>
      </c>
      <c r="AE170" s="110">
        <f>+'Gantt Proyectos'!AC238</f>
        <v>0</v>
      </c>
      <c r="AF170" s="110">
        <f>+'Gantt Proyectos'!AD238</f>
        <v>0</v>
      </c>
      <c r="AG170" s="110">
        <f>+'Gantt Proyectos'!AE238</f>
        <v>0</v>
      </c>
      <c r="AH170" s="172">
        <v>1</v>
      </c>
      <c r="AI170" s="466">
        <f>IFERROR(IF('Gantt Proyectos'!AF238&lt;2,$N170*'Gantt Proyectos'!AF238,IF('Gantt Proyectos'!AF238=2,$N170*('Gantt Proyectos'!AF238-1))),0)*$L170*$Q170</f>
        <v>0</v>
      </c>
      <c r="AJ170" s="467">
        <f>IFERROR(IF('Gantt Proyectos'!AG238&lt;2,$N170*'Gantt Proyectos'!AG238,IF('Gantt Proyectos'!AG238=2,$N170*('Gantt Proyectos'!AG238-1))),0)*$L170*$Q170</f>
        <v>0</v>
      </c>
      <c r="AK170" s="467">
        <f>IFERROR(IF('Gantt Proyectos'!AH238&lt;2,$N170*'Gantt Proyectos'!AH238,IF('Gantt Proyectos'!AH238=2,$N170*('Gantt Proyectos'!AH238-1))),0)*$L170*$Q170</f>
        <v>0</v>
      </c>
      <c r="AL170" s="467">
        <f>IFERROR(IF('Gantt Proyectos'!AI238&lt;2,$N170*'Gantt Proyectos'!AI238,IF('Gantt Proyectos'!AI238=2,$N170*('Gantt Proyectos'!AI238-1))),0)*$L170*$Q170</f>
        <v>0</v>
      </c>
      <c r="AM170" s="467">
        <f>IFERROR(IF('Gantt Proyectos'!AJ238&lt;2,$N170*'Gantt Proyectos'!AJ238,IF('Gantt Proyectos'!AJ238=2,$N170*('Gantt Proyectos'!AJ238-1))),0)*$L170*$Q170</f>
        <v>0</v>
      </c>
      <c r="AN170" s="467">
        <f>IFERROR(IF('Gantt Proyectos'!AK238&lt;2,$N170*'Gantt Proyectos'!AK238,IF('Gantt Proyectos'!AK238=2,$N170*('Gantt Proyectos'!AK238-1))),0)*$L170*$Q170</f>
        <v>0</v>
      </c>
      <c r="AO170" s="467">
        <f>IFERROR(IF('Gantt Proyectos'!AL238&lt;2,$N170*'Gantt Proyectos'!AL238,IF('Gantt Proyectos'!AL238=2,$N170*('Gantt Proyectos'!AL238-1))),0)*$L170*$Q170</f>
        <v>0</v>
      </c>
      <c r="AP170" s="467">
        <f>IFERROR(IF('Gantt Proyectos'!AM238&lt;2,$N170*'Gantt Proyectos'!AM238,IF('Gantt Proyectos'!AM238=2,$N170*('Gantt Proyectos'!AM238-1))),0)*$L170*$Q170</f>
        <v>0</v>
      </c>
      <c r="AQ170" s="468">
        <f>IFERROR(IF('Gantt Proyectos'!AN238&lt;2,$N170*'Gantt Proyectos'!AN238,IF('Gantt Proyectos'!AN238=2,$N170*('Gantt Proyectos'!AN238-1))),0)*$L170*$Q170</f>
        <v>0</v>
      </c>
    </row>
    <row r="171" spans="3:43" ht="15" x14ac:dyDescent="0.2">
      <c r="C171" s="110">
        <f>+'Gantt Proyectos'!C239</f>
        <v>0</v>
      </c>
      <c r="D171" s="110">
        <f>+'Gantt Proyectos'!D239</f>
        <v>0</v>
      </c>
      <c r="E171" s="110">
        <f>+'Gantt Proyectos'!E239</f>
        <v>0</v>
      </c>
      <c r="F171" s="148">
        <f>+'Gantt Proyectos'!F239</f>
        <v>0</v>
      </c>
      <c r="G171" s="110">
        <f>+'Gantt Proyectos'!G239</f>
        <v>0</v>
      </c>
      <c r="H171" s="110">
        <f>+'Gantt Proyectos'!H239</f>
        <v>0</v>
      </c>
      <c r="I171" s="189">
        <v>1</v>
      </c>
      <c r="J171" s="189">
        <f t="shared" si="10"/>
        <v>0</v>
      </c>
      <c r="K171" s="110">
        <f>+'Gantt Proyectos'!I239</f>
        <v>0</v>
      </c>
      <c r="L171" s="110">
        <f>+'Gantt Proyectos'!J239</f>
        <v>0</v>
      </c>
      <c r="M171" s="110">
        <f>+'Gantt Proyectos'!K239</f>
        <v>0</v>
      </c>
      <c r="N171" s="110">
        <f>+'Gantt Proyectos'!L239</f>
        <v>0</v>
      </c>
      <c r="O171" s="110">
        <f>+'Gantt Proyectos'!M239</f>
        <v>0</v>
      </c>
      <c r="P171" s="110">
        <f>+'Gantt Proyectos'!N239</f>
        <v>0</v>
      </c>
      <c r="Q171" s="472">
        <v>1</v>
      </c>
      <c r="R171" s="110">
        <f>+'Gantt Proyectos'!O239</f>
        <v>0</v>
      </c>
      <c r="S171" s="110">
        <f>+'Gantt Proyectos'!P239</f>
        <v>0</v>
      </c>
      <c r="T171" s="110">
        <f>+'Gantt Proyectos'!R239</f>
        <v>0</v>
      </c>
      <c r="U171" s="118">
        <f>+'Gantt Proyectos'!S239</f>
        <v>0</v>
      </c>
      <c r="V171" s="157">
        <f>+'Gantt Proyectos'!T239</f>
        <v>0</v>
      </c>
      <c r="W171" s="157">
        <f>+'Gantt Proyectos'!U239</f>
        <v>0</v>
      </c>
      <c r="X171" s="201">
        <f t="shared" si="11"/>
        <v>0</v>
      </c>
      <c r="Y171" s="110">
        <f>+'Gantt Proyectos'!W239</f>
        <v>0</v>
      </c>
      <c r="Z171" s="110">
        <f>+'Gantt Proyectos'!X239</f>
        <v>0</v>
      </c>
      <c r="AA171" s="110">
        <f>+'Gantt Proyectos'!Y239</f>
        <v>0</v>
      </c>
      <c r="AB171" s="110">
        <f>+'Gantt Proyectos'!Z239</f>
        <v>0</v>
      </c>
      <c r="AC171" s="110">
        <f>+'Gantt Proyectos'!AA239</f>
        <v>0</v>
      </c>
      <c r="AD171" s="110">
        <f>+'Gantt Proyectos'!AB239</f>
        <v>0</v>
      </c>
      <c r="AE171" s="110">
        <f>+'Gantt Proyectos'!AC239</f>
        <v>0</v>
      </c>
      <c r="AF171" s="110">
        <f>+'Gantt Proyectos'!AD239</f>
        <v>0</v>
      </c>
      <c r="AG171" s="110">
        <f>+'Gantt Proyectos'!AE239</f>
        <v>0</v>
      </c>
      <c r="AH171" s="172">
        <v>1</v>
      </c>
      <c r="AI171" s="466">
        <f>IFERROR(IF('Gantt Proyectos'!AF239&lt;2,$N171*'Gantt Proyectos'!AF239,IF('Gantt Proyectos'!AF239=2,$N171*('Gantt Proyectos'!AF239-1))),0)*$L171*$Q171</f>
        <v>0</v>
      </c>
      <c r="AJ171" s="467">
        <f>IFERROR(IF('Gantt Proyectos'!AG239&lt;2,$N171*'Gantt Proyectos'!AG239,IF('Gantt Proyectos'!AG239=2,$N171*('Gantt Proyectos'!AG239-1))),0)*$L171*$Q171</f>
        <v>0</v>
      </c>
      <c r="AK171" s="467">
        <f>IFERROR(IF('Gantt Proyectos'!AH239&lt;2,$N171*'Gantt Proyectos'!AH239,IF('Gantt Proyectos'!AH239=2,$N171*('Gantt Proyectos'!AH239-1))),0)*$L171*$Q171</f>
        <v>0</v>
      </c>
      <c r="AL171" s="467">
        <f>IFERROR(IF('Gantt Proyectos'!AI239&lt;2,$N171*'Gantt Proyectos'!AI239,IF('Gantt Proyectos'!AI239=2,$N171*('Gantt Proyectos'!AI239-1))),0)*$L171*$Q171</f>
        <v>0</v>
      </c>
      <c r="AM171" s="467">
        <f>IFERROR(IF('Gantt Proyectos'!AJ239&lt;2,$N171*'Gantt Proyectos'!AJ239,IF('Gantt Proyectos'!AJ239=2,$N171*('Gantt Proyectos'!AJ239-1))),0)*$L171*$Q171</f>
        <v>0</v>
      </c>
      <c r="AN171" s="467">
        <f>IFERROR(IF('Gantt Proyectos'!AK239&lt;2,$N171*'Gantt Proyectos'!AK239,IF('Gantt Proyectos'!AK239=2,$N171*('Gantt Proyectos'!AK239-1))),0)*$L171*$Q171</f>
        <v>0</v>
      </c>
      <c r="AO171" s="467">
        <f>IFERROR(IF('Gantt Proyectos'!AL239&lt;2,$N171*'Gantt Proyectos'!AL239,IF('Gantt Proyectos'!AL239=2,$N171*('Gantt Proyectos'!AL239-1))),0)*$L171*$Q171</f>
        <v>0</v>
      </c>
      <c r="AP171" s="467">
        <f>IFERROR(IF('Gantt Proyectos'!AM239&lt;2,$N171*'Gantt Proyectos'!AM239,IF('Gantt Proyectos'!AM239=2,$N171*('Gantt Proyectos'!AM239-1))),0)*$L171*$Q171</f>
        <v>0</v>
      </c>
      <c r="AQ171" s="468">
        <f>IFERROR(IF('Gantt Proyectos'!AN239&lt;2,$N171*'Gantt Proyectos'!AN239,IF('Gantt Proyectos'!AN239=2,$N171*('Gantt Proyectos'!AN239-1))),0)*$L171*$Q171</f>
        <v>0</v>
      </c>
    </row>
    <row r="172" spans="3:43" ht="15" x14ac:dyDescent="0.2">
      <c r="C172" s="110">
        <f>+'Gantt Proyectos'!C240</f>
        <v>0</v>
      </c>
      <c r="D172" s="110">
        <f>+'Gantt Proyectos'!D240</f>
        <v>0</v>
      </c>
      <c r="E172" s="110">
        <f>+'Gantt Proyectos'!E240</f>
        <v>0</v>
      </c>
      <c r="F172" s="148">
        <f>+'Gantt Proyectos'!F240</f>
        <v>0</v>
      </c>
      <c r="G172" s="110">
        <f>+'Gantt Proyectos'!G240</f>
        <v>0</v>
      </c>
      <c r="H172" s="110">
        <f>+'Gantt Proyectos'!H240</f>
        <v>0</v>
      </c>
      <c r="I172" s="189">
        <v>1</v>
      </c>
      <c r="J172" s="189">
        <f t="shared" si="10"/>
        <v>0</v>
      </c>
      <c r="K172" s="110">
        <f>+'Gantt Proyectos'!I240</f>
        <v>0</v>
      </c>
      <c r="L172" s="110">
        <f>+'Gantt Proyectos'!J240</f>
        <v>0</v>
      </c>
      <c r="M172" s="110">
        <f>+'Gantt Proyectos'!K240</f>
        <v>0</v>
      </c>
      <c r="N172" s="110">
        <f>+'Gantt Proyectos'!L240</f>
        <v>0</v>
      </c>
      <c r="O172" s="110">
        <f>+'Gantt Proyectos'!M240</f>
        <v>0</v>
      </c>
      <c r="P172" s="110">
        <f>+'Gantt Proyectos'!N240</f>
        <v>0</v>
      </c>
      <c r="Q172" s="472">
        <v>1</v>
      </c>
      <c r="R172" s="110">
        <f>+'Gantt Proyectos'!O240</f>
        <v>0</v>
      </c>
      <c r="S172" s="110">
        <f>+'Gantt Proyectos'!P240</f>
        <v>0</v>
      </c>
      <c r="T172" s="110">
        <f>+'Gantt Proyectos'!R240</f>
        <v>0</v>
      </c>
      <c r="U172" s="118">
        <f>+'Gantt Proyectos'!S240</f>
        <v>0</v>
      </c>
      <c r="V172" s="157">
        <f>+'Gantt Proyectos'!T240</f>
        <v>0</v>
      </c>
      <c r="W172" s="157">
        <f>+'Gantt Proyectos'!U240</f>
        <v>0</v>
      </c>
      <c r="X172" s="201">
        <f t="shared" si="11"/>
        <v>0</v>
      </c>
      <c r="Y172" s="110">
        <f>+'Gantt Proyectos'!W240</f>
        <v>0</v>
      </c>
      <c r="Z172" s="110">
        <f>+'Gantt Proyectos'!X240</f>
        <v>0</v>
      </c>
      <c r="AA172" s="110">
        <f>+'Gantt Proyectos'!Y240</f>
        <v>0</v>
      </c>
      <c r="AB172" s="110">
        <f>+'Gantt Proyectos'!Z240</f>
        <v>0</v>
      </c>
      <c r="AC172" s="110">
        <f>+'Gantt Proyectos'!AA240</f>
        <v>0</v>
      </c>
      <c r="AD172" s="110">
        <f>+'Gantt Proyectos'!AB240</f>
        <v>0</v>
      </c>
      <c r="AE172" s="110">
        <f>+'Gantt Proyectos'!AC240</f>
        <v>0</v>
      </c>
      <c r="AF172" s="110">
        <f>+'Gantt Proyectos'!AD240</f>
        <v>0</v>
      </c>
      <c r="AG172" s="110">
        <f>+'Gantt Proyectos'!AE240</f>
        <v>0</v>
      </c>
      <c r="AH172" s="172">
        <v>1</v>
      </c>
      <c r="AI172" s="466">
        <f>IFERROR(IF('Gantt Proyectos'!AF240&lt;2,$N172*'Gantt Proyectos'!AF240,IF('Gantt Proyectos'!AF240=2,$N172*('Gantt Proyectos'!AF240-1))),0)*$L172*$Q172</f>
        <v>0</v>
      </c>
      <c r="AJ172" s="467">
        <f>IFERROR(IF('Gantt Proyectos'!AG240&lt;2,$N172*'Gantt Proyectos'!AG240,IF('Gantt Proyectos'!AG240=2,$N172*('Gantt Proyectos'!AG240-1))),0)*$L172*$Q172</f>
        <v>0</v>
      </c>
      <c r="AK172" s="467">
        <f>IFERROR(IF('Gantt Proyectos'!AH240&lt;2,$N172*'Gantt Proyectos'!AH240,IF('Gantt Proyectos'!AH240=2,$N172*('Gantt Proyectos'!AH240-1))),0)*$L172*$Q172</f>
        <v>0</v>
      </c>
      <c r="AL172" s="467">
        <f>IFERROR(IF('Gantt Proyectos'!AI240&lt;2,$N172*'Gantt Proyectos'!AI240,IF('Gantt Proyectos'!AI240=2,$N172*('Gantt Proyectos'!AI240-1))),0)*$L172*$Q172</f>
        <v>0</v>
      </c>
      <c r="AM172" s="467">
        <f>IFERROR(IF('Gantt Proyectos'!AJ240&lt;2,$N172*'Gantt Proyectos'!AJ240,IF('Gantt Proyectos'!AJ240=2,$N172*('Gantt Proyectos'!AJ240-1))),0)*$L172*$Q172</f>
        <v>0</v>
      </c>
      <c r="AN172" s="467">
        <f>IFERROR(IF('Gantt Proyectos'!AK240&lt;2,$N172*'Gantt Proyectos'!AK240,IF('Gantt Proyectos'!AK240=2,$N172*('Gantt Proyectos'!AK240-1))),0)*$L172*$Q172</f>
        <v>0</v>
      </c>
      <c r="AO172" s="467">
        <f>IFERROR(IF('Gantt Proyectos'!AL240&lt;2,$N172*'Gantt Proyectos'!AL240,IF('Gantt Proyectos'!AL240=2,$N172*('Gantt Proyectos'!AL240-1))),0)*$L172*$Q172</f>
        <v>0</v>
      </c>
      <c r="AP172" s="467">
        <f>IFERROR(IF('Gantt Proyectos'!AM240&lt;2,$N172*'Gantt Proyectos'!AM240,IF('Gantt Proyectos'!AM240=2,$N172*('Gantt Proyectos'!AM240-1))),0)*$L172*$Q172</f>
        <v>0</v>
      </c>
      <c r="AQ172" s="468">
        <f>IFERROR(IF('Gantt Proyectos'!AN240&lt;2,$N172*'Gantt Proyectos'!AN240,IF('Gantt Proyectos'!AN240=2,$N172*('Gantt Proyectos'!AN240-1))),0)*$L172*$Q172</f>
        <v>0</v>
      </c>
    </row>
    <row r="173" spans="3:43" ht="15" x14ac:dyDescent="0.2">
      <c r="C173" s="110">
        <f>+'Gantt Proyectos'!C241</f>
        <v>0</v>
      </c>
      <c r="D173" s="110">
        <f>+'Gantt Proyectos'!D241</f>
        <v>0</v>
      </c>
      <c r="E173" s="110">
        <f>+'Gantt Proyectos'!E241</f>
        <v>0</v>
      </c>
      <c r="F173" s="148">
        <f>+'Gantt Proyectos'!F241</f>
        <v>0</v>
      </c>
      <c r="G173" s="110">
        <f>+'Gantt Proyectos'!G241</f>
        <v>0</v>
      </c>
      <c r="H173" s="110">
        <f>+'Gantt Proyectos'!H241</f>
        <v>0</v>
      </c>
      <c r="I173" s="189">
        <v>1</v>
      </c>
      <c r="J173" s="189">
        <f t="shared" si="10"/>
        <v>0</v>
      </c>
      <c r="K173" s="110">
        <f>+'Gantt Proyectos'!I241</f>
        <v>0</v>
      </c>
      <c r="L173" s="110">
        <f>+'Gantt Proyectos'!J241</f>
        <v>0</v>
      </c>
      <c r="M173" s="110">
        <f>+'Gantt Proyectos'!K241</f>
        <v>0</v>
      </c>
      <c r="N173" s="110">
        <f>+'Gantt Proyectos'!L241</f>
        <v>0</v>
      </c>
      <c r="O173" s="110">
        <f>+'Gantt Proyectos'!M241</f>
        <v>0</v>
      </c>
      <c r="P173" s="110">
        <f>+'Gantt Proyectos'!N241</f>
        <v>0</v>
      </c>
      <c r="Q173" s="472">
        <v>1</v>
      </c>
      <c r="R173" s="110">
        <f>+'Gantt Proyectos'!O241</f>
        <v>0</v>
      </c>
      <c r="S173" s="110">
        <f>+'Gantt Proyectos'!P241</f>
        <v>0</v>
      </c>
      <c r="T173" s="110">
        <f>+'Gantt Proyectos'!R241</f>
        <v>0</v>
      </c>
      <c r="U173" s="118">
        <f>+'Gantt Proyectos'!S241</f>
        <v>0</v>
      </c>
      <c r="V173" s="157">
        <f>+'Gantt Proyectos'!T241</f>
        <v>0</v>
      </c>
      <c r="W173" s="157">
        <f>+'Gantt Proyectos'!U241</f>
        <v>0</v>
      </c>
      <c r="X173" s="201">
        <f t="shared" si="11"/>
        <v>0</v>
      </c>
      <c r="Y173" s="110">
        <f>+'Gantt Proyectos'!W241</f>
        <v>0</v>
      </c>
      <c r="Z173" s="110">
        <f>+'Gantt Proyectos'!X241</f>
        <v>0</v>
      </c>
      <c r="AA173" s="110">
        <f>+'Gantt Proyectos'!Y241</f>
        <v>0</v>
      </c>
      <c r="AB173" s="110">
        <f>+'Gantt Proyectos'!Z241</f>
        <v>0</v>
      </c>
      <c r="AC173" s="110">
        <f>+'Gantt Proyectos'!AA241</f>
        <v>0</v>
      </c>
      <c r="AD173" s="110">
        <f>+'Gantt Proyectos'!AB241</f>
        <v>0</v>
      </c>
      <c r="AE173" s="110">
        <f>+'Gantt Proyectos'!AC241</f>
        <v>0</v>
      </c>
      <c r="AF173" s="110">
        <f>+'Gantt Proyectos'!AD241</f>
        <v>0</v>
      </c>
      <c r="AG173" s="110">
        <f>+'Gantt Proyectos'!AE241</f>
        <v>0</v>
      </c>
      <c r="AH173" s="172">
        <v>1</v>
      </c>
      <c r="AI173" s="466">
        <f>IFERROR(IF('Gantt Proyectos'!AF241&lt;2,$N173*'Gantt Proyectos'!AF241,IF('Gantt Proyectos'!AF241=2,$N173*('Gantt Proyectos'!AF241-1))),0)*$L173*$Q173</f>
        <v>0</v>
      </c>
      <c r="AJ173" s="467">
        <f>IFERROR(IF('Gantt Proyectos'!AG241&lt;2,$N173*'Gantt Proyectos'!AG241,IF('Gantt Proyectos'!AG241=2,$N173*('Gantt Proyectos'!AG241-1))),0)*$L173*$Q173</f>
        <v>0</v>
      </c>
      <c r="AK173" s="467">
        <f>IFERROR(IF('Gantt Proyectos'!AH241&lt;2,$N173*'Gantt Proyectos'!AH241,IF('Gantt Proyectos'!AH241=2,$N173*('Gantt Proyectos'!AH241-1))),0)*$L173*$Q173</f>
        <v>0</v>
      </c>
      <c r="AL173" s="467">
        <f>IFERROR(IF('Gantt Proyectos'!AI241&lt;2,$N173*'Gantt Proyectos'!AI241,IF('Gantt Proyectos'!AI241=2,$N173*('Gantt Proyectos'!AI241-1))),0)*$L173*$Q173</f>
        <v>0</v>
      </c>
      <c r="AM173" s="467">
        <f>IFERROR(IF('Gantt Proyectos'!AJ241&lt;2,$N173*'Gantt Proyectos'!AJ241,IF('Gantt Proyectos'!AJ241=2,$N173*('Gantt Proyectos'!AJ241-1))),0)*$L173*$Q173</f>
        <v>0</v>
      </c>
      <c r="AN173" s="467">
        <f>IFERROR(IF('Gantt Proyectos'!AK241&lt;2,$N173*'Gantt Proyectos'!AK241,IF('Gantt Proyectos'!AK241=2,$N173*('Gantt Proyectos'!AK241-1))),0)*$L173*$Q173</f>
        <v>0</v>
      </c>
      <c r="AO173" s="467">
        <f>IFERROR(IF('Gantt Proyectos'!AL241&lt;2,$N173*'Gantt Proyectos'!AL241,IF('Gantt Proyectos'!AL241=2,$N173*('Gantt Proyectos'!AL241-1))),0)*$L173*$Q173</f>
        <v>0</v>
      </c>
      <c r="AP173" s="467">
        <f>IFERROR(IF('Gantt Proyectos'!AM241&lt;2,$N173*'Gantt Proyectos'!AM241,IF('Gantt Proyectos'!AM241=2,$N173*('Gantt Proyectos'!AM241-1))),0)*$L173*$Q173</f>
        <v>0</v>
      </c>
      <c r="AQ173" s="468">
        <f>IFERROR(IF('Gantt Proyectos'!AN241&lt;2,$N173*'Gantt Proyectos'!AN241,IF('Gantt Proyectos'!AN241=2,$N173*('Gantt Proyectos'!AN241-1))),0)*$L173*$Q173</f>
        <v>0</v>
      </c>
    </row>
    <row r="174" spans="3:43" ht="15" x14ac:dyDescent="0.2">
      <c r="C174" s="110">
        <f>+'Gantt Proyectos'!C242</f>
        <v>0</v>
      </c>
      <c r="D174" s="110">
        <f>+'Gantt Proyectos'!D242</f>
        <v>0</v>
      </c>
      <c r="E174" s="110">
        <f>+'Gantt Proyectos'!E242</f>
        <v>0</v>
      </c>
      <c r="F174" s="148">
        <f>+'Gantt Proyectos'!F242</f>
        <v>0</v>
      </c>
      <c r="G174" s="110">
        <f>+'Gantt Proyectos'!G242</f>
        <v>0</v>
      </c>
      <c r="H174" s="110">
        <f>+'Gantt Proyectos'!H242</f>
        <v>0</v>
      </c>
      <c r="I174" s="189">
        <v>1</v>
      </c>
      <c r="J174" s="189">
        <f t="shared" si="10"/>
        <v>0</v>
      </c>
      <c r="K174" s="110">
        <f>+'Gantt Proyectos'!I242</f>
        <v>0</v>
      </c>
      <c r="L174" s="110">
        <f>+'Gantt Proyectos'!J242</f>
        <v>0</v>
      </c>
      <c r="M174" s="110">
        <f>+'Gantt Proyectos'!K242</f>
        <v>0</v>
      </c>
      <c r="N174" s="110">
        <f>+'Gantt Proyectos'!L242</f>
        <v>0</v>
      </c>
      <c r="O174" s="110">
        <f>+'Gantt Proyectos'!M242</f>
        <v>0</v>
      </c>
      <c r="P174" s="110">
        <f>+'Gantt Proyectos'!N242</f>
        <v>0</v>
      </c>
      <c r="Q174" s="472">
        <v>1</v>
      </c>
      <c r="R174" s="110">
        <f>+'Gantt Proyectos'!O242</f>
        <v>0</v>
      </c>
      <c r="S174" s="110">
        <f>+'Gantt Proyectos'!P242</f>
        <v>0</v>
      </c>
      <c r="T174" s="110">
        <f>+'Gantt Proyectos'!R242</f>
        <v>0</v>
      </c>
      <c r="U174" s="118">
        <f>+'Gantt Proyectos'!S242</f>
        <v>0</v>
      </c>
      <c r="V174" s="157">
        <f>+'Gantt Proyectos'!T242</f>
        <v>0</v>
      </c>
      <c r="W174" s="157">
        <f>+'Gantt Proyectos'!U242</f>
        <v>0</v>
      </c>
      <c r="X174" s="201">
        <f t="shared" si="11"/>
        <v>0</v>
      </c>
      <c r="Y174" s="110">
        <f>+'Gantt Proyectos'!W242</f>
        <v>0</v>
      </c>
      <c r="Z174" s="110">
        <f>+'Gantt Proyectos'!X242</f>
        <v>0</v>
      </c>
      <c r="AA174" s="110">
        <f>+'Gantt Proyectos'!Y242</f>
        <v>0</v>
      </c>
      <c r="AB174" s="110">
        <f>+'Gantt Proyectos'!Z242</f>
        <v>0</v>
      </c>
      <c r="AC174" s="110">
        <f>+'Gantt Proyectos'!AA242</f>
        <v>0</v>
      </c>
      <c r="AD174" s="110">
        <f>+'Gantt Proyectos'!AB242</f>
        <v>0</v>
      </c>
      <c r="AE174" s="110">
        <f>+'Gantt Proyectos'!AC242</f>
        <v>0</v>
      </c>
      <c r="AF174" s="110">
        <f>+'Gantt Proyectos'!AD242</f>
        <v>0</v>
      </c>
      <c r="AG174" s="110">
        <f>+'Gantt Proyectos'!AE242</f>
        <v>0</v>
      </c>
      <c r="AH174" s="172">
        <v>1</v>
      </c>
      <c r="AI174" s="466">
        <f>IFERROR(IF('Gantt Proyectos'!AF242&lt;2,$N174*'Gantt Proyectos'!AF242,IF('Gantt Proyectos'!AF242=2,$N174*('Gantt Proyectos'!AF242-1))),0)*$L174*$Q174</f>
        <v>0</v>
      </c>
      <c r="AJ174" s="467">
        <f>IFERROR(IF('Gantt Proyectos'!AG242&lt;2,$N174*'Gantt Proyectos'!AG242,IF('Gantt Proyectos'!AG242=2,$N174*('Gantt Proyectos'!AG242-1))),0)*$L174*$Q174</f>
        <v>0</v>
      </c>
      <c r="AK174" s="467">
        <f>IFERROR(IF('Gantt Proyectos'!AH242&lt;2,$N174*'Gantt Proyectos'!AH242,IF('Gantt Proyectos'!AH242=2,$N174*('Gantt Proyectos'!AH242-1))),0)*$L174*$Q174</f>
        <v>0</v>
      </c>
      <c r="AL174" s="467">
        <f>IFERROR(IF('Gantt Proyectos'!AI242&lt;2,$N174*'Gantt Proyectos'!AI242,IF('Gantt Proyectos'!AI242=2,$N174*('Gantt Proyectos'!AI242-1))),0)*$L174*$Q174</f>
        <v>0</v>
      </c>
      <c r="AM174" s="467">
        <f>IFERROR(IF('Gantt Proyectos'!AJ242&lt;2,$N174*'Gantt Proyectos'!AJ242,IF('Gantt Proyectos'!AJ242=2,$N174*('Gantt Proyectos'!AJ242-1))),0)*$L174*$Q174</f>
        <v>0</v>
      </c>
      <c r="AN174" s="467">
        <f>IFERROR(IF('Gantt Proyectos'!AK242&lt;2,$N174*'Gantt Proyectos'!AK242,IF('Gantt Proyectos'!AK242=2,$N174*('Gantt Proyectos'!AK242-1))),0)*$L174*$Q174</f>
        <v>0</v>
      </c>
      <c r="AO174" s="467">
        <f>IFERROR(IF('Gantt Proyectos'!AL242&lt;2,$N174*'Gantt Proyectos'!AL242,IF('Gantt Proyectos'!AL242=2,$N174*('Gantt Proyectos'!AL242-1))),0)*$L174*$Q174</f>
        <v>0</v>
      </c>
      <c r="AP174" s="467">
        <f>IFERROR(IF('Gantt Proyectos'!AM242&lt;2,$N174*'Gantt Proyectos'!AM242,IF('Gantt Proyectos'!AM242=2,$N174*('Gantt Proyectos'!AM242-1))),0)*$L174*$Q174</f>
        <v>0</v>
      </c>
      <c r="AQ174" s="468">
        <f>IFERROR(IF('Gantt Proyectos'!AN242&lt;2,$N174*'Gantt Proyectos'!AN242,IF('Gantt Proyectos'!AN242=2,$N174*('Gantt Proyectos'!AN242-1))),0)*$L174*$Q174</f>
        <v>0</v>
      </c>
    </row>
    <row r="175" spans="3:43" ht="15" x14ac:dyDescent="0.2">
      <c r="C175" s="110">
        <f>+'Gantt Proyectos'!C243</f>
        <v>0</v>
      </c>
      <c r="D175" s="110">
        <f>+'Gantt Proyectos'!D243</f>
        <v>0</v>
      </c>
      <c r="E175" s="110">
        <f>+'Gantt Proyectos'!E243</f>
        <v>0</v>
      </c>
      <c r="F175" s="148">
        <f>+'Gantt Proyectos'!F243</f>
        <v>0</v>
      </c>
      <c r="G175" s="110">
        <f>+'Gantt Proyectos'!G243</f>
        <v>0</v>
      </c>
      <c r="H175" s="110">
        <f>+'Gantt Proyectos'!H243</f>
        <v>0</v>
      </c>
      <c r="I175" s="189">
        <v>1</v>
      </c>
      <c r="J175" s="189">
        <f t="shared" si="10"/>
        <v>0</v>
      </c>
      <c r="K175" s="110">
        <f>+'Gantt Proyectos'!I243</f>
        <v>0</v>
      </c>
      <c r="L175" s="110">
        <f>+'Gantt Proyectos'!J243</f>
        <v>0</v>
      </c>
      <c r="M175" s="110">
        <f>+'Gantt Proyectos'!K243</f>
        <v>0</v>
      </c>
      <c r="N175" s="110">
        <f>+'Gantt Proyectos'!L243</f>
        <v>0</v>
      </c>
      <c r="O175" s="110">
        <f>+'Gantt Proyectos'!M243</f>
        <v>0</v>
      </c>
      <c r="P175" s="110">
        <f>+'Gantt Proyectos'!N243</f>
        <v>0</v>
      </c>
      <c r="Q175" s="472">
        <v>1</v>
      </c>
      <c r="R175" s="110">
        <f>+'Gantt Proyectos'!O243</f>
        <v>0</v>
      </c>
      <c r="S175" s="110">
        <f>+'Gantt Proyectos'!P243</f>
        <v>0</v>
      </c>
      <c r="T175" s="110">
        <f>+'Gantt Proyectos'!R243</f>
        <v>0</v>
      </c>
      <c r="U175" s="118">
        <f>+'Gantt Proyectos'!S243</f>
        <v>0</v>
      </c>
      <c r="V175" s="157">
        <f>+'Gantt Proyectos'!T243</f>
        <v>0</v>
      </c>
      <c r="W175" s="157">
        <f>+'Gantt Proyectos'!U243</f>
        <v>0</v>
      </c>
      <c r="X175" s="201">
        <f t="shared" si="11"/>
        <v>0</v>
      </c>
      <c r="Y175" s="110">
        <f>+'Gantt Proyectos'!W243</f>
        <v>0</v>
      </c>
      <c r="Z175" s="110">
        <f>+'Gantt Proyectos'!X243</f>
        <v>0</v>
      </c>
      <c r="AA175" s="110">
        <f>+'Gantt Proyectos'!Y243</f>
        <v>0</v>
      </c>
      <c r="AB175" s="110">
        <f>+'Gantt Proyectos'!Z243</f>
        <v>0</v>
      </c>
      <c r="AC175" s="110">
        <f>+'Gantt Proyectos'!AA243</f>
        <v>0</v>
      </c>
      <c r="AD175" s="110">
        <f>+'Gantt Proyectos'!AB243</f>
        <v>0</v>
      </c>
      <c r="AE175" s="110">
        <f>+'Gantt Proyectos'!AC243</f>
        <v>0</v>
      </c>
      <c r="AF175" s="110">
        <f>+'Gantt Proyectos'!AD243</f>
        <v>0</v>
      </c>
      <c r="AG175" s="110">
        <f>+'Gantt Proyectos'!AE243</f>
        <v>0</v>
      </c>
      <c r="AH175" s="172">
        <v>1</v>
      </c>
      <c r="AI175" s="466">
        <f>IFERROR(IF('Gantt Proyectos'!AF243&lt;2,$N175*'Gantt Proyectos'!AF243,IF('Gantt Proyectos'!AF243=2,$N175*('Gantt Proyectos'!AF243-1))),0)*$L175*$Q175</f>
        <v>0</v>
      </c>
      <c r="AJ175" s="467">
        <f>IFERROR(IF('Gantt Proyectos'!AG243&lt;2,$N175*'Gantt Proyectos'!AG243,IF('Gantt Proyectos'!AG243=2,$N175*('Gantt Proyectos'!AG243-1))),0)*$L175*$Q175</f>
        <v>0</v>
      </c>
      <c r="AK175" s="467">
        <f>IFERROR(IF('Gantt Proyectos'!AH243&lt;2,$N175*'Gantt Proyectos'!AH243,IF('Gantt Proyectos'!AH243=2,$N175*('Gantt Proyectos'!AH243-1))),0)*$L175*$Q175</f>
        <v>0</v>
      </c>
      <c r="AL175" s="467">
        <f>IFERROR(IF('Gantt Proyectos'!AI243&lt;2,$N175*'Gantt Proyectos'!AI243,IF('Gantt Proyectos'!AI243=2,$N175*('Gantt Proyectos'!AI243-1))),0)*$L175*$Q175</f>
        <v>0</v>
      </c>
      <c r="AM175" s="467">
        <f>IFERROR(IF('Gantt Proyectos'!AJ243&lt;2,$N175*'Gantt Proyectos'!AJ243,IF('Gantt Proyectos'!AJ243=2,$N175*('Gantt Proyectos'!AJ243-1))),0)*$L175*$Q175</f>
        <v>0</v>
      </c>
      <c r="AN175" s="467">
        <f>IFERROR(IF('Gantt Proyectos'!AK243&lt;2,$N175*'Gantt Proyectos'!AK243,IF('Gantt Proyectos'!AK243=2,$N175*('Gantt Proyectos'!AK243-1))),0)*$L175*$Q175</f>
        <v>0</v>
      </c>
      <c r="AO175" s="467">
        <f>IFERROR(IF('Gantt Proyectos'!AL243&lt;2,$N175*'Gantt Proyectos'!AL243,IF('Gantt Proyectos'!AL243=2,$N175*('Gantt Proyectos'!AL243-1))),0)*$L175*$Q175</f>
        <v>0</v>
      </c>
      <c r="AP175" s="467">
        <f>IFERROR(IF('Gantt Proyectos'!AM243&lt;2,$N175*'Gantt Proyectos'!AM243,IF('Gantt Proyectos'!AM243=2,$N175*('Gantt Proyectos'!AM243-1))),0)*$L175*$Q175</f>
        <v>0</v>
      </c>
      <c r="AQ175" s="468">
        <f>IFERROR(IF('Gantt Proyectos'!AN243&lt;2,$N175*'Gantt Proyectos'!AN243,IF('Gantt Proyectos'!AN243=2,$N175*('Gantt Proyectos'!AN243-1))),0)*$L175*$Q175</f>
        <v>0</v>
      </c>
    </row>
    <row r="176" spans="3:43" ht="15" x14ac:dyDescent="0.2">
      <c r="C176" s="110">
        <f>+'Gantt Proyectos'!C244</f>
        <v>0</v>
      </c>
      <c r="D176" s="110">
        <f>+'Gantt Proyectos'!D244</f>
        <v>0</v>
      </c>
      <c r="E176" s="110">
        <f>+'Gantt Proyectos'!E244</f>
        <v>0</v>
      </c>
      <c r="F176" s="148">
        <f>+'Gantt Proyectos'!F244</f>
        <v>0</v>
      </c>
      <c r="G176" s="110">
        <f>+'Gantt Proyectos'!G244</f>
        <v>0</v>
      </c>
      <c r="H176" s="110">
        <f>+'Gantt Proyectos'!H244</f>
        <v>0</v>
      </c>
      <c r="I176" s="189">
        <v>1</v>
      </c>
      <c r="J176" s="189">
        <f t="shared" si="10"/>
        <v>0</v>
      </c>
      <c r="K176" s="110">
        <f>+'Gantt Proyectos'!I244</f>
        <v>0</v>
      </c>
      <c r="L176" s="110">
        <f>+'Gantt Proyectos'!J244</f>
        <v>0</v>
      </c>
      <c r="M176" s="110">
        <f>+'Gantt Proyectos'!K244</f>
        <v>0</v>
      </c>
      <c r="N176" s="110">
        <f>+'Gantt Proyectos'!L244</f>
        <v>0</v>
      </c>
      <c r="O176" s="110">
        <f>+'Gantt Proyectos'!M244</f>
        <v>0</v>
      </c>
      <c r="P176" s="110">
        <f>+'Gantt Proyectos'!N244</f>
        <v>0</v>
      </c>
      <c r="Q176" s="472">
        <v>1</v>
      </c>
      <c r="R176" s="110">
        <f>+'Gantt Proyectos'!O244</f>
        <v>0</v>
      </c>
      <c r="S176" s="110">
        <f>+'Gantt Proyectos'!P244</f>
        <v>0</v>
      </c>
      <c r="T176" s="110">
        <f>+'Gantt Proyectos'!R244</f>
        <v>0</v>
      </c>
      <c r="U176" s="118">
        <f>+'Gantt Proyectos'!S244</f>
        <v>0</v>
      </c>
      <c r="V176" s="157">
        <f>+'Gantt Proyectos'!T244</f>
        <v>0</v>
      </c>
      <c r="W176" s="157">
        <f>+'Gantt Proyectos'!U244</f>
        <v>0</v>
      </c>
      <c r="X176" s="201">
        <f t="shared" si="11"/>
        <v>0</v>
      </c>
      <c r="Y176" s="110">
        <f>+'Gantt Proyectos'!W244</f>
        <v>0</v>
      </c>
      <c r="Z176" s="110">
        <f>+'Gantt Proyectos'!X244</f>
        <v>0</v>
      </c>
      <c r="AA176" s="110">
        <f>+'Gantt Proyectos'!Y244</f>
        <v>0</v>
      </c>
      <c r="AB176" s="110">
        <f>+'Gantt Proyectos'!Z244</f>
        <v>0</v>
      </c>
      <c r="AC176" s="110">
        <f>+'Gantt Proyectos'!AA244</f>
        <v>0</v>
      </c>
      <c r="AD176" s="110">
        <f>+'Gantt Proyectos'!AB244</f>
        <v>0</v>
      </c>
      <c r="AE176" s="110">
        <f>+'Gantt Proyectos'!AC244</f>
        <v>0</v>
      </c>
      <c r="AF176" s="110">
        <f>+'Gantt Proyectos'!AD244</f>
        <v>0</v>
      </c>
      <c r="AG176" s="110">
        <f>+'Gantt Proyectos'!AE244</f>
        <v>0</v>
      </c>
      <c r="AH176" s="172">
        <v>1</v>
      </c>
      <c r="AI176" s="466">
        <f>IFERROR(IF('Gantt Proyectos'!AF244&lt;2,$N176*'Gantt Proyectos'!AF244,IF('Gantt Proyectos'!AF244=2,$N176*('Gantt Proyectos'!AF244-1))),0)*$L176*$Q176</f>
        <v>0</v>
      </c>
      <c r="AJ176" s="467">
        <f>IFERROR(IF('Gantt Proyectos'!AG244&lt;2,$N176*'Gantt Proyectos'!AG244,IF('Gantt Proyectos'!AG244=2,$N176*('Gantt Proyectos'!AG244-1))),0)*$L176*$Q176</f>
        <v>0</v>
      </c>
      <c r="AK176" s="467">
        <f>IFERROR(IF('Gantt Proyectos'!AH244&lt;2,$N176*'Gantt Proyectos'!AH244,IF('Gantt Proyectos'!AH244=2,$N176*('Gantt Proyectos'!AH244-1))),0)*$L176*$Q176</f>
        <v>0</v>
      </c>
      <c r="AL176" s="467">
        <f>IFERROR(IF('Gantt Proyectos'!AI244&lt;2,$N176*'Gantt Proyectos'!AI244,IF('Gantt Proyectos'!AI244=2,$N176*('Gantt Proyectos'!AI244-1))),0)*$L176*$Q176</f>
        <v>0</v>
      </c>
      <c r="AM176" s="467">
        <f>IFERROR(IF('Gantt Proyectos'!AJ244&lt;2,$N176*'Gantt Proyectos'!AJ244,IF('Gantt Proyectos'!AJ244=2,$N176*('Gantt Proyectos'!AJ244-1))),0)*$L176*$Q176</f>
        <v>0</v>
      </c>
      <c r="AN176" s="467">
        <f>IFERROR(IF('Gantt Proyectos'!AK244&lt;2,$N176*'Gantt Proyectos'!AK244,IF('Gantt Proyectos'!AK244=2,$N176*('Gantt Proyectos'!AK244-1))),0)*$L176*$Q176</f>
        <v>0</v>
      </c>
      <c r="AO176" s="467">
        <f>IFERROR(IF('Gantt Proyectos'!AL244&lt;2,$N176*'Gantt Proyectos'!AL244,IF('Gantt Proyectos'!AL244=2,$N176*('Gantt Proyectos'!AL244-1))),0)*$L176*$Q176</f>
        <v>0</v>
      </c>
      <c r="AP176" s="467">
        <f>IFERROR(IF('Gantt Proyectos'!AM244&lt;2,$N176*'Gantt Proyectos'!AM244,IF('Gantt Proyectos'!AM244=2,$N176*('Gantt Proyectos'!AM244-1))),0)*$L176*$Q176</f>
        <v>0</v>
      </c>
      <c r="AQ176" s="468">
        <f>IFERROR(IF('Gantt Proyectos'!AN244&lt;2,$N176*'Gantt Proyectos'!AN244,IF('Gantt Proyectos'!AN244=2,$N176*('Gantt Proyectos'!AN244-1))),0)*$L176*$Q176</f>
        <v>0</v>
      </c>
    </row>
    <row r="177" spans="3:43" ht="15" x14ac:dyDescent="0.2">
      <c r="C177" s="110">
        <f>+'Gantt Proyectos'!C245</f>
        <v>0</v>
      </c>
      <c r="D177" s="110">
        <f>+'Gantt Proyectos'!D245</f>
        <v>0</v>
      </c>
      <c r="E177" s="110">
        <f>+'Gantt Proyectos'!E245</f>
        <v>0</v>
      </c>
      <c r="F177" s="148">
        <f>+'Gantt Proyectos'!F245</f>
        <v>0</v>
      </c>
      <c r="G177" s="110">
        <f>+'Gantt Proyectos'!G245</f>
        <v>0</v>
      </c>
      <c r="H177" s="110">
        <f>+'Gantt Proyectos'!H245</f>
        <v>0</v>
      </c>
      <c r="I177" s="189">
        <v>1</v>
      </c>
      <c r="J177" s="189">
        <f t="shared" si="10"/>
        <v>0</v>
      </c>
      <c r="K177" s="110">
        <f>+'Gantt Proyectos'!I245</f>
        <v>0</v>
      </c>
      <c r="L177" s="110">
        <f>+'Gantt Proyectos'!J245</f>
        <v>0</v>
      </c>
      <c r="M177" s="110">
        <f>+'Gantt Proyectos'!K245</f>
        <v>0</v>
      </c>
      <c r="N177" s="110">
        <f>+'Gantt Proyectos'!L245</f>
        <v>0</v>
      </c>
      <c r="O177" s="110">
        <f>+'Gantt Proyectos'!M245</f>
        <v>0</v>
      </c>
      <c r="P177" s="110">
        <f>+'Gantt Proyectos'!N245</f>
        <v>0</v>
      </c>
      <c r="Q177" s="472">
        <v>1</v>
      </c>
      <c r="R177" s="110">
        <f>+'Gantt Proyectos'!O245</f>
        <v>0</v>
      </c>
      <c r="S177" s="110">
        <f>+'Gantt Proyectos'!P245</f>
        <v>0</v>
      </c>
      <c r="T177" s="110">
        <f>+'Gantt Proyectos'!R245</f>
        <v>0</v>
      </c>
      <c r="U177" s="118">
        <f>+'Gantt Proyectos'!S245</f>
        <v>0</v>
      </c>
      <c r="V177" s="157">
        <f>+'Gantt Proyectos'!T245</f>
        <v>0</v>
      </c>
      <c r="W177" s="157">
        <f>+'Gantt Proyectos'!U245</f>
        <v>0</v>
      </c>
      <c r="X177" s="201">
        <f t="shared" si="11"/>
        <v>0</v>
      </c>
      <c r="Y177" s="110">
        <f>+'Gantt Proyectos'!W245</f>
        <v>0</v>
      </c>
      <c r="Z177" s="110">
        <f>+'Gantt Proyectos'!X245</f>
        <v>0</v>
      </c>
      <c r="AA177" s="110">
        <f>+'Gantt Proyectos'!Y245</f>
        <v>0</v>
      </c>
      <c r="AB177" s="110">
        <f>+'Gantt Proyectos'!Z245</f>
        <v>0</v>
      </c>
      <c r="AC177" s="110">
        <f>+'Gantt Proyectos'!AA245</f>
        <v>0</v>
      </c>
      <c r="AD177" s="110">
        <f>+'Gantt Proyectos'!AB245</f>
        <v>0</v>
      </c>
      <c r="AE177" s="110">
        <f>+'Gantt Proyectos'!AC245</f>
        <v>0</v>
      </c>
      <c r="AF177" s="110">
        <f>+'Gantt Proyectos'!AD245</f>
        <v>0</v>
      </c>
      <c r="AG177" s="110">
        <f>+'Gantt Proyectos'!AE245</f>
        <v>0</v>
      </c>
      <c r="AH177" s="172">
        <v>1</v>
      </c>
      <c r="AI177" s="466">
        <f>IFERROR(IF('Gantt Proyectos'!AF245&lt;2,$N177*'Gantt Proyectos'!AF245,IF('Gantt Proyectos'!AF245=2,$N177*('Gantt Proyectos'!AF245-1))),0)*$L177*$Q177</f>
        <v>0</v>
      </c>
      <c r="AJ177" s="467">
        <f>IFERROR(IF('Gantt Proyectos'!AG245&lt;2,$N177*'Gantt Proyectos'!AG245,IF('Gantt Proyectos'!AG245=2,$N177*('Gantt Proyectos'!AG245-1))),0)*$L177*$Q177</f>
        <v>0</v>
      </c>
      <c r="AK177" s="467">
        <f>IFERROR(IF('Gantt Proyectos'!AH245&lt;2,$N177*'Gantt Proyectos'!AH245,IF('Gantt Proyectos'!AH245=2,$N177*('Gantt Proyectos'!AH245-1))),0)*$L177*$Q177</f>
        <v>0</v>
      </c>
      <c r="AL177" s="467">
        <f>IFERROR(IF('Gantt Proyectos'!AI245&lt;2,$N177*'Gantt Proyectos'!AI245,IF('Gantt Proyectos'!AI245=2,$N177*('Gantt Proyectos'!AI245-1))),0)*$L177*$Q177</f>
        <v>0</v>
      </c>
      <c r="AM177" s="467">
        <f>IFERROR(IF('Gantt Proyectos'!AJ245&lt;2,$N177*'Gantt Proyectos'!AJ245,IF('Gantt Proyectos'!AJ245=2,$N177*('Gantt Proyectos'!AJ245-1))),0)*$L177*$Q177</f>
        <v>0</v>
      </c>
      <c r="AN177" s="467">
        <f>IFERROR(IF('Gantt Proyectos'!AK245&lt;2,$N177*'Gantt Proyectos'!AK245,IF('Gantt Proyectos'!AK245=2,$N177*('Gantt Proyectos'!AK245-1))),0)*$L177*$Q177</f>
        <v>0</v>
      </c>
      <c r="AO177" s="467">
        <f>IFERROR(IF('Gantt Proyectos'!AL245&lt;2,$N177*'Gantt Proyectos'!AL245,IF('Gantt Proyectos'!AL245=2,$N177*('Gantt Proyectos'!AL245-1))),0)*$L177*$Q177</f>
        <v>0</v>
      </c>
      <c r="AP177" s="467">
        <f>IFERROR(IF('Gantt Proyectos'!AM245&lt;2,$N177*'Gantt Proyectos'!AM245,IF('Gantt Proyectos'!AM245=2,$N177*('Gantt Proyectos'!AM245-1))),0)*$L177*$Q177</f>
        <v>0</v>
      </c>
      <c r="AQ177" s="468">
        <f>IFERROR(IF('Gantt Proyectos'!AN245&lt;2,$N177*'Gantt Proyectos'!AN245,IF('Gantt Proyectos'!AN245=2,$N177*('Gantt Proyectos'!AN245-1))),0)*$L177*$Q177</f>
        <v>0</v>
      </c>
    </row>
    <row r="178" spans="3:43" ht="15" x14ac:dyDescent="0.2">
      <c r="C178" s="110">
        <f>+'Gantt Proyectos'!C246</f>
        <v>0</v>
      </c>
      <c r="D178" s="110">
        <f>+'Gantt Proyectos'!D246</f>
        <v>0</v>
      </c>
      <c r="E178" s="110">
        <f>+'Gantt Proyectos'!E246</f>
        <v>0</v>
      </c>
      <c r="F178" s="148">
        <f>+'Gantt Proyectos'!F246</f>
        <v>0</v>
      </c>
      <c r="G178" s="110">
        <f>+'Gantt Proyectos'!G246</f>
        <v>0</v>
      </c>
      <c r="H178" s="110">
        <f>+'Gantt Proyectos'!H246</f>
        <v>0</v>
      </c>
      <c r="I178" s="189">
        <v>1</v>
      </c>
      <c r="J178" s="189">
        <f t="shared" si="10"/>
        <v>0</v>
      </c>
      <c r="K178" s="110">
        <f>+'Gantt Proyectos'!I246</f>
        <v>0</v>
      </c>
      <c r="L178" s="110">
        <f>+'Gantt Proyectos'!J246</f>
        <v>0</v>
      </c>
      <c r="M178" s="110">
        <f>+'Gantt Proyectos'!K246</f>
        <v>0</v>
      </c>
      <c r="N178" s="110">
        <f>+'Gantt Proyectos'!L246</f>
        <v>0</v>
      </c>
      <c r="O178" s="110">
        <f>+'Gantt Proyectos'!M246</f>
        <v>0</v>
      </c>
      <c r="P178" s="110">
        <f>+'Gantt Proyectos'!N246</f>
        <v>0</v>
      </c>
      <c r="Q178" s="472">
        <v>1</v>
      </c>
      <c r="R178" s="110">
        <f>+'Gantt Proyectos'!O246</f>
        <v>0</v>
      </c>
      <c r="S178" s="110">
        <f>+'Gantt Proyectos'!P246</f>
        <v>0</v>
      </c>
      <c r="T178" s="110">
        <f>+'Gantt Proyectos'!R246</f>
        <v>0</v>
      </c>
      <c r="U178" s="118">
        <f>+'Gantt Proyectos'!S246</f>
        <v>0</v>
      </c>
      <c r="V178" s="157">
        <f>+'Gantt Proyectos'!T246</f>
        <v>0</v>
      </c>
      <c r="W178" s="157">
        <f>+'Gantt Proyectos'!U246</f>
        <v>0</v>
      </c>
      <c r="X178" s="201">
        <f t="shared" si="11"/>
        <v>0</v>
      </c>
      <c r="Y178" s="110">
        <f>+'Gantt Proyectos'!W246</f>
        <v>0</v>
      </c>
      <c r="Z178" s="110">
        <f>+'Gantt Proyectos'!X246</f>
        <v>0</v>
      </c>
      <c r="AA178" s="110">
        <f>+'Gantt Proyectos'!Y246</f>
        <v>0</v>
      </c>
      <c r="AB178" s="110">
        <f>+'Gantt Proyectos'!Z246</f>
        <v>0</v>
      </c>
      <c r="AC178" s="110">
        <f>+'Gantt Proyectos'!AA246</f>
        <v>0</v>
      </c>
      <c r="AD178" s="110">
        <f>+'Gantt Proyectos'!AB246</f>
        <v>0</v>
      </c>
      <c r="AE178" s="110">
        <f>+'Gantt Proyectos'!AC246</f>
        <v>0</v>
      </c>
      <c r="AF178" s="110">
        <f>+'Gantt Proyectos'!AD246</f>
        <v>0</v>
      </c>
      <c r="AG178" s="110">
        <f>+'Gantt Proyectos'!AE246</f>
        <v>0</v>
      </c>
      <c r="AH178" s="172">
        <v>1</v>
      </c>
      <c r="AI178" s="466">
        <f>IFERROR(IF('Gantt Proyectos'!AF246&lt;2,$N178*'Gantt Proyectos'!AF246,IF('Gantt Proyectos'!AF246=2,$N178*('Gantt Proyectos'!AF246-1))),0)*$L178*$Q178</f>
        <v>0</v>
      </c>
      <c r="AJ178" s="467">
        <f>IFERROR(IF('Gantt Proyectos'!AG246&lt;2,$N178*'Gantt Proyectos'!AG246,IF('Gantt Proyectos'!AG246=2,$N178*('Gantt Proyectos'!AG246-1))),0)*$L178*$Q178</f>
        <v>0</v>
      </c>
      <c r="AK178" s="467">
        <f>IFERROR(IF('Gantt Proyectos'!AH246&lt;2,$N178*'Gantt Proyectos'!AH246,IF('Gantt Proyectos'!AH246=2,$N178*('Gantt Proyectos'!AH246-1))),0)*$L178*$Q178</f>
        <v>0</v>
      </c>
      <c r="AL178" s="467">
        <f>IFERROR(IF('Gantt Proyectos'!AI246&lt;2,$N178*'Gantt Proyectos'!AI246,IF('Gantt Proyectos'!AI246=2,$N178*('Gantt Proyectos'!AI246-1))),0)*$L178*$Q178</f>
        <v>0</v>
      </c>
      <c r="AM178" s="467">
        <f>IFERROR(IF('Gantt Proyectos'!AJ246&lt;2,$N178*'Gantt Proyectos'!AJ246,IF('Gantt Proyectos'!AJ246=2,$N178*('Gantt Proyectos'!AJ246-1))),0)*$L178*$Q178</f>
        <v>0</v>
      </c>
      <c r="AN178" s="467">
        <f>IFERROR(IF('Gantt Proyectos'!AK246&lt;2,$N178*'Gantt Proyectos'!AK246,IF('Gantt Proyectos'!AK246=2,$N178*('Gantt Proyectos'!AK246-1))),0)*$L178*$Q178</f>
        <v>0</v>
      </c>
      <c r="AO178" s="467">
        <f>IFERROR(IF('Gantt Proyectos'!AL246&lt;2,$N178*'Gantt Proyectos'!AL246,IF('Gantt Proyectos'!AL246=2,$N178*('Gantt Proyectos'!AL246-1))),0)*$L178*$Q178</f>
        <v>0</v>
      </c>
      <c r="AP178" s="467">
        <f>IFERROR(IF('Gantt Proyectos'!AM246&lt;2,$N178*'Gantt Proyectos'!AM246,IF('Gantt Proyectos'!AM246=2,$N178*('Gantt Proyectos'!AM246-1))),0)*$L178*$Q178</f>
        <v>0</v>
      </c>
      <c r="AQ178" s="468">
        <f>IFERROR(IF('Gantt Proyectos'!AN246&lt;2,$N178*'Gantt Proyectos'!AN246,IF('Gantt Proyectos'!AN246=2,$N178*('Gantt Proyectos'!AN246-1))),0)*$L178*$Q178</f>
        <v>0</v>
      </c>
    </row>
    <row r="179" spans="3:43" ht="15" x14ac:dyDescent="0.2">
      <c r="C179" s="110">
        <f>+'Gantt Proyectos'!C247</f>
        <v>0</v>
      </c>
      <c r="D179" s="110">
        <f>+'Gantt Proyectos'!D247</f>
        <v>0</v>
      </c>
      <c r="E179" s="110">
        <f>+'Gantt Proyectos'!E247</f>
        <v>0</v>
      </c>
      <c r="F179" s="148">
        <f>+'Gantt Proyectos'!F247</f>
        <v>0</v>
      </c>
      <c r="G179" s="110">
        <f>+'Gantt Proyectos'!G247</f>
        <v>0</v>
      </c>
      <c r="H179" s="110">
        <f>+'Gantt Proyectos'!H247</f>
        <v>0</v>
      </c>
      <c r="I179" s="189">
        <v>1</v>
      </c>
      <c r="J179" s="189">
        <f t="shared" si="10"/>
        <v>0</v>
      </c>
      <c r="K179" s="110">
        <f>+'Gantt Proyectos'!I247</f>
        <v>0</v>
      </c>
      <c r="L179" s="110">
        <f>+'Gantt Proyectos'!J247</f>
        <v>0</v>
      </c>
      <c r="M179" s="110">
        <f>+'Gantt Proyectos'!K247</f>
        <v>0</v>
      </c>
      <c r="N179" s="110">
        <f>+'Gantt Proyectos'!L247</f>
        <v>0</v>
      </c>
      <c r="O179" s="110">
        <f>+'Gantt Proyectos'!M247</f>
        <v>0</v>
      </c>
      <c r="P179" s="110">
        <f>+'Gantt Proyectos'!N247</f>
        <v>0</v>
      </c>
      <c r="Q179" s="472">
        <v>1</v>
      </c>
      <c r="R179" s="110">
        <f>+'Gantt Proyectos'!O247</f>
        <v>0</v>
      </c>
      <c r="S179" s="110">
        <f>+'Gantt Proyectos'!P247</f>
        <v>0</v>
      </c>
      <c r="T179" s="110">
        <f>+'Gantt Proyectos'!R247</f>
        <v>0</v>
      </c>
      <c r="U179" s="118">
        <f>+'Gantt Proyectos'!S247</f>
        <v>0</v>
      </c>
      <c r="V179" s="157">
        <f>+'Gantt Proyectos'!T247</f>
        <v>0</v>
      </c>
      <c r="W179" s="157">
        <f>+'Gantt Proyectos'!U247</f>
        <v>0</v>
      </c>
      <c r="X179" s="201">
        <f t="shared" si="11"/>
        <v>0</v>
      </c>
      <c r="Y179" s="110">
        <f>+'Gantt Proyectos'!W247</f>
        <v>0</v>
      </c>
      <c r="Z179" s="110">
        <f>+'Gantt Proyectos'!X247</f>
        <v>0</v>
      </c>
      <c r="AA179" s="110">
        <f>+'Gantt Proyectos'!Y247</f>
        <v>0</v>
      </c>
      <c r="AB179" s="110">
        <f>+'Gantt Proyectos'!Z247</f>
        <v>0</v>
      </c>
      <c r="AC179" s="110">
        <f>+'Gantt Proyectos'!AA247</f>
        <v>0</v>
      </c>
      <c r="AD179" s="110">
        <f>+'Gantt Proyectos'!AB247</f>
        <v>0</v>
      </c>
      <c r="AE179" s="110">
        <f>+'Gantt Proyectos'!AC247</f>
        <v>0</v>
      </c>
      <c r="AF179" s="110">
        <f>+'Gantt Proyectos'!AD247</f>
        <v>0</v>
      </c>
      <c r="AG179" s="110">
        <f>+'Gantt Proyectos'!AE247</f>
        <v>0</v>
      </c>
      <c r="AH179" s="172">
        <v>1</v>
      </c>
      <c r="AI179" s="466">
        <f>IFERROR(IF('Gantt Proyectos'!AF247&lt;2,$N179*'Gantt Proyectos'!AF247,IF('Gantt Proyectos'!AF247=2,$N179*('Gantt Proyectos'!AF247-1))),0)*$L179*$Q179</f>
        <v>0</v>
      </c>
      <c r="AJ179" s="467">
        <f>IFERROR(IF('Gantt Proyectos'!AG247&lt;2,$N179*'Gantt Proyectos'!AG247,IF('Gantt Proyectos'!AG247=2,$N179*('Gantt Proyectos'!AG247-1))),0)*$L179*$Q179</f>
        <v>0</v>
      </c>
      <c r="AK179" s="467">
        <f>IFERROR(IF('Gantt Proyectos'!AH247&lt;2,$N179*'Gantt Proyectos'!AH247,IF('Gantt Proyectos'!AH247=2,$N179*('Gantt Proyectos'!AH247-1))),0)*$L179*$Q179</f>
        <v>0</v>
      </c>
      <c r="AL179" s="467">
        <f>IFERROR(IF('Gantt Proyectos'!AI247&lt;2,$N179*'Gantt Proyectos'!AI247,IF('Gantt Proyectos'!AI247=2,$N179*('Gantt Proyectos'!AI247-1))),0)*$L179*$Q179</f>
        <v>0</v>
      </c>
      <c r="AM179" s="467">
        <f>IFERROR(IF('Gantt Proyectos'!AJ247&lt;2,$N179*'Gantt Proyectos'!AJ247,IF('Gantt Proyectos'!AJ247=2,$N179*('Gantt Proyectos'!AJ247-1))),0)*$L179*$Q179</f>
        <v>0</v>
      </c>
      <c r="AN179" s="467">
        <f>IFERROR(IF('Gantt Proyectos'!AK247&lt;2,$N179*'Gantt Proyectos'!AK247,IF('Gantt Proyectos'!AK247=2,$N179*('Gantt Proyectos'!AK247-1))),0)*$L179*$Q179</f>
        <v>0</v>
      </c>
      <c r="AO179" s="467">
        <f>IFERROR(IF('Gantt Proyectos'!AL247&lt;2,$N179*'Gantt Proyectos'!AL247,IF('Gantt Proyectos'!AL247=2,$N179*('Gantt Proyectos'!AL247-1))),0)*$L179*$Q179</f>
        <v>0</v>
      </c>
      <c r="AP179" s="467">
        <f>IFERROR(IF('Gantt Proyectos'!AM247&lt;2,$N179*'Gantt Proyectos'!AM247,IF('Gantt Proyectos'!AM247=2,$N179*('Gantt Proyectos'!AM247-1))),0)*$L179*$Q179</f>
        <v>0</v>
      </c>
      <c r="AQ179" s="468">
        <f>IFERROR(IF('Gantt Proyectos'!AN247&lt;2,$N179*'Gantt Proyectos'!AN247,IF('Gantt Proyectos'!AN247=2,$N179*('Gantt Proyectos'!AN247-1))),0)*$L179*$Q179</f>
        <v>0</v>
      </c>
    </row>
    <row r="180" spans="3:43" ht="15" x14ac:dyDescent="0.2">
      <c r="C180" s="110">
        <f>+'Gantt Proyectos'!C248</f>
        <v>0</v>
      </c>
      <c r="D180" s="110">
        <f>+'Gantt Proyectos'!D248</f>
        <v>0</v>
      </c>
      <c r="E180" s="110">
        <f>+'Gantt Proyectos'!E248</f>
        <v>0</v>
      </c>
      <c r="F180" s="148">
        <f>+'Gantt Proyectos'!F248</f>
        <v>0</v>
      </c>
      <c r="G180" s="110">
        <f>+'Gantt Proyectos'!G248</f>
        <v>0</v>
      </c>
      <c r="H180" s="110">
        <f>+'Gantt Proyectos'!H248</f>
        <v>0</v>
      </c>
      <c r="I180" s="189">
        <v>1</v>
      </c>
      <c r="J180" s="189">
        <f t="shared" si="10"/>
        <v>0</v>
      </c>
      <c r="K180" s="110">
        <f>+'Gantt Proyectos'!I248</f>
        <v>0</v>
      </c>
      <c r="L180" s="110">
        <f>+'Gantt Proyectos'!J248</f>
        <v>0</v>
      </c>
      <c r="M180" s="110">
        <f>+'Gantt Proyectos'!K248</f>
        <v>0</v>
      </c>
      <c r="N180" s="110">
        <f>+'Gantt Proyectos'!L248</f>
        <v>0</v>
      </c>
      <c r="O180" s="110">
        <f>+'Gantt Proyectos'!M248</f>
        <v>0</v>
      </c>
      <c r="P180" s="110">
        <f>+'Gantt Proyectos'!N248</f>
        <v>0</v>
      </c>
      <c r="Q180" s="472">
        <v>1</v>
      </c>
      <c r="R180" s="110">
        <f>+'Gantt Proyectos'!O248</f>
        <v>0</v>
      </c>
      <c r="S180" s="110">
        <f>+'Gantt Proyectos'!P248</f>
        <v>0</v>
      </c>
      <c r="T180" s="110">
        <f>+'Gantt Proyectos'!R248</f>
        <v>0</v>
      </c>
      <c r="U180" s="118">
        <f>+'Gantt Proyectos'!S248</f>
        <v>0</v>
      </c>
      <c r="V180" s="157">
        <f>+'Gantt Proyectos'!T248</f>
        <v>0</v>
      </c>
      <c r="W180" s="157">
        <f>+'Gantt Proyectos'!U248</f>
        <v>0</v>
      </c>
      <c r="X180" s="201">
        <f t="shared" si="11"/>
        <v>0</v>
      </c>
      <c r="Y180" s="110">
        <f>+'Gantt Proyectos'!W248</f>
        <v>0</v>
      </c>
      <c r="Z180" s="110">
        <f>+'Gantt Proyectos'!X248</f>
        <v>0</v>
      </c>
      <c r="AA180" s="110">
        <f>+'Gantt Proyectos'!Y248</f>
        <v>0</v>
      </c>
      <c r="AB180" s="110">
        <f>+'Gantt Proyectos'!Z248</f>
        <v>0</v>
      </c>
      <c r="AC180" s="110">
        <f>+'Gantt Proyectos'!AA248</f>
        <v>0</v>
      </c>
      <c r="AD180" s="110">
        <f>+'Gantt Proyectos'!AB248</f>
        <v>0</v>
      </c>
      <c r="AE180" s="110">
        <f>+'Gantt Proyectos'!AC248</f>
        <v>0</v>
      </c>
      <c r="AF180" s="110">
        <f>+'Gantt Proyectos'!AD248</f>
        <v>0</v>
      </c>
      <c r="AG180" s="110">
        <f>+'Gantt Proyectos'!AE248</f>
        <v>0</v>
      </c>
      <c r="AH180" s="172">
        <v>1</v>
      </c>
      <c r="AI180" s="466">
        <f>IFERROR(IF('Gantt Proyectos'!AF248&lt;2,$N180*'Gantt Proyectos'!AF248,IF('Gantt Proyectos'!AF248=2,$N180*('Gantt Proyectos'!AF248-1))),0)*$L180*$Q180</f>
        <v>0</v>
      </c>
      <c r="AJ180" s="467">
        <f>IFERROR(IF('Gantt Proyectos'!AG248&lt;2,$N180*'Gantt Proyectos'!AG248,IF('Gantt Proyectos'!AG248=2,$N180*('Gantt Proyectos'!AG248-1))),0)*$L180*$Q180</f>
        <v>0</v>
      </c>
      <c r="AK180" s="467">
        <f>IFERROR(IF('Gantt Proyectos'!AH248&lt;2,$N180*'Gantt Proyectos'!AH248,IF('Gantt Proyectos'!AH248=2,$N180*('Gantt Proyectos'!AH248-1))),0)*$L180*$Q180</f>
        <v>0</v>
      </c>
      <c r="AL180" s="467">
        <f>IFERROR(IF('Gantt Proyectos'!AI248&lt;2,$N180*'Gantt Proyectos'!AI248,IF('Gantt Proyectos'!AI248=2,$N180*('Gantt Proyectos'!AI248-1))),0)*$L180*$Q180</f>
        <v>0</v>
      </c>
      <c r="AM180" s="467">
        <f>IFERROR(IF('Gantt Proyectos'!AJ248&lt;2,$N180*'Gantt Proyectos'!AJ248,IF('Gantt Proyectos'!AJ248=2,$N180*('Gantt Proyectos'!AJ248-1))),0)*$L180*$Q180</f>
        <v>0</v>
      </c>
      <c r="AN180" s="467">
        <f>IFERROR(IF('Gantt Proyectos'!AK248&lt;2,$N180*'Gantt Proyectos'!AK248,IF('Gantt Proyectos'!AK248=2,$N180*('Gantt Proyectos'!AK248-1))),0)*$L180*$Q180</f>
        <v>0</v>
      </c>
      <c r="AO180" s="467">
        <f>IFERROR(IF('Gantt Proyectos'!AL248&lt;2,$N180*'Gantt Proyectos'!AL248,IF('Gantt Proyectos'!AL248=2,$N180*('Gantt Proyectos'!AL248-1))),0)*$L180*$Q180</f>
        <v>0</v>
      </c>
      <c r="AP180" s="467">
        <f>IFERROR(IF('Gantt Proyectos'!AM248&lt;2,$N180*'Gantt Proyectos'!AM248,IF('Gantt Proyectos'!AM248=2,$N180*('Gantt Proyectos'!AM248-1))),0)*$L180*$Q180</f>
        <v>0</v>
      </c>
      <c r="AQ180" s="468">
        <f>IFERROR(IF('Gantt Proyectos'!AN248&lt;2,$N180*'Gantt Proyectos'!AN248,IF('Gantt Proyectos'!AN248=2,$N180*('Gantt Proyectos'!AN248-1))),0)*$L180*$Q180</f>
        <v>0</v>
      </c>
    </row>
    <row r="181" spans="3:43" ht="15" x14ac:dyDescent="0.2">
      <c r="C181" s="110">
        <f>+'Gantt Proyectos'!C249</f>
        <v>0</v>
      </c>
      <c r="D181" s="110">
        <f>+'Gantt Proyectos'!D249</f>
        <v>0</v>
      </c>
      <c r="E181" s="110">
        <f>+'Gantt Proyectos'!E249</f>
        <v>0</v>
      </c>
      <c r="F181" s="148">
        <f>+'Gantt Proyectos'!F249</f>
        <v>0</v>
      </c>
      <c r="G181" s="110">
        <f>+'Gantt Proyectos'!G249</f>
        <v>0</v>
      </c>
      <c r="H181" s="110">
        <f>+'Gantt Proyectos'!H249</f>
        <v>0</v>
      </c>
      <c r="I181" s="189">
        <v>1</v>
      </c>
      <c r="J181" s="189">
        <f t="shared" si="10"/>
        <v>0</v>
      </c>
      <c r="K181" s="110">
        <f>+'Gantt Proyectos'!I249</f>
        <v>0</v>
      </c>
      <c r="L181" s="110">
        <f>+'Gantt Proyectos'!J249</f>
        <v>0</v>
      </c>
      <c r="M181" s="110">
        <f>+'Gantt Proyectos'!K249</f>
        <v>0</v>
      </c>
      <c r="N181" s="110">
        <f>+'Gantt Proyectos'!L249</f>
        <v>0</v>
      </c>
      <c r="O181" s="110">
        <f>+'Gantt Proyectos'!M249</f>
        <v>0</v>
      </c>
      <c r="P181" s="110">
        <f>+'Gantt Proyectos'!N249</f>
        <v>0</v>
      </c>
      <c r="Q181" s="472">
        <v>1</v>
      </c>
      <c r="R181" s="110">
        <f>+'Gantt Proyectos'!O249</f>
        <v>0</v>
      </c>
      <c r="S181" s="110">
        <f>+'Gantt Proyectos'!P249</f>
        <v>0</v>
      </c>
      <c r="T181" s="110">
        <f>+'Gantt Proyectos'!R249</f>
        <v>0</v>
      </c>
      <c r="U181" s="118">
        <f>+'Gantt Proyectos'!S249</f>
        <v>0</v>
      </c>
      <c r="V181" s="157">
        <f>+'Gantt Proyectos'!T249</f>
        <v>0</v>
      </c>
      <c r="W181" s="157">
        <f>+'Gantt Proyectos'!U249</f>
        <v>0</v>
      </c>
      <c r="X181" s="201">
        <f t="shared" si="11"/>
        <v>0</v>
      </c>
      <c r="Y181" s="110">
        <f>+'Gantt Proyectos'!W249</f>
        <v>0</v>
      </c>
      <c r="Z181" s="110">
        <f>+'Gantt Proyectos'!X249</f>
        <v>0</v>
      </c>
      <c r="AA181" s="110">
        <f>+'Gantt Proyectos'!Y249</f>
        <v>0</v>
      </c>
      <c r="AB181" s="110">
        <f>+'Gantt Proyectos'!Z249</f>
        <v>0</v>
      </c>
      <c r="AC181" s="110">
        <f>+'Gantt Proyectos'!AA249</f>
        <v>0</v>
      </c>
      <c r="AD181" s="110">
        <f>+'Gantt Proyectos'!AB249</f>
        <v>0</v>
      </c>
      <c r="AE181" s="110">
        <f>+'Gantt Proyectos'!AC249</f>
        <v>0</v>
      </c>
      <c r="AF181" s="110">
        <f>+'Gantt Proyectos'!AD249</f>
        <v>0</v>
      </c>
      <c r="AG181" s="110">
        <f>+'Gantt Proyectos'!AE249</f>
        <v>0</v>
      </c>
      <c r="AH181" s="172">
        <v>1</v>
      </c>
      <c r="AI181" s="466">
        <f>IFERROR(IF('Gantt Proyectos'!AF249&lt;2,$N181*'Gantt Proyectos'!AF249,IF('Gantt Proyectos'!AF249=2,$N181*('Gantt Proyectos'!AF249-1))),0)*$L181*$Q181</f>
        <v>0</v>
      </c>
      <c r="AJ181" s="467">
        <f>IFERROR(IF('Gantt Proyectos'!AG249&lt;2,$N181*'Gantt Proyectos'!AG249,IF('Gantt Proyectos'!AG249=2,$N181*('Gantt Proyectos'!AG249-1))),0)*$L181*$Q181</f>
        <v>0</v>
      </c>
      <c r="AK181" s="467">
        <f>IFERROR(IF('Gantt Proyectos'!AH249&lt;2,$N181*'Gantt Proyectos'!AH249,IF('Gantt Proyectos'!AH249=2,$N181*('Gantt Proyectos'!AH249-1))),0)*$L181*$Q181</f>
        <v>0</v>
      </c>
      <c r="AL181" s="467">
        <f>IFERROR(IF('Gantt Proyectos'!AI249&lt;2,$N181*'Gantt Proyectos'!AI249,IF('Gantt Proyectos'!AI249=2,$N181*('Gantt Proyectos'!AI249-1))),0)*$L181*$Q181</f>
        <v>0</v>
      </c>
      <c r="AM181" s="467">
        <f>IFERROR(IF('Gantt Proyectos'!AJ249&lt;2,$N181*'Gantt Proyectos'!AJ249,IF('Gantt Proyectos'!AJ249=2,$N181*('Gantt Proyectos'!AJ249-1))),0)*$L181*$Q181</f>
        <v>0</v>
      </c>
      <c r="AN181" s="467">
        <f>IFERROR(IF('Gantt Proyectos'!AK249&lt;2,$N181*'Gantt Proyectos'!AK249,IF('Gantt Proyectos'!AK249=2,$N181*('Gantt Proyectos'!AK249-1))),0)*$L181*$Q181</f>
        <v>0</v>
      </c>
      <c r="AO181" s="467">
        <f>IFERROR(IF('Gantt Proyectos'!AL249&lt;2,$N181*'Gantt Proyectos'!AL249,IF('Gantt Proyectos'!AL249=2,$N181*('Gantt Proyectos'!AL249-1))),0)*$L181*$Q181</f>
        <v>0</v>
      </c>
      <c r="AP181" s="467">
        <f>IFERROR(IF('Gantt Proyectos'!AM249&lt;2,$N181*'Gantt Proyectos'!AM249,IF('Gantt Proyectos'!AM249=2,$N181*('Gantt Proyectos'!AM249-1))),0)*$L181*$Q181</f>
        <v>0</v>
      </c>
      <c r="AQ181" s="468">
        <f>IFERROR(IF('Gantt Proyectos'!AN249&lt;2,$N181*'Gantt Proyectos'!AN249,IF('Gantt Proyectos'!AN249=2,$N181*('Gantt Proyectos'!AN249-1))),0)*$L181*$Q181</f>
        <v>0</v>
      </c>
    </row>
    <row r="182" spans="3:43" ht="15" x14ac:dyDescent="0.2">
      <c r="C182" s="110">
        <f>+'Gantt Proyectos'!C250</f>
        <v>0</v>
      </c>
      <c r="D182" s="110">
        <f>+'Gantt Proyectos'!D250</f>
        <v>0</v>
      </c>
      <c r="E182" s="110">
        <f>+'Gantt Proyectos'!E250</f>
        <v>0</v>
      </c>
      <c r="F182" s="148">
        <f>+'Gantt Proyectos'!F250</f>
        <v>0</v>
      </c>
      <c r="G182" s="110">
        <f>+'Gantt Proyectos'!G250</f>
        <v>0</v>
      </c>
      <c r="H182" s="110">
        <f>+'Gantt Proyectos'!H250</f>
        <v>0</v>
      </c>
      <c r="I182" s="189">
        <v>1</v>
      </c>
      <c r="J182" s="189">
        <f t="shared" si="10"/>
        <v>0</v>
      </c>
      <c r="K182" s="110">
        <f>+'Gantt Proyectos'!I250</f>
        <v>0</v>
      </c>
      <c r="L182" s="110">
        <f>+'Gantt Proyectos'!J250</f>
        <v>0</v>
      </c>
      <c r="M182" s="110">
        <f>+'Gantt Proyectos'!K250</f>
        <v>0</v>
      </c>
      <c r="N182" s="110">
        <f>+'Gantt Proyectos'!L250</f>
        <v>0</v>
      </c>
      <c r="O182" s="110">
        <f>+'Gantt Proyectos'!M250</f>
        <v>0</v>
      </c>
      <c r="P182" s="110">
        <f>+'Gantt Proyectos'!N250</f>
        <v>0</v>
      </c>
      <c r="Q182" s="472">
        <v>1</v>
      </c>
      <c r="R182" s="110">
        <f>+'Gantt Proyectos'!O250</f>
        <v>0</v>
      </c>
      <c r="S182" s="110">
        <f>+'Gantt Proyectos'!P250</f>
        <v>0</v>
      </c>
      <c r="T182" s="110">
        <f>+'Gantt Proyectos'!R250</f>
        <v>0</v>
      </c>
      <c r="U182" s="118">
        <f>+'Gantt Proyectos'!S250</f>
        <v>0</v>
      </c>
      <c r="V182" s="157">
        <f>+'Gantt Proyectos'!T250</f>
        <v>0</v>
      </c>
      <c r="W182" s="157">
        <f>+'Gantt Proyectos'!U250</f>
        <v>0</v>
      </c>
      <c r="X182" s="201">
        <f t="shared" si="11"/>
        <v>0</v>
      </c>
      <c r="Y182" s="110">
        <f>+'Gantt Proyectos'!W250</f>
        <v>0</v>
      </c>
      <c r="Z182" s="110">
        <f>+'Gantt Proyectos'!X250</f>
        <v>0</v>
      </c>
      <c r="AA182" s="110">
        <f>+'Gantt Proyectos'!Y250</f>
        <v>0</v>
      </c>
      <c r="AB182" s="110">
        <f>+'Gantt Proyectos'!Z250</f>
        <v>0</v>
      </c>
      <c r="AC182" s="110">
        <f>+'Gantt Proyectos'!AA250</f>
        <v>0</v>
      </c>
      <c r="AD182" s="110">
        <f>+'Gantt Proyectos'!AB250</f>
        <v>0</v>
      </c>
      <c r="AE182" s="110">
        <f>+'Gantt Proyectos'!AC250</f>
        <v>0</v>
      </c>
      <c r="AF182" s="110">
        <f>+'Gantt Proyectos'!AD250</f>
        <v>0</v>
      </c>
      <c r="AG182" s="110">
        <f>+'Gantt Proyectos'!AE250</f>
        <v>0</v>
      </c>
      <c r="AH182" s="172">
        <v>1</v>
      </c>
      <c r="AI182" s="466">
        <f>IFERROR(IF('Gantt Proyectos'!AF250&lt;2,$N182*'Gantt Proyectos'!AF250,IF('Gantt Proyectos'!AF250=2,$N182*('Gantt Proyectos'!AF250-1))),0)*$L182*$Q182</f>
        <v>0</v>
      </c>
      <c r="AJ182" s="467">
        <f>IFERROR(IF('Gantt Proyectos'!AG250&lt;2,$N182*'Gantt Proyectos'!AG250,IF('Gantt Proyectos'!AG250=2,$N182*('Gantt Proyectos'!AG250-1))),0)*$L182*$Q182</f>
        <v>0</v>
      </c>
      <c r="AK182" s="467">
        <f>IFERROR(IF('Gantt Proyectos'!AH250&lt;2,$N182*'Gantt Proyectos'!AH250,IF('Gantt Proyectos'!AH250=2,$N182*('Gantt Proyectos'!AH250-1))),0)*$L182*$Q182</f>
        <v>0</v>
      </c>
      <c r="AL182" s="467">
        <f>IFERROR(IF('Gantt Proyectos'!AI250&lt;2,$N182*'Gantt Proyectos'!AI250,IF('Gantt Proyectos'!AI250=2,$N182*('Gantt Proyectos'!AI250-1))),0)*$L182*$Q182</f>
        <v>0</v>
      </c>
      <c r="AM182" s="467">
        <f>IFERROR(IF('Gantt Proyectos'!AJ250&lt;2,$N182*'Gantt Proyectos'!AJ250,IF('Gantt Proyectos'!AJ250=2,$N182*('Gantt Proyectos'!AJ250-1))),0)*$L182*$Q182</f>
        <v>0</v>
      </c>
      <c r="AN182" s="467">
        <f>IFERROR(IF('Gantt Proyectos'!AK250&lt;2,$N182*'Gantt Proyectos'!AK250,IF('Gantt Proyectos'!AK250=2,$N182*('Gantt Proyectos'!AK250-1))),0)*$L182*$Q182</f>
        <v>0</v>
      </c>
      <c r="AO182" s="467">
        <f>IFERROR(IF('Gantt Proyectos'!AL250&lt;2,$N182*'Gantt Proyectos'!AL250,IF('Gantt Proyectos'!AL250=2,$N182*('Gantt Proyectos'!AL250-1))),0)*$L182*$Q182</f>
        <v>0</v>
      </c>
      <c r="AP182" s="467">
        <f>IFERROR(IF('Gantt Proyectos'!AM250&lt;2,$N182*'Gantt Proyectos'!AM250,IF('Gantt Proyectos'!AM250=2,$N182*('Gantt Proyectos'!AM250-1))),0)*$L182*$Q182</f>
        <v>0</v>
      </c>
      <c r="AQ182" s="468">
        <f>IFERROR(IF('Gantt Proyectos'!AN250&lt;2,$N182*'Gantt Proyectos'!AN250,IF('Gantt Proyectos'!AN250=2,$N182*('Gantt Proyectos'!AN250-1))),0)*$L182*$Q182</f>
        <v>0</v>
      </c>
    </row>
    <row r="183" spans="3:43" ht="15" x14ac:dyDescent="0.2">
      <c r="C183" s="110">
        <f>+'Gantt Proyectos'!C251</f>
        <v>0</v>
      </c>
      <c r="D183" s="110">
        <f>+'Gantt Proyectos'!D251</f>
        <v>0</v>
      </c>
      <c r="E183" s="110">
        <f>+'Gantt Proyectos'!E251</f>
        <v>0</v>
      </c>
      <c r="F183" s="148">
        <f>+'Gantt Proyectos'!F251</f>
        <v>0</v>
      </c>
      <c r="G183" s="110">
        <f>+'Gantt Proyectos'!G251</f>
        <v>0</v>
      </c>
      <c r="H183" s="110">
        <f>+'Gantt Proyectos'!H251</f>
        <v>0</v>
      </c>
      <c r="I183" s="189">
        <v>1</v>
      </c>
      <c r="J183" s="189">
        <f t="shared" si="10"/>
        <v>0</v>
      </c>
      <c r="K183" s="110">
        <f>+'Gantt Proyectos'!I251</f>
        <v>0</v>
      </c>
      <c r="L183" s="110">
        <f>+'Gantt Proyectos'!J251</f>
        <v>0</v>
      </c>
      <c r="M183" s="110">
        <f>+'Gantt Proyectos'!K251</f>
        <v>0</v>
      </c>
      <c r="N183" s="110">
        <f>+'Gantt Proyectos'!L251</f>
        <v>0</v>
      </c>
      <c r="O183" s="110">
        <f>+'Gantt Proyectos'!M251</f>
        <v>0</v>
      </c>
      <c r="P183" s="110">
        <f>+'Gantt Proyectos'!N251</f>
        <v>0</v>
      </c>
      <c r="Q183" s="472">
        <v>1</v>
      </c>
      <c r="R183" s="110">
        <f>+'Gantt Proyectos'!O251</f>
        <v>0</v>
      </c>
      <c r="S183" s="110">
        <f>+'Gantt Proyectos'!P251</f>
        <v>0</v>
      </c>
      <c r="T183" s="110">
        <f>+'Gantt Proyectos'!R251</f>
        <v>0</v>
      </c>
      <c r="U183" s="118">
        <f>+'Gantt Proyectos'!S251</f>
        <v>0</v>
      </c>
      <c r="V183" s="157">
        <f>+'Gantt Proyectos'!T251</f>
        <v>0</v>
      </c>
      <c r="W183" s="157">
        <f>+'Gantt Proyectos'!U251</f>
        <v>0</v>
      </c>
      <c r="X183" s="201">
        <f t="shared" si="11"/>
        <v>0</v>
      </c>
      <c r="Y183" s="110">
        <f>+'Gantt Proyectos'!W251</f>
        <v>0</v>
      </c>
      <c r="Z183" s="110">
        <f>+'Gantt Proyectos'!X251</f>
        <v>0</v>
      </c>
      <c r="AA183" s="110">
        <f>+'Gantt Proyectos'!Y251</f>
        <v>0</v>
      </c>
      <c r="AB183" s="110">
        <f>+'Gantt Proyectos'!Z251</f>
        <v>0</v>
      </c>
      <c r="AC183" s="110">
        <f>+'Gantt Proyectos'!AA251</f>
        <v>0</v>
      </c>
      <c r="AD183" s="110">
        <f>+'Gantt Proyectos'!AB251</f>
        <v>0</v>
      </c>
      <c r="AE183" s="110">
        <f>+'Gantt Proyectos'!AC251</f>
        <v>0</v>
      </c>
      <c r="AF183" s="110">
        <f>+'Gantt Proyectos'!AD251</f>
        <v>0</v>
      </c>
      <c r="AG183" s="110">
        <f>+'Gantt Proyectos'!AE251</f>
        <v>0</v>
      </c>
      <c r="AH183" s="172">
        <v>1</v>
      </c>
      <c r="AI183" s="466">
        <f>IFERROR(IF('Gantt Proyectos'!AF251&lt;2,$N183*'Gantt Proyectos'!AF251,IF('Gantt Proyectos'!AF251=2,$N183*('Gantt Proyectos'!AF251-1))),0)*$L183*$Q183</f>
        <v>0</v>
      </c>
      <c r="AJ183" s="467">
        <f>IFERROR(IF('Gantt Proyectos'!AG251&lt;2,$N183*'Gantt Proyectos'!AG251,IF('Gantt Proyectos'!AG251=2,$N183*('Gantt Proyectos'!AG251-1))),0)*$L183*$Q183</f>
        <v>0</v>
      </c>
      <c r="AK183" s="467">
        <f>IFERROR(IF('Gantt Proyectos'!AH251&lt;2,$N183*'Gantt Proyectos'!AH251,IF('Gantt Proyectos'!AH251=2,$N183*('Gantt Proyectos'!AH251-1))),0)*$L183*$Q183</f>
        <v>0</v>
      </c>
      <c r="AL183" s="467">
        <f>IFERROR(IF('Gantt Proyectos'!AI251&lt;2,$N183*'Gantt Proyectos'!AI251,IF('Gantt Proyectos'!AI251=2,$N183*('Gantt Proyectos'!AI251-1))),0)*$L183*$Q183</f>
        <v>0</v>
      </c>
      <c r="AM183" s="467">
        <f>IFERROR(IF('Gantt Proyectos'!AJ251&lt;2,$N183*'Gantt Proyectos'!AJ251,IF('Gantt Proyectos'!AJ251=2,$N183*('Gantt Proyectos'!AJ251-1))),0)*$L183*$Q183</f>
        <v>0</v>
      </c>
      <c r="AN183" s="467">
        <f>IFERROR(IF('Gantt Proyectos'!AK251&lt;2,$N183*'Gantt Proyectos'!AK251,IF('Gantt Proyectos'!AK251=2,$N183*('Gantt Proyectos'!AK251-1))),0)*$L183*$Q183</f>
        <v>0</v>
      </c>
      <c r="AO183" s="467">
        <f>IFERROR(IF('Gantt Proyectos'!AL251&lt;2,$N183*'Gantt Proyectos'!AL251,IF('Gantt Proyectos'!AL251=2,$N183*('Gantt Proyectos'!AL251-1))),0)*$L183*$Q183</f>
        <v>0</v>
      </c>
      <c r="AP183" s="467">
        <f>IFERROR(IF('Gantt Proyectos'!AM251&lt;2,$N183*'Gantt Proyectos'!AM251,IF('Gantt Proyectos'!AM251=2,$N183*('Gantt Proyectos'!AM251-1))),0)*$L183*$Q183</f>
        <v>0</v>
      </c>
      <c r="AQ183" s="468">
        <f>IFERROR(IF('Gantt Proyectos'!AN251&lt;2,$N183*'Gantt Proyectos'!AN251,IF('Gantt Proyectos'!AN251=2,$N183*('Gantt Proyectos'!AN251-1))),0)*$L183*$Q183</f>
        <v>0</v>
      </c>
    </row>
    <row r="184" spans="3:43" ht="15" x14ac:dyDescent="0.2">
      <c r="C184" s="110">
        <f>+'Gantt Proyectos'!C252</f>
        <v>0</v>
      </c>
      <c r="D184" s="110">
        <f>+'Gantt Proyectos'!D252</f>
        <v>0</v>
      </c>
      <c r="E184" s="110">
        <f>+'Gantt Proyectos'!E252</f>
        <v>0</v>
      </c>
      <c r="F184" s="148">
        <f>+'Gantt Proyectos'!F252</f>
        <v>0</v>
      </c>
      <c r="G184" s="110">
        <f>+'Gantt Proyectos'!G252</f>
        <v>0</v>
      </c>
      <c r="H184" s="110">
        <f>+'Gantt Proyectos'!H252</f>
        <v>0</v>
      </c>
      <c r="I184" s="189">
        <v>1</v>
      </c>
      <c r="J184" s="189">
        <f t="shared" si="10"/>
        <v>0</v>
      </c>
      <c r="K184" s="110">
        <f>+'Gantt Proyectos'!I252</f>
        <v>0</v>
      </c>
      <c r="L184" s="110">
        <f>+'Gantt Proyectos'!J252</f>
        <v>0</v>
      </c>
      <c r="M184" s="110">
        <f>+'Gantt Proyectos'!K252</f>
        <v>0</v>
      </c>
      <c r="N184" s="110">
        <f>+'Gantt Proyectos'!L252</f>
        <v>0</v>
      </c>
      <c r="O184" s="110">
        <f>+'Gantt Proyectos'!M252</f>
        <v>0</v>
      </c>
      <c r="P184" s="110">
        <f>+'Gantt Proyectos'!N252</f>
        <v>0</v>
      </c>
      <c r="Q184" s="472">
        <v>1</v>
      </c>
      <c r="R184" s="110">
        <f>+'Gantt Proyectos'!O252</f>
        <v>0</v>
      </c>
      <c r="S184" s="110">
        <f>+'Gantt Proyectos'!P252</f>
        <v>0</v>
      </c>
      <c r="T184" s="110">
        <f>+'Gantt Proyectos'!R252</f>
        <v>0</v>
      </c>
      <c r="U184" s="118">
        <f>+'Gantt Proyectos'!S252</f>
        <v>0</v>
      </c>
      <c r="V184" s="157">
        <f>+'Gantt Proyectos'!T252</f>
        <v>0</v>
      </c>
      <c r="W184" s="157">
        <f>+'Gantt Proyectos'!U252</f>
        <v>0</v>
      </c>
      <c r="X184" s="201">
        <f t="shared" si="11"/>
        <v>0</v>
      </c>
      <c r="Y184" s="110">
        <f>+'Gantt Proyectos'!W252</f>
        <v>0</v>
      </c>
      <c r="Z184" s="110">
        <f>+'Gantt Proyectos'!X252</f>
        <v>0</v>
      </c>
      <c r="AA184" s="110">
        <f>+'Gantt Proyectos'!Y252</f>
        <v>0</v>
      </c>
      <c r="AB184" s="110">
        <f>+'Gantt Proyectos'!Z252</f>
        <v>0</v>
      </c>
      <c r="AC184" s="110">
        <f>+'Gantt Proyectos'!AA252</f>
        <v>0</v>
      </c>
      <c r="AD184" s="110">
        <f>+'Gantt Proyectos'!AB252</f>
        <v>0</v>
      </c>
      <c r="AE184" s="110">
        <f>+'Gantt Proyectos'!AC252</f>
        <v>0</v>
      </c>
      <c r="AF184" s="110">
        <f>+'Gantt Proyectos'!AD252</f>
        <v>0</v>
      </c>
      <c r="AG184" s="110">
        <f>+'Gantt Proyectos'!AE252</f>
        <v>0</v>
      </c>
      <c r="AH184" s="172">
        <v>1</v>
      </c>
      <c r="AI184" s="466">
        <f>IFERROR(IF('Gantt Proyectos'!AF252&lt;2,$N184*'Gantt Proyectos'!AF252,IF('Gantt Proyectos'!AF252=2,$N184*('Gantt Proyectos'!AF252-1))),0)*$L184*$Q184</f>
        <v>0</v>
      </c>
      <c r="AJ184" s="467">
        <f>IFERROR(IF('Gantt Proyectos'!AG252&lt;2,$N184*'Gantt Proyectos'!AG252,IF('Gantt Proyectos'!AG252=2,$N184*('Gantt Proyectos'!AG252-1))),0)*$L184*$Q184</f>
        <v>0</v>
      </c>
      <c r="AK184" s="467">
        <f>IFERROR(IF('Gantt Proyectos'!AH252&lt;2,$N184*'Gantt Proyectos'!AH252,IF('Gantt Proyectos'!AH252=2,$N184*('Gantt Proyectos'!AH252-1))),0)*$L184*$Q184</f>
        <v>0</v>
      </c>
      <c r="AL184" s="467">
        <f>IFERROR(IF('Gantt Proyectos'!AI252&lt;2,$N184*'Gantt Proyectos'!AI252,IF('Gantt Proyectos'!AI252=2,$N184*('Gantt Proyectos'!AI252-1))),0)*$L184*$Q184</f>
        <v>0</v>
      </c>
      <c r="AM184" s="467">
        <f>IFERROR(IF('Gantt Proyectos'!AJ252&lt;2,$N184*'Gantt Proyectos'!AJ252,IF('Gantt Proyectos'!AJ252=2,$N184*('Gantt Proyectos'!AJ252-1))),0)*$L184*$Q184</f>
        <v>0</v>
      </c>
      <c r="AN184" s="467">
        <f>IFERROR(IF('Gantt Proyectos'!AK252&lt;2,$N184*'Gantt Proyectos'!AK252,IF('Gantt Proyectos'!AK252=2,$N184*('Gantt Proyectos'!AK252-1))),0)*$L184*$Q184</f>
        <v>0</v>
      </c>
      <c r="AO184" s="467">
        <f>IFERROR(IF('Gantt Proyectos'!AL252&lt;2,$N184*'Gantt Proyectos'!AL252,IF('Gantt Proyectos'!AL252=2,$N184*('Gantt Proyectos'!AL252-1))),0)*$L184*$Q184</f>
        <v>0</v>
      </c>
      <c r="AP184" s="467">
        <f>IFERROR(IF('Gantt Proyectos'!AM252&lt;2,$N184*'Gantt Proyectos'!AM252,IF('Gantt Proyectos'!AM252=2,$N184*('Gantt Proyectos'!AM252-1))),0)*$L184*$Q184</f>
        <v>0</v>
      </c>
      <c r="AQ184" s="468">
        <f>IFERROR(IF('Gantt Proyectos'!AN252&lt;2,$N184*'Gantt Proyectos'!AN252,IF('Gantt Proyectos'!AN252=2,$N184*('Gantt Proyectos'!AN252-1))),0)*$L184*$Q184</f>
        <v>0</v>
      </c>
    </row>
    <row r="185" spans="3:43" ht="15" x14ac:dyDescent="0.2">
      <c r="C185" s="110">
        <f>+'Gantt Proyectos'!C253</f>
        <v>0</v>
      </c>
      <c r="D185" s="110">
        <f>+'Gantt Proyectos'!D253</f>
        <v>0</v>
      </c>
      <c r="E185" s="110">
        <f>+'Gantt Proyectos'!E253</f>
        <v>0</v>
      </c>
      <c r="F185" s="148">
        <f>+'Gantt Proyectos'!F253</f>
        <v>0</v>
      </c>
      <c r="G185" s="110">
        <f>+'Gantt Proyectos'!G253</f>
        <v>0</v>
      </c>
      <c r="H185" s="110">
        <f>+'Gantt Proyectos'!H253</f>
        <v>0</v>
      </c>
      <c r="I185" s="189">
        <v>1</v>
      </c>
      <c r="J185" s="189">
        <f t="shared" si="10"/>
        <v>0</v>
      </c>
      <c r="K185" s="110">
        <f>+'Gantt Proyectos'!I253</f>
        <v>0</v>
      </c>
      <c r="L185" s="110">
        <f>+'Gantt Proyectos'!J253</f>
        <v>0</v>
      </c>
      <c r="M185" s="110">
        <f>+'Gantt Proyectos'!K253</f>
        <v>0</v>
      </c>
      <c r="N185" s="110">
        <f>+'Gantt Proyectos'!L253</f>
        <v>0</v>
      </c>
      <c r="O185" s="110">
        <f>+'Gantt Proyectos'!M253</f>
        <v>0</v>
      </c>
      <c r="P185" s="110">
        <f>+'Gantt Proyectos'!N253</f>
        <v>0</v>
      </c>
      <c r="Q185" s="472">
        <v>1</v>
      </c>
      <c r="R185" s="110">
        <f>+'Gantt Proyectos'!O253</f>
        <v>0</v>
      </c>
      <c r="S185" s="110">
        <f>+'Gantt Proyectos'!P253</f>
        <v>0</v>
      </c>
      <c r="T185" s="110">
        <f>+'Gantt Proyectos'!R253</f>
        <v>0</v>
      </c>
      <c r="U185" s="118">
        <f>+'Gantt Proyectos'!S253</f>
        <v>0</v>
      </c>
      <c r="V185" s="157">
        <f>+'Gantt Proyectos'!T253</f>
        <v>0</v>
      </c>
      <c r="W185" s="157">
        <f>+'Gantt Proyectos'!U253</f>
        <v>0</v>
      </c>
      <c r="X185" s="201">
        <f t="shared" si="11"/>
        <v>0</v>
      </c>
      <c r="Y185" s="110">
        <f>+'Gantt Proyectos'!W253</f>
        <v>0</v>
      </c>
      <c r="Z185" s="110">
        <f>+'Gantt Proyectos'!X253</f>
        <v>0</v>
      </c>
      <c r="AA185" s="110">
        <f>+'Gantt Proyectos'!Y253</f>
        <v>0</v>
      </c>
      <c r="AB185" s="110">
        <f>+'Gantt Proyectos'!Z253</f>
        <v>0</v>
      </c>
      <c r="AC185" s="110">
        <f>+'Gantt Proyectos'!AA253</f>
        <v>0</v>
      </c>
      <c r="AD185" s="110">
        <f>+'Gantt Proyectos'!AB253</f>
        <v>0</v>
      </c>
      <c r="AE185" s="110">
        <f>+'Gantt Proyectos'!AC253</f>
        <v>0</v>
      </c>
      <c r="AF185" s="110">
        <f>+'Gantt Proyectos'!AD253</f>
        <v>0</v>
      </c>
      <c r="AG185" s="110">
        <f>+'Gantt Proyectos'!AE253</f>
        <v>0</v>
      </c>
      <c r="AH185" s="172">
        <v>1</v>
      </c>
      <c r="AI185" s="466">
        <f>IFERROR(IF('Gantt Proyectos'!AF253&lt;2,$N185*'Gantt Proyectos'!AF253,IF('Gantt Proyectos'!AF253=2,$N185*('Gantt Proyectos'!AF253-1))),0)*$L185*$Q185</f>
        <v>0</v>
      </c>
      <c r="AJ185" s="467">
        <f>IFERROR(IF('Gantt Proyectos'!AG253&lt;2,$N185*'Gantt Proyectos'!AG253,IF('Gantt Proyectos'!AG253=2,$N185*('Gantt Proyectos'!AG253-1))),0)*$L185*$Q185</f>
        <v>0</v>
      </c>
      <c r="AK185" s="467">
        <f>IFERROR(IF('Gantt Proyectos'!AH253&lt;2,$N185*'Gantt Proyectos'!AH253,IF('Gantt Proyectos'!AH253=2,$N185*('Gantt Proyectos'!AH253-1))),0)*$L185*$Q185</f>
        <v>0</v>
      </c>
      <c r="AL185" s="467">
        <f>IFERROR(IF('Gantt Proyectos'!AI253&lt;2,$N185*'Gantt Proyectos'!AI253,IF('Gantt Proyectos'!AI253=2,$N185*('Gantt Proyectos'!AI253-1))),0)*$L185*$Q185</f>
        <v>0</v>
      </c>
      <c r="AM185" s="467">
        <f>IFERROR(IF('Gantt Proyectos'!AJ253&lt;2,$N185*'Gantt Proyectos'!AJ253,IF('Gantt Proyectos'!AJ253=2,$N185*('Gantt Proyectos'!AJ253-1))),0)*$L185*$Q185</f>
        <v>0</v>
      </c>
      <c r="AN185" s="467">
        <f>IFERROR(IF('Gantt Proyectos'!AK253&lt;2,$N185*'Gantt Proyectos'!AK253,IF('Gantt Proyectos'!AK253=2,$N185*('Gantt Proyectos'!AK253-1))),0)*$L185*$Q185</f>
        <v>0</v>
      </c>
      <c r="AO185" s="467">
        <f>IFERROR(IF('Gantt Proyectos'!AL253&lt;2,$N185*'Gantt Proyectos'!AL253,IF('Gantt Proyectos'!AL253=2,$N185*('Gantt Proyectos'!AL253-1))),0)*$L185*$Q185</f>
        <v>0</v>
      </c>
      <c r="AP185" s="467">
        <f>IFERROR(IF('Gantt Proyectos'!AM253&lt;2,$N185*'Gantt Proyectos'!AM253,IF('Gantt Proyectos'!AM253=2,$N185*('Gantt Proyectos'!AM253-1))),0)*$L185*$Q185</f>
        <v>0</v>
      </c>
      <c r="AQ185" s="468">
        <f>IFERROR(IF('Gantt Proyectos'!AN253&lt;2,$N185*'Gantt Proyectos'!AN253,IF('Gantt Proyectos'!AN253=2,$N185*('Gantt Proyectos'!AN253-1))),0)*$L185*$Q185</f>
        <v>0</v>
      </c>
    </row>
    <row r="186" spans="3:43" ht="15" x14ac:dyDescent="0.2">
      <c r="C186" s="110">
        <f>+'Gantt Proyectos'!C254</f>
        <v>0</v>
      </c>
      <c r="D186" s="110">
        <f>+'Gantt Proyectos'!D254</f>
        <v>0</v>
      </c>
      <c r="E186" s="110">
        <f>+'Gantt Proyectos'!E254</f>
        <v>0</v>
      </c>
      <c r="F186" s="148">
        <f>+'Gantt Proyectos'!F254</f>
        <v>0</v>
      </c>
      <c r="G186" s="110">
        <f>+'Gantt Proyectos'!G254</f>
        <v>0</v>
      </c>
      <c r="H186" s="110">
        <f>+'Gantt Proyectos'!H254</f>
        <v>0</v>
      </c>
      <c r="I186" s="189">
        <v>1</v>
      </c>
      <c r="J186" s="189">
        <f t="shared" si="10"/>
        <v>0</v>
      </c>
      <c r="K186" s="110">
        <f>+'Gantt Proyectos'!I254</f>
        <v>0</v>
      </c>
      <c r="L186" s="110">
        <f>+'Gantt Proyectos'!J254</f>
        <v>0</v>
      </c>
      <c r="M186" s="110">
        <f>+'Gantt Proyectos'!K254</f>
        <v>0</v>
      </c>
      <c r="N186" s="110">
        <f>+'Gantt Proyectos'!L254</f>
        <v>0</v>
      </c>
      <c r="O186" s="110">
        <f>+'Gantt Proyectos'!M254</f>
        <v>0</v>
      </c>
      <c r="P186" s="110">
        <f>+'Gantt Proyectos'!N254</f>
        <v>0</v>
      </c>
      <c r="Q186" s="472">
        <v>1</v>
      </c>
      <c r="R186" s="110">
        <f>+'Gantt Proyectos'!O254</f>
        <v>0</v>
      </c>
      <c r="S186" s="110">
        <f>+'Gantt Proyectos'!P254</f>
        <v>0</v>
      </c>
      <c r="T186" s="110">
        <f>+'Gantt Proyectos'!R254</f>
        <v>0</v>
      </c>
      <c r="U186" s="118">
        <f>+'Gantt Proyectos'!S254</f>
        <v>0</v>
      </c>
      <c r="V186" s="157">
        <f>+'Gantt Proyectos'!T254</f>
        <v>0</v>
      </c>
      <c r="W186" s="157">
        <f>+'Gantt Proyectos'!U254</f>
        <v>0</v>
      </c>
      <c r="X186" s="201">
        <f t="shared" si="11"/>
        <v>0</v>
      </c>
      <c r="Y186" s="110">
        <f>+'Gantt Proyectos'!W254</f>
        <v>0</v>
      </c>
      <c r="Z186" s="110">
        <f>+'Gantt Proyectos'!X254</f>
        <v>0</v>
      </c>
      <c r="AA186" s="110">
        <f>+'Gantt Proyectos'!Y254</f>
        <v>0</v>
      </c>
      <c r="AB186" s="110">
        <f>+'Gantt Proyectos'!Z254</f>
        <v>0</v>
      </c>
      <c r="AC186" s="110">
        <f>+'Gantt Proyectos'!AA254</f>
        <v>0</v>
      </c>
      <c r="AD186" s="110">
        <f>+'Gantt Proyectos'!AB254</f>
        <v>0</v>
      </c>
      <c r="AE186" s="110">
        <f>+'Gantt Proyectos'!AC254</f>
        <v>0</v>
      </c>
      <c r="AF186" s="110">
        <f>+'Gantt Proyectos'!AD254</f>
        <v>0</v>
      </c>
      <c r="AG186" s="110">
        <f>+'Gantt Proyectos'!AE254</f>
        <v>0</v>
      </c>
      <c r="AH186" s="172">
        <v>1</v>
      </c>
      <c r="AI186" s="466">
        <f>IFERROR(IF('Gantt Proyectos'!AF254&lt;2,$N186*'Gantt Proyectos'!AF254,IF('Gantt Proyectos'!AF254=2,$N186*('Gantt Proyectos'!AF254-1))),0)*$L186*$Q186</f>
        <v>0</v>
      </c>
      <c r="AJ186" s="467">
        <f>IFERROR(IF('Gantt Proyectos'!AG254&lt;2,$N186*'Gantt Proyectos'!AG254,IF('Gantt Proyectos'!AG254=2,$N186*('Gantt Proyectos'!AG254-1))),0)*$L186*$Q186</f>
        <v>0</v>
      </c>
      <c r="AK186" s="467">
        <f>IFERROR(IF('Gantt Proyectos'!AH254&lt;2,$N186*'Gantt Proyectos'!AH254,IF('Gantt Proyectos'!AH254=2,$N186*('Gantt Proyectos'!AH254-1))),0)*$L186*$Q186</f>
        <v>0</v>
      </c>
      <c r="AL186" s="467">
        <f>IFERROR(IF('Gantt Proyectos'!AI254&lt;2,$N186*'Gantt Proyectos'!AI254,IF('Gantt Proyectos'!AI254=2,$N186*('Gantt Proyectos'!AI254-1))),0)*$L186*$Q186</f>
        <v>0</v>
      </c>
      <c r="AM186" s="467">
        <f>IFERROR(IF('Gantt Proyectos'!AJ254&lt;2,$N186*'Gantt Proyectos'!AJ254,IF('Gantt Proyectos'!AJ254=2,$N186*('Gantt Proyectos'!AJ254-1))),0)*$L186*$Q186</f>
        <v>0</v>
      </c>
      <c r="AN186" s="467">
        <f>IFERROR(IF('Gantt Proyectos'!AK254&lt;2,$N186*'Gantt Proyectos'!AK254,IF('Gantt Proyectos'!AK254=2,$N186*('Gantt Proyectos'!AK254-1))),0)*$L186*$Q186</f>
        <v>0</v>
      </c>
      <c r="AO186" s="467">
        <f>IFERROR(IF('Gantt Proyectos'!AL254&lt;2,$N186*'Gantt Proyectos'!AL254,IF('Gantt Proyectos'!AL254=2,$N186*('Gantt Proyectos'!AL254-1))),0)*$L186*$Q186</f>
        <v>0</v>
      </c>
      <c r="AP186" s="467">
        <f>IFERROR(IF('Gantt Proyectos'!AM254&lt;2,$N186*'Gantt Proyectos'!AM254,IF('Gantt Proyectos'!AM254=2,$N186*('Gantt Proyectos'!AM254-1))),0)*$L186*$Q186</f>
        <v>0</v>
      </c>
      <c r="AQ186" s="468">
        <f>IFERROR(IF('Gantt Proyectos'!AN254&lt;2,$N186*'Gantt Proyectos'!AN254,IF('Gantt Proyectos'!AN254=2,$N186*('Gantt Proyectos'!AN254-1))),0)*$L186*$Q186</f>
        <v>0</v>
      </c>
    </row>
    <row r="187" spans="3:43" ht="15" x14ac:dyDescent="0.2">
      <c r="C187" s="110">
        <f>+'Gantt Proyectos'!C255</f>
        <v>0</v>
      </c>
      <c r="D187" s="110">
        <f>+'Gantt Proyectos'!D255</f>
        <v>0</v>
      </c>
      <c r="E187" s="110">
        <f>+'Gantt Proyectos'!E255</f>
        <v>0</v>
      </c>
      <c r="F187" s="148">
        <f>+'Gantt Proyectos'!F255</f>
        <v>0</v>
      </c>
      <c r="G187" s="110">
        <f>+'Gantt Proyectos'!G255</f>
        <v>0</v>
      </c>
      <c r="H187" s="110">
        <f>+'Gantt Proyectos'!H255</f>
        <v>0</v>
      </c>
      <c r="I187" s="189">
        <v>1</v>
      </c>
      <c r="J187" s="189">
        <f t="shared" si="10"/>
        <v>0</v>
      </c>
      <c r="K187" s="110">
        <f>+'Gantt Proyectos'!I255</f>
        <v>0</v>
      </c>
      <c r="L187" s="110">
        <f>+'Gantt Proyectos'!J255</f>
        <v>0</v>
      </c>
      <c r="M187" s="110">
        <f>+'Gantt Proyectos'!K255</f>
        <v>0</v>
      </c>
      <c r="N187" s="110">
        <f>+'Gantt Proyectos'!L255</f>
        <v>0</v>
      </c>
      <c r="O187" s="110">
        <f>+'Gantt Proyectos'!M255</f>
        <v>0</v>
      </c>
      <c r="P187" s="110">
        <f>+'Gantt Proyectos'!N255</f>
        <v>0</v>
      </c>
      <c r="Q187" s="472">
        <v>1</v>
      </c>
      <c r="R187" s="110">
        <f>+'Gantt Proyectos'!O255</f>
        <v>0</v>
      </c>
      <c r="S187" s="110">
        <f>+'Gantt Proyectos'!P255</f>
        <v>0</v>
      </c>
      <c r="T187" s="110">
        <f>+'Gantt Proyectos'!R255</f>
        <v>0</v>
      </c>
      <c r="U187" s="118">
        <f>+'Gantt Proyectos'!S255</f>
        <v>0</v>
      </c>
      <c r="V187" s="157">
        <f>+'Gantt Proyectos'!T255</f>
        <v>0</v>
      </c>
      <c r="W187" s="157">
        <f>+'Gantt Proyectos'!U255</f>
        <v>0</v>
      </c>
      <c r="X187" s="201">
        <f t="shared" si="11"/>
        <v>0</v>
      </c>
      <c r="Y187" s="110">
        <f>+'Gantt Proyectos'!W255</f>
        <v>0</v>
      </c>
      <c r="Z187" s="110">
        <f>+'Gantt Proyectos'!X255</f>
        <v>0</v>
      </c>
      <c r="AA187" s="110">
        <f>+'Gantt Proyectos'!Y255</f>
        <v>0</v>
      </c>
      <c r="AB187" s="110">
        <f>+'Gantt Proyectos'!Z255</f>
        <v>0</v>
      </c>
      <c r="AC187" s="110">
        <f>+'Gantt Proyectos'!AA255</f>
        <v>0</v>
      </c>
      <c r="AD187" s="110">
        <f>+'Gantt Proyectos'!AB255</f>
        <v>0</v>
      </c>
      <c r="AE187" s="110">
        <f>+'Gantt Proyectos'!AC255</f>
        <v>0</v>
      </c>
      <c r="AF187" s="110">
        <f>+'Gantt Proyectos'!AD255</f>
        <v>0</v>
      </c>
      <c r="AG187" s="110">
        <f>+'Gantt Proyectos'!AE255</f>
        <v>0</v>
      </c>
      <c r="AH187" s="172">
        <v>1</v>
      </c>
      <c r="AI187" s="466">
        <f>IFERROR(IF('Gantt Proyectos'!AF255&lt;2,$N187*'Gantt Proyectos'!AF255,IF('Gantt Proyectos'!AF255=2,$N187*('Gantt Proyectos'!AF255-1))),0)*$L187*$Q187</f>
        <v>0</v>
      </c>
      <c r="AJ187" s="467">
        <f>IFERROR(IF('Gantt Proyectos'!AG255&lt;2,$N187*'Gantt Proyectos'!AG255,IF('Gantt Proyectos'!AG255=2,$N187*('Gantt Proyectos'!AG255-1))),0)*$L187*$Q187</f>
        <v>0</v>
      </c>
      <c r="AK187" s="467">
        <f>IFERROR(IF('Gantt Proyectos'!AH255&lt;2,$N187*'Gantt Proyectos'!AH255,IF('Gantt Proyectos'!AH255=2,$N187*('Gantt Proyectos'!AH255-1))),0)*$L187*$Q187</f>
        <v>0</v>
      </c>
      <c r="AL187" s="467">
        <f>IFERROR(IF('Gantt Proyectos'!AI255&lt;2,$N187*'Gantt Proyectos'!AI255,IF('Gantt Proyectos'!AI255=2,$N187*('Gantt Proyectos'!AI255-1))),0)*$L187*$Q187</f>
        <v>0</v>
      </c>
      <c r="AM187" s="467">
        <f>IFERROR(IF('Gantt Proyectos'!AJ255&lt;2,$N187*'Gantt Proyectos'!AJ255,IF('Gantt Proyectos'!AJ255=2,$N187*('Gantt Proyectos'!AJ255-1))),0)*$L187*$Q187</f>
        <v>0</v>
      </c>
      <c r="AN187" s="467">
        <f>IFERROR(IF('Gantt Proyectos'!AK255&lt;2,$N187*'Gantt Proyectos'!AK255,IF('Gantt Proyectos'!AK255=2,$N187*('Gantt Proyectos'!AK255-1))),0)*$L187*$Q187</f>
        <v>0</v>
      </c>
      <c r="AO187" s="467">
        <f>IFERROR(IF('Gantt Proyectos'!AL255&lt;2,$N187*'Gantt Proyectos'!AL255,IF('Gantt Proyectos'!AL255=2,$N187*('Gantt Proyectos'!AL255-1))),0)*$L187*$Q187</f>
        <v>0</v>
      </c>
      <c r="AP187" s="467">
        <f>IFERROR(IF('Gantt Proyectos'!AM255&lt;2,$N187*'Gantt Proyectos'!AM255,IF('Gantt Proyectos'!AM255=2,$N187*('Gantt Proyectos'!AM255-1))),0)*$L187*$Q187</f>
        <v>0</v>
      </c>
      <c r="AQ187" s="468">
        <f>IFERROR(IF('Gantt Proyectos'!AN255&lt;2,$N187*'Gantt Proyectos'!AN255,IF('Gantt Proyectos'!AN255=2,$N187*('Gantt Proyectos'!AN255-1))),0)*$L187*$Q187</f>
        <v>0</v>
      </c>
    </row>
    <row r="188" spans="3:43" ht="15" x14ac:dyDescent="0.2">
      <c r="C188" s="110">
        <f>+'Gantt Proyectos'!C256</f>
        <v>0</v>
      </c>
      <c r="D188" s="110">
        <f>+'Gantt Proyectos'!D256</f>
        <v>0</v>
      </c>
      <c r="E188" s="110">
        <f>+'Gantt Proyectos'!E256</f>
        <v>0</v>
      </c>
      <c r="F188" s="148">
        <f>+'Gantt Proyectos'!F256</f>
        <v>0</v>
      </c>
      <c r="G188" s="110">
        <f>+'Gantt Proyectos'!G256</f>
        <v>0</v>
      </c>
      <c r="H188" s="110">
        <f>+'Gantt Proyectos'!H256</f>
        <v>0</v>
      </c>
      <c r="I188" s="189">
        <v>1</v>
      </c>
      <c r="J188" s="189">
        <f t="shared" si="10"/>
        <v>0</v>
      </c>
      <c r="K188" s="110">
        <f>+'Gantt Proyectos'!I256</f>
        <v>0</v>
      </c>
      <c r="L188" s="110">
        <f>+'Gantt Proyectos'!J256</f>
        <v>0</v>
      </c>
      <c r="M188" s="110">
        <f>+'Gantt Proyectos'!K256</f>
        <v>0</v>
      </c>
      <c r="N188" s="110">
        <f>+'Gantt Proyectos'!L256</f>
        <v>0</v>
      </c>
      <c r="O188" s="110">
        <f>+'Gantt Proyectos'!M256</f>
        <v>0</v>
      </c>
      <c r="P188" s="110">
        <f>+'Gantt Proyectos'!N256</f>
        <v>0</v>
      </c>
      <c r="Q188" s="472">
        <v>1</v>
      </c>
      <c r="R188" s="110">
        <f>+'Gantt Proyectos'!O256</f>
        <v>0</v>
      </c>
      <c r="S188" s="110">
        <f>+'Gantt Proyectos'!P256</f>
        <v>0</v>
      </c>
      <c r="T188" s="110">
        <f>+'Gantt Proyectos'!R256</f>
        <v>0</v>
      </c>
      <c r="U188" s="118">
        <f>+'Gantt Proyectos'!S256</f>
        <v>0</v>
      </c>
      <c r="V188" s="157">
        <f>+'Gantt Proyectos'!T256</f>
        <v>0</v>
      </c>
      <c r="W188" s="157">
        <f>+'Gantt Proyectos'!U256</f>
        <v>0</v>
      </c>
      <c r="X188" s="201">
        <f t="shared" si="11"/>
        <v>0</v>
      </c>
      <c r="Y188" s="110">
        <f>+'Gantt Proyectos'!W256</f>
        <v>0</v>
      </c>
      <c r="Z188" s="110">
        <f>+'Gantt Proyectos'!X256</f>
        <v>0</v>
      </c>
      <c r="AA188" s="110">
        <f>+'Gantt Proyectos'!Y256</f>
        <v>0</v>
      </c>
      <c r="AB188" s="110">
        <f>+'Gantt Proyectos'!Z256</f>
        <v>0</v>
      </c>
      <c r="AC188" s="110">
        <f>+'Gantt Proyectos'!AA256</f>
        <v>0</v>
      </c>
      <c r="AD188" s="110">
        <f>+'Gantt Proyectos'!AB256</f>
        <v>0</v>
      </c>
      <c r="AE188" s="110">
        <f>+'Gantt Proyectos'!AC256</f>
        <v>0</v>
      </c>
      <c r="AF188" s="110">
        <f>+'Gantt Proyectos'!AD256</f>
        <v>0</v>
      </c>
      <c r="AG188" s="110">
        <f>+'Gantt Proyectos'!AE256</f>
        <v>0</v>
      </c>
      <c r="AH188" s="172">
        <v>1</v>
      </c>
      <c r="AI188" s="466">
        <f>IFERROR(IF('Gantt Proyectos'!AF256&lt;2,$N188*'Gantt Proyectos'!AF256,IF('Gantt Proyectos'!AF256=2,$N188*('Gantt Proyectos'!AF256-1))),0)*$L188*$Q188</f>
        <v>0</v>
      </c>
      <c r="AJ188" s="467">
        <f>IFERROR(IF('Gantt Proyectos'!AG256&lt;2,$N188*'Gantt Proyectos'!AG256,IF('Gantt Proyectos'!AG256=2,$N188*('Gantt Proyectos'!AG256-1))),0)*$L188*$Q188</f>
        <v>0</v>
      </c>
      <c r="AK188" s="467">
        <f>IFERROR(IF('Gantt Proyectos'!AH256&lt;2,$N188*'Gantt Proyectos'!AH256,IF('Gantt Proyectos'!AH256=2,$N188*('Gantt Proyectos'!AH256-1))),0)*$L188*$Q188</f>
        <v>0</v>
      </c>
      <c r="AL188" s="467">
        <f>IFERROR(IF('Gantt Proyectos'!AI256&lt;2,$N188*'Gantt Proyectos'!AI256,IF('Gantt Proyectos'!AI256=2,$N188*('Gantt Proyectos'!AI256-1))),0)*$L188*$Q188</f>
        <v>0</v>
      </c>
      <c r="AM188" s="467">
        <f>IFERROR(IF('Gantt Proyectos'!AJ256&lt;2,$N188*'Gantt Proyectos'!AJ256,IF('Gantt Proyectos'!AJ256=2,$N188*('Gantt Proyectos'!AJ256-1))),0)*$L188*$Q188</f>
        <v>0</v>
      </c>
      <c r="AN188" s="467">
        <f>IFERROR(IF('Gantt Proyectos'!AK256&lt;2,$N188*'Gantt Proyectos'!AK256,IF('Gantt Proyectos'!AK256=2,$N188*('Gantt Proyectos'!AK256-1))),0)*$L188*$Q188</f>
        <v>0</v>
      </c>
      <c r="AO188" s="467">
        <f>IFERROR(IF('Gantt Proyectos'!AL256&lt;2,$N188*'Gantt Proyectos'!AL256,IF('Gantt Proyectos'!AL256=2,$N188*('Gantt Proyectos'!AL256-1))),0)*$L188*$Q188</f>
        <v>0</v>
      </c>
      <c r="AP188" s="467">
        <f>IFERROR(IF('Gantt Proyectos'!AM256&lt;2,$N188*'Gantt Proyectos'!AM256,IF('Gantt Proyectos'!AM256=2,$N188*('Gantt Proyectos'!AM256-1))),0)*$L188*$Q188</f>
        <v>0</v>
      </c>
      <c r="AQ188" s="468">
        <f>IFERROR(IF('Gantt Proyectos'!AN256&lt;2,$N188*'Gantt Proyectos'!AN256,IF('Gantt Proyectos'!AN256=2,$N188*('Gantt Proyectos'!AN256-1))),0)*$L188*$Q188</f>
        <v>0</v>
      </c>
    </row>
    <row r="189" spans="3:43" ht="15" x14ac:dyDescent="0.2">
      <c r="C189" s="110">
        <f>+'Gantt Proyectos'!C257</f>
        <v>0</v>
      </c>
      <c r="D189" s="110">
        <f>+'Gantt Proyectos'!D257</f>
        <v>0</v>
      </c>
      <c r="E189" s="110">
        <f>+'Gantt Proyectos'!E257</f>
        <v>0</v>
      </c>
      <c r="F189" s="148">
        <f>+'Gantt Proyectos'!F257</f>
        <v>0</v>
      </c>
      <c r="G189" s="110">
        <f>+'Gantt Proyectos'!G257</f>
        <v>0</v>
      </c>
      <c r="H189" s="110">
        <f>+'Gantt Proyectos'!H257</f>
        <v>0</v>
      </c>
      <c r="I189" s="189">
        <v>1</v>
      </c>
      <c r="J189" s="189">
        <f t="shared" si="10"/>
        <v>0</v>
      </c>
      <c r="K189" s="110">
        <f>+'Gantt Proyectos'!I257</f>
        <v>0</v>
      </c>
      <c r="L189" s="110">
        <f>+'Gantt Proyectos'!J257</f>
        <v>0</v>
      </c>
      <c r="M189" s="110">
        <f>+'Gantt Proyectos'!K257</f>
        <v>0</v>
      </c>
      <c r="N189" s="110">
        <f>+'Gantt Proyectos'!L257</f>
        <v>0</v>
      </c>
      <c r="O189" s="110">
        <f>+'Gantt Proyectos'!M257</f>
        <v>0</v>
      </c>
      <c r="P189" s="110">
        <f>+'Gantt Proyectos'!N257</f>
        <v>0</v>
      </c>
      <c r="Q189" s="472">
        <v>1</v>
      </c>
      <c r="R189" s="110">
        <f>+'Gantt Proyectos'!O257</f>
        <v>0</v>
      </c>
      <c r="S189" s="110">
        <f>+'Gantt Proyectos'!P257</f>
        <v>0</v>
      </c>
      <c r="T189" s="110">
        <f>+'Gantt Proyectos'!R257</f>
        <v>0</v>
      </c>
      <c r="U189" s="118">
        <f>+'Gantt Proyectos'!S257</f>
        <v>0</v>
      </c>
      <c r="V189" s="157">
        <f>+'Gantt Proyectos'!T257</f>
        <v>0</v>
      </c>
      <c r="W189" s="157">
        <f>+'Gantt Proyectos'!U257</f>
        <v>0</v>
      </c>
      <c r="X189" s="201">
        <f t="shared" si="11"/>
        <v>0</v>
      </c>
      <c r="Y189" s="110">
        <f>+'Gantt Proyectos'!W257</f>
        <v>0</v>
      </c>
      <c r="Z189" s="110">
        <f>+'Gantt Proyectos'!X257</f>
        <v>0</v>
      </c>
      <c r="AA189" s="110">
        <f>+'Gantt Proyectos'!Y257</f>
        <v>0</v>
      </c>
      <c r="AB189" s="110">
        <f>+'Gantt Proyectos'!Z257</f>
        <v>0</v>
      </c>
      <c r="AC189" s="110">
        <f>+'Gantt Proyectos'!AA257</f>
        <v>0</v>
      </c>
      <c r="AD189" s="110">
        <f>+'Gantt Proyectos'!AB257</f>
        <v>0</v>
      </c>
      <c r="AE189" s="110">
        <f>+'Gantt Proyectos'!AC257</f>
        <v>0</v>
      </c>
      <c r="AF189" s="110">
        <f>+'Gantt Proyectos'!AD257</f>
        <v>0</v>
      </c>
      <c r="AG189" s="110">
        <f>+'Gantt Proyectos'!AE257</f>
        <v>0</v>
      </c>
      <c r="AH189" s="172">
        <v>1</v>
      </c>
      <c r="AI189" s="466">
        <f>IFERROR(IF('Gantt Proyectos'!AF257&lt;2,$N189*'Gantt Proyectos'!AF257,IF('Gantt Proyectos'!AF257=2,$N189*('Gantt Proyectos'!AF257-1))),0)*$L189*$Q189</f>
        <v>0</v>
      </c>
      <c r="AJ189" s="467">
        <f>IFERROR(IF('Gantt Proyectos'!AG257&lt;2,$N189*'Gantt Proyectos'!AG257,IF('Gantt Proyectos'!AG257=2,$N189*('Gantt Proyectos'!AG257-1))),0)*$L189*$Q189</f>
        <v>0</v>
      </c>
      <c r="AK189" s="467">
        <f>IFERROR(IF('Gantt Proyectos'!AH257&lt;2,$N189*'Gantt Proyectos'!AH257,IF('Gantt Proyectos'!AH257=2,$N189*('Gantt Proyectos'!AH257-1))),0)*$L189*$Q189</f>
        <v>0</v>
      </c>
      <c r="AL189" s="467">
        <f>IFERROR(IF('Gantt Proyectos'!AI257&lt;2,$N189*'Gantt Proyectos'!AI257,IF('Gantt Proyectos'!AI257=2,$N189*('Gantt Proyectos'!AI257-1))),0)*$L189*$Q189</f>
        <v>0</v>
      </c>
      <c r="AM189" s="467">
        <f>IFERROR(IF('Gantt Proyectos'!AJ257&lt;2,$N189*'Gantt Proyectos'!AJ257,IF('Gantt Proyectos'!AJ257=2,$N189*('Gantt Proyectos'!AJ257-1))),0)*$L189*$Q189</f>
        <v>0</v>
      </c>
      <c r="AN189" s="467">
        <f>IFERROR(IF('Gantt Proyectos'!AK257&lt;2,$N189*'Gantt Proyectos'!AK257,IF('Gantt Proyectos'!AK257=2,$N189*('Gantt Proyectos'!AK257-1))),0)*$L189*$Q189</f>
        <v>0</v>
      </c>
      <c r="AO189" s="467">
        <f>IFERROR(IF('Gantt Proyectos'!AL257&lt;2,$N189*'Gantt Proyectos'!AL257,IF('Gantt Proyectos'!AL257=2,$N189*('Gantt Proyectos'!AL257-1))),0)*$L189*$Q189</f>
        <v>0</v>
      </c>
      <c r="AP189" s="467">
        <f>IFERROR(IF('Gantt Proyectos'!AM257&lt;2,$N189*'Gantt Proyectos'!AM257,IF('Gantt Proyectos'!AM257=2,$N189*('Gantt Proyectos'!AM257-1))),0)*$L189*$Q189</f>
        <v>0</v>
      </c>
      <c r="AQ189" s="468">
        <f>IFERROR(IF('Gantt Proyectos'!AN257&lt;2,$N189*'Gantt Proyectos'!AN257,IF('Gantt Proyectos'!AN257=2,$N189*('Gantt Proyectos'!AN257-1))),0)*$L189*$Q189</f>
        <v>0</v>
      </c>
    </row>
    <row r="190" spans="3:43" ht="15" x14ac:dyDescent="0.2">
      <c r="C190" s="110">
        <f>+'Gantt Proyectos'!C258</f>
        <v>0</v>
      </c>
      <c r="D190" s="110">
        <f>+'Gantt Proyectos'!D258</f>
        <v>0</v>
      </c>
      <c r="E190" s="110">
        <f>+'Gantt Proyectos'!E258</f>
        <v>0</v>
      </c>
      <c r="F190" s="148">
        <f>+'Gantt Proyectos'!F258</f>
        <v>0</v>
      </c>
      <c r="G190" s="110">
        <f>+'Gantt Proyectos'!G258</f>
        <v>0</v>
      </c>
      <c r="H190" s="110">
        <f>+'Gantt Proyectos'!H258</f>
        <v>0</v>
      </c>
      <c r="I190" s="189">
        <v>1</v>
      </c>
      <c r="J190" s="189">
        <f t="shared" si="10"/>
        <v>0</v>
      </c>
      <c r="K190" s="110">
        <f>+'Gantt Proyectos'!I258</f>
        <v>0</v>
      </c>
      <c r="L190" s="110">
        <f>+'Gantt Proyectos'!J258</f>
        <v>0</v>
      </c>
      <c r="M190" s="110">
        <f>+'Gantt Proyectos'!K258</f>
        <v>0</v>
      </c>
      <c r="N190" s="110">
        <f>+'Gantt Proyectos'!L258</f>
        <v>0</v>
      </c>
      <c r="O190" s="110">
        <f>+'Gantt Proyectos'!M258</f>
        <v>0</v>
      </c>
      <c r="P190" s="110">
        <f>+'Gantt Proyectos'!N258</f>
        <v>0</v>
      </c>
      <c r="Q190" s="472">
        <v>1</v>
      </c>
      <c r="R190" s="110">
        <f>+'Gantt Proyectos'!O258</f>
        <v>0</v>
      </c>
      <c r="S190" s="110">
        <f>+'Gantt Proyectos'!P258</f>
        <v>0</v>
      </c>
      <c r="T190" s="110">
        <f>+'Gantt Proyectos'!R258</f>
        <v>0</v>
      </c>
      <c r="U190" s="118">
        <f>+'Gantt Proyectos'!S258</f>
        <v>0</v>
      </c>
      <c r="V190" s="157">
        <f>+'Gantt Proyectos'!T258</f>
        <v>0</v>
      </c>
      <c r="W190" s="157">
        <f>+'Gantt Proyectos'!U258</f>
        <v>0</v>
      </c>
      <c r="X190" s="201">
        <f t="shared" si="11"/>
        <v>0</v>
      </c>
      <c r="Y190" s="110">
        <f>+'Gantt Proyectos'!W258</f>
        <v>0</v>
      </c>
      <c r="Z190" s="110">
        <f>+'Gantt Proyectos'!X258</f>
        <v>0</v>
      </c>
      <c r="AA190" s="110">
        <f>+'Gantt Proyectos'!Y258</f>
        <v>0</v>
      </c>
      <c r="AB190" s="110">
        <f>+'Gantt Proyectos'!Z258</f>
        <v>0</v>
      </c>
      <c r="AC190" s="110">
        <f>+'Gantt Proyectos'!AA258</f>
        <v>0</v>
      </c>
      <c r="AD190" s="110">
        <f>+'Gantt Proyectos'!AB258</f>
        <v>0</v>
      </c>
      <c r="AE190" s="110">
        <f>+'Gantt Proyectos'!AC258</f>
        <v>0</v>
      </c>
      <c r="AF190" s="110">
        <f>+'Gantt Proyectos'!AD258</f>
        <v>0</v>
      </c>
      <c r="AG190" s="110">
        <f>+'Gantt Proyectos'!AE258</f>
        <v>0</v>
      </c>
      <c r="AH190" s="172">
        <v>1</v>
      </c>
      <c r="AI190" s="466">
        <f>IFERROR(IF('Gantt Proyectos'!AF258&lt;2,$N190*'Gantt Proyectos'!AF258,IF('Gantt Proyectos'!AF258=2,$N190*('Gantt Proyectos'!AF258-1))),0)*$L190*$Q190</f>
        <v>0</v>
      </c>
      <c r="AJ190" s="467">
        <f>IFERROR(IF('Gantt Proyectos'!AG258&lt;2,$N190*'Gantt Proyectos'!AG258,IF('Gantt Proyectos'!AG258=2,$N190*('Gantt Proyectos'!AG258-1))),0)*$L190*$Q190</f>
        <v>0</v>
      </c>
      <c r="AK190" s="467">
        <f>IFERROR(IF('Gantt Proyectos'!AH258&lt;2,$N190*'Gantt Proyectos'!AH258,IF('Gantt Proyectos'!AH258=2,$N190*('Gantt Proyectos'!AH258-1))),0)*$L190*$Q190</f>
        <v>0</v>
      </c>
      <c r="AL190" s="467">
        <f>IFERROR(IF('Gantt Proyectos'!AI258&lt;2,$N190*'Gantt Proyectos'!AI258,IF('Gantt Proyectos'!AI258=2,$N190*('Gantt Proyectos'!AI258-1))),0)*$L190*$Q190</f>
        <v>0</v>
      </c>
      <c r="AM190" s="467">
        <f>IFERROR(IF('Gantt Proyectos'!AJ258&lt;2,$N190*'Gantt Proyectos'!AJ258,IF('Gantt Proyectos'!AJ258=2,$N190*('Gantt Proyectos'!AJ258-1))),0)*$L190*$Q190</f>
        <v>0</v>
      </c>
      <c r="AN190" s="467">
        <f>IFERROR(IF('Gantt Proyectos'!AK258&lt;2,$N190*'Gantt Proyectos'!AK258,IF('Gantt Proyectos'!AK258=2,$N190*('Gantt Proyectos'!AK258-1))),0)*$L190*$Q190</f>
        <v>0</v>
      </c>
      <c r="AO190" s="467">
        <f>IFERROR(IF('Gantt Proyectos'!AL258&lt;2,$N190*'Gantt Proyectos'!AL258,IF('Gantt Proyectos'!AL258=2,$N190*('Gantt Proyectos'!AL258-1))),0)*$L190*$Q190</f>
        <v>0</v>
      </c>
      <c r="AP190" s="467">
        <f>IFERROR(IF('Gantt Proyectos'!AM258&lt;2,$N190*'Gantt Proyectos'!AM258,IF('Gantt Proyectos'!AM258=2,$N190*('Gantt Proyectos'!AM258-1))),0)*$L190*$Q190</f>
        <v>0</v>
      </c>
      <c r="AQ190" s="468">
        <f>IFERROR(IF('Gantt Proyectos'!AN258&lt;2,$N190*'Gantt Proyectos'!AN258,IF('Gantt Proyectos'!AN258=2,$N190*('Gantt Proyectos'!AN258-1))),0)*$L190*$Q190</f>
        <v>0</v>
      </c>
    </row>
    <row r="191" spans="3:43" ht="15" x14ac:dyDescent="0.2">
      <c r="C191" s="110">
        <f>+'Gantt Proyectos'!C259</f>
        <v>0</v>
      </c>
      <c r="D191" s="110">
        <f>+'Gantt Proyectos'!D259</f>
        <v>0</v>
      </c>
      <c r="E191" s="110">
        <f>+'Gantt Proyectos'!E259</f>
        <v>0</v>
      </c>
      <c r="F191" s="148">
        <f>+'Gantt Proyectos'!F259</f>
        <v>0</v>
      </c>
      <c r="G191" s="110">
        <f>+'Gantt Proyectos'!G259</f>
        <v>0</v>
      </c>
      <c r="H191" s="110">
        <f>+'Gantt Proyectos'!H259</f>
        <v>0</v>
      </c>
      <c r="I191" s="189">
        <v>1</v>
      </c>
      <c r="J191" s="189">
        <f t="shared" si="10"/>
        <v>0</v>
      </c>
      <c r="K191" s="110">
        <f>+'Gantt Proyectos'!I259</f>
        <v>0</v>
      </c>
      <c r="L191" s="110">
        <f>+'Gantt Proyectos'!J259</f>
        <v>0</v>
      </c>
      <c r="M191" s="110">
        <f>+'Gantt Proyectos'!K259</f>
        <v>0</v>
      </c>
      <c r="N191" s="110">
        <f>+'Gantt Proyectos'!L259</f>
        <v>0</v>
      </c>
      <c r="O191" s="110">
        <f>+'Gantt Proyectos'!M259</f>
        <v>0</v>
      </c>
      <c r="P191" s="110">
        <f>+'Gantt Proyectos'!N259</f>
        <v>0</v>
      </c>
      <c r="Q191" s="472">
        <v>1</v>
      </c>
      <c r="R191" s="110">
        <f>+'Gantt Proyectos'!O259</f>
        <v>0</v>
      </c>
      <c r="S191" s="110">
        <f>+'Gantt Proyectos'!P259</f>
        <v>0</v>
      </c>
      <c r="T191" s="110">
        <f>+'Gantt Proyectos'!R259</f>
        <v>0</v>
      </c>
      <c r="U191" s="118">
        <f>+'Gantt Proyectos'!S259</f>
        <v>0</v>
      </c>
      <c r="V191" s="157">
        <f>+'Gantt Proyectos'!T259</f>
        <v>0</v>
      </c>
      <c r="W191" s="157">
        <f>+'Gantt Proyectos'!U259</f>
        <v>0</v>
      </c>
      <c r="X191" s="201">
        <f t="shared" si="11"/>
        <v>0</v>
      </c>
      <c r="Y191" s="110">
        <f>+'Gantt Proyectos'!W259</f>
        <v>0</v>
      </c>
      <c r="Z191" s="110">
        <f>+'Gantt Proyectos'!X259</f>
        <v>0</v>
      </c>
      <c r="AA191" s="110">
        <f>+'Gantt Proyectos'!Y259</f>
        <v>0</v>
      </c>
      <c r="AB191" s="110">
        <f>+'Gantt Proyectos'!Z259</f>
        <v>0</v>
      </c>
      <c r="AC191" s="110">
        <f>+'Gantt Proyectos'!AA259</f>
        <v>0</v>
      </c>
      <c r="AD191" s="110">
        <f>+'Gantt Proyectos'!AB259</f>
        <v>0</v>
      </c>
      <c r="AE191" s="110">
        <f>+'Gantt Proyectos'!AC259</f>
        <v>0</v>
      </c>
      <c r="AF191" s="110">
        <f>+'Gantt Proyectos'!AD259</f>
        <v>0</v>
      </c>
      <c r="AG191" s="110">
        <f>+'Gantt Proyectos'!AE259</f>
        <v>0</v>
      </c>
      <c r="AH191" s="172">
        <v>1</v>
      </c>
      <c r="AI191" s="466">
        <f>IFERROR(IF('Gantt Proyectos'!AF259&lt;2,$N191*'Gantt Proyectos'!AF259,IF('Gantt Proyectos'!AF259=2,$N191*('Gantt Proyectos'!AF259-1))),0)*$L191*$Q191</f>
        <v>0</v>
      </c>
      <c r="AJ191" s="467">
        <f>IFERROR(IF('Gantt Proyectos'!AG259&lt;2,$N191*'Gantt Proyectos'!AG259,IF('Gantt Proyectos'!AG259=2,$N191*('Gantt Proyectos'!AG259-1))),0)*$L191*$Q191</f>
        <v>0</v>
      </c>
      <c r="AK191" s="467">
        <f>IFERROR(IF('Gantt Proyectos'!AH259&lt;2,$N191*'Gantt Proyectos'!AH259,IF('Gantt Proyectos'!AH259=2,$N191*('Gantt Proyectos'!AH259-1))),0)*$L191*$Q191</f>
        <v>0</v>
      </c>
      <c r="AL191" s="467">
        <f>IFERROR(IF('Gantt Proyectos'!AI259&lt;2,$N191*'Gantt Proyectos'!AI259,IF('Gantt Proyectos'!AI259=2,$N191*('Gantt Proyectos'!AI259-1))),0)*$L191*$Q191</f>
        <v>0</v>
      </c>
      <c r="AM191" s="467">
        <f>IFERROR(IF('Gantt Proyectos'!AJ259&lt;2,$N191*'Gantt Proyectos'!AJ259,IF('Gantt Proyectos'!AJ259=2,$N191*('Gantt Proyectos'!AJ259-1))),0)*$L191*$Q191</f>
        <v>0</v>
      </c>
      <c r="AN191" s="467">
        <f>IFERROR(IF('Gantt Proyectos'!AK259&lt;2,$N191*'Gantt Proyectos'!AK259,IF('Gantt Proyectos'!AK259=2,$N191*('Gantt Proyectos'!AK259-1))),0)*$L191*$Q191</f>
        <v>0</v>
      </c>
      <c r="AO191" s="467">
        <f>IFERROR(IF('Gantt Proyectos'!AL259&lt;2,$N191*'Gantt Proyectos'!AL259,IF('Gantt Proyectos'!AL259=2,$N191*('Gantt Proyectos'!AL259-1))),0)*$L191*$Q191</f>
        <v>0</v>
      </c>
      <c r="AP191" s="467">
        <f>IFERROR(IF('Gantt Proyectos'!AM259&lt;2,$N191*'Gantt Proyectos'!AM259,IF('Gantt Proyectos'!AM259=2,$N191*('Gantt Proyectos'!AM259-1))),0)*$L191*$Q191</f>
        <v>0</v>
      </c>
      <c r="AQ191" s="468">
        <f>IFERROR(IF('Gantt Proyectos'!AN259&lt;2,$N191*'Gantt Proyectos'!AN259,IF('Gantt Proyectos'!AN259=2,$N191*('Gantt Proyectos'!AN259-1))),0)*$L191*$Q191</f>
        <v>0</v>
      </c>
    </row>
    <row r="192" spans="3:43" ht="15" x14ac:dyDescent="0.2">
      <c r="C192" s="110">
        <f>+'Gantt Proyectos'!C260</f>
        <v>0</v>
      </c>
      <c r="D192" s="110">
        <f>+'Gantt Proyectos'!D260</f>
        <v>0</v>
      </c>
      <c r="E192" s="110">
        <f>+'Gantt Proyectos'!E260</f>
        <v>0</v>
      </c>
      <c r="F192" s="148">
        <f>+'Gantt Proyectos'!F260</f>
        <v>0</v>
      </c>
      <c r="G192" s="110">
        <f>+'Gantt Proyectos'!G260</f>
        <v>0</v>
      </c>
      <c r="H192" s="110">
        <f>+'Gantt Proyectos'!H260</f>
        <v>0</v>
      </c>
      <c r="I192" s="189">
        <v>1</v>
      </c>
      <c r="J192" s="189">
        <f t="shared" si="10"/>
        <v>0</v>
      </c>
      <c r="K192" s="110">
        <f>+'Gantt Proyectos'!I260</f>
        <v>0</v>
      </c>
      <c r="L192" s="110">
        <f>+'Gantt Proyectos'!J260</f>
        <v>0</v>
      </c>
      <c r="M192" s="110">
        <f>+'Gantt Proyectos'!K260</f>
        <v>0</v>
      </c>
      <c r="N192" s="110">
        <f>+'Gantt Proyectos'!L260</f>
        <v>0</v>
      </c>
      <c r="O192" s="110">
        <f>+'Gantt Proyectos'!M260</f>
        <v>0</v>
      </c>
      <c r="P192" s="110">
        <f>+'Gantt Proyectos'!N260</f>
        <v>0</v>
      </c>
      <c r="Q192" s="472">
        <v>1</v>
      </c>
      <c r="R192" s="110">
        <f>+'Gantt Proyectos'!O260</f>
        <v>0</v>
      </c>
      <c r="S192" s="110">
        <f>+'Gantt Proyectos'!P260</f>
        <v>0</v>
      </c>
      <c r="T192" s="110">
        <f>+'Gantt Proyectos'!R260</f>
        <v>0</v>
      </c>
      <c r="U192" s="118">
        <f>+'Gantt Proyectos'!S260</f>
        <v>0</v>
      </c>
      <c r="V192" s="157">
        <f>+'Gantt Proyectos'!T260</f>
        <v>0</v>
      </c>
      <c r="W192" s="157">
        <f>+'Gantt Proyectos'!U260</f>
        <v>0</v>
      </c>
      <c r="X192" s="201">
        <f t="shared" si="11"/>
        <v>0</v>
      </c>
      <c r="Y192" s="110">
        <f>+'Gantt Proyectos'!W260</f>
        <v>0</v>
      </c>
      <c r="Z192" s="110">
        <f>+'Gantt Proyectos'!X260</f>
        <v>0</v>
      </c>
      <c r="AA192" s="110">
        <f>+'Gantt Proyectos'!Y260</f>
        <v>0</v>
      </c>
      <c r="AB192" s="110">
        <f>+'Gantt Proyectos'!Z260</f>
        <v>0</v>
      </c>
      <c r="AC192" s="110">
        <f>+'Gantt Proyectos'!AA260</f>
        <v>0</v>
      </c>
      <c r="AD192" s="110">
        <f>+'Gantt Proyectos'!AB260</f>
        <v>0</v>
      </c>
      <c r="AE192" s="110">
        <f>+'Gantt Proyectos'!AC260</f>
        <v>0</v>
      </c>
      <c r="AF192" s="110">
        <f>+'Gantt Proyectos'!AD260</f>
        <v>0</v>
      </c>
      <c r="AG192" s="110">
        <f>+'Gantt Proyectos'!AE260</f>
        <v>0</v>
      </c>
      <c r="AH192" s="172">
        <v>1</v>
      </c>
      <c r="AI192" s="466">
        <f>IFERROR(IF('Gantt Proyectos'!AF260&lt;2,$N192*'Gantt Proyectos'!AF260,IF('Gantt Proyectos'!AF260=2,$N192*('Gantt Proyectos'!AF260-1))),0)*$L192*$Q192</f>
        <v>0</v>
      </c>
      <c r="AJ192" s="467">
        <f>IFERROR(IF('Gantt Proyectos'!AG260&lt;2,$N192*'Gantt Proyectos'!AG260,IF('Gantt Proyectos'!AG260=2,$N192*('Gantt Proyectos'!AG260-1))),0)*$L192*$Q192</f>
        <v>0</v>
      </c>
      <c r="AK192" s="467">
        <f>IFERROR(IF('Gantt Proyectos'!AH260&lt;2,$N192*'Gantt Proyectos'!AH260,IF('Gantt Proyectos'!AH260=2,$N192*('Gantt Proyectos'!AH260-1))),0)*$L192*$Q192</f>
        <v>0</v>
      </c>
      <c r="AL192" s="467">
        <f>IFERROR(IF('Gantt Proyectos'!AI260&lt;2,$N192*'Gantt Proyectos'!AI260,IF('Gantt Proyectos'!AI260=2,$N192*('Gantt Proyectos'!AI260-1))),0)*$L192*$Q192</f>
        <v>0</v>
      </c>
      <c r="AM192" s="467">
        <f>IFERROR(IF('Gantt Proyectos'!AJ260&lt;2,$N192*'Gantt Proyectos'!AJ260,IF('Gantt Proyectos'!AJ260=2,$N192*('Gantt Proyectos'!AJ260-1))),0)*$L192*$Q192</f>
        <v>0</v>
      </c>
      <c r="AN192" s="467">
        <f>IFERROR(IF('Gantt Proyectos'!AK260&lt;2,$N192*'Gantt Proyectos'!AK260,IF('Gantt Proyectos'!AK260=2,$N192*('Gantt Proyectos'!AK260-1))),0)*$L192*$Q192</f>
        <v>0</v>
      </c>
      <c r="AO192" s="467">
        <f>IFERROR(IF('Gantt Proyectos'!AL260&lt;2,$N192*'Gantt Proyectos'!AL260,IF('Gantt Proyectos'!AL260=2,$N192*('Gantt Proyectos'!AL260-1))),0)*$L192*$Q192</f>
        <v>0</v>
      </c>
      <c r="AP192" s="467">
        <f>IFERROR(IF('Gantt Proyectos'!AM260&lt;2,$N192*'Gantt Proyectos'!AM260,IF('Gantt Proyectos'!AM260=2,$N192*('Gantt Proyectos'!AM260-1))),0)*$L192*$Q192</f>
        <v>0</v>
      </c>
      <c r="AQ192" s="468">
        <f>IFERROR(IF('Gantt Proyectos'!AN260&lt;2,$N192*'Gantt Proyectos'!AN260,IF('Gantt Proyectos'!AN260=2,$N192*('Gantt Proyectos'!AN260-1))),0)*$L192*$Q192</f>
        <v>0</v>
      </c>
    </row>
    <row r="193" spans="3:43" ht="15" x14ac:dyDescent="0.2">
      <c r="C193" s="110">
        <f>+'Gantt Proyectos'!C261</f>
        <v>0</v>
      </c>
      <c r="D193" s="110">
        <f>+'Gantt Proyectos'!D261</f>
        <v>0</v>
      </c>
      <c r="E193" s="110">
        <f>+'Gantt Proyectos'!E261</f>
        <v>0</v>
      </c>
      <c r="F193" s="148">
        <f>+'Gantt Proyectos'!F261</f>
        <v>0</v>
      </c>
      <c r="G193" s="110">
        <f>+'Gantt Proyectos'!G261</f>
        <v>0</v>
      </c>
      <c r="H193" s="110">
        <f>+'Gantt Proyectos'!H261</f>
        <v>0</v>
      </c>
      <c r="I193" s="189">
        <v>1</v>
      </c>
      <c r="J193" s="189">
        <f t="shared" si="10"/>
        <v>0</v>
      </c>
      <c r="K193" s="110">
        <f>+'Gantt Proyectos'!I261</f>
        <v>0</v>
      </c>
      <c r="L193" s="110">
        <f>+'Gantt Proyectos'!J261</f>
        <v>0</v>
      </c>
      <c r="M193" s="110">
        <f>+'Gantt Proyectos'!K261</f>
        <v>0</v>
      </c>
      <c r="N193" s="110">
        <f>+'Gantt Proyectos'!L261</f>
        <v>0</v>
      </c>
      <c r="O193" s="110">
        <f>+'Gantt Proyectos'!M261</f>
        <v>0</v>
      </c>
      <c r="P193" s="110">
        <f>+'Gantt Proyectos'!N261</f>
        <v>0</v>
      </c>
      <c r="Q193" s="472">
        <v>1</v>
      </c>
      <c r="R193" s="110">
        <f>+'Gantt Proyectos'!O261</f>
        <v>0</v>
      </c>
      <c r="S193" s="110">
        <f>+'Gantt Proyectos'!P261</f>
        <v>0</v>
      </c>
      <c r="T193" s="110">
        <f>+'Gantt Proyectos'!R261</f>
        <v>0</v>
      </c>
      <c r="U193" s="118">
        <f>+'Gantt Proyectos'!S261</f>
        <v>0</v>
      </c>
      <c r="V193" s="157">
        <f>+'Gantt Proyectos'!T261</f>
        <v>0</v>
      </c>
      <c r="W193" s="157">
        <f>+'Gantt Proyectos'!U261</f>
        <v>0</v>
      </c>
      <c r="X193" s="201">
        <f t="shared" si="11"/>
        <v>0</v>
      </c>
      <c r="Y193" s="110">
        <f>+'Gantt Proyectos'!W261</f>
        <v>0</v>
      </c>
      <c r="Z193" s="110">
        <f>+'Gantt Proyectos'!X261</f>
        <v>0</v>
      </c>
      <c r="AA193" s="110">
        <f>+'Gantt Proyectos'!Y261</f>
        <v>0</v>
      </c>
      <c r="AB193" s="110">
        <f>+'Gantt Proyectos'!Z261</f>
        <v>0</v>
      </c>
      <c r="AC193" s="110">
        <f>+'Gantt Proyectos'!AA261</f>
        <v>0</v>
      </c>
      <c r="AD193" s="110">
        <f>+'Gantt Proyectos'!AB261</f>
        <v>0</v>
      </c>
      <c r="AE193" s="110">
        <f>+'Gantt Proyectos'!AC261</f>
        <v>0</v>
      </c>
      <c r="AF193" s="110">
        <f>+'Gantt Proyectos'!AD261</f>
        <v>0</v>
      </c>
      <c r="AG193" s="110">
        <f>+'Gantt Proyectos'!AE261</f>
        <v>0</v>
      </c>
      <c r="AH193" s="172">
        <v>1</v>
      </c>
      <c r="AI193" s="466">
        <f>IFERROR(IF('Gantt Proyectos'!AF261&lt;2,$N193*'Gantt Proyectos'!AF261,IF('Gantt Proyectos'!AF261=2,$N193*('Gantt Proyectos'!AF261-1))),0)*$L193*$Q193</f>
        <v>0</v>
      </c>
      <c r="AJ193" s="467">
        <f>IFERROR(IF('Gantt Proyectos'!AG261&lt;2,$N193*'Gantt Proyectos'!AG261,IF('Gantt Proyectos'!AG261=2,$N193*('Gantt Proyectos'!AG261-1))),0)*$L193*$Q193</f>
        <v>0</v>
      </c>
      <c r="AK193" s="467">
        <f>IFERROR(IF('Gantt Proyectos'!AH261&lt;2,$N193*'Gantt Proyectos'!AH261,IF('Gantt Proyectos'!AH261=2,$N193*('Gantt Proyectos'!AH261-1))),0)*$L193*$Q193</f>
        <v>0</v>
      </c>
      <c r="AL193" s="467">
        <f>IFERROR(IF('Gantt Proyectos'!AI261&lt;2,$N193*'Gantt Proyectos'!AI261,IF('Gantt Proyectos'!AI261=2,$N193*('Gantt Proyectos'!AI261-1))),0)*$L193*$Q193</f>
        <v>0</v>
      </c>
      <c r="AM193" s="467">
        <f>IFERROR(IF('Gantt Proyectos'!AJ261&lt;2,$N193*'Gantt Proyectos'!AJ261,IF('Gantt Proyectos'!AJ261=2,$N193*('Gantt Proyectos'!AJ261-1))),0)*$L193*$Q193</f>
        <v>0</v>
      </c>
      <c r="AN193" s="467">
        <f>IFERROR(IF('Gantt Proyectos'!AK261&lt;2,$N193*'Gantt Proyectos'!AK261,IF('Gantt Proyectos'!AK261=2,$N193*('Gantt Proyectos'!AK261-1))),0)*$L193*$Q193</f>
        <v>0</v>
      </c>
      <c r="AO193" s="467">
        <f>IFERROR(IF('Gantt Proyectos'!AL261&lt;2,$N193*'Gantt Proyectos'!AL261,IF('Gantt Proyectos'!AL261=2,$N193*('Gantt Proyectos'!AL261-1))),0)*$L193*$Q193</f>
        <v>0</v>
      </c>
      <c r="AP193" s="467">
        <f>IFERROR(IF('Gantt Proyectos'!AM261&lt;2,$N193*'Gantt Proyectos'!AM261,IF('Gantt Proyectos'!AM261=2,$N193*('Gantt Proyectos'!AM261-1))),0)*$L193*$Q193</f>
        <v>0</v>
      </c>
      <c r="AQ193" s="468">
        <f>IFERROR(IF('Gantt Proyectos'!AN261&lt;2,$N193*'Gantt Proyectos'!AN261,IF('Gantt Proyectos'!AN261=2,$N193*('Gantt Proyectos'!AN261-1))),0)*$L193*$Q193</f>
        <v>0</v>
      </c>
    </row>
    <row r="194" spans="3:43" ht="16" thickBot="1" x14ac:dyDescent="0.25">
      <c r="C194" s="110">
        <f>+'Gantt Proyectos'!C262</f>
        <v>0</v>
      </c>
      <c r="D194" s="110">
        <f>+'Gantt Proyectos'!D262</f>
        <v>0</v>
      </c>
      <c r="E194" s="110">
        <f>+'Gantt Proyectos'!E262</f>
        <v>0</v>
      </c>
      <c r="F194" s="148">
        <f>+'Gantt Proyectos'!F262</f>
        <v>0</v>
      </c>
      <c r="G194" s="110">
        <f>+'Gantt Proyectos'!G262</f>
        <v>0</v>
      </c>
      <c r="H194" s="110">
        <f>+'Gantt Proyectos'!H262</f>
        <v>0</v>
      </c>
      <c r="I194" s="189">
        <v>1</v>
      </c>
      <c r="J194" s="189">
        <f t="shared" si="10"/>
        <v>0</v>
      </c>
      <c r="K194" s="110">
        <f>+'Gantt Proyectos'!I262</f>
        <v>0</v>
      </c>
      <c r="L194" s="110">
        <f>+'Gantt Proyectos'!J262</f>
        <v>0</v>
      </c>
      <c r="M194" s="110">
        <f>+'Gantt Proyectos'!K262</f>
        <v>0</v>
      </c>
      <c r="N194" s="110">
        <f>+'Gantt Proyectos'!L262</f>
        <v>0</v>
      </c>
      <c r="O194" s="110">
        <f>+'Gantt Proyectos'!M262</f>
        <v>0</v>
      </c>
      <c r="P194" s="110">
        <f>+'Gantt Proyectos'!N262</f>
        <v>0</v>
      </c>
      <c r="Q194" s="472">
        <v>1</v>
      </c>
      <c r="R194" s="110">
        <f>+'Gantt Proyectos'!O262</f>
        <v>0</v>
      </c>
      <c r="S194" s="110">
        <f>+'Gantt Proyectos'!P262</f>
        <v>0</v>
      </c>
      <c r="T194" s="110">
        <f>+'Gantt Proyectos'!R262</f>
        <v>0</v>
      </c>
      <c r="U194" s="118">
        <f>+'Gantt Proyectos'!S262</f>
        <v>0</v>
      </c>
      <c r="V194" s="157">
        <f>+'Gantt Proyectos'!T262</f>
        <v>0</v>
      </c>
      <c r="W194" s="157">
        <f>+'Gantt Proyectos'!U262</f>
        <v>0</v>
      </c>
      <c r="X194" s="201">
        <f t="shared" si="11"/>
        <v>0</v>
      </c>
      <c r="Y194" s="110">
        <f>+'Gantt Proyectos'!W262</f>
        <v>0</v>
      </c>
      <c r="Z194" s="110">
        <f>+'Gantt Proyectos'!X262</f>
        <v>0</v>
      </c>
      <c r="AA194" s="110">
        <f>+'Gantt Proyectos'!Y262</f>
        <v>0</v>
      </c>
      <c r="AB194" s="110">
        <f>+'Gantt Proyectos'!Z262</f>
        <v>0</v>
      </c>
      <c r="AC194" s="110">
        <f>+'Gantt Proyectos'!AA262</f>
        <v>0</v>
      </c>
      <c r="AD194" s="110">
        <f>+'Gantt Proyectos'!AB262</f>
        <v>0</v>
      </c>
      <c r="AE194" s="110">
        <f>+'Gantt Proyectos'!AC262</f>
        <v>0</v>
      </c>
      <c r="AF194" s="110">
        <f>+'Gantt Proyectos'!AD262</f>
        <v>0</v>
      </c>
      <c r="AG194" s="110">
        <f>+'Gantt Proyectos'!AE262</f>
        <v>0</v>
      </c>
      <c r="AH194" s="172">
        <v>1</v>
      </c>
      <c r="AI194" s="469">
        <f>IFERROR(IF('Gantt Proyectos'!AF262&lt;2,$N194*'Gantt Proyectos'!AF262,IF('Gantt Proyectos'!AF262=2,$N194*('Gantt Proyectos'!AF262-1))),0)*$L194*$Q194</f>
        <v>0</v>
      </c>
      <c r="AJ194" s="470">
        <f>IFERROR(IF('Gantt Proyectos'!AG262&lt;2,$N194*'Gantt Proyectos'!AG262,IF('Gantt Proyectos'!AG262=2,$N194*('Gantt Proyectos'!AG262-1))),0)*$L194*$Q194</f>
        <v>0</v>
      </c>
      <c r="AK194" s="470">
        <f>IFERROR(IF('Gantt Proyectos'!AH262&lt;2,$N194*'Gantt Proyectos'!AH262,IF('Gantt Proyectos'!AH262=2,$N194*('Gantt Proyectos'!AH262-1))),0)*$L194*$Q194</f>
        <v>0</v>
      </c>
      <c r="AL194" s="470">
        <f>IFERROR(IF('Gantt Proyectos'!AI262&lt;2,$N194*'Gantt Proyectos'!AI262,IF('Gantt Proyectos'!AI262=2,$N194*('Gantt Proyectos'!AI262-1))),0)*$L194*$Q194</f>
        <v>0</v>
      </c>
      <c r="AM194" s="470">
        <f>IFERROR(IF('Gantt Proyectos'!AJ262&lt;2,$N194*'Gantt Proyectos'!AJ262,IF('Gantt Proyectos'!AJ262=2,$N194*('Gantt Proyectos'!AJ262-1))),0)*$L194*$Q194</f>
        <v>0</v>
      </c>
      <c r="AN194" s="470">
        <f>IFERROR(IF('Gantt Proyectos'!AK262&lt;2,$N194*'Gantt Proyectos'!AK262,IF('Gantt Proyectos'!AK262=2,$N194*('Gantt Proyectos'!AK262-1))),0)*$L194*$Q194</f>
        <v>0</v>
      </c>
      <c r="AO194" s="470">
        <f>IFERROR(IF('Gantt Proyectos'!AL262&lt;2,$N194*'Gantt Proyectos'!AL262,IF('Gantt Proyectos'!AL262=2,$N194*('Gantt Proyectos'!AL262-1))),0)*$L194*$Q194</f>
        <v>0</v>
      </c>
      <c r="AP194" s="470">
        <f>IFERROR(IF('Gantt Proyectos'!AM262&lt;2,$N194*'Gantt Proyectos'!AM262,IF('Gantt Proyectos'!AM262=2,$N194*('Gantt Proyectos'!AM262-1))),0)*$L194*$Q194</f>
        <v>0</v>
      </c>
      <c r="AQ194" s="471">
        <f>IFERROR(IF('Gantt Proyectos'!AN262&lt;2,$N194*'Gantt Proyectos'!AN262,IF('Gantt Proyectos'!AN262=2,$N194*('Gantt Proyectos'!AN262-1))),0)*$L194*$Q194</f>
        <v>0</v>
      </c>
    </row>
    <row r="195" spans="3:43" x14ac:dyDescent="0.2">
      <c r="F195" s="148"/>
    </row>
    <row r="196" spans="3:43" x14ac:dyDescent="0.2">
      <c r="F196" s="148"/>
    </row>
    <row r="197" spans="3:43" x14ac:dyDescent="0.2">
      <c r="F197" s="148"/>
    </row>
    <row r="198" spans="3:43" x14ac:dyDescent="0.2">
      <c r="F198" s="148"/>
    </row>
    <row r="199" spans="3:43" x14ac:dyDescent="0.2">
      <c r="F199" s="148"/>
    </row>
    <row r="200" spans="3:43" x14ac:dyDescent="0.2">
      <c r="F200" s="148"/>
    </row>
    <row r="201" spans="3:43" x14ac:dyDescent="0.2">
      <c r="F201" s="148"/>
    </row>
    <row r="202" spans="3:43" x14ac:dyDescent="0.2">
      <c r="F202" s="148"/>
    </row>
    <row r="203" spans="3:43" x14ac:dyDescent="0.2">
      <c r="F203" s="148"/>
    </row>
    <row r="204" spans="3:43" x14ac:dyDescent="0.2">
      <c r="F204" s="148"/>
    </row>
    <row r="205" spans="3:43" x14ac:dyDescent="0.2">
      <c r="F205" s="148"/>
    </row>
    <row r="206" spans="3:43" x14ac:dyDescent="0.2">
      <c r="F206" s="148"/>
    </row>
    <row r="207" spans="3:43" x14ac:dyDescent="0.2">
      <c r="F207" s="148"/>
    </row>
    <row r="208" spans="3:43" x14ac:dyDescent="0.2">
      <c r="F208" s="148"/>
    </row>
    <row r="209" spans="6:6" x14ac:dyDescent="0.2">
      <c r="F209" s="148"/>
    </row>
    <row r="210" spans="6:6" x14ac:dyDescent="0.2">
      <c r="F210" s="148"/>
    </row>
    <row r="211" spans="6:6" x14ac:dyDescent="0.2">
      <c r="F211" s="148"/>
    </row>
  </sheetData>
  <autoFilter ref="C28:AQ194" xr:uid="{E05B348C-8D4B-41F6-BB34-799AAAA8D870}"/>
  <mergeCells count="1">
    <mergeCell ref="I27:J27"/>
  </mergeCells>
  <conditionalFormatting sqref="AI29:AQ19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3" priority="4" operator="equal">
      <formula>0</formula>
    </cfRule>
    <cfRule type="cellIs" dxfId="2" priority="5" operator="equal">
      <formula>1</formula>
    </cfRule>
  </conditionalFormatting>
  <conditionalFormatting sqref="AJ29:AQ194">
    <cfRule type="cellIs" dxfId="1" priority="2" operator="equal">
      <formula>0</formula>
    </cfRule>
    <cfRule type="cellIs" dxfId="0" priority="3" operator="equal">
      <formula>1</formula>
    </cfRule>
  </conditionalFormatting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DA42-725B-4548-A34E-92A2227A41EE}">
  <sheetPr>
    <tabColor theme="5" tint="0.79998168889431442"/>
  </sheetPr>
  <dimension ref="H3:K26"/>
  <sheetViews>
    <sheetView workbookViewId="0">
      <selection activeCell="L21" sqref="L21"/>
    </sheetView>
  </sheetViews>
  <sheetFormatPr baseColWidth="10" defaultColWidth="11.5" defaultRowHeight="15" x14ac:dyDescent="0.2"/>
  <sheetData>
    <row r="3" spans="8:11" x14ac:dyDescent="0.2">
      <c r="H3">
        <v>1390000</v>
      </c>
      <c r="I3">
        <v>0.75</v>
      </c>
      <c r="K3" s="597">
        <f>+SUMPRODUCT(H3:H26,I3:I26)</f>
        <v>6434500</v>
      </c>
    </row>
    <row r="4" spans="8:11" x14ac:dyDescent="0.2">
      <c r="H4">
        <v>600000</v>
      </c>
      <c r="I4">
        <v>0.75</v>
      </c>
    </row>
    <row r="5" spans="8:11" x14ac:dyDescent="0.2">
      <c r="H5">
        <v>0</v>
      </c>
      <c r="I5">
        <v>0</v>
      </c>
    </row>
    <row r="6" spans="8:11" x14ac:dyDescent="0.2">
      <c r="H6">
        <v>300000</v>
      </c>
      <c r="I6">
        <v>0.9</v>
      </c>
    </row>
    <row r="7" spans="8:11" x14ac:dyDescent="0.2">
      <c r="H7">
        <v>300000</v>
      </c>
      <c r="I7">
        <v>0.2</v>
      </c>
    </row>
    <row r="8" spans="8:11" x14ac:dyDescent="0.2">
      <c r="H8">
        <v>150000</v>
      </c>
      <c r="I8">
        <v>0.2</v>
      </c>
    </row>
    <row r="9" spans="8:11" x14ac:dyDescent="0.2">
      <c r="H9">
        <v>1300000</v>
      </c>
      <c r="I9">
        <v>0.5</v>
      </c>
    </row>
    <row r="10" spans="8:11" x14ac:dyDescent="0.2">
      <c r="H10">
        <v>490000</v>
      </c>
      <c r="I10">
        <v>1</v>
      </c>
    </row>
    <row r="11" spans="8:11" x14ac:dyDescent="0.2">
      <c r="H11">
        <v>2400000</v>
      </c>
      <c r="I11">
        <v>0.35</v>
      </c>
    </row>
    <row r="12" spans="8:11" x14ac:dyDescent="0.2">
      <c r="H12">
        <v>160000</v>
      </c>
      <c r="I12">
        <v>0.5</v>
      </c>
    </row>
    <row r="13" spans="8:11" x14ac:dyDescent="0.2">
      <c r="H13">
        <v>1000000</v>
      </c>
      <c r="I13">
        <v>0.5</v>
      </c>
    </row>
    <row r="14" spans="8:11" x14ac:dyDescent="0.2">
      <c r="H14">
        <v>890000</v>
      </c>
      <c r="I14">
        <v>0.8</v>
      </c>
    </row>
    <row r="15" spans="8:11" x14ac:dyDescent="0.2">
      <c r="H15">
        <v>180000</v>
      </c>
      <c r="I15">
        <v>0.9</v>
      </c>
    </row>
    <row r="16" spans="8:11" x14ac:dyDescent="0.2">
      <c r="H16">
        <v>150000</v>
      </c>
      <c r="I16">
        <v>0.1</v>
      </c>
    </row>
    <row r="17" spans="8:9" x14ac:dyDescent="0.2">
      <c r="H17">
        <v>300000</v>
      </c>
      <c r="I17">
        <v>0.1</v>
      </c>
    </row>
    <row r="18" spans="8:9" x14ac:dyDescent="0.2">
      <c r="H18">
        <v>180000</v>
      </c>
      <c r="I18">
        <v>0.1</v>
      </c>
    </row>
    <row r="19" spans="8:9" x14ac:dyDescent="0.2">
      <c r="H19">
        <v>120000</v>
      </c>
      <c r="I19">
        <v>0.5</v>
      </c>
    </row>
    <row r="20" spans="8:9" x14ac:dyDescent="0.2">
      <c r="H20">
        <v>700000</v>
      </c>
      <c r="I20">
        <v>0.05</v>
      </c>
    </row>
    <row r="21" spans="8:9" x14ac:dyDescent="0.2">
      <c r="H21">
        <v>150000</v>
      </c>
      <c r="I21">
        <v>0.5</v>
      </c>
    </row>
    <row r="22" spans="8:9" x14ac:dyDescent="0.2">
      <c r="H22">
        <v>490000</v>
      </c>
      <c r="I22">
        <v>0.1</v>
      </c>
    </row>
    <row r="23" spans="8:9" x14ac:dyDescent="0.2">
      <c r="H23">
        <v>1500000</v>
      </c>
      <c r="I23">
        <v>0.5</v>
      </c>
    </row>
    <row r="24" spans="8:9" x14ac:dyDescent="0.2">
      <c r="H24">
        <v>40000</v>
      </c>
      <c r="I24">
        <v>0.9</v>
      </c>
    </row>
    <row r="25" spans="8:9" x14ac:dyDescent="0.2">
      <c r="H25">
        <v>200000</v>
      </c>
      <c r="I25">
        <v>0.25</v>
      </c>
    </row>
    <row r="26" spans="8:9" x14ac:dyDescent="0.2">
      <c r="H26">
        <v>150000</v>
      </c>
      <c r="I26">
        <v>0.2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975B-F250-4A3F-9AFB-780943889894}">
  <sheetPr>
    <tabColor theme="5" tint="0.79998168889431442"/>
  </sheetPr>
  <dimension ref="A1:AP211"/>
  <sheetViews>
    <sheetView showGridLines="0" topLeftCell="A8" zoomScale="75" zoomScaleNormal="70" workbookViewId="0">
      <selection activeCell="D87" sqref="D29:D87"/>
    </sheetView>
  </sheetViews>
  <sheetFormatPr baseColWidth="10" defaultColWidth="11.5" defaultRowHeight="11" outlineLevelCol="1" x14ac:dyDescent="0.2"/>
  <cols>
    <col min="1" max="2" width="11.5" style="110"/>
    <col min="3" max="3" width="11.83203125" style="110" customWidth="1"/>
    <col min="4" max="4" width="60.5" style="110" bestFit="1" customWidth="1"/>
    <col min="5" max="5" width="15" style="110" bestFit="1" customWidth="1"/>
    <col min="6" max="8" width="15" style="110" customWidth="1"/>
    <col min="9" max="10" width="15" style="190" customWidth="1"/>
    <col min="11" max="11" width="15" style="110" customWidth="1"/>
    <col min="12" max="20" width="11.5" style="110" customWidth="1"/>
    <col min="21" max="23" width="11.5" style="157" customWidth="1"/>
    <col min="24" max="24" width="11.5" style="110" customWidth="1"/>
    <col min="25" max="29" width="11.5" style="110" customWidth="1" outlineLevel="1"/>
    <col min="30" max="31" width="39.1640625" style="110" customWidth="1"/>
    <col min="32" max="33" width="26.5" style="110" customWidth="1"/>
    <col min="34" max="34" width="19.83203125" style="110" bestFit="1" customWidth="1"/>
    <col min="35" max="41" width="11.5" style="110"/>
    <col min="42" max="42" width="19.83203125" style="110" bestFit="1" customWidth="1"/>
    <col min="43" max="16384" width="11.5" style="110"/>
  </cols>
  <sheetData>
    <row r="1" spans="1:42" s="159" customFormat="1" x14ac:dyDescent="0.2">
      <c r="A1" s="158"/>
    </row>
    <row r="2" spans="1:42" s="161" customFormat="1" x14ac:dyDescent="0.2">
      <c r="A2" s="160"/>
    </row>
    <row r="3" spans="1:42" s="161" customFormat="1" x14ac:dyDescent="0.2">
      <c r="A3" s="160"/>
      <c r="D3" s="164" t="s">
        <v>0</v>
      </c>
    </row>
    <row r="4" spans="1:42" s="161" customFormat="1" x14ac:dyDescent="0.2">
      <c r="A4" s="160"/>
      <c r="D4" s="164">
        <v>2025</v>
      </c>
    </row>
    <row r="5" spans="1:42" s="161" customFormat="1" x14ac:dyDescent="0.2">
      <c r="A5" s="160"/>
      <c r="D5" s="167" t="s">
        <v>406</v>
      </c>
    </row>
    <row r="6" spans="1:42" s="161" customFormat="1" x14ac:dyDescent="0.2">
      <c r="A6" s="160"/>
    </row>
    <row r="7" spans="1:42" s="163" customFormat="1" ht="12" thickBot="1" x14ac:dyDescent="0.25">
      <c r="A7" s="162"/>
    </row>
    <row r="8" spans="1:42" x14ac:dyDescent="0.2">
      <c r="I8" s="110"/>
      <c r="J8" s="110"/>
      <c r="U8" s="110"/>
      <c r="V8" s="110"/>
      <c r="W8" s="110"/>
    </row>
    <row r="9" spans="1:42" s="165" customFormat="1" x14ac:dyDescent="0.2">
      <c r="B9" s="166" t="s">
        <v>407</v>
      </c>
    </row>
    <row r="10" spans="1:42" ht="12" thickBot="1" x14ac:dyDescent="0.25">
      <c r="B10" s="148"/>
      <c r="I10" s="110"/>
      <c r="J10" s="110"/>
      <c r="U10" s="110"/>
      <c r="V10" s="110"/>
      <c r="W10" s="110"/>
    </row>
    <row r="11" spans="1:42" ht="13" thickBot="1" x14ac:dyDescent="0.25">
      <c r="B11" s="148"/>
      <c r="I11" s="110"/>
      <c r="J11" s="110"/>
      <c r="U11" s="110"/>
      <c r="V11" s="110"/>
      <c r="W11" s="110"/>
      <c r="AF11" s="173" t="s">
        <v>414</v>
      </c>
      <c r="AG11" s="173" t="s">
        <v>409</v>
      </c>
      <c r="AH11" s="138">
        <v>45777</v>
      </c>
      <c r="AI11" s="138">
        <v>45807</v>
      </c>
      <c r="AJ11" s="138">
        <v>45838</v>
      </c>
      <c r="AK11" s="138">
        <v>45868</v>
      </c>
      <c r="AL11" s="138">
        <v>45899</v>
      </c>
      <c r="AM11" s="138">
        <v>45930</v>
      </c>
      <c r="AN11" s="138">
        <v>45960</v>
      </c>
      <c r="AO11" s="138">
        <v>45991</v>
      </c>
      <c r="AP11" s="139">
        <v>46021</v>
      </c>
    </row>
    <row r="12" spans="1:42" x14ac:dyDescent="0.2">
      <c r="B12" s="148"/>
      <c r="I12" s="110"/>
      <c r="J12" s="110"/>
      <c r="U12" s="110"/>
      <c r="V12" s="110"/>
      <c r="W12" s="110"/>
      <c r="AF12" s="174" t="s">
        <v>41</v>
      </c>
      <c r="AG12" s="178">
        <f t="shared" ref="AG12:AG17" ca="1" si="0">+SUM(AH12:XFD12)</f>
        <v>2047848.7704223555</v>
      </c>
      <c r="AH12" s="182">
        <f t="shared" ref="AH12:AP16" ca="1" si="1">+SUMIFS(AH$29:AH$100002,$F$29:$F$100002,$AF12)</f>
        <v>0</v>
      </c>
      <c r="AI12" s="182">
        <f ca="1">+SUMIFS(AI$29:AI$100002,$F$29:$F$100002,$AF12)</f>
        <v>534524.84335275833</v>
      </c>
      <c r="AJ12" s="182">
        <f t="shared" ca="1" si="1"/>
        <v>452758.17461538466</v>
      </c>
      <c r="AK12" s="182">
        <f t="shared" ca="1" si="1"/>
        <v>369120.64128205122</v>
      </c>
      <c r="AL12" s="182">
        <f t="shared" ca="1" si="1"/>
        <v>213934.35556776557</v>
      </c>
      <c r="AM12" s="182">
        <f t="shared" ca="1" si="1"/>
        <v>168877.68890109891</v>
      </c>
      <c r="AN12" s="182">
        <f t="shared" ca="1" si="1"/>
        <v>168877.68890109891</v>
      </c>
      <c r="AO12" s="182">
        <f t="shared" ca="1" si="1"/>
        <v>69877.688901098896</v>
      </c>
      <c r="AP12" s="183">
        <f t="shared" ca="1" si="1"/>
        <v>69877.688901098896</v>
      </c>
    </row>
    <row r="13" spans="1:42" x14ac:dyDescent="0.2">
      <c r="B13" s="148"/>
      <c r="I13" s="110"/>
      <c r="J13" s="110"/>
      <c r="U13" s="110"/>
      <c r="V13" s="110"/>
      <c r="W13" s="110"/>
      <c r="AF13" s="175" t="s">
        <v>44</v>
      </c>
      <c r="AG13" s="179">
        <f t="shared" ca="1" si="0"/>
        <v>2311208.9285714286</v>
      </c>
      <c r="AH13" s="184">
        <f t="shared" ca="1" si="1"/>
        <v>0</v>
      </c>
      <c r="AI13" s="184">
        <f t="shared" ca="1" si="1"/>
        <v>42252.714285714283</v>
      </c>
      <c r="AJ13" s="184">
        <f t="shared" ca="1" si="1"/>
        <v>257132.84523809524</v>
      </c>
      <c r="AK13" s="184">
        <f t="shared" ca="1" si="1"/>
        <v>257132.84523809524</v>
      </c>
      <c r="AL13" s="184">
        <f t="shared" ca="1" si="1"/>
        <v>372123.89523809525</v>
      </c>
      <c r="AM13" s="184">
        <f t="shared" ca="1" si="1"/>
        <v>393534.51428571431</v>
      </c>
      <c r="AN13" s="184">
        <f t="shared" ca="1" si="1"/>
        <v>420617.84761904762</v>
      </c>
      <c r="AO13" s="184">
        <f t="shared" ca="1" si="1"/>
        <v>285332.13333333336</v>
      </c>
      <c r="AP13" s="185">
        <f t="shared" ca="1" si="1"/>
        <v>283082.13333333336</v>
      </c>
    </row>
    <row r="14" spans="1:42" x14ac:dyDescent="0.2">
      <c r="B14" s="148"/>
      <c r="I14" s="110"/>
      <c r="J14" s="110"/>
      <c r="U14" s="110"/>
      <c r="V14" s="110"/>
      <c r="W14" s="110"/>
      <c r="AF14" s="175" t="s">
        <v>45</v>
      </c>
      <c r="AG14" s="179">
        <f t="shared" ca="1" si="0"/>
        <v>1730307.3055555557</v>
      </c>
      <c r="AH14" s="184">
        <f t="shared" ca="1" si="1"/>
        <v>0</v>
      </c>
      <c r="AI14" s="184">
        <f t="shared" ca="1" si="1"/>
        <v>78666.666666666657</v>
      </c>
      <c r="AJ14" s="184">
        <f t="shared" ca="1" si="1"/>
        <v>78666.666666666657</v>
      </c>
      <c r="AK14" s="184">
        <f t="shared" ca="1" si="1"/>
        <v>219554.91666666666</v>
      </c>
      <c r="AL14" s="184">
        <f t="shared" ca="1" si="1"/>
        <v>167888.25</v>
      </c>
      <c r="AM14" s="184">
        <f t="shared" ca="1" si="1"/>
        <v>358235.47222222225</v>
      </c>
      <c r="AN14" s="184">
        <f t="shared" ca="1" si="1"/>
        <v>316934.22222222225</v>
      </c>
      <c r="AO14" s="184">
        <f t="shared" ca="1" si="1"/>
        <v>301513.88888888888</v>
      </c>
      <c r="AP14" s="185">
        <f t="shared" ca="1" si="1"/>
        <v>208847.22222222222</v>
      </c>
    </row>
    <row r="15" spans="1:42" x14ac:dyDescent="0.2">
      <c r="B15" s="148"/>
      <c r="I15" s="110"/>
      <c r="J15" s="110"/>
      <c r="U15" s="110"/>
      <c r="V15" s="110"/>
      <c r="W15" s="110"/>
      <c r="AF15" s="175" t="s">
        <v>46</v>
      </c>
      <c r="AG15" s="179">
        <f t="shared" ca="1" si="0"/>
        <v>531685.40476190473</v>
      </c>
      <c r="AH15" s="184">
        <f t="shared" ca="1" si="1"/>
        <v>0</v>
      </c>
      <c r="AI15" s="184">
        <f t="shared" ca="1" si="1"/>
        <v>80256.833333333328</v>
      </c>
      <c r="AJ15" s="184">
        <f t="shared" ca="1" si="1"/>
        <v>156666.66666666666</v>
      </c>
      <c r="AK15" s="184">
        <f t="shared" ca="1" si="1"/>
        <v>156666.66666666666</v>
      </c>
      <c r="AL15" s="184">
        <f t="shared" ca="1" si="1"/>
        <v>120952.38095238095</v>
      </c>
      <c r="AM15" s="184">
        <f t="shared" ca="1" si="1"/>
        <v>4285.7142857142853</v>
      </c>
      <c r="AN15" s="184">
        <f t="shared" ca="1" si="1"/>
        <v>4285.7142857142853</v>
      </c>
      <c r="AO15" s="184">
        <f t="shared" ca="1" si="1"/>
        <v>4285.7142857142853</v>
      </c>
      <c r="AP15" s="185">
        <f t="shared" ca="1" si="1"/>
        <v>4285.7142857142853</v>
      </c>
    </row>
    <row r="16" spans="1:42" ht="12" thickBot="1" x14ac:dyDescent="0.25">
      <c r="B16" s="148"/>
      <c r="I16" s="110"/>
      <c r="J16" s="110"/>
      <c r="U16" s="110"/>
      <c r="V16" s="110"/>
      <c r="W16" s="110"/>
      <c r="AF16" s="176" t="s">
        <v>47</v>
      </c>
      <c r="AG16" s="180">
        <f t="shared" si="0"/>
        <v>0</v>
      </c>
      <c r="AH16" s="186">
        <f t="shared" si="1"/>
        <v>0</v>
      </c>
      <c r="AI16" s="186">
        <f t="shared" si="1"/>
        <v>0</v>
      </c>
      <c r="AJ16" s="186">
        <f t="shared" si="1"/>
        <v>0</v>
      </c>
      <c r="AK16" s="186">
        <f t="shared" si="1"/>
        <v>0</v>
      </c>
      <c r="AL16" s="186">
        <f t="shared" si="1"/>
        <v>0</v>
      </c>
      <c r="AM16" s="186">
        <f t="shared" si="1"/>
        <v>0</v>
      </c>
      <c r="AN16" s="186">
        <f t="shared" si="1"/>
        <v>0</v>
      </c>
      <c r="AO16" s="186">
        <f t="shared" si="1"/>
        <v>0</v>
      </c>
      <c r="AP16" s="187">
        <f t="shared" si="1"/>
        <v>0</v>
      </c>
    </row>
    <row r="17" spans="2:42" ht="12" thickBot="1" x14ac:dyDescent="0.25">
      <c r="B17" s="148"/>
      <c r="I17" s="110"/>
      <c r="J17" s="110"/>
      <c r="U17" s="110"/>
      <c r="V17" s="110"/>
      <c r="W17" s="110"/>
      <c r="AF17" s="177" t="s">
        <v>32</v>
      </c>
      <c r="AG17" s="181">
        <f t="shared" ca="1" si="0"/>
        <v>6621050.4093112452</v>
      </c>
      <c r="AH17" s="186">
        <f ca="1">+SUM(AH12:AH16)</f>
        <v>0</v>
      </c>
      <c r="AI17" s="186">
        <f t="shared" ref="AI17:AP17" ca="1" si="2">+SUM(AI12:AI16)</f>
        <v>735701.05763847264</v>
      </c>
      <c r="AJ17" s="186">
        <f t="shared" ca="1" si="2"/>
        <v>945224.35318681318</v>
      </c>
      <c r="AK17" s="186">
        <f t="shared" ca="1" si="2"/>
        <v>1002475.0698534797</v>
      </c>
      <c r="AL17" s="186">
        <f t="shared" ca="1" si="2"/>
        <v>874898.8817582418</v>
      </c>
      <c r="AM17" s="186">
        <f t="shared" ca="1" si="2"/>
        <v>924933.38969474984</v>
      </c>
      <c r="AN17" s="186">
        <f t="shared" ca="1" si="2"/>
        <v>910715.4730280831</v>
      </c>
      <c r="AO17" s="186">
        <f t="shared" ca="1" si="2"/>
        <v>661009.42540903552</v>
      </c>
      <c r="AP17" s="187">
        <f t="shared" ca="1" si="2"/>
        <v>566092.75874236878</v>
      </c>
    </row>
    <row r="18" spans="2:42" ht="12" thickBot="1" x14ac:dyDescent="0.25">
      <c r="B18" s="148"/>
      <c r="I18" s="110"/>
      <c r="J18" s="110"/>
      <c r="U18" s="110"/>
      <c r="V18" s="110"/>
      <c r="W18" s="110"/>
    </row>
    <row r="19" spans="2:42" ht="13" thickBot="1" x14ac:dyDescent="0.25">
      <c r="B19" s="148"/>
      <c r="I19" s="110"/>
      <c r="J19" s="110"/>
      <c r="U19" s="110"/>
      <c r="V19" s="110"/>
      <c r="W19" s="110"/>
      <c r="AF19" s="173" t="s">
        <v>415</v>
      </c>
      <c r="AG19" s="173" t="s">
        <v>409</v>
      </c>
      <c r="AH19" s="138">
        <v>45777</v>
      </c>
      <c r="AI19" s="138">
        <v>45807</v>
      </c>
      <c r="AJ19" s="138">
        <v>45838</v>
      </c>
      <c r="AK19" s="138">
        <v>45868</v>
      </c>
      <c r="AL19" s="138">
        <v>45899</v>
      </c>
      <c r="AM19" s="138">
        <v>45930</v>
      </c>
      <c r="AN19" s="138">
        <v>45960</v>
      </c>
      <c r="AO19" s="138">
        <v>45991</v>
      </c>
      <c r="AP19" s="139">
        <v>46021</v>
      </c>
    </row>
    <row r="20" spans="2:42" x14ac:dyDescent="0.2">
      <c r="B20" s="148"/>
      <c r="I20" s="110"/>
      <c r="J20" s="110"/>
      <c r="U20" s="110"/>
      <c r="V20" s="110"/>
      <c r="W20" s="110"/>
      <c r="AF20" s="174" t="s">
        <v>41</v>
      </c>
      <c r="AG20" s="178">
        <f ca="1">+SUM(AH20:XFD20)</f>
        <v>5403821.914469975</v>
      </c>
      <c r="AH20" s="191" cm="1">
        <f t="array" aca="1" ref="AH20" ca="1">+SUMPRODUCT(($G$29:$G$99999=$AF20)*$I$29:$I$99999*AH$29:AH$99999)+SUMPRODUCT(($H$29:$H$99999=$AF20)*$J$29:$J$99999*AH$29:AH$99999)</f>
        <v>0</v>
      </c>
      <c r="AI20" s="191" cm="1">
        <f t="array" aca="1" ref="AI20" ca="1">+SUMPRODUCT(($G$29:$G$99999=$AF20)*$I$29:$I$99999*AI$29:AI$99999)+SUMPRODUCT(($H$29:$H$99999=$AF20)*$J$29:$J$99999*AI$29:AI$99999)</f>
        <v>586460.42271783762</v>
      </c>
      <c r="AJ20" s="191" cm="1">
        <f t="array" aca="1" ref="AJ20" ca="1">+SUMPRODUCT(($G$29:$G$99999=$AF20)*$I$29:$I$99999*AJ$29:AJ$99999)+SUMPRODUCT(($H$29:$H$99999=$AF20)*$J$29:$J$99999*AJ$29:AJ$99999)</f>
        <v>747339.16390109889</v>
      </c>
      <c r="AK20" s="191" cm="1">
        <f t="array" aca="1" ref="AK20" ca="1">+SUMPRODUCT(($G$29:$G$99999=$AF20)*$I$29:$I$99999*AK$29:AK$99999)+SUMPRODUCT(($H$29:$H$99999=$AF20)*$J$29:$J$99999*AK$29:AK$99999)</f>
        <v>828258.02223443217</v>
      </c>
      <c r="AL20" s="191" cm="1">
        <f t="array" aca="1" ref="AL20" ca="1">+SUMPRODUCT(($G$29:$G$99999=$AF20)*$I$29:$I$99999*AL$29:AL$99999)+SUMPRODUCT(($H$29:$H$99999=$AF20)*$J$29:$J$99999*AL$29:AL$99999)</f>
        <v>702935.70913919422</v>
      </c>
      <c r="AM20" s="191" cm="1">
        <f t="array" aca="1" ref="AM20" ca="1">+SUMPRODUCT(($G$29:$G$99999=$AF20)*$I$29:$I$99999*AM$29:AM$99999)+SUMPRODUCT(($H$29:$H$99999=$AF20)*$J$29:$J$99999*AM$29:AM$99999)</f>
        <v>762612.1297741147</v>
      </c>
      <c r="AN20" s="191" cm="1">
        <f t="array" aca="1" ref="AN20" ca="1">+SUMPRODUCT(($G$29:$G$99999=$AF20)*$I$29:$I$99999*AN$29:AN$99999)+SUMPRODUCT(($H$29:$H$99999=$AF20)*$J$29:$J$99999*AN$29:AN$99999)</f>
        <v>775044.83810744807</v>
      </c>
      <c r="AO20" s="191" cm="1">
        <f t="array" aca="1" ref="AO20" ca="1">+SUMPRODUCT(($G$29:$G$99999=$AF20)*$I$29:$I$99999*AO$29:AO$99999)+SUMPRODUCT(($H$29:$H$99999=$AF20)*$J$29:$J$99999*AO$29:AO$99999)</f>
        <v>547481.64763125766</v>
      </c>
      <c r="AP20" s="192" cm="1">
        <f t="array" aca="1" ref="AP20" ca="1">+SUMPRODUCT(($G$29:$G$99999=$AF20)*$I$29:$I$99999*AP$29:AP$99999)+SUMPRODUCT(($H$29:$H$99999=$AF20)*$J$29:$J$99999*AP$29:AP$99999)</f>
        <v>453689.98096459097</v>
      </c>
    </row>
    <row r="21" spans="2:42" x14ac:dyDescent="0.2">
      <c r="B21" s="148"/>
      <c r="I21" s="110"/>
      <c r="J21" s="110"/>
      <c r="U21" s="110"/>
      <c r="V21" s="110"/>
      <c r="W21" s="110"/>
      <c r="AF21" s="175" t="s">
        <v>44</v>
      </c>
      <c r="AG21" s="179">
        <f t="shared" ref="AG21:AG25" ca="1" si="3">+SUM(AH21:XFD21)</f>
        <v>1217228.4948412699</v>
      </c>
      <c r="AH21" s="193" cm="1">
        <f t="array" aca="1" ref="AH21" ca="1">+SUMPRODUCT(($G$29:$G$99999=$AF21)*$I$29:$I$99999*AH$29:AH$99999)+SUMPRODUCT(($H$29:$H$99999=$AF21)*$J$29:$J$99999*AH$29:AH$99999)</f>
        <v>0</v>
      </c>
      <c r="AI21" s="193" cm="1">
        <f t="array" aca="1" ref="AI21" ca="1">+SUMPRODUCT(($G$29:$G$99999=$AF21)*$I$29:$I$99999*AI$29:AI$99999)+SUMPRODUCT(($H$29:$H$99999=$AF21)*$J$29:$J$99999*AI$29:AI$99999)</f>
        <v>149240.63492063491</v>
      </c>
      <c r="AJ21" s="193" cm="1">
        <f t="array" aca="1" ref="AJ21" ca="1">+SUMPRODUCT(($G$29:$G$99999=$AF21)*$I$29:$I$99999*AJ$29:AJ$99999)+SUMPRODUCT(($H$29:$H$99999=$AF21)*$J$29:$J$99999*AJ$29:AJ$99999)</f>
        <v>197885.18928571427</v>
      </c>
      <c r="AK21" s="193" cm="1">
        <f t="array" aca="1" ref="AK21" ca="1">+SUMPRODUCT(($G$29:$G$99999=$AF21)*$I$29:$I$99999*AK$29:AK$99999)+SUMPRODUCT(($H$29:$H$99999=$AF21)*$J$29:$J$99999*AK$29:AK$99999)</f>
        <v>174217.04761904763</v>
      </c>
      <c r="AL21" s="193" cm="1">
        <f t="array" aca="1" ref="AL21" ca="1">+SUMPRODUCT(($G$29:$G$99999=$AF21)*$I$29:$I$99999*AL$29:AL$99999)+SUMPRODUCT(($H$29:$H$99999=$AF21)*$J$29:$J$99999*AL$29:AL$99999)</f>
        <v>171963.17261904763</v>
      </c>
      <c r="AM21" s="193" cm="1">
        <f t="array" aca="1" ref="AM21" ca="1">+SUMPRODUCT(($G$29:$G$99999=$AF21)*$I$29:$I$99999*AM$29:AM$99999)+SUMPRODUCT(($H$29:$H$99999=$AF21)*$J$29:$J$99999*AM$29:AM$99999)</f>
        <v>162321.25992063491</v>
      </c>
      <c r="AN21" s="193" cm="1">
        <f t="array" aca="1" ref="AN21" ca="1">+SUMPRODUCT(($G$29:$G$99999=$AF21)*$I$29:$I$99999*AN$29:AN$99999)+SUMPRODUCT(($H$29:$H$99999=$AF21)*$J$29:$J$99999*AN$29:AN$99999)</f>
        <v>135670.63492063491</v>
      </c>
      <c r="AO21" s="193" cm="1">
        <f t="array" aca="1" ref="AO21" ca="1">+SUMPRODUCT(($G$29:$G$99999=$AF21)*$I$29:$I$99999*AO$29:AO$99999)+SUMPRODUCT(($H$29:$H$99999=$AF21)*$J$29:$J$99999*AO$29:AO$99999)</f>
        <v>113527.77777777778</v>
      </c>
      <c r="AP21" s="194" cm="1">
        <f t="array" aca="1" ref="AP21" ca="1">+SUMPRODUCT(($G$29:$G$99999=$AF21)*$I$29:$I$99999*AP$29:AP$99999)+SUMPRODUCT(($H$29:$H$99999=$AF21)*$J$29:$J$99999*AP$29:AP$99999)</f>
        <v>112402.77777777778</v>
      </c>
    </row>
    <row r="22" spans="2:42" x14ac:dyDescent="0.2">
      <c r="B22" s="148"/>
      <c r="I22" s="110"/>
      <c r="J22" s="110"/>
      <c r="U22" s="110"/>
      <c r="V22" s="110"/>
      <c r="W22" s="110"/>
      <c r="AF22" s="175" t="s">
        <v>45</v>
      </c>
      <c r="AG22" s="179">
        <f t="shared" ca="1" si="3"/>
        <v>0</v>
      </c>
      <c r="AH22" s="193" cm="1">
        <f t="array" aca="1" ref="AH22" ca="1">+SUMPRODUCT(($G$29:$G$99999=$AF22)*$I$29:$I$99999*AH$29:AH$99999)+SUMPRODUCT(($H$29:$H$99999=$AF22)*$J$29:$J$99999*AH$29:AH$99999)</f>
        <v>0</v>
      </c>
      <c r="AI22" s="193" cm="1">
        <f t="array" aca="1" ref="AI22" ca="1">+SUMPRODUCT(($G$29:$G$99999=$AF22)*$I$29:$I$99999*AI$29:AI$99999)+SUMPRODUCT(($H$29:$H$99999=$AF22)*$J$29:$J$99999*AI$29:AI$99999)</f>
        <v>0</v>
      </c>
      <c r="AJ22" s="193" cm="1">
        <f t="array" aca="1" ref="AJ22" ca="1">+SUMPRODUCT(($G$29:$G$99999=$AF22)*$I$29:$I$99999*AJ$29:AJ$99999)+SUMPRODUCT(($H$29:$H$99999=$AF22)*$J$29:$J$99999*AJ$29:AJ$99999)</f>
        <v>0</v>
      </c>
      <c r="AK22" s="193" cm="1">
        <f t="array" aca="1" ref="AK22" ca="1">+SUMPRODUCT(($G$29:$G$99999=$AF22)*$I$29:$I$99999*AK$29:AK$99999)+SUMPRODUCT(($H$29:$H$99999=$AF22)*$J$29:$J$99999*AK$29:AK$99999)</f>
        <v>0</v>
      </c>
      <c r="AL22" s="193" cm="1">
        <f t="array" aca="1" ref="AL22" ca="1">+SUMPRODUCT(($G$29:$G$99999=$AF22)*$I$29:$I$99999*AL$29:AL$99999)+SUMPRODUCT(($H$29:$H$99999=$AF22)*$J$29:$J$99999*AL$29:AL$99999)</f>
        <v>0</v>
      </c>
      <c r="AM22" s="193" cm="1">
        <f t="array" aca="1" ref="AM22" ca="1">+SUMPRODUCT(($G$29:$G$99999=$AF22)*$I$29:$I$99999*AM$29:AM$99999)+SUMPRODUCT(($H$29:$H$99999=$AF22)*$J$29:$J$99999*AM$29:AM$99999)</f>
        <v>0</v>
      </c>
      <c r="AN22" s="193" cm="1">
        <f t="array" aca="1" ref="AN22" ca="1">+SUMPRODUCT(($G$29:$G$99999=$AF22)*$I$29:$I$99999*AN$29:AN$99999)+SUMPRODUCT(($H$29:$H$99999=$AF22)*$J$29:$J$99999*AN$29:AN$99999)</f>
        <v>0</v>
      </c>
      <c r="AO22" s="193" cm="1">
        <f t="array" aca="1" ref="AO22" ca="1">+SUMPRODUCT(($G$29:$G$99999=$AF22)*$I$29:$I$99999*AO$29:AO$99999)+SUMPRODUCT(($H$29:$H$99999=$AF22)*$J$29:$J$99999*AO$29:AO$99999)</f>
        <v>0</v>
      </c>
      <c r="AP22" s="194" cm="1">
        <f t="array" aca="1" ref="AP22" ca="1">+SUMPRODUCT(($G$29:$G$99999=$AF22)*$I$29:$I$99999*AP$29:AP$99999)+SUMPRODUCT(($H$29:$H$99999=$AF22)*$J$29:$J$99999*AP$29:AP$99999)</f>
        <v>0</v>
      </c>
    </row>
    <row r="23" spans="2:42" x14ac:dyDescent="0.2">
      <c r="B23" s="148"/>
      <c r="I23" s="110"/>
      <c r="J23" s="110"/>
      <c r="U23" s="110"/>
      <c r="V23" s="110"/>
      <c r="W23" s="110"/>
      <c r="AF23" s="175" t="s">
        <v>46</v>
      </c>
      <c r="AG23" s="179">
        <f t="shared" ca="1" si="3"/>
        <v>0</v>
      </c>
      <c r="AH23" s="193" cm="1">
        <f t="array" aca="1" ref="AH23" ca="1">+SUMPRODUCT(($G$29:$G$99999=$AF23)*$I$29:$I$99999*AH$29:AH$99999)+SUMPRODUCT(($H$29:$H$99999=$AF23)*$J$29:$J$99999*AH$29:AH$99999)</f>
        <v>0</v>
      </c>
      <c r="AI23" s="193" cm="1">
        <f t="array" aca="1" ref="AI23" ca="1">+SUMPRODUCT(($G$29:$G$99999=$AF23)*$I$29:$I$99999*AI$29:AI$99999)+SUMPRODUCT(($H$29:$H$99999=$AF23)*$J$29:$J$99999*AI$29:AI$99999)</f>
        <v>0</v>
      </c>
      <c r="AJ23" s="193" cm="1">
        <f t="array" aca="1" ref="AJ23" ca="1">+SUMPRODUCT(($G$29:$G$99999=$AF23)*$I$29:$I$99999*AJ$29:AJ$99999)+SUMPRODUCT(($H$29:$H$99999=$AF23)*$J$29:$J$99999*AJ$29:AJ$99999)</f>
        <v>0</v>
      </c>
      <c r="AK23" s="193" cm="1">
        <f t="array" aca="1" ref="AK23" ca="1">+SUMPRODUCT(($G$29:$G$99999=$AF23)*$I$29:$I$99999*AK$29:AK$99999)+SUMPRODUCT(($H$29:$H$99999=$AF23)*$J$29:$J$99999*AK$29:AK$99999)</f>
        <v>0</v>
      </c>
      <c r="AL23" s="193" cm="1">
        <f t="array" aca="1" ref="AL23" ca="1">+SUMPRODUCT(($G$29:$G$99999=$AF23)*$I$29:$I$99999*AL$29:AL$99999)+SUMPRODUCT(($H$29:$H$99999=$AF23)*$J$29:$J$99999*AL$29:AL$99999)</f>
        <v>0</v>
      </c>
      <c r="AM23" s="193" cm="1">
        <f t="array" aca="1" ref="AM23" ca="1">+SUMPRODUCT(($G$29:$G$99999=$AF23)*$I$29:$I$99999*AM$29:AM$99999)+SUMPRODUCT(($H$29:$H$99999=$AF23)*$J$29:$J$99999*AM$29:AM$99999)</f>
        <v>0</v>
      </c>
      <c r="AN23" s="193" cm="1">
        <f t="array" aca="1" ref="AN23" ca="1">+SUMPRODUCT(($G$29:$G$99999=$AF23)*$I$29:$I$99999*AN$29:AN$99999)+SUMPRODUCT(($H$29:$H$99999=$AF23)*$J$29:$J$99999*AN$29:AN$99999)</f>
        <v>0</v>
      </c>
      <c r="AO23" s="193" cm="1">
        <f t="array" aca="1" ref="AO23" ca="1">+SUMPRODUCT(($G$29:$G$99999=$AF23)*$I$29:$I$99999*AO$29:AO$99999)+SUMPRODUCT(($H$29:$H$99999=$AF23)*$J$29:$J$99999*AO$29:AO$99999)</f>
        <v>0</v>
      </c>
      <c r="AP23" s="194" cm="1">
        <f t="array" aca="1" ref="AP23" ca="1">+SUMPRODUCT(($G$29:$G$99999=$AF23)*$I$29:$I$99999*AP$29:AP$99999)+SUMPRODUCT(($H$29:$H$99999=$AF23)*$J$29:$J$99999*AP$29:AP$99999)</f>
        <v>0</v>
      </c>
    </row>
    <row r="24" spans="2:42" ht="12" thickBot="1" x14ac:dyDescent="0.25">
      <c r="B24" s="148"/>
      <c r="I24" s="110"/>
      <c r="J24" s="110"/>
      <c r="U24" s="110"/>
      <c r="V24" s="110"/>
      <c r="W24" s="110"/>
      <c r="AF24" s="176" t="s">
        <v>47</v>
      </c>
      <c r="AG24" s="180">
        <f t="shared" ca="1" si="3"/>
        <v>0</v>
      </c>
      <c r="AH24" s="195" cm="1">
        <f t="array" aca="1" ref="AH24" ca="1">+SUMPRODUCT(($G$29:$G$99999=$AF24)*$I$29:$I$99999*AH$29:AH$99999)+SUMPRODUCT(($H$29:$H$99999=$AF24)*$J$29:$J$99999*AH$29:AH$99999)</f>
        <v>0</v>
      </c>
      <c r="AI24" s="195" cm="1">
        <f t="array" aca="1" ref="AI24" ca="1">+SUMPRODUCT(($G$29:$G$99999=$AF24)*$I$29:$I$99999*AI$29:AI$99999)+SUMPRODUCT(($H$29:$H$99999=$AF24)*$J$29:$J$99999*AI$29:AI$99999)</f>
        <v>0</v>
      </c>
      <c r="AJ24" s="195" cm="1">
        <f t="array" aca="1" ref="AJ24" ca="1">+SUMPRODUCT(($G$29:$G$99999=$AF24)*$I$29:$I$99999*AJ$29:AJ$99999)+SUMPRODUCT(($H$29:$H$99999=$AF24)*$J$29:$J$99999*AJ$29:AJ$99999)</f>
        <v>0</v>
      </c>
      <c r="AK24" s="195" cm="1">
        <f t="array" aca="1" ref="AK24" ca="1">+SUMPRODUCT(($G$29:$G$99999=$AF24)*$I$29:$I$99999*AK$29:AK$99999)+SUMPRODUCT(($H$29:$H$99999=$AF24)*$J$29:$J$99999*AK$29:AK$99999)</f>
        <v>0</v>
      </c>
      <c r="AL24" s="195" cm="1">
        <f t="array" aca="1" ref="AL24" ca="1">+SUMPRODUCT(($G$29:$G$99999=$AF24)*$I$29:$I$99999*AL$29:AL$99999)+SUMPRODUCT(($H$29:$H$99999=$AF24)*$J$29:$J$99999*AL$29:AL$99999)</f>
        <v>0</v>
      </c>
      <c r="AM24" s="195" cm="1">
        <f t="array" aca="1" ref="AM24" ca="1">+SUMPRODUCT(($G$29:$G$99999=$AF24)*$I$29:$I$99999*AM$29:AM$99999)+SUMPRODUCT(($H$29:$H$99999=$AF24)*$J$29:$J$99999*AM$29:AM$99999)</f>
        <v>0</v>
      </c>
      <c r="AN24" s="195" cm="1">
        <f t="array" aca="1" ref="AN24" ca="1">+SUMPRODUCT(($G$29:$G$99999=$AF24)*$I$29:$I$99999*AN$29:AN$99999)+SUMPRODUCT(($H$29:$H$99999=$AF24)*$J$29:$J$99999*AN$29:AN$99999)</f>
        <v>0</v>
      </c>
      <c r="AO24" s="195" cm="1">
        <f t="array" aca="1" ref="AO24" ca="1">+SUMPRODUCT(($G$29:$G$99999=$AF24)*$I$29:$I$99999*AO$29:AO$99999)+SUMPRODUCT(($H$29:$H$99999=$AF24)*$J$29:$J$99999*AO$29:AO$99999)</f>
        <v>0</v>
      </c>
      <c r="AP24" s="196" cm="1">
        <f t="array" aca="1" ref="AP24" ca="1">+SUMPRODUCT(($G$29:$G$99999=$AF24)*$I$29:$I$99999*AP$29:AP$99999)+SUMPRODUCT(($H$29:$H$99999=$AF24)*$J$29:$J$99999*AP$29:AP$99999)</f>
        <v>0</v>
      </c>
    </row>
    <row r="25" spans="2:42" ht="12" thickBot="1" x14ac:dyDescent="0.25">
      <c r="B25" s="148"/>
      <c r="I25" s="110"/>
      <c r="J25" s="110"/>
      <c r="U25" s="110"/>
      <c r="V25" s="110"/>
      <c r="W25" s="110"/>
      <c r="AF25" s="177" t="s">
        <v>32</v>
      </c>
      <c r="AG25" s="181">
        <f t="shared" ca="1" si="3"/>
        <v>6621050.4093112443</v>
      </c>
      <c r="AH25" s="186">
        <f ca="1">+SUM(AH20:AH24)</f>
        <v>0</v>
      </c>
      <c r="AI25" s="186">
        <f t="shared" ref="AI25:AP25" ca="1" si="4">+SUM(AI20:AI24)</f>
        <v>735701.05763847253</v>
      </c>
      <c r="AJ25" s="186">
        <f t="shared" ca="1" si="4"/>
        <v>945224.35318681318</v>
      </c>
      <c r="AK25" s="186">
        <f t="shared" ca="1" si="4"/>
        <v>1002475.0698534797</v>
      </c>
      <c r="AL25" s="186">
        <f t="shared" ca="1" si="4"/>
        <v>874898.88175824191</v>
      </c>
      <c r="AM25" s="186">
        <f t="shared" ca="1" si="4"/>
        <v>924933.38969474961</v>
      </c>
      <c r="AN25" s="186">
        <f t="shared" ca="1" si="4"/>
        <v>910715.47302808298</v>
      </c>
      <c r="AO25" s="186">
        <f t="shared" ca="1" si="4"/>
        <v>661009.42540903541</v>
      </c>
      <c r="AP25" s="187">
        <f t="shared" ca="1" si="4"/>
        <v>566092.75874236878</v>
      </c>
    </row>
    <row r="26" spans="2:42" ht="12" thickBot="1" x14ac:dyDescent="0.25">
      <c r="B26" s="148"/>
      <c r="I26" s="110"/>
      <c r="J26" s="110"/>
      <c r="U26" s="110"/>
      <c r="V26" s="110"/>
      <c r="W26" s="110"/>
    </row>
    <row r="27" spans="2:42" ht="12" thickBot="1" x14ac:dyDescent="0.25">
      <c r="I27" s="671" t="s">
        <v>411</v>
      </c>
      <c r="J27" s="672"/>
      <c r="U27" s="110"/>
      <c r="V27" s="110"/>
      <c r="W27" s="110"/>
      <c r="AH27" s="184">
        <f t="shared" ref="AH27:AP27" ca="1" si="5">+SUM(AH29:AH55)</f>
        <v>0</v>
      </c>
      <c r="AI27" s="184">
        <f ca="1">+SUM(AI29:AI55)</f>
        <v>735701.05763847253</v>
      </c>
      <c r="AJ27" s="184">
        <f t="shared" ca="1" si="5"/>
        <v>905224.35318681318</v>
      </c>
      <c r="AK27" s="184">
        <f t="shared" ca="1" si="5"/>
        <v>817475.06985347974</v>
      </c>
      <c r="AL27" s="184">
        <f t="shared" ca="1" si="5"/>
        <v>623828.65318681311</v>
      </c>
      <c r="AM27" s="184">
        <f t="shared" ca="1" si="5"/>
        <v>399015.93890109891</v>
      </c>
      <c r="AN27" s="184">
        <f t="shared" ca="1" si="5"/>
        <v>345714.68890109891</v>
      </c>
      <c r="AO27" s="184">
        <f t="shared" ca="1" si="5"/>
        <v>189841.97461538462</v>
      </c>
      <c r="AP27" s="184">
        <f t="shared" ca="1" si="5"/>
        <v>189841.97461538462</v>
      </c>
    </row>
    <row r="28" spans="2:42" ht="37" thickBot="1" x14ac:dyDescent="0.25">
      <c r="C28" s="111" t="s">
        <v>269</v>
      </c>
      <c r="D28" s="112" t="s">
        <v>15</v>
      </c>
      <c r="E28" s="112" t="s">
        <v>16</v>
      </c>
      <c r="F28" s="112" t="s">
        <v>17</v>
      </c>
      <c r="G28" s="149" t="s">
        <v>270</v>
      </c>
      <c r="H28" s="149" t="s">
        <v>271</v>
      </c>
      <c r="I28" s="188" t="s">
        <v>270</v>
      </c>
      <c r="J28" s="188" t="s">
        <v>271</v>
      </c>
      <c r="K28" s="112" t="s">
        <v>272</v>
      </c>
      <c r="L28" s="112" t="s">
        <v>273</v>
      </c>
      <c r="M28" s="112" t="s">
        <v>274</v>
      </c>
      <c r="N28" s="112" t="s">
        <v>275</v>
      </c>
      <c r="O28" s="112" t="s">
        <v>412</v>
      </c>
      <c r="P28" s="112" t="s">
        <v>277</v>
      </c>
      <c r="Q28" s="112" t="s">
        <v>278</v>
      </c>
      <c r="R28" s="112" t="s">
        <v>279</v>
      </c>
      <c r="S28" s="149" t="s">
        <v>68</v>
      </c>
      <c r="T28" s="149" t="s">
        <v>281</v>
      </c>
      <c r="U28" s="149" t="s">
        <v>282</v>
      </c>
      <c r="V28" s="149" t="s">
        <v>283</v>
      </c>
      <c r="W28" s="200" t="s">
        <v>284</v>
      </c>
      <c r="X28" s="112" t="s">
        <v>285</v>
      </c>
      <c r="Y28" s="112" t="s">
        <v>25</v>
      </c>
      <c r="Z28" s="112" t="s">
        <v>26</v>
      </c>
      <c r="AA28" s="112" t="s">
        <v>27</v>
      </c>
      <c r="AB28" s="112" t="s">
        <v>28</v>
      </c>
      <c r="AC28" s="112" t="s">
        <v>29</v>
      </c>
      <c r="AD28" s="112" t="s">
        <v>18</v>
      </c>
      <c r="AE28" s="113" t="s">
        <v>19</v>
      </c>
      <c r="AF28" s="113" t="s">
        <v>64</v>
      </c>
      <c r="AG28" s="171" t="s">
        <v>413</v>
      </c>
      <c r="AH28" s="137">
        <v>45777</v>
      </c>
      <c r="AI28" s="138">
        <v>45807</v>
      </c>
      <c r="AJ28" s="138">
        <v>45838</v>
      </c>
      <c r="AK28" s="138">
        <v>45868</v>
      </c>
      <c r="AL28" s="138">
        <v>45899</v>
      </c>
      <c r="AM28" s="138">
        <v>45930</v>
      </c>
      <c r="AN28" s="138">
        <v>45960</v>
      </c>
      <c r="AO28" s="138">
        <v>45991</v>
      </c>
      <c r="AP28" s="139">
        <v>46021</v>
      </c>
    </row>
    <row r="29" spans="2:42" x14ac:dyDescent="0.2">
      <c r="C29" s="117">
        <f>+'Gantt Proyectos'!C97</f>
        <v>1</v>
      </c>
      <c r="D29" s="140" t="str">
        <f>+'Gantt Proyectos'!D97</f>
        <v>CMP: Estrategia Minera para MLC Brownfield</v>
      </c>
      <c r="E29" s="118" t="str">
        <f>+'Gantt Proyectos'!E97</f>
        <v>CMP</v>
      </c>
      <c r="F29" s="146" t="str">
        <f>+'Gantt Proyectos'!F97</f>
        <v>Chile</v>
      </c>
      <c r="G29" s="118" t="str">
        <f>+'Gantt Proyectos'!G97</f>
        <v>Chile</v>
      </c>
      <c r="H29" s="118" t="str">
        <f>+'Gantt Proyectos'!H97</f>
        <v>Perú</v>
      </c>
      <c r="I29" s="189">
        <v>0.5</v>
      </c>
      <c r="J29" s="189">
        <f>1-I29</f>
        <v>0.5</v>
      </c>
      <c r="K29" s="118" t="str">
        <f>+'Gantt Proyectos'!I97</f>
        <v>Open Pit</v>
      </c>
      <c r="L29" s="120">
        <f>+'Gantt Proyectos'!J97</f>
        <v>1</v>
      </c>
      <c r="M29" s="118" t="str">
        <f>+'Gantt Proyectos'!K97</f>
        <v>FR</v>
      </c>
      <c r="N29" s="316">
        <f>+'Gantt Proyectos'!L97</f>
        <v>36143</v>
      </c>
      <c r="O29" s="316">
        <f>+'Gantt Proyectos'!M97</f>
        <v>0</v>
      </c>
      <c r="P29" s="118">
        <f>+'Gantt Proyectos'!N97</f>
        <v>1</v>
      </c>
      <c r="Q29" s="119">
        <f>+'Gantt Proyectos'!O97</f>
        <v>45502</v>
      </c>
      <c r="R29" s="119">
        <f>+'Gantt Proyectos'!P97</f>
        <v>45754</v>
      </c>
      <c r="S29" s="118" t="str">
        <f>+'Gantt Proyectos'!R97</f>
        <v>No</v>
      </c>
      <c r="T29" s="118">
        <f>+'Gantt Proyectos'!S97</f>
        <v>0</v>
      </c>
      <c r="U29" s="156">
        <f>+'Gantt Proyectos'!T97</f>
        <v>45502</v>
      </c>
      <c r="V29" s="156">
        <f>+'Gantt Proyectos'!U97</f>
        <v>45754</v>
      </c>
      <c r="W29" s="201">
        <f>+ROUNDUP(_xlfn.DAYS(V29,U29)/30.5,0)</f>
        <v>9</v>
      </c>
      <c r="X29" s="121">
        <f>+'Gantt Proyectos'!W97</f>
        <v>0.72035794183445179</v>
      </c>
      <c r="Y29" s="122">
        <f>+'Gantt Proyectos'!X97</f>
        <v>0.25</v>
      </c>
      <c r="Z29" s="122">
        <f>+'Gantt Proyectos'!Y97</f>
        <v>0.33</v>
      </c>
      <c r="AA29" s="122">
        <f>+'Gantt Proyectos'!Z97</f>
        <v>0</v>
      </c>
      <c r="AB29" s="122">
        <f>+'Gantt Proyectos'!AA97</f>
        <v>0.5</v>
      </c>
      <c r="AC29" s="122">
        <f>+'Gantt Proyectos'!AB97</f>
        <v>0.5</v>
      </c>
      <c r="AD29" s="152" t="str">
        <f>+'Gantt Proyectos'!AC97</f>
        <v>Estudio Conceptual / LOM</v>
      </c>
      <c r="AE29" s="123" t="str">
        <f>+'Gantt Proyectos'!AD97</f>
        <v>Actual</v>
      </c>
      <c r="AF29" s="124" t="str">
        <f>+'Gantt Proyectos'!AE97</f>
        <v>7. Finalizado</v>
      </c>
      <c r="AG29" s="172">
        <v>1</v>
      </c>
      <c r="AH29" s="169">
        <f ca="1">+IFERROR(IF(ISNUMBER(OFFSET('EDP Proyectado'!AI29,0,-'Ingreso Proyectado'!$P29))&lt;&gt;0,IF(OFFSET('EDP Proyectado'!AI29,0,-'Ingreso Proyectado'!$P29)+0&lt;=1,0,OFFSET('EDP Proyectado'!AI29,0,-'Ingreso Proyectado'!$P29)+0)),0)</f>
        <v>0</v>
      </c>
      <c r="AI29" s="169">
        <f ca="1">+IFERROR(IF(ISNUMBER(OFFSET('EDP Proyectado'!AJ29,0,-'Ingreso Proyectado'!$P29))&lt;&gt;0,IF(OFFSET('EDP Proyectado'!AJ29,0,-'Ingreso Proyectado'!$P29)+0&lt;=1,0,OFFSET('EDP Proyectado'!AJ29,0,-'Ingreso Proyectado'!$P29)+0)),0)</f>
        <v>4015.8888888888887</v>
      </c>
      <c r="AJ29" s="169">
        <f ca="1">+IFERROR(IF(ISNUMBER(OFFSET('EDP Proyectado'!AK29,0,-'Ingreso Proyectado'!$P29))&lt;&gt;0,IF(OFFSET('EDP Proyectado'!AK29,0,-'Ingreso Proyectado'!$P29)+0&lt;=1,0,OFFSET('EDP Proyectado'!AK29,0,-'Ingreso Proyectado'!$P29)+0)),0)</f>
        <v>0</v>
      </c>
      <c r="AK29" s="169">
        <f ca="1">+IFERROR(IF(ISNUMBER(OFFSET('EDP Proyectado'!AL29,0,-'Ingreso Proyectado'!$P29))&lt;&gt;0,IF(OFFSET('EDP Proyectado'!AL29,0,-'Ingreso Proyectado'!$P29)+0&lt;=1,0,OFFSET('EDP Proyectado'!AL29,0,-'Ingreso Proyectado'!$P29)+0)),0)</f>
        <v>0</v>
      </c>
      <c r="AL29" s="169">
        <f ca="1">+IFERROR(IF(ISNUMBER(OFFSET('EDP Proyectado'!AM29,0,-'Ingreso Proyectado'!$P29))&lt;&gt;0,IF(OFFSET('EDP Proyectado'!AM29,0,-'Ingreso Proyectado'!$P29)+0&lt;=1,0,OFFSET('EDP Proyectado'!AM29,0,-'Ingreso Proyectado'!$P29)+0)),0)</f>
        <v>0</v>
      </c>
      <c r="AM29" s="169">
        <f ca="1">+IFERROR(IF(ISNUMBER(OFFSET('EDP Proyectado'!AN29,0,-'Ingreso Proyectado'!$P29))&lt;&gt;0,IF(OFFSET('EDP Proyectado'!AN29,0,-'Ingreso Proyectado'!$P29)+0&lt;=1,0,OFFSET('EDP Proyectado'!AN29,0,-'Ingreso Proyectado'!$P29)+0)),0)</f>
        <v>0</v>
      </c>
      <c r="AN29" s="169">
        <f ca="1">+IFERROR(IF(ISNUMBER(OFFSET('EDP Proyectado'!AO29,0,-'Ingreso Proyectado'!$P29))&lt;&gt;0,IF(OFFSET('EDP Proyectado'!AO29,0,-'Ingreso Proyectado'!$P29)+0&lt;=1,0,OFFSET('EDP Proyectado'!AO29,0,-'Ingreso Proyectado'!$P29)+0)),0)</f>
        <v>0</v>
      </c>
      <c r="AO29" s="169">
        <f ca="1">+IFERROR(IF(ISNUMBER(OFFSET('EDP Proyectado'!AP29,0,-'Ingreso Proyectado'!$P29))&lt;&gt;0,IF(OFFSET('EDP Proyectado'!AP29,0,-'Ingreso Proyectado'!$P29)+0&lt;=1,0,OFFSET('EDP Proyectado'!AP29,0,-'Ingreso Proyectado'!$P29)+0)),0)</f>
        <v>0</v>
      </c>
      <c r="AP29" s="170">
        <f ca="1">+IFERROR(IF(ISNUMBER(OFFSET('EDP Proyectado'!AQ29,0,-'Ingreso Proyectado'!$P29))&lt;&gt;0,IF(OFFSET('EDP Proyectado'!AQ29,0,-'Ingreso Proyectado'!$P29)+0&lt;=1,0,OFFSET('EDP Proyectado'!AQ29,0,-'Ingreso Proyectado'!$P29)+0)),0)</f>
        <v>0</v>
      </c>
    </row>
    <row r="30" spans="2:42" x14ac:dyDescent="0.2">
      <c r="C30" s="117">
        <f>+'Gantt Proyectos'!C98</f>
        <v>2</v>
      </c>
      <c r="D30" s="140" t="str">
        <f>+'Gantt Proyectos'!D98</f>
        <v>Spence: Analisis proyecto SCUT</v>
      </c>
      <c r="E30" s="118" t="str">
        <f>+'Gantt Proyectos'!E98</f>
        <v>BHP</v>
      </c>
      <c r="F30" s="146" t="str">
        <f>+'Gantt Proyectos'!F98</f>
        <v>Chile</v>
      </c>
      <c r="G30" s="118" t="str">
        <f>+'Gantt Proyectos'!G98</f>
        <v>Chile</v>
      </c>
      <c r="H30" s="118" t="str">
        <f>+'Gantt Proyectos'!H98</f>
        <v>Perú</v>
      </c>
      <c r="I30" s="189">
        <v>0.5</v>
      </c>
      <c r="J30" s="189">
        <f t="shared" ref="J30:J93" si="6">1-I30</f>
        <v>0.5</v>
      </c>
      <c r="K30" s="118" t="str">
        <f>+'Gantt Proyectos'!I98</f>
        <v>Open Pit</v>
      </c>
      <c r="L30" s="120">
        <f>+'Gantt Proyectos'!J98</f>
        <v>1</v>
      </c>
      <c r="M30" s="118" t="str">
        <f>+'Gantt Proyectos'!K98</f>
        <v>FR</v>
      </c>
      <c r="N30" s="316">
        <f>+'Gantt Proyectos'!L98</f>
        <v>47590</v>
      </c>
      <c r="O30" s="316">
        <f>+'Gantt Proyectos'!M98</f>
        <v>0</v>
      </c>
      <c r="P30" s="118">
        <f>+'Gantt Proyectos'!N98</f>
        <v>1</v>
      </c>
      <c r="Q30" s="119">
        <f>+'Gantt Proyectos'!O98</f>
        <v>45719</v>
      </c>
      <c r="R30" s="119">
        <f>+'Gantt Proyectos'!P98</f>
        <v>45754</v>
      </c>
      <c r="S30" s="118" t="str">
        <f>+'Gantt Proyectos'!R98</f>
        <v>No</v>
      </c>
      <c r="T30" s="118">
        <f>+'Gantt Proyectos'!S98</f>
        <v>0</v>
      </c>
      <c r="U30" s="156">
        <f>+'Gantt Proyectos'!T98</f>
        <v>45719</v>
      </c>
      <c r="V30" s="156">
        <f>+'Gantt Proyectos'!U98</f>
        <v>45754</v>
      </c>
      <c r="W30" s="201">
        <f t="shared" ref="W30:W93" si="7">+ROUNDUP(_xlfn.DAYS(V30,U30)/30.5,0)</f>
        <v>2</v>
      </c>
      <c r="X30" s="121">
        <f>+'Gantt Proyectos'!W98</f>
        <v>0.72035794183445179</v>
      </c>
      <c r="Y30" s="122">
        <f>+'Gantt Proyectos'!X98</f>
        <v>0.25</v>
      </c>
      <c r="Z30" s="122">
        <f>+'Gantt Proyectos'!Y98</f>
        <v>0.33</v>
      </c>
      <c r="AA30" s="122">
        <f>+'Gantt Proyectos'!Z98</f>
        <v>0</v>
      </c>
      <c r="AB30" s="122">
        <f>+'Gantt Proyectos'!AA98</f>
        <v>0.5</v>
      </c>
      <c r="AC30" s="122">
        <f>+'Gantt Proyectos'!AB98</f>
        <v>0.5</v>
      </c>
      <c r="AD30" s="152" t="str">
        <f>+'Gantt Proyectos'!AC98</f>
        <v>Confiabilidad Planes</v>
      </c>
      <c r="AE30" s="123" t="str">
        <f>+'Gantt Proyectos'!AD98</f>
        <v>Actual</v>
      </c>
      <c r="AF30" s="124" t="str">
        <f>+'Gantt Proyectos'!AE98</f>
        <v>7. Finalizado</v>
      </c>
      <c r="AG30" s="172">
        <v>1</v>
      </c>
      <c r="AH30" s="169">
        <f ca="1">+IFERROR(IF(ISNUMBER(OFFSET('EDP Proyectado'!AI30,0,-'Ingreso Proyectado'!$P30))&lt;&gt;0,IF(OFFSET('EDP Proyectado'!AI30,0,-'Ingreso Proyectado'!$P30)+0&lt;=1,0,OFFSET('EDP Proyectado'!AI30,0,-'Ingreso Proyectado'!$P30)+0)),0)</f>
        <v>0</v>
      </c>
      <c r="AI30" s="169">
        <f ca="1">+IFERROR(IF(ISNUMBER(OFFSET('EDP Proyectado'!AJ30,0,-'Ingreso Proyectado'!$P30))&lt;&gt;0,IF(OFFSET('EDP Proyectado'!AJ30,0,-'Ingreso Proyectado'!$P30)+0&lt;=1,0,OFFSET('EDP Proyectado'!AJ30,0,-'Ingreso Proyectado'!$P30)+0)),0)</f>
        <v>23795</v>
      </c>
      <c r="AJ30" s="169">
        <f ca="1">+IFERROR(IF(ISNUMBER(OFFSET('EDP Proyectado'!AK30,0,-'Ingreso Proyectado'!$P30))&lt;&gt;0,IF(OFFSET('EDP Proyectado'!AK30,0,-'Ingreso Proyectado'!$P30)+0&lt;=1,0,OFFSET('EDP Proyectado'!AK30,0,-'Ingreso Proyectado'!$P30)+0)),0)</f>
        <v>0</v>
      </c>
      <c r="AK30" s="169">
        <f ca="1">+IFERROR(IF(ISNUMBER(OFFSET('EDP Proyectado'!AL30,0,-'Ingreso Proyectado'!$P30))&lt;&gt;0,IF(OFFSET('EDP Proyectado'!AL30,0,-'Ingreso Proyectado'!$P30)+0&lt;=1,0,OFFSET('EDP Proyectado'!AL30,0,-'Ingreso Proyectado'!$P30)+0)),0)</f>
        <v>0</v>
      </c>
      <c r="AL30" s="169">
        <f ca="1">+IFERROR(IF(ISNUMBER(OFFSET('EDP Proyectado'!AM30,0,-'Ingreso Proyectado'!$P30))&lt;&gt;0,IF(OFFSET('EDP Proyectado'!AM30,0,-'Ingreso Proyectado'!$P30)+0&lt;=1,0,OFFSET('EDP Proyectado'!AM30,0,-'Ingreso Proyectado'!$P30)+0)),0)</f>
        <v>0</v>
      </c>
      <c r="AM30" s="169">
        <f ca="1">+IFERROR(IF(ISNUMBER(OFFSET('EDP Proyectado'!AN30,0,-'Ingreso Proyectado'!$P30))&lt;&gt;0,IF(OFFSET('EDP Proyectado'!AN30,0,-'Ingreso Proyectado'!$P30)+0&lt;=1,0,OFFSET('EDP Proyectado'!AN30,0,-'Ingreso Proyectado'!$P30)+0)),0)</f>
        <v>0</v>
      </c>
      <c r="AN30" s="169">
        <f ca="1">+IFERROR(IF(ISNUMBER(OFFSET('EDP Proyectado'!AO30,0,-'Ingreso Proyectado'!$P30))&lt;&gt;0,IF(OFFSET('EDP Proyectado'!AO30,0,-'Ingreso Proyectado'!$P30)+0&lt;=1,0,OFFSET('EDP Proyectado'!AO30,0,-'Ingreso Proyectado'!$P30)+0)),0)</f>
        <v>0</v>
      </c>
      <c r="AO30" s="169">
        <f ca="1">+IFERROR(IF(ISNUMBER(OFFSET('EDP Proyectado'!AP30,0,-'Ingreso Proyectado'!$P30))&lt;&gt;0,IF(OFFSET('EDP Proyectado'!AP30,0,-'Ingreso Proyectado'!$P30)+0&lt;=1,0,OFFSET('EDP Proyectado'!AP30,0,-'Ingreso Proyectado'!$P30)+0)),0)</f>
        <v>0</v>
      </c>
      <c r="AP30" s="170">
        <f ca="1">+IFERROR(IF(ISNUMBER(OFFSET('EDP Proyectado'!AQ30,0,-'Ingreso Proyectado'!$P30))&lt;&gt;0,IF(OFFSET('EDP Proyectado'!AQ30,0,-'Ingreso Proyectado'!$P30)+0&lt;=1,0,OFFSET('EDP Proyectado'!AQ30,0,-'Ingreso Proyectado'!$P30)+0)),0)</f>
        <v>0</v>
      </c>
    </row>
    <row r="31" spans="2:42" x14ac:dyDescent="0.2">
      <c r="C31" s="117">
        <f>+'Gantt Proyectos'!C99</f>
        <v>3</v>
      </c>
      <c r="D31" s="140" t="str">
        <f>+'Gantt Proyectos'!D99</f>
        <v>Resolution: MinePlan Review (Scoping)</v>
      </c>
      <c r="E31" s="118" t="str">
        <f>+'Gantt Proyectos'!E99</f>
        <v>BHP</v>
      </c>
      <c r="F31" s="146" t="str">
        <f>+'Gantt Proyectos'!F99</f>
        <v>Chile</v>
      </c>
      <c r="G31" s="118" t="str">
        <f>+'Gantt Proyectos'!G99</f>
        <v>Chile</v>
      </c>
      <c r="H31" s="118">
        <f>+'Gantt Proyectos'!H99</f>
        <v>0</v>
      </c>
      <c r="I31" s="189">
        <v>1</v>
      </c>
      <c r="J31" s="189">
        <f t="shared" si="6"/>
        <v>0</v>
      </c>
      <c r="K31" s="118" t="str">
        <f>+'Gantt Proyectos'!I99</f>
        <v>Subterránea</v>
      </c>
      <c r="L31" s="120">
        <f>+'Gantt Proyectos'!J99</f>
        <v>1</v>
      </c>
      <c r="M31" s="118" t="str">
        <f>+'Gantt Proyectos'!K99</f>
        <v>CA</v>
      </c>
      <c r="N31" s="316">
        <f>+'Gantt Proyectos'!L99</f>
        <v>254012</v>
      </c>
      <c r="O31" s="316">
        <f>+'Gantt Proyectos'!M99</f>
        <v>0</v>
      </c>
      <c r="P31" s="118">
        <f>+'Gantt Proyectos'!N99</f>
        <v>1</v>
      </c>
      <c r="Q31" s="119">
        <f>+'Gantt Proyectos'!O99</f>
        <v>45635</v>
      </c>
      <c r="R31" s="119">
        <f>+'Gantt Proyectos'!P99</f>
        <v>45754</v>
      </c>
      <c r="S31" s="118" t="str">
        <f>+'Gantt Proyectos'!R99</f>
        <v>No</v>
      </c>
      <c r="T31" s="118">
        <f>+'Gantt Proyectos'!S99</f>
        <v>0</v>
      </c>
      <c r="U31" s="156">
        <f>+'Gantt Proyectos'!T99</f>
        <v>45635</v>
      </c>
      <c r="V31" s="156">
        <f>+'Gantt Proyectos'!U99</f>
        <v>45754</v>
      </c>
      <c r="W31" s="201">
        <f t="shared" si="7"/>
        <v>4</v>
      </c>
      <c r="X31" s="121">
        <f>+'Gantt Proyectos'!W99</f>
        <v>1.4474272930648768</v>
      </c>
      <c r="Y31" s="122">
        <f>+'Gantt Proyectos'!X99</f>
        <v>0.33</v>
      </c>
      <c r="Z31" s="122">
        <f>+'Gantt Proyectos'!Y99</f>
        <v>0.5</v>
      </c>
      <c r="AA31" s="122">
        <f>+'Gantt Proyectos'!Z99</f>
        <v>0.33</v>
      </c>
      <c r="AB31" s="122">
        <f>+'Gantt Proyectos'!AA99</f>
        <v>1</v>
      </c>
      <c r="AC31" s="122">
        <f>+'Gantt Proyectos'!AB99</f>
        <v>1</v>
      </c>
      <c r="AD31" s="152" t="str">
        <f>+'Gantt Proyectos'!AC99</f>
        <v>Scoping</v>
      </c>
      <c r="AE31" s="123" t="str">
        <f>+'Gantt Proyectos'!AD99</f>
        <v>Actual</v>
      </c>
      <c r="AF31" s="124" t="str">
        <f>+'Gantt Proyectos'!AE99</f>
        <v>7. Finalizado</v>
      </c>
      <c r="AG31" s="172">
        <v>1</v>
      </c>
      <c r="AH31" s="169">
        <f ca="1">+IFERROR(IF(ISNUMBER(OFFSET('EDP Proyectado'!AI31,0,-'Ingreso Proyectado'!$P31))&lt;&gt;0,IF(OFFSET('EDP Proyectado'!AI31,0,-'Ingreso Proyectado'!$P31)+0&lt;=1,0,OFFSET('EDP Proyectado'!AI31,0,-'Ingreso Proyectado'!$P31)+0)),0)</f>
        <v>0</v>
      </c>
      <c r="AI31" s="169">
        <f ca="1">+IFERROR(IF(ISNUMBER(OFFSET('EDP Proyectado'!AJ31,0,-'Ingreso Proyectado'!$P31))&lt;&gt;0,IF(OFFSET('EDP Proyectado'!AJ31,0,-'Ingreso Proyectado'!$P31)+0&lt;=1,0,OFFSET('EDP Proyectado'!AJ31,0,-'Ingreso Proyectado'!$P31)+0)),0)</f>
        <v>63503</v>
      </c>
      <c r="AJ31" s="169">
        <f ca="1">+IFERROR(IF(ISNUMBER(OFFSET('EDP Proyectado'!AK31,0,-'Ingreso Proyectado'!$P31))&lt;&gt;0,IF(OFFSET('EDP Proyectado'!AK31,0,-'Ingreso Proyectado'!$P31)+0&lt;=1,0,OFFSET('EDP Proyectado'!AK31,0,-'Ingreso Proyectado'!$P31)+0)),0)</f>
        <v>0</v>
      </c>
      <c r="AK31" s="169">
        <f ca="1">+IFERROR(IF(ISNUMBER(OFFSET('EDP Proyectado'!AL31,0,-'Ingreso Proyectado'!$P31))&lt;&gt;0,IF(OFFSET('EDP Proyectado'!AL31,0,-'Ingreso Proyectado'!$P31)+0&lt;=1,0,OFFSET('EDP Proyectado'!AL31,0,-'Ingreso Proyectado'!$P31)+0)),0)</f>
        <v>0</v>
      </c>
      <c r="AL31" s="169">
        <f ca="1">+IFERROR(IF(ISNUMBER(OFFSET('EDP Proyectado'!AM31,0,-'Ingreso Proyectado'!$P31))&lt;&gt;0,IF(OFFSET('EDP Proyectado'!AM31,0,-'Ingreso Proyectado'!$P31)+0&lt;=1,0,OFFSET('EDP Proyectado'!AM31,0,-'Ingreso Proyectado'!$P31)+0)),0)</f>
        <v>0</v>
      </c>
      <c r="AM31" s="169">
        <f ca="1">+IFERROR(IF(ISNUMBER(OFFSET('EDP Proyectado'!AN31,0,-'Ingreso Proyectado'!$P31))&lt;&gt;0,IF(OFFSET('EDP Proyectado'!AN31,0,-'Ingreso Proyectado'!$P31)+0&lt;=1,0,OFFSET('EDP Proyectado'!AN31,0,-'Ingreso Proyectado'!$P31)+0)),0)</f>
        <v>0</v>
      </c>
      <c r="AN31" s="169">
        <f ca="1">+IFERROR(IF(ISNUMBER(OFFSET('EDP Proyectado'!AO31,0,-'Ingreso Proyectado'!$P31))&lt;&gt;0,IF(OFFSET('EDP Proyectado'!AO31,0,-'Ingreso Proyectado'!$P31)+0&lt;=1,0,OFFSET('EDP Proyectado'!AO31,0,-'Ingreso Proyectado'!$P31)+0)),0)</f>
        <v>0</v>
      </c>
      <c r="AO31" s="169">
        <f ca="1">+IFERROR(IF(ISNUMBER(OFFSET('EDP Proyectado'!AP31,0,-'Ingreso Proyectado'!$P31))&lt;&gt;0,IF(OFFSET('EDP Proyectado'!AP31,0,-'Ingreso Proyectado'!$P31)+0&lt;=1,0,OFFSET('EDP Proyectado'!AP31,0,-'Ingreso Proyectado'!$P31)+0)),0)</f>
        <v>0</v>
      </c>
      <c r="AP31" s="170">
        <f ca="1">+IFERROR(IF(ISNUMBER(OFFSET('EDP Proyectado'!AQ31,0,-'Ingreso Proyectado'!$P31))&lt;&gt;0,IF(OFFSET('EDP Proyectado'!AQ31,0,-'Ingreso Proyectado'!$P31)+0&lt;=1,0,OFFSET('EDP Proyectado'!AQ31,0,-'Ingreso Proyectado'!$P31)+0)),0)</f>
        <v>0</v>
      </c>
    </row>
    <row r="32" spans="2:42" x14ac:dyDescent="0.2">
      <c r="C32" s="117">
        <f>+'Gantt Proyectos'!C100</f>
        <v>4</v>
      </c>
      <c r="D32" s="140" t="str">
        <f>+'Gantt Proyectos'!D100</f>
        <v>Twin Metals: Analisis integrado con Northmet</v>
      </c>
      <c r="E32" s="118" t="str">
        <f>+'Gantt Proyectos'!E100</f>
        <v>Twin Metals</v>
      </c>
      <c r="F32" s="146" t="str">
        <f>+'Gantt Proyectos'!F100</f>
        <v>Chile</v>
      </c>
      <c r="G32" s="118" t="str">
        <f>+'Gantt Proyectos'!G100</f>
        <v>Chile</v>
      </c>
      <c r="H32" s="118" t="str">
        <f>+'Gantt Proyectos'!H100</f>
        <v>Perú</v>
      </c>
      <c r="I32" s="189">
        <v>0.5</v>
      </c>
      <c r="J32" s="189">
        <f t="shared" si="6"/>
        <v>0.5</v>
      </c>
      <c r="K32" s="118" t="str">
        <f>+'Gantt Proyectos'!I100</f>
        <v>Open Pit</v>
      </c>
      <c r="L32" s="120">
        <f>+'Gantt Proyectos'!J100</f>
        <v>1</v>
      </c>
      <c r="M32" s="118" t="str">
        <f>+'Gantt Proyectos'!K100</f>
        <v>CA</v>
      </c>
      <c r="N32" s="316">
        <f>+'Gantt Proyectos'!L100</f>
        <v>132000</v>
      </c>
      <c r="O32" s="316">
        <f>+'Gantt Proyectos'!M100</f>
        <v>0</v>
      </c>
      <c r="P32" s="118">
        <f>+'Gantt Proyectos'!N100</f>
        <v>1</v>
      </c>
      <c r="Q32" s="119">
        <f>+'Gantt Proyectos'!O100</f>
        <v>45719</v>
      </c>
      <c r="R32" s="119">
        <f>+'Gantt Proyectos'!P100</f>
        <v>45803</v>
      </c>
      <c r="S32" s="118" t="str">
        <f>+'Gantt Proyectos'!R100</f>
        <v>No</v>
      </c>
      <c r="T32" s="118">
        <f>+'Gantt Proyectos'!S100</f>
        <v>0</v>
      </c>
      <c r="U32" s="156">
        <f>+'Gantt Proyectos'!T100</f>
        <v>45719</v>
      </c>
      <c r="V32" s="156">
        <f>+'Gantt Proyectos'!U100</f>
        <v>45803</v>
      </c>
      <c r="W32" s="201">
        <f t="shared" si="7"/>
        <v>3</v>
      </c>
      <c r="X32" s="121">
        <f>+'Gantt Proyectos'!W100</f>
        <v>0.72035794183445179</v>
      </c>
      <c r="Y32" s="122">
        <f>+'Gantt Proyectos'!X100</f>
        <v>0.25</v>
      </c>
      <c r="Z32" s="122">
        <f>+'Gantt Proyectos'!Y100</f>
        <v>0.33</v>
      </c>
      <c r="AA32" s="122">
        <f>+'Gantt Proyectos'!Z100</f>
        <v>0</v>
      </c>
      <c r="AB32" s="122">
        <f>+'Gantt Proyectos'!AA100</f>
        <v>0.5</v>
      </c>
      <c r="AC32" s="122">
        <f>+'Gantt Proyectos'!AB100</f>
        <v>0.5</v>
      </c>
      <c r="AD32" s="152" t="str">
        <f>+'Gantt Proyectos'!AC100</f>
        <v>Estudio Conceptual / LOM</v>
      </c>
      <c r="AE32" s="123" t="str">
        <f>+'Gantt Proyectos'!AD100</f>
        <v>Actual</v>
      </c>
      <c r="AF32" s="124" t="str">
        <f>+'Gantt Proyectos'!AE100</f>
        <v>7. Finalizado</v>
      </c>
      <c r="AG32" s="172">
        <v>1</v>
      </c>
      <c r="AH32" s="169">
        <f ca="1">+IFERROR(IF(ISNUMBER(OFFSET('EDP Proyectado'!AI32,0,-'Ingreso Proyectado'!$P32))&lt;&gt;0,IF(OFFSET('EDP Proyectado'!AI32,0,-'Ingreso Proyectado'!$P32)+0&lt;=1,0,OFFSET('EDP Proyectado'!AI32,0,-'Ingreso Proyectado'!$P32)+0)),0)</f>
        <v>0</v>
      </c>
      <c r="AI32" s="169">
        <f ca="1">+IFERROR(IF(ISNUMBER(OFFSET('EDP Proyectado'!AJ32,0,-'Ingreso Proyectado'!$P32))&lt;&gt;0,IF(OFFSET('EDP Proyectado'!AJ32,0,-'Ingreso Proyectado'!$P32)+0&lt;=1,0,OFFSET('EDP Proyectado'!AJ32,0,-'Ingreso Proyectado'!$P32)+0)),0)</f>
        <v>44000</v>
      </c>
      <c r="AJ32" s="169">
        <f ca="1">+IFERROR(IF(ISNUMBER(OFFSET('EDP Proyectado'!AK32,0,-'Ingreso Proyectado'!$P32))&lt;&gt;0,IF(OFFSET('EDP Proyectado'!AK32,0,-'Ingreso Proyectado'!$P32)+0&lt;=1,0,OFFSET('EDP Proyectado'!AK32,0,-'Ingreso Proyectado'!$P32)+0)),0)</f>
        <v>44000</v>
      </c>
      <c r="AK32" s="169">
        <f ca="1">+IFERROR(IF(ISNUMBER(OFFSET('EDP Proyectado'!AL32,0,-'Ingreso Proyectado'!$P32))&lt;&gt;0,IF(OFFSET('EDP Proyectado'!AL32,0,-'Ingreso Proyectado'!$P32)+0&lt;=1,0,OFFSET('EDP Proyectado'!AL32,0,-'Ingreso Proyectado'!$P32)+0)),0)</f>
        <v>0</v>
      </c>
      <c r="AL32" s="169">
        <f ca="1">+IFERROR(IF(ISNUMBER(OFFSET('EDP Proyectado'!AM32,0,-'Ingreso Proyectado'!$P32))&lt;&gt;0,IF(OFFSET('EDP Proyectado'!AM32,0,-'Ingreso Proyectado'!$P32)+0&lt;=1,0,OFFSET('EDP Proyectado'!AM32,0,-'Ingreso Proyectado'!$P32)+0)),0)</f>
        <v>0</v>
      </c>
      <c r="AM32" s="169">
        <f ca="1">+IFERROR(IF(ISNUMBER(OFFSET('EDP Proyectado'!AN32,0,-'Ingreso Proyectado'!$P32))&lt;&gt;0,IF(OFFSET('EDP Proyectado'!AN32,0,-'Ingreso Proyectado'!$P32)+0&lt;=1,0,OFFSET('EDP Proyectado'!AN32,0,-'Ingreso Proyectado'!$P32)+0)),0)</f>
        <v>0</v>
      </c>
      <c r="AN32" s="169">
        <f ca="1">+IFERROR(IF(ISNUMBER(OFFSET('EDP Proyectado'!AO32,0,-'Ingreso Proyectado'!$P32))&lt;&gt;0,IF(OFFSET('EDP Proyectado'!AO32,0,-'Ingreso Proyectado'!$P32)+0&lt;=1,0,OFFSET('EDP Proyectado'!AO32,0,-'Ingreso Proyectado'!$P32)+0)),0)</f>
        <v>0</v>
      </c>
      <c r="AO32" s="169">
        <f ca="1">+IFERROR(IF(ISNUMBER(OFFSET('EDP Proyectado'!AP32,0,-'Ingreso Proyectado'!$P32))&lt;&gt;0,IF(OFFSET('EDP Proyectado'!AP32,0,-'Ingreso Proyectado'!$P32)+0&lt;=1,0,OFFSET('EDP Proyectado'!AP32,0,-'Ingreso Proyectado'!$P32)+0)),0)</f>
        <v>0</v>
      </c>
      <c r="AP32" s="170">
        <f ca="1">+IFERROR(IF(ISNUMBER(OFFSET('EDP Proyectado'!AQ32,0,-'Ingreso Proyectado'!$P32))&lt;&gt;0,IF(OFFSET('EDP Proyectado'!AQ32,0,-'Ingreso Proyectado'!$P32)+0&lt;=1,0,OFFSET('EDP Proyectado'!AQ32,0,-'Ingreso Proyectado'!$P32)+0)),0)</f>
        <v>0</v>
      </c>
    </row>
    <row r="33" spans="3:42" x14ac:dyDescent="0.2">
      <c r="C33" s="117">
        <f>+'Gantt Proyectos'!C101</f>
        <v>5</v>
      </c>
      <c r="D33" s="140" t="str">
        <f>+'Gantt Proyectos'!D101</f>
        <v>FEL3 CNN</v>
      </c>
      <c r="E33" s="118" t="str">
        <f>+'Gantt Proyectos'!E101</f>
        <v>CMP</v>
      </c>
      <c r="F33" s="146" t="str">
        <f>+'Gantt Proyectos'!F101</f>
        <v>Chile</v>
      </c>
      <c r="G33" s="118" t="str">
        <f>+'Gantt Proyectos'!G101</f>
        <v>Chile</v>
      </c>
      <c r="H33" s="118">
        <f>+'Gantt Proyectos'!H101</f>
        <v>0</v>
      </c>
      <c r="I33" s="189">
        <v>1</v>
      </c>
      <c r="J33" s="189">
        <f t="shared" si="6"/>
        <v>0</v>
      </c>
      <c r="K33" s="118" t="str">
        <f>+'Gantt Proyectos'!I101</f>
        <v>Open Pit</v>
      </c>
      <c r="L33" s="120">
        <f>+'Gantt Proyectos'!J101</f>
        <v>1</v>
      </c>
      <c r="M33" s="118" t="str">
        <f>+'Gantt Proyectos'!K101</f>
        <v>FR</v>
      </c>
      <c r="N33" s="316">
        <f>+'Gantt Proyectos'!L101</f>
        <v>121038.49</v>
      </c>
      <c r="O33" s="316">
        <f>+'Gantt Proyectos'!M101</f>
        <v>0</v>
      </c>
      <c r="P33" s="118">
        <f>+'Gantt Proyectos'!N101</f>
        <v>1</v>
      </c>
      <c r="Q33" s="119">
        <f>+'Gantt Proyectos'!O101</f>
        <v>45579</v>
      </c>
      <c r="R33" s="119">
        <f>+'Gantt Proyectos'!P101</f>
        <v>45754</v>
      </c>
      <c r="S33" s="118" t="str">
        <f>+'Gantt Proyectos'!R101</f>
        <v>No</v>
      </c>
      <c r="T33" s="118">
        <f>+'Gantt Proyectos'!S101</f>
        <v>0</v>
      </c>
      <c r="U33" s="156">
        <f>+'Gantt Proyectos'!T101</f>
        <v>45579</v>
      </c>
      <c r="V33" s="156">
        <f>+'Gantt Proyectos'!U101</f>
        <v>45754</v>
      </c>
      <c r="W33" s="201">
        <f t="shared" si="7"/>
        <v>6</v>
      </c>
      <c r="X33" s="121">
        <f>+'Gantt Proyectos'!W101</f>
        <v>2.1588366890380311</v>
      </c>
      <c r="Y33" s="122">
        <f>+'Gantt Proyectos'!X101</f>
        <v>0.5</v>
      </c>
      <c r="Z33" s="122">
        <f>+'Gantt Proyectos'!Y101</f>
        <v>0.5</v>
      </c>
      <c r="AA33" s="122">
        <f>+'Gantt Proyectos'!Z101</f>
        <v>0.75</v>
      </c>
      <c r="AB33" s="122">
        <f>+'Gantt Proyectos'!AA101</f>
        <v>2</v>
      </c>
      <c r="AC33" s="122">
        <f>+'Gantt Proyectos'!AB101</f>
        <v>1</v>
      </c>
      <c r="AD33" s="152" t="str">
        <f>+'Gantt Proyectos'!AC101</f>
        <v>PFS</v>
      </c>
      <c r="AE33" s="123" t="str">
        <f>+'Gantt Proyectos'!AD101</f>
        <v>Actual</v>
      </c>
      <c r="AF33" s="124" t="str">
        <f>+'Gantt Proyectos'!AE101</f>
        <v>6. Cierre: +90%</v>
      </c>
      <c r="AG33" s="172">
        <v>1</v>
      </c>
      <c r="AH33" s="169">
        <f ca="1">+IFERROR(IF(ISNUMBER(OFFSET('EDP Proyectado'!AI33,0,-'Ingreso Proyectado'!$P33))&lt;&gt;0,IF(OFFSET('EDP Proyectado'!AI33,0,-'Ingreso Proyectado'!$P33)+0&lt;=1,0,OFFSET('EDP Proyectado'!AI33,0,-'Ingreso Proyectado'!$P33)+0)),0)</f>
        <v>0</v>
      </c>
      <c r="AI33" s="169">
        <f ca="1">+IFERROR(IF(ISNUMBER(OFFSET('EDP Proyectado'!AJ33,0,-'Ingreso Proyectado'!$P33))&lt;&gt;0,IF(OFFSET('EDP Proyectado'!AJ33,0,-'Ingreso Proyectado'!$P33)+0&lt;=1,0,OFFSET('EDP Proyectado'!AJ33,0,-'Ingreso Proyectado'!$P33)+0)),0)</f>
        <v>20173.081666666665</v>
      </c>
      <c r="AJ33" s="169">
        <f ca="1">+IFERROR(IF(ISNUMBER(OFFSET('EDP Proyectado'!AK33,0,-'Ingreso Proyectado'!$P33))&lt;&gt;0,IF(OFFSET('EDP Proyectado'!AK33,0,-'Ingreso Proyectado'!$P33)+0&lt;=1,0,OFFSET('EDP Proyectado'!AK33,0,-'Ingreso Proyectado'!$P33)+0)),0)</f>
        <v>0</v>
      </c>
      <c r="AK33" s="169">
        <f ca="1">+IFERROR(IF(ISNUMBER(OFFSET('EDP Proyectado'!AL33,0,-'Ingreso Proyectado'!$P33))&lt;&gt;0,IF(OFFSET('EDP Proyectado'!AL33,0,-'Ingreso Proyectado'!$P33)+0&lt;=1,0,OFFSET('EDP Proyectado'!AL33,0,-'Ingreso Proyectado'!$P33)+0)),0)</f>
        <v>0</v>
      </c>
      <c r="AL33" s="169">
        <f ca="1">+IFERROR(IF(ISNUMBER(OFFSET('EDP Proyectado'!AM33,0,-'Ingreso Proyectado'!$P33))&lt;&gt;0,IF(OFFSET('EDP Proyectado'!AM33,0,-'Ingreso Proyectado'!$P33)+0&lt;=1,0,OFFSET('EDP Proyectado'!AM33,0,-'Ingreso Proyectado'!$P33)+0)),0)</f>
        <v>0</v>
      </c>
      <c r="AM33" s="169">
        <f ca="1">+IFERROR(IF(ISNUMBER(OFFSET('EDP Proyectado'!AN33,0,-'Ingreso Proyectado'!$P33))&lt;&gt;0,IF(OFFSET('EDP Proyectado'!AN33,0,-'Ingreso Proyectado'!$P33)+0&lt;=1,0,OFFSET('EDP Proyectado'!AN33,0,-'Ingreso Proyectado'!$P33)+0)),0)</f>
        <v>0</v>
      </c>
      <c r="AN33" s="169">
        <f ca="1">+IFERROR(IF(ISNUMBER(OFFSET('EDP Proyectado'!AO33,0,-'Ingreso Proyectado'!$P33))&lt;&gt;0,IF(OFFSET('EDP Proyectado'!AO33,0,-'Ingreso Proyectado'!$P33)+0&lt;=1,0,OFFSET('EDP Proyectado'!AO33,0,-'Ingreso Proyectado'!$P33)+0)),0)</f>
        <v>0</v>
      </c>
      <c r="AO33" s="169">
        <f ca="1">+IFERROR(IF(ISNUMBER(OFFSET('EDP Proyectado'!AP33,0,-'Ingreso Proyectado'!$P33))&lt;&gt;0,IF(OFFSET('EDP Proyectado'!AP33,0,-'Ingreso Proyectado'!$P33)+0&lt;=1,0,OFFSET('EDP Proyectado'!AP33,0,-'Ingreso Proyectado'!$P33)+0)),0)</f>
        <v>0</v>
      </c>
      <c r="AP33" s="170">
        <f ca="1">+IFERROR(IF(ISNUMBER(OFFSET('EDP Proyectado'!AQ33,0,-'Ingreso Proyectado'!$P33))&lt;&gt;0,IF(OFFSET('EDP Proyectado'!AQ33,0,-'Ingreso Proyectado'!$P33)+0&lt;=1,0,OFFSET('EDP Proyectado'!AQ33,0,-'Ingreso Proyectado'!$P33)+0)),0)</f>
        <v>0</v>
      </c>
    </row>
    <row r="34" spans="3:42" x14ac:dyDescent="0.2">
      <c r="C34" s="117">
        <f>+'Gantt Proyectos'!C102</f>
        <v>6</v>
      </c>
      <c r="D34" s="140" t="str">
        <f>+'Gantt Proyectos'!D102</f>
        <v>Estudio de Factibilidad Mina Romeral UG - Acceso Mina SLS</v>
      </c>
      <c r="E34" s="118" t="str">
        <f>+'Gantt Proyectos'!E102</f>
        <v>CMP</v>
      </c>
      <c r="F34" s="146" t="str">
        <f>+'Gantt Proyectos'!F102</f>
        <v>Chile</v>
      </c>
      <c r="G34" s="118" t="str">
        <f>+'Gantt Proyectos'!G102</f>
        <v>Chile</v>
      </c>
      <c r="H34" s="118">
        <f>+'Gantt Proyectos'!H102</f>
        <v>0</v>
      </c>
      <c r="I34" s="189">
        <v>1</v>
      </c>
      <c r="J34" s="189">
        <f t="shared" si="6"/>
        <v>0</v>
      </c>
      <c r="K34" s="118" t="str">
        <f>+'Gantt Proyectos'!I102</f>
        <v>Subterránea</v>
      </c>
      <c r="L34" s="120">
        <f>+'Gantt Proyectos'!J102</f>
        <v>1</v>
      </c>
      <c r="M34" s="118" t="str">
        <f>+'Gantt Proyectos'!K102</f>
        <v>RM</v>
      </c>
      <c r="N34" s="316">
        <f>+'Gantt Proyectos'!L102</f>
        <v>900007.88</v>
      </c>
      <c r="O34" s="316">
        <f>+'Gantt Proyectos'!M102</f>
        <v>530757</v>
      </c>
      <c r="P34" s="118">
        <f>+'Gantt Proyectos'!N102</f>
        <v>1</v>
      </c>
      <c r="Q34" s="119">
        <f>+'Gantt Proyectos'!O102</f>
        <v>45446</v>
      </c>
      <c r="R34" s="119">
        <f>+'Gantt Proyectos'!P102</f>
        <v>45754</v>
      </c>
      <c r="S34" s="118" t="str">
        <f>+'Gantt Proyectos'!R102</f>
        <v>No</v>
      </c>
      <c r="T34" s="118">
        <f>+'Gantt Proyectos'!S102</f>
        <v>0</v>
      </c>
      <c r="U34" s="156">
        <f>+'Gantt Proyectos'!T102</f>
        <v>45446</v>
      </c>
      <c r="V34" s="156">
        <f>+'Gantt Proyectos'!U102</f>
        <v>45754</v>
      </c>
      <c r="W34" s="201">
        <f t="shared" si="7"/>
        <v>11</v>
      </c>
      <c r="X34" s="121">
        <f>+'Gantt Proyectos'!W102</f>
        <v>2.5503355704697985</v>
      </c>
      <c r="Y34" s="122">
        <f>+'Gantt Proyectos'!X102</f>
        <v>0.5</v>
      </c>
      <c r="Z34" s="122">
        <f>+'Gantt Proyectos'!Y102</f>
        <v>0.67</v>
      </c>
      <c r="AA34" s="122">
        <f>+'Gantt Proyectos'!Z102</f>
        <v>1</v>
      </c>
      <c r="AB34" s="122">
        <f>+'Gantt Proyectos'!AA102</f>
        <v>2.5</v>
      </c>
      <c r="AC34" s="122">
        <f>+'Gantt Proyectos'!AB102</f>
        <v>1</v>
      </c>
      <c r="AD34" s="152" t="str">
        <f>+'Gantt Proyectos'!AC102</f>
        <v>FS e Ing. Basica</v>
      </c>
      <c r="AE34" s="123" t="str">
        <f>+'Gantt Proyectos'!AD102</f>
        <v>Actual</v>
      </c>
      <c r="AF34" s="124" t="str">
        <f>+'Gantt Proyectos'!AE102</f>
        <v>6. Cierre: +90%</v>
      </c>
      <c r="AG34" s="172">
        <v>1</v>
      </c>
      <c r="AH34" s="169">
        <f ca="1">+IFERROR(IF(ISNUMBER(OFFSET('EDP Proyectado'!AI34,0,-'Ingreso Proyectado'!$P34))&lt;&gt;0,IF(OFFSET('EDP Proyectado'!AI34,0,-'Ingreso Proyectado'!$P34)+0&lt;=1,0,OFFSET('EDP Proyectado'!AI34,0,-'Ingreso Proyectado'!$P34)+0)),0)</f>
        <v>0</v>
      </c>
      <c r="AI34" s="169">
        <f ca="1">+IFERROR(IF(ISNUMBER(OFFSET('EDP Proyectado'!AJ34,0,-'Ingreso Proyectado'!$P34))&lt;&gt;0,IF(OFFSET('EDP Proyectado'!AJ34,0,-'Ingreso Proyectado'!$P34)+0&lt;=1,0,OFFSET('EDP Proyectado'!AJ34,0,-'Ingreso Proyectado'!$P34)+0)),0)</f>
        <v>81818.898181818178</v>
      </c>
      <c r="AJ34" s="169">
        <f ca="1">+IFERROR(IF(ISNUMBER(OFFSET('EDP Proyectado'!AK34,0,-'Ingreso Proyectado'!$P34))&lt;&gt;0,IF(OFFSET('EDP Proyectado'!AK34,0,-'Ingreso Proyectado'!$P34)+0&lt;=1,0,OFFSET('EDP Proyectado'!AK34,0,-'Ingreso Proyectado'!$P34)+0)),0)</f>
        <v>0</v>
      </c>
      <c r="AK34" s="169">
        <f ca="1">+IFERROR(IF(ISNUMBER(OFFSET('EDP Proyectado'!AL34,0,-'Ingreso Proyectado'!$P34))&lt;&gt;0,IF(OFFSET('EDP Proyectado'!AL34,0,-'Ingreso Proyectado'!$P34)+0&lt;=1,0,OFFSET('EDP Proyectado'!AL34,0,-'Ingreso Proyectado'!$P34)+0)),0)</f>
        <v>0</v>
      </c>
      <c r="AL34" s="169">
        <f ca="1">+IFERROR(IF(ISNUMBER(OFFSET('EDP Proyectado'!AM34,0,-'Ingreso Proyectado'!$P34))&lt;&gt;0,IF(OFFSET('EDP Proyectado'!AM34,0,-'Ingreso Proyectado'!$P34)+0&lt;=1,0,OFFSET('EDP Proyectado'!AM34,0,-'Ingreso Proyectado'!$P34)+0)),0)</f>
        <v>0</v>
      </c>
      <c r="AM34" s="169">
        <f ca="1">+IFERROR(IF(ISNUMBER(OFFSET('EDP Proyectado'!AN34,0,-'Ingreso Proyectado'!$P34))&lt;&gt;0,IF(OFFSET('EDP Proyectado'!AN34,0,-'Ingreso Proyectado'!$P34)+0&lt;=1,0,OFFSET('EDP Proyectado'!AN34,0,-'Ingreso Proyectado'!$P34)+0)),0)</f>
        <v>0</v>
      </c>
      <c r="AN34" s="169">
        <f ca="1">+IFERROR(IF(ISNUMBER(OFFSET('EDP Proyectado'!AO34,0,-'Ingreso Proyectado'!$P34))&lt;&gt;0,IF(OFFSET('EDP Proyectado'!AO34,0,-'Ingreso Proyectado'!$P34)+0&lt;=1,0,OFFSET('EDP Proyectado'!AO34,0,-'Ingreso Proyectado'!$P34)+0)),0)</f>
        <v>0</v>
      </c>
      <c r="AO34" s="169">
        <f ca="1">+IFERROR(IF(ISNUMBER(OFFSET('EDP Proyectado'!AP34,0,-'Ingreso Proyectado'!$P34))&lt;&gt;0,IF(OFFSET('EDP Proyectado'!AP34,0,-'Ingreso Proyectado'!$P34)+0&lt;=1,0,OFFSET('EDP Proyectado'!AP34,0,-'Ingreso Proyectado'!$P34)+0)),0)</f>
        <v>0</v>
      </c>
      <c r="AP34" s="170">
        <f ca="1">+IFERROR(IF(ISNUMBER(OFFSET('EDP Proyectado'!AQ34,0,-'Ingreso Proyectado'!$P34))&lt;&gt;0,IF(OFFSET('EDP Proyectado'!AQ34,0,-'Ingreso Proyectado'!$P34)+0&lt;=1,0,OFFSET('EDP Proyectado'!AQ34,0,-'Ingreso Proyectado'!$P34)+0)),0)</f>
        <v>0</v>
      </c>
    </row>
    <row r="35" spans="3:42" x14ac:dyDescent="0.2">
      <c r="C35" s="117">
        <f>+'Gantt Proyectos'!C103</f>
        <v>7</v>
      </c>
      <c r="D35" s="140" t="str">
        <f>+'Gantt Proyectos'!D103</f>
        <v>Cobre Panamá: Evaluación estratégica del activo</v>
      </c>
      <c r="E35" s="118" t="str">
        <f>+'Gantt Proyectos'!E103</f>
        <v>Debevoise&amp;Plimpton</v>
      </c>
      <c r="F35" s="146" t="str">
        <f>+'Gantt Proyectos'!F103</f>
        <v>Chile</v>
      </c>
      <c r="G35" s="118" t="str">
        <f>+'Gantt Proyectos'!G103</f>
        <v>Chile</v>
      </c>
      <c r="H35" s="118" t="str">
        <f>+'Gantt Proyectos'!H103</f>
        <v>Perú</v>
      </c>
      <c r="I35" s="189">
        <v>0.5</v>
      </c>
      <c r="J35" s="189">
        <f t="shared" si="6"/>
        <v>0.5</v>
      </c>
      <c r="K35" s="118" t="str">
        <f>+'Gantt Proyectos'!I103</f>
        <v>Open Pit</v>
      </c>
      <c r="L35" s="120">
        <f>+'Gantt Proyectos'!J103</f>
        <v>1</v>
      </c>
      <c r="M35" s="118" t="str">
        <f>+'Gantt Proyectos'!K103</f>
        <v>GD</v>
      </c>
      <c r="N35" s="316">
        <f>+'Gantt Proyectos'!L103</f>
        <v>272200.59999999998</v>
      </c>
      <c r="O35" s="316">
        <f>+'Gantt Proyectos'!M103</f>
        <v>2841972.1688888888</v>
      </c>
      <c r="P35" s="118">
        <f>+'Gantt Proyectos'!N103</f>
        <v>2</v>
      </c>
      <c r="Q35" s="119">
        <f>+'Gantt Proyectos'!O103</f>
        <v>45663</v>
      </c>
      <c r="R35" s="119">
        <f>+'Gantt Proyectos'!P103</f>
        <v>45754</v>
      </c>
      <c r="S35" s="118" t="str">
        <f>+'Gantt Proyectos'!R103</f>
        <v>No</v>
      </c>
      <c r="T35" s="118">
        <f>+'Gantt Proyectos'!S103</f>
        <v>0</v>
      </c>
      <c r="U35" s="156">
        <f>+'Gantt Proyectos'!T103</f>
        <v>45663</v>
      </c>
      <c r="V35" s="156">
        <f>+'Gantt Proyectos'!U103</f>
        <v>45754</v>
      </c>
      <c r="W35" s="201">
        <f t="shared" si="7"/>
        <v>3</v>
      </c>
      <c r="X35" s="121">
        <f>+'Gantt Proyectos'!W103</f>
        <v>0.72035794183445179</v>
      </c>
      <c r="Y35" s="122">
        <f>+'Gantt Proyectos'!X103</f>
        <v>0.25</v>
      </c>
      <c r="Z35" s="122">
        <f>+'Gantt Proyectos'!Y103</f>
        <v>0.33</v>
      </c>
      <c r="AA35" s="122">
        <f>+'Gantt Proyectos'!Z103</f>
        <v>0</v>
      </c>
      <c r="AB35" s="122">
        <f>+'Gantt Proyectos'!AA103</f>
        <v>0.5</v>
      </c>
      <c r="AC35" s="122">
        <f>+'Gantt Proyectos'!AB103</f>
        <v>0.5</v>
      </c>
      <c r="AD35" s="152" t="str">
        <f>+'Gantt Proyectos'!AC103</f>
        <v>Estudio Conceptual / LOM</v>
      </c>
      <c r="AE35" s="123" t="str">
        <f>+'Gantt Proyectos'!AD103</f>
        <v>Actual</v>
      </c>
      <c r="AF35" s="124" t="str">
        <f>+'Gantt Proyectos'!AE103</f>
        <v>6. Cierre: +90%</v>
      </c>
      <c r="AG35" s="172">
        <v>1</v>
      </c>
      <c r="AH35" s="169">
        <f ca="1">+IFERROR(IF(ISNUMBER(OFFSET('EDP Proyectado'!AI35,0,-'Ingreso Proyectado'!$P35))&lt;&gt;0,IF(OFFSET('EDP Proyectado'!AI35,0,-'Ingreso Proyectado'!$P35)+0&lt;=1,0,OFFSET('EDP Proyectado'!AI35,0,-'Ingreso Proyectado'!$P35)+0)),0)</f>
        <v>0</v>
      </c>
      <c r="AI35" s="169">
        <f ca="1">+IFERROR(IF(ISNUMBER(OFFSET('EDP Proyectado'!AJ35,0,-'Ingreso Proyectado'!$P35))&lt;&gt;0,IF(OFFSET('EDP Proyectado'!AJ35,0,-'Ingreso Proyectado'!$P35)+0&lt;=1,0,OFFSET('EDP Proyectado'!AJ35,0,-'Ingreso Proyectado'!$P35)+0)),0)</f>
        <v>0</v>
      </c>
      <c r="AJ35" s="169">
        <f ca="1">+IFERROR(IF(ISNUMBER(OFFSET('EDP Proyectado'!AK35,0,-'Ingreso Proyectado'!$P35))&lt;&gt;0,IF(OFFSET('EDP Proyectado'!AK35,0,-'Ingreso Proyectado'!$P35)+0&lt;=1,0,OFFSET('EDP Proyectado'!AK35,0,-'Ingreso Proyectado'!$P35)+0)),0)</f>
        <v>90733.533333333326</v>
      </c>
      <c r="AK35" s="169">
        <f ca="1">+IFERROR(IF(ISNUMBER(OFFSET('EDP Proyectado'!AL35,0,-'Ingreso Proyectado'!$P35))&lt;&gt;0,IF(OFFSET('EDP Proyectado'!AL35,0,-'Ingreso Proyectado'!$P35)+0&lt;=1,0,OFFSET('EDP Proyectado'!AL35,0,-'Ingreso Proyectado'!$P35)+0)),0)</f>
        <v>0</v>
      </c>
      <c r="AL35" s="169">
        <f ca="1">+IFERROR(IF(ISNUMBER(OFFSET('EDP Proyectado'!AM35,0,-'Ingreso Proyectado'!$P35))&lt;&gt;0,IF(OFFSET('EDP Proyectado'!AM35,0,-'Ingreso Proyectado'!$P35)+0&lt;=1,0,OFFSET('EDP Proyectado'!AM35,0,-'Ingreso Proyectado'!$P35)+0)),0)</f>
        <v>0</v>
      </c>
      <c r="AM35" s="169">
        <f ca="1">+IFERROR(IF(ISNUMBER(OFFSET('EDP Proyectado'!AN35,0,-'Ingreso Proyectado'!$P35))&lt;&gt;0,IF(OFFSET('EDP Proyectado'!AN35,0,-'Ingreso Proyectado'!$P35)+0&lt;=1,0,OFFSET('EDP Proyectado'!AN35,0,-'Ingreso Proyectado'!$P35)+0)),0)</f>
        <v>0</v>
      </c>
      <c r="AN35" s="169">
        <f ca="1">+IFERROR(IF(ISNUMBER(OFFSET('EDP Proyectado'!AO35,0,-'Ingreso Proyectado'!$P35))&lt;&gt;0,IF(OFFSET('EDP Proyectado'!AO35,0,-'Ingreso Proyectado'!$P35)+0&lt;=1,0,OFFSET('EDP Proyectado'!AO35,0,-'Ingreso Proyectado'!$P35)+0)),0)</f>
        <v>0</v>
      </c>
      <c r="AO35" s="169">
        <f ca="1">+IFERROR(IF(ISNUMBER(OFFSET('EDP Proyectado'!AP35,0,-'Ingreso Proyectado'!$P35))&lt;&gt;0,IF(OFFSET('EDP Proyectado'!AP35,0,-'Ingreso Proyectado'!$P35)+0&lt;=1,0,OFFSET('EDP Proyectado'!AP35,0,-'Ingreso Proyectado'!$P35)+0)),0)</f>
        <v>0</v>
      </c>
      <c r="AP35" s="170">
        <f ca="1">+IFERROR(IF(ISNUMBER(OFFSET('EDP Proyectado'!AQ35,0,-'Ingreso Proyectado'!$P35))&lt;&gt;0,IF(OFFSET('EDP Proyectado'!AQ35,0,-'Ingreso Proyectado'!$P35)+0&lt;=1,0,OFFSET('EDP Proyectado'!AQ35,0,-'Ingreso Proyectado'!$P35)+0)),0)</f>
        <v>0</v>
      </c>
    </row>
    <row r="36" spans="3:42" x14ac:dyDescent="0.2">
      <c r="C36" s="117">
        <f>+'Gantt Proyectos'!C104</f>
        <v>8</v>
      </c>
      <c r="D36" s="118" t="str">
        <f>+'Gantt Proyectos'!D104</f>
        <v>Ferrobamba Scoping Study: Escenarios de sensibilidad</v>
      </c>
      <c r="E36" s="118" t="str">
        <f>+'Gantt Proyectos'!E104</f>
        <v>Las Bambas</v>
      </c>
      <c r="F36" s="146" t="str">
        <f>+'Gantt Proyectos'!F104</f>
        <v>Perú</v>
      </c>
      <c r="G36" s="118" t="str">
        <f>+'Gantt Proyectos'!G104</f>
        <v>Chile</v>
      </c>
      <c r="H36" s="118" t="str">
        <f>+'Gantt Proyectos'!H104</f>
        <v>Perú</v>
      </c>
      <c r="I36" s="189">
        <v>0.5</v>
      </c>
      <c r="J36" s="189">
        <f t="shared" si="6"/>
        <v>0.5</v>
      </c>
      <c r="K36" s="118" t="str">
        <f>+'Gantt Proyectos'!I104</f>
        <v>Subterránea</v>
      </c>
      <c r="L36" s="120">
        <f>+'Gantt Proyectos'!J104</f>
        <v>1</v>
      </c>
      <c r="M36" s="118" t="str">
        <f>+'Gantt Proyectos'!K104</f>
        <v>RM</v>
      </c>
      <c r="N36" s="316">
        <f>+'Gantt Proyectos'!L104</f>
        <v>87520</v>
      </c>
      <c r="O36" s="316">
        <f>+'Gantt Proyectos'!M104</f>
        <v>0</v>
      </c>
      <c r="P36" s="118">
        <f>+'Gantt Proyectos'!N104</f>
        <v>2</v>
      </c>
      <c r="Q36" s="119">
        <f>+'Gantt Proyectos'!O104</f>
        <v>45649</v>
      </c>
      <c r="R36" s="119">
        <f>+'Gantt Proyectos'!P104</f>
        <v>45815</v>
      </c>
      <c r="S36" s="118" t="str">
        <f>+'Gantt Proyectos'!R104</f>
        <v>No</v>
      </c>
      <c r="T36" s="118">
        <f>+'Gantt Proyectos'!S104</f>
        <v>0</v>
      </c>
      <c r="U36" s="156">
        <f>+'Gantt Proyectos'!T104</f>
        <v>45649</v>
      </c>
      <c r="V36" s="156">
        <f>+'Gantt Proyectos'!U104</f>
        <v>45815</v>
      </c>
      <c r="W36" s="201">
        <f t="shared" si="7"/>
        <v>6</v>
      </c>
      <c r="X36" s="121">
        <f>+'Gantt Proyectos'!W104</f>
        <v>0.72035794183445179</v>
      </c>
      <c r="Y36" s="122">
        <f>+'Gantt Proyectos'!X104</f>
        <v>0.25</v>
      </c>
      <c r="Z36" s="122">
        <f>+'Gantt Proyectos'!Y104</f>
        <v>0.33</v>
      </c>
      <c r="AA36" s="122">
        <f>+'Gantt Proyectos'!Z104</f>
        <v>0</v>
      </c>
      <c r="AB36" s="122">
        <f>+'Gantt Proyectos'!AA104</f>
        <v>0.5</v>
      </c>
      <c r="AC36" s="122">
        <f>+'Gantt Proyectos'!AB104</f>
        <v>0.5</v>
      </c>
      <c r="AD36" s="152" t="str">
        <f>+'Gantt Proyectos'!AC104</f>
        <v>Estudio Conceptual / LOM</v>
      </c>
      <c r="AE36" s="123" t="str">
        <f>+'Gantt Proyectos'!AD104</f>
        <v>Actual</v>
      </c>
      <c r="AF36" s="124" t="str">
        <f>+'Gantt Proyectos'!AE104</f>
        <v>5. Avance: 75%</v>
      </c>
      <c r="AG36" s="172">
        <v>1</v>
      </c>
      <c r="AH36" s="169">
        <f ca="1">+IFERROR(IF(ISNUMBER(OFFSET('EDP Proyectado'!AI36,0,-'Ingreso Proyectado'!$P36))&lt;&gt;0,IF(OFFSET('EDP Proyectado'!AI36,0,-'Ingreso Proyectado'!$P36)+0&lt;=1,0,OFFSET('EDP Proyectado'!AI36,0,-'Ingreso Proyectado'!$P36)+0)),0)</f>
        <v>0</v>
      </c>
      <c r="AI36" s="169">
        <f ca="1">+IFERROR(IF(ISNUMBER(OFFSET('EDP Proyectado'!AJ36,0,-'Ingreso Proyectado'!$P36))&lt;&gt;0,IF(OFFSET('EDP Proyectado'!AJ36,0,-'Ingreso Proyectado'!$P36)+0&lt;=1,0,OFFSET('EDP Proyectado'!AJ36,0,-'Ingreso Proyectado'!$P36)+0)),0)</f>
        <v>0</v>
      </c>
      <c r="AJ36" s="169">
        <f ca="1">+IFERROR(IF(ISNUMBER(OFFSET('EDP Proyectado'!AK36,0,-'Ingreso Proyectado'!$P36))&lt;&gt;0,IF(OFFSET('EDP Proyectado'!AK36,0,-'Ingreso Proyectado'!$P36)+0&lt;=1,0,OFFSET('EDP Proyectado'!AK36,0,-'Ingreso Proyectado'!$P36)+0)),0)</f>
        <v>14586.666666666666</v>
      </c>
      <c r="AK36" s="169">
        <f ca="1">+IFERROR(IF(ISNUMBER(OFFSET('EDP Proyectado'!AL36,0,-'Ingreso Proyectado'!$P36))&lt;&gt;0,IF(OFFSET('EDP Proyectado'!AL36,0,-'Ingreso Proyectado'!$P36)+0&lt;=1,0,OFFSET('EDP Proyectado'!AL36,0,-'Ingreso Proyectado'!$P36)+0)),0)</f>
        <v>14586.666666666666</v>
      </c>
      <c r="AL36" s="169">
        <f ca="1">+IFERROR(IF(ISNUMBER(OFFSET('EDP Proyectado'!AM36,0,-'Ingreso Proyectado'!$P36))&lt;&gt;0,IF(OFFSET('EDP Proyectado'!AM36,0,-'Ingreso Proyectado'!$P36)+0&lt;=1,0,OFFSET('EDP Proyectado'!AM36,0,-'Ingreso Proyectado'!$P36)+0)),0)</f>
        <v>14586.666666666666</v>
      </c>
      <c r="AM36" s="169">
        <f ca="1">+IFERROR(IF(ISNUMBER(OFFSET('EDP Proyectado'!AN36,0,-'Ingreso Proyectado'!$P36))&lt;&gt;0,IF(OFFSET('EDP Proyectado'!AN36,0,-'Ingreso Proyectado'!$P36)+0&lt;=1,0,OFFSET('EDP Proyectado'!AN36,0,-'Ingreso Proyectado'!$P36)+0)),0)</f>
        <v>0</v>
      </c>
      <c r="AN36" s="169">
        <f ca="1">+IFERROR(IF(ISNUMBER(OFFSET('EDP Proyectado'!AO36,0,-'Ingreso Proyectado'!$P36))&lt;&gt;0,IF(OFFSET('EDP Proyectado'!AO36,0,-'Ingreso Proyectado'!$P36)+0&lt;=1,0,OFFSET('EDP Proyectado'!AO36,0,-'Ingreso Proyectado'!$P36)+0)),0)</f>
        <v>0</v>
      </c>
      <c r="AO36" s="169">
        <f ca="1">+IFERROR(IF(ISNUMBER(OFFSET('EDP Proyectado'!AP36,0,-'Ingreso Proyectado'!$P36))&lt;&gt;0,IF(OFFSET('EDP Proyectado'!AP36,0,-'Ingreso Proyectado'!$P36)+0&lt;=1,0,OFFSET('EDP Proyectado'!AP36,0,-'Ingreso Proyectado'!$P36)+0)),0)</f>
        <v>0</v>
      </c>
      <c r="AP36" s="170">
        <f ca="1">+IFERROR(IF(ISNUMBER(OFFSET('EDP Proyectado'!AQ36,0,-'Ingreso Proyectado'!$P36))&lt;&gt;0,IF(OFFSET('EDP Proyectado'!AQ36,0,-'Ingreso Proyectado'!$P36)+0&lt;=1,0,OFFSET('EDP Proyectado'!AQ36,0,-'Ingreso Proyectado'!$P36)+0)),0)</f>
        <v>0</v>
      </c>
    </row>
    <row r="37" spans="3:42" x14ac:dyDescent="0.2">
      <c r="C37" s="117">
        <f>+'Gantt Proyectos'!C105</f>
        <v>9</v>
      </c>
      <c r="D37" s="118" t="str">
        <f>+'Gantt Proyectos'!D105</f>
        <v>Pre-PFS Twin Metals Birch Lake - Maturi</v>
      </c>
      <c r="E37" s="118" t="str">
        <f>+'Gantt Proyectos'!E105</f>
        <v>Twin Metals</v>
      </c>
      <c r="F37" s="146" t="str">
        <f>+'Gantt Proyectos'!F105</f>
        <v>USA</v>
      </c>
      <c r="G37" s="118" t="str">
        <f>+'Gantt Proyectos'!G105</f>
        <v>Perú</v>
      </c>
      <c r="H37" s="118">
        <f>+'Gantt Proyectos'!H105</f>
        <v>0</v>
      </c>
      <c r="I37" s="189">
        <v>1</v>
      </c>
      <c r="J37" s="189">
        <f t="shared" si="6"/>
        <v>0</v>
      </c>
      <c r="K37" s="118" t="str">
        <f>+'Gantt Proyectos'!I105</f>
        <v>Subterránea</v>
      </c>
      <c r="L37" s="120">
        <f>+'Gantt Proyectos'!J105</f>
        <v>1</v>
      </c>
      <c r="M37" s="118" t="str">
        <f>+'Gantt Proyectos'!K105</f>
        <v>JB</v>
      </c>
      <c r="N37" s="316">
        <f>+'Gantt Proyectos'!L105</f>
        <v>481541</v>
      </c>
      <c r="O37" s="316">
        <f>+'Gantt Proyectos'!M105</f>
        <v>1108886.5899999999</v>
      </c>
      <c r="P37" s="118">
        <f>+'Gantt Proyectos'!N105</f>
        <v>1</v>
      </c>
      <c r="Q37" s="119">
        <f>+'Gantt Proyectos'!O105</f>
        <v>45600</v>
      </c>
      <c r="R37" s="119">
        <f>+'Gantt Proyectos'!P105</f>
        <v>45771</v>
      </c>
      <c r="S37" s="118" t="str">
        <f>+'Gantt Proyectos'!R105</f>
        <v>No</v>
      </c>
      <c r="T37" s="118">
        <f>+'Gantt Proyectos'!S105</f>
        <v>0</v>
      </c>
      <c r="U37" s="156">
        <f>+'Gantt Proyectos'!T105</f>
        <v>45600</v>
      </c>
      <c r="V37" s="156">
        <f>+'Gantt Proyectos'!U105</f>
        <v>45771</v>
      </c>
      <c r="W37" s="201">
        <f t="shared" si="7"/>
        <v>6</v>
      </c>
      <c r="X37" s="121">
        <f>+'Gantt Proyectos'!W105</f>
        <v>2.1588366890380311</v>
      </c>
      <c r="Y37" s="122">
        <f>+'Gantt Proyectos'!X105</f>
        <v>0.5</v>
      </c>
      <c r="Z37" s="122">
        <f>+'Gantt Proyectos'!Y105</f>
        <v>0.5</v>
      </c>
      <c r="AA37" s="122">
        <f>+'Gantt Proyectos'!Z105</f>
        <v>0.75</v>
      </c>
      <c r="AB37" s="122">
        <f>+'Gantt Proyectos'!AA105</f>
        <v>2</v>
      </c>
      <c r="AC37" s="122">
        <f>+'Gantt Proyectos'!AB105</f>
        <v>1</v>
      </c>
      <c r="AD37" s="152" t="str">
        <f>+'Gantt Proyectos'!AC105</f>
        <v>PFS</v>
      </c>
      <c r="AE37" s="123" t="str">
        <f>+'Gantt Proyectos'!AD105</f>
        <v>Actual</v>
      </c>
      <c r="AF37" s="124" t="str">
        <f>+'Gantt Proyectos'!AE105</f>
        <v>5. Avance: 75%</v>
      </c>
      <c r="AG37" s="172">
        <v>1</v>
      </c>
      <c r="AH37" s="169">
        <f ca="1">+IFERROR(IF(ISNUMBER(OFFSET('EDP Proyectado'!AI37,0,-'Ingreso Proyectado'!$P37))&lt;&gt;0,IF(OFFSET('EDP Proyectado'!AI37,0,-'Ingreso Proyectado'!$P37)+0&lt;=1,0,OFFSET('EDP Proyectado'!AI37,0,-'Ingreso Proyectado'!$P37)+0)),0)</f>
        <v>0</v>
      </c>
      <c r="AI37" s="169">
        <f ca="1">+IFERROR(IF(ISNUMBER(OFFSET('EDP Proyectado'!AJ37,0,-'Ingreso Proyectado'!$P37))&lt;&gt;0,IF(OFFSET('EDP Proyectado'!AJ37,0,-'Ingreso Proyectado'!$P37)+0&lt;=1,0,OFFSET('EDP Proyectado'!AJ37,0,-'Ingreso Proyectado'!$P37)+0)),0)</f>
        <v>80256.833333333328</v>
      </c>
      <c r="AJ37" s="169">
        <f ca="1">+IFERROR(IF(ISNUMBER(OFFSET('EDP Proyectado'!AK37,0,-'Ingreso Proyectado'!$P37))&lt;&gt;0,IF(OFFSET('EDP Proyectado'!AK37,0,-'Ingreso Proyectado'!$P37)+0&lt;=1,0,OFFSET('EDP Proyectado'!AK37,0,-'Ingreso Proyectado'!$P37)+0)),0)</f>
        <v>0</v>
      </c>
      <c r="AK37" s="169">
        <f ca="1">+IFERROR(IF(ISNUMBER(OFFSET('EDP Proyectado'!AL37,0,-'Ingreso Proyectado'!$P37))&lt;&gt;0,IF(OFFSET('EDP Proyectado'!AL37,0,-'Ingreso Proyectado'!$P37)+0&lt;=1,0,OFFSET('EDP Proyectado'!AL37,0,-'Ingreso Proyectado'!$P37)+0)),0)</f>
        <v>0</v>
      </c>
      <c r="AL37" s="169">
        <f ca="1">+IFERROR(IF(ISNUMBER(OFFSET('EDP Proyectado'!AM37,0,-'Ingreso Proyectado'!$P37))&lt;&gt;0,IF(OFFSET('EDP Proyectado'!AM37,0,-'Ingreso Proyectado'!$P37)+0&lt;=1,0,OFFSET('EDP Proyectado'!AM37,0,-'Ingreso Proyectado'!$P37)+0)),0)</f>
        <v>0</v>
      </c>
      <c r="AM37" s="169">
        <f ca="1">+IFERROR(IF(ISNUMBER(OFFSET('EDP Proyectado'!AN37,0,-'Ingreso Proyectado'!$P37))&lt;&gt;0,IF(OFFSET('EDP Proyectado'!AN37,0,-'Ingreso Proyectado'!$P37)+0&lt;=1,0,OFFSET('EDP Proyectado'!AN37,0,-'Ingreso Proyectado'!$P37)+0)),0)</f>
        <v>0</v>
      </c>
      <c r="AN37" s="169">
        <f ca="1">+IFERROR(IF(ISNUMBER(OFFSET('EDP Proyectado'!AO37,0,-'Ingreso Proyectado'!$P37))&lt;&gt;0,IF(OFFSET('EDP Proyectado'!AO37,0,-'Ingreso Proyectado'!$P37)+0&lt;=1,0,OFFSET('EDP Proyectado'!AO37,0,-'Ingreso Proyectado'!$P37)+0)),0)</f>
        <v>0</v>
      </c>
      <c r="AO37" s="169">
        <f ca="1">+IFERROR(IF(ISNUMBER(OFFSET('EDP Proyectado'!AP37,0,-'Ingreso Proyectado'!$P37))&lt;&gt;0,IF(OFFSET('EDP Proyectado'!AP37,0,-'Ingreso Proyectado'!$P37)+0&lt;=1,0,OFFSET('EDP Proyectado'!AP37,0,-'Ingreso Proyectado'!$P37)+0)),0)</f>
        <v>0</v>
      </c>
      <c r="AP37" s="170">
        <f ca="1">+IFERROR(IF(ISNUMBER(OFFSET('EDP Proyectado'!AQ37,0,-'Ingreso Proyectado'!$P37))&lt;&gt;0,IF(OFFSET('EDP Proyectado'!AQ37,0,-'Ingreso Proyectado'!$P37)+0&lt;=1,0,OFFSET('EDP Proyectado'!AQ37,0,-'Ingreso Proyectado'!$P37)+0)),0)</f>
        <v>0</v>
      </c>
    </row>
    <row r="38" spans="3:42" x14ac:dyDescent="0.2">
      <c r="C38" s="117">
        <f>+'Gantt Proyectos'!C106</f>
        <v>10</v>
      </c>
      <c r="D38" s="118" t="str">
        <f>+'Gantt Proyectos'!D106</f>
        <v>Análisis Conceptual - Aura UG</v>
      </c>
      <c r="E38" s="118" t="str">
        <f>+'Gantt Proyectos'!E106</f>
        <v>Aura Minerals</v>
      </c>
      <c r="F38" s="146" t="str">
        <f>+'Gantt Proyectos'!F106</f>
        <v>Brasil</v>
      </c>
      <c r="G38" s="118" t="str">
        <f>+'Gantt Proyectos'!G106</f>
        <v>Chile</v>
      </c>
      <c r="H38" s="118">
        <f>+'Gantt Proyectos'!H106</f>
        <v>0</v>
      </c>
      <c r="I38" s="189">
        <v>1</v>
      </c>
      <c r="J38" s="189">
        <f t="shared" si="6"/>
        <v>0</v>
      </c>
      <c r="K38" s="118" t="str">
        <f>+'Gantt Proyectos'!I106</f>
        <v>Subterránea</v>
      </c>
      <c r="L38" s="120">
        <f>+'Gantt Proyectos'!J106</f>
        <v>1</v>
      </c>
      <c r="M38" s="118" t="str">
        <f>+'Gantt Proyectos'!K106</f>
        <v>RMI</v>
      </c>
      <c r="N38" s="316">
        <f>+'Gantt Proyectos'!L106</f>
        <v>310000</v>
      </c>
      <c r="O38" s="316">
        <f>+'Gantt Proyectos'!M106</f>
        <v>86592</v>
      </c>
      <c r="P38" s="118">
        <f>+'Gantt Proyectos'!N106</f>
        <v>1</v>
      </c>
      <c r="Q38" s="119">
        <f>+'Gantt Proyectos'!O106</f>
        <v>45642</v>
      </c>
      <c r="R38" s="119">
        <f>+'Gantt Proyectos'!P106</f>
        <v>45824</v>
      </c>
      <c r="S38" s="118" t="str">
        <f>+'Gantt Proyectos'!R106</f>
        <v>No</v>
      </c>
      <c r="T38" s="118">
        <f>+'Gantt Proyectos'!S106</f>
        <v>0</v>
      </c>
      <c r="U38" s="156">
        <f>+'Gantt Proyectos'!T106</f>
        <v>45642</v>
      </c>
      <c r="V38" s="156">
        <f>+'Gantt Proyectos'!U106</f>
        <v>45824</v>
      </c>
      <c r="W38" s="201">
        <f t="shared" si="7"/>
        <v>6</v>
      </c>
      <c r="X38" s="121">
        <f>+'Gantt Proyectos'!W106</f>
        <v>1.4474272930648768</v>
      </c>
      <c r="Y38" s="122">
        <f>+'Gantt Proyectos'!X106</f>
        <v>0.33</v>
      </c>
      <c r="Z38" s="122">
        <f>+'Gantt Proyectos'!Y106</f>
        <v>0.5</v>
      </c>
      <c r="AA38" s="122">
        <f>+'Gantt Proyectos'!Z106</f>
        <v>0.33</v>
      </c>
      <c r="AB38" s="122">
        <f>+'Gantt Proyectos'!AA106</f>
        <v>1</v>
      </c>
      <c r="AC38" s="122">
        <f>+'Gantt Proyectos'!AB106</f>
        <v>1</v>
      </c>
      <c r="AD38" s="152" t="str">
        <f>+'Gantt Proyectos'!AC106</f>
        <v>Scoping</v>
      </c>
      <c r="AE38" s="123" t="str">
        <f>+'Gantt Proyectos'!AD106</f>
        <v>Actual</v>
      </c>
      <c r="AF38" s="124" t="str">
        <f>+'Gantt Proyectos'!AE106</f>
        <v>5. Avance: 75%</v>
      </c>
      <c r="AG38" s="172">
        <v>1</v>
      </c>
      <c r="AH38" s="169">
        <f ca="1">+IFERROR(IF(ISNUMBER(OFFSET('EDP Proyectado'!AI38,0,-'Ingreso Proyectado'!$P38))&lt;&gt;0,IF(OFFSET('EDP Proyectado'!AI38,0,-'Ingreso Proyectado'!$P38)+0&lt;=1,0,OFFSET('EDP Proyectado'!AI38,0,-'Ingreso Proyectado'!$P38)+0)),0)</f>
        <v>0</v>
      </c>
      <c r="AI38" s="169">
        <f ca="1">+IFERROR(IF(ISNUMBER(OFFSET('EDP Proyectado'!AJ38,0,-'Ingreso Proyectado'!$P38))&lt;&gt;0,IF(OFFSET('EDP Proyectado'!AJ38,0,-'Ingreso Proyectado'!$P38)+0&lt;=1,0,OFFSET('EDP Proyectado'!AJ38,0,-'Ingreso Proyectado'!$P38)+0)),0)</f>
        <v>51666.666666666664</v>
      </c>
      <c r="AJ38" s="169">
        <f ca="1">+IFERROR(IF(ISNUMBER(OFFSET('EDP Proyectado'!AK38,0,-'Ingreso Proyectado'!$P38))&lt;&gt;0,IF(OFFSET('EDP Proyectado'!AK38,0,-'Ingreso Proyectado'!$P38)+0&lt;=1,0,OFFSET('EDP Proyectado'!AK38,0,-'Ingreso Proyectado'!$P38)+0)),0)</f>
        <v>51666.666666666664</v>
      </c>
      <c r="AK38" s="169">
        <f ca="1">+IFERROR(IF(ISNUMBER(OFFSET('EDP Proyectado'!AL38,0,-'Ingreso Proyectado'!$P38))&lt;&gt;0,IF(OFFSET('EDP Proyectado'!AL38,0,-'Ingreso Proyectado'!$P38)+0&lt;=1,0,OFFSET('EDP Proyectado'!AL38,0,-'Ingreso Proyectado'!$P38)+0)),0)</f>
        <v>51666.666666666664</v>
      </c>
      <c r="AL38" s="169">
        <f ca="1">+IFERROR(IF(ISNUMBER(OFFSET('EDP Proyectado'!AM38,0,-'Ingreso Proyectado'!$P38))&lt;&gt;0,IF(OFFSET('EDP Proyectado'!AM38,0,-'Ingreso Proyectado'!$P38)+0&lt;=1,0,OFFSET('EDP Proyectado'!AM38,0,-'Ingreso Proyectado'!$P38)+0)),0)</f>
        <v>0</v>
      </c>
      <c r="AM38" s="169">
        <f ca="1">+IFERROR(IF(ISNUMBER(OFFSET('EDP Proyectado'!AN38,0,-'Ingreso Proyectado'!$P38))&lt;&gt;0,IF(OFFSET('EDP Proyectado'!AN38,0,-'Ingreso Proyectado'!$P38)+0&lt;=1,0,OFFSET('EDP Proyectado'!AN38,0,-'Ingreso Proyectado'!$P38)+0)),0)</f>
        <v>0</v>
      </c>
      <c r="AN38" s="169">
        <f ca="1">+IFERROR(IF(ISNUMBER(OFFSET('EDP Proyectado'!AO38,0,-'Ingreso Proyectado'!$P38))&lt;&gt;0,IF(OFFSET('EDP Proyectado'!AO38,0,-'Ingreso Proyectado'!$P38)+0&lt;=1,0,OFFSET('EDP Proyectado'!AO38,0,-'Ingreso Proyectado'!$P38)+0)),0)</f>
        <v>0</v>
      </c>
      <c r="AO38" s="169">
        <f ca="1">+IFERROR(IF(ISNUMBER(OFFSET('EDP Proyectado'!AP38,0,-'Ingreso Proyectado'!$P38))&lt;&gt;0,IF(OFFSET('EDP Proyectado'!AP38,0,-'Ingreso Proyectado'!$P38)+0&lt;=1,0,OFFSET('EDP Proyectado'!AP38,0,-'Ingreso Proyectado'!$P38)+0)),0)</f>
        <v>0</v>
      </c>
      <c r="AP38" s="170">
        <f ca="1">+IFERROR(IF(ISNUMBER(OFFSET('EDP Proyectado'!AQ38,0,-'Ingreso Proyectado'!$P38))&lt;&gt;0,IF(OFFSET('EDP Proyectado'!AQ38,0,-'Ingreso Proyectado'!$P38)+0&lt;=1,0,OFFSET('EDP Proyectado'!AQ38,0,-'Ingreso Proyectado'!$P38)+0)),0)</f>
        <v>0</v>
      </c>
    </row>
    <row r="39" spans="3:42" x14ac:dyDescent="0.2">
      <c r="C39" s="117">
        <f>+'Gantt Proyectos'!C107</f>
        <v>11</v>
      </c>
      <c r="D39" s="118" t="str">
        <f>+'Gantt Proyectos'!D107</f>
        <v>Los Calatos - Extensión (v3)</v>
      </c>
      <c r="E39" s="118" t="str">
        <f>+'Gantt Proyectos'!E107</f>
        <v>CD Capital</v>
      </c>
      <c r="F39" s="146" t="str">
        <f>+'Gantt Proyectos'!F107</f>
        <v>Perú</v>
      </c>
      <c r="G39" s="118" t="str">
        <f>+'Gantt Proyectos'!G107</f>
        <v>Chile</v>
      </c>
      <c r="H39" s="118" t="str">
        <f>+'Gantt Proyectos'!H107</f>
        <v>Perú</v>
      </c>
      <c r="I39" s="189">
        <v>0.5</v>
      </c>
      <c r="J39" s="189">
        <f t="shared" si="6"/>
        <v>0.5</v>
      </c>
      <c r="K39" s="118" t="str">
        <f>+'Gantt Proyectos'!I107</f>
        <v>Subterránea</v>
      </c>
      <c r="L39" s="120">
        <f>+'Gantt Proyectos'!J107</f>
        <v>1</v>
      </c>
      <c r="M39" s="118" t="str">
        <f>+'Gantt Proyectos'!K107</f>
        <v>AF</v>
      </c>
      <c r="N39" s="316">
        <f>+'Gantt Proyectos'!L107</f>
        <v>295769</v>
      </c>
      <c r="O39" s="316">
        <f>+'Gantt Proyectos'!M107</f>
        <v>11920</v>
      </c>
      <c r="P39" s="118">
        <f>+'Gantt Proyectos'!N107</f>
        <v>1</v>
      </c>
      <c r="Q39" s="119">
        <f>+'Gantt Proyectos'!O107</f>
        <v>45670</v>
      </c>
      <c r="R39" s="119">
        <f>+'Gantt Proyectos'!P107</f>
        <v>45866</v>
      </c>
      <c r="S39" s="118" t="str">
        <f>+'Gantt Proyectos'!R107</f>
        <v>No</v>
      </c>
      <c r="T39" s="118">
        <f>+'Gantt Proyectos'!S107</f>
        <v>0</v>
      </c>
      <c r="U39" s="156">
        <f>+'Gantt Proyectos'!T107</f>
        <v>45670</v>
      </c>
      <c r="V39" s="156">
        <f>+'Gantt Proyectos'!U107</f>
        <v>45866</v>
      </c>
      <c r="W39" s="201">
        <f t="shared" si="7"/>
        <v>7</v>
      </c>
      <c r="X39" s="121">
        <f>+'Gantt Proyectos'!W107</f>
        <v>2.1588366890380311</v>
      </c>
      <c r="Y39" s="122">
        <f>+'Gantt Proyectos'!X107</f>
        <v>0.5</v>
      </c>
      <c r="Z39" s="122">
        <f>+'Gantt Proyectos'!Y107</f>
        <v>0.5</v>
      </c>
      <c r="AA39" s="122">
        <f>+'Gantt Proyectos'!Z107</f>
        <v>0.75</v>
      </c>
      <c r="AB39" s="122">
        <f>+'Gantt Proyectos'!AA107</f>
        <v>2</v>
      </c>
      <c r="AC39" s="122">
        <f>+'Gantt Proyectos'!AB107</f>
        <v>1</v>
      </c>
      <c r="AD39" s="152" t="str">
        <f>+'Gantt Proyectos'!AC107</f>
        <v>PFS</v>
      </c>
      <c r="AE39" s="123" t="str">
        <f>+'Gantt Proyectos'!AD107</f>
        <v>Actual</v>
      </c>
      <c r="AF39" s="124" t="str">
        <f>+'Gantt Proyectos'!AE107</f>
        <v>4. Avance: 50%</v>
      </c>
      <c r="AG39" s="172">
        <v>1</v>
      </c>
      <c r="AH39" s="169">
        <f ca="1">+IFERROR(IF(ISNUMBER(OFFSET('EDP Proyectado'!AI39,0,-'Ingreso Proyectado'!$P39))&lt;&gt;0,IF(OFFSET('EDP Proyectado'!AI39,0,-'Ingreso Proyectado'!$P39)+0&lt;=1,0,OFFSET('EDP Proyectado'!AI39,0,-'Ingreso Proyectado'!$P39)+0)),0)</f>
        <v>0</v>
      </c>
      <c r="AI39" s="169">
        <f ca="1">+IFERROR(IF(ISNUMBER(OFFSET('EDP Proyectado'!AJ39,0,-'Ingreso Proyectado'!$P39))&lt;&gt;0,IF(OFFSET('EDP Proyectado'!AJ39,0,-'Ingreso Proyectado'!$P39)+0&lt;=1,0,OFFSET('EDP Proyectado'!AJ39,0,-'Ingreso Proyectado'!$P39)+0)),0)</f>
        <v>42252.714285714283</v>
      </c>
      <c r="AJ39" s="169">
        <f ca="1">+IFERROR(IF(ISNUMBER(OFFSET('EDP Proyectado'!AK39,0,-'Ingreso Proyectado'!$P39))&lt;&gt;0,IF(OFFSET('EDP Proyectado'!AK39,0,-'Ingreso Proyectado'!$P39)+0&lt;=1,0,OFFSET('EDP Proyectado'!AK39,0,-'Ingreso Proyectado'!$P39)+0)),0)</f>
        <v>42252.714285714283</v>
      </c>
      <c r="AK39" s="169">
        <f ca="1">+IFERROR(IF(ISNUMBER(OFFSET('EDP Proyectado'!AL39,0,-'Ingreso Proyectado'!$P39))&lt;&gt;0,IF(OFFSET('EDP Proyectado'!AL39,0,-'Ingreso Proyectado'!$P39)+0&lt;=1,0,OFFSET('EDP Proyectado'!AL39,0,-'Ingreso Proyectado'!$P39)+0)),0)</f>
        <v>42252.714285714283</v>
      </c>
      <c r="AL39" s="169">
        <f ca="1">+IFERROR(IF(ISNUMBER(OFFSET('EDP Proyectado'!AM39,0,-'Ingreso Proyectado'!$P39))&lt;&gt;0,IF(OFFSET('EDP Proyectado'!AM39,0,-'Ingreso Proyectado'!$P39)+0&lt;=1,0,OFFSET('EDP Proyectado'!AM39,0,-'Ingreso Proyectado'!$P39)+0)),0)</f>
        <v>42252.714285714283</v>
      </c>
      <c r="AM39" s="169">
        <f ca="1">+IFERROR(IF(ISNUMBER(OFFSET('EDP Proyectado'!AN39,0,-'Ingreso Proyectado'!$P39))&lt;&gt;0,IF(OFFSET('EDP Proyectado'!AN39,0,-'Ingreso Proyectado'!$P39)+0&lt;=1,0,OFFSET('EDP Proyectado'!AN39,0,-'Ingreso Proyectado'!$P39)+0)),0)</f>
        <v>0</v>
      </c>
      <c r="AN39" s="169">
        <f ca="1">+IFERROR(IF(ISNUMBER(OFFSET('EDP Proyectado'!AO39,0,-'Ingreso Proyectado'!$P39))&lt;&gt;0,IF(OFFSET('EDP Proyectado'!AO39,0,-'Ingreso Proyectado'!$P39)+0&lt;=1,0,OFFSET('EDP Proyectado'!AO39,0,-'Ingreso Proyectado'!$P39)+0)),0)</f>
        <v>0</v>
      </c>
      <c r="AO39" s="169">
        <f ca="1">+IFERROR(IF(ISNUMBER(OFFSET('EDP Proyectado'!AP39,0,-'Ingreso Proyectado'!$P39))&lt;&gt;0,IF(OFFSET('EDP Proyectado'!AP39,0,-'Ingreso Proyectado'!$P39)+0&lt;=1,0,OFFSET('EDP Proyectado'!AP39,0,-'Ingreso Proyectado'!$P39)+0)),0)</f>
        <v>0</v>
      </c>
      <c r="AP39" s="170">
        <f ca="1">+IFERROR(IF(ISNUMBER(OFFSET('EDP Proyectado'!AQ39,0,-'Ingreso Proyectado'!$P39))&lt;&gt;0,IF(OFFSET('EDP Proyectado'!AQ39,0,-'Ingreso Proyectado'!$P39)+0&lt;=1,0,OFFSET('EDP Proyectado'!AQ39,0,-'Ingreso Proyectado'!$P39)+0)),0)</f>
        <v>0</v>
      </c>
    </row>
    <row r="40" spans="3:42" x14ac:dyDescent="0.2">
      <c r="C40" s="117">
        <f>+'Gantt Proyectos'!C108</f>
        <v>12</v>
      </c>
      <c r="D40" s="118" t="str">
        <f>+'Gantt Proyectos'!D108</f>
        <v>Analisis Innovación Tecnologica Distrito Centinela</v>
      </c>
      <c r="E40" s="118" t="str">
        <f>+'Gantt Proyectos'!E108</f>
        <v>AMSA</v>
      </c>
      <c r="F40" s="146" t="str">
        <f>+'Gantt Proyectos'!F108</f>
        <v>Chile</v>
      </c>
      <c r="G40" s="118" t="str">
        <f>+'Gantt Proyectos'!G108</f>
        <v>Chile</v>
      </c>
      <c r="H40" s="118">
        <f>+'Gantt Proyectos'!H108</f>
        <v>0</v>
      </c>
      <c r="I40" s="189">
        <v>1</v>
      </c>
      <c r="J40" s="189">
        <f t="shared" si="6"/>
        <v>0</v>
      </c>
      <c r="K40" s="118" t="str">
        <f>+'Gantt Proyectos'!I108</f>
        <v>Open Pit</v>
      </c>
      <c r="L40" s="120">
        <f>+'Gantt Proyectos'!J108</f>
        <v>1</v>
      </c>
      <c r="M40" s="118" t="str">
        <f>+'Gantt Proyectos'!K108</f>
        <v>CAR</v>
      </c>
      <c r="N40" s="316">
        <f>+'Gantt Proyectos'!L108</f>
        <v>134445.66999999998</v>
      </c>
      <c r="O40" s="316">
        <f>+'Gantt Proyectos'!M108</f>
        <v>0</v>
      </c>
      <c r="P40" s="118">
        <f>+'Gantt Proyectos'!N108</f>
        <v>1</v>
      </c>
      <c r="Q40" s="119">
        <f>+'Gantt Proyectos'!O108</f>
        <v>45649</v>
      </c>
      <c r="R40" s="119">
        <f>+'Gantt Proyectos'!P108</f>
        <v>46020</v>
      </c>
      <c r="S40" s="118" t="str">
        <f>+'Gantt Proyectos'!R108</f>
        <v>No</v>
      </c>
      <c r="T40" s="118">
        <f>+'Gantt Proyectos'!S108</f>
        <v>0</v>
      </c>
      <c r="U40" s="156">
        <f>+'Gantt Proyectos'!T108</f>
        <v>45649</v>
      </c>
      <c r="V40" s="156">
        <f>+'Gantt Proyectos'!U108</f>
        <v>46020</v>
      </c>
      <c r="W40" s="201">
        <f t="shared" si="7"/>
        <v>13</v>
      </c>
      <c r="X40" s="121">
        <f>+'Gantt Proyectos'!W108</f>
        <v>1.4474272930648768</v>
      </c>
      <c r="Y40" s="122">
        <f>+'Gantt Proyectos'!X108</f>
        <v>0.33</v>
      </c>
      <c r="Z40" s="122">
        <f>+'Gantt Proyectos'!Y108</f>
        <v>0.5</v>
      </c>
      <c r="AA40" s="122">
        <f>+'Gantt Proyectos'!Z108</f>
        <v>0.33</v>
      </c>
      <c r="AB40" s="122">
        <f>+'Gantt Proyectos'!AA108</f>
        <v>1</v>
      </c>
      <c r="AC40" s="122">
        <f>+'Gantt Proyectos'!AB108</f>
        <v>1</v>
      </c>
      <c r="AD40" s="152" t="str">
        <f>+'Gantt Proyectos'!AC108</f>
        <v>Scoping</v>
      </c>
      <c r="AE40" s="123" t="str">
        <f>+'Gantt Proyectos'!AD108</f>
        <v>Actual</v>
      </c>
      <c r="AF40" s="124" t="str">
        <f>+'Gantt Proyectos'!AE108</f>
        <v>4. Avance: 50%</v>
      </c>
      <c r="AG40" s="172">
        <v>1</v>
      </c>
      <c r="AH40" s="169">
        <f ca="1">+IFERROR(IF(ISNUMBER(OFFSET('EDP Proyectado'!AI40,0,-'Ingreso Proyectado'!$P40))&lt;&gt;0,IF(OFFSET('EDP Proyectado'!AI40,0,-'Ingreso Proyectado'!$P40)+0&lt;=1,0,OFFSET('EDP Proyectado'!AI40,0,-'Ingreso Proyectado'!$P40)+0)),0)</f>
        <v>0</v>
      </c>
      <c r="AI40" s="640">
        <f ca="1">+IFERROR(IF(ISNUMBER(OFFSET('EDP Proyectado'!AJ40,0,-'Ingreso Proyectado'!$P40))&lt;&gt;0,IF(OFFSET('EDP Proyectado'!AJ40,0,-'Ingreso Proyectado'!$P40)+0&lt;=1,0,OFFSET('EDP Proyectado'!AJ40,0,-'Ingreso Proyectado'!$P40)+0)),0)</f>
        <v>10341.974615384615</v>
      </c>
      <c r="AJ40" s="640">
        <f ca="1">+IFERROR(IF(ISNUMBER(OFFSET('EDP Proyectado'!AK40,0,-'Ingreso Proyectado'!$P40))&lt;&gt;0,IF(OFFSET('EDP Proyectado'!AK40,0,-'Ingreso Proyectado'!$P40)+0&lt;=1,0,OFFSET('EDP Proyectado'!AK40,0,-'Ingreso Proyectado'!$P40)+0)),0)</f>
        <v>10341.974615384615</v>
      </c>
      <c r="AK40" s="640">
        <f ca="1">+IFERROR(IF(ISNUMBER(OFFSET('EDP Proyectado'!AL40,0,-'Ingreso Proyectado'!$P40))&lt;&gt;0,IF(OFFSET('EDP Proyectado'!AL40,0,-'Ingreso Proyectado'!$P40)+0&lt;=1,0,OFFSET('EDP Proyectado'!AL40,0,-'Ingreso Proyectado'!$P40)+0)),0)</f>
        <v>10341.974615384615</v>
      </c>
      <c r="AL40" s="640">
        <f ca="1">+IFERROR(IF(ISNUMBER(OFFSET('EDP Proyectado'!AM40,0,-'Ingreso Proyectado'!$P40))&lt;&gt;0,IF(OFFSET('EDP Proyectado'!AM40,0,-'Ingreso Proyectado'!$P40)+0&lt;=1,0,OFFSET('EDP Proyectado'!AM40,0,-'Ingreso Proyectado'!$P40)+0)),0)</f>
        <v>10341.974615384615</v>
      </c>
      <c r="AM40" s="640">
        <f ca="1">+IFERROR(IF(ISNUMBER(OFFSET('EDP Proyectado'!AN40,0,-'Ingreso Proyectado'!$P40))&lt;&gt;0,IF(OFFSET('EDP Proyectado'!AN40,0,-'Ingreso Proyectado'!$P40)+0&lt;=1,0,OFFSET('EDP Proyectado'!AN40,0,-'Ingreso Proyectado'!$P40)+0)),0)</f>
        <v>10341.974615384615</v>
      </c>
      <c r="AN40" s="640">
        <f ca="1">+IFERROR(IF(ISNUMBER(OFFSET('EDP Proyectado'!AO40,0,-'Ingreso Proyectado'!$P40))&lt;&gt;0,IF(OFFSET('EDP Proyectado'!AO40,0,-'Ingreso Proyectado'!$P40)+0&lt;=1,0,OFFSET('EDP Proyectado'!AO40,0,-'Ingreso Proyectado'!$P40)+0)),0)</f>
        <v>10341.974615384615</v>
      </c>
      <c r="AO40" s="640">
        <f ca="1">+IFERROR(IF(ISNUMBER(OFFSET('EDP Proyectado'!AP40,0,-'Ingreso Proyectado'!$P40))&lt;&gt;0,IF(OFFSET('EDP Proyectado'!AP40,0,-'Ingreso Proyectado'!$P40)+0&lt;=1,0,OFFSET('EDP Proyectado'!AP40,0,-'Ingreso Proyectado'!$P40)+0)),0)</f>
        <v>10341.974615384615</v>
      </c>
      <c r="AP40" s="641">
        <f ca="1">+IFERROR(IF(ISNUMBER(OFFSET('EDP Proyectado'!AQ40,0,-'Ingreso Proyectado'!$P40))&lt;&gt;0,IF(OFFSET('EDP Proyectado'!AQ40,0,-'Ingreso Proyectado'!$P40)+0&lt;=1,0,OFFSET('EDP Proyectado'!AQ40,0,-'Ingreso Proyectado'!$P40)+0)),0)</f>
        <v>10341.974615384615</v>
      </c>
    </row>
    <row r="41" spans="3:42" x14ac:dyDescent="0.2">
      <c r="C41" s="117">
        <f>+'Gantt Proyectos'!C109</f>
        <v>13</v>
      </c>
      <c r="D41" s="118" t="str">
        <f>+'Gantt Proyectos'!D109</f>
        <v>Cerro Colorado: Diseño Cierre de Botaderos</v>
      </c>
      <c r="E41" s="118" t="str">
        <f>+'Gantt Proyectos'!E109</f>
        <v>BHP</v>
      </c>
      <c r="F41" s="146" t="str">
        <f>+'Gantt Proyectos'!F109</f>
        <v>Chile</v>
      </c>
      <c r="G41" s="118" t="str">
        <f>+'Gantt Proyectos'!G109</f>
        <v>Chile</v>
      </c>
      <c r="H41" s="118">
        <f>+'Gantt Proyectos'!H109</f>
        <v>0</v>
      </c>
      <c r="I41" s="189">
        <v>1</v>
      </c>
      <c r="J41" s="189">
        <f t="shared" si="6"/>
        <v>0</v>
      </c>
      <c r="K41" s="118" t="str">
        <f>+'Gantt Proyectos'!I109</f>
        <v>Open Pit</v>
      </c>
      <c r="L41" s="120">
        <f>+'Gantt Proyectos'!J109</f>
        <v>1</v>
      </c>
      <c r="M41" s="118" t="str">
        <f>+'Gantt Proyectos'!K109</f>
        <v>RM</v>
      </c>
      <c r="N41" s="316">
        <f>+'Gantt Proyectos'!L109</f>
        <v>904853</v>
      </c>
      <c r="O41" s="316">
        <f>+'Gantt Proyectos'!M109</f>
        <v>469229.57888888888</v>
      </c>
      <c r="P41" s="118">
        <f>+'Gantt Proyectos'!N109</f>
        <v>1</v>
      </c>
      <c r="Q41" s="119">
        <f>+'Gantt Proyectos'!O109</f>
        <v>45649</v>
      </c>
      <c r="R41" s="119">
        <f>+'Gantt Proyectos'!P109</f>
        <v>45831</v>
      </c>
      <c r="S41" s="118" t="str">
        <f>+'Gantt Proyectos'!R109</f>
        <v>No</v>
      </c>
      <c r="T41" s="118">
        <f>+'Gantt Proyectos'!S109</f>
        <v>0</v>
      </c>
      <c r="U41" s="156">
        <f>+'Gantt Proyectos'!T109</f>
        <v>45649</v>
      </c>
      <c r="V41" s="156">
        <f>+'Gantt Proyectos'!U109</f>
        <v>45831</v>
      </c>
      <c r="W41" s="201">
        <f t="shared" si="7"/>
        <v>6</v>
      </c>
      <c r="X41" s="121">
        <f>+'Gantt Proyectos'!W109</f>
        <v>2.5503355704697985</v>
      </c>
      <c r="Y41" s="122">
        <f>+'Gantt Proyectos'!X109</f>
        <v>0.5</v>
      </c>
      <c r="Z41" s="122">
        <f>+'Gantt Proyectos'!Y109</f>
        <v>0.67</v>
      </c>
      <c r="AA41" s="122">
        <f>+'Gantt Proyectos'!Z109</f>
        <v>1</v>
      </c>
      <c r="AB41" s="122">
        <f>+'Gantt Proyectos'!AA109</f>
        <v>2.5</v>
      </c>
      <c r="AC41" s="122">
        <f>+'Gantt Proyectos'!AB109</f>
        <v>1</v>
      </c>
      <c r="AD41" s="152" t="str">
        <f>+'Gantt Proyectos'!AC109</f>
        <v>FS e Ing. Basica</v>
      </c>
      <c r="AE41" s="123" t="str">
        <f>+'Gantt Proyectos'!AD109</f>
        <v>Actual</v>
      </c>
      <c r="AF41" s="124" t="str">
        <f>+'Gantt Proyectos'!AE109</f>
        <v>4. Avance: 50%</v>
      </c>
      <c r="AG41" s="172">
        <v>1</v>
      </c>
      <c r="AH41" s="169">
        <f ca="1">+IFERROR(IF(ISNUMBER(OFFSET('EDP Proyectado'!AI41,0,-'Ingreso Proyectado'!$P41))&lt;&gt;0,IF(OFFSET('EDP Proyectado'!AI41,0,-'Ingreso Proyectado'!$P41)+0&lt;=1,0,OFFSET('EDP Proyectado'!AI41,0,-'Ingreso Proyectado'!$P41)+0)),0)</f>
        <v>0</v>
      </c>
      <c r="AI41" s="169">
        <f ca="1">+IFERROR(IF(ISNUMBER(OFFSET('EDP Proyectado'!AJ41,0,-'Ingreso Proyectado'!$P41))&lt;&gt;0,IF(OFFSET('EDP Proyectado'!AJ41,0,-'Ingreso Proyectado'!$P41)+0&lt;=1,0,OFFSET('EDP Proyectado'!AJ41,0,-'Ingreso Proyectado'!$P41)+0)),0)</f>
        <v>150808.83333333331</v>
      </c>
      <c r="AJ41" s="169">
        <f ca="1">+IFERROR(IF(ISNUMBER(OFFSET('EDP Proyectado'!AK41,0,-'Ingreso Proyectado'!$P41))&lt;&gt;0,IF(OFFSET('EDP Proyectado'!AK41,0,-'Ingreso Proyectado'!$P41)+0&lt;=1,0,OFFSET('EDP Proyectado'!AK41,0,-'Ingreso Proyectado'!$P41)+0)),0)</f>
        <v>150808.83333333331</v>
      </c>
      <c r="AK41" s="169">
        <f ca="1">+IFERROR(IF(ISNUMBER(OFFSET('EDP Proyectado'!AL41,0,-'Ingreso Proyectado'!$P41))&lt;&gt;0,IF(OFFSET('EDP Proyectado'!AL41,0,-'Ingreso Proyectado'!$P41)+0&lt;=1,0,OFFSET('EDP Proyectado'!AL41,0,-'Ingreso Proyectado'!$P41)+0)),0)</f>
        <v>150808.83333333331</v>
      </c>
      <c r="AL41" s="169">
        <f ca="1">+IFERROR(IF(ISNUMBER(OFFSET('EDP Proyectado'!AM41,0,-'Ingreso Proyectado'!$P41))&lt;&gt;0,IF(OFFSET('EDP Proyectado'!AM41,0,-'Ingreso Proyectado'!$P41)+0&lt;=1,0,OFFSET('EDP Proyectado'!AM41,0,-'Ingreso Proyectado'!$P41)+0)),0)</f>
        <v>0</v>
      </c>
      <c r="AM41" s="169">
        <f ca="1">+IFERROR(IF(ISNUMBER(OFFSET('EDP Proyectado'!AN41,0,-'Ingreso Proyectado'!$P41))&lt;&gt;0,IF(OFFSET('EDP Proyectado'!AN41,0,-'Ingreso Proyectado'!$P41)+0&lt;=1,0,OFFSET('EDP Proyectado'!AN41,0,-'Ingreso Proyectado'!$P41)+0)),0)</f>
        <v>0</v>
      </c>
      <c r="AN41" s="169">
        <f ca="1">+IFERROR(IF(ISNUMBER(OFFSET('EDP Proyectado'!AO41,0,-'Ingreso Proyectado'!$P41))&lt;&gt;0,IF(OFFSET('EDP Proyectado'!AO41,0,-'Ingreso Proyectado'!$P41)+0&lt;=1,0,OFFSET('EDP Proyectado'!AO41,0,-'Ingreso Proyectado'!$P41)+0)),0)</f>
        <v>0</v>
      </c>
      <c r="AO41" s="169">
        <f ca="1">+IFERROR(IF(ISNUMBER(OFFSET('EDP Proyectado'!AP41,0,-'Ingreso Proyectado'!$P41))&lt;&gt;0,IF(OFFSET('EDP Proyectado'!AP41,0,-'Ingreso Proyectado'!$P41)+0&lt;=1,0,OFFSET('EDP Proyectado'!AP41,0,-'Ingreso Proyectado'!$P41)+0)),0)</f>
        <v>0</v>
      </c>
      <c r="AP41" s="170">
        <f ca="1">+IFERROR(IF(ISNUMBER(OFFSET('EDP Proyectado'!AQ41,0,-'Ingreso Proyectado'!$P41))&lt;&gt;0,IF(OFFSET('EDP Proyectado'!AQ41,0,-'Ingreso Proyectado'!$P41)+0&lt;=1,0,OFFSET('EDP Proyectado'!AQ41,0,-'Ingreso Proyectado'!$P41)+0)),0)</f>
        <v>0</v>
      </c>
    </row>
    <row r="42" spans="3:42" x14ac:dyDescent="0.2">
      <c r="C42" s="117">
        <f>+'Gantt Proyectos'!C110</f>
        <v>14</v>
      </c>
      <c r="D42" s="118" t="str">
        <f>+'Gantt Proyectos'!D110</f>
        <v>Analisis de Productividad Los Bronces</v>
      </c>
      <c r="E42" s="118" t="str">
        <f>+'Gantt Proyectos'!E110</f>
        <v>AngloAmerican</v>
      </c>
      <c r="F42" s="146" t="str">
        <f>+'Gantt Proyectos'!F110</f>
        <v>Chile</v>
      </c>
      <c r="G42" s="118" t="str">
        <f>+'Gantt Proyectos'!G110</f>
        <v>Chile</v>
      </c>
      <c r="H42" s="118">
        <f>+'Gantt Proyectos'!H110</f>
        <v>0</v>
      </c>
      <c r="I42" s="189">
        <v>1</v>
      </c>
      <c r="J42" s="189">
        <f t="shared" si="6"/>
        <v>0</v>
      </c>
      <c r="K42" s="118" t="str">
        <f>+'Gantt Proyectos'!I110</f>
        <v>Open Pit</v>
      </c>
      <c r="L42" s="120">
        <f>+'Gantt Proyectos'!J110</f>
        <v>1</v>
      </c>
      <c r="M42" s="118" t="str">
        <f>+'Gantt Proyectos'!K110</f>
        <v>FR</v>
      </c>
      <c r="N42" s="316">
        <f>+'Gantt Proyectos'!L110</f>
        <v>62417</v>
      </c>
      <c r="O42" s="316">
        <f>+'Gantt Proyectos'!M110</f>
        <v>0</v>
      </c>
      <c r="P42" s="118">
        <f>+'Gantt Proyectos'!N110</f>
        <v>2</v>
      </c>
      <c r="Q42" s="119">
        <f>+'Gantt Proyectos'!O110</f>
        <v>45719</v>
      </c>
      <c r="R42" s="119">
        <f>+'Gantt Proyectos'!P110</f>
        <v>45782</v>
      </c>
      <c r="S42" s="118" t="str">
        <f>+'Gantt Proyectos'!R110</f>
        <v>No</v>
      </c>
      <c r="T42" s="118">
        <f>+'Gantt Proyectos'!S110</f>
        <v>0</v>
      </c>
      <c r="U42" s="156">
        <f>+'Gantt Proyectos'!T110</f>
        <v>45719</v>
      </c>
      <c r="V42" s="156">
        <f>+'Gantt Proyectos'!U110</f>
        <v>45782</v>
      </c>
      <c r="W42" s="201">
        <f t="shared" si="7"/>
        <v>3</v>
      </c>
      <c r="X42" s="121">
        <f>+'Gantt Proyectos'!W110</f>
        <v>0.72035794183445179</v>
      </c>
      <c r="Y42" s="122">
        <f>+'Gantt Proyectos'!X110</f>
        <v>0.25</v>
      </c>
      <c r="Z42" s="122">
        <f>+'Gantt Proyectos'!Y110</f>
        <v>0.33</v>
      </c>
      <c r="AA42" s="122">
        <f>+'Gantt Proyectos'!Z110</f>
        <v>0</v>
      </c>
      <c r="AB42" s="122">
        <f>+'Gantt Proyectos'!AA110</f>
        <v>0.5</v>
      </c>
      <c r="AC42" s="122">
        <f>+'Gantt Proyectos'!AB110</f>
        <v>0.5</v>
      </c>
      <c r="AD42" s="152" t="str">
        <f>+'Gantt Proyectos'!AC110</f>
        <v>Confiabilidad Planes</v>
      </c>
      <c r="AE42" s="123" t="str">
        <f>+'Gantt Proyectos'!AD110</f>
        <v>Actual</v>
      </c>
      <c r="AF42" s="124" t="str">
        <f>+'Gantt Proyectos'!AE110</f>
        <v>4. Avance: 50%</v>
      </c>
      <c r="AG42" s="172">
        <v>1</v>
      </c>
      <c r="AH42" s="169">
        <f ca="1">+IFERROR(IF(ISNUMBER(OFFSET('EDP Proyectado'!AI42,0,-'Ingreso Proyectado'!$P42))&lt;&gt;0,IF(OFFSET('EDP Proyectado'!AI42,0,-'Ingreso Proyectado'!$P42)+0&lt;=1,0,OFFSET('EDP Proyectado'!AI42,0,-'Ingreso Proyectado'!$P42)+0)),0)</f>
        <v>0</v>
      </c>
      <c r="AI42" s="169">
        <f ca="1">+IFERROR(IF(ISNUMBER(OFFSET('EDP Proyectado'!AJ42,0,-'Ingreso Proyectado'!$P42))&lt;&gt;0,IF(OFFSET('EDP Proyectado'!AJ42,0,-'Ingreso Proyectado'!$P42)+0&lt;=1,0,OFFSET('EDP Proyectado'!AJ42,0,-'Ingreso Proyectado'!$P42)+0)),0)</f>
        <v>0</v>
      </c>
      <c r="AJ42" s="169">
        <f ca="1">+IFERROR(IF(ISNUMBER(OFFSET('EDP Proyectado'!AK42,0,-'Ingreso Proyectado'!$P42))&lt;&gt;0,IF(OFFSET('EDP Proyectado'!AK42,0,-'Ingreso Proyectado'!$P42)+0&lt;=1,0,OFFSET('EDP Proyectado'!AK42,0,-'Ingreso Proyectado'!$P42)+0)),0)</f>
        <v>20805.666666666664</v>
      </c>
      <c r="AK42" s="169">
        <f ca="1">+IFERROR(IF(ISNUMBER(OFFSET('EDP Proyectado'!AL42,0,-'Ingreso Proyectado'!$P42))&lt;&gt;0,IF(OFFSET('EDP Proyectado'!AL42,0,-'Ingreso Proyectado'!$P42)+0&lt;=1,0,OFFSET('EDP Proyectado'!AL42,0,-'Ingreso Proyectado'!$P42)+0)),0)</f>
        <v>20805.666666666664</v>
      </c>
      <c r="AL42" s="169">
        <f ca="1">+IFERROR(IF(ISNUMBER(OFFSET('EDP Proyectado'!AM42,0,-'Ingreso Proyectado'!$P42))&lt;&gt;0,IF(OFFSET('EDP Proyectado'!AM42,0,-'Ingreso Proyectado'!$P42)+0&lt;=1,0,OFFSET('EDP Proyectado'!AM42,0,-'Ingreso Proyectado'!$P42)+0)),0)</f>
        <v>0</v>
      </c>
      <c r="AM42" s="169">
        <f ca="1">+IFERROR(IF(ISNUMBER(OFFSET('EDP Proyectado'!AN42,0,-'Ingreso Proyectado'!$P42))&lt;&gt;0,IF(OFFSET('EDP Proyectado'!AN42,0,-'Ingreso Proyectado'!$P42)+0&lt;=1,0,OFFSET('EDP Proyectado'!AN42,0,-'Ingreso Proyectado'!$P42)+0)),0)</f>
        <v>0</v>
      </c>
      <c r="AN42" s="169">
        <f ca="1">+IFERROR(IF(ISNUMBER(OFFSET('EDP Proyectado'!AO42,0,-'Ingreso Proyectado'!$P42))&lt;&gt;0,IF(OFFSET('EDP Proyectado'!AO42,0,-'Ingreso Proyectado'!$P42)+0&lt;=1,0,OFFSET('EDP Proyectado'!AO42,0,-'Ingreso Proyectado'!$P42)+0)),0)</f>
        <v>0</v>
      </c>
      <c r="AO42" s="169">
        <f ca="1">+IFERROR(IF(ISNUMBER(OFFSET('EDP Proyectado'!AP42,0,-'Ingreso Proyectado'!$P42))&lt;&gt;0,IF(OFFSET('EDP Proyectado'!AP42,0,-'Ingreso Proyectado'!$P42)+0&lt;=1,0,OFFSET('EDP Proyectado'!AP42,0,-'Ingreso Proyectado'!$P42)+0)),0)</f>
        <v>0</v>
      </c>
      <c r="AP42" s="170">
        <f ca="1">+IFERROR(IF(ISNUMBER(OFFSET('EDP Proyectado'!AQ42,0,-'Ingreso Proyectado'!$P42))&lt;&gt;0,IF(OFFSET('EDP Proyectado'!AQ42,0,-'Ingreso Proyectado'!$P42)+0&lt;=1,0,OFFSET('EDP Proyectado'!AQ42,0,-'Ingreso Proyectado'!$P42)+0)),0)</f>
        <v>0</v>
      </c>
    </row>
    <row r="43" spans="3:42" x14ac:dyDescent="0.2">
      <c r="C43" s="117">
        <f>+'Gantt Proyectos'!C111</f>
        <v>15</v>
      </c>
      <c r="D43" s="118" t="str">
        <f>+'Gantt Proyectos'!D111</f>
        <v>Ingenieria implementacion HDD Los Bronces</v>
      </c>
      <c r="E43" s="118" t="str">
        <f>+'Gantt Proyectos'!E111</f>
        <v>AngloAmerican</v>
      </c>
      <c r="F43" s="146" t="str">
        <f>+'Gantt Proyectos'!F111</f>
        <v>Chile</v>
      </c>
      <c r="G43" s="118" t="str">
        <f>+'Gantt Proyectos'!G111</f>
        <v>Chile</v>
      </c>
      <c r="H43" s="118">
        <f>+'Gantt Proyectos'!H111</f>
        <v>0</v>
      </c>
      <c r="I43" s="189">
        <v>1</v>
      </c>
      <c r="J43" s="189">
        <f t="shared" si="6"/>
        <v>0</v>
      </c>
      <c r="K43" s="118" t="str">
        <f>+'Gantt Proyectos'!I111</f>
        <v>Open Pit</v>
      </c>
      <c r="L43" s="120">
        <f>+'Gantt Proyectos'!J111</f>
        <v>1</v>
      </c>
      <c r="M43" s="118" t="str">
        <f>+'Gantt Proyectos'!K111</f>
        <v>RM</v>
      </c>
      <c r="N43" s="316">
        <f>+'Gantt Proyectos'!L111</f>
        <v>183430</v>
      </c>
      <c r="O43" s="316">
        <f>+'Gantt Proyectos'!M111</f>
        <v>0</v>
      </c>
      <c r="P43" s="118">
        <f>+'Gantt Proyectos'!N111</f>
        <v>1</v>
      </c>
      <c r="Q43" s="119">
        <f>+'Gantt Proyectos'!O111</f>
        <v>45719</v>
      </c>
      <c r="R43" s="119">
        <f>+'Gantt Proyectos'!P111</f>
        <v>45838</v>
      </c>
      <c r="S43" s="118" t="str">
        <f>+'Gantt Proyectos'!R111</f>
        <v>No</v>
      </c>
      <c r="T43" s="118">
        <f>+'Gantt Proyectos'!S111</f>
        <v>0</v>
      </c>
      <c r="U43" s="156">
        <f>+'Gantt Proyectos'!T111</f>
        <v>45719</v>
      </c>
      <c r="V43" s="156">
        <f>+'Gantt Proyectos'!U111</f>
        <v>45838</v>
      </c>
      <c r="W43" s="201">
        <f t="shared" si="7"/>
        <v>4</v>
      </c>
      <c r="X43" s="121">
        <f>+'Gantt Proyectos'!W111</f>
        <v>0.72035794183445179</v>
      </c>
      <c r="Y43" s="122">
        <f>+'Gantt Proyectos'!X111</f>
        <v>0.25</v>
      </c>
      <c r="Z43" s="122">
        <f>+'Gantt Proyectos'!Y111</f>
        <v>0.33</v>
      </c>
      <c r="AA43" s="122">
        <f>+'Gantt Proyectos'!Z111</f>
        <v>0</v>
      </c>
      <c r="AB43" s="122">
        <f>+'Gantt Proyectos'!AA111</f>
        <v>0.5</v>
      </c>
      <c r="AC43" s="122">
        <f>+'Gantt Proyectos'!AB111</f>
        <v>0.5</v>
      </c>
      <c r="AD43" s="152" t="str">
        <f>+'Gantt Proyectos'!AC111</f>
        <v>Estudio Conceptual / LOM</v>
      </c>
      <c r="AE43" s="123" t="str">
        <f>+'Gantt Proyectos'!AD111</f>
        <v>Actual</v>
      </c>
      <c r="AF43" s="124" t="str">
        <f>+'Gantt Proyectos'!AE111</f>
        <v>4. Avance: 50%</v>
      </c>
      <c r="AG43" s="172">
        <v>1</v>
      </c>
      <c r="AH43" s="169">
        <f ca="1">+IFERROR(IF(ISNUMBER(OFFSET('EDP Proyectado'!AI43,0,-'Ingreso Proyectado'!$P43))&lt;&gt;0,IF(OFFSET('EDP Proyectado'!AI43,0,-'Ingreso Proyectado'!$P43)+0&lt;=1,0,OFFSET('EDP Proyectado'!AI43,0,-'Ingreso Proyectado'!$P43)+0)),0)</f>
        <v>0</v>
      </c>
      <c r="AI43" s="169">
        <f ca="1">+IFERROR(IF(ISNUMBER(OFFSET('EDP Proyectado'!AJ43,0,-'Ingreso Proyectado'!$P43))&lt;&gt;0,IF(OFFSET('EDP Proyectado'!AJ43,0,-'Ingreso Proyectado'!$P43)+0&lt;=1,0,OFFSET('EDP Proyectado'!AJ43,0,-'Ingreso Proyectado'!$P43)+0)),0)</f>
        <v>45857.5</v>
      </c>
      <c r="AJ43" s="169">
        <f ca="1">+IFERROR(IF(ISNUMBER(OFFSET('EDP Proyectado'!AK43,0,-'Ingreso Proyectado'!$P43))&lt;&gt;0,IF(OFFSET('EDP Proyectado'!AK43,0,-'Ingreso Proyectado'!$P43)+0&lt;=1,0,OFFSET('EDP Proyectado'!AK43,0,-'Ingreso Proyectado'!$P43)+0)),0)</f>
        <v>45857.5</v>
      </c>
      <c r="AK43" s="169">
        <f ca="1">+IFERROR(IF(ISNUMBER(OFFSET('EDP Proyectado'!AL43,0,-'Ingreso Proyectado'!$P43))&lt;&gt;0,IF(OFFSET('EDP Proyectado'!AL43,0,-'Ingreso Proyectado'!$P43)+0&lt;=1,0,OFFSET('EDP Proyectado'!AL43,0,-'Ingreso Proyectado'!$P43)+0)),0)</f>
        <v>45857.5</v>
      </c>
      <c r="AL43" s="169">
        <f ca="1">+IFERROR(IF(ISNUMBER(OFFSET('EDP Proyectado'!AM43,0,-'Ingreso Proyectado'!$P43))&lt;&gt;0,IF(OFFSET('EDP Proyectado'!AM43,0,-'Ingreso Proyectado'!$P43)+0&lt;=1,0,OFFSET('EDP Proyectado'!AM43,0,-'Ingreso Proyectado'!$P43)+0)),0)</f>
        <v>0</v>
      </c>
      <c r="AM43" s="169">
        <f ca="1">+IFERROR(IF(ISNUMBER(OFFSET('EDP Proyectado'!AN43,0,-'Ingreso Proyectado'!$P43))&lt;&gt;0,IF(OFFSET('EDP Proyectado'!AN43,0,-'Ingreso Proyectado'!$P43)+0&lt;=1,0,OFFSET('EDP Proyectado'!AN43,0,-'Ingreso Proyectado'!$P43)+0)),0)</f>
        <v>0</v>
      </c>
      <c r="AN43" s="169">
        <f ca="1">+IFERROR(IF(ISNUMBER(OFFSET('EDP Proyectado'!AO43,0,-'Ingreso Proyectado'!$P43))&lt;&gt;0,IF(OFFSET('EDP Proyectado'!AO43,0,-'Ingreso Proyectado'!$P43)+0&lt;=1,0,OFFSET('EDP Proyectado'!AO43,0,-'Ingreso Proyectado'!$P43)+0)),0)</f>
        <v>0</v>
      </c>
      <c r="AO43" s="169">
        <f ca="1">+IFERROR(IF(ISNUMBER(OFFSET('EDP Proyectado'!AP43,0,-'Ingreso Proyectado'!$P43))&lt;&gt;0,IF(OFFSET('EDP Proyectado'!AP43,0,-'Ingreso Proyectado'!$P43)+0&lt;=1,0,OFFSET('EDP Proyectado'!AP43,0,-'Ingreso Proyectado'!$P43)+0)),0)</f>
        <v>0</v>
      </c>
      <c r="AP43" s="170">
        <f ca="1">+IFERROR(IF(ISNUMBER(OFFSET('EDP Proyectado'!AQ43,0,-'Ingreso Proyectado'!$P43))&lt;&gt;0,IF(OFFSET('EDP Proyectado'!AQ43,0,-'Ingreso Proyectado'!$P43)+0&lt;=1,0,OFFSET('EDP Proyectado'!AQ43,0,-'Ingreso Proyectado'!$P43)+0)),0)</f>
        <v>0</v>
      </c>
    </row>
    <row r="44" spans="3:42" x14ac:dyDescent="0.2">
      <c r="C44" s="117">
        <f>+'Gantt Proyectos'!C112</f>
        <v>16</v>
      </c>
      <c r="D44" s="118" t="str">
        <f>+'Gantt Proyectos'!D112</f>
        <v>V MEIA San Rafael</v>
      </c>
      <c r="E44" s="118" t="str">
        <f>+'Gantt Proyectos'!E112</f>
        <v>Minsur</v>
      </c>
      <c r="F44" s="146" t="str">
        <f>+'Gantt Proyectos'!F112</f>
        <v>Perú</v>
      </c>
      <c r="G44" s="118" t="str">
        <f>+'Gantt Proyectos'!G112</f>
        <v>Chile</v>
      </c>
      <c r="H44" s="118" t="str">
        <f>+'Gantt Proyectos'!H112</f>
        <v>Perú</v>
      </c>
      <c r="I44" s="189">
        <v>0.5</v>
      </c>
      <c r="J44" s="189">
        <f t="shared" si="6"/>
        <v>0.5</v>
      </c>
      <c r="K44" s="118" t="str">
        <f>+'Gantt Proyectos'!I112</f>
        <v>Subterránea</v>
      </c>
      <c r="L44" s="120">
        <f>+'Gantt Proyectos'!J112</f>
        <v>1</v>
      </c>
      <c r="M44" s="118" t="str">
        <f>+'Gantt Proyectos'!K112</f>
        <v>RM</v>
      </c>
      <c r="N44" s="316">
        <f>+'Gantt Proyectos'!L112</f>
        <v>248031</v>
      </c>
      <c r="O44" s="316">
        <f>+'Gantt Proyectos'!M112</f>
        <v>0</v>
      </c>
      <c r="P44" s="118">
        <f>+'Gantt Proyectos'!N112</f>
        <v>2</v>
      </c>
      <c r="Q44" s="119">
        <f>+'Gantt Proyectos'!O112</f>
        <v>45691</v>
      </c>
      <c r="R44" s="119">
        <f>+'Gantt Proyectos'!P112</f>
        <v>45789</v>
      </c>
      <c r="S44" s="118" t="str">
        <f>+'Gantt Proyectos'!R112</f>
        <v>No</v>
      </c>
      <c r="T44" s="118">
        <f>+'Gantt Proyectos'!S112</f>
        <v>0</v>
      </c>
      <c r="U44" s="156">
        <f>+'Gantt Proyectos'!T112</f>
        <v>45691</v>
      </c>
      <c r="V44" s="156">
        <f>+'Gantt Proyectos'!U112</f>
        <v>45789</v>
      </c>
      <c r="W44" s="201">
        <f t="shared" si="7"/>
        <v>4</v>
      </c>
      <c r="X44" s="121">
        <f>+'Gantt Proyectos'!W112</f>
        <v>0.97986577181208034</v>
      </c>
      <c r="Y44" s="122">
        <f>+'Gantt Proyectos'!X112</f>
        <v>0.33</v>
      </c>
      <c r="Z44" s="122">
        <f>+'Gantt Proyectos'!Y112</f>
        <v>0.33</v>
      </c>
      <c r="AA44" s="122">
        <f>+'Gantt Proyectos'!Z112</f>
        <v>0.5</v>
      </c>
      <c r="AB44" s="122">
        <f>+'Gantt Proyectos'!AA112</f>
        <v>1</v>
      </c>
      <c r="AC44" s="122">
        <f>+'Gantt Proyectos'!AB112</f>
        <v>0</v>
      </c>
      <c r="AD44" s="152" t="str">
        <f>+'Gantt Proyectos'!AC112</f>
        <v>Permisos / MEIA</v>
      </c>
      <c r="AE44" s="123" t="str">
        <f>+'Gantt Proyectos'!AD112</f>
        <v>Actual</v>
      </c>
      <c r="AF44" s="124" t="str">
        <f>+'Gantt Proyectos'!AE112</f>
        <v>3. Avance: 25%</v>
      </c>
      <c r="AG44" s="172">
        <v>1</v>
      </c>
      <c r="AH44" s="169">
        <f ca="1">+IFERROR(IF(ISNUMBER(OFFSET('EDP Proyectado'!AI44,0,-'Ingreso Proyectado'!$P44))&lt;&gt;0,IF(OFFSET('EDP Proyectado'!AI44,0,-'Ingreso Proyectado'!$P44)+0&lt;=1,0,OFFSET('EDP Proyectado'!AI44,0,-'Ingreso Proyectado'!$P44)+0)),0)</f>
        <v>0</v>
      </c>
      <c r="AI44" s="169">
        <f ca="1">+IFERROR(IF(ISNUMBER(OFFSET('EDP Proyectado'!AJ44,0,-'Ingreso Proyectado'!$P44))&lt;&gt;0,IF(OFFSET('EDP Proyectado'!AJ44,0,-'Ingreso Proyectado'!$P44)+0&lt;=1,0,OFFSET('EDP Proyectado'!AJ44,0,-'Ingreso Proyectado'!$P44)+0)),0)</f>
        <v>0</v>
      </c>
      <c r="AJ44" s="169">
        <f ca="1">+IFERROR(IF(ISNUMBER(OFFSET('EDP Proyectado'!AK44,0,-'Ingreso Proyectado'!$P44))&lt;&gt;0,IF(OFFSET('EDP Proyectado'!AK44,0,-'Ingreso Proyectado'!$P44)+0&lt;=1,0,OFFSET('EDP Proyectado'!AK44,0,-'Ingreso Proyectado'!$P44)+0)),0)</f>
        <v>62007.75</v>
      </c>
      <c r="AK44" s="169">
        <f ca="1">+IFERROR(IF(ISNUMBER(OFFSET('EDP Proyectado'!AL44,0,-'Ingreso Proyectado'!$P44))&lt;&gt;0,IF(OFFSET('EDP Proyectado'!AL44,0,-'Ingreso Proyectado'!$P44)+0&lt;=1,0,OFFSET('EDP Proyectado'!AL44,0,-'Ingreso Proyectado'!$P44)+0)),0)</f>
        <v>62007.75</v>
      </c>
      <c r="AL44" s="169">
        <f ca="1">+IFERROR(IF(ISNUMBER(OFFSET('EDP Proyectado'!AM44,0,-'Ingreso Proyectado'!$P44))&lt;&gt;0,IF(OFFSET('EDP Proyectado'!AM44,0,-'Ingreso Proyectado'!$P44)+0&lt;=1,0,OFFSET('EDP Proyectado'!AM44,0,-'Ingreso Proyectado'!$P44)+0)),0)</f>
        <v>0</v>
      </c>
      <c r="AM44" s="169">
        <f ca="1">+IFERROR(IF(ISNUMBER(OFFSET('EDP Proyectado'!AN44,0,-'Ingreso Proyectado'!$P44))&lt;&gt;0,IF(OFFSET('EDP Proyectado'!AN44,0,-'Ingreso Proyectado'!$P44)+0&lt;=1,0,OFFSET('EDP Proyectado'!AN44,0,-'Ingreso Proyectado'!$P44)+0)),0)</f>
        <v>0</v>
      </c>
      <c r="AN44" s="169">
        <f ca="1">+IFERROR(IF(ISNUMBER(OFFSET('EDP Proyectado'!AO44,0,-'Ingreso Proyectado'!$P44))&lt;&gt;0,IF(OFFSET('EDP Proyectado'!AO44,0,-'Ingreso Proyectado'!$P44)+0&lt;=1,0,OFFSET('EDP Proyectado'!AO44,0,-'Ingreso Proyectado'!$P44)+0)),0)</f>
        <v>0</v>
      </c>
      <c r="AO44" s="169">
        <f ca="1">+IFERROR(IF(ISNUMBER(OFFSET('EDP Proyectado'!AP44,0,-'Ingreso Proyectado'!$P44))&lt;&gt;0,IF(OFFSET('EDP Proyectado'!AP44,0,-'Ingreso Proyectado'!$P44)+0&lt;=1,0,OFFSET('EDP Proyectado'!AP44,0,-'Ingreso Proyectado'!$P44)+0)),0)</f>
        <v>0</v>
      </c>
      <c r="AP44" s="170">
        <f ca="1">+IFERROR(IF(ISNUMBER(OFFSET('EDP Proyectado'!AQ44,0,-'Ingreso Proyectado'!$P44))&lt;&gt;0,IF(OFFSET('EDP Proyectado'!AQ44,0,-'Ingreso Proyectado'!$P44)+0&lt;=1,0,OFFSET('EDP Proyectado'!AQ44,0,-'Ingreso Proyectado'!$P44)+0)),0)</f>
        <v>0</v>
      </c>
    </row>
    <row r="45" spans="3:42" x14ac:dyDescent="0.2">
      <c r="C45" s="117">
        <f>+'Gantt Proyectos'!C113</f>
        <v>17</v>
      </c>
      <c r="D45" s="118" t="str">
        <f>+'Gantt Proyectos'!D113</f>
        <v>Fase 2 CTV: Modelamiento Recursos, Geomecanica y LOM actualizado</v>
      </c>
      <c r="E45" s="118" t="str">
        <f>+'Gantt Proyectos'!E113</f>
        <v>Mosaic</v>
      </c>
      <c r="F45" s="146" t="str">
        <f>+'Gantt Proyectos'!F113</f>
        <v>Brasil</v>
      </c>
      <c r="G45" s="118" t="str">
        <f>+'Gantt Proyectos'!G113</f>
        <v>Perú</v>
      </c>
      <c r="H45" s="118" t="str">
        <f>+'Gantt Proyectos'!H113</f>
        <v>Chile</v>
      </c>
      <c r="I45" s="189">
        <v>0.5</v>
      </c>
      <c r="J45" s="189">
        <f t="shared" si="6"/>
        <v>0.5</v>
      </c>
      <c r="K45" s="118" t="str">
        <f>+'Gantt Proyectos'!I113</f>
        <v>Subterránea</v>
      </c>
      <c r="L45" s="120">
        <f>+'Gantt Proyectos'!J113</f>
        <v>1</v>
      </c>
      <c r="M45" s="118" t="str">
        <f>+'Gantt Proyectos'!K113</f>
        <v>CH</v>
      </c>
      <c r="N45" s="316">
        <f>+'Gantt Proyectos'!L113</f>
        <v>330410</v>
      </c>
      <c r="O45" s="316">
        <f>+'Gantt Proyectos'!M113</f>
        <v>0</v>
      </c>
      <c r="P45" s="118">
        <f>+'Gantt Proyectos'!N113</f>
        <v>3</v>
      </c>
      <c r="Q45" s="119">
        <f>+'Gantt Proyectos'!O113</f>
        <v>45600</v>
      </c>
      <c r="R45" s="119">
        <f>+'Gantt Proyectos'!P113</f>
        <v>45838</v>
      </c>
      <c r="S45" s="118" t="str">
        <f>+'Gantt Proyectos'!R113</f>
        <v>No</v>
      </c>
      <c r="T45" s="118">
        <f>+'Gantt Proyectos'!S113</f>
        <v>0</v>
      </c>
      <c r="U45" s="156">
        <f>+'Gantt Proyectos'!T113</f>
        <v>45600</v>
      </c>
      <c r="V45" s="156">
        <f>+'Gantt Proyectos'!U113</f>
        <v>45838</v>
      </c>
      <c r="W45" s="201">
        <f t="shared" si="7"/>
        <v>8</v>
      </c>
      <c r="X45" s="121">
        <f>+'Gantt Proyectos'!W113</f>
        <v>1.4474272930648768</v>
      </c>
      <c r="Y45" s="122">
        <f>+'Gantt Proyectos'!X113</f>
        <v>0.33</v>
      </c>
      <c r="Z45" s="122">
        <f>+'Gantt Proyectos'!Y113</f>
        <v>0.5</v>
      </c>
      <c r="AA45" s="122">
        <f>+'Gantt Proyectos'!Z113</f>
        <v>0.33</v>
      </c>
      <c r="AB45" s="122">
        <f>+'Gantt Proyectos'!AA113</f>
        <v>1</v>
      </c>
      <c r="AC45" s="122">
        <f>+'Gantt Proyectos'!AB113</f>
        <v>1</v>
      </c>
      <c r="AD45" s="152" t="str">
        <f>+'Gantt Proyectos'!AC113</f>
        <v>Scoping</v>
      </c>
      <c r="AE45" s="123" t="str">
        <f>+'Gantt Proyectos'!AD113</f>
        <v>Actual</v>
      </c>
      <c r="AF45" s="124" t="str">
        <f>+'Gantt Proyectos'!AE113</f>
        <v>3. Avance: 25%</v>
      </c>
      <c r="AG45" s="172">
        <v>1</v>
      </c>
      <c r="AH45" s="169">
        <f ca="1">+IFERROR(IF(ISNUMBER(OFFSET('EDP Proyectado'!AI45,0,-'Ingreso Proyectado'!$P45))&lt;&gt;0,IF(OFFSET('EDP Proyectado'!AI45,0,-'Ingreso Proyectado'!$P45)+0&lt;=1,0,OFFSET('EDP Proyectado'!AI45,0,-'Ingreso Proyectado'!$P45)+0)),0)</f>
        <v>0</v>
      </c>
      <c r="AI45" s="169">
        <f ca="1">+IFERROR(IF(ISNUMBER(OFFSET('EDP Proyectado'!AJ45,0,-'Ingreso Proyectado'!$P45))&lt;&gt;0,IF(OFFSET('EDP Proyectado'!AJ45,0,-'Ingreso Proyectado'!$P45)+0&lt;=1,0,OFFSET('EDP Proyectado'!AJ45,0,-'Ingreso Proyectado'!$P45)+0)),0)</f>
        <v>0</v>
      </c>
      <c r="AJ45" s="169">
        <f ca="1">+IFERROR(IF(ISNUMBER(OFFSET('EDP Proyectado'!AK45,0,-'Ingreso Proyectado'!$P45))&lt;&gt;0,IF(OFFSET('EDP Proyectado'!AK45,0,-'Ingreso Proyectado'!$P45)+0&lt;=1,0,OFFSET('EDP Proyectado'!AK45,0,-'Ingreso Proyectado'!$P45)+0)),0)</f>
        <v>0</v>
      </c>
      <c r="AK45" s="169">
        <f ca="1">+IFERROR(IF(ISNUMBER(OFFSET('EDP Proyectado'!AL45,0,-'Ingreso Proyectado'!$P45))&lt;&gt;0,IF(OFFSET('EDP Proyectado'!AL45,0,-'Ingreso Proyectado'!$P45)+0&lt;=1,0,OFFSET('EDP Proyectado'!AL45,0,-'Ingreso Proyectado'!$P45)+0)),0)</f>
        <v>41301.25</v>
      </c>
      <c r="AL45" s="169">
        <f ca="1">+IFERROR(IF(ISNUMBER(OFFSET('EDP Proyectado'!AM45,0,-'Ingreso Proyectado'!$P45))&lt;&gt;0,IF(OFFSET('EDP Proyectado'!AM45,0,-'Ingreso Proyectado'!$P45)+0&lt;=1,0,OFFSET('EDP Proyectado'!AM45,0,-'Ingreso Proyectado'!$P45)+0)),0)</f>
        <v>41301.25</v>
      </c>
      <c r="AM45" s="169">
        <f ca="1">+IFERROR(IF(ISNUMBER(OFFSET('EDP Proyectado'!AN45,0,-'Ingreso Proyectado'!$P45))&lt;&gt;0,IF(OFFSET('EDP Proyectado'!AN45,0,-'Ingreso Proyectado'!$P45)+0&lt;=1,0,OFFSET('EDP Proyectado'!AN45,0,-'Ingreso Proyectado'!$P45)+0)),0)</f>
        <v>41301.25</v>
      </c>
      <c r="AN45" s="169">
        <f ca="1">+IFERROR(IF(ISNUMBER(OFFSET('EDP Proyectado'!AO45,0,-'Ingreso Proyectado'!$P45))&lt;&gt;0,IF(OFFSET('EDP Proyectado'!AO45,0,-'Ingreso Proyectado'!$P45)+0&lt;=1,0,OFFSET('EDP Proyectado'!AO45,0,-'Ingreso Proyectado'!$P45)+0)),0)</f>
        <v>0</v>
      </c>
      <c r="AO45" s="169">
        <f ca="1">+IFERROR(IF(ISNUMBER(OFFSET('EDP Proyectado'!AP45,0,-'Ingreso Proyectado'!$P45))&lt;&gt;0,IF(OFFSET('EDP Proyectado'!AP45,0,-'Ingreso Proyectado'!$P45)+0&lt;=1,0,OFFSET('EDP Proyectado'!AP45,0,-'Ingreso Proyectado'!$P45)+0)),0)</f>
        <v>0</v>
      </c>
      <c r="AP45" s="170">
        <f ca="1">+IFERROR(IF(ISNUMBER(OFFSET('EDP Proyectado'!AQ45,0,-'Ingreso Proyectado'!$P45))&lt;&gt;0,IF(OFFSET('EDP Proyectado'!AQ45,0,-'Ingreso Proyectado'!$P45)+0&lt;=1,0,OFFSET('EDP Proyectado'!AQ45,0,-'Ingreso Proyectado'!$P45)+0)),0)</f>
        <v>0</v>
      </c>
    </row>
    <row r="46" spans="3:42" x14ac:dyDescent="0.2">
      <c r="C46" s="117">
        <f>+'Gantt Proyectos'!C114</f>
        <v>18</v>
      </c>
      <c r="D46" s="118" t="str">
        <f>+'Gantt Proyectos'!D114</f>
        <v>Estrategia de Valor para Mina Cobriza</v>
      </c>
      <c r="E46" s="118" t="str">
        <f>+'Gantt Proyectos'!E114</f>
        <v>OCP</v>
      </c>
      <c r="F46" s="146" t="str">
        <f>+'Gantt Proyectos'!F114</f>
        <v>Perú</v>
      </c>
      <c r="G46" s="118" t="str">
        <f>+'Gantt Proyectos'!G114</f>
        <v>Chile</v>
      </c>
      <c r="H46" s="118" t="str">
        <f>+'Gantt Proyectos'!H114</f>
        <v>Perú</v>
      </c>
      <c r="I46" s="189">
        <v>0.5</v>
      </c>
      <c r="J46" s="189">
        <f t="shared" si="6"/>
        <v>0.5</v>
      </c>
      <c r="K46" s="118" t="str">
        <f>+'Gantt Proyectos'!I114</f>
        <v>Subterránea</v>
      </c>
      <c r="L46" s="120">
        <f>+'Gantt Proyectos'!J114</f>
        <v>1</v>
      </c>
      <c r="M46" s="118" t="str">
        <f>+'Gantt Proyectos'!K114</f>
        <v>MF</v>
      </c>
      <c r="N46" s="316">
        <f>+'Gantt Proyectos'!L114</f>
        <v>184000</v>
      </c>
      <c r="O46" s="316">
        <f>+'Gantt Proyectos'!M114</f>
        <v>0</v>
      </c>
      <c r="P46" s="118">
        <f>+'Gantt Proyectos'!N114</f>
        <v>2</v>
      </c>
      <c r="Q46" s="119">
        <f>+'Gantt Proyectos'!O114</f>
        <v>45691</v>
      </c>
      <c r="R46" s="119">
        <f>+'Gantt Proyectos'!P114</f>
        <v>45881</v>
      </c>
      <c r="S46" s="118" t="str">
        <f>+'Gantt Proyectos'!R114</f>
        <v>No</v>
      </c>
      <c r="T46" s="118">
        <f>+'Gantt Proyectos'!S114</f>
        <v>0</v>
      </c>
      <c r="U46" s="156">
        <f>+'Gantt Proyectos'!T114</f>
        <v>45691</v>
      </c>
      <c r="V46" s="156">
        <f>+'Gantt Proyectos'!U114</f>
        <v>45881</v>
      </c>
      <c r="W46" s="201">
        <f t="shared" si="7"/>
        <v>7</v>
      </c>
      <c r="X46" s="121">
        <f>+'Gantt Proyectos'!W114</f>
        <v>0.72035794183445179</v>
      </c>
      <c r="Y46" s="122">
        <f>+'Gantt Proyectos'!X114</f>
        <v>0.25</v>
      </c>
      <c r="Z46" s="122">
        <f>+'Gantt Proyectos'!Y114</f>
        <v>0.33</v>
      </c>
      <c r="AA46" s="122">
        <f>+'Gantt Proyectos'!Z114</f>
        <v>0</v>
      </c>
      <c r="AB46" s="122">
        <f>+'Gantt Proyectos'!AA114</f>
        <v>0.5</v>
      </c>
      <c r="AC46" s="122">
        <f>+'Gantt Proyectos'!AB114</f>
        <v>0.5</v>
      </c>
      <c r="AD46" s="152" t="str">
        <f>+'Gantt Proyectos'!AC114</f>
        <v>Estudio Conceptual / LOM</v>
      </c>
      <c r="AE46" s="123" t="str">
        <f>+'Gantt Proyectos'!AD114</f>
        <v>Actual</v>
      </c>
      <c r="AF46" s="124" t="str">
        <f>+'Gantt Proyectos'!AE114</f>
        <v>3. Avance: 25%</v>
      </c>
      <c r="AG46" s="172">
        <v>1</v>
      </c>
      <c r="AH46" s="169">
        <f ca="1">+IFERROR(IF(ISNUMBER(OFFSET('EDP Proyectado'!AI46,0,-'Ingreso Proyectado'!$P46))&lt;&gt;0,IF(OFFSET('EDP Proyectado'!AI46,0,-'Ingreso Proyectado'!$P46)+0&lt;=1,0,OFFSET('EDP Proyectado'!AI46,0,-'Ingreso Proyectado'!$P46)+0)),0)</f>
        <v>0</v>
      </c>
      <c r="AI46" s="169">
        <f ca="1">+IFERROR(IF(ISNUMBER(OFFSET('EDP Proyectado'!AJ46,0,-'Ingreso Proyectado'!$P46))&lt;&gt;0,IF(OFFSET('EDP Proyectado'!AJ46,0,-'Ingreso Proyectado'!$P46)+0&lt;=1,0,OFFSET('EDP Proyectado'!AJ46,0,-'Ingreso Proyectado'!$P46)+0)),0)</f>
        <v>0</v>
      </c>
      <c r="AJ46" s="169">
        <f ca="1">+IFERROR(IF(ISNUMBER(OFFSET('EDP Proyectado'!AK46,0,-'Ingreso Proyectado'!$P46))&lt;&gt;0,IF(OFFSET('EDP Proyectado'!AK46,0,-'Ingreso Proyectado'!$P46)+0&lt;=1,0,OFFSET('EDP Proyectado'!AK46,0,-'Ingreso Proyectado'!$P46)+0)),0)</f>
        <v>26285.714285714283</v>
      </c>
      <c r="AK46" s="169">
        <f ca="1">+IFERROR(IF(ISNUMBER(OFFSET('EDP Proyectado'!AL46,0,-'Ingreso Proyectado'!$P46))&lt;&gt;0,IF(OFFSET('EDP Proyectado'!AL46,0,-'Ingreso Proyectado'!$P46)+0&lt;=1,0,OFFSET('EDP Proyectado'!AL46,0,-'Ingreso Proyectado'!$P46)+0)),0)</f>
        <v>26285.714285714283</v>
      </c>
      <c r="AL46" s="169">
        <f ca="1">+IFERROR(IF(ISNUMBER(OFFSET('EDP Proyectado'!AM46,0,-'Ingreso Proyectado'!$P46))&lt;&gt;0,IF(OFFSET('EDP Proyectado'!AM46,0,-'Ingreso Proyectado'!$P46)+0&lt;=1,0,OFFSET('EDP Proyectado'!AM46,0,-'Ingreso Proyectado'!$P46)+0)),0)</f>
        <v>26285.714285714283</v>
      </c>
      <c r="AM46" s="169">
        <f ca="1">+IFERROR(IF(ISNUMBER(OFFSET('EDP Proyectado'!AN46,0,-'Ingreso Proyectado'!$P46))&lt;&gt;0,IF(OFFSET('EDP Proyectado'!AN46,0,-'Ingreso Proyectado'!$P46)+0&lt;=1,0,OFFSET('EDP Proyectado'!AN46,0,-'Ingreso Proyectado'!$P46)+0)),0)</f>
        <v>26285.714285714283</v>
      </c>
      <c r="AN46" s="169">
        <f ca="1">+IFERROR(IF(ISNUMBER(OFFSET('EDP Proyectado'!AO46,0,-'Ingreso Proyectado'!$P46))&lt;&gt;0,IF(OFFSET('EDP Proyectado'!AO46,0,-'Ingreso Proyectado'!$P46)+0&lt;=1,0,OFFSET('EDP Proyectado'!AO46,0,-'Ingreso Proyectado'!$P46)+0)),0)</f>
        <v>26285.714285714283</v>
      </c>
      <c r="AO46" s="169">
        <f ca="1">+IFERROR(IF(ISNUMBER(OFFSET('EDP Proyectado'!AP46,0,-'Ingreso Proyectado'!$P46))&lt;&gt;0,IF(OFFSET('EDP Proyectado'!AP46,0,-'Ingreso Proyectado'!$P46)+0&lt;=1,0,OFFSET('EDP Proyectado'!AP46,0,-'Ingreso Proyectado'!$P46)+0)),0)</f>
        <v>0</v>
      </c>
      <c r="AP46" s="170">
        <f ca="1">+IFERROR(IF(ISNUMBER(OFFSET('EDP Proyectado'!AQ46,0,-'Ingreso Proyectado'!$P46))&lt;&gt;0,IF(OFFSET('EDP Proyectado'!AQ46,0,-'Ingreso Proyectado'!$P46)+0&lt;=1,0,OFFSET('EDP Proyectado'!AQ46,0,-'Ingreso Proyectado'!$P46)+0)),0)</f>
        <v>0</v>
      </c>
    </row>
    <row r="47" spans="3:42" x14ac:dyDescent="0.2">
      <c r="C47" s="117">
        <f>+'Gantt Proyectos'!C115</f>
        <v>19</v>
      </c>
      <c r="D47" s="118" t="str">
        <f>+'Gantt Proyectos'!D115</f>
        <v>PFS Ferrobamba UG (MEIA)</v>
      </c>
      <c r="E47" s="118" t="str">
        <f>+'Gantt Proyectos'!E115</f>
        <v>Las Bambas</v>
      </c>
      <c r="F47" s="146" t="str">
        <f>+'Gantt Proyectos'!F115</f>
        <v>Perú</v>
      </c>
      <c r="G47" s="118" t="str">
        <f>+'Gantt Proyectos'!G115</f>
        <v>Chile</v>
      </c>
      <c r="H47" s="118">
        <f>+'Gantt Proyectos'!H115</f>
        <v>0</v>
      </c>
      <c r="I47" s="189">
        <v>1</v>
      </c>
      <c r="J47" s="189">
        <f t="shared" si="6"/>
        <v>0</v>
      </c>
      <c r="K47" s="118" t="str">
        <f>+'Gantt Proyectos'!I115</f>
        <v>Subterránea</v>
      </c>
      <c r="L47" s="120">
        <f>+'Gantt Proyectos'!J115</f>
        <v>1</v>
      </c>
      <c r="M47" s="118" t="str">
        <f>+'Gantt Proyectos'!K115</f>
        <v>RM</v>
      </c>
      <c r="N47" s="316">
        <f>+'Gantt Proyectos'!L115</f>
        <v>600000</v>
      </c>
      <c r="O47" s="316">
        <f>+'Gantt Proyectos'!M115</f>
        <v>62911.409999999916</v>
      </c>
      <c r="P47" s="118">
        <f>+'Gantt Proyectos'!N115</f>
        <v>2</v>
      </c>
      <c r="Q47" s="119">
        <f>+'Gantt Proyectos'!O115</f>
        <v>45719</v>
      </c>
      <c r="R47" s="119">
        <f>+'Gantt Proyectos'!P115</f>
        <v>45872</v>
      </c>
      <c r="S47" s="118" t="str">
        <f>+'Gantt Proyectos'!R115</f>
        <v>No</v>
      </c>
      <c r="T47" s="118">
        <f>+'Gantt Proyectos'!S115</f>
        <v>0</v>
      </c>
      <c r="U47" s="156">
        <f>+'Gantt Proyectos'!T115</f>
        <v>45719</v>
      </c>
      <c r="V47" s="156">
        <f>+'Gantt Proyectos'!U115</f>
        <v>45872</v>
      </c>
      <c r="W47" s="201">
        <f t="shared" si="7"/>
        <v>6</v>
      </c>
      <c r="X47" s="121">
        <f>+'Gantt Proyectos'!W115</f>
        <v>0.97986577181208034</v>
      </c>
      <c r="Y47" s="122">
        <f>+'Gantt Proyectos'!X115</f>
        <v>0.33</v>
      </c>
      <c r="Z47" s="122">
        <f>+'Gantt Proyectos'!Y115</f>
        <v>0.33</v>
      </c>
      <c r="AA47" s="122">
        <f>+'Gantt Proyectos'!Z115</f>
        <v>0.5</v>
      </c>
      <c r="AB47" s="122">
        <f>+'Gantt Proyectos'!AA115</f>
        <v>1</v>
      </c>
      <c r="AC47" s="122">
        <f>+'Gantt Proyectos'!AB115</f>
        <v>0</v>
      </c>
      <c r="AD47" s="152" t="str">
        <f>+'Gantt Proyectos'!AC115</f>
        <v>Permisos / MEIA</v>
      </c>
      <c r="AE47" s="123" t="str">
        <f>+'Gantt Proyectos'!AD115</f>
        <v>Actual</v>
      </c>
      <c r="AF47" s="124" t="str">
        <f>+'Gantt Proyectos'!AE115</f>
        <v>3. Avance: 25%</v>
      </c>
      <c r="AG47" s="172">
        <v>1</v>
      </c>
      <c r="AH47" s="169">
        <f ca="1">+IFERROR(IF(ISNUMBER(OFFSET('EDP Proyectado'!AI47,0,-'Ingreso Proyectado'!$P47))&lt;&gt;0,IF(OFFSET('EDP Proyectado'!AI47,0,-'Ingreso Proyectado'!$P47)+0&lt;=1,0,OFFSET('EDP Proyectado'!AI47,0,-'Ingreso Proyectado'!$P47)+0)),0)</f>
        <v>0</v>
      </c>
      <c r="AI47" s="169">
        <f ca="1">+IFERROR(IF(ISNUMBER(OFFSET('EDP Proyectado'!AJ47,0,-'Ingreso Proyectado'!$P47))&lt;&gt;0,IF(OFFSET('EDP Proyectado'!AJ47,0,-'Ingreso Proyectado'!$P47)+0&lt;=1,0,OFFSET('EDP Proyectado'!AJ47,0,-'Ingreso Proyectado'!$P47)+0)),0)</f>
        <v>0</v>
      </c>
      <c r="AJ47" s="169">
        <f ca="1">+IFERROR(IF(ISNUMBER(OFFSET('EDP Proyectado'!AK47,0,-'Ingreso Proyectado'!$P47))&lt;&gt;0,IF(OFFSET('EDP Proyectado'!AK47,0,-'Ingreso Proyectado'!$P47)+0&lt;=1,0,OFFSET('EDP Proyectado'!AK47,0,-'Ingreso Proyectado'!$P47)+0)),0)</f>
        <v>100000</v>
      </c>
      <c r="AK47" s="169">
        <f ca="1">+IFERROR(IF(ISNUMBER(OFFSET('EDP Proyectado'!AL47,0,-'Ingreso Proyectado'!$P47))&lt;&gt;0,IF(OFFSET('EDP Proyectado'!AL47,0,-'Ingreso Proyectado'!$P47)+0&lt;=1,0,OFFSET('EDP Proyectado'!AL47,0,-'Ingreso Proyectado'!$P47)+0)),0)</f>
        <v>100000</v>
      </c>
      <c r="AL47" s="169">
        <f ca="1">+IFERROR(IF(ISNUMBER(OFFSET('EDP Proyectado'!AM47,0,-'Ingreso Proyectado'!$P47))&lt;&gt;0,IF(OFFSET('EDP Proyectado'!AM47,0,-'Ingreso Proyectado'!$P47)+0&lt;=1,0,OFFSET('EDP Proyectado'!AM47,0,-'Ingreso Proyectado'!$P47)+0)),0)</f>
        <v>100000</v>
      </c>
      <c r="AM47" s="169">
        <f ca="1">+IFERROR(IF(ISNUMBER(OFFSET('EDP Proyectado'!AN47,0,-'Ingreso Proyectado'!$P47))&lt;&gt;0,IF(OFFSET('EDP Proyectado'!AN47,0,-'Ingreso Proyectado'!$P47)+0&lt;=1,0,OFFSET('EDP Proyectado'!AN47,0,-'Ingreso Proyectado'!$P47)+0)),0)</f>
        <v>100000</v>
      </c>
      <c r="AN47" s="169">
        <f ca="1">+IFERROR(IF(ISNUMBER(OFFSET('EDP Proyectado'!AO47,0,-'Ingreso Proyectado'!$P47))&lt;&gt;0,IF(OFFSET('EDP Proyectado'!AO47,0,-'Ingreso Proyectado'!$P47)+0&lt;=1,0,OFFSET('EDP Proyectado'!AO47,0,-'Ingreso Proyectado'!$P47)+0)),0)</f>
        <v>100000</v>
      </c>
      <c r="AO47" s="169">
        <f ca="1">+IFERROR(IF(ISNUMBER(OFFSET('EDP Proyectado'!AP47,0,-'Ingreso Proyectado'!$P47))&lt;&gt;0,IF(OFFSET('EDP Proyectado'!AP47,0,-'Ingreso Proyectado'!$P47)+0&lt;=1,0,OFFSET('EDP Proyectado'!AP47,0,-'Ingreso Proyectado'!$P47)+0)),0)</f>
        <v>0</v>
      </c>
      <c r="AP47" s="170">
        <f ca="1">+IFERROR(IF(ISNUMBER(OFFSET('EDP Proyectado'!AQ47,0,-'Ingreso Proyectado'!$P47))&lt;&gt;0,IF(OFFSET('EDP Proyectado'!AQ47,0,-'Ingreso Proyectado'!$P47)+0&lt;=1,0,OFFSET('EDP Proyectado'!AQ47,0,-'Ingreso Proyectado'!$P47)+0)),0)</f>
        <v>0</v>
      </c>
    </row>
    <row r="48" spans="3:42" x14ac:dyDescent="0.2">
      <c r="C48" s="117">
        <f>+'Gantt Proyectos'!C116</f>
        <v>20</v>
      </c>
      <c r="D48" s="118" t="str">
        <f>+'Gantt Proyectos'!D116</f>
        <v>BHP: Análisis de accesibilidad para MEL UG</v>
      </c>
      <c r="E48" s="118" t="str">
        <f>+'Gantt Proyectos'!E116</f>
        <v>MEL</v>
      </c>
      <c r="F48" s="146" t="str">
        <f>+'Gantt Proyectos'!F116</f>
        <v>Chile</v>
      </c>
      <c r="G48" s="118" t="str">
        <f>+'Gantt Proyectos'!G116</f>
        <v>Chile</v>
      </c>
      <c r="H48" s="118">
        <f>+'Gantt Proyectos'!H116</f>
        <v>0</v>
      </c>
      <c r="I48" s="189">
        <v>1</v>
      </c>
      <c r="J48" s="189">
        <f t="shared" si="6"/>
        <v>0</v>
      </c>
      <c r="K48" s="118" t="str">
        <f>+'Gantt Proyectos'!I116</f>
        <v>Subterránea</v>
      </c>
      <c r="L48" s="120">
        <f>+'Gantt Proyectos'!J116</f>
        <v>1</v>
      </c>
      <c r="M48" s="118" t="str">
        <f>+'Gantt Proyectos'!K116</f>
        <v>CA</v>
      </c>
      <c r="N48" s="316">
        <f>+'Gantt Proyectos'!L116</f>
        <v>198920</v>
      </c>
      <c r="O48" s="316" t="str">
        <f>+'Gantt Proyectos'!M116</f>
        <v>Saldo [USD]</v>
      </c>
      <c r="P48" s="118">
        <f>+'Gantt Proyectos'!N116</f>
        <v>1</v>
      </c>
      <c r="Q48" s="119">
        <f>+'Gantt Proyectos'!O116</f>
        <v>45754</v>
      </c>
      <c r="R48" s="119">
        <f>+'Gantt Proyectos'!P116</f>
        <v>45845</v>
      </c>
      <c r="S48" s="118" t="str">
        <f>+'Gantt Proyectos'!R116</f>
        <v>No</v>
      </c>
      <c r="T48" s="118">
        <f>+'Gantt Proyectos'!S116</f>
        <v>0</v>
      </c>
      <c r="U48" s="156">
        <f>+'Gantt Proyectos'!T116</f>
        <v>45754</v>
      </c>
      <c r="V48" s="156">
        <f>+'Gantt Proyectos'!U116</f>
        <v>45845</v>
      </c>
      <c r="W48" s="201">
        <f t="shared" si="7"/>
        <v>3</v>
      </c>
      <c r="X48" s="121">
        <f>+'Gantt Proyectos'!W116</f>
        <v>1.4474272930648768</v>
      </c>
      <c r="Y48" s="122">
        <f>+'Gantt Proyectos'!X116</f>
        <v>0.33</v>
      </c>
      <c r="Z48" s="122">
        <f>+'Gantt Proyectos'!Y116</f>
        <v>0.5</v>
      </c>
      <c r="AA48" s="122">
        <f>+'Gantt Proyectos'!Z116</f>
        <v>0.33</v>
      </c>
      <c r="AB48" s="122">
        <f>+'Gantt Proyectos'!AA116</f>
        <v>1</v>
      </c>
      <c r="AC48" s="122">
        <f>+'Gantt Proyectos'!AB116</f>
        <v>1</v>
      </c>
      <c r="AD48" s="152" t="str">
        <f>+'Gantt Proyectos'!AC116</f>
        <v>Scoping</v>
      </c>
      <c r="AE48" s="123" t="str">
        <f>+'Gantt Proyectos'!AD116</f>
        <v>Actual</v>
      </c>
      <c r="AF48" s="124" t="str">
        <f>+'Gantt Proyectos'!AE116</f>
        <v>3. Avance: 25%</v>
      </c>
      <c r="AG48" s="172">
        <v>1</v>
      </c>
      <c r="AH48" s="169">
        <f ca="1">+IFERROR(IF(ISNUMBER(OFFSET('EDP Proyectado'!AI48,0,-'Ingreso Proyectado'!$P48))&lt;&gt;0,IF(OFFSET('EDP Proyectado'!AI48,0,-'Ingreso Proyectado'!$P48)+0&lt;=1,0,OFFSET('EDP Proyectado'!AI48,0,-'Ingreso Proyectado'!$P48)+0)),0)</f>
        <v>0</v>
      </c>
      <c r="AI48" s="169">
        <f ca="1">+IFERROR(IF(ISNUMBER(OFFSET('EDP Proyectado'!AJ48,0,-'Ingreso Proyectado'!$P48))&lt;&gt;0,IF(OFFSET('EDP Proyectado'!AJ48,0,-'Ingreso Proyectado'!$P48)+0&lt;=1,0,OFFSET('EDP Proyectado'!AJ48,0,-'Ingreso Proyectado'!$P48)+0)),0)</f>
        <v>66306.666666666657</v>
      </c>
      <c r="AJ48" s="169">
        <f ca="1">+IFERROR(IF(ISNUMBER(OFFSET('EDP Proyectado'!AK48,0,-'Ingreso Proyectado'!$P48))&lt;&gt;0,IF(OFFSET('EDP Proyectado'!AK48,0,-'Ingreso Proyectado'!$P48)+0&lt;=1,0,OFFSET('EDP Proyectado'!AK48,0,-'Ingreso Proyectado'!$P48)+0)),0)</f>
        <v>66306.666666666657</v>
      </c>
      <c r="AK48" s="169">
        <f ca="1">+IFERROR(IF(ISNUMBER(OFFSET('EDP Proyectado'!AL48,0,-'Ingreso Proyectado'!$P48))&lt;&gt;0,IF(OFFSET('EDP Proyectado'!AL48,0,-'Ingreso Proyectado'!$P48)+0&lt;=1,0,OFFSET('EDP Proyectado'!AL48,0,-'Ingreso Proyectado'!$P48)+0)),0)</f>
        <v>66306.666666666657</v>
      </c>
      <c r="AL48" s="169">
        <f ca="1">+IFERROR(IF(ISNUMBER(OFFSET('EDP Proyectado'!AM48,0,-'Ingreso Proyectado'!$P48))&lt;&gt;0,IF(OFFSET('EDP Proyectado'!AM48,0,-'Ingreso Proyectado'!$P48)+0&lt;=1,0,OFFSET('EDP Proyectado'!AM48,0,-'Ingreso Proyectado'!$P48)+0)),0)</f>
        <v>66306.666666666657</v>
      </c>
      <c r="AM48" s="169">
        <f ca="1">+IFERROR(IF(ISNUMBER(OFFSET('EDP Proyectado'!AN48,0,-'Ingreso Proyectado'!$P48))&lt;&gt;0,IF(OFFSET('EDP Proyectado'!AN48,0,-'Ingreso Proyectado'!$P48)+0&lt;=1,0,OFFSET('EDP Proyectado'!AN48,0,-'Ingreso Proyectado'!$P48)+0)),0)</f>
        <v>0</v>
      </c>
      <c r="AN48" s="169">
        <f ca="1">+IFERROR(IF(ISNUMBER(OFFSET('EDP Proyectado'!AO48,0,-'Ingreso Proyectado'!$P48))&lt;&gt;0,IF(OFFSET('EDP Proyectado'!AO48,0,-'Ingreso Proyectado'!$P48)+0&lt;=1,0,OFFSET('EDP Proyectado'!AO48,0,-'Ingreso Proyectado'!$P48)+0)),0)</f>
        <v>0</v>
      </c>
      <c r="AO48" s="169">
        <f ca="1">+IFERROR(IF(ISNUMBER(OFFSET('EDP Proyectado'!AP48,0,-'Ingreso Proyectado'!$P48))&lt;&gt;0,IF(OFFSET('EDP Proyectado'!AP48,0,-'Ingreso Proyectado'!$P48)+0&lt;=1,0,OFFSET('EDP Proyectado'!AP48,0,-'Ingreso Proyectado'!$P48)+0)),0)</f>
        <v>0</v>
      </c>
      <c r="AP48" s="170">
        <f ca="1">+IFERROR(IF(ISNUMBER(OFFSET('EDP Proyectado'!AQ48,0,-'Ingreso Proyectado'!$P48))&lt;&gt;0,IF(OFFSET('EDP Proyectado'!AQ48,0,-'Ingreso Proyectado'!$P48)+0&lt;=1,0,OFFSET('EDP Proyectado'!AQ48,0,-'Ingreso Proyectado'!$P48)+0)),0)</f>
        <v>0</v>
      </c>
    </row>
    <row r="49" spans="3:42" x14ac:dyDescent="0.2">
      <c r="C49" s="117">
        <f>+'Gantt Proyectos'!C117</f>
        <v>21</v>
      </c>
      <c r="D49" s="118" t="str">
        <f>+'Gantt Proyectos'!D117</f>
        <v>Resolution: Análisis de Proyecto Túnel 68L</v>
      </c>
      <c r="E49" s="118" t="str">
        <f>+'Gantt Proyectos'!E117</f>
        <v>BHP</v>
      </c>
      <c r="F49" s="146" t="str">
        <f>+'Gantt Proyectos'!F117</f>
        <v>Chile</v>
      </c>
      <c r="G49" s="118" t="str">
        <f>+'Gantt Proyectos'!G117</f>
        <v>Chile</v>
      </c>
      <c r="H49" s="118" t="str">
        <f>+'Gantt Proyectos'!H117</f>
        <v>Perú</v>
      </c>
      <c r="I49" s="189">
        <v>0.5</v>
      </c>
      <c r="J49" s="189">
        <f t="shared" si="6"/>
        <v>0.5</v>
      </c>
      <c r="K49" s="118" t="str">
        <f>+'Gantt Proyectos'!I117</f>
        <v>Subterránea</v>
      </c>
      <c r="L49" s="120">
        <f>+'Gantt Proyectos'!J117</f>
        <v>1</v>
      </c>
      <c r="M49" s="118" t="str">
        <f>+'Gantt Proyectos'!K117</f>
        <v>CA</v>
      </c>
      <c r="N49" s="316">
        <f>+'Gantt Proyectos'!L117</f>
        <v>47808</v>
      </c>
      <c r="O49" s="316">
        <f>+'Gantt Proyectos'!M117</f>
        <v>0</v>
      </c>
      <c r="P49" s="118">
        <f>+'Gantt Proyectos'!N117</f>
        <v>1</v>
      </c>
      <c r="Q49" s="119">
        <f>+'Gantt Proyectos'!O117</f>
        <v>45768</v>
      </c>
      <c r="R49" s="119">
        <f>+'Gantt Proyectos'!P117</f>
        <v>45803</v>
      </c>
      <c r="S49" s="118" t="str">
        <f>+'Gantt Proyectos'!R117</f>
        <v>No</v>
      </c>
      <c r="T49" s="118">
        <f>+'Gantt Proyectos'!S117</f>
        <v>0</v>
      </c>
      <c r="U49" s="156">
        <f>+'Gantt Proyectos'!T117</f>
        <v>45768</v>
      </c>
      <c r="V49" s="156">
        <f>+'Gantt Proyectos'!U117</f>
        <v>45803</v>
      </c>
      <c r="W49" s="201">
        <f t="shared" si="7"/>
        <v>2</v>
      </c>
      <c r="X49" s="121">
        <f>+'Gantt Proyectos'!W117</f>
        <v>1</v>
      </c>
      <c r="Y49" s="122">
        <f>+'Gantt Proyectos'!X117</f>
        <v>0.33</v>
      </c>
      <c r="Z49" s="122">
        <f>+'Gantt Proyectos'!Y117</f>
        <v>0.5</v>
      </c>
      <c r="AA49" s="122">
        <f>+'Gantt Proyectos'!Z117</f>
        <v>0.33</v>
      </c>
      <c r="AB49" s="122">
        <f>+'Gantt Proyectos'!AA117</f>
        <v>1</v>
      </c>
      <c r="AC49" s="122">
        <f>+'Gantt Proyectos'!AB117</f>
        <v>0</v>
      </c>
      <c r="AD49" s="152" t="str">
        <f>+'Gantt Proyectos'!AC117</f>
        <v>Consultoria y Due Dilligence</v>
      </c>
      <c r="AE49" s="123" t="str">
        <f>+'Gantt Proyectos'!AD117</f>
        <v>Actual</v>
      </c>
      <c r="AF49" s="124" t="str">
        <f>+'Gantt Proyectos'!AE117</f>
        <v>2. KOM</v>
      </c>
      <c r="AG49" s="172">
        <v>1</v>
      </c>
      <c r="AH49" s="169">
        <f ca="1">+IFERROR(IF(ISNUMBER(OFFSET('EDP Proyectado'!AI49,0,-'Ingreso Proyectado'!$P49))&lt;&gt;0,IF(OFFSET('EDP Proyectado'!AI49,0,-'Ingreso Proyectado'!$P49)+0&lt;=1,0,OFFSET('EDP Proyectado'!AI49,0,-'Ingreso Proyectado'!$P49)+0)),0)</f>
        <v>0</v>
      </c>
      <c r="AI49" s="169">
        <f ca="1">+IFERROR(IF(ISNUMBER(OFFSET('EDP Proyectado'!AJ49,0,-'Ingreso Proyectado'!$P49))&lt;&gt;0,IF(OFFSET('EDP Proyectado'!AJ49,0,-'Ingreso Proyectado'!$P49)+0&lt;=1,0,OFFSET('EDP Proyectado'!AJ49,0,-'Ingreso Proyectado'!$P49)+0)),0)</f>
        <v>23904</v>
      </c>
      <c r="AJ49" s="169">
        <f ca="1">+IFERROR(IF(ISNUMBER(OFFSET('EDP Proyectado'!AK49,0,-'Ingreso Proyectado'!$P49))&lt;&gt;0,IF(OFFSET('EDP Proyectado'!AK49,0,-'Ingreso Proyectado'!$P49)+0&lt;=1,0,OFFSET('EDP Proyectado'!AK49,0,-'Ingreso Proyectado'!$P49)+0)),0)</f>
        <v>23904</v>
      </c>
      <c r="AK49" s="169">
        <f ca="1">+IFERROR(IF(ISNUMBER(OFFSET('EDP Proyectado'!AL49,0,-'Ingreso Proyectado'!$P49))&lt;&gt;0,IF(OFFSET('EDP Proyectado'!AL49,0,-'Ingreso Proyectado'!$P49)+0&lt;=1,0,OFFSET('EDP Proyectado'!AL49,0,-'Ingreso Proyectado'!$P49)+0)),0)</f>
        <v>0</v>
      </c>
      <c r="AL49" s="169">
        <f ca="1">+IFERROR(IF(ISNUMBER(OFFSET('EDP Proyectado'!AM49,0,-'Ingreso Proyectado'!$P49))&lt;&gt;0,IF(OFFSET('EDP Proyectado'!AM49,0,-'Ingreso Proyectado'!$P49)+0&lt;=1,0,OFFSET('EDP Proyectado'!AM49,0,-'Ingreso Proyectado'!$P49)+0)),0)</f>
        <v>0</v>
      </c>
      <c r="AM49" s="169">
        <f ca="1">+IFERROR(IF(ISNUMBER(OFFSET('EDP Proyectado'!AN49,0,-'Ingreso Proyectado'!$P49))&lt;&gt;0,IF(OFFSET('EDP Proyectado'!AN49,0,-'Ingreso Proyectado'!$P49)+0&lt;=1,0,OFFSET('EDP Proyectado'!AN49,0,-'Ingreso Proyectado'!$P49)+0)),0)</f>
        <v>0</v>
      </c>
      <c r="AN49" s="169">
        <f ca="1">+IFERROR(IF(ISNUMBER(OFFSET('EDP Proyectado'!AO49,0,-'Ingreso Proyectado'!$P49))&lt;&gt;0,IF(OFFSET('EDP Proyectado'!AO49,0,-'Ingreso Proyectado'!$P49)+0&lt;=1,0,OFFSET('EDP Proyectado'!AO49,0,-'Ingreso Proyectado'!$P49)+0)),0)</f>
        <v>0</v>
      </c>
      <c r="AO49" s="169">
        <f ca="1">+IFERROR(IF(ISNUMBER(OFFSET('EDP Proyectado'!AP49,0,-'Ingreso Proyectado'!$P49))&lt;&gt;0,IF(OFFSET('EDP Proyectado'!AP49,0,-'Ingreso Proyectado'!$P49)+0&lt;=1,0,OFFSET('EDP Proyectado'!AP49,0,-'Ingreso Proyectado'!$P49)+0)),0)</f>
        <v>0</v>
      </c>
      <c r="AP49" s="170">
        <f ca="1">+IFERROR(IF(ISNUMBER(OFFSET('EDP Proyectado'!AQ49,0,-'Ingreso Proyectado'!$P49))&lt;&gt;0,IF(OFFSET('EDP Proyectado'!AQ49,0,-'Ingreso Proyectado'!$P49)+0&lt;=1,0,OFFSET('EDP Proyectado'!AQ49,0,-'Ingreso Proyectado'!$P49)+0)),0)</f>
        <v>0</v>
      </c>
    </row>
    <row r="50" spans="3:42" x14ac:dyDescent="0.2">
      <c r="C50" s="117">
        <f>+'Gantt Proyectos'!C118</f>
        <v>22</v>
      </c>
      <c r="D50" s="118" t="str">
        <f>+'Gantt Proyectos'!D118</f>
        <v>Cajati: Actualización Ingeniería P1</v>
      </c>
      <c r="E50" s="118" t="str">
        <f>+'Gantt Proyectos'!E118</f>
        <v>Mosaic</v>
      </c>
      <c r="F50" s="146" t="str">
        <f>+'Gantt Proyectos'!F118</f>
        <v>Brasil</v>
      </c>
      <c r="G50" s="118" t="str">
        <f>+'Gantt Proyectos'!G118</f>
        <v>Chile</v>
      </c>
      <c r="H50" s="118">
        <f>+'Gantt Proyectos'!H118</f>
        <v>0</v>
      </c>
      <c r="I50" s="189">
        <v>1</v>
      </c>
      <c r="J50" s="189">
        <f t="shared" si="6"/>
        <v>0</v>
      </c>
      <c r="K50" s="118" t="str">
        <f>+'Gantt Proyectos'!I118</f>
        <v>Subterránea</v>
      </c>
      <c r="L50" s="120">
        <f>+'Gantt Proyectos'!J118</f>
        <v>1</v>
      </c>
      <c r="M50" s="118" t="str">
        <f>+'Gantt Proyectos'!K118</f>
        <v>AF</v>
      </c>
      <c r="N50" s="316">
        <f>+'Gantt Proyectos'!L118</f>
        <v>147935</v>
      </c>
      <c r="O50" s="316">
        <f>+'Gantt Proyectos'!M118</f>
        <v>0</v>
      </c>
      <c r="P50" s="118">
        <f>+'Gantt Proyectos'!N118</f>
        <v>3</v>
      </c>
      <c r="Q50" s="119">
        <f>+'Gantt Proyectos'!O118</f>
        <v>45726</v>
      </c>
      <c r="R50" s="119">
        <f>+'Gantt Proyectos'!P118</f>
        <v>45866</v>
      </c>
      <c r="S50" s="118" t="str">
        <f>+'Gantt Proyectos'!R118</f>
        <v>No</v>
      </c>
      <c r="T50" s="118">
        <f>+'Gantt Proyectos'!S118</f>
        <v>0</v>
      </c>
      <c r="U50" s="156">
        <f>+'Gantt Proyectos'!T118</f>
        <v>45726</v>
      </c>
      <c r="V50" s="156">
        <f>+'Gantt Proyectos'!U118</f>
        <v>45866</v>
      </c>
      <c r="W50" s="201">
        <f t="shared" si="7"/>
        <v>5</v>
      </c>
      <c r="X50" s="121">
        <f>+'Gantt Proyectos'!W118</f>
        <v>2.5503355704697985</v>
      </c>
      <c r="Y50" s="122">
        <f>+'Gantt Proyectos'!X118</f>
        <v>0.5</v>
      </c>
      <c r="Z50" s="122">
        <f>+'Gantt Proyectos'!Y118</f>
        <v>0.67</v>
      </c>
      <c r="AA50" s="122">
        <f>+'Gantt Proyectos'!Z118</f>
        <v>1</v>
      </c>
      <c r="AB50" s="122">
        <f>+'Gantt Proyectos'!AA118</f>
        <v>2.5</v>
      </c>
      <c r="AC50" s="122">
        <f>+'Gantt Proyectos'!AB118</f>
        <v>1</v>
      </c>
      <c r="AD50" s="152" t="str">
        <f>+'Gantt Proyectos'!AC118</f>
        <v>FS e Ing. Basica</v>
      </c>
      <c r="AE50" s="123" t="str">
        <f>+'Gantt Proyectos'!AD118</f>
        <v>Actual</v>
      </c>
      <c r="AF50" s="124" t="str">
        <f>+'Gantt Proyectos'!AE118</f>
        <v>2. KOM</v>
      </c>
      <c r="AG50" s="172">
        <v>1</v>
      </c>
      <c r="AH50" s="169">
        <f ca="1">+IFERROR(IF(ISNUMBER(OFFSET('EDP Proyectado'!AI50,0,-'Ingreso Proyectado'!$P50))&lt;&gt;0,IF(OFFSET('EDP Proyectado'!AI50,0,-'Ingreso Proyectado'!$P50)+0&lt;=1,0,OFFSET('EDP Proyectado'!AI50,0,-'Ingreso Proyectado'!$P50)+0)),0)</f>
        <v>0</v>
      </c>
      <c r="AI50" s="169">
        <f ca="1">+IFERROR(IF(ISNUMBER(OFFSET('EDP Proyectado'!AJ50,0,-'Ingreso Proyectado'!$P50))&lt;&gt;0,IF(OFFSET('EDP Proyectado'!AJ50,0,-'Ingreso Proyectado'!$P50)+0&lt;=1,0,OFFSET('EDP Proyectado'!AJ50,0,-'Ingreso Proyectado'!$P50)+0)),0)</f>
        <v>0</v>
      </c>
      <c r="AJ50" s="169">
        <f ca="1">+IFERROR(IF(ISNUMBER(OFFSET('EDP Proyectado'!AK50,0,-'Ingreso Proyectado'!$P50))&lt;&gt;0,IF(OFFSET('EDP Proyectado'!AK50,0,-'Ingreso Proyectado'!$P50)+0&lt;=1,0,OFFSET('EDP Proyectado'!AK50,0,-'Ingreso Proyectado'!$P50)+0)),0)</f>
        <v>0</v>
      </c>
      <c r="AK50" s="169">
        <f ca="1">+IFERROR(IF(ISNUMBER(OFFSET('EDP Proyectado'!AL50,0,-'Ingreso Proyectado'!$P50))&lt;&gt;0,IF(OFFSET('EDP Proyectado'!AL50,0,-'Ingreso Proyectado'!$P50)+0&lt;=1,0,OFFSET('EDP Proyectado'!AL50,0,-'Ingreso Proyectado'!$P50)+0)),0)</f>
        <v>29587</v>
      </c>
      <c r="AL50" s="169">
        <f ca="1">+IFERROR(IF(ISNUMBER(OFFSET('EDP Proyectado'!AM50,0,-'Ingreso Proyectado'!$P50))&lt;&gt;0,IF(OFFSET('EDP Proyectado'!AM50,0,-'Ingreso Proyectado'!$P50)+0&lt;=1,0,OFFSET('EDP Proyectado'!AM50,0,-'Ingreso Proyectado'!$P50)+0)),0)</f>
        <v>29587</v>
      </c>
      <c r="AM50" s="169">
        <f ca="1">+IFERROR(IF(ISNUMBER(OFFSET('EDP Proyectado'!AN50,0,-'Ingreso Proyectado'!$P50))&lt;&gt;0,IF(OFFSET('EDP Proyectado'!AN50,0,-'Ingreso Proyectado'!$P50)+0&lt;=1,0,OFFSET('EDP Proyectado'!AN50,0,-'Ingreso Proyectado'!$P50)+0)),0)</f>
        <v>29587</v>
      </c>
      <c r="AN50" s="169">
        <f ca="1">+IFERROR(IF(ISNUMBER(OFFSET('EDP Proyectado'!AO50,0,-'Ingreso Proyectado'!$P50))&lt;&gt;0,IF(OFFSET('EDP Proyectado'!AO50,0,-'Ingreso Proyectado'!$P50)+0&lt;=1,0,OFFSET('EDP Proyectado'!AO50,0,-'Ingreso Proyectado'!$P50)+0)),0)</f>
        <v>29587</v>
      </c>
      <c r="AO50" s="169">
        <f ca="1">+IFERROR(IF(ISNUMBER(OFFSET('EDP Proyectado'!AP50,0,-'Ingreso Proyectado'!$P50))&lt;&gt;0,IF(OFFSET('EDP Proyectado'!AP50,0,-'Ingreso Proyectado'!$P50)+0&lt;=1,0,OFFSET('EDP Proyectado'!AP50,0,-'Ingreso Proyectado'!$P50)+0)),0)</f>
        <v>0</v>
      </c>
      <c r="AP50" s="170">
        <f ca="1">+IFERROR(IF(ISNUMBER(OFFSET('EDP Proyectado'!AQ50,0,-'Ingreso Proyectado'!$P50))&lt;&gt;0,IF(OFFSET('EDP Proyectado'!AQ50,0,-'Ingreso Proyectado'!$P50)+0&lt;=1,0,OFFSET('EDP Proyectado'!AQ50,0,-'Ingreso Proyectado'!$P50)+0)),0)</f>
        <v>0</v>
      </c>
    </row>
    <row r="51" spans="3:42" x14ac:dyDescent="0.2">
      <c r="C51" s="117">
        <f>+'Gantt Proyectos'!C119</f>
        <v>23</v>
      </c>
      <c r="D51" s="118" t="str">
        <f>+'Gantt Proyectos'!D119</f>
        <v>LOM Integrado San Rafael: 2025</v>
      </c>
      <c r="E51" s="118" t="str">
        <f>+'Gantt Proyectos'!E119</f>
        <v>Minsur</v>
      </c>
      <c r="F51" s="146" t="str">
        <f>+'Gantt Proyectos'!F119</f>
        <v>Perú</v>
      </c>
      <c r="G51" s="118" t="str">
        <f>+'Gantt Proyectos'!G119</f>
        <v>Perú</v>
      </c>
      <c r="H51" s="118" t="str">
        <f>+'Gantt Proyectos'!H119</f>
        <v>Chile</v>
      </c>
      <c r="I51" s="189">
        <v>0.5</v>
      </c>
      <c r="J51" s="189">
        <f t="shared" si="6"/>
        <v>0.5</v>
      </c>
      <c r="K51" s="118" t="str">
        <f>+'Gantt Proyectos'!I119</f>
        <v>Subterránea</v>
      </c>
      <c r="L51" s="120">
        <f>+'Gantt Proyectos'!J119</f>
        <v>1</v>
      </c>
      <c r="M51" s="118" t="str">
        <f>+'Gantt Proyectos'!K119</f>
        <v>MF</v>
      </c>
      <c r="N51" s="316">
        <f>+'Gantt Proyectos'!L119</f>
        <v>60000</v>
      </c>
      <c r="O51" s="316">
        <f>+'Gantt Proyectos'!M119</f>
        <v>0</v>
      </c>
      <c r="P51" s="118">
        <f>+'Gantt Proyectos'!N119</f>
        <v>2</v>
      </c>
      <c r="Q51" s="119">
        <f>+'Gantt Proyectos'!O119</f>
        <v>45719</v>
      </c>
      <c r="R51" s="119">
        <f>+'Gantt Proyectos'!P119</f>
        <v>45859</v>
      </c>
      <c r="S51" s="118" t="str">
        <f>+'Gantt Proyectos'!R119</f>
        <v>No</v>
      </c>
      <c r="T51" s="118">
        <f>+'Gantt Proyectos'!S119</f>
        <v>0</v>
      </c>
      <c r="U51" s="156">
        <f>+'Gantt Proyectos'!T119</f>
        <v>45719</v>
      </c>
      <c r="V51" s="156">
        <f>+'Gantt Proyectos'!U119</f>
        <v>45859</v>
      </c>
      <c r="W51" s="201">
        <f t="shared" si="7"/>
        <v>5</v>
      </c>
      <c r="X51" s="121">
        <f>+'Gantt Proyectos'!W119</f>
        <v>0.72035794183445179</v>
      </c>
      <c r="Y51" s="122">
        <f>+'Gantt Proyectos'!X119</f>
        <v>0.25</v>
      </c>
      <c r="Z51" s="122">
        <f>+'Gantt Proyectos'!Y119</f>
        <v>0.33</v>
      </c>
      <c r="AA51" s="122">
        <f>+'Gantt Proyectos'!Z119</f>
        <v>0</v>
      </c>
      <c r="AB51" s="122">
        <f>+'Gantt Proyectos'!AA119</f>
        <v>0.5</v>
      </c>
      <c r="AC51" s="122">
        <f>+'Gantt Proyectos'!AB119</f>
        <v>0.5</v>
      </c>
      <c r="AD51" s="152" t="str">
        <f>+'Gantt Proyectos'!AC119</f>
        <v>Estudio Conceptual / LOM</v>
      </c>
      <c r="AE51" s="123" t="str">
        <f>+'Gantt Proyectos'!AD119</f>
        <v>Actual</v>
      </c>
      <c r="AF51" s="124" t="str">
        <f>+'Gantt Proyectos'!AE119</f>
        <v>2. KOM</v>
      </c>
      <c r="AG51" s="172">
        <v>1</v>
      </c>
      <c r="AH51" s="169">
        <f ca="1">+IFERROR(IF(ISNUMBER(OFFSET('EDP Proyectado'!AI51,0,-'Ingreso Proyectado'!$P51))&lt;&gt;0,IF(OFFSET('EDP Proyectado'!AI51,0,-'Ingreso Proyectado'!$P51)+0&lt;=1,0,OFFSET('EDP Proyectado'!AI51,0,-'Ingreso Proyectado'!$P51)+0)),0)</f>
        <v>0</v>
      </c>
      <c r="AI51" s="169">
        <f ca="1">+IFERROR(IF(ISNUMBER(OFFSET('EDP Proyectado'!AJ51,0,-'Ingreso Proyectado'!$P51))&lt;&gt;0,IF(OFFSET('EDP Proyectado'!AJ51,0,-'Ingreso Proyectado'!$P51)+0&lt;=1,0,OFFSET('EDP Proyectado'!AJ51,0,-'Ingreso Proyectado'!$P51)+0)),0)</f>
        <v>0</v>
      </c>
      <c r="AJ51" s="169">
        <f ca="1">+IFERROR(IF(ISNUMBER(OFFSET('EDP Proyectado'!AK51,0,-'Ingreso Proyectado'!$P51))&lt;&gt;0,IF(OFFSET('EDP Proyectado'!AK51,0,-'Ingreso Proyectado'!$P51)+0&lt;=1,0,OFFSET('EDP Proyectado'!AK51,0,-'Ingreso Proyectado'!$P51)+0)),0)</f>
        <v>12000</v>
      </c>
      <c r="AK51" s="169">
        <f ca="1">+IFERROR(IF(ISNUMBER(OFFSET('EDP Proyectado'!AL51,0,-'Ingreso Proyectado'!$P51))&lt;&gt;0,IF(OFFSET('EDP Proyectado'!AL51,0,-'Ingreso Proyectado'!$P51)+0&lt;=1,0,OFFSET('EDP Proyectado'!AL51,0,-'Ingreso Proyectado'!$P51)+0)),0)</f>
        <v>12000</v>
      </c>
      <c r="AL51" s="169">
        <f ca="1">+IFERROR(IF(ISNUMBER(OFFSET('EDP Proyectado'!AM51,0,-'Ingreso Proyectado'!$P51))&lt;&gt;0,IF(OFFSET('EDP Proyectado'!AM51,0,-'Ingreso Proyectado'!$P51)+0&lt;=1,0,OFFSET('EDP Proyectado'!AM51,0,-'Ingreso Proyectado'!$P51)+0)),0)</f>
        <v>12000</v>
      </c>
      <c r="AM51" s="169">
        <f ca="1">+IFERROR(IF(ISNUMBER(OFFSET('EDP Proyectado'!AN51,0,-'Ingreso Proyectado'!$P51))&lt;&gt;0,IF(OFFSET('EDP Proyectado'!AN51,0,-'Ingreso Proyectado'!$P51)+0&lt;=1,0,OFFSET('EDP Proyectado'!AN51,0,-'Ingreso Proyectado'!$P51)+0)),0)</f>
        <v>12000</v>
      </c>
      <c r="AN51" s="169">
        <f ca="1">+IFERROR(IF(ISNUMBER(OFFSET('EDP Proyectado'!AO51,0,-'Ingreso Proyectado'!$P51))&lt;&gt;0,IF(OFFSET('EDP Proyectado'!AO51,0,-'Ingreso Proyectado'!$P51)+0&lt;=1,0,OFFSET('EDP Proyectado'!AO51,0,-'Ingreso Proyectado'!$P51)+0)),0)</f>
        <v>0</v>
      </c>
      <c r="AO51" s="169">
        <f ca="1">+IFERROR(IF(ISNUMBER(OFFSET('EDP Proyectado'!AP51,0,-'Ingreso Proyectado'!$P51))&lt;&gt;0,IF(OFFSET('EDP Proyectado'!AP51,0,-'Ingreso Proyectado'!$P51)+0&lt;=1,0,OFFSET('EDP Proyectado'!AP51,0,-'Ingreso Proyectado'!$P51)+0)),0)</f>
        <v>0</v>
      </c>
      <c r="AP51" s="170">
        <f ca="1">+IFERROR(IF(ISNUMBER(OFFSET('EDP Proyectado'!AQ51,0,-'Ingreso Proyectado'!$P51))&lt;&gt;0,IF(OFFSET('EDP Proyectado'!AQ51,0,-'Ingreso Proyectado'!$P51)+0&lt;=1,0,OFFSET('EDP Proyectado'!AQ51,0,-'Ingreso Proyectado'!$P51)+0)),0)</f>
        <v>0</v>
      </c>
    </row>
    <row r="52" spans="3:42" x14ac:dyDescent="0.2">
      <c r="C52" s="117">
        <f>+'Gantt Proyectos'!C120</f>
        <v>24</v>
      </c>
      <c r="D52" s="118" t="str">
        <f>+'Gantt Proyectos'!D120</f>
        <v>Soporte Minero en Litigio OT - Gobierno Mongolia (Fase 2)</v>
      </c>
      <c r="E52" s="118" t="str">
        <f>+'Gantt Proyectos'!E120</f>
        <v>ThreeCrowns</v>
      </c>
      <c r="F52" s="146" t="str">
        <f>+'Gantt Proyectos'!F120</f>
        <v>USA</v>
      </c>
      <c r="G52" s="118" t="str">
        <f>+'Gantt Proyectos'!G120</f>
        <v>Chile</v>
      </c>
      <c r="H52" s="118">
        <f>+'Gantt Proyectos'!H120</f>
        <v>0</v>
      </c>
      <c r="I52" s="189">
        <v>1</v>
      </c>
      <c r="J52" s="189">
        <f t="shared" si="6"/>
        <v>0</v>
      </c>
      <c r="K52" s="118" t="str">
        <f>+'Gantt Proyectos'!I120</f>
        <v>Subterránea</v>
      </c>
      <c r="L52" s="120">
        <f>+'Gantt Proyectos'!J120</f>
        <v>1</v>
      </c>
      <c r="M52" s="118" t="str">
        <f>+'Gantt Proyectos'!K120</f>
        <v>-</v>
      </c>
      <c r="N52" s="316">
        <f>+'Gantt Proyectos'!L120</f>
        <v>350000</v>
      </c>
      <c r="O52" s="316">
        <f>+'Gantt Proyectos'!M120</f>
        <v>350000</v>
      </c>
      <c r="P52" s="118">
        <f>+'Gantt Proyectos'!N120</f>
        <v>2</v>
      </c>
      <c r="Q52" s="119">
        <f>+'Gantt Proyectos'!O120</f>
        <v>45775</v>
      </c>
      <c r="R52" s="119">
        <f>+'Gantt Proyectos'!P120</f>
        <v>45838</v>
      </c>
      <c r="S52" s="118" t="str">
        <f>+'Gantt Proyectos'!R120</f>
        <v>No</v>
      </c>
      <c r="T52" s="118">
        <f>+'Gantt Proyectos'!S120</f>
        <v>0</v>
      </c>
      <c r="U52" s="156">
        <f>+'Gantt Proyectos'!T120</f>
        <v>45775</v>
      </c>
      <c r="V52" s="156">
        <f>+'Gantt Proyectos'!U120</f>
        <v>45838</v>
      </c>
      <c r="W52" s="201">
        <f t="shared" si="7"/>
        <v>3</v>
      </c>
      <c r="X52" s="121">
        <f>+'Gantt Proyectos'!W120</f>
        <v>1</v>
      </c>
      <c r="Y52" s="122">
        <f>+'Gantt Proyectos'!X120</f>
        <v>0.33</v>
      </c>
      <c r="Z52" s="122">
        <f>+'Gantt Proyectos'!Y120</f>
        <v>0.5</v>
      </c>
      <c r="AA52" s="122">
        <f>+'Gantt Proyectos'!Z120</f>
        <v>0.33</v>
      </c>
      <c r="AB52" s="122">
        <f>+'Gantt Proyectos'!AA120</f>
        <v>1</v>
      </c>
      <c r="AC52" s="122">
        <f>+'Gantt Proyectos'!AB120</f>
        <v>0</v>
      </c>
      <c r="AD52" s="152" t="str">
        <f>+'Gantt Proyectos'!AC120</f>
        <v>Consultoria y Due Dilligence</v>
      </c>
      <c r="AE52" s="123" t="str">
        <f>+'Gantt Proyectos'!AD120</f>
        <v>Actual</v>
      </c>
      <c r="AF52" s="124" t="str">
        <f>+'Gantt Proyectos'!AE120</f>
        <v>2. KOM</v>
      </c>
      <c r="AG52" s="172">
        <v>1</v>
      </c>
      <c r="AH52" s="169">
        <f ca="1">+IFERROR(IF(ISNUMBER(OFFSET('EDP Proyectado'!AI52,0,-'Ingreso Proyectado'!$P52))&lt;&gt;0,IF(OFFSET('EDP Proyectado'!AI52,0,-'Ingreso Proyectado'!$P52)+0&lt;=1,0,OFFSET('EDP Proyectado'!AI52,0,-'Ingreso Proyectado'!$P52)+0)),0)</f>
        <v>0</v>
      </c>
      <c r="AI52" s="169">
        <f ca="1">+IFERROR(IF(ISNUMBER(OFFSET('EDP Proyectado'!AJ52,0,-'Ingreso Proyectado'!$P52))&lt;&gt;0,IF(OFFSET('EDP Proyectado'!AJ52,0,-'Ingreso Proyectado'!$P52)+0&lt;=1,0,OFFSET('EDP Proyectado'!AJ52,0,-'Ingreso Proyectado'!$P52)+0)),0)</f>
        <v>0</v>
      </c>
      <c r="AJ52" s="169">
        <f ca="1">+IFERROR(IF(ISNUMBER(OFFSET('EDP Proyectado'!AK52,0,-'Ingreso Proyectado'!$P52))&lt;&gt;0,IF(OFFSET('EDP Proyectado'!AK52,0,-'Ingreso Proyectado'!$P52)+0&lt;=1,0,OFFSET('EDP Proyectado'!AK52,0,-'Ingreso Proyectado'!$P52)+0)),0)</f>
        <v>116666.66666666666</v>
      </c>
      <c r="AK52" s="169">
        <f ca="1">+IFERROR(IF(ISNUMBER(OFFSET('EDP Proyectado'!AL52,0,-'Ingreso Proyectado'!$P52))&lt;&gt;0,IF(OFFSET('EDP Proyectado'!AL52,0,-'Ingreso Proyectado'!$P52)+0&lt;=1,0,OFFSET('EDP Proyectado'!AL52,0,-'Ingreso Proyectado'!$P52)+0)),0)</f>
        <v>116666.66666666666</v>
      </c>
      <c r="AL52" s="169">
        <f ca="1">+IFERROR(IF(ISNUMBER(OFFSET('EDP Proyectado'!AM52,0,-'Ingreso Proyectado'!$P52))&lt;&gt;0,IF(OFFSET('EDP Proyectado'!AM52,0,-'Ingreso Proyectado'!$P52)+0&lt;=1,0,OFFSET('EDP Proyectado'!AM52,0,-'Ingreso Proyectado'!$P52)+0)),0)</f>
        <v>116666.66666666666</v>
      </c>
      <c r="AM52" s="169">
        <f ca="1">+IFERROR(IF(ISNUMBER(OFFSET('EDP Proyectado'!AN52,0,-'Ingreso Proyectado'!$P52))&lt;&gt;0,IF(OFFSET('EDP Proyectado'!AN52,0,-'Ingreso Proyectado'!$P52)+0&lt;=1,0,OFFSET('EDP Proyectado'!AN52,0,-'Ingreso Proyectado'!$P52)+0)),0)</f>
        <v>0</v>
      </c>
      <c r="AN52" s="169">
        <f ca="1">+IFERROR(IF(ISNUMBER(OFFSET('EDP Proyectado'!AO52,0,-'Ingreso Proyectado'!$P52))&lt;&gt;0,IF(OFFSET('EDP Proyectado'!AO52,0,-'Ingreso Proyectado'!$P52)+0&lt;=1,0,OFFSET('EDP Proyectado'!AO52,0,-'Ingreso Proyectado'!$P52)+0)),0)</f>
        <v>0</v>
      </c>
      <c r="AO52" s="169">
        <f ca="1">+IFERROR(IF(ISNUMBER(OFFSET('EDP Proyectado'!AP52,0,-'Ingreso Proyectado'!$P52))&lt;&gt;0,IF(OFFSET('EDP Proyectado'!AP52,0,-'Ingreso Proyectado'!$P52)+0&lt;=1,0,OFFSET('EDP Proyectado'!AP52,0,-'Ingreso Proyectado'!$P52)+0)),0)</f>
        <v>0</v>
      </c>
      <c r="AP52" s="170">
        <f ca="1">+IFERROR(IF(ISNUMBER(OFFSET('EDP Proyectado'!AQ52,0,-'Ingreso Proyectado'!$P52))&lt;&gt;0,IF(OFFSET('EDP Proyectado'!AQ52,0,-'Ingreso Proyectado'!$P52)+0&lt;=1,0,OFFSET('EDP Proyectado'!AQ52,0,-'Ingreso Proyectado'!$P52)+0)),0)</f>
        <v>0</v>
      </c>
    </row>
    <row r="53" spans="3:42" x14ac:dyDescent="0.2">
      <c r="C53" s="117">
        <f>+'Gantt Proyectos'!C121</f>
        <v>25</v>
      </c>
      <c r="D53" s="118" t="str">
        <f>+'Gantt Proyectos'!D121</f>
        <v>Aura: Ingeniería Túnel de Exploraciones</v>
      </c>
      <c r="E53" s="118" t="str">
        <f>+'Gantt Proyectos'!E121</f>
        <v>Aura Minerals</v>
      </c>
      <c r="F53" s="146" t="str">
        <f>+'Gantt Proyectos'!F121</f>
        <v>Brasil</v>
      </c>
      <c r="G53" s="118" t="str">
        <f>+'Gantt Proyectos'!G121</f>
        <v>Chile</v>
      </c>
      <c r="H53" s="118">
        <f>+'Gantt Proyectos'!H121</f>
        <v>0</v>
      </c>
      <c r="I53" s="189">
        <v>1</v>
      </c>
      <c r="J53" s="189">
        <f t="shared" si="6"/>
        <v>0</v>
      </c>
      <c r="K53" s="118" t="str">
        <f>+'Gantt Proyectos'!I121</f>
        <v>Subterránea</v>
      </c>
      <c r="L53" s="120">
        <f>+'Gantt Proyectos'!J121</f>
        <v>1</v>
      </c>
      <c r="M53" s="118" t="str">
        <f>+'Gantt Proyectos'!K121</f>
        <v>AF</v>
      </c>
      <c r="N53" s="316">
        <f>+'Gantt Proyectos'!L121</f>
        <v>108000</v>
      </c>
      <c r="O53" s="316">
        <f>+'Gantt Proyectos'!M121</f>
        <v>108000</v>
      </c>
      <c r="P53" s="118">
        <f>+'Gantt Proyectos'!N121</f>
        <v>1</v>
      </c>
      <c r="Q53" s="119">
        <f>+'Gantt Proyectos'!O121</f>
        <v>45761</v>
      </c>
      <c r="R53" s="119">
        <f>+'Gantt Proyectos'!P121</f>
        <v>45859</v>
      </c>
      <c r="S53" s="118" t="str">
        <f>+'Gantt Proyectos'!R121</f>
        <v>No</v>
      </c>
      <c r="T53" s="118">
        <f>+'Gantt Proyectos'!S121</f>
        <v>0</v>
      </c>
      <c r="U53" s="156">
        <f>+'Gantt Proyectos'!T121</f>
        <v>45761</v>
      </c>
      <c r="V53" s="156">
        <f>+'Gantt Proyectos'!U121</f>
        <v>45859</v>
      </c>
      <c r="W53" s="201">
        <f t="shared" si="7"/>
        <v>4</v>
      </c>
      <c r="X53" s="121">
        <f>+'Gantt Proyectos'!W121</f>
        <v>1.4474272930648768</v>
      </c>
      <c r="Y53" s="122">
        <f>+'Gantt Proyectos'!X121</f>
        <v>0.33</v>
      </c>
      <c r="Z53" s="122">
        <f>+'Gantt Proyectos'!Y121</f>
        <v>0.5</v>
      </c>
      <c r="AA53" s="122">
        <f>+'Gantt Proyectos'!Z121</f>
        <v>0.33</v>
      </c>
      <c r="AB53" s="122">
        <f>+'Gantt Proyectos'!AA121</f>
        <v>1</v>
      </c>
      <c r="AC53" s="122">
        <f>+'Gantt Proyectos'!AB121</f>
        <v>1</v>
      </c>
      <c r="AD53" s="152" t="str">
        <f>+'Gantt Proyectos'!AC121</f>
        <v>Scoping</v>
      </c>
      <c r="AE53" s="123" t="str">
        <f>+'Gantt Proyectos'!AD121</f>
        <v>Actual</v>
      </c>
      <c r="AF53" s="124" t="str">
        <f>+'Gantt Proyectos'!AE121</f>
        <v>2. KOM</v>
      </c>
      <c r="AG53" s="172">
        <v>1</v>
      </c>
      <c r="AH53" s="169">
        <f ca="1">+IFERROR(IF(ISNUMBER(OFFSET('EDP Proyectado'!AI53,0,-'Ingreso Proyectado'!$P53))&lt;&gt;0,IF(OFFSET('EDP Proyectado'!AI53,0,-'Ingreso Proyectado'!$P53)+0&lt;=1,0,OFFSET('EDP Proyectado'!AI53,0,-'Ingreso Proyectado'!$P53)+0)),0)</f>
        <v>0</v>
      </c>
      <c r="AI53" s="169">
        <f ca="1">+IFERROR(IF(ISNUMBER(OFFSET('EDP Proyectado'!AJ53,0,-'Ingreso Proyectado'!$P53))&lt;&gt;0,IF(OFFSET('EDP Proyectado'!AJ53,0,-'Ingreso Proyectado'!$P53)+0&lt;=1,0,OFFSET('EDP Proyectado'!AJ53,0,-'Ingreso Proyectado'!$P53)+0)),0)</f>
        <v>27000</v>
      </c>
      <c r="AJ53" s="169">
        <f ca="1">+IFERROR(IF(ISNUMBER(OFFSET('EDP Proyectado'!AK53,0,-'Ingreso Proyectado'!$P53))&lt;&gt;0,IF(OFFSET('EDP Proyectado'!AK53,0,-'Ingreso Proyectado'!$P53)+0&lt;=1,0,OFFSET('EDP Proyectado'!AK53,0,-'Ingreso Proyectado'!$P53)+0)),0)</f>
        <v>27000</v>
      </c>
      <c r="AK53" s="169">
        <f ca="1">+IFERROR(IF(ISNUMBER(OFFSET('EDP Proyectado'!AL53,0,-'Ingreso Proyectado'!$P53))&lt;&gt;0,IF(OFFSET('EDP Proyectado'!AL53,0,-'Ingreso Proyectado'!$P53)+0&lt;=1,0,OFFSET('EDP Proyectado'!AL53,0,-'Ingreso Proyectado'!$P53)+0)),0)</f>
        <v>27000</v>
      </c>
      <c r="AL53" s="169">
        <f ca="1">+IFERROR(IF(ISNUMBER(OFFSET('EDP Proyectado'!AM53,0,-'Ingreso Proyectado'!$P53))&lt;&gt;0,IF(OFFSET('EDP Proyectado'!AM53,0,-'Ingreso Proyectado'!$P53)+0&lt;=1,0,OFFSET('EDP Proyectado'!AM53,0,-'Ingreso Proyectado'!$P53)+0)),0)</f>
        <v>27000</v>
      </c>
      <c r="AM53" s="169">
        <f ca="1">+IFERROR(IF(ISNUMBER(OFFSET('EDP Proyectado'!AN53,0,-'Ingreso Proyectado'!$P53))&lt;&gt;0,IF(OFFSET('EDP Proyectado'!AN53,0,-'Ingreso Proyectado'!$P53)+0&lt;=1,0,OFFSET('EDP Proyectado'!AN53,0,-'Ingreso Proyectado'!$P53)+0)),0)</f>
        <v>0</v>
      </c>
      <c r="AN53" s="169">
        <f ca="1">+IFERROR(IF(ISNUMBER(OFFSET('EDP Proyectado'!AO53,0,-'Ingreso Proyectado'!$P53))&lt;&gt;0,IF(OFFSET('EDP Proyectado'!AO53,0,-'Ingreso Proyectado'!$P53)+0&lt;=1,0,OFFSET('EDP Proyectado'!AO53,0,-'Ingreso Proyectado'!$P53)+0)),0)</f>
        <v>0</v>
      </c>
      <c r="AO53" s="169">
        <f ca="1">+IFERROR(IF(ISNUMBER(OFFSET('EDP Proyectado'!AP53,0,-'Ingreso Proyectado'!$P53))&lt;&gt;0,IF(OFFSET('EDP Proyectado'!AP53,0,-'Ingreso Proyectado'!$P53)+0&lt;=1,0,OFFSET('EDP Proyectado'!AP53,0,-'Ingreso Proyectado'!$P53)+0)),0)</f>
        <v>0</v>
      </c>
      <c r="AP53" s="170">
        <f ca="1">+IFERROR(IF(ISNUMBER(OFFSET('EDP Proyectado'!AQ53,0,-'Ingreso Proyectado'!$P53))&lt;&gt;0,IF(OFFSET('EDP Proyectado'!AQ53,0,-'Ingreso Proyectado'!$P53)+0&lt;=1,0,OFFSET('EDP Proyectado'!AQ53,0,-'Ingreso Proyectado'!$P53)+0)),0)</f>
        <v>0</v>
      </c>
    </row>
    <row r="54" spans="3:42" x14ac:dyDescent="0.2">
      <c r="C54" s="117">
        <f>+'Gantt Proyectos'!C122</f>
        <v>26</v>
      </c>
      <c r="D54" s="118" t="str">
        <f>+'Gantt Proyectos'!D122</f>
        <v>Los Calatos - DFS</v>
      </c>
      <c r="E54" s="145" t="str">
        <f>+'Gantt Proyectos'!E122</f>
        <v>CD Capital</v>
      </c>
      <c r="F54" s="147" t="str">
        <f>+'Gantt Proyectos'!F122</f>
        <v>Perú</v>
      </c>
      <c r="G54" s="118" t="str">
        <f>+'Gantt Proyectos'!G122</f>
        <v>Chile</v>
      </c>
      <c r="H54" s="118" t="str">
        <f>+'Gantt Proyectos'!H122</f>
        <v>Perú</v>
      </c>
      <c r="I54" s="189">
        <v>0.5</v>
      </c>
      <c r="J54" s="189">
        <f t="shared" si="6"/>
        <v>0.5</v>
      </c>
      <c r="K54" s="118" t="str">
        <f>+'Gantt Proyectos'!I122</f>
        <v>Subterránea</v>
      </c>
      <c r="L54" s="120">
        <f>+'Gantt Proyectos'!J122</f>
        <v>1</v>
      </c>
      <c r="M54" s="145" t="str">
        <f>+'Gantt Proyectos'!K122</f>
        <v>AF</v>
      </c>
      <c r="N54" s="460">
        <f>+'Gantt Proyectos'!L122</f>
        <v>1100000</v>
      </c>
      <c r="O54" s="460">
        <f>+'Gantt Proyectos'!M122</f>
        <v>1100000</v>
      </c>
      <c r="P54" s="145">
        <f>+'Gantt Proyectos'!N122</f>
        <v>1</v>
      </c>
      <c r="Q54" s="119">
        <f>+'Gantt Proyectos'!O122</f>
        <v>45840</v>
      </c>
      <c r="R54" s="119">
        <f>+'Gantt Proyectos'!P122</f>
        <v>46058</v>
      </c>
      <c r="S54" s="145" t="str">
        <f>+'Gantt Proyectos'!R122</f>
        <v>No</v>
      </c>
      <c r="T54" s="118">
        <f>+'Gantt Proyectos'!S122</f>
        <v>0</v>
      </c>
      <c r="U54" s="156">
        <f>+'Gantt Proyectos'!T122</f>
        <v>45840</v>
      </c>
      <c r="V54" s="156">
        <f>+'Gantt Proyectos'!U122</f>
        <v>46058</v>
      </c>
      <c r="W54" s="201">
        <f t="shared" si="7"/>
        <v>8</v>
      </c>
      <c r="X54" s="121">
        <f>+'Gantt Proyectos'!W122</f>
        <v>2.5503355704697985</v>
      </c>
      <c r="Y54" s="122">
        <f>+'Gantt Proyectos'!X122</f>
        <v>0.5</v>
      </c>
      <c r="Z54" s="122">
        <f>+'Gantt Proyectos'!Y122</f>
        <v>0.67</v>
      </c>
      <c r="AA54" s="122">
        <f>+'Gantt Proyectos'!Z122</f>
        <v>1</v>
      </c>
      <c r="AB54" s="122">
        <f>+'Gantt Proyectos'!AA122</f>
        <v>2.5</v>
      </c>
      <c r="AC54" s="122">
        <f>+'Gantt Proyectos'!AB122</f>
        <v>1</v>
      </c>
      <c r="AD54" s="152" t="str">
        <f>+'Gantt Proyectos'!AC122</f>
        <v>FS e Ing. Basica</v>
      </c>
      <c r="AE54" s="123" t="str">
        <f>+'Gantt Proyectos'!AD122</f>
        <v>Asignado</v>
      </c>
      <c r="AF54" s="124" t="str">
        <f>+'Gantt Proyectos'!AE122</f>
        <v>1. Proyectado: Asignado</v>
      </c>
      <c r="AG54" s="172">
        <v>1</v>
      </c>
      <c r="AH54" s="169">
        <f ca="1">+IFERROR(IF(ISNUMBER(OFFSET('EDP Proyectado'!AI54,0,-'Ingreso Proyectado'!$P54))&lt;&gt;0,IF(OFFSET('EDP Proyectado'!AI54,0,-'Ingreso Proyectado'!$P54)+0&lt;=1,0,OFFSET('EDP Proyectado'!AI54,0,-'Ingreso Proyectado'!$P54)+0)),0)</f>
        <v>0</v>
      </c>
      <c r="AI54" s="169">
        <f ca="1">+IFERROR(IF(ISNUMBER(OFFSET('EDP Proyectado'!AJ54,0,-'Ingreso Proyectado'!$P54))&lt;&gt;0,IF(OFFSET('EDP Proyectado'!AJ54,0,-'Ingreso Proyectado'!$P54)+0&lt;=1,0,OFFSET('EDP Proyectado'!AJ54,0,-'Ingreso Proyectado'!$P54)+0)),0)</f>
        <v>0</v>
      </c>
      <c r="AJ54" s="169">
        <f ca="1">+IFERROR(IF(ISNUMBER(OFFSET('EDP Proyectado'!AK54,0,-'Ingreso Proyectado'!$P54))&lt;&gt;0,IF(OFFSET('EDP Proyectado'!AK54,0,-'Ingreso Proyectado'!$P54)+0&lt;=1,0,OFFSET('EDP Proyectado'!AK54,0,-'Ingreso Proyectado'!$P54)+0)),0)</f>
        <v>0</v>
      </c>
      <c r="AK54" s="169">
        <f ca="1">+IFERROR(IF(ISNUMBER(OFFSET('EDP Proyectado'!AL54,0,-'Ingreso Proyectado'!$P54))&lt;&gt;0,IF(OFFSET('EDP Proyectado'!AL54,0,-'Ingreso Proyectado'!$P54)+0&lt;=1,0,OFFSET('EDP Proyectado'!AL54,0,-'Ingreso Proyectado'!$P54)+0)),0)</f>
        <v>0</v>
      </c>
      <c r="AL54" s="169">
        <f ca="1">+IFERROR(IF(ISNUMBER(OFFSET('EDP Proyectado'!AM54,0,-'Ingreso Proyectado'!$P54))&lt;&gt;0,IF(OFFSET('EDP Proyectado'!AM54,0,-'Ingreso Proyectado'!$P54)+0&lt;=1,0,OFFSET('EDP Proyectado'!AM54,0,-'Ingreso Proyectado'!$P54)+0)),0)</f>
        <v>137500</v>
      </c>
      <c r="AM54" s="169">
        <f ca="1">+IFERROR(IF(ISNUMBER(OFFSET('EDP Proyectado'!AN54,0,-'Ingreso Proyectado'!$P54))&lt;&gt;0,IF(OFFSET('EDP Proyectado'!AN54,0,-'Ingreso Proyectado'!$P54)+0&lt;=1,0,OFFSET('EDP Proyectado'!AN54,0,-'Ingreso Proyectado'!$P54)+0)),0)</f>
        <v>137500</v>
      </c>
      <c r="AN54" s="169">
        <f ca="1">+IFERROR(IF(ISNUMBER(OFFSET('EDP Proyectado'!AO54,0,-'Ingreso Proyectado'!$P54))&lt;&gt;0,IF(OFFSET('EDP Proyectado'!AO54,0,-'Ingreso Proyectado'!$P54)+0&lt;=1,0,OFFSET('EDP Proyectado'!AO54,0,-'Ingreso Proyectado'!$P54)+0)),0)</f>
        <v>137500</v>
      </c>
      <c r="AO54" s="169">
        <f ca="1">+IFERROR(IF(ISNUMBER(OFFSET('EDP Proyectado'!AP54,0,-'Ingreso Proyectado'!$P54))&lt;&gt;0,IF(OFFSET('EDP Proyectado'!AP54,0,-'Ingreso Proyectado'!$P54)+0&lt;=1,0,OFFSET('EDP Proyectado'!AP54,0,-'Ingreso Proyectado'!$P54)+0)),0)</f>
        <v>137500</v>
      </c>
      <c r="AP54" s="170">
        <f ca="1">+IFERROR(IF(ISNUMBER(OFFSET('EDP Proyectado'!AQ54,0,-'Ingreso Proyectado'!$P54))&lt;&gt;0,IF(OFFSET('EDP Proyectado'!AQ54,0,-'Ingreso Proyectado'!$P54)+0&lt;=1,0,OFFSET('EDP Proyectado'!AQ54,0,-'Ingreso Proyectado'!$P54)+0)),0)</f>
        <v>137500</v>
      </c>
    </row>
    <row r="55" spans="3:42" x14ac:dyDescent="0.2">
      <c r="C55" s="117">
        <f>+'Gantt Proyectos'!C123</f>
        <v>27</v>
      </c>
      <c r="D55" s="118" t="str">
        <f>+'Gantt Proyectos'!D123</f>
        <v>Ferrobamba PFS</v>
      </c>
      <c r="E55" s="145" t="str">
        <f>+'Gantt Proyectos'!E123</f>
        <v>Las Bambas</v>
      </c>
      <c r="F55" s="147" t="str">
        <f>+'Gantt Proyectos'!F123</f>
        <v>Perú</v>
      </c>
      <c r="G55" s="118" t="str">
        <f>+'Gantt Proyectos'!G123</f>
        <v>Chile</v>
      </c>
      <c r="H55" s="118">
        <f>+'Gantt Proyectos'!H123</f>
        <v>0</v>
      </c>
      <c r="I55" s="189">
        <v>1</v>
      </c>
      <c r="J55" s="189">
        <f t="shared" si="6"/>
        <v>0</v>
      </c>
      <c r="K55" s="118" t="str">
        <f>+'Gantt Proyectos'!I123</f>
        <v>Subterránea</v>
      </c>
      <c r="L55" s="120">
        <f>+'Gantt Proyectos'!J123</f>
        <v>1</v>
      </c>
      <c r="M55" s="145" t="str">
        <f>+'Gantt Proyectos'!K123</f>
        <v>RM</v>
      </c>
      <c r="N55" s="460">
        <f>+'Gantt Proyectos'!L123</f>
        <v>600000</v>
      </c>
      <c r="O55" s="460">
        <f>+'Gantt Proyectos'!M123</f>
        <v>600000</v>
      </c>
      <c r="P55" s="145">
        <f>+'Gantt Proyectos'!N123</f>
        <v>2</v>
      </c>
      <c r="Q55" s="119">
        <f>+'Gantt Proyectos'!O123</f>
        <v>45845</v>
      </c>
      <c r="R55" s="119">
        <f>+'Gantt Proyectos'!P123</f>
        <v>46139</v>
      </c>
      <c r="S55" s="145" t="str">
        <f>+'Gantt Proyectos'!R123</f>
        <v>No</v>
      </c>
      <c r="T55" s="118">
        <f>+'Gantt Proyectos'!S123</f>
        <v>0</v>
      </c>
      <c r="U55" s="156">
        <f>+'Gantt Proyectos'!T123</f>
        <v>45845</v>
      </c>
      <c r="V55" s="156">
        <f>+'Gantt Proyectos'!U123</f>
        <v>46139</v>
      </c>
      <c r="W55" s="201">
        <f t="shared" si="7"/>
        <v>10</v>
      </c>
      <c r="X55" s="121">
        <f>+'Gantt Proyectos'!W123</f>
        <v>1.5111856823266216</v>
      </c>
      <c r="Y55" s="122">
        <f>+'Gantt Proyectos'!X123</f>
        <v>0.5</v>
      </c>
      <c r="Z55" s="122">
        <f>+'Gantt Proyectos'!Y123</f>
        <v>0.5</v>
      </c>
      <c r="AA55" s="122">
        <f>+'Gantt Proyectos'!Z123</f>
        <v>0.75</v>
      </c>
      <c r="AB55" s="122">
        <f>+'Gantt Proyectos'!AA123</f>
        <v>2</v>
      </c>
      <c r="AC55" s="122">
        <f>+'Gantt Proyectos'!AB123</f>
        <v>1</v>
      </c>
      <c r="AD55" s="152" t="str">
        <f>+'Gantt Proyectos'!AC123</f>
        <v>PFS</v>
      </c>
      <c r="AE55" s="123" t="str">
        <f>+'Gantt Proyectos'!AD123</f>
        <v>No Asignado</v>
      </c>
      <c r="AF55" s="124" t="str">
        <f>+'Gantt Proyectos'!AE123</f>
        <v>1. Proyectado: No  Asignado</v>
      </c>
      <c r="AG55" s="172">
        <v>1</v>
      </c>
      <c r="AH55" s="169">
        <f ca="1">+IFERROR(IF(ISNUMBER(OFFSET('EDP Proyectado'!AI55,0,-'Ingreso Proyectado'!$P55))&lt;&gt;0,IF(OFFSET('EDP Proyectado'!AI55,0,-'Ingreso Proyectado'!$P55)+0&lt;=1,0,OFFSET('EDP Proyectado'!AI55,0,-'Ingreso Proyectado'!$P55)+0)),0)</f>
        <v>0</v>
      </c>
      <c r="AI55" s="169">
        <f ca="1">+IFERROR(IF(ISNUMBER(OFFSET('EDP Proyectado'!AJ55,0,-'Ingreso Proyectado'!$P55))&lt;&gt;0,IF(OFFSET('EDP Proyectado'!AJ55,0,-'Ingreso Proyectado'!$P55)+0&lt;=1,0,OFFSET('EDP Proyectado'!AJ55,0,-'Ingreso Proyectado'!$P55)+0)),0)</f>
        <v>0</v>
      </c>
      <c r="AJ55" s="169">
        <f ca="1">+IFERROR(IF(ISNUMBER(OFFSET('EDP Proyectado'!AK55,0,-'Ingreso Proyectado'!$P55))&lt;&gt;0,IF(OFFSET('EDP Proyectado'!AK55,0,-'Ingreso Proyectado'!$P55)+0&lt;=1,0,OFFSET('EDP Proyectado'!AK55,0,-'Ingreso Proyectado'!$P55)+0)),0)</f>
        <v>0</v>
      </c>
      <c r="AK55" s="169">
        <f ca="1">+IFERROR(IF(ISNUMBER(OFFSET('EDP Proyectado'!AL55,0,-'Ingreso Proyectado'!$P55))&lt;&gt;0,IF(OFFSET('EDP Proyectado'!AL55,0,-'Ingreso Proyectado'!$P55)+0&lt;=1,0,OFFSET('EDP Proyectado'!AL55,0,-'Ingreso Proyectado'!$P55)+0)),0)</f>
        <v>0</v>
      </c>
      <c r="AL55" s="169">
        <f ca="1">+IFERROR(IF(ISNUMBER(OFFSET('EDP Proyectado'!AM55,0,-'Ingreso Proyectado'!$P55))&lt;&gt;0,IF(OFFSET('EDP Proyectado'!AM55,0,-'Ingreso Proyectado'!$P55)+0&lt;=1,0,OFFSET('EDP Proyectado'!AM55,0,-'Ingreso Proyectado'!$P55)+0)),0)</f>
        <v>0</v>
      </c>
      <c r="AM55" s="169">
        <f ca="1">+IFERROR(IF(ISNUMBER(OFFSET('EDP Proyectado'!AN55,0,-'Ingreso Proyectado'!$P55))&lt;&gt;0,IF(OFFSET('EDP Proyectado'!AN55,0,-'Ingreso Proyectado'!$P55)+0&lt;=1,0,OFFSET('EDP Proyectado'!AN55,0,-'Ingreso Proyectado'!$P55)+0)),0)</f>
        <v>42000</v>
      </c>
      <c r="AN55" s="169">
        <f ca="1">+IFERROR(IF(ISNUMBER(OFFSET('EDP Proyectado'!AO55,0,-'Ingreso Proyectado'!$P55))&lt;&gt;0,IF(OFFSET('EDP Proyectado'!AO55,0,-'Ingreso Proyectado'!$P55)+0&lt;=1,0,OFFSET('EDP Proyectado'!AO55,0,-'Ingreso Proyectado'!$P55)+0)),0)</f>
        <v>42000</v>
      </c>
      <c r="AO55" s="169">
        <f ca="1">+IFERROR(IF(ISNUMBER(OFFSET('EDP Proyectado'!AP55,0,-'Ingreso Proyectado'!$P55))&lt;&gt;0,IF(OFFSET('EDP Proyectado'!AP55,0,-'Ingreso Proyectado'!$P55)+0&lt;=1,0,OFFSET('EDP Proyectado'!AP55,0,-'Ingreso Proyectado'!$P55)+0)),0)</f>
        <v>42000</v>
      </c>
      <c r="AP55" s="170">
        <f ca="1">+IFERROR(IF(ISNUMBER(OFFSET('EDP Proyectado'!AQ55,0,-'Ingreso Proyectado'!$P55))&lt;&gt;0,IF(OFFSET('EDP Proyectado'!AQ55,0,-'Ingreso Proyectado'!$P55)+0&lt;=1,0,OFFSET('EDP Proyectado'!AQ55,0,-'Ingreso Proyectado'!$P55)+0)),0)</f>
        <v>42000</v>
      </c>
    </row>
    <row r="56" spans="3:42" x14ac:dyDescent="0.2">
      <c r="C56" s="117">
        <f>+'Gantt Proyectos'!C124</f>
        <v>28</v>
      </c>
      <c r="D56" s="118" t="str">
        <f>+'Gantt Proyectos'!D124</f>
        <v>Caserones: Implementacion NSR en Corto Plazo</v>
      </c>
      <c r="E56" s="145" t="str">
        <f>+'Gantt Proyectos'!E124</f>
        <v>Lundin</v>
      </c>
      <c r="F56" s="147" t="str">
        <f>+'Gantt Proyectos'!F124</f>
        <v>Chile</v>
      </c>
      <c r="G56" s="118" t="str">
        <f>+'Gantt Proyectos'!G124</f>
        <v>Chile</v>
      </c>
      <c r="H56" s="118">
        <f>+'Gantt Proyectos'!H124</f>
        <v>0</v>
      </c>
      <c r="I56" s="189">
        <v>1</v>
      </c>
      <c r="J56" s="189">
        <f t="shared" si="6"/>
        <v>0</v>
      </c>
      <c r="K56" s="118" t="str">
        <f>+'Gantt Proyectos'!I124</f>
        <v>Open Pit</v>
      </c>
      <c r="L56" s="120">
        <f>+'Gantt Proyectos'!J124</f>
        <v>0</v>
      </c>
      <c r="M56" s="145" t="str">
        <f>+'Gantt Proyectos'!K124</f>
        <v>FR</v>
      </c>
      <c r="N56" s="460">
        <f>+'Gantt Proyectos'!L124</f>
        <v>0</v>
      </c>
      <c r="O56" s="460">
        <f>+'Gantt Proyectos'!M124</f>
        <v>0</v>
      </c>
      <c r="P56" s="145">
        <f>+'Gantt Proyectos'!N124</f>
        <v>2</v>
      </c>
      <c r="Q56" s="119">
        <f>+'Gantt Proyectos'!O124</f>
        <v>45782</v>
      </c>
      <c r="R56" s="119">
        <f>+'Gantt Proyectos'!P124</f>
        <v>45866</v>
      </c>
      <c r="S56" s="145" t="str">
        <f>+'Gantt Proyectos'!R124</f>
        <v>No</v>
      </c>
      <c r="T56" s="118">
        <f>+'Gantt Proyectos'!S124</f>
        <v>0</v>
      </c>
      <c r="U56" s="156">
        <f>+'Gantt Proyectos'!T124</f>
        <v>45782</v>
      </c>
      <c r="V56" s="156">
        <f>+'Gantt Proyectos'!U124</f>
        <v>45866</v>
      </c>
      <c r="W56" s="201">
        <f t="shared" si="7"/>
        <v>3</v>
      </c>
      <c r="X56" s="121">
        <f>+'Gantt Proyectos'!W124</f>
        <v>0</v>
      </c>
      <c r="Y56" s="122">
        <f>+'Gantt Proyectos'!X124</f>
        <v>0</v>
      </c>
      <c r="Z56" s="122">
        <f>+'Gantt Proyectos'!Y124</f>
        <v>0</v>
      </c>
      <c r="AA56" s="122">
        <f>+'Gantt Proyectos'!Z124</f>
        <v>0</v>
      </c>
      <c r="AB56" s="122">
        <f>+'Gantt Proyectos'!AA124</f>
        <v>0</v>
      </c>
      <c r="AC56" s="122">
        <f>+'Gantt Proyectos'!AB124</f>
        <v>0</v>
      </c>
      <c r="AD56" s="152" t="str">
        <f>+'Gantt Proyectos'!AC124</f>
        <v>Consultoria y Due Dilligence</v>
      </c>
      <c r="AE56" s="123" t="str">
        <f>+'Gantt Proyectos'!AD124</f>
        <v>No Asignado</v>
      </c>
      <c r="AF56" s="124" t="str">
        <f>+'Gantt Proyectos'!AE124</f>
        <v>1. Proyectado: No  Asignado</v>
      </c>
      <c r="AG56" s="172">
        <v>1</v>
      </c>
      <c r="AH56" s="169">
        <f ca="1">+IFERROR(IF(ISNUMBER(OFFSET('EDP Proyectado'!AI56,0,-'Ingreso Proyectado'!$P56))&lt;&gt;0,IF(OFFSET('EDP Proyectado'!AI56,0,-'Ingreso Proyectado'!$P56)+0&lt;=1,0,OFFSET('EDP Proyectado'!AI56,0,-'Ingreso Proyectado'!$P56)+0)),0)</f>
        <v>0</v>
      </c>
      <c r="AI56" s="169">
        <f ca="1">+IFERROR(IF(ISNUMBER(OFFSET('EDP Proyectado'!AJ56,0,-'Ingreso Proyectado'!$P56))&lt;&gt;0,IF(OFFSET('EDP Proyectado'!AJ56,0,-'Ingreso Proyectado'!$P56)+0&lt;=1,0,OFFSET('EDP Proyectado'!AJ56,0,-'Ingreso Proyectado'!$P56)+0)),0)</f>
        <v>0</v>
      </c>
      <c r="AJ56" s="169">
        <f ca="1">+IFERROR(IF(ISNUMBER(OFFSET('EDP Proyectado'!AK56,0,-'Ingreso Proyectado'!$P56))&lt;&gt;0,IF(OFFSET('EDP Proyectado'!AK56,0,-'Ingreso Proyectado'!$P56)+0&lt;=1,0,OFFSET('EDP Proyectado'!AK56,0,-'Ingreso Proyectado'!$P56)+0)),0)</f>
        <v>0</v>
      </c>
      <c r="AK56" s="169">
        <f ca="1">+IFERROR(IF(ISNUMBER(OFFSET('EDP Proyectado'!AL56,0,-'Ingreso Proyectado'!$P56))&lt;&gt;0,IF(OFFSET('EDP Proyectado'!AL56,0,-'Ingreso Proyectado'!$P56)+0&lt;=1,0,OFFSET('EDP Proyectado'!AL56,0,-'Ingreso Proyectado'!$P56)+0)),0)</f>
        <v>0</v>
      </c>
      <c r="AL56" s="169">
        <f ca="1">+IFERROR(IF(ISNUMBER(OFFSET('EDP Proyectado'!AM56,0,-'Ingreso Proyectado'!$P56))&lt;&gt;0,IF(OFFSET('EDP Proyectado'!AM56,0,-'Ingreso Proyectado'!$P56)+0&lt;=1,0,OFFSET('EDP Proyectado'!AM56,0,-'Ingreso Proyectado'!$P56)+0)),0)</f>
        <v>0</v>
      </c>
      <c r="AM56" s="169">
        <f ca="1">+IFERROR(IF(ISNUMBER(OFFSET('EDP Proyectado'!AN56,0,-'Ingreso Proyectado'!$P56))&lt;&gt;0,IF(OFFSET('EDP Proyectado'!AN56,0,-'Ingreso Proyectado'!$P56)+0&lt;=1,0,OFFSET('EDP Proyectado'!AN56,0,-'Ingreso Proyectado'!$P56)+0)),0)</f>
        <v>0</v>
      </c>
      <c r="AN56" s="169">
        <f ca="1">+IFERROR(IF(ISNUMBER(OFFSET('EDP Proyectado'!AO56,0,-'Ingreso Proyectado'!$P56))&lt;&gt;0,IF(OFFSET('EDP Proyectado'!AO56,0,-'Ingreso Proyectado'!$P56)+0&lt;=1,0,OFFSET('EDP Proyectado'!AO56,0,-'Ingreso Proyectado'!$P56)+0)),0)</f>
        <v>0</v>
      </c>
      <c r="AO56" s="169">
        <f ca="1">+IFERROR(IF(ISNUMBER(OFFSET('EDP Proyectado'!AP56,0,-'Ingreso Proyectado'!$P56))&lt;&gt;0,IF(OFFSET('EDP Proyectado'!AP56,0,-'Ingreso Proyectado'!$P56)+0&lt;=1,0,OFFSET('EDP Proyectado'!AP56,0,-'Ingreso Proyectado'!$P56)+0)),0)</f>
        <v>0</v>
      </c>
      <c r="AP56" s="170">
        <f ca="1">+IFERROR(IF(ISNUMBER(OFFSET('EDP Proyectado'!AQ56,0,-'Ingreso Proyectado'!$P56))&lt;&gt;0,IF(OFFSET('EDP Proyectado'!AQ56,0,-'Ingreso Proyectado'!$P56)+0&lt;=1,0,OFFSET('EDP Proyectado'!AQ56,0,-'Ingreso Proyectado'!$P56)+0)),0)</f>
        <v>0</v>
      </c>
    </row>
    <row r="57" spans="3:42" x14ac:dyDescent="0.2">
      <c r="C57" s="117">
        <f>+'Gantt Proyectos'!C125</f>
        <v>29</v>
      </c>
      <c r="D57" s="118" t="str">
        <f>+'Gantt Proyectos'!D125</f>
        <v>Caserones: Análisis Estratégico</v>
      </c>
      <c r="E57" s="145" t="str">
        <f>+'Gantt Proyectos'!E125</f>
        <v>Lundin</v>
      </c>
      <c r="F57" s="147" t="str">
        <f>+'Gantt Proyectos'!F125</f>
        <v>Chile</v>
      </c>
      <c r="G57" s="118" t="str">
        <f>+'Gantt Proyectos'!G125</f>
        <v>Chile</v>
      </c>
      <c r="H57" s="118">
        <f>+'Gantt Proyectos'!H125</f>
        <v>0</v>
      </c>
      <c r="I57" s="189">
        <v>1</v>
      </c>
      <c r="J57" s="189">
        <f t="shared" si="6"/>
        <v>0</v>
      </c>
      <c r="K57" s="118" t="str">
        <f>+'Gantt Proyectos'!I125</f>
        <v>Open Pit</v>
      </c>
      <c r="L57" s="120">
        <f>+'Gantt Proyectos'!J125</f>
        <v>1</v>
      </c>
      <c r="M57" s="145" t="str">
        <f>+'Gantt Proyectos'!K125</f>
        <v>FR</v>
      </c>
      <c r="N57" s="460">
        <f>+'Gantt Proyectos'!L125</f>
        <v>300000</v>
      </c>
      <c r="O57" s="460">
        <f>+'Gantt Proyectos'!M125</f>
        <v>300000</v>
      </c>
      <c r="P57" s="145">
        <f>+'Gantt Proyectos'!N125</f>
        <v>2</v>
      </c>
      <c r="Q57" s="119">
        <f>+'Gantt Proyectos'!O125</f>
        <v>45782</v>
      </c>
      <c r="R57" s="119">
        <f>+'Gantt Proyectos'!P125</f>
        <v>45887</v>
      </c>
      <c r="S57" s="145" t="str">
        <f>+'Gantt Proyectos'!R125</f>
        <v>No</v>
      </c>
      <c r="T57" s="118">
        <f>+'Gantt Proyectos'!S125</f>
        <v>0</v>
      </c>
      <c r="U57" s="156">
        <f>+'Gantt Proyectos'!T125</f>
        <v>45782</v>
      </c>
      <c r="V57" s="156">
        <f>+'Gantt Proyectos'!U125</f>
        <v>45887</v>
      </c>
      <c r="W57" s="201">
        <f t="shared" si="7"/>
        <v>4</v>
      </c>
      <c r="X57" s="121">
        <f>+'Gantt Proyectos'!W125</f>
        <v>0.72035794183445179</v>
      </c>
      <c r="Y57" s="122">
        <f>+'Gantt Proyectos'!X125</f>
        <v>0.25</v>
      </c>
      <c r="Z57" s="122">
        <f>+'Gantt Proyectos'!Y125</f>
        <v>0.33</v>
      </c>
      <c r="AA57" s="122">
        <f>+'Gantt Proyectos'!Z125</f>
        <v>0</v>
      </c>
      <c r="AB57" s="122">
        <f>+'Gantt Proyectos'!AA125</f>
        <v>0.5</v>
      </c>
      <c r="AC57" s="122">
        <f>+'Gantt Proyectos'!AB125</f>
        <v>0.5</v>
      </c>
      <c r="AD57" s="152" t="str">
        <f>+'Gantt Proyectos'!AC125</f>
        <v>Estudio Conceptual / LOM</v>
      </c>
      <c r="AE57" s="123" t="str">
        <f>+'Gantt Proyectos'!AD125</f>
        <v>Actual</v>
      </c>
      <c r="AF57" s="124" t="str">
        <f>+'Gantt Proyectos'!AE125</f>
        <v>3. Avance: 25%</v>
      </c>
      <c r="AG57" s="172">
        <v>1</v>
      </c>
      <c r="AH57" s="169">
        <f ca="1">+IFERROR(IF(ISNUMBER(OFFSET('EDP Proyectado'!AI57,0,-'Ingreso Proyectado'!$P57))&lt;&gt;0,IF(OFFSET('EDP Proyectado'!AI57,0,-'Ingreso Proyectado'!$P57)+0&lt;=1,0,OFFSET('EDP Proyectado'!AI57,0,-'Ingreso Proyectado'!$P57)+0)),0)</f>
        <v>0</v>
      </c>
      <c r="AI57" s="169">
        <f ca="1">+IFERROR(IF(ISNUMBER(OFFSET('EDP Proyectado'!AJ57,0,-'Ingreso Proyectado'!$P57))&lt;&gt;0,IF(OFFSET('EDP Proyectado'!AJ57,0,-'Ingreso Proyectado'!$P57)+0&lt;=1,0,OFFSET('EDP Proyectado'!AJ57,0,-'Ingreso Proyectado'!$P57)+0)),0)</f>
        <v>0</v>
      </c>
      <c r="AJ57" s="169">
        <f ca="1">+IFERROR(IF(ISNUMBER(OFFSET('EDP Proyectado'!AK57,0,-'Ingreso Proyectado'!$P57))&lt;&gt;0,IF(OFFSET('EDP Proyectado'!AK57,0,-'Ingreso Proyectado'!$P57)+0&lt;=1,0,OFFSET('EDP Proyectado'!AK57,0,-'Ingreso Proyectado'!$P57)+0)),0)</f>
        <v>0</v>
      </c>
      <c r="AK57" s="169">
        <f ca="1">+IFERROR(IF(ISNUMBER(OFFSET('EDP Proyectado'!AL57,0,-'Ingreso Proyectado'!$P57))&lt;&gt;0,IF(OFFSET('EDP Proyectado'!AL57,0,-'Ingreso Proyectado'!$P57)+0&lt;=1,0,OFFSET('EDP Proyectado'!AL57,0,-'Ingreso Proyectado'!$P57)+0)),0)</f>
        <v>75000</v>
      </c>
      <c r="AL57" s="169">
        <f ca="1">+IFERROR(IF(ISNUMBER(OFFSET('EDP Proyectado'!AM57,0,-'Ingreso Proyectado'!$P57))&lt;&gt;0,IF(OFFSET('EDP Proyectado'!AM57,0,-'Ingreso Proyectado'!$P57)+0&lt;=1,0,OFFSET('EDP Proyectado'!AM57,0,-'Ingreso Proyectado'!$P57)+0)),0)</f>
        <v>75000</v>
      </c>
      <c r="AM57" s="169">
        <f ca="1">+IFERROR(IF(ISNUMBER(OFFSET('EDP Proyectado'!AN57,0,-'Ingreso Proyectado'!$P57))&lt;&gt;0,IF(OFFSET('EDP Proyectado'!AN57,0,-'Ingreso Proyectado'!$P57)+0&lt;=1,0,OFFSET('EDP Proyectado'!AN57,0,-'Ingreso Proyectado'!$P57)+0)),0)</f>
        <v>75000</v>
      </c>
      <c r="AN57" s="169">
        <f ca="1">+IFERROR(IF(ISNUMBER(OFFSET('EDP Proyectado'!AO57,0,-'Ingreso Proyectado'!$P57))&lt;&gt;0,IF(OFFSET('EDP Proyectado'!AO57,0,-'Ingreso Proyectado'!$P57)+0&lt;=1,0,OFFSET('EDP Proyectado'!AO57,0,-'Ingreso Proyectado'!$P57)+0)),0)</f>
        <v>75000</v>
      </c>
      <c r="AO57" s="169">
        <f ca="1">+IFERROR(IF(ISNUMBER(OFFSET('EDP Proyectado'!AP57,0,-'Ingreso Proyectado'!$P57))&lt;&gt;0,IF(OFFSET('EDP Proyectado'!AP57,0,-'Ingreso Proyectado'!$P57)+0&lt;=1,0,OFFSET('EDP Proyectado'!AP57,0,-'Ingreso Proyectado'!$P57)+0)),0)</f>
        <v>0</v>
      </c>
      <c r="AP57" s="170">
        <f ca="1">+IFERROR(IF(ISNUMBER(OFFSET('EDP Proyectado'!AQ57,0,-'Ingreso Proyectado'!$P57))&lt;&gt;0,IF(OFFSET('EDP Proyectado'!AQ57,0,-'Ingreso Proyectado'!$P57)+0&lt;=1,0,OFFSET('EDP Proyectado'!AQ57,0,-'Ingreso Proyectado'!$P57)+0)),0)</f>
        <v>0</v>
      </c>
    </row>
    <row r="58" spans="3:42" x14ac:dyDescent="0.2">
      <c r="C58" s="117">
        <f>+'Gantt Proyectos'!C126</f>
        <v>30</v>
      </c>
      <c r="D58" s="118" t="str">
        <f>+'Gantt Proyectos'!D126</f>
        <v>QuinnEmanuel: OT Allegation</v>
      </c>
      <c r="E58" s="145" t="str">
        <f>+'Gantt Proyectos'!E126</f>
        <v>QuinnEmanuel</v>
      </c>
      <c r="F58" s="147" t="str">
        <f>+'Gantt Proyectos'!F126</f>
        <v>USA</v>
      </c>
      <c r="G58" s="118" t="str">
        <f>+'Gantt Proyectos'!G126</f>
        <v>Chile</v>
      </c>
      <c r="H58" s="118">
        <f>+'Gantt Proyectos'!H126</f>
        <v>0</v>
      </c>
      <c r="I58" s="189">
        <v>1</v>
      </c>
      <c r="J58" s="189">
        <f t="shared" si="6"/>
        <v>0</v>
      </c>
      <c r="K58" s="118" t="str">
        <f>+'Gantt Proyectos'!I126</f>
        <v>Subterránea</v>
      </c>
      <c r="L58" s="120">
        <f>+'Gantt Proyectos'!J126</f>
        <v>1</v>
      </c>
      <c r="M58" s="145" t="str">
        <f>+'Gantt Proyectos'!K126</f>
        <v>MF</v>
      </c>
      <c r="N58" s="460">
        <f>+'Gantt Proyectos'!L126</f>
        <v>300000</v>
      </c>
      <c r="O58" s="460">
        <f>+'Gantt Proyectos'!M126</f>
        <v>300000</v>
      </c>
      <c r="P58" s="145">
        <f>+'Gantt Proyectos'!N126</f>
        <v>2</v>
      </c>
      <c r="Q58" s="119">
        <f>+'Gantt Proyectos'!O126</f>
        <v>45838</v>
      </c>
      <c r="R58" s="119">
        <f>+'Gantt Proyectos'!P126</f>
        <v>46023</v>
      </c>
      <c r="S58" s="145" t="str">
        <f>+'Gantt Proyectos'!R126</f>
        <v>No</v>
      </c>
      <c r="T58" s="118">
        <f>+'Gantt Proyectos'!S126</f>
        <v>0</v>
      </c>
      <c r="U58" s="156">
        <f>+'Gantt Proyectos'!T126</f>
        <v>45838</v>
      </c>
      <c r="V58" s="156">
        <f>+'Gantt Proyectos'!U126</f>
        <v>46023</v>
      </c>
      <c r="W58" s="201">
        <f t="shared" si="7"/>
        <v>7</v>
      </c>
      <c r="X58" s="121">
        <f>+'Gantt Proyectos'!W126</f>
        <v>0.1</v>
      </c>
      <c r="Y58" s="122">
        <f>+'Gantt Proyectos'!X126</f>
        <v>0.33</v>
      </c>
      <c r="Z58" s="122">
        <f>+'Gantt Proyectos'!Y126</f>
        <v>0.5</v>
      </c>
      <c r="AA58" s="122">
        <f>+'Gantt Proyectos'!Z126</f>
        <v>0.33</v>
      </c>
      <c r="AB58" s="122">
        <f>+'Gantt Proyectos'!AA126</f>
        <v>1</v>
      </c>
      <c r="AC58" s="122">
        <f>+'Gantt Proyectos'!AB126</f>
        <v>0</v>
      </c>
      <c r="AD58" s="152" t="str">
        <f>+'Gantt Proyectos'!AC126</f>
        <v>Consultoria y Due Dilligence</v>
      </c>
      <c r="AE58" s="123" t="str">
        <f>+'Gantt Proyectos'!AD126</f>
        <v>No Asignado</v>
      </c>
      <c r="AF58" s="124" t="str">
        <f>+'Gantt Proyectos'!AE126</f>
        <v>1. Proyectado: No  Asignado</v>
      </c>
      <c r="AG58" s="172">
        <v>1</v>
      </c>
      <c r="AH58" s="169">
        <f ca="1">+IFERROR(IF(ISNUMBER(OFFSET('EDP Proyectado'!AI58,0,-'Ingreso Proyectado'!$P58))&lt;&gt;0,IF(OFFSET('EDP Proyectado'!AI58,0,-'Ingreso Proyectado'!$P58)+0&lt;=1,0,OFFSET('EDP Proyectado'!AI58,0,-'Ingreso Proyectado'!$P58)+0)),0)</f>
        <v>0</v>
      </c>
      <c r="AI58" s="169">
        <f ca="1">+IFERROR(IF(ISNUMBER(OFFSET('EDP Proyectado'!AJ58,0,-'Ingreso Proyectado'!$P58))&lt;&gt;0,IF(OFFSET('EDP Proyectado'!AJ58,0,-'Ingreso Proyectado'!$P58)+0&lt;=1,0,OFFSET('EDP Proyectado'!AJ58,0,-'Ingreso Proyectado'!$P58)+0)),0)</f>
        <v>0</v>
      </c>
      <c r="AJ58" s="169">
        <f ca="1">+IFERROR(IF(ISNUMBER(OFFSET('EDP Proyectado'!AK58,0,-'Ingreso Proyectado'!$P58))&lt;&gt;0,IF(OFFSET('EDP Proyectado'!AK58,0,-'Ingreso Proyectado'!$P58)+0&lt;=1,0,OFFSET('EDP Proyectado'!AK58,0,-'Ingreso Proyectado'!$P58)+0)),0)</f>
        <v>0</v>
      </c>
      <c r="AK58" s="169">
        <f ca="1">+IFERROR(IF(ISNUMBER(OFFSET('EDP Proyectado'!AL58,0,-'Ingreso Proyectado'!$P58))&lt;&gt;0,IF(OFFSET('EDP Proyectado'!AL58,0,-'Ingreso Proyectado'!$P58)+0&lt;=1,0,OFFSET('EDP Proyectado'!AL58,0,-'Ingreso Proyectado'!$P58)+0)),0)</f>
        <v>0</v>
      </c>
      <c r="AL58" s="169">
        <f ca="1">+IFERROR(IF(ISNUMBER(OFFSET('EDP Proyectado'!AM58,0,-'Ingreso Proyectado'!$P58))&lt;&gt;0,IF(OFFSET('EDP Proyectado'!AM58,0,-'Ingreso Proyectado'!$P58)+0&lt;=1,0,OFFSET('EDP Proyectado'!AM58,0,-'Ingreso Proyectado'!$P58)+0)),0)</f>
        <v>4285.7142857142853</v>
      </c>
      <c r="AM58" s="169">
        <f ca="1">+IFERROR(IF(ISNUMBER(OFFSET('EDP Proyectado'!AN58,0,-'Ingreso Proyectado'!$P58))&lt;&gt;0,IF(OFFSET('EDP Proyectado'!AN58,0,-'Ingreso Proyectado'!$P58)+0&lt;=1,0,OFFSET('EDP Proyectado'!AN58,0,-'Ingreso Proyectado'!$P58)+0)),0)</f>
        <v>4285.7142857142853</v>
      </c>
      <c r="AN58" s="169">
        <f ca="1">+IFERROR(IF(ISNUMBER(OFFSET('EDP Proyectado'!AO58,0,-'Ingreso Proyectado'!$P58))&lt;&gt;0,IF(OFFSET('EDP Proyectado'!AO58,0,-'Ingreso Proyectado'!$P58)+0&lt;=1,0,OFFSET('EDP Proyectado'!AO58,0,-'Ingreso Proyectado'!$P58)+0)),0)</f>
        <v>4285.7142857142853</v>
      </c>
      <c r="AO58" s="169">
        <f ca="1">+IFERROR(IF(ISNUMBER(OFFSET('EDP Proyectado'!AP58,0,-'Ingreso Proyectado'!$P58))&lt;&gt;0,IF(OFFSET('EDP Proyectado'!AP58,0,-'Ingreso Proyectado'!$P58)+0&lt;=1,0,OFFSET('EDP Proyectado'!AP58,0,-'Ingreso Proyectado'!$P58)+0)),0)</f>
        <v>4285.7142857142853</v>
      </c>
      <c r="AP58" s="170">
        <f ca="1">+IFERROR(IF(ISNUMBER(OFFSET('EDP Proyectado'!AQ58,0,-'Ingreso Proyectado'!$P58))&lt;&gt;0,IF(OFFSET('EDP Proyectado'!AQ58,0,-'Ingreso Proyectado'!$P58)+0&lt;=1,0,OFFSET('EDP Proyectado'!AQ58,0,-'Ingreso Proyectado'!$P58)+0)),0)</f>
        <v>4285.7142857142853</v>
      </c>
    </row>
    <row r="59" spans="3:42" x14ac:dyDescent="0.2">
      <c r="C59" s="117">
        <f>+'Gantt Proyectos'!C127</f>
        <v>31</v>
      </c>
      <c r="D59" s="118" t="str">
        <f>+'Gantt Proyectos'!D127</f>
        <v xml:space="preserve">DET: Ingeniería Perfil Sector Teniente 9 </v>
      </c>
      <c r="E59" s="145" t="str">
        <f>+'Gantt Proyectos'!E127</f>
        <v>Codelco</v>
      </c>
      <c r="F59" s="147" t="str">
        <f>+'Gantt Proyectos'!F127</f>
        <v>Chile</v>
      </c>
      <c r="G59" s="118" t="str">
        <f>+'Gantt Proyectos'!G127</f>
        <v>Chile</v>
      </c>
      <c r="H59" s="118">
        <f>+'Gantt Proyectos'!H127</f>
        <v>0</v>
      </c>
      <c r="I59" s="189">
        <v>1</v>
      </c>
      <c r="J59" s="189">
        <f t="shared" si="6"/>
        <v>0</v>
      </c>
      <c r="K59" s="118" t="str">
        <f>+'Gantt Proyectos'!I127</f>
        <v>Subterránea</v>
      </c>
      <c r="L59" s="120">
        <f>+'Gantt Proyectos'!J127</f>
        <v>1</v>
      </c>
      <c r="M59" s="145" t="str">
        <f>+'Gantt Proyectos'!K127</f>
        <v>CA</v>
      </c>
      <c r="N59" s="460">
        <f>+'Gantt Proyectos'!L127</f>
        <v>300000</v>
      </c>
      <c r="O59" s="460">
        <f>+'Gantt Proyectos'!M127</f>
        <v>300000</v>
      </c>
      <c r="P59" s="145">
        <f>+'Gantt Proyectos'!N127</f>
        <v>2</v>
      </c>
      <c r="Q59" s="119">
        <f>+'Gantt Proyectos'!O127</f>
        <v>45859</v>
      </c>
      <c r="R59" s="119">
        <f>+'Gantt Proyectos'!P127</f>
        <v>45978</v>
      </c>
      <c r="S59" s="145" t="str">
        <f>+'Gantt Proyectos'!R127</f>
        <v>No</v>
      </c>
      <c r="T59" s="118">
        <f>+'Gantt Proyectos'!S127</f>
        <v>0</v>
      </c>
      <c r="U59" s="156">
        <f>+'Gantt Proyectos'!T127</f>
        <v>45859</v>
      </c>
      <c r="V59" s="156">
        <f>+'Gantt Proyectos'!U127</f>
        <v>45978</v>
      </c>
      <c r="W59" s="201">
        <f t="shared" si="7"/>
        <v>4</v>
      </c>
      <c r="X59" s="121">
        <f>+'Gantt Proyectos'!W127</f>
        <v>0.28948545861297537</v>
      </c>
      <c r="Y59" s="122">
        <f>+'Gantt Proyectos'!X127</f>
        <v>0.33</v>
      </c>
      <c r="Z59" s="122">
        <f>+'Gantt Proyectos'!Y127</f>
        <v>0.5</v>
      </c>
      <c r="AA59" s="122">
        <f>+'Gantt Proyectos'!Z127</f>
        <v>0.33</v>
      </c>
      <c r="AB59" s="122">
        <f>+'Gantt Proyectos'!AA127</f>
        <v>1</v>
      </c>
      <c r="AC59" s="122">
        <f>+'Gantt Proyectos'!AB127</f>
        <v>1</v>
      </c>
      <c r="AD59" s="152" t="str">
        <f>+'Gantt Proyectos'!AC127</f>
        <v>Scoping</v>
      </c>
      <c r="AE59" s="123" t="str">
        <f>+'Gantt Proyectos'!AD127</f>
        <v>No Asignado</v>
      </c>
      <c r="AF59" s="124" t="str">
        <f>+'Gantt Proyectos'!AE127</f>
        <v>1. Proyectado: No  Asignado</v>
      </c>
      <c r="AG59" s="172">
        <v>1</v>
      </c>
      <c r="AH59" s="169">
        <f ca="1">+IFERROR(IF(ISNUMBER(OFFSET('EDP Proyectado'!AI59,0,-'Ingreso Proyectado'!$P59))&lt;&gt;0,IF(OFFSET('EDP Proyectado'!AI59,0,-'Ingreso Proyectado'!$P59)+0&lt;=1,0,OFFSET('EDP Proyectado'!AI59,0,-'Ingreso Proyectado'!$P59)+0)),0)</f>
        <v>0</v>
      </c>
      <c r="AI59" s="169">
        <f ca="1">+IFERROR(IF(ISNUMBER(OFFSET('EDP Proyectado'!AJ59,0,-'Ingreso Proyectado'!$P59))&lt;&gt;0,IF(OFFSET('EDP Proyectado'!AJ59,0,-'Ingreso Proyectado'!$P59)+0&lt;=1,0,OFFSET('EDP Proyectado'!AJ59,0,-'Ingreso Proyectado'!$P59)+0)),0)</f>
        <v>0</v>
      </c>
      <c r="AJ59" s="169">
        <f ca="1">+IFERROR(IF(ISNUMBER(OFFSET('EDP Proyectado'!AK59,0,-'Ingreso Proyectado'!$P59))&lt;&gt;0,IF(OFFSET('EDP Proyectado'!AK59,0,-'Ingreso Proyectado'!$P59)+0&lt;=1,0,OFFSET('EDP Proyectado'!AK59,0,-'Ingreso Proyectado'!$P59)+0)),0)</f>
        <v>0</v>
      </c>
      <c r="AK59" s="169">
        <f ca="1">+IFERROR(IF(ISNUMBER(OFFSET('EDP Proyectado'!AL59,0,-'Ingreso Proyectado'!$P59))&lt;&gt;0,IF(OFFSET('EDP Proyectado'!AL59,0,-'Ingreso Proyectado'!$P59)+0&lt;=1,0,OFFSET('EDP Proyectado'!AL59,0,-'Ingreso Proyectado'!$P59)+0)),0)</f>
        <v>0</v>
      </c>
      <c r="AL59" s="169">
        <f ca="1">+IFERROR(IF(ISNUMBER(OFFSET('EDP Proyectado'!AM59,0,-'Ingreso Proyectado'!$P59))&lt;&gt;0,IF(OFFSET('EDP Proyectado'!AM59,0,-'Ingreso Proyectado'!$P59)+0&lt;=1,0,OFFSET('EDP Proyectado'!AM59,0,-'Ingreso Proyectado'!$P59)+0)),0)</f>
        <v>0</v>
      </c>
      <c r="AM59" s="169">
        <f ca="1">+IFERROR(IF(ISNUMBER(OFFSET('EDP Proyectado'!AN59,0,-'Ingreso Proyectado'!$P59))&lt;&gt;0,IF(OFFSET('EDP Proyectado'!AN59,0,-'Ingreso Proyectado'!$P59)+0&lt;=1,0,OFFSET('EDP Proyectado'!AN59,0,-'Ingreso Proyectado'!$P59)+0)),0)</f>
        <v>15000</v>
      </c>
      <c r="AN59" s="169">
        <f ca="1">+IFERROR(IF(ISNUMBER(OFFSET('EDP Proyectado'!AO59,0,-'Ingreso Proyectado'!$P59))&lt;&gt;0,IF(OFFSET('EDP Proyectado'!AO59,0,-'Ingreso Proyectado'!$P59)+0&lt;=1,0,OFFSET('EDP Proyectado'!AO59,0,-'Ingreso Proyectado'!$P59)+0)),0)</f>
        <v>15000</v>
      </c>
      <c r="AO59" s="169">
        <f ca="1">+IFERROR(IF(ISNUMBER(OFFSET('EDP Proyectado'!AP59,0,-'Ingreso Proyectado'!$P59))&lt;&gt;0,IF(OFFSET('EDP Proyectado'!AP59,0,-'Ingreso Proyectado'!$P59)+0&lt;=1,0,OFFSET('EDP Proyectado'!AP59,0,-'Ingreso Proyectado'!$P59)+0)),0)</f>
        <v>15000</v>
      </c>
      <c r="AP59" s="170">
        <f ca="1">+IFERROR(IF(ISNUMBER(OFFSET('EDP Proyectado'!AQ59,0,-'Ingreso Proyectado'!$P59))&lt;&gt;0,IF(OFFSET('EDP Proyectado'!AQ59,0,-'Ingreso Proyectado'!$P59)+0&lt;=1,0,OFFSET('EDP Proyectado'!AQ59,0,-'Ingreso Proyectado'!$P59)+0)),0)</f>
        <v>15000</v>
      </c>
    </row>
    <row r="60" spans="3:42" x14ac:dyDescent="0.2">
      <c r="C60" s="117">
        <f>+'Gantt Proyectos'!C128</f>
        <v>32</v>
      </c>
      <c r="D60" s="118" t="str">
        <f>+'Gantt Proyectos'!D128</f>
        <v>Ingeniería Basica Sistema Manejo Materiales Candelaria</v>
      </c>
      <c r="E60" s="145" t="str">
        <f>+'Gantt Proyectos'!E128</f>
        <v>Lundin</v>
      </c>
      <c r="F60" s="147" t="str">
        <f>+'Gantt Proyectos'!F128</f>
        <v>Chile</v>
      </c>
      <c r="G60" s="118" t="str">
        <f>+'Gantt Proyectos'!G128</f>
        <v>Chile</v>
      </c>
      <c r="H60" s="118">
        <f>+'Gantt Proyectos'!H128</f>
        <v>0</v>
      </c>
      <c r="I60" s="189">
        <v>1</v>
      </c>
      <c r="J60" s="189">
        <f t="shared" si="6"/>
        <v>0</v>
      </c>
      <c r="K60" s="118" t="str">
        <f>+'Gantt Proyectos'!I128</f>
        <v>Subterránea</v>
      </c>
      <c r="L60" s="120">
        <f>+'Gantt Proyectos'!J128</f>
        <v>0</v>
      </c>
      <c r="M60" s="145" t="str">
        <f>+'Gantt Proyectos'!K128</f>
        <v>RM</v>
      </c>
      <c r="N60" s="460">
        <f>+'Gantt Proyectos'!L128</f>
        <v>1300000</v>
      </c>
      <c r="O60" s="460">
        <f>+'Gantt Proyectos'!M128</f>
        <v>1300000</v>
      </c>
      <c r="P60" s="145">
        <f>+'Gantt Proyectos'!N128</f>
        <v>2</v>
      </c>
      <c r="Q60" s="119">
        <f>+'Gantt Proyectos'!O128</f>
        <v>45796</v>
      </c>
      <c r="R60" s="119">
        <f>+'Gantt Proyectos'!P128</f>
        <v>46020</v>
      </c>
      <c r="S60" s="145" t="str">
        <f>+'Gantt Proyectos'!R128</f>
        <v>No</v>
      </c>
      <c r="T60" s="118">
        <f>+'Gantt Proyectos'!S128</f>
        <v>0</v>
      </c>
      <c r="U60" s="156">
        <f>+'Gantt Proyectos'!T128</f>
        <v>45796</v>
      </c>
      <c r="V60" s="156">
        <f>+'Gantt Proyectos'!U128</f>
        <v>46020</v>
      </c>
      <c r="W60" s="201">
        <f t="shared" si="7"/>
        <v>8</v>
      </c>
      <c r="X60" s="121">
        <f>+'Gantt Proyectos'!W128</f>
        <v>0</v>
      </c>
      <c r="Y60" s="122">
        <f>+'Gantt Proyectos'!X128</f>
        <v>0</v>
      </c>
      <c r="Z60" s="122">
        <f>+'Gantt Proyectos'!Y128</f>
        <v>0</v>
      </c>
      <c r="AA60" s="122">
        <f>+'Gantt Proyectos'!Z128</f>
        <v>0</v>
      </c>
      <c r="AB60" s="122">
        <f>+'Gantt Proyectos'!AA128</f>
        <v>0</v>
      </c>
      <c r="AC60" s="122">
        <f>+'Gantt Proyectos'!AB128</f>
        <v>0</v>
      </c>
      <c r="AD60" s="152" t="str">
        <f>+'Gantt Proyectos'!AC128</f>
        <v>FS e Ing. Basica</v>
      </c>
      <c r="AE60" s="123" t="str">
        <f>+'Gantt Proyectos'!AD128</f>
        <v>No Asignado</v>
      </c>
      <c r="AF60" s="124" t="str">
        <f>+'Gantt Proyectos'!AE128</f>
        <v>1. Proyectado: No  Asignado</v>
      </c>
      <c r="AG60" s="172">
        <v>1</v>
      </c>
      <c r="AH60" s="169">
        <f ca="1">+IFERROR(IF(ISNUMBER(OFFSET('EDP Proyectado'!AI60,0,-'Ingreso Proyectado'!$P60))&lt;&gt;0,IF(OFFSET('EDP Proyectado'!AI60,0,-'Ingreso Proyectado'!$P60)+0&lt;=1,0,OFFSET('EDP Proyectado'!AI60,0,-'Ingreso Proyectado'!$P60)+0)),0)</f>
        <v>0</v>
      </c>
      <c r="AI60" s="169">
        <f ca="1">+IFERROR(IF(ISNUMBER(OFFSET('EDP Proyectado'!AJ60,0,-'Ingreso Proyectado'!$P60))&lt;&gt;0,IF(OFFSET('EDP Proyectado'!AJ60,0,-'Ingreso Proyectado'!$P60)+0&lt;=1,0,OFFSET('EDP Proyectado'!AJ60,0,-'Ingreso Proyectado'!$P60)+0)),0)</f>
        <v>0</v>
      </c>
      <c r="AJ60" s="169">
        <f ca="1">+IFERROR(IF(ISNUMBER(OFFSET('EDP Proyectado'!AK60,0,-'Ingreso Proyectado'!$P60))&lt;&gt;0,IF(OFFSET('EDP Proyectado'!AK60,0,-'Ingreso Proyectado'!$P60)+0&lt;=1,0,OFFSET('EDP Proyectado'!AK60,0,-'Ingreso Proyectado'!$P60)+0)),0)</f>
        <v>0</v>
      </c>
      <c r="AK60" s="169">
        <f ca="1">+IFERROR(IF(ISNUMBER(OFFSET('EDP Proyectado'!AL60,0,-'Ingreso Proyectado'!$P60))&lt;&gt;0,IF(OFFSET('EDP Proyectado'!AL60,0,-'Ingreso Proyectado'!$P60)+0&lt;=1,0,OFFSET('EDP Proyectado'!AL60,0,-'Ingreso Proyectado'!$P60)+0)),0)</f>
        <v>0</v>
      </c>
      <c r="AL60" s="169">
        <f ca="1">+IFERROR(IF(ISNUMBER(OFFSET('EDP Proyectado'!AM60,0,-'Ingreso Proyectado'!$P60))&lt;&gt;0,IF(OFFSET('EDP Proyectado'!AM60,0,-'Ingreso Proyectado'!$P60)+0&lt;=1,0,OFFSET('EDP Proyectado'!AM60,0,-'Ingreso Proyectado'!$P60)+0)),0)</f>
        <v>0</v>
      </c>
      <c r="AM60" s="169">
        <f ca="1">+IFERROR(IF(ISNUMBER(OFFSET('EDP Proyectado'!AN60,0,-'Ingreso Proyectado'!$P60))&lt;&gt;0,IF(OFFSET('EDP Proyectado'!AN60,0,-'Ingreso Proyectado'!$P60)+0&lt;=1,0,OFFSET('EDP Proyectado'!AN60,0,-'Ingreso Proyectado'!$P60)+0)),0)</f>
        <v>0</v>
      </c>
      <c r="AN60" s="169">
        <f ca="1">+IFERROR(IF(ISNUMBER(OFFSET('EDP Proyectado'!AO60,0,-'Ingreso Proyectado'!$P60))&lt;&gt;0,IF(OFFSET('EDP Proyectado'!AO60,0,-'Ingreso Proyectado'!$P60)+0&lt;=1,0,OFFSET('EDP Proyectado'!AO60,0,-'Ingreso Proyectado'!$P60)+0)),0)</f>
        <v>0</v>
      </c>
      <c r="AO60" s="169">
        <f ca="1">+IFERROR(IF(ISNUMBER(OFFSET('EDP Proyectado'!AP60,0,-'Ingreso Proyectado'!$P60))&lt;&gt;0,IF(OFFSET('EDP Proyectado'!AP60,0,-'Ingreso Proyectado'!$P60)+0&lt;=1,0,OFFSET('EDP Proyectado'!AP60,0,-'Ingreso Proyectado'!$P60)+0)),0)</f>
        <v>0</v>
      </c>
      <c r="AP60" s="170">
        <f ca="1">+IFERROR(IF(ISNUMBER(OFFSET('EDP Proyectado'!AQ60,0,-'Ingreso Proyectado'!$P60))&lt;&gt;0,IF(OFFSET('EDP Proyectado'!AQ60,0,-'Ingreso Proyectado'!$P60)+0&lt;=1,0,OFFSET('EDP Proyectado'!AQ60,0,-'Ingreso Proyectado'!$P60)+0)),0)</f>
        <v>0</v>
      </c>
    </row>
    <row r="61" spans="3:42" x14ac:dyDescent="0.2">
      <c r="C61" s="117">
        <f>+'Gantt Proyectos'!C129</f>
        <v>33</v>
      </c>
      <c r="D61" s="118" t="str">
        <f>+'Gantt Proyectos'!D129</f>
        <v>PEA Proyecto Furnas</v>
      </c>
      <c r="E61" s="145" t="str">
        <f>+'Gantt Proyectos'!E129</f>
        <v>Ero Copper</v>
      </c>
      <c r="F61" s="147" t="str">
        <f>+'Gantt Proyectos'!F129</f>
        <v>Brasil</v>
      </c>
      <c r="G61" s="118" t="str">
        <f>+'Gantt Proyectos'!G129</f>
        <v>Chile</v>
      </c>
      <c r="H61" s="118" t="str">
        <f>+'Gantt Proyectos'!H129</f>
        <v>Perú</v>
      </c>
      <c r="I61" s="189">
        <v>0.5</v>
      </c>
      <c r="J61" s="189">
        <f t="shared" si="6"/>
        <v>0.5</v>
      </c>
      <c r="K61" s="118" t="str">
        <f>+'Gantt Proyectos'!I129</f>
        <v>Subterránea</v>
      </c>
      <c r="L61" s="120">
        <f>+'Gantt Proyectos'!J129</f>
        <v>1</v>
      </c>
      <c r="M61" s="145" t="str">
        <f>+'Gantt Proyectos'!K129</f>
        <v>-</v>
      </c>
      <c r="N61" s="460">
        <f>+'Gantt Proyectos'!L129</f>
        <v>490000</v>
      </c>
      <c r="O61" s="460">
        <f>+'Gantt Proyectos'!M129</f>
        <v>490000</v>
      </c>
      <c r="P61" s="145">
        <f>+'Gantt Proyectos'!N129</f>
        <v>2</v>
      </c>
      <c r="Q61" s="119">
        <f>+'Gantt Proyectos'!O129</f>
        <v>45789</v>
      </c>
      <c r="R61" s="119">
        <f>+'Gantt Proyectos'!P129</f>
        <v>45985</v>
      </c>
      <c r="S61" s="145" t="str">
        <f>+'Gantt Proyectos'!R129</f>
        <v>No</v>
      </c>
      <c r="T61" s="118">
        <f>+'Gantt Proyectos'!S129</f>
        <v>0</v>
      </c>
      <c r="U61" s="156">
        <f>+'Gantt Proyectos'!T129</f>
        <v>45789</v>
      </c>
      <c r="V61" s="156">
        <f>+'Gantt Proyectos'!U129</f>
        <v>45985</v>
      </c>
      <c r="W61" s="201">
        <f t="shared" si="7"/>
        <v>7</v>
      </c>
      <c r="X61" s="121">
        <f>+'Gantt Proyectos'!W129</f>
        <v>1.4474272930648799</v>
      </c>
      <c r="Y61" s="122">
        <f>+'Gantt Proyectos'!X129</f>
        <v>0.33</v>
      </c>
      <c r="Z61" s="122">
        <f>+'Gantt Proyectos'!Y129</f>
        <v>0.5</v>
      </c>
      <c r="AA61" s="122">
        <f>+'Gantt Proyectos'!Z129</f>
        <v>0.33</v>
      </c>
      <c r="AB61" s="122">
        <f>+'Gantt Proyectos'!AA129</f>
        <v>1</v>
      </c>
      <c r="AC61" s="122">
        <f>+'Gantt Proyectos'!AB129</f>
        <v>1</v>
      </c>
      <c r="AD61" s="152" t="str">
        <f>+'Gantt Proyectos'!AC129</f>
        <v>PEA</v>
      </c>
      <c r="AE61" s="123" t="str">
        <f>+'Gantt Proyectos'!AD129</f>
        <v>Actual</v>
      </c>
      <c r="AF61" s="124" t="str">
        <f>+'Gantt Proyectos'!AE129</f>
        <v>3. Avance: 25%</v>
      </c>
      <c r="AG61" s="172">
        <v>1</v>
      </c>
      <c r="AH61" s="169">
        <f ca="1">+IFERROR(IF(ISNUMBER(OFFSET('EDP Proyectado'!AI61,0,-'Ingreso Proyectado'!$P61))&lt;&gt;0,IF(OFFSET('EDP Proyectado'!AI61,0,-'Ingreso Proyectado'!$P61)+0&lt;=1,0,OFFSET('EDP Proyectado'!AI61,0,-'Ingreso Proyectado'!$P61)+0)),0)</f>
        <v>0</v>
      </c>
      <c r="AI61" s="169">
        <f ca="1">+IFERROR(IF(ISNUMBER(OFFSET('EDP Proyectado'!AJ61,0,-'Ingreso Proyectado'!$P61))&lt;&gt;0,IF(OFFSET('EDP Proyectado'!AJ61,0,-'Ingreso Proyectado'!$P61)+0&lt;=1,0,OFFSET('EDP Proyectado'!AJ61,0,-'Ingreso Proyectado'!$P61)+0)),0)</f>
        <v>0</v>
      </c>
      <c r="AJ61" s="169">
        <f ca="1">+IFERROR(IF(ISNUMBER(OFFSET('EDP Proyectado'!AK61,0,-'Ingreso Proyectado'!$P61))&lt;&gt;0,IF(OFFSET('EDP Proyectado'!AK61,0,-'Ingreso Proyectado'!$P61)+0&lt;=1,0,OFFSET('EDP Proyectado'!AK61,0,-'Ingreso Proyectado'!$P61)+0)),0)</f>
        <v>0</v>
      </c>
      <c r="AK61" s="169">
        <f ca="1">+IFERROR(IF(ISNUMBER(OFFSET('EDP Proyectado'!AL61,0,-'Ingreso Proyectado'!$P61))&lt;&gt;0,IF(OFFSET('EDP Proyectado'!AL61,0,-'Ingreso Proyectado'!$P61)+0&lt;=1,0,OFFSET('EDP Proyectado'!AL61,0,-'Ingreso Proyectado'!$P61)+0)),0)</f>
        <v>70000</v>
      </c>
      <c r="AL61" s="169">
        <f ca="1">+IFERROR(IF(ISNUMBER(OFFSET('EDP Proyectado'!AM61,0,-'Ingreso Proyectado'!$P61))&lt;&gt;0,IF(OFFSET('EDP Proyectado'!AM61,0,-'Ingreso Proyectado'!$P61)+0&lt;=1,0,OFFSET('EDP Proyectado'!AM61,0,-'Ingreso Proyectado'!$P61)+0)),0)</f>
        <v>70000</v>
      </c>
      <c r="AM61" s="169">
        <f ca="1">+IFERROR(IF(ISNUMBER(OFFSET('EDP Proyectado'!AN61,0,-'Ingreso Proyectado'!$P61))&lt;&gt;0,IF(OFFSET('EDP Proyectado'!AN61,0,-'Ingreso Proyectado'!$P61)+0&lt;=1,0,OFFSET('EDP Proyectado'!AN61,0,-'Ingreso Proyectado'!$P61)+0)),0)</f>
        <v>70000</v>
      </c>
      <c r="AN61" s="169">
        <f ca="1">+IFERROR(IF(ISNUMBER(OFFSET('EDP Proyectado'!AO61,0,-'Ingreso Proyectado'!$P61))&lt;&gt;0,IF(OFFSET('EDP Proyectado'!AO61,0,-'Ingreso Proyectado'!$P61)+0&lt;=1,0,OFFSET('EDP Proyectado'!AO61,0,-'Ingreso Proyectado'!$P61)+0)),0)</f>
        <v>70000</v>
      </c>
      <c r="AO61" s="169">
        <f ca="1">+IFERROR(IF(ISNUMBER(OFFSET('EDP Proyectado'!AP61,0,-'Ingreso Proyectado'!$P61))&lt;&gt;0,IF(OFFSET('EDP Proyectado'!AP61,0,-'Ingreso Proyectado'!$P61)+0&lt;=1,0,OFFSET('EDP Proyectado'!AP61,0,-'Ingreso Proyectado'!$P61)+0)),0)</f>
        <v>70000</v>
      </c>
      <c r="AP61" s="170">
        <f ca="1">+IFERROR(IF(ISNUMBER(OFFSET('EDP Proyectado'!AQ61,0,-'Ingreso Proyectado'!$P61))&lt;&gt;0,IF(OFFSET('EDP Proyectado'!AQ61,0,-'Ingreso Proyectado'!$P61)+0&lt;=1,0,OFFSET('EDP Proyectado'!AQ61,0,-'Ingreso Proyectado'!$P61)+0)),0)</f>
        <v>70000</v>
      </c>
    </row>
    <row r="62" spans="3:42" x14ac:dyDescent="0.2">
      <c r="C62" s="117">
        <f>+'Gantt Proyectos'!C130</f>
        <v>34</v>
      </c>
      <c r="D62" s="145" t="str">
        <f>+'Gantt Proyectos'!D130</f>
        <v xml:space="preserve">Cerro Blanco: FS Minería + Ing Detalle componentes </v>
      </c>
      <c r="E62" s="145" t="str">
        <f>+'Gantt Proyectos'!E130</f>
        <v>Aura Minerals</v>
      </c>
      <c r="F62" s="147" t="str">
        <f>+'Gantt Proyectos'!F130</f>
        <v>Brasil</v>
      </c>
      <c r="G62" s="118" t="str">
        <f>+'Gantt Proyectos'!G130</f>
        <v>Chile</v>
      </c>
      <c r="H62" s="118">
        <f>+'Gantt Proyectos'!H130</f>
        <v>0</v>
      </c>
      <c r="I62" s="189">
        <v>1</v>
      </c>
      <c r="J62" s="189">
        <f t="shared" si="6"/>
        <v>0</v>
      </c>
      <c r="K62" s="118" t="str">
        <f>+'Gantt Proyectos'!I130</f>
        <v>Subterránea</v>
      </c>
      <c r="L62" s="120">
        <f>+'Gantt Proyectos'!J130</f>
        <v>1</v>
      </c>
      <c r="M62" s="145" t="str">
        <f>+'Gantt Proyectos'!K130</f>
        <v>-</v>
      </c>
      <c r="N62" s="460">
        <f>+'Gantt Proyectos'!L130</f>
        <v>2400000</v>
      </c>
      <c r="O62" s="460">
        <f>+'Gantt Proyectos'!M130</f>
        <v>2400000</v>
      </c>
      <c r="P62" s="145">
        <f>+'Gantt Proyectos'!N130</f>
        <v>2</v>
      </c>
      <c r="Q62" s="119">
        <f>+'Gantt Proyectos'!O130</f>
        <v>45850</v>
      </c>
      <c r="R62" s="119">
        <f>+'Gantt Proyectos'!P130</f>
        <v>46128</v>
      </c>
      <c r="S62" s="145" t="str">
        <f>+'Gantt Proyectos'!R130</f>
        <v>No</v>
      </c>
      <c r="T62" s="118">
        <f>+'Gantt Proyectos'!S130</f>
        <v>0</v>
      </c>
      <c r="U62" s="156">
        <f>+'Gantt Proyectos'!T130</f>
        <v>45850</v>
      </c>
      <c r="V62" s="156">
        <f>+'Gantt Proyectos'!U130</f>
        <v>46128</v>
      </c>
      <c r="W62" s="201">
        <f t="shared" si="7"/>
        <v>10</v>
      </c>
      <c r="X62" s="121">
        <f>+'Gantt Proyectos'!W130</f>
        <v>0.51006711409395977</v>
      </c>
      <c r="Y62" s="122">
        <f>+'Gantt Proyectos'!X130</f>
        <v>0.5</v>
      </c>
      <c r="Z62" s="122">
        <f>+'Gantt Proyectos'!Y130</f>
        <v>0.67</v>
      </c>
      <c r="AA62" s="122">
        <f>+'Gantt Proyectos'!Z130</f>
        <v>1</v>
      </c>
      <c r="AB62" s="122">
        <f>+'Gantt Proyectos'!AA130</f>
        <v>2.5</v>
      </c>
      <c r="AC62" s="122">
        <f>+'Gantt Proyectos'!AB130</f>
        <v>1</v>
      </c>
      <c r="AD62" s="152" t="str">
        <f>+'Gantt Proyectos'!AC130</f>
        <v>FS e Ing. Basica</v>
      </c>
      <c r="AE62" s="123" t="str">
        <f>+'Gantt Proyectos'!AD130</f>
        <v>No Asignado</v>
      </c>
      <c r="AF62" s="124" t="str">
        <f>+'Gantt Proyectos'!AE130</f>
        <v>1. Proyectado: No  Asignado</v>
      </c>
      <c r="AG62" s="172">
        <v>1</v>
      </c>
      <c r="AH62" s="169">
        <f ca="1">+IFERROR(IF(ISNUMBER(OFFSET('EDP Proyectado'!AI62,0,-'Ingreso Proyectado'!$P62))&lt;&gt;0,IF(OFFSET('EDP Proyectado'!AI62,0,-'Ingreso Proyectado'!$P62)+0&lt;=1,0,OFFSET('EDP Proyectado'!AI62,0,-'Ingreso Proyectado'!$P62)+0)),0)</f>
        <v>0</v>
      </c>
      <c r="AI62" s="169">
        <f ca="1">+IFERROR(IF(ISNUMBER(OFFSET('EDP Proyectado'!AJ62,0,-'Ingreso Proyectado'!$P62))&lt;&gt;0,IF(OFFSET('EDP Proyectado'!AJ62,0,-'Ingreso Proyectado'!$P62)+0&lt;=1,0,OFFSET('EDP Proyectado'!AJ62,0,-'Ingreso Proyectado'!$P62)+0)),0)</f>
        <v>0</v>
      </c>
      <c r="AJ62" s="169">
        <f ca="1">+IFERROR(IF(ISNUMBER(OFFSET('EDP Proyectado'!AK62,0,-'Ingreso Proyectado'!$P62))&lt;&gt;0,IF(OFFSET('EDP Proyectado'!AK62,0,-'Ingreso Proyectado'!$P62)+0&lt;=1,0,OFFSET('EDP Proyectado'!AK62,0,-'Ingreso Proyectado'!$P62)+0)),0)</f>
        <v>0</v>
      </c>
      <c r="AK62" s="169">
        <f ca="1">+IFERROR(IF(ISNUMBER(OFFSET('EDP Proyectado'!AL62,0,-'Ingreso Proyectado'!$P62))&lt;&gt;0,IF(OFFSET('EDP Proyectado'!AL62,0,-'Ingreso Proyectado'!$P62)+0&lt;=1,0,OFFSET('EDP Proyectado'!AL62,0,-'Ingreso Proyectado'!$P62)+0)),0)</f>
        <v>0</v>
      </c>
      <c r="AL62" s="169">
        <f ca="1">+IFERROR(IF(ISNUMBER(OFFSET('EDP Proyectado'!AM62,0,-'Ingreso Proyectado'!$P62))&lt;&gt;0,IF(OFFSET('EDP Proyectado'!AM62,0,-'Ingreso Proyectado'!$P62)+0&lt;=1,0,OFFSET('EDP Proyectado'!AM62,0,-'Ingreso Proyectado'!$P62)+0)),0)</f>
        <v>0</v>
      </c>
      <c r="AM62" s="169">
        <f ca="1">+IFERROR(IF(ISNUMBER(OFFSET('EDP Proyectado'!AN62,0,-'Ingreso Proyectado'!$P62))&lt;&gt;0,IF(OFFSET('EDP Proyectado'!AN62,0,-'Ingreso Proyectado'!$P62)+0&lt;=1,0,OFFSET('EDP Proyectado'!AN62,0,-'Ingreso Proyectado'!$P62)+0)),0)</f>
        <v>48000</v>
      </c>
      <c r="AN62" s="169">
        <f ca="1">+IFERROR(IF(ISNUMBER(OFFSET('EDP Proyectado'!AO62,0,-'Ingreso Proyectado'!$P62))&lt;&gt;0,IF(OFFSET('EDP Proyectado'!AO62,0,-'Ingreso Proyectado'!$P62)+0&lt;=1,0,OFFSET('EDP Proyectado'!AO62,0,-'Ingreso Proyectado'!$P62)+0)),0)</f>
        <v>48000</v>
      </c>
      <c r="AO62" s="169">
        <f ca="1">+IFERROR(IF(ISNUMBER(OFFSET('EDP Proyectado'!AP62,0,-'Ingreso Proyectado'!$P62))&lt;&gt;0,IF(OFFSET('EDP Proyectado'!AP62,0,-'Ingreso Proyectado'!$P62)+0&lt;=1,0,OFFSET('EDP Proyectado'!AP62,0,-'Ingreso Proyectado'!$P62)+0)),0)</f>
        <v>48000</v>
      </c>
      <c r="AP62" s="170">
        <f ca="1">+IFERROR(IF(ISNUMBER(OFFSET('EDP Proyectado'!AQ62,0,-'Ingreso Proyectado'!$P62))&lt;&gt;0,IF(OFFSET('EDP Proyectado'!AQ62,0,-'Ingreso Proyectado'!$P62)+0&lt;=1,0,OFFSET('EDP Proyectado'!AQ62,0,-'Ingreso Proyectado'!$P62)+0)),0)</f>
        <v>48000</v>
      </c>
    </row>
    <row r="63" spans="3:42" x14ac:dyDescent="0.2">
      <c r="C63" s="117">
        <f>+'Gantt Proyectos'!C131</f>
        <v>35</v>
      </c>
      <c r="D63" s="145" t="str">
        <f>+'Gantt Proyectos'!D131</f>
        <v>Scoping Study Algarrobo UG</v>
      </c>
      <c r="E63" s="145" t="str">
        <f>+'Gantt Proyectos'!E131</f>
        <v>CMP</v>
      </c>
      <c r="F63" s="147" t="str">
        <f>+'Gantt Proyectos'!F131</f>
        <v>Chile</v>
      </c>
      <c r="G63" s="118" t="str">
        <f>+'Gantt Proyectos'!G131</f>
        <v>Chile</v>
      </c>
      <c r="H63" s="118">
        <f>+'Gantt Proyectos'!H131</f>
        <v>0</v>
      </c>
      <c r="I63" s="189">
        <v>1</v>
      </c>
      <c r="J63" s="189">
        <f t="shared" si="6"/>
        <v>0</v>
      </c>
      <c r="K63" s="118" t="str">
        <f>+'Gantt Proyectos'!I131</f>
        <v>Subterránea</v>
      </c>
      <c r="L63" s="120">
        <f>+'Gantt Proyectos'!J131</f>
        <v>1</v>
      </c>
      <c r="M63" s="145" t="str">
        <f>+'Gantt Proyectos'!K131</f>
        <v>-</v>
      </c>
      <c r="N63" s="460">
        <f>+'Gantt Proyectos'!L131</f>
        <v>160000</v>
      </c>
      <c r="O63" s="460">
        <f>+'Gantt Proyectos'!M131</f>
        <v>160000</v>
      </c>
      <c r="P63" s="145">
        <f>+'Gantt Proyectos'!N131</f>
        <v>2</v>
      </c>
      <c r="Q63" s="119">
        <f>+'Gantt Proyectos'!O131</f>
        <v>45824</v>
      </c>
      <c r="R63" s="119">
        <f>+'Gantt Proyectos'!P131</f>
        <v>46027</v>
      </c>
      <c r="S63" s="145" t="str">
        <f>+'Gantt Proyectos'!R131</f>
        <v>No</v>
      </c>
      <c r="T63" s="118">
        <f>+'Gantt Proyectos'!S131</f>
        <v>0</v>
      </c>
      <c r="U63" s="156">
        <f>+'Gantt Proyectos'!T131</f>
        <v>45824</v>
      </c>
      <c r="V63" s="156">
        <f>+'Gantt Proyectos'!U131</f>
        <v>46027</v>
      </c>
      <c r="W63" s="201">
        <f t="shared" si="7"/>
        <v>7</v>
      </c>
      <c r="X63" s="121">
        <f>+'Gantt Proyectos'!W131</f>
        <v>0.14474272930648768</v>
      </c>
      <c r="Y63" s="122">
        <f>+'Gantt Proyectos'!X131</f>
        <v>0.33</v>
      </c>
      <c r="Z63" s="122">
        <f>+'Gantt Proyectos'!Y131</f>
        <v>0.5</v>
      </c>
      <c r="AA63" s="122">
        <f>+'Gantt Proyectos'!Z131</f>
        <v>0.33</v>
      </c>
      <c r="AB63" s="122">
        <f>+'Gantt Proyectos'!AA131</f>
        <v>1</v>
      </c>
      <c r="AC63" s="122">
        <f>+'Gantt Proyectos'!AB131</f>
        <v>1</v>
      </c>
      <c r="AD63" s="152" t="str">
        <f>+'Gantt Proyectos'!AC131</f>
        <v>Scoping</v>
      </c>
      <c r="AE63" s="123" t="str">
        <f>+'Gantt Proyectos'!AD131</f>
        <v>No Asignado</v>
      </c>
      <c r="AF63" s="124" t="str">
        <f>+'Gantt Proyectos'!AE131</f>
        <v>1. Proyectado: No  Asignado</v>
      </c>
      <c r="AG63" s="172">
        <v>1</v>
      </c>
      <c r="AH63" s="169">
        <f ca="1">+IFERROR(IF(ISNUMBER(OFFSET('EDP Proyectado'!AI63,0,-'Ingreso Proyectado'!$P63))&lt;&gt;0,IF(OFFSET('EDP Proyectado'!AI63,0,-'Ingreso Proyectado'!$P63)+0&lt;=1,0,OFFSET('EDP Proyectado'!AI63,0,-'Ingreso Proyectado'!$P63)+0)),0)</f>
        <v>0</v>
      </c>
      <c r="AI63" s="169">
        <f ca="1">+IFERROR(IF(ISNUMBER(OFFSET('EDP Proyectado'!AJ63,0,-'Ingreso Proyectado'!$P63))&lt;&gt;0,IF(OFFSET('EDP Proyectado'!AJ63,0,-'Ingreso Proyectado'!$P63)+0&lt;=1,0,OFFSET('EDP Proyectado'!AJ63,0,-'Ingreso Proyectado'!$P63)+0)),0)</f>
        <v>0</v>
      </c>
      <c r="AJ63" s="169">
        <f ca="1">+IFERROR(IF(ISNUMBER(OFFSET('EDP Proyectado'!AK63,0,-'Ingreso Proyectado'!$P63))&lt;&gt;0,IF(OFFSET('EDP Proyectado'!AK63,0,-'Ingreso Proyectado'!$P63)+0&lt;=1,0,OFFSET('EDP Proyectado'!AK63,0,-'Ingreso Proyectado'!$P63)+0)),0)</f>
        <v>0</v>
      </c>
      <c r="AK63" s="169">
        <f ca="1">+IFERROR(IF(ISNUMBER(OFFSET('EDP Proyectado'!AL63,0,-'Ingreso Proyectado'!$P63))&lt;&gt;0,IF(OFFSET('EDP Proyectado'!AL63,0,-'Ingreso Proyectado'!$P63)+0&lt;=1,0,OFFSET('EDP Proyectado'!AL63,0,-'Ingreso Proyectado'!$P63)+0)),0)</f>
        <v>0</v>
      </c>
      <c r="AL63" s="169">
        <f ca="1">+IFERROR(IF(ISNUMBER(OFFSET('EDP Proyectado'!AM63,0,-'Ingreso Proyectado'!$P63))&lt;&gt;0,IF(OFFSET('EDP Proyectado'!AM63,0,-'Ingreso Proyectado'!$P63)+0&lt;=1,0,OFFSET('EDP Proyectado'!AM63,0,-'Ingreso Proyectado'!$P63)+0)),0)</f>
        <v>2285.7142857142858</v>
      </c>
      <c r="AM63" s="169">
        <f ca="1">+IFERROR(IF(ISNUMBER(OFFSET('EDP Proyectado'!AN63,0,-'Ingreso Proyectado'!$P63))&lt;&gt;0,IF(OFFSET('EDP Proyectado'!AN63,0,-'Ingreso Proyectado'!$P63)+0&lt;=1,0,OFFSET('EDP Proyectado'!AN63,0,-'Ingreso Proyectado'!$P63)+0)),0)</f>
        <v>2285.7142857142858</v>
      </c>
      <c r="AN63" s="169">
        <f ca="1">+IFERROR(IF(ISNUMBER(OFFSET('EDP Proyectado'!AO63,0,-'Ingreso Proyectado'!$P63))&lt;&gt;0,IF(OFFSET('EDP Proyectado'!AO63,0,-'Ingreso Proyectado'!$P63)+0&lt;=1,0,OFFSET('EDP Proyectado'!AO63,0,-'Ingreso Proyectado'!$P63)+0)),0)</f>
        <v>2285.7142857142858</v>
      </c>
      <c r="AO63" s="169">
        <f ca="1">+IFERROR(IF(ISNUMBER(OFFSET('EDP Proyectado'!AP63,0,-'Ingreso Proyectado'!$P63))&lt;&gt;0,IF(OFFSET('EDP Proyectado'!AP63,0,-'Ingreso Proyectado'!$P63)+0&lt;=1,0,OFFSET('EDP Proyectado'!AP63,0,-'Ingreso Proyectado'!$P63)+0)),0)</f>
        <v>2285.7142857142858</v>
      </c>
      <c r="AP63" s="170">
        <f ca="1">+IFERROR(IF(ISNUMBER(OFFSET('EDP Proyectado'!AQ63,0,-'Ingreso Proyectado'!$P63))&lt;&gt;0,IF(OFFSET('EDP Proyectado'!AQ63,0,-'Ingreso Proyectado'!$P63)+0&lt;=1,0,OFFSET('EDP Proyectado'!AQ63,0,-'Ingreso Proyectado'!$P63)+0)),0)</f>
        <v>2285.7142857142858</v>
      </c>
    </row>
    <row r="64" spans="3:42" x14ac:dyDescent="0.2">
      <c r="C64" s="117">
        <f>+'Gantt Proyectos'!C132</f>
        <v>36</v>
      </c>
      <c r="D64" s="145" t="str">
        <f>+'Gantt Proyectos'!D132</f>
        <v>Soporte Romeral, construcción túnel exploratorio</v>
      </c>
      <c r="E64" s="145" t="str">
        <f>+'Gantt Proyectos'!E132</f>
        <v>Romeral</v>
      </c>
      <c r="F64" s="147" t="str">
        <f>+'Gantt Proyectos'!F132</f>
        <v>Chile</v>
      </c>
      <c r="G64" s="118" t="str">
        <f>+'Gantt Proyectos'!G132</f>
        <v>Chile</v>
      </c>
      <c r="H64" s="118">
        <f>+'Gantt Proyectos'!H132</f>
        <v>0</v>
      </c>
      <c r="I64" s="189">
        <v>1</v>
      </c>
      <c r="J64" s="189">
        <f t="shared" si="6"/>
        <v>0</v>
      </c>
      <c r="K64" s="118" t="str">
        <f>+'Gantt Proyectos'!I132</f>
        <v>Subterránea</v>
      </c>
      <c r="L64" s="120">
        <f>+'Gantt Proyectos'!J132</f>
        <v>1</v>
      </c>
      <c r="M64" s="145" t="str">
        <f>+'Gantt Proyectos'!K132</f>
        <v>RM</v>
      </c>
      <c r="N64" s="460">
        <f>+'Gantt Proyectos'!L132</f>
        <v>500000</v>
      </c>
      <c r="O64" s="460">
        <f>+'Gantt Proyectos'!M132</f>
        <v>500000</v>
      </c>
      <c r="P64" s="145">
        <f>+'Gantt Proyectos'!N132</f>
        <v>2</v>
      </c>
      <c r="Q64" s="119">
        <f>+'Gantt Proyectos'!O132</f>
        <v>45839</v>
      </c>
      <c r="R64" s="119">
        <f>+'Gantt Proyectos'!P132</f>
        <v>46569</v>
      </c>
      <c r="S64" s="145" t="str">
        <f>+'Gantt Proyectos'!R132</f>
        <v>No</v>
      </c>
      <c r="T64" s="118">
        <f>+'Gantt Proyectos'!S132</f>
        <v>0</v>
      </c>
      <c r="U64" s="156">
        <f>+'Gantt Proyectos'!T132</f>
        <v>45839</v>
      </c>
      <c r="V64" s="156">
        <f>+'Gantt Proyectos'!U132</f>
        <v>46569</v>
      </c>
      <c r="W64" s="201">
        <f t="shared" si="7"/>
        <v>24</v>
      </c>
      <c r="X64" s="121">
        <f>+'Gantt Proyectos'!W132</f>
        <v>0.3</v>
      </c>
      <c r="Y64" s="122">
        <f>+'Gantt Proyectos'!X132</f>
        <v>0.33</v>
      </c>
      <c r="Z64" s="122">
        <f>+'Gantt Proyectos'!Y132</f>
        <v>0.5</v>
      </c>
      <c r="AA64" s="122">
        <f>+'Gantt Proyectos'!Z132</f>
        <v>0.33</v>
      </c>
      <c r="AB64" s="122">
        <f>+'Gantt Proyectos'!AA132</f>
        <v>1</v>
      </c>
      <c r="AC64" s="122">
        <f>+'Gantt Proyectos'!AB132</f>
        <v>0</v>
      </c>
      <c r="AD64" s="152" t="str">
        <f>+'Gantt Proyectos'!AC132</f>
        <v>Consultoria y Due Dilligence</v>
      </c>
      <c r="AE64" s="123" t="str">
        <f>+'Gantt Proyectos'!AD132</f>
        <v>No Asignado</v>
      </c>
      <c r="AF64" s="124" t="str">
        <f>+'Gantt Proyectos'!AE132</f>
        <v>1. Proyectado: No  Asignado</v>
      </c>
      <c r="AG64" s="172">
        <v>1</v>
      </c>
      <c r="AH64" s="169">
        <f ca="1">+IFERROR(IF(ISNUMBER(OFFSET('EDP Proyectado'!AI64,0,-'Ingreso Proyectado'!$P64))&lt;&gt;0,IF(OFFSET('EDP Proyectado'!AI64,0,-'Ingreso Proyectado'!$P64)+0&lt;=1,0,OFFSET('EDP Proyectado'!AI64,0,-'Ingreso Proyectado'!$P64)+0)),0)</f>
        <v>0</v>
      </c>
      <c r="AI64" s="169">
        <f ca="1">+IFERROR(IF(ISNUMBER(OFFSET('EDP Proyectado'!AJ64,0,-'Ingreso Proyectado'!$P64))&lt;&gt;0,IF(OFFSET('EDP Proyectado'!AJ64,0,-'Ingreso Proyectado'!$P64)+0&lt;=1,0,OFFSET('EDP Proyectado'!AJ64,0,-'Ingreso Proyectado'!$P64)+0)),0)</f>
        <v>0</v>
      </c>
      <c r="AJ64" s="169">
        <f ca="1">+IFERROR(IF(ISNUMBER(OFFSET('EDP Proyectado'!AK64,0,-'Ingreso Proyectado'!$P64))&lt;&gt;0,IF(OFFSET('EDP Proyectado'!AK64,0,-'Ingreso Proyectado'!$P64)+0&lt;=1,0,OFFSET('EDP Proyectado'!AK64,0,-'Ingreso Proyectado'!$P64)+0)),0)</f>
        <v>0</v>
      </c>
      <c r="AK64" s="169">
        <f ca="1">+IFERROR(IF(ISNUMBER(OFFSET('EDP Proyectado'!AL64,0,-'Ingreso Proyectado'!$P64))&lt;&gt;0,IF(OFFSET('EDP Proyectado'!AL64,0,-'Ingreso Proyectado'!$P64)+0&lt;=1,0,OFFSET('EDP Proyectado'!AL64,0,-'Ingreso Proyectado'!$P64)+0)),0)</f>
        <v>0</v>
      </c>
      <c r="AL64" s="169">
        <f ca="1">+IFERROR(IF(ISNUMBER(OFFSET('EDP Proyectado'!AM64,0,-'Ingreso Proyectado'!$P64))&lt;&gt;0,IF(OFFSET('EDP Proyectado'!AM64,0,-'Ingreso Proyectado'!$P64)+0&lt;=1,0,OFFSET('EDP Proyectado'!AM64,0,-'Ingreso Proyectado'!$P64)+0)),0)</f>
        <v>0</v>
      </c>
      <c r="AM64" s="169">
        <f ca="1">+IFERROR(IF(ISNUMBER(OFFSET('EDP Proyectado'!AN64,0,-'Ingreso Proyectado'!$P64))&lt;&gt;0,IF(OFFSET('EDP Proyectado'!AN64,0,-'Ingreso Proyectado'!$P64)+0&lt;=1,0,OFFSET('EDP Proyectado'!AN64,0,-'Ingreso Proyectado'!$P64)+0)),0)</f>
        <v>6249.9999999999991</v>
      </c>
      <c r="AN64" s="169">
        <f ca="1">+IFERROR(IF(ISNUMBER(OFFSET('EDP Proyectado'!AO64,0,-'Ingreso Proyectado'!$P64))&lt;&gt;0,IF(OFFSET('EDP Proyectado'!AO64,0,-'Ingreso Proyectado'!$P64)+0&lt;=1,0,OFFSET('EDP Proyectado'!AO64,0,-'Ingreso Proyectado'!$P64)+0)),0)</f>
        <v>6249.9999999999991</v>
      </c>
      <c r="AO64" s="169">
        <f ca="1">+IFERROR(IF(ISNUMBER(OFFSET('EDP Proyectado'!AP64,0,-'Ingreso Proyectado'!$P64))&lt;&gt;0,IF(OFFSET('EDP Proyectado'!AP64,0,-'Ingreso Proyectado'!$P64)+0&lt;=1,0,OFFSET('EDP Proyectado'!AP64,0,-'Ingreso Proyectado'!$P64)+0)),0)</f>
        <v>6249.9999999999991</v>
      </c>
      <c r="AP64" s="170">
        <f ca="1">+IFERROR(IF(ISNUMBER(OFFSET('EDP Proyectado'!AQ64,0,-'Ingreso Proyectado'!$P64))&lt;&gt;0,IF(OFFSET('EDP Proyectado'!AQ64,0,-'Ingreso Proyectado'!$P64)+0&lt;=1,0,OFFSET('EDP Proyectado'!AQ64,0,-'Ingreso Proyectado'!$P64)+0)),0)</f>
        <v>6249.9999999999991</v>
      </c>
    </row>
    <row r="65" spans="3:42" x14ac:dyDescent="0.2">
      <c r="C65" s="117">
        <f>+'Gantt Proyectos'!C133</f>
        <v>37</v>
      </c>
      <c r="D65" s="145" t="str">
        <f>+'Gantt Proyectos'!D133</f>
        <v>Servicios de geología y planificación (3 años)</v>
      </c>
      <c r="E65" s="145" t="str">
        <f>+'Gantt Proyectos'!E133</f>
        <v>Alcoa</v>
      </c>
      <c r="F65" s="147" t="str">
        <f>+'Gantt Proyectos'!F133</f>
        <v>Brasil</v>
      </c>
      <c r="G65" s="118" t="str">
        <f>+'Gantt Proyectos'!G133</f>
        <v>Chile</v>
      </c>
      <c r="H65" s="118" t="str">
        <f>+'Gantt Proyectos'!H133</f>
        <v>Perú</v>
      </c>
      <c r="I65" s="189">
        <v>0.5</v>
      </c>
      <c r="J65" s="189">
        <f t="shared" si="6"/>
        <v>0.5</v>
      </c>
      <c r="K65" s="118" t="str">
        <f>+'Gantt Proyectos'!I133</f>
        <v>Open Pit</v>
      </c>
      <c r="L65" s="120">
        <f>+'Gantt Proyectos'!J133</f>
        <v>1</v>
      </c>
      <c r="M65" s="145" t="str">
        <f>+'Gantt Proyectos'!K133</f>
        <v>CH</v>
      </c>
      <c r="N65" s="460">
        <f>+'Gantt Proyectos'!L133</f>
        <v>890000</v>
      </c>
      <c r="O65" s="460">
        <f>+'Gantt Proyectos'!M133</f>
        <v>890000</v>
      </c>
      <c r="P65" s="145">
        <f>+'Gantt Proyectos'!N133</f>
        <v>2</v>
      </c>
      <c r="Q65" s="119">
        <f>+'Gantt Proyectos'!O133</f>
        <v>45839</v>
      </c>
      <c r="R65" s="119">
        <f>+'Gantt Proyectos'!P133</f>
        <v>46388</v>
      </c>
      <c r="S65" s="145" t="str">
        <f>+'Gantt Proyectos'!R133</f>
        <v>No</v>
      </c>
      <c r="T65" s="118">
        <f>+'Gantt Proyectos'!S133</f>
        <v>0</v>
      </c>
      <c r="U65" s="156">
        <f>+'Gantt Proyectos'!T133</f>
        <v>45839</v>
      </c>
      <c r="V65" s="156">
        <f>+'Gantt Proyectos'!U133</f>
        <v>46388</v>
      </c>
      <c r="W65" s="201">
        <f t="shared" si="7"/>
        <v>18</v>
      </c>
      <c r="X65" s="121">
        <f>+'Gantt Proyectos'!W133</f>
        <v>0.89261744966442946</v>
      </c>
      <c r="Y65" s="122">
        <f>+'Gantt Proyectos'!X133</f>
        <v>0.5</v>
      </c>
      <c r="Z65" s="122">
        <f>+'Gantt Proyectos'!Y133</f>
        <v>0.67</v>
      </c>
      <c r="AA65" s="122">
        <f>+'Gantt Proyectos'!Z133</f>
        <v>1</v>
      </c>
      <c r="AB65" s="122">
        <f>+'Gantt Proyectos'!AA133</f>
        <v>2.5</v>
      </c>
      <c r="AC65" s="122">
        <f>+'Gantt Proyectos'!AB133</f>
        <v>1</v>
      </c>
      <c r="AD65" s="152" t="str">
        <f>+'Gantt Proyectos'!AC133</f>
        <v>FS e Ing. Basica</v>
      </c>
      <c r="AE65" s="123" t="str">
        <f>+'Gantt Proyectos'!AD133</f>
        <v>No Asignado</v>
      </c>
      <c r="AF65" s="124" t="str">
        <f>+'Gantt Proyectos'!AE133</f>
        <v>1. Proyectado: No  Asignado</v>
      </c>
      <c r="AG65" s="172">
        <v>1</v>
      </c>
      <c r="AH65" s="169">
        <f ca="1">+IFERROR(IF(ISNUMBER(OFFSET('EDP Proyectado'!AI65,0,-'Ingreso Proyectado'!$P65))&lt;&gt;0,IF(OFFSET('EDP Proyectado'!AI65,0,-'Ingreso Proyectado'!$P65)+0&lt;=1,0,OFFSET('EDP Proyectado'!AI65,0,-'Ingreso Proyectado'!$P65)+0)),0)</f>
        <v>0</v>
      </c>
      <c r="AI65" s="169">
        <f ca="1">+IFERROR(IF(ISNUMBER(OFFSET('EDP Proyectado'!AJ65,0,-'Ingreso Proyectado'!$P65))&lt;&gt;0,IF(OFFSET('EDP Proyectado'!AJ65,0,-'Ingreso Proyectado'!$P65)+0&lt;=1,0,OFFSET('EDP Proyectado'!AJ65,0,-'Ingreso Proyectado'!$P65)+0)),0)</f>
        <v>0</v>
      </c>
      <c r="AJ65" s="169">
        <f ca="1">+IFERROR(IF(ISNUMBER(OFFSET('EDP Proyectado'!AK65,0,-'Ingreso Proyectado'!$P65))&lt;&gt;0,IF(OFFSET('EDP Proyectado'!AK65,0,-'Ingreso Proyectado'!$P65)+0&lt;=1,0,OFFSET('EDP Proyectado'!AK65,0,-'Ingreso Proyectado'!$P65)+0)),0)</f>
        <v>0</v>
      </c>
      <c r="AK65" s="169">
        <f ca="1">+IFERROR(IF(ISNUMBER(OFFSET('EDP Proyectado'!AL65,0,-'Ingreso Proyectado'!$P65))&lt;&gt;0,IF(OFFSET('EDP Proyectado'!AL65,0,-'Ingreso Proyectado'!$P65)+0&lt;=1,0,OFFSET('EDP Proyectado'!AL65,0,-'Ingreso Proyectado'!$P65)+0)),0)</f>
        <v>0</v>
      </c>
      <c r="AL65" s="169">
        <f ca="1">+IFERROR(IF(ISNUMBER(OFFSET('EDP Proyectado'!AM65,0,-'Ingreso Proyectado'!$P65))&lt;&gt;0,IF(OFFSET('EDP Proyectado'!AM65,0,-'Ingreso Proyectado'!$P65)+0&lt;=1,0,OFFSET('EDP Proyectado'!AM65,0,-'Ingreso Proyectado'!$P65)+0)),0)</f>
        <v>0</v>
      </c>
      <c r="AM65" s="169">
        <f ca="1">+IFERROR(IF(ISNUMBER(OFFSET('EDP Proyectado'!AN65,0,-'Ingreso Proyectado'!$P65))&lt;&gt;0,IF(OFFSET('EDP Proyectado'!AN65,0,-'Ingreso Proyectado'!$P65)+0&lt;=1,0,OFFSET('EDP Proyectado'!AN65,0,-'Ingreso Proyectado'!$P65)+0)),0)</f>
        <v>17305.555555555555</v>
      </c>
      <c r="AN65" s="169">
        <f ca="1">+IFERROR(IF(ISNUMBER(OFFSET('EDP Proyectado'!AO65,0,-'Ingreso Proyectado'!$P65))&lt;&gt;0,IF(OFFSET('EDP Proyectado'!AO65,0,-'Ingreso Proyectado'!$P65)+0&lt;=1,0,OFFSET('EDP Proyectado'!AO65,0,-'Ingreso Proyectado'!$P65)+0)),0)</f>
        <v>17305.555555555555</v>
      </c>
      <c r="AO65" s="169">
        <f ca="1">+IFERROR(IF(ISNUMBER(OFFSET('EDP Proyectado'!AP65,0,-'Ingreso Proyectado'!$P65))&lt;&gt;0,IF(OFFSET('EDP Proyectado'!AP65,0,-'Ingreso Proyectado'!$P65)+0&lt;=1,0,OFFSET('EDP Proyectado'!AP65,0,-'Ingreso Proyectado'!$P65)+0)),0)</f>
        <v>17305.555555555555</v>
      </c>
      <c r="AP65" s="170">
        <f ca="1">+IFERROR(IF(ISNUMBER(OFFSET('EDP Proyectado'!AQ65,0,-'Ingreso Proyectado'!$P65))&lt;&gt;0,IF(OFFSET('EDP Proyectado'!AQ65,0,-'Ingreso Proyectado'!$P65)+0&lt;=1,0,OFFSET('EDP Proyectado'!AQ65,0,-'Ingreso Proyectado'!$P65)+0)),0)</f>
        <v>17305.555555555555</v>
      </c>
    </row>
    <row r="66" spans="3:42" x14ac:dyDescent="0.2">
      <c r="C66" s="117">
        <f>+'Gantt Proyectos'!C134</f>
        <v>38</v>
      </c>
      <c r="D66" s="145" t="str">
        <f>+'Gantt Proyectos'!D134</f>
        <v>Evaluación de diferentes escenarios estrategicos (Cambio de producto)</v>
      </c>
      <c r="E66" s="145" t="str">
        <f>+'Gantt Proyectos'!E134</f>
        <v>BCG</v>
      </c>
      <c r="F66" s="147" t="str">
        <f>+'Gantt Proyectos'!F134</f>
        <v>Brasil</v>
      </c>
      <c r="G66" s="118" t="str">
        <f>+'Gantt Proyectos'!G134</f>
        <v>Chile</v>
      </c>
      <c r="H66" s="118">
        <f>+'Gantt Proyectos'!H134</f>
        <v>0</v>
      </c>
      <c r="I66" s="189">
        <v>1</v>
      </c>
      <c r="J66" s="189">
        <f t="shared" si="6"/>
        <v>0</v>
      </c>
      <c r="K66" s="118" t="str">
        <f>+'Gantt Proyectos'!I134</f>
        <v>Open Pit</v>
      </c>
      <c r="L66" s="120">
        <f>+'Gantt Proyectos'!J134</f>
        <v>1</v>
      </c>
      <c r="M66" s="145" t="str">
        <f>+'Gantt Proyectos'!K134</f>
        <v>FR</v>
      </c>
      <c r="N66" s="460">
        <f>+'Gantt Proyectos'!L134</f>
        <v>180000</v>
      </c>
      <c r="O66" s="460">
        <f>+'Gantt Proyectos'!M134</f>
        <v>180000</v>
      </c>
      <c r="P66" s="145">
        <f>+'Gantt Proyectos'!N134</f>
        <v>2</v>
      </c>
      <c r="Q66" s="119">
        <f>+'Gantt Proyectos'!O134</f>
        <v>45839</v>
      </c>
      <c r="R66" s="119">
        <f>+'Gantt Proyectos'!P134</f>
        <v>45920</v>
      </c>
      <c r="S66" s="145" t="str">
        <f>+'Gantt Proyectos'!R134</f>
        <v>No</v>
      </c>
      <c r="T66" s="118">
        <f>+'Gantt Proyectos'!S134</f>
        <v>0</v>
      </c>
      <c r="U66" s="156">
        <f>+'Gantt Proyectos'!T134</f>
        <v>45839</v>
      </c>
      <c r="V66" s="156">
        <f>+'Gantt Proyectos'!U134</f>
        <v>45920</v>
      </c>
      <c r="W66" s="201">
        <f t="shared" si="7"/>
        <v>3</v>
      </c>
      <c r="X66" s="121">
        <f>+'Gantt Proyectos'!W134</f>
        <v>0.9</v>
      </c>
      <c r="Y66" s="122">
        <f>+'Gantt Proyectos'!X134</f>
        <v>0.33</v>
      </c>
      <c r="Z66" s="122">
        <f>+'Gantt Proyectos'!Y134</f>
        <v>0.5</v>
      </c>
      <c r="AA66" s="122">
        <f>+'Gantt Proyectos'!Z134</f>
        <v>0.33</v>
      </c>
      <c r="AB66" s="122">
        <f>+'Gantt Proyectos'!AA134</f>
        <v>1</v>
      </c>
      <c r="AC66" s="122">
        <f>+'Gantt Proyectos'!AB134</f>
        <v>0</v>
      </c>
      <c r="AD66" s="152" t="str">
        <f>+'Gantt Proyectos'!AC134</f>
        <v>Consultoria y Due Dilligence</v>
      </c>
      <c r="AE66" s="123" t="str">
        <f>+'Gantt Proyectos'!AD134</f>
        <v>No Asignado</v>
      </c>
      <c r="AF66" s="124" t="str">
        <f>+'Gantt Proyectos'!AE134</f>
        <v>1. Proyectado: No  Asignado</v>
      </c>
      <c r="AG66" s="172">
        <v>1</v>
      </c>
      <c r="AH66" s="169">
        <f ca="1">+IFERROR(IF(ISNUMBER(OFFSET('EDP Proyectado'!AI66,0,-'Ingreso Proyectado'!$P66))&lt;&gt;0,IF(OFFSET('EDP Proyectado'!AI66,0,-'Ingreso Proyectado'!$P66)+0&lt;=1,0,OFFSET('EDP Proyectado'!AI66,0,-'Ingreso Proyectado'!$P66)+0)),0)</f>
        <v>0</v>
      </c>
      <c r="AI66" s="169">
        <f ca="1">+IFERROR(IF(ISNUMBER(OFFSET('EDP Proyectado'!AJ66,0,-'Ingreso Proyectado'!$P66))&lt;&gt;0,IF(OFFSET('EDP Proyectado'!AJ66,0,-'Ingreso Proyectado'!$P66)+0&lt;=1,0,OFFSET('EDP Proyectado'!AJ66,0,-'Ingreso Proyectado'!$P66)+0)),0)</f>
        <v>0</v>
      </c>
      <c r="AJ66" s="169">
        <f ca="1">+IFERROR(IF(ISNUMBER(OFFSET('EDP Proyectado'!AK66,0,-'Ingreso Proyectado'!$P66))&lt;&gt;0,IF(OFFSET('EDP Proyectado'!AK66,0,-'Ingreso Proyectado'!$P66)+0&lt;=1,0,OFFSET('EDP Proyectado'!AK66,0,-'Ingreso Proyectado'!$P66)+0)),0)</f>
        <v>0</v>
      </c>
      <c r="AK66" s="169">
        <f ca="1">+IFERROR(IF(ISNUMBER(OFFSET('EDP Proyectado'!AL66,0,-'Ingreso Proyectado'!$P66))&lt;&gt;0,IF(OFFSET('EDP Proyectado'!AL66,0,-'Ingreso Proyectado'!$P66)+0&lt;=1,0,OFFSET('EDP Proyectado'!AL66,0,-'Ingreso Proyectado'!$P66)+0)),0)</f>
        <v>0</v>
      </c>
      <c r="AL66" s="169">
        <f ca="1">+IFERROR(IF(ISNUMBER(OFFSET('EDP Proyectado'!AM66,0,-'Ingreso Proyectado'!$P66))&lt;&gt;0,IF(OFFSET('EDP Proyectado'!AM66,0,-'Ingreso Proyectado'!$P66)+0&lt;=1,0,OFFSET('EDP Proyectado'!AM66,0,-'Ingreso Proyectado'!$P66)+0)),0)</f>
        <v>0</v>
      </c>
      <c r="AM66" s="169">
        <f ca="1">+IFERROR(IF(ISNUMBER(OFFSET('EDP Proyectado'!AN66,0,-'Ingreso Proyectado'!$P66))&lt;&gt;0,IF(OFFSET('EDP Proyectado'!AN66,0,-'Ingreso Proyectado'!$P66)+0&lt;=1,0,OFFSET('EDP Proyectado'!AN66,0,-'Ingreso Proyectado'!$P66)+0)),0)</f>
        <v>54000</v>
      </c>
      <c r="AN66" s="169">
        <f ca="1">+IFERROR(IF(ISNUMBER(OFFSET('EDP Proyectado'!AO66,0,-'Ingreso Proyectado'!$P66))&lt;&gt;0,IF(OFFSET('EDP Proyectado'!AO66,0,-'Ingreso Proyectado'!$P66)+0&lt;=1,0,OFFSET('EDP Proyectado'!AO66,0,-'Ingreso Proyectado'!$P66)+0)),0)</f>
        <v>54000</v>
      </c>
      <c r="AO66" s="169">
        <f ca="1">+IFERROR(IF(ISNUMBER(OFFSET('EDP Proyectado'!AP66,0,-'Ingreso Proyectado'!$P66))&lt;&gt;0,IF(OFFSET('EDP Proyectado'!AP66,0,-'Ingreso Proyectado'!$P66)+0&lt;=1,0,OFFSET('EDP Proyectado'!AP66,0,-'Ingreso Proyectado'!$P66)+0)),0)</f>
        <v>54000</v>
      </c>
      <c r="AP66" s="170">
        <f ca="1">+IFERROR(IF(ISNUMBER(OFFSET('EDP Proyectado'!AQ66,0,-'Ingreso Proyectado'!$P66))&lt;&gt;0,IF(OFFSET('EDP Proyectado'!AQ66,0,-'Ingreso Proyectado'!$P66)+0&lt;=1,0,OFFSET('EDP Proyectado'!AQ66,0,-'Ingreso Proyectado'!$P66)+0)),0)</f>
        <v>0</v>
      </c>
    </row>
    <row r="67" spans="3:42" x14ac:dyDescent="0.2">
      <c r="C67" s="117">
        <f>+'Gantt Proyectos'!C135</f>
        <v>39</v>
      </c>
      <c r="D67" s="145" t="str">
        <f>+'Gantt Proyectos'!D135</f>
        <v>Optimización proceso LOM + Implementación SIMPLAN</v>
      </c>
      <c r="E67" s="145" t="str">
        <f>+'Gantt Proyectos'!E135</f>
        <v>LHG</v>
      </c>
      <c r="F67" s="147" t="str">
        <f>+'Gantt Proyectos'!F135</f>
        <v>Brasil</v>
      </c>
      <c r="G67" s="118" t="str">
        <f>+'Gantt Proyectos'!G135</f>
        <v>Chile</v>
      </c>
      <c r="H67" s="118">
        <f>+'Gantt Proyectos'!H135</f>
        <v>0</v>
      </c>
      <c r="I67" s="189">
        <v>1</v>
      </c>
      <c r="J67" s="189">
        <f t="shared" si="6"/>
        <v>0</v>
      </c>
      <c r="K67" s="118" t="str">
        <f>+'Gantt Proyectos'!I135</f>
        <v>Open Pit</v>
      </c>
      <c r="L67" s="120">
        <f>+'Gantt Proyectos'!J135</f>
        <v>0</v>
      </c>
      <c r="M67" s="145" t="str">
        <f>+'Gantt Proyectos'!K135</f>
        <v>RL</v>
      </c>
      <c r="N67" s="460">
        <f>+'Gantt Proyectos'!L135</f>
        <v>150000</v>
      </c>
      <c r="O67" s="460">
        <f>+'Gantt Proyectos'!M135</f>
        <v>150000</v>
      </c>
      <c r="P67" s="145">
        <f>+'Gantt Proyectos'!N135</f>
        <v>2</v>
      </c>
      <c r="Q67" s="119">
        <f>+'Gantt Proyectos'!O135</f>
        <v>45809</v>
      </c>
      <c r="R67" s="119">
        <f>+'Gantt Proyectos'!P135</f>
        <v>45901</v>
      </c>
      <c r="S67" s="145" t="str">
        <f>+'Gantt Proyectos'!R135</f>
        <v>No</v>
      </c>
      <c r="T67" s="118">
        <f>+'Gantt Proyectos'!S135</f>
        <v>0</v>
      </c>
      <c r="U67" s="156">
        <f>+'Gantt Proyectos'!T135</f>
        <v>45809</v>
      </c>
      <c r="V67" s="156">
        <f>+'Gantt Proyectos'!U135</f>
        <v>45901</v>
      </c>
      <c r="W67" s="201">
        <f t="shared" si="7"/>
        <v>4</v>
      </c>
      <c r="X67" s="121">
        <f>+'Gantt Proyectos'!W135</f>
        <v>0</v>
      </c>
      <c r="Y67" s="122">
        <f>+'Gantt Proyectos'!X135</f>
        <v>0</v>
      </c>
      <c r="Z67" s="122">
        <f>+'Gantt Proyectos'!Y135</f>
        <v>0</v>
      </c>
      <c r="AA67" s="122">
        <f>+'Gantt Proyectos'!Z135</f>
        <v>0</v>
      </c>
      <c r="AB67" s="122">
        <f>+'Gantt Proyectos'!AA135</f>
        <v>0</v>
      </c>
      <c r="AC67" s="122">
        <f>+'Gantt Proyectos'!AB135</f>
        <v>0</v>
      </c>
      <c r="AD67" s="152" t="str">
        <f>+'Gantt Proyectos'!AC135</f>
        <v>Consultoria y Due Dilligence</v>
      </c>
      <c r="AE67" s="123" t="str">
        <f>+'Gantt Proyectos'!AD135</f>
        <v>No Asignado</v>
      </c>
      <c r="AF67" s="124" t="str">
        <f>+'Gantt Proyectos'!AE135</f>
        <v>1. Proyectado: No  Asignado</v>
      </c>
      <c r="AG67" s="172">
        <v>1</v>
      </c>
      <c r="AH67" s="169">
        <f ca="1">+IFERROR(IF(ISNUMBER(OFFSET('EDP Proyectado'!AI67,0,-'Ingreso Proyectado'!$P67))&lt;&gt;0,IF(OFFSET('EDP Proyectado'!AI67,0,-'Ingreso Proyectado'!$P67)+0&lt;=1,0,OFFSET('EDP Proyectado'!AI67,0,-'Ingreso Proyectado'!$P67)+0)),0)</f>
        <v>0</v>
      </c>
      <c r="AI67" s="169">
        <f ca="1">+IFERROR(IF(ISNUMBER(OFFSET('EDP Proyectado'!AJ67,0,-'Ingreso Proyectado'!$P67))&lt;&gt;0,IF(OFFSET('EDP Proyectado'!AJ67,0,-'Ingreso Proyectado'!$P67)+0&lt;=1,0,OFFSET('EDP Proyectado'!AJ67,0,-'Ingreso Proyectado'!$P67)+0)),0)</f>
        <v>0</v>
      </c>
      <c r="AJ67" s="169">
        <f ca="1">+IFERROR(IF(ISNUMBER(OFFSET('EDP Proyectado'!AK67,0,-'Ingreso Proyectado'!$P67))&lt;&gt;0,IF(OFFSET('EDP Proyectado'!AK67,0,-'Ingreso Proyectado'!$P67)+0&lt;=1,0,OFFSET('EDP Proyectado'!AK67,0,-'Ingreso Proyectado'!$P67)+0)),0)</f>
        <v>0</v>
      </c>
      <c r="AK67" s="169">
        <f ca="1">+IFERROR(IF(ISNUMBER(OFFSET('EDP Proyectado'!AL67,0,-'Ingreso Proyectado'!$P67))&lt;&gt;0,IF(OFFSET('EDP Proyectado'!AL67,0,-'Ingreso Proyectado'!$P67)+0&lt;=1,0,OFFSET('EDP Proyectado'!AL67,0,-'Ingreso Proyectado'!$P67)+0)),0)</f>
        <v>0</v>
      </c>
      <c r="AL67" s="169">
        <f ca="1">+IFERROR(IF(ISNUMBER(OFFSET('EDP Proyectado'!AM67,0,-'Ingreso Proyectado'!$P67))&lt;&gt;0,IF(OFFSET('EDP Proyectado'!AM67,0,-'Ingreso Proyectado'!$P67)+0&lt;=1,0,OFFSET('EDP Proyectado'!AM67,0,-'Ingreso Proyectado'!$P67)+0)),0)</f>
        <v>0</v>
      </c>
      <c r="AM67" s="169">
        <f ca="1">+IFERROR(IF(ISNUMBER(OFFSET('EDP Proyectado'!AN67,0,-'Ingreso Proyectado'!$P67))&lt;&gt;0,IF(OFFSET('EDP Proyectado'!AN67,0,-'Ingreso Proyectado'!$P67)+0&lt;=1,0,OFFSET('EDP Proyectado'!AN67,0,-'Ingreso Proyectado'!$P67)+0)),0)</f>
        <v>0</v>
      </c>
      <c r="AN67" s="169">
        <f ca="1">+IFERROR(IF(ISNUMBER(OFFSET('EDP Proyectado'!AO67,0,-'Ingreso Proyectado'!$P67))&lt;&gt;0,IF(OFFSET('EDP Proyectado'!AO67,0,-'Ingreso Proyectado'!$P67)+0&lt;=1,0,OFFSET('EDP Proyectado'!AO67,0,-'Ingreso Proyectado'!$P67)+0)),0)</f>
        <v>0</v>
      </c>
      <c r="AO67" s="169">
        <f ca="1">+IFERROR(IF(ISNUMBER(OFFSET('EDP Proyectado'!AP67,0,-'Ingreso Proyectado'!$P67))&lt;&gt;0,IF(OFFSET('EDP Proyectado'!AP67,0,-'Ingreso Proyectado'!$P67)+0&lt;=1,0,OFFSET('EDP Proyectado'!AP67,0,-'Ingreso Proyectado'!$P67)+0)),0)</f>
        <v>0</v>
      </c>
      <c r="AP67" s="170">
        <f ca="1">+IFERROR(IF(ISNUMBER(OFFSET('EDP Proyectado'!AQ67,0,-'Ingreso Proyectado'!$P67))&lt;&gt;0,IF(OFFSET('EDP Proyectado'!AQ67,0,-'Ingreso Proyectado'!$P67)+0&lt;=1,0,OFFSET('EDP Proyectado'!AQ67,0,-'Ingreso Proyectado'!$P67)+0)),0)</f>
        <v>0</v>
      </c>
    </row>
    <row r="68" spans="3:42" x14ac:dyDescent="0.2">
      <c r="C68" s="117">
        <f>+'Gantt Proyectos'!C136</f>
        <v>40</v>
      </c>
      <c r="D68" s="145" t="str">
        <f>+'Gantt Proyectos'!D136</f>
        <v>Servicio de Modelamiento Geotécnico Botaderos Parca</v>
      </c>
      <c r="E68" s="145" t="str">
        <f>+'Gantt Proyectos'!E136</f>
        <v>BHP</v>
      </c>
      <c r="F68" s="147" t="str">
        <f>+'Gantt Proyectos'!F136</f>
        <v>Chile</v>
      </c>
      <c r="G68" s="118" t="str">
        <f>+'Gantt Proyectos'!G136</f>
        <v>Chile</v>
      </c>
      <c r="H68" s="118" t="str">
        <f>+'Gantt Proyectos'!H136</f>
        <v>Perú</v>
      </c>
      <c r="I68" s="189">
        <v>0.5</v>
      </c>
      <c r="J68" s="189">
        <f t="shared" si="6"/>
        <v>0.5</v>
      </c>
      <c r="K68" s="118" t="str">
        <f>+'Gantt Proyectos'!I136</f>
        <v>Geomecánica</v>
      </c>
      <c r="L68" s="120">
        <f>+'Gantt Proyectos'!J136</f>
        <v>0</v>
      </c>
      <c r="M68" s="145" t="str">
        <f>+'Gantt Proyectos'!K136</f>
        <v>RM</v>
      </c>
      <c r="N68" s="460">
        <f>+'Gantt Proyectos'!L136</f>
        <v>300000</v>
      </c>
      <c r="O68" s="460">
        <f>+'Gantt Proyectos'!M136</f>
        <v>300000</v>
      </c>
      <c r="P68" s="145">
        <f>+'Gantt Proyectos'!N136</f>
        <v>2</v>
      </c>
      <c r="Q68" s="119">
        <f>+'Gantt Proyectos'!O136</f>
        <v>45809</v>
      </c>
      <c r="R68" s="119">
        <f>+'Gantt Proyectos'!P136</f>
        <v>45950</v>
      </c>
      <c r="S68" s="145" t="str">
        <f>+'Gantt Proyectos'!R136</f>
        <v>No</v>
      </c>
      <c r="T68" s="118">
        <f>+'Gantt Proyectos'!S136</f>
        <v>0</v>
      </c>
      <c r="U68" s="156">
        <f>+'Gantt Proyectos'!T136</f>
        <v>45809</v>
      </c>
      <c r="V68" s="156">
        <f>+'Gantt Proyectos'!U136</f>
        <v>45950</v>
      </c>
      <c r="W68" s="201">
        <f t="shared" si="7"/>
        <v>5</v>
      </c>
      <c r="X68" s="121">
        <f>+'Gantt Proyectos'!W136</f>
        <v>0</v>
      </c>
      <c r="Y68" s="122">
        <f>+'Gantt Proyectos'!X136</f>
        <v>0</v>
      </c>
      <c r="Z68" s="122">
        <f>+'Gantt Proyectos'!Y136</f>
        <v>0</v>
      </c>
      <c r="AA68" s="122">
        <f>+'Gantt Proyectos'!Z136</f>
        <v>0</v>
      </c>
      <c r="AB68" s="122">
        <f>+'Gantt Proyectos'!AA136</f>
        <v>0</v>
      </c>
      <c r="AC68" s="122">
        <f>+'Gantt Proyectos'!AB136</f>
        <v>0</v>
      </c>
      <c r="AD68" s="152" t="str">
        <f>+'Gantt Proyectos'!AC136</f>
        <v>FS e Ing. Basica</v>
      </c>
      <c r="AE68" s="123" t="str">
        <f>+'Gantt Proyectos'!AD136</f>
        <v>No Asignado</v>
      </c>
      <c r="AF68" s="124" t="str">
        <f>+'Gantt Proyectos'!AE136</f>
        <v>1. Proyectado: No  Asignado</v>
      </c>
      <c r="AG68" s="172">
        <v>1</v>
      </c>
      <c r="AH68" s="169">
        <f ca="1">+IFERROR(IF(ISNUMBER(OFFSET('EDP Proyectado'!AI68,0,-'Ingreso Proyectado'!$P68))&lt;&gt;0,IF(OFFSET('EDP Proyectado'!AI68,0,-'Ingreso Proyectado'!$P68)+0&lt;=1,0,OFFSET('EDP Proyectado'!AI68,0,-'Ingreso Proyectado'!$P68)+0)),0)</f>
        <v>0</v>
      </c>
      <c r="AI68" s="169">
        <f ca="1">+IFERROR(IF(ISNUMBER(OFFSET('EDP Proyectado'!AJ68,0,-'Ingreso Proyectado'!$P68))&lt;&gt;0,IF(OFFSET('EDP Proyectado'!AJ68,0,-'Ingreso Proyectado'!$P68)+0&lt;=1,0,OFFSET('EDP Proyectado'!AJ68,0,-'Ingreso Proyectado'!$P68)+0)),0)</f>
        <v>0</v>
      </c>
      <c r="AJ68" s="169">
        <f ca="1">+IFERROR(IF(ISNUMBER(OFFSET('EDP Proyectado'!AK68,0,-'Ingreso Proyectado'!$P68))&lt;&gt;0,IF(OFFSET('EDP Proyectado'!AK68,0,-'Ingreso Proyectado'!$P68)+0&lt;=1,0,OFFSET('EDP Proyectado'!AK68,0,-'Ingreso Proyectado'!$P68)+0)),0)</f>
        <v>0</v>
      </c>
      <c r="AK68" s="169">
        <f ca="1">+IFERROR(IF(ISNUMBER(OFFSET('EDP Proyectado'!AL68,0,-'Ingreso Proyectado'!$P68))&lt;&gt;0,IF(OFFSET('EDP Proyectado'!AL68,0,-'Ingreso Proyectado'!$P68)+0&lt;=1,0,OFFSET('EDP Proyectado'!AL68,0,-'Ingreso Proyectado'!$P68)+0)),0)</f>
        <v>0</v>
      </c>
      <c r="AL68" s="169">
        <f ca="1">+IFERROR(IF(ISNUMBER(OFFSET('EDP Proyectado'!AM68,0,-'Ingreso Proyectado'!$P68))&lt;&gt;0,IF(OFFSET('EDP Proyectado'!AM68,0,-'Ingreso Proyectado'!$P68)+0&lt;=1,0,OFFSET('EDP Proyectado'!AM68,0,-'Ingreso Proyectado'!$P68)+0)),0)</f>
        <v>0</v>
      </c>
      <c r="AM68" s="169">
        <f ca="1">+IFERROR(IF(ISNUMBER(OFFSET('EDP Proyectado'!AN68,0,-'Ingreso Proyectado'!$P68))&lt;&gt;0,IF(OFFSET('EDP Proyectado'!AN68,0,-'Ingreso Proyectado'!$P68)+0&lt;=1,0,OFFSET('EDP Proyectado'!AN68,0,-'Ingreso Proyectado'!$P68)+0)),0)</f>
        <v>0</v>
      </c>
      <c r="AN68" s="169">
        <f ca="1">+IFERROR(IF(ISNUMBER(OFFSET('EDP Proyectado'!AO68,0,-'Ingreso Proyectado'!$P68))&lt;&gt;0,IF(OFFSET('EDP Proyectado'!AO68,0,-'Ingreso Proyectado'!$P68)+0&lt;=1,0,OFFSET('EDP Proyectado'!AO68,0,-'Ingreso Proyectado'!$P68)+0)),0)</f>
        <v>0</v>
      </c>
      <c r="AO68" s="169">
        <f ca="1">+IFERROR(IF(ISNUMBER(OFFSET('EDP Proyectado'!AP68,0,-'Ingreso Proyectado'!$P68))&lt;&gt;0,IF(OFFSET('EDP Proyectado'!AP68,0,-'Ingreso Proyectado'!$P68)+0&lt;=1,0,OFFSET('EDP Proyectado'!AP68,0,-'Ingreso Proyectado'!$P68)+0)),0)</f>
        <v>0</v>
      </c>
      <c r="AP68" s="170">
        <f ca="1">+IFERROR(IF(ISNUMBER(OFFSET('EDP Proyectado'!AQ68,0,-'Ingreso Proyectado'!$P68))&lt;&gt;0,IF(OFFSET('EDP Proyectado'!AQ68,0,-'Ingreso Proyectado'!$P68)+0&lt;=1,0,OFFSET('EDP Proyectado'!AQ68,0,-'Ingreso Proyectado'!$P68)+0)),0)</f>
        <v>0</v>
      </c>
    </row>
    <row r="69" spans="3:42" x14ac:dyDescent="0.2">
      <c r="C69" s="117">
        <f>+'Gantt Proyectos'!C137</f>
        <v>41</v>
      </c>
      <c r="D69" s="145" t="str">
        <f>+'Gantt Proyectos'!D137</f>
        <v>Evaluación de cumplimiento de planes de corto plazo</v>
      </c>
      <c r="E69" s="145" t="str">
        <f>+'Gantt Proyectos'!E137</f>
        <v>Antamina</v>
      </c>
      <c r="F69" s="147" t="str">
        <f>+'Gantt Proyectos'!F137</f>
        <v>Perú</v>
      </c>
      <c r="G69" s="118" t="str">
        <f>+'Gantt Proyectos'!G137</f>
        <v>Perú</v>
      </c>
      <c r="H69" s="118" t="str">
        <f>+'Gantt Proyectos'!H137</f>
        <v>Chile</v>
      </c>
      <c r="I69" s="189">
        <v>0.5</v>
      </c>
      <c r="J69" s="189">
        <f t="shared" si="6"/>
        <v>0.5</v>
      </c>
      <c r="K69" s="118" t="str">
        <f>+'Gantt Proyectos'!I137</f>
        <v>Open Pit</v>
      </c>
      <c r="L69" s="120">
        <f>+'Gantt Proyectos'!J137</f>
        <v>1</v>
      </c>
      <c r="M69" s="145" t="str">
        <f>+'Gantt Proyectos'!K137</f>
        <v>FR</v>
      </c>
      <c r="N69" s="460">
        <f>+'Gantt Proyectos'!L137</f>
        <v>180000</v>
      </c>
      <c r="O69" s="460">
        <f>+'Gantt Proyectos'!M137</f>
        <v>180000</v>
      </c>
      <c r="P69" s="145">
        <f>+'Gantt Proyectos'!N137</f>
        <v>2</v>
      </c>
      <c r="Q69" s="119">
        <f>+'Gantt Proyectos'!O137</f>
        <v>45839</v>
      </c>
      <c r="R69" s="119">
        <f>+'Gantt Proyectos'!P137</f>
        <v>45931</v>
      </c>
      <c r="S69" s="145" t="str">
        <f>+'Gantt Proyectos'!R137</f>
        <v>No</v>
      </c>
      <c r="T69" s="118">
        <f>+'Gantt Proyectos'!S137</f>
        <v>0</v>
      </c>
      <c r="U69" s="156">
        <f>+'Gantt Proyectos'!T137</f>
        <v>45839</v>
      </c>
      <c r="V69" s="156">
        <f>+'Gantt Proyectos'!U137</f>
        <v>45931</v>
      </c>
      <c r="W69" s="201">
        <f t="shared" si="7"/>
        <v>4</v>
      </c>
      <c r="X69" s="121">
        <f>+'Gantt Proyectos'!W137</f>
        <v>0.05</v>
      </c>
      <c r="Y69" s="122">
        <f>+'Gantt Proyectos'!X137</f>
        <v>0.33</v>
      </c>
      <c r="Z69" s="122">
        <f>+'Gantt Proyectos'!Y137</f>
        <v>0.5</v>
      </c>
      <c r="AA69" s="122">
        <f>+'Gantt Proyectos'!Z137</f>
        <v>0.33</v>
      </c>
      <c r="AB69" s="122">
        <f>+'Gantt Proyectos'!AA137</f>
        <v>1</v>
      </c>
      <c r="AC69" s="122">
        <f>+'Gantt Proyectos'!AB137</f>
        <v>0</v>
      </c>
      <c r="AD69" s="152" t="str">
        <f>+'Gantt Proyectos'!AC137</f>
        <v>Consultoria y Due Dilligence</v>
      </c>
      <c r="AE69" s="123" t="str">
        <f>+'Gantt Proyectos'!AD137</f>
        <v>No Asignado</v>
      </c>
      <c r="AF69" s="124" t="str">
        <f>+'Gantt Proyectos'!AE137</f>
        <v>1. Proyectado: No  Asignado</v>
      </c>
      <c r="AG69" s="172">
        <v>1</v>
      </c>
      <c r="AH69" s="169">
        <f ca="1">+IFERROR(IF(ISNUMBER(OFFSET('EDP Proyectado'!AI69,0,-'Ingreso Proyectado'!$P69))&lt;&gt;0,IF(OFFSET('EDP Proyectado'!AI69,0,-'Ingreso Proyectado'!$P69)+0&lt;=1,0,OFFSET('EDP Proyectado'!AI69,0,-'Ingreso Proyectado'!$P69)+0)),0)</f>
        <v>0</v>
      </c>
      <c r="AI69" s="169">
        <f ca="1">+IFERROR(IF(ISNUMBER(OFFSET('EDP Proyectado'!AJ69,0,-'Ingreso Proyectado'!$P69))&lt;&gt;0,IF(OFFSET('EDP Proyectado'!AJ69,0,-'Ingreso Proyectado'!$P69)+0&lt;=1,0,OFFSET('EDP Proyectado'!AJ69,0,-'Ingreso Proyectado'!$P69)+0)),0)</f>
        <v>0</v>
      </c>
      <c r="AJ69" s="169">
        <f ca="1">+IFERROR(IF(ISNUMBER(OFFSET('EDP Proyectado'!AK69,0,-'Ingreso Proyectado'!$P69))&lt;&gt;0,IF(OFFSET('EDP Proyectado'!AK69,0,-'Ingreso Proyectado'!$P69)+0&lt;=1,0,OFFSET('EDP Proyectado'!AK69,0,-'Ingreso Proyectado'!$P69)+0)),0)</f>
        <v>0</v>
      </c>
      <c r="AK69" s="169">
        <f ca="1">+IFERROR(IF(ISNUMBER(OFFSET('EDP Proyectado'!AL69,0,-'Ingreso Proyectado'!$P69))&lt;&gt;0,IF(OFFSET('EDP Proyectado'!AL69,0,-'Ingreso Proyectado'!$P69)+0&lt;=1,0,OFFSET('EDP Proyectado'!AL69,0,-'Ingreso Proyectado'!$P69)+0)),0)</f>
        <v>0</v>
      </c>
      <c r="AL69" s="169">
        <f ca="1">+IFERROR(IF(ISNUMBER(OFFSET('EDP Proyectado'!AM69,0,-'Ingreso Proyectado'!$P69))&lt;&gt;0,IF(OFFSET('EDP Proyectado'!AM69,0,-'Ingreso Proyectado'!$P69)+0&lt;=1,0,OFFSET('EDP Proyectado'!AM69,0,-'Ingreso Proyectado'!$P69)+0)),0)</f>
        <v>0</v>
      </c>
      <c r="AM69" s="169">
        <f ca="1">+IFERROR(IF(ISNUMBER(OFFSET('EDP Proyectado'!AN69,0,-'Ingreso Proyectado'!$P69))&lt;&gt;0,IF(OFFSET('EDP Proyectado'!AN69,0,-'Ingreso Proyectado'!$P69)+0&lt;=1,0,OFFSET('EDP Proyectado'!AN69,0,-'Ingreso Proyectado'!$P69)+0)),0)</f>
        <v>2250</v>
      </c>
      <c r="AN69" s="169">
        <f ca="1">+IFERROR(IF(ISNUMBER(OFFSET('EDP Proyectado'!AO69,0,-'Ingreso Proyectado'!$P69))&lt;&gt;0,IF(OFFSET('EDP Proyectado'!AO69,0,-'Ingreso Proyectado'!$P69)+0&lt;=1,0,OFFSET('EDP Proyectado'!AO69,0,-'Ingreso Proyectado'!$P69)+0)),0)</f>
        <v>2250</v>
      </c>
      <c r="AO69" s="169">
        <f ca="1">+IFERROR(IF(ISNUMBER(OFFSET('EDP Proyectado'!AP69,0,-'Ingreso Proyectado'!$P69))&lt;&gt;0,IF(OFFSET('EDP Proyectado'!AP69,0,-'Ingreso Proyectado'!$P69)+0&lt;=1,0,OFFSET('EDP Proyectado'!AP69,0,-'Ingreso Proyectado'!$P69)+0)),0)</f>
        <v>2250</v>
      </c>
      <c r="AP69" s="170">
        <f ca="1">+IFERROR(IF(ISNUMBER(OFFSET('EDP Proyectado'!AQ69,0,-'Ingreso Proyectado'!$P69))&lt;&gt;0,IF(OFFSET('EDP Proyectado'!AQ69,0,-'Ingreso Proyectado'!$P69)+0&lt;=1,0,OFFSET('EDP Proyectado'!AQ69,0,-'Ingreso Proyectado'!$P69)+0)),0)</f>
        <v>0</v>
      </c>
    </row>
    <row r="70" spans="3:42" x14ac:dyDescent="0.2">
      <c r="C70" s="117">
        <f>+'Gantt Proyectos'!C138</f>
        <v>42</v>
      </c>
      <c r="D70" s="145" t="str">
        <f>+'Gantt Proyectos'!D138</f>
        <v xml:space="preserve"> Actualización del Estudio Geomecánico</v>
      </c>
      <c r="E70" s="145" t="str">
        <f>+'Gantt Proyectos'!E138</f>
        <v>Nexa</v>
      </c>
      <c r="F70" s="147" t="str">
        <f>+'Gantt Proyectos'!F138</f>
        <v>Perú</v>
      </c>
      <c r="G70" s="118" t="str">
        <f>+'Gantt Proyectos'!G138</f>
        <v>Chile</v>
      </c>
      <c r="H70" s="118" t="str">
        <f>+'Gantt Proyectos'!H138</f>
        <v>Perú</v>
      </c>
      <c r="I70" s="189">
        <v>0.5</v>
      </c>
      <c r="J70" s="189">
        <f t="shared" si="6"/>
        <v>0.5</v>
      </c>
      <c r="K70" s="118" t="str">
        <f>+'Gantt Proyectos'!I138</f>
        <v>Geomecánica</v>
      </c>
      <c r="L70" s="120">
        <f>+'Gantt Proyectos'!J138</f>
        <v>0</v>
      </c>
      <c r="M70" s="145" t="str">
        <f>+'Gantt Proyectos'!K138</f>
        <v>CH</v>
      </c>
      <c r="N70" s="460">
        <f>+'Gantt Proyectos'!L138</f>
        <v>120000</v>
      </c>
      <c r="O70" s="460">
        <f>+'Gantt Proyectos'!M138</f>
        <v>120000</v>
      </c>
      <c r="P70" s="145">
        <f>+'Gantt Proyectos'!N138</f>
        <v>2</v>
      </c>
      <c r="Q70" s="119">
        <f>+'Gantt Proyectos'!O138</f>
        <v>45809</v>
      </c>
      <c r="R70" s="119">
        <f>+'Gantt Proyectos'!P138</f>
        <v>45901</v>
      </c>
      <c r="S70" s="145" t="str">
        <f>+'Gantt Proyectos'!R138</f>
        <v>No</v>
      </c>
      <c r="T70" s="118">
        <f>+'Gantt Proyectos'!S138</f>
        <v>0</v>
      </c>
      <c r="U70" s="156">
        <f>+'Gantt Proyectos'!T138</f>
        <v>45809</v>
      </c>
      <c r="V70" s="156">
        <f>+'Gantt Proyectos'!U138</f>
        <v>45901</v>
      </c>
      <c r="W70" s="201">
        <f t="shared" si="7"/>
        <v>4</v>
      </c>
      <c r="X70" s="121">
        <f>+'Gantt Proyectos'!W138</f>
        <v>0</v>
      </c>
      <c r="Y70" s="122">
        <f>+'Gantt Proyectos'!X138</f>
        <v>0</v>
      </c>
      <c r="Z70" s="122">
        <f>+'Gantt Proyectos'!Y138</f>
        <v>0</v>
      </c>
      <c r="AA70" s="122">
        <f>+'Gantt Proyectos'!Z138</f>
        <v>0</v>
      </c>
      <c r="AB70" s="122">
        <f>+'Gantt Proyectos'!AA138</f>
        <v>0</v>
      </c>
      <c r="AC70" s="122">
        <f>+'Gantt Proyectos'!AB138</f>
        <v>0</v>
      </c>
      <c r="AD70" s="152" t="str">
        <f>+'Gantt Proyectos'!AC138</f>
        <v>Consultoria y Due Dilligence</v>
      </c>
      <c r="AE70" s="123" t="str">
        <f>+'Gantt Proyectos'!AD138</f>
        <v>No Asignado</v>
      </c>
      <c r="AF70" s="124" t="str">
        <f>+'Gantt Proyectos'!AE138</f>
        <v>1. Proyectado: No  Asignado</v>
      </c>
      <c r="AG70" s="172">
        <v>1</v>
      </c>
      <c r="AH70" s="169">
        <f ca="1">+IFERROR(IF(ISNUMBER(OFFSET('EDP Proyectado'!AI70,0,-'Ingreso Proyectado'!$P70))&lt;&gt;0,IF(OFFSET('EDP Proyectado'!AI70,0,-'Ingreso Proyectado'!$P70)+0&lt;=1,0,OFFSET('EDP Proyectado'!AI70,0,-'Ingreso Proyectado'!$P70)+0)),0)</f>
        <v>0</v>
      </c>
      <c r="AI70" s="169">
        <f ca="1">+IFERROR(IF(ISNUMBER(OFFSET('EDP Proyectado'!AJ70,0,-'Ingreso Proyectado'!$P70))&lt;&gt;0,IF(OFFSET('EDP Proyectado'!AJ70,0,-'Ingreso Proyectado'!$P70)+0&lt;=1,0,OFFSET('EDP Proyectado'!AJ70,0,-'Ingreso Proyectado'!$P70)+0)),0)</f>
        <v>0</v>
      </c>
      <c r="AJ70" s="169">
        <f ca="1">+IFERROR(IF(ISNUMBER(OFFSET('EDP Proyectado'!AK70,0,-'Ingreso Proyectado'!$P70))&lt;&gt;0,IF(OFFSET('EDP Proyectado'!AK70,0,-'Ingreso Proyectado'!$P70)+0&lt;=1,0,OFFSET('EDP Proyectado'!AK70,0,-'Ingreso Proyectado'!$P70)+0)),0)</f>
        <v>0</v>
      </c>
      <c r="AK70" s="169">
        <f ca="1">+IFERROR(IF(ISNUMBER(OFFSET('EDP Proyectado'!AL70,0,-'Ingreso Proyectado'!$P70))&lt;&gt;0,IF(OFFSET('EDP Proyectado'!AL70,0,-'Ingreso Proyectado'!$P70)+0&lt;=1,0,OFFSET('EDP Proyectado'!AL70,0,-'Ingreso Proyectado'!$P70)+0)),0)</f>
        <v>0</v>
      </c>
      <c r="AL70" s="169">
        <f ca="1">+IFERROR(IF(ISNUMBER(OFFSET('EDP Proyectado'!AM70,0,-'Ingreso Proyectado'!$P70))&lt;&gt;0,IF(OFFSET('EDP Proyectado'!AM70,0,-'Ingreso Proyectado'!$P70)+0&lt;=1,0,OFFSET('EDP Proyectado'!AM70,0,-'Ingreso Proyectado'!$P70)+0)),0)</f>
        <v>0</v>
      </c>
      <c r="AM70" s="169">
        <f ca="1">+IFERROR(IF(ISNUMBER(OFFSET('EDP Proyectado'!AN70,0,-'Ingreso Proyectado'!$P70))&lt;&gt;0,IF(OFFSET('EDP Proyectado'!AN70,0,-'Ingreso Proyectado'!$P70)+0&lt;=1,0,OFFSET('EDP Proyectado'!AN70,0,-'Ingreso Proyectado'!$P70)+0)),0)</f>
        <v>0</v>
      </c>
      <c r="AN70" s="169">
        <f ca="1">+IFERROR(IF(ISNUMBER(OFFSET('EDP Proyectado'!AO70,0,-'Ingreso Proyectado'!$P70))&lt;&gt;0,IF(OFFSET('EDP Proyectado'!AO70,0,-'Ingreso Proyectado'!$P70)+0&lt;=1,0,OFFSET('EDP Proyectado'!AO70,0,-'Ingreso Proyectado'!$P70)+0)),0)</f>
        <v>0</v>
      </c>
      <c r="AO70" s="169">
        <f ca="1">+IFERROR(IF(ISNUMBER(OFFSET('EDP Proyectado'!AP70,0,-'Ingreso Proyectado'!$P70))&lt;&gt;0,IF(OFFSET('EDP Proyectado'!AP70,0,-'Ingreso Proyectado'!$P70)+0&lt;=1,0,OFFSET('EDP Proyectado'!AP70,0,-'Ingreso Proyectado'!$P70)+0)),0)</f>
        <v>0</v>
      </c>
      <c r="AP70" s="170">
        <f ca="1">+IFERROR(IF(ISNUMBER(OFFSET('EDP Proyectado'!AQ70,0,-'Ingreso Proyectado'!$P70))&lt;&gt;0,IF(OFFSET('EDP Proyectado'!AQ70,0,-'Ingreso Proyectado'!$P70)+0&lt;=1,0,OFFSET('EDP Proyectado'!AQ70,0,-'Ingreso Proyectado'!$P70)+0)),0)</f>
        <v>0</v>
      </c>
    </row>
    <row r="71" spans="3:42" x14ac:dyDescent="0.2">
      <c r="C71" s="117">
        <f>+'Gantt Proyectos'!C139</f>
        <v>43</v>
      </c>
      <c r="D71" s="145" t="str">
        <f>+'Gantt Proyectos'!D139</f>
        <v>Ing detalle infraestructura Mina</v>
      </c>
      <c r="E71" s="145" t="str">
        <f>+'Gantt Proyectos'!E139</f>
        <v>BR Nickel</v>
      </c>
      <c r="F71" s="147" t="str">
        <f>+'Gantt Proyectos'!F139</f>
        <v>Brasil</v>
      </c>
      <c r="G71" s="118" t="str">
        <f>+'Gantt Proyectos'!G139</f>
        <v>Chile</v>
      </c>
      <c r="H71" s="118">
        <f>+'Gantt Proyectos'!H139</f>
        <v>0</v>
      </c>
      <c r="I71" s="189">
        <v>1</v>
      </c>
      <c r="J71" s="189">
        <f t="shared" si="6"/>
        <v>0</v>
      </c>
      <c r="K71" s="118" t="str">
        <f>+'Gantt Proyectos'!I139</f>
        <v>Open Pit</v>
      </c>
      <c r="L71" s="120">
        <f>+'Gantt Proyectos'!J139</f>
        <v>0</v>
      </c>
      <c r="M71" s="145" t="str">
        <f>+'Gantt Proyectos'!K139</f>
        <v>RM</v>
      </c>
      <c r="N71" s="460">
        <f>+'Gantt Proyectos'!L139</f>
        <v>700000</v>
      </c>
      <c r="O71" s="460">
        <f>+'Gantt Proyectos'!M139</f>
        <v>700000</v>
      </c>
      <c r="P71" s="145">
        <f>+'Gantt Proyectos'!N139</f>
        <v>2</v>
      </c>
      <c r="Q71" s="119">
        <f>+'Gantt Proyectos'!O139</f>
        <v>45809</v>
      </c>
      <c r="R71" s="119">
        <f>+'Gantt Proyectos'!P139</f>
        <v>46357</v>
      </c>
      <c r="S71" s="145" t="str">
        <f>+'Gantt Proyectos'!R139</f>
        <v>No</v>
      </c>
      <c r="T71" s="118">
        <f>+'Gantt Proyectos'!S139</f>
        <v>0</v>
      </c>
      <c r="U71" s="156">
        <f>+'Gantt Proyectos'!T139</f>
        <v>45809</v>
      </c>
      <c r="V71" s="156">
        <f>+'Gantt Proyectos'!U139</f>
        <v>46357</v>
      </c>
      <c r="W71" s="201">
        <f t="shared" si="7"/>
        <v>18</v>
      </c>
      <c r="X71" s="121">
        <f>+'Gantt Proyectos'!W139</f>
        <v>0</v>
      </c>
      <c r="Y71" s="122">
        <f>+'Gantt Proyectos'!X139</f>
        <v>0</v>
      </c>
      <c r="Z71" s="122">
        <f>+'Gantt Proyectos'!Y139</f>
        <v>0</v>
      </c>
      <c r="AA71" s="122">
        <f>+'Gantt Proyectos'!Z139</f>
        <v>0</v>
      </c>
      <c r="AB71" s="122">
        <f>+'Gantt Proyectos'!AA139</f>
        <v>0</v>
      </c>
      <c r="AC71" s="122">
        <f>+'Gantt Proyectos'!AB139</f>
        <v>0</v>
      </c>
      <c r="AD71" s="152" t="str">
        <f>+'Gantt Proyectos'!AC139</f>
        <v>FS e Ing. Basica</v>
      </c>
      <c r="AE71" s="123" t="str">
        <f>+'Gantt Proyectos'!AD139</f>
        <v>No Asignado</v>
      </c>
      <c r="AF71" s="124" t="str">
        <f>+'Gantt Proyectos'!AE139</f>
        <v>1. Proyectado: No  Asignado</v>
      </c>
      <c r="AG71" s="172">
        <v>1</v>
      </c>
      <c r="AH71" s="169">
        <f ca="1">+IFERROR(IF(ISNUMBER(OFFSET('EDP Proyectado'!AI71,0,-'Ingreso Proyectado'!$P71))&lt;&gt;0,IF(OFFSET('EDP Proyectado'!AI71,0,-'Ingreso Proyectado'!$P71)+0&lt;=1,0,OFFSET('EDP Proyectado'!AI71,0,-'Ingreso Proyectado'!$P71)+0)),0)</f>
        <v>0</v>
      </c>
      <c r="AI71" s="169">
        <f ca="1">+IFERROR(IF(ISNUMBER(OFFSET('EDP Proyectado'!AJ71,0,-'Ingreso Proyectado'!$P71))&lt;&gt;0,IF(OFFSET('EDP Proyectado'!AJ71,0,-'Ingreso Proyectado'!$P71)+0&lt;=1,0,OFFSET('EDP Proyectado'!AJ71,0,-'Ingreso Proyectado'!$P71)+0)),0)</f>
        <v>0</v>
      </c>
      <c r="AJ71" s="169">
        <f ca="1">+IFERROR(IF(ISNUMBER(OFFSET('EDP Proyectado'!AK71,0,-'Ingreso Proyectado'!$P71))&lt;&gt;0,IF(OFFSET('EDP Proyectado'!AK71,0,-'Ingreso Proyectado'!$P71)+0&lt;=1,0,OFFSET('EDP Proyectado'!AK71,0,-'Ingreso Proyectado'!$P71)+0)),0)</f>
        <v>0</v>
      </c>
      <c r="AK71" s="169">
        <f ca="1">+IFERROR(IF(ISNUMBER(OFFSET('EDP Proyectado'!AL71,0,-'Ingreso Proyectado'!$P71))&lt;&gt;0,IF(OFFSET('EDP Proyectado'!AL71,0,-'Ingreso Proyectado'!$P71)+0&lt;=1,0,OFFSET('EDP Proyectado'!AL71,0,-'Ingreso Proyectado'!$P71)+0)),0)</f>
        <v>0</v>
      </c>
      <c r="AL71" s="169">
        <f ca="1">+IFERROR(IF(ISNUMBER(OFFSET('EDP Proyectado'!AM71,0,-'Ingreso Proyectado'!$P71))&lt;&gt;0,IF(OFFSET('EDP Proyectado'!AM71,0,-'Ingreso Proyectado'!$P71)+0&lt;=1,0,OFFSET('EDP Proyectado'!AM71,0,-'Ingreso Proyectado'!$P71)+0)),0)</f>
        <v>0</v>
      </c>
      <c r="AM71" s="169">
        <f ca="1">+IFERROR(IF(ISNUMBER(OFFSET('EDP Proyectado'!AN71,0,-'Ingreso Proyectado'!$P71))&lt;&gt;0,IF(OFFSET('EDP Proyectado'!AN71,0,-'Ingreso Proyectado'!$P71)+0&lt;=1,0,OFFSET('EDP Proyectado'!AN71,0,-'Ingreso Proyectado'!$P71)+0)),0)</f>
        <v>0</v>
      </c>
      <c r="AN71" s="169">
        <f ca="1">+IFERROR(IF(ISNUMBER(OFFSET('EDP Proyectado'!AO71,0,-'Ingreso Proyectado'!$P71))&lt;&gt;0,IF(OFFSET('EDP Proyectado'!AO71,0,-'Ingreso Proyectado'!$P71)+0&lt;=1,0,OFFSET('EDP Proyectado'!AO71,0,-'Ingreso Proyectado'!$P71)+0)),0)</f>
        <v>0</v>
      </c>
      <c r="AO71" s="169">
        <f ca="1">+IFERROR(IF(ISNUMBER(OFFSET('EDP Proyectado'!AP71,0,-'Ingreso Proyectado'!$P71))&lt;&gt;0,IF(OFFSET('EDP Proyectado'!AP71,0,-'Ingreso Proyectado'!$P71)+0&lt;=1,0,OFFSET('EDP Proyectado'!AP71,0,-'Ingreso Proyectado'!$P71)+0)),0)</f>
        <v>0</v>
      </c>
      <c r="AP71" s="170">
        <f ca="1">+IFERROR(IF(ISNUMBER(OFFSET('EDP Proyectado'!AQ71,0,-'Ingreso Proyectado'!$P71))&lt;&gt;0,IF(OFFSET('EDP Proyectado'!AQ71,0,-'Ingreso Proyectado'!$P71)+0&lt;=1,0,OFFSET('EDP Proyectado'!AQ71,0,-'Ingreso Proyectado'!$P71)+0)),0)</f>
        <v>0</v>
      </c>
    </row>
    <row r="72" spans="3:42" x14ac:dyDescent="0.2">
      <c r="C72" s="117">
        <f>+'Gantt Proyectos'!C140</f>
        <v>44</v>
      </c>
      <c r="D72" s="145" t="str">
        <f>+'Gantt Proyectos'!D140</f>
        <v>Estudio Geomecánico de Interacción Block Caving – Chancado Primario</v>
      </c>
      <c r="E72" s="145" t="str">
        <f>+'Gantt Proyectos'!E140</f>
        <v>Nexa</v>
      </c>
      <c r="F72" s="147" t="str">
        <f>+'Gantt Proyectos'!F140</f>
        <v>Perú</v>
      </c>
      <c r="G72" s="118" t="str">
        <f>+'Gantt Proyectos'!G140</f>
        <v>Chile</v>
      </c>
      <c r="H72" s="118" t="str">
        <f>+'Gantt Proyectos'!H140</f>
        <v>Perú</v>
      </c>
      <c r="I72" s="189">
        <v>0.5</v>
      </c>
      <c r="J72" s="189">
        <f t="shared" si="6"/>
        <v>0.5</v>
      </c>
      <c r="K72" s="118" t="str">
        <f>+'Gantt Proyectos'!I140</f>
        <v>Geomecánica</v>
      </c>
      <c r="L72" s="120">
        <f>+'Gantt Proyectos'!J140</f>
        <v>0</v>
      </c>
      <c r="M72" s="145" t="str">
        <f>+'Gantt Proyectos'!K140</f>
        <v>CH</v>
      </c>
      <c r="N72" s="460">
        <f>+'Gantt Proyectos'!L140</f>
        <v>150000</v>
      </c>
      <c r="O72" s="460">
        <f>+'Gantt Proyectos'!M140</f>
        <v>150000</v>
      </c>
      <c r="P72" s="145">
        <f>+'Gantt Proyectos'!N140</f>
        <v>2</v>
      </c>
      <c r="Q72" s="119">
        <f>+'Gantt Proyectos'!O140</f>
        <v>45809</v>
      </c>
      <c r="R72" s="119">
        <f>+'Gantt Proyectos'!P140</f>
        <v>45901</v>
      </c>
      <c r="S72" s="145" t="str">
        <f>+'Gantt Proyectos'!R140</f>
        <v>No</v>
      </c>
      <c r="T72" s="118">
        <f>+'Gantt Proyectos'!S140</f>
        <v>0</v>
      </c>
      <c r="U72" s="156">
        <f>+'Gantt Proyectos'!T140</f>
        <v>45809</v>
      </c>
      <c r="V72" s="156">
        <f>+'Gantt Proyectos'!U140</f>
        <v>45901</v>
      </c>
      <c r="W72" s="201">
        <f t="shared" si="7"/>
        <v>4</v>
      </c>
      <c r="X72" s="121">
        <f>+'Gantt Proyectos'!W140</f>
        <v>0</v>
      </c>
      <c r="Y72" s="122">
        <f>+'Gantt Proyectos'!X140</f>
        <v>0</v>
      </c>
      <c r="Z72" s="122">
        <f>+'Gantt Proyectos'!Y140</f>
        <v>0</v>
      </c>
      <c r="AA72" s="122">
        <f>+'Gantt Proyectos'!Z140</f>
        <v>0</v>
      </c>
      <c r="AB72" s="122">
        <f>+'Gantt Proyectos'!AA140</f>
        <v>0</v>
      </c>
      <c r="AC72" s="122">
        <f>+'Gantt Proyectos'!AB140</f>
        <v>0</v>
      </c>
      <c r="AD72" s="152" t="str">
        <f>+'Gantt Proyectos'!AC140</f>
        <v>Consultoria y Due Dilligence</v>
      </c>
      <c r="AE72" s="123" t="str">
        <f>+'Gantt Proyectos'!AD140</f>
        <v>No Asignado</v>
      </c>
      <c r="AF72" s="124" t="str">
        <f>+'Gantt Proyectos'!AE140</f>
        <v>1. Proyectado: No  Asignado</v>
      </c>
      <c r="AG72" s="172">
        <v>1</v>
      </c>
      <c r="AH72" s="169">
        <f ca="1">+IFERROR(IF(ISNUMBER(OFFSET('EDP Proyectado'!AI72,0,-'Ingreso Proyectado'!$P72))&lt;&gt;0,IF(OFFSET('EDP Proyectado'!AI72,0,-'Ingreso Proyectado'!$P72)+0&lt;=1,0,OFFSET('EDP Proyectado'!AI72,0,-'Ingreso Proyectado'!$P72)+0)),0)</f>
        <v>0</v>
      </c>
      <c r="AI72" s="169">
        <f ca="1">+IFERROR(IF(ISNUMBER(OFFSET('EDP Proyectado'!AJ72,0,-'Ingreso Proyectado'!$P72))&lt;&gt;0,IF(OFFSET('EDP Proyectado'!AJ72,0,-'Ingreso Proyectado'!$P72)+0&lt;=1,0,OFFSET('EDP Proyectado'!AJ72,0,-'Ingreso Proyectado'!$P72)+0)),0)</f>
        <v>0</v>
      </c>
      <c r="AJ72" s="169">
        <f ca="1">+IFERROR(IF(ISNUMBER(OFFSET('EDP Proyectado'!AK72,0,-'Ingreso Proyectado'!$P72))&lt;&gt;0,IF(OFFSET('EDP Proyectado'!AK72,0,-'Ingreso Proyectado'!$P72)+0&lt;=1,0,OFFSET('EDP Proyectado'!AK72,0,-'Ingreso Proyectado'!$P72)+0)),0)</f>
        <v>0</v>
      </c>
      <c r="AK72" s="169">
        <f ca="1">+IFERROR(IF(ISNUMBER(OFFSET('EDP Proyectado'!AL72,0,-'Ingreso Proyectado'!$P72))&lt;&gt;0,IF(OFFSET('EDP Proyectado'!AL72,0,-'Ingreso Proyectado'!$P72)+0&lt;=1,0,OFFSET('EDP Proyectado'!AL72,0,-'Ingreso Proyectado'!$P72)+0)),0)</f>
        <v>0</v>
      </c>
      <c r="AL72" s="169">
        <f ca="1">+IFERROR(IF(ISNUMBER(OFFSET('EDP Proyectado'!AM72,0,-'Ingreso Proyectado'!$P72))&lt;&gt;0,IF(OFFSET('EDP Proyectado'!AM72,0,-'Ingreso Proyectado'!$P72)+0&lt;=1,0,OFFSET('EDP Proyectado'!AM72,0,-'Ingreso Proyectado'!$P72)+0)),0)</f>
        <v>0</v>
      </c>
      <c r="AM72" s="169">
        <f ca="1">+IFERROR(IF(ISNUMBER(OFFSET('EDP Proyectado'!AN72,0,-'Ingreso Proyectado'!$P72))&lt;&gt;0,IF(OFFSET('EDP Proyectado'!AN72,0,-'Ingreso Proyectado'!$P72)+0&lt;=1,0,OFFSET('EDP Proyectado'!AN72,0,-'Ingreso Proyectado'!$P72)+0)),0)</f>
        <v>0</v>
      </c>
      <c r="AN72" s="169">
        <f ca="1">+IFERROR(IF(ISNUMBER(OFFSET('EDP Proyectado'!AO72,0,-'Ingreso Proyectado'!$P72))&lt;&gt;0,IF(OFFSET('EDP Proyectado'!AO72,0,-'Ingreso Proyectado'!$P72)+0&lt;=1,0,OFFSET('EDP Proyectado'!AO72,0,-'Ingreso Proyectado'!$P72)+0)),0)</f>
        <v>0</v>
      </c>
      <c r="AO72" s="169">
        <f ca="1">+IFERROR(IF(ISNUMBER(OFFSET('EDP Proyectado'!AP72,0,-'Ingreso Proyectado'!$P72))&lt;&gt;0,IF(OFFSET('EDP Proyectado'!AP72,0,-'Ingreso Proyectado'!$P72)+0&lt;=1,0,OFFSET('EDP Proyectado'!AP72,0,-'Ingreso Proyectado'!$P72)+0)),0)</f>
        <v>0</v>
      </c>
      <c r="AP72" s="170">
        <f ca="1">+IFERROR(IF(ISNUMBER(OFFSET('EDP Proyectado'!AQ72,0,-'Ingreso Proyectado'!$P72))&lt;&gt;0,IF(OFFSET('EDP Proyectado'!AQ72,0,-'Ingreso Proyectado'!$P72)+0&lt;=1,0,OFFSET('EDP Proyectado'!AQ72,0,-'Ingreso Proyectado'!$P72)+0)),0)</f>
        <v>0</v>
      </c>
    </row>
    <row r="73" spans="3:42" x14ac:dyDescent="0.2">
      <c r="C73" s="117">
        <f>+'Gantt Proyectos'!C141</f>
        <v>45</v>
      </c>
      <c r="D73" s="145" t="str">
        <f>+'Gantt Proyectos'!D141</f>
        <v>Servicio de revisón independiente de infraestructura (relaves)</v>
      </c>
      <c r="E73" s="145" t="str">
        <f>+'Gantt Proyectos'!E141</f>
        <v>ERG</v>
      </c>
      <c r="F73" s="147" t="str">
        <f>+'Gantt Proyectos'!F141</f>
        <v>Brasil</v>
      </c>
      <c r="G73" s="118" t="str">
        <f>+'Gantt Proyectos'!G141</f>
        <v>Chile</v>
      </c>
      <c r="H73" s="118">
        <f>+'Gantt Proyectos'!H141</f>
        <v>0</v>
      </c>
      <c r="I73" s="189">
        <v>1</v>
      </c>
      <c r="J73" s="189">
        <f t="shared" si="6"/>
        <v>0</v>
      </c>
      <c r="K73" s="118" t="str">
        <f>+'Gantt Proyectos'!I141</f>
        <v>Open Pit</v>
      </c>
      <c r="L73" s="120">
        <f>+'Gantt Proyectos'!J141</f>
        <v>0</v>
      </c>
      <c r="M73" s="145" t="str">
        <f>+'Gantt Proyectos'!K141</f>
        <v>CH</v>
      </c>
      <c r="N73" s="460">
        <f>+'Gantt Proyectos'!L141</f>
        <v>490000</v>
      </c>
      <c r="O73" s="460">
        <f>+'Gantt Proyectos'!M141</f>
        <v>490000</v>
      </c>
      <c r="P73" s="145">
        <f>+'Gantt Proyectos'!N141</f>
        <v>2</v>
      </c>
      <c r="Q73" s="119">
        <f>+'Gantt Proyectos'!O141</f>
        <v>45809</v>
      </c>
      <c r="R73" s="119">
        <f>+'Gantt Proyectos'!P141</f>
        <v>46011</v>
      </c>
      <c r="S73" s="145" t="str">
        <f>+'Gantt Proyectos'!R141</f>
        <v>No</v>
      </c>
      <c r="T73" s="118">
        <f>+'Gantt Proyectos'!S141</f>
        <v>0</v>
      </c>
      <c r="U73" s="156">
        <f>+'Gantt Proyectos'!T141</f>
        <v>45809</v>
      </c>
      <c r="V73" s="156">
        <f>+'Gantt Proyectos'!U141</f>
        <v>46011</v>
      </c>
      <c r="W73" s="201">
        <f t="shared" si="7"/>
        <v>7</v>
      </c>
      <c r="X73" s="121">
        <f>+'Gantt Proyectos'!W141</f>
        <v>0</v>
      </c>
      <c r="Y73" s="122">
        <f>+'Gantt Proyectos'!X141</f>
        <v>0</v>
      </c>
      <c r="Z73" s="122">
        <f>+'Gantt Proyectos'!Y141</f>
        <v>0</v>
      </c>
      <c r="AA73" s="122">
        <f>+'Gantt Proyectos'!Z141</f>
        <v>0</v>
      </c>
      <c r="AB73" s="122">
        <f>+'Gantt Proyectos'!AA141</f>
        <v>0</v>
      </c>
      <c r="AC73" s="122">
        <f>+'Gantt Proyectos'!AB141</f>
        <v>0</v>
      </c>
      <c r="AD73" s="152" t="str">
        <f>+'Gantt Proyectos'!AC141</f>
        <v>Consultoria y Due Dilligence</v>
      </c>
      <c r="AE73" s="123" t="str">
        <f>+'Gantt Proyectos'!AD141</f>
        <v>No Asignado</v>
      </c>
      <c r="AF73" s="124" t="str">
        <f>+'Gantt Proyectos'!AE141</f>
        <v>1. Proyectado: No  Asignado</v>
      </c>
      <c r="AG73" s="172">
        <v>1</v>
      </c>
      <c r="AH73" s="169">
        <f ca="1">+IFERROR(IF(ISNUMBER(OFFSET('EDP Proyectado'!AI73,0,-'Ingreso Proyectado'!$P73))&lt;&gt;0,IF(OFFSET('EDP Proyectado'!AI73,0,-'Ingreso Proyectado'!$P73)+0&lt;=1,0,OFFSET('EDP Proyectado'!AI73,0,-'Ingreso Proyectado'!$P73)+0)),0)</f>
        <v>0</v>
      </c>
      <c r="AI73" s="169">
        <f ca="1">+IFERROR(IF(ISNUMBER(OFFSET('EDP Proyectado'!AJ73,0,-'Ingreso Proyectado'!$P73))&lt;&gt;0,IF(OFFSET('EDP Proyectado'!AJ73,0,-'Ingreso Proyectado'!$P73)+0&lt;=1,0,OFFSET('EDP Proyectado'!AJ73,0,-'Ingreso Proyectado'!$P73)+0)),0)</f>
        <v>0</v>
      </c>
      <c r="AJ73" s="169">
        <f ca="1">+IFERROR(IF(ISNUMBER(OFFSET('EDP Proyectado'!AK73,0,-'Ingreso Proyectado'!$P73))&lt;&gt;0,IF(OFFSET('EDP Proyectado'!AK73,0,-'Ingreso Proyectado'!$P73)+0&lt;=1,0,OFFSET('EDP Proyectado'!AK73,0,-'Ingreso Proyectado'!$P73)+0)),0)</f>
        <v>0</v>
      </c>
      <c r="AK73" s="169">
        <f ca="1">+IFERROR(IF(ISNUMBER(OFFSET('EDP Proyectado'!AL73,0,-'Ingreso Proyectado'!$P73))&lt;&gt;0,IF(OFFSET('EDP Proyectado'!AL73,0,-'Ingreso Proyectado'!$P73)+0&lt;=1,0,OFFSET('EDP Proyectado'!AL73,0,-'Ingreso Proyectado'!$P73)+0)),0)</f>
        <v>0</v>
      </c>
      <c r="AL73" s="169">
        <f ca="1">+IFERROR(IF(ISNUMBER(OFFSET('EDP Proyectado'!AM73,0,-'Ingreso Proyectado'!$P73))&lt;&gt;0,IF(OFFSET('EDP Proyectado'!AM73,0,-'Ingreso Proyectado'!$P73)+0&lt;=1,0,OFFSET('EDP Proyectado'!AM73,0,-'Ingreso Proyectado'!$P73)+0)),0)</f>
        <v>0</v>
      </c>
      <c r="AM73" s="169">
        <f ca="1">+IFERROR(IF(ISNUMBER(OFFSET('EDP Proyectado'!AN73,0,-'Ingreso Proyectado'!$P73))&lt;&gt;0,IF(OFFSET('EDP Proyectado'!AN73,0,-'Ingreso Proyectado'!$P73)+0&lt;=1,0,OFFSET('EDP Proyectado'!AN73,0,-'Ingreso Proyectado'!$P73)+0)),0)</f>
        <v>0</v>
      </c>
      <c r="AN73" s="169">
        <f ca="1">+IFERROR(IF(ISNUMBER(OFFSET('EDP Proyectado'!AO73,0,-'Ingreso Proyectado'!$P73))&lt;&gt;0,IF(OFFSET('EDP Proyectado'!AO73,0,-'Ingreso Proyectado'!$P73)+0&lt;=1,0,OFFSET('EDP Proyectado'!AO73,0,-'Ingreso Proyectado'!$P73)+0)),0)</f>
        <v>0</v>
      </c>
      <c r="AO73" s="169">
        <f ca="1">+IFERROR(IF(ISNUMBER(OFFSET('EDP Proyectado'!AP73,0,-'Ingreso Proyectado'!$P73))&lt;&gt;0,IF(OFFSET('EDP Proyectado'!AP73,0,-'Ingreso Proyectado'!$P73)+0&lt;=1,0,OFFSET('EDP Proyectado'!AP73,0,-'Ingreso Proyectado'!$P73)+0)),0)</f>
        <v>0</v>
      </c>
      <c r="AP73" s="170">
        <f ca="1">+IFERROR(IF(ISNUMBER(OFFSET('EDP Proyectado'!AQ73,0,-'Ingreso Proyectado'!$P73))&lt;&gt;0,IF(OFFSET('EDP Proyectado'!AQ73,0,-'Ingreso Proyectado'!$P73)+0&lt;=1,0,OFFSET('EDP Proyectado'!AQ73,0,-'Ingreso Proyectado'!$P73)+0)),0)</f>
        <v>0</v>
      </c>
    </row>
    <row r="74" spans="3:42" x14ac:dyDescent="0.2">
      <c r="C74" s="117">
        <f>+'Gantt Proyectos'!C142</f>
        <v>46</v>
      </c>
      <c r="D74" s="145" t="str">
        <f>+'Gantt Proyectos'!D142</f>
        <v>Rockhaven Klaza Project (PFS)</v>
      </c>
      <c r="E74" s="145" t="str">
        <f>+'Gantt Proyectos'!E142</f>
        <v>Rockhaven</v>
      </c>
      <c r="F74" s="147" t="str">
        <f>+'Gantt Proyectos'!F142</f>
        <v>USA</v>
      </c>
      <c r="G74" s="145" t="str">
        <f>+'Gantt Proyectos'!G142</f>
        <v>Chile</v>
      </c>
      <c r="H74" s="145" t="str">
        <f>+'Gantt Proyectos'!H142</f>
        <v>Perú</v>
      </c>
      <c r="I74" s="189">
        <v>1</v>
      </c>
      <c r="J74" s="189">
        <f t="shared" si="6"/>
        <v>0</v>
      </c>
      <c r="K74" s="145" t="str">
        <f>+'Gantt Proyectos'!I142</f>
        <v>Subterránea</v>
      </c>
      <c r="L74" s="120">
        <f>+'Gantt Proyectos'!J142</f>
        <v>0</v>
      </c>
      <c r="M74" s="145">
        <f>+'Gantt Proyectos'!K142</f>
        <v>0</v>
      </c>
      <c r="N74" s="145">
        <f>+'Gantt Proyectos'!L142</f>
        <v>1500000</v>
      </c>
      <c r="O74" s="145">
        <f>+'Gantt Proyectos'!M142</f>
        <v>1500000</v>
      </c>
      <c r="P74" s="145">
        <f>+'Gantt Proyectos'!N142</f>
        <v>2</v>
      </c>
      <c r="Q74" s="119">
        <f>+'Gantt Proyectos'!O142</f>
        <v>45885</v>
      </c>
      <c r="R74" s="119">
        <f>+'Gantt Proyectos'!P142</f>
        <v>46189</v>
      </c>
      <c r="S74" s="145" t="str">
        <f>+'Gantt Proyectos'!R142</f>
        <v>No</v>
      </c>
      <c r="T74" s="118">
        <f>+'Gantt Proyectos'!S142</f>
        <v>0</v>
      </c>
      <c r="U74" s="156">
        <f>+'Gantt Proyectos'!T142</f>
        <v>45885</v>
      </c>
      <c r="V74" s="156">
        <f>+'Gantt Proyectos'!U142</f>
        <v>46189</v>
      </c>
      <c r="W74" s="201">
        <f t="shared" si="7"/>
        <v>10</v>
      </c>
      <c r="X74" s="121">
        <f>+'Gantt Proyectos'!W142</f>
        <v>0</v>
      </c>
      <c r="Y74" s="122">
        <f>+'Gantt Proyectos'!X142</f>
        <v>0</v>
      </c>
      <c r="Z74" s="122">
        <f>+'Gantt Proyectos'!Y142</f>
        <v>0</v>
      </c>
      <c r="AA74" s="122">
        <f>+'Gantt Proyectos'!Z142</f>
        <v>0</v>
      </c>
      <c r="AB74" s="122">
        <f>+'Gantt Proyectos'!AA142</f>
        <v>0</v>
      </c>
      <c r="AC74" s="122">
        <f>+'Gantt Proyectos'!AB142</f>
        <v>0</v>
      </c>
      <c r="AD74" s="153" t="str">
        <f>+'Gantt Proyectos'!AC142</f>
        <v>PFS</v>
      </c>
      <c r="AE74" s="123" t="str">
        <f>+'Gantt Proyectos'!AD142</f>
        <v>No Asignado</v>
      </c>
      <c r="AF74" s="124" t="str">
        <f>+'Gantt Proyectos'!AE142</f>
        <v>1. Proyectado: No  Asignado</v>
      </c>
      <c r="AG74" s="172">
        <v>1</v>
      </c>
      <c r="AH74" s="169">
        <f ca="1">+IFERROR(IF(ISNUMBER(OFFSET('EDP Proyectado'!AI74,0,-'Ingreso Proyectado'!$P74))&lt;&gt;0,IF(OFFSET('EDP Proyectado'!AI74,0,-'Ingreso Proyectado'!$P74)+0&lt;=1,0,OFFSET('EDP Proyectado'!AI74,0,-'Ingreso Proyectado'!$P74)+0)),0)</f>
        <v>0</v>
      </c>
      <c r="AI74" s="169">
        <f ca="1">+IFERROR(IF(ISNUMBER(OFFSET('EDP Proyectado'!AJ74,0,-'Ingreso Proyectado'!$P74))&lt;&gt;0,IF(OFFSET('EDP Proyectado'!AJ74,0,-'Ingreso Proyectado'!$P74)+0&lt;=1,0,OFFSET('EDP Proyectado'!AJ74,0,-'Ingreso Proyectado'!$P74)+0)),0)</f>
        <v>0</v>
      </c>
      <c r="AJ74" s="169">
        <f ca="1">+IFERROR(IF(ISNUMBER(OFFSET('EDP Proyectado'!AK74,0,-'Ingreso Proyectado'!$P74))&lt;&gt;0,IF(OFFSET('EDP Proyectado'!AK74,0,-'Ingreso Proyectado'!$P74)+0&lt;=1,0,OFFSET('EDP Proyectado'!AK74,0,-'Ingreso Proyectado'!$P74)+0)),0)</f>
        <v>0</v>
      </c>
      <c r="AK74" s="169">
        <f ca="1">+IFERROR(IF(ISNUMBER(OFFSET('EDP Proyectado'!AL74,0,-'Ingreso Proyectado'!$P74))&lt;&gt;0,IF(OFFSET('EDP Proyectado'!AL74,0,-'Ingreso Proyectado'!$P74)+0&lt;=1,0,OFFSET('EDP Proyectado'!AL74,0,-'Ingreso Proyectado'!$P74)+0)),0)</f>
        <v>0</v>
      </c>
      <c r="AL74" s="169">
        <f ca="1">+IFERROR(IF(ISNUMBER(OFFSET('EDP Proyectado'!AM74,0,-'Ingreso Proyectado'!$P74))&lt;&gt;0,IF(OFFSET('EDP Proyectado'!AM74,0,-'Ingreso Proyectado'!$P74)+0&lt;=1,0,OFFSET('EDP Proyectado'!AM74,0,-'Ingreso Proyectado'!$P74)+0)),0)</f>
        <v>0</v>
      </c>
      <c r="AM74" s="169">
        <f ca="1">+IFERROR(IF(ISNUMBER(OFFSET('EDP Proyectado'!AN74,0,-'Ingreso Proyectado'!$P74))&lt;&gt;0,IF(OFFSET('EDP Proyectado'!AN74,0,-'Ingreso Proyectado'!$P74)+0&lt;=1,0,OFFSET('EDP Proyectado'!AN74,0,-'Ingreso Proyectado'!$P74)+0)),0)</f>
        <v>0</v>
      </c>
      <c r="AN74" s="169">
        <f ca="1">+IFERROR(IF(ISNUMBER(OFFSET('EDP Proyectado'!AO74,0,-'Ingreso Proyectado'!$P74))&lt;&gt;0,IF(OFFSET('EDP Proyectado'!AO74,0,-'Ingreso Proyectado'!$P74)+0&lt;=1,0,OFFSET('EDP Proyectado'!AO74,0,-'Ingreso Proyectado'!$P74)+0)),0)</f>
        <v>0</v>
      </c>
      <c r="AO74" s="169">
        <f ca="1">+IFERROR(IF(ISNUMBER(OFFSET('EDP Proyectado'!AP74,0,-'Ingreso Proyectado'!$P74))&lt;&gt;0,IF(OFFSET('EDP Proyectado'!AP74,0,-'Ingreso Proyectado'!$P74)+0&lt;=1,0,OFFSET('EDP Proyectado'!AP74,0,-'Ingreso Proyectado'!$P74)+0)),0)</f>
        <v>0</v>
      </c>
      <c r="AP74" s="170">
        <f ca="1">+IFERROR(IF(ISNUMBER(OFFSET('EDP Proyectado'!AQ74,0,-'Ingreso Proyectado'!$P74))&lt;&gt;0,IF(OFFSET('EDP Proyectado'!AQ74,0,-'Ingreso Proyectado'!$P74)+0&lt;=1,0,OFFSET('EDP Proyectado'!AQ74,0,-'Ingreso Proyectado'!$P74)+0)),0)</f>
        <v>0</v>
      </c>
    </row>
    <row r="75" spans="3:42" x14ac:dyDescent="0.2">
      <c r="C75" s="144">
        <f>+'Gantt Proyectos'!C143</f>
        <v>47</v>
      </c>
      <c r="D75" s="145" t="str">
        <f>+'Gantt Proyectos'!D143</f>
        <v>HILL OF VALUE AND OPTIMIZED CUT-OFF GRADE STRATEGY ANALYSIS</v>
      </c>
      <c r="E75" s="145" t="str">
        <f>+'Gantt Proyectos'!E143</f>
        <v>South 32</v>
      </c>
      <c r="F75" s="147" t="str">
        <f>+'Gantt Proyectos'!F143</f>
        <v>USA</v>
      </c>
      <c r="G75" s="145" t="str">
        <f>+'Gantt Proyectos'!G143</f>
        <v>Perú</v>
      </c>
      <c r="H75" s="145">
        <f>+'Gantt Proyectos'!H143</f>
        <v>0</v>
      </c>
      <c r="I75" s="189">
        <v>1</v>
      </c>
      <c r="J75" s="189">
        <f t="shared" si="6"/>
        <v>0</v>
      </c>
      <c r="K75" s="145" t="str">
        <f>+'Gantt Proyectos'!I143</f>
        <v>Subterránea</v>
      </c>
      <c r="L75" s="120">
        <f>+'Gantt Proyectos'!J143</f>
        <v>1</v>
      </c>
      <c r="M75" s="145" t="str">
        <f>+'Gantt Proyectos'!K143</f>
        <v>PV</v>
      </c>
      <c r="N75" s="145">
        <f>+'Gantt Proyectos'!L143</f>
        <v>40000</v>
      </c>
      <c r="O75" s="145">
        <f>+'Gantt Proyectos'!M143</f>
        <v>40000</v>
      </c>
      <c r="P75" s="145">
        <f>+'Gantt Proyectos'!N143</f>
        <v>1</v>
      </c>
      <c r="Q75" s="119">
        <f>+'Gantt Proyectos'!O143</f>
        <v>45807</v>
      </c>
      <c r="R75" s="119">
        <f>+'Gantt Proyectos'!P143</f>
        <v>45836</v>
      </c>
      <c r="S75" s="145" t="str">
        <f>+'Gantt Proyectos'!R143</f>
        <v>No</v>
      </c>
      <c r="T75" s="118">
        <f>+'Gantt Proyectos'!S143</f>
        <v>0</v>
      </c>
      <c r="U75" s="156">
        <f>+'Gantt Proyectos'!T143</f>
        <v>45807</v>
      </c>
      <c r="V75" s="156">
        <f>+'Gantt Proyectos'!U143</f>
        <v>45836</v>
      </c>
      <c r="W75" s="201">
        <f t="shared" si="7"/>
        <v>1</v>
      </c>
      <c r="X75" s="121">
        <f>+'Gantt Proyectos'!W143</f>
        <v>1</v>
      </c>
      <c r="Y75" s="122">
        <f>+'Gantt Proyectos'!X143</f>
        <v>0.33</v>
      </c>
      <c r="Z75" s="122">
        <f>+'Gantt Proyectos'!Y143</f>
        <v>0.5</v>
      </c>
      <c r="AA75" s="122">
        <f>+'Gantt Proyectos'!Z143</f>
        <v>0.33</v>
      </c>
      <c r="AB75" s="122">
        <f>+'Gantt Proyectos'!AA143</f>
        <v>1</v>
      </c>
      <c r="AC75" s="122">
        <f>+'Gantt Proyectos'!AB143</f>
        <v>0</v>
      </c>
      <c r="AD75" s="123" t="str">
        <f>+'Gantt Proyectos'!AC143</f>
        <v>Consultoria y Due Dilligence</v>
      </c>
      <c r="AE75" s="123" t="str">
        <f>+'Gantt Proyectos'!AD143</f>
        <v>Asignado</v>
      </c>
      <c r="AF75" s="124" t="str">
        <f>+'Gantt Proyectos'!AE143</f>
        <v>1. Proyectado: Asignado</v>
      </c>
      <c r="AG75" s="172">
        <v>1</v>
      </c>
      <c r="AH75" s="169">
        <f ca="1">+IFERROR(IF(ISNUMBER(OFFSET('EDP Proyectado'!AI75,0,-'Ingreso Proyectado'!$P75))&lt;&gt;0,IF(OFFSET('EDP Proyectado'!AI75,0,-'Ingreso Proyectado'!$P75)+0&lt;=1,0,OFFSET('EDP Proyectado'!AI75,0,-'Ingreso Proyectado'!$P75)+0)),0)</f>
        <v>0</v>
      </c>
      <c r="AI75" s="169">
        <f ca="1">+IFERROR(IF(ISNUMBER(OFFSET('EDP Proyectado'!AJ75,0,-'Ingreso Proyectado'!$P75))&lt;&gt;0,IF(OFFSET('EDP Proyectado'!AJ75,0,-'Ingreso Proyectado'!$P75)+0&lt;=1,0,OFFSET('EDP Proyectado'!AJ75,0,-'Ingreso Proyectado'!$P75)+0)),0)</f>
        <v>0</v>
      </c>
      <c r="AJ75" s="169">
        <f ca="1">+IFERROR(IF(ISNUMBER(OFFSET('EDP Proyectado'!AK75,0,-'Ingreso Proyectado'!$P75))&lt;&gt;0,IF(OFFSET('EDP Proyectado'!AK75,0,-'Ingreso Proyectado'!$P75)+0&lt;=1,0,OFFSET('EDP Proyectado'!AK75,0,-'Ingreso Proyectado'!$P75)+0)),0)</f>
        <v>40000</v>
      </c>
      <c r="AK75" s="169">
        <f ca="1">+IFERROR(IF(ISNUMBER(OFFSET('EDP Proyectado'!AL75,0,-'Ingreso Proyectado'!$P75))&lt;&gt;0,IF(OFFSET('EDP Proyectado'!AL75,0,-'Ingreso Proyectado'!$P75)+0&lt;=1,0,OFFSET('EDP Proyectado'!AL75,0,-'Ingreso Proyectado'!$P75)+0)),0)</f>
        <v>40000</v>
      </c>
      <c r="AL75" s="169">
        <f ca="1">+IFERROR(IF(ISNUMBER(OFFSET('EDP Proyectado'!AM75,0,-'Ingreso Proyectado'!$P75))&lt;&gt;0,IF(OFFSET('EDP Proyectado'!AM75,0,-'Ingreso Proyectado'!$P75)+0&lt;=1,0,OFFSET('EDP Proyectado'!AM75,0,-'Ingreso Proyectado'!$P75)+0)),0)</f>
        <v>0</v>
      </c>
      <c r="AM75" s="169">
        <f ca="1">+IFERROR(IF(ISNUMBER(OFFSET('EDP Proyectado'!AN75,0,-'Ingreso Proyectado'!$P75))&lt;&gt;0,IF(OFFSET('EDP Proyectado'!AN75,0,-'Ingreso Proyectado'!$P75)+0&lt;=1,0,OFFSET('EDP Proyectado'!AN75,0,-'Ingreso Proyectado'!$P75)+0)),0)</f>
        <v>0</v>
      </c>
      <c r="AN75" s="169">
        <f ca="1">+IFERROR(IF(ISNUMBER(OFFSET('EDP Proyectado'!AO75,0,-'Ingreso Proyectado'!$P75))&lt;&gt;0,IF(OFFSET('EDP Proyectado'!AO75,0,-'Ingreso Proyectado'!$P75)+0&lt;=1,0,OFFSET('EDP Proyectado'!AO75,0,-'Ingreso Proyectado'!$P75)+0)),0)</f>
        <v>0</v>
      </c>
      <c r="AO75" s="169">
        <f ca="1">+IFERROR(IF(ISNUMBER(OFFSET('EDP Proyectado'!AP75,0,-'Ingreso Proyectado'!$P75))&lt;&gt;0,IF(OFFSET('EDP Proyectado'!AP75,0,-'Ingreso Proyectado'!$P75)+0&lt;=1,0,OFFSET('EDP Proyectado'!AP75,0,-'Ingreso Proyectado'!$P75)+0)),0)</f>
        <v>0</v>
      </c>
      <c r="AP75" s="170">
        <f ca="1">+IFERROR(IF(ISNUMBER(OFFSET('EDP Proyectado'!AQ75,0,-'Ingreso Proyectado'!$P75))&lt;&gt;0,IF(OFFSET('EDP Proyectado'!AQ75,0,-'Ingreso Proyectado'!$P75)+0&lt;=1,0,OFFSET('EDP Proyectado'!AQ75,0,-'Ingreso Proyectado'!$P75)+0)),0)</f>
        <v>0</v>
      </c>
    </row>
    <row r="76" spans="3:42" x14ac:dyDescent="0.2">
      <c r="C76" s="144">
        <f>+'Gantt Proyectos'!C144</f>
        <v>48</v>
      </c>
      <c r="D76" s="145" t="str">
        <f>+'Gantt Proyectos'!D144</f>
        <v>Analisis de confiafilidad de plan + Entrenamiento de usuario</v>
      </c>
      <c r="E76" s="145" t="str">
        <f>+'Gantt Proyectos'!E144</f>
        <v>Capstone Copper</v>
      </c>
      <c r="F76" s="147" t="str">
        <f>+'Gantt Proyectos'!F144</f>
        <v>Chile</v>
      </c>
      <c r="G76" s="145" t="str">
        <f>+'Gantt Proyectos'!G144</f>
        <v>Chile</v>
      </c>
      <c r="H76" s="145">
        <f>+'Gantt Proyectos'!H144</f>
        <v>0</v>
      </c>
      <c r="I76" s="189">
        <v>1</v>
      </c>
      <c r="J76" s="189">
        <f t="shared" si="6"/>
        <v>0</v>
      </c>
      <c r="K76" s="145" t="str">
        <f>+'Gantt Proyectos'!I144</f>
        <v>Open Pit</v>
      </c>
      <c r="L76" s="120">
        <f>+'Gantt Proyectos'!J144</f>
        <v>1</v>
      </c>
      <c r="M76" s="145" t="str">
        <f>+'Gantt Proyectos'!K144</f>
        <v>GD</v>
      </c>
      <c r="N76" s="145">
        <f>+'Gantt Proyectos'!L144</f>
        <v>200000</v>
      </c>
      <c r="O76" s="145">
        <f>+'Gantt Proyectos'!M144</f>
        <v>200000</v>
      </c>
      <c r="P76" s="145">
        <f>+'Gantt Proyectos'!N144</f>
        <v>1</v>
      </c>
      <c r="Q76" s="119">
        <f>+'Gantt Proyectos'!O144</f>
        <v>45853</v>
      </c>
      <c r="R76" s="119">
        <f>+'Gantt Proyectos'!P144</f>
        <v>46003</v>
      </c>
      <c r="S76" s="145" t="str">
        <f>+'Gantt Proyectos'!R144</f>
        <v>No</v>
      </c>
      <c r="T76" s="118">
        <f>+'Gantt Proyectos'!S144</f>
        <v>0</v>
      </c>
      <c r="U76" s="156">
        <f>+'Gantt Proyectos'!T144</f>
        <v>45853</v>
      </c>
      <c r="V76" s="156">
        <f>+'Gantt Proyectos'!U144</f>
        <v>46003</v>
      </c>
      <c r="W76" s="201">
        <f t="shared" si="7"/>
        <v>5</v>
      </c>
      <c r="X76" s="121">
        <f>+'Gantt Proyectos'!W144</f>
        <v>0.9</v>
      </c>
      <c r="Y76" s="122">
        <f>+'Gantt Proyectos'!X144</f>
        <v>0.33</v>
      </c>
      <c r="Z76" s="122">
        <f>+'Gantt Proyectos'!Y144</f>
        <v>0.5</v>
      </c>
      <c r="AA76" s="122">
        <f>+'Gantt Proyectos'!Z144</f>
        <v>0.33</v>
      </c>
      <c r="AB76" s="122">
        <f>+'Gantt Proyectos'!AA144</f>
        <v>1</v>
      </c>
      <c r="AC76" s="122">
        <f>+'Gantt Proyectos'!AB144</f>
        <v>0</v>
      </c>
      <c r="AD76" s="123" t="str">
        <f>+'Gantt Proyectos'!AC144</f>
        <v>Consultoria y Due Dilligence</v>
      </c>
      <c r="AE76" s="123" t="str">
        <f>+'Gantt Proyectos'!AD144</f>
        <v>No Asignado</v>
      </c>
      <c r="AF76" s="124" t="str">
        <f>+'Gantt Proyectos'!AE144</f>
        <v>1. Proyectado: No  Asignado</v>
      </c>
      <c r="AG76" s="172">
        <v>1</v>
      </c>
      <c r="AH76" s="169">
        <f ca="1">+IFERROR(IF(ISNUMBER(OFFSET('EDP Proyectado'!AI76,0,-'Ingreso Proyectado'!$P76))&lt;&gt;0,IF(OFFSET('EDP Proyectado'!AI76,0,-'Ingreso Proyectado'!$P76)+0&lt;=1,0,OFFSET('EDP Proyectado'!AI76,0,-'Ingreso Proyectado'!$P76)+0)),0)</f>
        <v>0</v>
      </c>
      <c r="AI76" s="169">
        <f ca="1">+IFERROR(IF(ISNUMBER(OFFSET('EDP Proyectado'!AJ76,0,-'Ingreso Proyectado'!$P76))&lt;&gt;0,IF(OFFSET('EDP Proyectado'!AJ76,0,-'Ingreso Proyectado'!$P76)+0&lt;=1,0,OFFSET('EDP Proyectado'!AJ76,0,-'Ingreso Proyectado'!$P76)+0)),0)</f>
        <v>0</v>
      </c>
      <c r="AJ76" s="169">
        <f ca="1">+IFERROR(IF(ISNUMBER(OFFSET('EDP Proyectado'!AK76,0,-'Ingreso Proyectado'!$P76))&lt;&gt;0,IF(OFFSET('EDP Proyectado'!AK76,0,-'Ingreso Proyectado'!$P76)+0&lt;=1,0,OFFSET('EDP Proyectado'!AK76,0,-'Ingreso Proyectado'!$P76)+0)),0)</f>
        <v>0</v>
      </c>
      <c r="AK76" s="169">
        <f ca="1">+IFERROR(IF(ISNUMBER(OFFSET('EDP Proyectado'!AL76,0,-'Ingreso Proyectado'!$P76))&lt;&gt;0,IF(OFFSET('EDP Proyectado'!AL76,0,-'Ingreso Proyectado'!$P76)+0&lt;=1,0,OFFSET('EDP Proyectado'!AL76,0,-'Ingreso Proyectado'!$P76)+0)),0)</f>
        <v>0</v>
      </c>
      <c r="AL76" s="169">
        <f ca="1">+IFERROR(IF(ISNUMBER(OFFSET('EDP Proyectado'!AM76,0,-'Ingreso Proyectado'!$P76))&lt;&gt;0,IF(OFFSET('EDP Proyectado'!AM76,0,-'Ingreso Proyectado'!$P76)+0&lt;=1,0,OFFSET('EDP Proyectado'!AM76,0,-'Ingreso Proyectado'!$P76)+0)),0)</f>
        <v>36000</v>
      </c>
      <c r="AM76" s="169">
        <f ca="1">+IFERROR(IF(ISNUMBER(OFFSET('EDP Proyectado'!AN76,0,-'Ingreso Proyectado'!$P76))&lt;&gt;0,IF(OFFSET('EDP Proyectado'!AN76,0,-'Ingreso Proyectado'!$P76)+0&lt;=1,0,OFFSET('EDP Proyectado'!AN76,0,-'Ingreso Proyectado'!$P76)+0)),0)</f>
        <v>36000</v>
      </c>
      <c r="AN76" s="169">
        <f ca="1">+IFERROR(IF(ISNUMBER(OFFSET('EDP Proyectado'!AO76,0,-'Ingreso Proyectado'!$P76))&lt;&gt;0,IF(OFFSET('EDP Proyectado'!AO76,0,-'Ingreso Proyectado'!$P76)+0&lt;=1,0,OFFSET('EDP Proyectado'!AO76,0,-'Ingreso Proyectado'!$P76)+0)),0)</f>
        <v>36000</v>
      </c>
      <c r="AO76" s="169">
        <f ca="1">+IFERROR(IF(ISNUMBER(OFFSET('EDP Proyectado'!AP76,0,-'Ingreso Proyectado'!$P76))&lt;&gt;0,IF(OFFSET('EDP Proyectado'!AP76,0,-'Ingreso Proyectado'!$P76)+0&lt;=1,0,OFFSET('EDP Proyectado'!AP76,0,-'Ingreso Proyectado'!$P76)+0)),0)</f>
        <v>36000</v>
      </c>
      <c r="AP76" s="170">
        <f ca="1">+IFERROR(IF(ISNUMBER(OFFSET('EDP Proyectado'!AQ76,0,-'Ingreso Proyectado'!$P76))&lt;&gt;0,IF(OFFSET('EDP Proyectado'!AQ76,0,-'Ingreso Proyectado'!$P76)+0&lt;=1,0,OFFSET('EDP Proyectado'!AQ76,0,-'Ingreso Proyectado'!$P76)+0)),0)</f>
        <v>36000</v>
      </c>
    </row>
    <row r="77" spans="3:42" x14ac:dyDescent="0.2">
      <c r="C77" s="144">
        <f>+'Gantt Proyectos'!C145</f>
        <v>49</v>
      </c>
      <c r="D77" s="145" t="str">
        <f>+'Gantt Proyectos'!D145</f>
        <v xml:space="preserve">Viabilidad Económica del proyecto </v>
      </c>
      <c r="E77" s="145" t="str">
        <f>+'Gantt Proyectos'!E145</f>
        <v>Minsur</v>
      </c>
      <c r="F77" s="147" t="str">
        <f>+'Gantt Proyectos'!F145</f>
        <v>Perú</v>
      </c>
      <c r="G77" s="145" t="str">
        <f>+'Gantt Proyectos'!G145</f>
        <v>Perú</v>
      </c>
      <c r="H77" s="145">
        <f>+'Gantt Proyectos'!H145</f>
        <v>0</v>
      </c>
      <c r="I77" s="189">
        <v>1</v>
      </c>
      <c r="J77" s="189">
        <f t="shared" si="6"/>
        <v>0</v>
      </c>
      <c r="K77" s="145" t="str">
        <f>+'Gantt Proyectos'!I145</f>
        <v>Subterránea</v>
      </c>
      <c r="L77" s="120">
        <f>+'Gantt Proyectos'!J145</f>
        <v>0</v>
      </c>
      <c r="M77" s="145" t="str">
        <f>+'Gantt Proyectos'!K145</f>
        <v>PA</v>
      </c>
      <c r="N77" s="145">
        <f>+'Gantt Proyectos'!L145</f>
        <v>150000</v>
      </c>
      <c r="O77" s="145">
        <f>+'Gantt Proyectos'!M145</f>
        <v>150000</v>
      </c>
      <c r="P77" s="145">
        <f>+'Gantt Proyectos'!N145</f>
        <v>2</v>
      </c>
      <c r="Q77" s="119">
        <f>+'Gantt Proyectos'!O145</f>
        <v>45823</v>
      </c>
      <c r="R77" s="119">
        <f>+'Gantt Proyectos'!P145</f>
        <v>45883</v>
      </c>
      <c r="S77" s="145" t="str">
        <f>+'Gantt Proyectos'!R145</f>
        <v>No</v>
      </c>
      <c r="T77" s="118">
        <f>+'Gantt Proyectos'!S145</f>
        <v>0</v>
      </c>
      <c r="U77" s="156">
        <f>+'Gantt Proyectos'!T145</f>
        <v>45823</v>
      </c>
      <c r="V77" s="156">
        <f>+'Gantt Proyectos'!U145</f>
        <v>45883</v>
      </c>
      <c r="W77" s="201">
        <f t="shared" si="7"/>
        <v>2</v>
      </c>
      <c r="X77" s="121">
        <f>+'Gantt Proyectos'!W145</f>
        <v>0</v>
      </c>
      <c r="Y77" s="122">
        <f>+'Gantt Proyectos'!X145</f>
        <v>0</v>
      </c>
      <c r="Z77" s="122">
        <f>+'Gantt Proyectos'!Y145</f>
        <v>0</v>
      </c>
      <c r="AA77" s="122">
        <f>+'Gantt Proyectos'!Z145</f>
        <v>0</v>
      </c>
      <c r="AB77" s="122">
        <f>+'Gantt Proyectos'!AA145</f>
        <v>0</v>
      </c>
      <c r="AC77" s="122">
        <f>+'Gantt Proyectos'!AB145</f>
        <v>0</v>
      </c>
      <c r="AD77" s="123" t="str">
        <f>+'Gantt Proyectos'!AC145</f>
        <v>Consultoria y Due Dilligence</v>
      </c>
      <c r="AE77" s="123" t="str">
        <f>+'Gantt Proyectos'!AD145</f>
        <v>No Asignado</v>
      </c>
      <c r="AF77" s="124" t="str">
        <f>+'Gantt Proyectos'!AE145</f>
        <v>1. Proyectado: No  Asignado</v>
      </c>
      <c r="AG77" s="172">
        <v>1</v>
      </c>
      <c r="AH77" s="169">
        <f ca="1">+IFERROR(IF(ISNUMBER(OFFSET('EDP Proyectado'!AI77,0,-'Ingreso Proyectado'!$P77))&lt;&gt;0,IF(OFFSET('EDP Proyectado'!AI77,0,-'Ingreso Proyectado'!$P77)+0&lt;=1,0,OFFSET('EDP Proyectado'!AI77,0,-'Ingreso Proyectado'!$P77)+0)),0)</f>
        <v>0</v>
      </c>
      <c r="AI77" s="169">
        <f ca="1">+IFERROR(IF(ISNUMBER(OFFSET('EDP Proyectado'!AJ77,0,-'Ingreso Proyectado'!$P77))&lt;&gt;0,IF(OFFSET('EDP Proyectado'!AJ77,0,-'Ingreso Proyectado'!$P77)+0&lt;=1,0,OFFSET('EDP Proyectado'!AJ77,0,-'Ingreso Proyectado'!$P77)+0)),0)</f>
        <v>0</v>
      </c>
      <c r="AJ77" s="169">
        <f ca="1">+IFERROR(IF(ISNUMBER(OFFSET('EDP Proyectado'!AK77,0,-'Ingreso Proyectado'!$P77))&lt;&gt;0,IF(OFFSET('EDP Proyectado'!AK77,0,-'Ingreso Proyectado'!$P77)+0&lt;=1,0,OFFSET('EDP Proyectado'!AK77,0,-'Ingreso Proyectado'!$P77)+0)),0)</f>
        <v>0</v>
      </c>
      <c r="AK77" s="169">
        <f ca="1">+IFERROR(IF(ISNUMBER(OFFSET('EDP Proyectado'!AL77,0,-'Ingreso Proyectado'!$P77))&lt;&gt;0,IF(OFFSET('EDP Proyectado'!AL77,0,-'Ingreso Proyectado'!$P77)+0&lt;=1,0,OFFSET('EDP Proyectado'!AL77,0,-'Ingreso Proyectado'!$P77)+0)),0)</f>
        <v>0</v>
      </c>
      <c r="AL77" s="169">
        <f ca="1">+IFERROR(IF(ISNUMBER(OFFSET('EDP Proyectado'!AM77,0,-'Ingreso Proyectado'!$P77))&lt;&gt;0,IF(OFFSET('EDP Proyectado'!AM77,0,-'Ingreso Proyectado'!$P77)+0&lt;=1,0,OFFSET('EDP Proyectado'!AM77,0,-'Ingreso Proyectado'!$P77)+0)),0)</f>
        <v>0</v>
      </c>
      <c r="AM77" s="169">
        <f ca="1">+IFERROR(IF(ISNUMBER(OFFSET('EDP Proyectado'!AN77,0,-'Ingreso Proyectado'!$P77))&lt;&gt;0,IF(OFFSET('EDP Proyectado'!AN77,0,-'Ingreso Proyectado'!$P77)+0&lt;=1,0,OFFSET('EDP Proyectado'!AN77,0,-'Ingreso Proyectado'!$P77)+0)),0)</f>
        <v>0</v>
      </c>
      <c r="AN77" s="169">
        <f ca="1">+IFERROR(IF(ISNUMBER(OFFSET('EDP Proyectado'!AO77,0,-'Ingreso Proyectado'!$P77))&lt;&gt;0,IF(OFFSET('EDP Proyectado'!AO77,0,-'Ingreso Proyectado'!$P77)+0&lt;=1,0,OFFSET('EDP Proyectado'!AO77,0,-'Ingreso Proyectado'!$P77)+0)),0)</f>
        <v>0</v>
      </c>
      <c r="AO77" s="169">
        <f ca="1">+IFERROR(IF(ISNUMBER(OFFSET('EDP Proyectado'!AP77,0,-'Ingreso Proyectado'!$P77))&lt;&gt;0,IF(OFFSET('EDP Proyectado'!AP77,0,-'Ingreso Proyectado'!$P77)+0&lt;=1,0,OFFSET('EDP Proyectado'!AP77,0,-'Ingreso Proyectado'!$P77)+0)),0)</f>
        <v>0</v>
      </c>
      <c r="AP77" s="170">
        <f ca="1">+IFERROR(IF(ISNUMBER(OFFSET('EDP Proyectado'!AQ77,0,-'Ingreso Proyectado'!$P77))&lt;&gt;0,IF(OFFSET('EDP Proyectado'!AQ77,0,-'Ingreso Proyectado'!$P77)+0&lt;=1,0,OFFSET('EDP Proyectado'!AQ77,0,-'Ingreso Proyectado'!$P77)+0)),0)</f>
        <v>0</v>
      </c>
    </row>
    <row r="78" spans="3:42" x14ac:dyDescent="0.2">
      <c r="C78" s="144">
        <f>+'Gantt Proyectos'!C146</f>
        <v>50</v>
      </c>
      <c r="D78" s="145" t="str">
        <f>+'Gantt Proyectos'!D146</f>
        <v>Ingeniería perfil Clavelinas</v>
      </c>
      <c r="E78" s="145" t="str">
        <f>+'Gantt Proyectos'!E146</f>
        <v>Minsur</v>
      </c>
      <c r="F78" s="147" t="str">
        <f>+'Gantt Proyectos'!F146</f>
        <v>Perú</v>
      </c>
      <c r="G78" s="145" t="str">
        <f>+'Gantt Proyectos'!G146</f>
        <v>Perú</v>
      </c>
      <c r="H78" s="145">
        <f>+'Gantt Proyectos'!H146</f>
        <v>0</v>
      </c>
      <c r="I78" s="189">
        <v>1</v>
      </c>
      <c r="J78" s="189">
        <f t="shared" si="6"/>
        <v>0</v>
      </c>
      <c r="K78" s="145">
        <f>+'Gantt Proyectos'!I146</f>
        <v>0</v>
      </c>
      <c r="L78" s="120">
        <f>+'Gantt Proyectos'!J146</f>
        <v>1</v>
      </c>
      <c r="M78" s="145">
        <f>+'Gantt Proyectos'!K146</f>
        <v>0</v>
      </c>
      <c r="N78" s="145">
        <f>+'Gantt Proyectos'!L146</f>
        <v>180000</v>
      </c>
      <c r="O78" s="145">
        <f>+'Gantt Proyectos'!M146</f>
        <v>180000</v>
      </c>
      <c r="P78" s="145">
        <f>+'Gantt Proyectos'!N146</f>
        <v>2</v>
      </c>
      <c r="Q78" s="119">
        <f>+'Gantt Proyectos'!O146</f>
        <v>45839</v>
      </c>
      <c r="R78" s="119">
        <f>+'Gantt Proyectos'!P146</f>
        <v>45901</v>
      </c>
      <c r="S78" s="145" t="str">
        <f>+'Gantt Proyectos'!R146</f>
        <v>No</v>
      </c>
      <c r="T78" s="118">
        <f>+'Gantt Proyectos'!S146</f>
        <v>0</v>
      </c>
      <c r="U78" s="156">
        <f>+'Gantt Proyectos'!T146</f>
        <v>45839</v>
      </c>
      <c r="V78" s="156">
        <f>+'Gantt Proyectos'!U146</f>
        <v>45901</v>
      </c>
      <c r="W78" s="201">
        <f t="shared" si="7"/>
        <v>3</v>
      </c>
      <c r="X78" s="121">
        <f>+'Gantt Proyectos'!W146</f>
        <v>0.21711409395973152</v>
      </c>
      <c r="Y78" s="122">
        <f>+'Gantt Proyectos'!X146</f>
        <v>0.33</v>
      </c>
      <c r="Z78" s="122">
        <f>+'Gantt Proyectos'!Y146</f>
        <v>0.5</v>
      </c>
      <c r="AA78" s="122">
        <f>+'Gantt Proyectos'!Z146</f>
        <v>0.33</v>
      </c>
      <c r="AB78" s="122">
        <f>+'Gantt Proyectos'!AA146</f>
        <v>1</v>
      </c>
      <c r="AC78" s="122">
        <f>+'Gantt Proyectos'!AB146</f>
        <v>1</v>
      </c>
      <c r="AD78" s="123" t="str">
        <f>+'Gantt Proyectos'!AC146</f>
        <v>Scoping</v>
      </c>
      <c r="AE78" s="123" t="str">
        <f>+'Gantt Proyectos'!AD146</f>
        <v>No Asignado</v>
      </c>
      <c r="AF78" s="124" t="str">
        <f>+'Gantt Proyectos'!AE146</f>
        <v>1. Proyectado: No  Asignado</v>
      </c>
      <c r="AG78" s="172">
        <v>1</v>
      </c>
      <c r="AH78" s="169">
        <f ca="1">+IFERROR(IF(ISNUMBER(OFFSET('EDP Proyectado'!AI78,0,-'Ingreso Proyectado'!$P78))&lt;&gt;0,IF(OFFSET('EDP Proyectado'!AI78,0,-'Ingreso Proyectado'!$P78)+0&lt;=1,0,OFFSET('EDP Proyectado'!AI78,0,-'Ingreso Proyectado'!$P78)+0)),0)</f>
        <v>0</v>
      </c>
      <c r="AI78" s="169">
        <f ca="1">+IFERROR(IF(ISNUMBER(OFFSET('EDP Proyectado'!AJ78,0,-'Ingreso Proyectado'!$P78))&lt;&gt;0,IF(OFFSET('EDP Proyectado'!AJ78,0,-'Ingreso Proyectado'!$P78)+0&lt;=1,0,OFFSET('EDP Proyectado'!AJ78,0,-'Ingreso Proyectado'!$P78)+0)),0)</f>
        <v>0</v>
      </c>
      <c r="AJ78" s="169">
        <f ca="1">+IFERROR(IF(ISNUMBER(OFFSET('EDP Proyectado'!AK78,0,-'Ingreso Proyectado'!$P78))&lt;&gt;0,IF(OFFSET('EDP Proyectado'!AK78,0,-'Ingreso Proyectado'!$P78)+0&lt;=1,0,OFFSET('EDP Proyectado'!AK78,0,-'Ingreso Proyectado'!$P78)+0)),0)</f>
        <v>0</v>
      </c>
      <c r="AK78" s="169">
        <f ca="1">+IFERROR(IF(ISNUMBER(OFFSET('EDP Proyectado'!AL78,0,-'Ingreso Proyectado'!$P78))&lt;&gt;0,IF(OFFSET('EDP Proyectado'!AL78,0,-'Ingreso Proyectado'!$P78)+0&lt;=1,0,OFFSET('EDP Proyectado'!AL78,0,-'Ingreso Proyectado'!$P78)+0)),0)</f>
        <v>0</v>
      </c>
      <c r="AL78" s="169">
        <f ca="1">+IFERROR(IF(ISNUMBER(OFFSET('EDP Proyectado'!AM78,0,-'Ingreso Proyectado'!$P78))&lt;&gt;0,IF(OFFSET('EDP Proyectado'!AM78,0,-'Ingreso Proyectado'!$P78)+0&lt;=1,0,OFFSET('EDP Proyectado'!AM78,0,-'Ingreso Proyectado'!$P78)+0)),0)</f>
        <v>0</v>
      </c>
      <c r="AM78" s="169">
        <f ca="1">+IFERROR(IF(ISNUMBER(OFFSET('EDP Proyectado'!AN78,0,-'Ingreso Proyectado'!$P78))&lt;&gt;0,IF(OFFSET('EDP Proyectado'!AN78,0,-'Ingreso Proyectado'!$P78)+0&lt;=1,0,OFFSET('EDP Proyectado'!AN78,0,-'Ingreso Proyectado'!$P78)+0)),0)</f>
        <v>9000</v>
      </c>
      <c r="AN78" s="169">
        <f ca="1">+IFERROR(IF(ISNUMBER(OFFSET('EDP Proyectado'!AO78,0,-'Ingreso Proyectado'!$P78))&lt;&gt;0,IF(OFFSET('EDP Proyectado'!AO78,0,-'Ingreso Proyectado'!$P78)+0&lt;=1,0,OFFSET('EDP Proyectado'!AO78,0,-'Ingreso Proyectado'!$P78)+0)),0)</f>
        <v>9000</v>
      </c>
      <c r="AO78" s="169">
        <f ca="1">+IFERROR(IF(ISNUMBER(OFFSET('EDP Proyectado'!AP78,0,-'Ingreso Proyectado'!$P78))&lt;&gt;0,IF(OFFSET('EDP Proyectado'!AP78,0,-'Ingreso Proyectado'!$P78)+0&lt;=1,0,OFFSET('EDP Proyectado'!AP78,0,-'Ingreso Proyectado'!$P78)+0)),0)</f>
        <v>0</v>
      </c>
      <c r="AP78" s="170">
        <f ca="1">+IFERROR(IF(ISNUMBER(OFFSET('EDP Proyectado'!AQ78,0,-'Ingreso Proyectado'!$P78))&lt;&gt;0,IF(OFFSET('EDP Proyectado'!AQ78,0,-'Ingreso Proyectado'!$P78)+0&lt;=1,0,OFFSET('EDP Proyectado'!AQ78,0,-'Ingreso Proyectado'!$P78)+0)),0)</f>
        <v>0</v>
      </c>
    </row>
    <row r="79" spans="3:42" x14ac:dyDescent="0.2">
      <c r="C79" s="144">
        <f>+'Gantt Proyectos'!C147</f>
        <v>51</v>
      </c>
      <c r="D79" s="145" t="str">
        <f>+'Gantt Proyectos'!D147</f>
        <v>Ingeniería de factibilidad Cristina</v>
      </c>
      <c r="E79" s="145" t="str">
        <f>+'Gantt Proyectos'!E147</f>
        <v>Insideo</v>
      </c>
      <c r="F79" s="147" t="str">
        <f>+'Gantt Proyectos'!F147</f>
        <v>Perú</v>
      </c>
      <c r="G79" s="145" t="str">
        <f>+'Gantt Proyectos'!G147</f>
        <v>Chile</v>
      </c>
      <c r="H79" s="145">
        <f>+'Gantt Proyectos'!H147</f>
        <v>0</v>
      </c>
      <c r="I79" s="189">
        <v>1</v>
      </c>
      <c r="J79" s="189">
        <f t="shared" si="6"/>
        <v>0</v>
      </c>
      <c r="K79" s="145">
        <f>+'Gantt Proyectos'!I147</f>
        <v>0</v>
      </c>
      <c r="L79" s="120">
        <f>+'Gantt Proyectos'!J147</f>
        <v>1</v>
      </c>
      <c r="M79" s="145">
        <f>+'Gantt Proyectos'!K147</f>
        <v>0</v>
      </c>
      <c r="N79" s="145">
        <f>+'Gantt Proyectos'!L147</f>
        <v>350000</v>
      </c>
      <c r="O79" s="145">
        <f>+'Gantt Proyectos'!M147</f>
        <v>350000</v>
      </c>
      <c r="P79" s="145">
        <f>+'Gantt Proyectos'!N147</f>
        <v>2</v>
      </c>
      <c r="Q79" s="119">
        <f>+'Gantt Proyectos'!O147</f>
        <v>45870</v>
      </c>
      <c r="R79" s="119">
        <f>+'Gantt Proyectos'!P147</f>
        <v>45992</v>
      </c>
      <c r="S79" s="145" t="str">
        <f>+'Gantt Proyectos'!R147</f>
        <v>No</v>
      </c>
      <c r="T79" s="118">
        <f>+'Gantt Proyectos'!S147</f>
        <v>0</v>
      </c>
      <c r="U79" s="156">
        <f>+'Gantt Proyectos'!T147</f>
        <v>45870</v>
      </c>
      <c r="V79" s="156">
        <f>+'Gantt Proyectos'!U147</f>
        <v>45992</v>
      </c>
      <c r="W79" s="201">
        <f t="shared" si="7"/>
        <v>4</v>
      </c>
      <c r="X79" s="121">
        <f>+'Gantt Proyectos'!W147</f>
        <v>0.25503355704697989</v>
      </c>
      <c r="Y79" s="122">
        <f>+'Gantt Proyectos'!X147</f>
        <v>0</v>
      </c>
      <c r="Z79" s="122">
        <f>+'Gantt Proyectos'!Y147</f>
        <v>0</v>
      </c>
      <c r="AA79" s="122">
        <f>+'Gantt Proyectos'!Z147</f>
        <v>0</v>
      </c>
      <c r="AB79" s="122">
        <f>+'Gantt Proyectos'!AA147</f>
        <v>0</v>
      </c>
      <c r="AC79" s="122">
        <f>+'Gantt Proyectos'!AB147</f>
        <v>0</v>
      </c>
      <c r="AD79" s="123" t="str">
        <f>+'Gantt Proyectos'!AC147</f>
        <v>FS e Ing. Basica</v>
      </c>
      <c r="AE79" s="123" t="str">
        <f>+'Gantt Proyectos'!AD147</f>
        <v>No Asignado</v>
      </c>
      <c r="AF79" s="124" t="str">
        <f>+'Gantt Proyectos'!AE147</f>
        <v>1. Proyectado: No  Asignado</v>
      </c>
      <c r="AG79" s="172">
        <v>1</v>
      </c>
      <c r="AH79" s="169">
        <f ca="1">+IFERROR(IF(ISNUMBER(OFFSET('EDP Proyectado'!AI79,0,-'Ingreso Proyectado'!$P79))&lt;&gt;0,IF(OFFSET('EDP Proyectado'!AI79,0,-'Ingreso Proyectado'!$P79)+0&lt;=1,0,OFFSET('EDP Proyectado'!AI79,0,-'Ingreso Proyectado'!$P79)+0)),0)</f>
        <v>0</v>
      </c>
      <c r="AI79" s="169">
        <f ca="1">+IFERROR(IF(ISNUMBER(OFFSET('EDP Proyectado'!AJ79,0,-'Ingreso Proyectado'!$P79))&lt;&gt;0,IF(OFFSET('EDP Proyectado'!AJ79,0,-'Ingreso Proyectado'!$P79)+0&lt;=1,0,OFFSET('EDP Proyectado'!AJ79,0,-'Ingreso Proyectado'!$P79)+0)),0)</f>
        <v>0</v>
      </c>
      <c r="AJ79" s="169">
        <f ca="1">+IFERROR(IF(ISNUMBER(OFFSET('EDP Proyectado'!AK79,0,-'Ingreso Proyectado'!$P79))&lt;&gt;0,IF(OFFSET('EDP Proyectado'!AK79,0,-'Ingreso Proyectado'!$P79)+0&lt;=1,0,OFFSET('EDP Proyectado'!AK79,0,-'Ingreso Proyectado'!$P79)+0)),0)</f>
        <v>0</v>
      </c>
      <c r="AK79" s="169">
        <f ca="1">+IFERROR(IF(ISNUMBER(OFFSET('EDP Proyectado'!AL79,0,-'Ingreso Proyectado'!$P79))&lt;&gt;0,IF(OFFSET('EDP Proyectado'!AL79,0,-'Ingreso Proyectado'!$P79)+0&lt;=1,0,OFFSET('EDP Proyectado'!AL79,0,-'Ingreso Proyectado'!$P79)+0)),0)</f>
        <v>0</v>
      </c>
      <c r="AL79" s="169">
        <f ca="1">+IFERROR(IF(ISNUMBER(OFFSET('EDP Proyectado'!AM79,0,-'Ingreso Proyectado'!$P79))&lt;&gt;0,IF(OFFSET('EDP Proyectado'!AM79,0,-'Ingreso Proyectado'!$P79)+0&lt;=1,0,OFFSET('EDP Proyectado'!AM79,0,-'Ingreso Proyectado'!$P79)+0)),0)</f>
        <v>0</v>
      </c>
      <c r="AM79" s="169">
        <f ca="1">+IFERROR(IF(ISNUMBER(OFFSET('EDP Proyectado'!AN79,0,-'Ingreso Proyectado'!$P79))&lt;&gt;0,IF(OFFSET('EDP Proyectado'!AN79,0,-'Ingreso Proyectado'!$P79)+0&lt;=1,0,OFFSET('EDP Proyectado'!AN79,0,-'Ingreso Proyectado'!$P79)+0)),0)</f>
        <v>0</v>
      </c>
      <c r="AN79" s="169">
        <f ca="1">+IFERROR(IF(ISNUMBER(OFFSET('EDP Proyectado'!AO79,0,-'Ingreso Proyectado'!$P79))&lt;&gt;0,IF(OFFSET('EDP Proyectado'!AO79,0,-'Ingreso Proyectado'!$P79)+0&lt;=1,0,OFFSET('EDP Proyectado'!AO79,0,-'Ingreso Proyectado'!$P79)+0)),0)</f>
        <v>8750</v>
      </c>
      <c r="AO79" s="169">
        <f ca="1">+IFERROR(IF(ISNUMBER(OFFSET('EDP Proyectado'!AP79,0,-'Ingreso Proyectado'!$P79))&lt;&gt;0,IF(OFFSET('EDP Proyectado'!AP79,0,-'Ingreso Proyectado'!$P79)+0&lt;=1,0,OFFSET('EDP Proyectado'!AP79,0,-'Ingreso Proyectado'!$P79)+0)),0)</f>
        <v>8750</v>
      </c>
      <c r="AP79" s="170">
        <f ca="1">+IFERROR(IF(ISNUMBER(OFFSET('EDP Proyectado'!AQ79,0,-'Ingreso Proyectado'!$P79))&lt;&gt;0,IF(OFFSET('EDP Proyectado'!AQ79,0,-'Ingreso Proyectado'!$P79)+0&lt;=1,0,OFFSET('EDP Proyectado'!AQ79,0,-'Ingreso Proyectado'!$P79)+0)),0)</f>
        <v>8750</v>
      </c>
    </row>
    <row r="80" spans="3:42" x14ac:dyDescent="0.2">
      <c r="C80" s="144">
        <f>+'Gantt Proyectos'!C148</f>
        <v>52</v>
      </c>
      <c r="D80" s="145" t="str">
        <f>+'Gantt Proyectos'!D148</f>
        <v>Conceptual Chalcobamba UG</v>
      </c>
      <c r="E80" s="145" t="str">
        <f>+'Gantt Proyectos'!E148</f>
        <v>Las Bambas</v>
      </c>
      <c r="F80" s="147" t="str">
        <f>+'Gantt Proyectos'!F148</f>
        <v>Perú</v>
      </c>
      <c r="G80" s="145" t="str">
        <f>+'Gantt Proyectos'!G148</f>
        <v>Chile</v>
      </c>
      <c r="H80" s="145">
        <f>+'Gantt Proyectos'!H148</f>
        <v>0</v>
      </c>
      <c r="I80" s="189">
        <v>1</v>
      </c>
      <c r="J80" s="189">
        <f t="shared" si="6"/>
        <v>0</v>
      </c>
      <c r="K80" s="145" t="str">
        <f>+'Gantt Proyectos'!I148</f>
        <v>Subterránea</v>
      </c>
      <c r="L80" s="120">
        <f>+'Gantt Proyectos'!J148</f>
        <v>1</v>
      </c>
      <c r="M80" s="145">
        <f>+'Gantt Proyectos'!K148</f>
        <v>0</v>
      </c>
      <c r="N80" s="145">
        <f>+'Gantt Proyectos'!L148</f>
        <v>91000</v>
      </c>
      <c r="O80" s="145">
        <f>+'Gantt Proyectos'!M148</f>
        <v>91000</v>
      </c>
      <c r="P80" s="145">
        <f>+'Gantt Proyectos'!N148</f>
        <v>2</v>
      </c>
      <c r="Q80" s="119">
        <f>+'Gantt Proyectos'!O148</f>
        <v>45870</v>
      </c>
      <c r="R80" s="119">
        <f>+'Gantt Proyectos'!P148</f>
        <v>45960</v>
      </c>
      <c r="S80" s="145" t="str">
        <f>+'Gantt Proyectos'!R148</f>
        <v>No</v>
      </c>
      <c r="T80" s="118">
        <f>+'Gantt Proyectos'!S148</f>
        <v>0</v>
      </c>
      <c r="U80" s="156">
        <f>+'Gantt Proyectos'!T148</f>
        <v>45870</v>
      </c>
      <c r="V80" s="156">
        <f>+'Gantt Proyectos'!U148</f>
        <v>45960</v>
      </c>
      <c r="W80" s="201">
        <f t="shared" si="7"/>
        <v>3</v>
      </c>
      <c r="X80" s="121">
        <f>+'Gantt Proyectos'!W148</f>
        <v>0.72035794183445179</v>
      </c>
      <c r="Y80" s="122">
        <f>+'Gantt Proyectos'!X148</f>
        <v>0</v>
      </c>
      <c r="Z80" s="122">
        <f>+'Gantt Proyectos'!Y148</f>
        <v>0</v>
      </c>
      <c r="AA80" s="122">
        <f>+'Gantt Proyectos'!Z148</f>
        <v>0</v>
      </c>
      <c r="AB80" s="122">
        <f>+'Gantt Proyectos'!AA148</f>
        <v>0</v>
      </c>
      <c r="AC80" s="122">
        <f>+'Gantt Proyectos'!AB148</f>
        <v>0</v>
      </c>
      <c r="AD80" s="123" t="str">
        <f>+'Gantt Proyectos'!AC148</f>
        <v>Estudio Conceptual / LOM</v>
      </c>
      <c r="AE80" s="123" t="str">
        <f>+'Gantt Proyectos'!AD148</f>
        <v>Asignado</v>
      </c>
      <c r="AF80" s="124" t="str">
        <f>+'Gantt Proyectos'!AE148</f>
        <v>1. Proyectado: Asignado</v>
      </c>
      <c r="AG80" s="172">
        <v>1</v>
      </c>
      <c r="AH80" s="169">
        <f ca="1">+IFERROR(IF(ISNUMBER(OFFSET('EDP Proyectado'!AI80,0,-'Ingreso Proyectado'!$P80))&lt;&gt;0,IF(OFFSET('EDP Proyectado'!AI80,0,-'Ingreso Proyectado'!$P80)+0&lt;=1,0,OFFSET('EDP Proyectado'!AI80,0,-'Ingreso Proyectado'!$P80)+0)),0)</f>
        <v>0</v>
      </c>
      <c r="AI80" s="169">
        <f ca="1">+IFERROR(IF(ISNUMBER(OFFSET('EDP Proyectado'!AJ80,0,-'Ingreso Proyectado'!$P80))&lt;&gt;0,IF(OFFSET('EDP Proyectado'!AJ80,0,-'Ingreso Proyectado'!$P80)+0&lt;=1,0,OFFSET('EDP Proyectado'!AJ80,0,-'Ingreso Proyectado'!$P80)+0)),0)</f>
        <v>0</v>
      </c>
      <c r="AJ80" s="169">
        <f ca="1">+IFERROR(IF(ISNUMBER(OFFSET('EDP Proyectado'!AK80,0,-'Ingreso Proyectado'!$P80))&lt;&gt;0,IF(OFFSET('EDP Proyectado'!AK80,0,-'Ingreso Proyectado'!$P80)+0&lt;=1,0,OFFSET('EDP Proyectado'!AK80,0,-'Ingreso Proyectado'!$P80)+0)),0)</f>
        <v>0</v>
      </c>
      <c r="AK80" s="169">
        <f ca="1">+IFERROR(IF(ISNUMBER(OFFSET('EDP Proyectado'!AL80,0,-'Ingreso Proyectado'!$P80))&lt;&gt;0,IF(OFFSET('EDP Proyectado'!AL80,0,-'Ingreso Proyectado'!$P80)+0&lt;=1,0,OFFSET('EDP Proyectado'!AL80,0,-'Ingreso Proyectado'!$P80)+0)),0)</f>
        <v>0</v>
      </c>
      <c r="AL80" s="169">
        <f ca="1">+IFERROR(IF(ISNUMBER(OFFSET('EDP Proyectado'!AM80,0,-'Ingreso Proyectado'!$P80))&lt;&gt;0,IF(OFFSET('EDP Proyectado'!AM80,0,-'Ingreso Proyectado'!$P80)+0&lt;=1,0,OFFSET('EDP Proyectado'!AM80,0,-'Ingreso Proyectado'!$P80)+0)),0)</f>
        <v>0</v>
      </c>
      <c r="AM80" s="169">
        <f ca="1">+IFERROR(IF(ISNUMBER(OFFSET('EDP Proyectado'!AN80,0,-'Ingreso Proyectado'!$P80))&lt;&gt;0,IF(OFFSET('EDP Proyectado'!AN80,0,-'Ingreso Proyectado'!$P80)+0&lt;=1,0,OFFSET('EDP Proyectado'!AN80,0,-'Ingreso Proyectado'!$P80)+0)),0)</f>
        <v>0</v>
      </c>
      <c r="AN80" s="169">
        <f ca="1">+IFERROR(IF(ISNUMBER(OFFSET('EDP Proyectado'!AO80,0,-'Ingreso Proyectado'!$P80))&lt;&gt;0,IF(OFFSET('EDP Proyectado'!AO80,0,-'Ingreso Proyectado'!$P80)+0&lt;=1,0,OFFSET('EDP Proyectado'!AO80,0,-'Ingreso Proyectado'!$P80)+0)),0)</f>
        <v>30333.333333333332</v>
      </c>
      <c r="AO80" s="169">
        <f ca="1">+IFERROR(IF(ISNUMBER(OFFSET('EDP Proyectado'!AP80,0,-'Ingreso Proyectado'!$P80))&lt;&gt;0,IF(OFFSET('EDP Proyectado'!AP80,0,-'Ingreso Proyectado'!$P80)+0&lt;=1,0,OFFSET('EDP Proyectado'!AP80,0,-'Ingreso Proyectado'!$P80)+0)),0)</f>
        <v>30333.333333333332</v>
      </c>
      <c r="AP80" s="170">
        <f ca="1">+IFERROR(IF(ISNUMBER(OFFSET('EDP Proyectado'!AQ80,0,-'Ingreso Proyectado'!$P80))&lt;&gt;0,IF(OFFSET('EDP Proyectado'!AQ80,0,-'Ingreso Proyectado'!$P80)+0&lt;=1,0,OFFSET('EDP Proyectado'!AQ80,0,-'Ingreso Proyectado'!$P80)+0)),0)</f>
        <v>30333.333333333332</v>
      </c>
    </row>
    <row r="81" spans="3:42" x14ac:dyDescent="0.2">
      <c r="C81" s="144">
        <f>+'Gantt Proyectos'!C149</f>
        <v>53</v>
      </c>
      <c r="D81" s="145" t="str">
        <f>+'Gantt Proyectos'!D149</f>
        <v>Ingeniería a nivel factibilidad de desarrollo y profundización de labores subterráneas segunda meiad</v>
      </c>
      <c r="E81" s="145" t="str">
        <f>+'Gantt Proyectos'!E149</f>
        <v>Cerro Pasco</v>
      </c>
      <c r="F81" s="147" t="str">
        <f>+'Gantt Proyectos'!F149</f>
        <v>Perú</v>
      </c>
      <c r="G81" s="145" t="str">
        <f>+'Gantt Proyectos'!G149</f>
        <v>Chile</v>
      </c>
      <c r="H81" s="145">
        <f>+'Gantt Proyectos'!H149</f>
        <v>0</v>
      </c>
      <c r="I81" s="189">
        <v>1</v>
      </c>
      <c r="J81" s="189">
        <f t="shared" si="6"/>
        <v>0</v>
      </c>
      <c r="K81" s="145" t="str">
        <f>+'Gantt Proyectos'!I149</f>
        <v>Subterránea</v>
      </c>
      <c r="L81" s="120">
        <f>+'Gantt Proyectos'!J149</f>
        <v>1</v>
      </c>
      <c r="M81" s="145">
        <f>+'Gantt Proyectos'!K149</f>
        <v>0</v>
      </c>
      <c r="N81" s="145">
        <f>+'Gantt Proyectos'!L149</f>
        <v>100000</v>
      </c>
      <c r="O81" s="145">
        <f>+'Gantt Proyectos'!M149</f>
        <v>100000</v>
      </c>
      <c r="P81" s="145">
        <f>+'Gantt Proyectos'!N149</f>
        <v>2</v>
      </c>
      <c r="Q81" s="119">
        <f>+'Gantt Proyectos'!O149</f>
        <v>45839</v>
      </c>
      <c r="R81" s="119">
        <f>+'Gantt Proyectos'!P149</f>
        <v>45960</v>
      </c>
      <c r="S81" s="145" t="str">
        <f>+'Gantt Proyectos'!R149</f>
        <v>No</v>
      </c>
      <c r="T81" s="118">
        <f>+'Gantt Proyectos'!S149</f>
        <v>0</v>
      </c>
      <c r="U81" s="156">
        <f>+'Gantt Proyectos'!T149</f>
        <v>45839</v>
      </c>
      <c r="V81" s="156">
        <f>+'Gantt Proyectos'!U149</f>
        <v>45960</v>
      </c>
      <c r="W81" s="201">
        <f t="shared" si="7"/>
        <v>4</v>
      </c>
      <c r="X81" s="121">
        <f>+'Gantt Proyectos'!W149</f>
        <v>2.5503355704697985</v>
      </c>
      <c r="Y81" s="122">
        <f>+'Gantt Proyectos'!X149</f>
        <v>0</v>
      </c>
      <c r="Z81" s="122">
        <f>+'Gantt Proyectos'!Y149</f>
        <v>0</v>
      </c>
      <c r="AA81" s="122">
        <f>+'Gantt Proyectos'!Z149</f>
        <v>0</v>
      </c>
      <c r="AB81" s="122">
        <f>+'Gantt Proyectos'!AA149</f>
        <v>0</v>
      </c>
      <c r="AC81" s="122">
        <f>+'Gantt Proyectos'!AB149</f>
        <v>0</v>
      </c>
      <c r="AD81" s="123" t="str">
        <f>+'Gantt Proyectos'!AC149</f>
        <v>FS e Ing. Basica</v>
      </c>
      <c r="AE81" s="123" t="str">
        <f>+'Gantt Proyectos'!AD149</f>
        <v>Asignado</v>
      </c>
      <c r="AF81" s="124" t="str">
        <f>+'Gantt Proyectos'!AE149</f>
        <v>1. Proyectado: Asignado</v>
      </c>
      <c r="AG81" s="172">
        <v>1</v>
      </c>
      <c r="AH81" s="169">
        <f ca="1">+IFERROR(IF(ISNUMBER(OFFSET('EDP Proyectado'!AI81,0,-'Ingreso Proyectado'!$P81))&lt;&gt;0,IF(OFFSET('EDP Proyectado'!AI81,0,-'Ingreso Proyectado'!$P81)+0&lt;=1,0,OFFSET('EDP Proyectado'!AI81,0,-'Ingreso Proyectado'!$P81)+0)),0)</f>
        <v>0</v>
      </c>
      <c r="AI81" s="169">
        <f ca="1">+IFERROR(IF(ISNUMBER(OFFSET('EDP Proyectado'!AJ81,0,-'Ingreso Proyectado'!$P81))&lt;&gt;0,IF(OFFSET('EDP Proyectado'!AJ81,0,-'Ingreso Proyectado'!$P81)+0&lt;=1,0,OFFSET('EDP Proyectado'!AJ81,0,-'Ingreso Proyectado'!$P81)+0)),0)</f>
        <v>0</v>
      </c>
      <c r="AJ81" s="169">
        <f ca="1">+IFERROR(IF(ISNUMBER(OFFSET('EDP Proyectado'!AK81,0,-'Ingreso Proyectado'!$P81))&lt;&gt;0,IF(OFFSET('EDP Proyectado'!AK81,0,-'Ingreso Proyectado'!$P81)+0&lt;=1,0,OFFSET('EDP Proyectado'!AK81,0,-'Ingreso Proyectado'!$P81)+0)),0)</f>
        <v>0</v>
      </c>
      <c r="AK81" s="169">
        <f ca="1">+IFERROR(IF(ISNUMBER(OFFSET('EDP Proyectado'!AL81,0,-'Ingreso Proyectado'!$P81))&lt;&gt;0,IF(OFFSET('EDP Proyectado'!AL81,0,-'Ingreso Proyectado'!$P81)+0&lt;=1,0,OFFSET('EDP Proyectado'!AL81,0,-'Ingreso Proyectado'!$P81)+0)),0)</f>
        <v>0</v>
      </c>
      <c r="AL81" s="169">
        <f ca="1">+IFERROR(IF(ISNUMBER(OFFSET('EDP Proyectado'!AM81,0,-'Ingreso Proyectado'!$P81))&lt;&gt;0,IF(OFFSET('EDP Proyectado'!AM81,0,-'Ingreso Proyectado'!$P81)+0&lt;=1,0,OFFSET('EDP Proyectado'!AM81,0,-'Ingreso Proyectado'!$P81)+0)),0)</f>
        <v>0</v>
      </c>
      <c r="AM81" s="169">
        <f ca="1">+IFERROR(IF(ISNUMBER(OFFSET('EDP Proyectado'!AN81,0,-'Ingreso Proyectado'!$P81))&lt;&gt;0,IF(OFFSET('EDP Proyectado'!AN81,0,-'Ingreso Proyectado'!$P81)+0&lt;=1,0,OFFSET('EDP Proyectado'!AN81,0,-'Ingreso Proyectado'!$P81)+0)),0)</f>
        <v>25000</v>
      </c>
      <c r="AN81" s="169">
        <f ca="1">+IFERROR(IF(ISNUMBER(OFFSET('EDP Proyectado'!AO81,0,-'Ingreso Proyectado'!$P81))&lt;&gt;0,IF(OFFSET('EDP Proyectado'!AO81,0,-'Ingreso Proyectado'!$P81)+0&lt;=1,0,OFFSET('EDP Proyectado'!AO81,0,-'Ingreso Proyectado'!$P81)+0)),0)</f>
        <v>25000</v>
      </c>
      <c r="AO81" s="169">
        <f ca="1">+IFERROR(IF(ISNUMBER(OFFSET('EDP Proyectado'!AP81,0,-'Ingreso Proyectado'!$P81))&lt;&gt;0,IF(OFFSET('EDP Proyectado'!AP81,0,-'Ingreso Proyectado'!$P81)+0&lt;=1,0,OFFSET('EDP Proyectado'!AP81,0,-'Ingreso Proyectado'!$P81)+0)),0)</f>
        <v>25000</v>
      </c>
      <c r="AP81" s="170">
        <f ca="1">+IFERROR(IF(ISNUMBER(OFFSET('EDP Proyectado'!AQ81,0,-'Ingreso Proyectado'!$P81))&lt;&gt;0,IF(OFFSET('EDP Proyectado'!AQ81,0,-'Ingreso Proyectado'!$P81)+0&lt;=1,0,OFFSET('EDP Proyectado'!AQ81,0,-'Ingreso Proyectado'!$P81)+0)),0)</f>
        <v>25000</v>
      </c>
    </row>
    <row r="82" spans="3:42" x14ac:dyDescent="0.2">
      <c r="C82" s="144">
        <f>+'Gantt Proyectos'!C150</f>
        <v>54</v>
      </c>
      <c r="D82" s="145" t="str">
        <f>+'Gantt Proyectos'!D150</f>
        <v>Corto plazo</v>
      </c>
      <c r="E82" s="145" t="str">
        <f>+'Gantt Proyectos'!E150</f>
        <v>CMDIC</v>
      </c>
      <c r="F82" s="147" t="str">
        <f>+'Gantt Proyectos'!F150</f>
        <v>Chile</v>
      </c>
      <c r="G82" s="145" t="str">
        <f>+'Gantt Proyectos'!G150</f>
        <v>Chile</v>
      </c>
      <c r="H82" s="145">
        <f>+'Gantt Proyectos'!H150</f>
        <v>0</v>
      </c>
      <c r="I82" s="189">
        <v>1</v>
      </c>
      <c r="J82" s="189">
        <f t="shared" si="6"/>
        <v>0</v>
      </c>
      <c r="K82" s="145">
        <f>+'Gantt Proyectos'!I150</f>
        <v>0</v>
      </c>
      <c r="L82" s="120">
        <f>+'Gantt Proyectos'!J150</f>
        <v>1</v>
      </c>
      <c r="M82" s="145">
        <f>+'Gantt Proyectos'!K150</f>
        <v>0</v>
      </c>
      <c r="N82" s="145">
        <f>+'Gantt Proyectos'!L150</f>
        <v>120000</v>
      </c>
      <c r="O82" s="145">
        <f>+'Gantt Proyectos'!M150</f>
        <v>120000</v>
      </c>
      <c r="P82" s="145">
        <f>+'Gantt Proyectos'!N150</f>
        <v>1</v>
      </c>
      <c r="Q82" s="119">
        <f>+'Gantt Proyectos'!O150</f>
        <v>45839</v>
      </c>
      <c r="R82" s="119">
        <f>+'Gantt Proyectos'!P150</f>
        <v>45930</v>
      </c>
      <c r="S82" s="145" t="str">
        <f>+'Gantt Proyectos'!R150</f>
        <v>No</v>
      </c>
      <c r="T82" s="118">
        <f>+'Gantt Proyectos'!S150</f>
        <v>0</v>
      </c>
      <c r="U82" s="156">
        <f>+'Gantt Proyectos'!T150</f>
        <v>45839</v>
      </c>
      <c r="V82" s="156">
        <f>+'Gantt Proyectos'!U150</f>
        <v>45930</v>
      </c>
      <c r="W82" s="201">
        <f t="shared" si="7"/>
        <v>3</v>
      </c>
      <c r="X82" s="121">
        <f>+'Gantt Proyectos'!W150</f>
        <v>0.21610738255033554</v>
      </c>
      <c r="Y82" s="122">
        <f>+'Gantt Proyectos'!X150</f>
        <v>0</v>
      </c>
      <c r="Z82" s="122">
        <f>+'Gantt Proyectos'!Y150</f>
        <v>0</v>
      </c>
      <c r="AA82" s="122">
        <f>+'Gantt Proyectos'!Z150</f>
        <v>0</v>
      </c>
      <c r="AB82" s="122">
        <f>+'Gantt Proyectos'!AA150</f>
        <v>0</v>
      </c>
      <c r="AC82" s="122">
        <f>+'Gantt Proyectos'!AB150</f>
        <v>0</v>
      </c>
      <c r="AD82" s="123" t="str">
        <f>+'Gantt Proyectos'!AC150</f>
        <v>Estudio Conceptual / LOM</v>
      </c>
      <c r="AE82" s="123" t="str">
        <f>+'Gantt Proyectos'!AD150</f>
        <v>No Asignado</v>
      </c>
      <c r="AF82" s="124" t="str">
        <f>+'Gantt Proyectos'!AE150</f>
        <v>1. Proyectado: No  Asignado</v>
      </c>
      <c r="AG82" s="172">
        <v>1</v>
      </c>
      <c r="AH82" s="169">
        <f ca="1">+IFERROR(IF(ISNUMBER(OFFSET('EDP Proyectado'!AI82,0,-'Ingreso Proyectado'!$P82))&lt;&gt;0,IF(OFFSET('EDP Proyectado'!AI82,0,-'Ingreso Proyectado'!$P82)+0&lt;=1,0,OFFSET('EDP Proyectado'!AI82,0,-'Ingreso Proyectado'!$P82)+0)),0)</f>
        <v>0</v>
      </c>
      <c r="AI82" s="169">
        <f ca="1">+IFERROR(IF(ISNUMBER(OFFSET('EDP Proyectado'!AJ82,0,-'Ingreso Proyectado'!$P82))&lt;&gt;0,IF(OFFSET('EDP Proyectado'!AJ82,0,-'Ingreso Proyectado'!$P82)+0&lt;=1,0,OFFSET('EDP Proyectado'!AJ82,0,-'Ingreso Proyectado'!$P82)+0)),0)</f>
        <v>0</v>
      </c>
      <c r="AJ82" s="169">
        <f ca="1">+IFERROR(IF(ISNUMBER(OFFSET('EDP Proyectado'!AK82,0,-'Ingreso Proyectado'!$P82))&lt;&gt;0,IF(OFFSET('EDP Proyectado'!AK82,0,-'Ingreso Proyectado'!$P82)+0&lt;=1,0,OFFSET('EDP Proyectado'!AK82,0,-'Ingreso Proyectado'!$P82)+0)),0)</f>
        <v>0</v>
      </c>
      <c r="AK82" s="169">
        <f ca="1">+IFERROR(IF(ISNUMBER(OFFSET('EDP Proyectado'!AL82,0,-'Ingreso Proyectado'!$P82))&lt;&gt;0,IF(OFFSET('EDP Proyectado'!AL82,0,-'Ingreso Proyectado'!$P82)+0&lt;=1,0,OFFSET('EDP Proyectado'!AL82,0,-'Ingreso Proyectado'!$P82)+0)),0)</f>
        <v>0</v>
      </c>
      <c r="AL82" s="169">
        <f ca="1">+IFERROR(IF(ISNUMBER(OFFSET('EDP Proyectado'!AM82,0,-'Ingreso Proyectado'!$P82))&lt;&gt;0,IF(OFFSET('EDP Proyectado'!AM82,0,-'Ingreso Proyectado'!$P82)+0&lt;=1,0,OFFSET('EDP Proyectado'!AM82,0,-'Ingreso Proyectado'!$P82)+0)),0)</f>
        <v>12000</v>
      </c>
      <c r="AM82" s="169">
        <f ca="1">+IFERROR(IF(ISNUMBER(OFFSET('EDP Proyectado'!AN82,0,-'Ingreso Proyectado'!$P82))&lt;&gt;0,IF(OFFSET('EDP Proyectado'!AN82,0,-'Ingreso Proyectado'!$P82)+0&lt;=1,0,OFFSET('EDP Proyectado'!AN82,0,-'Ingreso Proyectado'!$P82)+0)),0)</f>
        <v>12000</v>
      </c>
      <c r="AN82" s="169">
        <f ca="1">+IFERROR(IF(ISNUMBER(OFFSET('EDP Proyectado'!AO82,0,-'Ingreso Proyectado'!$P82))&lt;&gt;0,IF(OFFSET('EDP Proyectado'!AO82,0,-'Ingreso Proyectado'!$P82)+0&lt;=1,0,OFFSET('EDP Proyectado'!AO82,0,-'Ingreso Proyectado'!$P82)+0)),0)</f>
        <v>12000</v>
      </c>
      <c r="AO82" s="169">
        <f ca="1">+IFERROR(IF(ISNUMBER(OFFSET('EDP Proyectado'!AP82,0,-'Ingreso Proyectado'!$P82))&lt;&gt;0,IF(OFFSET('EDP Proyectado'!AP82,0,-'Ingreso Proyectado'!$P82)+0&lt;=1,0,OFFSET('EDP Proyectado'!AP82,0,-'Ingreso Proyectado'!$P82)+0)),0)</f>
        <v>0</v>
      </c>
      <c r="AP82" s="170">
        <f ca="1">+IFERROR(IF(ISNUMBER(OFFSET('EDP Proyectado'!AQ82,0,-'Ingreso Proyectado'!$P82))&lt;&gt;0,IF(OFFSET('EDP Proyectado'!AQ82,0,-'Ingreso Proyectado'!$P82)+0&lt;=1,0,OFFSET('EDP Proyectado'!AQ82,0,-'Ingreso Proyectado'!$P82)+0)),0)</f>
        <v>0</v>
      </c>
    </row>
    <row r="83" spans="3:42" x14ac:dyDescent="0.2">
      <c r="C83" s="144">
        <f>+'Gantt Proyectos'!C151</f>
        <v>55</v>
      </c>
      <c r="D83" s="145" t="str">
        <f>+'Gantt Proyectos'!D151</f>
        <v>Corto plazo</v>
      </c>
      <c r="E83" s="145" t="str">
        <f>+'Gantt Proyectos'!E151</f>
        <v>AMSA</v>
      </c>
      <c r="F83" s="147" t="str">
        <f>+'Gantt Proyectos'!F151</f>
        <v>Chile</v>
      </c>
      <c r="G83" s="145" t="str">
        <f>+'Gantt Proyectos'!G151</f>
        <v>Chile</v>
      </c>
      <c r="H83" s="145">
        <f>+'Gantt Proyectos'!H151</f>
        <v>0</v>
      </c>
      <c r="I83" s="189">
        <v>1</v>
      </c>
      <c r="J83" s="189">
        <f t="shared" si="6"/>
        <v>0</v>
      </c>
      <c r="K83" s="145">
        <f>+'Gantt Proyectos'!I151</f>
        <v>0</v>
      </c>
      <c r="L83" s="120">
        <f>+'Gantt Proyectos'!J151</f>
        <v>1</v>
      </c>
      <c r="M83" s="145">
        <f>+'Gantt Proyectos'!K151</f>
        <v>0</v>
      </c>
      <c r="N83" s="145">
        <f>+'Gantt Proyectos'!L151</f>
        <v>120000</v>
      </c>
      <c r="O83" s="145">
        <f>+'Gantt Proyectos'!M151</f>
        <v>120000</v>
      </c>
      <c r="P83" s="145">
        <f>+'Gantt Proyectos'!N151</f>
        <v>1</v>
      </c>
      <c r="Q83" s="119">
        <f>+'Gantt Proyectos'!O151</f>
        <v>45839</v>
      </c>
      <c r="R83" s="119">
        <f>+'Gantt Proyectos'!P151</f>
        <v>45930</v>
      </c>
      <c r="S83" s="145" t="str">
        <f>+'Gantt Proyectos'!R151</f>
        <v>No</v>
      </c>
      <c r="T83" s="118">
        <f>+'Gantt Proyectos'!S151</f>
        <v>0</v>
      </c>
      <c r="U83" s="156">
        <f>+'Gantt Proyectos'!T151</f>
        <v>45839</v>
      </c>
      <c r="V83" s="156">
        <f>+'Gantt Proyectos'!U151</f>
        <v>45930</v>
      </c>
      <c r="W83" s="201">
        <f t="shared" si="7"/>
        <v>3</v>
      </c>
      <c r="X83" s="121">
        <f>+'Gantt Proyectos'!W151</f>
        <v>0.21610738255033554</v>
      </c>
      <c r="Y83" s="122">
        <f>+'Gantt Proyectos'!X151</f>
        <v>0</v>
      </c>
      <c r="Z83" s="122">
        <f>+'Gantt Proyectos'!Y151</f>
        <v>0</v>
      </c>
      <c r="AA83" s="122">
        <f>+'Gantt Proyectos'!Z151</f>
        <v>0</v>
      </c>
      <c r="AB83" s="122">
        <f>+'Gantt Proyectos'!AA151</f>
        <v>0</v>
      </c>
      <c r="AC83" s="122">
        <f>+'Gantt Proyectos'!AB151</f>
        <v>0</v>
      </c>
      <c r="AD83" s="123" t="str">
        <f>+'Gantt Proyectos'!AC151</f>
        <v>Estudio Conceptual / LOM</v>
      </c>
      <c r="AE83" s="123" t="str">
        <f>+'Gantt Proyectos'!AD151</f>
        <v>No Asignado</v>
      </c>
      <c r="AF83" s="124" t="str">
        <f>+'Gantt Proyectos'!AE151</f>
        <v>1. Proyectado: No  Asignado</v>
      </c>
      <c r="AG83" s="172">
        <v>1</v>
      </c>
      <c r="AH83" s="169">
        <f ca="1">+IFERROR(IF(ISNUMBER(OFFSET('EDP Proyectado'!AI83,0,-'Ingreso Proyectado'!$P83))&lt;&gt;0,IF(OFFSET('EDP Proyectado'!AI83,0,-'Ingreso Proyectado'!$P83)+0&lt;=1,0,OFFSET('EDP Proyectado'!AI83,0,-'Ingreso Proyectado'!$P83)+0)),0)</f>
        <v>0</v>
      </c>
      <c r="AI83" s="169">
        <f ca="1">+IFERROR(IF(ISNUMBER(OFFSET('EDP Proyectado'!AJ83,0,-'Ingreso Proyectado'!$P83))&lt;&gt;0,IF(OFFSET('EDP Proyectado'!AJ83,0,-'Ingreso Proyectado'!$P83)+0&lt;=1,0,OFFSET('EDP Proyectado'!AJ83,0,-'Ingreso Proyectado'!$P83)+0)),0)</f>
        <v>0</v>
      </c>
      <c r="AJ83" s="169">
        <f ca="1">+IFERROR(IF(ISNUMBER(OFFSET('EDP Proyectado'!AK83,0,-'Ingreso Proyectado'!$P83))&lt;&gt;0,IF(OFFSET('EDP Proyectado'!AK83,0,-'Ingreso Proyectado'!$P83)+0&lt;=1,0,OFFSET('EDP Proyectado'!AK83,0,-'Ingreso Proyectado'!$P83)+0)),0)</f>
        <v>0</v>
      </c>
      <c r="AK83" s="169">
        <f ca="1">+IFERROR(IF(ISNUMBER(OFFSET('EDP Proyectado'!AL83,0,-'Ingreso Proyectado'!$P83))&lt;&gt;0,IF(OFFSET('EDP Proyectado'!AL83,0,-'Ingreso Proyectado'!$P83)+0&lt;=1,0,OFFSET('EDP Proyectado'!AL83,0,-'Ingreso Proyectado'!$P83)+0)),0)</f>
        <v>0</v>
      </c>
      <c r="AL83" s="169">
        <f ca="1">+IFERROR(IF(ISNUMBER(OFFSET('EDP Proyectado'!AM83,0,-'Ingreso Proyectado'!$P83))&lt;&gt;0,IF(OFFSET('EDP Proyectado'!AM83,0,-'Ingreso Proyectado'!$P83)+0&lt;=1,0,OFFSET('EDP Proyectado'!AM83,0,-'Ingreso Proyectado'!$P83)+0)),0)</f>
        <v>12000</v>
      </c>
      <c r="AM83" s="169">
        <f ca="1">+IFERROR(IF(ISNUMBER(OFFSET('EDP Proyectado'!AN83,0,-'Ingreso Proyectado'!$P83))&lt;&gt;0,IF(OFFSET('EDP Proyectado'!AN83,0,-'Ingreso Proyectado'!$P83)+0&lt;=1,0,OFFSET('EDP Proyectado'!AN83,0,-'Ingreso Proyectado'!$P83)+0)),0)</f>
        <v>12000</v>
      </c>
      <c r="AN83" s="169">
        <f ca="1">+IFERROR(IF(ISNUMBER(OFFSET('EDP Proyectado'!AO83,0,-'Ingreso Proyectado'!$P83))&lt;&gt;0,IF(OFFSET('EDP Proyectado'!AO83,0,-'Ingreso Proyectado'!$P83)+0&lt;=1,0,OFFSET('EDP Proyectado'!AO83,0,-'Ingreso Proyectado'!$P83)+0)),0)</f>
        <v>12000</v>
      </c>
      <c r="AO83" s="169">
        <f ca="1">+IFERROR(IF(ISNUMBER(OFFSET('EDP Proyectado'!AP83,0,-'Ingreso Proyectado'!$P83))&lt;&gt;0,IF(OFFSET('EDP Proyectado'!AP83,0,-'Ingreso Proyectado'!$P83)+0&lt;=1,0,OFFSET('EDP Proyectado'!AP83,0,-'Ingreso Proyectado'!$P83)+0)),0)</f>
        <v>0</v>
      </c>
      <c r="AP83" s="170">
        <f ca="1">+IFERROR(IF(ISNUMBER(OFFSET('EDP Proyectado'!AQ83,0,-'Ingreso Proyectado'!$P83))&lt;&gt;0,IF(OFFSET('EDP Proyectado'!AQ83,0,-'Ingreso Proyectado'!$P83)+0&lt;=1,0,OFFSET('EDP Proyectado'!AQ83,0,-'Ingreso Proyectado'!$P83)+0)),0)</f>
        <v>0</v>
      </c>
    </row>
    <row r="84" spans="3:42" x14ac:dyDescent="0.2">
      <c r="C84" s="144">
        <f>+'Gantt Proyectos'!C152</f>
        <v>56</v>
      </c>
      <c r="D84" s="145" t="str">
        <f>+'Gantt Proyectos'!D152</f>
        <v>Acompañamiento simplan Cajati</v>
      </c>
      <c r="E84" s="145" t="str">
        <f>+'Gantt Proyectos'!E152</f>
        <v>Mosaic</v>
      </c>
      <c r="F84" s="147" t="str">
        <f>+'Gantt Proyectos'!F152</f>
        <v>Brasil</v>
      </c>
      <c r="G84" s="145" t="str">
        <f>+'Gantt Proyectos'!G152</f>
        <v>Chile</v>
      </c>
      <c r="H84" s="145">
        <f>+'Gantt Proyectos'!H152</f>
        <v>0</v>
      </c>
      <c r="I84" s="189">
        <v>1</v>
      </c>
      <c r="J84" s="189">
        <f t="shared" si="6"/>
        <v>0</v>
      </c>
      <c r="K84" s="145">
        <f>+'Gantt Proyectos'!I152</f>
        <v>0</v>
      </c>
      <c r="L84" s="120">
        <f>+'Gantt Proyectos'!J152</f>
        <v>1</v>
      </c>
      <c r="M84" s="145">
        <f>+'Gantt Proyectos'!K152</f>
        <v>0</v>
      </c>
      <c r="N84" s="145">
        <f>+'Gantt Proyectos'!L152</f>
        <v>85000</v>
      </c>
      <c r="O84" s="145">
        <f>+'Gantt Proyectos'!M152</f>
        <v>85000</v>
      </c>
      <c r="P84" s="145">
        <f>+'Gantt Proyectos'!N152</f>
        <v>3</v>
      </c>
      <c r="Q84" s="119">
        <f>+'Gantt Proyectos'!O152</f>
        <v>45870</v>
      </c>
      <c r="R84" s="119">
        <f>+'Gantt Proyectos'!P152</f>
        <v>45960</v>
      </c>
      <c r="S84" s="145" t="str">
        <f>+'Gantt Proyectos'!R152</f>
        <v>No</v>
      </c>
      <c r="T84" s="118">
        <f>+'Gantt Proyectos'!S152</f>
        <v>0</v>
      </c>
      <c r="U84" s="156">
        <f>+'Gantt Proyectos'!T152</f>
        <v>45870</v>
      </c>
      <c r="V84" s="156">
        <f>+'Gantt Proyectos'!U152</f>
        <v>45960</v>
      </c>
      <c r="W84" s="201">
        <f t="shared" si="7"/>
        <v>3</v>
      </c>
      <c r="X84" s="121">
        <f>+'Gantt Proyectos'!W152</f>
        <v>0.5</v>
      </c>
      <c r="Y84" s="122">
        <f>+'Gantt Proyectos'!X152</f>
        <v>0</v>
      </c>
      <c r="Z84" s="122">
        <f>+'Gantt Proyectos'!Y152</f>
        <v>0</v>
      </c>
      <c r="AA84" s="122">
        <f>+'Gantt Proyectos'!Z152</f>
        <v>0</v>
      </c>
      <c r="AB84" s="122">
        <f>+'Gantt Proyectos'!AA152</f>
        <v>0</v>
      </c>
      <c r="AC84" s="122">
        <f>+'Gantt Proyectos'!AB152</f>
        <v>0</v>
      </c>
      <c r="AD84" s="123" t="str">
        <f>+'Gantt Proyectos'!AC152</f>
        <v>Consultoria y Due Dilligence</v>
      </c>
      <c r="AE84" s="123" t="str">
        <f>+'Gantt Proyectos'!AD152</f>
        <v>No Asignado</v>
      </c>
      <c r="AF84" s="124" t="str">
        <f>+'Gantt Proyectos'!AE152</f>
        <v>1. Proyectado: No  Asignado</v>
      </c>
      <c r="AG84" s="172">
        <v>1</v>
      </c>
      <c r="AH84" s="169">
        <f ca="1">+IFERROR(IF(ISNUMBER(OFFSET('EDP Proyectado'!AI84,0,-'Ingreso Proyectado'!$P84))&lt;&gt;0,IF(OFFSET('EDP Proyectado'!AI84,0,-'Ingreso Proyectado'!$P84)+0&lt;=1,0,OFFSET('EDP Proyectado'!AI84,0,-'Ingreso Proyectado'!$P84)+0)),0)</f>
        <v>0</v>
      </c>
      <c r="AI84" s="169">
        <f ca="1">+IFERROR(IF(ISNUMBER(OFFSET('EDP Proyectado'!AJ84,0,-'Ingreso Proyectado'!$P84))&lt;&gt;0,IF(OFFSET('EDP Proyectado'!AJ84,0,-'Ingreso Proyectado'!$P84)+0&lt;=1,0,OFFSET('EDP Proyectado'!AJ84,0,-'Ingreso Proyectado'!$P84)+0)),0)</f>
        <v>0</v>
      </c>
      <c r="AJ84" s="169">
        <f ca="1">+IFERROR(IF(ISNUMBER(OFFSET('EDP Proyectado'!AK84,0,-'Ingreso Proyectado'!$P84))&lt;&gt;0,IF(OFFSET('EDP Proyectado'!AK84,0,-'Ingreso Proyectado'!$P84)+0&lt;=1,0,OFFSET('EDP Proyectado'!AK84,0,-'Ingreso Proyectado'!$P84)+0)),0)</f>
        <v>0</v>
      </c>
      <c r="AK84" s="169">
        <f ca="1">+IFERROR(IF(ISNUMBER(OFFSET('EDP Proyectado'!AL84,0,-'Ingreso Proyectado'!$P84))&lt;&gt;0,IF(OFFSET('EDP Proyectado'!AL84,0,-'Ingreso Proyectado'!$P84)+0&lt;=1,0,OFFSET('EDP Proyectado'!AL84,0,-'Ingreso Proyectado'!$P84)+0)),0)</f>
        <v>0</v>
      </c>
      <c r="AL84" s="169">
        <f ca="1">+IFERROR(IF(ISNUMBER(OFFSET('EDP Proyectado'!AM84,0,-'Ingreso Proyectado'!$P84))&lt;&gt;0,IF(OFFSET('EDP Proyectado'!AM84,0,-'Ingreso Proyectado'!$P84)+0&lt;=1,0,OFFSET('EDP Proyectado'!AM84,0,-'Ingreso Proyectado'!$P84)+0)),0)</f>
        <v>0</v>
      </c>
      <c r="AM84" s="169">
        <f ca="1">+IFERROR(IF(ISNUMBER(OFFSET('EDP Proyectado'!AN84,0,-'Ingreso Proyectado'!$P84))&lt;&gt;0,IF(OFFSET('EDP Proyectado'!AN84,0,-'Ingreso Proyectado'!$P84)+0&lt;=1,0,OFFSET('EDP Proyectado'!AN84,0,-'Ingreso Proyectado'!$P84)+0)),0)</f>
        <v>0</v>
      </c>
      <c r="AN84" s="169">
        <f ca="1">+IFERROR(IF(ISNUMBER(OFFSET('EDP Proyectado'!AO84,0,-'Ingreso Proyectado'!$P84))&lt;&gt;0,IF(OFFSET('EDP Proyectado'!AO84,0,-'Ingreso Proyectado'!$P84)+0&lt;=1,0,OFFSET('EDP Proyectado'!AO84,0,-'Ingreso Proyectado'!$P84)+0)),0)</f>
        <v>0</v>
      </c>
      <c r="AO84" s="169">
        <f ca="1">+IFERROR(IF(ISNUMBER(OFFSET('EDP Proyectado'!AP84,0,-'Ingreso Proyectado'!$P84))&lt;&gt;0,IF(OFFSET('EDP Proyectado'!AP84,0,-'Ingreso Proyectado'!$P84)+0&lt;=1,0,OFFSET('EDP Proyectado'!AP84,0,-'Ingreso Proyectado'!$P84)+0)),0)</f>
        <v>14166.666666666666</v>
      </c>
      <c r="AP84" s="170">
        <f ca="1">+IFERROR(IF(ISNUMBER(OFFSET('EDP Proyectado'!AQ84,0,-'Ingreso Proyectado'!$P84))&lt;&gt;0,IF(OFFSET('EDP Proyectado'!AQ84,0,-'Ingreso Proyectado'!$P84)+0&lt;=1,0,OFFSET('EDP Proyectado'!AQ84,0,-'Ingreso Proyectado'!$P84)+0)),0)</f>
        <v>14166.666666666666</v>
      </c>
    </row>
    <row r="85" spans="3:42" x14ac:dyDescent="0.2">
      <c r="C85" s="144">
        <f>+'Gantt Proyectos'!C153</f>
        <v>57</v>
      </c>
      <c r="D85" s="145" t="str">
        <f>+'Gantt Proyectos'!D153</f>
        <v xml:space="preserve">Actualziación LOM </v>
      </c>
      <c r="E85" s="145" t="str">
        <f>+'Gantt Proyectos'!E153</f>
        <v>LHG</v>
      </c>
      <c r="F85" s="147" t="str">
        <f>+'Gantt Proyectos'!F153</f>
        <v>Brasil</v>
      </c>
      <c r="G85" s="145" t="str">
        <f>+'Gantt Proyectos'!G153</f>
        <v>Chile</v>
      </c>
      <c r="H85" s="145">
        <f>+'Gantt Proyectos'!H153</f>
        <v>0</v>
      </c>
      <c r="I85" s="189">
        <v>1</v>
      </c>
      <c r="J85" s="189">
        <f t="shared" si="6"/>
        <v>0</v>
      </c>
      <c r="K85" s="145">
        <f>+'Gantt Proyectos'!I153</f>
        <v>0</v>
      </c>
      <c r="L85" s="120">
        <f>+'Gantt Proyectos'!J153</f>
        <v>1</v>
      </c>
      <c r="M85" s="145">
        <f>+'Gantt Proyectos'!K153</f>
        <v>0</v>
      </c>
      <c r="N85" s="145">
        <f>+'Gantt Proyectos'!L153</f>
        <v>145000</v>
      </c>
      <c r="O85" s="145">
        <f>+'Gantt Proyectos'!M153</f>
        <v>145000</v>
      </c>
      <c r="P85" s="145">
        <f>+'Gantt Proyectos'!N153</f>
        <v>2</v>
      </c>
      <c r="Q85" s="119">
        <f>+'Gantt Proyectos'!O153</f>
        <v>45839</v>
      </c>
      <c r="R85" s="119">
        <f>+'Gantt Proyectos'!P153</f>
        <v>45930</v>
      </c>
      <c r="S85" s="145" t="str">
        <f>+'Gantt Proyectos'!R153</f>
        <v>No</v>
      </c>
      <c r="T85" s="118">
        <f>+'Gantt Proyectos'!S153</f>
        <v>0</v>
      </c>
      <c r="U85" s="156">
        <f>+'Gantt Proyectos'!T153</f>
        <v>45839</v>
      </c>
      <c r="V85" s="156">
        <f>+'Gantt Proyectos'!U153</f>
        <v>45930</v>
      </c>
      <c r="W85" s="201">
        <f t="shared" si="7"/>
        <v>3</v>
      </c>
      <c r="X85" s="121">
        <f>+'Gantt Proyectos'!W153</f>
        <v>0.57628635346756141</v>
      </c>
      <c r="Y85" s="122">
        <f>+'Gantt Proyectos'!X153</f>
        <v>0</v>
      </c>
      <c r="Z85" s="122">
        <f>+'Gantt Proyectos'!Y153</f>
        <v>0</v>
      </c>
      <c r="AA85" s="122">
        <f>+'Gantt Proyectos'!Z153</f>
        <v>0</v>
      </c>
      <c r="AB85" s="122">
        <f>+'Gantt Proyectos'!AA153</f>
        <v>0</v>
      </c>
      <c r="AC85" s="122">
        <f>+'Gantt Proyectos'!AB153</f>
        <v>0</v>
      </c>
      <c r="AD85" s="123" t="str">
        <f>+'Gantt Proyectos'!AC153</f>
        <v>Estudio Conceptual / LOM</v>
      </c>
      <c r="AE85" s="123" t="str">
        <f>+'Gantt Proyectos'!AD153</f>
        <v>No Asignado</v>
      </c>
      <c r="AF85" s="124" t="str">
        <f>+'Gantt Proyectos'!AE153</f>
        <v>1. Proyectado: No  Asignado</v>
      </c>
      <c r="AG85" s="172">
        <v>1</v>
      </c>
      <c r="AH85" s="169">
        <f ca="1">+IFERROR(IF(ISNUMBER(OFFSET('EDP Proyectado'!AI85,0,-'Ingreso Proyectado'!$P85))&lt;&gt;0,IF(OFFSET('EDP Proyectado'!AI85,0,-'Ingreso Proyectado'!$P85)+0&lt;=1,0,OFFSET('EDP Proyectado'!AI85,0,-'Ingreso Proyectado'!$P85)+0)),0)</f>
        <v>0</v>
      </c>
      <c r="AI85" s="169">
        <f ca="1">+IFERROR(IF(ISNUMBER(OFFSET('EDP Proyectado'!AJ85,0,-'Ingreso Proyectado'!$P85))&lt;&gt;0,IF(OFFSET('EDP Proyectado'!AJ85,0,-'Ingreso Proyectado'!$P85)+0&lt;=1,0,OFFSET('EDP Proyectado'!AJ85,0,-'Ingreso Proyectado'!$P85)+0)),0)</f>
        <v>0</v>
      </c>
      <c r="AJ85" s="169">
        <f ca="1">+IFERROR(IF(ISNUMBER(OFFSET('EDP Proyectado'!AK85,0,-'Ingreso Proyectado'!$P85))&lt;&gt;0,IF(OFFSET('EDP Proyectado'!AK85,0,-'Ingreso Proyectado'!$P85)+0&lt;=1,0,OFFSET('EDP Proyectado'!AK85,0,-'Ingreso Proyectado'!$P85)+0)),0)</f>
        <v>0</v>
      </c>
      <c r="AK85" s="169">
        <f ca="1">+IFERROR(IF(ISNUMBER(OFFSET('EDP Proyectado'!AL85,0,-'Ingreso Proyectado'!$P85))&lt;&gt;0,IF(OFFSET('EDP Proyectado'!AL85,0,-'Ingreso Proyectado'!$P85)+0&lt;=1,0,OFFSET('EDP Proyectado'!AL85,0,-'Ingreso Proyectado'!$P85)+0)),0)</f>
        <v>0</v>
      </c>
      <c r="AL85" s="169">
        <f ca="1">+IFERROR(IF(ISNUMBER(OFFSET('EDP Proyectado'!AM85,0,-'Ingreso Proyectado'!$P85))&lt;&gt;0,IF(OFFSET('EDP Proyectado'!AM85,0,-'Ingreso Proyectado'!$P85)+0&lt;=1,0,OFFSET('EDP Proyectado'!AM85,0,-'Ingreso Proyectado'!$P85)+0)),0)</f>
        <v>0</v>
      </c>
      <c r="AM85" s="169">
        <f ca="1">+IFERROR(IF(ISNUMBER(OFFSET('EDP Proyectado'!AN85,0,-'Ingreso Proyectado'!$P85))&lt;&gt;0,IF(OFFSET('EDP Proyectado'!AN85,0,-'Ingreso Proyectado'!$P85)+0&lt;=1,0,OFFSET('EDP Proyectado'!AN85,0,-'Ingreso Proyectado'!$P85)+0)),0)</f>
        <v>38666.666666666664</v>
      </c>
      <c r="AN85" s="169">
        <f ca="1">+IFERROR(IF(ISNUMBER(OFFSET('EDP Proyectado'!AO85,0,-'Ingreso Proyectado'!$P85))&lt;&gt;0,IF(OFFSET('EDP Proyectado'!AO85,0,-'Ingreso Proyectado'!$P85)+0&lt;=1,0,OFFSET('EDP Proyectado'!AO85,0,-'Ingreso Proyectado'!$P85)+0)),0)</f>
        <v>38666.666666666664</v>
      </c>
      <c r="AO85" s="169">
        <f ca="1">+IFERROR(IF(ISNUMBER(OFFSET('EDP Proyectado'!AP85,0,-'Ingreso Proyectado'!$P85))&lt;&gt;0,IF(OFFSET('EDP Proyectado'!AP85,0,-'Ingreso Proyectado'!$P85)+0&lt;=1,0,OFFSET('EDP Proyectado'!AP85,0,-'Ingreso Proyectado'!$P85)+0)),0)</f>
        <v>38666.666666666664</v>
      </c>
      <c r="AP85" s="170">
        <f ca="1">+IFERROR(IF(ISNUMBER(OFFSET('EDP Proyectado'!AQ85,0,-'Ingreso Proyectado'!$P85))&lt;&gt;0,IF(OFFSET('EDP Proyectado'!AQ85,0,-'Ingreso Proyectado'!$P85)+0&lt;=1,0,OFFSET('EDP Proyectado'!AQ85,0,-'Ingreso Proyectado'!$P85)+0)),0)</f>
        <v>0</v>
      </c>
    </row>
    <row r="86" spans="3:42" x14ac:dyDescent="0.2">
      <c r="C86" s="144">
        <f>+'Gantt Proyectos'!C154</f>
        <v>58</v>
      </c>
      <c r="D86" s="145" t="str">
        <f>+'Gantt Proyectos'!D154</f>
        <v>Alpayana Estudio de Sismicidad</v>
      </c>
      <c r="E86" s="145" t="str">
        <f>+'Gantt Proyectos'!E154</f>
        <v>Alpayana</v>
      </c>
      <c r="F86" s="147" t="str">
        <f>+'Gantt Proyectos'!F154</f>
        <v>Perú</v>
      </c>
      <c r="G86" s="145" t="str">
        <f>+'Gantt Proyectos'!G154</f>
        <v>Chile</v>
      </c>
      <c r="H86" s="145">
        <f>+'Gantt Proyectos'!H154</f>
        <v>0</v>
      </c>
      <c r="I86" s="189">
        <v>1</v>
      </c>
      <c r="J86" s="189">
        <f t="shared" si="6"/>
        <v>0</v>
      </c>
      <c r="K86" s="145">
        <f>+'Gantt Proyectos'!I154</f>
        <v>0</v>
      </c>
      <c r="L86" s="120">
        <f>+'Gantt Proyectos'!J154</f>
        <v>1</v>
      </c>
      <c r="M86" s="145">
        <f>+'Gantt Proyectos'!K154</f>
        <v>0</v>
      </c>
      <c r="N86" s="145">
        <f>+'Gantt Proyectos'!L154</f>
        <v>197494</v>
      </c>
      <c r="O86" s="145">
        <f>+'Gantt Proyectos'!M154</f>
        <v>197494</v>
      </c>
      <c r="P86" s="145">
        <f>+'Gantt Proyectos'!N154</f>
        <v>2</v>
      </c>
      <c r="Q86" s="119">
        <f>+'Gantt Proyectos'!O154</f>
        <v>45823</v>
      </c>
      <c r="R86" s="119">
        <f>+'Gantt Proyectos'!P154</f>
        <v>45975</v>
      </c>
      <c r="S86" s="145" t="str">
        <f>+'Gantt Proyectos'!R154</f>
        <v>No</v>
      </c>
      <c r="T86" s="118">
        <f>+'Gantt Proyectos'!S154</f>
        <v>0</v>
      </c>
      <c r="U86" s="156">
        <f>+'Gantt Proyectos'!T154</f>
        <v>45823</v>
      </c>
      <c r="V86" s="156">
        <f>+'Gantt Proyectos'!U154</f>
        <v>45975</v>
      </c>
      <c r="W86" s="201">
        <f t="shared" si="7"/>
        <v>5</v>
      </c>
      <c r="X86" s="121">
        <f>+'Gantt Proyectos'!W154</f>
        <v>0.72035794183445179</v>
      </c>
      <c r="Y86" s="122">
        <f>+'Gantt Proyectos'!X154</f>
        <v>0</v>
      </c>
      <c r="Z86" s="122">
        <f>+'Gantt Proyectos'!Y154</f>
        <v>0</v>
      </c>
      <c r="AA86" s="122">
        <f>+'Gantt Proyectos'!Z154</f>
        <v>0</v>
      </c>
      <c r="AB86" s="122">
        <f>+'Gantt Proyectos'!AA154</f>
        <v>0</v>
      </c>
      <c r="AC86" s="122">
        <f>+'Gantt Proyectos'!AB154</f>
        <v>0</v>
      </c>
      <c r="AD86" s="123" t="str">
        <f>+'Gantt Proyectos'!AC154</f>
        <v>Estudio Conceptual / LOM</v>
      </c>
      <c r="AE86" s="123" t="str">
        <f>+'Gantt Proyectos'!AD154</f>
        <v>Asignado</v>
      </c>
      <c r="AF86" s="124" t="str">
        <f>+'Gantt Proyectos'!AE154</f>
        <v>1. Proyectado: Asignado</v>
      </c>
      <c r="AG86" s="172">
        <v>1</v>
      </c>
      <c r="AH86" s="169">
        <f ca="1">+IFERROR(IF(ISNUMBER(OFFSET('EDP Proyectado'!AI86,0,-'Ingreso Proyectado'!$P86))&lt;&gt;0,IF(OFFSET('EDP Proyectado'!AI86,0,-'Ingreso Proyectado'!$P86)+0&lt;=1,0,OFFSET('EDP Proyectado'!AI86,0,-'Ingreso Proyectado'!$P86)+0)),0)</f>
        <v>0</v>
      </c>
      <c r="AI86" s="169">
        <f ca="1">+IFERROR(IF(ISNUMBER(OFFSET('EDP Proyectado'!AJ86,0,-'Ingreso Proyectado'!$P86))&lt;&gt;0,IF(OFFSET('EDP Proyectado'!AJ86,0,-'Ingreso Proyectado'!$P86)+0&lt;=1,0,OFFSET('EDP Proyectado'!AJ86,0,-'Ingreso Proyectado'!$P86)+0)),0)</f>
        <v>0</v>
      </c>
      <c r="AJ86" s="169">
        <f ca="1">+IFERROR(IF(ISNUMBER(OFFSET('EDP Proyectado'!AK86,0,-'Ingreso Proyectado'!$P86))&lt;&gt;0,IF(OFFSET('EDP Proyectado'!AK86,0,-'Ingreso Proyectado'!$P86)+0&lt;=1,0,OFFSET('EDP Proyectado'!AK86,0,-'Ingreso Proyectado'!$P86)+0)),0)</f>
        <v>0</v>
      </c>
      <c r="AK86" s="169">
        <f ca="1">+IFERROR(IF(ISNUMBER(OFFSET('EDP Proyectado'!AL86,0,-'Ingreso Proyectado'!$P86))&lt;&gt;0,IF(OFFSET('EDP Proyectado'!AL86,0,-'Ingreso Proyectado'!$P86)+0&lt;=1,0,OFFSET('EDP Proyectado'!AL86,0,-'Ingreso Proyectado'!$P86)+0)),0)</f>
        <v>0</v>
      </c>
      <c r="AL86" s="169">
        <f ca="1">+IFERROR(IF(ISNUMBER(OFFSET('EDP Proyectado'!AM86,0,-'Ingreso Proyectado'!$P86))&lt;&gt;0,IF(OFFSET('EDP Proyectado'!AM86,0,-'Ingreso Proyectado'!$P86)+0&lt;=1,0,OFFSET('EDP Proyectado'!AM86,0,-'Ingreso Proyectado'!$P86)+0)),0)</f>
        <v>39498.800000000003</v>
      </c>
      <c r="AM86" s="169">
        <f ca="1">+IFERROR(IF(ISNUMBER(OFFSET('EDP Proyectado'!AN86,0,-'Ingreso Proyectado'!$P86))&lt;&gt;0,IF(OFFSET('EDP Proyectado'!AN86,0,-'Ingreso Proyectado'!$P86)+0&lt;=1,0,OFFSET('EDP Proyectado'!AN86,0,-'Ingreso Proyectado'!$P86)+0)),0)</f>
        <v>39498.800000000003</v>
      </c>
      <c r="AN86" s="169">
        <f ca="1">+IFERROR(IF(ISNUMBER(OFFSET('EDP Proyectado'!AO86,0,-'Ingreso Proyectado'!$P86))&lt;&gt;0,IF(OFFSET('EDP Proyectado'!AO86,0,-'Ingreso Proyectado'!$P86)+0&lt;=1,0,OFFSET('EDP Proyectado'!AO86,0,-'Ingreso Proyectado'!$P86)+0)),0)</f>
        <v>39498.800000000003</v>
      </c>
      <c r="AO86" s="169">
        <f ca="1">+IFERROR(IF(ISNUMBER(OFFSET('EDP Proyectado'!AP86,0,-'Ingreso Proyectado'!$P86))&lt;&gt;0,IF(OFFSET('EDP Proyectado'!AP86,0,-'Ingreso Proyectado'!$P86)+0&lt;=1,0,OFFSET('EDP Proyectado'!AP86,0,-'Ingreso Proyectado'!$P86)+0)),0)</f>
        <v>39498.800000000003</v>
      </c>
      <c r="AP86" s="170">
        <f ca="1">+IFERROR(IF(ISNUMBER(OFFSET('EDP Proyectado'!AQ86,0,-'Ingreso Proyectado'!$P86))&lt;&gt;0,IF(OFFSET('EDP Proyectado'!AQ86,0,-'Ingreso Proyectado'!$P86)+0&lt;=1,0,OFFSET('EDP Proyectado'!AQ86,0,-'Ingreso Proyectado'!$P86)+0)),0)</f>
        <v>39498.800000000003</v>
      </c>
    </row>
    <row r="87" spans="3:42" x14ac:dyDescent="0.2">
      <c r="C87" s="144">
        <f>+'Gantt Proyectos'!C155</f>
        <v>59</v>
      </c>
      <c r="D87" s="145" t="str">
        <f>+'Gantt Proyectos'!D155</f>
        <v>Vale Gongo Soco</v>
      </c>
      <c r="E87" s="145" t="str">
        <f>+'Gantt Proyectos'!E155</f>
        <v>Vale</v>
      </c>
      <c r="F87" s="147" t="str">
        <f>+'Gantt Proyectos'!F155</f>
        <v>Brasil</v>
      </c>
      <c r="G87" s="145" t="str">
        <f>+'Gantt Proyectos'!G155</f>
        <v>Chile</v>
      </c>
      <c r="H87" s="145">
        <f>+'Gantt Proyectos'!H155</f>
        <v>0</v>
      </c>
      <c r="I87" s="189">
        <v>1</v>
      </c>
      <c r="J87" s="189">
        <f t="shared" si="6"/>
        <v>0</v>
      </c>
      <c r="K87" s="145">
        <f>+'Gantt Proyectos'!I155</f>
        <v>0</v>
      </c>
      <c r="L87" s="120">
        <f>+'Gantt Proyectos'!J155</f>
        <v>1</v>
      </c>
      <c r="M87" s="145">
        <f>+'Gantt Proyectos'!K155</f>
        <v>0</v>
      </c>
      <c r="N87" s="145">
        <f>+'Gantt Proyectos'!L155</f>
        <v>475000</v>
      </c>
      <c r="O87" s="145">
        <f>+'Gantt Proyectos'!M155</f>
        <v>475000</v>
      </c>
      <c r="P87" s="145">
        <f>+'Gantt Proyectos'!N155</f>
        <v>1</v>
      </c>
      <c r="Q87" s="119">
        <f>+'Gantt Proyectos'!O155</f>
        <v>45870</v>
      </c>
      <c r="R87" s="119">
        <f>+'Gantt Proyectos'!P155</f>
        <v>45991</v>
      </c>
      <c r="S87" s="145" t="str">
        <f>+'Gantt Proyectos'!R155</f>
        <v>No</v>
      </c>
      <c r="T87" s="118">
        <f>+'Gantt Proyectos'!S155</f>
        <v>0</v>
      </c>
      <c r="U87" s="156">
        <f>+'Gantt Proyectos'!T155</f>
        <v>45870</v>
      </c>
      <c r="V87" s="156">
        <f>+'Gantt Proyectos'!U155</f>
        <v>45991</v>
      </c>
      <c r="W87" s="201">
        <f t="shared" si="7"/>
        <v>4</v>
      </c>
      <c r="X87" s="121">
        <f>+'Gantt Proyectos'!W155</f>
        <v>0.72371364653243841</v>
      </c>
      <c r="Y87" s="122">
        <f>+'Gantt Proyectos'!X155</f>
        <v>0</v>
      </c>
      <c r="Z87" s="122">
        <f>+'Gantt Proyectos'!Y155</f>
        <v>0</v>
      </c>
      <c r="AA87" s="122">
        <f>+'Gantt Proyectos'!Z155</f>
        <v>0</v>
      </c>
      <c r="AB87" s="122">
        <f>+'Gantt Proyectos'!AA155</f>
        <v>0</v>
      </c>
      <c r="AC87" s="122">
        <f>+'Gantt Proyectos'!AB155</f>
        <v>0</v>
      </c>
      <c r="AD87" s="123" t="str">
        <f>+'Gantt Proyectos'!AC155</f>
        <v>Scoping</v>
      </c>
      <c r="AE87" s="123" t="str">
        <f>+'Gantt Proyectos'!AD155</f>
        <v>No Asignado</v>
      </c>
      <c r="AF87" s="124" t="str">
        <f>+'Gantt Proyectos'!AE155</f>
        <v>1. Proyectado: No  Asignado</v>
      </c>
      <c r="AG87" s="172">
        <v>1</v>
      </c>
      <c r="AH87" s="169">
        <f ca="1">+IFERROR(IF(ISNUMBER(OFFSET('EDP Proyectado'!AI87,0,-'Ingreso Proyectado'!$P87))&lt;&gt;0,IF(OFFSET('EDP Proyectado'!AI87,0,-'Ingreso Proyectado'!$P87)+0&lt;=1,0,OFFSET('EDP Proyectado'!AI87,0,-'Ingreso Proyectado'!$P87)+0)),0)</f>
        <v>0</v>
      </c>
      <c r="AI87" s="169">
        <f ca="1">+IFERROR(IF(ISNUMBER(OFFSET('EDP Proyectado'!AJ87,0,-'Ingreso Proyectado'!$P87))&lt;&gt;0,IF(OFFSET('EDP Proyectado'!AJ87,0,-'Ingreso Proyectado'!$P87)+0&lt;=1,0,OFFSET('EDP Proyectado'!AJ87,0,-'Ingreso Proyectado'!$P87)+0)),0)</f>
        <v>0</v>
      </c>
      <c r="AJ87" s="169">
        <f ca="1">+IFERROR(IF(ISNUMBER(OFFSET('EDP Proyectado'!AK87,0,-'Ingreso Proyectado'!$P87))&lt;&gt;0,IF(OFFSET('EDP Proyectado'!AK87,0,-'Ingreso Proyectado'!$P87)+0&lt;=1,0,OFFSET('EDP Proyectado'!AK87,0,-'Ingreso Proyectado'!$P87)+0)),0)</f>
        <v>0</v>
      </c>
      <c r="AK87" s="169">
        <f ca="1">+IFERROR(IF(ISNUMBER(OFFSET('EDP Proyectado'!AL87,0,-'Ingreso Proyectado'!$P87))&lt;&gt;0,IF(OFFSET('EDP Proyectado'!AL87,0,-'Ingreso Proyectado'!$P87)+0&lt;=1,0,OFFSET('EDP Proyectado'!AL87,0,-'Ingreso Proyectado'!$P87)+0)),0)</f>
        <v>0</v>
      </c>
      <c r="AL87" s="169">
        <f ca="1">+IFERROR(IF(ISNUMBER(OFFSET('EDP Proyectado'!AM87,0,-'Ingreso Proyectado'!$P87))&lt;&gt;0,IF(OFFSET('EDP Proyectado'!AM87,0,-'Ingreso Proyectado'!$P87)+0&lt;=1,0,OFFSET('EDP Proyectado'!AM87,0,-'Ingreso Proyectado'!$P87)+0)),0)</f>
        <v>0</v>
      </c>
      <c r="AM87" s="169">
        <f ca="1">+IFERROR(IF(ISNUMBER(OFFSET('EDP Proyectado'!AN87,0,-'Ingreso Proyectado'!$P87))&lt;&gt;0,IF(OFFSET('EDP Proyectado'!AN87,0,-'Ingreso Proyectado'!$P87)+0&lt;=1,0,OFFSET('EDP Proyectado'!AN87,0,-'Ingreso Proyectado'!$P87)+0)),0)</f>
        <v>59375</v>
      </c>
      <c r="AN87" s="169">
        <f ca="1">+IFERROR(IF(ISNUMBER(OFFSET('EDP Proyectado'!AO87,0,-'Ingreso Proyectado'!$P87))&lt;&gt;0,IF(OFFSET('EDP Proyectado'!AO87,0,-'Ingreso Proyectado'!$P87)+0&lt;=1,0,OFFSET('EDP Proyectado'!AO87,0,-'Ingreso Proyectado'!$P87)+0)),0)</f>
        <v>59375</v>
      </c>
      <c r="AO87" s="169">
        <f ca="1">+IFERROR(IF(ISNUMBER(OFFSET('EDP Proyectado'!AP87,0,-'Ingreso Proyectado'!$P87))&lt;&gt;0,IF(OFFSET('EDP Proyectado'!AP87,0,-'Ingreso Proyectado'!$P87)+0&lt;=1,0,OFFSET('EDP Proyectado'!AP87,0,-'Ingreso Proyectado'!$P87)+0)),0)</f>
        <v>59375</v>
      </c>
      <c r="AP87" s="170">
        <f ca="1">+IFERROR(IF(ISNUMBER(OFFSET('EDP Proyectado'!AQ87,0,-'Ingreso Proyectado'!$P87))&lt;&gt;0,IF(OFFSET('EDP Proyectado'!AQ87,0,-'Ingreso Proyectado'!$P87)+0&lt;=1,0,OFFSET('EDP Proyectado'!AQ87,0,-'Ingreso Proyectado'!$P87)+0)),0)</f>
        <v>59375</v>
      </c>
    </row>
    <row r="88" spans="3:42" x14ac:dyDescent="0.2">
      <c r="C88" s="144">
        <f>+'Gantt Proyectos'!C156</f>
        <v>60</v>
      </c>
      <c r="D88" s="145">
        <f>+'Gantt Proyectos'!D156</f>
        <v>0</v>
      </c>
      <c r="E88" s="145">
        <f>+'Gantt Proyectos'!E156</f>
        <v>0</v>
      </c>
      <c r="F88" s="147">
        <f>+'Gantt Proyectos'!F156</f>
        <v>0</v>
      </c>
      <c r="G88" s="145">
        <f>+'Gantt Proyectos'!G156</f>
        <v>0</v>
      </c>
      <c r="H88" s="145">
        <f>+'Gantt Proyectos'!H156</f>
        <v>0</v>
      </c>
      <c r="I88" s="189">
        <v>1</v>
      </c>
      <c r="J88" s="189">
        <f t="shared" si="6"/>
        <v>0</v>
      </c>
      <c r="K88" s="145">
        <f>+'Gantt Proyectos'!I156</f>
        <v>0</v>
      </c>
      <c r="L88" s="120">
        <f>+'Gantt Proyectos'!J156</f>
        <v>0</v>
      </c>
      <c r="M88" s="145">
        <f>+'Gantt Proyectos'!K156</f>
        <v>0</v>
      </c>
      <c r="N88" s="145">
        <f>+'Gantt Proyectos'!L156</f>
        <v>0</v>
      </c>
      <c r="O88" s="145">
        <f>+'Gantt Proyectos'!M156</f>
        <v>0</v>
      </c>
      <c r="P88" s="145">
        <f>+'Gantt Proyectos'!N156</f>
        <v>0</v>
      </c>
      <c r="Q88" s="119">
        <f>+'Gantt Proyectos'!O156</f>
        <v>0</v>
      </c>
      <c r="R88" s="119">
        <f>+'Gantt Proyectos'!P156</f>
        <v>0</v>
      </c>
      <c r="S88" s="145">
        <f>+'Gantt Proyectos'!R156</f>
        <v>0</v>
      </c>
      <c r="T88" s="118">
        <f>+'Gantt Proyectos'!S156</f>
        <v>0</v>
      </c>
      <c r="U88" s="156">
        <f>+'Gantt Proyectos'!T156</f>
        <v>0</v>
      </c>
      <c r="V88" s="156">
        <f>+'Gantt Proyectos'!U156</f>
        <v>0</v>
      </c>
      <c r="W88" s="201">
        <f t="shared" si="7"/>
        <v>0</v>
      </c>
      <c r="X88" s="121">
        <f>+'Gantt Proyectos'!W156</f>
        <v>0</v>
      </c>
      <c r="Y88" s="122">
        <f>+'Gantt Proyectos'!X156</f>
        <v>0</v>
      </c>
      <c r="Z88" s="122">
        <f>+'Gantt Proyectos'!Y156</f>
        <v>0</v>
      </c>
      <c r="AA88" s="122">
        <f>+'Gantt Proyectos'!Z156</f>
        <v>0</v>
      </c>
      <c r="AB88" s="122">
        <f>+'Gantt Proyectos'!AA156</f>
        <v>0</v>
      </c>
      <c r="AC88" s="122">
        <f>+'Gantt Proyectos'!AB156</f>
        <v>0</v>
      </c>
      <c r="AD88" s="123">
        <f>+'Gantt Proyectos'!AC156</f>
        <v>0</v>
      </c>
      <c r="AE88" s="123">
        <f>+'Gantt Proyectos'!AD156</f>
        <v>0</v>
      </c>
      <c r="AF88" s="124">
        <f>+'Gantt Proyectos'!AE156</f>
        <v>0</v>
      </c>
      <c r="AG88" s="172">
        <v>1</v>
      </c>
      <c r="AH88" s="169">
        <f ca="1">+IFERROR(IF(ISNUMBER(OFFSET('EDP Proyectado'!AI88,0,-'Ingreso Proyectado'!$P88))&lt;&gt;0,IF(OFFSET('EDP Proyectado'!AI88,0,-'Ingreso Proyectado'!$P88)+0&lt;=1,0,OFFSET('EDP Proyectado'!AI88,0,-'Ingreso Proyectado'!$P88)+0)),0)</f>
        <v>0</v>
      </c>
      <c r="AI88" s="169">
        <f ca="1">+IFERROR(IF(ISNUMBER(OFFSET('EDP Proyectado'!AJ88,0,-'Ingreso Proyectado'!$P88))&lt;&gt;0,IF(OFFSET('EDP Proyectado'!AJ88,0,-'Ingreso Proyectado'!$P88)+0&lt;=1,0,OFFSET('EDP Proyectado'!AJ88,0,-'Ingreso Proyectado'!$P88)+0)),0)</f>
        <v>0</v>
      </c>
      <c r="AJ88" s="169">
        <f ca="1">+IFERROR(IF(ISNUMBER(OFFSET('EDP Proyectado'!AK88,0,-'Ingreso Proyectado'!$P88))&lt;&gt;0,IF(OFFSET('EDP Proyectado'!AK88,0,-'Ingreso Proyectado'!$P88)+0&lt;=1,0,OFFSET('EDP Proyectado'!AK88,0,-'Ingreso Proyectado'!$P88)+0)),0)</f>
        <v>0</v>
      </c>
      <c r="AK88" s="169">
        <f ca="1">+IFERROR(IF(ISNUMBER(OFFSET('EDP Proyectado'!AL88,0,-'Ingreso Proyectado'!$P88))&lt;&gt;0,IF(OFFSET('EDP Proyectado'!AL88,0,-'Ingreso Proyectado'!$P88)+0&lt;=1,0,OFFSET('EDP Proyectado'!AL88,0,-'Ingreso Proyectado'!$P88)+0)),0)</f>
        <v>0</v>
      </c>
      <c r="AL88" s="169">
        <f ca="1">+IFERROR(IF(ISNUMBER(OFFSET('EDP Proyectado'!AM88,0,-'Ingreso Proyectado'!$P88))&lt;&gt;0,IF(OFFSET('EDP Proyectado'!AM88,0,-'Ingreso Proyectado'!$P88)+0&lt;=1,0,OFFSET('EDP Proyectado'!AM88,0,-'Ingreso Proyectado'!$P88)+0)),0)</f>
        <v>0</v>
      </c>
      <c r="AM88" s="169">
        <f ca="1">+IFERROR(IF(ISNUMBER(OFFSET('EDP Proyectado'!AN88,0,-'Ingreso Proyectado'!$P88))&lt;&gt;0,IF(OFFSET('EDP Proyectado'!AN88,0,-'Ingreso Proyectado'!$P88)+0&lt;=1,0,OFFSET('EDP Proyectado'!AN88,0,-'Ingreso Proyectado'!$P88)+0)),0)</f>
        <v>0</v>
      </c>
      <c r="AN88" s="169">
        <f ca="1">+IFERROR(IF(ISNUMBER(OFFSET('EDP Proyectado'!AO88,0,-'Ingreso Proyectado'!$P88))&lt;&gt;0,IF(OFFSET('EDP Proyectado'!AO88,0,-'Ingreso Proyectado'!$P88)+0&lt;=1,0,OFFSET('EDP Proyectado'!AO88,0,-'Ingreso Proyectado'!$P88)+0)),0)</f>
        <v>0</v>
      </c>
      <c r="AO88" s="169">
        <f ca="1">+IFERROR(IF(ISNUMBER(OFFSET('EDP Proyectado'!AP88,0,-'Ingreso Proyectado'!$P88))&lt;&gt;0,IF(OFFSET('EDP Proyectado'!AP88,0,-'Ingreso Proyectado'!$P88)+0&lt;=1,0,OFFSET('EDP Proyectado'!AP88,0,-'Ingreso Proyectado'!$P88)+0)),0)</f>
        <v>0</v>
      </c>
      <c r="AP88" s="170">
        <f ca="1">+IFERROR(IF(ISNUMBER(OFFSET('EDP Proyectado'!AQ88,0,-'Ingreso Proyectado'!$P88))&lt;&gt;0,IF(OFFSET('EDP Proyectado'!AQ88,0,-'Ingreso Proyectado'!$P88)+0&lt;=1,0,OFFSET('EDP Proyectado'!AQ88,0,-'Ingreso Proyectado'!$P88)+0)),0)</f>
        <v>0</v>
      </c>
    </row>
    <row r="89" spans="3:42" x14ac:dyDescent="0.2">
      <c r="C89" s="144">
        <f>+'Gantt Proyectos'!C157</f>
        <v>61</v>
      </c>
      <c r="D89" s="145">
        <f>+'Gantt Proyectos'!D157</f>
        <v>0</v>
      </c>
      <c r="E89" s="145">
        <f>+'Gantt Proyectos'!E157</f>
        <v>0</v>
      </c>
      <c r="F89" s="147">
        <f>+'Gantt Proyectos'!F157</f>
        <v>0</v>
      </c>
      <c r="G89" s="145">
        <f>+'Gantt Proyectos'!G157</f>
        <v>0</v>
      </c>
      <c r="H89" s="145">
        <f>+'Gantt Proyectos'!H157</f>
        <v>0</v>
      </c>
      <c r="I89" s="189">
        <v>1</v>
      </c>
      <c r="J89" s="189">
        <f t="shared" si="6"/>
        <v>0</v>
      </c>
      <c r="K89" s="145">
        <f>+'Gantt Proyectos'!I157</f>
        <v>0</v>
      </c>
      <c r="L89" s="120">
        <f>+'Gantt Proyectos'!J157</f>
        <v>0</v>
      </c>
      <c r="M89" s="145">
        <f>+'Gantt Proyectos'!K157</f>
        <v>0</v>
      </c>
      <c r="N89" s="145">
        <f>+'Gantt Proyectos'!L157</f>
        <v>0</v>
      </c>
      <c r="O89" s="145">
        <f>+'Gantt Proyectos'!M157</f>
        <v>0</v>
      </c>
      <c r="P89" s="145">
        <f>+'Gantt Proyectos'!N157</f>
        <v>0</v>
      </c>
      <c r="Q89" s="119">
        <f>+'Gantt Proyectos'!O157</f>
        <v>0</v>
      </c>
      <c r="R89" s="119">
        <f>+'Gantt Proyectos'!P157</f>
        <v>0</v>
      </c>
      <c r="S89" s="145">
        <f>+'Gantt Proyectos'!R157</f>
        <v>0</v>
      </c>
      <c r="T89" s="118">
        <f>+'Gantt Proyectos'!S157</f>
        <v>0</v>
      </c>
      <c r="U89" s="156">
        <f>+'Gantt Proyectos'!T157</f>
        <v>0</v>
      </c>
      <c r="V89" s="156">
        <f>+'Gantt Proyectos'!U157</f>
        <v>0</v>
      </c>
      <c r="W89" s="201">
        <f t="shared" si="7"/>
        <v>0</v>
      </c>
      <c r="X89" s="121">
        <f>+'Gantt Proyectos'!W157</f>
        <v>0</v>
      </c>
      <c r="Y89" s="122">
        <f>+'Gantt Proyectos'!X157</f>
        <v>0</v>
      </c>
      <c r="Z89" s="122">
        <f>+'Gantt Proyectos'!Y157</f>
        <v>0</v>
      </c>
      <c r="AA89" s="122">
        <f>+'Gantt Proyectos'!Z157</f>
        <v>0</v>
      </c>
      <c r="AB89" s="122">
        <f>+'Gantt Proyectos'!AA157</f>
        <v>0</v>
      </c>
      <c r="AC89" s="122">
        <f>+'Gantt Proyectos'!AB157</f>
        <v>0</v>
      </c>
      <c r="AD89" s="123">
        <f>+'Gantt Proyectos'!AC157</f>
        <v>0</v>
      </c>
      <c r="AE89" s="123">
        <f>+'Gantt Proyectos'!AD157</f>
        <v>0</v>
      </c>
      <c r="AF89" s="124">
        <f>+'Gantt Proyectos'!AE157</f>
        <v>0</v>
      </c>
      <c r="AG89" s="172">
        <v>1</v>
      </c>
      <c r="AH89" s="169">
        <f ca="1">+IFERROR(IF(ISNUMBER(OFFSET('EDP Proyectado'!AI89,0,-'Ingreso Proyectado'!$P89))&lt;&gt;0,IF(OFFSET('EDP Proyectado'!AI89,0,-'Ingreso Proyectado'!$P89)+0&lt;=1,0,OFFSET('EDP Proyectado'!AI89,0,-'Ingreso Proyectado'!$P89)+0)),0)</f>
        <v>0</v>
      </c>
      <c r="AI89" s="169">
        <f ca="1">+IFERROR(IF(ISNUMBER(OFFSET('EDP Proyectado'!AJ89,0,-'Ingreso Proyectado'!$P89))&lt;&gt;0,IF(OFFSET('EDP Proyectado'!AJ89,0,-'Ingreso Proyectado'!$P89)+0&lt;=1,0,OFFSET('EDP Proyectado'!AJ89,0,-'Ingreso Proyectado'!$P89)+0)),0)</f>
        <v>0</v>
      </c>
      <c r="AJ89" s="169">
        <f ca="1">+IFERROR(IF(ISNUMBER(OFFSET('EDP Proyectado'!AK89,0,-'Ingreso Proyectado'!$P89))&lt;&gt;0,IF(OFFSET('EDP Proyectado'!AK89,0,-'Ingreso Proyectado'!$P89)+0&lt;=1,0,OFFSET('EDP Proyectado'!AK89,0,-'Ingreso Proyectado'!$P89)+0)),0)</f>
        <v>0</v>
      </c>
      <c r="AK89" s="169">
        <f ca="1">+IFERROR(IF(ISNUMBER(OFFSET('EDP Proyectado'!AL89,0,-'Ingreso Proyectado'!$P89))&lt;&gt;0,IF(OFFSET('EDP Proyectado'!AL89,0,-'Ingreso Proyectado'!$P89)+0&lt;=1,0,OFFSET('EDP Proyectado'!AL89,0,-'Ingreso Proyectado'!$P89)+0)),0)</f>
        <v>0</v>
      </c>
      <c r="AL89" s="169">
        <f ca="1">+IFERROR(IF(ISNUMBER(OFFSET('EDP Proyectado'!AM89,0,-'Ingreso Proyectado'!$P89))&lt;&gt;0,IF(OFFSET('EDP Proyectado'!AM89,0,-'Ingreso Proyectado'!$P89)+0&lt;=1,0,OFFSET('EDP Proyectado'!AM89,0,-'Ingreso Proyectado'!$P89)+0)),0)</f>
        <v>0</v>
      </c>
      <c r="AM89" s="169">
        <f ca="1">+IFERROR(IF(ISNUMBER(OFFSET('EDP Proyectado'!AN89,0,-'Ingreso Proyectado'!$P89))&lt;&gt;0,IF(OFFSET('EDP Proyectado'!AN89,0,-'Ingreso Proyectado'!$P89)+0&lt;=1,0,OFFSET('EDP Proyectado'!AN89,0,-'Ingreso Proyectado'!$P89)+0)),0)</f>
        <v>0</v>
      </c>
      <c r="AN89" s="169">
        <f ca="1">+IFERROR(IF(ISNUMBER(OFFSET('EDP Proyectado'!AO89,0,-'Ingreso Proyectado'!$P89))&lt;&gt;0,IF(OFFSET('EDP Proyectado'!AO89,0,-'Ingreso Proyectado'!$P89)+0&lt;=1,0,OFFSET('EDP Proyectado'!AO89,0,-'Ingreso Proyectado'!$P89)+0)),0)</f>
        <v>0</v>
      </c>
      <c r="AO89" s="169">
        <f ca="1">+IFERROR(IF(ISNUMBER(OFFSET('EDP Proyectado'!AP89,0,-'Ingreso Proyectado'!$P89))&lt;&gt;0,IF(OFFSET('EDP Proyectado'!AP89,0,-'Ingreso Proyectado'!$P89)+0&lt;=1,0,OFFSET('EDP Proyectado'!AP89,0,-'Ingreso Proyectado'!$P89)+0)),0)</f>
        <v>0</v>
      </c>
      <c r="AP89" s="170">
        <f ca="1">+IFERROR(IF(ISNUMBER(OFFSET('EDP Proyectado'!AQ89,0,-'Ingreso Proyectado'!$P89))&lt;&gt;0,IF(OFFSET('EDP Proyectado'!AQ89,0,-'Ingreso Proyectado'!$P89)+0&lt;=1,0,OFFSET('EDP Proyectado'!AQ89,0,-'Ingreso Proyectado'!$P89)+0)),0)</f>
        <v>0</v>
      </c>
    </row>
    <row r="90" spans="3:42" x14ac:dyDescent="0.2">
      <c r="C90" s="144">
        <f>+'Gantt Proyectos'!C158</f>
        <v>62</v>
      </c>
      <c r="D90" s="145">
        <f>+'Gantt Proyectos'!D158</f>
        <v>0</v>
      </c>
      <c r="E90" s="145">
        <f>+'Gantt Proyectos'!E158</f>
        <v>0</v>
      </c>
      <c r="F90" s="147">
        <f>+'Gantt Proyectos'!F158</f>
        <v>0</v>
      </c>
      <c r="G90" s="145">
        <f>+'Gantt Proyectos'!G158</f>
        <v>0</v>
      </c>
      <c r="H90" s="145">
        <f>+'Gantt Proyectos'!H158</f>
        <v>0</v>
      </c>
      <c r="I90" s="189">
        <v>1</v>
      </c>
      <c r="J90" s="189">
        <f t="shared" si="6"/>
        <v>0</v>
      </c>
      <c r="K90" s="145">
        <f>+'Gantt Proyectos'!I158</f>
        <v>0</v>
      </c>
      <c r="L90" s="120">
        <f>+'Gantt Proyectos'!J158</f>
        <v>0</v>
      </c>
      <c r="M90" s="145">
        <f>+'Gantt Proyectos'!K158</f>
        <v>0</v>
      </c>
      <c r="N90" s="145">
        <f>+'Gantt Proyectos'!L158</f>
        <v>0</v>
      </c>
      <c r="O90" s="145">
        <f>+'Gantt Proyectos'!M158</f>
        <v>0</v>
      </c>
      <c r="P90" s="145">
        <f>+'Gantt Proyectos'!N158</f>
        <v>0</v>
      </c>
      <c r="Q90" s="119">
        <f>+'Gantt Proyectos'!O158</f>
        <v>0</v>
      </c>
      <c r="R90" s="119">
        <f>+'Gantt Proyectos'!P158</f>
        <v>0</v>
      </c>
      <c r="S90" s="145">
        <f>+'Gantt Proyectos'!R158</f>
        <v>0</v>
      </c>
      <c r="T90" s="118">
        <f>+'Gantt Proyectos'!S158</f>
        <v>0</v>
      </c>
      <c r="U90" s="156">
        <f>+'Gantt Proyectos'!T158</f>
        <v>0</v>
      </c>
      <c r="V90" s="156">
        <f>+'Gantt Proyectos'!U158</f>
        <v>0</v>
      </c>
      <c r="W90" s="201">
        <f t="shared" si="7"/>
        <v>0</v>
      </c>
      <c r="X90" s="121">
        <f>+'Gantt Proyectos'!W158</f>
        <v>0</v>
      </c>
      <c r="Y90" s="122">
        <f>+'Gantt Proyectos'!X158</f>
        <v>0</v>
      </c>
      <c r="Z90" s="122">
        <f>+'Gantt Proyectos'!Y158</f>
        <v>0</v>
      </c>
      <c r="AA90" s="122">
        <f>+'Gantt Proyectos'!Z158</f>
        <v>0</v>
      </c>
      <c r="AB90" s="122">
        <f>+'Gantt Proyectos'!AA158</f>
        <v>0</v>
      </c>
      <c r="AC90" s="122">
        <f>+'Gantt Proyectos'!AB158</f>
        <v>0</v>
      </c>
      <c r="AD90" s="123">
        <f>+'Gantt Proyectos'!AC158</f>
        <v>0</v>
      </c>
      <c r="AE90" s="123">
        <f>+'Gantt Proyectos'!AD158</f>
        <v>0</v>
      </c>
      <c r="AF90" s="124">
        <f>+'Gantt Proyectos'!AE158</f>
        <v>0</v>
      </c>
      <c r="AG90" s="172">
        <v>1</v>
      </c>
      <c r="AH90" s="169">
        <f ca="1">+IFERROR(IF(ISNUMBER(OFFSET('EDP Proyectado'!AI90,0,-'Ingreso Proyectado'!$P90))&lt;&gt;0,IF(OFFSET('EDP Proyectado'!AI90,0,-'Ingreso Proyectado'!$P90)+0&lt;=1,0,OFFSET('EDP Proyectado'!AI90,0,-'Ingreso Proyectado'!$P90)+0)),0)</f>
        <v>0</v>
      </c>
      <c r="AI90" s="169">
        <f ca="1">+IFERROR(IF(ISNUMBER(OFFSET('EDP Proyectado'!AJ90,0,-'Ingreso Proyectado'!$P90))&lt;&gt;0,IF(OFFSET('EDP Proyectado'!AJ90,0,-'Ingreso Proyectado'!$P90)+0&lt;=1,0,OFFSET('EDP Proyectado'!AJ90,0,-'Ingreso Proyectado'!$P90)+0)),0)</f>
        <v>0</v>
      </c>
      <c r="AJ90" s="169">
        <f ca="1">+IFERROR(IF(ISNUMBER(OFFSET('EDP Proyectado'!AK90,0,-'Ingreso Proyectado'!$P90))&lt;&gt;0,IF(OFFSET('EDP Proyectado'!AK90,0,-'Ingreso Proyectado'!$P90)+0&lt;=1,0,OFFSET('EDP Proyectado'!AK90,0,-'Ingreso Proyectado'!$P90)+0)),0)</f>
        <v>0</v>
      </c>
      <c r="AK90" s="169">
        <f ca="1">+IFERROR(IF(ISNUMBER(OFFSET('EDP Proyectado'!AL90,0,-'Ingreso Proyectado'!$P90))&lt;&gt;0,IF(OFFSET('EDP Proyectado'!AL90,0,-'Ingreso Proyectado'!$P90)+0&lt;=1,0,OFFSET('EDP Proyectado'!AL90,0,-'Ingreso Proyectado'!$P90)+0)),0)</f>
        <v>0</v>
      </c>
      <c r="AL90" s="169">
        <f ca="1">+IFERROR(IF(ISNUMBER(OFFSET('EDP Proyectado'!AM90,0,-'Ingreso Proyectado'!$P90))&lt;&gt;0,IF(OFFSET('EDP Proyectado'!AM90,0,-'Ingreso Proyectado'!$P90)+0&lt;=1,0,OFFSET('EDP Proyectado'!AM90,0,-'Ingreso Proyectado'!$P90)+0)),0)</f>
        <v>0</v>
      </c>
      <c r="AM90" s="169">
        <f ca="1">+IFERROR(IF(ISNUMBER(OFFSET('EDP Proyectado'!AN90,0,-'Ingreso Proyectado'!$P90))&lt;&gt;0,IF(OFFSET('EDP Proyectado'!AN90,0,-'Ingreso Proyectado'!$P90)+0&lt;=1,0,OFFSET('EDP Proyectado'!AN90,0,-'Ingreso Proyectado'!$P90)+0)),0)</f>
        <v>0</v>
      </c>
      <c r="AN90" s="169">
        <f ca="1">+IFERROR(IF(ISNUMBER(OFFSET('EDP Proyectado'!AO90,0,-'Ingreso Proyectado'!$P90))&lt;&gt;0,IF(OFFSET('EDP Proyectado'!AO90,0,-'Ingreso Proyectado'!$P90)+0&lt;=1,0,OFFSET('EDP Proyectado'!AO90,0,-'Ingreso Proyectado'!$P90)+0)),0)</f>
        <v>0</v>
      </c>
      <c r="AO90" s="169">
        <f ca="1">+IFERROR(IF(ISNUMBER(OFFSET('EDP Proyectado'!AP90,0,-'Ingreso Proyectado'!$P90))&lt;&gt;0,IF(OFFSET('EDP Proyectado'!AP90,0,-'Ingreso Proyectado'!$P90)+0&lt;=1,0,OFFSET('EDP Proyectado'!AP90,0,-'Ingreso Proyectado'!$P90)+0)),0)</f>
        <v>0</v>
      </c>
      <c r="AP90" s="170">
        <f ca="1">+IFERROR(IF(ISNUMBER(OFFSET('EDP Proyectado'!AQ90,0,-'Ingreso Proyectado'!$P90))&lt;&gt;0,IF(OFFSET('EDP Proyectado'!AQ90,0,-'Ingreso Proyectado'!$P90)+0&lt;=1,0,OFFSET('EDP Proyectado'!AQ90,0,-'Ingreso Proyectado'!$P90)+0)),0)</f>
        <v>0</v>
      </c>
    </row>
    <row r="91" spans="3:42" x14ac:dyDescent="0.2">
      <c r="C91" s="144">
        <f>+'Gantt Proyectos'!C159</f>
        <v>63</v>
      </c>
      <c r="D91" s="145">
        <f>+'Gantt Proyectos'!D159</f>
        <v>0</v>
      </c>
      <c r="E91" s="145">
        <f>+'Gantt Proyectos'!E159</f>
        <v>0</v>
      </c>
      <c r="F91" s="147">
        <f>+'Gantt Proyectos'!F159</f>
        <v>0</v>
      </c>
      <c r="G91" s="145">
        <f>+'Gantt Proyectos'!G159</f>
        <v>0</v>
      </c>
      <c r="H91" s="145">
        <f>+'Gantt Proyectos'!H159</f>
        <v>0</v>
      </c>
      <c r="I91" s="189">
        <v>1</v>
      </c>
      <c r="J91" s="189">
        <f t="shared" si="6"/>
        <v>0</v>
      </c>
      <c r="K91" s="145">
        <f>+'Gantt Proyectos'!I159</f>
        <v>0</v>
      </c>
      <c r="L91" s="120">
        <f>+'Gantt Proyectos'!J159</f>
        <v>0</v>
      </c>
      <c r="M91" s="145">
        <f>+'Gantt Proyectos'!K159</f>
        <v>0</v>
      </c>
      <c r="N91" s="145">
        <f>+'Gantt Proyectos'!L159</f>
        <v>0</v>
      </c>
      <c r="O91" s="145">
        <f>+'Gantt Proyectos'!M159</f>
        <v>0</v>
      </c>
      <c r="P91" s="145">
        <f>+'Gantt Proyectos'!N159</f>
        <v>0</v>
      </c>
      <c r="Q91" s="119">
        <f>+'Gantt Proyectos'!O159</f>
        <v>0</v>
      </c>
      <c r="R91" s="119">
        <f>+'Gantt Proyectos'!P159</f>
        <v>0</v>
      </c>
      <c r="S91" s="145">
        <f>+'Gantt Proyectos'!R159</f>
        <v>0</v>
      </c>
      <c r="T91" s="118">
        <f>+'Gantt Proyectos'!S159</f>
        <v>0</v>
      </c>
      <c r="U91" s="156">
        <f>+'Gantt Proyectos'!T159</f>
        <v>0</v>
      </c>
      <c r="V91" s="156">
        <f>+'Gantt Proyectos'!U159</f>
        <v>0</v>
      </c>
      <c r="W91" s="201">
        <f t="shared" si="7"/>
        <v>0</v>
      </c>
      <c r="X91" s="121">
        <f>+'Gantt Proyectos'!W159</f>
        <v>0</v>
      </c>
      <c r="Y91" s="122">
        <f>+'Gantt Proyectos'!X159</f>
        <v>0</v>
      </c>
      <c r="Z91" s="122">
        <f>+'Gantt Proyectos'!Y159</f>
        <v>0</v>
      </c>
      <c r="AA91" s="122">
        <f>+'Gantt Proyectos'!Z159</f>
        <v>0</v>
      </c>
      <c r="AB91" s="122">
        <f>+'Gantt Proyectos'!AA159</f>
        <v>0</v>
      </c>
      <c r="AC91" s="122">
        <f>+'Gantt Proyectos'!AB159</f>
        <v>0</v>
      </c>
      <c r="AD91" s="123">
        <f>+'Gantt Proyectos'!AC159</f>
        <v>0</v>
      </c>
      <c r="AE91" s="123">
        <f>+'Gantt Proyectos'!AD159</f>
        <v>0</v>
      </c>
      <c r="AF91" s="124">
        <f>+'Gantt Proyectos'!AE159</f>
        <v>0</v>
      </c>
      <c r="AG91" s="172">
        <v>1</v>
      </c>
      <c r="AH91" s="169">
        <f ca="1">+IFERROR(IF(ISNUMBER(OFFSET('EDP Proyectado'!AI91,0,-'Ingreso Proyectado'!$P91))&lt;&gt;0,IF(OFFSET('EDP Proyectado'!AI91,0,-'Ingreso Proyectado'!$P91)+0&lt;=1,0,OFFSET('EDP Proyectado'!AI91,0,-'Ingreso Proyectado'!$P91)+0)),0)</f>
        <v>0</v>
      </c>
      <c r="AI91" s="169">
        <f ca="1">+IFERROR(IF(ISNUMBER(OFFSET('EDP Proyectado'!AJ91,0,-'Ingreso Proyectado'!$P91))&lt;&gt;0,IF(OFFSET('EDP Proyectado'!AJ91,0,-'Ingreso Proyectado'!$P91)+0&lt;=1,0,OFFSET('EDP Proyectado'!AJ91,0,-'Ingreso Proyectado'!$P91)+0)),0)</f>
        <v>0</v>
      </c>
      <c r="AJ91" s="169">
        <f ca="1">+IFERROR(IF(ISNUMBER(OFFSET('EDP Proyectado'!AK91,0,-'Ingreso Proyectado'!$P91))&lt;&gt;0,IF(OFFSET('EDP Proyectado'!AK91,0,-'Ingreso Proyectado'!$P91)+0&lt;=1,0,OFFSET('EDP Proyectado'!AK91,0,-'Ingreso Proyectado'!$P91)+0)),0)</f>
        <v>0</v>
      </c>
      <c r="AK91" s="169">
        <f ca="1">+IFERROR(IF(ISNUMBER(OFFSET('EDP Proyectado'!AL91,0,-'Ingreso Proyectado'!$P91))&lt;&gt;0,IF(OFFSET('EDP Proyectado'!AL91,0,-'Ingreso Proyectado'!$P91)+0&lt;=1,0,OFFSET('EDP Proyectado'!AL91,0,-'Ingreso Proyectado'!$P91)+0)),0)</f>
        <v>0</v>
      </c>
      <c r="AL91" s="169">
        <f ca="1">+IFERROR(IF(ISNUMBER(OFFSET('EDP Proyectado'!AM91,0,-'Ingreso Proyectado'!$P91))&lt;&gt;0,IF(OFFSET('EDP Proyectado'!AM91,0,-'Ingreso Proyectado'!$P91)+0&lt;=1,0,OFFSET('EDP Proyectado'!AM91,0,-'Ingreso Proyectado'!$P91)+0)),0)</f>
        <v>0</v>
      </c>
      <c r="AM91" s="169">
        <f ca="1">+IFERROR(IF(ISNUMBER(OFFSET('EDP Proyectado'!AN91,0,-'Ingreso Proyectado'!$P91))&lt;&gt;0,IF(OFFSET('EDP Proyectado'!AN91,0,-'Ingreso Proyectado'!$P91)+0&lt;=1,0,OFFSET('EDP Proyectado'!AN91,0,-'Ingreso Proyectado'!$P91)+0)),0)</f>
        <v>0</v>
      </c>
      <c r="AN91" s="169">
        <f ca="1">+IFERROR(IF(ISNUMBER(OFFSET('EDP Proyectado'!AO91,0,-'Ingreso Proyectado'!$P91))&lt;&gt;0,IF(OFFSET('EDP Proyectado'!AO91,0,-'Ingreso Proyectado'!$P91)+0&lt;=1,0,OFFSET('EDP Proyectado'!AO91,0,-'Ingreso Proyectado'!$P91)+0)),0)</f>
        <v>0</v>
      </c>
      <c r="AO91" s="169">
        <f ca="1">+IFERROR(IF(ISNUMBER(OFFSET('EDP Proyectado'!AP91,0,-'Ingreso Proyectado'!$P91))&lt;&gt;0,IF(OFFSET('EDP Proyectado'!AP91,0,-'Ingreso Proyectado'!$P91)+0&lt;=1,0,OFFSET('EDP Proyectado'!AP91,0,-'Ingreso Proyectado'!$P91)+0)),0)</f>
        <v>0</v>
      </c>
      <c r="AP91" s="170">
        <f ca="1">+IFERROR(IF(ISNUMBER(OFFSET('EDP Proyectado'!AQ91,0,-'Ingreso Proyectado'!$P91))&lt;&gt;0,IF(OFFSET('EDP Proyectado'!AQ91,0,-'Ingreso Proyectado'!$P91)+0&lt;=1,0,OFFSET('EDP Proyectado'!AQ91,0,-'Ingreso Proyectado'!$P91)+0)),0)</f>
        <v>0</v>
      </c>
    </row>
    <row r="92" spans="3:42" x14ac:dyDescent="0.2">
      <c r="C92" s="144">
        <f>+'Gantt Proyectos'!C160</f>
        <v>64</v>
      </c>
      <c r="D92" s="145">
        <f>+'Gantt Proyectos'!D160</f>
        <v>0</v>
      </c>
      <c r="E92" s="145">
        <f>+'Gantt Proyectos'!E160</f>
        <v>0</v>
      </c>
      <c r="F92" s="147">
        <f>+'Gantt Proyectos'!F160</f>
        <v>0</v>
      </c>
      <c r="G92" s="145">
        <f>+'Gantt Proyectos'!G160</f>
        <v>0</v>
      </c>
      <c r="H92" s="145">
        <f>+'Gantt Proyectos'!H160</f>
        <v>0</v>
      </c>
      <c r="I92" s="189">
        <v>1</v>
      </c>
      <c r="J92" s="189">
        <f t="shared" si="6"/>
        <v>0</v>
      </c>
      <c r="K92" s="145">
        <f>+'Gantt Proyectos'!I160</f>
        <v>0</v>
      </c>
      <c r="L92" s="120">
        <f>+'Gantt Proyectos'!J160</f>
        <v>0</v>
      </c>
      <c r="M92" s="145">
        <f>+'Gantt Proyectos'!K160</f>
        <v>0</v>
      </c>
      <c r="N92" s="145">
        <f>+'Gantt Proyectos'!L160</f>
        <v>0</v>
      </c>
      <c r="O92" s="145">
        <f>+'Gantt Proyectos'!M160</f>
        <v>0</v>
      </c>
      <c r="P92" s="145">
        <f>+'Gantt Proyectos'!N160</f>
        <v>0</v>
      </c>
      <c r="Q92" s="119">
        <f>+'Gantt Proyectos'!O160</f>
        <v>0</v>
      </c>
      <c r="R92" s="119">
        <f>+'Gantt Proyectos'!P160</f>
        <v>0</v>
      </c>
      <c r="S92" s="145">
        <f>+'Gantt Proyectos'!R160</f>
        <v>0</v>
      </c>
      <c r="T92" s="118">
        <f>+'Gantt Proyectos'!S160</f>
        <v>0</v>
      </c>
      <c r="U92" s="156">
        <f>+'Gantt Proyectos'!T160</f>
        <v>0</v>
      </c>
      <c r="V92" s="156">
        <f>+'Gantt Proyectos'!U160</f>
        <v>0</v>
      </c>
      <c r="W92" s="201">
        <f t="shared" si="7"/>
        <v>0</v>
      </c>
      <c r="X92" s="121">
        <f>+'Gantt Proyectos'!W160</f>
        <v>0</v>
      </c>
      <c r="Y92" s="122">
        <f>+'Gantt Proyectos'!X160</f>
        <v>0</v>
      </c>
      <c r="Z92" s="122">
        <f>+'Gantt Proyectos'!Y160</f>
        <v>0</v>
      </c>
      <c r="AA92" s="122">
        <f>+'Gantt Proyectos'!Z160</f>
        <v>0</v>
      </c>
      <c r="AB92" s="122">
        <f>+'Gantt Proyectos'!AA160</f>
        <v>0</v>
      </c>
      <c r="AC92" s="122">
        <f>+'Gantt Proyectos'!AB160</f>
        <v>0</v>
      </c>
      <c r="AD92" s="123">
        <f>+'Gantt Proyectos'!AC160</f>
        <v>0</v>
      </c>
      <c r="AE92" s="123">
        <f>+'Gantt Proyectos'!AD160</f>
        <v>0</v>
      </c>
      <c r="AF92" s="124">
        <f>+'Gantt Proyectos'!AE160</f>
        <v>0</v>
      </c>
      <c r="AG92" s="172">
        <v>1</v>
      </c>
      <c r="AH92" s="169">
        <f ca="1">+IFERROR(IF(ISNUMBER(OFFSET('EDP Proyectado'!AI92,0,-'Ingreso Proyectado'!$P92))&lt;&gt;0,IF(OFFSET('EDP Proyectado'!AI92,0,-'Ingreso Proyectado'!$P92)+0&lt;=1,0,OFFSET('EDP Proyectado'!AI92,0,-'Ingreso Proyectado'!$P92)+0)),0)</f>
        <v>0</v>
      </c>
      <c r="AI92" s="169">
        <f ca="1">+IFERROR(IF(ISNUMBER(OFFSET('EDP Proyectado'!AJ92,0,-'Ingreso Proyectado'!$P92))&lt;&gt;0,IF(OFFSET('EDP Proyectado'!AJ92,0,-'Ingreso Proyectado'!$P92)+0&lt;=1,0,OFFSET('EDP Proyectado'!AJ92,0,-'Ingreso Proyectado'!$P92)+0)),0)</f>
        <v>0</v>
      </c>
      <c r="AJ92" s="169">
        <f ca="1">+IFERROR(IF(ISNUMBER(OFFSET('EDP Proyectado'!AK92,0,-'Ingreso Proyectado'!$P92))&lt;&gt;0,IF(OFFSET('EDP Proyectado'!AK92,0,-'Ingreso Proyectado'!$P92)+0&lt;=1,0,OFFSET('EDP Proyectado'!AK92,0,-'Ingreso Proyectado'!$P92)+0)),0)</f>
        <v>0</v>
      </c>
      <c r="AK92" s="169">
        <f ca="1">+IFERROR(IF(ISNUMBER(OFFSET('EDP Proyectado'!AL92,0,-'Ingreso Proyectado'!$P92))&lt;&gt;0,IF(OFFSET('EDP Proyectado'!AL92,0,-'Ingreso Proyectado'!$P92)+0&lt;=1,0,OFFSET('EDP Proyectado'!AL92,0,-'Ingreso Proyectado'!$P92)+0)),0)</f>
        <v>0</v>
      </c>
      <c r="AL92" s="169">
        <f ca="1">+IFERROR(IF(ISNUMBER(OFFSET('EDP Proyectado'!AM92,0,-'Ingreso Proyectado'!$P92))&lt;&gt;0,IF(OFFSET('EDP Proyectado'!AM92,0,-'Ingreso Proyectado'!$P92)+0&lt;=1,0,OFFSET('EDP Proyectado'!AM92,0,-'Ingreso Proyectado'!$P92)+0)),0)</f>
        <v>0</v>
      </c>
      <c r="AM92" s="169">
        <f ca="1">+IFERROR(IF(ISNUMBER(OFFSET('EDP Proyectado'!AN92,0,-'Ingreso Proyectado'!$P92))&lt;&gt;0,IF(OFFSET('EDP Proyectado'!AN92,0,-'Ingreso Proyectado'!$P92)+0&lt;=1,0,OFFSET('EDP Proyectado'!AN92,0,-'Ingreso Proyectado'!$P92)+0)),0)</f>
        <v>0</v>
      </c>
      <c r="AN92" s="169">
        <f ca="1">+IFERROR(IF(ISNUMBER(OFFSET('EDP Proyectado'!AO92,0,-'Ingreso Proyectado'!$P92))&lt;&gt;0,IF(OFFSET('EDP Proyectado'!AO92,0,-'Ingreso Proyectado'!$P92)+0&lt;=1,0,OFFSET('EDP Proyectado'!AO92,0,-'Ingreso Proyectado'!$P92)+0)),0)</f>
        <v>0</v>
      </c>
      <c r="AO92" s="169">
        <f ca="1">+IFERROR(IF(ISNUMBER(OFFSET('EDP Proyectado'!AP92,0,-'Ingreso Proyectado'!$P92))&lt;&gt;0,IF(OFFSET('EDP Proyectado'!AP92,0,-'Ingreso Proyectado'!$P92)+0&lt;=1,0,OFFSET('EDP Proyectado'!AP92,0,-'Ingreso Proyectado'!$P92)+0)),0)</f>
        <v>0</v>
      </c>
      <c r="AP92" s="170">
        <f ca="1">+IFERROR(IF(ISNUMBER(OFFSET('EDP Proyectado'!AQ92,0,-'Ingreso Proyectado'!$P92))&lt;&gt;0,IF(OFFSET('EDP Proyectado'!AQ92,0,-'Ingreso Proyectado'!$P92)+0&lt;=1,0,OFFSET('EDP Proyectado'!AQ92,0,-'Ingreso Proyectado'!$P92)+0)),0)</f>
        <v>0</v>
      </c>
    </row>
    <row r="93" spans="3:42" x14ac:dyDescent="0.2">
      <c r="C93" s="144">
        <f>+'Gantt Proyectos'!C161</f>
        <v>65</v>
      </c>
      <c r="D93" s="145">
        <f>+'Gantt Proyectos'!D161</f>
        <v>0</v>
      </c>
      <c r="E93" s="145">
        <f>+'Gantt Proyectos'!E161</f>
        <v>0</v>
      </c>
      <c r="F93" s="147">
        <f>+'Gantt Proyectos'!F161</f>
        <v>0</v>
      </c>
      <c r="G93" s="145">
        <f>+'Gantt Proyectos'!G161</f>
        <v>0</v>
      </c>
      <c r="H93" s="145">
        <f>+'Gantt Proyectos'!H161</f>
        <v>0</v>
      </c>
      <c r="I93" s="189">
        <v>1</v>
      </c>
      <c r="J93" s="189">
        <f t="shared" si="6"/>
        <v>0</v>
      </c>
      <c r="K93" s="145">
        <f>+'Gantt Proyectos'!I161</f>
        <v>0</v>
      </c>
      <c r="L93" s="120">
        <f>+'Gantt Proyectos'!J161</f>
        <v>0</v>
      </c>
      <c r="M93" s="145">
        <f>+'Gantt Proyectos'!K161</f>
        <v>0</v>
      </c>
      <c r="N93" s="145">
        <f>+'Gantt Proyectos'!L161</f>
        <v>0</v>
      </c>
      <c r="O93" s="145">
        <f>+'Gantt Proyectos'!M161</f>
        <v>0</v>
      </c>
      <c r="P93" s="145">
        <f>+'Gantt Proyectos'!N161</f>
        <v>0</v>
      </c>
      <c r="Q93" s="119">
        <f>+'Gantt Proyectos'!O161</f>
        <v>0</v>
      </c>
      <c r="R93" s="119">
        <f>+'Gantt Proyectos'!P161</f>
        <v>0</v>
      </c>
      <c r="S93" s="145">
        <f>+'Gantt Proyectos'!R161</f>
        <v>0</v>
      </c>
      <c r="T93" s="118">
        <f>+'Gantt Proyectos'!S161</f>
        <v>0</v>
      </c>
      <c r="U93" s="156">
        <f>+'Gantt Proyectos'!T161</f>
        <v>0</v>
      </c>
      <c r="V93" s="156">
        <f>+'Gantt Proyectos'!U161</f>
        <v>0</v>
      </c>
      <c r="W93" s="201">
        <f t="shared" si="7"/>
        <v>0</v>
      </c>
      <c r="X93" s="121">
        <f>+'Gantt Proyectos'!W161</f>
        <v>0</v>
      </c>
      <c r="Y93" s="122">
        <f>+'Gantt Proyectos'!X161</f>
        <v>0</v>
      </c>
      <c r="Z93" s="122">
        <f>+'Gantt Proyectos'!Y161</f>
        <v>0</v>
      </c>
      <c r="AA93" s="122">
        <f>+'Gantt Proyectos'!Z161</f>
        <v>0</v>
      </c>
      <c r="AB93" s="122">
        <f>+'Gantt Proyectos'!AA161</f>
        <v>0</v>
      </c>
      <c r="AC93" s="122">
        <f>+'Gantt Proyectos'!AB161</f>
        <v>0</v>
      </c>
      <c r="AD93" s="123">
        <f>+'Gantt Proyectos'!AC161</f>
        <v>0</v>
      </c>
      <c r="AE93" s="123">
        <f>+'Gantt Proyectos'!AD161</f>
        <v>0</v>
      </c>
      <c r="AF93" s="124">
        <f>+'Gantt Proyectos'!AE161</f>
        <v>0</v>
      </c>
      <c r="AG93" s="172">
        <v>1</v>
      </c>
      <c r="AH93" s="169">
        <f ca="1">+IFERROR(IF(ISNUMBER(OFFSET('EDP Proyectado'!AI93,0,-'Ingreso Proyectado'!$P93))&lt;&gt;0,IF(OFFSET('EDP Proyectado'!AI93,0,-'Ingreso Proyectado'!$P93)+0&lt;=1,0,OFFSET('EDP Proyectado'!AI93,0,-'Ingreso Proyectado'!$P93)+0)),0)</f>
        <v>0</v>
      </c>
      <c r="AI93" s="169">
        <f ca="1">+IFERROR(IF(ISNUMBER(OFFSET('EDP Proyectado'!AJ93,0,-'Ingreso Proyectado'!$P93))&lt;&gt;0,IF(OFFSET('EDP Proyectado'!AJ93,0,-'Ingreso Proyectado'!$P93)+0&lt;=1,0,OFFSET('EDP Proyectado'!AJ93,0,-'Ingreso Proyectado'!$P93)+0)),0)</f>
        <v>0</v>
      </c>
      <c r="AJ93" s="169">
        <f ca="1">+IFERROR(IF(ISNUMBER(OFFSET('EDP Proyectado'!AK93,0,-'Ingreso Proyectado'!$P93))&lt;&gt;0,IF(OFFSET('EDP Proyectado'!AK93,0,-'Ingreso Proyectado'!$P93)+0&lt;=1,0,OFFSET('EDP Proyectado'!AK93,0,-'Ingreso Proyectado'!$P93)+0)),0)</f>
        <v>0</v>
      </c>
      <c r="AK93" s="169">
        <f ca="1">+IFERROR(IF(ISNUMBER(OFFSET('EDP Proyectado'!AL93,0,-'Ingreso Proyectado'!$P93))&lt;&gt;0,IF(OFFSET('EDP Proyectado'!AL93,0,-'Ingreso Proyectado'!$P93)+0&lt;=1,0,OFFSET('EDP Proyectado'!AL93,0,-'Ingreso Proyectado'!$P93)+0)),0)</f>
        <v>0</v>
      </c>
      <c r="AL93" s="169">
        <f ca="1">+IFERROR(IF(ISNUMBER(OFFSET('EDP Proyectado'!AM93,0,-'Ingreso Proyectado'!$P93))&lt;&gt;0,IF(OFFSET('EDP Proyectado'!AM93,0,-'Ingreso Proyectado'!$P93)+0&lt;=1,0,OFFSET('EDP Proyectado'!AM93,0,-'Ingreso Proyectado'!$P93)+0)),0)</f>
        <v>0</v>
      </c>
      <c r="AM93" s="169">
        <f ca="1">+IFERROR(IF(ISNUMBER(OFFSET('EDP Proyectado'!AN93,0,-'Ingreso Proyectado'!$P93))&lt;&gt;0,IF(OFFSET('EDP Proyectado'!AN93,0,-'Ingreso Proyectado'!$P93)+0&lt;=1,0,OFFSET('EDP Proyectado'!AN93,0,-'Ingreso Proyectado'!$P93)+0)),0)</f>
        <v>0</v>
      </c>
      <c r="AN93" s="169">
        <f ca="1">+IFERROR(IF(ISNUMBER(OFFSET('EDP Proyectado'!AO93,0,-'Ingreso Proyectado'!$P93))&lt;&gt;0,IF(OFFSET('EDP Proyectado'!AO93,0,-'Ingreso Proyectado'!$P93)+0&lt;=1,0,OFFSET('EDP Proyectado'!AO93,0,-'Ingreso Proyectado'!$P93)+0)),0)</f>
        <v>0</v>
      </c>
      <c r="AO93" s="169">
        <f ca="1">+IFERROR(IF(ISNUMBER(OFFSET('EDP Proyectado'!AP93,0,-'Ingreso Proyectado'!$P93))&lt;&gt;0,IF(OFFSET('EDP Proyectado'!AP93,0,-'Ingreso Proyectado'!$P93)+0&lt;=1,0,OFFSET('EDP Proyectado'!AP93,0,-'Ingreso Proyectado'!$P93)+0)),0)</f>
        <v>0</v>
      </c>
      <c r="AP93" s="170">
        <f ca="1">+IFERROR(IF(ISNUMBER(OFFSET('EDP Proyectado'!AQ93,0,-'Ingreso Proyectado'!$P93))&lt;&gt;0,IF(OFFSET('EDP Proyectado'!AQ93,0,-'Ingreso Proyectado'!$P93)+0&lt;=1,0,OFFSET('EDP Proyectado'!AQ93,0,-'Ingreso Proyectado'!$P93)+0)),0)</f>
        <v>0</v>
      </c>
    </row>
    <row r="94" spans="3:42" x14ac:dyDescent="0.2">
      <c r="C94" s="144">
        <f>+'Gantt Proyectos'!C162</f>
        <v>66</v>
      </c>
      <c r="D94" s="145">
        <f>+'Gantt Proyectos'!D162</f>
        <v>0</v>
      </c>
      <c r="E94" s="145">
        <f>+'Gantt Proyectos'!E162</f>
        <v>0</v>
      </c>
      <c r="F94" s="147">
        <f>+'Gantt Proyectos'!F162</f>
        <v>0</v>
      </c>
      <c r="G94" s="145">
        <f>+'Gantt Proyectos'!G162</f>
        <v>0</v>
      </c>
      <c r="H94" s="145">
        <f>+'Gantt Proyectos'!H162</f>
        <v>0</v>
      </c>
      <c r="I94" s="189">
        <v>1</v>
      </c>
      <c r="J94" s="189">
        <f t="shared" ref="J94:J157" si="8">1-I94</f>
        <v>0</v>
      </c>
      <c r="K94" s="145">
        <f>+'Gantt Proyectos'!I162</f>
        <v>0</v>
      </c>
      <c r="L94" s="120">
        <f>+'Gantt Proyectos'!J162</f>
        <v>0</v>
      </c>
      <c r="M94" s="145">
        <f>+'Gantt Proyectos'!K162</f>
        <v>0</v>
      </c>
      <c r="N94" s="145">
        <f>+'Gantt Proyectos'!L162</f>
        <v>0</v>
      </c>
      <c r="O94" s="145">
        <f>+'Gantt Proyectos'!M162</f>
        <v>0</v>
      </c>
      <c r="P94" s="145">
        <f>+'Gantt Proyectos'!N162</f>
        <v>0</v>
      </c>
      <c r="Q94" s="119">
        <f>+'Gantt Proyectos'!O162</f>
        <v>0</v>
      </c>
      <c r="R94" s="119">
        <f>+'Gantt Proyectos'!P162</f>
        <v>0</v>
      </c>
      <c r="S94" s="145">
        <f>+'Gantt Proyectos'!R162</f>
        <v>0</v>
      </c>
      <c r="T94" s="118">
        <f>+'Gantt Proyectos'!S162</f>
        <v>0</v>
      </c>
      <c r="U94" s="156">
        <f>+'Gantt Proyectos'!T162</f>
        <v>0</v>
      </c>
      <c r="V94" s="156">
        <f>+'Gantt Proyectos'!U162</f>
        <v>0</v>
      </c>
      <c r="W94" s="201">
        <f t="shared" ref="W94:W157" si="9">+ROUNDUP(_xlfn.DAYS(V94,U94)/30.5,0)</f>
        <v>0</v>
      </c>
      <c r="X94" s="121">
        <f>+'Gantt Proyectos'!W162</f>
        <v>0</v>
      </c>
      <c r="Y94" s="122">
        <f>+'Gantt Proyectos'!X162</f>
        <v>0</v>
      </c>
      <c r="Z94" s="122">
        <f>+'Gantt Proyectos'!Y162</f>
        <v>0</v>
      </c>
      <c r="AA94" s="122">
        <f>+'Gantt Proyectos'!Z162</f>
        <v>0</v>
      </c>
      <c r="AB94" s="122">
        <f>+'Gantt Proyectos'!AA162</f>
        <v>0</v>
      </c>
      <c r="AC94" s="122">
        <f>+'Gantt Proyectos'!AB162</f>
        <v>0</v>
      </c>
      <c r="AD94" s="123">
        <f>+'Gantt Proyectos'!AC162</f>
        <v>0</v>
      </c>
      <c r="AE94" s="123">
        <f>+'Gantt Proyectos'!AD162</f>
        <v>0</v>
      </c>
      <c r="AF94" s="124">
        <f>+'Gantt Proyectos'!AE162</f>
        <v>0</v>
      </c>
      <c r="AG94" s="172">
        <v>1</v>
      </c>
      <c r="AH94" s="169">
        <f ca="1">+IFERROR(IF(ISNUMBER(OFFSET('EDP Proyectado'!AI94,0,-'Ingreso Proyectado'!$P94))&lt;&gt;0,IF(OFFSET('EDP Proyectado'!AI94,0,-'Ingreso Proyectado'!$P94)+0&lt;=1,0,OFFSET('EDP Proyectado'!AI94,0,-'Ingreso Proyectado'!$P94)+0)),0)</f>
        <v>0</v>
      </c>
      <c r="AI94" s="169">
        <f ca="1">+IFERROR(IF(ISNUMBER(OFFSET('EDP Proyectado'!AJ94,0,-'Ingreso Proyectado'!$P94))&lt;&gt;0,IF(OFFSET('EDP Proyectado'!AJ94,0,-'Ingreso Proyectado'!$P94)+0&lt;=1,0,OFFSET('EDP Proyectado'!AJ94,0,-'Ingreso Proyectado'!$P94)+0)),0)</f>
        <v>0</v>
      </c>
      <c r="AJ94" s="169">
        <f ca="1">+IFERROR(IF(ISNUMBER(OFFSET('EDP Proyectado'!AK94,0,-'Ingreso Proyectado'!$P94))&lt;&gt;0,IF(OFFSET('EDP Proyectado'!AK94,0,-'Ingreso Proyectado'!$P94)+0&lt;=1,0,OFFSET('EDP Proyectado'!AK94,0,-'Ingreso Proyectado'!$P94)+0)),0)</f>
        <v>0</v>
      </c>
      <c r="AK94" s="169">
        <f ca="1">+IFERROR(IF(ISNUMBER(OFFSET('EDP Proyectado'!AL94,0,-'Ingreso Proyectado'!$P94))&lt;&gt;0,IF(OFFSET('EDP Proyectado'!AL94,0,-'Ingreso Proyectado'!$P94)+0&lt;=1,0,OFFSET('EDP Proyectado'!AL94,0,-'Ingreso Proyectado'!$P94)+0)),0)</f>
        <v>0</v>
      </c>
      <c r="AL94" s="169">
        <f ca="1">+IFERROR(IF(ISNUMBER(OFFSET('EDP Proyectado'!AM94,0,-'Ingreso Proyectado'!$P94))&lt;&gt;0,IF(OFFSET('EDP Proyectado'!AM94,0,-'Ingreso Proyectado'!$P94)+0&lt;=1,0,OFFSET('EDP Proyectado'!AM94,0,-'Ingreso Proyectado'!$P94)+0)),0)</f>
        <v>0</v>
      </c>
      <c r="AM94" s="169">
        <f ca="1">+IFERROR(IF(ISNUMBER(OFFSET('EDP Proyectado'!AN94,0,-'Ingreso Proyectado'!$P94))&lt;&gt;0,IF(OFFSET('EDP Proyectado'!AN94,0,-'Ingreso Proyectado'!$P94)+0&lt;=1,0,OFFSET('EDP Proyectado'!AN94,0,-'Ingreso Proyectado'!$P94)+0)),0)</f>
        <v>0</v>
      </c>
      <c r="AN94" s="169">
        <f ca="1">+IFERROR(IF(ISNUMBER(OFFSET('EDP Proyectado'!AO94,0,-'Ingreso Proyectado'!$P94))&lt;&gt;0,IF(OFFSET('EDP Proyectado'!AO94,0,-'Ingreso Proyectado'!$P94)+0&lt;=1,0,OFFSET('EDP Proyectado'!AO94,0,-'Ingreso Proyectado'!$P94)+0)),0)</f>
        <v>0</v>
      </c>
      <c r="AO94" s="169">
        <f ca="1">+IFERROR(IF(ISNUMBER(OFFSET('EDP Proyectado'!AP94,0,-'Ingreso Proyectado'!$P94))&lt;&gt;0,IF(OFFSET('EDP Proyectado'!AP94,0,-'Ingreso Proyectado'!$P94)+0&lt;=1,0,OFFSET('EDP Proyectado'!AP94,0,-'Ingreso Proyectado'!$P94)+0)),0)</f>
        <v>0</v>
      </c>
      <c r="AP94" s="170">
        <f ca="1">+IFERROR(IF(ISNUMBER(OFFSET('EDP Proyectado'!AQ94,0,-'Ingreso Proyectado'!$P94))&lt;&gt;0,IF(OFFSET('EDP Proyectado'!AQ94,0,-'Ingreso Proyectado'!$P94)+0&lt;=1,0,OFFSET('EDP Proyectado'!AQ94,0,-'Ingreso Proyectado'!$P94)+0)),0)</f>
        <v>0</v>
      </c>
    </row>
    <row r="95" spans="3:42" x14ac:dyDescent="0.2">
      <c r="C95" s="144">
        <f>+'Gantt Proyectos'!C163</f>
        <v>67</v>
      </c>
      <c r="D95" s="145">
        <f>+'Gantt Proyectos'!D163</f>
        <v>0</v>
      </c>
      <c r="E95" s="145">
        <f>+'Gantt Proyectos'!E163</f>
        <v>0</v>
      </c>
      <c r="F95" s="147">
        <f>+'Gantt Proyectos'!F163</f>
        <v>0</v>
      </c>
      <c r="G95" s="145">
        <f>+'Gantt Proyectos'!G163</f>
        <v>0</v>
      </c>
      <c r="H95" s="145">
        <f>+'Gantt Proyectos'!H163</f>
        <v>0</v>
      </c>
      <c r="I95" s="189">
        <v>1</v>
      </c>
      <c r="J95" s="189">
        <f t="shared" si="8"/>
        <v>0</v>
      </c>
      <c r="K95" s="145">
        <f>+'Gantt Proyectos'!I163</f>
        <v>0</v>
      </c>
      <c r="L95" s="120">
        <f>+'Gantt Proyectos'!J163</f>
        <v>0</v>
      </c>
      <c r="M95" s="145">
        <f>+'Gantt Proyectos'!K163</f>
        <v>0</v>
      </c>
      <c r="N95" s="145">
        <f>+'Gantt Proyectos'!L163</f>
        <v>0</v>
      </c>
      <c r="O95" s="145">
        <f>+'Gantt Proyectos'!M163</f>
        <v>0</v>
      </c>
      <c r="P95" s="145">
        <f>+'Gantt Proyectos'!N163</f>
        <v>0</v>
      </c>
      <c r="Q95" s="119">
        <f>+'Gantt Proyectos'!O163</f>
        <v>0</v>
      </c>
      <c r="R95" s="119">
        <f>+'Gantt Proyectos'!P163</f>
        <v>0</v>
      </c>
      <c r="S95" s="145">
        <f>+'Gantt Proyectos'!R163</f>
        <v>0</v>
      </c>
      <c r="T95" s="118">
        <f>+'Gantt Proyectos'!S163</f>
        <v>0</v>
      </c>
      <c r="U95" s="156">
        <f>+'Gantt Proyectos'!T163</f>
        <v>0</v>
      </c>
      <c r="V95" s="156">
        <f>+'Gantt Proyectos'!U163</f>
        <v>0</v>
      </c>
      <c r="W95" s="201">
        <f t="shared" si="9"/>
        <v>0</v>
      </c>
      <c r="X95" s="121">
        <f>+'Gantt Proyectos'!W163</f>
        <v>0</v>
      </c>
      <c r="Y95" s="122">
        <f>+'Gantt Proyectos'!X163</f>
        <v>0</v>
      </c>
      <c r="Z95" s="122">
        <f>+'Gantt Proyectos'!Y163</f>
        <v>0</v>
      </c>
      <c r="AA95" s="122">
        <f>+'Gantt Proyectos'!Z163</f>
        <v>0</v>
      </c>
      <c r="AB95" s="122">
        <f>+'Gantt Proyectos'!AA163</f>
        <v>0</v>
      </c>
      <c r="AC95" s="122">
        <f>+'Gantt Proyectos'!AB163</f>
        <v>0</v>
      </c>
      <c r="AD95" s="123">
        <f>+'Gantt Proyectos'!AC163</f>
        <v>0</v>
      </c>
      <c r="AE95" s="123">
        <f>+'Gantt Proyectos'!AD163</f>
        <v>0</v>
      </c>
      <c r="AF95" s="124">
        <f>+'Gantt Proyectos'!AE163</f>
        <v>0</v>
      </c>
      <c r="AG95" s="172">
        <v>1</v>
      </c>
      <c r="AH95" s="169">
        <f ca="1">+IFERROR(IF(ISNUMBER(OFFSET('EDP Proyectado'!AI95,0,-'Ingreso Proyectado'!$P95))&lt;&gt;0,IF(OFFSET('EDP Proyectado'!AI95,0,-'Ingreso Proyectado'!$P95)+0&lt;=1,0,OFFSET('EDP Proyectado'!AI95,0,-'Ingreso Proyectado'!$P95)+0)),0)</f>
        <v>0</v>
      </c>
      <c r="AI95" s="169">
        <f ca="1">+IFERROR(IF(ISNUMBER(OFFSET('EDP Proyectado'!AJ95,0,-'Ingreso Proyectado'!$P95))&lt;&gt;0,IF(OFFSET('EDP Proyectado'!AJ95,0,-'Ingreso Proyectado'!$P95)+0&lt;=1,0,OFFSET('EDP Proyectado'!AJ95,0,-'Ingreso Proyectado'!$P95)+0)),0)</f>
        <v>0</v>
      </c>
      <c r="AJ95" s="169">
        <f ca="1">+IFERROR(IF(ISNUMBER(OFFSET('EDP Proyectado'!AK95,0,-'Ingreso Proyectado'!$P95))&lt;&gt;0,IF(OFFSET('EDP Proyectado'!AK95,0,-'Ingreso Proyectado'!$P95)+0&lt;=1,0,OFFSET('EDP Proyectado'!AK95,0,-'Ingreso Proyectado'!$P95)+0)),0)</f>
        <v>0</v>
      </c>
      <c r="AK95" s="169">
        <f ca="1">+IFERROR(IF(ISNUMBER(OFFSET('EDP Proyectado'!AL95,0,-'Ingreso Proyectado'!$P95))&lt;&gt;0,IF(OFFSET('EDP Proyectado'!AL95,0,-'Ingreso Proyectado'!$P95)+0&lt;=1,0,OFFSET('EDP Proyectado'!AL95,0,-'Ingreso Proyectado'!$P95)+0)),0)</f>
        <v>0</v>
      </c>
      <c r="AL95" s="169">
        <f ca="1">+IFERROR(IF(ISNUMBER(OFFSET('EDP Proyectado'!AM95,0,-'Ingreso Proyectado'!$P95))&lt;&gt;0,IF(OFFSET('EDP Proyectado'!AM95,0,-'Ingreso Proyectado'!$P95)+0&lt;=1,0,OFFSET('EDP Proyectado'!AM95,0,-'Ingreso Proyectado'!$P95)+0)),0)</f>
        <v>0</v>
      </c>
      <c r="AM95" s="169">
        <f ca="1">+IFERROR(IF(ISNUMBER(OFFSET('EDP Proyectado'!AN95,0,-'Ingreso Proyectado'!$P95))&lt;&gt;0,IF(OFFSET('EDP Proyectado'!AN95,0,-'Ingreso Proyectado'!$P95)+0&lt;=1,0,OFFSET('EDP Proyectado'!AN95,0,-'Ingreso Proyectado'!$P95)+0)),0)</f>
        <v>0</v>
      </c>
      <c r="AN95" s="169">
        <f ca="1">+IFERROR(IF(ISNUMBER(OFFSET('EDP Proyectado'!AO95,0,-'Ingreso Proyectado'!$P95))&lt;&gt;0,IF(OFFSET('EDP Proyectado'!AO95,0,-'Ingreso Proyectado'!$P95)+0&lt;=1,0,OFFSET('EDP Proyectado'!AO95,0,-'Ingreso Proyectado'!$P95)+0)),0)</f>
        <v>0</v>
      </c>
      <c r="AO95" s="169">
        <f ca="1">+IFERROR(IF(ISNUMBER(OFFSET('EDP Proyectado'!AP95,0,-'Ingreso Proyectado'!$P95))&lt;&gt;0,IF(OFFSET('EDP Proyectado'!AP95,0,-'Ingreso Proyectado'!$P95)+0&lt;=1,0,OFFSET('EDP Proyectado'!AP95,0,-'Ingreso Proyectado'!$P95)+0)),0)</f>
        <v>0</v>
      </c>
      <c r="AP95" s="170">
        <f ca="1">+IFERROR(IF(ISNUMBER(OFFSET('EDP Proyectado'!AQ95,0,-'Ingreso Proyectado'!$P95))&lt;&gt;0,IF(OFFSET('EDP Proyectado'!AQ95,0,-'Ingreso Proyectado'!$P95)+0&lt;=1,0,OFFSET('EDP Proyectado'!AQ95,0,-'Ingreso Proyectado'!$P95)+0)),0)</f>
        <v>0</v>
      </c>
    </row>
    <row r="96" spans="3:42" x14ac:dyDescent="0.2">
      <c r="C96" s="144">
        <f>+'Gantt Proyectos'!C164</f>
        <v>68</v>
      </c>
      <c r="D96" s="145">
        <f>+'Gantt Proyectos'!D164</f>
        <v>0</v>
      </c>
      <c r="E96" s="145">
        <f>+'Gantt Proyectos'!E164</f>
        <v>0</v>
      </c>
      <c r="F96" s="147">
        <f>+'Gantt Proyectos'!F164</f>
        <v>0</v>
      </c>
      <c r="G96" s="145">
        <f>+'Gantt Proyectos'!G164</f>
        <v>0</v>
      </c>
      <c r="H96" s="145">
        <f>+'Gantt Proyectos'!H164</f>
        <v>0</v>
      </c>
      <c r="I96" s="189">
        <v>1</v>
      </c>
      <c r="J96" s="189">
        <f t="shared" si="8"/>
        <v>0</v>
      </c>
      <c r="K96" s="145">
        <f>+'Gantt Proyectos'!I164</f>
        <v>0</v>
      </c>
      <c r="L96" s="120">
        <f>+'Gantt Proyectos'!J164</f>
        <v>0</v>
      </c>
      <c r="M96" s="145">
        <f>+'Gantt Proyectos'!K164</f>
        <v>0</v>
      </c>
      <c r="N96" s="145">
        <f>+'Gantt Proyectos'!L164</f>
        <v>0</v>
      </c>
      <c r="O96" s="145">
        <f>+'Gantt Proyectos'!M164</f>
        <v>0</v>
      </c>
      <c r="P96" s="145">
        <f>+'Gantt Proyectos'!N164</f>
        <v>0</v>
      </c>
      <c r="Q96" s="119">
        <f>+'Gantt Proyectos'!O164</f>
        <v>0</v>
      </c>
      <c r="R96" s="119">
        <f>+'Gantt Proyectos'!P164</f>
        <v>0</v>
      </c>
      <c r="S96" s="145">
        <f>+'Gantt Proyectos'!R164</f>
        <v>0</v>
      </c>
      <c r="T96" s="118">
        <f>+'Gantt Proyectos'!S164</f>
        <v>0</v>
      </c>
      <c r="U96" s="156">
        <f>+'Gantt Proyectos'!T164</f>
        <v>0</v>
      </c>
      <c r="V96" s="156">
        <f>+'Gantt Proyectos'!U164</f>
        <v>0</v>
      </c>
      <c r="W96" s="201">
        <f t="shared" si="9"/>
        <v>0</v>
      </c>
      <c r="X96" s="121">
        <f>+'Gantt Proyectos'!W164</f>
        <v>0</v>
      </c>
      <c r="Y96" s="122">
        <f>+'Gantt Proyectos'!X164</f>
        <v>0</v>
      </c>
      <c r="Z96" s="122">
        <f>+'Gantt Proyectos'!Y164</f>
        <v>0</v>
      </c>
      <c r="AA96" s="122">
        <f>+'Gantt Proyectos'!Z164</f>
        <v>0</v>
      </c>
      <c r="AB96" s="122">
        <f>+'Gantt Proyectos'!AA164</f>
        <v>0</v>
      </c>
      <c r="AC96" s="122">
        <f>+'Gantt Proyectos'!AB164</f>
        <v>0</v>
      </c>
      <c r="AD96" s="123">
        <f>+'Gantt Proyectos'!AC164</f>
        <v>0</v>
      </c>
      <c r="AE96" s="123">
        <f>+'Gantt Proyectos'!AD164</f>
        <v>0</v>
      </c>
      <c r="AF96" s="124">
        <f>+'Gantt Proyectos'!AE164</f>
        <v>0</v>
      </c>
      <c r="AG96" s="172">
        <v>1</v>
      </c>
      <c r="AH96" s="169">
        <f ca="1">+IFERROR(IF(ISNUMBER(OFFSET('EDP Proyectado'!AI96,0,-'Ingreso Proyectado'!$P96))&lt;&gt;0,IF(OFFSET('EDP Proyectado'!AI96,0,-'Ingreso Proyectado'!$P96)+0&lt;=1,0,OFFSET('EDP Proyectado'!AI96,0,-'Ingreso Proyectado'!$P96)+0)),0)</f>
        <v>0</v>
      </c>
      <c r="AI96" s="169">
        <f ca="1">+IFERROR(IF(ISNUMBER(OFFSET('EDP Proyectado'!AJ96,0,-'Ingreso Proyectado'!$P96))&lt;&gt;0,IF(OFFSET('EDP Proyectado'!AJ96,0,-'Ingreso Proyectado'!$P96)+0&lt;=1,0,OFFSET('EDP Proyectado'!AJ96,0,-'Ingreso Proyectado'!$P96)+0)),0)</f>
        <v>0</v>
      </c>
      <c r="AJ96" s="169">
        <f ca="1">+IFERROR(IF(ISNUMBER(OFFSET('EDP Proyectado'!AK96,0,-'Ingreso Proyectado'!$P96))&lt;&gt;0,IF(OFFSET('EDP Proyectado'!AK96,0,-'Ingreso Proyectado'!$P96)+0&lt;=1,0,OFFSET('EDP Proyectado'!AK96,0,-'Ingreso Proyectado'!$P96)+0)),0)</f>
        <v>0</v>
      </c>
      <c r="AK96" s="169">
        <f ca="1">+IFERROR(IF(ISNUMBER(OFFSET('EDP Proyectado'!AL96,0,-'Ingreso Proyectado'!$P96))&lt;&gt;0,IF(OFFSET('EDP Proyectado'!AL96,0,-'Ingreso Proyectado'!$P96)+0&lt;=1,0,OFFSET('EDP Proyectado'!AL96,0,-'Ingreso Proyectado'!$P96)+0)),0)</f>
        <v>0</v>
      </c>
      <c r="AL96" s="169">
        <f ca="1">+IFERROR(IF(ISNUMBER(OFFSET('EDP Proyectado'!AM96,0,-'Ingreso Proyectado'!$P96))&lt;&gt;0,IF(OFFSET('EDP Proyectado'!AM96,0,-'Ingreso Proyectado'!$P96)+0&lt;=1,0,OFFSET('EDP Proyectado'!AM96,0,-'Ingreso Proyectado'!$P96)+0)),0)</f>
        <v>0</v>
      </c>
      <c r="AM96" s="169">
        <f ca="1">+IFERROR(IF(ISNUMBER(OFFSET('EDP Proyectado'!AN96,0,-'Ingreso Proyectado'!$P96))&lt;&gt;0,IF(OFFSET('EDP Proyectado'!AN96,0,-'Ingreso Proyectado'!$P96)+0&lt;=1,0,OFFSET('EDP Proyectado'!AN96,0,-'Ingreso Proyectado'!$P96)+0)),0)</f>
        <v>0</v>
      </c>
      <c r="AN96" s="169">
        <f ca="1">+IFERROR(IF(ISNUMBER(OFFSET('EDP Proyectado'!AO96,0,-'Ingreso Proyectado'!$P96))&lt;&gt;0,IF(OFFSET('EDP Proyectado'!AO96,0,-'Ingreso Proyectado'!$P96)+0&lt;=1,0,OFFSET('EDP Proyectado'!AO96,0,-'Ingreso Proyectado'!$P96)+0)),0)</f>
        <v>0</v>
      </c>
      <c r="AO96" s="169">
        <f ca="1">+IFERROR(IF(ISNUMBER(OFFSET('EDP Proyectado'!AP96,0,-'Ingreso Proyectado'!$P96))&lt;&gt;0,IF(OFFSET('EDP Proyectado'!AP96,0,-'Ingreso Proyectado'!$P96)+0&lt;=1,0,OFFSET('EDP Proyectado'!AP96,0,-'Ingreso Proyectado'!$P96)+0)),0)</f>
        <v>0</v>
      </c>
      <c r="AP96" s="170">
        <f ca="1">+IFERROR(IF(ISNUMBER(OFFSET('EDP Proyectado'!AQ96,0,-'Ingreso Proyectado'!$P96))&lt;&gt;0,IF(OFFSET('EDP Proyectado'!AQ96,0,-'Ingreso Proyectado'!$P96)+0&lt;=1,0,OFFSET('EDP Proyectado'!AQ96,0,-'Ingreso Proyectado'!$P96)+0)),0)</f>
        <v>0</v>
      </c>
    </row>
    <row r="97" spans="3:42" x14ac:dyDescent="0.2">
      <c r="C97" s="144">
        <f>+'Gantt Proyectos'!C165</f>
        <v>69</v>
      </c>
      <c r="D97" s="145">
        <f>+'Gantt Proyectos'!D165</f>
        <v>0</v>
      </c>
      <c r="E97" s="145">
        <f>+'Gantt Proyectos'!E165</f>
        <v>0</v>
      </c>
      <c r="F97" s="147">
        <f>+'Gantt Proyectos'!F165</f>
        <v>0</v>
      </c>
      <c r="G97" s="145">
        <f>+'Gantt Proyectos'!G165</f>
        <v>0</v>
      </c>
      <c r="H97" s="145">
        <f>+'Gantt Proyectos'!H165</f>
        <v>0</v>
      </c>
      <c r="I97" s="189">
        <v>1</v>
      </c>
      <c r="J97" s="189">
        <f t="shared" si="8"/>
        <v>0</v>
      </c>
      <c r="K97" s="145">
        <f>+'Gantt Proyectos'!I165</f>
        <v>0</v>
      </c>
      <c r="L97" s="120">
        <f>+'Gantt Proyectos'!J165</f>
        <v>0</v>
      </c>
      <c r="M97" s="145">
        <f>+'Gantt Proyectos'!K165</f>
        <v>0</v>
      </c>
      <c r="N97" s="145">
        <f>+'Gantt Proyectos'!L165</f>
        <v>0</v>
      </c>
      <c r="O97" s="145">
        <f>+'Gantt Proyectos'!M165</f>
        <v>0</v>
      </c>
      <c r="P97" s="145">
        <f>+'Gantt Proyectos'!N165</f>
        <v>0</v>
      </c>
      <c r="Q97" s="119">
        <f>+'Gantt Proyectos'!O165</f>
        <v>0</v>
      </c>
      <c r="R97" s="119">
        <f>+'Gantt Proyectos'!P165</f>
        <v>0</v>
      </c>
      <c r="S97" s="145">
        <f>+'Gantt Proyectos'!R165</f>
        <v>0</v>
      </c>
      <c r="T97" s="118">
        <f>+'Gantt Proyectos'!S165</f>
        <v>0</v>
      </c>
      <c r="U97" s="156">
        <f>+'Gantt Proyectos'!T165</f>
        <v>0</v>
      </c>
      <c r="V97" s="156">
        <f>+'Gantt Proyectos'!U165</f>
        <v>0</v>
      </c>
      <c r="W97" s="201">
        <f t="shared" si="9"/>
        <v>0</v>
      </c>
      <c r="X97" s="121">
        <f>+'Gantt Proyectos'!W165</f>
        <v>0</v>
      </c>
      <c r="Y97" s="122">
        <f>+'Gantt Proyectos'!X165</f>
        <v>0</v>
      </c>
      <c r="Z97" s="122">
        <f>+'Gantt Proyectos'!Y165</f>
        <v>0</v>
      </c>
      <c r="AA97" s="122">
        <f>+'Gantt Proyectos'!Z165</f>
        <v>0</v>
      </c>
      <c r="AB97" s="122">
        <f>+'Gantt Proyectos'!AA165</f>
        <v>0</v>
      </c>
      <c r="AC97" s="122">
        <f>+'Gantt Proyectos'!AB165</f>
        <v>0</v>
      </c>
      <c r="AD97" s="123">
        <f>+'Gantt Proyectos'!AC165</f>
        <v>0</v>
      </c>
      <c r="AE97" s="123">
        <f>+'Gantt Proyectos'!AD165</f>
        <v>0</v>
      </c>
      <c r="AF97" s="124">
        <f>+'Gantt Proyectos'!AE165</f>
        <v>0</v>
      </c>
      <c r="AG97" s="172">
        <v>1</v>
      </c>
      <c r="AH97" s="169">
        <f ca="1">+IFERROR(IF(ISNUMBER(OFFSET('EDP Proyectado'!AI97,0,-'Ingreso Proyectado'!$P97))&lt;&gt;0,IF(OFFSET('EDP Proyectado'!AI97,0,-'Ingreso Proyectado'!$P97)+0&lt;=1,0,OFFSET('EDP Proyectado'!AI97,0,-'Ingreso Proyectado'!$P97)+0)),0)</f>
        <v>0</v>
      </c>
      <c r="AI97" s="169">
        <f ca="1">+IFERROR(IF(ISNUMBER(OFFSET('EDP Proyectado'!AJ97,0,-'Ingreso Proyectado'!$P97))&lt;&gt;0,IF(OFFSET('EDP Proyectado'!AJ97,0,-'Ingreso Proyectado'!$P97)+0&lt;=1,0,OFFSET('EDP Proyectado'!AJ97,0,-'Ingreso Proyectado'!$P97)+0)),0)</f>
        <v>0</v>
      </c>
      <c r="AJ97" s="169">
        <f ca="1">+IFERROR(IF(ISNUMBER(OFFSET('EDP Proyectado'!AK97,0,-'Ingreso Proyectado'!$P97))&lt;&gt;0,IF(OFFSET('EDP Proyectado'!AK97,0,-'Ingreso Proyectado'!$P97)+0&lt;=1,0,OFFSET('EDP Proyectado'!AK97,0,-'Ingreso Proyectado'!$P97)+0)),0)</f>
        <v>0</v>
      </c>
      <c r="AK97" s="169">
        <f ca="1">+IFERROR(IF(ISNUMBER(OFFSET('EDP Proyectado'!AL97,0,-'Ingreso Proyectado'!$P97))&lt;&gt;0,IF(OFFSET('EDP Proyectado'!AL97,0,-'Ingreso Proyectado'!$P97)+0&lt;=1,0,OFFSET('EDP Proyectado'!AL97,0,-'Ingreso Proyectado'!$P97)+0)),0)</f>
        <v>0</v>
      </c>
      <c r="AL97" s="169">
        <f ca="1">+IFERROR(IF(ISNUMBER(OFFSET('EDP Proyectado'!AM97,0,-'Ingreso Proyectado'!$P97))&lt;&gt;0,IF(OFFSET('EDP Proyectado'!AM97,0,-'Ingreso Proyectado'!$P97)+0&lt;=1,0,OFFSET('EDP Proyectado'!AM97,0,-'Ingreso Proyectado'!$P97)+0)),0)</f>
        <v>0</v>
      </c>
      <c r="AM97" s="169">
        <f ca="1">+IFERROR(IF(ISNUMBER(OFFSET('EDP Proyectado'!AN97,0,-'Ingreso Proyectado'!$P97))&lt;&gt;0,IF(OFFSET('EDP Proyectado'!AN97,0,-'Ingreso Proyectado'!$P97)+0&lt;=1,0,OFFSET('EDP Proyectado'!AN97,0,-'Ingreso Proyectado'!$P97)+0)),0)</f>
        <v>0</v>
      </c>
      <c r="AN97" s="169">
        <f ca="1">+IFERROR(IF(ISNUMBER(OFFSET('EDP Proyectado'!AO97,0,-'Ingreso Proyectado'!$P97))&lt;&gt;0,IF(OFFSET('EDP Proyectado'!AO97,0,-'Ingreso Proyectado'!$P97)+0&lt;=1,0,OFFSET('EDP Proyectado'!AO97,0,-'Ingreso Proyectado'!$P97)+0)),0)</f>
        <v>0</v>
      </c>
      <c r="AO97" s="169">
        <f ca="1">+IFERROR(IF(ISNUMBER(OFFSET('EDP Proyectado'!AP97,0,-'Ingreso Proyectado'!$P97))&lt;&gt;0,IF(OFFSET('EDP Proyectado'!AP97,0,-'Ingreso Proyectado'!$P97)+0&lt;=1,0,OFFSET('EDP Proyectado'!AP97,0,-'Ingreso Proyectado'!$P97)+0)),0)</f>
        <v>0</v>
      </c>
      <c r="AP97" s="170">
        <f ca="1">+IFERROR(IF(ISNUMBER(OFFSET('EDP Proyectado'!AQ97,0,-'Ingreso Proyectado'!$P97))&lt;&gt;0,IF(OFFSET('EDP Proyectado'!AQ97,0,-'Ingreso Proyectado'!$P97)+0&lt;=1,0,OFFSET('EDP Proyectado'!AQ97,0,-'Ingreso Proyectado'!$P97)+0)),0)</f>
        <v>0</v>
      </c>
    </row>
    <row r="98" spans="3:42" x14ac:dyDescent="0.2">
      <c r="C98" s="144">
        <f>+'Gantt Proyectos'!C166</f>
        <v>70</v>
      </c>
      <c r="D98" s="145">
        <f>+'Gantt Proyectos'!D166</f>
        <v>0</v>
      </c>
      <c r="E98" s="145">
        <f>+'Gantt Proyectos'!E166</f>
        <v>0</v>
      </c>
      <c r="F98" s="147">
        <f>+'Gantt Proyectos'!F166</f>
        <v>0</v>
      </c>
      <c r="G98" s="145">
        <f>+'Gantt Proyectos'!G166</f>
        <v>0</v>
      </c>
      <c r="H98" s="145">
        <f>+'Gantt Proyectos'!H166</f>
        <v>0</v>
      </c>
      <c r="I98" s="189">
        <v>1</v>
      </c>
      <c r="J98" s="189">
        <f t="shared" si="8"/>
        <v>0</v>
      </c>
      <c r="K98" s="145">
        <f>+'Gantt Proyectos'!I166</f>
        <v>0</v>
      </c>
      <c r="L98" s="120">
        <f>+'Gantt Proyectos'!J166</f>
        <v>0</v>
      </c>
      <c r="M98" s="145">
        <f>+'Gantt Proyectos'!K166</f>
        <v>0</v>
      </c>
      <c r="N98" s="145">
        <f>+'Gantt Proyectos'!L166</f>
        <v>0</v>
      </c>
      <c r="O98" s="145">
        <f>+'Gantt Proyectos'!M166</f>
        <v>0</v>
      </c>
      <c r="P98" s="145">
        <f>+'Gantt Proyectos'!N166</f>
        <v>0</v>
      </c>
      <c r="Q98" s="119">
        <f>+'Gantt Proyectos'!O166</f>
        <v>0</v>
      </c>
      <c r="R98" s="119">
        <f>+'Gantt Proyectos'!P166</f>
        <v>0</v>
      </c>
      <c r="S98" s="145">
        <f>+'Gantt Proyectos'!R166</f>
        <v>0</v>
      </c>
      <c r="T98" s="118">
        <f>+'Gantt Proyectos'!S166</f>
        <v>0</v>
      </c>
      <c r="U98" s="156">
        <f>+'Gantt Proyectos'!T166</f>
        <v>0</v>
      </c>
      <c r="V98" s="156">
        <f>+'Gantt Proyectos'!U166</f>
        <v>0</v>
      </c>
      <c r="W98" s="201">
        <f t="shared" si="9"/>
        <v>0</v>
      </c>
      <c r="X98" s="121">
        <f>+'Gantt Proyectos'!W166</f>
        <v>0</v>
      </c>
      <c r="Y98" s="122">
        <f>+'Gantt Proyectos'!X166</f>
        <v>0</v>
      </c>
      <c r="Z98" s="122">
        <f>+'Gantt Proyectos'!Y166</f>
        <v>0</v>
      </c>
      <c r="AA98" s="122">
        <f>+'Gantt Proyectos'!Z166</f>
        <v>0</v>
      </c>
      <c r="AB98" s="122">
        <f>+'Gantt Proyectos'!AA166</f>
        <v>0</v>
      </c>
      <c r="AC98" s="122">
        <f>+'Gantt Proyectos'!AB166</f>
        <v>0</v>
      </c>
      <c r="AD98" s="123">
        <f>+'Gantt Proyectos'!AC166</f>
        <v>0</v>
      </c>
      <c r="AE98" s="123">
        <f>+'Gantt Proyectos'!AD166</f>
        <v>0</v>
      </c>
      <c r="AF98" s="124">
        <f>+'Gantt Proyectos'!AE166</f>
        <v>0</v>
      </c>
      <c r="AG98" s="172">
        <v>1</v>
      </c>
      <c r="AH98" s="169">
        <f ca="1">+IFERROR(IF(ISNUMBER(OFFSET('EDP Proyectado'!AI98,0,-'Ingreso Proyectado'!$P98))&lt;&gt;0,IF(OFFSET('EDP Proyectado'!AI98,0,-'Ingreso Proyectado'!$P98)+0&lt;=1,0,OFFSET('EDP Proyectado'!AI98,0,-'Ingreso Proyectado'!$P98)+0)),0)</f>
        <v>0</v>
      </c>
      <c r="AI98" s="169">
        <f ca="1">+IFERROR(IF(ISNUMBER(OFFSET('EDP Proyectado'!AJ98,0,-'Ingreso Proyectado'!$P98))&lt;&gt;0,IF(OFFSET('EDP Proyectado'!AJ98,0,-'Ingreso Proyectado'!$P98)+0&lt;=1,0,OFFSET('EDP Proyectado'!AJ98,0,-'Ingreso Proyectado'!$P98)+0)),0)</f>
        <v>0</v>
      </c>
      <c r="AJ98" s="169">
        <f ca="1">+IFERROR(IF(ISNUMBER(OFFSET('EDP Proyectado'!AK98,0,-'Ingreso Proyectado'!$P98))&lt;&gt;0,IF(OFFSET('EDP Proyectado'!AK98,0,-'Ingreso Proyectado'!$P98)+0&lt;=1,0,OFFSET('EDP Proyectado'!AK98,0,-'Ingreso Proyectado'!$P98)+0)),0)</f>
        <v>0</v>
      </c>
      <c r="AK98" s="169">
        <f ca="1">+IFERROR(IF(ISNUMBER(OFFSET('EDP Proyectado'!AL98,0,-'Ingreso Proyectado'!$P98))&lt;&gt;0,IF(OFFSET('EDP Proyectado'!AL98,0,-'Ingreso Proyectado'!$P98)+0&lt;=1,0,OFFSET('EDP Proyectado'!AL98,0,-'Ingreso Proyectado'!$P98)+0)),0)</f>
        <v>0</v>
      </c>
      <c r="AL98" s="169">
        <f ca="1">+IFERROR(IF(ISNUMBER(OFFSET('EDP Proyectado'!AM98,0,-'Ingreso Proyectado'!$P98))&lt;&gt;0,IF(OFFSET('EDP Proyectado'!AM98,0,-'Ingreso Proyectado'!$P98)+0&lt;=1,0,OFFSET('EDP Proyectado'!AM98,0,-'Ingreso Proyectado'!$P98)+0)),0)</f>
        <v>0</v>
      </c>
      <c r="AM98" s="169">
        <f ca="1">+IFERROR(IF(ISNUMBER(OFFSET('EDP Proyectado'!AN98,0,-'Ingreso Proyectado'!$P98))&lt;&gt;0,IF(OFFSET('EDP Proyectado'!AN98,0,-'Ingreso Proyectado'!$P98)+0&lt;=1,0,OFFSET('EDP Proyectado'!AN98,0,-'Ingreso Proyectado'!$P98)+0)),0)</f>
        <v>0</v>
      </c>
      <c r="AN98" s="169">
        <f ca="1">+IFERROR(IF(ISNUMBER(OFFSET('EDP Proyectado'!AO98,0,-'Ingreso Proyectado'!$P98))&lt;&gt;0,IF(OFFSET('EDP Proyectado'!AO98,0,-'Ingreso Proyectado'!$P98)+0&lt;=1,0,OFFSET('EDP Proyectado'!AO98,0,-'Ingreso Proyectado'!$P98)+0)),0)</f>
        <v>0</v>
      </c>
      <c r="AO98" s="169">
        <f ca="1">+IFERROR(IF(ISNUMBER(OFFSET('EDP Proyectado'!AP98,0,-'Ingreso Proyectado'!$P98))&lt;&gt;0,IF(OFFSET('EDP Proyectado'!AP98,0,-'Ingreso Proyectado'!$P98)+0&lt;=1,0,OFFSET('EDP Proyectado'!AP98,0,-'Ingreso Proyectado'!$P98)+0)),0)</f>
        <v>0</v>
      </c>
      <c r="AP98" s="170">
        <f ca="1">+IFERROR(IF(ISNUMBER(OFFSET('EDP Proyectado'!AQ98,0,-'Ingreso Proyectado'!$P98))&lt;&gt;0,IF(OFFSET('EDP Proyectado'!AQ98,0,-'Ingreso Proyectado'!$P98)+0&lt;=1,0,OFFSET('EDP Proyectado'!AQ98,0,-'Ingreso Proyectado'!$P98)+0)),0)</f>
        <v>0</v>
      </c>
    </row>
    <row r="99" spans="3:42" x14ac:dyDescent="0.2">
      <c r="C99" s="144">
        <f>+'Gantt Proyectos'!C167</f>
        <v>71</v>
      </c>
      <c r="D99" s="145">
        <f>+'Gantt Proyectos'!D167</f>
        <v>0</v>
      </c>
      <c r="E99" s="145">
        <f>+'Gantt Proyectos'!E167</f>
        <v>0</v>
      </c>
      <c r="F99" s="147">
        <f>+'Gantt Proyectos'!F167</f>
        <v>0</v>
      </c>
      <c r="G99" s="145">
        <f>+'Gantt Proyectos'!G167</f>
        <v>0</v>
      </c>
      <c r="H99" s="145">
        <f>+'Gantt Proyectos'!H167</f>
        <v>0</v>
      </c>
      <c r="I99" s="189">
        <v>1</v>
      </c>
      <c r="J99" s="189">
        <f t="shared" si="8"/>
        <v>0</v>
      </c>
      <c r="K99" s="145">
        <f>+'Gantt Proyectos'!I167</f>
        <v>0</v>
      </c>
      <c r="L99" s="120">
        <f>+'Gantt Proyectos'!J167</f>
        <v>0</v>
      </c>
      <c r="M99" s="145">
        <f>+'Gantt Proyectos'!K167</f>
        <v>0</v>
      </c>
      <c r="N99" s="145">
        <f>+'Gantt Proyectos'!L167</f>
        <v>0</v>
      </c>
      <c r="O99" s="145">
        <f>+'Gantt Proyectos'!M167</f>
        <v>0</v>
      </c>
      <c r="P99" s="145">
        <f>+'Gantt Proyectos'!N167</f>
        <v>0</v>
      </c>
      <c r="Q99" s="119">
        <f>+'Gantt Proyectos'!O167</f>
        <v>0</v>
      </c>
      <c r="R99" s="119">
        <f>+'Gantt Proyectos'!P167</f>
        <v>0</v>
      </c>
      <c r="S99" s="145">
        <f>+'Gantt Proyectos'!R167</f>
        <v>0</v>
      </c>
      <c r="T99" s="118">
        <f>+'Gantt Proyectos'!S167</f>
        <v>0</v>
      </c>
      <c r="U99" s="156">
        <f>+'Gantt Proyectos'!T167</f>
        <v>0</v>
      </c>
      <c r="V99" s="156">
        <f>+'Gantt Proyectos'!U167</f>
        <v>0</v>
      </c>
      <c r="W99" s="201">
        <f t="shared" si="9"/>
        <v>0</v>
      </c>
      <c r="X99" s="121">
        <f>+'Gantt Proyectos'!W167</f>
        <v>0</v>
      </c>
      <c r="Y99" s="122">
        <f>+'Gantt Proyectos'!X167</f>
        <v>0</v>
      </c>
      <c r="Z99" s="122">
        <f>+'Gantt Proyectos'!Y167</f>
        <v>0</v>
      </c>
      <c r="AA99" s="122">
        <f>+'Gantt Proyectos'!Z167</f>
        <v>0</v>
      </c>
      <c r="AB99" s="122">
        <f>+'Gantt Proyectos'!AA167</f>
        <v>0</v>
      </c>
      <c r="AC99" s="122">
        <f>+'Gantt Proyectos'!AB167</f>
        <v>0</v>
      </c>
      <c r="AD99" s="123">
        <f>+'Gantt Proyectos'!AC167</f>
        <v>0</v>
      </c>
      <c r="AE99" s="123">
        <f>+'Gantt Proyectos'!AD167</f>
        <v>0</v>
      </c>
      <c r="AF99" s="124">
        <f>+'Gantt Proyectos'!AE167</f>
        <v>0</v>
      </c>
      <c r="AG99" s="172">
        <v>1</v>
      </c>
      <c r="AH99" s="169">
        <f ca="1">+IFERROR(IF(ISNUMBER(OFFSET('EDP Proyectado'!AI99,0,-'Ingreso Proyectado'!$P99))&lt;&gt;0,IF(OFFSET('EDP Proyectado'!AI99,0,-'Ingreso Proyectado'!$P99)+0&lt;=1,0,OFFSET('EDP Proyectado'!AI99,0,-'Ingreso Proyectado'!$P99)+0)),0)</f>
        <v>0</v>
      </c>
      <c r="AI99" s="169">
        <f ca="1">+IFERROR(IF(ISNUMBER(OFFSET('EDP Proyectado'!AJ99,0,-'Ingreso Proyectado'!$P99))&lt;&gt;0,IF(OFFSET('EDP Proyectado'!AJ99,0,-'Ingreso Proyectado'!$P99)+0&lt;=1,0,OFFSET('EDP Proyectado'!AJ99,0,-'Ingreso Proyectado'!$P99)+0)),0)</f>
        <v>0</v>
      </c>
      <c r="AJ99" s="169">
        <f ca="1">+IFERROR(IF(ISNUMBER(OFFSET('EDP Proyectado'!AK99,0,-'Ingreso Proyectado'!$P99))&lt;&gt;0,IF(OFFSET('EDP Proyectado'!AK99,0,-'Ingreso Proyectado'!$P99)+0&lt;=1,0,OFFSET('EDP Proyectado'!AK99,0,-'Ingreso Proyectado'!$P99)+0)),0)</f>
        <v>0</v>
      </c>
      <c r="AK99" s="169">
        <f ca="1">+IFERROR(IF(ISNUMBER(OFFSET('EDP Proyectado'!AL99,0,-'Ingreso Proyectado'!$P99))&lt;&gt;0,IF(OFFSET('EDP Proyectado'!AL99,0,-'Ingreso Proyectado'!$P99)+0&lt;=1,0,OFFSET('EDP Proyectado'!AL99,0,-'Ingreso Proyectado'!$P99)+0)),0)</f>
        <v>0</v>
      </c>
      <c r="AL99" s="169">
        <f ca="1">+IFERROR(IF(ISNUMBER(OFFSET('EDP Proyectado'!AM99,0,-'Ingreso Proyectado'!$P99))&lt;&gt;0,IF(OFFSET('EDP Proyectado'!AM99,0,-'Ingreso Proyectado'!$P99)+0&lt;=1,0,OFFSET('EDP Proyectado'!AM99,0,-'Ingreso Proyectado'!$P99)+0)),0)</f>
        <v>0</v>
      </c>
      <c r="AM99" s="169">
        <f ca="1">+IFERROR(IF(ISNUMBER(OFFSET('EDP Proyectado'!AN99,0,-'Ingreso Proyectado'!$P99))&lt;&gt;0,IF(OFFSET('EDP Proyectado'!AN99,0,-'Ingreso Proyectado'!$P99)+0&lt;=1,0,OFFSET('EDP Proyectado'!AN99,0,-'Ingreso Proyectado'!$P99)+0)),0)</f>
        <v>0</v>
      </c>
      <c r="AN99" s="169">
        <f ca="1">+IFERROR(IF(ISNUMBER(OFFSET('EDP Proyectado'!AO99,0,-'Ingreso Proyectado'!$P99))&lt;&gt;0,IF(OFFSET('EDP Proyectado'!AO99,0,-'Ingreso Proyectado'!$P99)+0&lt;=1,0,OFFSET('EDP Proyectado'!AO99,0,-'Ingreso Proyectado'!$P99)+0)),0)</f>
        <v>0</v>
      </c>
      <c r="AO99" s="169">
        <f ca="1">+IFERROR(IF(ISNUMBER(OFFSET('EDP Proyectado'!AP99,0,-'Ingreso Proyectado'!$P99))&lt;&gt;0,IF(OFFSET('EDP Proyectado'!AP99,0,-'Ingreso Proyectado'!$P99)+0&lt;=1,0,OFFSET('EDP Proyectado'!AP99,0,-'Ingreso Proyectado'!$P99)+0)),0)</f>
        <v>0</v>
      </c>
      <c r="AP99" s="170">
        <f ca="1">+IFERROR(IF(ISNUMBER(OFFSET('EDP Proyectado'!AQ99,0,-'Ingreso Proyectado'!$P99))&lt;&gt;0,IF(OFFSET('EDP Proyectado'!AQ99,0,-'Ingreso Proyectado'!$P99)+0&lt;=1,0,OFFSET('EDP Proyectado'!AQ99,0,-'Ingreso Proyectado'!$P99)+0)),0)</f>
        <v>0</v>
      </c>
    </row>
    <row r="100" spans="3:42" x14ac:dyDescent="0.2">
      <c r="C100" s="144">
        <f>+'Gantt Proyectos'!C168</f>
        <v>72</v>
      </c>
      <c r="D100" s="145">
        <f>+'Gantt Proyectos'!D168</f>
        <v>0</v>
      </c>
      <c r="E100" s="145">
        <f>+'Gantt Proyectos'!E168</f>
        <v>0</v>
      </c>
      <c r="F100" s="147">
        <f>+'Gantt Proyectos'!F168</f>
        <v>0</v>
      </c>
      <c r="G100" s="145">
        <f>+'Gantt Proyectos'!G168</f>
        <v>0</v>
      </c>
      <c r="H100" s="145">
        <f>+'Gantt Proyectos'!H168</f>
        <v>0</v>
      </c>
      <c r="I100" s="189">
        <v>1</v>
      </c>
      <c r="J100" s="189">
        <f t="shared" si="8"/>
        <v>0</v>
      </c>
      <c r="K100" s="145">
        <f>+'Gantt Proyectos'!I168</f>
        <v>0</v>
      </c>
      <c r="L100" s="120">
        <f>+'Gantt Proyectos'!J168</f>
        <v>0</v>
      </c>
      <c r="M100" s="145">
        <f>+'Gantt Proyectos'!K168</f>
        <v>0</v>
      </c>
      <c r="N100" s="145">
        <f>+'Gantt Proyectos'!L168</f>
        <v>0</v>
      </c>
      <c r="O100" s="145">
        <f>+'Gantt Proyectos'!M168</f>
        <v>0</v>
      </c>
      <c r="P100" s="145">
        <f>+'Gantt Proyectos'!N168</f>
        <v>0</v>
      </c>
      <c r="Q100" s="119">
        <f>+'Gantt Proyectos'!O168</f>
        <v>0</v>
      </c>
      <c r="R100" s="119">
        <f>+'Gantt Proyectos'!P168</f>
        <v>0</v>
      </c>
      <c r="S100" s="145">
        <f>+'Gantt Proyectos'!R168</f>
        <v>0</v>
      </c>
      <c r="T100" s="118">
        <f>+'Gantt Proyectos'!S168</f>
        <v>0</v>
      </c>
      <c r="U100" s="156">
        <f>+'Gantt Proyectos'!T168</f>
        <v>0</v>
      </c>
      <c r="V100" s="156">
        <f>+'Gantt Proyectos'!U168</f>
        <v>0</v>
      </c>
      <c r="W100" s="201">
        <f t="shared" si="9"/>
        <v>0</v>
      </c>
      <c r="X100" s="121">
        <f>+'Gantt Proyectos'!W168</f>
        <v>0</v>
      </c>
      <c r="Y100" s="122">
        <f>+'Gantt Proyectos'!X168</f>
        <v>0</v>
      </c>
      <c r="Z100" s="122">
        <f>+'Gantt Proyectos'!Y168</f>
        <v>0</v>
      </c>
      <c r="AA100" s="122">
        <f>+'Gantt Proyectos'!Z168</f>
        <v>0</v>
      </c>
      <c r="AB100" s="122">
        <f>+'Gantt Proyectos'!AA168</f>
        <v>0</v>
      </c>
      <c r="AC100" s="122">
        <f>+'Gantt Proyectos'!AB168</f>
        <v>0</v>
      </c>
      <c r="AD100" s="123">
        <f>+'Gantt Proyectos'!AC168</f>
        <v>0</v>
      </c>
      <c r="AE100" s="123">
        <f>+'Gantt Proyectos'!AD168</f>
        <v>0</v>
      </c>
      <c r="AF100" s="124">
        <f>+'Gantt Proyectos'!AE168</f>
        <v>0</v>
      </c>
      <c r="AG100" s="172">
        <v>1</v>
      </c>
      <c r="AH100" s="169">
        <f ca="1">+IFERROR(IF(ISNUMBER(OFFSET('EDP Proyectado'!AI100,0,-'Ingreso Proyectado'!$P100))&lt;&gt;0,IF(OFFSET('EDP Proyectado'!AI100,0,-'Ingreso Proyectado'!$P100)+0&lt;=1,0,OFFSET('EDP Proyectado'!AI100,0,-'Ingreso Proyectado'!$P100)+0)),0)</f>
        <v>0</v>
      </c>
      <c r="AI100" s="169">
        <f ca="1">+IFERROR(IF(ISNUMBER(OFFSET('EDP Proyectado'!AJ100,0,-'Ingreso Proyectado'!$P100))&lt;&gt;0,IF(OFFSET('EDP Proyectado'!AJ100,0,-'Ingreso Proyectado'!$P100)+0&lt;=1,0,OFFSET('EDP Proyectado'!AJ100,0,-'Ingreso Proyectado'!$P100)+0)),0)</f>
        <v>0</v>
      </c>
      <c r="AJ100" s="169">
        <f ca="1">+IFERROR(IF(ISNUMBER(OFFSET('EDP Proyectado'!AK100,0,-'Ingreso Proyectado'!$P100))&lt;&gt;0,IF(OFFSET('EDP Proyectado'!AK100,0,-'Ingreso Proyectado'!$P100)+0&lt;=1,0,OFFSET('EDP Proyectado'!AK100,0,-'Ingreso Proyectado'!$P100)+0)),0)</f>
        <v>0</v>
      </c>
      <c r="AK100" s="169">
        <f ca="1">+IFERROR(IF(ISNUMBER(OFFSET('EDP Proyectado'!AL100,0,-'Ingreso Proyectado'!$P100))&lt;&gt;0,IF(OFFSET('EDP Proyectado'!AL100,0,-'Ingreso Proyectado'!$P100)+0&lt;=1,0,OFFSET('EDP Proyectado'!AL100,0,-'Ingreso Proyectado'!$P100)+0)),0)</f>
        <v>0</v>
      </c>
      <c r="AL100" s="169">
        <f ca="1">+IFERROR(IF(ISNUMBER(OFFSET('EDP Proyectado'!AM100,0,-'Ingreso Proyectado'!$P100))&lt;&gt;0,IF(OFFSET('EDP Proyectado'!AM100,0,-'Ingreso Proyectado'!$P100)+0&lt;=1,0,OFFSET('EDP Proyectado'!AM100,0,-'Ingreso Proyectado'!$P100)+0)),0)</f>
        <v>0</v>
      </c>
      <c r="AM100" s="169">
        <f ca="1">+IFERROR(IF(ISNUMBER(OFFSET('EDP Proyectado'!AN100,0,-'Ingreso Proyectado'!$P100))&lt;&gt;0,IF(OFFSET('EDP Proyectado'!AN100,0,-'Ingreso Proyectado'!$P100)+0&lt;=1,0,OFFSET('EDP Proyectado'!AN100,0,-'Ingreso Proyectado'!$P100)+0)),0)</f>
        <v>0</v>
      </c>
      <c r="AN100" s="169">
        <f ca="1">+IFERROR(IF(ISNUMBER(OFFSET('EDP Proyectado'!AO100,0,-'Ingreso Proyectado'!$P100))&lt;&gt;0,IF(OFFSET('EDP Proyectado'!AO100,0,-'Ingreso Proyectado'!$P100)+0&lt;=1,0,OFFSET('EDP Proyectado'!AO100,0,-'Ingreso Proyectado'!$P100)+0)),0)</f>
        <v>0</v>
      </c>
      <c r="AO100" s="169">
        <f ca="1">+IFERROR(IF(ISNUMBER(OFFSET('EDP Proyectado'!AP100,0,-'Ingreso Proyectado'!$P100))&lt;&gt;0,IF(OFFSET('EDP Proyectado'!AP100,0,-'Ingreso Proyectado'!$P100)+0&lt;=1,0,OFFSET('EDP Proyectado'!AP100,0,-'Ingreso Proyectado'!$P100)+0)),0)</f>
        <v>0</v>
      </c>
      <c r="AP100" s="170">
        <f ca="1">+IFERROR(IF(ISNUMBER(OFFSET('EDP Proyectado'!AQ100,0,-'Ingreso Proyectado'!$P100))&lt;&gt;0,IF(OFFSET('EDP Proyectado'!AQ100,0,-'Ingreso Proyectado'!$P100)+0&lt;=1,0,OFFSET('EDP Proyectado'!AQ100,0,-'Ingreso Proyectado'!$P100)+0)),0)</f>
        <v>0</v>
      </c>
    </row>
    <row r="101" spans="3:42" x14ac:dyDescent="0.2">
      <c r="C101" s="144">
        <f>+'Gantt Proyectos'!C169</f>
        <v>73</v>
      </c>
      <c r="D101" s="145">
        <f>+'Gantt Proyectos'!D169</f>
        <v>0</v>
      </c>
      <c r="E101" s="145">
        <f>+'Gantt Proyectos'!E169</f>
        <v>0</v>
      </c>
      <c r="F101" s="147">
        <f>+'Gantt Proyectos'!F169</f>
        <v>0</v>
      </c>
      <c r="G101" s="145">
        <f>+'Gantt Proyectos'!G169</f>
        <v>0</v>
      </c>
      <c r="H101" s="145">
        <f>+'Gantt Proyectos'!H169</f>
        <v>0</v>
      </c>
      <c r="I101" s="189">
        <v>1</v>
      </c>
      <c r="J101" s="189">
        <f t="shared" si="8"/>
        <v>0</v>
      </c>
      <c r="K101" s="145">
        <f>+'Gantt Proyectos'!I169</f>
        <v>0</v>
      </c>
      <c r="L101" s="120">
        <f>+'Gantt Proyectos'!J169</f>
        <v>0</v>
      </c>
      <c r="M101" s="145">
        <f>+'Gantt Proyectos'!K169</f>
        <v>0</v>
      </c>
      <c r="N101" s="145">
        <f>+'Gantt Proyectos'!L169</f>
        <v>0</v>
      </c>
      <c r="O101" s="145">
        <f>+'Gantt Proyectos'!M169</f>
        <v>0</v>
      </c>
      <c r="P101" s="145">
        <f>+'Gantt Proyectos'!N169</f>
        <v>0</v>
      </c>
      <c r="Q101" s="119">
        <f>+'Gantt Proyectos'!O169</f>
        <v>0</v>
      </c>
      <c r="R101" s="119">
        <f>+'Gantt Proyectos'!P169</f>
        <v>0</v>
      </c>
      <c r="S101" s="145">
        <f>+'Gantt Proyectos'!R169</f>
        <v>0</v>
      </c>
      <c r="T101" s="118">
        <f>+'Gantt Proyectos'!S169</f>
        <v>0</v>
      </c>
      <c r="U101" s="156">
        <f>+'Gantt Proyectos'!T169</f>
        <v>0</v>
      </c>
      <c r="V101" s="156">
        <f>+'Gantt Proyectos'!U169</f>
        <v>0</v>
      </c>
      <c r="W101" s="201">
        <f t="shared" si="9"/>
        <v>0</v>
      </c>
      <c r="X101" s="121">
        <f>+'Gantt Proyectos'!W169</f>
        <v>0</v>
      </c>
      <c r="Y101" s="122">
        <f>+'Gantt Proyectos'!X169</f>
        <v>0</v>
      </c>
      <c r="Z101" s="122">
        <f>+'Gantt Proyectos'!Y169</f>
        <v>0</v>
      </c>
      <c r="AA101" s="122">
        <f>+'Gantt Proyectos'!Z169</f>
        <v>0</v>
      </c>
      <c r="AB101" s="122">
        <f>+'Gantt Proyectos'!AA169</f>
        <v>0</v>
      </c>
      <c r="AC101" s="122">
        <f>+'Gantt Proyectos'!AB169</f>
        <v>0</v>
      </c>
      <c r="AD101" s="123">
        <f>+'Gantt Proyectos'!AC169</f>
        <v>0</v>
      </c>
      <c r="AE101" s="123">
        <f>+'Gantt Proyectos'!AD169</f>
        <v>0</v>
      </c>
      <c r="AF101" s="124">
        <f>+'Gantt Proyectos'!AE169</f>
        <v>0</v>
      </c>
      <c r="AG101" s="172">
        <v>1</v>
      </c>
      <c r="AH101" s="169">
        <f ca="1">+IFERROR(IF(ISNUMBER(OFFSET('EDP Proyectado'!AI101,0,-'Ingreso Proyectado'!$P101))&lt;&gt;0,IF(OFFSET('EDP Proyectado'!AI101,0,-'Ingreso Proyectado'!$P101)+0&lt;=1,0,OFFSET('EDP Proyectado'!AI101,0,-'Ingreso Proyectado'!$P101)+0)),0)</f>
        <v>0</v>
      </c>
      <c r="AI101" s="169">
        <f ca="1">+IFERROR(IF(ISNUMBER(OFFSET('EDP Proyectado'!AJ101,0,-'Ingreso Proyectado'!$P101))&lt;&gt;0,IF(OFFSET('EDP Proyectado'!AJ101,0,-'Ingreso Proyectado'!$P101)+0&lt;=1,0,OFFSET('EDP Proyectado'!AJ101,0,-'Ingreso Proyectado'!$P101)+0)),0)</f>
        <v>0</v>
      </c>
      <c r="AJ101" s="169">
        <f ca="1">+IFERROR(IF(ISNUMBER(OFFSET('EDP Proyectado'!AK101,0,-'Ingreso Proyectado'!$P101))&lt;&gt;0,IF(OFFSET('EDP Proyectado'!AK101,0,-'Ingreso Proyectado'!$P101)+0&lt;=1,0,OFFSET('EDP Proyectado'!AK101,0,-'Ingreso Proyectado'!$P101)+0)),0)</f>
        <v>0</v>
      </c>
      <c r="AK101" s="169">
        <f ca="1">+IFERROR(IF(ISNUMBER(OFFSET('EDP Proyectado'!AL101,0,-'Ingreso Proyectado'!$P101))&lt;&gt;0,IF(OFFSET('EDP Proyectado'!AL101,0,-'Ingreso Proyectado'!$P101)+0&lt;=1,0,OFFSET('EDP Proyectado'!AL101,0,-'Ingreso Proyectado'!$P101)+0)),0)</f>
        <v>0</v>
      </c>
      <c r="AL101" s="169">
        <f ca="1">+IFERROR(IF(ISNUMBER(OFFSET('EDP Proyectado'!AM101,0,-'Ingreso Proyectado'!$P101))&lt;&gt;0,IF(OFFSET('EDP Proyectado'!AM101,0,-'Ingreso Proyectado'!$P101)+0&lt;=1,0,OFFSET('EDP Proyectado'!AM101,0,-'Ingreso Proyectado'!$P101)+0)),0)</f>
        <v>0</v>
      </c>
      <c r="AM101" s="169">
        <f ca="1">+IFERROR(IF(ISNUMBER(OFFSET('EDP Proyectado'!AN101,0,-'Ingreso Proyectado'!$P101))&lt;&gt;0,IF(OFFSET('EDP Proyectado'!AN101,0,-'Ingreso Proyectado'!$P101)+0&lt;=1,0,OFFSET('EDP Proyectado'!AN101,0,-'Ingreso Proyectado'!$P101)+0)),0)</f>
        <v>0</v>
      </c>
      <c r="AN101" s="169">
        <f ca="1">+IFERROR(IF(ISNUMBER(OFFSET('EDP Proyectado'!AO101,0,-'Ingreso Proyectado'!$P101))&lt;&gt;0,IF(OFFSET('EDP Proyectado'!AO101,0,-'Ingreso Proyectado'!$P101)+0&lt;=1,0,OFFSET('EDP Proyectado'!AO101,0,-'Ingreso Proyectado'!$P101)+0)),0)</f>
        <v>0</v>
      </c>
      <c r="AO101" s="169">
        <f ca="1">+IFERROR(IF(ISNUMBER(OFFSET('EDP Proyectado'!AP101,0,-'Ingreso Proyectado'!$P101))&lt;&gt;0,IF(OFFSET('EDP Proyectado'!AP101,0,-'Ingreso Proyectado'!$P101)+0&lt;=1,0,OFFSET('EDP Proyectado'!AP101,0,-'Ingreso Proyectado'!$P101)+0)),0)</f>
        <v>0</v>
      </c>
      <c r="AP101" s="170">
        <f ca="1">+IFERROR(IF(ISNUMBER(OFFSET('EDP Proyectado'!AQ101,0,-'Ingreso Proyectado'!$P101))&lt;&gt;0,IF(OFFSET('EDP Proyectado'!AQ101,0,-'Ingreso Proyectado'!$P101)+0&lt;=1,0,OFFSET('EDP Proyectado'!AQ101,0,-'Ingreso Proyectado'!$P101)+0)),0)</f>
        <v>0</v>
      </c>
    </row>
    <row r="102" spans="3:42" x14ac:dyDescent="0.2">
      <c r="C102" s="144">
        <f>+'Gantt Proyectos'!C170</f>
        <v>74</v>
      </c>
      <c r="D102" s="145">
        <f>+'Gantt Proyectos'!D170</f>
        <v>0</v>
      </c>
      <c r="E102" s="145">
        <f>+'Gantt Proyectos'!E170</f>
        <v>0</v>
      </c>
      <c r="F102" s="147">
        <f>+'Gantt Proyectos'!F170</f>
        <v>0</v>
      </c>
      <c r="G102" s="145">
        <f>+'Gantt Proyectos'!G170</f>
        <v>0</v>
      </c>
      <c r="H102" s="145">
        <f>+'Gantt Proyectos'!H170</f>
        <v>0</v>
      </c>
      <c r="I102" s="189">
        <v>1</v>
      </c>
      <c r="J102" s="189">
        <f t="shared" si="8"/>
        <v>0</v>
      </c>
      <c r="K102" s="145">
        <f>+'Gantt Proyectos'!I170</f>
        <v>0</v>
      </c>
      <c r="L102" s="120">
        <f>+'Gantt Proyectos'!J170</f>
        <v>0</v>
      </c>
      <c r="M102" s="145">
        <f>+'Gantt Proyectos'!K170</f>
        <v>0</v>
      </c>
      <c r="N102" s="145">
        <f>+'Gantt Proyectos'!L170</f>
        <v>0</v>
      </c>
      <c r="O102" s="145">
        <f>+'Gantt Proyectos'!M170</f>
        <v>0</v>
      </c>
      <c r="P102" s="145">
        <f>+'Gantt Proyectos'!N170</f>
        <v>0</v>
      </c>
      <c r="Q102" s="119">
        <f>+'Gantt Proyectos'!O170</f>
        <v>0</v>
      </c>
      <c r="R102" s="119">
        <f>+'Gantt Proyectos'!P170</f>
        <v>0</v>
      </c>
      <c r="S102" s="145">
        <f>+'Gantt Proyectos'!R170</f>
        <v>0</v>
      </c>
      <c r="T102" s="118">
        <f>+'Gantt Proyectos'!S170</f>
        <v>0</v>
      </c>
      <c r="U102" s="156">
        <f>+'Gantt Proyectos'!T170</f>
        <v>0</v>
      </c>
      <c r="V102" s="156">
        <f>+'Gantt Proyectos'!U170</f>
        <v>0</v>
      </c>
      <c r="W102" s="201">
        <f t="shared" si="9"/>
        <v>0</v>
      </c>
      <c r="X102" s="121">
        <f>+'Gantt Proyectos'!W170</f>
        <v>0</v>
      </c>
      <c r="Y102" s="122">
        <f>+'Gantt Proyectos'!X170</f>
        <v>0</v>
      </c>
      <c r="Z102" s="122">
        <f>+'Gantt Proyectos'!Y170</f>
        <v>0</v>
      </c>
      <c r="AA102" s="122">
        <f>+'Gantt Proyectos'!Z170</f>
        <v>0</v>
      </c>
      <c r="AB102" s="122">
        <f>+'Gantt Proyectos'!AA170</f>
        <v>0</v>
      </c>
      <c r="AC102" s="122">
        <f>+'Gantt Proyectos'!AB170</f>
        <v>0</v>
      </c>
      <c r="AD102" s="123">
        <f>+'Gantt Proyectos'!AC170</f>
        <v>0</v>
      </c>
      <c r="AE102" s="123">
        <f>+'Gantt Proyectos'!AD170</f>
        <v>0</v>
      </c>
      <c r="AF102" s="124">
        <f>+'Gantt Proyectos'!AE170</f>
        <v>0</v>
      </c>
      <c r="AG102" s="172">
        <v>1</v>
      </c>
      <c r="AH102" s="169">
        <f ca="1">+IFERROR(IF(ISNUMBER(OFFSET('EDP Proyectado'!AI102,0,-'Ingreso Proyectado'!$P102))&lt;&gt;0,IF(OFFSET('EDP Proyectado'!AI102,0,-'Ingreso Proyectado'!$P102)+0&lt;=1,0,OFFSET('EDP Proyectado'!AI102,0,-'Ingreso Proyectado'!$P102)+0)),0)</f>
        <v>0</v>
      </c>
      <c r="AI102" s="169">
        <f ca="1">+IFERROR(IF(ISNUMBER(OFFSET('EDP Proyectado'!AJ102,0,-'Ingreso Proyectado'!$P102))&lt;&gt;0,IF(OFFSET('EDP Proyectado'!AJ102,0,-'Ingreso Proyectado'!$P102)+0&lt;=1,0,OFFSET('EDP Proyectado'!AJ102,0,-'Ingreso Proyectado'!$P102)+0)),0)</f>
        <v>0</v>
      </c>
      <c r="AJ102" s="169">
        <f ca="1">+IFERROR(IF(ISNUMBER(OFFSET('EDP Proyectado'!AK102,0,-'Ingreso Proyectado'!$P102))&lt;&gt;0,IF(OFFSET('EDP Proyectado'!AK102,0,-'Ingreso Proyectado'!$P102)+0&lt;=1,0,OFFSET('EDP Proyectado'!AK102,0,-'Ingreso Proyectado'!$P102)+0)),0)</f>
        <v>0</v>
      </c>
      <c r="AK102" s="169">
        <f ca="1">+IFERROR(IF(ISNUMBER(OFFSET('EDP Proyectado'!AL102,0,-'Ingreso Proyectado'!$P102))&lt;&gt;0,IF(OFFSET('EDP Proyectado'!AL102,0,-'Ingreso Proyectado'!$P102)+0&lt;=1,0,OFFSET('EDP Proyectado'!AL102,0,-'Ingreso Proyectado'!$P102)+0)),0)</f>
        <v>0</v>
      </c>
      <c r="AL102" s="169">
        <f ca="1">+IFERROR(IF(ISNUMBER(OFFSET('EDP Proyectado'!AM102,0,-'Ingreso Proyectado'!$P102))&lt;&gt;0,IF(OFFSET('EDP Proyectado'!AM102,0,-'Ingreso Proyectado'!$P102)+0&lt;=1,0,OFFSET('EDP Proyectado'!AM102,0,-'Ingreso Proyectado'!$P102)+0)),0)</f>
        <v>0</v>
      </c>
      <c r="AM102" s="169">
        <f ca="1">+IFERROR(IF(ISNUMBER(OFFSET('EDP Proyectado'!AN102,0,-'Ingreso Proyectado'!$P102))&lt;&gt;0,IF(OFFSET('EDP Proyectado'!AN102,0,-'Ingreso Proyectado'!$P102)+0&lt;=1,0,OFFSET('EDP Proyectado'!AN102,0,-'Ingreso Proyectado'!$P102)+0)),0)</f>
        <v>0</v>
      </c>
      <c r="AN102" s="169">
        <f ca="1">+IFERROR(IF(ISNUMBER(OFFSET('EDP Proyectado'!AO102,0,-'Ingreso Proyectado'!$P102))&lt;&gt;0,IF(OFFSET('EDP Proyectado'!AO102,0,-'Ingreso Proyectado'!$P102)+0&lt;=1,0,OFFSET('EDP Proyectado'!AO102,0,-'Ingreso Proyectado'!$P102)+0)),0)</f>
        <v>0</v>
      </c>
      <c r="AO102" s="169">
        <f ca="1">+IFERROR(IF(ISNUMBER(OFFSET('EDP Proyectado'!AP102,0,-'Ingreso Proyectado'!$P102))&lt;&gt;0,IF(OFFSET('EDP Proyectado'!AP102,0,-'Ingreso Proyectado'!$P102)+0&lt;=1,0,OFFSET('EDP Proyectado'!AP102,0,-'Ingreso Proyectado'!$P102)+0)),0)</f>
        <v>0</v>
      </c>
      <c r="AP102" s="170">
        <f ca="1">+IFERROR(IF(ISNUMBER(OFFSET('EDP Proyectado'!AQ102,0,-'Ingreso Proyectado'!$P102))&lt;&gt;0,IF(OFFSET('EDP Proyectado'!AQ102,0,-'Ingreso Proyectado'!$P102)+0&lt;=1,0,OFFSET('EDP Proyectado'!AQ102,0,-'Ingreso Proyectado'!$P102)+0)),0)</f>
        <v>0</v>
      </c>
    </row>
    <row r="103" spans="3:42" x14ac:dyDescent="0.2">
      <c r="C103" s="144">
        <f>+'Gantt Proyectos'!C171</f>
        <v>75</v>
      </c>
      <c r="D103" s="145">
        <f>+'Gantt Proyectos'!D171</f>
        <v>0</v>
      </c>
      <c r="E103" s="145">
        <f>+'Gantt Proyectos'!E171</f>
        <v>0</v>
      </c>
      <c r="F103" s="147">
        <f>+'Gantt Proyectos'!F171</f>
        <v>0</v>
      </c>
      <c r="G103" s="145">
        <f>+'Gantt Proyectos'!G171</f>
        <v>0</v>
      </c>
      <c r="H103" s="145">
        <f>+'Gantt Proyectos'!H171</f>
        <v>0</v>
      </c>
      <c r="I103" s="189">
        <v>1</v>
      </c>
      <c r="J103" s="189">
        <f t="shared" si="8"/>
        <v>0</v>
      </c>
      <c r="K103" s="145">
        <f>+'Gantt Proyectos'!I171</f>
        <v>0</v>
      </c>
      <c r="L103" s="120">
        <f>+'Gantt Proyectos'!J171</f>
        <v>0</v>
      </c>
      <c r="M103" s="145">
        <f>+'Gantt Proyectos'!K171</f>
        <v>0</v>
      </c>
      <c r="N103" s="145">
        <f>+'Gantt Proyectos'!L171</f>
        <v>0</v>
      </c>
      <c r="O103" s="145">
        <f>+'Gantt Proyectos'!M171</f>
        <v>0</v>
      </c>
      <c r="P103" s="145">
        <f>+'Gantt Proyectos'!N171</f>
        <v>0</v>
      </c>
      <c r="Q103" s="119">
        <f>+'Gantt Proyectos'!O171</f>
        <v>0</v>
      </c>
      <c r="R103" s="119">
        <f>+'Gantt Proyectos'!P171</f>
        <v>0</v>
      </c>
      <c r="S103" s="145">
        <f>+'Gantt Proyectos'!R171</f>
        <v>0</v>
      </c>
      <c r="T103" s="118">
        <f>+'Gantt Proyectos'!S171</f>
        <v>0</v>
      </c>
      <c r="U103" s="156">
        <f>+'Gantt Proyectos'!T171</f>
        <v>0</v>
      </c>
      <c r="V103" s="156">
        <f>+'Gantt Proyectos'!U171</f>
        <v>0</v>
      </c>
      <c r="W103" s="201">
        <f t="shared" si="9"/>
        <v>0</v>
      </c>
      <c r="X103" s="121">
        <f>+'Gantt Proyectos'!W171</f>
        <v>0</v>
      </c>
      <c r="Y103" s="122">
        <f>+'Gantt Proyectos'!X171</f>
        <v>0</v>
      </c>
      <c r="Z103" s="122">
        <f>+'Gantt Proyectos'!Y171</f>
        <v>0</v>
      </c>
      <c r="AA103" s="122">
        <f>+'Gantt Proyectos'!Z171</f>
        <v>0</v>
      </c>
      <c r="AB103" s="122">
        <f>+'Gantt Proyectos'!AA171</f>
        <v>0</v>
      </c>
      <c r="AC103" s="122">
        <f>+'Gantt Proyectos'!AB171</f>
        <v>0</v>
      </c>
      <c r="AD103" s="123">
        <f>+'Gantt Proyectos'!AC171</f>
        <v>0</v>
      </c>
      <c r="AE103" s="123">
        <f>+'Gantt Proyectos'!AD171</f>
        <v>0</v>
      </c>
      <c r="AF103" s="124">
        <f>+'Gantt Proyectos'!AE171</f>
        <v>0</v>
      </c>
      <c r="AG103" s="172">
        <v>1</v>
      </c>
      <c r="AH103" s="169">
        <f ca="1">+IFERROR(IF(ISNUMBER(OFFSET('EDP Proyectado'!AI103,0,-'Ingreso Proyectado'!$P103))&lt;&gt;0,IF(OFFSET('EDP Proyectado'!AI103,0,-'Ingreso Proyectado'!$P103)+0&lt;=1,0,OFFSET('EDP Proyectado'!AI103,0,-'Ingreso Proyectado'!$P103)+0)),0)</f>
        <v>0</v>
      </c>
      <c r="AI103" s="169">
        <f ca="1">+IFERROR(IF(ISNUMBER(OFFSET('EDP Proyectado'!AJ103,0,-'Ingreso Proyectado'!$P103))&lt;&gt;0,IF(OFFSET('EDP Proyectado'!AJ103,0,-'Ingreso Proyectado'!$P103)+0&lt;=1,0,OFFSET('EDP Proyectado'!AJ103,0,-'Ingreso Proyectado'!$P103)+0)),0)</f>
        <v>0</v>
      </c>
      <c r="AJ103" s="169">
        <f ca="1">+IFERROR(IF(ISNUMBER(OFFSET('EDP Proyectado'!AK103,0,-'Ingreso Proyectado'!$P103))&lt;&gt;0,IF(OFFSET('EDP Proyectado'!AK103,0,-'Ingreso Proyectado'!$P103)+0&lt;=1,0,OFFSET('EDP Proyectado'!AK103,0,-'Ingreso Proyectado'!$P103)+0)),0)</f>
        <v>0</v>
      </c>
      <c r="AK103" s="169">
        <f ca="1">+IFERROR(IF(ISNUMBER(OFFSET('EDP Proyectado'!AL103,0,-'Ingreso Proyectado'!$P103))&lt;&gt;0,IF(OFFSET('EDP Proyectado'!AL103,0,-'Ingreso Proyectado'!$P103)+0&lt;=1,0,OFFSET('EDP Proyectado'!AL103,0,-'Ingreso Proyectado'!$P103)+0)),0)</f>
        <v>0</v>
      </c>
      <c r="AL103" s="169">
        <f ca="1">+IFERROR(IF(ISNUMBER(OFFSET('EDP Proyectado'!AM103,0,-'Ingreso Proyectado'!$P103))&lt;&gt;0,IF(OFFSET('EDP Proyectado'!AM103,0,-'Ingreso Proyectado'!$P103)+0&lt;=1,0,OFFSET('EDP Proyectado'!AM103,0,-'Ingreso Proyectado'!$P103)+0)),0)</f>
        <v>0</v>
      </c>
      <c r="AM103" s="169">
        <f ca="1">+IFERROR(IF(ISNUMBER(OFFSET('EDP Proyectado'!AN103,0,-'Ingreso Proyectado'!$P103))&lt;&gt;0,IF(OFFSET('EDP Proyectado'!AN103,0,-'Ingreso Proyectado'!$P103)+0&lt;=1,0,OFFSET('EDP Proyectado'!AN103,0,-'Ingreso Proyectado'!$P103)+0)),0)</f>
        <v>0</v>
      </c>
      <c r="AN103" s="169">
        <f ca="1">+IFERROR(IF(ISNUMBER(OFFSET('EDP Proyectado'!AO103,0,-'Ingreso Proyectado'!$P103))&lt;&gt;0,IF(OFFSET('EDP Proyectado'!AO103,0,-'Ingreso Proyectado'!$P103)+0&lt;=1,0,OFFSET('EDP Proyectado'!AO103,0,-'Ingreso Proyectado'!$P103)+0)),0)</f>
        <v>0</v>
      </c>
      <c r="AO103" s="169">
        <f ca="1">+IFERROR(IF(ISNUMBER(OFFSET('EDP Proyectado'!AP103,0,-'Ingreso Proyectado'!$P103))&lt;&gt;0,IF(OFFSET('EDP Proyectado'!AP103,0,-'Ingreso Proyectado'!$P103)+0&lt;=1,0,OFFSET('EDP Proyectado'!AP103,0,-'Ingreso Proyectado'!$P103)+0)),0)</f>
        <v>0</v>
      </c>
      <c r="AP103" s="170">
        <f ca="1">+IFERROR(IF(ISNUMBER(OFFSET('EDP Proyectado'!AQ103,0,-'Ingreso Proyectado'!$P103))&lt;&gt;0,IF(OFFSET('EDP Proyectado'!AQ103,0,-'Ingreso Proyectado'!$P103)+0&lt;=1,0,OFFSET('EDP Proyectado'!AQ103,0,-'Ingreso Proyectado'!$P103)+0)),0)</f>
        <v>0</v>
      </c>
    </row>
    <row r="104" spans="3:42" x14ac:dyDescent="0.2">
      <c r="C104" s="144">
        <f>+'Gantt Proyectos'!C172</f>
        <v>76</v>
      </c>
      <c r="D104" s="145">
        <f>+'Gantt Proyectos'!D172</f>
        <v>0</v>
      </c>
      <c r="E104" s="145">
        <f>+'Gantt Proyectos'!E172</f>
        <v>0</v>
      </c>
      <c r="F104" s="147">
        <f>+'Gantt Proyectos'!F172</f>
        <v>0</v>
      </c>
      <c r="G104" s="145">
        <f>+'Gantt Proyectos'!G172</f>
        <v>0</v>
      </c>
      <c r="H104" s="145">
        <f>+'Gantt Proyectos'!H172</f>
        <v>0</v>
      </c>
      <c r="I104" s="189">
        <v>1</v>
      </c>
      <c r="J104" s="189">
        <f t="shared" si="8"/>
        <v>0</v>
      </c>
      <c r="K104" s="145">
        <f>+'Gantt Proyectos'!I172</f>
        <v>0</v>
      </c>
      <c r="L104" s="120">
        <f>+'Gantt Proyectos'!J172</f>
        <v>0</v>
      </c>
      <c r="M104" s="145">
        <f>+'Gantt Proyectos'!K172</f>
        <v>0</v>
      </c>
      <c r="N104" s="145">
        <f>+'Gantt Proyectos'!L172</f>
        <v>0</v>
      </c>
      <c r="O104" s="145">
        <f>+'Gantt Proyectos'!M172</f>
        <v>0</v>
      </c>
      <c r="P104" s="145">
        <f>+'Gantt Proyectos'!N172</f>
        <v>0</v>
      </c>
      <c r="Q104" s="119">
        <f>+'Gantt Proyectos'!O172</f>
        <v>0</v>
      </c>
      <c r="R104" s="119">
        <f>+'Gantt Proyectos'!P172</f>
        <v>0</v>
      </c>
      <c r="S104" s="145">
        <f>+'Gantt Proyectos'!R172</f>
        <v>0</v>
      </c>
      <c r="T104" s="118">
        <f>+'Gantt Proyectos'!S172</f>
        <v>0</v>
      </c>
      <c r="U104" s="156">
        <f>+'Gantt Proyectos'!T172</f>
        <v>0</v>
      </c>
      <c r="V104" s="156">
        <f>+'Gantt Proyectos'!U172</f>
        <v>0</v>
      </c>
      <c r="W104" s="201">
        <f t="shared" si="9"/>
        <v>0</v>
      </c>
      <c r="X104" s="121">
        <f>+'Gantt Proyectos'!W172</f>
        <v>0</v>
      </c>
      <c r="Y104" s="122">
        <f>+'Gantt Proyectos'!X172</f>
        <v>0</v>
      </c>
      <c r="Z104" s="122">
        <f>+'Gantt Proyectos'!Y172</f>
        <v>0</v>
      </c>
      <c r="AA104" s="122">
        <f>+'Gantt Proyectos'!Z172</f>
        <v>0</v>
      </c>
      <c r="AB104" s="122">
        <f>+'Gantt Proyectos'!AA172</f>
        <v>0</v>
      </c>
      <c r="AC104" s="122">
        <f>+'Gantt Proyectos'!AB172</f>
        <v>0</v>
      </c>
      <c r="AD104" s="123">
        <f>+'Gantt Proyectos'!AC172</f>
        <v>0</v>
      </c>
      <c r="AE104" s="123">
        <f>+'Gantt Proyectos'!AD172</f>
        <v>0</v>
      </c>
      <c r="AF104" s="124">
        <f>+'Gantt Proyectos'!AE172</f>
        <v>0</v>
      </c>
      <c r="AG104" s="172">
        <v>1</v>
      </c>
      <c r="AH104" s="169">
        <f ca="1">+IFERROR(IF(ISNUMBER(OFFSET('EDP Proyectado'!AI104,0,-'Ingreso Proyectado'!$P104))&lt;&gt;0,IF(OFFSET('EDP Proyectado'!AI104,0,-'Ingreso Proyectado'!$P104)+0&lt;=1,0,OFFSET('EDP Proyectado'!AI104,0,-'Ingreso Proyectado'!$P104)+0)),0)</f>
        <v>0</v>
      </c>
      <c r="AI104" s="169">
        <f ca="1">+IFERROR(IF(ISNUMBER(OFFSET('EDP Proyectado'!AJ104,0,-'Ingreso Proyectado'!$P104))&lt;&gt;0,IF(OFFSET('EDP Proyectado'!AJ104,0,-'Ingreso Proyectado'!$P104)+0&lt;=1,0,OFFSET('EDP Proyectado'!AJ104,0,-'Ingreso Proyectado'!$P104)+0)),0)</f>
        <v>0</v>
      </c>
      <c r="AJ104" s="169">
        <f ca="1">+IFERROR(IF(ISNUMBER(OFFSET('EDP Proyectado'!AK104,0,-'Ingreso Proyectado'!$P104))&lt;&gt;0,IF(OFFSET('EDP Proyectado'!AK104,0,-'Ingreso Proyectado'!$P104)+0&lt;=1,0,OFFSET('EDP Proyectado'!AK104,0,-'Ingreso Proyectado'!$P104)+0)),0)</f>
        <v>0</v>
      </c>
      <c r="AK104" s="169">
        <f ca="1">+IFERROR(IF(ISNUMBER(OFFSET('EDP Proyectado'!AL104,0,-'Ingreso Proyectado'!$P104))&lt;&gt;0,IF(OFFSET('EDP Proyectado'!AL104,0,-'Ingreso Proyectado'!$P104)+0&lt;=1,0,OFFSET('EDP Proyectado'!AL104,0,-'Ingreso Proyectado'!$P104)+0)),0)</f>
        <v>0</v>
      </c>
      <c r="AL104" s="169">
        <f ca="1">+IFERROR(IF(ISNUMBER(OFFSET('EDP Proyectado'!AM104,0,-'Ingreso Proyectado'!$P104))&lt;&gt;0,IF(OFFSET('EDP Proyectado'!AM104,0,-'Ingreso Proyectado'!$P104)+0&lt;=1,0,OFFSET('EDP Proyectado'!AM104,0,-'Ingreso Proyectado'!$P104)+0)),0)</f>
        <v>0</v>
      </c>
      <c r="AM104" s="169">
        <f ca="1">+IFERROR(IF(ISNUMBER(OFFSET('EDP Proyectado'!AN104,0,-'Ingreso Proyectado'!$P104))&lt;&gt;0,IF(OFFSET('EDP Proyectado'!AN104,0,-'Ingreso Proyectado'!$P104)+0&lt;=1,0,OFFSET('EDP Proyectado'!AN104,0,-'Ingreso Proyectado'!$P104)+0)),0)</f>
        <v>0</v>
      </c>
      <c r="AN104" s="169">
        <f ca="1">+IFERROR(IF(ISNUMBER(OFFSET('EDP Proyectado'!AO104,0,-'Ingreso Proyectado'!$P104))&lt;&gt;0,IF(OFFSET('EDP Proyectado'!AO104,0,-'Ingreso Proyectado'!$P104)+0&lt;=1,0,OFFSET('EDP Proyectado'!AO104,0,-'Ingreso Proyectado'!$P104)+0)),0)</f>
        <v>0</v>
      </c>
      <c r="AO104" s="169">
        <f ca="1">+IFERROR(IF(ISNUMBER(OFFSET('EDP Proyectado'!AP104,0,-'Ingreso Proyectado'!$P104))&lt;&gt;0,IF(OFFSET('EDP Proyectado'!AP104,0,-'Ingreso Proyectado'!$P104)+0&lt;=1,0,OFFSET('EDP Proyectado'!AP104,0,-'Ingreso Proyectado'!$P104)+0)),0)</f>
        <v>0</v>
      </c>
      <c r="AP104" s="170">
        <f ca="1">+IFERROR(IF(ISNUMBER(OFFSET('EDP Proyectado'!AQ104,0,-'Ingreso Proyectado'!$P104))&lt;&gt;0,IF(OFFSET('EDP Proyectado'!AQ104,0,-'Ingreso Proyectado'!$P104)+0&lt;=1,0,OFFSET('EDP Proyectado'!AQ104,0,-'Ingreso Proyectado'!$P104)+0)),0)</f>
        <v>0</v>
      </c>
    </row>
    <row r="105" spans="3:42" x14ac:dyDescent="0.2">
      <c r="C105" s="144">
        <f>+'Gantt Proyectos'!C173</f>
        <v>77</v>
      </c>
      <c r="D105" s="145">
        <f>+'Gantt Proyectos'!D173</f>
        <v>0</v>
      </c>
      <c r="E105" s="145">
        <f>+'Gantt Proyectos'!E173</f>
        <v>0</v>
      </c>
      <c r="F105" s="147">
        <f>+'Gantt Proyectos'!F173</f>
        <v>0</v>
      </c>
      <c r="G105" s="145">
        <f>+'Gantt Proyectos'!G173</f>
        <v>0</v>
      </c>
      <c r="H105" s="145">
        <f>+'Gantt Proyectos'!H173</f>
        <v>0</v>
      </c>
      <c r="I105" s="189">
        <v>1</v>
      </c>
      <c r="J105" s="189">
        <f t="shared" si="8"/>
        <v>0</v>
      </c>
      <c r="K105" s="145">
        <f>+'Gantt Proyectos'!I173</f>
        <v>0</v>
      </c>
      <c r="L105" s="120">
        <f>+'Gantt Proyectos'!J173</f>
        <v>0</v>
      </c>
      <c r="M105" s="145">
        <f>+'Gantt Proyectos'!K173</f>
        <v>0</v>
      </c>
      <c r="N105" s="145">
        <f>+'Gantt Proyectos'!L173</f>
        <v>0</v>
      </c>
      <c r="O105" s="145">
        <f>+'Gantt Proyectos'!M173</f>
        <v>0</v>
      </c>
      <c r="P105" s="145">
        <f>+'Gantt Proyectos'!N173</f>
        <v>0</v>
      </c>
      <c r="Q105" s="119">
        <f>+'Gantt Proyectos'!O173</f>
        <v>0</v>
      </c>
      <c r="R105" s="119">
        <f>+'Gantt Proyectos'!P173</f>
        <v>0</v>
      </c>
      <c r="S105" s="145">
        <f>+'Gantt Proyectos'!R173</f>
        <v>0</v>
      </c>
      <c r="T105" s="118">
        <f>+'Gantt Proyectos'!S173</f>
        <v>0</v>
      </c>
      <c r="U105" s="156">
        <f>+'Gantt Proyectos'!T173</f>
        <v>0</v>
      </c>
      <c r="V105" s="156">
        <f>+'Gantt Proyectos'!U173</f>
        <v>0</v>
      </c>
      <c r="W105" s="201">
        <f t="shared" si="9"/>
        <v>0</v>
      </c>
      <c r="X105" s="121">
        <f>+'Gantt Proyectos'!W173</f>
        <v>0</v>
      </c>
      <c r="Y105" s="122">
        <f>+'Gantt Proyectos'!X173</f>
        <v>0</v>
      </c>
      <c r="Z105" s="122">
        <f>+'Gantt Proyectos'!Y173</f>
        <v>0</v>
      </c>
      <c r="AA105" s="122">
        <f>+'Gantt Proyectos'!Z173</f>
        <v>0</v>
      </c>
      <c r="AB105" s="122">
        <f>+'Gantt Proyectos'!AA173</f>
        <v>0</v>
      </c>
      <c r="AC105" s="122">
        <f>+'Gantt Proyectos'!AB173</f>
        <v>0</v>
      </c>
      <c r="AD105" s="123">
        <f>+'Gantt Proyectos'!AC173</f>
        <v>0</v>
      </c>
      <c r="AE105" s="123">
        <f>+'Gantt Proyectos'!AD173</f>
        <v>0</v>
      </c>
      <c r="AF105" s="124">
        <f>+'Gantt Proyectos'!AE173</f>
        <v>0</v>
      </c>
      <c r="AG105" s="172">
        <v>1</v>
      </c>
      <c r="AH105" s="169">
        <f ca="1">+IFERROR(IF(ISNUMBER(OFFSET('EDP Proyectado'!AI105,0,-'Ingreso Proyectado'!$P105))&lt;&gt;0,IF(OFFSET('EDP Proyectado'!AI105,0,-'Ingreso Proyectado'!$P105)+0&lt;=1,0,OFFSET('EDP Proyectado'!AI105,0,-'Ingreso Proyectado'!$P105)+0)),0)</f>
        <v>0</v>
      </c>
      <c r="AI105" s="169">
        <f ca="1">+IFERROR(IF(ISNUMBER(OFFSET('EDP Proyectado'!AJ105,0,-'Ingreso Proyectado'!$P105))&lt;&gt;0,IF(OFFSET('EDP Proyectado'!AJ105,0,-'Ingreso Proyectado'!$P105)+0&lt;=1,0,OFFSET('EDP Proyectado'!AJ105,0,-'Ingreso Proyectado'!$P105)+0)),0)</f>
        <v>0</v>
      </c>
      <c r="AJ105" s="169">
        <f ca="1">+IFERROR(IF(ISNUMBER(OFFSET('EDP Proyectado'!AK105,0,-'Ingreso Proyectado'!$P105))&lt;&gt;0,IF(OFFSET('EDP Proyectado'!AK105,0,-'Ingreso Proyectado'!$P105)+0&lt;=1,0,OFFSET('EDP Proyectado'!AK105,0,-'Ingreso Proyectado'!$P105)+0)),0)</f>
        <v>0</v>
      </c>
      <c r="AK105" s="169">
        <f ca="1">+IFERROR(IF(ISNUMBER(OFFSET('EDP Proyectado'!AL105,0,-'Ingreso Proyectado'!$P105))&lt;&gt;0,IF(OFFSET('EDP Proyectado'!AL105,0,-'Ingreso Proyectado'!$P105)+0&lt;=1,0,OFFSET('EDP Proyectado'!AL105,0,-'Ingreso Proyectado'!$P105)+0)),0)</f>
        <v>0</v>
      </c>
      <c r="AL105" s="169">
        <f ca="1">+IFERROR(IF(ISNUMBER(OFFSET('EDP Proyectado'!AM105,0,-'Ingreso Proyectado'!$P105))&lt;&gt;0,IF(OFFSET('EDP Proyectado'!AM105,0,-'Ingreso Proyectado'!$P105)+0&lt;=1,0,OFFSET('EDP Proyectado'!AM105,0,-'Ingreso Proyectado'!$P105)+0)),0)</f>
        <v>0</v>
      </c>
      <c r="AM105" s="169">
        <f ca="1">+IFERROR(IF(ISNUMBER(OFFSET('EDP Proyectado'!AN105,0,-'Ingreso Proyectado'!$P105))&lt;&gt;0,IF(OFFSET('EDP Proyectado'!AN105,0,-'Ingreso Proyectado'!$P105)+0&lt;=1,0,OFFSET('EDP Proyectado'!AN105,0,-'Ingreso Proyectado'!$P105)+0)),0)</f>
        <v>0</v>
      </c>
      <c r="AN105" s="169">
        <f ca="1">+IFERROR(IF(ISNUMBER(OFFSET('EDP Proyectado'!AO105,0,-'Ingreso Proyectado'!$P105))&lt;&gt;0,IF(OFFSET('EDP Proyectado'!AO105,0,-'Ingreso Proyectado'!$P105)+0&lt;=1,0,OFFSET('EDP Proyectado'!AO105,0,-'Ingreso Proyectado'!$P105)+0)),0)</f>
        <v>0</v>
      </c>
      <c r="AO105" s="169">
        <f ca="1">+IFERROR(IF(ISNUMBER(OFFSET('EDP Proyectado'!AP105,0,-'Ingreso Proyectado'!$P105))&lt;&gt;0,IF(OFFSET('EDP Proyectado'!AP105,0,-'Ingreso Proyectado'!$P105)+0&lt;=1,0,OFFSET('EDP Proyectado'!AP105,0,-'Ingreso Proyectado'!$P105)+0)),0)</f>
        <v>0</v>
      </c>
      <c r="AP105" s="170">
        <f ca="1">+IFERROR(IF(ISNUMBER(OFFSET('EDP Proyectado'!AQ105,0,-'Ingreso Proyectado'!$P105))&lt;&gt;0,IF(OFFSET('EDP Proyectado'!AQ105,0,-'Ingreso Proyectado'!$P105)+0&lt;=1,0,OFFSET('EDP Proyectado'!AQ105,0,-'Ingreso Proyectado'!$P105)+0)),0)</f>
        <v>0</v>
      </c>
    </row>
    <row r="106" spans="3:42" x14ac:dyDescent="0.2">
      <c r="C106" s="144">
        <f>+'Gantt Proyectos'!C174</f>
        <v>78</v>
      </c>
      <c r="D106" s="145">
        <f>+'Gantt Proyectos'!D174</f>
        <v>0</v>
      </c>
      <c r="E106" s="145">
        <f>+'Gantt Proyectos'!E174</f>
        <v>0</v>
      </c>
      <c r="F106" s="147">
        <f>+'Gantt Proyectos'!F174</f>
        <v>0</v>
      </c>
      <c r="G106" s="145">
        <f>+'Gantt Proyectos'!G174</f>
        <v>0</v>
      </c>
      <c r="H106" s="145">
        <f>+'Gantt Proyectos'!H174</f>
        <v>0</v>
      </c>
      <c r="I106" s="189">
        <v>1</v>
      </c>
      <c r="J106" s="189">
        <f t="shared" si="8"/>
        <v>0</v>
      </c>
      <c r="K106" s="145">
        <f>+'Gantt Proyectos'!I174</f>
        <v>0</v>
      </c>
      <c r="L106" s="120">
        <f>+'Gantt Proyectos'!J174</f>
        <v>0</v>
      </c>
      <c r="M106" s="145">
        <f>+'Gantt Proyectos'!K174</f>
        <v>0</v>
      </c>
      <c r="N106" s="145">
        <f>+'Gantt Proyectos'!L174</f>
        <v>0</v>
      </c>
      <c r="O106" s="145">
        <f>+'Gantt Proyectos'!M174</f>
        <v>0</v>
      </c>
      <c r="P106" s="145">
        <f>+'Gantt Proyectos'!N174</f>
        <v>0</v>
      </c>
      <c r="Q106" s="119">
        <f>+'Gantt Proyectos'!O174</f>
        <v>0</v>
      </c>
      <c r="R106" s="119">
        <f>+'Gantt Proyectos'!P174</f>
        <v>0</v>
      </c>
      <c r="S106" s="145">
        <f>+'Gantt Proyectos'!R174</f>
        <v>0</v>
      </c>
      <c r="T106" s="118">
        <f>+'Gantt Proyectos'!S174</f>
        <v>0</v>
      </c>
      <c r="U106" s="156">
        <f>+'Gantt Proyectos'!T174</f>
        <v>0</v>
      </c>
      <c r="V106" s="156">
        <f>+'Gantt Proyectos'!U174</f>
        <v>0</v>
      </c>
      <c r="W106" s="201">
        <f t="shared" si="9"/>
        <v>0</v>
      </c>
      <c r="X106" s="121">
        <f>+'Gantt Proyectos'!W174</f>
        <v>0</v>
      </c>
      <c r="Y106" s="122">
        <f>+'Gantt Proyectos'!X174</f>
        <v>0</v>
      </c>
      <c r="Z106" s="122">
        <f>+'Gantt Proyectos'!Y174</f>
        <v>0</v>
      </c>
      <c r="AA106" s="122">
        <f>+'Gantt Proyectos'!Z174</f>
        <v>0</v>
      </c>
      <c r="AB106" s="122">
        <f>+'Gantt Proyectos'!AA174</f>
        <v>0</v>
      </c>
      <c r="AC106" s="122">
        <f>+'Gantt Proyectos'!AB174</f>
        <v>0</v>
      </c>
      <c r="AD106" s="123">
        <f>+'Gantt Proyectos'!AC174</f>
        <v>0</v>
      </c>
      <c r="AE106" s="123">
        <f>+'Gantt Proyectos'!AD174</f>
        <v>0</v>
      </c>
      <c r="AF106" s="124">
        <f>+'Gantt Proyectos'!AE174</f>
        <v>0</v>
      </c>
      <c r="AG106" s="172">
        <v>1</v>
      </c>
      <c r="AH106" s="169">
        <f ca="1">+IFERROR(IF(ISNUMBER(OFFSET('EDP Proyectado'!AI106,0,-'Ingreso Proyectado'!$P106))&lt;&gt;0,IF(OFFSET('EDP Proyectado'!AI106,0,-'Ingreso Proyectado'!$P106)+0&lt;=1,0,OFFSET('EDP Proyectado'!AI106,0,-'Ingreso Proyectado'!$P106)+0)),0)</f>
        <v>0</v>
      </c>
      <c r="AI106" s="169">
        <f ca="1">+IFERROR(IF(ISNUMBER(OFFSET('EDP Proyectado'!AJ106,0,-'Ingreso Proyectado'!$P106))&lt;&gt;0,IF(OFFSET('EDP Proyectado'!AJ106,0,-'Ingreso Proyectado'!$P106)+0&lt;=1,0,OFFSET('EDP Proyectado'!AJ106,0,-'Ingreso Proyectado'!$P106)+0)),0)</f>
        <v>0</v>
      </c>
      <c r="AJ106" s="169">
        <f ca="1">+IFERROR(IF(ISNUMBER(OFFSET('EDP Proyectado'!AK106,0,-'Ingreso Proyectado'!$P106))&lt;&gt;0,IF(OFFSET('EDP Proyectado'!AK106,0,-'Ingreso Proyectado'!$P106)+0&lt;=1,0,OFFSET('EDP Proyectado'!AK106,0,-'Ingreso Proyectado'!$P106)+0)),0)</f>
        <v>0</v>
      </c>
      <c r="AK106" s="169">
        <f ca="1">+IFERROR(IF(ISNUMBER(OFFSET('EDP Proyectado'!AL106,0,-'Ingreso Proyectado'!$P106))&lt;&gt;0,IF(OFFSET('EDP Proyectado'!AL106,0,-'Ingreso Proyectado'!$P106)+0&lt;=1,0,OFFSET('EDP Proyectado'!AL106,0,-'Ingreso Proyectado'!$P106)+0)),0)</f>
        <v>0</v>
      </c>
      <c r="AL106" s="169">
        <f ca="1">+IFERROR(IF(ISNUMBER(OFFSET('EDP Proyectado'!AM106,0,-'Ingreso Proyectado'!$P106))&lt;&gt;0,IF(OFFSET('EDP Proyectado'!AM106,0,-'Ingreso Proyectado'!$P106)+0&lt;=1,0,OFFSET('EDP Proyectado'!AM106,0,-'Ingreso Proyectado'!$P106)+0)),0)</f>
        <v>0</v>
      </c>
      <c r="AM106" s="169">
        <f ca="1">+IFERROR(IF(ISNUMBER(OFFSET('EDP Proyectado'!AN106,0,-'Ingreso Proyectado'!$P106))&lt;&gt;0,IF(OFFSET('EDP Proyectado'!AN106,0,-'Ingreso Proyectado'!$P106)+0&lt;=1,0,OFFSET('EDP Proyectado'!AN106,0,-'Ingreso Proyectado'!$P106)+0)),0)</f>
        <v>0</v>
      </c>
      <c r="AN106" s="169">
        <f ca="1">+IFERROR(IF(ISNUMBER(OFFSET('EDP Proyectado'!AO106,0,-'Ingreso Proyectado'!$P106))&lt;&gt;0,IF(OFFSET('EDP Proyectado'!AO106,0,-'Ingreso Proyectado'!$P106)+0&lt;=1,0,OFFSET('EDP Proyectado'!AO106,0,-'Ingreso Proyectado'!$P106)+0)),0)</f>
        <v>0</v>
      </c>
      <c r="AO106" s="169">
        <f ca="1">+IFERROR(IF(ISNUMBER(OFFSET('EDP Proyectado'!AP106,0,-'Ingreso Proyectado'!$P106))&lt;&gt;0,IF(OFFSET('EDP Proyectado'!AP106,0,-'Ingreso Proyectado'!$P106)+0&lt;=1,0,OFFSET('EDP Proyectado'!AP106,0,-'Ingreso Proyectado'!$P106)+0)),0)</f>
        <v>0</v>
      </c>
      <c r="AP106" s="170">
        <f ca="1">+IFERROR(IF(ISNUMBER(OFFSET('EDP Proyectado'!AQ106,0,-'Ingreso Proyectado'!$P106))&lt;&gt;0,IF(OFFSET('EDP Proyectado'!AQ106,0,-'Ingreso Proyectado'!$P106)+0&lt;=1,0,OFFSET('EDP Proyectado'!AQ106,0,-'Ingreso Proyectado'!$P106)+0)),0)</f>
        <v>0</v>
      </c>
    </row>
    <row r="107" spans="3:42" x14ac:dyDescent="0.2">
      <c r="C107" s="144">
        <f>+'Gantt Proyectos'!C175</f>
        <v>79</v>
      </c>
      <c r="D107" s="145">
        <f>+'Gantt Proyectos'!D175</f>
        <v>0</v>
      </c>
      <c r="E107" s="145">
        <f>+'Gantt Proyectos'!E175</f>
        <v>0</v>
      </c>
      <c r="F107" s="147">
        <f>+'Gantt Proyectos'!F175</f>
        <v>0</v>
      </c>
      <c r="G107" s="145">
        <f>+'Gantt Proyectos'!G175</f>
        <v>0</v>
      </c>
      <c r="H107" s="145">
        <f>+'Gantt Proyectos'!H175</f>
        <v>0</v>
      </c>
      <c r="I107" s="189">
        <v>1</v>
      </c>
      <c r="J107" s="189">
        <f t="shared" si="8"/>
        <v>0</v>
      </c>
      <c r="K107" s="145">
        <f>+'Gantt Proyectos'!I175</f>
        <v>0</v>
      </c>
      <c r="L107" s="120">
        <f>+'Gantt Proyectos'!J175</f>
        <v>0</v>
      </c>
      <c r="M107" s="145">
        <f>+'Gantt Proyectos'!K175</f>
        <v>0</v>
      </c>
      <c r="N107" s="145">
        <f>+'Gantt Proyectos'!L175</f>
        <v>0</v>
      </c>
      <c r="O107" s="145">
        <f>+'Gantt Proyectos'!M175</f>
        <v>0</v>
      </c>
      <c r="P107" s="145">
        <f>+'Gantt Proyectos'!N175</f>
        <v>0</v>
      </c>
      <c r="Q107" s="119">
        <f>+'Gantt Proyectos'!O175</f>
        <v>0</v>
      </c>
      <c r="R107" s="119">
        <f>+'Gantt Proyectos'!P175</f>
        <v>0</v>
      </c>
      <c r="S107" s="145">
        <f>+'Gantt Proyectos'!R175</f>
        <v>0</v>
      </c>
      <c r="T107" s="118">
        <f>+'Gantt Proyectos'!S175</f>
        <v>0</v>
      </c>
      <c r="U107" s="156">
        <f>+'Gantt Proyectos'!T175</f>
        <v>0</v>
      </c>
      <c r="V107" s="156">
        <f>+'Gantt Proyectos'!U175</f>
        <v>0</v>
      </c>
      <c r="W107" s="201">
        <f t="shared" si="9"/>
        <v>0</v>
      </c>
      <c r="X107" s="121">
        <f>+'Gantt Proyectos'!W175</f>
        <v>0</v>
      </c>
      <c r="Y107" s="122">
        <f>+'Gantt Proyectos'!X175</f>
        <v>0</v>
      </c>
      <c r="Z107" s="122">
        <f>+'Gantt Proyectos'!Y175</f>
        <v>0</v>
      </c>
      <c r="AA107" s="122">
        <f>+'Gantt Proyectos'!Z175</f>
        <v>0</v>
      </c>
      <c r="AB107" s="122">
        <f>+'Gantt Proyectos'!AA175</f>
        <v>0</v>
      </c>
      <c r="AC107" s="122">
        <f>+'Gantt Proyectos'!AB175</f>
        <v>0</v>
      </c>
      <c r="AD107" s="123">
        <f>+'Gantt Proyectos'!AC175</f>
        <v>0</v>
      </c>
      <c r="AE107" s="123">
        <f>+'Gantt Proyectos'!AD175</f>
        <v>0</v>
      </c>
      <c r="AF107" s="124">
        <f>+'Gantt Proyectos'!AE175</f>
        <v>0</v>
      </c>
      <c r="AG107" s="172">
        <v>1</v>
      </c>
      <c r="AH107" s="169">
        <f ca="1">+IFERROR(IF(ISNUMBER(OFFSET('EDP Proyectado'!AI107,0,-'Ingreso Proyectado'!$P107))&lt;&gt;0,IF(OFFSET('EDP Proyectado'!AI107,0,-'Ingreso Proyectado'!$P107)+0&lt;=1,0,OFFSET('EDP Proyectado'!AI107,0,-'Ingreso Proyectado'!$P107)+0)),0)</f>
        <v>0</v>
      </c>
      <c r="AI107" s="169">
        <f ca="1">+IFERROR(IF(ISNUMBER(OFFSET('EDP Proyectado'!AJ107,0,-'Ingreso Proyectado'!$P107))&lt;&gt;0,IF(OFFSET('EDP Proyectado'!AJ107,0,-'Ingreso Proyectado'!$P107)+0&lt;=1,0,OFFSET('EDP Proyectado'!AJ107,0,-'Ingreso Proyectado'!$P107)+0)),0)</f>
        <v>0</v>
      </c>
      <c r="AJ107" s="169">
        <f ca="1">+IFERROR(IF(ISNUMBER(OFFSET('EDP Proyectado'!AK107,0,-'Ingreso Proyectado'!$P107))&lt;&gt;0,IF(OFFSET('EDP Proyectado'!AK107,0,-'Ingreso Proyectado'!$P107)+0&lt;=1,0,OFFSET('EDP Proyectado'!AK107,0,-'Ingreso Proyectado'!$P107)+0)),0)</f>
        <v>0</v>
      </c>
      <c r="AK107" s="169">
        <f ca="1">+IFERROR(IF(ISNUMBER(OFFSET('EDP Proyectado'!AL107,0,-'Ingreso Proyectado'!$P107))&lt;&gt;0,IF(OFFSET('EDP Proyectado'!AL107,0,-'Ingreso Proyectado'!$P107)+0&lt;=1,0,OFFSET('EDP Proyectado'!AL107,0,-'Ingreso Proyectado'!$P107)+0)),0)</f>
        <v>0</v>
      </c>
      <c r="AL107" s="169">
        <f ca="1">+IFERROR(IF(ISNUMBER(OFFSET('EDP Proyectado'!AM107,0,-'Ingreso Proyectado'!$P107))&lt;&gt;0,IF(OFFSET('EDP Proyectado'!AM107,0,-'Ingreso Proyectado'!$P107)+0&lt;=1,0,OFFSET('EDP Proyectado'!AM107,0,-'Ingreso Proyectado'!$P107)+0)),0)</f>
        <v>0</v>
      </c>
      <c r="AM107" s="169">
        <f ca="1">+IFERROR(IF(ISNUMBER(OFFSET('EDP Proyectado'!AN107,0,-'Ingreso Proyectado'!$P107))&lt;&gt;0,IF(OFFSET('EDP Proyectado'!AN107,0,-'Ingreso Proyectado'!$P107)+0&lt;=1,0,OFFSET('EDP Proyectado'!AN107,0,-'Ingreso Proyectado'!$P107)+0)),0)</f>
        <v>0</v>
      </c>
      <c r="AN107" s="169">
        <f ca="1">+IFERROR(IF(ISNUMBER(OFFSET('EDP Proyectado'!AO107,0,-'Ingreso Proyectado'!$P107))&lt;&gt;0,IF(OFFSET('EDP Proyectado'!AO107,0,-'Ingreso Proyectado'!$P107)+0&lt;=1,0,OFFSET('EDP Proyectado'!AO107,0,-'Ingreso Proyectado'!$P107)+0)),0)</f>
        <v>0</v>
      </c>
      <c r="AO107" s="169">
        <f ca="1">+IFERROR(IF(ISNUMBER(OFFSET('EDP Proyectado'!AP107,0,-'Ingreso Proyectado'!$P107))&lt;&gt;0,IF(OFFSET('EDP Proyectado'!AP107,0,-'Ingreso Proyectado'!$P107)+0&lt;=1,0,OFFSET('EDP Proyectado'!AP107,0,-'Ingreso Proyectado'!$P107)+0)),0)</f>
        <v>0</v>
      </c>
      <c r="AP107" s="170">
        <f ca="1">+IFERROR(IF(ISNUMBER(OFFSET('EDP Proyectado'!AQ107,0,-'Ingreso Proyectado'!$P107))&lt;&gt;0,IF(OFFSET('EDP Proyectado'!AQ107,0,-'Ingreso Proyectado'!$P107)+0&lt;=1,0,OFFSET('EDP Proyectado'!AQ107,0,-'Ingreso Proyectado'!$P107)+0)),0)</f>
        <v>0</v>
      </c>
    </row>
    <row r="108" spans="3:42" x14ac:dyDescent="0.2">
      <c r="C108" s="144">
        <f>+'Gantt Proyectos'!C176</f>
        <v>80</v>
      </c>
      <c r="D108" s="145">
        <f>+'Gantt Proyectos'!D176</f>
        <v>0</v>
      </c>
      <c r="E108" s="145">
        <f>+'Gantt Proyectos'!E176</f>
        <v>0</v>
      </c>
      <c r="F108" s="147">
        <f>+'Gantt Proyectos'!F176</f>
        <v>0</v>
      </c>
      <c r="G108" s="145">
        <f>+'Gantt Proyectos'!G176</f>
        <v>0</v>
      </c>
      <c r="H108" s="145">
        <f>+'Gantt Proyectos'!H176</f>
        <v>0</v>
      </c>
      <c r="I108" s="189">
        <v>1</v>
      </c>
      <c r="J108" s="189">
        <f t="shared" si="8"/>
        <v>0</v>
      </c>
      <c r="K108" s="145">
        <f>+'Gantt Proyectos'!I176</f>
        <v>0</v>
      </c>
      <c r="L108" s="120">
        <f>+'Gantt Proyectos'!J176</f>
        <v>0</v>
      </c>
      <c r="M108" s="145">
        <f>+'Gantt Proyectos'!K176</f>
        <v>0</v>
      </c>
      <c r="N108" s="145">
        <f>+'Gantt Proyectos'!L176</f>
        <v>0</v>
      </c>
      <c r="O108" s="145">
        <f>+'Gantt Proyectos'!M176</f>
        <v>0</v>
      </c>
      <c r="P108" s="145">
        <f>+'Gantt Proyectos'!N176</f>
        <v>0</v>
      </c>
      <c r="Q108" s="119">
        <f>+'Gantt Proyectos'!O176</f>
        <v>0</v>
      </c>
      <c r="R108" s="119">
        <f>+'Gantt Proyectos'!P176</f>
        <v>0</v>
      </c>
      <c r="S108" s="145">
        <f>+'Gantt Proyectos'!R176</f>
        <v>0</v>
      </c>
      <c r="T108" s="118">
        <f>+'Gantt Proyectos'!S176</f>
        <v>0</v>
      </c>
      <c r="U108" s="156">
        <f>+'Gantt Proyectos'!T176</f>
        <v>0</v>
      </c>
      <c r="V108" s="156">
        <f>+'Gantt Proyectos'!U176</f>
        <v>0</v>
      </c>
      <c r="W108" s="201">
        <f t="shared" si="9"/>
        <v>0</v>
      </c>
      <c r="X108" s="121">
        <f>+'Gantt Proyectos'!W176</f>
        <v>0</v>
      </c>
      <c r="Y108" s="122">
        <f>+'Gantt Proyectos'!X176</f>
        <v>0</v>
      </c>
      <c r="Z108" s="122">
        <f>+'Gantt Proyectos'!Y176</f>
        <v>0</v>
      </c>
      <c r="AA108" s="122">
        <f>+'Gantt Proyectos'!Z176</f>
        <v>0</v>
      </c>
      <c r="AB108" s="122">
        <f>+'Gantt Proyectos'!AA176</f>
        <v>0</v>
      </c>
      <c r="AC108" s="122">
        <f>+'Gantt Proyectos'!AB176</f>
        <v>0</v>
      </c>
      <c r="AD108" s="123">
        <f>+'Gantt Proyectos'!AC176</f>
        <v>0</v>
      </c>
      <c r="AE108" s="123">
        <f>+'Gantt Proyectos'!AD176</f>
        <v>0</v>
      </c>
      <c r="AF108" s="124">
        <f>+'Gantt Proyectos'!AE176</f>
        <v>0</v>
      </c>
      <c r="AG108" s="172">
        <v>1</v>
      </c>
      <c r="AH108" s="169">
        <f ca="1">+IFERROR(IF(ISNUMBER(OFFSET('EDP Proyectado'!AI108,0,-'Ingreso Proyectado'!$P108))&lt;&gt;0,IF(OFFSET('EDP Proyectado'!AI108,0,-'Ingreso Proyectado'!$P108)+0&lt;=1,0,OFFSET('EDP Proyectado'!AI108,0,-'Ingreso Proyectado'!$P108)+0)),0)</f>
        <v>0</v>
      </c>
      <c r="AI108" s="169">
        <f ca="1">+IFERROR(IF(ISNUMBER(OFFSET('EDP Proyectado'!AJ108,0,-'Ingreso Proyectado'!$P108))&lt;&gt;0,IF(OFFSET('EDP Proyectado'!AJ108,0,-'Ingreso Proyectado'!$P108)+0&lt;=1,0,OFFSET('EDP Proyectado'!AJ108,0,-'Ingreso Proyectado'!$P108)+0)),0)</f>
        <v>0</v>
      </c>
      <c r="AJ108" s="169">
        <f ca="1">+IFERROR(IF(ISNUMBER(OFFSET('EDP Proyectado'!AK108,0,-'Ingreso Proyectado'!$P108))&lt;&gt;0,IF(OFFSET('EDP Proyectado'!AK108,0,-'Ingreso Proyectado'!$P108)+0&lt;=1,0,OFFSET('EDP Proyectado'!AK108,0,-'Ingreso Proyectado'!$P108)+0)),0)</f>
        <v>0</v>
      </c>
      <c r="AK108" s="169">
        <f ca="1">+IFERROR(IF(ISNUMBER(OFFSET('EDP Proyectado'!AL108,0,-'Ingreso Proyectado'!$P108))&lt;&gt;0,IF(OFFSET('EDP Proyectado'!AL108,0,-'Ingreso Proyectado'!$P108)+0&lt;=1,0,OFFSET('EDP Proyectado'!AL108,0,-'Ingreso Proyectado'!$P108)+0)),0)</f>
        <v>0</v>
      </c>
      <c r="AL108" s="169">
        <f ca="1">+IFERROR(IF(ISNUMBER(OFFSET('EDP Proyectado'!AM108,0,-'Ingreso Proyectado'!$P108))&lt;&gt;0,IF(OFFSET('EDP Proyectado'!AM108,0,-'Ingreso Proyectado'!$P108)+0&lt;=1,0,OFFSET('EDP Proyectado'!AM108,0,-'Ingreso Proyectado'!$P108)+0)),0)</f>
        <v>0</v>
      </c>
      <c r="AM108" s="169">
        <f ca="1">+IFERROR(IF(ISNUMBER(OFFSET('EDP Proyectado'!AN108,0,-'Ingreso Proyectado'!$P108))&lt;&gt;0,IF(OFFSET('EDP Proyectado'!AN108,0,-'Ingreso Proyectado'!$P108)+0&lt;=1,0,OFFSET('EDP Proyectado'!AN108,0,-'Ingreso Proyectado'!$P108)+0)),0)</f>
        <v>0</v>
      </c>
      <c r="AN108" s="169">
        <f ca="1">+IFERROR(IF(ISNUMBER(OFFSET('EDP Proyectado'!AO108,0,-'Ingreso Proyectado'!$P108))&lt;&gt;0,IF(OFFSET('EDP Proyectado'!AO108,0,-'Ingreso Proyectado'!$P108)+0&lt;=1,0,OFFSET('EDP Proyectado'!AO108,0,-'Ingreso Proyectado'!$P108)+0)),0)</f>
        <v>0</v>
      </c>
      <c r="AO108" s="169">
        <f ca="1">+IFERROR(IF(ISNUMBER(OFFSET('EDP Proyectado'!AP108,0,-'Ingreso Proyectado'!$P108))&lt;&gt;0,IF(OFFSET('EDP Proyectado'!AP108,0,-'Ingreso Proyectado'!$P108)+0&lt;=1,0,OFFSET('EDP Proyectado'!AP108,0,-'Ingreso Proyectado'!$P108)+0)),0)</f>
        <v>0</v>
      </c>
      <c r="AP108" s="170">
        <f ca="1">+IFERROR(IF(ISNUMBER(OFFSET('EDP Proyectado'!AQ108,0,-'Ingreso Proyectado'!$P108))&lt;&gt;0,IF(OFFSET('EDP Proyectado'!AQ108,0,-'Ingreso Proyectado'!$P108)+0&lt;=1,0,OFFSET('EDP Proyectado'!AQ108,0,-'Ingreso Proyectado'!$P108)+0)),0)</f>
        <v>0</v>
      </c>
    </row>
    <row r="109" spans="3:42" x14ac:dyDescent="0.2">
      <c r="C109" s="144">
        <f>+'Gantt Proyectos'!C177</f>
        <v>81</v>
      </c>
      <c r="D109" s="145">
        <f>+'Gantt Proyectos'!D177</f>
        <v>0</v>
      </c>
      <c r="E109" s="145">
        <f>+'Gantt Proyectos'!E177</f>
        <v>0</v>
      </c>
      <c r="F109" s="147">
        <f>+'Gantt Proyectos'!F177</f>
        <v>0</v>
      </c>
      <c r="G109" s="145">
        <f>+'Gantt Proyectos'!G177</f>
        <v>0</v>
      </c>
      <c r="H109" s="145">
        <f>+'Gantt Proyectos'!H177</f>
        <v>0</v>
      </c>
      <c r="I109" s="189">
        <v>1</v>
      </c>
      <c r="J109" s="189">
        <f t="shared" si="8"/>
        <v>0</v>
      </c>
      <c r="K109" s="145">
        <f>+'Gantt Proyectos'!I177</f>
        <v>0</v>
      </c>
      <c r="L109" s="120">
        <f>+'Gantt Proyectos'!J177</f>
        <v>0</v>
      </c>
      <c r="M109" s="145">
        <f>+'Gantt Proyectos'!K177</f>
        <v>0</v>
      </c>
      <c r="N109" s="145">
        <f>+'Gantt Proyectos'!L177</f>
        <v>0</v>
      </c>
      <c r="O109" s="145">
        <f>+'Gantt Proyectos'!M177</f>
        <v>0</v>
      </c>
      <c r="P109" s="145">
        <f>+'Gantt Proyectos'!N177</f>
        <v>0</v>
      </c>
      <c r="Q109" s="119">
        <f>+'Gantt Proyectos'!O177</f>
        <v>0</v>
      </c>
      <c r="R109" s="119">
        <f>+'Gantt Proyectos'!P177</f>
        <v>0</v>
      </c>
      <c r="S109" s="145">
        <f>+'Gantt Proyectos'!R177</f>
        <v>0</v>
      </c>
      <c r="T109" s="118">
        <f>+'Gantt Proyectos'!S177</f>
        <v>0</v>
      </c>
      <c r="U109" s="156">
        <f>+'Gantt Proyectos'!T177</f>
        <v>0</v>
      </c>
      <c r="V109" s="156">
        <f>+'Gantt Proyectos'!U177</f>
        <v>0</v>
      </c>
      <c r="W109" s="201">
        <f t="shared" si="9"/>
        <v>0</v>
      </c>
      <c r="X109" s="121">
        <f>+'Gantt Proyectos'!W177</f>
        <v>0</v>
      </c>
      <c r="Y109" s="122">
        <f>+'Gantt Proyectos'!X177</f>
        <v>0</v>
      </c>
      <c r="Z109" s="122">
        <f>+'Gantt Proyectos'!Y177</f>
        <v>0</v>
      </c>
      <c r="AA109" s="122">
        <f>+'Gantt Proyectos'!Z177</f>
        <v>0</v>
      </c>
      <c r="AB109" s="122">
        <f>+'Gantt Proyectos'!AA177</f>
        <v>0</v>
      </c>
      <c r="AC109" s="122">
        <f>+'Gantt Proyectos'!AB177</f>
        <v>0</v>
      </c>
      <c r="AD109" s="123">
        <f>+'Gantt Proyectos'!AC177</f>
        <v>0</v>
      </c>
      <c r="AE109" s="123">
        <f>+'Gantt Proyectos'!AD177</f>
        <v>0</v>
      </c>
      <c r="AF109" s="124">
        <f>+'Gantt Proyectos'!AE177</f>
        <v>0</v>
      </c>
      <c r="AG109" s="172">
        <v>1</v>
      </c>
      <c r="AH109" s="169">
        <f ca="1">+IFERROR(IF(ISNUMBER(OFFSET('EDP Proyectado'!AI109,0,-'Ingreso Proyectado'!$P109))&lt;&gt;0,IF(OFFSET('EDP Proyectado'!AI109,0,-'Ingreso Proyectado'!$P109)+0&lt;=1,0,OFFSET('EDP Proyectado'!AI109,0,-'Ingreso Proyectado'!$P109)+0)),0)</f>
        <v>0</v>
      </c>
      <c r="AI109" s="169">
        <f ca="1">+IFERROR(IF(ISNUMBER(OFFSET('EDP Proyectado'!AJ109,0,-'Ingreso Proyectado'!$P109))&lt;&gt;0,IF(OFFSET('EDP Proyectado'!AJ109,0,-'Ingreso Proyectado'!$P109)+0&lt;=1,0,OFFSET('EDP Proyectado'!AJ109,0,-'Ingreso Proyectado'!$P109)+0)),0)</f>
        <v>0</v>
      </c>
      <c r="AJ109" s="169">
        <f ca="1">+IFERROR(IF(ISNUMBER(OFFSET('EDP Proyectado'!AK109,0,-'Ingreso Proyectado'!$P109))&lt;&gt;0,IF(OFFSET('EDP Proyectado'!AK109,0,-'Ingreso Proyectado'!$P109)+0&lt;=1,0,OFFSET('EDP Proyectado'!AK109,0,-'Ingreso Proyectado'!$P109)+0)),0)</f>
        <v>0</v>
      </c>
      <c r="AK109" s="169">
        <f ca="1">+IFERROR(IF(ISNUMBER(OFFSET('EDP Proyectado'!AL109,0,-'Ingreso Proyectado'!$P109))&lt;&gt;0,IF(OFFSET('EDP Proyectado'!AL109,0,-'Ingreso Proyectado'!$P109)+0&lt;=1,0,OFFSET('EDP Proyectado'!AL109,0,-'Ingreso Proyectado'!$P109)+0)),0)</f>
        <v>0</v>
      </c>
      <c r="AL109" s="169">
        <f ca="1">+IFERROR(IF(ISNUMBER(OFFSET('EDP Proyectado'!AM109,0,-'Ingreso Proyectado'!$P109))&lt;&gt;0,IF(OFFSET('EDP Proyectado'!AM109,0,-'Ingreso Proyectado'!$P109)+0&lt;=1,0,OFFSET('EDP Proyectado'!AM109,0,-'Ingreso Proyectado'!$P109)+0)),0)</f>
        <v>0</v>
      </c>
      <c r="AM109" s="169">
        <f ca="1">+IFERROR(IF(ISNUMBER(OFFSET('EDP Proyectado'!AN109,0,-'Ingreso Proyectado'!$P109))&lt;&gt;0,IF(OFFSET('EDP Proyectado'!AN109,0,-'Ingreso Proyectado'!$P109)+0&lt;=1,0,OFFSET('EDP Proyectado'!AN109,0,-'Ingreso Proyectado'!$P109)+0)),0)</f>
        <v>0</v>
      </c>
      <c r="AN109" s="169">
        <f ca="1">+IFERROR(IF(ISNUMBER(OFFSET('EDP Proyectado'!AO109,0,-'Ingreso Proyectado'!$P109))&lt;&gt;0,IF(OFFSET('EDP Proyectado'!AO109,0,-'Ingreso Proyectado'!$P109)+0&lt;=1,0,OFFSET('EDP Proyectado'!AO109,0,-'Ingreso Proyectado'!$P109)+0)),0)</f>
        <v>0</v>
      </c>
      <c r="AO109" s="169">
        <f ca="1">+IFERROR(IF(ISNUMBER(OFFSET('EDP Proyectado'!AP109,0,-'Ingreso Proyectado'!$P109))&lt;&gt;0,IF(OFFSET('EDP Proyectado'!AP109,0,-'Ingreso Proyectado'!$P109)+0&lt;=1,0,OFFSET('EDP Proyectado'!AP109,0,-'Ingreso Proyectado'!$P109)+0)),0)</f>
        <v>0</v>
      </c>
      <c r="AP109" s="170">
        <f ca="1">+IFERROR(IF(ISNUMBER(OFFSET('EDP Proyectado'!AQ109,0,-'Ingreso Proyectado'!$P109))&lt;&gt;0,IF(OFFSET('EDP Proyectado'!AQ109,0,-'Ingreso Proyectado'!$P109)+0&lt;=1,0,OFFSET('EDP Proyectado'!AQ109,0,-'Ingreso Proyectado'!$P109)+0)),0)</f>
        <v>0</v>
      </c>
    </row>
    <row r="110" spans="3:42" x14ac:dyDescent="0.2">
      <c r="C110" s="144">
        <f>+'Gantt Proyectos'!C178</f>
        <v>82</v>
      </c>
      <c r="D110" s="145">
        <f>+'Gantt Proyectos'!D178</f>
        <v>0</v>
      </c>
      <c r="E110" s="145">
        <f>+'Gantt Proyectos'!E178</f>
        <v>0</v>
      </c>
      <c r="F110" s="147">
        <f>+'Gantt Proyectos'!F178</f>
        <v>0</v>
      </c>
      <c r="G110" s="145">
        <f>+'Gantt Proyectos'!G178</f>
        <v>0</v>
      </c>
      <c r="H110" s="145">
        <f>+'Gantt Proyectos'!H178</f>
        <v>0</v>
      </c>
      <c r="I110" s="189">
        <v>1</v>
      </c>
      <c r="J110" s="189">
        <f t="shared" si="8"/>
        <v>0</v>
      </c>
      <c r="K110" s="145">
        <f>+'Gantt Proyectos'!I178</f>
        <v>0</v>
      </c>
      <c r="L110" s="120">
        <f>+'Gantt Proyectos'!J178</f>
        <v>0</v>
      </c>
      <c r="M110" s="145">
        <f>+'Gantt Proyectos'!K178</f>
        <v>0</v>
      </c>
      <c r="N110" s="145">
        <f>+'Gantt Proyectos'!L178</f>
        <v>0</v>
      </c>
      <c r="O110" s="145">
        <f>+'Gantt Proyectos'!M178</f>
        <v>0</v>
      </c>
      <c r="P110" s="145">
        <f>+'Gantt Proyectos'!N178</f>
        <v>0</v>
      </c>
      <c r="Q110" s="119">
        <f>+'Gantt Proyectos'!O178</f>
        <v>0</v>
      </c>
      <c r="R110" s="119">
        <f>+'Gantt Proyectos'!P178</f>
        <v>0</v>
      </c>
      <c r="S110" s="145">
        <f>+'Gantt Proyectos'!R178</f>
        <v>0</v>
      </c>
      <c r="T110" s="118">
        <f>+'Gantt Proyectos'!S178</f>
        <v>0</v>
      </c>
      <c r="U110" s="156">
        <f>+'Gantt Proyectos'!T178</f>
        <v>0</v>
      </c>
      <c r="V110" s="156">
        <f>+'Gantt Proyectos'!U178</f>
        <v>0</v>
      </c>
      <c r="W110" s="201">
        <f t="shared" si="9"/>
        <v>0</v>
      </c>
      <c r="X110" s="121">
        <f>+'Gantt Proyectos'!W178</f>
        <v>0</v>
      </c>
      <c r="Y110" s="122">
        <f>+'Gantt Proyectos'!X178</f>
        <v>0</v>
      </c>
      <c r="Z110" s="122">
        <f>+'Gantt Proyectos'!Y178</f>
        <v>0</v>
      </c>
      <c r="AA110" s="122">
        <f>+'Gantt Proyectos'!Z178</f>
        <v>0</v>
      </c>
      <c r="AB110" s="122">
        <f>+'Gantt Proyectos'!AA178</f>
        <v>0</v>
      </c>
      <c r="AC110" s="122">
        <f>+'Gantt Proyectos'!AB178</f>
        <v>0</v>
      </c>
      <c r="AD110" s="123">
        <f>+'Gantt Proyectos'!AC178</f>
        <v>0</v>
      </c>
      <c r="AE110" s="123">
        <f>+'Gantt Proyectos'!AD178</f>
        <v>0</v>
      </c>
      <c r="AF110" s="124">
        <f>+'Gantt Proyectos'!AE178</f>
        <v>0</v>
      </c>
      <c r="AG110" s="172">
        <v>1</v>
      </c>
      <c r="AH110" s="169">
        <f ca="1">+IFERROR(IF(ISNUMBER(OFFSET('EDP Proyectado'!AI110,0,-'Ingreso Proyectado'!$P110))&lt;&gt;0,IF(OFFSET('EDP Proyectado'!AI110,0,-'Ingreso Proyectado'!$P110)+0&lt;=1,0,OFFSET('EDP Proyectado'!AI110,0,-'Ingreso Proyectado'!$P110)+0)),0)</f>
        <v>0</v>
      </c>
      <c r="AI110" s="169">
        <f ca="1">+IFERROR(IF(ISNUMBER(OFFSET('EDP Proyectado'!AJ110,0,-'Ingreso Proyectado'!$P110))&lt;&gt;0,IF(OFFSET('EDP Proyectado'!AJ110,0,-'Ingreso Proyectado'!$P110)+0&lt;=1,0,OFFSET('EDP Proyectado'!AJ110,0,-'Ingreso Proyectado'!$P110)+0)),0)</f>
        <v>0</v>
      </c>
      <c r="AJ110" s="169">
        <f ca="1">+IFERROR(IF(ISNUMBER(OFFSET('EDP Proyectado'!AK110,0,-'Ingreso Proyectado'!$P110))&lt;&gt;0,IF(OFFSET('EDP Proyectado'!AK110,0,-'Ingreso Proyectado'!$P110)+0&lt;=1,0,OFFSET('EDP Proyectado'!AK110,0,-'Ingreso Proyectado'!$P110)+0)),0)</f>
        <v>0</v>
      </c>
      <c r="AK110" s="169">
        <f ca="1">+IFERROR(IF(ISNUMBER(OFFSET('EDP Proyectado'!AL110,0,-'Ingreso Proyectado'!$P110))&lt;&gt;0,IF(OFFSET('EDP Proyectado'!AL110,0,-'Ingreso Proyectado'!$P110)+0&lt;=1,0,OFFSET('EDP Proyectado'!AL110,0,-'Ingreso Proyectado'!$P110)+0)),0)</f>
        <v>0</v>
      </c>
      <c r="AL110" s="169">
        <f ca="1">+IFERROR(IF(ISNUMBER(OFFSET('EDP Proyectado'!AM110,0,-'Ingreso Proyectado'!$P110))&lt;&gt;0,IF(OFFSET('EDP Proyectado'!AM110,0,-'Ingreso Proyectado'!$P110)+0&lt;=1,0,OFFSET('EDP Proyectado'!AM110,0,-'Ingreso Proyectado'!$P110)+0)),0)</f>
        <v>0</v>
      </c>
      <c r="AM110" s="169">
        <f ca="1">+IFERROR(IF(ISNUMBER(OFFSET('EDP Proyectado'!AN110,0,-'Ingreso Proyectado'!$P110))&lt;&gt;0,IF(OFFSET('EDP Proyectado'!AN110,0,-'Ingreso Proyectado'!$P110)+0&lt;=1,0,OFFSET('EDP Proyectado'!AN110,0,-'Ingreso Proyectado'!$P110)+0)),0)</f>
        <v>0</v>
      </c>
      <c r="AN110" s="169">
        <f ca="1">+IFERROR(IF(ISNUMBER(OFFSET('EDP Proyectado'!AO110,0,-'Ingreso Proyectado'!$P110))&lt;&gt;0,IF(OFFSET('EDP Proyectado'!AO110,0,-'Ingreso Proyectado'!$P110)+0&lt;=1,0,OFFSET('EDP Proyectado'!AO110,0,-'Ingreso Proyectado'!$P110)+0)),0)</f>
        <v>0</v>
      </c>
      <c r="AO110" s="169">
        <f ca="1">+IFERROR(IF(ISNUMBER(OFFSET('EDP Proyectado'!AP110,0,-'Ingreso Proyectado'!$P110))&lt;&gt;0,IF(OFFSET('EDP Proyectado'!AP110,0,-'Ingreso Proyectado'!$P110)+0&lt;=1,0,OFFSET('EDP Proyectado'!AP110,0,-'Ingreso Proyectado'!$P110)+0)),0)</f>
        <v>0</v>
      </c>
      <c r="AP110" s="170">
        <f ca="1">+IFERROR(IF(ISNUMBER(OFFSET('EDP Proyectado'!AQ110,0,-'Ingreso Proyectado'!$P110))&lt;&gt;0,IF(OFFSET('EDP Proyectado'!AQ110,0,-'Ingreso Proyectado'!$P110)+0&lt;=1,0,OFFSET('EDP Proyectado'!AQ110,0,-'Ingreso Proyectado'!$P110)+0)),0)</f>
        <v>0</v>
      </c>
    </row>
    <row r="111" spans="3:42" x14ac:dyDescent="0.2">
      <c r="C111" s="144">
        <f>+'Gantt Proyectos'!C179</f>
        <v>83</v>
      </c>
      <c r="D111" s="145">
        <f>+'Gantt Proyectos'!D179</f>
        <v>0</v>
      </c>
      <c r="E111" s="145">
        <f>+'Gantt Proyectos'!E179</f>
        <v>0</v>
      </c>
      <c r="F111" s="147">
        <f>+'Gantt Proyectos'!F179</f>
        <v>0</v>
      </c>
      <c r="G111" s="145">
        <f>+'Gantt Proyectos'!G179</f>
        <v>0</v>
      </c>
      <c r="H111" s="145">
        <f>+'Gantt Proyectos'!H179</f>
        <v>0</v>
      </c>
      <c r="I111" s="189">
        <v>1</v>
      </c>
      <c r="J111" s="189">
        <f t="shared" si="8"/>
        <v>0</v>
      </c>
      <c r="K111" s="145">
        <f>+'Gantt Proyectos'!I179</f>
        <v>0</v>
      </c>
      <c r="L111" s="120">
        <f>+'Gantt Proyectos'!J179</f>
        <v>0</v>
      </c>
      <c r="M111" s="145">
        <f>+'Gantt Proyectos'!K179</f>
        <v>0</v>
      </c>
      <c r="N111" s="145">
        <f>+'Gantt Proyectos'!L179</f>
        <v>0</v>
      </c>
      <c r="O111" s="145">
        <f>+'Gantt Proyectos'!M179</f>
        <v>0</v>
      </c>
      <c r="P111" s="145">
        <f>+'Gantt Proyectos'!N179</f>
        <v>0</v>
      </c>
      <c r="Q111" s="119">
        <f>+'Gantt Proyectos'!O179</f>
        <v>0</v>
      </c>
      <c r="R111" s="119">
        <f>+'Gantt Proyectos'!P179</f>
        <v>0</v>
      </c>
      <c r="S111" s="145">
        <f>+'Gantt Proyectos'!R179</f>
        <v>0</v>
      </c>
      <c r="T111" s="118">
        <f>+'Gantt Proyectos'!S179</f>
        <v>0</v>
      </c>
      <c r="U111" s="156">
        <f>+'Gantt Proyectos'!T179</f>
        <v>0</v>
      </c>
      <c r="V111" s="156">
        <f>+'Gantt Proyectos'!U179</f>
        <v>0</v>
      </c>
      <c r="W111" s="201">
        <f t="shared" si="9"/>
        <v>0</v>
      </c>
      <c r="X111" s="121">
        <f>+'Gantt Proyectos'!W179</f>
        <v>0</v>
      </c>
      <c r="Y111" s="122">
        <f>+'Gantt Proyectos'!X179</f>
        <v>0</v>
      </c>
      <c r="Z111" s="122">
        <f>+'Gantt Proyectos'!Y179</f>
        <v>0</v>
      </c>
      <c r="AA111" s="122">
        <f>+'Gantt Proyectos'!Z179</f>
        <v>0</v>
      </c>
      <c r="AB111" s="122">
        <f>+'Gantt Proyectos'!AA179</f>
        <v>0</v>
      </c>
      <c r="AC111" s="122">
        <f>+'Gantt Proyectos'!AB179</f>
        <v>0</v>
      </c>
      <c r="AD111" s="123">
        <f>+'Gantt Proyectos'!AC179</f>
        <v>0</v>
      </c>
      <c r="AE111" s="123">
        <f>+'Gantt Proyectos'!AD179</f>
        <v>0</v>
      </c>
      <c r="AF111" s="124">
        <f>+'Gantt Proyectos'!AE179</f>
        <v>0</v>
      </c>
      <c r="AG111" s="172">
        <v>1</v>
      </c>
      <c r="AH111" s="169">
        <f ca="1">+IFERROR(IF(ISNUMBER(OFFSET('EDP Proyectado'!AI111,0,-'Ingreso Proyectado'!$P111))&lt;&gt;0,IF(OFFSET('EDP Proyectado'!AI111,0,-'Ingreso Proyectado'!$P111)+0&lt;=1,0,OFFSET('EDP Proyectado'!AI111,0,-'Ingreso Proyectado'!$P111)+0)),0)</f>
        <v>0</v>
      </c>
      <c r="AI111" s="169">
        <f ca="1">+IFERROR(IF(ISNUMBER(OFFSET('EDP Proyectado'!AJ111,0,-'Ingreso Proyectado'!$P111))&lt;&gt;0,IF(OFFSET('EDP Proyectado'!AJ111,0,-'Ingreso Proyectado'!$P111)+0&lt;=1,0,OFFSET('EDP Proyectado'!AJ111,0,-'Ingreso Proyectado'!$P111)+0)),0)</f>
        <v>0</v>
      </c>
      <c r="AJ111" s="169">
        <f ca="1">+IFERROR(IF(ISNUMBER(OFFSET('EDP Proyectado'!AK111,0,-'Ingreso Proyectado'!$P111))&lt;&gt;0,IF(OFFSET('EDP Proyectado'!AK111,0,-'Ingreso Proyectado'!$P111)+0&lt;=1,0,OFFSET('EDP Proyectado'!AK111,0,-'Ingreso Proyectado'!$P111)+0)),0)</f>
        <v>0</v>
      </c>
      <c r="AK111" s="169">
        <f ca="1">+IFERROR(IF(ISNUMBER(OFFSET('EDP Proyectado'!AL111,0,-'Ingreso Proyectado'!$P111))&lt;&gt;0,IF(OFFSET('EDP Proyectado'!AL111,0,-'Ingreso Proyectado'!$P111)+0&lt;=1,0,OFFSET('EDP Proyectado'!AL111,0,-'Ingreso Proyectado'!$P111)+0)),0)</f>
        <v>0</v>
      </c>
      <c r="AL111" s="169">
        <f ca="1">+IFERROR(IF(ISNUMBER(OFFSET('EDP Proyectado'!AM111,0,-'Ingreso Proyectado'!$P111))&lt;&gt;0,IF(OFFSET('EDP Proyectado'!AM111,0,-'Ingreso Proyectado'!$P111)+0&lt;=1,0,OFFSET('EDP Proyectado'!AM111,0,-'Ingreso Proyectado'!$P111)+0)),0)</f>
        <v>0</v>
      </c>
      <c r="AM111" s="169">
        <f ca="1">+IFERROR(IF(ISNUMBER(OFFSET('EDP Proyectado'!AN111,0,-'Ingreso Proyectado'!$P111))&lt;&gt;0,IF(OFFSET('EDP Proyectado'!AN111,0,-'Ingreso Proyectado'!$P111)+0&lt;=1,0,OFFSET('EDP Proyectado'!AN111,0,-'Ingreso Proyectado'!$P111)+0)),0)</f>
        <v>0</v>
      </c>
      <c r="AN111" s="169">
        <f ca="1">+IFERROR(IF(ISNUMBER(OFFSET('EDP Proyectado'!AO111,0,-'Ingreso Proyectado'!$P111))&lt;&gt;0,IF(OFFSET('EDP Proyectado'!AO111,0,-'Ingreso Proyectado'!$P111)+0&lt;=1,0,OFFSET('EDP Proyectado'!AO111,0,-'Ingreso Proyectado'!$P111)+0)),0)</f>
        <v>0</v>
      </c>
      <c r="AO111" s="169">
        <f ca="1">+IFERROR(IF(ISNUMBER(OFFSET('EDP Proyectado'!AP111,0,-'Ingreso Proyectado'!$P111))&lt;&gt;0,IF(OFFSET('EDP Proyectado'!AP111,0,-'Ingreso Proyectado'!$P111)+0&lt;=1,0,OFFSET('EDP Proyectado'!AP111,0,-'Ingreso Proyectado'!$P111)+0)),0)</f>
        <v>0</v>
      </c>
      <c r="AP111" s="170">
        <f ca="1">+IFERROR(IF(ISNUMBER(OFFSET('EDP Proyectado'!AQ111,0,-'Ingreso Proyectado'!$P111))&lt;&gt;0,IF(OFFSET('EDP Proyectado'!AQ111,0,-'Ingreso Proyectado'!$P111)+0&lt;=1,0,OFFSET('EDP Proyectado'!AQ111,0,-'Ingreso Proyectado'!$P111)+0)),0)</f>
        <v>0</v>
      </c>
    </row>
    <row r="112" spans="3:42" x14ac:dyDescent="0.2">
      <c r="C112" s="144">
        <f>+'Gantt Proyectos'!C180</f>
        <v>84</v>
      </c>
      <c r="D112" s="145">
        <f>+'Gantt Proyectos'!D180</f>
        <v>0</v>
      </c>
      <c r="E112" s="145">
        <f>+'Gantt Proyectos'!E180</f>
        <v>0</v>
      </c>
      <c r="F112" s="147">
        <f>+'Gantt Proyectos'!F180</f>
        <v>0</v>
      </c>
      <c r="G112" s="145">
        <f>+'Gantt Proyectos'!G180</f>
        <v>0</v>
      </c>
      <c r="H112" s="145">
        <f>+'Gantt Proyectos'!H180</f>
        <v>0</v>
      </c>
      <c r="I112" s="189">
        <v>1</v>
      </c>
      <c r="J112" s="189">
        <f t="shared" si="8"/>
        <v>0</v>
      </c>
      <c r="K112" s="145">
        <f>+'Gantt Proyectos'!I180</f>
        <v>0</v>
      </c>
      <c r="L112" s="120">
        <f>+'Gantt Proyectos'!J180</f>
        <v>0</v>
      </c>
      <c r="M112" s="145">
        <f>+'Gantt Proyectos'!K180</f>
        <v>0</v>
      </c>
      <c r="N112" s="145">
        <f>+'Gantt Proyectos'!L180</f>
        <v>0</v>
      </c>
      <c r="O112" s="145">
        <f>+'Gantt Proyectos'!M180</f>
        <v>0</v>
      </c>
      <c r="P112" s="145">
        <f>+'Gantt Proyectos'!N180</f>
        <v>0</v>
      </c>
      <c r="Q112" s="119">
        <f>+'Gantt Proyectos'!O180</f>
        <v>0</v>
      </c>
      <c r="R112" s="119">
        <f>+'Gantt Proyectos'!P180</f>
        <v>0</v>
      </c>
      <c r="S112" s="145">
        <f>+'Gantt Proyectos'!R180</f>
        <v>0</v>
      </c>
      <c r="T112" s="118">
        <f>+'Gantt Proyectos'!S180</f>
        <v>0</v>
      </c>
      <c r="U112" s="156">
        <f>+'Gantt Proyectos'!T180</f>
        <v>0</v>
      </c>
      <c r="V112" s="156">
        <f>+'Gantt Proyectos'!U180</f>
        <v>0</v>
      </c>
      <c r="W112" s="201">
        <f t="shared" si="9"/>
        <v>0</v>
      </c>
      <c r="X112" s="121">
        <f>+'Gantt Proyectos'!W180</f>
        <v>0</v>
      </c>
      <c r="Y112" s="122">
        <f>+'Gantt Proyectos'!X180</f>
        <v>0</v>
      </c>
      <c r="Z112" s="122">
        <f>+'Gantt Proyectos'!Y180</f>
        <v>0</v>
      </c>
      <c r="AA112" s="122">
        <f>+'Gantt Proyectos'!Z180</f>
        <v>0</v>
      </c>
      <c r="AB112" s="122">
        <f>+'Gantt Proyectos'!AA180</f>
        <v>0</v>
      </c>
      <c r="AC112" s="122">
        <f>+'Gantt Proyectos'!AB180</f>
        <v>0</v>
      </c>
      <c r="AD112" s="123">
        <f>+'Gantt Proyectos'!AC180</f>
        <v>0</v>
      </c>
      <c r="AE112" s="123">
        <f>+'Gantt Proyectos'!AD180</f>
        <v>0</v>
      </c>
      <c r="AF112" s="124">
        <f>+'Gantt Proyectos'!AE180</f>
        <v>0</v>
      </c>
      <c r="AG112" s="172">
        <v>1</v>
      </c>
      <c r="AH112" s="169">
        <f ca="1">+IFERROR(IF(ISNUMBER(OFFSET('EDP Proyectado'!AI112,0,-'Ingreso Proyectado'!$P112))&lt;&gt;0,IF(OFFSET('EDP Proyectado'!AI112,0,-'Ingreso Proyectado'!$P112)+0&lt;=1,0,OFFSET('EDP Proyectado'!AI112,0,-'Ingreso Proyectado'!$P112)+0)),0)</f>
        <v>0</v>
      </c>
      <c r="AI112" s="169">
        <f ca="1">+IFERROR(IF(ISNUMBER(OFFSET('EDP Proyectado'!AJ112,0,-'Ingreso Proyectado'!$P112))&lt;&gt;0,IF(OFFSET('EDP Proyectado'!AJ112,0,-'Ingreso Proyectado'!$P112)+0&lt;=1,0,OFFSET('EDP Proyectado'!AJ112,0,-'Ingreso Proyectado'!$P112)+0)),0)</f>
        <v>0</v>
      </c>
      <c r="AJ112" s="169">
        <f ca="1">+IFERROR(IF(ISNUMBER(OFFSET('EDP Proyectado'!AK112,0,-'Ingreso Proyectado'!$P112))&lt;&gt;0,IF(OFFSET('EDP Proyectado'!AK112,0,-'Ingreso Proyectado'!$P112)+0&lt;=1,0,OFFSET('EDP Proyectado'!AK112,0,-'Ingreso Proyectado'!$P112)+0)),0)</f>
        <v>0</v>
      </c>
      <c r="AK112" s="169">
        <f ca="1">+IFERROR(IF(ISNUMBER(OFFSET('EDP Proyectado'!AL112,0,-'Ingreso Proyectado'!$P112))&lt;&gt;0,IF(OFFSET('EDP Proyectado'!AL112,0,-'Ingreso Proyectado'!$P112)+0&lt;=1,0,OFFSET('EDP Proyectado'!AL112,0,-'Ingreso Proyectado'!$P112)+0)),0)</f>
        <v>0</v>
      </c>
      <c r="AL112" s="169">
        <f ca="1">+IFERROR(IF(ISNUMBER(OFFSET('EDP Proyectado'!AM112,0,-'Ingreso Proyectado'!$P112))&lt;&gt;0,IF(OFFSET('EDP Proyectado'!AM112,0,-'Ingreso Proyectado'!$P112)+0&lt;=1,0,OFFSET('EDP Proyectado'!AM112,0,-'Ingreso Proyectado'!$P112)+0)),0)</f>
        <v>0</v>
      </c>
      <c r="AM112" s="169">
        <f ca="1">+IFERROR(IF(ISNUMBER(OFFSET('EDP Proyectado'!AN112,0,-'Ingreso Proyectado'!$P112))&lt;&gt;0,IF(OFFSET('EDP Proyectado'!AN112,0,-'Ingreso Proyectado'!$P112)+0&lt;=1,0,OFFSET('EDP Proyectado'!AN112,0,-'Ingreso Proyectado'!$P112)+0)),0)</f>
        <v>0</v>
      </c>
      <c r="AN112" s="169">
        <f ca="1">+IFERROR(IF(ISNUMBER(OFFSET('EDP Proyectado'!AO112,0,-'Ingreso Proyectado'!$P112))&lt;&gt;0,IF(OFFSET('EDP Proyectado'!AO112,0,-'Ingreso Proyectado'!$P112)+0&lt;=1,0,OFFSET('EDP Proyectado'!AO112,0,-'Ingreso Proyectado'!$P112)+0)),0)</f>
        <v>0</v>
      </c>
      <c r="AO112" s="169">
        <f ca="1">+IFERROR(IF(ISNUMBER(OFFSET('EDP Proyectado'!AP112,0,-'Ingreso Proyectado'!$P112))&lt;&gt;0,IF(OFFSET('EDP Proyectado'!AP112,0,-'Ingreso Proyectado'!$P112)+0&lt;=1,0,OFFSET('EDP Proyectado'!AP112,0,-'Ingreso Proyectado'!$P112)+0)),0)</f>
        <v>0</v>
      </c>
      <c r="AP112" s="170">
        <f ca="1">+IFERROR(IF(ISNUMBER(OFFSET('EDP Proyectado'!AQ112,0,-'Ingreso Proyectado'!$P112))&lt;&gt;0,IF(OFFSET('EDP Proyectado'!AQ112,0,-'Ingreso Proyectado'!$P112)+0&lt;=1,0,OFFSET('EDP Proyectado'!AQ112,0,-'Ingreso Proyectado'!$P112)+0)),0)</f>
        <v>0</v>
      </c>
    </row>
    <row r="113" spans="3:42" x14ac:dyDescent="0.2">
      <c r="C113" s="144">
        <f>+'Gantt Proyectos'!C181</f>
        <v>85</v>
      </c>
      <c r="D113" s="145">
        <f>+'Gantt Proyectos'!D181</f>
        <v>0</v>
      </c>
      <c r="E113" s="145">
        <f>+'Gantt Proyectos'!E181</f>
        <v>0</v>
      </c>
      <c r="F113" s="147">
        <f>+'Gantt Proyectos'!F181</f>
        <v>0</v>
      </c>
      <c r="G113" s="145">
        <f>+'Gantt Proyectos'!G181</f>
        <v>0</v>
      </c>
      <c r="H113" s="145">
        <f>+'Gantt Proyectos'!H181</f>
        <v>0</v>
      </c>
      <c r="I113" s="189">
        <v>1</v>
      </c>
      <c r="J113" s="189">
        <f t="shared" si="8"/>
        <v>0</v>
      </c>
      <c r="K113" s="145">
        <f>+'Gantt Proyectos'!I181</f>
        <v>0</v>
      </c>
      <c r="L113" s="120">
        <f>+'Gantt Proyectos'!J181</f>
        <v>0</v>
      </c>
      <c r="M113" s="145">
        <f>+'Gantt Proyectos'!K181</f>
        <v>0</v>
      </c>
      <c r="N113" s="145">
        <f>+'Gantt Proyectos'!L181</f>
        <v>0</v>
      </c>
      <c r="O113" s="145">
        <f>+'Gantt Proyectos'!M181</f>
        <v>0</v>
      </c>
      <c r="P113" s="145">
        <f>+'Gantt Proyectos'!N181</f>
        <v>0</v>
      </c>
      <c r="Q113" s="119">
        <f>+'Gantt Proyectos'!O181</f>
        <v>0</v>
      </c>
      <c r="R113" s="119">
        <f>+'Gantt Proyectos'!P181</f>
        <v>0</v>
      </c>
      <c r="S113" s="145">
        <f>+'Gantt Proyectos'!R181</f>
        <v>0</v>
      </c>
      <c r="T113" s="118">
        <f>+'Gantt Proyectos'!S181</f>
        <v>0</v>
      </c>
      <c r="U113" s="156">
        <f>+'Gantt Proyectos'!T181</f>
        <v>0</v>
      </c>
      <c r="V113" s="156">
        <f>+'Gantt Proyectos'!U181</f>
        <v>0</v>
      </c>
      <c r="W113" s="201">
        <f t="shared" si="9"/>
        <v>0</v>
      </c>
      <c r="X113" s="121">
        <f>+'Gantt Proyectos'!W181</f>
        <v>0</v>
      </c>
      <c r="Y113" s="122">
        <f>+'Gantt Proyectos'!X181</f>
        <v>0</v>
      </c>
      <c r="Z113" s="122">
        <f>+'Gantt Proyectos'!Y181</f>
        <v>0</v>
      </c>
      <c r="AA113" s="122">
        <f>+'Gantt Proyectos'!Z181</f>
        <v>0</v>
      </c>
      <c r="AB113" s="122">
        <f>+'Gantt Proyectos'!AA181</f>
        <v>0</v>
      </c>
      <c r="AC113" s="122">
        <f>+'Gantt Proyectos'!AB181</f>
        <v>0</v>
      </c>
      <c r="AD113" s="123">
        <f>+'Gantt Proyectos'!AC181</f>
        <v>0</v>
      </c>
      <c r="AE113" s="123">
        <f>+'Gantt Proyectos'!AD181</f>
        <v>0</v>
      </c>
      <c r="AF113" s="124">
        <f>+'Gantt Proyectos'!AE181</f>
        <v>0</v>
      </c>
      <c r="AG113" s="172">
        <v>1</v>
      </c>
      <c r="AH113" s="169">
        <f ca="1">+IFERROR(IF(ISNUMBER(OFFSET('EDP Proyectado'!AI113,0,-'Ingreso Proyectado'!$P113))&lt;&gt;0,IF(OFFSET('EDP Proyectado'!AI113,0,-'Ingreso Proyectado'!$P113)+0&lt;=1,0,OFFSET('EDP Proyectado'!AI113,0,-'Ingreso Proyectado'!$P113)+0)),0)</f>
        <v>0</v>
      </c>
      <c r="AI113" s="169">
        <f ca="1">+IFERROR(IF(ISNUMBER(OFFSET('EDP Proyectado'!AJ113,0,-'Ingreso Proyectado'!$P113))&lt;&gt;0,IF(OFFSET('EDP Proyectado'!AJ113,0,-'Ingreso Proyectado'!$P113)+0&lt;=1,0,OFFSET('EDP Proyectado'!AJ113,0,-'Ingreso Proyectado'!$P113)+0)),0)</f>
        <v>0</v>
      </c>
      <c r="AJ113" s="169">
        <f ca="1">+IFERROR(IF(ISNUMBER(OFFSET('EDP Proyectado'!AK113,0,-'Ingreso Proyectado'!$P113))&lt;&gt;0,IF(OFFSET('EDP Proyectado'!AK113,0,-'Ingreso Proyectado'!$P113)+0&lt;=1,0,OFFSET('EDP Proyectado'!AK113,0,-'Ingreso Proyectado'!$P113)+0)),0)</f>
        <v>0</v>
      </c>
      <c r="AK113" s="169">
        <f ca="1">+IFERROR(IF(ISNUMBER(OFFSET('EDP Proyectado'!AL113,0,-'Ingreso Proyectado'!$P113))&lt;&gt;0,IF(OFFSET('EDP Proyectado'!AL113,0,-'Ingreso Proyectado'!$P113)+0&lt;=1,0,OFFSET('EDP Proyectado'!AL113,0,-'Ingreso Proyectado'!$P113)+0)),0)</f>
        <v>0</v>
      </c>
      <c r="AL113" s="169">
        <f ca="1">+IFERROR(IF(ISNUMBER(OFFSET('EDP Proyectado'!AM113,0,-'Ingreso Proyectado'!$P113))&lt;&gt;0,IF(OFFSET('EDP Proyectado'!AM113,0,-'Ingreso Proyectado'!$P113)+0&lt;=1,0,OFFSET('EDP Proyectado'!AM113,0,-'Ingreso Proyectado'!$P113)+0)),0)</f>
        <v>0</v>
      </c>
      <c r="AM113" s="169">
        <f ca="1">+IFERROR(IF(ISNUMBER(OFFSET('EDP Proyectado'!AN113,0,-'Ingreso Proyectado'!$P113))&lt;&gt;0,IF(OFFSET('EDP Proyectado'!AN113,0,-'Ingreso Proyectado'!$P113)+0&lt;=1,0,OFFSET('EDP Proyectado'!AN113,0,-'Ingreso Proyectado'!$P113)+0)),0)</f>
        <v>0</v>
      </c>
      <c r="AN113" s="169">
        <f ca="1">+IFERROR(IF(ISNUMBER(OFFSET('EDP Proyectado'!AO113,0,-'Ingreso Proyectado'!$P113))&lt;&gt;0,IF(OFFSET('EDP Proyectado'!AO113,0,-'Ingreso Proyectado'!$P113)+0&lt;=1,0,OFFSET('EDP Proyectado'!AO113,0,-'Ingreso Proyectado'!$P113)+0)),0)</f>
        <v>0</v>
      </c>
      <c r="AO113" s="169">
        <f ca="1">+IFERROR(IF(ISNUMBER(OFFSET('EDP Proyectado'!AP113,0,-'Ingreso Proyectado'!$P113))&lt;&gt;0,IF(OFFSET('EDP Proyectado'!AP113,0,-'Ingreso Proyectado'!$P113)+0&lt;=1,0,OFFSET('EDP Proyectado'!AP113,0,-'Ingreso Proyectado'!$P113)+0)),0)</f>
        <v>0</v>
      </c>
      <c r="AP113" s="170">
        <f ca="1">+IFERROR(IF(ISNUMBER(OFFSET('EDP Proyectado'!AQ113,0,-'Ingreso Proyectado'!$P113))&lt;&gt;0,IF(OFFSET('EDP Proyectado'!AQ113,0,-'Ingreso Proyectado'!$P113)+0&lt;=1,0,OFFSET('EDP Proyectado'!AQ113,0,-'Ingreso Proyectado'!$P113)+0)),0)</f>
        <v>0</v>
      </c>
    </row>
    <row r="114" spans="3:42" x14ac:dyDescent="0.2">
      <c r="C114" s="144">
        <f>+'Gantt Proyectos'!C182</f>
        <v>86</v>
      </c>
      <c r="D114" s="145">
        <f>+'Gantt Proyectos'!D182</f>
        <v>0</v>
      </c>
      <c r="E114" s="145">
        <f>+'Gantt Proyectos'!E182</f>
        <v>0</v>
      </c>
      <c r="F114" s="147">
        <f>+'Gantt Proyectos'!F182</f>
        <v>0</v>
      </c>
      <c r="G114" s="145">
        <f>+'Gantt Proyectos'!G182</f>
        <v>0</v>
      </c>
      <c r="H114" s="145">
        <f>+'Gantt Proyectos'!H182</f>
        <v>0</v>
      </c>
      <c r="I114" s="189">
        <v>1</v>
      </c>
      <c r="J114" s="189">
        <f t="shared" si="8"/>
        <v>0</v>
      </c>
      <c r="K114" s="145">
        <f>+'Gantt Proyectos'!I182</f>
        <v>0</v>
      </c>
      <c r="L114" s="120">
        <f>+'Gantt Proyectos'!J182</f>
        <v>0</v>
      </c>
      <c r="M114" s="145">
        <f>+'Gantt Proyectos'!K182</f>
        <v>0</v>
      </c>
      <c r="N114" s="145">
        <f>+'Gantt Proyectos'!L182</f>
        <v>0</v>
      </c>
      <c r="O114" s="145">
        <f>+'Gantt Proyectos'!M182</f>
        <v>0</v>
      </c>
      <c r="P114" s="145">
        <f>+'Gantt Proyectos'!N182</f>
        <v>0</v>
      </c>
      <c r="Q114" s="119">
        <f>+'Gantt Proyectos'!O182</f>
        <v>0</v>
      </c>
      <c r="R114" s="119">
        <f>+'Gantt Proyectos'!P182</f>
        <v>0</v>
      </c>
      <c r="S114" s="145">
        <f>+'Gantt Proyectos'!R182</f>
        <v>0</v>
      </c>
      <c r="T114" s="118">
        <f>+'Gantt Proyectos'!S182</f>
        <v>0</v>
      </c>
      <c r="U114" s="156">
        <f>+'Gantt Proyectos'!T182</f>
        <v>0</v>
      </c>
      <c r="V114" s="156">
        <f>+'Gantt Proyectos'!U182</f>
        <v>0</v>
      </c>
      <c r="W114" s="201">
        <f t="shared" si="9"/>
        <v>0</v>
      </c>
      <c r="X114" s="121">
        <f>+'Gantt Proyectos'!W182</f>
        <v>0</v>
      </c>
      <c r="Y114" s="122">
        <f>+'Gantt Proyectos'!X182</f>
        <v>0</v>
      </c>
      <c r="Z114" s="122">
        <f>+'Gantt Proyectos'!Y182</f>
        <v>0</v>
      </c>
      <c r="AA114" s="122">
        <f>+'Gantt Proyectos'!Z182</f>
        <v>0</v>
      </c>
      <c r="AB114" s="122">
        <f>+'Gantt Proyectos'!AA182</f>
        <v>0</v>
      </c>
      <c r="AC114" s="122">
        <f>+'Gantt Proyectos'!AB182</f>
        <v>0</v>
      </c>
      <c r="AD114" s="123">
        <f>+'Gantt Proyectos'!AC182</f>
        <v>0</v>
      </c>
      <c r="AE114" s="123">
        <f>+'Gantt Proyectos'!AD182</f>
        <v>0</v>
      </c>
      <c r="AF114" s="124">
        <f>+'Gantt Proyectos'!AE182</f>
        <v>0</v>
      </c>
      <c r="AG114" s="172">
        <v>1</v>
      </c>
      <c r="AH114" s="169">
        <f ca="1">+IFERROR(IF(ISNUMBER(OFFSET('EDP Proyectado'!AI114,0,-'Ingreso Proyectado'!$P114))&lt;&gt;0,IF(OFFSET('EDP Proyectado'!AI114,0,-'Ingreso Proyectado'!$P114)+0&lt;=1,0,OFFSET('EDP Proyectado'!AI114,0,-'Ingreso Proyectado'!$P114)+0)),0)</f>
        <v>0</v>
      </c>
      <c r="AI114" s="169">
        <f ca="1">+IFERROR(IF(ISNUMBER(OFFSET('EDP Proyectado'!AJ114,0,-'Ingreso Proyectado'!$P114))&lt;&gt;0,IF(OFFSET('EDP Proyectado'!AJ114,0,-'Ingreso Proyectado'!$P114)+0&lt;=1,0,OFFSET('EDP Proyectado'!AJ114,0,-'Ingreso Proyectado'!$P114)+0)),0)</f>
        <v>0</v>
      </c>
      <c r="AJ114" s="169">
        <f ca="1">+IFERROR(IF(ISNUMBER(OFFSET('EDP Proyectado'!AK114,0,-'Ingreso Proyectado'!$P114))&lt;&gt;0,IF(OFFSET('EDP Proyectado'!AK114,0,-'Ingreso Proyectado'!$P114)+0&lt;=1,0,OFFSET('EDP Proyectado'!AK114,0,-'Ingreso Proyectado'!$P114)+0)),0)</f>
        <v>0</v>
      </c>
      <c r="AK114" s="169">
        <f ca="1">+IFERROR(IF(ISNUMBER(OFFSET('EDP Proyectado'!AL114,0,-'Ingreso Proyectado'!$P114))&lt;&gt;0,IF(OFFSET('EDP Proyectado'!AL114,0,-'Ingreso Proyectado'!$P114)+0&lt;=1,0,OFFSET('EDP Proyectado'!AL114,0,-'Ingreso Proyectado'!$P114)+0)),0)</f>
        <v>0</v>
      </c>
      <c r="AL114" s="169">
        <f ca="1">+IFERROR(IF(ISNUMBER(OFFSET('EDP Proyectado'!AM114,0,-'Ingreso Proyectado'!$P114))&lt;&gt;0,IF(OFFSET('EDP Proyectado'!AM114,0,-'Ingreso Proyectado'!$P114)+0&lt;=1,0,OFFSET('EDP Proyectado'!AM114,0,-'Ingreso Proyectado'!$P114)+0)),0)</f>
        <v>0</v>
      </c>
      <c r="AM114" s="169">
        <f ca="1">+IFERROR(IF(ISNUMBER(OFFSET('EDP Proyectado'!AN114,0,-'Ingreso Proyectado'!$P114))&lt;&gt;0,IF(OFFSET('EDP Proyectado'!AN114,0,-'Ingreso Proyectado'!$P114)+0&lt;=1,0,OFFSET('EDP Proyectado'!AN114,0,-'Ingreso Proyectado'!$P114)+0)),0)</f>
        <v>0</v>
      </c>
      <c r="AN114" s="169">
        <f ca="1">+IFERROR(IF(ISNUMBER(OFFSET('EDP Proyectado'!AO114,0,-'Ingreso Proyectado'!$P114))&lt;&gt;0,IF(OFFSET('EDP Proyectado'!AO114,0,-'Ingreso Proyectado'!$P114)+0&lt;=1,0,OFFSET('EDP Proyectado'!AO114,0,-'Ingreso Proyectado'!$P114)+0)),0)</f>
        <v>0</v>
      </c>
      <c r="AO114" s="169">
        <f ca="1">+IFERROR(IF(ISNUMBER(OFFSET('EDP Proyectado'!AP114,0,-'Ingreso Proyectado'!$P114))&lt;&gt;0,IF(OFFSET('EDP Proyectado'!AP114,0,-'Ingreso Proyectado'!$P114)+0&lt;=1,0,OFFSET('EDP Proyectado'!AP114,0,-'Ingreso Proyectado'!$P114)+0)),0)</f>
        <v>0</v>
      </c>
      <c r="AP114" s="170">
        <f ca="1">+IFERROR(IF(ISNUMBER(OFFSET('EDP Proyectado'!AQ114,0,-'Ingreso Proyectado'!$P114))&lt;&gt;0,IF(OFFSET('EDP Proyectado'!AQ114,0,-'Ingreso Proyectado'!$P114)+0&lt;=1,0,OFFSET('EDP Proyectado'!AQ114,0,-'Ingreso Proyectado'!$P114)+0)),0)</f>
        <v>0</v>
      </c>
    </row>
    <row r="115" spans="3:42" x14ac:dyDescent="0.2">
      <c r="C115" s="144">
        <f>+'Gantt Proyectos'!C183</f>
        <v>87</v>
      </c>
      <c r="D115" s="145">
        <f>+'Gantt Proyectos'!D183</f>
        <v>0</v>
      </c>
      <c r="E115" s="145">
        <f>+'Gantt Proyectos'!E183</f>
        <v>0</v>
      </c>
      <c r="F115" s="147">
        <f>+'Gantt Proyectos'!F183</f>
        <v>0</v>
      </c>
      <c r="G115" s="145">
        <f>+'Gantt Proyectos'!G183</f>
        <v>0</v>
      </c>
      <c r="H115" s="145">
        <f>+'Gantt Proyectos'!H183</f>
        <v>0</v>
      </c>
      <c r="I115" s="189">
        <v>1</v>
      </c>
      <c r="J115" s="189">
        <f t="shared" si="8"/>
        <v>0</v>
      </c>
      <c r="K115" s="145">
        <f>+'Gantt Proyectos'!I183</f>
        <v>0</v>
      </c>
      <c r="L115" s="120">
        <f>+'Gantt Proyectos'!J183</f>
        <v>0</v>
      </c>
      <c r="M115" s="145">
        <f>+'Gantt Proyectos'!K183</f>
        <v>0</v>
      </c>
      <c r="N115" s="145">
        <f>+'Gantt Proyectos'!L183</f>
        <v>0</v>
      </c>
      <c r="O115" s="145">
        <f>+'Gantt Proyectos'!M183</f>
        <v>0</v>
      </c>
      <c r="P115" s="145">
        <f>+'Gantt Proyectos'!N183</f>
        <v>0</v>
      </c>
      <c r="Q115" s="119">
        <f>+'Gantt Proyectos'!O183</f>
        <v>0</v>
      </c>
      <c r="R115" s="119">
        <f>+'Gantt Proyectos'!P183</f>
        <v>0</v>
      </c>
      <c r="S115" s="145">
        <f>+'Gantt Proyectos'!R183</f>
        <v>0</v>
      </c>
      <c r="T115" s="118">
        <f>+'Gantt Proyectos'!S183</f>
        <v>0</v>
      </c>
      <c r="U115" s="156">
        <f>+'Gantt Proyectos'!T183</f>
        <v>0</v>
      </c>
      <c r="V115" s="156">
        <f>+'Gantt Proyectos'!U183</f>
        <v>0</v>
      </c>
      <c r="W115" s="201">
        <f t="shared" si="9"/>
        <v>0</v>
      </c>
      <c r="X115" s="121">
        <f>+'Gantt Proyectos'!W183</f>
        <v>0</v>
      </c>
      <c r="Y115" s="122">
        <f>+'Gantt Proyectos'!X183</f>
        <v>0</v>
      </c>
      <c r="Z115" s="122">
        <f>+'Gantt Proyectos'!Y183</f>
        <v>0</v>
      </c>
      <c r="AA115" s="122">
        <f>+'Gantt Proyectos'!Z183</f>
        <v>0</v>
      </c>
      <c r="AB115" s="122">
        <f>+'Gantt Proyectos'!AA183</f>
        <v>0</v>
      </c>
      <c r="AC115" s="122">
        <f>+'Gantt Proyectos'!AB183</f>
        <v>0</v>
      </c>
      <c r="AD115" s="123">
        <f>+'Gantt Proyectos'!AC183</f>
        <v>0</v>
      </c>
      <c r="AE115" s="123">
        <f>+'Gantt Proyectos'!AD183</f>
        <v>0</v>
      </c>
      <c r="AF115" s="124">
        <f>+'Gantt Proyectos'!AE183</f>
        <v>0</v>
      </c>
      <c r="AG115" s="172">
        <v>1</v>
      </c>
      <c r="AH115" s="169">
        <f ca="1">+IFERROR(IF(ISNUMBER(OFFSET('EDP Proyectado'!AI115,0,-'Ingreso Proyectado'!$P115))&lt;&gt;0,IF(OFFSET('EDP Proyectado'!AI115,0,-'Ingreso Proyectado'!$P115)+0&lt;=1,0,OFFSET('EDP Proyectado'!AI115,0,-'Ingreso Proyectado'!$P115)+0)),0)</f>
        <v>0</v>
      </c>
      <c r="AI115" s="169">
        <f ca="1">+IFERROR(IF(ISNUMBER(OFFSET('EDP Proyectado'!AJ115,0,-'Ingreso Proyectado'!$P115))&lt;&gt;0,IF(OFFSET('EDP Proyectado'!AJ115,0,-'Ingreso Proyectado'!$P115)+0&lt;=1,0,OFFSET('EDP Proyectado'!AJ115,0,-'Ingreso Proyectado'!$P115)+0)),0)</f>
        <v>0</v>
      </c>
      <c r="AJ115" s="169">
        <f ca="1">+IFERROR(IF(ISNUMBER(OFFSET('EDP Proyectado'!AK115,0,-'Ingreso Proyectado'!$P115))&lt;&gt;0,IF(OFFSET('EDP Proyectado'!AK115,0,-'Ingreso Proyectado'!$P115)+0&lt;=1,0,OFFSET('EDP Proyectado'!AK115,0,-'Ingreso Proyectado'!$P115)+0)),0)</f>
        <v>0</v>
      </c>
      <c r="AK115" s="169">
        <f ca="1">+IFERROR(IF(ISNUMBER(OFFSET('EDP Proyectado'!AL115,0,-'Ingreso Proyectado'!$P115))&lt;&gt;0,IF(OFFSET('EDP Proyectado'!AL115,0,-'Ingreso Proyectado'!$P115)+0&lt;=1,0,OFFSET('EDP Proyectado'!AL115,0,-'Ingreso Proyectado'!$P115)+0)),0)</f>
        <v>0</v>
      </c>
      <c r="AL115" s="169">
        <f ca="1">+IFERROR(IF(ISNUMBER(OFFSET('EDP Proyectado'!AM115,0,-'Ingreso Proyectado'!$P115))&lt;&gt;0,IF(OFFSET('EDP Proyectado'!AM115,0,-'Ingreso Proyectado'!$P115)+0&lt;=1,0,OFFSET('EDP Proyectado'!AM115,0,-'Ingreso Proyectado'!$P115)+0)),0)</f>
        <v>0</v>
      </c>
      <c r="AM115" s="169">
        <f ca="1">+IFERROR(IF(ISNUMBER(OFFSET('EDP Proyectado'!AN115,0,-'Ingreso Proyectado'!$P115))&lt;&gt;0,IF(OFFSET('EDP Proyectado'!AN115,0,-'Ingreso Proyectado'!$P115)+0&lt;=1,0,OFFSET('EDP Proyectado'!AN115,0,-'Ingreso Proyectado'!$P115)+0)),0)</f>
        <v>0</v>
      </c>
      <c r="AN115" s="169">
        <f ca="1">+IFERROR(IF(ISNUMBER(OFFSET('EDP Proyectado'!AO115,0,-'Ingreso Proyectado'!$P115))&lt;&gt;0,IF(OFFSET('EDP Proyectado'!AO115,0,-'Ingreso Proyectado'!$P115)+0&lt;=1,0,OFFSET('EDP Proyectado'!AO115,0,-'Ingreso Proyectado'!$P115)+0)),0)</f>
        <v>0</v>
      </c>
      <c r="AO115" s="169">
        <f ca="1">+IFERROR(IF(ISNUMBER(OFFSET('EDP Proyectado'!AP115,0,-'Ingreso Proyectado'!$P115))&lt;&gt;0,IF(OFFSET('EDP Proyectado'!AP115,0,-'Ingreso Proyectado'!$P115)+0&lt;=1,0,OFFSET('EDP Proyectado'!AP115,0,-'Ingreso Proyectado'!$P115)+0)),0)</f>
        <v>0</v>
      </c>
      <c r="AP115" s="170">
        <f ca="1">+IFERROR(IF(ISNUMBER(OFFSET('EDP Proyectado'!AQ115,0,-'Ingreso Proyectado'!$P115))&lt;&gt;0,IF(OFFSET('EDP Proyectado'!AQ115,0,-'Ingreso Proyectado'!$P115)+0&lt;=1,0,OFFSET('EDP Proyectado'!AQ115,0,-'Ingreso Proyectado'!$P115)+0)),0)</f>
        <v>0</v>
      </c>
    </row>
    <row r="116" spans="3:42" x14ac:dyDescent="0.2">
      <c r="C116" s="144">
        <f>+'Gantt Proyectos'!C184</f>
        <v>88</v>
      </c>
      <c r="D116" s="145">
        <f>+'Gantt Proyectos'!D184</f>
        <v>0</v>
      </c>
      <c r="E116" s="145">
        <f>+'Gantt Proyectos'!E184</f>
        <v>0</v>
      </c>
      <c r="F116" s="147">
        <f>+'Gantt Proyectos'!F184</f>
        <v>0</v>
      </c>
      <c r="G116" s="145">
        <f>+'Gantt Proyectos'!G184</f>
        <v>0</v>
      </c>
      <c r="H116" s="145">
        <f>+'Gantt Proyectos'!H184</f>
        <v>0</v>
      </c>
      <c r="I116" s="189">
        <v>1</v>
      </c>
      <c r="J116" s="189">
        <f t="shared" si="8"/>
        <v>0</v>
      </c>
      <c r="K116" s="145">
        <f>+'Gantt Proyectos'!I184</f>
        <v>0</v>
      </c>
      <c r="L116" s="120">
        <f>+'Gantt Proyectos'!J184</f>
        <v>0</v>
      </c>
      <c r="M116" s="145">
        <f>+'Gantt Proyectos'!K184</f>
        <v>0</v>
      </c>
      <c r="N116" s="145">
        <f>+'Gantt Proyectos'!L184</f>
        <v>0</v>
      </c>
      <c r="O116" s="145">
        <f>+'Gantt Proyectos'!M184</f>
        <v>0</v>
      </c>
      <c r="P116" s="145">
        <f>+'Gantt Proyectos'!N184</f>
        <v>0</v>
      </c>
      <c r="Q116" s="119">
        <f>+'Gantt Proyectos'!O184</f>
        <v>0</v>
      </c>
      <c r="R116" s="119">
        <f>+'Gantt Proyectos'!P184</f>
        <v>0</v>
      </c>
      <c r="S116" s="145">
        <f>+'Gantt Proyectos'!R184</f>
        <v>0</v>
      </c>
      <c r="T116" s="118">
        <f>+'Gantt Proyectos'!S184</f>
        <v>0</v>
      </c>
      <c r="U116" s="156">
        <f>+'Gantt Proyectos'!T184</f>
        <v>0</v>
      </c>
      <c r="V116" s="156">
        <f>+'Gantt Proyectos'!U184</f>
        <v>0</v>
      </c>
      <c r="W116" s="201">
        <f t="shared" si="9"/>
        <v>0</v>
      </c>
      <c r="X116" s="121">
        <f>+'Gantt Proyectos'!W184</f>
        <v>0</v>
      </c>
      <c r="Y116" s="122">
        <f>+'Gantt Proyectos'!X184</f>
        <v>0</v>
      </c>
      <c r="Z116" s="122">
        <f>+'Gantt Proyectos'!Y184</f>
        <v>0</v>
      </c>
      <c r="AA116" s="122">
        <f>+'Gantt Proyectos'!Z184</f>
        <v>0</v>
      </c>
      <c r="AB116" s="122">
        <f>+'Gantt Proyectos'!AA184</f>
        <v>0</v>
      </c>
      <c r="AC116" s="122">
        <f>+'Gantt Proyectos'!AB184</f>
        <v>0</v>
      </c>
      <c r="AD116" s="123">
        <f>+'Gantt Proyectos'!AC184</f>
        <v>0</v>
      </c>
      <c r="AE116" s="123">
        <f>+'Gantt Proyectos'!AD184</f>
        <v>0</v>
      </c>
      <c r="AF116" s="124">
        <f>+'Gantt Proyectos'!AE184</f>
        <v>0</v>
      </c>
      <c r="AG116" s="172">
        <v>1</v>
      </c>
      <c r="AH116" s="169">
        <f ca="1">+IFERROR(IF(ISNUMBER(OFFSET('EDP Proyectado'!AI116,0,-'Ingreso Proyectado'!$P116))&lt;&gt;0,IF(OFFSET('EDP Proyectado'!AI116,0,-'Ingreso Proyectado'!$P116)+0&lt;=1,0,OFFSET('EDP Proyectado'!AI116,0,-'Ingreso Proyectado'!$P116)+0)),0)</f>
        <v>0</v>
      </c>
      <c r="AI116" s="169">
        <f ca="1">+IFERROR(IF(ISNUMBER(OFFSET('EDP Proyectado'!AJ116,0,-'Ingreso Proyectado'!$P116))&lt;&gt;0,IF(OFFSET('EDP Proyectado'!AJ116,0,-'Ingreso Proyectado'!$P116)+0&lt;=1,0,OFFSET('EDP Proyectado'!AJ116,0,-'Ingreso Proyectado'!$P116)+0)),0)</f>
        <v>0</v>
      </c>
      <c r="AJ116" s="169">
        <f ca="1">+IFERROR(IF(ISNUMBER(OFFSET('EDP Proyectado'!AK116,0,-'Ingreso Proyectado'!$P116))&lt;&gt;0,IF(OFFSET('EDP Proyectado'!AK116,0,-'Ingreso Proyectado'!$P116)+0&lt;=1,0,OFFSET('EDP Proyectado'!AK116,0,-'Ingreso Proyectado'!$P116)+0)),0)</f>
        <v>0</v>
      </c>
      <c r="AK116" s="169">
        <f ca="1">+IFERROR(IF(ISNUMBER(OFFSET('EDP Proyectado'!AL116,0,-'Ingreso Proyectado'!$P116))&lt;&gt;0,IF(OFFSET('EDP Proyectado'!AL116,0,-'Ingreso Proyectado'!$P116)+0&lt;=1,0,OFFSET('EDP Proyectado'!AL116,0,-'Ingreso Proyectado'!$P116)+0)),0)</f>
        <v>0</v>
      </c>
      <c r="AL116" s="169">
        <f ca="1">+IFERROR(IF(ISNUMBER(OFFSET('EDP Proyectado'!AM116,0,-'Ingreso Proyectado'!$P116))&lt;&gt;0,IF(OFFSET('EDP Proyectado'!AM116,0,-'Ingreso Proyectado'!$P116)+0&lt;=1,0,OFFSET('EDP Proyectado'!AM116,0,-'Ingreso Proyectado'!$P116)+0)),0)</f>
        <v>0</v>
      </c>
      <c r="AM116" s="169">
        <f ca="1">+IFERROR(IF(ISNUMBER(OFFSET('EDP Proyectado'!AN116,0,-'Ingreso Proyectado'!$P116))&lt;&gt;0,IF(OFFSET('EDP Proyectado'!AN116,0,-'Ingreso Proyectado'!$P116)+0&lt;=1,0,OFFSET('EDP Proyectado'!AN116,0,-'Ingreso Proyectado'!$P116)+0)),0)</f>
        <v>0</v>
      </c>
      <c r="AN116" s="169">
        <f ca="1">+IFERROR(IF(ISNUMBER(OFFSET('EDP Proyectado'!AO116,0,-'Ingreso Proyectado'!$P116))&lt;&gt;0,IF(OFFSET('EDP Proyectado'!AO116,0,-'Ingreso Proyectado'!$P116)+0&lt;=1,0,OFFSET('EDP Proyectado'!AO116,0,-'Ingreso Proyectado'!$P116)+0)),0)</f>
        <v>0</v>
      </c>
      <c r="AO116" s="169">
        <f ca="1">+IFERROR(IF(ISNUMBER(OFFSET('EDP Proyectado'!AP116,0,-'Ingreso Proyectado'!$P116))&lt;&gt;0,IF(OFFSET('EDP Proyectado'!AP116,0,-'Ingreso Proyectado'!$P116)+0&lt;=1,0,OFFSET('EDP Proyectado'!AP116,0,-'Ingreso Proyectado'!$P116)+0)),0)</f>
        <v>0</v>
      </c>
      <c r="AP116" s="170">
        <f ca="1">+IFERROR(IF(ISNUMBER(OFFSET('EDP Proyectado'!AQ116,0,-'Ingreso Proyectado'!$P116))&lt;&gt;0,IF(OFFSET('EDP Proyectado'!AQ116,0,-'Ingreso Proyectado'!$P116)+0&lt;=1,0,OFFSET('EDP Proyectado'!AQ116,0,-'Ingreso Proyectado'!$P116)+0)),0)</f>
        <v>0</v>
      </c>
    </row>
    <row r="117" spans="3:42" x14ac:dyDescent="0.2">
      <c r="C117" s="144">
        <f>+'Gantt Proyectos'!C185</f>
        <v>89</v>
      </c>
      <c r="D117" s="145">
        <f>+'Gantt Proyectos'!D185</f>
        <v>0</v>
      </c>
      <c r="E117" s="145">
        <f>+'Gantt Proyectos'!E185</f>
        <v>0</v>
      </c>
      <c r="F117" s="147">
        <f>+'Gantt Proyectos'!F185</f>
        <v>0</v>
      </c>
      <c r="G117" s="145">
        <f>+'Gantt Proyectos'!G185</f>
        <v>0</v>
      </c>
      <c r="H117" s="145">
        <f>+'Gantt Proyectos'!H185</f>
        <v>0</v>
      </c>
      <c r="I117" s="189">
        <v>1</v>
      </c>
      <c r="J117" s="189">
        <f t="shared" si="8"/>
        <v>0</v>
      </c>
      <c r="K117" s="145">
        <f>+'Gantt Proyectos'!I185</f>
        <v>0</v>
      </c>
      <c r="L117" s="120">
        <f>+'Gantt Proyectos'!J185</f>
        <v>0</v>
      </c>
      <c r="M117" s="145">
        <f>+'Gantt Proyectos'!K185</f>
        <v>0</v>
      </c>
      <c r="N117" s="145">
        <f>+'Gantt Proyectos'!L185</f>
        <v>0</v>
      </c>
      <c r="O117" s="145">
        <f>+'Gantt Proyectos'!M185</f>
        <v>0</v>
      </c>
      <c r="P117" s="145">
        <f>+'Gantt Proyectos'!N185</f>
        <v>0</v>
      </c>
      <c r="Q117" s="119">
        <f>+'Gantt Proyectos'!O185</f>
        <v>0</v>
      </c>
      <c r="R117" s="119">
        <f>+'Gantt Proyectos'!P185</f>
        <v>0</v>
      </c>
      <c r="S117" s="145">
        <f>+'Gantt Proyectos'!R185</f>
        <v>0</v>
      </c>
      <c r="T117" s="118">
        <f>+'Gantt Proyectos'!S185</f>
        <v>0</v>
      </c>
      <c r="U117" s="156">
        <f>+'Gantt Proyectos'!T185</f>
        <v>0</v>
      </c>
      <c r="V117" s="156">
        <f>+'Gantt Proyectos'!U185</f>
        <v>0</v>
      </c>
      <c r="W117" s="201">
        <f t="shared" si="9"/>
        <v>0</v>
      </c>
      <c r="X117" s="121">
        <f>+'Gantt Proyectos'!W185</f>
        <v>0</v>
      </c>
      <c r="Y117" s="122">
        <f>+'Gantt Proyectos'!X185</f>
        <v>0</v>
      </c>
      <c r="Z117" s="122">
        <f>+'Gantt Proyectos'!Y185</f>
        <v>0</v>
      </c>
      <c r="AA117" s="122">
        <f>+'Gantt Proyectos'!Z185</f>
        <v>0</v>
      </c>
      <c r="AB117" s="122">
        <f>+'Gantt Proyectos'!AA185</f>
        <v>0</v>
      </c>
      <c r="AC117" s="122">
        <f>+'Gantt Proyectos'!AB185</f>
        <v>0</v>
      </c>
      <c r="AD117" s="123">
        <f>+'Gantt Proyectos'!AC185</f>
        <v>0</v>
      </c>
      <c r="AE117" s="123">
        <f>+'Gantt Proyectos'!AD185</f>
        <v>0</v>
      </c>
      <c r="AF117" s="124">
        <f>+'Gantt Proyectos'!AE185</f>
        <v>0</v>
      </c>
      <c r="AG117" s="172">
        <v>1</v>
      </c>
      <c r="AH117" s="169">
        <f ca="1">+IFERROR(IF(ISNUMBER(OFFSET('EDP Proyectado'!AI117,0,-'Ingreso Proyectado'!$P117))&lt;&gt;0,IF(OFFSET('EDP Proyectado'!AI117,0,-'Ingreso Proyectado'!$P117)+0&lt;=1,0,OFFSET('EDP Proyectado'!AI117,0,-'Ingreso Proyectado'!$P117)+0)),0)</f>
        <v>0</v>
      </c>
      <c r="AI117" s="169">
        <f ca="1">+IFERROR(IF(ISNUMBER(OFFSET('EDP Proyectado'!AJ117,0,-'Ingreso Proyectado'!$P117))&lt;&gt;0,IF(OFFSET('EDP Proyectado'!AJ117,0,-'Ingreso Proyectado'!$P117)+0&lt;=1,0,OFFSET('EDP Proyectado'!AJ117,0,-'Ingreso Proyectado'!$P117)+0)),0)</f>
        <v>0</v>
      </c>
      <c r="AJ117" s="169">
        <f ca="1">+IFERROR(IF(ISNUMBER(OFFSET('EDP Proyectado'!AK117,0,-'Ingreso Proyectado'!$P117))&lt;&gt;0,IF(OFFSET('EDP Proyectado'!AK117,0,-'Ingreso Proyectado'!$P117)+0&lt;=1,0,OFFSET('EDP Proyectado'!AK117,0,-'Ingreso Proyectado'!$P117)+0)),0)</f>
        <v>0</v>
      </c>
      <c r="AK117" s="169">
        <f ca="1">+IFERROR(IF(ISNUMBER(OFFSET('EDP Proyectado'!AL117,0,-'Ingreso Proyectado'!$P117))&lt;&gt;0,IF(OFFSET('EDP Proyectado'!AL117,0,-'Ingreso Proyectado'!$P117)+0&lt;=1,0,OFFSET('EDP Proyectado'!AL117,0,-'Ingreso Proyectado'!$P117)+0)),0)</f>
        <v>0</v>
      </c>
      <c r="AL117" s="169">
        <f ca="1">+IFERROR(IF(ISNUMBER(OFFSET('EDP Proyectado'!AM117,0,-'Ingreso Proyectado'!$P117))&lt;&gt;0,IF(OFFSET('EDP Proyectado'!AM117,0,-'Ingreso Proyectado'!$P117)+0&lt;=1,0,OFFSET('EDP Proyectado'!AM117,0,-'Ingreso Proyectado'!$P117)+0)),0)</f>
        <v>0</v>
      </c>
      <c r="AM117" s="169">
        <f ca="1">+IFERROR(IF(ISNUMBER(OFFSET('EDP Proyectado'!AN117,0,-'Ingreso Proyectado'!$P117))&lt;&gt;0,IF(OFFSET('EDP Proyectado'!AN117,0,-'Ingreso Proyectado'!$P117)+0&lt;=1,0,OFFSET('EDP Proyectado'!AN117,0,-'Ingreso Proyectado'!$P117)+0)),0)</f>
        <v>0</v>
      </c>
      <c r="AN117" s="169">
        <f ca="1">+IFERROR(IF(ISNUMBER(OFFSET('EDP Proyectado'!AO117,0,-'Ingreso Proyectado'!$P117))&lt;&gt;0,IF(OFFSET('EDP Proyectado'!AO117,0,-'Ingreso Proyectado'!$P117)+0&lt;=1,0,OFFSET('EDP Proyectado'!AO117,0,-'Ingreso Proyectado'!$P117)+0)),0)</f>
        <v>0</v>
      </c>
      <c r="AO117" s="169">
        <f ca="1">+IFERROR(IF(ISNUMBER(OFFSET('EDP Proyectado'!AP117,0,-'Ingreso Proyectado'!$P117))&lt;&gt;0,IF(OFFSET('EDP Proyectado'!AP117,0,-'Ingreso Proyectado'!$P117)+0&lt;=1,0,OFFSET('EDP Proyectado'!AP117,0,-'Ingreso Proyectado'!$P117)+0)),0)</f>
        <v>0</v>
      </c>
      <c r="AP117" s="170">
        <f ca="1">+IFERROR(IF(ISNUMBER(OFFSET('EDP Proyectado'!AQ117,0,-'Ingreso Proyectado'!$P117))&lt;&gt;0,IF(OFFSET('EDP Proyectado'!AQ117,0,-'Ingreso Proyectado'!$P117)+0&lt;=1,0,OFFSET('EDP Proyectado'!AQ117,0,-'Ingreso Proyectado'!$P117)+0)),0)</f>
        <v>0</v>
      </c>
    </row>
    <row r="118" spans="3:42" x14ac:dyDescent="0.2">
      <c r="C118" s="144">
        <f>+'Gantt Proyectos'!C186</f>
        <v>90</v>
      </c>
      <c r="D118" s="145">
        <f>+'Gantt Proyectos'!D186</f>
        <v>0</v>
      </c>
      <c r="E118" s="145">
        <f>+'Gantt Proyectos'!E186</f>
        <v>0</v>
      </c>
      <c r="F118" s="147">
        <f>+'Gantt Proyectos'!F186</f>
        <v>0</v>
      </c>
      <c r="G118" s="145">
        <f>+'Gantt Proyectos'!G186</f>
        <v>0</v>
      </c>
      <c r="H118" s="145">
        <f>+'Gantt Proyectos'!H186</f>
        <v>0</v>
      </c>
      <c r="I118" s="189">
        <v>1</v>
      </c>
      <c r="J118" s="189">
        <f t="shared" si="8"/>
        <v>0</v>
      </c>
      <c r="K118" s="145">
        <f>+'Gantt Proyectos'!I186</f>
        <v>0</v>
      </c>
      <c r="L118" s="120">
        <f>+'Gantt Proyectos'!J186</f>
        <v>0</v>
      </c>
      <c r="M118" s="145">
        <f>+'Gantt Proyectos'!K186</f>
        <v>0</v>
      </c>
      <c r="N118" s="145">
        <f>+'Gantt Proyectos'!L186</f>
        <v>0</v>
      </c>
      <c r="O118" s="145">
        <f>+'Gantt Proyectos'!M186</f>
        <v>0</v>
      </c>
      <c r="P118" s="145">
        <f>+'Gantt Proyectos'!N186</f>
        <v>0</v>
      </c>
      <c r="Q118" s="119">
        <f>+'Gantt Proyectos'!O186</f>
        <v>0</v>
      </c>
      <c r="R118" s="119">
        <f>+'Gantt Proyectos'!P186</f>
        <v>0</v>
      </c>
      <c r="S118" s="145">
        <f>+'Gantt Proyectos'!R186</f>
        <v>0</v>
      </c>
      <c r="T118" s="118">
        <f>+'Gantt Proyectos'!S186</f>
        <v>0</v>
      </c>
      <c r="U118" s="156">
        <f>+'Gantt Proyectos'!T186</f>
        <v>0</v>
      </c>
      <c r="V118" s="156">
        <f>+'Gantt Proyectos'!U186</f>
        <v>0</v>
      </c>
      <c r="W118" s="201">
        <f t="shared" si="9"/>
        <v>0</v>
      </c>
      <c r="X118" s="121">
        <f>+'Gantt Proyectos'!W186</f>
        <v>0</v>
      </c>
      <c r="Y118" s="122">
        <f>+'Gantt Proyectos'!X186</f>
        <v>0</v>
      </c>
      <c r="Z118" s="122">
        <f>+'Gantt Proyectos'!Y186</f>
        <v>0</v>
      </c>
      <c r="AA118" s="122">
        <f>+'Gantt Proyectos'!Z186</f>
        <v>0</v>
      </c>
      <c r="AB118" s="122">
        <f>+'Gantt Proyectos'!AA186</f>
        <v>0</v>
      </c>
      <c r="AC118" s="122">
        <f>+'Gantt Proyectos'!AB186</f>
        <v>0</v>
      </c>
      <c r="AD118" s="123">
        <f>+'Gantt Proyectos'!AC186</f>
        <v>0</v>
      </c>
      <c r="AE118" s="123">
        <f>+'Gantt Proyectos'!AD186</f>
        <v>0</v>
      </c>
      <c r="AF118" s="124">
        <f>+'Gantt Proyectos'!AE186</f>
        <v>0</v>
      </c>
      <c r="AG118" s="172">
        <v>1</v>
      </c>
      <c r="AH118" s="169">
        <f ca="1">+IFERROR(IF(ISNUMBER(OFFSET('EDP Proyectado'!AI118,0,-'Ingreso Proyectado'!$P118))&lt;&gt;0,IF(OFFSET('EDP Proyectado'!AI118,0,-'Ingreso Proyectado'!$P118)+0&lt;=1,0,OFFSET('EDP Proyectado'!AI118,0,-'Ingreso Proyectado'!$P118)+0)),0)</f>
        <v>0</v>
      </c>
      <c r="AI118" s="169">
        <f ca="1">+IFERROR(IF(ISNUMBER(OFFSET('EDP Proyectado'!AJ118,0,-'Ingreso Proyectado'!$P118))&lt;&gt;0,IF(OFFSET('EDP Proyectado'!AJ118,0,-'Ingreso Proyectado'!$P118)+0&lt;=1,0,OFFSET('EDP Proyectado'!AJ118,0,-'Ingreso Proyectado'!$P118)+0)),0)</f>
        <v>0</v>
      </c>
      <c r="AJ118" s="169">
        <f ca="1">+IFERROR(IF(ISNUMBER(OFFSET('EDP Proyectado'!AK118,0,-'Ingreso Proyectado'!$P118))&lt;&gt;0,IF(OFFSET('EDP Proyectado'!AK118,0,-'Ingreso Proyectado'!$P118)+0&lt;=1,0,OFFSET('EDP Proyectado'!AK118,0,-'Ingreso Proyectado'!$P118)+0)),0)</f>
        <v>0</v>
      </c>
      <c r="AK118" s="169">
        <f ca="1">+IFERROR(IF(ISNUMBER(OFFSET('EDP Proyectado'!AL118,0,-'Ingreso Proyectado'!$P118))&lt;&gt;0,IF(OFFSET('EDP Proyectado'!AL118,0,-'Ingreso Proyectado'!$P118)+0&lt;=1,0,OFFSET('EDP Proyectado'!AL118,0,-'Ingreso Proyectado'!$P118)+0)),0)</f>
        <v>0</v>
      </c>
      <c r="AL118" s="169">
        <f ca="1">+IFERROR(IF(ISNUMBER(OFFSET('EDP Proyectado'!AM118,0,-'Ingreso Proyectado'!$P118))&lt;&gt;0,IF(OFFSET('EDP Proyectado'!AM118,0,-'Ingreso Proyectado'!$P118)+0&lt;=1,0,OFFSET('EDP Proyectado'!AM118,0,-'Ingreso Proyectado'!$P118)+0)),0)</f>
        <v>0</v>
      </c>
      <c r="AM118" s="169">
        <f ca="1">+IFERROR(IF(ISNUMBER(OFFSET('EDP Proyectado'!AN118,0,-'Ingreso Proyectado'!$P118))&lt;&gt;0,IF(OFFSET('EDP Proyectado'!AN118,0,-'Ingreso Proyectado'!$P118)+0&lt;=1,0,OFFSET('EDP Proyectado'!AN118,0,-'Ingreso Proyectado'!$P118)+0)),0)</f>
        <v>0</v>
      </c>
      <c r="AN118" s="169">
        <f ca="1">+IFERROR(IF(ISNUMBER(OFFSET('EDP Proyectado'!AO118,0,-'Ingreso Proyectado'!$P118))&lt;&gt;0,IF(OFFSET('EDP Proyectado'!AO118,0,-'Ingreso Proyectado'!$P118)+0&lt;=1,0,OFFSET('EDP Proyectado'!AO118,0,-'Ingreso Proyectado'!$P118)+0)),0)</f>
        <v>0</v>
      </c>
      <c r="AO118" s="169">
        <f ca="1">+IFERROR(IF(ISNUMBER(OFFSET('EDP Proyectado'!AP118,0,-'Ingreso Proyectado'!$P118))&lt;&gt;0,IF(OFFSET('EDP Proyectado'!AP118,0,-'Ingreso Proyectado'!$P118)+0&lt;=1,0,OFFSET('EDP Proyectado'!AP118,0,-'Ingreso Proyectado'!$P118)+0)),0)</f>
        <v>0</v>
      </c>
      <c r="AP118" s="170">
        <f ca="1">+IFERROR(IF(ISNUMBER(OFFSET('EDP Proyectado'!AQ118,0,-'Ingreso Proyectado'!$P118))&lt;&gt;0,IF(OFFSET('EDP Proyectado'!AQ118,0,-'Ingreso Proyectado'!$P118)+0&lt;=1,0,OFFSET('EDP Proyectado'!AQ118,0,-'Ingreso Proyectado'!$P118)+0)),0)</f>
        <v>0</v>
      </c>
    </row>
    <row r="119" spans="3:42" x14ac:dyDescent="0.2">
      <c r="C119" s="144">
        <f>+'Gantt Proyectos'!C187</f>
        <v>91</v>
      </c>
      <c r="D119" s="145">
        <f>+'Gantt Proyectos'!D187</f>
        <v>0</v>
      </c>
      <c r="E119" s="145">
        <f>+'Gantt Proyectos'!E187</f>
        <v>0</v>
      </c>
      <c r="F119" s="147">
        <f>+'Gantt Proyectos'!F187</f>
        <v>0</v>
      </c>
      <c r="G119" s="145">
        <f>+'Gantt Proyectos'!G187</f>
        <v>0</v>
      </c>
      <c r="H119" s="145">
        <f>+'Gantt Proyectos'!H187</f>
        <v>0</v>
      </c>
      <c r="I119" s="189">
        <v>1</v>
      </c>
      <c r="J119" s="189">
        <f t="shared" si="8"/>
        <v>0</v>
      </c>
      <c r="K119" s="145">
        <f>+'Gantt Proyectos'!I187</f>
        <v>0</v>
      </c>
      <c r="L119" s="120">
        <f>+'Gantt Proyectos'!J187</f>
        <v>0</v>
      </c>
      <c r="M119" s="145">
        <f>+'Gantt Proyectos'!K187</f>
        <v>0</v>
      </c>
      <c r="N119" s="145">
        <f>+'Gantt Proyectos'!L187</f>
        <v>0</v>
      </c>
      <c r="O119" s="145">
        <f>+'Gantt Proyectos'!M187</f>
        <v>0</v>
      </c>
      <c r="P119" s="145">
        <f>+'Gantt Proyectos'!N187</f>
        <v>0</v>
      </c>
      <c r="Q119" s="119">
        <f>+'Gantt Proyectos'!O187</f>
        <v>0</v>
      </c>
      <c r="R119" s="119">
        <f>+'Gantt Proyectos'!P187</f>
        <v>0</v>
      </c>
      <c r="S119" s="145">
        <f>+'Gantt Proyectos'!R187</f>
        <v>0</v>
      </c>
      <c r="T119" s="118">
        <f>+'Gantt Proyectos'!S187</f>
        <v>0</v>
      </c>
      <c r="U119" s="156">
        <f>+'Gantt Proyectos'!T187</f>
        <v>0</v>
      </c>
      <c r="V119" s="156">
        <f>+'Gantt Proyectos'!U187</f>
        <v>0</v>
      </c>
      <c r="W119" s="201">
        <f t="shared" si="9"/>
        <v>0</v>
      </c>
      <c r="X119" s="121">
        <f>+'Gantt Proyectos'!W187</f>
        <v>0</v>
      </c>
      <c r="Y119" s="122">
        <f>+'Gantt Proyectos'!X187</f>
        <v>0</v>
      </c>
      <c r="Z119" s="122">
        <f>+'Gantt Proyectos'!Y187</f>
        <v>0</v>
      </c>
      <c r="AA119" s="122">
        <f>+'Gantt Proyectos'!Z187</f>
        <v>0</v>
      </c>
      <c r="AB119" s="122">
        <f>+'Gantt Proyectos'!AA187</f>
        <v>0</v>
      </c>
      <c r="AC119" s="122">
        <f>+'Gantt Proyectos'!AB187</f>
        <v>0</v>
      </c>
      <c r="AD119" s="123">
        <f>+'Gantt Proyectos'!AC187</f>
        <v>0</v>
      </c>
      <c r="AE119" s="123">
        <f>+'Gantt Proyectos'!AD187</f>
        <v>0</v>
      </c>
      <c r="AF119" s="124">
        <f>+'Gantt Proyectos'!AE187</f>
        <v>0</v>
      </c>
      <c r="AG119" s="172">
        <v>1</v>
      </c>
      <c r="AH119" s="169">
        <f ca="1">+IFERROR(IF(ISNUMBER(OFFSET('EDP Proyectado'!AI119,0,-'Ingreso Proyectado'!$P119))&lt;&gt;0,IF(OFFSET('EDP Proyectado'!AI119,0,-'Ingreso Proyectado'!$P119)+0&lt;=1,0,OFFSET('EDP Proyectado'!AI119,0,-'Ingreso Proyectado'!$P119)+0)),0)</f>
        <v>0</v>
      </c>
      <c r="AI119" s="169">
        <f ca="1">+IFERROR(IF(ISNUMBER(OFFSET('EDP Proyectado'!AJ119,0,-'Ingreso Proyectado'!$P119))&lt;&gt;0,IF(OFFSET('EDP Proyectado'!AJ119,0,-'Ingreso Proyectado'!$P119)+0&lt;=1,0,OFFSET('EDP Proyectado'!AJ119,0,-'Ingreso Proyectado'!$P119)+0)),0)</f>
        <v>0</v>
      </c>
      <c r="AJ119" s="169">
        <f ca="1">+IFERROR(IF(ISNUMBER(OFFSET('EDP Proyectado'!AK119,0,-'Ingreso Proyectado'!$P119))&lt;&gt;0,IF(OFFSET('EDP Proyectado'!AK119,0,-'Ingreso Proyectado'!$P119)+0&lt;=1,0,OFFSET('EDP Proyectado'!AK119,0,-'Ingreso Proyectado'!$P119)+0)),0)</f>
        <v>0</v>
      </c>
      <c r="AK119" s="169">
        <f ca="1">+IFERROR(IF(ISNUMBER(OFFSET('EDP Proyectado'!AL119,0,-'Ingreso Proyectado'!$P119))&lt;&gt;0,IF(OFFSET('EDP Proyectado'!AL119,0,-'Ingreso Proyectado'!$P119)+0&lt;=1,0,OFFSET('EDP Proyectado'!AL119,0,-'Ingreso Proyectado'!$P119)+0)),0)</f>
        <v>0</v>
      </c>
      <c r="AL119" s="169">
        <f ca="1">+IFERROR(IF(ISNUMBER(OFFSET('EDP Proyectado'!AM119,0,-'Ingreso Proyectado'!$P119))&lt;&gt;0,IF(OFFSET('EDP Proyectado'!AM119,0,-'Ingreso Proyectado'!$P119)+0&lt;=1,0,OFFSET('EDP Proyectado'!AM119,0,-'Ingreso Proyectado'!$P119)+0)),0)</f>
        <v>0</v>
      </c>
      <c r="AM119" s="169">
        <f ca="1">+IFERROR(IF(ISNUMBER(OFFSET('EDP Proyectado'!AN119,0,-'Ingreso Proyectado'!$P119))&lt;&gt;0,IF(OFFSET('EDP Proyectado'!AN119,0,-'Ingreso Proyectado'!$P119)+0&lt;=1,0,OFFSET('EDP Proyectado'!AN119,0,-'Ingreso Proyectado'!$P119)+0)),0)</f>
        <v>0</v>
      </c>
      <c r="AN119" s="169">
        <f ca="1">+IFERROR(IF(ISNUMBER(OFFSET('EDP Proyectado'!AO119,0,-'Ingreso Proyectado'!$P119))&lt;&gt;0,IF(OFFSET('EDP Proyectado'!AO119,0,-'Ingreso Proyectado'!$P119)+0&lt;=1,0,OFFSET('EDP Proyectado'!AO119,0,-'Ingreso Proyectado'!$P119)+0)),0)</f>
        <v>0</v>
      </c>
      <c r="AO119" s="169">
        <f ca="1">+IFERROR(IF(ISNUMBER(OFFSET('EDP Proyectado'!AP119,0,-'Ingreso Proyectado'!$P119))&lt;&gt;0,IF(OFFSET('EDP Proyectado'!AP119,0,-'Ingreso Proyectado'!$P119)+0&lt;=1,0,OFFSET('EDP Proyectado'!AP119,0,-'Ingreso Proyectado'!$P119)+0)),0)</f>
        <v>0</v>
      </c>
      <c r="AP119" s="170">
        <f ca="1">+IFERROR(IF(ISNUMBER(OFFSET('EDP Proyectado'!AQ119,0,-'Ingreso Proyectado'!$P119))&lt;&gt;0,IF(OFFSET('EDP Proyectado'!AQ119,0,-'Ingreso Proyectado'!$P119)+0&lt;=1,0,OFFSET('EDP Proyectado'!AQ119,0,-'Ingreso Proyectado'!$P119)+0)),0)</f>
        <v>0</v>
      </c>
    </row>
    <row r="120" spans="3:42" x14ac:dyDescent="0.2">
      <c r="C120" s="144">
        <f>+'Gantt Proyectos'!C188</f>
        <v>92</v>
      </c>
      <c r="D120" s="145">
        <f>+'Gantt Proyectos'!D188</f>
        <v>0</v>
      </c>
      <c r="E120" s="145">
        <f>+'Gantt Proyectos'!E188</f>
        <v>0</v>
      </c>
      <c r="F120" s="147">
        <f>+'Gantt Proyectos'!F188</f>
        <v>0</v>
      </c>
      <c r="G120" s="145">
        <f>+'Gantt Proyectos'!G188</f>
        <v>0</v>
      </c>
      <c r="H120" s="145">
        <f>+'Gantt Proyectos'!H188</f>
        <v>0</v>
      </c>
      <c r="I120" s="189">
        <v>1</v>
      </c>
      <c r="J120" s="189">
        <f t="shared" si="8"/>
        <v>0</v>
      </c>
      <c r="K120" s="145">
        <f>+'Gantt Proyectos'!I188</f>
        <v>0</v>
      </c>
      <c r="L120" s="120">
        <f>+'Gantt Proyectos'!J188</f>
        <v>0</v>
      </c>
      <c r="M120" s="145">
        <f>+'Gantt Proyectos'!K188</f>
        <v>0</v>
      </c>
      <c r="N120" s="145">
        <f>+'Gantt Proyectos'!L188</f>
        <v>0</v>
      </c>
      <c r="O120" s="145">
        <f>+'Gantt Proyectos'!M188</f>
        <v>0</v>
      </c>
      <c r="P120" s="145">
        <f>+'Gantt Proyectos'!N188</f>
        <v>0</v>
      </c>
      <c r="Q120" s="119">
        <f>+'Gantt Proyectos'!O188</f>
        <v>0</v>
      </c>
      <c r="R120" s="119">
        <f>+'Gantt Proyectos'!P188</f>
        <v>0</v>
      </c>
      <c r="S120" s="145">
        <f>+'Gantt Proyectos'!R188</f>
        <v>0</v>
      </c>
      <c r="T120" s="118">
        <f>+'Gantt Proyectos'!S188</f>
        <v>0</v>
      </c>
      <c r="U120" s="156">
        <f>+'Gantt Proyectos'!T188</f>
        <v>0</v>
      </c>
      <c r="V120" s="156">
        <f>+'Gantt Proyectos'!U188</f>
        <v>0</v>
      </c>
      <c r="W120" s="201">
        <f t="shared" si="9"/>
        <v>0</v>
      </c>
      <c r="X120" s="121">
        <f>+'Gantt Proyectos'!W188</f>
        <v>0</v>
      </c>
      <c r="Y120" s="122">
        <f>+'Gantt Proyectos'!X188</f>
        <v>0</v>
      </c>
      <c r="Z120" s="122">
        <f>+'Gantt Proyectos'!Y188</f>
        <v>0</v>
      </c>
      <c r="AA120" s="122">
        <f>+'Gantt Proyectos'!Z188</f>
        <v>0</v>
      </c>
      <c r="AB120" s="122">
        <f>+'Gantt Proyectos'!AA188</f>
        <v>0</v>
      </c>
      <c r="AC120" s="122">
        <f>+'Gantt Proyectos'!AB188</f>
        <v>0</v>
      </c>
      <c r="AD120" s="123">
        <f>+'Gantt Proyectos'!AC188</f>
        <v>0</v>
      </c>
      <c r="AE120" s="123">
        <f>+'Gantt Proyectos'!AD188</f>
        <v>0</v>
      </c>
      <c r="AF120" s="124">
        <f>+'Gantt Proyectos'!AE188</f>
        <v>0</v>
      </c>
      <c r="AG120" s="172">
        <v>1</v>
      </c>
      <c r="AH120" s="169">
        <f ca="1">+IFERROR(IF(ISNUMBER(OFFSET('EDP Proyectado'!AI120,0,-'Ingreso Proyectado'!$P120))&lt;&gt;0,IF(OFFSET('EDP Proyectado'!AI120,0,-'Ingreso Proyectado'!$P120)+0&lt;=1,0,OFFSET('EDP Proyectado'!AI120,0,-'Ingreso Proyectado'!$P120)+0)),0)</f>
        <v>0</v>
      </c>
      <c r="AI120" s="169">
        <f ca="1">+IFERROR(IF(ISNUMBER(OFFSET('EDP Proyectado'!AJ120,0,-'Ingreso Proyectado'!$P120))&lt;&gt;0,IF(OFFSET('EDP Proyectado'!AJ120,0,-'Ingreso Proyectado'!$P120)+0&lt;=1,0,OFFSET('EDP Proyectado'!AJ120,0,-'Ingreso Proyectado'!$P120)+0)),0)</f>
        <v>0</v>
      </c>
      <c r="AJ120" s="169">
        <f ca="1">+IFERROR(IF(ISNUMBER(OFFSET('EDP Proyectado'!AK120,0,-'Ingreso Proyectado'!$P120))&lt;&gt;0,IF(OFFSET('EDP Proyectado'!AK120,0,-'Ingreso Proyectado'!$P120)+0&lt;=1,0,OFFSET('EDP Proyectado'!AK120,0,-'Ingreso Proyectado'!$P120)+0)),0)</f>
        <v>0</v>
      </c>
      <c r="AK120" s="169">
        <f ca="1">+IFERROR(IF(ISNUMBER(OFFSET('EDP Proyectado'!AL120,0,-'Ingreso Proyectado'!$P120))&lt;&gt;0,IF(OFFSET('EDP Proyectado'!AL120,0,-'Ingreso Proyectado'!$P120)+0&lt;=1,0,OFFSET('EDP Proyectado'!AL120,0,-'Ingreso Proyectado'!$P120)+0)),0)</f>
        <v>0</v>
      </c>
      <c r="AL120" s="169">
        <f ca="1">+IFERROR(IF(ISNUMBER(OFFSET('EDP Proyectado'!AM120,0,-'Ingreso Proyectado'!$P120))&lt;&gt;0,IF(OFFSET('EDP Proyectado'!AM120,0,-'Ingreso Proyectado'!$P120)+0&lt;=1,0,OFFSET('EDP Proyectado'!AM120,0,-'Ingreso Proyectado'!$P120)+0)),0)</f>
        <v>0</v>
      </c>
      <c r="AM120" s="169">
        <f ca="1">+IFERROR(IF(ISNUMBER(OFFSET('EDP Proyectado'!AN120,0,-'Ingreso Proyectado'!$P120))&lt;&gt;0,IF(OFFSET('EDP Proyectado'!AN120,0,-'Ingreso Proyectado'!$P120)+0&lt;=1,0,OFFSET('EDP Proyectado'!AN120,0,-'Ingreso Proyectado'!$P120)+0)),0)</f>
        <v>0</v>
      </c>
      <c r="AN120" s="169">
        <f ca="1">+IFERROR(IF(ISNUMBER(OFFSET('EDP Proyectado'!AO120,0,-'Ingreso Proyectado'!$P120))&lt;&gt;0,IF(OFFSET('EDP Proyectado'!AO120,0,-'Ingreso Proyectado'!$P120)+0&lt;=1,0,OFFSET('EDP Proyectado'!AO120,0,-'Ingreso Proyectado'!$P120)+0)),0)</f>
        <v>0</v>
      </c>
      <c r="AO120" s="169">
        <f ca="1">+IFERROR(IF(ISNUMBER(OFFSET('EDP Proyectado'!AP120,0,-'Ingreso Proyectado'!$P120))&lt;&gt;0,IF(OFFSET('EDP Proyectado'!AP120,0,-'Ingreso Proyectado'!$P120)+0&lt;=1,0,OFFSET('EDP Proyectado'!AP120,0,-'Ingreso Proyectado'!$P120)+0)),0)</f>
        <v>0</v>
      </c>
      <c r="AP120" s="170">
        <f ca="1">+IFERROR(IF(ISNUMBER(OFFSET('EDP Proyectado'!AQ120,0,-'Ingreso Proyectado'!$P120))&lt;&gt;0,IF(OFFSET('EDP Proyectado'!AQ120,0,-'Ingreso Proyectado'!$P120)+0&lt;=1,0,OFFSET('EDP Proyectado'!AQ120,0,-'Ingreso Proyectado'!$P120)+0)),0)</f>
        <v>0</v>
      </c>
    </row>
    <row r="121" spans="3:42" x14ac:dyDescent="0.2">
      <c r="C121" s="144">
        <f>+'Gantt Proyectos'!C189</f>
        <v>93</v>
      </c>
      <c r="D121" s="145">
        <f>+'Gantt Proyectos'!D189</f>
        <v>0</v>
      </c>
      <c r="E121" s="145">
        <f>+'Gantt Proyectos'!E189</f>
        <v>0</v>
      </c>
      <c r="F121" s="147">
        <f>+'Gantt Proyectos'!F189</f>
        <v>0</v>
      </c>
      <c r="G121" s="145">
        <f>+'Gantt Proyectos'!G189</f>
        <v>0</v>
      </c>
      <c r="H121" s="145">
        <f>+'Gantt Proyectos'!H189</f>
        <v>0</v>
      </c>
      <c r="I121" s="189">
        <v>1</v>
      </c>
      <c r="J121" s="189">
        <f t="shared" si="8"/>
        <v>0</v>
      </c>
      <c r="K121" s="145">
        <f>+'Gantt Proyectos'!I189</f>
        <v>0</v>
      </c>
      <c r="L121" s="120">
        <f>+'Gantt Proyectos'!J189</f>
        <v>0</v>
      </c>
      <c r="M121" s="145">
        <f>+'Gantt Proyectos'!K189</f>
        <v>0</v>
      </c>
      <c r="N121" s="145">
        <f>+'Gantt Proyectos'!L189</f>
        <v>0</v>
      </c>
      <c r="O121" s="145">
        <f>+'Gantt Proyectos'!M189</f>
        <v>0</v>
      </c>
      <c r="P121" s="145">
        <f>+'Gantt Proyectos'!N189</f>
        <v>0</v>
      </c>
      <c r="Q121" s="119">
        <f>+'Gantt Proyectos'!O189</f>
        <v>0</v>
      </c>
      <c r="R121" s="119">
        <f>+'Gantt Proyectos'!P189</f>
        <v>0</v>
      </c>
      <c r="S121" s="145">
        <f>+'Gantt Proyectos'!R189</f>
        <v>0</v>
      </c>
      <c r="T121" s="118">
        <f>+'Gantt Proyectos'!S189</f>
        <v>0</v>
      </c>
      <c r="U121" s="156">
        <f>+'Gantt Proyectos'!T189</f>
        <v>0</v>
      </c>
      <c r="V121" s="156">
        <f>+'Gantt Proyectos'!U189</f>
        <v>0</v>
      </c>
      <c r="W121" s="201">
        <f t="shared" si="9"/>
        <v>0</v>
      </c>
      <c r="X121" s="121">
        <f>+'Gantt Proyectos'!W189</f>
        <v>0</v>
      </c>
      <c r="Y121" s="122">
        <f>+'Gantt Proyectos'!X189</f>
        <v>0</v>
      </c>
      <c r="Z121" s="122">
        <f>+'Gantt Proyectos'!Y189</f>
        <v>0</v>
      </c>
      <c r="AA121" s="122">
        <f>+'Gantt Proyectos'!Z189</f>
        <v>0</v>
      </c>
      <c r="AB121" s="122">
        <f>+'Gantt Proyectos'!AA189</f>
        <v>0</v>
      </c>
      <c r="AC121" s="122">
        <f>+'Gantt Proyectos'!AB189</f>
        <v>0</v>
      </c>
      <c r="AD121" s="123">
        <f>+'Gantt Proyectos'!AC189</f>
        <v>0</v>
      </c>
      <c r="AE121" s="123">
        <f>+'Gantt Proyectos'!AD189</f>
        <v>0</v>
      </c>
      <c r="AF121" s="124">
        <f>+'Gantt Proyectos'!AE189</f>
        <v>0</v>
      </c>
      <c r="AG121" s="172">
        <v>1</v>
      </c>
      <c r="AH121" s="169">
        <f ca="1">+IFERROR(IF(ISNUMBER(OFFSET('EDP Proyectado'!AI121,0,-'Ingreso Proyectado'!$P121))&lt;&gt;0,IF(OFFSET('EDP Proyectado'!AI121,0,-'Ingreso Proyectado'!$P121)+0&lt;=1,0,OFFSET('EDP Proyectado'!AI121,0,-'Ingreso Proyectado'!$P121)+0)),0)</f>
        <v>0</v>
      </c>
      <c r="AI121" s="169">
        <f ca="1">+IFERROR(IF(ISNUMBER(OFFSET('EDP Proyectado'!AJ121,0,-'Ingreso Proyectado'!$P121))&lt;&gt;0,IF(OFFSET('EDP Proyectado'!AJ121,0,-'Ingreso Proyectado'!$P121)+0&lt;=1,0,OFFSET('EDP Proyectado'!AJ121,0,-'Ingreso Proyectado'!$P121)+0)),0)</f>
        <v>0</v>
      </c>
      <c r="AJ121" s="169">
        <f ca="1">+IFERROR(IF(ISNUMBER(OFFSET('EDP Proyectado'!AK121,0,-'Ingreso Proyectado'!$P121))&lt;&gt;0,IF(OFFSET('EDP Proyectado'!AK121,0,-'Ingreso Proyectado'!$P121)+0&lt;=1,0,OFFSET('EDP Proyectado'!AK121,0,-'Ingreso Proyectado'!$P121)+0)),0)</f>
        <v>0</v>
      </c>
      <c r="AK121" s="169">
        <f ca="1">+IFERROR(IF(ISNUMBER(OFFSET('EDP Proyectado'!AL121,0,-'Ingreso Proyectado'!$P121))&lt;&gt;0,IF(OFFSET('EDP Proyectado'!AL121,0,-'Ingreso Proyectado'!$P121)+0&lt;=1,0,OFFSET('EDP Proyectado'!AL121,0,-'Ingreso Proyectado'!$P121)+0)),0)</f>
        <v>0</v>
      </c>
      <c r="AL121" s="169">
        <f ca="1">+IFERROR(IF(ISNUMBER(OFFSET('EDP Proyectado'!AM121,0,-'Ingreso Proyectado'!$P121))&lt;&gt;0,IF(OFFSET('EDP Proyectado'!AM121,0,-'Ingreso Proyectado'!$P121)+0&lt;=1,0,OFFSET('EDP Proyectado'!AM121,0,-'Ingreso Proyectado'!$P121)+0)),0)</f>
        <v>0</v>
      </c>
      <c r="AM121" s="169">
        <f ca="1">+IFERROR(IF(ISNUMBER(OFFSET('EDP Proyectado'!AN121,0,-'Ingreso Proyectado'!$P121))&lt;&gt;0,IF(OFFSET('EDP Proyectado'!AN121,0,-'Ingreso Proyectado'!$P121)+0&lt;=1,0,OFFSET('EDP Proyectado'!AN121,0,-'Ingreso Proyectado'!$P121)+0)),0)</f>
        <v>0</v>
      </c>
      <c r="AN121" s="169">
        <f ca="1">+IFERROR(IF(ISNUMBER(OFFSET('EDP Proyectado'!AO121,0,-'Ingreso Proyectado'!$P121))&lt;&gt;0,IF(OFFSET('EDP Proyectado'!AO121,0,-'Ingreso Proyectado'!$P121)+0&lt;=1,0,OFFSET('EDP Proyectado'!AO121,0,-'Ingreso Proyectado'!$P121)+0)),0)</f>
        <v>0</v>
      </c>
      <c r="AO121" s="169">
        <f ca="1">+IFERROR(IF(ISNUMBER(OFFSET('EDP Proyectado'!AP121,0,-'Ingreso Proyectado'!$P121))&lt;&gt;0,IF(OFFSET('EDP Proyectado'!AP121,0,-'Ingreso Proyectado'!$P121)+0&lt;=1,0,OFFSET('EDP Proyectado'!AP121,0,-'Ingreso Proyectado'!$P121)+0)),0)</f>
        <v>0</v>
      </c>
      <c r="AP121" s="170">
        <f ca="1">+IFERROR(IF(ISNUMBER(OFFSET('EDP Proyectado'!AQ121,0,-'Ingreso Proyectado'!$P121))&lt;&gt;0,IF(OFFSET('EDP Proyectado'!AQ121,0,-'Ingreso Proyectado'!$P121)+0&lt;=1,0,OFFSET('EDP Proyectado'!AQ121,0,-'Ingreso Proyectado'!$P121)+0)),0)</f>
        <v>0</v>
      </c>
    </row>
    <row r="122" spans="3:42" x14ac:dyDescent="0.2">
      <c r="C122" s="144">
        <f>+'Gantt Proyectos'!C190</f>
        <v>94</v>
      </c>
      <c r="D122" s="145">
        <f>+'Gantt Proyectos'!D190</f>
        <v>0</v>
      </c>
      <c r="E122" s="145">
        <f>+'Gantt Proyectos'!E190</f>
        <v>0</v>
      </c>
      <c r="F122" s="147">
        <f>+'Gantt Proyectos'!F190</f>
        <v>0</v>
      </c>
      <c r="G122" s="145">
        <f>+'Gantt Proyectos'!G190</f>
        <v>0</v>
      </c>
      <c r="H122" s="145">
        <f>+'Gantt Proyectos'!H190</f>
        <v>0</v>
      </c>
      <c r="I122" s="189">
        <v>1</v>
      </c>
      <c r="J122" s="189">
        <f t="shared" si="8"/>
        <v>0</v>
      </c>
      <c r="K122" s="145">
        <f>+'Gantt Proyectos'!I190</f>
        <v>0</v>
      </c>
      <c r="L122" s="120">
        <f>+'Gantt Proyectos'!J190</f>
        <v>0</v>
      </c>
      <c r="M122" s="145">
        <f>+'Gantt Proyectos'!K190</f>
        <v>0</v>
      </c>
      <c r="N122" s="145">
        <f>+'Gantt Proyectos'!L190</f>
        <v>0</v>
      </c>
      <c r="O122" s="145">
        <f>+'Gantt Proyectos'!M190</f>
        <v>0</v>
      </c>
      <c r="P122" s="145">
        <f>+'Gantt Proyectos'!N190</f>
        <v>0</v>
      </c>
      <c r="Q122" s="119">
        <f>+'Gantt Proyectos'!O190</f>
        <v>0</v>
      </c>
      <c r="R122" s="119">
        <f>+'Gantt Proyectos'!P190</f>
        <v>0</v>
      </c>
      <c r="S122" s="145">
        <f>+'Gantt Proyectos'!R190</f>
        <v>0</v>
      </c>
      <c r="T122" s="118">
        <f>+'Gantt Proyectos'!S190</f>
        <v>0</v>
      </c>
      <c r="U122" s="156">
        <f>+'Gantt Proyectos'!T190</f>
        <v>0</v>
      </c>
      <c r="V122" s="156">
        <f>+'Gantt Proyectos'!U190</f>
        <v>0</v>
      </c>
      <c r="W122" s="201">
        <f t="shared" si="9"/>
        <v>0</v>
      </c>
      <c r="X122" s="121">
        <f>+'Gantt Proyectos'!W190</f>
        <v>0</v>
      </c>
      <c r="Y122" s="122">
        <f>+'Gantt Proyectos'!X190</f>
        <v>0</v>
      </c>
      <c r="Z122" s="122">
        <f>+'Gantt Proyectos'!Y190</f>
        <v>0</v>
      </c>
      <c r="AA122" s="122">
        <f>+'Gantt Proyectos'!Z190</f>
        <v>0</v>
      </c>
      <c r="AB122" s="122">
        <f>+'Gantt Proyectos'!AA190</f>
        <v>0</v>
      </c>
      <c r="AC122" s="122">
        <f>+'Gantt Proyectos'!AB190</f>
        <v>0</v>
      </c>
      <c r="AD122" s="123">
        <f>+'Gantt Proyectos'!AC190</f>
        <v>0</v>
      </c>
      <c r="AE122" s="123">
        <f>+'Gantt Proyectos'!AD190</f>
        <v>0</v>
      </c>
      <c r="AF122" s="124">
        <f>+'Gantt Proyectos'!AE190</f>
        <v>0</v>
      </c>
      <c r="AG122" s="172">
        <v>1</v>
      </c>
      <c r="AH122" s="169">
        <f ca="1">+IFERROR(IF(ISNUMBER(OFFSET('EDP Proyectado'!AI122,0,-'Ingreso Proyectado'!$P122))&lt;&gt;0,IF(OFFSET('EDP Proyectado'!AI122,0,-'Ingreso Proyectado'!$P122)+0&lt;=1,0,OFFSET('EDP Proyectado'!AI122,0,-'Ingreso Proyectado'!$P122)+0)),0)</f>
        <v>0</v>
      </c>
      <c r="AI122" s="169">
        <f ca="1">+IFERROR(IF(ISNUMBER(OFFSET('EDP Proyectado'!AJ122,0,-'Ingreso Proyectado'!$P122))&lt;&gt;0,IF(OFFSET('EDP Proyectado'!AJ122,0,-'Ingreso Proyectado'!$P122)+0&lt;=1,0,OFFSET('EDP Proyectado'!AJ122,0,-'Ingreso Proyectado'!$P122)+0)),0)</f>
        <v>0</v>
      </c>
      <c r="AJ122" s="169">
        <f ca="1">+IFERROR(IF(ISNUMBER(OFFSET('EDP Proyectado'!AK122,0,-'Ingreso Proyectado'!$P122))&lt;&gt;0,IF(OFFSET('EDP Proyectado'!AK122,0,-'Ingreso Proyectado'!$P122)+0&lt;=1,0,OFFSET('EDP Proyectado'!AK122,0,-'Ingreso Proyectado'!$P122)+0)),0)</f>
        <v>0</v>
      </c>
      <c r="AK122" s="169">
        <f ca="1">+IFERROR(IF(ISNUMBER(OFFSET('EDP Proyectado'!AL122,0,-'Ingreso Proyectado'!$P122))&lt;&gt;0,IF(OFFSET('EDP Proyectado'!AL122,0,-'Ingreso Proyectado'!$P122)+0&lt;=1,0,OFFSET('EDP Proyectado'!AL122,0,-'Ingreso Proyectado'!$P122)+0)),0)</f>
        <v>0</v>
      </c>
      <c r="AL122" s="169">
        <f ca="1">+IFERROR(IF(ISNUMBER(OFFSET('EDP Proyectado'!AM122,0,-'Ingreso Proyectado'!$P122))&lt;&gt;0,IF(OFFSET('EDP Proyectado'!AM122,0,-'Ingreso Proyectado'!$P122)+0&lt;=1,0,OFFSET('EDP Proyectado'!AM122,0,-'Ingreso Proyectado'!$P122)+0)),0)</f>
        <v>0</v>
      </c>
      <c r="AM122" s="169">
        <f ca="1">+IFERROR(IF(ISNUMBER(OFFSET('EDP Proyectado'!AN122,0,-'Ingreso Proyectado'!$P122))&lt;&gt;0,IF(OFFSET('EDP Proyectado'!AN122,0,-'Ingreso Proyectado'!$P122)+0&lt;=1,0,OFFSET('EDP Proyectado'!AN122,0,-'Ingreso Proyectado'!$P122)+0)),0)</f>
        <v>0</v>
      </c>
      <c r="AN122" s="169">
        <f ca="1">+IFERROR(IF(ISNUMBER(OFFSET('EDP Proyectado'!AO122,0,-'Ingreso Proyectado'!$P122))&lt;&gt;0,IF(OFFSET('EDP Proyectado'!AO122,0,-'Ingreso Proyectado'!$P122)+0&lt;=1,0,OFFSET('EDP Proyectado'!AO122,0,-'Ingreso Proyectado'!$P122)+0)),0)</f>
        <v>0</v>
      </c>
      <c r="AO122" s="169">
        <f ca="1">+IFERROR(IF(ISNUMBER(OFFSET('EDP Proyectado'!AP122,0,-'Ingreso Proyectado'!$P122))&lt;&gt;0,IF(OFFSET('EDP Proyectado'!AP122,0,-'Ingreso Proyectado'!$P122)+0&lt;=1,0,OFFSET('EDP Proyectado'!AP122,0,-'Ingreso Proyectado'!$P122)+0)),0)</f>
        <v>0</v>
      </c>
      <c r="AP122" s="170">
        <f ca="1">+IFERROR(IF(ISNUMBER(OFFSET('EDP Proyectado'!AQ122,0,-'Ingreso Proyectado'!$P122))&lt;&gt;0,IF(OFFSET('EDP Proyectado'!AQ122,0,-'Ingreso Proyectado'!$P122)+0&lt;=1,0,OFFSET('EDP Proyectado'!AQ122,0,-'Ingreso Proyectado'!$P122)+0)),0)</f>
        <v>0</v>
      </c>
    </row>
    <row r="123" spans="3:42" x14ac:dyDescent="0.2">
      <c r="C123" s="144">
        <f>+'Gantt Proyectos'!C191</f>
        <v>95</v>
      </c>
      <c r="D123" s="145">
        <f>+'Gantt Proyectos'!D191</f>
        <v>0</v>
      </c>
      <c r="E123" s="145">
        <f>+'Gantt Proyectos'!E191</f>
        <v>0</v>
      </c>
      <c r="F123" s="147">
        <f>+'Gantt Proyectos'!F191</f>
        <v>0</v>
      </c>
      <c r="G123" s="145">
        <f>+'Gantt Proyectos'!G191</f>
        <v>0</v>
      </c>
      <c r="H123" s="145">
        <f>+'Gantt Proyectos'!H191</f>
        <v>0</v>
      </c>
      <c r="I123" s="189">
        <v>1</v>
      </c>
      <c r="J123" s="189">
        <f t="shared" si="8"/>
        <v>0</v>
      </c>
      <c r="K123" s="145">
        <f>+'Gantt Proyectos'!I191</f>
        <v>0</v>
      </c>
      <c r="L123" s="120">
        <f>+'Gantt Proyectos'!J191</f>
        <v>0</v>
      </c>
      <c r="M123" s="145">
        <f>+'Gantt Proyectos'!K191</f>
        <v>0</v>
      </c>
      <c r="N123" s="145">
        <f>+'Gantt Proyectos'!L191</f>
        <v>0</v>
      </c>
      <c r="O123" s="145">
        <f>+'Gantt Proyectos'!M191</f>
        <v>0</v>
      </c>
      <c r="P123" s="145">
        <f>+'Gantt Proyectos'!N191</f>
        <v>0</v>
      </c>
      <c r="Q123" s="119">
        <f>+'Gantt Proyectos'!O191</f>
        <v>0</v>
      </c>
      <c r="R123" s="119">
        <f>+'Gantt Proyectos'!P191</f>
        <v>0</v>
      </c>
      <c r="S123" s="145">
        <f>+'Gantt Proyectos'!R191</f>
        <v>0</v>
      </c>
      <c r="T123" s="118">
        <f>+'Gantt Proyectos'!S191</f>
        <v>0</v>
      </c>
      <c r="U123" s="156">
        <f>+'Gantt Proyectos'!T191</f>
        <v>0</v>
      </c>
      <c r="V123" s="156">
        <f>+'Gantt Proyectos'!U191</f>
        <v>0</v>
      </c>
      <c r="W123" s="201">
        <f t="shared" si="9"/>
        <v>0</v>
      </c>
      <c r="X123" s="121">
        <f>+'Gantt Proyectos'!W191</f>
        <v>0</v>
      </c>
      <c r="Y123" s="122">
        <f>+'Gantt Proyectos'!X191</f>
        <v>0</v>
      </c>
      <c r="Z123" s="122">
        <f>+'Gantt Proyectos'!Y191</f>
        <v>0</v>
      </c>
      <c r="AA123" s="122">
        <f>+'Gantt Proyectos'!Z191</f>
        <v>0</v>
      </c>
      <c r="AB123" s="122">
        <f>+'Gantt Proyectos'!AA191</f>
        <v>0</v>
      </c>
      <c r="AC123" s="122">
        <f>+'Gantt Proyectos'!AB191</f>
        <v>0</v>
      </c>
      <c r="AD123" s="123">
        <f>+'Gantt Proyectos'!AC191</f>
        <v>0</v>
      </c>
      <c r="AE123" s="123">
        <f>+'Gantt Proyectos'!AD191</f>
        <v>0</v>
      </c>
      <c r="AF123" s="124">
        <f>+'Gantt Proyectos'!AE191</f>
        <v>0</v>
      </c>
      <c r="AG123" s="172">
        <v>1</v>
      </c>
      <c r="AH123" s="169">
        <f ca="1">+IFERROR(IF(ISNUMBER(OFFSET('EDP Proyectado'!AI123,0,-'Ingreso Proyectado'!$P123))&lt;&gt;0,IF(OFFSET('EDP Proyectado'!AI123,0,-'Ingreso Proyectado'!$P123)+0&lt;=1,0,OFFSET('EDP Proyectado'!AI123,0,-'Ingreso Proyectado'!$P123)+0)),0)</f>
        <v>0</v>
      </c>
      <c r="AI123" s="169">
        <f ca="1">+IFERROR(IF(ISNUMBER(OFFSET('EDP Proyectado'!AJ123,0,-'Ingreso Proyectado'!$P123))&lt;&gt;0,IF(OFFSET('EDP Proyectado'!AJ123,0,-'Ingreso Proyectado'!$P123)+0&lt;=1,0,OFFSET('EDP Proyectado'!AJ123,0,-'Ingreso Proyectado'!$P123)+0)),0)</f>
        <v>0</v>
      </c>
      <c r="AJ123" s="169">
        <f ca="1">+IFERROR(IF(ISNUMBER(OFFSET('EDP Proyectado'!AK123,0,-'Ingreso Proyectado'!$P123))&lt;&gt;0,IF(OFFSET('EDP Proyectado'!AK123,0,-'Ingreso Proyectado'!$P123)+0&lt;=1,0,OFFSET('EDP Proyectado'!AK123,0,-'Ingreso Proyectado'!$P123)+0)),0)</f>
        <v>0</v>
      </c>
      <c r="AK123" s="169">
        <f ca="1">+IFERROR(IF(ISNUMBER(OFFSET('EDP Proyectado'!AL123,0,-'Ingreso Proyectado'!$P123))&lt;&gt;0,IF(OFFSET('EDP Proyectado'!AL123,0,-'Ingreso Proyectado'!$P123)+0&lt;=1,0,OFFSET('EDP Proyectado'!AL123,0,-'Ingreso Proyectado'!$P123)+0)),0)</f>
        <v>0</v>
      </c>
      <c r="AL123" s="169">
        <f ca="1">+IFERROR(IF(ISNUMBER(OFFSET('EDP Proyectado'!AM123,0,-'Ingreso Proyectado'!$P123))&lt;&gt;0,IF(OFFSET('EDP Proyectado'!AM123,0,-'Ingreso Proyectado'!$P123)+0&lt;=1,0,OFFSET('EDP Proyectado'!AM123,0,-'Ingreso Proyectado'!$P123)+0)),0)</f>
        <v>0</v>
      </c>
      <c r="AM123" s="169">
        <f ca="1">+IFERROR(IF(ISNUMBER(OFFSET('EDP Proyectado'!AN123,0,-'Ingreso Proyectado'!$P123))&lt;&gt;0,IF(OFFSET('EDP Proyectado'!AN123,0,-'Ingreso Proyectado'!$P123)+0&lt;=1,0,OFFSET('EDP Proyectado'!AN123,0,-'Ingreso Proyectado'!$P123)+0)),0)</f>
        <v>0</v>
      </c>
      <c r="AN123" s="169">
        <f ca="1">+IFERROR(IF(ISNUMBER(OFFSET('EDP Proyectado'!AO123,0,-'Ingreso Proyectado'!$P123))&lt;&gt;0,IF(OFFSET('EDP Proyectado'!AO123,0,-'Ingreso Proyectado'!$P123)+0&lt;=1,0,OFFSET('EDP Proyectado'!AO123,0,-'Ingreso Proyectado'!$P123)+0)),0)</f>
        <v>0</v>
      </c>
      <c r="AO123" s="169">
        <f ca="1">+IFERROR(IF(ISNUMBER(OFFSET('EDP Proyectado'!AP123,0,-'Ingreso Proyectado'!$P123))&lt;&gt;0,IF(OFFSET('EDP Proyectado'!AP123,0,-'Ingreso Proyectado'!$P123)+0&lt;=1,0,OFFSET('EDP Proyectado'!AP123,0,-'Ingreso Proyectado'!$P123)+0)),0)</f>
        <v>0</v>
      </c>
      <c r="AP123" s="170">
        <f ca="1">+IFERROR(IF(ISNUMBER(OFFSET('EDP Proyectado'!AQ123,0,-'Ingreso Proyectado'!$P123))&lt;&gt;0,IF(OFFSET('EDP Proyectado'!AQ123,0,-'Ingreso Proyectado'!$P123)+0&lt;=1,0,OFFSET('EDP Proyectado'!AQ123,0,-'Ingreso Proyectado'!$P123)+0)),0)</f>
        <v>0</v>
      </c>
    </row>
    <row r="124" spans="3:42" x14ac:dyDescent="0.2">
      <c r="C124" s="144">
        <f>+'Gantt Proyectos'!C192</f>
        <v>96</v>
      </c>
      <c r="D124" s="145">
        <f>+'Gantt Proyectos'!D192</f>
        <v>0</v>
      </c>
      <c r="E124" s="145">
        <f>+'Gantt Proyectos'!E192</f>
        <v>0</v>
      </c>
      <c r="F124" s="147">
        <f>+'Gantt Proyectos'!F192</f>
        <v>0</v>
      </c>
      <c r="G124" s="145">
        <f>+'Gantt Proyectos'!G192</f>
        <v>0</v>
      </c>
      <c r="H124" s="145">
        <f>+'Gantt Proyectos'!H192</f>
        <v>0</v>
      </c>
      <c r="I124" s="189">
        <v>1</v>
      </c>
      <c r="J124" s="189">
        <f t="shared" si="8"/>
        <v>0</v>
      </c>
      <c r="K124" s="145">
        <f>+'Gantt Proyectos'!I192</f>
        <v>0</v>
      </c>
      <c r="L124" s="120">
        <f>+'Gantt Proyectos'!J192</f>
        <v>0</v>
      </c>
      <c r="M124" s="145">
        <f>+'Gantt Proyectos'!K192</f>
        <v>0</v>
      </c>
      <c r="N124" s="145">
        <f>+'Gantt Proyectos'!L192</f>
        <v>0</v>
      </c>
      <c r="O124" s="145">
        <f>+'Gantt Proyectos'!M192</f>
        <v>0</v>
      </c>
      <c r="P124" s="145">
        <f>+'Gantt Proyectos'!N192</f>
        <v>0</v>
      </c>
      <c r="Q124" s="119">
        <f>+'Gantt Proyectos'!O192</f>
        <v>0</v>
      </c>
      <c r="R124" s="119">
        <f>+'Gantt Proyectos'!P192</f>
        <v>0</v>
      </c>
      <c r="S124" s="145">
        <f>+'Gantt Proyectos'!R192</f>
        <v>0</v>
      </c>
      <c r="T124" s="118">
        <f>+'Gantt Proyectos'!S192</f>
        <v>0</v>
      </c>
      <c r="U124" s="156">
        <f>+'Gantt Proyectos'!T192</f>
        <v>0</v>
      </c>
      <c r="V124" s="156">
        <f>+'Gantt Proyectos'!U192</f>
        <v>0</v>
      </c>
      <c r="W124" s="201">
        <f t="shared" si="9"/>
        <v>0</v>
      </c>
      <c r="X124" s="121">
        <f>+'Gantt Proyectos'!W192</f>
        <v>0</v>
      </c>
      <c r="Y124" s="122">
        <f>+'Gantt Proyectos'!X192</f>
        <v>0</v>
      </c>
      <c r="Z124" s="122">
        <f>+'Gantt Proyectos'!Y192</f>
        <v>0</v>
      </c>
      <c r="AA124" s="122">
        <f>+'Gantt Proyectos'!Z192</f>
        <v>0</v>
      </c>
      <c r="AB124" s="122">
        <f>+'Gantt Proyectos'!AA192</f>
        <v>0</v>
      </c>
      <c r="AC124" s="122">
        <f>+'Gantt Proyectos'!AB192</f>
        <v>0</v>
      </c>
      <c r="AD124" s="123">
        <f>+'Gantt Proyectos'!AC192</f>
        <v>0</v>
      </c>
      <c r="AE124" s="123">
        <f>+'Gantt Proyectos'!AD192</f>
        <v>0</v>
      </c>
      <c r="AF124" s="124">
        <f>+'Gantt Proyectos'!AE192</f>
        <v>0</v>
      </c>
      <c r="AG124" s="172">
        <v>1</v>
      </c>
      <c r="AH124" s="169">
        <f ca="1">+IFERROR(IF(ISNUMBER(OFFSET('EDP Proyectado'!AI124,0,-'Ingreso Proyectado'!$P124))&lt;&gt;0,IF(OFFSET('EDP Proyectado'!AI124,0,-'Ingreso Proyectado'!$P124)+0&lt;=1,0,OFFSET('EDP Proyectado'!AI124,0,-'Ingreso Proyectado'!$P124)+0)),0)</f>
        <v>0</v>
      </c>
      <c r="AI124" s="169">
        <f ca="1">+IFERROR(IF(ISNUMBER(OFFSET('EDP Proyectado'!AJ124,0,-'Ingreso Proyectado'!$P124))&lt;&gt;0,IF(OFFSET('EDP Proyectado'!AJ124,0,-'Ingreso Proyectado'!$P124)+0&lt;=1,0,OFFSET('EDP Proyectado'!AJ124,0,-'Ingreso Proyectado'!$P124)+0)),0)</f>
        <v>0</v>
      </c>
      <c r="AJ124" s="169">
        <f ca="1">+IFERROR(IF(ISNUMBER(OFFSET('EDP Proyectado'!AK124,0,-'Ingreso Proyectado'!$P124))&lt;&gt;0,IF(OFFSET('EDP Proyectado'!AK124,0,-'Ingreso Proyectado'!$P124)+0&lt;=1,0,OFFSET('EDP Proyectado'!AK124,0,-'Ingreso Proyectado'!$P124)+0)),0)</f>
        <v>0</v>
      </c>
      <c r="AK124" s="169">
        <f ca="1">+IFERROR(IF(ISNUMBER(OFFSET('EDP Proyectado'!AL124,0,-'Ingreso Proyectado'!$P124))&lt;&gt;0,IF(OFFSET('EDP Proyectado'!AL124,0,-'Ingreso Proyectado'!$P124)+0&lt;=1,0,OFFSET('EDP Proyectado'!AL124,0,-'Ingreso Proyectado'!$P124)+0)),0)</f>
        <v>0</v>
      </c>
      <c r="AL124" s="169">
        <f ca="1">+IFERROR(IF(ISNUMBER(OFFSET('EDP Proyectado'!AM124,0,-'Ingreso Proyectado'!$P124))&lt;&gt;0,IF(OFFSET('EDP Proyectado'!AM124,0,-'Ingreso Proyectado'!$P124)+0&lt;=1,0,OFFSET('EDP Proyectado'!AM124,0,-'Ingreso Proyectado'!$P124)+0)),0)</f>
        <v>0</v>
      </c>
      <c r="AM124" s="169">
        <f ca="1">+IFERROR(IF(ISNUMBER(OFFSET('EDP Proyectado'!AN124,0,-'Ingreso Proyectado'!$P124))&lt;&gt;0,IF(OFFSET('EDP Proyectado'!AN124,0,-'Ingreso Proyectado'!$P124)+0&lt;=1,0,OFFSET('EDP Proyectado'!AN124,0,-'Ingreso Proyectado'!$P124)+0)),0)</f>
        <v>0</v>
      </c>
      <c r="AN124" s="169">
        <f ca="1">+IFERROR(IF(ISNUMBER(OFFSET('EDP Proyectado'!AO124,0,-'Ingreso Proyectado'!$P124))&lt;&gt;0,IF(OFFSET('EDP Proyectado'!AO124,0,-'Ingreso Proyectado'!$P124)+0&lt;=1,0,OFFSET('EDP Proyectado'!AO124,0,-'Ingreso Proyectado'!$P124)+0)),0)</f>
        <v>0</v>
      </c>
      <c r="AO124" s="169">
        <f ca="1">+IFERROR(IF(ISNUMBER(OFFSET('EDP Proyectado'!AP124,0,-'Ingreso Proyectado'!$P124))&lt;&gt;0,IF(OFFSET('EDP Proyectado'!AP124,0,-'Ingreso Proyectado'!$P124)+0&lt;=1,0,OFFSET('EDP Proyectado'!AP124,0,-'Ingreso Proyectado'!$P124)+0)),0)</f>
        <v>0</v>
      </c>
      <c r="AP124" s="170">
        <f ca="1">+IFERROR(IF(ISNUMBER(OFFSET('EDP Proyectado'!AQ124,0,-'Ingreso Proyectado'!$P124))&lt;&gt;0,IF(OFFSET('EDP Proyectado'!AQ124,0,-'Ingreso Proyectado'!$P124)+0&lt;=1,0,OFFSET('EDP Proyectado'!AQ124,0,-'Ingreso Proyectado'!$P124)+0)),0)</f>
        <v>0</v>
      </c>
    </row>
    <row r="125" spans="3:42" x14ac:dyDescent="0.2">
      <c r="C125" s="144">
        <f>+'Gantt Proyectos'!C193</f>
        <v>97</v>
      </c>
      <c r="D125" s="145">
        <f>+'Gantt Proyectos'!D193</f>
        <v>0</v>
      </c>
      <c r="E125" s="145">
        <f>+'Gantt Proyectos'!E193</f>
        <v>0</v>
      </c>
      <c r="F125" s="147">
        <f>+'Gantt Proyectos'!F193</f>
        <v>0</v>
      </c>
      <c r="G125" s="145">
        <f>+'Gantt Proyectos'!G193</f>
        <v>0</v>
      </c>
      <c r="H125" s="145">
        <f>+'Gantt Proyectos'!H193</f>
        <v>0</v>
      </c>
      <c r="I125" s="189">
        <v>1</v>
      </c>
      <c r="J125" s="189">
        <f t="shared" si="8"/>
        <v>0</v>
      </c>
      <c r="K125" s="145">
        <f>+'Gantt Proyectos'!I193</f>
        <v>0</v>
      </c>
      <c r="L125" s="120">
        <f>+'Gantt Proyectos'!J193</f>
        <v>0</v>
      </c>
      <c r="M125" s="145">
        <f>+'Gantt Proyectos'!K193</f>
        <v>0</v>
      </c>
      <c r="N125" s="145">
        <f>+'Gantt Proyectos'!L193</f>
        <v>0</v>
      </c>
      <c r="O125" s="145">
        <f>+'Gantt Proyectos'!M193</f>
        <v>0</v>
      </c>
      <c r="P125" s="145">
        <f>+'Gantt Proyectos'!N193</f>
        <v>0</v>
      </c>
      <c r="Q125" s="119">
        <f>+'Gantt Proyectos'!O193</f>
        <v>0</v>
      </c>
      <c r="R125" s="119">
        <f>+'Gantt Proyectos'!P193</f>
        <v>0</v>
      </c>
      <c r="S125" s="145">
        <f>+'Gantt Proyectos'!R193</f>
        <v>0</v>
      </c>
      <c r="T125" s="118">
        <f>+'Gantt Proyectos'!S193</f>
        <v>0</v>
      </c>
      <c r="U125" s="156">
        <f>+'Gantt Proyectos'!T193</f>
        <v>0</v>
      </c>
      <c r="V125" s="156">
        <f>+'Gantt Proyectos'!U193</f>
        <v>0</v>
      </c>
      <c r="W125" s="201">
        <f t="shared" si="9"/>
        <v>0</v>
      </c>
      <c r="X125" s="121">
        <f>+'Gantt Proyectos'!W193</f>
        <v>0</v>
      </c>
      <c r="Y125" s="122">
        <f>+'Gantt Proyectos'!X193</f>
        <v>0</v>
      </c>
      <c r="Z125" s="122">
        <f>+'Gantt Proyectos'!Y193</f>
        <v>0</v>
      </c>
      <c r="AA125" s="122">
        <f>+'Gantt Proyectos'!Z193</f>
        <v>0</v>
      </c>
      <c r="AB125" s="122">
        <f>+'Gantt Proyectos'!AA193</f>
        <v>0</v>
      </c>
      <c r="AC125" s="122">
        <f>+'Gantt Proyectos'!AB193</f>
        <v>0</v>
      </c>
      <c r="AD125" s="123">
        <f>+'Gantt Proyectos'!AC193</f>
        <v>0</v>
      </c>
      <c r="AE125" s="123">
        <f>+'Gantt Proyectos'!AD193</f>
        <v>0</v>
      </c>
      <c r="AF125" s="124">
        <f>+'Gantt Proyectos'!AE193</f>
        <v>0</v>
      </c>
      <c r="AG125" s="172">
        <v>1</v>
      </c>
      <c r="AH125" s="169">
        <f ca="1">+IFERROR(IF(ISNUMBER(OFFSET('EDP Proyectado'!AI125,0,-'Ingreso Proyectado'!$P125))&lt;&gt;0,IF(OFFSET('EDP Proyectado'!AI125,0,-'Ingreso Proyectado'!$P125)+0&lt;=1,0,OFFSET('EDP Proyectado'!AI125,0,-'Ingreso Proyectado'!$P125)+0)),0)</f>
        <v>0</v>
      </c>
      <c r="AI125" s="169">
        <f ca="1">+IFERROR(IF(ISNUMBER(OFFSET('EDP Proyectado'!AJ125,0,-'Ingreso Proyectado'!$P125))&lt;&gt;0,IF(OFFSET('EDP Proyectado'!AJ125,0,-'Ingreso Proyectado'!$P125)+0&lt;=1,0,OFFSET('EDP Proyectado'!AJ125,0,-'Ingreso Proyectado'!$P125)+0)),0)</f>
        <v>0</v>
      </c>
      <c r="AJ125" s="169">
        <f ca="1">+IFERROR(IF(ISNUMBER(OFFSET('EDP Proyectado'!AK125,0,-'Ingreso Proyectado'!$P125))&lt;&gt;0,IF(OFFSET('EDP Proyectado'!AK125,0,-'Ingreso Proyectado'!$P125)+0&lt;=1,0,OFFSET('EDP Proyectado'!AK125,0,-'Ingreso Proyectado'!$P125)+0)),0)</f>
        <v>0</v>
      </c>
      <c r="AK125" s="169">
        <f ca="1">+IFERROR(IF(ISNUMBER(OFFSET('EDP Proyectado'!AL125,0,-'Ingreso Proyectado'!$P125))&lt;&gt;0,IF(OFFSET('EDP Proyectado'!AL125,0,-'Ingreso Proyectado'!$P125)+0&lt;=1,0,OFFSET('EDP Proyectado'!AL125,0,-'Ingreso Proyectado'!$P125)+0)),0)</f>
        <v>0</v>
      </c>
      <c r="AL125" s="169">
        <f ca="1">+IFERROR(IF(ISNUMBER(OFFSET('EDP Proyectado'!AM125,0,-'Ingreso Proyectado'!$P125))&lt;&gt;0,IF(OFFSET('EDP Proyectado'!AM125,0,-'Ingreso Proyectado'!$P125)+0&lt;=1,0,OFFSET('EDP Proyectado'!AM125,0,-'Ingreso Proyectado'!$P125)+0)),0)</f>
        <v>0</v>
      </c>
      <c r="AM125" s="169">
        <f ca="1">+IFERROR(IF(ISNUMBER(OFFSET('EDP Proyectado'!AN125,0,-'Ingreso Proyectado'!$P125))&lt;&gt;0,IF(OFFSET('EDP Proyectado'!AN125,0,-'Ingreso Proyectado'!$P125)+0&lt;=1,0,OFFSET('EDP Proyectado'!AN125,0,-'Ingreso Proyectado'!$P125)+0)),0)</f>
        <v>0</v>
      </c>
      <c r="AN125" s="169">
        <f ca="1">+IFERROR(IF(ISNUMBER(OFFSET('EDP Proyectado'!AO125,0,-'Ingreso Proyectado'!$P125))&lt;&gt;0,IF(OFFSET('EDP Proyectado'!AO125,0,-'Ingreso Proyectado'!$P125)+0&lt;=1,0,OFFSET('EDP Proyectado'!AO125,0,-'Ingreso Proyectado'!$P125)+0)),0)</f>
        <v>0</v>
      </c>
      <c r="AO125" s="169">
        <f ca="1">+IFERROR(IF(ISNUMBER(OFFSET('EDP Proyectado'!AP125,0,-'Ingreso Proyectado'!$P125))&lt;&gt;0,IF(OFFSET('EDP Proyectado'!AP125,0,-'Ingreso Proyectado'!$P125)+0&lt;=1,0,OFFSET('EDP Proyectado'!AP125,0,-'Ingreso Proyectado'!$P125)+0)),0)</f>
        <v>0</v>
      </c>
      <c r="AP125" s="170">
        <f ca="1">+IFERROR(IF(ISNUMBER(OFFSET('EDP Proyectado'!AQ125,0,-'Ingreso Proyectado'!$P125))&lt;&gt;0,IF(OFFSET('EDP Proyectado'!AQ125,0,-'Ingreso Proyectado'!$P125)+0&lt;=1,0,OFFSET('EDP Proyectado'!AQ125,0,-'Ingreso Proyectado'!$P125)+0)),0)</f>
        <v>0</v>
      </c>
    </row>
    <row r="126" spans="3:42" x14ac:dyDescent="0.2">
      <c r="C126" s="144">
        <f>+'Gantt Proyectos'!C194</f>
        <v>98</v>
      </c>
      <c r="D126" s="145">
        <f>+'Gantt Proyectos'!D194</f>
        <v>0</v>
      </c>
      <c r="E126" s="145">
        <f>+'Gantt Proyectos'!E194</f>
        <v>0</v>
      </c>
      <c r="F126" s="147">
        <f>+'Gantt Proyectos'!F194</f>
        <v>0</v>
      </c>
      <c r="G126" s="145">
        <f>+'Gantt Proyectos'!G194</f>
        <v>0</v>
      </c>
      <c r="H126" s="145">
        <f>+'Gantt Proyectos'!H194</f>
        <v>0</v>
      </c>
      <c r="I126" s="189">
        <v>1</v>
      </c>
      <c r="J126" s="189">
        <f t="shared" si="8"/>
        <v>0</v>
      </c>
      <c r="K126" s="145">
        <f>+'Gantt Proyectos'!I194</f>
        <v>0</v>
      </c>
      <c r="L126" s="120">
        <f>+'Gantt Proyectos'!J194</f>
        <v>0</v>
      </c>
      <c r="M126" s="145">
        <f>+'Gantt Proyectos'!K194</f>
        <v>0</v>
      </c>
      <c r="N126" s="145">
        <f>+'Gantt Proyectos'!L194</f>
        <v>0</v>
      </c>
      <c r="O126" s="145">
        <f>+'Gantt Proyectos'!M194</f>
        <v>0</v>
      </c>
      <c r="P126" s="145">
        <f>+'Gantt Proyectos'!N194</f>
        <v>0</v>
      </c>
      <c r="Q126" s="119">
        <f>+'Gantt Proyectos'!O194</f>
        <v>0</v>
      </c>
      <c r="R126" s="119">
        <f>+'Gantt Proyectos'!P194</f>
        <v>0</v>
      </c>
      <c r="S126" s="145">
        <f>+'Gantt Proyectos'!R194</f>
        <v>0</v>
      </c>
      <c r="T126" s="118">
        <f>+'Gantt Proyectos'!S194</f>
        <v>0</v>
      </c>
      <c r="U126" s="156">
        <f>+'Gantt Proyectos'!T194</f>
        <v>0</v>
      </c>
      <c r="V126" s="156">
        <f>+'Gantt Proyectos'!U194</f>
        <v>0</v>
      </c>
      <c r="W126" s="201">
        <f t="shared" si="9"/>
        <v>0</v>
      </c>
      <c r="X126" s="121">
        <f>+'Gantt Proyectos'!W194</f>
        <v>0</v>
      </c>
      <c r="Y126" s="122">
        <f>+'Gantt Proyectos'!X194</f>
        <v>0</v>
      </c>
      <c r="Z126" s="122">
        <f>+'Gantt Proyectos'!Y194</f>
        <v>0</v>
      </c>
      <c r="AA126" s="122">
        <f>+'Gantt Proyectos'!Z194</f>
        <v>0</v>
      </c>
      <c r="AB126" s="122">
        <f>+'Gantt Proyectos'!AA194</f>
        <v>0</v>
      </c>
      <c r="AC126" s="122">
        <f>+'Gantt Proyectos'!AB194</f>
        <v>0</v>
      </c>
      <c r="AD126" s="123">
        <f>+'Gantt Proyectos'!AC194</f>
        <v>0</v>
      </c>
      <c r="AE126" s="123">
        <f>+'Gantt Proyectos'!AD194</f>
        <v>0</v>
      </c>
      <c r="AF126" s="124">
        <f>+'Gantt Proyectos'!AE194</f>
        <v>0</v>
      </c>
      <c r="AG126" s="172">
        <v>1</v>
      </c>
      <c r="AH126" s="169">
        <f ca="1">+IFERROR(IF(ISNUMBER(OFFSET('EDP Proyectado'!AI126,0,-'Ingreso Proyectado'!$P126))&lt;&gt;0,IF(OFFSET('EDP Proyectado'!AI126,0,-'Ingreso Proyectado'!$P126)+0&lt;=1,0,OFFSET('EDP Proyectado'!AI126,0,-'Ingreso Proyectado'!$P126)+0)),0)</f>
        <v>0</v>
      </c>
      <c r="AI126" s="169">
        <f ca="1">+IFERROR(IF(ISNUMBER(OFFSET('EDP Proyectado'!AJ126,0,-'Ingreso Proyectado'!$P126))&lt;&gt;0,IF(OFFSET('EDP Proyectado'!AJ126,0,-'Ingreso Proyectado'!$P126)+0&lt;=1,0,OFFSET('EDP Proyectado'!AJ126,0,-'Ingreso Proyectado'!$P126)+0)),0)</f>
        <v>0</v>
      </c>
      <c r="AJ126" s="169">
        <f ca="1">+IFERROR(IF(ISNUMBER(OFFSET('EDP Proyectado'!AK126,0,-'Ingreso Proyectado'!$P126))&lt;&gt;0,IF(OFFSET('EDP Proyectado'!AK126,0,-'Ingreso Proyectado'!$P126)+0&lt;=1,0,OFFSET('EDP Proyectado'!AK126,0,-'Ingreso Proyectado'!$P126)+0)),0)</f>
        <v>0</v>
      </c>
      <c r="AK126" s="169">
        <f ca="1">+IFERROR(IF(ISNUMBER(OFFSET('EDP Proyectado'!AL126,0,-'Ingreso Proyectado'!$P126))&lt;&gt;0,IF(OFFSET('EDP Proyectado'!AL126,0,-'Ingreso Proyectado'!$P126)+0&lt;=1,0,OFFSET('EDP Proyectado'!AL126,0,-'Ingreso Proyectado'!$P126)+0)),0)</f>
        <v>0</v>
      </c>
      <c r="AL126" s="169">
        <f ca="1">+IFERROR(IF(ISNUMBER(OFFSET('EDP Proyectado'!AM126,0,-'Ingreso Proyectado'!$P126))&lt;&gt;0,IF(OFFSET('EDP Proyectado'!AM126,0,-'Ingreso Proyectado'!$P126)+0&lt;=1,0,OFFSET('EDP Proyectado'!AM126,0,-'Ingreso Proyectado'!$P126)+0)),0)</f>
        <v>0</v>
      </c>
      <c r="AM126" s="169">
        <f ca="1">+IFERROR(IF(ISNUMBER(OFFSET('EDP Proyectado'!AN126,0,-'Ingreso Proyectado'!$P126))&lt;&gt;0,IF(OFFSET('EDP Proyectado'!AN126,0,-'Ingreso Proyectado'!$P126)+0&lt;=1,0,OFFSET('EDP Proyectado'!AN126,0,-'Ingreso Proyectado'!$P126)+0)),0)</f>
        <v>0</v>
      </c>
      <c r="AN126" s="169">
        <f ca="1">+IFERROR(IF(ISNUMBER(OFFSET('EDP Proyectado'!AO126,0,-'Ingreso Proyectado'!$P126))&lt;&gt;0,IF(OFFSET('EDP Proyectado'!AO126,0,-'Ingreso Proyectado'!$P126)+0&lt;=1,0,OFFSET('EDP Proyectado'!AO126,0,-'Ingreso Proyectado'!$P126)+0)),0)</f>
        <v>0</v>
      </c>
      <c r="AO126" s="169">
        <f ca="1">+IFERROR(IF(ISNUMBER(OFFSET('EDP Proyectado'!AP126,0,-'Ingreso Proyectado'!$P126))&lt;&gt;0,IF(OFFSET('EDP Proyectado'!AP126,0,-'Ingreso Proyectado'!$P126)+0&lt;=1,0,OFFSET('EDP Proyectado'!AP126,0,-'Ingreso Proyectado'!$P126)+0)),0)</f>
        <v>0</v>
      </c>
      <c r="AP126" s="170">
        <f ca="1">+IFERROR(IF(ISNUMBER(OFFSET('EDP Proyectado'!AQ126,0,-'Ingreso Proyectado'!$P126))&lt;&gt;0,IF(OFFSET('EDP Proyectado'!AQ126,0,-'Ingreso Proyectado'!$P126)+0&lt;=1,0,OFFSET('EDP Proyectado'!AQ126,0,-'Ingreso Proyectado'!$P126)+0)),0)</f>
        <v>0</v>
      </c>
    </row>
    <row r="127" spans="3:42" x14ac:dyDescent="0.2">
      <c r="C127" s="144">
        <f>+'Gantt Proyectos'!C195</f>
        <v>99</v>
      </c>
      <c r="D127" s="145">
        <f>+'Gantt Proyectos'!D195</f>
        <v>0</v>
      </c>
      <c r="E127" s="145">
        <f>+'Gantt Proyectos'!E195</f>
        <v>0</v>
      </c>
      <c r="F127" s="147">
        <f>+'Gantt Proyectos'!F195</f>
        <v>0</v>
      </c>
      <c r="G127" s="145">
        <f>+'Gantt Proyectos'!G195</f>
        <v>0</v>
      </c>
      <c r="H127" s="145">
        <f>+'Gantt Proyectos'!H195</f>
        <v>0</v>
      </c>
      <c r="I127" s="189">
        <v>1</v>
      </c>
      <c r="J127" s="189">
        <f t="shared" si="8"/>
        <v>0</v>
      </c>
      <c r="K127" s="145">
        <f>+'Gantt Proyectos'!I195</f>
        <v>0</v>
      </c>
      <c r="L127" s="120">
        <f>+'Gantt Proyectos'!J195</f>
        <v>0</v>
      </c>
      <c r="M127" s="145">
        <f>+'Gantt Proyectos'!K195</f>
        <v>0</v>
      </c>
      <c r="N127" s="145">
        <f>+'Gantt Proyectos'!L195</f>
        <v>0</v>
      </c>
      <c r="O127" s="145">
        <f>+'Gantt Proyectos'!M195</f>
        <v>0</v>
      </c>
      <c r="P127" s="145">
        <f>+'Gantt Proyectos'!N195</f>
        <v>0</v>
      </c>
      <c r="Q127" s="119">
        <f>+'Gantt Proyectos'!O195</f>
        <v>0</v>
      </c>
      <c r="R127" s="119">
        <f>+'Gantt Proyectos'!P195</f>
        <v>0</v>
      </c>
      <c r="S127" s="145">
        <f>+'Gantt Proyectos'!R195</f>
        <v>0</v>
      </c>
      <c r="T127" s="118">
        <f>+'Gantt Proyectos'!S195</f>
        <v>0</v>
      </c>
      <c r="U127" s="156">
        <f>+'Gantt Proyectos'!T195</f>
        <v>0</v>
      </c>
      <c r="V127" s="156">
        <f>+'Gantt Proyectos'!U195</f>
        <v>0</v>
      </c>
      <c r="W127" s="201">
        <f t="shared" si="9"/>
        <v>0</v>
      </c>
      <c r="X127" s="121">
        <f>+'Gantt Proyectos'!W195</f>
        <v>0</v>
      </c>
      <c r="Y127" s="122">
        <f>+'Gantt Proyectos'!X195</f>
        <v>0</v>
      </c>
      <c r="Z127" s="122">
        <f>+'Gantt Proyectos'!Y195</f>
        <v>0</v>
      </c>
      <c r="AA127" s="122">
        <f>+'Gantt Proyectos'!Z195</f>
        <v>0</v>
      </c>
      <c r="AB127" s="122">
        <f>+'Gantt Proyectos'!AA195</f>
        <v>0</v>
      </c>
      <c r="AC127" s="122">
        <f>+'Gantt Proyectos'!AB195</f>
        <v>0</v>
      </c>
      <c r="AD127" s="123">
        <f>+'Gantt Proyectos'!AC195</f>
        <v>0</v>
      </c>
      <c r="AE127" s="123">
        <f>+'Gantt Proyectos'!AD195</f>
        <v>0</v>
      </c>
      <c r="AF127" s="124">
        <f>+'Gantt Proyectos'!AE195</f>
        <v>0</v>
      </c>
      <c r="AG127" s="172">
        <v>1</v>
      </c>
      <c r="AH127" s="169">
        <f ca="1">+IFERROR(IF(ISNUMBER(OFFSET('EDP Proyectado'!AI127,0,-'Ingreso Proyectado'!$P127))&lt;&gt;0,IF(OFFSET('EDP Proyectado'!AI127,0,-'Ingreso Proyectado'!$P127)+0&lt;=1,0,OFFSET('EDP Proyectado'!AI127,0,-'Ingreso Proyectado'!$P127)+0)),0)</f>
        <v>0</v>
      </c>
      <c r="AI127" s="169">
        <f ca="1">+IFERROR(IF(ISNUMBER(OFFSET('EDP Proyectado'!AJ127,0,-'Ingreso Proyectado'!$P127))&lt;&gt;0,IF(OFFSET('EDP Proyectado'!AJ127,0,-'Ingreso Proyectado'!$P127)+0&lt;=1,0,OFFSET('EDP Proyectado'!AJ127,0,-'Ingreso Proyectado'!$P127)+0)),0)</f>
        <v>0</v>
      </c>
      <c r="AJ127" s="169">
        <f ca="1">+IFERROR(IF(ISNUMBER(OFFSET('EDP Proyectado'!AK127,0,-'Ingreso Proyectado'!$P127))&lt;&gt;0,IF(OFFSET('EDP Proyectado'!AK127,0,-'Ingreso Proyectado'!$P127)+0&lt;=1,0,OFFSET('EDP Proyectado'!AK127,0,-'Ingreso Proyectado'!$P127)+0)),0)</f>
        <v>0</v>
      </c>
      <c r="AK127" s="169">
        <f ca="1">+IFERROR(IF(ISNUMBER(OFFSET('EDP Proyectado'!AL127,0,-'Ingreso Proyectado'!$P127))&lt;&gt;0,IF(OFFSET('EDP Proyectado'!AL127,0,-'Ingreso Proyectado'!$P127)+0&lt;=1,0,OFFSET('EDP Proyectado'!AL127,0,-'Ingreso Proyectado'!$P127)+0)),0)</f>
        <v>0</v>
      </c>
      <c r="AL127" s="169">
        <f ca="1">+IFERROR(IF(ISNUMBER(OFFSET('EDP Proyectado'!AM127,0,-'Ingreso Proyectado'!$P127))&lt;&gt;0,IF(OFFSET('EDP Proyectado'!AM127,0,-'Ingreso Proyectado'!$P127)+0&lt;=1,0,OFFSET('EDP Proyectado'!AM127,0,-'Ingreso Proyectado'!$P127)+0)),0)</f>
        <v>0</v>
      </c>
      <c r="AM127" s="169">
        <f ca="1">+IFERROR(IF(ISNUMBER(OFFSET('EDP Proyectado'!AN127,0,-'Ingreso Proyectado'!$P127))&lt;&gt;0,IF(OFFSET('EDP Proyectado'!AN127,0,-'Ingreso Proyectado'!$P127)+0&lt;=1,0,OFFSET('EDP Proyectado'!AN127,0,-'Ingreso Proyectado'!$P127)+0)),0)</f>
        <v>0</v>
      </c>
      <c r="AN127" s="169">
        <f ca="1">+IFERROR(IF(ISNUMBER(OFFSET('EDP Proyectado'!AO127,0,-'Ingreso Proyectado'!$P127))&lt;&gt;0,IF(OFFSET('EDP Proyectado'!AO127,0,-'Ingreso Proyectado'!$P127)+0&lt;=1,0,OFFSET('EDP Proyectado'!AO127,0,-'Ingreso Proyectado'!$P127)+0)),0)</f>
        <v>0</v>
      </c>
      <c r="AO127" s="169">
        <f ca="1">+IFERROR(IF(ISNUMBER(OFFSET('EDP Proyectado'!AP127,0,-'Ingreso Proyectado'!$P127))&lt;&gt;0,IF(OFFSET('EDP Proyectado'!AP127,0,-'Ingreso Proyectado'!$P127)+0&lt;=1,0,OFFSET('EDP Proyectado'!AP127,0,-'Ingreso Proyectado'!$P127)+0)),0)</f>
        <v>0</v>
      </c>
      <c r="AP127" s="170">
        <f ca="1">+IFERROR(IF(ISNUMBER(OFFSET('EDP Proyectado'!AQ127,0,-'Ingreso Proyectado'!$P127))&lt;&gt;0,IF(OFFSET('EDP Proyectado'!AQ127,0,-'Ingreso Proyectado'!$P127)+0&lt;=1,0,OFFSET('EDP Proyectado'!AQ127,0,-'Ingreso Proyectado'!$P127)+0)),0)</f>
        <v>0</v>
      </c>
    </row>
    <row r="128" spans="3:42" x14ac:dyDescent="0.2">
      <c r="C128" s="144">
        <f>+'Gantt Proyectos'!C196</f>
        <v>100</v>
      </c>
      <c r="D128" s="145">
        <f>+'Gantt Proyectos'!D196</f>
        <v>0</v>
      </c>
      <c r="E128" s="145">
        <f>+'Gantt Proyectos'!E196</f>
        <v>0</v>
      </c>
      <c r="F128" s="147">
        <f>+'Gantt Proyectos'!F196</f>
        <v>0</v>
      </c>
      <c r="G128" s="145">
        <f>+'Gantt Proyectos'!G196</f>
        <v>0</v>
      </c>
      <c r="H128" s="145">
        <f>+'Gantt Proyectos'!H196</f>
        <v>0</v>
      </c>
      <c r="I128" s="189">
        <v>1</v>
      </c>
      <c r="J128" s="189">
        <f t="shared" si="8"/>
        <v>0</v>
      </c>
      <c r="K128" s="145">
        <f>+'Gantt Proyectos'!I196</f>
        <v>0</v>
      </c>
      <c r="L128" s="120">
        <f>+'Gantt Proyectos'!J196</f>
        <v>0</v>
      </c>
      <c r="M128" s="145">
        <f>+'Gantt Proyectos'!K196</f>
        <v>0</v>
      </c>
      <c r="N128" s="145">
        <f>+'Gantt Proyectos'!L196</f>
        <v>0</v>
      </c>
      <c r="O128" s="145">
        <f>+'Gantt Proyectos'!M196</f>
        <v>0</v>
      </c>
      <c r="P128" s="145">
        <f>+'Gantt Proyectos'!N196</f>
        <v>0</v>
      </c>
      <c r="Q128" s="119">
        <f>+'Gantt Proyectos'!O196</f>
        <v>0</v>
      </c>
      <c r="R128" s="119">
        <f>+'Gantt Proyectos'!P196</f>
        <v>0</v>
      </c>
      <c r="S128" s="145">
        <f>+'Gantt Proyectos'!R196</f>
        <v>0</v>
      </c>
      <c r="T128" s="118">
        <f>+'Gantt Proyectos'!S196</f>
        <v>0</v>
      </c>
      <c r="U128" s="156">
        <f>+'Gantt Proyectos'!T196</f>
        <v>0</v>
      </c>
      <c r="V128" s="156">
        <f>+'Gantt Proyectos'!U196</f>
        <v>0</v>
      </c>
      <c r="W128" s="201">
        <f t="shared" si="9"/>
        <v>0</v>
      </c>
      <c r="X128" s="121">
        <f>+'Gantt Proyectos'!W196</f>
        <v>0</v>
      </c>
      <c r="Y128" s="122">
        <f>+'Gantt Proyectos'!X196</f>
        <v>0</v>
      </c>
      <c r="Z128" s="122">
        <f>+'Gantt Proyectos'!Y196</f>
        <v>0</v>
      </c>
      <c r="AA128" s="122">
        <f>+'Gantt Proyectos'!Z196</f>
        <v>0</v>
      </c>
      <c r="AB128" s="122">
        <f>+'Gantt Proyectos'!AA196</f>
        <v>0</v>
      </c>
      <c r="AC128" s="122">
        <f>+'Gantt Proyectos'!AB196</f>
        <v>0</v>
      </c>
      <c r="AD128" s="123">
        <f>+'Gantt Proyectos'!AC196</f>
        <v>0</v>
      </c>
      <c r="AE128" s="123">
        <f>+'Gantt Proyectos'!AD196</f>
        <v>0</v>
      </c>
      <c r="AF128" s="124">
        <f>+'Gantt Proyectos'!AE196</f>
        <v>0</v>
      </c>
      <c r="AG128" s="172">
        <v>1</v>
      </c>
      <c r="AH128" s="169">
        <f ca="1">+IFERROR(IF(ISNUMBER(OFFSET('EDP Proyectado'!AI128,0,-'Ingreso Proyectado'!$P128))&lt;&gt;0,IF(OFFSET('EDP Proyectado'!AI128,0,-'Ingreso Proyectado'!$P128)+0&lt;=1,0,OFFSET('EDP Proyectado'!AI128,0,-'Ingreso Proyectado'!$P128)+0)),0)</f>
        <v>0</v>
      </c>
      <c r="AI128" s="169">
        <f ca="1">+IFERROR(IF(ISNUMBER(OFFSET('EDP Proyectado'!AJ128,0,-'Ingreso Proyectado'!$P128))&lt;&gt;0,IF(OFFSET('EDP Proyectado'!AJ128,0,-'Ingreso Proyectado'!$P128)+0&lt;=1,0,OFFSET('EDP Proyectado'!AJ128,0,-'Ingreso Proyectado'!$P128)+0)),0)</f>
        <v>0</v>
      </c>
      <c r="AJ128" s="169">
        <f ca="1">+IFERROR(IF(ISNUMBER(OFFSET('EDP Proyectado'!AK128,0,-'Ingreso Proyectado'!$P128))&lt;&gt;0,IF(OFFSET('EDP Proyectado'!AK128,0,-'Ingreso Proyectado'!$P128)+0&lt;=1,0,OFFSET('EDP Proyectado'!AK128,0,-'Ingreso Proyectado'!$P128)+0)),0)</f>
        <v>0</v>
      </c>
      <c r="AK128" s="169">
        <f ca="1">+IFERROR(IF(ISNUMBER(OFFSET('EDP Proyectado'!AL128,0,-'Ingreso Proyectado'!$P128))&lt;&gt;0,IF(OFFSET('EDP Proyectado'!AL128,0,-'Ingreso Proyectado'!$P128)+0&lt;=1,0,OFFSET('EDP Proyectado'!AL128,0,-'Ingreso Proyectado'!$P128)+0)),0)</f>
        <v>0</v>
      </c>
      <c r="AL128" s="169">
        <f ca="1">+IFERROR(IF(ISNUMBER(OFFSET('EDP Proyectado'!AM128,0,-'Ingreso Proyectado'!$P128))&lt;&gt;0,IF(OFFSET('EDP Proyectado'!AM128,0,-'Ingreso Proyectado'!$P128)+0&lt;=1,0,OFFSET('EDP Proyectado'!AM128,0,-'Ingreso Proyectado'!$P128)+0)),0)</f>
        <v>0</v>
      </c>
      <c r="AM128" s="169">
        <f ca="1">+IFERROR(IF(ISNUMBER(OFFSET('EDP Proyectado'!AN128,0,-'Ingreso Proyectado'!$P128))&lt;&gt;0,IF(OFFSET('EDP Proyectado'!AN128,0,-'Ingreso Proyectado'!$P128)+0&lt;=1,0,OFFSET('EDP Proyectado'!AN128,0,-'Ingreso Proyectado'!$P128)+0)),0)</f>
        <v>0</v>
      </c>
      <c r="AN128" s="169">
        <f ca="1">+IFERROR(IF(ISNUMBER(OFFSET('EDP Proyectado'!AO128,0,-'Ingreso Proyectado'!$P128))&lt;&gt;0,IF(OFFSET('EDP Proyectado'!AO128,0,-'Ingreso Proyectado'!$P128)+0&lt;=1,0,OFFSET('EDP Proyectado'!AO128,0,-'Ingreso Proyectado'!$P128)+0)),0)</f>
        <v>0</v>
      </c>
      <c r="AO128" s="169">
        <f ca="1">+IFERROR(IF(ISNUMBER(OFFSET('EDP Proyectado'!AP128,0,-'Ingreso Proyectado'!$P128))&lt;&gt;0,IF(OFFSET('EDP Proyectado'!AP128,0,-'Ingreso Proyectado'!$P128)+0&lt;=1,0,OFFSET('EDP Proyectado'!AP128,0,-'Ingreso Proyectado'!$P128)+0)),0)</f>
        <v>0</v>
      </c>
      <c r="AP128" s="170">
        <f ca="1">+IFERROR(IF(ISNUMBER(OFFSET('EDP Proyectado'!AQ128,0,-'Ingreso Proyectado'!$P128))&lt;&gt;0,IF(OFFSET('EDP Proyectado'!AQ128,0,-'Ingreso Proyectado'!$P128)+0&lt;=1,0,OFFSET('EDP Proyectado'!AQ128,0,-'Ingreso Proyectado'!$P128)+0)),0)</f>
        <v>0</v>
      </c>
    </row>
    <row r="129" spans="3:42" x14ac:dyDescent="0.2">
      <c r="C129" s="110">
        <f>+'Gantt Proyectos'!C197</f>
        <v>0</v>
      </c>
      <c r="D129" s="110" t="str">
        <f>+'Gantt Proyectos'!D146</f>
        <v>Ingeniería perfil Clavelinas</v>
      </c>
      <c r="E129" s="110" t="str">
        <f>+'Gantt Proyectos'!E146</f>
        <v>Minsur</v>
      </c>
      <c r="F129" s="148" t="str">
        <f>+'Gantt Proyectos'!F146</f>
        <v>Perú</v>
      </c>
      <c r="G129" s="110" t="str">
        <f>+'Gantt Proyectos'!G146</f>
        <v>Perú</v>
      </c>
      <c r="H129" s="110">
        <f>+'Gantt Proyectos'!H197</f>
        <v>0</v>
      </c>
      <c r="I129" s="189">
        <v>1</v>
      </c>
      <c r="J129" s="189">
        <f t="shared" si="8"/>
        <v>0</v>
      </c>
      <c r="K129" s="110">
        <f>+'Gantt Proyectos'!I197</f>
        <v>0</v>
      </c>
      <c r="L129" s="110">
        <f>+'Gantt Proyectos'!J197</f>
        <v>0</v>
      </c>
      <c r="M129" s="110">
        <f>+'Gantt Proyectos'!K197</f>
        <v>0</v>
      </c>
      <c r="N129" s="110">
        <f>+'Gantt Proyectos'!L197</f>
        <v>0</v>
      </c>
      <c r="O129" s="110">
        <f>+'Gantt Proyectos'!M197</f>
        <v>0</v>
      </c>
      <c r="P129" s="110">
        <f>+'Gantt Proyectos'!N197</f>
        <v>0</v>
      </c>
      <c r="Q129" s="110">
        <f>+'Gantt Proyectos'!O197</f>
        <v>0</v>
      </c>
      <c r="R129" s="110">
        <f>+'Gantt Proyectos'!P197</f>
        <v>0</v>
      </c>
      <c r="S129" s="110">
        <f>+'Gantt Proyectos'!R197</f>
        <v>0</v>
      </c>
      <c r="T129" s="118">
        <f>+'Gantt Proyectos'!S197</f>
        <v>0</v>
      </c>
      <c r="U129" s="157">
        <f>+'Gantt Proyectos'!T197</f>
        <v>0</v>
      </c>
      <c r="V129" s="157">
        <f>+'Gantt Proyectos'!U197</f>
        <v>0</v>
      </c>
      <c r="W129" s="201">
        <f t="shared" si="9"/>
        <v>0</v>
      </c>
      <c r="X129" s="110">
        <f>+'Gantt Proyectos'!W197</f>
        <v>0</v>
      </c>
      <c r="Y129" s="110">
        <f>+'Gantt Proyectos'!X197</f>
        <v>0</v>
      </c>
      <c r="Z129" s="110">
        <f>+'Gantt Proyectos'!Y197</f>
        <v>0</v>
      </c>
      <c r="AA129" s="110">
        <f>+'Gantt Proyectos'!Z197</f>
        <v>0</v>
      </c>
      <c r="AB129" s="110">
        <f>+'Gantt Proyectos'!AA197</f>
        <v>0</v>
      </c>
      <c r="AC129" s="110">
        <f>+'Gantt Proyectos'!AB197</f>
        <v>0</v>
      </c>
      <c r="AD129" s="110">
        <f>+'Gantt Proyectos'!AC197</f>
        <v>0</v>
      </c>
      <c r="AE129" s="110">
        <f>+'Gantt Proyectos'!AD197</f>
        <v>0</v>
      </c>
      <c r="AF129" s="110">
        <f>+'Gantt Proyectos'!AE197</f>
        <v>0</v>
      </c>
      <c r="AG129" s="172">
        <v>1</v>
      </c>
      <c r="AH129" s="169">
        <f ca="1">+IFERROR(IF(ISNUMBER(OFFSET('EDP Proyectado'!AI129,0,-'Ingreso Proyectado'!$P129))&lt;&gt;0,IF(OFFSET('EDP Proyectado'!AI129,0,-'Ingreso Proyectado'!$P129)+0&lt;=1,0,OFFSET('EDP Proyectado'!AI129,0,-'Ingreso Proyectado'!$P129)+0)),0)</f>
        <v>0</v>
      </c>
      <c r="AI129" s="169">
        <f ca="1">+IFERROR(IF(ISNUMBER(OFFSET('EDP Proyectado'!AJ129,0,-'Ingreso Proyectado'!$P129))&lt;&gt;0,IF(OFFSET('EDP Proyectado'!AJ129,0,-'Ingreso Proyectado'!$P129)+0&lt;=1,0,OFFSET('EDP Proyectado'!AJ129,0,-'Ingreso Proyectado'!$P129)+0)),0)</f>
        <v>0</v>
      </c>
      <c r="AJ129" s="169">
        <f ca="1">+IFERROR(IF(ISNUMBER(OFFSET('EDP Proyectado'!AK129,0,-'Ingreso Proyectado'!$P129))&lt;&gt;0,IF(OFFSET('EDP Proyectado'!AK129,0,-'Ingreso Proyectado'!$P129)+0&lt;=1,0,OFFSET('EDP Proyectado'!AK129,0,-'Ingreso Proyectado'!$P129)+0)),0)</f>
        <v>0</v>
      </c>
      <c r="AK129" s="169">
        <f ca="1">+IFERROR(IF(ISNUMBER(OFFSET('EDP Proyectado'!AL129,0,-'Ingreso Proyectado'!$P129))&lt;&gt;0,IF(OFFSET('EDP Proyectado'!AL129,0,-'Ingreso Proyectado'!$P129)+0&lt;=1,0,OFFSET('EDP Proyectado'!AL129,0,-'Ingreso Proyectado'!$P129)+0)),0)</f>
        <v>0</v>
      </c>
      <c r="AL129" s="169">
        <f ca="1">+IFERROR(IF(ISNUMBER(OFFSET('EDP Proyectado'!AM129,0,-'Ingreso Proyectado'!$P129))&lt;&gt;0,IF(OFFSET('EDP Proyectado'!AM129,0,-'Ingreso Proyectado'!$P129)+0&lt;=1,0,OFFSET('EDP Proyectado'!AM129,0,-'Ingreso Proyectado'!$P129)+0)),0)</f>
        <v>0</v>
      </c>
      <c r="AM129" s="169">
        <f ca="1">+IFERROR(IF(ISNUMBER(OFFSET('EDP Proyectado'!AN129,0,-'Ingreso Proyectado'!$P129))&lt;&gt;0,IF(OFFSET('EDP Proyectado'!AN129,0,-'Ingreso Proyectado'!$P129)+0&lt;=1,0,OFFSET('EDP Proyectado'!AN129,0,-'Ingreso Proyectado'!$P129)+0)),0)</f>
        <v>0</v>
      </c>
      <c r="AN129" s="169">
        <f ca="1">+IFERROR(IF(ISNUMBER(OFFSET('EDP Proyectado'!AO129,0,-'Ingreso Proyectado'!$P129))&lt;&gt;0,IF(OFFSET('EDP Proyectado'!AO129,0,-'Ingreso Proyectado'!$P129)+0&lt;=1,0,OFFSET('EDP Proyectado'!AO129,0,-'Ingreso Proyectado'!$P129)+0)),0)</f>
        <v>0</v>
      </c>
      <c r="AO129" s="169">
        <f ca="1">+IFERROR(IF(ISNUMBER(OFFSET('EDP Proyectado'!AP129,0,-'Ingreso Proyectado'!$P129))&lt;&gt;0,IF(OFFSET('EDP Proyectado'!AP129,0,-'Ingreso Proyectado'!$P129)+0&lt;=1,0,OFFSET('EDP Proyectado'!AP129,0,-'Ingreso Proyectado'!$P129)+0)),0)</f>
        <v>0</v>
      </c>
      <c r="AP129" s="170">
        <f ca="1">+IFERROR(IF(ISNUMBER(OFFSET('EDP Proyectado'!AQ129,0,-'Ingreso Proyectado'!$P129))&lt;&gt;0,IF(OFFSET('EDP Proyectado'!AQ129,0,-'Ingreso Proyectado'!$P129)+0&lt;=1,0,OFFSET('EDP Proyectado'!AQ129,0,-'Ingreso Proyectado'!$P129)+0)),0)</f>
        <v>0</v>
      </c>
    </row>
    <row r="130" spans="3:42" x14ac:dyDescent="0.2">
      <c r="C130" s="110">
        <f>+'Gantt Proyectos'!C198</f>
        <v>0</v>
      </c>
      <c r="D130" s="110" t="str">
        <f>+'Gantt Proyectos'!D147</f>
        <v>Ingeniería de factibilidad Cristina</v>
      </c>
      <c r="E130" s="110" t="str">
        <f>+'Gantt Proyectos'!E147</f>
        <v>Insideo</v>
      </c>
      <c r="F130" s="148" t="str">
        <f>+'Gantt Proyectos'!F147</f>
        <v>Perú</v>
      </c>
      <c r="G130" s="110" t="str">
        <f>+'Gantt Proyectos'!G147</f>
        <v>Chile</v>
      </c>
      <c r="H130" s="110">
        <f>+'Gantt Proyectos'!H198</f>
        <v>0</v>
      </c>
      <c r="I130" s="189">
        <v>1</v>
      </c>
      <c r="J130" s="189">
        <f t="shared" si="8"/>
        <v>0</v>
      </c>
      <c r="K130" s="110">
        <f>+'Gantt Proyectos'!I198</f>
        <v>0</v>
      </c>
      <c r="L130" s="110">
        <f>+'Gantt Proyectos'!J198</f>
        <v>0</v>
      </c>
      <c r="M130" s="110">
        <f>+'Gantt Proyectos'!K198</f>
        <v>0</v>
      </c>
      <c r="N130" s="110">
        <f>+'Gantt Proyectos'!L198</f>
        <v>0</v>
      </c>
      <c r="O130" s="110">
        <f>+'Gantt Proyectos'!M198</f>
        <v>0</v>
      </c>
      <c r="P130" s="110">
        <f>+'Gantt Proyectos'!N198</f>
        <v>0</v>
      </c>
      <c r="Q130" s="110">
        <f>+'Gantt Proyectos'!O198</f>
        <v>0</v>
      </c>
      <c r="R130" s="110">
        <f>+'Gantt Proyectos'!P198</f>
        <v>0</v>
      </c>
      <c r="S130" s="110">
        <f>+'Gantt Proyectos'!R198</f>
        <v>0</v>
      </c>
      <c r="T130" s="118">
        <f>+'Gantt Proyectos'!S198</f>
        <v>0</v>
      </c>
      <c r="U130" s="157">
        <f>+'Gantt Proyectos'!T198</f>
        <v>0</v>
      </c>
      <c r="V130" s="157">
        <f>+'Gantt Proyectos'!U198</f>
        <v>0</v>
      </c>
      <c r="W130" s="201">
        <f t="shared" si="9"/>
        <v>0</v>
      </c>
      <c r="X130" s="110">
        <f>+'Gantt Proyectos'!W198</f>
        <v>0</v>
      </c>
      <c r="Y130" s="110">
        <f>+'Gantt Proyectos'!X198</f>
        <v>0</v>
      </c>
      <c r="Z130" s="110">
        <f>+'Gantt Proyectos'!Y198</f>
        <v>0</v>
      </c>
      <c r="AA130" s="110">
        <f>+'Gantt Proyectos'!Z198</f>
        <v>0</v>
      </c>
      <c r="AB130" s="110">
        <f>+'Gantt Proyectos'!AA198</f>
        <v>0</v>
      </c>
      <c r="AC130" s="110">
        <f>+'Gantt Proyectos'!AB198</f>
        <v>0</v>
      </c>
      <c r="AD130" s="110">
        <f>+'Gantt Proyectos'!AC198</f>
        <v>0</v>
      </c>
      <c r="AE130" s="110">
        <f>+'Gantt Proyectos'!AD198</f>
        <v>0</v>
      </c>
      <c r="AF130" s="110">
        <f>+'Gantt Proyectos'!AE198</f>
        <v>0</v>
      </c>
      <c r="AG130" s="172">
        <v>1</v>
      </c>
      <c r="AH130" s="169">
        <f ca="1">+IFERROR(IF(ISNUMBER(OFFSET('EDP Proyectado'!AI130,0,-'Ingreso Proyectado'!$P130))&lt;&gt;0,IF(OFFSET('EDP Proyectado'!AI130,0,-'Ingreso Proyectado'!$P130)+0&lt;=1,0,OFFSET('EDP Proyectado'!AI130,0,-'Ingreso Proyectado'!$P130)+0)),0)</f>
        <v>0</v>
      </c>
      <c r="AI130" s="169">
        <f ca="1">+IFERROR(IF(ISNUMBER(OFFSET('EDP Proyectado'!AJ130,0,-'Ingreso Proyectado'!$P130))&lt;&gt;0,IF(OFFSET('EDP Proyectado'!AJ130,0,-'Ingreso Proyectado'!$P130)+0&lt;=1,0,OFFSET('EDP Proyectado'!AJ130,0,-'Ingreso Proyectado'!$P130)+0)),0)</f>
        <v>0</v>
      </c>
      <c r="AJ130" s="169">
        <f ca="1">+IFERROR(IF(ISNUMBER(OFFSET('EDP Proyectado'!AK130,0,-'Ingreso Proyectado'!$P130))&lt;&gt;0,IF(OFFSET('EDP Proyectado'!AK130,0,-'Ingreso Proyectado'!$P130)+0&lt;=1,0,OFFSET('EDP Proyectado'!AK130,0,-'Ingreso Proyectado'!$P130)+0)),0)</f>
        <v>0</v>
      </c>
      <c r="AK130" s="169">
        <f ca="1">+IFERROR(IF(ISNUMBER(OFFSET('EDP Proyectado'!AL130,0,-'Ingreso Proyectado'!$P130))&lt;&gt;0,IF(OFFSET('EDP Proyectado'!AL130,0,-'Ingreso Proyectado'!$P130)+0&lt;=1,0,OFFSET('EDP Proyectado'!AL130,0,-'Ingreso Proyectado'!$P130)+0)),0)</f>
        <v>0</v>
      </c>
      <c r="AL130" s="169">
        <f ca="1">+IFERROR(IF(ISNUMBER(OFFSET('EDP Proyectado'!AM130,0,-'Ingreso Proyectado'!$P130))&lt;&gt;0,IF(OFFSET('EDP Proyectado'!AM130,0,-'Ingreso Proyectado'!$P130)+0&lt;=1,0,OFFSET('EDP Proyectado'!AM130,0,-'Ingreso Proyectado'!$P130)+0)),0)</f>
        <v>0</v>
      </c>
      <c r="AM130" s="169">
        <f ca="1">+IFERROR(IF(ISNUMBER(OFFSET('EDP Proyectado'!AN130,0,-'Ingreso Proyectado'!$P130))&lt;&gt;0,IF(OFFSET('EDP Proyectado'!AN130,0,-'Ingreso Proyectado'!$P130)+0&lt;=1,0,OFFSET('EDP Proyectado'!AN130,0,-'Ingreso Proyectado'!$P130)+0)),0)</f>
        <v>0</v>
      </c>
      <c r="AN130" s="169">
        <f ca="1">+IFERROR(IF(ISNUMBER(OFFSET('EDP Proyectado'!AO130,0,-'Ingreso Proyectado'!$P130))&lt;&gt;0,IF(OFFSET('EDP Proyectado'!AO130,0,-'Ingreso Proyectado'!$P130)+0&lt;=1,0,OFFSET('EDP Proyectado'!AO130,0,-'Ingreso Proyectado'!$P130)+0)),0)</f>
        <v>0</v>
      </c>
      <c r="AO130" s="169">
        <f ca="1">+IFERROR(IF(ISNUMBER(OFFSET('EDP Proyectado'!AP130,0,-'Ingreso Proyectado'!$P130))&lt;&gt;0,IF(OFFSET('EDP Proyectado'!AP130,0,-'Ingreso Proyectado'!$P130)+0&lt;=1,0,OFFSET('EDP Proyectado'!AP130,0,-'Ingreso Proyectado'!$P130)+0)),0)</f>
        <v>0</v>
      </c>
      <c r="AP130" s="170">
        <f ca="1">+IFERROR(IF(ISNUMBER(OFFSET('EDP Proyectado'!AQ130,0,-'Ingreso Proyectado'!$P130))&lt;&gt;0,IF(OFFSET('EDP Proyectado'!AQ130,0,-'Ingreso Proyectado'!$P130)+0&lt;=1,0,OFFSET('EDP Proyectado'!AQ130,0,-'Ingreso Proyectado'!$P130)+0)),0)</f>
        <v>0</v>
      </c>
    </row>
    <row r="131" spans="3:42" x14ac:dyDescent="0.2">
      <c r="C131" s="110">
        <f>+'Gantt Proyectos'!C199</f>
        <v>0</v>
      </c>
      <c r="D131" s="110">
        <f>+'Gantt Proyectos'!D199</f>
        <v>0</v>
      </c>
      <c r="E131" s="110">
        <f>+'Gantt Proyectos'!E199</f>
        <v>0</v>
      </c>
      <c r="F131" s="110">
        <f>+'Gantt Proyectos'!F199</f>
        <v>0</v>
      </c>
      <c r="G131" s="110">
        <f>+'Gantt Proyectos'!G199</f>
        <v>0</v>
      </c>
      <c r="H131" s="110">
        <f>+'Gantt Proyectos'!H199</f>
        <v>0</v>
      </c>
      <c r="I131" s="189">
        <v>1</v>
      </c>
      <c r="J131" s="189">
        <f t="shared" si="8"/>
        <v>0</v>
      </c>
      <c r="K131" s="110">
        <f>+'Gantt Proyectos'!I199</f>
        <v>0</v>
      </c>
      <c r="L131" s="110">
        <f>+'Gantt Proyectos'!J199</f>
        <v>0</v>
      </c>
      <c r="M131" s="110">
        <f>+'Gantt Proyectos'!K199</f>
        <v>0</v>
      </c>
      <c r="N131" s="110">
        <f>+'Gantt Proyectos'!L199</f>
        <v>0</v>
      </c>
      <c r="O131" s="110">
        <f>+'Gantt Proyectos'!M199</f>
        <v>0</v>
      </c>
      <c r="P131" s="110">
        <f>+'Gantt Proyectos'!N199</f>
        <v>0</v>
      </c>
      <c r="Q131" s="110">
        <f>+'Gantt Proyectos'!O199</f>
        <v>0</v>
      </c>
      <c r="R131" s="110">
        <f>+'Gantt Proyectos'!P199</f>
        <v>0</v>
      </c>
      <c r="S131" s="110">
        <f>+'Gantt Proyectos'!R199</f>
        <v>0</v>
      </c>
      <c r="T131" s="118">
        <f>+'Gantt Proyectos'!S199</f>
        <v>0</v>
      </c>
      <c r="U131" s="157">
        <f>+'Gantt Proyectos'!T199</f>
        <v>0</v>
      </c>
      <c r="V131" s="157">
        <f>+'Gantt Proyectos'!U199</f>
        <v>0</v>
      </c>
      <c r="W131" s="201">
        <f t="shared" si="9"/>
        <v>0</v>
      </c>
      <c r="X131" s="110">
        <f>+'Gantt Proyectos'!W199</f>
        <v>0</v>
      </c>
      <c r="Y131" s="110">
        <f>+'Gantt Proyectos'!X199</f>
        <v>0</v>
      </c>
      <c r="Z131" s="110">
        <f>+'Gantt Proyectos'!Y199</f>
        <v>0</v>
      </c>
      <c r="AA131" s="110">
        <f>+'Gantt Proyectos'!Z199</f>
        <v>0</v>
      </c>
      <c r="AB131" s="110">
        <f>+'Gantt Proyectos'!AA199</f>
        <v>0</v>
      </c>
      <c r="AC131" s="110">
        <f>+'Gantt Proyectos'!AB199</f>
        <v>0</v>
      </c>
      <c r="AD131" s="110">
        <f>+'Gantt Proyectos'!AC199</f>
        <v>0</v>
      </c>
      <c r="AE131" s="110">
        <f>+'Gantt Proyectos'!AD199</f>
        <v>0</v>
      </c>
      <c r="AF131" s="110">
        <f>+'Gantt Proyectos'!AE199</f>
        <v>0</v>
      </c>
      <c r="AG131" s="172">
        <v>1</v>
      </c>
      <c r="AH131" s="169">
        <f ca="1">+IFERROR(IF(ISNUMBER(OFFSET('EDP Proyectado'!AI131,0,-'Ingreso Proyectado'!$P131))&lt;&gt;0,IF(OFFSET('EDP Proyectado'!AI131,0,-'Ingreso Proyectado'!$P131)+0&lt;=1,0,OFFSET('EDP Proyectado'!AI131,0,-'Ingreso Proyectado'!$P131)+0)),0)</f>
        <v>0</v>
      </c>
      <c r="AI131" s="169">
        <f ca="1">+IFERROR(IF(ISNUMBER(OFFSET('EDP Proyectado'!AJ131,0,-'Ingreso Proyectado'!$P131))&lt;&gt;0,IF(OFFSET('EDP Proyectado'!AJ131,0,-'Ingreso Proyectado'!$P131)+0&lt;=1,0,OFFSET('EDP Proyectado'!AJ131,0,-'Ingreso Proyectado'!$P131)+0)),0)</f>
        <v>0</v>
      </c>
      <c r="AJ131" s="169">
        <f ca="1">+IFERROR(IF(ISNUMBER(OFFSET('EDP Proyectado'!AK131,0,-'Ingreso Proyectado'!$P131))&lt;&gt;0,IF(OFFSET('EDP Proyectado'!AK131,0,-'Ingreso Proyectado'!$P131)+0&lt;=1,0,OFFSET('EDP Proyectado'!AK131,0,-'Ingreso Proyectado'!$P131)+0)),0)</f>
        <v>0</v>
      </c>
      <c r="AK131" s="169">
        <f ca="1">+IFERROR(IF(ISNUMBER(OFFSET('EDP Proyectado'!AL131,0,-'Ingreso Proyectado'!$P131))&lt;&gt;0,IF(OFFSET('EDP Proyectado'!AL131,0,-'Ingreso Proyectado'!$P131)+0&lt;=1,0,OFFSET('EDP Proyectado'!AL131,0,-'Ingreso Proyectado'!$P131)+0)),0)</f>
        <v>0</v>
      </c>
      <c r="AL131" s="169">
        <f ca="1">+IFERROR(IF(ISNUMBER(OFFSET('EDP Proyectado'!AM131,0,-'Ingreso Proyectado'!$P131))&lt;&gt;0,IF(OFFSET('EDP Proyectado'!AM131,0,-'Ingreso Proyectado'!$P131)+0&lt;=1,0,OFFSET('EDP Proyectado'!AM131,0,-'Ingreso Proyectado'!$P131)+0)),0)</f>
        <v>0</v>
      </c>
      <c r="AM131" s="169">
        <f ca="1">+IFERROR(IF(ISNUMBER(OFFSET('EDP Proyectado'!AN131,0,-'Ingreso Proyectado'!$P131))&lt;&gt;0,IF(OFFSET('EDP Proyectado'!AN131,0,-'Ingreso Proyectado'!$P131)+0&lt;=1,0,OFFSET('EDP Proyectado'!AN131,0,-'Ingreso Proyectado'!$P131)+0)),0)</f>
        <v>0</v>
      </c>
      <c r="AN131" s="169">
        <f ca="1">+IFERROR(IF(ISNUMBER(OFFSET('EDP Proyectado'!AO131,0,-'Ingreso Proyectado'!$P131))&lt;&gt;0,IF(OFFSET('EDP Proyectado'!AO131,0,-'Ingreso Proyectado'!$P131)+0&lt;=1,0,OFFSET('EDP Proyectado'!AO131,0,-'Ingreso Proyectado'!$P131)+0)),0)</f>
        <v>0</v>
      </c>
      <c r="AO131" s="169">
        <f ca="1">+IFERROR(IF(ISNUMBER(OFFSET('EDP Proyectado'!AP131,0,-'Ingreso Proyectado'!$P131))&lt;&gt;0,IF(OFFSET('EDP Proyectado'!AP131,0,-'Ingreso Proyectado'!$P131)+0&lt;=1,0,OFFSET('EDP Proyectado'!AP131,0,-'Ingreso Proyectado'!$P131)+0)),0)</f>
        <v>0</v>
      </c>
      <c r="AP131" s="170">
        <f ca="1">+IFERROR(IF(ISNUMBER(OFFSET('EDP Proyectado'!AQ131,0,-'Ingreso Proyectado'!$P131))&lt;&gt;0,IF(OFFSET('EDP Proyectado'!AQ131,0,-'Ingreso Proyectado'!$P131)+0&lt;=1,0,OFFSET('EDP Proyectado'!AQ131,0,-'Ingreso Proyectado'!$P131)+0)),0)</f>
        <v>0</v>
      </c>
    </row>
    <row r="132" spans="3:42" x14ac:dyDescent="0.2">
      <c r="C132" s="110">
        <f>+'Gantt Proyectos'!C200</f>
        <v>0</v>
      </c>
      <c r="D132" s="110">
        <f>+'Gantt Proyectos'!D200</f>
        <v>0</v>
      </c>
      <c r="E132" s="110">
        <f>+'Gantt Proyectos'!E200</f>
        <v>0</v>
      </c>
      <c r="F132" s="110">
        <f>+'Gantt Proyectos'!F200</f>
        <v>0</v>
      </c>
      <c r="G132" s="110">
        <f>+'Gantt Proyectos'!G200</f>
        <v>0</v>
      </c>
      <c r="H132" s="110">
        <f>+'Gantt Proyectos'!H200</f>
        <v>0</v>
      </c>
      <c r="I132" s="189">
        <v>1</v>
      </c>
      <c r="J132" s="189">
        <f t="shared" si="8"/>
        <v>0</v>
      </c>
      <c r="K132" s="110">
        <f>+'Gantt Proyectos'!I200</f>
        <v>0</v>
      </c>
      <c r="L132" s="110">
        <f>+'Gantt Proyectos'!J200</f>
        <v>0</v>
      </c>
      <c r="M132" s="110">
        <f>+'Gantt Proyectos'!K200</f>
        <v>0</v>
      </c>
      <c r="N132" s="110">
        <f>+'Gantt Proyectos'!L200</f>
        <v>0</v>
      </c>
      <c r="O132" s="110">
        <f>+'Gantt Proyectos'!M200</f>
        <v>0</v>
      </c>
      <c r="P132" s="110">
        <f>+'Gantt Proyectos'!N200</f>
        <v>0</v>
      </c>
      <c r="Q132" s="110">
        <f>+'Gantt Proyectos'!O200</f>
        <v>0</v>
      </c>
      <c r="R132" s="110">
        <f>+'Gantt Proyectos'!P200</f>
        <v>0</v>
      </c>
      <c r="S132" s="110">
        <f>+'Gantt Proyectos'!R200</f>
        <v>0</v>
      </c>
      <c r="T132" s="118">
        <f>+'Gantt Proyectos'!S200</f>
        <v>0</v>
      </c>
      <c r="U132" s="157">
        <f>+'Gantt Proyectos'!T200</f>
        <v>0</v>
      </c>
      <c r="V132" s="157">
        <f>+'Gantt Proyectos'!U200</f>
        <v>0</v>
      </c>
      <c r="W132" s="201">
        <f t="shared" si="9"/>
        <v>0</v>
      </c>
      <c r="X132" s="110">
        <f>+'Gantt Proyectos'!W200</f>
        <v>0</v>
      </c>
      <c r="Y132" s="110">
        <f>+'Gantt Proyectos'!X200</f>
        <v>0</v>
      </c>
      <c r="Z132" s="110">
        <f>+'Gantt Proyectos'!Y200</f>
        <v>0</v>
      </c>
      <c r="AA132" s="110">
        <f>+'Gantt Proyectos'!Z200</f>
        <v>0</v>
      </c>
      <c r="AB132" s="110">
        <f>+'Gantt Proyectos'!AA200</f>
        <v>0</v>
      </c>
      <c r="AC132" s="110">
        <f>+'Gantt Proyectos'!AB200</f>
        <v>0</v>
      </c>
      <c r="AD132" s="110">
        <f>+'Gantt Proyectos'!AC200</f>
        <v>0</v>
      </c>
      <c r="AE132" s="110">
        <f>+'Gantt Proyectos'!AD200</f>
        <v>0</v>
      </c>
      <c r="AF132" s="110">
        <f>+'Gantt Proyectos'!AE200</f>
        <v>0</v>
      </c>
      <c r="AG132" s="172">
        <v>1</v>
      </c>
      <c r="AH132" s="169">
        <f ca="1">+IFERROR(IF(ISNUMBER(OFFSET('EDP Proyectado'!AI132,0,-'Ingreso Proyectado'!$P132))&lt;&gt;0,IF(OFFSET('EDP Proyectado'!AI132,0,-'Ingreso Proyectado'!$P132)+0&lt;=1,0,OFFSET('EDP Proyectado'!AI132,0,-'Ingreso Proyectado'!$P132)+0)),0)</f>
        <v>0</v>
      </c>
      <c r="AI132" s="169">
        <f ca="1">+IFERROR(IF(ISNUMBER(OFFSET('EDP Proyectado'!AJ132,0,-'Ingreso Proyectado'!$P132))&lt;&gt;0,IF(OFFSET('EDP Proyectado'!AJ132,0,-'Ingreso Proyectado'!$P132)+0&lt;=1,0,OFFSET('EDP Proyectado'!AJ132,0,-'Ingreso Proyectado'!$P132)+0)),0)</f>
        <v>0</v>
      </c>
      <c r="AJ132" s="169">
        <f ca="1">+IFERROR(IF(ISNUMBER(OFFSET('EDP Proyectado'!AK132,0,-'Ingreso Proyectado'!$P132))&lt;&gt;0,IF(OFFSET('EDP Proyectado'!AK132,0,-'Ingreso Proyectado'!$P132)+0&lt;=1,0,OFFSET('EDP Proyectado'!AK132,0,-'Ingreso Proyectado'!$P132)+0)),0)</f>
        <v>0</v>
      </c>
      <c r="AK132" s="169">
        <f ca="1">+IFERROR(IF(ISNUMBER(OFFSET('EDP Proyectado'!AL132,0,-'Ingreso Proyectado'!$P132))&lt;&gt;0,IF(OFFSET('EDP Proyectado'!AL132,0,-'Ingreso Proyectado'!$P132)+0&lt;=1,0,OFFSET('EDP Proyectado'!AL132,0,-'Ingreso Proyectado'!$P132)+0)),0)</f>
        <v>0</v>
      </c>
      <c r="AL132" s="169">
        <f ca="1">+IFERROR(IF(ISNUMBER(OFFSET('EDP Proyectado'!AM132,0,-'Ingreso Proyectado'!$P132))&lt;&gt;0,IF(OFFSET('EDP Proyectado'!AM132,0,-'Ingreso Proyectado'!$P132)+0&lt;=1,0,OFFSET('EDP Proyectado'!AM132,0,-'Ingreso Proyectado'!$P132)+0)),0)</f>
        <v>0</v>
      </c>
      <c r="AM132" s="169">
        <f ca="1">+IFERROR(IF(ISNUMBER(OFFSET('EDP Proyectado'!AN132,0,-'Ingreso Proyectado'!$P132))&lt;&gt;0,IF(OFFSET('EDP Proyectado'!AN132,0,-'Ingreso Proyectado'!$P132)+0&lt;=1,0,OFFSET('EDP Proyectado'!AN132,0,-'Ingreso Proyectado'!$P132)+0)),0)</f>
        <v>0</v>
      </c>
      <c r="AN132" s="169">
        <f ca="1">+IFERROR(IF(ISNUMBER(OFFSET('EDP Proyectado'!AO132,0,-'Ingreso Proyectado'!$P132))&lt;&gt;0,IF(OFFSET('EDP Proyectado'!AO132,0,-'Ingreso Proyectado'!$P132)+0&lt;=1,0,OFFSET('EDP Proyectado'!AO132,0,-'Ingreso Proyectado'!$P132)+0)),0)</f>
        <v>0</v>
      </c>
      <c r="AO132" s="169">
        <f ca="1">+IFERROR(IF(ISNUMBER(OFFSET('EDP Proyectado'!AP132,0,-'Ingreso Proyectado'!$P132))&lt;&gt;0,IF(OFFSET('EDP Proyectado'!AP132,0,-'Ingreso Proyectado'!$P132)+0&lt;=1,0,OFFSET('EDP Proyectado'!AP132,0,-'Ingreso Proyectado'!$P132)+0)),0)</f>
        <v>0</v>
      </c>
      <c r="AP132" s="170">
        <f ca="1">+IFERROR(IF(ISNUMBER(OFFSET('EDP Proyectado'!AQ132,0,-'Ingreso Proyectado'!$P132))&lt;&gt;0,IF(OFFSET('EDP Proyectado'!AQ132,0,-'Ingreso Proyectado'!$P132)+0&lt;=1,0,OFFSET('EDP Proyectado'!AQ132,0,-'Ingreso Proyectado'!$P132)+0)),0)</f>
        <v>0</v>
      </c>
    </row>
    <row r="133" spans="3:42" x14ac:dyDescent="0.2">
      <c r="C133" s="110">
        <f>+'Gantt Proyectos'!C201</f>
        <v>0</v>
      </c>
      <c r="D133" s="110">
        <f>+'Gantt Proyectos'!D201</f>
        <v>0</v>
      </c>
      <c r="E133" s="110">
        <f>+'Gantt Proyectos'!E201</f>
        <v>0</v>
      </c>
      <c r="F133" s="148">
        <f>+'Gantt Proyectos'!F201</f>
        <v>0</v>
      </c>
      <c r="G133" s="110">
        <f>+'Gantt Proyectos'!G201</f>
        <v>0</v>
      </c>
      <c r="H133" s="110">
        <f>+'Gantt Proyectos'!H201</f>
        <v>0</v>
      </c>
      <c r="I133" s="189">
        <v>1</v>
      </c>
      <c r="J133" s="189">
        <f t="shared" si="8"/>
        <v>0</v>
      </c>
      <c r="K133" s="110">
        <f>+'Gantt Proyectos'!I201</f>
        <v>0</v>
      </c>
      <c r="L133" s="110">
        <f>+'Gantt Proyectos'!J201</f>
        <v>0</v>
      </c>
      <c r="M133" s="110">
        <f>+'Gantt Proyectos'!K201</f>
        <v>0</v>
      </c>
      <c r="N133" s="110">
        <f>+'Gantt Proyectos'!L201</f>
        <v>0</v>
      </c>
      <c r="O133" s="110">
        <f>+'Gantt Proyectos'!M201</f>
        <v>0</v>
      </c>
      <c r="P133" s="110">
        <f>+'Gantt Proyectos'!N201</f>
        <v>0</v>
      </c>
      <c r="Q133" s="110">
        <f>+'Gantt Proyectos'!O201</f>
        <v>0</v>
      </c>
      <c r="R133" s="110">
        <f>+'Gantt Proyectos'!P201</f>
        <v>0</v>
      </c>
      <c r="S133" s="110">
        <f>+'Gantt Proyectos'!R201</f>
        <v>0</v>
      </c>
      <c r="T133" s="118">
        <f>+'Gantt Proyectos'!S201</f>
        <v>0</v>
      </c>
      <c r="U133" s="157">
        <f>+'Gantt Proyectos'!T201</f>
        <v>0</v>
      </c>
      <c r="V133" s="157">
        <f>+'Gantt Proyectos'!U201</f>
        <v>0</v>
      </c>
      <c r="W133" s="201">
        <f t="shared" si="9"/>
        <v>0</v>
      </c>
      <c r="X133" s="110">
        <f>+'Gantt Proyectos'!W201</f>
        <v>0</v>
      </c>
      <c r="Y133" s="110">
        <f>+'Gantt Proyectos'!X201</f>
        <v>0</v>
      </c>
      <c r="Z133" s="110">
        <f>+'Gantt Proyectos'!Y201</f>
        <v>0</v>
      </c>
      <c r="AA133" s="110">
        <f>+'Gantt Proyectos'!Z201</f>
        <v>0</v>
      </c>
      <c r="AB133" s="110">
        <f>+'Gantt Proyectos'!AA201</f>
        <v>0</v>
      </c>
      <c r="AC133" s="110">
        <f>+'Gantt Proyectos'!AB201</f>
        <v>0</v>
      </c>
      <c r="AD133" s="110">
        <f>+'Gantt Proyectos'!AC201</f>
        <v>0</v>
      </c>
      <c r="AE133" s="110">
        <f>+'Gantt Proyectos'!AD201</f>
        <v>0</v>
      </c>
      <c r="AF133" s="110">
        <f>+'Gantt Proyectos'!AE201</f>
        <v>0</v>
      </c>
      <c r="AG133" s="172">
        <v>1</v>
      </c>
      <c r="AH133" s="169">
        <f ca="1">+IFERROR(IF(ISNUMBER(OFFSET('EDP Proyectado'!AI133,0,-'Ingreso Proyectado'!$P133))&lt;&gt;0,IF(OFFSET('EDP Proyectado'!AI133,0,-'Ingreso Proyectado'!$P133)+0&lt;=1,0,OFFSET('EDP Proyectado'!AI133,0,-'Ingreso Proyectado'!$P133)+0)),0)</f>
        <v>0</v>
      </c>
      <c r="AI133" s="169">
        <f ca="1">+IFERROR(IF(ISNUMBER(OFFSET('EDP Proyectado'!AJ133,0,-'Ingreso Proyectado'!$P133))&lt;&gt;0,IF(OFFSET('EDP Proyectado'!AJ133,0,-'Ingreso Proyectado'!$P133)+0&lt;=1,0,OFFSET('EDP Proyectado'!AJ133,0,-'Ingreso Proyectado'!$P133)+0)),0)</f>
        <v>0</v>
      </c>
      <c r="AJ133" s="169">
        <f ca="1">+IFERROR(IF(ISNUMBER(OFFSET('EDP Proyectado'!AK133,0,-'Ingreso Proyectado'!$P133))&lt;&gt;0,IF(OFFSET('EDP Proyectado'!AK133,0,-'Ingreso Proyectado'!$P133)+0&lt;=1,0,OFFSET('EDP Proyectado'!AK133,0,-'Ingreso Proyectado'!$P133)+0)),0)</f>
        <v>0</v>
      </c>
      <c r="AK133" s="169">
        <f ca="1">+IFERROR(IF(ISNUMBER(OFFSET('EDP Proyectado'!AL133,0,-'Ingreso Proyectado'!$P133))&lt;&gt;0,IF(OFFSET('EDP Proyectado'!AL133,0,-'Ingreso Proyectado'!$P133)+0&lt;=1,0,OFFSET('EDP Proyectado'!AL133,0,-'Ingreso Proyectado'!$P133)+0)),0)</f>
        <v>0</v>
      </c>
      <c r="AL133" s="169">
        <f ca="1">+IFERROR(IF(ISNUMBER(OFFSET('EDP Proyectado'!AM133,0,-'Ingreso Proyectado'!$P133))&lt;&gt;0,IF(OFFSET('EDP Proyectado'!AM133,0,-'Ingreso Proyectado'!$P133)+0&lt;=1,0,OFFSET('EDP Proyectado'!AM133,0,-'Ingreso Proyectado'!$P133)+0)),0)</f>
        <v>0</v>
      </c>
      <c r="AM133" s="169">
        <f ca="1">+IFERROR(IF(ISNUMBER(OFFSET('EDP Proyectado'!AN133,0,-'Ingreso Proyectado'!$P133))&lt;&gt;0,IF(OFFSET('EDP Proyectado'!AN133,0,-'Ingreso Proyectado'!$P133)+0&lt;=1,0,OFFSET('EDP Proyectado'!AN133,0,-'Ingreso Proyectado'!$P133)+0)),0)</f>
        <v>0</v>
      </c>
      <c r="AN133" s="169">
        <f ca="1">+IFERROR(IF(ISNUMBER(OFFSET('EDP Proyectado'!AO133,0,-'Ingreso Proyectado'!$P133))&lt;&gt;0,IF(OFFSET('EDP Proyectado'!AO133,0,-'Ingreso Proyectado'!$P133)+0&lt;=1,0,OFFSET('EDP Proyectado'!AO133,0,-'Ingreso Proyectado'!$P133)+0)),0)</f>
        <v>0</v>
      </c>
      <c r="AO133" s="169">
        <f ca="1">+IFERROR(IF(ISNUMBER(OFFSET('EDP Proyectado'!AP133,0,-'Ingreso Proyectado'!$P133))&lt;&gt;0,IF(OFFSET('EDP Proyectado'!AP133,0,-'Ingreso Proyectado'!$P133)+0&lt;=1,0,OFFSET('EDP Proyectado'!AP133,0,-'Ingreso Proyectado'!$P133)+0)),0)</f>
        <v>0</v>
      </c>
      <c r="AP133" s="170">
        <f ca="1">+IFERROR(IF(ISNUMBER(OFFSET('EDP Proyectado'!AQ133,0,-'Ingreso Proyectado'!$P133))&lt;&gt;0,IF(OFFSET('EDP Proyectado'!AQ133,0,-'Ingreso Proyectado'!$P133)+0&lt;=1,0,OFFSET('EDP Proyectado'!AQ133,0,-'Ingreso Proyectado'!$P133)+0)),0)</f>
        <v>0</v>
      </c>
    </row>
    <row r="134" spans="3:42" x14ac:dyDescent="0.2">
      <c r="C134" s="110">
        <f>+'Gantt Proyectos'!C202</f>
        <v>0</v>
      </c>
      <c r="D134" s="110">
        <f>+'Gantt Proyectos'!D202</f>
        <v>0</v>
      </c>
      <c r="E134" s="110">
        <f>+'Gantt Proyectos'!E202</f>
        <v>0</v>
      </c>
      <c r="F134" s="148">
        <f>+'Gantt Proyectos'!F202</f>
        <v>0</v>
      </c>
      <c r="G134" s="110">
        <f>+'Gantt Proyectos'!G202</f>
        <v>0</v>
      </c>
      <c r="H134" s="110">
        <f>+'Gantt Proyectos'!H202</f>
        <v>0</v>
      </c>
      <c r="I134" s="189">
        <v>1</v>
      </c>
      <c r="J134" s="189">
        <f t="shared" si="8"/>
        <v>0</v>
      </c>
      <c r="K134" s="110">
        <f>+'Gantt Proyectos'!I202</f>
        <v>0</v>
      </c>
      <c r="L134" s="110">
        <f>+'Gantt Proyectos'!J202</f>
        <v>0</v>
      </c>
      <c r="M134" s="110">
        <f>+'Gantt Proyectos'!K202</f>
        <v>0</v>
      </c>
      <c r="N134" s="110">
        <f>+'Gantt Proyectos'!L202</f>
        <v>0</v>
      </c>
      <c r="O134" s="110">
        <f>+'Gantt Proyectos'!M202</f>
        <v>0</v>
      </c>
      <c r="P134" s="110">
        <f>+'Gantt Proyectos'!N202</f>
        <v>0</v>
      </c>
      <c r="Q134" s="110">
        <f>+'Gantt Proyectos'!O202</f>
        <v>0</v>
      </c>
      <c r="R134" s="110">
        <f>+'Gantt Proyectos'!P202</f>
        <v>0</v>
      </c>
      <c r="S134" s="110">
        <f>+'Gantt Proyectos'!R202</f>
        <v>0</v>
      </c>
      <c r="T134" s="118">
        <f>+'Gantt Proyectos'!S202</f>
        <v>0</v>
      </c>
      <c r="U134" s="157">
        <f>+'Gantt Proyectos'!T202</f>
        <v>0</v>
      </c>
      <c r="V134" s="157">
        <f>+'Gantt Proyectos'!U202</f>
        <v>0</v>
      </c>
      <c r="W134" s="201">
        <f t="shared" si="9"/>
        <v>0</v>
      </c>
      <c r="X134" s="110">
        <f>+'Gantt Proyectos'!W202</f>
        <v>0</v>
      </c>
      <c r="Y134" s="110">
        <f>+'Gantt Proyectos'!X202</f>
        <v>0</v>
      </c>
      <c r="Z134" s="110">
        <f>+'Gantt Proyectos'!Y202</f>
        <v>0</v>
      </c>
      <c r="AA134" s="110">
        <f>+'Gantt Proyectos'!Z202</f>
        <v>0</v>
      </c>
      <c r="AB134" s="110">
        <f>+'Gantt Proyectos'!AA202</f>
        <v>0</v>
      </c>
      <c r="AC134" s="110">
        <f>+'Gantt Proyectos'!AB202</f>
        <v>0</v>
      </c>
      <c r="AD134" s="110">
        <f>+'Gantt Proyectos'!AC202</f>
        <v>0</v>
      </c>
      <c r="AE134" s="110">
        <f>+'Gantt Proyectos'!AD202</f>
        <v>0</v>
      </c>
      <c r="AF134" s="110">
        <f>+'Gantt Proyectos'!AE202</f>
        <v>0</v>
      </c>
      <c r="AG134" s="172">
        <v>1</v>
      </c>
      <c r="AH134" s="169">
        <f ca="1">+IFERROR(IF(ISNUMBER(OFFSET('EDP Proyectado'!AI134,0,-'Ingreso Proyectado'!$P134))&lt;&gt;0,IF(OFFSET('EDP Proyectado'!AI134,0,-'Ingreso Proyectado'!$P134)+0&lt;=1,0,OFFSET('EDP Proyectado'!AI134,0,-'Ingreso Proyectado'!$P134)+0)),0)</f>
        <v>0</v>
      </c>
      <c r="AI134" s="169">
        <f ca="1">+IFERROR(IF(ISNUMBER(OFFSET('EDP Proyectado'!AJ134,0,-'Ingreso Proyectado'!$P134))&lt;&gt;0,IF(OFFSET('EDP Proyectado'!AJ134,0,-'Ingreso Proyectado'!$P134)+0&lt;=1,0,OFFSET('EDP Proyectado'!AJ134,0,-'Ingreso Proyectado'!$P134)+0)),0)</f>
        <v>0</v>
      </c>
      <c r="AJ134" s="169">
        <f ca="1">+IFERROR(IF(ISNUMBER(OFFSET('EDP Proyectado'!AK134,0,-'Ingreso Proyectado'!$P134))&lt;&gt;0,IF(OFFSET('EDP Proyectado'!AK134,0,-'Ingreso Proyectado'!$P134)+0&lt;=1,0,OFFSET('EDP Proyectado'!AK134,0,-'Ingreso Proyectado'!$P134)+0)),0)</f>
        <v>0</v>
      </c>
      <c r="AK134" s="169">
        <f ca="1">+IFERROR(IF(ISNUMBER(OFFSET('EDP Proyectado'!AL134,0,-'Ingreso Proyectado'!$P134))&lt;&gt;0,IF(OFFSET('EDP Proyectado'!AL134,0,-'Ingreso Proyectado'!$P134)+0&lt;=1,0,OFFSET('EDP Proyectado'!AL134,0,-'Ingreso Proyectado'!$P134)+0)),0)</f>
        <v>0</v>
      </c>
      <c r="AL134" s="169">
        <f ca="1">+IFERROR(IF(ISNUMBER(OFFSET('EDP Proyectado'!AM134,0,-'Ingreso Proyectado'!$P134))&lt;&gt;0,IF(OFFSET('EDP Proyectado'!AM134,0,-'Ingreso Proyectado'!$P134)+0&lt;=1,0,OFFSET('EDP Proyectado'!AM134,0,-'Ingreso Proyectado'!$P134)+0)),0)</f>
        <v>0</v>
      </c>
      <c r="AM134" s="169">
        <f ca="1">+IFERROR(IF(ISNUMBER(OFFSET('EDP Proyectado'!AN134,0,-'Ingreso Proyectado'!$P134))&lt;&gt;0,IF(OFFSET('EDP Proyectado'!AN134,0,-'Ingreso Proyectado'!$P134)+0&lt;=1,0,OFFSET('EDP Proyectado'!AN134,0,-'Ingreso Proyectado'!$P134)+0)),0)</f>
        <v>0</v>
      </c>
      <c r="AN134" s="169">
        <f ca="1">+IFERROR(IF(ISNUMBER(OFFSET('EDP Proyectado'!AO134,0,-'Ingreso Proyectado'!$P134))&lt;&gt;0,IF(OFFSET('EDP Proyectado'!AO134,0,-'Ingreso Proyectado'!$P134)+0&lt;=1,0,OFFSET('EDP Proyectado'!AO134,0,-'Ingreso Proyectado'!$P134)+0)),0)</f>
        <v>0</v>
      </c>
      <c r="AO134" s="169">
        <f ca="1">+IFERROR(IF(ISNUMBER(OFFSET('EDP Proyectado'!AP134,0,-'Ingreso Proyectado'!$P134))&lt;&gt;0,IF(OFFSET('EDP Proyectado'!AP134,0,-'Ingreso Proyectado'!$P134)+0&lt;=1,0,OFFSET('EDP Proyectado'!AP134,0,-'Ingreso Proyectado'!$P134)+0)),0)</f>
        <v>0</v>
      </c>
      <c r="AP134" s="170">
        <f ca="1">+IFERROR(IF(ISNUMBER(OFFSET('EDP Proyectado'!AQ134,0,-'Ingreso Proyectado'!$P134))&lt;&gt;0,IF(OFFSET('EDP Proyectado'!AQ134,0,-'Ingreso Proyectado'!$P134)+0&lt;=1,0,OFFSET('EDP Proyectado'!AQ134,0,-'Ingreso Proyectado'!$P134)+0)),0)</f>
        <v>0</v>
      </c>
    </row>
    <row r="135" spans="3:42" x14ac:dyDescent="0.2">
      <c r="C135" s="110">
        <f>+'Gantt Proyectos'!C203</f>
        <v>0</v>
      </c>
      <c r="D135" s="110">
        <f>+'Gantt Proyectos'!D203</f>
        <v>0</v>
      </c>
      <c r="E135" s="110">
        <f>+'Gantt Proyectos'!E203</f>
        <v>0</v>
      </c>
      <c r="F135" s="148">
        <f>+'Gantt Proyectos'!F203</f>
        <v>0</v>
      </c>
      <c r="G135" s="110">
        <f>+'Gantt Proyectos'!G203</f>
        <v>0</v>
      </c>
      <c r="H135" s="110">
        <f>+'Gantt Proyectos'!H203</f>
        <v>0</v>
      </c>
      <c r="I135" s="189">
        <v>1</v>
      </c>
      <c r="J135" s="189">
        <f t="shared" si="8"/>
        <v>0</v>
      </c>
      <c r="K135" s="110">
        <f>+'Gantt Proyectos'!I203</f>
        <v>0</v>
      </c>
      <c r="L135" s="110">
        <f>+'Gantt Proyectos'!J203</f>
        <v>0</v>
      </c>
      <c r="M135" s="110">
        <f>+'Gantt Proyectos'!K203</f>
        <v>0</v>
      </c>
      <c r="N135" s="110">
        <f>+'Gantt Proyectos'!L203</f>
        <v>0</v>
      </c>
      <c r="O135" s="110">
        <f>+'Gantt Proyectos'!M203</f>
        <v>0</v>
      </c>
      <c r="P135" s="110">
        <f>+'Gantt Proyectos'!N203</f>
        <v>0</v>
      </c>
      <c r="Q135" s="110">
        <f>+'Gantt Proyectos'!O203</f>
        <v>0</v>
      </c>
      <c r="R135" s="110">
        <f>+'Gantt Proyectos'!P203</f>
        <v>0</v>
      </c>
      <c r="S135" s="110">
        <f>+'Gantt Proyectos'!R203</f>
        <v>0</v>
      </c>
      <c r="T135" s="118">
        <f>+'Gantt Proyectos'!S203</f>
        <v>0</v>
      </c>
      <c r="U135" s="157">
        <f>+'Gantt Proyectos'!T203</f>
        <v>0</v>
      </c>
      <c r="V135" s="157">
        <f>+'Gantt Proyectos'!U203</f>
        <v>0</v>
      </c>
      <c r="W135" s="201">
        <f t="shared" si="9"/>
        <v>0</v>
      </c>
      <c r="X135" s="110">
        <f>+'Gantt Proyectos'!W203</f>
        <v>0</v>
      </c>
      <c r="Y135" s="110">
        <f>+'Gantt Proyectos'!X203</f>
        <v>0</v>
      </c>
      <c r="Z135" s="110">
        <f>+'Gantt Proyectos'!Y203</f>
        <v>0</v>
      </c>
      <c r="AA135" s="110">
        <f>+'Gantt Proyectos'!Z203</f>
        <v>0</v>
      </c>
      <c r="AB135" s="110">
        <f>+'Gantt Proyectos'!AA203</f>
        <v>0</v>
      </c>
      <c r="AC135" s="110">
        <f>+'Gantt Proyectos'!AB203</f>
        <v>0</v>
      </c>
      <c r="AD135" s="110">
        <f>+'Gantt Proyectos'!AC203</f>
        <v>0</v>
      </c>
      <c r="AE135" s="110">
        <f>+'Gantt Proyectos'!AD203</f>
        <v>0</v>
      </c>
      <c r="AF135" s="110">
        <f>+'Gantt Proyectos'!AE203</f>
        <v>0</v>
      </c>
      <c r="AG135" s="172">
        <v>1</v>
      </c>
      <c r="AH135" s="169">
        <f ca="1">+IFERROR(IF(ISNUMBER(OFFSET('EDP Proyectado'!AI135,0,-'Ingreso Proyectado'!$P135))&lt;&gt;0,IF(OFFSET('EDP Proyectado'!AI135,0,-'Ingreso Proyectado'!$P135)+0&lt;=1,0,OFFSET('EDP Proyectado'!AI135,0,-'Ingreso Proyectado'!$P135)+0)),0)</f>
        <v>0</v>
      </c>
      <c r="AI135" s="169">
        <f ca="1">+IFERROR(IF(ISNUMBER(OFFSET('EDP Proyectado'!AJ135,0,-'Ingreso Proyectado'!$P135))&lt;&gt;0,IF(OFFSET('EDP Proyectado'!AJ135,0,-'Ingreso Proyectado'!$P135)+0&lt;=1,0,OFFSET('EDP Proyectado'!AJ135,0,-'Ingreso Proyectado'!$P135)+0)),0)</f>
        <v>0</v>
      </c>
      <c r="AJ135" s="169">
        <f ca="1">+IFERROR(IF(ISNUMBER(OFFSET('EDP Proyectado'!AK135,0,-'Ingreso Proyectado'!$P135))&lt;&gt;0,IF(OFFSET('EDP Proyectado'!AK135,0,-'Ingreso Proyectado'!$P135)+0&lt;=1,0,OFFSET('EDP Proyectado'!AK135,0,-'Ingreso Proyectado'!$P135)+0)),0)</f>
        <v>0</v>
      </c>
      <c r="AK135" s="169">
        <f ca="1">+IFERROR(IF(ISNUMBER(OFFSET('EDP Proyectado'!AL135,0,-'Ingreso Proyectado'!$P135))&lt;&gt;0,IF(OFFSET('EDP Proyectado'!AL135,0,-'Ingreso Proyectado'!$P135)+0&lt;=1,0,OFFSET('EDP Proyectado'!AL135,0,-'Ingreso Proyectado'!$P135)+0)),0)</f>
        <v>0</v>
      </c>
      <c r="AL135" s="169">
        <f ca="1">+IFERROR(IF(ISNUMBER(OFFSET('EDP Proyectado'!AM135,0,-'Ingreso Proyectado'!$P135))&lt;&gt;0,IF(OFFSET('EDP Proyectado'!AM135,0,-'Ingreso Proyectado'!$P135)+0&lt;=1,0,OFFSET('EDP Proyectado'!AM135,0,-'Ingreso Proyectado'!$P135)+0)),0)</f>
        <v>0</v>
      </c>
      <c r="AM135" s="169">
        <f ca="1">+IFERROR(IF(ISNUMBER(OFFSET('EDP Proyectado'!AN135,0,-'Ingreso Proyectado'!$P135))&lt;&gt;0,IF(OFFSET('EDP Proyectado'!AN135,0,-'Ingreso Proyectado'!$P135)+0&lt;=1,0,OFFSET('EDP Proyectado'!AN135,0,-'Ingreso Proyectado'!$P135)+0)),0)</f>
        <v>0</v>
      </c>
      <c r="AN135" s="169">
        <f ca="1">+IFERROR(IF(ISNUMBER(OFFSET('EDP Proyectado'!AO135,0,-'Ingreso Proyectado'!$P135))&lt;&gt;0,IF(OFFSET('EDP Proyectado'!AO135,0,-'Ingreso Proyectado'!$P135)+0&lt;=1,0,OFFSET('EDP Proyectado'!AO135,0,-'Ingreso Proyectado'!$P135)+0)),0)</f>
        <v>0</v>
      </c>
      <c r="AO135" s="169">
        <f ca="1">+IFERROR(IF(ISNUMBER(OFFSET('EDP Proyectado'!AP135,0,-'Ingreso Proyectado'!$P135))&lt;&gt;0,IF(OFFSET('EDP Proyectado'!AP135,0,-'Ingreso Proyectado'!$P135)+0&lt;=1,0,OFFSET('EDP Proyectado'!AP135,0,-'Ingreso Proyectado'!$P135)+0)),0)</f>
        <v>0</v>
      </c>
      <c r="AP135" s="170">
        <f ca="1">+IFERROR(IF(ISNUMBER(OFFSET('EDP Proyectado'!AQ135,0,-'Ingreso Proyectado'!$P135))&lt;&gt;0,IF(OFFSET('EDP Proyectado'!AQ135,0,-'Ingreso Proyectado'!$P135)+0&lt;=1,0,OFFSET('EDP Proyectado'!AQ135,0,-'Ingreso Proyectado'!$P135)+0)),0)</f>
        <v>0</v>
      </c>
    </row>
    <row r="136" spans="3:42" x14ac:dyDescent="0.2">
      <c r="C136" s="110">
        <f>+'Gantt Proyectos'!C204</f>
        <v>0</v>
      </c>
      <c r="D136" s="110">
        <f>+'Gantt Proyectos'!D204</f>
        <v>0</v>
      </c>
      <c r="E136" s="110">
        <f>+'Gantt Proyectos'!E204</f>
        <v>0</v>
      </c>
      <c r="F136" s="148">
        <f>+'Gantt Proyectos'!F204</f>
        <v>0</v>
      </c>
      <c r="G136" s="110">
        <f>+'Gantt Proyectos'!G204</f>
        <v>0</v>
      </c>
      <c r="H136" s="110">
        <f>+'Gantt Proyectos'!H204</f>
        <v>0</v>
      </c>
      <c r="I136" s="189">
        <v>1</v>
      </c>
      <c r="J136" s="189">
        <f t="shared" si="8"/>
        <v>0</v>
      </c>
      <c r="K136" s="110">
        <f>+'Gantt Proyectos'!I204</f>
        <v>0</v>
      </c>
      <c r="L136" s="110">
        <f>+'Gantt Proyectos'!J204</f>
        <v>0</v>
      </c>
      <c r="M136" s="110">
        <f>+'Gantt Proyectos'!K204</f>
        <v>0</v>
      </c>
      <c r="N136" s="110">
        <f>+'Gantt Proyectos'!L204</f>
        <v>0</v>
      </c>
      <c r="O136" s="110">
        <f>+'Gantt Proyectos'!M204</f>
        <v>0</v>
      </c>
      <c r="P136" s="110">
        <f>+'Gantt Proyectos'!N204</f>
        <v>0</v>
      </c>
      <c r="Q136" s="110">
        <f>+'Gantt Proyectos'!O204</f>
        <v>0</v>
      </c>
      <c r="R136" s="110">
        <f>+'Gantt Proyectos'!P204</f>
        <v>0</v>
      </c>
      <c r="S136" s="110">
        <f>+'Gantt Proyectos'!R204</f>
        <v>0</v>
      </c>
      <c r="T136" s="118">
        <f>+'Gantt Proyectos'!S204</f>
        <v>0</v>
      </c>
      <c r="U136" s="157">
        <f>+'Gantt Proyectos'!T204</f>
        <v>0</v>
      </c>
      <c r="V136" s="157">
        <f>+'Gantt Proyectos'!U204</f>
        <v>0</v>
      </c>
      <c r="W136" s="201">
        <f t="shared" si="9"/>
        <v>0</v>
      </c>
      <c r="X136" s="110">
        <f>+'Gantt Proyectos'!W204</f>
        <v>0</v>
      </c>
      <c r="Y136" s="110">
        <f>+'Gantt Proyectos'!X204</f>
        <v>0</v>
      </c>
      <c r="Z136" s="110">
        <f>+'Gantt Proyectos'!Y204</f>
        <v>0</v>
      </c>
      <c r="AA136" s="110">
        <f>+'Gantt Proyectos'!Z204</f>
        <v>0</v>
      </c>
      <c r="AB136" s="110">
        <f>+'Gantt Proyectos'!AA204</f>
        <v>0</v>
      </c>
      <c r="AC136" s="110">
        <f>+'Gantt Proyectos'!AB204</f>
        <v>0</v>
      </c>
      <c r="AD136" s="110">
        <f>+'Gantt Proyectos'!AC204</f>
        <v>0</v>
      </c>
      <c r="AE136" s="110">
        <f>+'Gantt Proyectos'!AD204</f>
        <v>0</v>
      </c>
      <c r="AF136" s="110">
        <f>+'Gantt Proyectos'!AE204</f>
        <v>0</v>
      </c>
      <c r="AG136" s="172">
        <v>1</v>
      </c>
      <c r="AH136" s="169">
        <f ca="1">+IFERROR(IF(ISNUMBER(OFFSET('EDP Proyectado'!AI136,0,-'Ingreso Proyectado'!$P136))&lt;&gt;0,IF(OFFSET('EDP Proyectado'!AI136,0,-'Ingreso Proyectado'!$P136)+0&lt;=1,0,OFFSET('EDP Proyectado'!AI136,0,-'Ingreso Proyectado'!$P136)+0)),0)</f>
        <v>0</v>
      </c>
      <c r="AI136" s="169">
        <f ca="1">+IFERROR(IF(ISNUMBER(OFFSET('EDP Proyectado'!AJ136,0,-'Ingreso Proyectado'!$P136))&lt;&gt;0,IF(OFFSET('EDP Proyectado'!AJ136,0,-'Ingreso Proyectado'!$P136)+0&lt;=1,0,OFFSET('EDP Proyectado'!AJ136,0,-'Ingreso Proyectado'!$P136)+0)),0)</f>
        <v>0</v>
      </c>
      <c r="AJ136" s="169">
        <f ca="1">+IFERROR(IF(ISNUMBER(OFFSET('EDP Proyectado'!AK136,0,-'Ingreso Proyectado'!$P136))&lt;&gt;0,IF(OFFSET('EDP Proyectado'!AK136,0,-'Ingreso Proyectado'!$P136)+0&lt;=1,0,OFFSET('EDP Proyectado'!AK136,0,-'Ingreso Proyectado'!$P136)+0)),0)</f>
        <v>0</v>
      </c>
      <c r="AK136" s="169">
        <f ca="1">+IFERROR(IF(ISNUMBER(OFFSET('EDP Proyectado'!AL136,0,-'Ingreso Proyectado'!$P136))&lt;&gt;0,IF(OFFSET('EDP Proyectado'!AL136,0,-'Ingreso Proyectado'!$P136)+0&lt;=1,0,OFFSET('EDP Proyectado'!AL136,0,-'Ingreso Proyectado'!$P136)+0)),0)</f>
        <v>0</v>
      </c>
      <c r="AL136" s="169">
        <f ca="1">+IFERROR(IF(ISNUMBER(OFFSET('EDP Proyectado'!AM136,0,-'Ingreso Proyectado'!$P136))&lt;&gt;0,IF(OFFSET('EDP Proyectado'!AM136,0,-'Ingreso Proyectado'!$P136)+0&lt;=1,0,OFFSET('EDP Proyectado'!AM136,0,-'Ingreso Proyectado'!$P136)+0)),0)</f>
        <v>0</v>
      </c>
      <c r="AM136" s="169">
        <f ca="1">+IFERROR(IF(ISNUMBER(OFFSET('EDP Proyectado'!AN136,0,-'Ingreso Proyectado'!$P136))&lt;&gt;0,IF(OFFSET('EDP Proyectado'!AN136,0,-'Ingreso Proyectado'!$P136)+0&lt;=1,0,OFFSET('EDP Proyectado'!AN136,0,-'Ingreso Proyectado'!$P136)+0)),0)</f>
        <v>0</v>
      </c>
      <c r="AN136" s="169">
        <f ca="1">+IFERROR(IF(ISNUMBER(OFFSET('EDP Proyectado'!AO136,0,-'Ingreso Proyectado'!$P136))&lt;&gt;0,IF(OFFSET('EDP Proyectado'!AO136,0,-'Ingreso Proyectado'!$P136)+0&lt;=1,0,OFFSET('EDP Proyectado'!AO136,0,-'Ingreso Proyectado'!$P136)+0)),0)</f>
        <v>0</v>
      </c>
      <c r="AO136" s="169">
        <f ca="1">+IFERROR(IF(ISNUMBER(OFFSET('EDP Proyectado'!AP136,0,-'Ingreso Proyectado'!$P136))&lt;&gt;0,IF(OFFSET('EDP Proyectado'!AP136,0,-'Ingreso Proyectado'!$P136)+0&lt;=1,0,OFFSET('EDP Proyectado'!AP136,0,-'Ingreso Proyectado'!$P136)+0)),0)</f>
        <v>0</v>
      </c>
      <c r="AP136" s="170">
        <f ca="1">+IFERROR(IF(ISNUMBER(OFFSET('EDP Proyectado'!AQ136,0,-'Ingreso Proyectado'!$P136))&lt;&gt;0,IF(OFFSET('EDP Proyectado'!AQ136,0,-'Ingreso Proyectado'!$P136)+0&lt;=1,0,OFFSET('EDP Proyectado'!AQ136,0,-'Ingreso Proyectado'!$P136)+0)),0)</f>
        <v>0</v>
      </c>
    </row>
    <row r="137" spans="3:42" x14ac:dyDescent="0.2">
      <c r="C137" s="110">
        <f>+'Gantt Proyectos'!C205</f>
        <v>0</v>
      </c>
      <c r="D137" s="110">
        <f>+'Gantt Proyectos'!D205</f>
        <v>0</v>
      </c>
      <c r="E137" s="110">
        <f>+'Gantt Proyectos'!E205</f>
        <v>0</v>
      </c>
      <c r="F137" s="148">
        <f>+'Gantt Proyectos'!F205</f>
        <v>0</v>
      </c>
      <c r="G137" s="110">
        <f>+'Gantt Proyectos'!G205</f>
        <v>0</v>
      </c>
      <c r="H137" s="110">
        <f>+'Gantt Proyectos'!H205</f>
        <v>0</v>
      </c>
      <c r="I137" s="189">
        <v>1</v>
      </c>
      <c r="J137" s="189">
        <f t="shared" si="8"/>
        <v>0</v>
      </c>
      <c r="K137" s="110">
        <f>+'Gantt Proyectos'!I205</f>
        <v>0</v>
      </c>
      <c r="L137" s="110">
        <f>+'Gantt Proyectos'!J205</f>
        <v>0</v>
      </c>
      <c r="M137" s="110">
        <f>+'Gantt Proyectos'!K205</f>
        <v>0</v>
      </c>
      <c r="N137" s="110">
        <f>+'Gantt Proyectos'!L205</f>
        <v>0</v>
      </c>
      <c r="O137" s="110">
        <f>+'Gantt Proyectos'!M205</f>
        <v>0</v>
      </c>
      <c r="P137" s="110">
        <f>+'Gantt Proyectos'!N205</f>
        <v>0</v>
      </c>
      <c r="Q137" s="110">
        <f>+'Gantt Proyectos'!O205</f>
        <v>0</v>
      </c>
      <c r="R137" s="110">
        <f>+'Gantt Proyectos'!P205</f>
        <v>0</v>
      </c>
      <c r="S137" s="110">
        <f>+'Gantt Proyectos'!R205</f>
        <v>0</v>
      </c>
      <c r="T137" s="118">
        <f>+'Gantt Proyectos'!S205</f>
        <v>0</v>
      </c>
      <c r="U137" s="157">
        <f>+'Gantt Proyectos'!T205</f>
        <v>0</v>
      </c>
      <c r="V137" s="157">
        <f>+'Gantt Proyectos'!U205</f>
        <v>0</v>
      </c>
      <c r="W137" s="201">
        <f t="shared" si="9"/>
        <v>0</v>
      </c>
      <c r="X137" s="110">
        <f>+'Gantt Proyectos'!W205</f>
        <v>0</v>
      </c>
      <c r="Y137" s="110">
        <f>+'Gantt Proyectos'!X205</f>
        <v>0</v>
      </c>
      <c r="Z137" s="110">
        <f>+'Gantt Proyectos'!Y205</f>
        <v>0</v>
      </c>
      <c r="AA137" s="110">
        <f>+'Gantt Proyectos'!Z205</f>
        <v>0</v>
      </c>
      <c r="AB137" s="110">
        <f>+'Gantt Proyectos'!AA205</f>
        <v>0</v>
      </c>
      <c r="AC137" s="110">
        <f>+'Gantt Proyectos'!AB205</f>
        <v>0</v>
      </c>
      <c r="AD137" s="110">
        <f>+'Gantt Proyectos'!AC205</f>
        <v>0</v>
      </c>
      <c r="AE137" s="110">
        <f>+'Gantt Proyectos'!AD205</f>
        <v>0</v>
      </c>
      <c r="AF137" s="110">
        <f>+'Gantt Proyectos'!AE205</f>
        <v>0</v>
      </c>
      <c r="AG137" s="172">
        <v>1</v>
      </c>
      <c r="AH137" s="169">
        <f ca="1">+IFERROR(IF(ISNUMBER(OFFSET('EDP Proyectado'!AI137,0,-'Ingreso Proyectado'!$P137))&lt;&gt;0,IF(OFFSET('EDP Proyectado'!AI137,0,-'Ingreso Proyectado'!$P137)+0&lt;=1,0,OFFSET('EDP Proyectado'!AI137,0,-'Ingreso Proyectado'!$P137)+0)),0)</f>
        <v>0</v>
      </c>
      <c r="AI137" s="169">
        <f ca="1">+IFERROR(IF(ISNUMBER(OFFSET('EDP Proyectado'!AJ137,0,-'Ingreso Proyectado'!$P137))&lt;&gt;0,IF(OFFSET('EDP Proyectado'!AJ137,0,-'Ingreso Proyectado'!$P137)+0&lt;=1,0,OFFSET('EDP Proyectado'!AJ137,0,-'Ingreso Proyectado'!$P137)+0)),0)</f>
        <v>0</v>
      </c>
      <c r="AJ137" s="169">
        <f ca="1">+IFERROR(IF(ISNUMBER(OFFSET('EDP Proyectado'!AK137,0,-'Ingreso Proyectado'!$P137))&lt;&gt;0,IF(OFFSET('EDP Proyectado'!AK137,0,-'Ingreso Proyectado'!$P137)+0&lt;=1,0,OFFSET('EDP Proyectado'!AK137,0,-'Ingreso Proyectado'!$P137)+0)),0)</f>
        <v>0</v>
      </c>
      <c r="AK137" s="169">
        <f ca="1">+IFERROR(IF(ISNUMBER(OFFSET('EDP Proyectado'!AL137,0,-'Ingreso Proyectado'!$P137))&lt;&gt;0,IF(OFFSET('EDP Proyectado'!AL137,0,-'Ingreso Proyectado'!$P137)+0&lt;=1,0,OFFSET('EDP Proyectado'!AL137,0,-'Ingreso Proyectado'!$P137)+0)),0)</f>
        <v>0</v>
      </c>
      <c r="AL137" s="169">
        <f ca="1">+IFERROR(IF(ISNUMBER(OFFSET('EDP Proyectado'!AM137,0,-'Ingreso Proyectado'!$P137))&lt;&gt;0,IF(OFFSET('EDP Proyectado'!AM137,0,-'Ingreso Proyectado'!$P137)+0&lt;=1,0,OFFSET('EDP Proyectado'!AM137,0,-'Ingreso Proyectado'!$P137)+0)),0)</f>
        <v>0</v>
      </c>
      <c r="AM137" s="169">
        <f ca="1">+IFERROR(IF(ISNUMBER(OFFSET('EDP Proyectado'!AN137,0,-'Ingreso Proyectado'!$P137))&lt;&gt;0,IF(OFFSET('EDP Proyectado'!AN137,0,-'Ingreso Proyectado'!$P137)+0&lt;=1,0,OFFSET('EDP Proyectado'!AN137,0,-'Ingreso Proyectado'!$P137)+0)),0)</f>
        <v>0</v>
      </c>
      <c r="AN137" s="169">
        <f ca="1">+IFERROR(IF(ISNUMBER(OFFSET('EDP Proyectado'!AO137,0,-'Ingreso Proyectado'!$P137))&lt;&gt;0,IF(OFFSET('EDP Proyectado'!AO137,0,-'Ingreso Proyectado'!$P137)+0&lt;=1,0,OFFSET('EDP Proyectado'!AO137,0,-'Ingreso Proyectado'!$P137)+0)),0)</f>
        <v>0</v>
      </c>
      <c r="AO137" s="169">
        <f ca="1">+IFERROR(IF(ISNUMBER(OFFSET('EDP Proyectado'!AP137,0,-'Ingreso Proyectado'!$P137))&lt;&gt;0,IF(OFFSET('EDP Proyectado'!AP137,0,-'Ingreso Proyectado'!$P137)+0&lt;=1,0,OFFSET('EDP Proyectado'!AP137,0,-'Ingreso Proyectado'!$P137)+0)),0)</f>
        <v>0</v>
      </c>
      <c r="AP137" s="170">
        <f ca="1">+IFERROR(IF(ISNUMBER(OFFSET('EDP Proyectado'!AQ137,0,-'Ingreso Proyectado'!$P137))&lt;&gt;0,IF(OFFSET('EDP Proyectado'!AQ137,0,-'Ingreso Proyectado'!$P137)+0&lt;=1,0,OFFSET('EDP Proyectado'!AQ137,0,-'Ingreso Proyectado'!$P137)+0)),0)</f>
        <v>0</v>
      </c>
    </row>
    <row r="138" spans="3:42" x14ac:dyDescent="0.2">
      <c r="C138" s="110">
        <f>+'Gantt Proyectos'!C206</f>
        <v>0</v>
      </c>
      <c r="D138" s="110">
        <f>+'Gantt Proyectos'!D206</f>
        <v>0</v>
      </c>
      <c r="E138" s="110">
        <f>+'Gantt Proyectos'!E206</f>
        <v>0</v>
      </c>
      <c r="F138" s="148">
        <f>+'Gantt Proyectos'!F206</f>
        <v>0</v>
      </c>
      <c r="G138" s="110">
        <f>+'Gantt Proyectos'!G206</f>
        <v>0</v>
      </c>
      <c r="H138" s="110">
        <f>+'Gantt Proyectos'!H206</f>
        <v>0</v>
      </c>
      <c r="I138" s="189">
        <v>1</v>
      </c>
      <c r="J138" s="189">
        <f t="shared" si="8"/>
        <v>0</v>
      </c>
      <c r="K138" s="110">
        <f>+'Gantt Proyectos'!I206</f>
        <v>0</v>
      </c>
      <c r="L138" s="110">
        <f>+'Gantt Proyectos'!J206</f>
        <v>0</v>
      </c>
      <c r="M138" s="110">
        <f>+'Gantt Proyectos'!K206</f>
        <v>0</v>
      </c>
      <c r="N138" s="110">
        <f>+'Gantt Proyectos'!L206</f>
        <v>0</v>
      </c>
      <c r="O138" s="110">
        <f>+'Gantt Proyectos'!M206</f>
        <v>0</v>
      </c>
      <c r="P138" s="110">
        <f>+'Gantt Proyectos'!N206</f>
        <v>0</v>
      </c>
      <c r="Q138" s="110">
        <f>+'Gantt Proyectos'!O206</f>
        <v>0</v>
      </c>
      <c r="R138" s="110">
        <f>+'Gantt Proyectos'!P206</f>
        <v>0</v>
      </c>
      <c r="S138" s="110">
        <f>+'Gantt Proyectos'!R206</f>
        <v>0</v>
      </c>
      <c r="T138" s="118">
        <f>+'Gantt Proyectos'!S206</f>
        <v>0</v>
      </c>
      <c r="U138" s="157">
        <f>+'Gantt Proyectos'!T206</f>
        <v>0</v>
      </c>
      <c r="V138" s="157">
        <f>+'Gantt Proyectos'!U206</f>
        <v>0</v>
      </c>
      <c r="W138" s="201">
        <f t="shared" si="9"/>
        <v>0</v>
      </c>
      <c r="X138" s="110">
        <f>+'Gantt Proyectos'!W206</f>
        <v>0</v>
      </c>
      <c r="Y138" s="110">
        <f>+'Gantt Proyectos'!X206</f>
        <v>0</v>
      </c>
      <c r="Z138" s="110">
        <f>+'Gantt Proyectos'!Y206</f>
        <v>0</v>
      </c>
      <c r="AA138" s="110">
        <f>+'Gantt Proyectos'!Z206</f>
        <v>0</v>
      </c>
      <c r="AB138" s="110">
        <f>+'Gantt Proyectos'!AA206</f>
        <v>0</v>
      </c>
      <c r="AC138" s="110">
        <f>+'Gantt Proyectos'!AB206</f>
        <v>0</v>
      </c>
      <c r="AD138" s="110">
        <f>+'Gantt Proyectos'!AC206</f>
        <v>0</v>
      </c>
      <c r="AE138" s="110">
        <f>+'Gantt Proyectos'!AD206</f>
        <v>0</v>
      </c>
      <c r="AF138" s="110">
        <f>+'Gantt Proyectos'!AE206</f>
        <v>0</v>
      </c>
      <c r="AG138" s="172">
        <v>1</v>
      </c>
      <c r="AH138" s="169">
        <f ca="1">+IFERROR(IF(ISNUMBER(OFFSET('EDP Proyectado'!AI138,0,-'Ingreso Proyectado'!$P138))&lt;&gt;0,IF(OFFSET('EDP Proyectado'!AI138,0,-'Ingreso Proyectado'!$P138)+0&lt;=1,0,OFFSET('EDP Proyectado'!AI138,0,-'Ingreso Proyectado'!$P138)+0)),0)</f>
        <v>0</v>
      </c>
      <c r="AI138" s="169">
        <f ca="1">+IFERROR(IF(ISNUMBER(OFFSET('EDP Proyectado'!AJ138,0,-'Ingreso Proyectado'!$P138))&lt;&gt;0,IF(OFFSET('EDP Proyectado'!AJ138,0,-'Ingreso Proyectado'!$P138)+0&lt;=1,0,OFFSET('EDP Proyectado'!AJ138,0,-'Ingreso Proyectado'!$P138)+0)),0)</f>
        <v>0</v>
      </c>
      <c r="AJ138" s="169">
        <f ca="1">+IFERROR(IF(ISNUMBER(OFFSET('EDP Proyectado'!AK138,0,-'Ingreso Proyectado'!$P138))&lt;&gt;0,IF(OFFSET('EDP Proyectado'!AK138,0,-'Ingreso Proyectado'!$P138)+0&lt;=1,0,OFFSET('EDP Proyectado'!AK138,0,-'Ingreso Proyectado'!$P138)+0)),0)</f>
        <v>0</v>
      </c>
      <c r="AK138" s="169">
        <f ca="1">+IFERROR(IF(ISNUMBER(OFFSET('EDP Proyectado'!AL138,0,-'Ingreso Proyectado'!$P138))&lt;&gt;0,IF(OFFSET('EDP Proyectado'!AL138,0,-'Ingreso Proyectado'!$P138)+0&lt;=1,0,OFFSET('EDP Proyectado'!AL138,0,-'Ingreso Proyectado'!$P138)+0)),0)</f>
        <v>0</v>
      </c>
      <c r="AL138" s="169">
        <f ca="1">+IFERROR(IF(ISNUMBER(OFFSET('EDP Proyectado'!AM138,0,-'Ingreso Proyectado'!$P138))&lt;&gt;0,IF(OFFSET('EDP Proyectado'!AM138,0,-'Ingreso Proyectado'!$P138)+0&lt;=1,0,OFFSET('EDP Proyectado'!AM138,0,-'Ingreso Proyectado'!$P138)+0)),0)</f>
        <v>0</v>
      </c>
      <c r="AM138" s="169">
        <f ca="1">+IFERROR(IF(ISNUMBER(OFFSET('EDP Proyectado'!AN138,0,-'Ingreso Proyectado'!$P138))&lt;&gt;0,IF(OFFSET('EDP Proyectado'!AN138,0,-'Ingreso Proyectado'!$P138)+0&lt;=1,0,OFFSET('EDP Proyectado'!AN138,0,-'Ingreso Proyectado'!$P138)+0)),0)</f>
        <v>0</v>
      </c>
      <c r="AN138" s="169">
        <f ca="1">+IFERROR(IF(ISNUMBER(OFFSET('EDP Proyectado'!AO138,0,-'Ingreso Proyectado'!$P138))&lt;&gt;0,IF(OFFSET('EDP Proyectado'!AO138,0,-'Ingreso Proyectado'!$P138)+0&lt;=1,0,OFFSET('EDP Proyectado'!AO138,0,-'Ingreso Proyectado'!$P138)+0)),0)</f>
        <v>0</v>
      </c>
      <c r="AO138" s="169">
        <f ca="1">+IFERROR(IF(ISNUMBER(OFFSET('EDP Proyectado'!AP138,0,-'Ingreso Proyectado'!$P138))&lt;&gt;0,IF(OFFSET('EDP Proyectado'!AP138,0,-'Ingreso Proyectado'!$P138)+0&lt;=1,0,OFFSET('EDP Proyectado'!AP138,0,-'Ingreso Proyectado'!$P138)+0)),0)</f>
        <v>0</v>
      </c>
      <c r="AP138" s="170">
        <f ca="1">+IFERROR(IF(ISNUMBER(OFFSET('EDP Proyectado'!AQ138,0,-'Ingreso Proyectado'!$P138))&lt;&gt;0,IF(OFFSET('EDP Proyectado'!AQ138,0,-'Ingreso Proyectado'!$P138)+0&lt;=1,0,OFFSET('EDP Proyectado'!AQ138,0,-'Ingreso Proyectado'!$P138)+0)),0)</f>
        <v>0</v>
      </c>
    </row>
    <row r="139" spans="3:42" x14ac:dyDescent="0.2">
      <c r="C139" s="110">
        <f>+'Gantt Proyectos'!C207</f>
        <v>0</v>
      </c>
      <c r="D139" s="110">
        <f>+'Gantt Proyectos'!D207</f>
        <v>0</v>
      </c>
      <c r="E139" s="110">
        <f>+'Gantt Proyectos'!E207</f>
        <v>0</v>
      </c>
      <c r="F139" s="148">
        <f>+'Gantt Proyectos'!F207</f>
        <v>0</v>
      </c>
      <c r="G139" s="110">
        <f>+'Gantt Proyectos'!G207</f>
        <v>0</v>
      </c>
      <c r="H139" s="110">
        <f>+'Gantt Proyectos'!H207</f>
        <v>0</v>
      </c>
      <c r="I139" s="189">
        <v>1</v>
      </c>
      <c r="J139" s="189">
        <f t="shared" si="8"/>
        <v>0</v>
      </c>
      <c r="K139" s="110">
        <f>+'Gantt Proyectos'!I207</f>
        <v>0</v>
      </c>
      <c r="L139" s="110">
        <f>+'Gantt Proyectos'!J207</f>
        <v>0</v>
      </c>
      <c r="M139" s="110">
        <f>+'Gantt Proyectos'!K207</f>
        <v>0</v>
      </c>
      <c r="N139" s="110">
        <f>+'Gantt Proyectos'!L207</f>
        <v>0</v>
      </c>
      <c r="O139" s="110">
        <f>+'Gantt Proyectos'!M207</f>
        <v>0</v>
      </c>
      <c r="P139" s="110">
        <f>+'Gantt Proyectos'!N207</f>
        <v>0</v>
      </c>
      <c r="Q139" s="110">
        <f>+'Gantt Proyectos'!O207</f>
        <v>0</v>
      </c>
      <c r="R139" s="110">
        <f>+'Gantt Proyectos'!P207</f>
        <v>0</v>
      </c>
      <c r="S139" s="110">
        <f>+'Gantt Proyectos'!R207</f>
        <v>0</v>
      </c>
      <c r="T139" s="118">
        <f>+'Gantt Proyectos'!S207</f>
        <v>0</v>
      </c>
      <c r="U139" s="157">
        <f>+'Gantt Proyectos'!T207</f>
        <v>0</v>
      </c>
      <c r="V139" s="157">
        <f>+'Gantt Proyectos'!U207</f>
        <v>0</v>
      </c>
      <c r="W139" s="201">
        <f t="shared" si="9"/>
        <v>0</v>
      </c>
      <c r="X139" s="110">
        <f>+'Gantt Proyectos'!W207</f>
        <v>0</v>
      </c>
      <c r="Y139" s="110">
        <f>+'Gantt Proyectos'!X207</f>
        <v>0</v>
      </c>
      <c r="Z139" s="110">
        <f>+'Gantt Proyectos'!Y207</f>
        <v>0</v>
      </c>
      <c r="AA139" s="110">
        <f>+'Gantt Proyectos'!Z207</f>
        <v>0</v>
      </c>
      <c r="AB139" s="110">
        <f>+'Gantt Proyectos'!AA207</f>
        <v>0</v>
      </c>
      <c r="AC139" s="110">
        <f>+'Gantt Proyectos'!AB207</f>
        <v>0</v>
      </c>
      <c r="AD139" s="110">
        <f>+'Gantt Proyectos'!AC207</f>
        <v>0</v>
      </c>
      <c r="AE139" s="110">
        <f>+'Gantt Proyectos'!AD207</f>
        <v>0</v>
      </c>
      <c r="AF139" s="110">
        <f>+'Gantt Proyectos'!AE207</f>
        <v>0</v>
      </c>
      <c r="AG139" s="172">
        <v>1</v>
      </c>
      <c r="AH139" s="169">
        <f ca="1">+IFERROR(IF(ISNUMBER(OFFSET('EDP Proyectado'!AI139,0,-'Ingreso Proyectado'!$P139))&lt;&gt;0,IF(OFFSET('EDP Proyectado'!AI139,0,-'Ingreso Proyectado'!$P139)+0&lt;=1,0,OFFSET('EDP Proyectado'!AI139,0,-'Ingreso Proyectado'!$P139)+0)),0)</f>
        <v>0</v>
      </c>
      <c r="AI139" s="169">
        <f ca="1">+IFERROR(IF(ISNUMBER(OFFSET('EDP Proyectado'!AJ139,0,-'Ingreso Proyectado'!$P139))&lt;&gt;0,IF(OFFSET('EDP Proyectado'!AJ139,0,-'Ingreso Proyectado'!$P139)+0&lt;=1,0,OFFSET('EDP Proyectado'!AJ139,0,-'Ingreso Proyectado'!$P139)+0)),0)</f>
        <v>0</v>
      </c>
      <c r="AJ139" s="169">
        <f ca="1">+IFERROR(IF(ISNUMBER(OFFSET('EDP Proyectado'!AK139,0,-'Ingreso Proyectado'!$P139))&lt;&gt;0,IF(OFFSET('EDP Proyectado'!AK139,0,-'Ingreso Proyectado'!$P139)+0&lt;=1,0,OFFSET('EDP Proyectado'!AK139,0,-'Ingreso Proyectado'!$P139)+0)),0)</f>
        <v>0</v>
      </c>
      <c r="AK139" s="169">
        <f ca="1">+IFERROR(IF(ISNUMBER(OFFSET('EDP Proyectado'!AL139,0,-'Ingreso Proyectado'!$P139))&lt;&gt;0,IF(OFFSET('EDP Proyectado'!AL139,0,-'Ingreso Proyectado'!$P139)+0&lt;=1,0,OFFSET('EDP Proyectado'!AL139,0,-'Ingreso Proyectado'!$P139)+0)),0)</f>
        <v>0</v>
      </c>
      <c r="AL139" s="169">
        <f ca="1">+IFERROR(IF(ISNUMBER(OFFSET('EDP Proyectado'!AM139,0,-'Ingreso Proyectado'!$P139))&lt;&gt;0,IF(OFFSET('EDP Proyectado'!AM139,0,-'Ingreso Proyectado'!$P139)+0&lt;=1,0,OFFSET('EDP Proyectado'!AM139,0,-'Ingreso Proyectado'!$P139)+0)),0)</f>
        <v>0</v>
      </c>
      <c r="AM139" s="169">
        <f ca="1">+IFERROR(IF(ISNUMBER(OFFSET('EDP Proyectado'!AN139,0,-'Ingreso Proyectado'!$P139))&lt;&gt;0,IF(OFFSET('EDP Proyectado'!AN139,0,-'Ingreso Proyectado'!$P139)+0&lt;=1,0,OFFSET('EDP Proyectado'!AN139,0,-'Ingreso Proyectado'!$P139)+0)),0)</f>
        <v>0</v>
      </c>
      <c r="AN139" s="169">
        <f ca="1">+IFERROR(IF(ISNUMBER(OFFSET('EDP Proyectado'!AO139,0,-'Ingreso Proyectado'!$P139))&lt;&gt;0,IF(OFFSET('EDP Proyectado'!AO139,0,-'Ingreso Proyectado'!$P139)+0&lt;=1,0,OFFSET('EDP Proyectado'!AO139,0,-'Ingreso Proyectado'!$P139)+0)),0)</f>
        <v>0</v>
      </c>
      <c r="AO139" s="169">
        <f ca="1">+IFERROR(IF(ISNUMBER(OFFSET('EDP Proyectado'!AP139,0,-'Ingreso Proyectado'!$P139))&lt;&gt;0,IF(OFFSET('EDP Proyectado'!AP139,0,-'Ingreso Proyectado'!$P139)+0&lt;=1,0,OFFSET('EDP Proyectado'!AP139,0,-'Ingreso Proyectado'!$P139)+0)),0)</f>
        <v>0</v>
      </c>
      <c r="AP139" s="170">
        <f ca="1">+IFERROR(IF(ISNUMBER(OFFSET('EDP Proyectado'!AQ139,0,-'Ingreso Proyectado'!$P139))&lt;&gt;0,IF(OFFSET('EDP Proyectado'!AQ139,0,-'Ingreso Proyectado'!$P139)+0&lt;=1,0,OFFSET('EDP Proyectado'!AQ139,0,-'Ingreso Proyectado'!$P139)+0)),0)</f>
        <v>0</v>
      </c>
    </row>
    <row r="140" spans="3:42" x14ac:dyDescent="0.2">
      <c r="C140" s="110">
        <f>+'Gantt Proyectos'!C208</f>
        <v>0</v>
      </c>
      <c r="D140" s="110">
        <f>+'Gantt Proyectos'!D208</f>
        <v>0</v>
      </c>
      <c r="E140" s="110">
        <f>+'Gantt Proyectos'!E208</f>
        <v>0</v>
      </c>
      <c r="F140" s="148">
        <f>+'Gantt Proyectos'!F208</f>
        <v>0</v>
      </c>
      <c r="G140" s="110">
        <f>+'Gantt Proyectos'!G208</f>
        <v>0</v>
      </c>
      <c r="H140" s="110">
        <f>+'Gantt Proyectos'!H208</f>
        <v>0</v>
      </c>
      <c r="I140" s="189">
        <v>1</v>
      </c>
      <c r="J140" s="189">
        <f t="shared" si="8"/>
        <v>0</v>
      </c>
      <c r="K140" s="110">
        <f>+'Gantt Proyectos'!I208</f>
        <v>0</v>
      </c>
      <c r="L140" s="110">
        <f>+'Gantt Proyectos'!J208</f>
        <v>0</v>
      </c>
      <c r="M140" s="110">
        <f>+'Gantt Proyectos'!K208</f>
        <v>0</v>
      </c>
      <c r="N140" s="110">
        <f>+'Gantt Proyectos'!L208</f>
        <v>0</v>
      </c>
      <c r="O140" s="110">
        <f>+'Gantt Proyectos'!M208</f>
        <v>0</v>
      </c>
      <c r="P140" s="110">
        <f>+'Gantt Proyectos'!N208</f>
        <v>0</v>
      </c>
      <c r="Q140" s="110">
        <f>+'Gantt Proyectos'!O208</f>
        <v>0</v>
      </c>
      <c r="R140" s="110">
        <f>+'Gantt Proyectos'!P208</f>
        <v>0</v>
      </c>
      <c r="S140" s="110">
        <f>+'Gantt Proyectos'!R208</f>
        <v>0</v>
      </c>
      <c r="T140" s="118">
        <f>+'Gantt Proyectos'!S208</f>
        <v>0</v>
      </c>
      <c r="U140" s="157">
        <f>+'Gantt Proyectos'!T208</f>
        <v>0</v>
      </c>
      <c r="V140" s="157">
        <f>+'Gantt Proyectos'!U208</f>
        <v>0</v>
      </c>
      <c r="W140" s="201">
        <f t="shared" si="9"/>
        <v>0</v>
      </c>
      <c r="X140" s="110">
        <f>+'Gantt Proyectos'!W208</f>
        <v>0</v>
      </c>
      <c r="Y140" s="110">
        <f>+'Gantt Proyectos'!X208</f>
        <v>0</v>
      </c>
      <c r="Z140" s="110">
        <f>+'Gantt Proyectos'!Y208</f>
        <v>0</v>
      </c>
      <c r="AA140" s="110">
        <f>+'Gantt Proyectos'!Z208</f>
        <v>0</v>
      </c>
      <c r="AB140" s="110">
        <f>+'Gantt Proyectos'!AA208</f>
        <v>0</v>
      </c>
      <c r="AC140" s="110">
        <f>+'Gantt Proyectos'!AB208</f>
        <v>0</v>
      </c>
      <c r="AD140" s="110">
        <f>+'Gantt Proyectos'!AC208</f>
        <v>0</v>
      </c>
      <c r="AE140" s="110">
        <f>+'Gantt Proyectos'!AD208</f>
        <v>0</v>
      </c>
      <c r="AF140" s="110">
        <f>+'Gantt Proyectos'!AE208</f>
        <v>0</v>
      </c>
      <c r="AG140" s="172">
        <v>1</v>
      </c>
      <c r="AH140" s="169">
        <f ca="1">+IFERROR(IF(ISNUMBER(OFFSET('EDP Proyectado'!AI140,0,-'Ingreso Proyectado'!$P140))&lt;&gt;0,IF(OFFSET('EDP Proyectado'!AI140,0,-'Ingreso Proyectado'!$P140)+0&lt;=1,0,OFFSET('EDP Proyectado'!AI140,0,-'Ingreso Proyectado'!$P140)+0)),0)</f>
        <v>0</v>
      </c>
      <c r="AI140" s="169">
        <f ca="1">+IFERROR(IF(ISNUMBER(OFFSET('EDP Proyectado'!AJ140,0,-'Ingreso Proyectado'!$P140))&lt;&gt;0,IF(OFFSET('EDP Proyectado'!AJ140,0,-'Ingreso Proyectado'!$P140)+0&lt;=1,0,OFFSET('EDP Proyectado'!AJ140,0,-'Ingreso Proyectado'!$P140)+0)),0)</f>
        <v>0</v>
      </c>
      <c r="AJ140" s="169">
        <f ca="1">+IFERROR(IF(ISNUMBER(OFFSET('EDP Proyectado'!AK140,0,-'Ingreso Proyectado'!$P140))&lt;&gt;0,IF(OFFSET('EDP Proyectado'!AK140,0,-'Ingreso Proyectado'!$P140)+0&lt;=1,0,OFFSET('EDP Proyectado'!AK140,0,-'Ingreso Proyectado'!$P140)+0)),0)</f>
        <v>0</v>
      </c>
      <c r="AK140" s="169">
        <f ca="1">+IFERROR(IF(ISNUMBER(OFFSET('EDP Proyectado'!AL140,0,-'Ingreso Proyectado'!$P140))&lt;&gt;0,IF(OFFSET('EDP Proyectado'!AL140,0,-'Ingreso Proyectado'!$P140)+0&lt;=1,0,OFFSET('EDP Proyectado'!AL140,0,-'Ingreso Proyectado'!$P140)+0)),0)</f>
        <v>0</v>
      </c>
      <c r="AL140" s="169">
        <f ca="1">+IFERROR(IF(ISNUMBER(OFFSET('EDP Proyectado'!AM140,0,-'Ingreso Proyectado'!$P140))&lt;&gt;0,IF(OFFSET('EDP Proyectado'!AM140,0,-'Ingreso Proyectado'!$P140)+0&lt;=1,0,OFFSET('EDP Proyectado'!AM140,0,-'Ingreso Proyectado'!$P140)+0)),0)</f>
        <v>0</v>
      </c>
      <c r="AM140" s="169">
        <f ca="1">+IFERROR(IF(ISNUMBER(OFFSET('EDP Proyectado'!AN140,0,-'Ingreso Proyectado'!$P140))&lt;&gt;0,IF(OFFSET('EDP Proyectado'!AN140,0,-'Ingreso Proyectado'!$P140)+0&lt;=1,0,OFFSET('EDP Proyectado'!AN140,0,-'Ingreso Proyectado'!$P140)+0)),0)</f>
        <v>0</v>
      </c>
      <c r="AN140" s="169">
        <f ca="1">+IFERROR(IF(ISNUMBER(OFFSET('EDP Proyectado'!AO140,0,-'Ingreso Proyectado'!$P140))&lt;&gt;0,IF(OFFSET('EDP Proyectado'!AO140,0,-'Ingreso Proyectado'!$P140)+0&lt;=1,0,OFFSET('EDP Proyectado'!AO140,0,-'Ingreso Proyectado'!$P140)+0)),0)</f>
        <v>0</v>
      </c>
      <c r="AO140" s="169">
        <f ca="1">+IFERROR(IF(ISNUMBER(OFFSET('EDP Proyectado'!AP140,0,-'Ingreso Proyectado'!$P140))&lt;&gt;0,IF(OFFSET('EDP Proyectado'!AP140,0,-'Ingreso Proyectado'!$P140)+0&lt;=1,0,OFFSET('EDP Proyectado'!AP140,0,-'Ingreso Proyectado'!$P140)+0)),0)</f>
        <v>0</v>
      </c>
      <c r="AP140" s="170">
        <f ca="1">+IFERROR(IF(ISNUMBER(OFFSET('EDP Proyectado'!AQ140,0,-'Ingreso Proyectado'!$P140))&lt;&gt;0,IF(OFFSET('EDP Proyectado'!AQ140,0,-'Ingreso Proyectado'!$P140)+0&lt;=1,0,OFFSET('EDP Proyectado'!AQ140,0,-'Ingreso Proyectado'!$P140)+0)),0)</f>
        <v>0</v>
      </c>
    </row>
    <row r="141" spans="3:42" x14ac:dyDescent="0.2">
      <c r="C141" s="110">
        <f>+'Gantt Proyectos'!C209</f>
        <v>0</v>
      </c>
      <c r="D141" s="110">
        <f>+'Gantt Proyectos'!D209</f>
        <v>0</v>
      </c>
      <c r="E141" s="110">
        <f>+'Gantt Proyectos'!E209</f>
        <v>0</v>
      </c>
      <c r="F141" s="148">
        <f>+'Gantt Proyectos'!F209</f>
        <v>0</v>
      </c>
      <c r="G141" s="110">
        <f>+'Gantt Proyectos'!G209</f>
        <v>0</v>
      </c>
      <c r="H141" s="110">
        <f>+'Gantt Proyectos'!H209</f>
        <v>0</v>
      </c>
      <c r="I141" s="189">
        <v>1</v>
      </c>
      <c r="J141" s="189">
        <f t="shared" si="8"/>
        <v>0</v>
      </c>
      <c r="K141" s="110">
        <f>+'Gantt Proyectos'!I209</f>
        <v>0</v>
      </c>
      <c r="L141" s="110">
        <f>+'Gantt Proyectos'!J209</f>
        <v>0</v>
      </c>
      <c r="M141" s="110">
        <f>+'Gantt Proyectos'!K209</f>
        <v>0</v>
      </c>
      <c r="N141" s="110">
        <f>+'Gantt Proyectos'!L209</f>
        <v>0</v>
      </c>
      <c r="O141" s="110">
        <f>+'Gantt Proyectos'!M209</f>
        <v>0</v>
      </c>
      <c r="P141" s="110">
        <f>+'Gantt Proyectos'!N209</f>
        <v>0</v>
      </c>
      <c r="Q141" s="110">
        <f>+'Gantt Proyectos'!O209</f>
        <v>0</v>
      </c>
      <c r="R141" s="110">
        <f>+'Gantt Proyectos'!P209</f>
        <v>0</v>
      </c>
      <c r="S141" s="110">
        <f>+'Gantt Proyectos'!R209</f>
        <v>0</v>
      </c>
      <c r="T141" s="118">
        <f>+'Gantt Proyectos'!S209</f>
        <v>0</v>
      </c>
      <c r="U141" s="157">
        <f>+'Gantt Proyectos'!T209</f>
        <v>0</v>
      </c>
      <c r="V141" s="157">
        <f>+'Gantt Proyectos'!U209</f>
        <v>0</v>
      </c>
      <c r="W141" s="201">
        <f t="shared" si="9"/>
        <v>0</v>
      </c>
      <c r="X141" s="110">
        <f>+'Gantt Proyectos'!W209</f>
        <v>0</v>
      </c>
      <c r="Y141" s="110">
        <f>+'Gantt Proyectos'!X209</f>
        <v>0</v>
      </c>
      <c r="Z141" s="110">
        <f>+'Gantt Proyectos'!Y209</f>
        <v>0</v>
      </c>
      <c r="AA141" s="110">
        <f>+'Gantt Proyectos'!Z209</f>
        <v>0</v>
      </c>
      <c r="AB141" s="110">
        <f>+'Gantt Proyectos'!AA209</f>
        <v>0</v>
      </c>
      <c r="AC141" s="110">
        <f>+'Gantt Proyectos'!AB209</f>
        <v>0</v>
      </c>
      <c r="AD141" s="110">
        <f>+'Gantt Proyectos'!AC209</f>
        <v>0</v>
      </c>
      <c r="AE141" s="110">
        <f>+'Gantt Proyectos'!AD209</f>
        <v>0</v>
      </c>
      <c r="AF141" s="110">
        <f>+'Gantt Proyectos'!AE209</f>
        <v>0</v>
      </c>
      <c r="AG141" s="172">
        <v>1</v>
      </c>
      <c r="AH141" s="169">
        <f ca="1">+IFERROR(IF(ISNUMBER(OFFSET('EDP Proyectado'!AI141,0,-'Ingreso Proyectado'!$P141))&lt;&gt;0,IF(OFFSET('EDP Proyectado'!AI141,0,-'Ingreso Proyectado'!$P141)+0&lt;=1,0,OFFSET('EDP Proyectado'!AI141,0,-'Ingreso Proyectado'!$P141)+0)),0)</f>
        <v>0</v>
      </c>
      <c r="AI141" s="169">
        <f ca="1">+IFERROR(IF(ISNUMBER(OFFSET('EDP Proyectado'!AJ141,0,-'Ingreso Proyectado'!$P141))&lt;&gt;0,IF(OFFSET('EDP Proyectado'!AJ141,0,-'Ingreso Proyectado'!$P141)+0&lt;=1,0,OFFSET('EDP Proyectado'!AJ141,0,-'Ingreso Proyectado'!$P141)+0)),0)</f>
        <v>0</v>
      </c>
      <c r="AJ141" s="169">
        <f ca="1">+IFERROR(IF(ISNUMBER(OFFSET('EDP Proyectado'!AK141,0,-'Ingreso Proyectado'!$P141))&lt;&gt;0,IF(OFFSET('EDP Proyectado'!AK141,0,-'Ingreso Proyectado'!$P141)+0&lt;=1,0,OFFSET('EDP Proyectado'!AK141,0,-'Ingreso Proyectado'!$P141)+0)),0)</f>
        <v>0</v>
      </c>
      <c r="AK141" s="169">
        <f ca="1">+IFERROR(IF(ISNUMBER(OFFSET('EDP Proyectado'!AL141,0,-'Ingreso Proyectado'!$P141))&lt;&gt;0,IF(OFFSET('EDP Proyectado'!AL141,0,-'Ingreso Proyectado'!$P141)+0&lt;=1,0,OFFSET('EDP Proyectado'!AL141,0,-'Ingreso Proyectado'!$P141)+0)),0)</f>
        <v>0</v>
      </c>
      <c r="AL141" s="169">
        <f ca="1">+IFERROR(IF(ISNUMBER(OFFSET('EDP Proyectado'!AM141,0,-'Ingreso Proyectado'!$P141))&lt;&gt;0,IF(OFFSET('EDP Proyectado'!AM141,0,-'Ingreso Proyectado'!$P141)+0&lt;=1,0,OFFSET('EDP Proyectado'!AM141,0,-'Ingreso Proyectado'!$P141)+0)),0)</f>
        <v>0</v>
      </c>
      <c r="AM141" s="169">
        <f ca="1">+IFERROR(IF(ISNUMBER(OFFSET('EDP Proyectado'!AN141,0,-'Ingreso Proyectado'!$P141))&lt;&gt;0,IF(OFFSET('EDP Proyectado'!AN141,0,-'Ingreso Proyectado'!$P141)+0&lt;=1,0,OFFSET('EDP Proyectado'!AN141,0,-'Ingreso Proyectado'!$P141)+0)),0)</f>
        <v>0</v>
      </c>
      <c r="AN141" s="169">
        <f ca="1">+IFERROR(IF(ISNUMBER(OFFSET('EDP Proyectado'!AO141,0,-'Ingreso Proyectado'!$P141))&lt;&gt;0,IF(OFFSET('EDP Proyectado'!AO141,0,-'Ingreso Proyectado'!$P141)+0&lt;=1,0,OFFSET('EDP Proyectado'!AO141,0,-'Ingreso Proyectado'!$P141)+0)),0)</f>
        <v>0</v>
      </c>
      <c r="AO141" s="169">
        <f ca="1">+IFERROR(IF(ISNUMBER(OFFSET('EDP Proyectado'!AP141,0,-'Ingreso Proyectado'!$P141))&lt;&gt;0,IF(OFFSET('EDP Proyectado'!AP141,0,-'Ingreso Proyectado'!$P141)+0&lt;=1,0,OFFSET('EDP Proyectado'!AP141,0,-'Ingreso Proyectado'!$P141)+0)),0)</f>
        <v>0</v>
      </c>
      <c r="AP141" s="170">
        <f ca="1">+IFERROR(IF(ISNUMBER(OFFSET('EDP Proyectado'!AQ141,0,-'Ingreso Proyectado'!$P141))&lt;&gt;0,IF(OFFSET('EDP Proyectado'!AQ141,0,-'Ingreso Proyectado'!$P141)+0&lt;=1,0,OFFSET('EDP Proyectado'!AQ141,0,-'Ingreso Proyectado'!$P141)+0)),0)</f>
        <v>0</v>
      </c>
    </row>
    <row r="142" spans="3:42" x14ac:dyDescent="0.2">
      <c r="C142" s="110">
        <f>+'Gantt Proyectos'!C210</f>
        <v>0</v>
      </c>
      <c r="D142" s="110">
        <f>+'Gantt Proyectos'!D210</f>
        <v>0</v>
      </c>
      <c r="E142" s="110">
        <f>+'Gantt Proyectos'!E210</f>
        <v>0</v>
      </c>
      <c r="F142" s="148">
        <f>+'Gantt Proyectos'!F210</f>
        <v>0</v>
      </c>
      <c r="G142" s="110">
        <f>+'Gantt Proyectos'!G210</f>
        <v>0</v>
      </c>
      <c r="H142" s="110">
        <f>+'Gantt Proyectos'!H210</f>
        <v>0</v>
      </c>
      <c r="I142" s="189">
        <v>1</v>
      </c>
      <c r="J142" s="189">
        <f t="shared" si="8"/>
        <v>0</v>
      </c>
      <c r="K142" s="110">
        <f>+'Gantt Proyectos'!I210</f>
        <v>0</v>
      </c>
      <c r="L142" s="110">
        <f>+'Gantt Proyectos'!J210</f>
        <v>0</v>
      </c>
      <c r="M142" s="110">
        <f>+'Gantt Proyectos'!K210</f>
        <v>0</v>
      </c>
      <c r="N142" s="110">
        <f>+'Gantt Proyectos'!L210</f>
        <v>0</v>
      </c>
      <c r="O142" s="110">
        <f>+'Gantt Proyectos'!M210</f>
        <v>0</v>
      </c>
      <c r="P142" s="110">
        <f>+'Gantt Proyectos'!N210</f>
        <v>0</v>
      </c>
      <c r="Q142" s="110">
        <f>+'Gantt Proyectos'!O210</f>
        <v>0</v>
      </c>
      <c r="R142" s="110">
        <f>+'Gantt Proyectos'!P210</f>
        <v>0</v>
      </c>
      <c r="S142" s="110">
        <f>+'Gantt Proyectos'!R210</f>
        <v>0</v>
      </c>
      <c r="T142" s="118">
        <f>+'Gantt Proyectos'!S210</f>
        <v>0</v>
      </c>
      <c r="U142" s="157">
        <f>+'Gantt Proyectos'!T210</f>
        <v>0</v>
      </c>
      <c r="V142" s="157">
        <f>+'Gantt Proyectos'!U210</f>
        <v>0</v>
      </c>
      <c r="W142" s="201">
        <f t="shared" si="9"/>
        <v>0</v>
      </c>
      <c r="X142" s="110">
        <f>+'Gantt Proyectos'!W210</f>
        <v>0</v>
      </c>
      <c r="Y142" s="110">
        <f>+'Gantt Proyectos'!X210</f>
        <v>0</v>
      </c>
      <c r="Z142" s="110">
        <f>+'Gantt Proyectos'!Y210</f>
        <v>0</v>
      </c>
      <c r="AA142" s="110">
        <f>+'Gantt Proyectos'!Z210</f>
        <v>0</v>
      </c>
      <c r="AB142" s="110">
        <f>+'Gantt Proyectos'!AA210</f>
        <v>0</v>
      </c>
      <c r="AC142" s="110">
        <f>+'Gantt Proyectos'!AB210</f>
        <v>0</v>
      </c>
      <c r="AD142" s="110">
        <f>+'Gantt Proyectos'!AC210</f>
        <v>0</v>
      </c>
      <c r="AE142" s="110">
        <f>+'Gantt Proyectos'!AD210</f>
        <v>0</v>
      </c>
      <c r="AF142" s="110">
        <f>+'Gantt Proyectos'!AE210</f>
        <v>0</v>
      </c>
      <c r="AG142" s="172">
        <v>1</v>
      </c>
      <c r="AH142" s="169">
        <f ca="1">+IFERROR(IF(ISNUMBER(OFFSET('EDP Proyectado'!AI142,0,-'Ingreso Proyectado'!$P142))&lt;&gt;0,IF(OFFSET('EDP Proyectado'!AI142,0,-'Ingreso Proyectado'!$P142)+0&lt;=1,0,OFFSET('EDP Proyectado'!AI142,0,-'Ingreso Proyectado'!$P142)+0)),0)</f>
        <v>0</v>
      </c>
      <c r="AI142" s="169">
        <f ca="1">+IFERROR(IF(ISNUMBER(OFFSET('EDP Proyectado'!AJ142,0,-'Ingreso Proyectado'!$P142))&lt;&gt;0,IF(OFFSET('EDP Proyectado'!AJ142,0,-'Ingreso Proyectado'!$P142)+0&lt;=1,0,OFFSET('EDP Proyectado'!AJ142,0,-'Ingreso Proyectado'!$P142)+0)),0)</f>
        <v>0</v>
      </c>
      <c r="AJ142" s="169">
        <f ca="1">+IFERROR(IF(ISNUMBER(OFFSET('EDP Proyectado'!AK142,0,-'Ingreso Proyectado'!$P142))&lt;&gt;0,IF(OFFSET('EDP Proyectado'!AK142,0,-'Ingreso Proyectado'!$P142)+0&lt;=1,0,OFFSET('EDP Proyectado'!AK142,0,-'Ingreso Proyectado'!$P142)+0)),0)</f>
        <v>0</v>
      </c>
      <c r="AK142" s="169">
        <f ca="1">+IFERROR(IF(ISNUMBER(OFFSET('EDP Proyectado'!AL142,0,-'Ingreso Proyectado'!$P142))&lt;&gt;0,IF(OFFSET('EDP Proyectado'!AL142,0,-'Ingreso Proyectado'!$P142)+0&lt;=1,0,OFFSET('EDP Proyectado'!AL142,0,-'Ingreso Proyectado'!$P142)+0)),0)</f>
        <v>0</v>
      </c>
      <c r="AL142" s="169">
        <f ca="1">+IFERROR(IF(ISNUMBER(OFFSET('EDP Proyectado'!AM142,0,-'Ingreso Proyectado'!$P142))&lt;&gt;0,IF(OFFSET('EDP Proyectado'!AM142,0,-'Ingreso Proyectado'!$P142)+0&lt;=1,0,OFFSET('EDP Proyectado'!AM142,0,-'Ingreso Proyectado'!$P142)+0)),0)</f>
        <v>0</v>
      </c>
      <c r="AM142" s="169">
        <f ca="1">+IFERROR(IF(ISNUMBER(OFFSET('EDP Proyectado'!AN142,0,-'Ingreso Proyectado'!$P142))&lt;&gt;0,IF(OFFSET('EDP Proyectado'!AN142,0,-'Ingreso Proyectado'!$P142)+0&lt;=1,0,OFFSET('EDP Proyectado'!AN142,0,-'Ingreso Proyectado'!$P142)+0)),0)</f>
        <v>0</v>
      </c>
      <c r="AN142" s="169">
        <f ca="1">+IFERROR(IF(ISNUMBER(OFFSET('EDP Proyectado'!AO142,0,-'Ingreso Proyectado'!$P142))&lt;&gt;0,IF(OFFSET('EDP Proyectado'!AO142,0,-'Ingreso Proyectado'!$P142)+0&lt;=1,0,OFFSET('EDP Proyectado'!AO142,0,-'Ingreso Proyectado'!$P142)+0)),0)</f>
        <v>0</v>
      </c>
      <c r="AO142" s="169">
        <f ca="1">+IFERROR(IF(ISNUMBER(OFFSET('EDP Proyectado'!AP142,0,-'Ingreso Proyectado'!$P142))&lt;&gt;0,IF(OFFSET('EDP Proyectado'!AP142,0,-'Ingreso Proyectado'!$P142)+0&lt;=1,0,OFFSET('EDP Proyectado'!AP142,0,-'Ingreso Proyectado'!$P142)+0)),0)</f>
        <v>0</v>
      </c>
      <c r="AP142" s="170">
        <f ca="1">+IFERROR(IF(ISNUMBER(OFFSET('EDP Proyectado'!AQ142,0,-'Ingreso Proyectado'!$P142))&lt;&gt;0,IF(OFFSET('EDP Proyectado'!AQ142,0,-'Ingreso Proyectado'!$P142)+0&lt;=1,0,OFFSET('EDP Proyectado'!AQ142,0,-'Ingreso Proyectado'!$P142)+0)),0)</f>
        <v>0</v>
      </c>
    </row>
    <row r="143" spans="3:42" x14ac:dyDescent="0.2">
      <c r="C143" s="110">
        <f>+'Gantt Proyectos'!C211</f>
        <v>0</v>
      </c>
      <c r="D143" s="110">
        <f>+'Gantt Proyectos'!D211</f>
        <v>0</v>
      </c>
      <c r="E143" s="110">
        <f>+'Gantt Proyectos'!E211</f>
        <v>0</v>
      </c>
      <c r="F143" s="148">
        <f>+'Gantt Proyectos'!F211</f>
        <v>0</v>
      </c>
      <c r="G143" s="110">
        <f>+'Gantt Proyectos'!G211</f>
        <v>0</v>
      </c>
      <c r="H143" s="110">
        <f>+'Gantt Proyectos'!H211</f>
        <v>0</v>
      </c>
      <c r="I143" s="189">
        <v>1</v>
      </c>
      <c r="J143" s="189">
        <f t="shared" si="8"/>
        <v>0</v>
      </c>
      <c r="K143" s="110">
        <f>+'Gantt Proyectos'!I211</f>
        <v>0</v>
      </c>
      <c r="L143" s="110">
        <f>+'Gantt Proyectos'!J211</f>
        <v>0</v>
      </c>
      <c r="M143" s="110">
        <f>+'Gantt Proyectos'!K211</f>
        <v>0</v>
      </c>
      <c r="N143" s="110">
        <f>+'Gantt Proyectos'!L211</f>
        <v>0</v>
      </c>
      <c r="O143" s="110">
        <f>+'Gantt Proyectos'!M211</f>
        <v>0</v>
      </c>
      <c r="P143" s="110">
        <f>+'Gantt Proyectos'!N211</f>
        <v>0</v>
      </c>
      <c r="Q143" s="110">
        <f>+'Gantt Proyectos'!O211</f>
        <v>0</v>
      </c>
      <c r="R143" s="110">
        <f>+'Gantt Proyectos'!P211</f>
        <v>0</v>
      </c>
      <c r="S143" s="110">
        <f>+'Gantt Proyectos'!R211</f>
        <v>0</v>
      </c>
      <c r="T143" s="118">
        <f>+'Gantt Proyectos'!S211</f>
        <v>0</v>
      </c>
      <c r="U143" s="157">
        <f>+'Gantt Proyectos'!T211</f>
        <v>0</v>
      </c>
      <c r="V143" s="157">
        <f>+'Gantt Proyectos'!U211</f>
        <v>0</v>
      </c>
      <c r="W143" s="201">
        <f t="shared" si="9"/>
        <v>0</v>
      </c>
      <c r="X143" s="110">
        <f>+'Gantt Proyectos'!W211</f>
        <v>0</v>
      </c>
      <c r="Y143" s="110">
        <f>+'Gantt Proyectos'!X211</f>
        <v>0</v>
      </c>
      <c r="Z143" s="110">
        <f>+'Gantt Proyectos'!Y211</f>
        <v>0</v>
      </c>
      <c r="AA143" s="110">
        <f>+'Gantt Proyectos'!Z211</f>
        <v>0</v>
      </c>
      <c r="AB143" s="110">
        <f>+'Gantt Proyectos'!AA211</f>
        <v>0</v>
      </c>
      <c r="AC143" s="110">
        <f>+'Gantt Proyectos'!AB211</f>
        <v>0</v>
      </c>
      <c r="AD143" s="110">
        <f>+'Gantt Proyectos'!AC211</f>
        <v>0</v>
      </c>
      <c r="AE143" s="110">
        <f>+'Gantt Proyectos'!AD211</f>
        <v>0</v>
      </c>
      <c r="AF143" s="110">
        <f>+'Gantt Proyectos'!AE211</f>
        <v>0</v>
      </c>
      <c r="AG143" s="172">
        <v>1</v>
      </c>
      <c r="AH143" s="169">
        <f ca="1">+IFERROR(IF(ISNUMBER(OFFSET('EDP Proyectado'!AI143,0,-'Ingreso Proyectado'!$P143))&lt;&gt;0,IF(OFFSET('EDP Proyectado'!AI143,0,-'Ingreso Proyectado'!$P143)+0&lt;=1,0,OFFSET('EDP Proyectado'!AI143,0,-'Ingreso Proyectado'!$P143)+0)),0)</f>
        <v>0</v>
      </c>
      <c r="AI143" s="169">
        <f ca="1">+IFERROR(IF(ISNUMBER(OFFSET('EDP Proyectado'!AJ143,0,-'Ingreso Proyectado'!$P143))&lt;&gt;0,IF(OFFSET('EDP Proyectado'!AJ143,0,-'Ingreso Proyectado'!$P143)+0&lt;=1,0,OFFSET('EDP Proyectado'!AJ143,0,-'Ingreso Proyectado'!$P143)+0)),0)</f>
        <v>0</v>
      </c>
      <c r="AJ143" s="169">
        <f ca="1">+IFERROR(IF(ISNUMBER(OFFSET('EDP Proyectado'!AK143,0,-'Ingreso Proyectado'!$P143))&lt;&gt;0,IF(OFFSET('EDP Proyectado'!AK143,0,-'Ingreso Proyectado'!$P143)+0&lt;=1,0,OFFSET('EDP Proyectado'!AK143,0,-'Ingreso Proyectado'!$P143)+0)),0)</f>
        <v>0</v>
      </c>
      <c r="AK143" s="169">
        <f ca="1">+IFERROR(IF(ISNUMBER(OFFSET('EDP Proyectado'!AL143,0,-'Ingreso Proyectado'!$P143))&lt;&gt;0,IF(OFFSET('EDP Proyectado'!AL143,0,-'Ingreso Proyectado'!$P143)+0&lt;=1,0,OFFSET('EDP Proyectado'!AL143,0,-'Ingreso Proyectado'!$P143)+0)),0)</f>
        <v>0</v>
      </c>
      <c r="AL143" s="169">
        <f ca="1">+IFERROR(IF(ISNUMBER(OFFSET('EDP Proyectado'!AM143,0,-'Ingreso Proyectado'!$P143))&lt;&gt;0,IF(OFFSET('EDP Proyectado'!AM143,0,-'Ingreso Proyectado'!$P143)+0&lt;=1,0,OFFSET('EDP Proyectado'!AM143,0,-'Ingreso Proyectado'!$P143)+0)),0)</f>
        <v>0</v>
      </c>
      <c r="AM143" s="169">
        <f ca="1">+IFERROR(IF(ISNUMBER(OFFSET('EDP Proyectado'!AN143,0,-'Ingreso Proyectado'!$P143))&lt;&gt;0,IF(OFFSET('EDP Proyectado'!AN143,0,-'Ingreso Proyectado'!$P143)+0&lt;=1,0,OFFSET('EDP Proyectado'!AN143,0,-'Ingreso Proyectado'!$P143)+0)),0)</f>
        <v>0</v>
      </c>
      <c r="AN143" s="169">
        <f ca="1">+IFERROR(IF(ISNUMBER(OFFSET('EDP Proyectado'!AO143,0,-'Ingreso Proyectado'!$P143))&lt;&gt;0,IF(OFFSET('EDP Proyectado'!AO143,0,-'Ingreso Proyectado'!$P143)+0&lt;=1,0,OFFSET('EDP Proyectado'!AO143,0,-'Ingreso Proyectado'!$P143)+0)),0)</f>
        <v>0</v>
      </c>
      <c r="AO143" s="169">
        <f ca="1">+IFERROR(IF(ISNUMBER(OFFSET('EDP Proyectado'!AP143,0,-'Ingreso Proyectado'!$P143))&lt;&gt;0,IF(OFFSET('EDP Proyectado'!AP143,0,-'Ingreso Proyectado'!$P143)+0&lt;=1,0,OFFSET('EDP Proyectado'!AP143,0,-'Ingreso Proyectado'!$P143)+0)),0)</f>
        <v>0</v>
      </c>
      <c r="AP143" s="170">
        <f ca="1">+IFERROR(IF(ISNUMBER(OFFSET('EDP Proyectado'!AQ143,0,-'Ingreso Proyectado'!$P143))&lt;&gt;0,IF(OFFSET('EDP Proyectado'!AQ143,0,-'Ingreso Proyectado'!$P143)+0&lt;=1,0,OFFSET('EDP Proyectado'!AQ143,0,-'Ingreso Proyectado'!$P143)+0)),0)</f>
        <v>0</v>
      </c>
    </row>
    <row r="144" spans="3:42" x14ac:dyDescent="0.2">
      <c r="C144" s="110">
        <f>+'Gantt Proyectos'!C212</f>
        <v>0</v>
      </c>
      <c r="D144" s="110">
        <f>+'Gantt Proyectos'!D212</f>
        <v>0</v>
      </c>
      <c r="E144" s="110">
        <f>+'Gantt Proyectos'!E212</f>
        <v>0</v>
      </c>
      <c r="F144" s="148">
        <f>+'Gantt Proyectos'!F212</f>
        <v>0</v>
      </c>
      <c r="G144" s="110">
        <f>+'Gantt Proyectos'!G212</f>
        <v>0</v>
      </c>
      <c r="H144" s="110">
        <f>+'Gantt Proyectos'!H212</f>
        <v>0</v>
      </c>
      <c r="I144" s="189">
        <v>1</v>
      </c>
      <c r="J144" s="189">
        <f t="shared" si="8"/>
        <v>0</v>
      </c>
      <c r="K144" s="110">
        <f>+'Gantt Proyectos'!I212</f>
        <v>0</v>
      </c>
      <c r="L144" s="110">
        <f>+'Gantt Proyectos'!J212</f>
        <v>0</v>
      </c>
      <c r="M144" s="110">
        <f>+'Gantt Proyectos'!K212</f>
        <v>0</v>
      </c>
      <c r="N144" s="110">
        <f>+'Gantt Proyectos'!L212</f>
        <v>0</v>
      </c>
      <c r="O144" s="110">
        <f>+'Gantt Proyectos'!M212</f>
        <v>0</v>
      </c>
      <c r="P144" s="110">
        <f>+'Gantt Proyectos'!N212</f>
        <v>0</v>
      </c>
      <c r="Q144" s="110">
        <f>+'Gantt Proyectos'!O212</f>
        <v>0</v>
      </c>
      <c r="R144" s="110">
        <f>+'Gantt Proyectos'!P212</f>
        <v>0</v>
      </c>
      <c r="S144" s="110">
        <f>+'Gantt Proyectos'!R212</f>
        <v>0</v>
      </c>
      <c r="T144" s="118">
        <f>+'Gantt Proyectos'!S212</f>
        <v>0</v>
      </c>
      <c r="U144" s="157">
        <f>+'Gantt Proyectos'!T212</f>
        <v>0</v>
      </c>
      <c r="V144" s="157">
        <f>+'Gantt Proyectos'!U212</f>
        <v>0</v>
      </c>
      <c r="W144" s="201">
        <f t="shared" si="9"/>
        <v>0</v>
      </c>
      <c r="X144" s="110">
        <f>+'Gantt Proyectos'!W212</f>
        <v>0</v>
      </c>
      <c r="Y144" s="110">
        <f>+'Gantt Proyectos'!X212</f>
        <v>0</v>
      </c>
      <c r="Z144" s="110">
        <f>+'Gantt Proyectos'!Y212</f>
        <v>0</v>
      </c>
      <c r="AA144" s="110">
        <f>+'Gantt Proyectos'!Z212</f>
        <v>0</v>
      </c>
      <c r="AB144" s="110">
        <f>+'Gantt Proyectos'!AA212</f>
        <v>0</v>
      </c>
      <c r="AC144" s="110">
        <f>+'Gantt Proyectos'!AB212</f>
        <v>0</v>
      </c>
      <c r="AD144" s="110">
        <f>+'Gantt Proyectos'!AC212</f>
        <v>0</v>
      </c>
      <c r="AE144" s="110">
        <f>+'Gantt Proyectos'!AD212</f>
        <v>0</v>
      </c>
      <c r="AF144" s="110">
        <f>+'Gantt Proyectos'!AE212</f>
        <v>0</v>
      </c>
      <c r="AG144" s="172">
        <v>1</v>
      </c>
      <c r="AH144" s="169">
        <f ca="1">+IFERROR(IF(ISNUMBER(OFFSET('EDP Proyectado'!AI144,0,-'Ingreso Proyectado'!$P144))&lt;&gt;0,IF(OFFSET('EDP Proyectado'!AI144,0,-'Ingreso Proyectado'!$P144)+0&lt;=1,0,OFFSET('EDP Proyectado'!AI144,0,-'Ingreso Proyectado'!$P144)+0)),0)</f>
        <v>0</v>
      </c>
      <c r="AI144" s="169">
        <f ca="1">+IFERROR(IF(ISNUMBER(OFFSET('EDP Proyectado'!AJ144,0,-'Ingreso Proyectado'!$P144))&lt;&gt;0,IF(OFFSET('EDP Proyectado'!AJ144,0,-'Ingreso Proyectado'!$P144)+0&lt;=1,0,OFFSET('EDP Proyectado'!AJ144,0,-'Ingreso Proyectado'!$P144)+0)),0)</f>
        <v>0</v>
      </c>
      <c r="AJ144" s="169">
        <f ca="1">+IFERROR(IF(ISNUMBER(OFFSET('EDP Proyectado'!AK144,0,-'Ingreso Proyectado'!$P144))&lt;&gt;0,IF(OFFSET('EDP Proyectado'!AK144,0,-'Ingreso Proyectado'!$P144)+0&lt;=1,0,OFFSET('EDP Proyectado'!AK144,0,-'Ingreso Proyectado'!$P144)+0)),0)</f>
        <v>0</v>
      </c>
      <c r="AK144" s="169">
        <f ca="1">+IFERROR(IF(ISNUMBER(OFFSET('EDP Proyectado'!AL144,0,-'Ingreso Proyectado'!$P144))&lt;&gt;0,IF(OFFSET('EDP Proyectado'!AL144,0,-'Ingreso Proyectado'!$P144)+0&lt;=1,0,OFFSET('EDP Proyectado'!AL144,0,-'Ingreso Proyectado'!$P144)+0)),0)</f>
        <v>0</v>
      </c>
      <c r="AL144" s="169">
        <f ca="1">+IFERROR(IF(ISNUMBER(OFFSET('EDP Proyectado'!AM144,0,-'Ingreso Proyectado'!$P144))&lt;&gt;0,IF(OFFSET('EDP Proyectado'!AM144,0,-'Ingreso Proyectado'!$P144)+0&lt;=1,0,OFFSET('EDP Proyectado'!AM144,0,-'Ingreso Proyectado'!$P144)+0)),0)</f>
        <v>0</v>
      </c>
      <c r="AM144" s="169">
        <f ca="1">+IFERROR(IF(ISNUMBER(OFFSET('EDP Proyectado'!AN144,0,-'Ingreso Proyectado'!$P144))&lt;&gt;0,IF(OFFSET('EDP Proyectado'!AN144,0,-'Ingreso Proyectado'!$P144)+0&lt;=1,0,OFFSET('EDP Proyectado'!AN144,0,-'Ingreso Proyectado'!$P144)+0)),0)</f>
        <v>0</v>
      </c>
      <c r="AN144" s="169">
        <f ca="1">+IFERROR(IF(ISNUMBER(OFFSET('EDP Proyectado'!AO144,0,-'Ingreso Proyectado'!$P144))&lt;&gt;0,IF(OFFSET('EDP Proyectado'!AO144,0,-'Ingreso Proyectado'!$P144)+0&lt;=1,0,OFFSET('EDP Proyectado'!AO144,0,-'Ingreso Proyectado'!$P144)+0)),0)</f>
        <v>0</v>
      </c>
      <c r="AO144" s="169">
        <f ca="1">+IFERROR(IF(ISNUMBER(OFFSET('EDP Proyectado'!AP144,0,-'Ingreso Proyectado'!$P144))&lt;&gt;0,IF(OFFSET('EDP Proyectado'!AP144,0,-'Ingreso Proyectado'!$P144)+0&lt;=1,0,OFFSET('EDP Proyectado'!AP144,0,-'Ingreso Proyectado'!$P144)+0)),0)</f>
        <v>0</v>
      </c>
      <c r="AP144" s="170">
        <f ca="1">+IFERROR(IF(ISNUMBER(OFFSET('EDP Proyectado'!AQ144,0,-'Ingreso Proyectado'!$P144))&lt;&gt;0,IF(OFFSET('EDP Proyectado'!AQ144,0,-'Ingreso Proyectado'!$P144)+0&lt;=1,0,OFFSET('EDP Proyectado'!AQ144,0,-'Ingreso Proyectado'!$P144)+0)),0)</f>
        <v>0</v>
      </c>
    </row>
    <row r="145" spans="3:42" x14ac:dyDescent="0.2">
      <c r="C145" s="110">
        <f>+'Gantt Proyectos'!C213</f>
        <v>0</v>
      </c>
      <c r="D145" s="110">
        <f>+'Gantt Proyectos'!D213</f>
        <v>0</v>
      </c>
      <c r="E145" s="110">
        <f>+'Gantt Proyectos'!E213</f>
        <v>0</v>
      </c>
      <c r="F145" s="148">
        <f>+'Gantt Proyectos'!F213</f>
        <v>0</v>
      </c>
      <c r="G145" s="110">
        <f>+'Gantt Proyectos'!G213</f>
        <v>0</v>
      </c>
      <c r="H145" s="110">
        <f>+'Gantt Proyectos'!H213</f>
        <v>0</v>
      </c>
      <c r="I145" s="189">
        <v>1</v>
      </c>
      <c r="J145" s="189">
        <f t="shared" si="8"/>
        <v>0</v>
      </c>
      <c r="K145" s="110">
        <f>+'Gantt Proyectos'!I213</f>
        <v>0</v>
      </c>
      <c r="L145" s="110">
        <f>+'Gantt Proyectos'!J213</f>
        <v>0</v>
      </c>
      <c r="M145" s="110">
        <f>+'Gantt Proyectos'!K213</f>
        <v>0</v>
      </c>
      <c r="N145" s="110">
        <f>+'Gantt Proyectos'!L213</f>
        <v>0</v>
      </c>
      <c r="O145" s="110">
        <f>+'Gantt Proyectos'!M213</f>
        <v>0</v>
      </c>
      <c r="P145" s="110">
        <f>+'Gantt Proyectos'!N213</f>
        <v>0</v>
      </c>
      <c r="Q145" s="110">
        <f>+'Gantt Proyectos'!O213</f>
        <v>0</v>
      </c>
      <c r="R145" s="110">
        <f>+'Gantt Proyectos'!P213</f>
        <v>0</v>
      </c>
      <c r="S145" s="110">
        <f>+'Gantt Proyectos'!R213</f>
        <v>0</v>
      </c>
      <c r="T145" s="118">
        <f>+'Gantt Proyectos'!S213</f>
        <v>0</v>
      </c>
      <c r="U145" s="157">
        <f>+'Gantt Proyectos'!T213</f>
        <v>0</v>
      </c>
      <c r="V145" s="157">
        <f>+'Gantt Proyectos'!U213</f>
        <v>0</v>
      </c>
      <c r="W145" s="201">
        <f t="shared" si="9"/>
        <v>0</v>
      </c>
      <c r="X145" s="110">
        <f>+'Gantt Proyectos'!W213</f>
        <v>0</v>
      </c>
      <c r="Y145" s="110">
        <f>+'Gantt Proyectos'!X213</f>
        <v>0</v>
      </c>
      <c r="Z145" s="110">
        <f>+'Gantt Proyectos'!Y213</f>
        <v>0</v>
      </c>
      <c r="AA145" s="110">
        <f>+'Gantt Proyectos'!Z213</f>
        <v>0</v>
      </c>
      <c r="AB145" s="110">
        <f>+'Gantt Proyectos'!AA213</f>
        <v>0</v>
      </c>
      <c r="AC145" s="110">
        <f>+'Gantt Proyectos'!AB213</f>
        <v>0</v>
      </c>
      <c r="AD145" s="110">
        <f>+'Gantt Proyectos'!AC213</f>
        <v>0</v>
      </c>
      <c r="AE145" s="110">
        <f>+'Gantt Proyectos'!AD213</f>
        <v>0</v>
      </c>
      <c r="AF145" s="110">
        <f>+'Gantt Proyectos'!AE213</f>
        <v>0</v>
      </c>
      <c r="AG145" s="172">
        <v>1</v>
      </c>
      <c r="AH145" s="169">
        <f ca="1">+IFERROR(IF(ISNUMBER(OFFSET('EDP Proyectado'!AI145,0,-'Ingreso Proyectado'!$P145))&lt;&gt;0,IF(OFFSET('EDP Proyectado'!AI145,0,-'Ingreso Proyectado'!$P145)+0&lt;=1,0,OFFSET('EDP Proyectado'!AI145,0,-'Ingreso Proyectado'!$P145)+0)),0)</f>
        <v>0</v>
      </c>
      <c r="AI145" s="169">
        <f ca="1">+IFERROR(IF(ISNUMBER(OFFSET('EDP Proyectado'!AJ145,0,-'Ingreso Proyectado'!$P145))&lt;&gt;0,IF(OFFSET('EDP Proyectado'!AJ145,0,-'Ingreso Proyectado'!$P145)+0&lt;=1,0,OFFSET('EDP Proyectado'!AJ145,0,-'Ingreso Proyectado'!$P145)+0)),0)</f>
        <v>0</v>
      </c>
      <c r="AJ145" s="169">
        <f ca="1">+IFERROR(IF(ISNUMBER(OFFSET('EDP Proyectado'!AK145,0,-'Ingreso Proyectado'!$P145))&lt;&gt;0,IF(OFFSET('EDP Proyectado'!AK145,0,-'Ingreso Proyectado'!$P145)+0&lt;=1,0,OFFSET('EDP Proyectado'!AK145,0,-'Ingreso Proyectado'!$P145)+0)),0)</f>
        <v>0</v>
      </c>
      <c r="AK145" s="169">
        <f ca="1">+IFERROR(IF(ISNUMBER(OFFSET('EDP Proyectado'!AL145,0,-'Ingreso Proyectado'!$P145))&lt;&gt;0,IF(OFFSET('EDP Proyectado'!AL145,0,-'Ingreso Proyectado'!$P145)+0&lt;=1,0,OFFSET('EDP Proyectado'!AL145,0,-'Ingreso Proyectado'!$P145)+0)),0)</f>
        <v>0</v>
      </c>
      <c r="AL145" s="169">
        <f ca="1">+IFERROR(IF(ISNUMBER(OFFSET('EDP Proyectado'!AM145,0,-'Ingreso Proyectado'!$P145))&lt;&gt;0,IF(OFFSET('EDP Proyectado'!AM145,0,-'Ingreso Proyectado'!$P145)+0&lt;=1,0,OFFSET('EDP Proyectado'!AM145,0,-'Ingreso Proyectado'!$P145)+0)),0)</f>
        <v>0</v>
      </c>
      <c r="AM145" s="169">
        <f ca="1">+IFERROR(IF(ISNUMBER(OFFSET('EDP Proyectado'!AN145,0,-'Ingreso Proyectado'!$P145))&lt;&gt;0,IF(OFFSET('EDP Proyectado'!AN145,0,-'Ingreso Proyectado'!$P145)+0&lt;=1,0,OFFSET('EDP Proyectado'!AN145,0,-'Ingreso Proyectado'!$P145)+0)),0)</f>
        <v>0</v>
      </c>
      <c r="AN145" s="169">
        <f ca="1">+IFERROR(IF(ISNUMBER(OFFSET('EDP Proyectado'!AO145,0,-'Ingreso Proyectado'!$P145))&lt;&gt;0,IF(OFFSET('EDP Proyectado'!AO145,0,-'Ingreso Proyectado'!$P145)+0&lt;=1,0,OFFSET('EDP Proyectado'!AO145,0,-'Ingreso Proyectado'!$P145)+0)),0)</f>
        <v>0</v>
      </c>
      <c r="AO145" s="169">
        <f ca="1">+IFERROR(IF(ISNUMBER(OFFSET('EDP Proyectado'!AP145,0,-'Ingreso Proyectado'!$P145))&lt;&gt;0,IF(OFFSET('EDP Proyectado'!AP145,0,-'Ingreso Proyectado'!$P145)+0&lt;=1,0,OFFSET('EDP Proyectado'!AP145,0,-'Ingreso Proyectado'!$P145)+0)),0)</f>
        <v>0</v>
      </c>
      <c r="AP145" s="170">
        <f ca="1">+IFERROR(IF(ISNUMBER(OFFSET('EDP Proyectado'!AQ145,0,-'Ingreso Proyectado'!$P145))&lt;&gt;0,IF(OFFSET('EDP Proyectado'!AQ145,0,-'Ingreso Proyectado'!$P145)+0&lt;=1,0,OFFSET('EDP Proyectado'!AQ145,0,-'Ingreso Proyectado'!$P145)+0)),0)</f>
        <v>0</v>
      </c>
    </row>
    <row r="146" spans="3:42" x14ac:dyDescent="0.2">
      <c r="C146" s="110">
        <f>+'Gantt Proyectos'!C214</f>
        <v>0</v>
      </c>
      <c r="D146" s="110">
        <f>+'Gantt Proyectos'!D214</f>
        <v>0</v>
      </c>
      <c r="E146" s="110">
        <f>+'Gantt Proyectos'!E214</f>
        <v>0</v>
      </c>
      <c r="F146" s="148">
        <f>+'Gantt Proyectos'!F214</f>
        <v>0</v>
      </c>
      <c r="G146" s="110">
        <f>+'Gantt Proyectos'!G214</f>
        <v>0</v>
      </c>
      <c r="H146" s="110">
        <f>+'Gantt Proyectos'!H214</f>
        <v>0</v>
      </c>
      <c r="I146" s="189">
        <v>1</v>
      </c>
      <c r="J146" s="189">
        <f t="shared" si="8"/>
        <v>0</v>
      </c>
      <c r="K146" s="110">
        <f>+'Gantt Proyectos'!I214</f>
        <v>0</v>
      </c>
      <c r="L146" s="110">
        <f>+'Gantt Proyectos'!J214</f>
        <v>0</v>
      </c>
      <c r="M146" s="110">
        <f>+'Gantt Proyectos'!K214</f>
        <v>0</v>
      </c>
      <c r="N146" s="110">
        <f>+'Gantt Proyectos'!L214</f>
        <v>0</v>
      </c>
      <c r="O146" s="110">
        <f>+'Gantt Proyectos'!M214</f>
        <v>0</v>
      </c>
      <c r="P146" s="110">
        <f>+'Gantt Proyectos'!N214</f>
        <v>0</v>
      </c>
      <c r="Q146" s="110">
        <f>+'Gantt Proyectos'!O214</f>
        <v>0</v>
      </c>
      <c r="R146" s="110">
        <f>+'Gantt Proyectos'!P214</f>
        <v>0</v>
      </c>
      <c r="S146" s="110">
        <f>+'Gantt Proyectos'!R214</f>
        <v>0</v>
      </c>
      <c r="T146" s="118">
        <f>+'Gantt Proyectos'!S214</f>
        <v>0</v>
      </c>
      <c r="U146" s="157">
        <f>+'Gantt Proyectos'!T214</f>
        <v>0</v>
      </c>
      <c r="V146" s="157">
        <f>+'Gantt Proyectos'!U214</f>
        <v>0</v>
      </c>
      <c r="W146" s="201">
        <f t="shared" si="9"/>
        <v>0</v>
      </c>
      <c r="X146" s="110">
        <f>+'Gantt Proyectos'!W214</f>
        <v>0</v>
      </c>
      <c r="Y146" s="110">
        <f>+'Gantt Proyectos'!X214</f>
        <v>0</v>
      </c>
      <c r="Z146" s="110">
        <f>+'Gantt Proyectos'!Y214</f>
        <v>0</v>
      </c>
      <c r="AA146" s="110">
        <f>+'Gantt Proyectos'!Z214</f>
        <v>0</v>
      </c>
      <c r="AB146" s="110">
        <f>+'Gantt Proyectos'!AA214</f>
        <v>0</v>
      </c>
      <c r="AC146" s="110">
        <f>+'Gantt Proyectos'!AB214</f>
        <v>0</v>
      </c>
      <c r="AD146" s="110">
        <f>+'Gantt Proyectos'!AC214</f>
        <v>0</v>
      </c>
      <c r="AE146" s="110">
        <f>+'Gantt Proyectos'!AD214</f>
        <v>0</v>
      </c>
      <c r="AF146" s="110">
        <f>+'Gantt Proyectos'!AE214</f>
        <v>0</v>
      </c>
      <c r="AG146" s="172">
        <v>1</v>
      </c>
      <c r="AH146" s="169">
        <f ca="1">+IFERROR(IF(ISNUMBER(OFFSET('EDP Proyectado'!AI146,0,-'Ingreso Proyectado'!$P146))&lt;&gt;0,IF(OFFSET('EDP Proyectado'!AI146,0,-'Ingreso Proyectado'!$P146)+0&lt;=1,0,OFFSET('EDP Proyectado'!AI146,0,-'Ingreso Proyectado'!$P146)+0)),0)</f>
        <v>0</v>
      </c>
      <c r="AI146" s="169">
        <f ca="1">+IFERROR(IF(ISNUMBER(OFFSET('EDP Proyectado'!AJ146,0,-'Ingreso Proyectado'!$P146))&lt;&gt;0,IF(OFFSET('EDP Proyectado'!AJ146,0,-'Ingreso Proyectado'!$P146)+0&lt;=1,0,OFFSET('EDP Proyectado'!AJ146,0,-'Ingreso Proyectado'!$P146)+0)),0)</f>
        <v>0</v>
      </c>
      <c r="AJ146" s="169">
        <f ca="1">+IFERROR(IF(ISNUMBER(OFFSET('EDP Proyectado'!AK146,0,-'Ingreso Proyectado'!$P146))&lt;&gt;0,IF(OFFSET('EDP Proyectado'!AK146,0,-'Ingreso Proyectado'!$P146)+0&lt;=1,0,OFFSET('EDP Proyectado'!AK146,0,-'Ingreso Proyectado'!$P146)+0)),0)</f>
        <v>0</v>
      </c>
      <c r="AK146" s="169">
        <f ca="1">+IFERROR(IF(ISNUMBER(OFFSET('EDP Proyectado'!AL146,0,-'Ingreso Proyectado'!$P146))&lt;&gt;0,IF(OFFSET('EDP Proyectado'!AL146,0,-'Ingreso Proyectado'!$P146)+0&lt;=1,0,OFFSET('EDP Proyectado'!AL146,0,-'Ingreso Proyectado'!$P146)+0)),0)</f>
        <v>0</v>
      </c>
      <c r="AL146" s="169">
        <f ca="1">+IFERROR(IF(ISNUMBER(OFFSET('EDP Proyectado'!AM146,0,-'Ingreso Proyectado'!$P146))&lt;&gt;0,IF(OFFSET('EDP Proyectado'!AM146,0,-'Ingreso Proyectado'!$P146)+0&lt;=1,0,OFFSET('EDP Proyectado'!AM146,0,-'Ingreso Proyectado'!$P146)+0)),0)</f>
        <v>0</v>
      </c>
      <c r="AM146" s="169">
        <f ca="1">+IFERROR(IF(ISNUMBER(OFFSET('EDP Proyectado'!AN146,0,-'Ingreso Proyectado'!$P146))&lt;&gt;0,IF(OFFSET('EDP Proyectado'!AN146,0,-'Ingreso Proyectado'!$P146)+0&lt;=1,0,OFFSET('EDP Proyectado'!AN146,0,-'Ingreso Proyectado'!$P146)+0)),0)</f>
        <v>0</v>
      </c>
      <c r="AN146" s="169">
        <f ca="1">+IFERROR(IF(ISNUMBER(OFFSET('EDP Proyectado'!AO146,0,-'Ingreso Proyectado'!$P146))&lt;&gt;0,IF(OFFSET('EDP Proyectado'!AO146,0,-'Ingreso Proyectado'!$P146)+0&lt;=1,0,OFFSET('EDP Proyectado'!AO146,0,-'Ingreso Proyectado'!$P146)+0)),0)</f>
        <v>0</v>
      </c>
      <c r="AO146" s="169">
        <f ca="1">+IFERROR(IF(ISNUMBER(OFFSET('EDP Proyectado'!AP146,0,-'Ingreso Proyectado'!$P146))&lt;&gt;0,IF(OFFSET('EDP Proyectado'!AP146,0,-'Ingreso Proyectado'!$P146)+0&lt;=1,0,OFFSET('EDP Proyectado'!AP146,0,-'Ingreso Proyectado'!$P146)+0)),0)</f>
        <v>0</v>
      </c>
      <c r="AP146" s="170">
        <f ca="1">+IFERROR(IF(ISNUMBER(OFFSET('EDP Proyectado'!AQ146,0,-'Ingreso Proyectado'!$P146))&lt;&gt;0,IF(OFFSET('EDP Proyectado'!AQ146,0,-'Ingreso Proyectado'!$P146)+0&lt;=1,0,OFFSET('EDP Proyectado'!AQ146,0,-'Ingreso Proyectado'!$P146)+0)),0)</f>
        <v>0</v>
      </c>
    </row>
    <row r="147" spans="3:42" x14ac:dyDescent="0.2">
      <c r="C147" s="110">
        <f>+'Gantt Proyectos'!C215</f>
        <v>0</v>
      </c>
      <c r="D147" s="110">
        <f>+'Gantt Proyectos'!D215</f>
        <v>0</v>
      </c>
      <c r="E147" s="110">
        <f>+'Gantt Proyectos'!E215</f>
        <v>0</v>
      </c>
      <c r="F147" s="148">
        <f>+'Gantt Proyectos'!F215</f>
        <v>0</v>
      </c>
      <c r="G147" s="110">
        <f>+'Gantt Proyectos'!G215</f>
        <v>0</v>
      </c>
      <c r="H147" s="110">
        <f>+'Gantt Proyectos'!H215</f>
        <v>0</v>
      </c>
      <c r="I147" s="189">
        <v>1</v>
      </c>
      <c r="J147" s="189">
        <f t="shared" si="8"/>
        <v>0</v>
      </c>
      <c r="K147" s="110">
        <f>+'Gantt Proyectos'!I215</f>
        <v>0</v>
      </c>
      <c r="L147" s="110">
        <f>+'Gantt Proyectos'!J215</f>
        <v>0</v>
      </c>
      <c r="M147" s="110">
        <f>+'Gantt Proyectos'!K215</f>
        <v>0</v>
      </c>
      <c r="N147" s="110">
        <f>+'Gantt Proyectos'!L215</f>
        <v>0</v>
      </c>
      <c r="O147" s="110">
        <f>+'Gantt Proyectos'!M215</f>
        <v>0</v>
      </c>
      <c r="P147" s="110">
        <f>+'Gantt Proyectos'!N215</f>
        <v>0</v>
      </c>
      <c r="Q147" s="110">
        <f>+'Gantt Proyectos'!O215</f>
        <v>0</v>
      </c>
      <c r="R147" s="110">
        <f>+'Gantt Proyectos'!P215</f>
        <v>0</v>
      </c>
      <c r="S147" s="110">
        <f>+'Gantt Proyectos'!R215</f>
        <v>0</v>
      </c>
      <c r="T147" s="118">
        <f>+'Gantt Proyectos'!S215</f>
        <v>0</v>
      </c>
      <c r="U147" s="157">
        <f>+'Gantt Proyectos'!T215</f>
        <v>0</v>
      </c>
      <c r="V147" s="157">
        <f>+'Gantt Proyectos'!U215</f>
        <v>0</v>
      </c>
      <c r="W147" s="201">
        <f t="shared" si="9"/>
        <v>0</v>
      </c>
      <c r="X147" s="110">
        <f>+'Gantt Proyectos'!W215</f>
        <v>0</v>
      </c>
      <c r="Y147" s="110">
        <f>+'Gantt Proyectos'!X215</f>
        <v>0</v>
      </c>
      <c r="Z147" s="110">
        <f>+'Gantt Proyectos'!Y215</f>
        <v>0</v>
      </c>
      <c r="AA147" s="110">
        <f>+'Gantt Proyectos'!Z215</f>
        <v>0</v>
      </c>
      <c r="AB147" s="110">
        <f>+'Gantt Proyectos'!AA215</f>
        <v>0</v>
      </c>
      <c r="AC147" s="110">
        <f>+'Gantt Proyectos'!AB215</f>
        <v>0</v>
      </c>
      <c r="AD147" s="110">
        <f>+'Gantt Proyectos'!AC215</f>
        <v>0</v>
      </c>
      <c r="AE147" s="110">
        <f>+'Gantt Proyectos'!AD215</f>
        <v>0</v>
      </c>
      <c r="AF147" s="110">
        <f>+'Gantt Proyectos'!AE215</f>
        <v>0</v>
      </c>
      <c r="AG147" s="172">
        <v>1</v>
      </c>
      <c r="AH147" s="169">
        <f ca="1">+IFERROR(IF(ISNUMBER(OFFSET('EDP Proyectado'!AI147,0,-'Ingreso Proyectado'!$P147))&lt;&gt;0,IF(OFFSET('EDP Proyectado'!AI147,0,-'Ingreso Proyectado'!$P147)+0&lt;=1,0,OFFSET('EDP Proyectado'!AI147,0,-'Ingreso Proyectado'!$P147)+0)),0)</f>
        <v>0</v>
      </c>
      <c r="AI147" s="169">
        <f ca="1">+IFERROR(IF(ISNUMBER(OFFSET('EDP Proyectado'!AJ147,0,-'Ingreso Proyectado'!$P147))&lt;&gt;0,IF(OFFSET('EDP Proyectado'!AJ147,0,-'Ingreso Proyectado'!$P147)+0&lt;=1,0,OFFSET('EDP Proyectado'!AJ147,0,-'Ingreso Proyectado'!$P147)+0)),0)</f>
        <v>0</v>
      </c>
      <c r="AJ147" s="169">
        <f ca="1">+IFERROR(IF(ISNUMBER(OFFSET('EDP Proyectado'!AK147,0,-'Ingreso Proyectado'!$P147))&lt;&gt;0,IF(OFFSET('EDP Proyectado'!AK147,0,-'Ingreso Proyectado'!$P147)+0&lt;=1,0,OFFSET('EDP Proyectado'!AK147,0,-'Ingreso Proyectado'!$P147)+0)),0)</f>
        <v>0</v>
      </c>
      <c r="AK147" s="169">
        <f ca="1">+IFERROR(IF(ISNUMBER(OFFSET('EDP Proyectado'!AL147,0,-'Ingreso Proyectado'!$P147))&lt;&gt;0,IF(OFFSET('EDP Proyectado'!AL147,0,-'Ingreso Proyectado'!$P147)+0&lt;=1,0,OFFSET('EDP Proyectado'!AL147,0,-'Ingreso Proyectado'!$P147)+0)),0)</f>
        <v>0</v>
      </c>
      <c r="AL147" s="169">
        <f ca="1">+IFERROR(IF(ISNUMBER(OFFSET('EDP Proyectado'!AM147,0,-'Ingreso Proyectado'!$P147))&lt;&gt;0,IF(OFFSET('EDP Proyectado'!AM147,0,-'Ingreso Proyectado'!$P147)+0&lt;=1,0,OFFSET('EDP Proyectado'!AM147,0,-'Ingreso Proyectado'!$P147)+0)),0)</f>
        <v>0</v>
      </c>
      <c r="AM147" s="169">
        <f ca="1">+IFERROR(IF(ISNUMBER(OFFSET('EDP Proyectado'!AN147,0,-'Ingreso Proyectado'!$P147))&lt;&gt;0,IF(OFFSET('EDP Proyectado'!AN147,0,-'Ingreso Proyectado'!$P147)+0&lt;=1,0,OFFSET('EDP Proyectado'!AN147,0,-'Ingreso Proyectado'!$P147)+0)),0)</f>
        <v>0</v>
      </c>
      <c r="AN147" s="169">
        <f ca="1">+IFERROR(IF(ISNUMBER(OFFSET('EDP Proyectado'!AO147,0,-'Ingreso Proyectado'!$P147))&lt;&gt;0,IF(OFFSET('EDP Proyectado'!AO147,0,-'Ingreso Proyectado'!$P147)+0&lt;=1,0,OFFSET('EDP Proyectado'!AO147,0,-'Ingreso Proyectado'!$P147)+0)),0)</f>
        <v>0</v>
      </c>
      <c r="AO147" s="169">
        <f ca="1">+IFERROR(IF(ISNUMBER(OFFSET('EDP Proyectado'!AP147,0,-'Ingreso Proyectado'!$P147))&lt;&gt;0,IF(OFFSET('EDP Proyectado'!AP147,0,-'Ingreso Proyectado'!$P147)+0&lt;=1,0,OFFSET('EDP Proyectado'!AP147,0,-'Ingreso Proyectado'!$P147)+0)),0)</f>
        <v>0</v>
      </c>
      <c r="AP147" s="170">
        <f ca="1">+IFERROR(IF(ISNUMBER(OFFSET('EDP Proyectado'!AQ147,0,-'Ingreso Proyectado'!$P147))&lt;&gt;0,IF(OFFSET('EDP Proyectado'!AQ147,0,-'Ingreso Proyectado'!$P147)+0&lt;=1,0,OFFSET('EDP Proyectado'!AQ147,0,-'Ingreso Proyectado'!$P147)+0)),0)</f>
        <v>0</v>
      </c>
    </row>
    <row r="148" spans="3:42" x14ac:dyDescent="0.2">
      <c r="C148" s="110">
        <f>+'Gantt Proyectos'!C216</f>
        <v>0</v>
      </c>
      <c r="D148" s="110">
        <f>+'Gantt Proyectos'!D216</f>
        <v>0</v>
      </c>
      <c r="E148" s="110">
        <f>+'Gantt Proyectos'!E216</f>
        <v>0</v>
      </c>
      <c r="F148" s="148">
        <f>+'Gantt Proyectos'!F216</f>
        <v>0</v>
      </c>
      <c r="G148" s="110">
        <f>+'Gantt Proyectos'!G216</f>
        <v>0</v>
      </c>
      <c r="H148" s="110">
        <f>+'Gantt Proyectos'!H216</f>
        <v>0</v>
      </c>
      <c r="I148" s="189">
        <v>1</v>
      </c>
      <c r="J148" s="189">
        <f t="shared" si="8"/>
        <v>0</v>
      </c>
      <c r="K148" s="110">
        <f>+'Gantt Proyectos'!I216</f>
        <v>0</v>
      </c>
      <c r="L148" s="110">
        <f>+'Gantt Proyectos'!J216</f>
        <v>0</v>
      </c>
      <c r="M148" s="110">
        <f>+'Gantt Proyectos'!K216</f>
        <v>0</v>
      </c>
      <c r="N148" s="110">
        <f>+'Gantt Proyectos'!L216</f>
        <v>0</v>
      </c>
      <c r="O148" s="110">
        <f>+'Gantt Proyectos'!M216</f>
        <v>0</v>
      </c>
      <c r="P148" s="110">
        <f>+'Gantt Proyectos'!N216</f>
        <v>0</v>
      </c>
      <c r="Q148" s="110">
        <f>+'Gantt Proyectos'!O216</f>
        <v>0</v>
      </c>
      <c r="R148" s="110">
        <f>+'Gantt Proyectos'!P216</f>
        <v>0</v>
      </c>
      <c r="S148" s="110">
        <f>+'Gantt Proyectos'!R216</f>
        <v>0</v>
      </c>
      <c r="T148" s="118">
        <f>+'Gantt Proyectos'!S216</f>
        <v>0</v>
      </c>
      <c r="U148" s="157">
        <f>+'Gantt Proyectos'!T216</f>
        <v>0</v>
      </c>
      <c r="V148" s="157">
        <f>+'Gantt Proyectos'!U216</f>
        <v>0</v>
      </c>
      <c r="W148" s="201">
        <f t="shared" si="9"/>
        <v>0</v>
      </c>
      <c r="X148" s="110">
        <f>+'Gantt Proyectos'!W216</f>
        <v>0</v>
      </c>
      <c r="Y148" s="110">
        <f>+'Gantt Proyectos'!X216</f>
        <v>0</v>
      </c>
      <c r="Z148" s="110">
        <f>+'Gantt Proyectos'!Y216</f>
        <v>0</v>
      </c>
      <c r="AA148" s="110">
        <f>+'Gantt Proyectos'!Z216</f>
        <v>0</v>
      </c>
      <c r="AB148" s="110">
        <f>+'Gantt Proyectos'!AA216</f>
        <v>0</v>
      </c>
      <c r="AC148" s="110">
        <f>+'Gantt Proyectos'!AB216</f>
        <v>0</v>
      </c>
      <c r="AD148" s="110">
        <f>+'Gantt Proyectos'!AC216</f>
        <v>0</v>
      </c>
      <c r="AE148" s="110">
        <f>+'Gantt Proyectos'!AD216</f>
        <v>0</v>
      </c>
      <c r="AF148" s="110">
        <f>+'Gantt Proyectos'!AE216</f>
        <v>0</v>
      </c>
      <c r="AG148" s="172">
        <v>1</v>
      </c>
      <c r="AH148" s="169">
        <f ca="1">+IFERROR(IF(ISNUMBER(OFFSET('EDP Proyectado'!AI148,0,-'Ingreso Proyectado'!$P148))&lt;&gt;0,IF(OFFSET('EDP Proyectado'!AI148,0,-'Ingreso Proyectado'!$P148)+0&lt;=1,0,OFFSET('EDP Proyectado'!AI148,0,-'Ingreso Proyectado'!$P148)+0)),0)</f>
        <v>0</v>
      </c>
      <c r="AI148" s="169">
        <f ca="1">+IFERROR(IF(ISNUMBER(OFFSET('EDP Proyectado'!AJ148,0,-'Ingreso Proyectado'!$P148))&lt;&gt;0,IF(OFFSET('EDP Proyectado'!AJ148,0,-'Ingreso Proyectado'!$P148)+0&lt;=1,0,OFFSET('EDP Proyectado'!AJ148,0,-'Ingreso Proyectado'!$P148)+0)),0)</f>
        <v>0</v>
      </c>
      <c r="AJ148" s="169">
        <f ca="1">+IFERROR(IF(ISNUMBER(OFFSET('EDP Proyectado'!AK148,0,-'Ingreso Proyectado'!$P148))&lt;&gt;0,IF(OFFSET('EDP Proyectado'!AK148,0,-'Ingreso Proyectado'!$P148)+0&lt;=1,0,OFFSET('EDP Proyectado'!AK148,0,-'Ingreso Proyectado'!$P148)+0)),0)</f>
        <v>0</v>
      </c>
      <c r="AK148" s="169">
        <f ca="1">+IFERROR(IF(ISNUMBER(OFFSET('EDP Proyectado'!AL148,0,-'Ingreso Proyectado'!$P148))&lt;&gt;0,IF(OFFSET('EDP Proyectado'!AL148,0,-'Ingreso Proyectado'!$P148)+0&lt;=1,0,OFFSET('EDP Proyectado'!AL148,0,-'Ingreso Proyectado'!$P148)+0)),0)</f>
        <v>0</v>
      </c>
      <c r="AL148" s="169">
        <f ca="1">+IFERROR(IF(ISNUMBER(OFFSET('EDP Proyectado'!AM148,0,-'Ingreso Proyectado'!$P148))&lt;&gt;0,IF(OFFSET('EDP Proyectado'!AM148,0,-'Ingreso Proyectado'!$P148)+0&lt;=1,0,OFFSET('EDP Proyectado'!AM148,0,-'Ingreso Proyectado'!$P148)+0)),0)</f>
        <v>0</v>
      </c>
      <c r="AM148" s="169">
        <f ca="1">+IFERROR(IF(ISNUMBER(OFFSET('EDP Proyectado'!AN148,0,-'Ingreso Proyectado'!$P148))&lt;&gt;0,IF(OFFSET('EDP Proyectado'!AN148,0,-'Ingreso Proyectado'!$P148)+0&lt;=1,0,OFFSET('EDP Proyectado'!AN148,0,-'Ingreso Proyectado'!$P148)+0)),0)</f>
        <v>0</v>
      </c>
      <c r="AN148" s="169">
        <f ca="1">+IFERROR(IF(ISNUMBER(OFFSET('EDP Proyectado'!AO148,0,-'Ingreso Proyectado'!$P148))&lt;&gt;0,IF(OFFSET('EDP Proyectado'!AO148,0,-'Ingreso Proyectado'!$P148)+0&lt;=1,0,OFFSET('EDP Proyectado'!AO148,0,-'Ingreso Proyectado'!$P148)+0)),0)</f>
        <v>0</v>
      </c>
      <c r="AO148" s="169">
        <f ca="1">+IFERROR(IF(ISNUMBER(OFFSET('EDP Proyectado'!AP148,0,-'Ingreso Proyectado'!$P148))&lt;&gt;0,IF(OFFSET('EDP Proyectado'!AP148,0,-'Ingreso Proyectado'!$P148)+0&lt;=1,0,OFFSET('EDP Proyectado'!AP148,0,-'Ingreso Proyectado'!$P148)+0)),0)</f>
        <v>0</v>
      </c>
      <c r="AP148" s="170">
        <f ca="1">+IFERROR(IF(ISNUMBER(OFFSET('EDP Proyectado'!AQ148,0,-'Ingreso Proyectado'!$P148))&lt;&gt;0,IF(OFFSET('EDP Proyectado'!AQ148,0,-'Ingreso Proyectado'!$P148)+0&lt;=1,0,OFFSET('EDP Proyectado'!AQ148,0,-'Ingreso Proyectado'!$P148)+0)),0)</f>
        <v>0</v>
      </c>
    </row>
    <row r="149" spans="3:42" x14ac:dyDescent="0.2">
      <c r="C149" s="110">
        <f>+'Gantt Proyectos'!C217</f>
        <v>0</v>
      </c>
      <c r="D149" s="110">
        <f>+'Gantt Proyectos'!D217</f>
        <v>0</v>
      </c>
      <c r="E149" s="110">
        <f>+'Gantt Proyectos'!E217</f>
        <v>0</v>
      </c>
      <c r="F149" s="148">
        <f>+'Gantt Proyectos'!F217</f>
        <v>0</v>
      </c>
      <c r="G149" s="110">
        <f>+'Gantt Proyectos'!G217</f>
        <v>0</v>
      </c>
      <c r="H149" s="110">
        <f>+'Gantt Proyectos'!H217</f>
        <v>0</v>
      </c>
      <c r="I149" s="189">
        <v>1</v>
      </c>
      <c r="J149" s="189">
        <f t="shared" si="8"/>
        <v>0</v>
      </c>
      <c r="K149" s="110">
        <f>+'Gantt Proyectos'!I217</f>
        <v>0</v>
      </c>
      <c r="L149" s="110">
        <f>+'Gantt Proyectos'!J217</f>
        <v>0</v>
      </c>
      <c r="M149" s="110">
        <f>+'Gantt Proyectos'!K217</f>
        <v>0</v>
      </c>
      <c r="N149" s="110">
        <f>+'Gantt Proyectos'!L217</f>
        <v>0</v>
      </c>
      <c r="O149" s="110">
        <f>+'Gantt Proyectos'!M217</f>
        <v>0</v>
      </c>
      <c r="P149" s="110">
        <f>+'Gantt Proyectos'!N217</f>
        <v>0</v>
      </c>
      <c r="Q149" s="110">
        <f>+'Gantt Proyectos'!O217</f>
        <v>0</v>
      </c>
      <c r="R149" s="110">
        <f>+'Gantt Proyectos'!P217</f>
        <v>0</v>
      </c>
      <c r="S149" s="110">
        <f>+'Gantt Proyectos'!R217</f>
        <v>0</v>
      </c>
      <c r="T149" s="118">
        <f>+'Gantt Proyectos'!S217</f>
        <v>0</v>
      </c>
      <c r="U149" s="157">
        <f>+'Gantt Proyectos'!T217</f>
        <v>0</v>
      </c>
      <c r="V149" s="157">
        <f>+'Gantt Proyectos'!U217</f>
        <v>0</v>
      </c>
      <c r="W149" s="201">
        <f t="shared" si="9"/>
        <v>0</v>
      </c>
      <c r="X149" s="110">
        <f>+'Gantt Proyectos'!W217</f>
        <v>0</v>
      </c>
      <c r="Y149" s="110">
        <f>+'Gantt Proyectos'!X217</f>
        <v>0</v>
      </c>
      <c r="Z149" s="110">
        <f>+'Gantt Proyectos'!Y217</f>
        <v>0</v>
      </c>
      <c r="AA149" s="110">
        <f>+'Gantt Proyectos'!Z217</f>
        <v>0</v>
      </c>
      <c r="AB149" s="110">
        <f>+'Gantt Proyectos'!AA217</f>
        <v>0</v>
      </c>
      <c r="AC149" s="110">
        <f>+'Gantt Proyectos'!AB217</f>
        <v>0</v>
      </c>
      <c r="AD149" s="110">
        <f>+'Gantt Proyectos'!AC217</f>
        <v>0</v>
      </c>
      <c r="AE149" s="110">
        <f>+'Gantt Proyectos'!AD217</f>
        <v>0</v>
      </c>
      <c r="AF149" s="110">
        <f>+'Gantt Proyectos'!AE217</f>
        <v>0</v>
      </c>
      <c r="AG149" s="172">
        <v>1</v>
      </c>
      <c r="AH149" s="169">
        <f ca="1">+IFERROR(IF(ISNUMBER(OFFSET('EDP Proyectado'!AI149,0,-'Ingreso Proyectado'!$P149))&lt;&gt;0,IF(OFFSET('EDP Proyectado'!AI149,0,-'Ingreso Proyectado'!$P149)+0&lt;=1,0,OFFSET('EDP Proyectado'!AI149,0,-'Ingreso Proyectado'!$P149)+0)),0)</f>
        <v>0</v>
      </c>
      <c r="AI149" s="169">
        <f ca="1">+IFERROR(IF(ISNUMBER(OFFSET('EDP Proyectado'!AJ149,0,-'Ingreso Proyectado'!$P149))&lt;&gt;0,IF(OFFSET('EDP Proyectado'!AJ149,0,-'Ingreso Proyectado'!$P149)+0&lt;=1,0,OFFSET('EDP Proyectado'!AJ149,0,-'Ingreso Proyectado'!$P149)+0)),0)</f>
        <v>0</v>
      </c>
      <c r="AJ149" s="169">
        <f ca="1">+IFERROR(IF(ISNUMBER(OFFSET('EDP Proyectado'!AK149,0,-'Ingreso Proyectado'!$P149))&lt;&gt;0,IF(OFFSET('EDP Proyectado'!AK149,0,-'Ingreso Proyectado'!$P149)+0&lt;=1,0,OFFSET('EDP Proyectado'!AK149,0,-'Ingreso Proyectado'!$P149)+0)),0)</f>
        <v>0</v>
      </c>
      <c r="AK149" s="169">
        <f ca="1">+IFERROR(IF(ISNUMBER(OFFSET('EDP Proyectado'!AL149,0,-'Ingreso Proyectado'!$P149))&lt;&gt;0,IF(OFFSET('EDP Proyectado'!AL149,0,-'Ingreso Proyectado'!$P149)+0&lt;=1,0,OFFSET('EDP Proyectado'!AL149,0,-'Ingreso Proyectado'!$P149)+0)),0)</f>
        <v>0</v>
      </c>
      <c r="AL149" s="169">
        <f ca="1">+IFERROR(IF(ISNUMBER(OFFSET('EDP Proyectado'!AM149,0,-'Ingreso Proyectado'!$P149))&lt;&gt;0,IF(OFFSET('EDP Proyectado'!AM149,0,-'Ingreso Proyectado'!$P149)+0&lt;=1,0,OFFSET('EDP Proyectado'!AM149,0,-'Ingreso Proyectado'!$P149)+0)),0)</f>
        <v>0</v>
      </c>
      <c r="AM149" s="169">
        <f ca="1">+IFERROR(IF(ISNUMBER(OFFSET('EDP Proyectado'!AN149,0,-'Ingreso Proyectado'!$P149))&lt;&gt;0,IF(OFFSET('EDP Proyectado'!AN149,0,-'Ingreso Proyectado'!$P149)+0&lt;=1,0,OFFSET('EDP Proyectado'!AN149,0,-'Ingreso Proyectado'!$P149)+0)),0)</f>
        <v>0</v>
      </c>
      <c r="AN149" s="169">
        <f ca="1">+IFERROR(IF(ISNUMBER(OFFSET('EDP Proyectado'!AO149,0,-'Ingreso Proyectado'!$P149))&lt;&gt;0,IF(OFFSET('EDP Proyectado'!AO149,0,-'Ingreso Proyectado'!$P149)+0&lt;=1,0,OFFSET('EDP Proyectado'!AO149,0,-'Ingreso Proyectado'!$P149)+0)),0)</f>
        <v>0</v>
      </c>
      <c r="AO149" s="169">
        <f ca="1">+IFERROR(IF(ISNUMBER(OFFSET('EDP Proyectado'!AP149,0,-'Ingreso Proyectado'!$P149))&lt;&gt;0,IF(OFFSET('EDP Proyectado'!AP149,0,-'Ingreso Proyectado'!$P149)+0&lt;=1,0,OFFSET('EDP Proyectado'!AP149,0,-'Ingreso Proyectado'!$P149)+0)),0)</f>
        <v>0</v>
      </c>
      <c r="AP149" s="170">
        <f ca="1">+IFERROR(IF(ISNUMBER(OFFSET('EDP Proyectado'!AQ149,0,-'Ingreso Proyectado'!$P149))&lt;&gt;0,IF(OFFSET('EDP Proyectado'!AQ149,0,-'Ingreso Proyectado'!$P149)+0&lt;=1,0,OFFSET('EDP Proyectado'!AQ149,0,-'Ingreso Proyectado'!$P149)+0)),0)</f>
        <v>0</v>
      </c>
    </row>
    <row r="150" spans="3:42" x14ac:dyDescent="0.2">
      <c r="C150" s="110">
        <f>+'Gantt Proyectos'!C218</f>
        <v>0</v>
      </c>
      <c r="D150" s="110">
        <f>+'Gantt Proyectos'!D218</f>
        <v>0</v>
      </c>
      <c r="E150" s="110">
        <f>+'Gantt Proyectos'!E218</f>
        <v>0</v>
      </c>
      <c r="F150" s="148">
        <f>+'Gantt Proyectos'!F218</f>
        <v>0</v>
      </c>
      <c r="G150" s="110">
        <f>+'Gantt Proyectos'!G218</f>
        <v>0</v>
      </c>
      <c r="H150" s="110">
        <f>+'Gantt Proyectos'!H218</f>
        <v>0</v>
      </c>
      <c r="I150" s="189">
        <v>1</v>
      </c>
      <c r="J150" s="189">
        <f t="shared" si="8"/>
        <v>0</v>
      </c>
      <c r="K150" s="110">
        <f>+'Gantt Proyectos'!I218</f>
        <v>0</v>
      </c>
      <c r="L150" s="110">
        <f>+'Gantt Proyectos'!J218</f>
        <v>0</v>
      </c>
      <c r="M150" s="110">
        <f>+'Gantt Proyectos'!K218</f>
        <v>0</v>
      </c>
      <c r="N150" s="110">
        <f>+'Gantt Proyectos'!L218</f>
        <v>0</v>
      </c>
      <c r="O150" s="110">
        <f>+'Gantt Proyectos'!M218</f>
        <v>0</v>
      </c>
      <c r="P150" s="110">
        <f>+'Gantt Proyectos'!N218</f>
        <v>0</v>
      </c>
      <c r="Q150" s="110">
        <f>+'Gantt Proyectos'!O218</f>
        <v>0</v>
      </c>
      <c r="R150" s="110">
        <f>+'Gantt Proyectos'!P218</f>
        <v>0</v>
      </c>
      <c r="S150" s="110">
        <f>+'Gantt Proyectos'!R218</f>
        <v>0</v>
      </c>
      <c r="T150" s="118">
        <f>+'Gantt Proyectos'!S218</f>
        <v>0</v>
      </c>
      <c r="U150" s="157">
        <f>+'Gantt Proyectos'!T218</f>
        <v>0</v>
      </c>
      <c r="V150" s="157">
        <f>+'Gantt Proyectos'!U218</f>
        <v>0</v>
      </c>
      <c r="W150" s="201">
        <f t="shared" si="9"/>
        <v>0</v>
      </c>
      <c r="X150" s="110">
        <f>+'Gantt Proyectos'!W218</f>
        <v>0</v>
      </c>
      <c r="Y150" s="110">
        <f>+'Gantt Proyectos'!X218</f>
        <v>0</v>
      </c>
      <c r="Z150" s="110">
        <f>+'Gantt Proyectos'!Y218</f>
        <v>0</v>
      </c>
      <c r="AA150" s="110">
        <f>+'Gantt Proyectos'!Z218</f>
        <v>0</v>
      </c>
      <c r="AB150" s="110">
        <f>+'Gantt Proyectos'!AA218</f>
        <v>0</v>
      </c>
      <c r="AC150" s="110">
        <f>+'Gantt Proyectos'!AB218</f>
        <v>0</v>
      </c>
      <c r="AD150" s="110">
        <f>+'Gantt Proyectos'!AC218</f>
        <v>0</v>
      </c>
      <c r="AE150" s="110">
        <f>+'Gantt Proyectos'!AD218</f>
        <v>0</v>
      </c>
      <c r="AF150" s="110">
        <f>+'Gantt Proyectos'!AE218</f>
        <v>0</v>
      </c>
      <c r="AG150" s="172">
        <v>1</v>
      </c>
      <c r="AH150" s="169">
        <f ca="1">+IFERROR(IF(ISNUMBER(OFFSET('EDP Proyectado'!AI150,0,-'Ingreso Proyectado'!$P150))&lt;&gt;0,IF(OFFSET('EDP Proyectado'!AI150,0,-'Ingreso Proyectado'!$P150)+0&lt;=1,0,OFFSET('EDP Proyectado'!AI150,0,-'Ingreso Proyectado'!$P150)+0)),0)</f>
        <v>0</v>
      </c>
      <c r="AI150" s="169">
        <f ca="1">+IFERROR(IF(ISNUMBER(OFFSET('EDP Proyectado'!AJ150,0,-'Ingreso Proyectado'!$P150))&lt;&gt;0,IF(OFFSET('EDP Proyectado'!AJ150,0,-'Ingreso Proyectado'!$P150)+0&lt;=1,0,OFFSET('EDP Proyectado'!AJ150,0,-'Ingreso Proyectado'!$P150)+0)),0)</f>
        <v>0</v>
      </c>
      <c r="AJ150" s="169">
        <f ca="1">+IFERROR(IF(ISNUMBER(OFFSET('EDP Proyectado'!AK150,0,-'Ingreso Proyectado'!$P150))&lt;&gt;0,IF(OFFSET('EDP Proyectado'!AK150,0,-'Ingreso Proyectado'!$P150)+0&lt;=1,0,OFFSET('EDP Proyectado'!AK150,0,-'Ingreso Proyectado'!$P150)+0)),0)</f>
        <v>0</v>
      </c>
      <c r="AK150" s="169">
        <f ca="1">+IFERROR(IF(ISNUMBER(OFFSET('EDP Proyectado'!AL150,0,-'Ingreso Proyectado'!$P150))&lt;&gt;0,IF(OFFSET('EDP Proyectado'!AL150,0,-'Ingreso Proyectado'!$P150)+0&lt;=1,0,OFFSET('EDP Proyectado'!AL150,0,-'Ingreso Proyectado'!$P150)+0)),0)</f>
        <v>0</v>
      </c>
      <c r="AL150" s="169">
        <f ca="1">+IFERROR(IF(ISNUMBER(OFFSET('EDP Proyectado'!AM150,0,-'Ingreso Proyectado'!$P150))&lt;&gt;0,IF(OFFSET('EDP Proyectado'!AM150,0,-'Ingreso Proyectado'!$P150)+0&lt;=1,0,OFFSET('EDP Proyectado'!AM150,0,-'Ingreso Proyectado'!$P150)+0)),0)</f>
        <v>0</v>
      </c>
      <c r="AM150" s="169">
        <f ca="1">+IFERROR(IF(ISNUMBER(OFFSET('EDP Proyectado'!AN150,0,-'Ingreso Proyectado'!$P150))&lt;&gt;0,IF(OFFSET('EDP Proyectado'!AN150,0,-'Ingreso Proyectado'!$P150)+0&lt;=1,0,OFFSET('EDP Proyectado'!AN150,0,-'Ingreso Proyectado'!$P150)+0)),0)</f>
        <v>0</v>
      </c>
      <c r="AN150" s="169">
        <f ca="1">+IFERROR(IF(ISNUMBER(OFFSET('EDP Proyectado'!AO150,0,-'Ingreso Proyectado'!$P150))&lt;&gt;0,IF(OFFSET('EDP Proyectado'!AO150,0,-'Ingreso Proyectado'!$P150)+0&lt;=1,0,OFFSET('EDP Proyectado'!AO150,0,-'Ingreso Proyectado'!$P150)+0)),0)</f>
        <v>0</v>
      </c>
      <c r="AO150" s="169">
        <f ca="1">+IFERROR(IF(ISNUMBER(OFFSET('EDP Proyectado'!AP150,0,-'Ingreso Proyectado'!$P150))&lt;&gt;0,IF(OFFSET('EDP Proyectado'!AP150,0,-'Ingreso Proyectado'!$P150)+0&lt;=1,0,OFFSET('EDP Proyectado'!AP150,0,-'Ingreso Proyectado'!$P150)+0)),0)</f>
        <v>0</v>
      </c>
      <c r="AP150" s="170">
        <f ca="1">+IFERROR(IF(ISNUMBER(OFFSET('EDP Proyectado'!AQ150,0,-'Ingreso Proyectado'!$P150))&lt;&gt;0,IF(OFFSET('EDP Proyectado'!AQ150,0,-'Ingreso Proyectado'!$P150)+0&lt;=1,0,OFFSET('EDP Proyectado'!AQ150,0,-'Ingreso Proyectado'!$P150)+0)),0)</f>
        <v>0</v>
      </c>
    </row>
    <row r="151" spans="3:42" x14ac:dyDescent="0.2">
      <c r="C151" s="110">
        <f>+'Gantt Proyectos'!C219</f>
        <v>0</v>
      </c>
      <c r="D151" s="110">
        <f>+'Gantt Proyectos'!D219</f>
        <v>0</v>
      </c>
      <c r="E151" s="110">
        <f>+'Gantt Proyectos'!E219</f>
        <v>0</v>
      </c>
      <c r="F151" s="148">
        <f>+'Gantt Proyectos'!F219</f>
        <v>0</v>
      </c>
      <c r="G151" s="110">
        <f>+'Gantt Proyectos'!G219</f>
        <v>0</v>
      </c>
      <c r="H151" s="110">
        <f>+'Gantt Proyectos'!H219</f>
        <v>0</v>
      </c>
      <c r="I151" s="189">
        <v>1</v>
      </c>
      <c r="J151" s="189">
        <f t="shared" si="8"/>
        <v>0</v>
      </c>
      <c r="K151" s="110">
        <f>+'Gantt Proyectos'!I219</f>
        <v>0</v>
      </c>
      <c r="L151" s="110">
        <f>+'Gantt Proyectos'!J219</f>
        <v>0</v>
      </c>
      <c r="M151" s="110">
        <f>+'Gantt Proyectos'!K219</f>
        <v>0</v>
      </c>
      <c r="N151" s="110">
        <f>+'Gantt Proyectos'!L219</f>
        <v>0</v>
      </c>
      <c r="O151" s="110">
        <f>+'Gantt Proyectos'!M219</f>
        <v>0</v>
      </c>
      <c r="P151" s="110">
        <f>+'Gantt Proyectos'!N219</f>
        <v>0</v>
      </c>
      <c r="Q151" s="110">
        <f>+'Gantt Proyectos'!O219</f>
        <v>0</v>
      </c>
      <c r="R151" s="110">
        <f>+'Gantt Proyectos'!P219</f>
        <v>0</v>
      </c>
      <c r="S151" s="110">
        <f>+'Gantt Proyectos'!R219</f>
        <v>0</v>
      </c>
      <c r="T151" s="118">
        <f>+'Gantt Proyectos'!S219</f>
        <v>0</v>
      </c>
      <c r="U151" s="157">
        <f>+'Gantt Proyectos'!T219</f>
        <v>0</v>
      </c>
      <c r="V151" s="157">
        <f>+'Gantt Proyectos'!U219</f>
        <v>0</v>
      </c>
      <c r="W151" s="201">
        <f t="shared" si="9"/>
        <v>0</v>
      </c>
      <c r="X151" s="110">
        <f>+'Gantt Proyectos'!W219</f>
        <v>0</v>
      </c>
      <c r="Y151" s="110">
        <f>+'Gantt Proyectos'!X219</f>
        <v>0</v>
      </c>
      <c r="Z151" s="110">
        <f>+'Gantt Proyectos'!Y219</f>
        <v>0</v>
      </c>
      <c r="AA151" s="110">
        <f>+'Gantt Proyectos'!Z219</f>
        <v>0</v>
      </c>
      <c r="AB151" s="110">
        <f>+'Gantt Proyectos'!AA219</f>
        <v>0</v>
      </c>
      <c r="AC151" s="110">
        <f>+'Gantt Proyectos'!AB219</f>
        <v>0</v>
      </c>
      <c r="AD151" s="110">
        <f>+'Gantt Proyectos'!AC219</f>
        <v>0</v>
      </c>
      <c r="AE151" s="110">
        <f>+'Gantt Proyectos'!AD219</f>
        <v>0</v>
      </c>
      <c r="AF151" s="110">
        <f>+'Gantt Proyectos'!AE219</f>
        <v>0</v>
      </c>
      <c r="AG151" s="172">
        <v>1</v>
      </c>
      <c r="AH151" s="169">
        <f ca="1">+IFERROR(IF(ISNUMBER(OFFSET('EDP Proyectado'!AI151,0,-'Ingreso Proyectado'!$P151))&lt;&gt;0,IF(OFFSET('EDP Proyectado'!AI151,0,-'Ingreso Proyectado'!$P151)+0&lt;=1,0,OFFSET('EDP Proyectado'!AI151,0,-'Ingreso Proyectado'!$P151)+0)),0)</f>
        <v>0</v>
      </c>
      <c r="AI151" s="169">
        <f ca="1">+IFERROR(IF(ISNUMBER(OFFSET('EDP Proyectado'!AJ151,0,-'Ingreso Proyectado'!$P151))&lt;&gt;0,IF(OFFSET('EDP Proyectado'!AJ151,0,-'Ingreso Proyectado'!$P151)+0&lt;=1,0,OFFSET('EDP Proyectado'!AJ151,0,-'Ingreso Proyectado'!$P151)+0)),0)</f>
        <v>0</v>
      </c>
      <c r="AJ151" s="169">
        <f ca="1">+IFERROR(IF(ISNUMBER(OFFSET('EDP Proyectado'!AK151,0,-'Ingreso Proyectado'!$P151))&lt;&gt;0,IF(OFFSET('EDP Proyectado'!AK151,0,-'Ingreso Proyectado'!$P151)+0&lt;=1,0,OFFSET('EDP Proyectado'!AK151,0,-'Ingreso Proyectado'!$P151)+0)),0)</f>
        <v>0</v>
      </c>
      <c r="AK151" s="169">
        <f ca="1">+IFERROR(IF(ISNUMBER(OFFSET('EDP Proyectado'!AL151,0,-'Ingreso Proyectado'!$P151))&lt;&gt;0,IF(OFFSET('EDP Proyectado'!AL151,0,-'Ingreso Proyectado'!$P151)+0&lt;=1,0,OFFSET('EDP Proyectado'!AL151,0,-'Ingreso Proyectado'!$P151)+0)),0)</f>
        <v>0</v>
      </c>
      <c r="AL151" s="169">
        <f ca="1">+IFERROR(IF(ISNUMBER(OFFSET('EDP Proyectado'!AM151,0,-'Ingreso Proyectado'!$P151))&lt;&gt;0,IF(OFFSET('EDP Proyectado'!AM151,0,-'Ingreso Proyectado'!$P151)+0&lt;=1,0,OFFSET('EDP Proyectado'!AM151,0,-'Ingreso Proyectado'!$P151)+0)),0)</f>
        <v>0</v>
      </c>
      <c r="AM151" s="169">
        <f ca="1">+IFERROR(IF(ISNUMBER(OFFSET('EDP Proyectado'!AN151,0,-'Ingreso Proyectado'!$P151))&lt;&gt;0,IF(OFFSET('EDP Proyectado'!AN151,0,-'Ingreso Proyectado'!$P151)+0&lt;=1,0,OFFSET('EDP Proyectado'!AN151,0,-'Ingreso Proyectado'!$P151)+0)),0)</f>
        <v>0</v>
      </c>
      <c r="AN151" s="169">
        <f ca="1">+IFERROR(IF(ISNUMBER(OFFSET('EDP Proyectado'!AO151,0,-'Ingreso Proyectado'!$P151))&lt;&gt;0,IF(OFFSET('EDP Proyectado'!AO151,0,-'Ingreso Proyectado'!$P151)+0&lt;=1,0,OFFSET('EDP Proyectado'!AO151,0,-'Ingreso Proyectado'!$P151)+0)),0)</f>
        <v>0</v>
      </c>
      <c r="AO151" s="169">
        <f ca="1">+IFERROR(IF(ISNUMBER(OFFSET('EDP Proyectado'!AP151,0,-'Ingreso Proyectado'!$P151))&lt;&gt;0,IF(OFFSET('EDP Proyectado'!AP151,0,-'Ingreso Proyectado'!$P151)+0&lt;=1,0,OFFSET('EDP Proyectado'!AP151,0,-'Ingreso Proyectado'!$P151)+0)),0)</f>
        <v>0</v>
      </c>
      <c r="AP151" s="170">
        <f ca="1">+IFERROR(IF(ISNUMBER(OFFSET('EDP Proyectado'!AQ151,0,-'Ingreso Proyectado'!$P151))&lt;&gt;0,IF(OFFSET('EDP Proyectado'!AQ151,0,-'Ingreso Proyectado'!$P151)+0&lt;=1,0,OFFSET('EDP Proyectado'!AQ151,0,-'Ingreso Proyectado'!$P151)+0)),0)</f>
        <v>0</v>
      </c>
    </row>
    <row r="152" spans="3:42" x14ac:dyDescent="0.2">
      <c r="C152" s="110">
        <f>+'Gantt Proyectos'!C220</f>
        <v>0</v>
      </c>
      <c r="D152" s="110">
        <f>+'Gantt Proyectos'!D220</f>
        <v>0</v>
      </c>
      <c r="E152" s="110">
        <f>+'Gantt Proyectos'!E220</f>
        <v>0</v>
      </c>
      <c r="F152" s="148">
        <f>+'Gantt Proyectos'!F220</f>
        <v>0</v>
      </c>
      <c r="G152" s="110">
        <f>+'Gantt Proyectos'!G220</f>
        <v>0</v>
      </c>
      <c r="H152" s="110">
        <f>+'Gantt Proyectos'!H220</f>
        <v>0</v>
      </c>
      <c r="I152" s="189">
        <v>1</v>
      </c>
      <c r="J152" s="189">
        <f t="shared" si="8"/>
        <v>0</v>
      </c>
      <c r="K152" s="110">
        <f>+'Gantt Proyectos'!I220</f>
        <v>0</v>
      </c>
      <c r="L152" s="110">
        <f>+'Gantt Proyectos'!J220</f>
        <v>0</v>
      </c>
      <c r="M152" s="110">
        <f>+'Gantt Proyectos'!K220</f>
        <v>0</v>
      </c>
      <c r="N152" s="110">
        <f>+'Gantt Proyectos'!L220</f>
        <v>0</v>
      </c>
      <c r="O152" s="110">
        <f>+'Gantt Proyectos'!M220</f>
        <v>0</v>
      </c>
      <c r="P152" s="110">
        <f>+'Gantt Proyectos'!N220</f>
        <v>0</v>
      </c>
      <c r="Q152" s="110">
        <f>+'Gantt Proyectos'!O220</f>
        <v>0</v>
      </c>
      <c r="R152" s="110">
        <f>+'Gantt Proyectos'!P220</f>
        <v>0</v>
      </c>
      <c r="S152" s="110">
        <f>+'Gantt Proyectos'!R220</f>
        <v>0</v>
      </c>
      <c r="T152" s="118">
        <f>+'Gantt Proyectos'!S220</f>
        <v>0</v>
      </c>
      <c r="U152" s="157">
        <f>+'Gantt Proyectos'!T220</f>
        <v>0</v>
      </c>
      <c r="V152" s="157">
        <f>+'Gantt Proyectos'!U220</f>
        <v>0</v>
      </c>
      <c r="W152" s="201">
        <f t="shared" si="9"/>
        <v>0</v>
      </c>
      <c r="X152" s="110">
        <f>+'Gantt Proyectos'!W220</f>
        <v>0</v>
      </c>
      <c r="Y152" s="110">
        <f>+'Gantt Proyectos'!X220</f>
        <v>0</v>
      </c>
      <c r="Z152" s="110">
        <f>+'Gantt Proyectos'!Y220</f>
        <v>0</v>
      </c>
      <c r="AA152" s="110">
        <f>+'Gantt Proyectos'!Z220</f>
        <v>0</v>
      </c>
      <c r="AB152" s="110">
        <f>+'Gantt Proyectos'!AA220</f>
        <v>0</v>
      </c>
      <c r="AC152" s="110">
        <f>+'Gantt Proyectos'!AB220</f>
        <v>0</v>
      </c>
      <c r="AD152" s="110">
        <f>+'Gantt Proyectos'!AC220</f>
        <v>0</v>
      </c>
      <c r="AE152" s="110">
        <f>+'Gantt Proyectos'!AD220</f>
        <v>0</v>
      </c>
      <c r="AF152" s="110">
        <f>+'Gantt Proyectos'!AE220</f>
        <v>0</v>
      </c>
      <c r="AG152" s="172">
        <v>1</v>
      </c>
      <c r="AH152" s="169">
        <f ca="1">+IFERROR(IF(ISNUMBER(OFFSET('EDP Proyectado'!AI152,0,-'Ingreso Proyectado'!$P152))&lt;&gt;0,IF(OFFSET('EDP Proyectado'!AI152,0,-'Ingreso Proyectado'!$P152)+0&lt;=1,0,OFFSET('EDP Proyectado'!AI152,0,-'Ingreso Proyectado'!$P152)+0)),0)</f>
        <v>0</v>
      </c>
      <c r="AI152" s="169">
        <f ca="1">+IFERROR(IF(ISNUMBER(OFFSET('EDP Proyectado'!AJ152,0,-'Ingreso Proyectado'!$P152))&lt;&gt;0,IF(OFFSET('EDP Proyectado'!AJ152,0,-'Ingreso Proyectado'!$P152)+0&lt;=1,0,OFFSET('EDP Proyectado'!AJ152,0,-'Ingreso Proyectado'!$P152)+0)),0)</f>
        <v>0</v>
      </c>
      <c r="AJ152" s="169">
        <f ca="1">+IFERROR(IF(ISNUMBER(OFFSET('EDP Proyectado'!AK152,0,-'Ingreso Proyectado'!$P152))&lt;&gt;0,IF(OFFSET('EDP Proyectado'!AK152,0,-'Ingreso Proyectado'!$P152)+0&lt;=1,0,OFFSET('EDP Proyectado'!AK152,0,-'Ingreso Proyectado'!$P152)+0)),0)</f>
        <v>0</v>
      </c>
      <c r="AK152" s="169">
        <f ca="1">+IFERROR(IF(ISNUMBER(OFFSET('EDP Proyectado'!AL152,0,-'Ingreso Proyectado'!$P152))&lt;&gt;0,IF(OFFSET('EDP Proyectado'!AL152,0,-'Ingreso Proyectado'!$P152)+0&lt;=1,0,OFFSET('EDP Proyectado'!AL152,0,-'Ingreso Proyectado'!$P152)+0)),0)</f>
        <v>0</v>
      </c>
      <c r="AL152" s="169">
        <f ca="1">+IFERROR(IF(ISNUMBER(OFFSET('EDP Proyectado'!AM152,0,-'Ingreso Proyectado'!$P152))&lt;&gt;0,IF(OFFSET('EDP Proyectado'!AM152,0,-'Ingreso Proyectado'!$P152)+0&lt;=1,0,OFFSET('EDP Proyectado'!AM152,0,-'Ingreso Proyectado'!$P152)+0)),0)</f>
        <v>0</v>
      </c>
      <c r="AM152" s="169">
        <f ca="1">+IFERROR(IF(ISNUMBER(OFFSET('EDP Proyectado'!AN152,0,-'Ingreso Proyectado'!$P152))&lt;&gt;0,IF(OFFSET('EDP Proyectado'!AN152,0,-'Ingreso Proyectado'!$P152)+0&lt;=1,0,OFFSET('EDP Proyectado'!AN152,0,-'Ingreso Proyectado'!$P152)+0)),0)</f>
        <v>0</v>
      </c>
      <c r="AN152" s="169">
        <f ca="1">+IFERROR(IF(ISNUMBER(OFFSET('EDP Proyectado'!AO152,0,-'Ingreso Proyectado'!$P152))&lt;&gt;0,IF(OFFSET('EDP Proyectado'!AO152,0,-'Ingreso Proyectado'!$P152)+0&lt;=1,0,OFFSET('EDP Proyectado'!AO152,0,-'Ingreso Proyectado'!$P152)+0)),0)</f>
        <v>0</v>
      </c>
      <c r="AO152" s="169">
        <f ca="1">+IFERROR(IF(ISNUMBER(OFFSET('EDP Proyectado'!AP152,0,-'Ingreso Proyectado'!$P152))&lt;&gt;0,IF(OFFSET('EDP Proyectado'!AP152,0,-'Ingreso Proyectado'!$P152)+0&lt;=1,0,OFFSET('EDP Proyectado'!AP152,0,-'Ingreso Proyectado'!$P152)+0)),0)</f>
        <v>0</v>
      </c>
      <c r="AP152" s="170">
        <f ca="1">+IFERROR(IF(ISNUMBER(OFFSET('EDP Proyectado'!AQ152,0,-'Ingreso Proyectado'!$P152))&lt;&gt;0,IF(OFFSET('EDP Proyectado'!AQ152,0,-'Ingreso Proyectado'!$P152)+0&lt;=1,0,OFFSET('EDP Proyectado'!AQ152,0,-'Ingreso Proyectado'!$P152)+0)),0)</f>
        <v>0</v>
      </c>
    </row>
    <row r="153" spans="3:42" x14ac:dyDescent="0.2">
      <c r="C153" s="110">
        <f>+'Gantt Proyectos'!C221</f>
        <v>0</v>
      </c>
      <c r="D153" s="110">
        <f>+'Gantt Proyectos'!D221</f>
        <v>0</v>
      </c>
      <c r="E153" s="110">
        <f>+'Gantt Proyectos'!E221</f>
        <v>0</v>
      </c>
      <c r="F153" s="148">
        <f>+'Gantt Proyectos'!F221</f>
        <v>0</v>
      </c>
      <c r="G153" s="110">
        <f>+'Gantt Proyectos'!G221</f>
        <v>0</v>
      </c>
      <c r="H153" s="110">
        <f>+'Gantt Proyectos'!H221</f>
        <v>0</v>
      </c>
      <c r="I153" s="189">
        <v>1</v>
      </c>
      <c r="J153" s="189">
        <f t="shared" si="8"/>
        <v>0</v>
      </c>
      <c r="K153" s="110">
        <f>+'Gantt Proyectos'!I221</f>
        <v>0</v>
      </c>
      <c r="L153" s="110">
        <f>+'Gantt Proyectos'!J221</f>
        <v>0</v>
      </c>
      <c r="M153" s="110">
        <f>+'Gantt Proyectos'!K221</f>
        <v>0</v>
      </c>
      <c r="N153" s="110">
        <f>+'Gantt Proyectos'!L221</f>
        <v>0</v>
      </c>
      <c r="O153" s="110">
        <f>+'Gantt Proyectos'!M221</f>
        <v>0</v>
      </c>
      <c r="P153" s="110">
        <f>+'Gantt Proyectos'!N221</f>
        <v>0</v>
      </c>
      <c r="Q153" s="110">
        <f>+'Gantt Proyectos'!O221</f>
        <v>0</v>
      </c>
      <c r="R153" s="110">
        <f>+'Gantt Proyectos'!P221</f>
        <v>0</v>
      </c>
      <c r="S153" s="110">
        <f>+'Gantt Proyectos'!R221</f>
        <v>0</v>
      </c>
      <c r="T153" s="118">
        <f>+'Gantt Proyectos'!S221</f>
        <v>0</v>
      </c>
      <c r="U153" s="157">
        <f>+'Gantt Proyectos'!T221</f>
        <v>0</v>
      </c>
      <c r="V153" s="157">
        <f>+'Gantt Proyectos'!U221</f>
        <v>0</v>
      </c>
      <c r="W153" s="201">
        <f t="shared" si="9"/>
        <v>0</v>
      </c>
      <c r="X153" s="110">
        <f>+'Gantt Proyectos'!W221</f>
        <v>0</v>
      </c>
      <c r="Y153" s="110">
        <f>+'Gantt Proyectos'!X221</f>
        <v>0</v>
      </c>
      <c r="Z153" s="110">
        <f>+'Gantt Proyectos'!Y221</f>
        <v>0</v>
      </c>
      <c r="AA153" s="110">
        <f>+'Gantt Proyectos'!Z221</f>
        <v>0</v>
      </c>
      <c r="AB153" s="110">
        <f>+'Gantt Proyectos'!AA221</f>
        <v>0</v>
      </c>
      <c r="AC153" s="110">
        <f>+'Gantt Proyectos'!AB221</f>
        <v>0</v>
      </c>
      <c r="AD153" s="110">
        <f>+'Gantt Proyectos'!AC221</f>
        <v>0</v>
      </c>
      <c r="AE153" s="110">
        <f>+'Gantt Proyectos'!AD221</f>
        <v>0</v>
      </c>
      <c r="AF153" s="110">
        <f>+'Gantt Proyectos'!AE221</f>
        <v>0</v>
      </c>
      <c r="AG153" s="172">
        <v>1</v>
      </c>
      <c r="AH153" s="169">
        <f ca="1">+IFERROR(IF(ISNUMBER(OFFSET('EDP Proyectado'!AI153,0,-'Ingreso Proyectado'!$P153))&lt;&gt;0,IF(OFFSET('EDP Proyectado'!AI153,0,-'Ingreso Proyectado'!$P153)+0&lt;=1,0,OFFSET('EDP Proyectado'!AI153,0,-'Ingreso Proyectado'!$P153)+0)),0)</f>
        <v>0</v>
      </c>
      <c r="AI153" s="169">
        <f ca="1">+IFERROR(IF(ISNUMBER(OFFSET('EDP Proyectado'!AJ153,0,-'Ingreso Proyectado'!$P153))&lt;&gt;0,IF(OFFSET('EDP Proyectado'!AJ153,0,-'Ingreso Proyectado'!$P153)+0&lt;=1,0,OFFSET('EDP Proyectado'!AJ153,0,-'Ingreso Proyectado'!$P153)+0)),0)</f>
        <v>0</v>
      </c>
      <c r="AJ153" s="169">
        <f ca="1">+IFERROR(IF(ISNUMBER(OFFSET('EDP Proyectado'!AK153,0,-'Ingreso Proyectado'!$P153))&lt;&gt;0,IF(OFFSET('EDP Proyectado'!AK153,0,-'Ingreso Proyectado'!$P153)+0&lt;=1,0,OFFSET('EDP Proyectado'!AK153,0,-'Ingreso Proyectado'!$P153)+0)),0)</f>
        <v>0</v>
      </c>
      <c r="AK153" s="169">
        <f ca="1">+IFERROR(IF(ISNUMBER(OFFSET('EDP Proyectado'!AL153,0,-'Ingreso Proyectado'!$P153))&lt;&gt;0,IF(OFFSET('EDP Proyectado'!AL153,0,-'Ingreso Proyectado'!$P153)+0&lt;=1,0,OFFSET('EDP Proyectado'!AL153,0,-'Ingreso Proyectado'!$P153)+0)),0)</f>
        <v>0</v>
      </c>
      <c r="AL153" s="169">
        <f ca="1">+IFERROR(IF(ISNUMBER(OFFSET('EDP Proyectado'!AM153,0,-'Ingreso Proyectado'!$P153))&lt;&gt;0,IF(OFFSET('EDP Proyectado'!AM153,0,-'Ingreso Proyectado'!$P153)+0&lt;=1,0,OFFSET('EDP Proyectado'!AM153,0,-'Ingreso Proyectado'!$P153)+0)),0)</f>
        <v>0</v>
      </c>
      <c r="AM153" s="169">
        <f ca="1">+IFERROR(IF(ISNUMBER(OFFSET('EDP Proyectado'!AN153,0,-'Ingreso Proyectado'!$P153))&lt;&gt;0,IF(OFFSET('EDP Proyectado'!AN153,0,-'Ingreso Proyectado'!$P153)+0&lt;=1,0,OFFSET('EDP Proyectado'!AN153,0,-'Ingreso Proyectado'!$P153)+0)),0)</f>
        <v>0</v>
      </c>
      <c r="AN153" s="169">
        <f ca="1">+IFERROR(IF(ISNUMBER(OFFSET('EDP Proyectado'!AO153,0,-'Ingreso Proyectado'!$P153))&lt;&gt;0,IF(OFFSET('EDP Proyectado'!AO153,0,-'Ingreso Proyectado'!$P153)+0&lt;=1,0,OFFSET('EDP Proyectado'!AO153,0,-'Ingreso Proyectado'!$P153)+0)),0)</f>
        <v>0</v>
      </c>
      <c r="AO153" s="169">
        <f ca="1">+IFERROR(IF(ISNUMBER(OFFSET('EDP Proyectado'!AP153,0,-'Ingreso Proyectado'!$P153))&lt;&gt;0,IF(OFFSET('EDP Proyectado'!AP153,0,-'Ingreso Proyectado'!$P153)+0&lt;=1,0,OFFSET('EDP Proyectado'!AP153,0,-'Ingreso Proyectado'!$P153)+0)),0)</f>
        <v>0</v>
      </c>
      <c r="AP153" s="170">
        <f ca="1">+IFERROR(IF(ISNUMBER(OFFSET('EDP Proyectado'!AQ153,0,-'Ingreso Proyectado'!$P153))&lt;&gt;0,IF(OFFSET('EDP Proyectado'!AQ153,0,-'Ingreso Proyectado'!$P153)+0&lt;=1,0,OFFSET('EDP Proyectado'!AQ153,0,-'Ingreso Proyectado'!$P153)+0)),0)</f>
        <v>0</v>
      </c>
    </row>
    <row r="154" spans="3:42" x14ac:dyDescent="0.2">
      <c r="C154" s="110">
        <f>+'Gantt Proyectos'!C222</f>
        <v>0</v>
      </c>
      <c r="D154" s="110">
        <f>+'Gantt Proyectos'!D222</f>
        <v>0</v>
      </c>
      <c r="E154" s="110">
        <f>+'Gantt Proyectos'!E222</f>
        <v>0</v>
      </c>
      <c r="F154" s="148">
        <f>+'Gantt Proyectos'!F222</f>
        <v>0</v>
      </c>
      <c r="G154" s="110">
        <f>+'Gantt Proyectos'!G222</f>
        <v>0</v>
      </c>
      <c r="H154" s="110">
        <f>+'Gantt Proyectos'!H222</f>
        <v>0</v>
      </c>
      <c r="I154" s="189">
        <v>1</v>
      </c>
      <c r="J154" s="189">
        <f t="shared" si="8"/>
        <v>0</v>
      </c>
      <c r="K154" s="110">
        <f>+'Gantt Proyectos'!I222</f>
        <v>0</v>
      </c>
      <c r="L154" s="110">
        <f>+'Gantt Proyectos'!J222</f>
        <v>0</v>
      </c>
      <c r="M154" s="110">
        <f>+'Gantt Proyectos'!K222</f>
        <v>0</v>
      </c>
      <c r="N154" s="110">
        <f>+'Gantt Proyectos'!L222</f>
        <v>0</v>
      </c>
      <c r="O154" s="110">
        <f>+'Gantt Proyectos'!M222</f>
        <v>0</v>
      </c>
      <c r="P154" s="110">
        <f>+'Gantt Proyectos'!N222</f>
        <v>0</v>
      </c>
      <c r="Q154" s="110">
        <f>+'Gantt Proyectos'!O222</f>
        <v>0</v>
      </c>
      <c r="R154" s="110">
        <f>+'Gantt Proyectos'!P222</f>
        <v>0</v>
      </c>
      <c r="S154" s="110">
        <f>+'Gantt Proyectos'!R222</f>
        <v>0</v>
      </c>
      <c r="T154" s="118">
        <f>+'Gantt Proyectos'!S222</f>
        <v>0</v>
      </c>
      <c r="U154" s="157">
        <f>+'Gantt Proyectos'!T222</f>
        <v>0</v>
      </c>
      <c r="V154" s="157">
        <f>+'Gantt Proyectos'!U222</f>
        <v>0</v>
      </c>
      <c r="W154" s="201">
        <f t="shared" si="9"/>
        <v>0</v>
      </c>
      <c r="X154" s="110">
        <f>+'Gantt Proyectos'!W222</f>
        <v>0</v>
      </c>
      <c r="Y154" s="110">
        <f>+'Gantt Proyectos'!X222</f>
        <v>0</v>
      </c>
      <c r="Z154" s="110">
        <f>+'Gantt Proyectos'!Y222</f>
        <v>0</v>
      </c>
      <c r="AA154" s="110">
        <f>+'Gantt Proyectos'!Z222</f>
        <v>0</v>
      </c>
      <c r="AB154" s="110">
        <f>+'Gantt Proyectos'!AA222</f>
        <v>0</v>
      </c>
      <c r="AC154" s="110">
        <f>+'Gantt Proyectos'!AB222</f>
        <v>0</v>
      </c>
      <c r="AD154" s="110">
        <f>+'Gantt Proyectos'!AC222</f>
        <v>0</v>
      </c>
      <c r="AE154" s="110">
        <f>+'Gantt Proyectos'!AD222</f>
        <v>0</v>
      </c>
      <c r="AF154" s="110">
        <f>+'Gantt Proyectos'!AE222</f>
        <v>0</v>
      </c>
      <c r="AG154" s="172">
        <v>1</v>
      </c>
      <c r="AH154" s="169">
        <f ca="1">+IFERROR(IF(ISNUMBER(OFFSET('EDP Proyectado'!AI154,0,-'Ingreso Proyectado'!$P154))&lt;&gt;0,IF(OFFSET('EDP Proyectado'!AI154,0,-'Ingreso Proyectado'!$P154)+0&lt;=1,0,OFFSET('EDP Proyectado'!AI154,0,-'Ingreso Proyectado'!$P154)+0)),0)</f>
        <v>0</v>
      </c>
      <c r="AI154" s="169">
        <f ca="1">+IFERROR(IF(ISNUMBER(OFFSET('EDP Proyectado'!AJ154,0,-'Ingreso Proyectado'!$P154))&lt;&gt;0,IF(OFFSET('EDP Proyectado'!AJ154,0,-'Ingreso Proyectado'!$P154)+0&lt;=1,0,OFFSET('EDP Proyectado'!AJ154,0,-'Ingreso Proyectado'!$P154)+0)),0)</f>
        <v>0</v>
      </c>
      <c r="AJ154" s="169">
        <f ca="1">+IFERROR(IF(ISNUMBER(OFFSET('EDP Proyectado'!AK154,0,-'Ingreso Proyectado'!$P154))&lt;&gt;0,IF(OFFSET('EDP Proyectado'!AK154,0,-'Ingreso Proyectado'!$P154)+0&lt;=1,0,OFFSET('EDP Proyectado'!AK154,0,-'Ingreso Proyectado'!$P154)+0)),0)</f>
        <v>0</v>
      </c>
      <c r="AK154" s="169">
        <f ca="1">+IFERROR(IF(ISNUMBER(OFFSET('EDP Proyectado'!AL154,0,-'Ingreso Proyectado'!$P154))&lt;&gt;0,IF(OFFSET('EDP Proyectado'!AL154,0,-'Ingreso Proyectado'!$P154)+0&lt;=1,0,OFFSET('EDP Proyectado'!AL154,0,-'Ingreso Proyectado'!$P154)+0)),0)</f>
        <v>0</v>
      </c>
      <c r="AL154" s="169">
        <f ca="1">+IFERROR(IF(ISNUMBER(OFFSET('EDP Proyectado'!AM154,0,-'Ingreso Proyectado'!$P154))&lt;&gt;0,IF(OFFSET('EDP Proyectado'!AM154,0,-'Ingreso Proyectado'!$P154)+0&lt;=1,0,OFFSET('EDP Proyectado'!AM154,0,-'Ingreso Proyectado'!$P154)+0)),0)</f>
        <v>0</v>
      </c>
      <c r="AM154" s="169">
        <f ca="1">+IFERROR(IF(ISNUMBER(OFFSET('EDP Proyectado'!AN154,0,-'Ingreso Proyectado'!$P154))&lt;&gt;0,IF(OFFSET('EDP Proyectado'!AN154,0,-'Ingreso Proyectado'!$P154)+0&lt;=1,0,OFFSET('EDP Proyectado'!AN154,0,-'Ingreso Proyectado'!$P154)+0)),0)</f>
        <v>0</v>
      </c>
      <c r="AN154" s="169">
        <f ca="1">+IFERROR(IF(ISNUMBER(OFFSET('EDP Proyectado'!AO154,0,-'Ingreso Proyectado'!$P154))&lt;&gt;0,IF(OFFSET('EDP Proyectado'!AO154,0,-'Ingreso Proyectado'!$P154)+0&lt;=1,0,OFFSET('EDP Proyectado'!AO154,0,-'Ingreso Proyectado'!$P154)+0)),0)</f>
        <v>0</v>
      </c>
      <c r="AO154" s="169">
        <f ca="1">+IFERROR(IF(ISNUMBER(OFFSET('EDP Proyectado'!AP154,0,-'Ingreso Proyectado'!$P154))&lt;&gt;0,IF(OFFSET('EDP Proyectado'!AP154,0,-'Ingreso Proyectado'!$P154)+0&lt;=1,0,OFFSET('EDP Proyectado'!AP154,0,-'Ingreso Proyectado'!$P154)+0)),0)</f>
        <v>0</v>
      </c>
      <c r="AP154" s="170">
        <f ca="1">+IFERROR(IF(ISNUMBER(OFFSET('EDP Proyectado'!AQ154,0,-'Ingreso Proyectado'!$P154))&lt;&gt;0,IF(OFFSET('EDP Proyectado'!AQ154,0,-'Ingreso Proyectado'!$P154)+0&lt;=1,0,OFFSET('EDP Proyectado'!AQ154,0,-'Ingreso Proyectado'!$P154)+0)),0)</f>
        <v>0</v>
      </c>
    </row>
    <row r="155" spans="3:42" x14ac:dyDescent="0.2">
      <c r="C155" s="110">
        <f>+'Gantt Proyectos'!C223</f>
        <v>0</v>
      </c>
      <c r="D155" s="110">
        <f>+'Gantt Proyectos'!D223</f>
        <v>0</v>
      </c>
      <c r="E155" s="110">
        <f>+'Gantt Proyectos'!E223</f>
        <v>0</v>
      </c>
      <c r="F155" s="148">
        <f>+'Gantt Proyectos'!F223</f>
        <v>0</v>
      </c>
      <c r="G155" s="110">
        <f>+'Gantt Proyectos'!G223</f>
        <v>0</v>
      </c>
      <c r="H155" s="110">
        <f>+'Gantt Proyectos'!H223</f>
        <v>0</v>
      </c>
      <c r="I155" s="189">
        <v>1</v>
      </c>
      <c r="J155" s="189">
        <f t="shared" si="8"/>
        <v>0</v>
      </c>
      <c r="K155" s="110">
        <f>+'Gantt Proyectos'!I223</f>
        <v>0</v>
      </c>
      <c r="L155" s="110">
        <f>+'Gantt Proyectos'!J223</f>
        <v>0</v>
      </c>
      <c r="M155" s="110">
        <f>+'Gantt Proyectos'!K223</f>
        <v>0</v>
      </c>
      <c r="N155" s="110">
        <f>+'Gantt Proyectos'!L223</f>
        <v>0</v>
      </c>
      <c r="O155" s="110">
        <f>+'Gantt Proyectos'!M223</f>
        <v>0</v>
      </c>
      <c r="P155" s="110">
        <f>+'Gantt Proyectos'!N223</f>
        <v>0</v>
      </c>
      <c r="Q155" s="110">
        <f>+'Gantt Proyectos'!O223</f>
        <v>0</v>
      </c>
      <c r="R155" s="110">
        <f>+'Gantt Proyectos'!P223</f>
        <v>0</v>
      </c>
      <c r="S155" s="110">
        <f>+'Gantt Proyectos'!R223</f>
        <v>0</v>
      </c>
      <c r="T155" s="118">
        <f>+'Gantt Proyectos'!S223</f>
        <v>0</v>
      </c>
      <c r="U155" s="157">
        <f>+'Gantt Proyectos'!T223</f>
        <v>0</v>
      </c>
      <c r="V155" s="157">
        <f>+'Gantt Proyectos'!U223</f>
        <v>0</v>
      </c>
      <c r="W155" s="201">
        <f t="shared" si="9"/>
        <v>0</v>
      </c>
      <c r="X155" s="110">
        <f>+'Gantt Proyectos'!W223</f>
        <v>0</v>
      </c>
      <c r="Y155" s="110">
        <f>+'Gantt Proyectos'!X223</f>
        <v>0</v>
      </c>
      <c r="Z155" s="110">
        <f>+'Gantt Proyectos'!Y223</f>
        <v>0</v>
      </c>
      <c r="AA155" s="110">
        <f>+'Gantt Proyectos'!Z223</f>
        <v>0</v>
      </c>
      <c r="AB155" s="110">
        <f>+'Gantt Proyectos'!AA223</f>
        <v>0</v>
      </c>
      <c r="AC155" s="110">
        <f>+'Gantt Proyectos'!AB223</f>
        <v>0</v>
      </c>
      <c r="AD155" s="110">
        <f>+'Gantt Proyectos'!AC223</f>
        <v>0</v>
      </c>
      <c r="AE155" s="110">
        <f>+'Gantt Proyectos'!AD223</f>
        <v>0</v>
      </c>
      <c r="AF155" s="110">
        <f>+'Gantt Proyectos'!AE223</f>
        <v>0</v>
      </c>
      <c r="AG155" s="172">
        <v>1</v>
      </c>
      <c r="AH155" s="169">
        <f ca="1">+IFERROR(IF(ISNUMBER(OFFSET('EDP Proyectado'!AI155,0,-'Ingreso Proyectado'!$P155))&lt;&gt;0,IF(OFFSET('EDP Proyectado'!AI155,0,-'Ingreso Proyectado'!$P155)+0&lt;=1,0,OFFSET('EDP Proyectado'!AI155,0,-'Ingreso Proyectado'!$P155)+0)),0)</f>
        <v>0</v>
      </c>
      <c r="AI155" s="169">
        <f ca="1">+IFERROR(IF(ISNUMBER(OFFSET('EDP Proyectado'!AJ155,0,-'Ingreso Proyectado'!$P155))&lt;&gt;0,IF(OFFSET('EDP Proyectado'!AJ155,0,-'Ingreso Proyectado'!$P155)+0&lt;=1,0,OFFSET('EDP Proyectado'!AJ155,0,-'Ingreso Proyectado'!$P155)+0)),0)</f>
        <v>0</v>
      </c>
      <c r="AJ155" s="169">
        <f ca="1">+IFERROR(IF(ISNUMBER(OFFSET('EDP Proyectado'!AK155,0,-'Ingreso Proyectado'!$P155))&lt;&gt;0,IF(OFFSET('EDP Proyectado'!AK155,0,-'Ingreso Proyectado'!$P155)+0&lt;=1,0,OFFSET('EDP Proyectado'!AK155,0,-'Ingreso Proyectado'!$P155)+0)),0)</f>
        <v>0</v>
      </c>
      <c r="AK155" s="169">
        <f ca="1">+IFERROR(IF(ISNUMBER(OFFSET('EDP Proyectado'!AL155,0,-'Ingreso Proyectado'!$P155))&lt;&gt;0,IF(OFFSET('EDP Proyectado'!AL155,0,-'Ingreso Proyectado'!$P155)+0&lt;=1,0,OFFSET('EDP Proyectado'!AL155,0,-'Ingreso Proyectado'!$P155)+0)),0)</f>
        <v>0</v>
      </c>
      <c r="AL155" s="169">
        <f ca="1">+IFERROR(IF(ISNUMBER(OFFSET('EDP Proyectado'!AM155,0,-'Ingreso Proyectado'!$P155))&lt;&gt;0,IF(OFFSET('EDP Proyectado'!AM155,0,-'Ingreso Proyectado'!$P155)+0&lt;=1,0,OFFSET('EDP Proyectado'!AM155,0,-'Ingreso Proyectado'!$P155)+0)),0)</f>
        <v>0</v>
      </c>
      <c r="AM155" s="169">
        <f ca="1">+IFERROR(IF(ISNUMBER(OFFSET('EDP Proyectado'!AN155,0,-'Ingreso Proyectado'!$P155))&lt;&gt;0,IF(OFFSET('EDP Proyectado'!AN155,0,-'Ingreso Proyectado'!$P155)+0&lt;=1,0,OFFSET('EDP Proyectado'!AN155,0,-'Ingreso Proyectado'!$P155)+0)),0)</f>
        <v>0</v>
      </c>
      <c r="AN155" s="169">
        <f ca="1">+IFERROR(IF(ISNUMBER(OFFSET('EDP Proyectado'!AO155,0,-'Ingreso Proyectado'!$P155))&lt;&gt;0,IF(OFFSET('EDP Proyectado'!AO155,0,-'Ingreso Proyectado'!$P155)+0&lt;=1,0,OFFSET('EDP Proyectado'!AO155,0,-'Ingreso Proyectado'!$P155)+0)),0)</f>
        <v>0</v>
      </c>
      <c r="AO155" s="169">
        <f ca="1">+IFERROR(IF(ISNUMBER(OFFSET('EDP Proyectado'!AP155,0,-'Ingreso Proyectado'!$P155))&lt;&gt;0,IF(OFFSET('EDP Proyectado'!AP155,0,-'Ingreso Proyectado'!$P155)+0&lt;=1,0,OFFSET('EDP Proyectado'!AP155,0,-'Ingreso Proyectado'!$P155)+0)),0)</f>
        <v>0</v>
      </c>
      <c r="AP155" s="170">
        <f ca="1">+IFERROR(IF(ISNUMBER(OFFSET('EDP Proyectado'!AQ155,0,-'Ingreso Proyectado'!$P155))&lt;&gt;0,IF(OFFSET('EDP Proyectado'!AQ155,0,-'Ingreso Proyectado'!$P155)+0&lt;=1,0,OFFSET('EDP Proyectado'!AQ155,0,-'Ingreso Proyectado'!$P155)+0)),0)</f>
        <v>0</v>
      </c>
    </row>
    <row r="156" spans="3:42" x14ac:dyDescent="0.2">
      <c r="C156" s="110">
        <f>+'Gantt Proyectos'!C224</f>
        <v>0</v>
      </c>
      <c r="D156" s="110">
        <f>+'Gantt Proyectos'!D224</f>
        <v>0</v>
      </c>
      <c r="E156" s="110">
        <f>+'Gantt Proyectos'!E224</f>
        <v>0</v>
      </c>
      <c r="F156" s="148">
        <f>+'Gantt Proyectos'!F224</f>
        <v>0</v>
      </c>
      <c r="G156" s="110">
        <f>+'Gantt Proyectos'!G224</f>
        <v>0</v>
      </c>
      <c r="H156" s="110">
        <f>+'Gantt Proyectos'!H224</f>
        <v>0</v>
      </c>
      <c r="I156" s="189">
        <v>1</v>
      </c>
      <c r="J156" s="189">
        <f t="shared" si="8"/>
        <v>0</v>
      </c>
      <c r="K156" s="110">
        <f>+'Gantt Proyectos'!I224</f>
        <v>0</v>
      </c>
      <c r="L156" s="110">
        <f>+'Gantt Proyectos'!J224</f>
        <v>0</v>
      </c>
      <c r="M156" s="110">
        <f>+'Gantt Proyectos'!K224</f>
        <v>0</v>
      </c>
      <c r="N156" s="110">
        <f>+'Gantt Proyectos'!L224</f>
        <v>0</v>
      </c>
      <c r="O156" s="110">
        <f>+'Gantt Proyectos'!M224</f>
        <v>0</v>
      </c>
      <c r="P156" s="110">
        <f>+'Gantt Proyectos'!N224</f>
        <v>0</v>
      </c>
      <c r="Q156" s="110">
        <f>+'Gantt Proyectos'!O224</f>
        <v>0</v>
      </c>
      <c r="R156" s="110">
        <f>+'Gantt Proyectos'!P224</f>
        <v>0</v>
      </c>
      <c r="S156" s="110">
        <f>+'Gantt Proyectos'!R224</f>
        <v>0</v>
      </c>
      <c r="T156" s="118">
        <f>+'Gantt Proyectos'!S224</f>
        <v>0</v>
      </c>
      <c r="U156" s="157">
        <f>+'Gantt Proyectos'!T224</f>
        <v>0</v>
      </c>
      <c r="V156" s="157">
        <f>+'Gantt Proyectos'!U224</f>
        <v>0</v>
      </c>
      <c r="W156" s="201">
        <f t="shared" si="9"/>
        <v>0</v>
      </c>
      <c r="X156" s="110">
        <f>+'Gantt Proyectos'!W224</f>
        <v>0</v>
      </c>
      <c r="Y156" s="110">
        <f>+'Gantt Proyectos'!X224</f>
        <v>0</v>
      </c>
      <c r="Z156" s="110">
        <f>+'Gantt Proyectos'!Y224</f>
        <v>0</v>
      </c>
      <c r="AA156" s="110">
        <f>+'Gantt Proyectos'!Z224</f>
        <v>0</v>
      </c>
      <c r="AB156" s="110">
        <f>+'Gantt Proyectos'!AA224</f>
        <v>0</v>
      </c>
      <c r="AC156" s="110">
        <f>+'Gantt Proyectos'!AB224</f>
        <v>0</v>
      </c>
      <c r="AD156" s="110">
        <f>+'Gantt Proyectos'!AC224</f>
        <v>0</v>
      </c>
      <c r="AE156" s="110">
        <f>+'Gantt Proyectos'!AD224</f>
        <v>0</v>
      </c>
      <c r="AF156" s="110">
        <f>+'Gantt Proyectos'!AE224</f>
        <v>0</v>
      </c>
      <c r="AG156" s="172">
        <v>1</v>
      </c>
      <c r="AH156" s="169">
        <f ca="1">+IFERROR(IF(ISNUMBER(OFFSET('EDP Proyectado'!AI156,0,-'Ingreso Proyectado'!$P156))&lt;&gt;0,IF(OFFSET('EDP Proyectado'!AI156,0,-'Ingreso Proyectado'!$P156)+0&lt;=1,0,OFFSET('EDP Proyectado'!AI156,0,-'Ingreso Proyectado'!$P156)+0)),0)</f>
        <v>0</v>
      </c>
      <c r="AI156" s="169">
        <f ca="1">+IFERROR(IF(ISNUMBER(OFFSET('EDP Proyectado'!AJ156,0,-'Ingreso Proyectado'!$P156))&lt;&gt;0,IF(OFFSET('EDP Proyectado'!AJ156,0,-'Ingreso Proyectado'!$P156)+0&lt;=1,0,OFFSET('EDP Proyectado'!AJ156,0,-'Ingreso Proyectado'!$P156)+0)),0)</f>
        <v>0</v>
      </c>
      <c r="AJ156" s="169">
        <f ca="1">+IFERROR(IF(ISNUMBER(OFFSET('EDP Proyectado'!AK156,0,-'Ingreso Proyectado'!$P156))&lt;&gt;0,IF(OFFSET('EDP Proyectado'!AK156,0,-'Ingreso Proyectado'!$P156)+0&lt;=1,0,OFFSET('EDP Proyectado'!AK156,0,-'Ingreso Proyectado'!$P156)+0)),0)</f>
        <v>0</v>
      </c>
      <c r="AK156" s="169">
        <f ca="1">+IFERROR(IF(ISNUMBER(OFFSET('EDP Proyectado'!AL156,0,-'Ingreso Proyectado'!$P156))&lt;&gt;0,IF(OFFSET('EDP Proyectado'!AL156,0,-'Ingreso Proyectado'!$P156)+0&lt;=1,0,OFFSET('EDP Proyectado'!AL156,0,-'Ingreso Proyectado'!$P156)+0)),0)</f>
        <v>0</v>
      </c>
      <c r="AL156" s="169">
        <f ca="1">+IFERROR(IF(ISNUMBER(OFFSET('EDP Proyectado'!AM156,0,-'Ingreso Proyectado'!$P156))&lt;&gt;0,IF(OFFSET('EDP Proyectado'!AM156,0,-'Ingreso Proyectado'!$P156)+0&lt;=1,0,OFFSET('EDP Proyectado'!AM156,0,-'Ingreso Proyectado'!$P156)+0)),0)</f>
        <v>0</v>
      </c>
      <c r="AM156" s="169">
        <f ca="1">+IFERROR(IF(ISNUMBER(OFFSET('EDP Proyectado'!AN156,0,-'Ingreso Proyectado'!$P156))&lt;&gt;0,IF(OFFSET('EDP Proyectado'!AN156,0,-'Ingreso Proyectado'!$P156)+0&lt;=1,0,OFFSET('EDP Proyectado'!AN156,0,-'Ingreso Proyectado'!$P156)+0)),0)</f>
        <v>0</v>
      </c>
      <c r="AN156" s="169">
        <f ca="1">+IFERROR(IF(ISNUMBER(OFFSET('EDP Proyectado'!AO156,0,-'Ingreso Proyectado'!$P156))&lt;&gt;0,IF(OFFSET('EDP Proyectado'!AO156,0,-'Ingreso Proyectado'!$P156)+0&lt;=1,0,OFFSET('EDP Proyectado'!AO156,0,-'Ingreso Proyectado'!$P156)+0)),0)</f>
        <v>0</v>
      </c>
      <c r="AO156" s="169">
        <f ca="1">+IFERROR(IF(ISNUMBER(OFFSET('EDP Proyectado'!AP156,0,-'Ingreso Proyectado'!$P156))&lt;&gt;0,IF(OFFSET('EDP Proyectado'!AP156,0,-'Ingreso Proyectado'!$P156)+0&lt;=1,0,OFFSET('EDP Proyectado'!AP156,0,-'Ingreso Proyectado'!$P156)+0)),0)</f>
        <v>0</v>
      </c>
      <c r="AP156" s="170">
        <f ca="1">+IFERROR(IF(ISNUMBER(OFFSET('EDP Proyectado'!AQ156,0,-'Ingreso Proyectado'!$P156))&lt;&gt;0,IF(OFFSET('EDP Proyectado'!AQ156,0,-'Ingreso Proyectado'!$P156)+0&lt;=1,0,OFFSET('EDP Proyectado'!AQ156,0,-'Ingreso Proyectado'!$P156)+0)),0)</f>
        <v>0</v>
      </c>
    </row>
    <row r="157" spans="3:42" x14ac:dyDescent="0.2">
      <c r="C157" s="110">
        <f>+'Gantt Proyectos'!C225</f>
        <v>0</v>
      </c>
      <c r="D157" s="110">
        <f>+'Gantt Proyectos'!D225</f>
        <v>0</v>
      </c>
      <c r="E157" s="110">
        <f>+'Gantt Proyectos'!E225</f>
        <v>0</v>
      </c>
      <c r="F157" s="148">
        <f>+'Gantt Proyectos'!F225</f>
        <v>0</v>
      </c>
      <c r="G157" s="110">
        <f>+'Gantt Proyectos'!G225</f>
        <v>0</v>
      </c>
      <c r="H157" s="110">
        <f>+'Gantt Proyectos'!H225</f>
        <v>0</v>
      </c>
      <c r="I157" s="189">
        <v>1</v>
      </c>
      <c r="J157" s="189">
        <f t="shared" si="8"/>
        <v>0</v>
      </c>
      <c r="K157" s="110">
        <f>+'Gantt Proyectos'!I225</f>
        <v>0</v>
      </c>
      <c r="L157" s="110">
        <f>+'Gantt Proyectos'!J225</f>
        <v>0</v>
      </c>
      <c r="M157" s="110">
        <f>+'Gantt Proyectos'!K225</f>
        <v>0</v>
      </c>
      <c r="N157" s="110">
        <f>+'Gantt Proyectos'!L225</f>
        <v>0</v>
      </c>
      <c r="O157" s="110">
        <f>+'Gantt Proyectos'!M225</f>
        <v>0</v>
      </c>
      <c r="P157" s="110">
        <f>+'Gantt Proyectos'!N225</f>
        <v>0</v>
      </c>
      <c r="Q157" s="110">
        <f>+'Gantt Proyectos'!O225</f>
        <v>0</v>
      </c>
      <c r="R157" s="110">
        <f>+'Gantt Proyectos'!P225</f>
        <v>0</v>
      </c>
      <c r="S157" s="110">
        <f>+'Gantt Proyectos'!R225</f>
        <v>0</v>
      </c>
      <c r="T157" s="118">
        <f>+'Gantt Proyectos'!S225</f>
        <v>0</v>
      </c>
      <c r="U157" s="157">
        <f>+'Gantt Proyectos'!T225</f>
        <v>0</v>
      </c>
      <c r="V157" s="157">
        <f>+'Gantt Proyectos'!U225</f>
        <v>0</v>
      </c>
      <c r="W157" s="201">
        <f t="shared" si="9"/>
        <v>0</v>
      </c>
      <c r="X157" s="110">
        <f>+'Gantt Proyectos'!W225</f>
        <v>0</v>
      </c>
      <c r="Y157" s="110">
        <f>+'Gantt Proyectos'!X225</f>
        <v>0</v>
      </c>
      <c r="Z157" s="110">
        <f>+'Gantt Proyectos'!Y225</f>
        <v>0</v>
      </c>
      <c r="AA157" s="110">
        <f>+'Gantt Proyectos'!Z225</f>
        <v>0</v>
      </c>
      <c r="AB157" s="110">
        <f>+'Gantt Proyectos'!AA225</f>
        <v>0</v>
      </c>
      <c r="AC157" s="110">
        <f>+'Gantt Proyectos'!AB225</f>
        <v>0</v>
      </c>
      <c r="AD157" s="110">
        <f>+'Gantt Proyectos'!AC225</f>
        <v>0</v>
      </c>
      <c r="AE157" s="110">
        <f>+'Gantt Proyectos'!AD225</f>
        <v>0</v>
      </c>
      <c r="AF157" s="110">
        <f>+'Gantt Proyectos'!AE225</f>
        <v>0</v>
      </c>
      <c r="AG157" s="172">
        <v>1</v>
      </c>
      <c r="AH157" s="169">
        <f ca="1">+IFERROR(IF(ISNUMBER(OFFSET('EDP Proyectado'!AI157,0,-'Ingreso Proyectado'!$P157))&lt;&gt;0,IF(OFFSET('EDP Proyectado'!AI157,0,-'Ingreso Proyectado'!$P157)+0&lt;=1,0,OFFSET('EDP Proyectado'!AI157,0,-'Ingreso Proyectado'!$P157)+0)),0)</f>
        <v>0</v>
      </c>
      <c r="AI157" s="169">
        <f ca="1">+IFERROR(IF(ISNUMBER(OFFSET('EDP Proyectado'!AJ157,0,-'Ingreso Proyectado'!$P157))&lt;&gt;0,IF(OFFSET('EDP Proyectado'!AJ157,0,-'Ingreso Proyectado'!$P157)+0&lt;=1,0,OFFSET('EDP Proyectado'!AJ157,0,-'Ingreso Proyectado'!$P157)+0)),0)</f>
        <v>0</v>
      </c>
      <c r="AJ157" s="169">
        <f ca="1">+IFERROR(IF(ISNUMBER(OFFSET('EDP Proyectado'!AK157,0,-'Ingreso Proyectado'!$P157))&lt;&gt;0,IF(OFFSET('EDP Proyectado'!AK157,0,-'Ingreso Proyectado'!$P157)+0&lt;=1,0,OFFSET('EDP Proyectado'!AK157,0,-'Ingreso Proyectado'!$P157)+0)),0)</f>
        <v>0</v>
      </c>
      <c r="AK157" s="169">
        <f ca="1">+IFERROR(IF(ISNUMBER(OFFSET('EDP Proyectado'!AL157,0,-'Ingreso Proyectado'!$P157))&lt;&gt;0,IF(OFFSET('EDP Proyectado'!AL157,0,-'Ingreso Proyectado'!$P157)+0&lt;=1,0,OFFSET('EDP Proyectado'!AL157,0,-'Ingreso Proyectado'!$P157)+0)),0)</f>
        <v>0</v>
      </c>
      <c r="AL157" s="169">
        <f ca="1">+IFERROR(IF(ISNUMBER(OFFSET('EDP Proyectado'!AM157,0,-'Ingreso Proyectado'!$P157))&lt;&gt;0,IF(OFFSET('EDP Proyectado'!AM157,0,-'Ingreso Proyectado'!$P157)+0&lt;=1,0,OFFSET('EDP Proyectado'!AM157,0,-'Ingreso Proyectado'!$P157)+0)),0)</f>
        <v>0</v>
      </c>
      <c r="AM157" s="169">
        <f ca="1">+IFERROR(IF(ISNUMBER(OFFSET('EDP Proyectado'!AN157,0,-'Ingreso Proyectado'!$P157))&lt;&gt;0,IF(OFFSET('EDP Proyectado'!AN157,0,-'Ingreso Proyectado'!$P157)+0&lt;=1,0,OFFSET('EDP Proyectado'!AN157,0,-'Ingreso Proyectado'!$P157)+0)),0)</f>
        <v>0</v>
      </c>
      <c r="AN157" s="169">
        <f ca="1">+IFERROR(IF(ISNUMBER(OFFSET('EDP Proyectado'!AO157,0,-'Ingreso Proyectado'!$P157))&lt;&gt;0,IF(OFFSET('EDP Proyectado'!AO157,0,-'Ingreso Proyectado'!$P157)+0&lt;=1,0,OFFSET('EDP Proyectado'!AO157,0,-'Ingreso Proyectado'!$P157)+0)),0)</f>
        <v>0</v>
      </c>
      <c r="AO157" s="169">
        <f ca="1">+IFERROR(IF(ISNUMBER(OFFSET('EDP Proyectado'!AP157,0,-'Ingreso Proyectado'!$P157))&lt;&gt;0,IF(OFFSET('EDP Proyectado'!AP157,0,-'Ingreso Proyectado'!$P157)+0&lt;=1,0,OFFSET('EDP Proyectado'!AP157,0,-'Ingreso Proyectado'!$P157)+0)),0)</f>
        <v>0</v>
      </c>
      <c r="AP157" s="170">
        <f ca="1">+IFERROR(IF(ISNUMBER(OFFSET('EDP Proyectado'!AQ157,0,-'Ingreso Proyectado'!$P157))&lt;&gt;0,IF(OFFSET('EDP Proyectado'!AQ157,0,-'Ingreso Proyectado'!$P157)+0&lt;=1,0,OFFSET('EDP Proyectado'!AQ157,0,-'Ingreso Proyectado'!$P157)+0)),0)</f>
        <v>0</v>
      </c>
    </row>
    <row r="158" spans="3:42" x14ac:dyDescent="0.2">
      <c r="C158" s="110">
        <f>+'Gantt Proyectos'!C226</f>
        <v>0</v>
      </c>
      <c r="D158" s="110">
        <f>+'Gantt Proyectos'!D226</f>
        <v>0</v>
      </c>
      <c r="E158" s="110">
        <f>+'Gantt Proyectos'!E226</f>
        <v>0</v>
      </c>
      <c r="F158" s="148">
        <f>+'Gantt Proyectos'!F226</f>
        <v>0</v>
      </c>
      <c r="G158" s="110">
        <f>+'Gantt Proyectos'!G226</f>
        <v>0</v>
      </c>
      <c r="H158" s="110">
        <f>+'Gantt Proyectos'!H226</f>
        <v>0</v>
      </c>
      <c r="I158" s="189">
        <v>1</v>
      </c>
      <c r="J158" s="189">
        <f t="shared" ref="J158:J194" si="10">1-I158</f>
        <v>0</v>
      </c>
      <c r="K158" s="110">
        <f>+'Gantt Proyectos'!I226</f>
        <v>0</v>
      </c>
      <c r="L158" s="110">
        <f>+'Gantt Proyectos'!J226</f>
        <v>0</v>
      </c>
      <c r="M158" s="110">
        <f>+'Gantt Proyectos'!K226</f>
        <v>0</v>
      </c>
      <c r="N158" s="110">
        <f>+'Gantt Proyectos'!L226</f>
        <v>0</v>
      </c>
      <c r="O158" s="110">
        <f>+'Gantt Proyectos'!M226</f>
        <v>0</v>
      </c>
      <c r="P158" s="110">
        <f>+'Gantt Proyectos'!N226</f>
        <v>0</v>
      </c>
      <c r="Q158" s="110">
        <f>+'Gantt Proyectos'!O226</f>
        <v>0</v>
      </c>
      <c r="R158" s="110">
        <f>+'Gantt Proyectos'!P226</f>
        <v>0</v>
      </c>
      <c r="S158" s="110">
        <f>+'Gantt Proyectos'!R226</f>
        <v>0</v>
      </c>
      <c r="T158" s="118">
        <f>+'Gantt Proyectos'!S226</f>
        <v>0</v>
      </c>
      <c r="U158" s="157">
        <f>+'Gantt Proyectos'!T226</f>
        <v>0</v>
      </c>
      <c r="V158" s="157">
        <f>+'Gantt Proyectos'!U226</f>
        <v>0</v>
      </c>
      <c r="W158" s="201">
        <f t="shared" ref="W158:W194" si="11">+ROUNDUP(_xlfn.DAYS(V158,U158)/30.5,0)</f>
        <v>0</v>
      </c>
      <c r="X158" s="110">
        <f>+'Gantt Proyectos'!W226</f>
        <v>0</v>
      </c>
      <c r="Y158" s="110">
        <f>+'Gantt Proyectos'!X226</f>
        <v>0</v>
      </c>
      <c r="Z158" s="110">
        <f>+'Gantt Proyectos'!Y226</f>
        <v>0</v>
      </c>
      <c r="AA158" s="110">
        <f>+'Gantt Proyectos'!Z226</f>
        <v>0</v>
      </c>
      <c r="AB158" s="110">
        <f>+'Gantt Proyectos'!AA226</f>
        <v>0</v>
      </c>
      <c r="AC158" s="110">
        <f>+'Gantt Proyectos'!AB226</f>
        <v>0</v>
      </c>
      <c r="AD158" s="110">
        <f>+'Gantt Proyectos'!AC226</f>
        <v>0</v>
      </c>
      <c r="AE158" s="110">
        <f>+'Gantt Proyectos'!AD226</f>
        <v>0</v>
      </c>
      <c r="AF158" s="110">
        <f>+'Gantt Proyectos'!AE226</f>
        <v>0</v>
      </c>
      <c r="AG158" s="172">
        <v>1</v>
      </c>
      <c r="AH158" s="169">
        <f ca="1">+IFERROR(IF(ISNUMBER(OFFSET('EDP Proyectado'!AI158,0,-'Ingreso Proyectado'!$P158))&lt;&gt;0,IF(OFFSET('EDP Proyectado'!AI158,0,-'Ingreso Proyectado'!$P158)+0&lt;=1,0,OFFSET('EDP Proyectado'!AI158,0,-'Ingreso Proyectado'!$P158)+0)),0)</f>
        <v>0</v>
      </c>
      <c r="AI158" s="169">
        <f ca="1">+IFERROR(IF(ISNUMBER(OFFSET('EDP Proyectado'!AJ158,0,-'Ingreso Proyectado'!$P158))&lt;&gt;0,IF(OFFSET('EDP Proyectado'!AJ158,0,-'Ingreso Proyectado'!$P158)+0&lt;=1,0,OFFSET('EDP Proyectado'!AJ158,0,-'Ingreso Proyectado'!$P158)+0)),0)</f>
        <v>0</v>
      </c>
      <c r="AJ158" s="169">
        <f ca="1">+IFERROR(IF(ISNUMBER(OFFSET('EDP Proyectado'!AK158,0,-'Ingreso Proyectado'!$P158))&lt;&gt;0,IF(OFFSET('EDP Proyectado'!AK158,0,-'Ingreso Proyectado'!$P158)+0&lt;=1,0,OFFSET('EDP Proyectado'!AK158,0,-'Ingreso Proyectado'!$P158)+0)),0)</f>
        <v>0</v>
      </c>
      <c r="AK158" s="169">
        <f ca="1">+IFERROR(IF(ISNUMBER(OFFSET('EDP Proyectado'!AL158,0,-'Ingreso Proyectado'!$P158))&lt;&gt;0,IF(OFFSET('EDP Proyectado'!AL158,0,-'Ingreso Proyectado'!$P158)+0&lt;=1,0,OFFSET('EDP Proyectado'!AL158,0,-'Ingreso Proyectado'!$P158)+0)),0)</f>
        <v>0</v>
      </c>
      <c r="AL158" s="169">
        <f ca="1">+IFERROR(IF(ISNUMBER(OFFSET('EDP Proyectado'!AM158,0,-'Ingreso Proyectado'!$P158))&lt;&gt;0,IF(OFFSET('EDP Proyectado'!AM158,0,-'Ingreso Proyectado'!$P158)+0&lt;=1,0,OFFSET('EDP Proyectado'!AM158,0,-'Ingreso Proyectado'!$P158)+0)),0)</f>
        <v>0</v>
      </c>
      <c r="AM158" s="169">
        <f ca="1">+IFERROR(IF(ISNUMBER(OFFSET('EDP Proyectado'!AN158,0,-'Ingreso Proyectado'!$P158))&lt;&gt;0,IF(OFFSET('EDP Proyectado'!AN158,0,-'Ingreso Proyectado'!$P158)+0&lt;=1,0,OFFSET('EDP Proyectado'!AN158,0,-'Ingreso Proyectado'!$P158)+0)),0)</f>
        <v>0</v>
      </c>
      <c r="AN158" s="169">
        <f ca="1">+IFERROR(IF(ISNUMBER(OFFSET('EDP Proyectado'!AO158,0,-'Ingreso Proyectado'!$P158))&lt;&gt;0,IF(OFFSET('EDP Proyectado'!AO158,0,-'Ingreso Proyectado'!$P158)+0&lt;=1,0,OFFSET('EDP Proyectado'!AO158,0,-'Ingreso Proyectado'!$P158)+0)),0)</f>
        <v>0</v>
      </c>
      <c r="AO158" s="169">
        <f ca="1">+IFERROR(IF(ISNUMBER(OFFSET('EDP Proyectado'!AP158,0,-'Ingreso Proyectado'!$P158))&lt;&gt;0,IF(OFFSET('EDP Proyectado'!AP158,0,-'Ingreso Proyectado'!$P158)+0&lt;=1,0,OFFSET('EDP Proyectado'!AP158,0,-'Ingreso Proyectado'!$P158)+0)),0)</f>
        <v>0</v>
      </c>
      <c r="AP158" s="170">
        <f ca="1">+IFERROR(IF(ISNUMBER(OFFSET('EDP Proyectado'!AQ158,0,-'Ingreso Proyectado'!$P158))&lt;&gt;0,IF(OFFSET('EDP Proyectado'!AQ158,0,-'Ingreso Proyectado'!$P158)+0&lt;=1,0,OFFSET('EDP Proyectado'!AQ158,0,-'Ingreso Proyectado'!$P158)+0)),0)</f>
        <v>0</v>
      </c>
    </row>
    <row r="159" spans="3:42" x14ac:dyDescent="0.2">
      <c r="C159" s="110">
        <f>+'Gantt Proyectos'!C227</f>
        <v>0</v>
      </c>
      <c r="D159" s="110">
        <f>+'Gantt Proyectos'!D227</f>
        <v>0</v>
      </c>
      <c r="E159" s="110">
        <f>+'Gantt Proyectos'!E227</f>
        <v>0</v>
      </c>
      <c r="F159" s="148">
        <f>+'Gantt Proyectos'!F227</f>
        <v>0</v>
      </c>
      <c r="G159" s="110">
        <f>+'Gantt Proyectos'!G227</f>
        <v>0</v>
      </c>
      <c r="H159" s="110">
        <f>+'Gantt Proyectos'!H227</f>
        <v>0</v>
      </c>
      <c r="I159" s="189">
        <v>1</v>
      </c>
      <c r="J159" s="189">
        <f t="shared" si="10"/>
        <v>0</v>
      </c>
      <c r="K159" s="110">
        <f>+'Gantt Proyectos'!I227</f>
        <v>0</v>
      </c>
      <c r="L159" s="110">
        <f>+'Gantt Proyectos'!J227</f>
        <v>0</v>
      </c>
      <c r="M159" s="110">
        <f>+'Gantt Proyectos'!K227</f>
        <v>0</v>
      </c>
      <c r="N159" s="110">
        <f>+'Gantt Proyectos'!L227</f>
        <v>0</v>
      </c>
      <c r="O159" s="110">
        <f>+'Gantt Proyectos'!M227</f>
        <v>0</v>
      </c>
      <c r="P159" s="110">
        <f>+'Gantt Proyectos'!N227</f>
        <v>0</v>
      </c>
      <c r="Q159" s="110">
        <f>+'Gantt Proyectos'!O227</f>
        <v>0</v>
      </c>
      <c r="R159" s="110">
        <f>+'Gantt Proyectos'!P227</f>
        <v>0</v>
      </c>
      <c r="S159" s="110">
        <f>+'Gantt Proyectos'!R227</f>
        <v>0</v>
      </c>
      <c r="T159" s="118">
        <f>+'Gantt Proyectos'!S227</f>
        <v>0</v>
      </c>
      <c r="U159" s="157">
        <f>+'Gantt Proyectos'!T227</f>
        <v>0</v>
      </c>
      <c r="V159" s="157">
        <f>+'Gantt Proyectos'!U227</f>
        <v>0</v>
      </c>
      <c r="W159" s="201">
        <f t="shared" si="11"/>
        <v>0</v>
      </c>
      <c r="X159" s="110">
        <f>+'Gantt Proyectos'!W227</f>
        <v>0</v>
      </c>
      <c r="Y159" s="110">
        <f>+'Gantt Proyectos'!X227</f>
        <v>0</v>
      </c>
      <c r="Z159" s="110">
        <f>+'Gantt Proyectos'!Y227</f>
        <v>0</v>
      </c>
      <c r="AA159" s="110">
        <f>+'Gantt Proyectos'!Z227</f>
        <v>0</v>
      </c>
      <c r="AB159" s="110">
        <f>+'Gantt Proyectos'!AA227</f>
        <v>0</v>
      </c>
      <c r="AC159" s="110">
        <f>+'Gantt Proyectos'!AB227</f>
        <v>0</v>
      </c>
      <c r="AD159" s="110">
        <f>+'Gantt Proyectos'!AC227</f>
        <v>0</v>
      </c>
      <c r="AE159" s="110">
        <f>+'Gantt Proyectos'!AD227</f>
        <v>0</v>
      </c>
      <c r="AF159" s="110">
        <f>+'Gantt Proyectos'!AE227</f>
        <v>0</v>
      </c>
      <c r="AG159" s="172">
        <v>1</v>
      </c>
      <c r="AH159" s="169">
        <f ca="1">+IFERROR(IF(ISNUMBER(OFFSET('EDP Proyectado'!AI159,0,-'Ingreso Proyectado'!$P159))&lt;&gt;0,IF(OFFSET('EDP Proyectado'!AI159,0,-'Ingreso Proyectado'!$P159)+0&lt;=1,0,OFFSET('EDP Proyectado'!AI159,0,-'Ingreso Proyectado'!$P159)+0)),0)</f>
        <v>0</v>
      </c>
      <c r="AI159" s="169">
        <f ca="1">+IFERROR(IF(ISNUMBER(OFFSET('EDP Proyectado'!AJ159,0,-'Ingreso Proyectado'!$P159))&lt;&gt;0,IF(OFFSET('EDP Proyectado'!AJ159,0,-'Ingreso Proyectado'!$P159)+0&lt;=1,0,OFFSET('EDP Proyectado'!AJ159,0,-'Ingreso Proyectado'!$P159)+0)),0)</f>
        <v>0</v>
      </c>
      <c r="AJ159" s="169">
        <f ca="1">+IFERROR(IF(ISNUMBER(OFFSET('EDP Proyectado'!AK159,0,-'Ingreso Proyectado'!$P159))&lt;&gt;0,IF(OFFSET('EDP Proyectado'!AK159,0,-'Ingreso Proyectado'!$P159)+0&lt;=1,0,OFFSET('EDP Proyectado'!AK159,0,-'Ingreso Proyectado'!$P159)+0)),0)</f>
        <v>0</v>
      </c>
      <c r="AK159" s="169">
        <f ca="1">+IFERROR(IF(ISNUMBER(OFFSET('EDP Proyectado'!AL159,0,-'Ingreso Proyectado'!$P159))&lt;&gt;0,IF(OFFSET('EDP Proyectado'!AL159,0,-'Ingreso Proyectado'!$P159)+0&lt;=1,0,OFFSET('EDP Proyectado'!AL159,0,-'Ingreso Proyectado'!$P159)+0)),0)</f>
        <v>0</v>
      </c>
      <c r="AL159" s="169">
        <f ca="1">+IFERROR(IF(ISNUMBER(OFFSET('EDP Proyectado'!AM159,0,-'Ingreso Proyectado'!$P159))&lt;&gt;0,IF(OFFSET('EDP Proyectado'!AM159,0,-'Ingreso Proyectado'!$P159)+0&lt;=1,0,OFFSET('EDP Proyectado'!AM159,0,-'Ingreso Proyectado'!$P159)+0)),0)</f>
        <v>0</v>
      </c>
      <c r="AM159" s="169">
        <f ca="1">+IFERROR(IF(ISNUMBER(OFFSET('EDP Proyectado'!AN159,0,-'Ingreso Proyectado'!$P159))&lt;&gt;0,IF(OFFSET('EDP Proyectado'!AN159,0,-'Ingreso Proyectado'!$P159)+0&lt;=1,0,OFFSET('EDP Proyectado'!AN159,0,-'Ingreso Proyectado'!$P159)+0)),0)</f>
        <v>0</v>
      </c>
      <c r="AN159" s="169">
        <f ca="1">+IFERROR(IF(ISNUMBER(OFFSET('EDP Proyectado'!AO159,0,-'Ingreso Proyectado'!$P159))&lt;&gt;0,IF(OFFSET('EDP Proyectado'!AO159,0,-'Ingreso Proyectado'!$P159)+0&lt;=1,0,OFFSET('EDP Proyectado'!AO159,0,-'Ingreso Proyectado'!$P159)+0)),0)</f>
        <v>0</v>
      </c>
      <c r="AO159" s="169">
        <f ca="1">+IFERROR(IF(ISNUMBER(OFFSET('EDP Proyectado'!AP159,0,-'Ingreso Proyectado'!$P159))&lt;&gt;0,IF(OFFSET('EDP Proyectado'!AP159,0,-'Ingreso Proyectado'!$P159)+0&lt;=1,0,OFFSET('EDP Proyectado'!AP159,0,-'Ingreso Proyectado'!$P159)+0)),0)</f>
        <v>0</v>
      </c>
      <c r="AP159" s="170">
        <f ca="1">+IFERROR(IF(ISNUMBER(OFFSET('EDP Proyectado'!AQ159,0,-'Ingreso Proyectado'!$P159))&lt;&gt;0,IF(OFFSET('EDP Proyectado'!AQ159,0,-'Ingreso Proyectado'!$P159)+0&lt;=1,0,OFFSET('EDP Proyectado'!AQ159,0,-'Ingreso Proyectado'!$P159)+0)),0)</f>
        <v>0</v>
      </c>
    </row>
    <row r="160" spans="3:42" x14ac:dyDescent="0.2">
      <c r="C160" s="110">
        <f>+'Gantt Proyectos'!C228</f>
        <v>0</v>
      </c>
      <c r="D160" s="110">
        <f>+'Gantt Proyectos'!D228</f>
        <v>0</v>
      </c>
      <c r="E160" s="110">
        <f>+'Gantt Proyectos'!E228</f>
        <v>0</v>
      </c>
      <c r="F160" s="148">
        <f>+'Gantt Proyectos'!F228</f>
        <v>0</v>
      </c>
      <c r="G160" s="110">
        <f>+'Gantt Proyectos'!G228</f>
        <v>0</v>
      </c>
      <c r="H160" s="110">
        <f>+'Gantt Proyectos'!H228</f>
        <v>0</v>
      </c>
      <c r="I160" s="189">
        <v>1</v>
      </c>
      <c r="J160" s="189">
        <f t="shared" si="10"/>
        <v>0</v>
      </c>
      <c r="K160" s="110">
        <f>+'Gantt Proyectos'!I228</f>
        <v>0</v>
      </c>
      <c r="L160" s="110">
        <f>+'Gantt Proyectos'!J228</f>
        <v>0</v>
      </c>
      <c r="M160" s="110">
        <f>+'Gantt Proyectos'!K228</f>
        <v>0</v>
      </c>
      <c r="N160" s="110">
        <f>+'Gantt Proyectos'!L228</f>
        <v>0</v>
      </c>
      <c r="O160" s="110">
        <f>+'Gantt Proyectos'!M228</f>
        <v>0</v>
      </c>
      <c r="P160" s="110">
        <f>+'Gantt Proyectos'!N228</f>
        <v>0</v>
      </c>
      <c r="Q160" s="110">
        <f>+'Gantt Proyectos'!O228</f>
        <v>0</v>
      </c>
      <c r="R160" s="110">
        <f>+'Gantt Proyectos'!P228</f>
        <v>0</v>
      </c>
      <c r="S160" s="110">
        <f>+'Gantt Proyectos'!R228</f>
        <v>0</v>
      </c>
      <c r="T160" s="118">
        <f>+'Gantt Proyectos'!S228</f>
        <v>0</v>
      </c>
      <c r="U160" s="157">
        <f>+'Gantt Proyectos'!T228</f>
        <v>0</v>
      </c>
      <c r="V160" s="157">
        <f>+'Gantt Proyectos'!U228</f>
        <v>0</v>
      </c>
      <c r="W160" s="201">
        <f t="shared" si="11"/>
        <v>0</v>
      </c>
      <c r="X160" s="110">
        <f>+'Gantt Proyectos'!W228</f>
        <v>0</v>
      </c>
      <c r="Y160" s="110">
        <f>+'Gantt Proyectos'!X228</f>
        <v>0</v>
      </c>
      <c r="Z160" s="110">
        <f>+'Gantt Proyectos'!Y228</f>
        <v>0</v>
      </c>
      <c r="AA160" s="110">
        <f>+'Gantt Proyectos'!Z228</f>
        <v>0</v>
      </c>
      <c r="AB160" s="110">
        <f>+'Gantt Proyectos'!AA228</f>
        <v>0</v>
      </c>
      <c r="AC160" s="110">
        <f>+'Gantt Proyectos'!AB228</f>
        <v>0</v>
      </c>
      <c r="AD160" s="110">
        <f>+'Gantt Proyectos'!AC228</f>
        <v>0</v>
      </c>
      <c r="AE160" s="110">
        <f>+'Gantt Proyectos'!AD228</f>
        <v>0</v>
      </c>
      <c r="AF160" s="110">
        <f>+'Gantt Proyectos'!AE228</f>
        <v>0</v>
      </c>
      <c r="AG160" s="172">
        <v>1</v>
      </c>
      <c r="AH160" s="169">
        <f ca="1">+IFERROR(IF(ISNUMBER(OFFSET('EDP Proyectado'!AI160,0,-'Ingreso Proyectado'!$P160))&lt;&gt;0,IF(OFFSET('EDP Proyectado'!AI160,0,-'Ingreso Proyectado'!$P160)+0&lt;=1,0,OFFSET('EDP Proyectado'!AI160,0,-'Ingreso Proyectado'!$P160)+0)),0)</f>
        <v>0</v>
      </c>
      <c r="AI160" s="169">
        <f ca="1">+IFERROR(IF(ISNUMBER(OFFSET('EDP Proyectado'!AJ160,0,-'Ingreso Proyectado'!$P160))&lt;&gt;0,IF(OFFSET('EDP Proyectado'!AJ160,0,-'Ingreso Proyectado'!$P160)+0&lt;=1,0,OFFSET('EDP Proyectado'!AJ160,0,-'Ingreso Proyectado'!$P160)+0)),0)</f>
        <v>0</v>
      </c>
      <c r="AJ160" s="169">
        <f ca="1">+IFERROR(IF(ISNUMBER(OFFSET('EDP Proyectado'!AK160,0,-'Ingreso Proyectado'!$P160))&lt;&gt;0,IF(OFFSET('EDP Proyectado'!AK160,0,-'Ingreso Proyectado'!$P160)+0&lt;=1,0,OFFSET('EDP Proyectado'!AK160,0,-'Ingreso Proyectado'!$P160)+0)),0)</f>
        <v>0</v>
      </c>
      <c r="AK160" s="169">
        <f ca="1">+IFERROR(IF(ISNUMBER(OFFSET('EDP Proyectado'!AL160,0,-'Ingreso Proyectado'!$P160))&lt;&gt;0,IF(OFFSET('EDP Proyectado'!AL160,0,-'Ingreso Proyectado'!$P160)+0&lt;=1,0,OFFSET('EDP Proyectado'!AL160,0,-'Ingreso Proyectado'!$P160)+0)),0)</f>
        <v>0</v>
      </c>
      <c r="AL160" s="169">
        <f ca="1">+IFERROR(IF(ISNUMBER(OFFSET('EDP Proyectado'!AM160,0,-'Ingreso Proyectado'!$P160))&lt;&gt;0,IF(OFFSET('EDP Proyectado'!AM160,0,-'Ingreso Proyectado'!$P160)+0&lt;=1,0,OFFSET('EDP Proyectado'!AM160,0,-'Ingreso Proyectado'!$P160)+0)),0)</f>
        <v>0</v>
      </c>
      <c r="AM160" s="169">
        <f ca="1">+IFERROR(IF(ISNUMBER(OFFSET('EDP Proyectado'!AN160,0,-'Ingreso Proyectado'!$P160))&lt;&gt;0,IF(OFFSET('EDP Proyectado'!AN160,0,-'Ingreso Proyectado'!$P160)+0&lt;=1,0,OFFSET('EDP Proyectado'!AN160,0,-'Ingreso Proyectado'!$P160)+0)),0)</f>
        <v>0</v>
      </c>
      <c r="AN160" s="169">
        <f ca="1">+IFERROR(IF(ISNUMBER(OFFSET('EDP Proyectado'!AO160,0,-'Ingreso Proyectado'!$P160))&lt;&gt;0,IF(OFFSET('EDP Proyectado'!AO160,0,-'Ingreso Proyectado'!$P160)+0&lt;=1,0,OFFSET('EDP Proyectado'!AO160,0,-'Ingreso Proyectado'!$P160)+0)),0)</f>
        <v>0</v>
      </c>
      <c r="AO160" s="169">
        <f ca="1">+IFERROR(IF(ISNUMBER(OFFSET('EDP Proyectado'!AP160,0,-'Ingreso Proyectado'!$P160))&lt;&gt;0,IF(OFFSET('EDP Proyectado'!AP160,0,-'Ingreso Proyectado'!$P160)+0&lt;=1,0,OFFSET('EDP Proyectado'!AP160,0,-'Ingreso Proyectado'!$P160)+0)),0)</f>
        <v>0</v>
      </c>
      <c r="AP160" s="170">
        <f ca="1">+IFERROR(IF(ISNUMBER(OFFSET('EDP Proyectado'!AQ160,0,-'Ingreso Proyectado'!$P160))&lt;&gt;0,IF(OFFSET('EDP Proyectado'!AQ160,0,-'Ingreso Proyectado'!$P160)+0&lt;=1,0,OFFSET('EDP Proyectado'!AQ160,0,-'Ingreso Proyectado'!$P160)+0)),0)</f>
        <v>0</v>
      </c>
    </row>
    <row r="161" spans="3:42" x14ac:dyDescent="0.2">
      <c r="C161" s="110">
        <f>+'Gantt Proyectos'!C229</f>
        <v>0</v>
      </c>
      <c r="D161" s="110">
        <f>+'Gantt Proyectos'!D229</f>
        <v>0</v>
      </c>
      <c r="E161" s="110">
        <f>+'Gantt Proyectos'!E229</f>
        <v>0</v>
      </c>
      <c r="F161" s="148">
        <f>+'Gantt Proyectos'!F229</f>
        <v>0</v>
      </c>
      <c r="G161" s="110">
        <f>+'Gantt Proyectos'!G229</f>
        <v>0</v>
      </c>
      <c r="H161" s="110">
        <f>+'Gantt Proyectos'!H229</f>
        <v>0</v>
      </c>
      <c r="I161" s="189">
        <v>1</v>
      </c>
      <c r="J161" s="189">
        <f t="shared" si="10"/>
        <v>0</v>
      </c>
      <c r="K161" s="110">
        <f>+'Gantt Proyectos'!I229</f>
        <v>0</v>
      </c>
      <c r="L161" s="110">
        <f>+'Gantt Proyectos'!J229</f>
        <v>0</v>
      </c>
      <c r="M161" s="110">
        <f>+'Gantt Proyectos'!K229</f>
        <v>0</v>
      </c>
      <c r="N161" s="110">
        <f>+'Gantt Proyectos'!L229</f>
        <v>0</v>
      </c>
      <c r="O161" s="110">
        <f>+'Gantt Proyectos'!M229</f>
        <v>0</v>
      </c>
      <c r="P161" s="110">
        <f>+'Gantt Proyectos'!N229</f>
        <v>0</v>
      </c>
      <c r="Q161" s="110">
        <f>+'Gantt Proyectos'!O229</f>
        <v>0</v>
      </c>
      <c r="R161" s="110">
        <f>+'Gantt Proyectos'!P229</f>
        <v>0</v>
      </c>
      <c r="S161" s="110">
        <f>+'Gantt Proyectos'!R229</f>
        <v>0</v>
      </c>
      <c r="T161" s="118">
        <f>+'Gantt Proyectos'!S229</f>
        <v>0</v>
      </c>
      <c r="U161" s="157">
        <f>+'Gantt Proyectos'!T229</f>
        <v>0</v>
      </c>
      <c r="V161" s="157">
        <f>+'Gantt Proyectos'!U229</f>
        <v>0</v>
      </c>
      <c r="W161" s="201">
        <f t="shared" si="11"/>
        <v>0</v>
      </c>
      <c r="X161" s="110">
        <f>+'Gantt Proyectos'!W229</f>
        <v>0</v>
      </c>
      <c r="Y161" s="110">
        <f>+'Gantt Proyectos'!X229</f>
        <v>0</v>
      </c>
      <c r="Z161" s="110">
        <f>+'Gantt Proyectos'!Y229</f>
        <v>0</v>
      </c>
      <c r="AA161" s="110">
        <f>+'Gantt Proyectos'!Z229</f>
        <v>0</v>
      </c>
      <c r="AB161" s="110">
        <f>+'Gantt Proyectos'!AA229</f>
        <v>0</v>
      </c>
      <c r="AC161" s="110">
        <f>+'Gantt Proyectos'!AB229</f>
        <v>0</v>
      </c>
      <c r="AD161" s="110">
        <f>+'Gantt Proyectos'!AC229</f>
        <v>0</v>
      </c>
      <c r="AE161" s="110">
        <f>+'Gantt Proyectos'!AD229</f>
        <v>0</v>
      </c>
      <c r="AF161" s="110">
        <f>+'Gantt Proyectos'!AE229</f>
        <v>0</v>
      </c>
      <c r="AG161" s="172">
        <v>1</v>
      </c>
      <c r="AH161" s="169">
        <f ca="1">+IFERROR(IF(ISNUMBER(OFFSET('EDP Proyectado'!AI161,0,-'Ingreso Proyectado'!$P161))&lt;&gt;0,IF(OFFSET('EDP Proyectado'!AI161,0,-'Ingreso Proyectado'!$P161)+0&lt;=1,0,OFFSET('EDP Proyectado'!AI161,0,-'Ingreso Proyectado'!$P161)+0)),0)</f>
        <v>0</v>
      </c>
      <c r="AI161" s="169">
        <f ca="1">+IFERROR(IF(ISNUMBER(OFFSET('EDP Proyectado'!AJ161,0,-'Ingreso Proyectado'!$P161))&lt;&gt;0,IF(OFFSET('EDP Proyectado'!AJ161,0,-'Ingreso Proyectado'!$P161)+0&lt;=1,0,OFFSET('EDP Proyectado'!AJ161,0,-'Ingreso Proyectado'!$P161)+0)),0)</f>
        <v>0</v>
      </c>
      <c r="AJ161" s="169">
        <f ca="1">+IFERROR(IF(ISNUMBER(OFFSET('EDP Proyectado'!AK161,0,-'Ingreso Proyectado'!$P161))&lt;&gt;0,IF(OFFSET('EDP Proyectado'!AK161,0,-'Ingreso Proyectado'!$P161)+0&lt;=1,0,OFFSET('EDP Proyectado'!AK161,0,-'Ingreso Proyectado'!$P161)+0)),0)</f>
        <v>0</v>
      </c>
      <c r="AK161" s="169">
        <f ca="1">+IFERROR(IF(ISNUMBER(OFFSET('EDP Proyectado'!AL161,0,-'Ingreso Proyectado'!$P161))&lt;&gt;0,IF(OFFSET('EDP Proyectado'!AL161,0,-'Ingreso Proyectado'!$P161)+0&lt;=1,0,OFFSET('EDP Proyectado'!AL161,0,-'Ingreso Proyectado'!$P161)+0)),0)</f>
        <v>0</v>
      </c>
      <c r="AL161" s="169">
        <f ca="1">+IFERROR(IF(ISNUMBER(OFFSET('EDP Proyectado'!AM161,0,-'Ingreso Proyectado'!$P161))&lt;&gt;0,IF(OFFSET('EDP Proyectado'!AM161,0,-'Ingreso Proyectado'!$P161)+0&lt;=1,0,OFFSET('EDP Proyectado'!AM161,0,-'Ingreso Proyectado'!$P161)+0)),0)</f>
        <v>0</v>
      </c>
      <c r="AM161" s="169">
        <f ca="1">+IFERROR(IF(ISNUMBER(OFFSET('EDP Proyectado'!AN161,0,-'Ingreso Proyectado'!$P161))&lt;&gt;0,IF(OFFSET('EDP Proyectado'!AN161,0,-'Ingreso Proyectado'!$P161)+0&lt;=1,0,OFFSET('EDP Proyectado'!AN161,0,-'Ingreso Proyectado'!$P161)+0)),0)</f>
        <v>0</v>
      </c>
      <c r="AN161" s="169">
        <f ca="1">+IFERROR(IF(ISNUMBER(OFFSET('EDP Proyectado'!AO161,0,-'Ingreso Proyectado'!$P161))&lt;&gt;0,IF(OFFSET('EDP Proyectado'!AO161,0,-'Ingreso Proyectado'!$P161)+0&lt;=1,0,OFFSET('EDP Proyectado'!AO161,0,-'Ingreso Proyectado'!$P161)+0)),0)</f>
        <v>0</v>
      </c>
      <c r="AO161" s="169">
        <f ca="1">+IFERROR(IF(ISNUMBER(OFFSET('EDP Proyectado'!AP161,0,-'Ingreso Proyectado'!$P161))&lt;&gt;0,IF(OFFSET('EDP Proyectado'!AP161,0,-'Ingreso Proyectado'!$P161)+0&lt;=1,0,OFFSET('EDP Proyectado'!AP161,0,-'Ingreso Proyectado'!$P161)+0)),0)</f>
        <v>0</v>
      </c>
      <c r="AP161" s="170">
        <f ca="1">+IFERROR(IF(ISNUMBER(OFFSET('EDP Proyectado'!AQ161,0,-'Ingreso Proyectado'!$P161))&lt;&gt;0,IF(OFFSET('EDP Proyectado'!AQ161,0,-'Ingreso Proyectado'!$P161)+0&lt;=1,0,OFFSET('EDP Proyectado'!AQ161,0,-'Ingreso Proyectado'!$P161)+0)),0)</f>
        <v>0</v>
      </c>
    </row>
    <row r="162" spans="3:42" x14ac:dyDescent="0.2">
      <c r="C162" s="110">
        <f>+'Gantt Proyectos'!C230</f>
        <v>0</v>
      </c>
      <c r="D162" s="110">
        <f>+'Gantt Proyectos'!D230</f>
        <v>0</v>
      </c>
      <c r="E162" s="110">
        <f>+'Gantt Proyectos'!E230</f>
        <v>0</v>
      </c>
      <c r="F162" s="148">
        <f>+'Gantt Proyectos'!F230</f>
        <v>0</v>
      </c>
      <c r="G162" s="110">
        <f>+'Gantt Proyectos'!G230</f>
        <v>0</v>
      </c>
      <c r="H162" s="110">
        <f>+'Gantt Proyectos'!H230</f>
        <v>0</v>
      </c>
      <c r="I162" s="189">
        <v>1</v>
      </c>
      <c r="J162" s="189">
        <f t="shared" si="10"/>
        <v>0</v>
      </c>
      <c r="K162" s="110">
        <f>+'Gantt Proyectos'!I230</f>
        <v>0</v>
      </c>
      <c r="L162" s="110">
        <f>+'Gantt Proyectos'!J230</f>
        <v>0</v>
      </c>
      <c r="M162" s="110">
        <f>+'Gantt Proyectos'!K230</f>
        <v>0</v>
      </c>
      <c r="N162" s="110">
        <f>+'Gantt Proyectos'!L230</f>
        <v>0</v>
      </c>
      <c r="O162" s="110">
        <f>+'Gantt Proyectos'!M230</f>
        <v>0</v>
      </c>
      <c r="P162" s="110">
        <f>+'Gantt Proyectos'!N230</f>
        <v>0</v>
      </c>
      <c r="Q162" s="110">
        <f>+'Gantt Proyectos'!O230</f>
        <v>0</v>
      </c>
      <c r="R162" s="110">
        <f>+'Gantt Proyectos'!P230</f>
        <v>0</v>
      </c>
      <c r="S162" s="110">
        <f>+'Gantt Proyectos'!R230</f>
        <v>0</v>
      </c>
      <c r="T162" s="118">
        <f>+'Gantt Proyectos'!S230</f>
        <v>0</v>
      </c>
      <c r="U162" s="157">
        <f>+'Gantt Proyectos'!T230</f>
        <v>0</v>
      </c>
      <c r="V162" s="157">
        <f>+'Gantt Proyectos'!U230</f>
        <v>0</v>
      </c>
      <c r="W162" s="201">
        <f t="shared" si="11"/>
        <v>0</v>
      </c>
      <c r="X162" s="110">
        <f>+'Gantt Proyectos'!W230</f>
        <v>0</v>
      </c>
      <c r="Y162" s="110">
        <f>+'Gantt Proyectos'!X230</f>
        <v>0</v>
      </c>
      <c r="Z162" s="110">
        <f>+'Gantt Proyectos'!Y230</f>
        <v>0</v>
      </c>
      <c r="AA162" s="110">
        <f>+'Gantt Proyectos'!Z230</f>
        <v>0</v>
      </c>
      <c r="AB162" s="110">
        <f>+'Gantt Proyectos'!AA230</f>
        <v>0</v>
      </c>
      <c r="AC162" s="110">
        <f>+'Gantt Proyectos'!AB230</f>
        <v>0</v>
      </c>
      <c r="AD162" s="110">
        <f>+'Gantt Proyectos'!AC230</f>
        <v>0</v>
      </c>
      <c r="AE162" s="110">
        <f>+'Gantt Proyectos'!AD230</f>
        <v>0</v>
      </c>
      <c r="AF162" s="110">
        <f>+'Gantt Proyectos'!AE230</f>
        <v>0</v>
      </c>
      <c r="AG162" s="172">
        <v>1</v>
      </c>
      <c r="AH162" s="169">
        <f ca="1">+IFERROR(IF(ISNUMBER(OFFSET('EDP Proyectado'!AI162,0,-'Ingreso Proyectado'!$P162))&lt;&gt;0,IF(OFFSET('EDP Proyectado'!AI162,0,-'Ingreso Proyectado'!$P162)+0&lt;=1,0,OFFSET('EDP Proyectado'!AI162,0,-'Ingreso Proyectado'!$P162)+0)),0)</f>
        <v>0</v>
      </c>
      <c r="AI162" s="169">
        <f ca="1">+IFERROR(IF(ISNUMBER(OFFSET('EDP Proyectado'!AJ162,0,-'Ingreso Proyectado'!$P162))&lt;&gt;0,IF(OFFSET('EDP Proyectado'!AJ162,0,-'Ingreso Proyectado'!$P162)+0&lt;=1,0,OFFSET('EDP Proyectado'!AJ162,0,-'Ingreso Proyectado'!$P162)+0)),0)</f>
        <v>0</v>
      </c>
      <c r="AJ162" s="169">
        <f ca="1">+IFERROR(IF(ISNUMBER(OFFSET('EDP Proyectado'!AK162,0,-'Ingreso Proyectado'!$P162))&lt;&gt;0,IF(OFFSET('EDP Proyectado'!AK162,0,-'Ingreso Proyectado'!$P162)+0&lt;=1,0,OFFSET('EDP Proyectado'!AK162,0,-'Ingreso Proyectado'!$P162)+0)),0)</f>
        <v>0</v>
      </c>
      <c r="AK162" s="169">
        <f ca="1">+IFERROR(IF(ISNUMBER(OFFSET('EDP Proyectado'!AL162,0,-'Ingreso Proyectado'!$P162))&lt;&gt;0,IF(OFFSET('EDP Proyectado'!AL162,0,-'Ingreso Proyectado'!$P162)+0&lt;=1,0,OFFSET('EDP Proyectado'!AL162,0,-'Ingreso Proyectado'!$P162)+0)),0)</f>
        <v>0</v>
      </c>
      <c r="AL162" s="169">
        <f ca="1">+IFERROR(IF(ISNUMBER(OFFSET('EDP Proyectado'!AM162,0,-'Ingreso Proyectado'!$P162))&lt;&gt;0,IF(OFFSET('EDP Proyectado'!AM162,0,-'Ingreso Proyectado'!$P162)+0&lt;=1,0,OFFSET('EDP Proyectado'!AM162,0,-'Ingreso Proyectado'!$P162)+0)),0)</f>
        <v>0</v>
      </c>
      <c r="AM162" s="169">
        <f ca="1">+IFERROR(IF(ISNUMBER(OFFSET('EDP Proyectado'!AN162,0,-'Ingreso Proyectado'!$P162))&lt;&gt;0,IF(OFFSET('EDP Proyectado'!AN162,0,-'Ingreso Proyectado'!$P162)+0&lt;=1,0,OFFSET('EDP Proyectado'!AN162,0,-'Ingreso Proyectado'!$P162)+0)),0)</f>
        <v>0</v>
      </c>
      <c r="AN162" s="169">
        <f ca="1">+IFERROR(IF(ISNUMBER(OFFSET('EDP Proyectado'!AO162,0,-'Ingreso Proyectado'!$P162))&lt;&gt;0,IF(OFFSET('EDP Proyectado'!AO162,0,-'Ingreso Proyectado'!$P162)+0&lt;=1,0,OFFSET('EDP Proyectado'!AO162,0,-'Ingreso Proyectado'!$P162)+0)),0)</f>
        <v>0</v>
      </c>
      <c r="AO162" s="169">
        <f ca="1">+IFERROR(IF(ISNUMBER(OFFSET('EDP Proyectado'!AP162,0,-'Ingreso Proyectado'!$P162))&lt;&gt;0,IF(OFFSET('EDP Proyectado'!AP162,0,-'Ingreso Proyectado'!$P162)+0&lt;=1,0,OFFSET('EDP Proyectado'!AP162,0,-'Ingreso Proyectado'!$P162)+0)),0)</f>
        <v>0</v>
      </c>
      <c r="AP162" s="170">
        <f ca="1">+IFERROR(IF(ISNUMBER(OFFSET('EDP Proyectado'!AQ162,0,-'Ingreso Proyectado'!$P162))&lt;&gt;0,IF(OFFSET('EDP Proyectado'!AQ162,0,-'Ingreso Proyectado'!$P162)+0&lt;=1,0,OFFSET('EDP Proyectado'!AQ162,0,-'Ingreso Proyectado'!$P162)+0)),0)</f>
        <v>0</v>
      </c>
    </row>
    <row r="163" spans="3:42" x14ac:dyDescent="0.2">
      <c r="C163" s="110">
        <f>+'Gantt Proyectos'!C231</f>
        <v>0</v>
      </c>
      <c r="D163" s="110">
        <f>+'Gantt Proyectos'!D231</f>
        <v>0</v>
      </c>
      <c r="E163" s="110">
        <f>+'Gantt Proyectos'!E231</f>
        <v>0</v>
      </c>
      <c r="F163" s="148">
        <f>+'Gantt Proyectos'!F231</f>
        <v>0</v>
      </c>
      <c r="G163" s="110">
        <f>+'Gantt Proyectos'!G231</f>
        <v>0</v>
      </c>
      <c r="H163" s="110">
        <f>+'Gantt Proyectos'!H231</f>
        <v>0</v>
      </c>
      <c r="I163" s="189">
        <v>1</v>
      </c>
      <c r="J163" s="189">
        <f t="shared" si="10"/>
        <v>0</v>
      </c>
      <c r="K163" s="110">
        <f>+'Gantt Proyectos'!I231</f>
        <v>0</v>
      </c>
      <c r="L163" s="110">
        <f>+'Gantt Proyectos'!J231</f>
        <v>0</v>
      </c>
      <c r="M163" s="110">
        <f>+'Gantt Proyectos'!K231</f>
        <v>0</v>
      </c>
      <c r="N163" s="110">
        <f>+'Gantt Proyectos'!L231</f>
        <v>0</v>
      </c>
      <c r="O163" s="110">
        <f>+'Gantt Proyectos'!M231</f>
        <v>0</v>
      </c>
      <c r="P163" s="110">
        <f>+'Gantt Proyectos'!N231</f>
        <v>0</v>
      </c>
      <c r="Q163" s="110">
        <f>+'Gantt Proyectos'!O231</f>
        <v>0</v>
      </c>
      <c r="R163" s="110">
        <f>+'Gantt Proyectos'!P231</f>
        <v>0</v>
      </c>
      <c r="S163" s="110">
        <f>+'Gantt Proyectos'!R231</f>
        <v>0</v>
      </c>
      <c r="T163" s="118">
        <f>+'Gantt Proyectos'!S231</f>
        <v>0</v>
      </c>
      <c r="U163" s="157">
        <f>+'Gantt Proyectos'!T231</f>
        <v>0</v>
      </c>
      <c r="V163" s="157">
        <f>+'Gantt Proyectos'!U231</f>
        <v>0</v>
      </c>
      <c r="W163" s="201">
        <f t="shared" si="11"/>
        <v>0</v>
      </c>
      <c r="X163" s="110">
        <f>+'Gantt Proyectos'!W231</f>
        <v>0</v>
      </c>
      <c r="Y163" s="110">
        <f>+'Gantt Proyectos'!X231</f>
        <v>0</v>
      </c>
      <c r="Z163" s="110">
        <f>+'Gantt Proyectos'!Y231</f>
        <v>0</v>
      </c>
      <c r="AA163" s="110">
        <f>+'Gantt Proyectos'!Z231</f>
        <v>0</v>
      </c>
      <c r="AB163" s="110">
        <f>+'Gantt Proyectos'!AA231</f>
        <v>0</v>
      </c>
      <c r="AC163" s="110">
        <f>+'Gantt Proyectos'!AB231</f>
        <v>0</v>
      </c>
      <c r="AD163" s="110">
        <f>+'Gantt Proyectos'!AC231</f>
        <v>0</v>
      </c>
      <c r="AE163" s="110">
        <f>+'Gantt Proyectos'!AD231</f>
        <v>0</v>
      </c>
      <c r="AF163" s="110">
        <f>+'Gantt Proyectos'!AE231</f>
        <v>0</v>
      </c>
      <c r="AG163" s="172">
        <v>1</v>
      </c>
      <c r="AH163" s="169">
        <f ca="1">+IFERROR(IF(ISNUMBER(OFFSET('EDP Proyectado'!AI163,0,-'Ingreso Proyectado'!$P163))&lt;&gt;0,IF(OFFSET('EDP Proyectado'!AI163,0,-'Ingreso Proyectado'!$P163)+0&lt;=1,0,OFFSET('EDP Proyectado'!AI163,0,-'Ingreso Proyectado'!$P163)+0)),0)</f>
        <v>0</v>
      </c>
      <c r="AI163" s="169">
        <f ca="1">+IFERROR(IF(ISNUMBER(OFFSET('EDP Proyectado'!AJ163,0,-'Ingreso Proyectado'!$P163))&lt;&gt;0,IF(OFFSET('EDP Proyectado'!AJ163,0,-'Ingreso Proyectado'!$P163)+0&lt;=1,0,OFFSET('EDP Proyectado'!AJ163,0,-'Ingreso Proyectado'!$P163)+0)),0)</f>
        <v>0</v>
      </c>
      <c r="AJ163" s="169">
        <f ca="1">+IFERROR(IF(ISNUMBER(OFFSET('EDP Proyectado'!AK163,0,-'Ingreso Proyectado'!$P163))&lt;&gt;0,IF(OFFSET('EDP Proyectado'!AK163,0,-'Ingreso Proyectado'!$P163)+0&lt;=1,0,OFFSET('EDP Proyectado'!AK163,0,-'Ingreso Proyectado'!$P163)+0)),0)</f>
        <v>0</v>
      </c>
      <c r="AK163" s="169">
        <f ca="1">+IFERROR(IF(ISNUMBER(OFFSET('EDP Proyectado'!AL163,0,-'Ingreso Proyectado'!$P163))&lt;&gt;0,IF(OFFSET('EDP Proyectado'!AL163,0,-'Ingreso Proyectado'!$P163)+0&lt;=1,0,OFFSET('EDP Proyectado'!AL163,0,-'Ingreso Proyectado'!$P163)+0)),0)</f>
        <v>0</v>
      </c>
      <c r="AL163" s="169">
        <f ca="1">+IFERROR(IF(ISNUMBER(OFFSET('EDP Proyectado'!AM163,0,-'Ingreso Proyectado'!$P163))&lt;&gt;0,IF(OFFSET('EDP Proyectado'!AM163,0,-'Ingreso Proyectado'!$P163)+0&lt;=1,0,OFFSET('EDP Proyectado'!AM163,0,-'Ingreso Proyectado'!$P163)+0)),0)</f>
        <v>0</v>
      </c>
      <c r="AM163" s="169">
        <f ca="1">+IFERROR(IF(ISNUMBER(OFFSET('EDP Proyectado'!AN163,0,-'Ingreso Proyectado'!$P163))&lt;&gt;0,IF(OFFSET('EDP Proyectado'!AN163,0,-'Ingreso Proyectado'!$P163)+0&lt;=1,0,OFFSET('EDP Proyectado'!AN163,0,-'Ingreso Proyectado'!$P163)+0)),0)</f>
        <v>0</v>
      </c>
      <c r="AN163" s="169">
        <f ca="1">+IFERROR(IF(ISNUMBER(OFFSET('EDP Proyectado'!AO163,0,-'Ingreso Proyectado'!$P163))&lt;&gt;0,IF(OFFSET('EDP Proyectado'!AO163,0,-'Ingreso Proyectado'!$P163)+0&lt;=1,0,OFFSET('EDP Proyectado'!AO163,0,-'Ingreso Proyectado'!$P163)+0)),0)</f>
        <v>0</v>
      </c>
      <c r="AO163" s="169">
        <f ca="1">+IFERROR(IF(ISNUMBER(OFFSET('EDP Proyectado'!AP163,0,-'Ingreso Proyectado'!$P163))&lt;&gt;0,IF(OFFSET('EDP Proyectado'!AP163,0,-'Ingreso Proyectado'!$P163)+0&lt;=1,0,OFFSET('EDP Proyectado'!AP163,0,-'Ingreso Proyectado'!$P163)+0)),0)</f>
        <v>0</v>
      </c>
      <c r="AP163" s="170">
        <f ca="1">+IFERROR(IF(ISNUMBER(OFFSET('EDP Proyectado'!AQ163,0,-'Ingreso Proyectado'!$P163))&lt;&gt;0,IF(OFFSET('EDP Proyectado'!AQ163,0,-'Ingreso Proyectado'!$P163)+0&lt;=1,0,OFFSET('EDP Proyectado'!AQ163,0,-'Ingreso Proyectado'!$P163)+0)),0)</f>
        <v>0</v>
      </c>
    </row>
    <row r="164" spans="3:42" x14ac:dyDescent="0.2">
      <c r="C164" s="110">
        <f>+'Gantt Proyectos'!C232</f>
        <v>0</v>
      </c>
      <c r="D164" s="110">
        <f>+'Gantt Proyectos'!D232</f>
        <v>0</v>
      </c>
      <c r="E164" s="110">
        <f>+'Gantt Proyectos'!E232</f>
        <v>0</v>
      </c>
      <c r="F164" s="148">
        <f>+'Gantt Proyectos'!F232</f>
        <v>0</v>
      </c>
      <c r="G164" s="110">
        <f>+'Gantt Proyectos'!G232</f>
        <v>0</v>
      </c>
      <c r="H164" s="110">
        <f>+'Gantt Proyectos'!H232</f>
        <v>0</v>
      </c>
      <c r="I164" s="189">
        <v>1</v>
      </c>
      <c r="J164" s="189">
        <f t="shared" si="10"/>
        <v>0</v>
      </c>
      <c r="K164" s="110">
        <f>+'Gantt Proyectos'!I232</f>
        <v>0</v>
      </c>
      <c r="L164" s="110">
        <f>+'Gantt Proyectos'!J232</f>
        <v>0</v>
      </c>
      <c r="M164" s="110">
        <f>+'Gantt Proyectos'!K232</f>
        <v>0</v>
      </c>
      <c r="N164" s="110">
        <f>+'Gantt Proyectos'!L232</f>
        <v>0</v>
      </c>
      <c r="O164" s="110">
        <f>+'Gantt Proyectos'!M232</f>
        <v>0</v>
      </c>
      <c r="P164" s="110">
        <f>+'Gantt Proyectos'!N232</f>
        <v>0</v>
      </c>
      <c r="Q164" s="110">
        <f>+'Gantt Proyectos'!O232</f>
        <v>0</v>
      </c>
      <c r="R164" s="110">
        <f>+'Gantt Proyectos'!P232</f>
        <v>0</v>
      </c>
      <c r="S164" s="110">
        <f>+'Gantt Proyectos'!R232</f>
        <v>0</v>
      </c>
      <c r="T164" s="118">
        <f>+'Gantt Proyectos'!S232</f>
        <v>0</v>
      </c>
      <c r="U164" s="157">
        <f>+'Gantt Proyectos'!T232</f>
        <v>0</v>
      </c>
      <c r="V164" s="157">
        <f>+'Gantt Proyectos'!U232</f>
        <v>0</v>
      </c>
      <c r="W164" s="201">
        <f t="shared" si="11"/>
        <v>0</v>
      </c>
      <c r="X164" s="110">
        <f>+'Gantt Proyectos'!W232</f>
        <v>0</v>
      </c>
      <c r="Y164" s="110">
        <f>+'Gantt Proyectos'!X232</f>
        <v>0</v>
      </c>
      <c r="Z164" s="110">
        <f>+'Gantt Proyectos'!Y232</f>
        <v>0</v>
      </c>
      <c r="AA164" s="110">
        <f>+'Gantt Proyectos'!Z232</f>
        <v>0</v>
      </c>
      <c r="AB164" s="110">
        <f>+'Gantt Proyectos'!AA232</f>
        <v>0</v>
      </c>
      <c r="AC164" s="110">
        <f>+'Gantt Proyectos'!AB232</f>
        <v>0</v>
      </c>
      <c r="AD164" s="110">
        <f>+'Gantt Proyectos'!AC232</f>
        <v>0</v>
      </c>
      <c r="AE164" s="110">
        <f>+'Gantt Proyectos'!AD232</f>
        <v>0</v>
      </c>
      <c r="AF164" s="110">
        <f>+'Gantt Proyectos'!AE232</f>
        <v>0</v>
      </c>
      <c r="AG164" s="172">
        <v>1</v>
      </c>
      <c r="AH164" s="169">
        <f ca="1">+IFERROR(IF(ISNUMBER(OFFSET('EDP Proyectado'!AI164,0,-'Ingreso Proyectado'!$P164))&lt;&gt;0,IF(OFFSET('EDP Proyectado'!AI164,0,-'Ingreso Proyectado'!$P164)+0&lt;=1,0,OFFSET('EDP Proyectado'!AI164,0,-'Ingreso Proyectado'!$P164)+0)),0)</f>
        <v>0</v>
      </c>
      <c r="AI164" s="169">
        <f ca="1">+IFERROR(IF(ISNUMBER(OFFSET('EDP Proyectado'!AJ164,0,-'Ingreso Proyectado'!$P164))&lt;&gt;0,IF(OFFSET('EDP Proyectado'!AJ164,0,-'Ingreso Proyectado'!$P164)+0&lt;=1,0,OFFSET('EDP Proyectado'!AJ164,0,-'Ingreso Proyectado'!$P164)+0)),0)</f>
        <v>0</v>
      </c>
      <c r="AJ164" s="169">
        <f ca="1">+IFERROR(IF(ISNUMBER(OFFSET('EDP Proyectado'!AK164,0,-'Ingreso Proyectado'!$P164))&lt;&gt;0,IF(OFFSET('EDP Proyectado'!AK164,0,-'Ingreso Proyectado'!$P164)+0&lt;=1,0,OFFSET('EDP Proyectado'!AK164,0,-'Ingreso Proyectado'!$P164)+0)),0)</f>
        <v>0</v>
      </c>
      <c r="AK164" s="169">
        <f ca="1">+IFERROR(IF(ISNUMBER(OFFSET('EDP Proyectado'!AL164,0,-'Ingreso Proyectado'!$P164))&lt;&gt;0,IF(OFFSET('EDP Proyectado'!AL164,0,-'Ingreso Proyectado'!$P164)+0&lt;=1,0,OFFSET('EDP Proyectado'!AL164,0,-'Ingreso Proyectado'!$P164)+0)),0)</f>
        <v>0</v>
      </c>
      <c r="AL164" s="169">
        <f ca="1">+IFERROR(IF(ISNUMBER(OFFSET('EDP Proyectado'!AM164,0,-'Ingreso Proyectado'!$P164))&lt;&gt;0,IF(OFFSET('EDP Proyectado'!AM164,0,-'Ingreso Proyectado'!$P164)+0&lt;=1,0,OFFSET('EDP Proyectado'!AM164,0,-'Ingreso Proyectado'!$P164)+0)),0)</f>
        <v>0</v>
      </c>
      <c r="AM164" s="169">
        <f ca="1">+IFERROR(IF(ISNUMBER(OFFSET('EDP Proyectado'!AN164,0,-'Ingreso Proyectado'!$P164))&lt;&gt;0,IF(OFFSET('EDP Proyectado'!AN164,0,-'Ingreso Proyectado'!$P164)+0&lt;=1,0,OFFSET('EDP Proyectado'!AN164,0,-'Ingreso Proyectado'!$P164)+0)),0)</f>
        <v>0</v>
      </c>
      <c r="AN164" s="169">
        <f ca="1">+IFERROR(IF(ISNUMBER(OFFSET('EDP Proyectado'!AO164,0,-'Ingreso Proyectado'!$P164))&lt;&gt;0,IF(OFFSET('EDP Proyectado'!AO164,0,-'Ingreso Proyectado'!$P164)+0&lt;=1,0,OFFSET('EDP Proyectado'!AO164,0,-'Ingreso Proyectado'!$P164)+0)),0)</f>
        <v>0</v>
      </c>
      <c r="AO164" s="169">
        <f ca="1">+IFERROR(IF(ISNUMBER(OFFSET('EDP Proyectado'!AP164,0,-'Ingreso Proyectado'!$P164))&lt;&gt;0,IF(OFFSET('EDP Proyectado'!AP164,0,-'Ingreso Proyectado'!$P164)+0&lt;=1,0,OFFSET('EDP Proyectado'!AP164,0,-'Ingreso Proyectado'!$P164)+0)),0)</f>
        <v>0</v>
      </c>
      <c r="AP164" s="170">
        <f ca="1">+IFERROR(IF(ISNUMBER(OFFSET('EDP Proyectado'!AQ164,0,-'Ingreso Proyectado'!$P164))&lt;&gt;0,IF(OFFSET('EDP Proyectado'!AQ164,0,-'Ingreso Proyectado'!$P164)+0&lt;=1,0,OFFSET('EDP Proyectado'!AQ164,0,-'Ingreso Proyectado'!$P164)+0)),0)</f>
        <v>0</v>
      </c>
    </row>
    <row r="165" spans="3:42" x14ac:dyDescent="0.2">
      <c r="C165" s="110">
        <f>+'Gantt Proyectos'!C233</f>
        <v>0</v>
      </c>
      <c r="D165" s="110">
        <f>+'Gantt Proyectos'!D233</f>
        <v>0</v>
      </c>
      <c r="E165" s="110">
        <f>+'Gantt Proyectos'!E233</f>
        <v>0</v>
      </c>
      <c r="F165" s="148">
        <f>+'Gantt Proyectos'!F233</f>
        <v>0</v>
      </c>
      <c r="G165" s="110">
        <f>+'Gantt Proyectos'!G233</f>
        <v>0</v>
      </c>
      <c r="H165" s="110">
        <f>+'Gantt Proyectos'!H233</f>
        <v>0</v>
      </c>
      <c r="I165" s="189">
        <v>1</v>
      </c>
      <c r="J165" s="189">
        <f t="shared" si="10"/>
        <v>0</v>
      </c>
      <c r="K165" s="110">
        <f>+'Gantt Proyectos'!I233</f>
        <v>0</v>
      </c>
      <c r="L165" s="110">
        <f>+'Gantt Proyectos'!J233</f>
        <v>0</v>
      </c>
      <c r="M165" s="110">
        <f>+'Gantt Proyectos'!K233</f>
        <v>0</v>
      </c>
      <c r="N165" s="110">
        <f>+'Gantt Proyectos'!L233</f>
        <v>0</v>
      </c>
      <c r="O165" s="110">
        <f>+'Gantt Proyectos'!M233</f>
        <v>0</v>
      </c>
      <c r="P165" s="110">
        <f>+'Gantt Proyectos'!N233</f>
        <v>0</v>
      </c>
      <c r="Q165" s="110">
        <f>+'Gantt Proyectos'!O233</f>
        <v>0</v>
      </c>
      <c r="R165" s="110">
        <f>+'Gantt Proyectos'!P233</f>
        <v>0</v>
      </c>
      <c r="S165" s="110">
        <f>+'Gantt Proyectos'!R233</f>
        <v>0</v>
      </c>
      <c r="T165" s="118">
        <f>+'Gantt Proyectos'!S233</f>
        <v>0</v>
      </c>
      <c r="U165" s="157">
        <f>+'Gantt Proyectos'!T233</f>
        <v>0</v>
      </c>
      <c r="V165" s="157">
        <f>+'Gantt Proyectos'!U233</f>
        <v>0</v>
      </c>
      <c r="W165" s="201">
        <f t="shared" si="11"/>
        <v>0</v>
      </c>
      <c r="X165" s="110">
        <f>+'Gantt Proyectos'!W233</f>
        <v>0</v>
      </c>
      <c r="Y165" s="110">
        <f>+'Gantt Proyectos'!X233</f>
        <v>0</v>
      </c>
      <c r="Z165" s="110">
        <f>+'Gantt Proyectos'!Y233</f>
        <v>0</v>
      </c>
      <c r="AA165" s="110">
        <f>+'Gantt Proyectos'!Z233</f>
        <v>0</v>
      </c>
      <c r="AB165" s="110">
        <f>+'Gantt Proyectos'!AA233</f>
        <v>0</v>
      </c>
      <c r="AC165" s="110">
        <f>+'Gantt Proyectos'!AB233</f>
        <v>0</v>
      </c>
      <c r="AD165" s="110">
        <f>+'Gantt Proyectos'!AC233</f>
        <v>0</v>
      </c>
      <c r="AE165" s="110">
        <f>+'Gantt Proyectos'!AD233</f>
        <v>0</v>
      </c>
      <c r="AF165" s="110">
        <f>+'Gantt Proyectos'!AE233</f>
        <v>0</v>
      </c>
      <c r="AG165" s="172">
        <v>1</v>
      </c>
      <c r="AH165" s="169">
        <f ca="1">+IFERROR(IF(ISNUMBER(OFFSET('EDP Proyectado'!AI165,0,-'Ingreso Proyectado'!$P165))&lt;&gt;0,IF(OFFSET('EDP Proyectado'!AI165,0,-'Ingreso Proyectado'!$P165)+0&lt;=1,0,OFFSET('EDP Proyectado'!AI165,0,-'Ingreso Proyectado'!$P165)+0)),0)</f>
        <v>0</v>
      </c>
      <c r="AI165" s="169">
        <f ca="1">+IFERROR(IF(ISNUMBER(OFFSET('EDP Proyectado'!AJ165,0,-'Ingreso Proyectado'!$P165))&lt;&gt;0,IF(OFFSET('EDP Proyectado'!AJ165,0,-'Ingreso Proyectado'!$P165)+0&lt;=1,0,OFFSET('EDP Proyectado'!AJ165,0,-'Ingreso Proyectado'!$P165)+0)),0)</f>
        <v>0</v>
      </c>
      <c r="AJ165" s="169">
        <f ca="1">+IFERROR(IF(ISNUMBER(OFFSET('EDP Proyectado'!AK165,0,-'Ingreso Proyectado'!$P165))&lt;&gt;0,IF(OFFSET('EDP Proyectado'!AK165,0,-'Ingreso Proyectado'!$P165)+0&lt;=1,0,OFFSET('EDP Proyectado'!AK165,0,-'Ingreso Proyectado'!$P165)+0)),0)</f>
        <v>0</v>
      </c>
      <c r="AK165" s="169">
        <f ca="1">+IFERROR(IF(ISNUMBER(OFFSET('EDP Proyectado'!AL165,0,-'Ingreso Proyectado'!$P165))&lt;&gt;0,IF(OFFSET('EDP Proyectado'!AL165,0,-'Ingreso Proyectado'!$P165)+0&lt;=1,0,OFFSET('EDP Proyectado'!AL165,0,-'Ingreso Proyectado'!$P165)+0)),0)</f>
        <v>0</v>
      </c>
      <c r="AL165" s="169">
        <f ca="1">+IFERROR(IF(ISNUMBER(OFFSET('EDP Proyectado'!AM165,0,-'Ingreso Proyectado'!$P165))&lt;&gt;0,IF(OFFSET('EDP Proyectado'!AM165,0,-'Ingreso Proyectado'!$P165)+0&lt;=1,0,OFFSET('EDP Proyectado'!AM165,0,-'Ingreso Proyectado'!$P165)+0)),0)</f>
        <v>0</v>
      </c>
      <c r="AM165" s="169">
        <f ca="1">+IFERROR(IF(ISNUMBER(OFFSET('EDP Proyectado'!AN165,0,-'Ingreso Proyectado'!$P165))&lt;&gt;0,IF(OFFSET('EDP Proyectado'!AN165,0,-'Ingreso Proyectado'!$P165)+0&lt;=1,0,OFFSET('EDP Proyectado'!AN165,0,-'Ingreso Proyectado'!$P165)+0)),0)</f>
        <v>0</v>
      </c>
      <c r="AN165" s="169">
        <f ca="1">+IFERROR(IF(ISNUMBER(OFFSET('EDP Proyectado'!AO165,0,-'Ingreso Proyectado'!$P165))&lt;&gt;0,IF(OFFSET('EDP Proyectado'!AO165,0,-'Ingreso Proyectado'!$P165)+0&lt;=1,0,OFFSET('EDP Proyectado'!AO165,0,-'Ingreso Proyectado'!$P165)+0)),0)</f>
        <v>0</v>
      </c>
      <c r="AO165" s="169">
        <f ca="1">+IFERROR(IF(ISNUMBER(OFFSET('EDP Proyectado'!AP165,0,-'Ingreso Proyectado'!$P165))&lt;&gt;0,IF(OFFSET('EDP Proyectado'!AP165,0,-'Ingreso Proyectado'!$P165)+0&lt;=1,0,OFFSET('EDP Proyectado'!AP165,0,-'Ingreso Proyectado'!$P165)+0)),0)</f>
        <v>0</v>
      </c>
      <c r="AP165" s="170">
        <f ca="1">+IFERROR(IF(ISNUMBER(OFFSET('EDP Proyectado'!AQ165,0,-'Ingreso Proyectado'!$P165))&lt;&gt;0,IF(OFFSET('EDP Proyectado'!AQ165,0,-'Ingreso Proyectado'!$P165)+0&lt;=1,0,OFFSET('EDP Proyectado'!AQ165,0,-'Ingreso Proyectado'!$P165)+0)),0)</f>
        <v>0</v>
      </c>
    </row>
    <row r="166" spans="3:42" x14ac:dyDescent="0.2">
      <c r="C166" s="110">
        <f>+'Gantt Proyectos'!C234</f>
        <v>0</v>
      </c>
      <c r="D166" s="110">
        <f>+'Gantt Proyectos'!D234</f>
        <v>0</v>
      </c>
      <c r="E166" s="110">
        <f>+'Gantt Proyectos'!E234</f>
        <v>0</v>
      </c>
      <c r="F166" s="148">
        <f>+'Gantt Proyectos'!F234</f>
        <v>0</v>
      </c>
      <c r="G166" s="110">
        <f>+'Gantt Proyectos'!G234</f>
        <v>0</v>
      </c>
      <c r="H166" s="110">
        <f>+'Gantt Proyectos'!H234</f>
        <v>0</v>
      </c>
      <c r="I166" s="189">
        <v>1</v>
      </c>
      <c r="J166" s="189">
        <f t="shared" si="10"/>
        <v>0</v>
      </c>
      <c r="K166" s="110">
        <f>+'Gantt Proyectos'!I234</f>
        <v>0</v>
      </c>
      <c r="L166" s="110">
        <f>+'Gantt Proyectos'!J234</f>
        <v>0</v>
      </c>
      <c r="M166" s="110">
        <f>+'Gantt Proyectos'!K234</f>
        <v>0</v>
      </c>
      <c r="N166" s="110">
        <f>+'Gantt Proyectos'!L234</f>
        <v>0</v>
      </c>
      <c r="O166" s="110">
        <f>+'Gantt Proyectos'!M234</f>
        <v>0</v>
      </c>
      <c r="P166" s="110">
        <f>+'Gantt Proyectos'!N234</f>
        <v>0</v>
      </c>
      <c r="Q166" s="110">
        <f>+'Gantt Proyectos'!O234</f>
        <v>0</v>
      </c>
      <c r="R166" s="110">
        <f>+'Gantt Proyectos'!P234</f>
        <v>0</v>
      </c>
      <c r="S166" s="110">
        <f>+'Gantt Proyectos'!R234</f>
        <v>0</v>
      </c>
      <c r="T166" s="118">
        <f>+'Gantt Proyectos'!S234</f>
        <v>0</v>
      </c>
      <c r="U166" s="157">
        <f>+'Gantt Proyectos'!T234</f>
        <v>0</v>
      </c>
      <c r="V166" s="157">
        <f>+'Gantt Proyectos'!U234</f>
        <v>0</v>
      </c>
      <c r="W166" s="201">
        <f t="shared" si="11"/>
        <v>0</v>
      </c>
      <c r="X166" s="110">
        <f>+'Gantt Proyectos'!W234</f>
        <v>0</v>
      </c>
      <c r="Y166" s="110">
        <f>+'Gantt Proyectos'!X234</f>
        <v>0</v>
      </c>
      <c r="Z166" s="110">
        <f>+'Gantt Proyectos'!Y234</f>
        <v>0</v>
      </c>
      <c r="AA166" s="110">
        <f>+'Gantt Proyectos'!Z234</f>
        <v>0</v>
      </c>
      <c r="AB166" s="110">
        <f>+'Gantt Proyectos'!AA234</f>
        <v>0</v>
      </c>
      <c r="AC166" s="110">
        <f>+'Gantt Proyectos'!AB234</f>
        <v>0</v>
      </c>
      <c r="AD166" s="110">
        <f>+'Gantt Proyectos'!AC234</f>
        <v>0</v>
      </c>
      <c r="AE166" s="110">
        <f>+'Gantt Proyectos'!AD234</f>
        <v>0</v>
      </c>
      <c r="AF166" s="110">
        <f>+'Gantt Proyectos'!AE234</f>
        <v>0</v>
      </c>
      <c r="AG166" s="172">
        <v>1</v>
      </c>
      <c r="AH166" s="169">
        <f ca="1">+IFERROR(IF(ISNUMBER(OFFSET('EDP Proyectado'!AI166,0,-'Ingreso Proyectado'!$P166))&lt;&gt;0,IF(OFFSET('EDP Proyectado'!AI166,0,-'Ingreso Proyectado'!$P166)+0&lt;=1,0,OFFSET('EDP Proyectado'!AI166,0,-'Ingreso Proyectado'!$P166)+0)),0)</f>
        <v>0</v>
      </c>
      <c r="AI166" s="169">
        <f ca="1">+IFERROR(IF(ISNUMBER(OFFSET('EDP Proyectado'!AJ166,0,-'Ingreso Proyectado'!$P166))&lt;&gt;0,IF(OFFSET('EDP Proyectado'!AJ166,0,-'Ingreso Proyectado'!$P166)+0&lt;=1,0,OFFSET('EDP Proyectado'!AJ166,0,-'Ingreso Proyectado'!$P166)+0)),0)</f>
        <v>0</v>
      </c>
      <c r="AJ166" s="169">
        <f ca="1">+IFERROR(IF(ISNUMBER(OFFSET('EDP Proyectado'!AK166,0,-'Ingreso Proyectado'!$P166))&lt;&gt;0,IF(OFFSET('EDP Proyectado'!AK166,0,-'Ingreso Proyectado'!$P166)+0&lt;=1,0,OFFSET('EDP Proyectado'!AK166,0,-'Ingreso Proyectado'!$P166)+0)),0)</f>
        <v>0</v>
      </c>
      <c r="AK166" s="169">
        <f ca="1">+IFERROR(IF(ISNUMBER(OFFSET('EDP Proyectado'!AL166,0,-'Ingreso Proyectado'!$P166))&lt;&gt;0,IF(OFFSET('EDP Proyectado'!AL166,0,-'Ingreso Proyectado'!$P166)+0&lt;=1,0,OFFSET('EDP Proyectado'!AL166,0,-'Ingreso Proyectado'!$P166)+0)),0)</f>
        <v>0</v>
      </c>
      <c r="AL166" s="169">
        <f ca="1">+IFERROR(IF(ISNUMBER(OFFSET('EDP Proyectado'!AM166,0,-'Ingreso Proyectado'!$P166))&lt;&gt;0,IF(OFFSET('EDP Proyectado'!AM166,0,-'Ingreso Proyectado'!$P166)+0&lt;=1,0,OFFSET('EDP Proyectado'!AM166,0,-'Ingreso Proyectado'!$P166)+0)),0)</f>
        <v>0</v>
      </c>
      <c r="AM166" s="169">
        <f ca="1">+IFERROR(IF(ISNUMBER(OFFSET('EDP Proyectado'!AN166,0,-'Ingreso Proyectado'!$P166))&lt;&gt;0,IF(OFFSET('EDP Proyectado'!AN166,0,-'Ingreso Proyectado'!$P166)+0&lt;=1,0,OFFSET('EDP Proyectado'!AN166,0,-'Ingreso Proyectado'!$P166)+0)),0)</f>
        <v>0</v>
      </c>
      <c r="AN166" s="169">
        <f ca="1">+IFERROR(IF(ISNUMBER(OFFSET('EDP Proyectado'!AO166,0,-'Ingreso Proyectado'!$P166))&lt;&gt;0,IF(OFFSET('EDP Proyectado'!AO166,0,-'Ingreso Proyectado'!$P166)+0&lt;=1,0,OFFSET('EDP Proyectado'!AO166,0,-'Ingreso Proyectado'!$P166)+0)),0)</f>
        <v>0</v>
      </c>
      <c r="AO166" s="169">
        <f ca="1">+IFERROR(IF(ISNUMBER(OFFSET('EDP Proyectado'!AP166,0,-'Ingreso Proyectado'!$P166))&lt;&gt;0,IF(OFFSET('EDP Proyectado'!AP166,0,-'Ingreso Proyectado'!$P166)+0&lt;=1,0,OFFSET('EDP Proyectado'!AP166,0,-'Ingreso Proyectado'!$P166)+0)),0)</f>
        <v>0</v>
      </c>
      <c r="AP166" s="170">
        <f ca="1">+IFERROR(IF(ISNUMBER(OFFSET('EDP Proyectado'!AQ166,0,-'Ingreso Proyectado'!$P166))&lt;&gt;0,IF(OFFSET('EDP Proyectado'!AQ166,0,-'Ingreso Proyectado'!$P166)+0&lt;=1,0,OFFSET('EDP Proyectado'!AQ166,0,-'Ingreso Proyectado'!$P166)+0)),0)</f>
        <v>0</v>
      </c>
    </row>
    <row r="167" spans="3:42" x14ac:dyDescent="0.2">
      <c r="C167" s="110">
        <f>+'Gantt Proyectos'!C235</f>
        <v>0</v>
      </c>
      <c r="D167" s="110">
        <f>+'Gantt Proyectos'!D235</f>
        <v>0</v>
      </c>
      <c r="E167" s="110">
        <f>+'Gantt Proyectos'!E235</f>
        <v>0</v>
      </c>
      <c r="F167" s="148">
        <f>+'Gantt Proyectos'!F235</f>
        <v>0</v>
      </c>
      <c r="G167" s="110">
        <f>+'Gantt Proyectos'!G235</f>
        <v>0</v>
      </c>
      <c r="H167" s="110">
        <f>+'Gantt Proyectos'!H235</f>
        <v>0</v>
      </c>
      <c r="I167" s="189">
        <v>1</v>
      </c>
      <c r="J167" s="189">
        <f t="shared" si="10"/>
        <v>0</v>
      </c>
      <c r="K167" s="110">
        <f>+'Gantt Proyectos'!I235</f>
        <v>0</v>
      </c>
      <c r="L167" s="110">
        <f>+'Gantt Proyectos'!J235</f>
        <v>0</v>
      </c>
      <c r="M167" s="110">
        <f>+'Gantt Proyectos'!K235</f>
        <v>0</v>
      </c>
      <c r="N167" s="110">
        <f>+'Gantt Proyectos'!L235</f>
        <v>0</v>
      </c>
      <c r="O167" s="110">
        <f>+'Gantt Proyectos'!M235</f>
        <v>0</v>
      </c>
      <c r="P167" s="110">
        <f>+'Gantt Proyectos'!N235</f>
        <v>0</v>
      </c>
      <c r="Q167" s="110">
        <f>+'Gantt Proyectos'!O235</f>
        <v>0</v>
      </c>
      <c r="R167" s="110">
        <f>+'Gantt Proyectos'!P235</f>
        <v>0</v>
      </c>
      <c r="S167" s="110">
        <f>+'Gantt Proyectos'!R235</f>
        <v>0</v>
      </c>
      <c r="T167" s="118">
        <f>+'Gantt Proyectos'!S235</f>
        <v>0</v>
      </c>
      <c r="U167" s="157">
        <f>+'Gantt Proyectos'!T235</f>
        <v>0</v>
      </c>
      <c r="V167" s="157">
        <f>+'Gantt Proyectos'!U235</f>
        <v>0</v>
      </c>
      <c r="W167" s="201">
        <f t="shared" si="11"/>
        <v>0</v>
      </c>
      <c r="X167" s="110">
        <f>+'Gantt Proyectos'!W235</f>
        <v>0</v>
      </c>
      <c r="Y167" s="110">
        <f>+'Gantt Proyectos'!X235</f>
        <v>0</v>
      </c>
      <c r="Z167" s="110">
        <f>+'Gantt Proyectos'!Y235</f>
        <v>0</v>
      </c>
      <c r="AA167" s="110">
        <f>+'Gantt Proyectos'!Z235</f>
        <v>0</v>
      </c>
      <c r="AB167" s="110">
        <f>+'Gantt Proyectos'!AA235</f>
        <v>0</v>
      </c>
      <c r="AC167" s="110">
        <f>+'Gantt Proyectos'!AB235</f>
        <v>0</v>
      </c>
      <c r="AD167" s="110">
        <f>+'Gantt Proyectos'!AC235</f>
        <v>0</v>
      </c>
      <c r="AE167" s="110">
        <f>+'Gantt Proyectos'!AD235</f>
        <v>0</v>
      </c>
      <c r="AF167" s="110">
        <f>+'Gantt Proyectos'!AE235</f>
        <v>0</v>
      </c>
      <c r="AG167" s="172">
        <v>1</v>
      </c>
      <c r="AH167" s="169">
        <f ca="1">+IFERROR(IF(ISNUMBER(OFFSET('EDP Proyectado'!AI167,0,-'Ingreso Proyectado'!$P167))&lt;&gt;0,IF(OFFSET('EDP Proyectado'!AI167,0,-'Ingreso Proyectado'!$P167)+0&lt;=1,0,OFFSET('EDP Proyectado'!AI167,0,-'Ingreso Proyectado'!$P167)+0)),0)</f>
        <v>0</v>
      </c>
      <c r="AI167" s="169">
        <f ca="1">+IFERROR(IF(ISNUMBER(OFFSET('EDP Proyectado'!AJ167,0,-'Ingreso Proyectado'!$P167))&lt;&gt;0,IF(OFFSET('EDP Proyectado'!AJ167,0,-'Ingreso Proyectado'!$P167)+0&lt;=1,0,OFFSET('EDP Proyectado'!AJ167,0,-'Ingreso Proyectado'!$P167)+0)),0)</f>
        <v>0</v>
      </c>
      <c r="AJ167" s="169">
        <f ca="1">+IFERROR(IF(ISNUMBER(OFFSET('EDP Proyectado'!AK167,0,-'Ingreso Proyectado'!$P167))&lt;&gt;0,IF(OFFSET('EDP Proyectado'!AK167,0,-'Ingreso Proyectado'!$P167)+0&lt;=1,0,OFFSET('EDP Proyectado'!AK167,0,-'Ingreso Proyectado'!$P167)+0)),0)</f>
        <v>0</v>
      </c>
      <c r="AK167" s="169">
        <f ca="1">+IFERROR(IF(ISNUMBER(OFFSET('EDP Proyectado'!AL167,0,-'Ingreso Proyectado'!$P167))&lt;&gt;0,IF(OFFSET('EDP Proyectado'!AL167,0,-'Ingreso Proyectado'!$P167)+0&lt;=1,0,OFFSET('EDP Proyectado'!AL167,0,-'Ingreso Proyectado'!$P167)+0)),0)</f>
        <v>0</v>
      </c>
      <c r="AL167" s="169">
        <f ca="1">+IFERROR(IF(ISNUMBER(OFFSET('EDP Proyectado'!AM167,0,-'Ingreso Proyectado'!$P167))&lt;&gt;0,IF(OFFSET('EDP Proyectado'!AM167,0,-'Ingreso Proyectado'!$P167)+0&lt;=1,0,OFFSET('EDP Proyectado'!AM167,0,-'Ingreso Proyectado'!$P167)+0)),0)</f>
        <v>0</v>
      </c>
      <c r="AM167" s="169">
        <f ca="1">+IFERROR(IF(ISNUMBER(OFFSET('EDP Proyectado'!AN167,0,-'Ingreso Proyectado'!$P167))&lt;&gt;0,IF(OFFSET('EDP Proyectado'!AN167,0,-'Ingreso Proyectado'!$P167)+0&lt;=1,0,OFFSET('EDP Proyectado'!AN167,0,-'Ingreso Proyectado'!$P167)+0)),0)</f>
        <v>0</v>
      </c>
      <c r="AN167" s="169">
        <f ca="1">+IFERROR(IF(ISNUMBER(OFFSET('EDP Proyectado'!AO167,0,-'Ingreso Proyectado'!$P167))&lt;&gt;0,IF(OFFSET('EDP Proyectado'!AO167,0,-'Ingreso Proyectado'!$P167)+0&lt;=1,0,OFFSET('EDP Proyectado'!AO167,0,-'Ingreso Proyectado'!$P167)+0)),0)</f>
        <v>0</v>
      </c>
      <c r="AO167" s="169">
        <f ca="1">+IFERROR(IF(ISNUMBER(OFFSET('EDP Proyectado'!AP167,0,-'Ingreso Proyectado'!$P167))&lt;&gt;0,IF(OFFSET('EDP Proyectado'!AP167,0,-'Ingreso Proyectado'!$P167)+0&lt;=1,0,OFFSET('EDP Proyectado'!AP167,0,-'Ingreso Proyectado'!$P167)+0)),0)</f>
        <v>0</v>
      </c>
      <c r="AP167" s="170">
        <f ca="1">+IFERROR(IF(ISNUMBER(OFFSET('EDP Proyectado'!AQ167,0,-'Ingreso Proyectado'!$P167))&lt;&gt;0,IF(OFFSET('EDP Proyectado'!AQ167,0,-'Ingreso Proyectado'!$P167)+0&lt;=1,0,OFFSET('EDP Proyectado'!AQ167,0,-'Ingreso Proyectado'!$P167)+0)),0)</f>
        <v>0</v>
      </c>
    </row>
    <row r="168" spans="3:42" x14ac:dyDescent="0.2">
      <c r="C168" s="110">
        <f>+'Gantt Proyectos'!C236</f>
        <v>0</v>
      </c>
      <c r="D168" s="110">
        <f>+'Gantt Proyectos'!D236</f>
        <v>0</v>
      </c>
      <c r="E168" s="110">
        <f>+'Gantt Proyectos'!E236</f>
        <v>0</v>
      </c>
      <c r="F168" s="148">
        <f>+'Gantt Proyectos'!F236</f>
        <v>0</v>
      </c>
      <c r="G168" s="110">
        <f>+'Gantt Proyectos'!G236</f>
        <v>0</v>
      </c>
      <c r="H168" s="110">
        <f>+'Gantt Proyectos'!H236</f>
        <v>0</v>
      </c>
      <c r="I168" s="189">
        <v>1</v>
      </c>
      <c r="J168" s="189">
        <f t="shared" si="10"/>
        <v>0</v>
      </c>
      <c r="K168" s="110">
        <f>+'Gantt Proyectos'!I236</f>
        <v>0</v>
      </c>
      <c r="L168" s="110">
        <f>+'Gantt Proyectos'!J236</f>
        <v>0</v>
      </c>
      <c r="M168" s="110">
        <f>+'Gantt Proyectos'!K236</f>
        <v>0</v>
      </c>
      <c r="N168" s="110">
        <f>+'Gantt Proyectos'!L236</f>
        <v>0</v>
      </c>
      <c r="O168" s="110">
        <f>+'Gantt Proyectos'!M236</f>
        <v>0</v>
      </c>
      <c r="P168" s="110">
        <f>+'Gantt Proyectos'!N236</f>
        <v>0</v>
      </c>
      <c r="Q168" s="110">
        <f>+'Gantt Proyectos'!O236</f>
        <v>0</v>
      </c>
      <c r="R168" s="110">
        <f>+'Gantt Proyectos'!P236</f>
        <v>0</v>
      </c>
      <c r="S168" s="110">
        <f>+'Gantt Proyectos'!R236</f>
        <v>0</v>
      </c>
      <c r="T168" s="118">
        <f>+'Gantt Proyectos'!S236</f>
        <v>0</v>
      </c>
      <c r="U168" s="157">
        <f>+'Gantt Proyectos'!T236</f>
        <v>0</v>
      </c>
      <c r="V168" s="157">
        <f>+'Gantt Proyectos'!U236</f>
        <v>0</v>
      </c>
      <c r="W168" s="201">
        <f t="shared" si="11"/>
        <v>0</v>
      </c>
      <c r="X168" s="110">
        <f>+'Gantt Proyectos'!W236</f>
        <v>0</v>
      </c>
      <c r="Y168" s="110">
        <f>+'Gantt Proyectos'!X236</f>
        <v>0</v>
      </c>
      <c r="Z168" s="110">
        <f>+'Gantt Proyectos'!Y236</f>
        <v>0</v>
      </c>
      <c r="AA168" s="110">
        <f>+'Gantt Proyectos'!Z236</f>
        <v>0</v>
      </c>
      <c r="AB168" s="110">
        <f>+'Gantt Proyectos'!AA236</f>
        <v>0</v>
      </c>
      <c r="AC168" s="110">
        <f>+'Gantt Proyectos'!AB236</f>
        <v>0</v>
      </c>
      <c r="AD168" s="110">
        <f>+'Gantt Proyectos'!AC236</f>
        <v>0</v>
      </c>
      <c r="AE168" s="110">
        <f>+'Gantt Proyectos'!AD236</f>
        <v>0</v>
      </c>
      <c r="AF168" s="110">
        <f>+'Gantt Proyectos'!AE236</f>
        <v>0</v>
      </c>
      <c r="AG168" s="172">
        <v>1</v>
      </c>
      <c r="AH168" s="169">
        <f ca="1">+IFERROR(IF(ISNUMBER(OFFSET('EDP Proyectado'!AI168,0,-'Ingreso Proyectado'!$P168))&lt;&gt;0,IF(OFFSET('EDP Proyectado'!AI168,0,-'Ingreso Proyectado'!$P168)+0&lt;=1,0,OFFSET('EDP Proyectado'!AI168,0,-'Ingreso Proyectado'!$P168)+0)),0)</f>
        <v>0</v>
      </c>
      <c r="AI168" s="169">
        <f ca="1">+IFERROR(IF(ISNUMBER(OFFSET('EDP Proyectado'!AJ168,0,-'Ingreso Proyectado'!$P168))&lt;&gt;0,IF(OFFSET('EDP Proyectado'!AJ168,0,-'Ingreso Proyectado'!$P168)+0&lt;=1,0,OFFSET('EDP Proyectado'!AJ168,0,-'Ingreso Proyectado'!$P168)+0)),0)</f>
        <v>0</v>
      </c>
      <c r="AJ168" s="169">
        <f ca="1">+IFERROR(IF(ISNUMBER(OFFSET('EDP Proyectado'!AK168,0,-'Ingreso Proyectado'!$P168))&lt;&gt;0,IF(OFFSET('EDP Proyectado'!AK168,0,-'Ingreso Proyectado'!$P168)+0&lt;=1,0,OFFSET('EDP Proyectado'!AK168,0,-'Ingreso Proyectado'!$P168)+0)),0)</f>
        <v>0</v>
      </c>
      <c r="AK168" s="169">
        <f ca="1">+IFERROR(IF(ISNUMBER(OFFSET('EDP Proyectado'!AL168,0,-'Ingreso Proyectado'!$P168))&lt;&gt;0,IF(OFFSET('EDP Proyectado'!AL168,0,-'Ingreso Proyectado'!$P168)+0&lt;=1,0,OFFSET('EDP Proyectado'!AL168,0,-'Ingreso Proyectado'!$P168)+0)),0)</f>
        <v>0</v>
      </c>
      <c r="AL168" s="169">
        <f ca="1">+IFERROR(IF(ISNUMBER(OFFSET('EDP Proyectado'!AM168,0,-'Ingreso Proyectado'!$P168))&lt;&gt;0,IF(OFFSET('EDP Proyectado'!AM168,0,-'Ingreso Proyectado'!$P168)+0&lt;=1,0,OFFSET('EDP Proyectado'!AM168,0,-'Ingreso Proyectado'!$P168)+0)),0)</f>
        <v>0</v>
      </c>
      <c r="AM168" s="169">
        <f ca="1">+IFERROR(IF(ISNUMBER(OFFSET('EDP Proyectado'!AN168,0,-'Ingreso Proyectado'!$P168))&lt;&gt;0,IF(OFFSET('EDP Proyectado'!AN168,0,-'Ingreso Proyectado'!$P168)+0&lt;=1,0,OFFSET('EDP Proyectado'!AN168,0,-'Ingreso Proyectado'!$P168)+0)),0)</f>
        <v>0</v>
      </c>
      <c r="AN168" s="169">
        <f ca="1">+IFERROR(IF(ISNUMBER(OFFSET('EDP Proyectado'!AO168,0,-'Ingreso Proyectado'!$P168))&lt;&gt;0,IF(OFFSET('EDP Proyectado'!AO168,0,-'Ingreso Proyectado'!$P168)+0&lt;=1,0,OFFSET('EDP Proyectado'!AO168,0,-'Ingreso Proyectado'!$P168)+0)),0)</f>
        <v>0</v>
      </c>
      <c r="AO168" s="169">
        <f ca="1">+IFERROR(IF(ISNUMBER(OFFSET('EDP Proyectado'!AP168,0,-'Ingreso Proyectado'!$P168))&lt;&gt;0,IF(OFFSET('EDP Proyectado'!AP168,0,-'Ingreso Proyectado'!$P168)+0&lt;=1,0,OFFSET('EDP Proyectado'!AP168,0,-'Ingreso Proyectado'!$P168)+0)),0)</f>
        <v>0</v>
      </c>
      <c r="AP168" s="170">
        <f ca="1">+IFERROR(IF(ISNUMBER(OFFSET('EDP Proyectado'!AQ168,0,-'Ingreso Proyectado'!$P168))&lt;&gt;0,IF(OFFSET('EDP Proyectado'!AQ168,0,-'Ingreso Proyectado'!$P168)+0&lt;=1,0,OFFSET('EDP Proyectado'!AQ168,0,-'Ingreso Proyectado'!$P168)+0)),0)</f>
        <v>0</v>
      </c>
    </row>
    <row r="169" spans="3:42" x14ac:dyDescent="0.2">
      <c r="C169" s="110">
        <f>+'Gantt Proyectos'!C237</f>
        <v>0</v>
      </c>
      <c r="D169" s="110">
        <f>+'Gantt Proyectos'!D237</f>
        <v>0</v>
      </c>
      <c r="E169" s="110">
        <f>+'Gantt Proyectos'!E237</f>
        <v>0</v>
      </c>
      <c r="F169" s="148">
        <f>+'Gantt Proyectos'!F237</f>
        <v>0</v>
      </c>
      <c r="G169" s="110">
        <f>+'Gantt Proyectos'!G237</f>
        <v>0</v>
      </c>
      <c r="H169" s="110">
        <f>+'Gantt Proyectos'!H237</f>
        <v>0</v>
      </c>
      <c r="I169" s="189">
        <v>1</v>
      </c>
      <c r="J169" s="189">
        <f t="shared" si="10"/>
        <v>0</v>
      </c>
      <c r="K169" s="110">
        <f>+'Gantt Proyectos'!I237</f>
        <v>0</v>
      </c>
      <c r="L169" s="110">
        <f>+'Gantt Proyectos'!J237</f>
        <v>0</v>
      </c>
      <c r="M169" s="110">
        <f>+'Gantt Proyectos'!K237</f>
        <v>0</v>
      </c>
      <c r="N169" s="110">
        <f>+'Gantt Proyectos'!L237</f>
        <v>0</v>
      </c>
      <c r="O169" s="110">
        <f>+'Gantt Proyectos'!M237</f>
        <v>0</v>
      </c>
      <c r="P169" s="110">
        <f>+'Gantt Proyectos'!N237</f>
        <v>0</v>
      </c>
      <c r="Q169" s="110">
        <f>+'Gantt Proyectos'!O237</f>
        <v>0</v>
      </c>
      <c r="R169" s="110">
        <f>+'Gantt Proyectos'!P237</f>
        <v>0</v>
      </c>
      <c r="S169" s="110">
        <f>+'Gantt Proyectos'!R237</f>
        <v>0</v>
      </c>
      <c r="T169" s="118">
        <f>+'Gantt Proyectos'!S237</f>
        <v>0</v>
      </c>
      <c r="U169" s="157">
        <f>+'Gantt Proyectos'!T237</f>
        <v>0</v>
      </c>
      <c r="V169" s="157">
        <f>+'Gantt Proyectos'!U237</f>
        <v>0</v>
      </c>
      <c r="W169" s="201">
        <f t="shared" si="11"/>
        <v>0</v>
      </c>
      <c r="X169" s="110">
        <f>+'Gantt Proyectos'!W237</f>
        <v>0</v>
      </c>
      <c r="Y169" s="110">
        <f>+'Gantt Proyectos'!X237</f>
        <v>0</v>
      </c>
      <c r="Z169" s="110">
        <f>+'Gantt Proyectos'!Y237</f>
        <v>0</v>
      </c>
      <c r="AA169" s="110">
        <f>+'Gantt Proyectos'!Z237</f>
        <v>0</v>
      </c>
      <c r="AB169" s="110">
        <f>+'Gantt Proyectos'!AA237</f>
        <v>0</v>
      </c>
      <c r="AC169" s="110">
        <f>+'Gantt Proyectos'!AB237</f>
        <v>0</v>
      </c>
      <c r="AD169" s="110">
        <f>+'Gantt Proyectos'!AC237</f>
        <v>0</v>
      </c>
      <c r="AE169" s="110">
        <f>+'Gantt Proyectos'!AD237</f>
        <v>0</v>
      </c>
      <c r="AF169" s="110">
        <f>+'Gantt Proyectos'!AE237</f>
        <v>0</v>
      </c>
      <c r="AG169" s="172">
        <v>1</v>
      </c>
      <c r="AH169" s="169">
        <f ca="1">+IFERROR(IF(ISNUMBER(OFFSET('EDP Proyectado'!AI169,0,-'Ingreso Proyectado'!$P169))&lt;&gt;0,IF(OFFSET('EDP Proyectado'!AI169,0,-'Ingreso Proyectado'!$P169)+0&lt;=1,0,OFFSET('EDP Proyectado'!AI169,0,-'Ingreso Proyectado'!$P169)+0)),0)</f>
        <v>0</v>
      </c>
      <c r="AI169" s="169">
        <f ca="1">+IFERROR(IF(ISNUMBER(OFFSET('EDP Proyectado'!AJ169,0,-'Ingreso Proyectado'!$P169))&lt;&gt;0,IF(OFFSET('EDP Proyectado'!AJ169,0,-'Ingreso Proyectado'!$P169)+0&lt;=1,0,OFFSET('EDP Proyectado'!AJ169,0,-'Ingreso Proyectado'!$P169)+0)),0)</f>
        <v>0</v>
      </c>
      <c r="AJ169" s="169">
        <f ca="1">+IFERROR(IF(ISNUMBER(OFFSET('EDP Proyectado'!AK169,0,-'Ingreso Proyectado'!$P169))&lt;&gt;0,IF(OFFSET('EDP Proyectado'!AK169,0,-'Ingreso Proyectado'!$P169)+0&lt;=1,0,OFFSET('EDP Proyectado'!AK169,0,-'Ingreso Proyectado'!$P169)+0)),0)</f>
        <v>0</v>
      </c>
      <c r="AK169" s="169">
        <f ca="1">+IFERROR(IF(ISNUMBER(OFFSET('EDP Proyectado'!AL169,0,-'Ingreso Proyectado'!$P169))&lt;&gt;0,IF(OFFSET('EDP Proyectado'!AL169,0,-'Ingreso Proyectado'!$P169)+0&lt;=1,0,OFFSET('EDP Proyectado'!AL169,0,-'Ingreso Proyectado'!$P169)+0)),0)</f>
        <v>0</v>
      </c>
      <c r="AL169" s="169">
        <f ca="1">+IFERROR(IF(ISNUMBER(OFFSET('EDP Proyectado'!AM169,0,-'Ingreso Proyectado'!$P169))&lt;&gt;0,IF(OFFSET('EDP Proyectado'!AM169,0,-'Ingreso Proyectado'!$P169)+0&lt;=1,0,OFFSET('EDP Proyectado'!AM169,0,-'Ingreso Proyectado'!$P169)+0)),0)</f>
        <v>0</v>
      </c>
      <c r="AM169" s="169">
        <f ca="1">+IFERROR(IF(ISNUMBER(OFFSET('EDP Proyectado'!AN169,0,-'Ingreso Proyectado'!$P169))&lt;&gt;0,IF(OFFSET('EDP Proyectado'!AN169,0,-'Ingreso Proyectado'!$P169)+0&lt;=1,0,OFFSET('EDP Proyectado'!AN169,0,-'Ingreso Proyectado'!$P169)+0)),0)</f>
        <v>0</v>
      </c>
      <c r="AN169" s="169">
        <f ca="1">+IFERROR(IF(ISNUMBER(OFFSET('EDP Proyectado'!AO169,0,-'Ingreso Proyectado'!$P169))&lt;&gt;0,IF(OFFSET('EDP Proyectado'!AO169,0,-'Ingreso Proyectado'!$P169)+0&lt;=1,0,OFFSET('EDP Proyectado'!AO169,0,-'Ingreso Proyectado'!$P169)+0)),0)</f>
        <v>0</v>
      </c>
      <c r="AO169" s="169">
        <f ca="1">+IFERROR(IF(ISNUMBER(OFFSET('EDP Proyectado'!AP169,0,-'Ingreso Proyectado'!$P169))&lt;&gt;0,IF(OFFSET('EDP Proyectado'!AP169,0,-'Ingreso Proyectado'!$P169)+0&lt;=1,0,OFFSET('EDP Proyectado'!AP169,0,-'Ingreso Proyectado'!$P169)+0)),0)</f>
        <v>0</v>
      </c>
      <c r="AP169" s="170">
        <f ca="1">+IFERROR(IF(ISNUMBER(OFFSET('EDP Proyectado'!AQ169,0,-'Ingreso Proyectado'!$P169))&lt;&gt;0,IF(OFFSET('EDP Proyectado'!AQ169,0,-'Ingreso Proyectado'!$P169)+0&lt;=1,0,OFFSET('EDP Proyectado'!AQ169,0,-'Ingreso Proyectado'!$P169)+0)),0)</f>
        <v>0</v>
      </c>
    </row>
    <row r="170" spans="3:42" x14ac:dyDescent="0.2">
      <c r="C170" s="110">
        <f>+'Gantt Proyectos'!C238</f>
        <v>0</v>
      </c>
      <c r="D170" s="110">
        <f>+'Gantt Proyectos'!D238</f>
        <v>0</v>
      </c>
      <c r="E170" s="110">
        <f>+'Gantt Proyectos'!E238</f>
        <v>0</v>
      </c>
      <c r="F170" s="148">
        <f>+'Gantt Proyectos'!F238</f>
        <v>0</v>
      </c>
      <c r="G170" s="110">
        <f>+'Gantt Proyectos'!G238</f>
        <v>0</v>
      </c>
      <c r="H170" s="110">
        <f>+'Gantt Proyectos'!H238</f>
        <v>0</v>
      </c>
      <c r="I170" s="189">
        <v>1</v>
      </c>
      <c r="J170" s="189">
        <f t="shared" si="10"/>
        <v>0</v>
      </c>
      <c r="K170" s="110">
        <f>+'Gantt Proyectos'!I238</f>
        <v>0</v>
      </c>
      <c r="L170" s="110">
        <f>+'Gantt Proyectos'!J238</f>
        <v>0</v>
      </c>
      <c r="M170" s="110">
        <f>+'Gantt Proyectos'!K238</f>
        <v>0</v>
      </c>
      <c r="N170" s="110">
        <f>+'Gantt Proyectos'!L238</f>
        <v>0</v>
      </c>
      <c r="O170" s="110">
        <f>+'Gantt Proyectos'!M238</f>
        <v>0</v>
      </c>
      <c r="P170" s="110">
        <f>+'Gantt Proyectos'!N238</f>
        <v>0</v>
      </c>
      <c r="Q170" s="110">
        <f>+'Gantt Proyectos'!O238</f>
        <v>0</v>
      </c>
      <c r="R170" s="110">
        <f>+'Gantt Proyectos'!P238</f>
        <v>0</v>
      </c>
      <c r="S170" s="110">
        <f>+'Gantt Proyectos'!R238</f>
        <v>0</v>
      </c>
      <c r="T170" s="118">
        <f>+'Gantt Proyectos'!S238</f>
        <v>0</v>
      </c>
      <c r="U170" s="157">
        <f>+'Gantt Proyectos'!T238</f>
        <v>0</v>
      </c>
      <c r="V170" s="157">
        <f>+'Gantt Proyectos'!U238</f>
        <v>0</v>
      </c>
      <c r="W170" s="201">
        <f t="shared" si="11"/>
        <v>0</v>
      </c>
      <c r="X170" s="110">
        <f>+'Gantt Proyectos'!W238</f>
        <v>0</v>
      </c>
      <c r="Y170" s="110">
        <f>+'Gantt Proyectos'!X238</f>
        <v>0</v>
      </c>
      <c r="Z170" s="110">
        <f>+'Gantt Proyectos'!Y238</f>
        <v>0</v>
      </c>
      <c r="AA170" s="110">
        <f>+'Gantt Proyectos'!Z238</f>
        <v>0</v>
      </c>
      <c r="AB170" s="110">
        <f>+'Gantt Proyectos'!AA238</f>
        <v>0</v>
      </c>
      <c r="AC170" s="110">
        <f>+'Gantt Proyectos'!AB238</f>
        <v>0</v>
      </c>
      <c r="AD170" s="110">
        <f>+'Gantt Proyectos'!AC238</f>
        <v>0</v>
      </c>
      <c r="AE170" s="110">
        <f>+'Gantt Proyectos'!AD238</f>
        <v>0</v>
      </c>
      <c r="AF170" s="110">
        <f>+'Gantt Proyectos'!AE238</f>
        <v>0</v>
      </c>
      <c r="AG170" s="172">
        <v>1</v>
      </c>
      <c r="AH170" s="169">
        <f ca="1">+IFERROR(IF(ISNUMBER(OFFSET('EDP Proyectado'!AI170,0,-'Ingreso Proyectado'!$P170))&lt;&gt;0,IF(OFFSET('EDP Proyectado'!AI170,0,-'Ingreso Proyectado'!$P170)+0&lt;=1,0,OFFSET('EDP Proyectado'!AI170,0,-'Ingreso Proyectado'!$P170)+0)),0)</f>
        <v>0</v>
      </c>
      <c r="AI170" s="169">
        <f ca="1">+IFERROR(IF(ISNUMBER(OFFSET('EDP Proyectado'!AJ170,0,-'Ingreso Proyectado'!$P170))&lt;&gt;0,IF(OFFSET('EDP Proyectado'!AJ170,0,-'Ingreso Proyectado'!$P170)+0&lt;=1,0,OFFSET('EDP Proyectado'!AJ170,0,-'Ingreso Proyectado'!$P170)+0)),0)</f>
        <v>0</v>
      </c>
      <c r="AJ170" s="169">
        <f ca="1">+IFERROR(IF(ISNUMBER(OFFSET('EDP Proyectado'!AK170,0,-'Ingreso Proyectado'!$P170))&lt;&gt;0,IF(OFFSET('EDP Proyectado'!AK170,0,-'Ingreso Proyectado'!$P170)+0&lt;=1,0,OFFSET('EDP Proyectado'!AK170,0,-'Ingreso Proyectado'!$P170)+0)),0)</f>
        <v>0</v>
      </c>
      <c r="AK170" s="169">
        <f ca="1">+IFERROR(IF(ISNUMBER(OFFSET('EDP Proyectado'!AL170,0,-'Ingreso Proyectado'!$P170))&lt;&gt;0,IF(OFFSET('EDP Proyectado'!AL170,0,-'Ingreso Proyectado'!$P170)+0&lt;=1,0,OFFSET('EDP Proyectado'!AL170,0,-'Ingreso Proyectado'!$P170)+0)),0)</f>
        <v>0</v>
      </c>
      <c r="AL170" s="169">
        <f ca="1">+IFERROR(IF(ISNUMBER(OFFSET('EDP Proyectado'!AM170,0,-'Ingreso Proyectado'!$P170))&lt;&gt;0,IF(OFFSET('EDP Proyectado'!AM170,0,-'Ingreso Proyectado'!$P170)+0&lt;=1,0,OFFSET('EDP Proyectado'!AM170,0,-'Ingreso Proyectado'!$P170)+0)),0)</f>
        <v>0</v>
      </c>
      <c r="AM170" s="169">
        <f ca="1">+IFERROR(IF(ISNUMBER(OFFSET('EDP Proyectado'!AN170,0,-'Ingreso Proyectado'!$P170))&lt;&gt;0,IF(OFFSET('EDP Proyectado'!AN170,0,-'Ingreso Proyectado'!$P170)+0&lt;=1,0,OFFSET('EDP Proyectado'!AN170,0,-'Ingreso Proyectado'!$P170)+0)),0)</f>
        <v>0</v>
      </c>
      <c r="AN170" s="169">
        <f ca="1">+IFERROR(IF(ISNUMBER(OFFSET('EDP Proyectado'!AO170,0,-'Ingreso Proyectado'!$P170))&lt;&gt;0,IF(OFFSET('EDP Proyectado'!AO170,0,-'Ingreso Proyectado'!$P170)+0&lt;=1,0,OFFSET('EDP Proyectado'!AO170,0,-'Ingreso Proyectado'!$P170)+0)),0)</f>
        <v>0</v>
      </c>
      <c r="AO170" s="169">
        <f ca="1">+IFERROR(IF(ISNUMBER(OFFSET('EDP Proyectado'!AP170,0,-'Ingreso Proyectado'!$P170))&lt;&gt;0,IF(OFFSET('EDP Proyectado'!AP170,0,-'Ingreso Proyectado'!$P170)+0&lt;=1,0,OFFSET('EDP Proyectado'!AP170,0,-'Ingreso Proyectado'!$P170)+0)),0)</f>
        <v>0</v>
      </c>
      <c r="AP170" s="170">
        <f ca="1">+IFERROR(IF(ISNUMBER(OFFSET('EDP Proyectado'!AQ170,0,-'Ingreso Proyectado'!$P170))&lt;&gt;0,IF(OFFSET('EDP Proyectado'!AQ170,0,-'Ingreso Proyectado'!$P170)+0&lt;=1,0,OFFSET('EDP Proyectado'!AQ170,0,-'Ingreso Proyectado'!$P170)+0)),0)</f>
        <v>0</v>
      </c>
    </row>
    <row r="171" spans="3:42" x14ac:dyDescent="0.2">
      <c r="C171" s="110">
        <f>+'Gantt Proyectos'!C239</f>
        <v>0</v>
      </c>
      <c r="D171" s="110">
        <f>+'Gantt Proyectos'!D239</f>
        <v>0</v>
      </c>
      <c r="E171" s="110">
        <f>+'Gantt Proyectos'!E239</f>
        <v>0</v>
      </c>
      <c r="F171" s="148">
        <f>+'Gantt Proyectos'!F239</f>
        <v>0</v>
      </c>
      <c r="G171" s="110">
        <f>+'Gantt Proyectos'!G239</f>
        <v>0</v>
      </c>
      <c r="H171" s="110">
        <f>+'Gantt Proyectos'!H239</f>
        <v>0</v>
      </c>
      <c r="I171" s="189">
        <v>1</v>
      </c>
      <c r="J171" s="189">
        <f t="shared" si="10"/>
        <v>0</v>
      </c>
      <c r="K171" s="110">
        <f>+'Gantt Proyectos'!I239</f>
        <v>0</v>
      </c>
      <c r="L171" s="110">
        <f>+'Gantt Proyectos'!J239</f>
        <v>0</v>
      </c>
      <c r="M171" s="110">
        <f>+'Gantt Proyectos'!K239</f>
        <v>0</v>
      </c>
      <c r="N171" s="110">
        <f>+'Gantt Proyectos'!L239</f>
        <v>0</v>
      </c>
      <c r="O171" s="110">
        <f>+'Gantt Proyectos'!M239</f>
        <v>0</v>
      </c>
      <c r="P171" s="110">
        <f>+'Gantt Proyectos'!N239</f>
        <v>0</v>
      </c>
      <c r="Q171" s="110">
        <f>+'Gantt Proyectos'!O239</f>
        <v>0</v>
      </c>
      <c r="R171" s="110">
        <f>+'Gantt Proyectos'!P239</f>
        <v>0</v>
      </c>
      <c r="S171" s="110">
        <f>+'Gantt Proyectos'!R239</f>
        <v>0</v>
      </c>
      <c r="T171" s="118">
        <f>+'Gantt Proyectos'!S239</f>
        <v>0</v>
      </c>
      <c r="U171" s="157">
        <f>+'Gantt Proyectos'!T239</f>
        <v>0</v>
      </c>
      <c r="V171" s="157">
        <f>+'Gantt Proyectos'!U239</f>
        <v>0</v>
      </c>
      <c r="W171" s="201">
        <f t="shared" si="11"/>
        <v>0</v>
      </c>
      <c r="X171" s="110">
        <f>+'Gantt Proyectos'!W239</f>
        <v>0</v>
      </c>
      <c r="Y171" s="110">
        <f>+'Gantt Proyectos'!X239</f>
        <v>0</v>
      </c>
      <c r="Z171" s="110">
        <f>+'Gantt Proyectos'!Y239</f>
        <v>0</v>
      </c>
      <c r="AA171" s="110">
        <f>+'Gantt Proyectos'!Z239</f>
        <v>0</v>
      </c>
      <c r="AB171" s="110">
        <f>+'Gantt Proyectos'!AA239</f>
        <v>0</v>
      </c>
      <c r="AC171" s="110">
        <f>+'Gantt Proyectos'!AB239</f>
        <v>0</v>
      </c>
      <c r="AD171" s="110">
        <f>+'Gantt Proyectos'!AC239</f>
        <v>0</v>
      </c>
      <c r="AE171" s="110">
        <f>+'Gantt Proyectos'!AD239</f>
        <v>0</v>
      </c>
      <c r="AF171" s="110">
        <f>+'Gantt Proyectos'!AE239</f>
        <v>0</v>
      </c>
      <c r="AG171" s="172">
        <v>1</v>
      </c>
      <c r="AH171" s="169">
        <f ca="1">+IFERROR(IF(ISNUMBER(OFFSET('EDP Proyectado'!AI171,0,-'Ingreso Proyectado'!$P171))&lt;&gt;0,IF(OFFSET('EDP Proyectado'!AI171,0,-'Ingreso Proyectado'!$P171)+0&lt;=1,0,OFFSET('EDP Proyectado'!AI171,0,-'Ingreso Proyectado'!$P171)+0)),0)</f>
        <v>0</v>
      </c>
      <c r="AI171" s="169">
        <f ca="1">+IFERROR(IF(ISNUMBER(OFFSET('EDP Proyectado'!AJ171,0,-'Ingreso Proyectado'!$P171))&lt;&gt;0,IF(OFFSET('EDP Proyectado'!AJ171,0,-'Ingreso Proyectado'!$P171)+0&lt;=1,0,OFFSET('EDP Proyectado'!AJ171,0,-'Ingreso Proyectado'!$P171)+0)),0)</f>
        <v>0</v>
      </c>
      <c r="AJ171" s="169">
        <f ca="1">+IFERROR(IF(ISNUMBER(OFFSET('EDP Proyectado'!AK171,0,-'Ingreso Proyectado'!$P171))&lt;&gt;0,IF(OFFSET('EDP Proyectado'!AK171,0,-'Ingreso Proyectado'!$P171)+0&lt;=1,0,OFFSET('EDP Proyectado'!AK171,0,-'Ingreso Proyectado'!$P171)+0)),0)</f>
        <v>0</v>
      </c>
      <c r="AK171" s="169">
        <f ca="1">+IFERROR(IF(ISNUMBER(OFFSET('EDP Proyectado'!AL171,0,-'Ingreso Proyectado'!$P171))&lt;&gt;0,IF(OFFSET('EDP Proyectado'!AL171,0,-'Ingreso Proyectado'!$P171)+0&lt;=1,0,OFFSET('EDP Proyectado'!AL171,0,-'Ingreso Proyectado'!$P171)+0)),0)</f>
        <v>0</v>
      </c>
      <c r="AL171" s="169">
        <f ca="1">+IFERROR(IF(ISNUMBER(OFFSET('EDP Proyectado'!AM171,0,-'Ingreso Proyectado'!$P171))&lt;&gt;0,IF(OFFSET('EDP Proyectado'!AM171,0,-'Ingreso Proyectado'!$P171)+0&lt;=1,0,OFFSET('EDP Proyectado'!AM171,0,-'Ingreso Proyectado'!$P171)+0)),0)</f>
        <v>0</v>
      </c>
      <c r="AM171" s="169">
        <f ca="1">+IFERROR(IF(ISNUMBER(OFFSET('EDP Proyectado'!AN171,0,-'Ingreso Proyectado'!$P171))&lt;&gt;0,IF(OFFSET('EDP Proyectado'!AN171,0,-'Ingreso Proyectado'!$P171)+0&lt;=1,0,OFFSET('EDP Proyectado'!AN171,0,-'Ingreso Proyectado'!$P171)+0)),0)</f>
        <v>0</v>
      </c>
      <c r="AN171" s="169">
        <f ca="1">+IFERROR(IF(ISNUMBER(OFFSET('EDP Proyectado'!AO171,0,-'Ingreso Proyectado'!$P171))&lt;&gt;0,IF(OFFSET('EDP Proyectado'!AO171,0,-'Ingreso Proyectado'!$P171)+0&lt;=1,0,OFFSET('EDP Proyectado'!AO171,0,-'Ingreso Proyectado'!$P171)+0)),0)</f>
        <v>0</v>
      </c>
      <c r="AO171" s="169">
        <f ca="1">+IFERROR(IF(ISNUMBER(OFFSET('EDP Proyectado'!AP171,0,-'Ingreso Proyectado'!$P171))&lt;&gt;0,IF(OFFSET('EDP Proyectado'!AP171,0,-'Ingreso Proyectado'!$P171)+0&lt;=1,0,OFFSET('EDP Proyectado'!AP171,0,-'Ingreso Proyectado'!$P171)+0)),0)</f>
        <v>0</v>
      </c>
      <c r="AP171" s="170">
        <f ca="1">+IFERROR(IF(ISNUMBER(OFFSET('EDP Proyectado'!AQ171,0,-'Ingreso Proyectado'!$P171))&lt;&gt;0,IF(OFFSET('EDP Proyectado'!AQ171,0,-'Ingreso Proyectado'!$P171)+0&lt;=1,0,OFFSET('EDP Proyectado'!AQ171,0,-'Ingreso Proyectado'!$P171)+0)),0)</f>
        <v>0</v>
      </c>
    </row>
    <row r="172" spans="3:42" x14ac:dyDescent="0.2">
      <c r="C172" s="110">
        <f>+'Gantt Proyectos'!C240</f>
        <v>0</v>
      </c>
      <c r="D172" s="110">
        <f>+'Gantt Proyectos'!D240</f>
        <v>0</v>
      </c>
      <c r="E172" s="110">
        <f>+'Gantt Proyectos'!E240</f>
        <v>0</v>
      </c>
      <c r="F172" s="148">
        <f>+'Gantt Proyectos'!F240</f>
        <v>0</v>
      </c>
      <c r="G172" s="110">
        <f>+'Gantt Proyectos'!G240</f>
        <v>0</v>
      </c>
      <c r="H172" s="110">
        <f>+'Gantt Proyectos'!H240</f>
        <v>0</v>
      </c>
      <c r="I172" s="189">
        <v>1</v>
      </c>
      <c r="J172" s="189">
        <f t="shared" si="10"/>
        <v>0</v>
      </c>
      <c r="K172" s="110">
        <f>+'Gantt Proyectos'!I240</f>
        <v>0</v>
      </c>
      <c r="L172" s="110">
        <f>+'Gantt Proyectos'!J240</f>
        <v>0</v>
      </c>
      <c r="M172" s="110">
        <f>+'Gantt Proyectos'!K240</f>
        <v>0</v>
      </c>
      <c r="N172" s="110">
        <f>+'Gantt Proyectos'!L240</f>
        <v>0</v>
      </c>
      <c r="O172" s="110">
        <f>+'Gantt Proyectos'!M240</f>
        <v>0</v>
      </c>
      <c r="P172" s="110">
        <f>+'Gantt Proyectos'!N240</f>
        <v>0</v>
      </c>
      <c r="Q172" s="110">
        <f>+'Gantt Proyectos'!O240</f>
        <v>0</v>
      </c>
      <c r="R172" s="110">
        <f>+'Gantt Proyectos'!P240</f>
        <v>0</v>
      </c>
      <c r="S172" s="110">
        <f>+'Gantt Proyectos'!R240</f>
        <v>0</v>
      </c>
      <c r="T172" s="118">
        <f>+'Gantt Proyectos'!S240</f>
        <v>0</v>
      </c>
      <c r="U172" s="157">
        <f>+'Gantt Proyectos'!T240</f>
        <v>0</v>
      </c>
      <c r="V172" s="157">
        <f>+'Gantt Proyectos'!U240</f>
        <v>0</v>
      </c>
      <c r="W172" s="201">
        <f t="shared" si="11"/>
        <v>0</v>
      </c>
      <c r="X172" s="110">
        <f>+'Gantt Proyectos'!W240</f>
        <v>0</v>
      </c>
      <c r="Y172" s="110">
        <f>+'Gantt Proyectos'!X240</f>
        <v>0</v>
      </c>
      <c r="Z172" s="110">
        <f>+'Gantt Proyectos'!Y240</f>
        <v>0</v>
      </c>
      <c r="AA172" s="110">
        <f>+'Gantt Proyectos'!Z240</f>
        <v>0</v>
      </c>
      <c r="AB172" s="110">
        <f>+'Gantt Proyectos'!AA240</f>
        <v>0</v>
      </c>
      <c r="AC172" s="110">
        <f>+'Gantt Proyectos'!AB240</f>
        <v>0</v>
      </c>
      <c r="AD172" s="110">
        <f>+'Gantt Proyectos'!AC240</f>
        <v>0</v>
      </c>
      <c r="AE172" s="110">
        <f>+'Gantt Proyectos'!AD240</f>
        <v>0</v>
      </c>
      <c r="AF172" s="110">
        <f>+'Gantt Proyectos'!AE240</f>
        <v>0</v>
      </c>
      <c r="AG172" s="172">
        <v>1</v>
      </c>
      <c r="AH172" s="169">
        <f ca="1">+IFERROR(IF(ISNUMBER(OFFSET('EDP Proyectado'!AI172,0,-'Ingreso Proyectado'!$P172))&lt;&gt;0,IF(OFFSET('EDP Proyectado'!AI172,0,-'Ingreso Proyectado'!$P172)+0&lt;=1,0,OFFSET('EDP Proyectado'!AI172,0,-'Ingreso Proyectado'!$P172)+0)),0)</f>
        <v>0</v>
      </c>
      <c r="AI172" s="169">
        <f ca="1">+IFERROR(IF(ISNUMBER(OFFSET('EDP Proyectado'!AJ172,0,-'Ingreso Proyectado'!$P172))&lt;&gt;0,IF(OFFSET('EDP Proyectado'!AJ172,0,-'Ingreso Proyectado'!$P172)+0&lt;=1,0,OFFSET('EDP Proyectado'!AJ172,0,-'Ingreso Proyectado'!$P172)+0)),0)</f>
        <v>0</v>
      </c>
      <c r="AJ172" s="169">
        <f ca="1">+IFERROR(IF(ISNUMBER(OFFSET('EDP Proyectado'!AK172,0,-'Ingreso Proyectado'!$P172))&lt;&gt;0,IF(OFFSET('EDP Proyectado'!AK172,0,-'Ingreso Proyectado'!$P172)+0&lt;=1,0,OFFSET('EDP Proyectado'!AK172,0,-'Ingreso Proyectado'!$P172)+0)),0)</f>
        <v>0</v>
      </c>
      <c r="AK172" s="169">
        <f ca="1">+IFERROR(IF(ISNUMBER(OFFSET('EDP Proyectado'!AL172,0,-'Ingreso Proyectado'!$P172))&lt;&gt;0,IF(OFFSET('EDP Proyectado'!AL172,0,-'Ingreso Proyectado'!$P172)+0&lt;=1,0,OFFSET('EDP Proyectado'!AL172,0,-'Ingreso Proyectado'!$P172)+0)),0)</f>
        <v>0</v>
      </c>
      <c r="AL172" s="169">
        <f ca="1">+IFERROR(IF(ISNUMBER(OFFSET('EDP Proyectado'!AM172,0,-'Ingreso Proyectado'!$P172))&lt;&gt;0,IF(OFFSET('EDP Proyectado'!AM172,0,-'Ingreso Proyectado'!$P172)+0&lt;=1,0,OFFSET('EDP Proyectado'!AM172,0,-'Ingreso Proyectado'!$P172)+0)),0)</f>
        <v>0</v>
      </c>
      <c r="AM172" s="169">
        <f ca="1">+IFERROR(IF(ISNUMBER(OFFSET('EDP Proyectado'!AN172,0,-'Ingreso Proyectado'!$P172))&lt;&gt;0,IF(OFFSET('EDP Proyectado'!AN172,0,-'Ingreso Proyectado'!$P172)+0&lt;=1,0,OFFSET('EDP Proyectado'!AN172,0,-'Ingreso Proyectado'!$P172)+0)),0)</f>
        <v>0</v>
      </c>
      <c r="AN172" s="169">
        <f ca="1">+IFERROR(IF(ISNUMBER(OFFSET('EDP Proyectado'!AO172,0,-'Ingreso Proyectado'!$P172))&lt;&gt;0,IF(OFFSET('EDP Proyectado'!AO172,0,-'Ingreso Proyectado'!$P172)+0&lt;=1,0,OFFSET('EDP Proyectado'!AO172,0,-'Ingreso Proyectado'!$P172)+0)),0)</f>
        <v>0</v>
      </c>
      <c r="AO172" s="169">
        <f ca="1">+IFERROR(IF(ISNUMBER(OFFSET('EDP Proyectado'!AP172,0,-'Ingreso Proyectado'!$P172))&lt;&gt;0,IF(OFFSET('EDP Proyectado'!AP172,0,-'Ingreso Proyectado'!$P172)+0&lt;=1,0,OFFSET('EDP Proyectado'!AP172,0,-'Ingreso Proyectado'!$P172)+0)),0)</f>
        <v>0</v>
      </c>
      <c r="AP172" s="170">
        <f ca="1">+IFERROR(IF(ISNUMBER(OFFSET('EDP Proyectado'!AQ172,0,-'Ingreso Proyectado'!$P172))&lt;&gt;0,IF(OFFSET('EDP Proyectado'!AQ172,0,-'Ingreso Proyectado'!$P172)+0&lt;=1,0,OFFSET('EDP Proyectado'!AQ172,0,-'Ingreso Proyectado'!$P172)+0)),0)</f>
        <v>0</v>
      </c>
    </row>
    <row r="173" spans="3:42" x14ac:dyDescent="0.2">
      <c r="C173" s="110">
        <f>+'Gantt Proyectos'!C241</f>
        <v>0</v>
      </c>
      <c r="D173" s="110">
        <f>+'Gantt Proyectos'!D241</f>
        <v>0</v>
      </c>
      <c r="E173" s="110">
        <f>+'Gantt Proyectos'!E241</f>
        <v>0</v>
      </c>
      <c r="F173" s="148">
        <f>+'Gantt Proyectos'!F241</f>
        <v>0</v>
      </c>
      <c r="G173" s="110">
        <f>+'Gantt Proyectos'!G241</f>
        <v>0</v>
      </c>
      <c r="H173" s="110">
        <f>+'Gantt Proyectos'!H241</f>
        <v>0</v>
      </c>
      <c r="I173" s="189">
        <v>1</v>
      </c>
      <c r="J173" s="189">
        <f t="shared" si="10"/>
        <v>0</v>
      </c>
      <c r="K173" s="110">
        <f>+'Gantt Proyectos'!I241</f>
        <v>0</v>
      </c>
      <c r="L173" s="110">
        <f>+'Gantt Proyectos'!J241</f>
        <v>0</v>
      </c>
      <c r="M173" s="110">
        <f>+'Gantt Proyectos'!K241</f>
        <v>0</v>
      </c>
      <c r="N173" s="110">
        <f>+'Gantt Proyectos'!L241</f>
        <v>0</v>
      </c>
      <c r="O173" s="110">
        <f>+'Gantt Proyectos'!M241</f>
        <v>0</v>
      </c>
      <c r="P173" s="110">
        <f>+'Gantt Proyectos'!N241</f>
        <v>0</v>
      </c>
      <c r="Q173" s="110">
        <f>+'Gantt Proyectos'!O241</f>
        <v>0</v>
      </c>
      <c r="R173" s="110">
        <f>+'Gantt Proyectos'!P241</f>
        <v>0</v>
      </c>
      <c r="S173" s="110">
        <f>+'Gantt Proyectos'!R241</f>
        <v>0</v>
      </c>
      <c r="T173" s="118">
        <f>+'Gantt Proyectos'!S241</f>
        <v>0</v>
      </c>
      <c r="U173" s="157">
        <f>+'Gantt Proyectos'!T241</f>
        <v>0</v>
      </c>
      <c r="V173" s="157">
        <f>+'Gantt Proyectos'!U241</f>
        <v>0</v>
      </c>
      <c r="W173" s="201">
        <f t="shared" si="11"/>
        <v>0</v>
      </c>
      <c r="X173" s="110">
        <f>+'Gantt Proyectos'!W241</f>
        <v>0</v>
      </c>
      <c r="Y173" s="110">
        <f>+'Gantt Proyectos'!X241</f>
        <v>0</v>
      </c>
      <c r="Z173" s="110">
        <f>+'Gantt Proyectos'!Y241</f>
        <v>0</v>
      </c>
      <c r="AA173" s="110">
        <f>+'Gantt Proyectos'!Z241</f>
        <v>0</v>
      </c>
      <c r="AB173" s="110">
        <f>+'Gantt Proyectos'!AA241</f>
        <v>0</v>
      </c>
      <c r="AC173" s="110">
        <f>+'Gantt Proyectos'!AB241</f>
        <v>0</v>
      </c>
      <c r="AD173" s="110">
        <f>+'Gantt Proyectos'!AC241</f>
        <v>0</v>
      </c>
      <c r="AE173" s="110">
        <f>+'Gantt Proyectos'!AD241</f>
        <v>0</v>
      </c>
      <c r="AF173" s="110">
        <f>+'Gantt Proyectos'!AE241</f>
        <v>0</v>
      </c>
      <c r="AG173" s="172">
        <v>1</v>
      </c>
      <c r="AH173" s="169">
        <f ca="1">+IFERROR(IF(ISNUMBER(OFFSET('EDP Proyectado'!AI173,0,-'Ingreso Proyectado'!$P173))&lt;&gt;0,IF(OFFSET('EDP Proyectado'!AI173,0,-'Ingreso Proyectado'!$P173)+0&lt;=1,0,OFFSET('EDP Proyectado'!AI173,0,-'Ingreso Proyectado'!$P173)+0)),0)</f>
        <v>0</v>
      </c>
      <c r="AI173" s="169">
        <f ca="1">+IFERROR(IF(ISNUMBER(OFFSET('EDP Proyectado'!AJ173,0,-'Ingreso Proyectado'!$P173))&lt;&gt;0,IF(OFFSET('EDP Proyectado'!AJ173,0,-'Ingreso Proyectado'!$P173)+0&lt;=1,0,OFFSET('EDP Proyectado'!AJ173,0,-'Ingreso Proyectado'!$P173)+0)),0)</f>
        <v>0</v>
      </c>
      <c r="AJ173" s="169">
        <f ca="1">+IFERROR(IF(ISNUMBER(OFFSET('EDP Proyectado'!AK173,0,-'Ingreso Proyectado'!$P173))&lt;&gt;0,IF(OFFSET('EDP Proyectado'!AK173,0,-'Ingreso Proyectado'!$P173)+0&lt;=1,0,OFFSET('EDP Proyectado'!AK173,0,-'Ingreso Proyectado'!$P173)+0)),0)</f>
        <v>0</v>
      </c>
      <c r="AK173" s="169">
        <f ca="1">+IFERROR(IF(ISNUMBER(OFFSET('EDP Proyectado'!AL173,0,-'Ingreso Proyectado'!$P173))&lt;&gt;0,IF(OFFSET('EDP Proyectado'!AL173,0,-'Ingreso Proyectado'!$P173)+0&lt;=1,0,OFFSET('EDP Proyectado'!AL173,0,-'Ingreso Proyectado'!$P173)+0)),0)</f>
        <v>0</v>
      </c>
      <c r="AL173" s="169">
        <f ca="1">+IFERROR(IF(ISNUMBER(OFFSET('EDP Proyectado'!AM173,0,-'Ingreso Proyectado'!$P173))&lt;&gt;0,IF(OFFSET('EDP Proyectado'!AM173,0,-'Ingreso Proyectado'!$P173)+0&lt;=1,0,OFFSET('EDP Proyectado'!AM173,0,-'Ingreso Proyectado'!$P173)+0)),0)</f>
        <v>0</v>
      </c>
      <c r="AM173" s="169">
        <f ca="1">+IFERROR(IF(ISNUMBER(OFFSET('EDP Proyectado'!AN173,0,-'Ingreso Proyectado'!$P173))&lt;&gt;0,IF(OFFSET('EDP Proyectado'!AN173,0,-'Ingreso Proyectado'!$P173)+0&lt;=1,0,OFFSET('EDP Proyectado'!AN173,0,-'Ingreso Proyectado'!$P173)+0)),0)</f>
        <v>0</v>
      </c>
      <c r="AN173" s="169">
        <f ca="1">+IFERROR(IF(ISNUMBER(OFFSET('EDP Proyectado'!AO173,0,-'Ingreso Proyectado'!$P173))&lt;&gt;0,IF(OFFSET('EDP Proyectado'!AO173,0,-'Ingreso Proyectado'!$P173)+0&lt;=1,0,OFFSET('EDP Proyectado'!AO173,0,-'Ingreso Proyectado'!$P173)+0)),0)</f>
        <v>0</v>
      </c>
      <c r="AO173" s="169">
        <f ca="1">+IFERROR(IF(ISNUMBER(OFFSET('EDP Proyectado'!AP173,0,-'Ingreso Proyectado'!$P173))&lt;&gt;0,IF(OFFSET('EDP Proyectado'!AP173,0,-'Ingreso Proyectado'!$P173)+0&lt;=1,0,OFFSET('EDP Proyectado'!AP173,0,-'Ingreso Proyectado'!$P173)+0)),0)</f>
        <v>0</v>
      </c>
      <c r="AP173" s="170">
        <f ca="1">+IFERROR(IF(ISNUMBER(OFFSET('EDP Proyectado'!AQ173,0,-'Ingreso Proyectado'!$P173))&lt;&gt;0,IF(OFFSET('EDP Proyectado'!AQ173,0,-'Ingreso Proyectado'!$P173)+0&lt;=1,0,OFFSET('EDP Proyectado'!AQ173,0,-'Ingreso Proyectado'!$P173)+0)),0)</f>
        <v>0</v>
      </c>
    </row>
    <row r="174" spans="3:42" x14ac:dyDescent="0.2">
      <c r="C174" s="110">
        <f>+'Gantt Proyectos'!C242</f>
        <v>0</v>
      </c>
      <c r="D174" s="110">
        <f>+'Gantt Proyectos'!D242</f>
        <v>0</v>
      </c>
      <c r="E174" s="110">
        <f>+'Gantt Proyectos'!E242</f>
        <v>0</v>
      </c>
      <c r="F174" s="148">
        <f>+'Gantt Proyectos'!F242</f>
        <v>0</v>
      </c>
      <c r="G174" s="110">
        <f>+'Gantt Proyectos'!G242</f>
        <v>0</v>
      </c>
      <c r="H174" s="110">
        <f>+'Gantt Proyectos'!H242</f>
        <v>0</v>
      </c>
      <c r="I174" s="189">
        <v>1</v>
      </c>
      <c r="J174" s="189">
        <f t="shared" si="10"/>
        <v>0</v>
      </c>
      <c r="K174" s="110">
        <f>+'Gantt Proyectos'!I242</f>
        <v>0</v>
      </c>
      <c r="L174" s="110">
        <f>+'Gantt Proyectos'!J242</f>
        <v>0</v>
      </c>
      <c r="M174" s="110">
        <f>+'Gantt Proyectos'!K242</f>
        <v>0</v>
      </c>
      <c r="N174" s="110">
        <f>+'Gantt Proyectos'!L242</f>
        <v>0</v>
      </c>
      <c r="O174" s="110">
        <f>+'Gantt Proyectos'!M242</f>
        <v>0</v>
      </c>
      <c r="P174" s="110">
        <f>+'Gantt Proyectos'!N242</f>
        <v>0</v>
      </c>
      <c r="Q174" s="110">
        <f>+'Gantt Proyectos'!O242</f>
        <v>0</v>
      </c>
      <c r="R174" s="110">
        <f>+'Gantt Proyectos'!P242</f>
        <v>0</v>
      </c>
      <c r="S174" s="110">
        <f>+'Gantt Proyectos'!R242</f>
        <v>0</v>
      </c>
      <c r="T174" s="118">
        <f>+'Gantt Proyectos'!S242</f>
        <v>0</v>
      </c>
      <c r="U174" s="157">
        <f>+'Gantt Proyectos'!T242</f>
        <v>0</v>
      </c>
      <c r="V174" s="157">
        <f>+'Gantt Proyectos'!U242</f>
        <v>0</v>
      </c>
      <c r="W174" s="201">
        <f t="shared" si="11"/>
        <v>0</v>
      </c>
      <c r="X174" s="110">
        <f>+'Gantt Proyectos'!W242</f>
        <v>0</v>
      </c>
      <c r="Y174" s="110">
        <f>+'Gantt Proyectos'!X242</f>
        <v>0</v>
      </c>
      <c r="Z174" s="110">
        <f>+'Gantt Proyectos'!Y242</f>
        <v>0</v>
      </c>
      <c r="AA174" s="110">
        <f>+'Gantt Proyectos'!Z242</f>
        <v>0</v>
      </c>
      <c r="AB174" s="110">
        <f>+'Gantt Proyectos'!AA242</f>
        <v>0</v>
      </c>
      <c r="AC174" s="110">
        <f>+'Gantt Proyectos'!AB242</f>
        <v>0</v>
      </c>
      <c r="AD174" s="110">
        <f>+'Gantt Proyectos'!AC242</f>
        <v>0</v>
      </c>
      <c r="AE174" s="110">
        <f>+'Gantt Proyectos'!AD242</f>
        <v>0</v>
      </c>
      <c r="AF174" s="110">
        <f>+'Gantt Proyectos'!AE242</f>
        <v>0</v>
      </c>
      <c r="AG174" s="172">
        <v>1</v>
      </c>
      <c r="AH174" s="169">
        <f ca="1">+IFERROR(IF(ISNUMBER(OFFSET('EDP Proyectado'!AI174,0,-'Ingreso Proyectado'!$P174))&lt;&gt;0,IF(OFFSET('EDP Proyectado'!AI174,0,-'Ingreso Proyectado'!$P174)+0&lt;=1,0,OFFSET('EDP Proyectado'!AI174,0,-'Ingreso Proyectado'!$P174)+0)),0)</f>
        <v>0</v>
      </c>
      <c r="AI174" s="169">
        <f ca="1">+IFERROR(IF(ISNUMBER(OFFSET('EDP Proyectado'!AJ174,0,-'Ingreso Proyectado'!$P174))&lt;&gt;0,IF(OFFSET('EDP Proyectado'!AJ174,0,-'Ingreso Proyectado'!$P174)+0&lt;=1,0,OFFSET('EDP Proyectado'!AJ174,0,-'Ingreso Proyectado'!$P174)+0)),0)</f>
        <v>0</v>
      </c>
      <c r="AJ174" s="169">
        <f ca="1">+IFERROR(IF(ISNUMBER(OFFSET('EDP Proyectado'!AK174,0,-'Ingreso Proyectado'!$P174))&lt;&gt;0,IF(OFFSET('EDP Proyectado'!AK174,0,-'Ingreso Proyectado'!$P174)+0&lt;=1,0,OFFSET('EDP Proyectado'!AK174,0,-'Ingreso Proyectado'!$P174)+0)),0)</f>
        <v>0</v>
      </c>
      <c r="AK174" s="169">
        <f ca="1">+IFERROR(IF(ISNUMBER(OFFSET('EDP Proyectado'!AL174,0,-'Ingreso Proyectado'!$P174))&lt;&gt;0,IF(OFFSET('EDP Proyectado'!AL174,0,-'Ingreso Proyectado'!$P174)+0&lt;=1,0,OFFSET('EDP Proyectado'!AL174,0,-'Ingreso Proyectado'!$P174)+0)),0)</f>
        <v>0</v>
      </c>
      <c r="AL174" s="169">
        <f ca="1">+IFERROR(IF(ISNUMBER(OFFSET('EDP Proyectado'!AM174,0,-'Ingreso Proyectado'!$P174))&lt;&gt;0,IF(OFFSET('EDP Proyectado'!AM174,0,-'Ingreso Proyectado'!$P174)+0&lt;=1,0,OFFSET('EDP Proyectado'!AM174,0,-'Ingreso Proyectado'!$P174)+0)),0)</f>
        <v>0</v>
      </c>
      <c r="AM174" s="169">
        <f ca="1">+IFERROR(IF(ISNUMBER(OFFSET('EDP Proyectado'!AN174,0,-'Ingreso Proyectado'!$P174))&lt;&gt;0,IF(OFFSET('EDP Proyectado'!AN174,0,-'Ingreso Proyectado'!$P174)+0&lt;=1,0,OFFSET('EDP Proyectado'!AN174,0,-'Ingreso Proyectado'!$P174)+0)),0)</f>
        <v>0</v>
      </c>
      <c r="AN174" s="169">
        <f ca="1">+IFERROR(IF(ISNUMBER(OFFSET('EDP Proyectado'!AO174,0,-'Ingreso Proyectado'!$P174))&lt;&gt;0,IF(OFFSET('EDP Proyectado'!AO174,0,-'Ingreso Proyectado'!$P174)+0&lt;=1,0,OFFSET('EDP Proyectado'!AO174,0,-'Ingreso Proyectado'!$P174)+0)),0)</f>
        <v>0</v>
      </c>
      <c r="AO174" s="169">
        <f ca="1">+IFERROR(IF(ISNUMBER(OFFSET('EDP Proyectado'!AP174,0,-'Ingreso Proyectado'!$P174))&lt;&gt;0,IF(OFFSET('EDP Proyectado'!AP174,0,-'Ingreso Proyectado'!$P174)+0&lt;=1,0,OFFSET('EDP Proyectado'!AP174,0,-'Ingreso Proyectado'!$P174)+0)),0)</f>
        <v>0</v>
      </c>
      <c r="AP174" s="170">
        <f ca="1">+IFERROR(IF(ISNUMBER(OFFSET('EDP Proyectado'!AQ174,0,-'Ingreso Proyectado'!$P174))&lt;&gt;0,IF(OFFSET('EDP Proyectado'!AQ174,0,-'Ingreso Proyectado'!$P174)+0&lt;=1,0,OFFSET('EDP Proyectado'!AQ174,0,-'Ingreso Proyectado'!$P174)+0)),0)</f>
        <v>0</v>
      </c>
    </row>
    <row r="175" spans="3:42" x14ac:dyDescent="0.2">
      <c r="C175" s="110">
        <f>+'Gantt Proyectos'!C243</f>
        <v>0</v>
      </c>
      <c r="D175" s="110">
        <f>+'Gantt Proyectos'!D243</f>
        <v>0</v>
      </c>
      <c r="E175" s="110">
        <f>+'Gantt Proyectos'!E243</f>
        <v>0</v>
      </c>
      <c r="F175" s="148">
        <f>+'Gantt Proyectos'!F243</f>
        <v>0</v>
      </c>
      <c r="G175" s="110">
        <f>+'Gantt Proyectos'!G243</f>
        <v>0</v>
      </c>
      <c r="H175" s="110">
        <f>+'Gantt Proyectos'!H243</f>
        <v>0</v>
      </c>
      <c r="I175" s="189">
        <v>1</v>
      </c>
      <c r="J175" s="189">
        <f t="shared" si="10"/>
        <v>0</v>
      </c>
      <c r="K175" s="110">
        <f>+'Gantt Proyectos'!I243</f>
        <v>0</v>
      </c>
      <c r="L175" s="110">
        <f>+'Gantt Proyectos'!J243</f>
        <v>0</v>
      </c>
      <c r="M175" s="110">
        <f>+'Gantt Proyectos'!K243</f>
        <v>0</v>
      </c>
      <c r="N175" s="110">
        <f>+'Gantt Proyectos'!L243</f>
        <v>0</v>
      </c>
      <c r="O175" s="110">
        <f>+'Gantt Proyectos'!M243</f>
        <v>0</v>
      </c>
      <c r="P175" s="110">
        <f>+'Gantt Proyectos'!N243</f>
        <v>0</v>
      </c>
      <c r="Q175" s="110">
        <f>+'Gantt Proyectos'!O243</f>
        <v>0</v>
      </c>
      <c r="R175" s="110">
        <f>+'Gantt Proyectos'!P243</f>
        <v>0</v>
      </c>
      <c r="S175" s="110">
        <f>+'Gantt Proyectos'!R243</f>
        <v>0</v>
      </c>
      <c r="T175" s="118">
        <f>+'Gantt Proyectos'!S243</f>
        <v>0</v>
      </c>
      <c r="U175" s="157">
        <f>+'Gantt Proyectos'!T243</f>
        <v>0</v>
      </c>
      <c r="V175" s="157">
        <f>+'Gantt Proyectos'!U243</f>
        <v>0</v>
      </c>
      <c r="W175" s="201">
        <f t="shared" si="11"/>
        <v>0</v>
      </c>
      <c r="X175" s="110">
        <f>+'Gantt Proyectos'!W243</f>
        <v>0</v>
      </c>
      <c r="Y175" s="110">
        <f>+'Gantt Proyectos'!X243</f>
        <v>0</v>
      </c>
      <c r="Z175" s="110">
        <f>+'Gantt Proyectos'!Y243</f>
        <v>0</v>
      </c>
      <c r="AA175" s="110">
        <f>+'Gantt Proyectos'!Z243</f>
        <v>0</v>
      </c>
      <c r="AB175" s="110">
        <f>+'Gantt Proyectos'!AA243</f>
        <v>0</v>
      </c>
      <c r="AC175" s="110">
        <f>+'Gantt Proyectos'!AB243</f>
        <v>0</v>
      </c>
      <c r="AD175" s="110">
        <f>+'Gantt Proyectos'!AC243</f>
        <v>0</v>
      </c>
      <c r="AE175" s="110">
        <f>+'Gantt Proyectos'!AD243</f>
        <v>0</v>
      </c>
      <c r="AF175" s="110">
        <f>+'Gantt Proyectos'!AE243</f>
        <v>0</v>
      </c>
      <c r="AG175" s="172">
        <v>1</v>
      </c>
      <c r="AH175" s="169">
        <f ca="1">+IFERROR(IF(ISNUMBER(OFFSET('EDP Proyectado'!AI175,0,-'Ingreso Proyectado'!$P175))&lt;&gt;0,IF(OFFSET('EDP Proyectado'!AI175,0,-'Ingreso Proyectado'!$P175)+0&lt;=1,0,OFFSET('EDP Proyectado'!AI175,0,-'Ingreso Proyectado'!$P175)+0)),0)</f>
        <v>0</v>
      </c>
      <c r="AI175" s="169">
        <f ca="1">+IFERROR(IF(ISNUMBER(OFFSET('EDP Proyectado'!AJ175,0,-'Ingreso Proyectado'!$P175))&lt;&gt;0,IF(OFFSET('EDP Proyectado'!AJ175,0,-'Ingreso Proyectado'!$P175)+0&lt;=1,0,OFFSET('EDP Proyectado'!AJ175,0,-'Ingreso Proyectado'!$P175)+0)),0)</f>
        <v>0</v>
      </c>
      <c r="AJ175" s="169">
        <f ca="1">+IFERROR(IF(ISNUMBER(OFFSET('EDP Proyectado'!AK175,0,-'Ingreso Proyectado'!$P175))&lt;&gt;0,IF(OFFSET('EDP Proyectado'!AK175,0,-'Ingreso Proyectado'!$P175)+0&lt;=1,0,OFFSET('EDP Proyectado'!AK175,0,-'Ingreso Proyectado'!$P175)+0)),0)</f>
        <v>0</v>
      </c>
      <c r="AK175" s="169">
        <f ca="1">+IFERROR(IF(ISNUMBER(OFFSET('EDP Proyectado'!AL175,0,-'Ingreso Proyectado'!$P175))&lt;&gt;0,IF(OFFSET('EDP Proyectado'!AL175,0,-'Ingreso Proyectado'!$P175)+0&lt;=1,0,OFFSET('EDP Proyectado'!AL175,0,-'Ingreso Proyectado'!$P175)+0)),0)</f>
        <v>0</v>
      </c>
      <c r="AL175" s="169">
        <f ca="1">+IFERROR(IF(ISNUMBER(OFFSET('EDP Proyectado'!AM175,0,-'Ingreso Proyectado'!$P175))&lt;&gt;0,IF(OFFSET('EDP Proyectado'!AM175,0,-'Ingreso Proyectado'!$P175)+0&lt;=1,0,OFFSET('EDP Proyectado'!AM175,0,-'Ingreso Proyectado'!$P175)+0)),0)</f>
        <v>0</v>
      </c>
      <c r="AM175" s="169">
        <f ca="1">+IFERROR(IF(ISNUMBER(OFFSET('EDP Proyectado'!AN175,0,-'Ingreso Proyectado'!$P175))&lt;&gt;0,IF(OFFSET('EDP Proyectado'!AN175,0,-'Ingreso Proyectado'!$P175)+0&lt;=1,0,OFFSET('EDP Proyectado'!AN175,0,-'Ingreso Proyectado'!$P175)+0)),0)</f>
        <v>0</v>
      </c>
      <c r="AN175" s="169">
        <f ca="1">+IFERROR(IF(ISNUMBER(OFFSET('EDP Proyectado'!AO175,0,-'Ingreso Proyectado'!$P175))&lt;&gt;0,IF(OFFSET('EDP Proyectado'!AO175,0,-'Ingreso Proyectado'!$P175)+0&lt;=1,0,OFFSET('EDP Proyectado'!AO175,0,-'Ingreso Proyectado'!$P175)+0)),0)</f>
        <v>0</v>
      </c>
      <c r="AO175" s="169">
        <f ca="1">+IFERROR(IF(ISNUMBER(OFFSET('EDP Proyectado'!AP175,0,-'Ingreso Proyectado'!$P175))&lt;&gt;0,IF(OFFSET('EDP Proyectado'!AP175,0,-'Ingreso Proyectado'!$P175)+0&lt;=1,0,OFFSET('EDP Proyectado'!AP175,0,-'Ingreso Proyectado'!$P175)+0)),0)</f>
        <v>0</v>
      </c>
      <c r="AP175" s="170">
        <f ca="1">+IFERROR(IF(ISNUMBER(OFFSET('EDP Proyectado'!AQ175,0,-'Ingreso Proyectado'!$P175))&lt;&gt;0,IF(OFFSET('EDP Proyectado'!AQ175,0,-'Ingreso Proyectado'!$P175)+0&lt;=1,0,OFFSET('EDP Proyectado'!AQ175,0,-'Ingreso Proyectado'!$P175)+0)),0)</f>
        <v>0</v>
      </c>
    </row>
    <row r="176" spans="3:42" x14ac:dyDescent="0.2">
      <c r="C176" s="110">
        <f>+'Gantt Proyectos'!C244</f>
        <v>0</v>
      </c>
      <c r="D176" s="110">
        <f>+'Gantt Proyectos'!D244</f>
        <v>0</v>
      </c>
      <c r="E176" s="110">
        <f>+'Gantt Proyectos'!E244</f>
        <v>0</v>
      </c>
      <c r="F176" s="148">
        <f>+'Gantt Proyectos'!F244</f>
        <v>0</v>
      </c>
      <c r="G176" s="110">
        <f>+'Gantt Proyectos'!G244</f>
        <v>0</v>
      </c>
      <c r="H176" s="110">
        <f>+'Gantt Proyectos'!H244</f>
        <v>0</v>
      </c>
      <c r="I176" s="189">
        <v>1</v>
      </c>
      <c r="J176" s="189">
        <f t="shared" si="10"/>
        <v>0</v>
      </c>
      <c r="K176" s="110">
        <f>+'Gantt Proyectos'!I244</f>
        <v>0</v>
      </c>
      <c r="L176" s="110">
        <f>+'Gantt Proyectos'!J244</f>
        <v>0</v>
      </c>
      <c r="M176" s="110">
        <f>+'Gantt Proyectos'!K244</f>
        <v>0</v>
      </c>
      <c r="N176" s="110">
        <f>+'Gantt Proyectos'!L244</f>
        <v>0</v>
      </c>
      <c r="O176" s="110">
        <f>+'Gantt Proyectos'!M244</f>
        <v>0</v>
      </c>
      <c r="P176" s="110">
        <f>+'Gantt Proyectos'!N244</f>
        <v>0</v>
      </c>
      <c r="Q176" s="110">
        <f>+'Gantt Proyectos'!O244</f>
        <v>0</v>
      </c>
      <c r="R176" s="110">
        <f>+'Gantt Proyectos'!P244</f>
        <v>0</v>
      </c>
      <c r="S176" s="110">
        <f>+'Gantt Proyectos'!R244</f>
        <v>0</v>
      </c>
      <c r="T176" s="118">
        <f>+'Gantt Proyectos'!S244</f>
        <v>0</v>
      </c>
      <c r="U176" s="157">
        <f>+'Gantt Proyectos'!T244</f>
        <v>0</v>
      </c>
      <c r="V176" s="157">
        <f>+'Gantt Proyectos'!U244</f>
        <v>0</v>
      </c>
      <c r="W176" s="201">
        <f t="shared" si="11"/>
        <v>0</v>
      </c>
      <c r="X176" s="110">
        <f>+'Gantt Proyectos'!W244</f>
        <v>0</v>
      </c>
      <c r="Y176" s="110">
        <f>+'Gantt Proyectos'!X244</f>
        <v>0</v>
      </c>
      <c r="Z176" s="110">
        <f>+'Gantt Proyectos'!Y244</f>
        <v>0</v>
      </c>
      <c r="AA176" s="110">
        <f>+'Gantt Proyectos'!Z244</f>
        <v>0</v>
      </c>
      <c r="AB176" s="110">
        <f>+'Gantt Proyectos'!AA244</f>
        <v>0</v>
      </c>
      <c r="AC176" s="110">
        <f>+'Gantt Proyectos'!AB244</f>
        <v>0</v>
      </c>
      <c r="AD176" s="110">
        <f>+'Gantt Proyectos'!AC244</f>
        <v>0</v>
      </c>
      <c r="AE176" s="110">
        <f>+'Gantt Proyectos'!AD244</f>
        <v>0</v>
      </c>
      <c r="AF176" s="110">
        <f>+'Gantt Proyectos'!AE244</f>
        <v>0</v>
      </c>
      <c r="AG176" s="172">
        <v>1</v>
      </c>
      <c r="AH176" s="169">
        <f ca="1">+IFERROR(IF(ISNUMBER(OFFSET('EDP Proyectado'!AI176,0,-'Ingreso Proyectado'!$P176))&lt;&gt;0,IF(OFFSET('EDP Proyectado'!AI176,0,-'Ingreso Proyectado'!$P176)+0&lt;=1,0,OFFSET('EDP Proyectado'!AI176,0,-'Ingreso Proyectado'!$P176)+0)),0)</f>
        <v>0</v>
      </c>
      <c r="AI176" s="169">
        <f ca="1">+IFERROR(IF(ISNUMBER(OFFSET('EDP Proyectado'!AJ176,0,-'Ingreso Proyectado'!$P176))&lt;&gt;0,IF(OFFSET('EDP Proyectado'!AJ176,0,-'Ingreso Proyectado'!$P176)+0&lt;=1,0,OFFSET('EDP Proyectado'!AJ176,0,-'Ingreso Proyectado'!$P176)+0)),0)</f>
        <v>0</v>
      </c>
      <c r="AJ176" s="169">
        <f ca="1">+IFERROR(IF(ISNUMBER(OFFSET('EDP Proyectado'!AK176,0,-'Ingreso Proyectado'!$P176))&lt;&gt;0,IF(OFFSET('EDP Proyectado'!AK176,0,-'Ingreso Proyectado'!$P176)+0&lt;=1,0,OFFSET('EDP Proyectado'!AK176,0,-'Ingreso Proyectado'!$P176)+0)),0)</f>
        <v>0</v>
      </c>
      <c r="AK176" s="169">
        <f ca="1">+IFERROR(IF(ISNUMBER(OFFSET('EDP Proyectado'!AL176,0,-'Ingreso Proyectado'!$P176))&lt;&gt;0,IF(OFFSET('EDP Proyectado'!AL176,0,-'Ingreso Proyectado'!$P176)+0&lt;=1,0,OFFSET('EDP Proyectado'!AL176,0,-'Ingreso Proyectado'!$P176)+0)),0)</f>
        <v>0</v>
      </c>
      <c r="AL176" s="169">
        <f ca="1">+IFERROR(IF(ISNUMBER(OFFSET('EDP Proyectado'!AM176,0,-'Ingreso Proyectado'!$P176))&lt;&gt;0,IF(OFFSET('EDP Proyectado'!AM176,0,-'Ingreso Proyectado'!$P176)+0&lt;=1,0,OFFSET('EDP Proyectado'!AM176,0,-'Ingreso Proyectado'!$P176)+0)),0)</f>
        <v>0</v>
      </c>
      <c r="AM176" s="169">
        <f ca="1">+IFERROR(IF(ISNUMBER(OFFSET('EDP Proyectado'!AN176,0,-'Ingreso Proyectado'!$P176))&lt;&gt;0,IF(OFFSET('EDP Proyectado'!AN176,0,-'Ingreso Proyectado'!$P176)+0&lt;=1,0,OFFSET('EDP Proyectado'!AN176,0,-'Ingreso Proyectado'!$P176)+0)),0)</f>
        <v>0</v>
      </c>
      <c r="AN176" s="169">
        <f ca="1">+IFERROR(IF(ISNUMBER(OFFSET('EDP Proyectado'!AO176,0,-'Ingreso Proyectado'!$P176))&lt;&gt;0,IF(OFFSET('EDP Proyectado'!AO176,0,-'Ingreso Proyectado'!$P176)+0&lt;=1,0,OFFSET('EDP Proyectado'!AO176,0,-'Ingreso Proyectado'!$P176)+0)),0)</f>
        <v>0</v>
      </c>
      <c r="AO176" s="169">
        <f ca="1">+IFERROR(IF(ISNUMBER(OFFSET('EDP Proyectado'!AP176,0,-'Ingreso Proyectado'!$P176))&lt;&gt;0,IF(OFFSET('EDP Proyectado'!AP176,0,-'Ingreso Proyectado'!$P176)+0&lt;=1,0,OFFSET('EDP Proyectado'!AP176,0,-'Ingreso Proyectado'!$P176)+0)),0)</f>
        <v>0</v>
      </c>
      <c r="AP176" s="170">
        <f ca="1">+IFERROR(IF(ISNUMBER(OFFSET('EDP Proyectado'!AQ176,0,-'Ingreso Proyectado'!$P176))&lt;&gt;0,IF(OFFSET('EDP Proyectado'!AQ176,0,-'Ingreso Proyectado'!$P176)+0&lt;=1,0,OFFSET('EDP Proyectado'!AQ176,0,-'Ingreso Proyectado'!$P176)+0)),0)</f>
        <v>0</v>
      </c>
    </row>
    <row r="177" spans="3:42" x14ac:dyDescent="0.2">
      <c r="C177" s="110">
        <f>+'Gantt Proyectos'!C245</f>
        <v>0</v>
      </c>
      <c r="D177" s="110">
        <f>+'Gantt Proyectos'!D245</f>
        <v>0</v>
      </c>
      <c r="E177" s="110">
        <f>+'Gantt Proyectos'!E245</f>
        <v>0</v>
      </c>
      <c r="F177" s="148">
        <f>+'Gantt Proyectos'!F245</f>
        <v>0</v>
      </c>
      <c r="G177" s="110">
        <f>+'Gantt Proyectos'!G245</f>
        <v>0</v>
      </c>
      <c r="H177" s="110">
        <f>+'Gantt Proyectos'!H245</f>
        <v>0</v>
      </c>
      <c r="I177" s="189">
        <v>1</v>
      </c>
      <c r="J177" s="189">
        <f t="shared" si="10"/>
        <v>0</v>
      </c>
      <c r="K177" s="110">
        <f>+'Gantt Proyectos'!I245</f>
        <v>0</v>
      </c>
      <c r="L177" s="110">
        <f>+'Gantt Proyectos'!J245</f>
        <v>0</v>
      </c>
      <c r="M177" s="110">
        <f>+'Gantt Proyectos'!K245</f>
        <v>0</v>
      </c>
      <c r="N177" s="110">
        <f>+'Gantt Proyectos'!L245</f>
        <v>0</v>
      </c>
      <c r="O177" s="110">
        <f>+'Gantt Proyectos'!M245</f>
        <v>0</v>
      </c>
      <c r="P177" s="110">
        <f>+'Gantt Proyectos'!N245</f>
        <v>0</v>
      </c>
      <c r="Q177" s="110">
        <f>+'Gantt Proyectos'!O245</f>
        <v>0</v>
      </c>
      <c r="R177" s="110">
        <f>+'Gantt Proyectos'!P245</f>
        <v>0</v>
      </c>
      <c r="S177" s="110">
        <f>+'Gantt Proyectos'!R245</f>
        <v>0</v>
      </c>
      <c r="T177" s="118">
        <f>+'Gantt Proyectos'!S245</f>
        <v>0</v>
      </c>
      <c r="U177" s="157">
        <f>+'Gantt Proyectos'!T245</f>
        <v>0</v>
      </c>
      <c r="V177" s="157">
        <f>+'Gantt Proyectos'!U245</f>
        <v>0</v>
      </c>
      <c r="W177" s="201">
        <f t="shared" si="11"/>
        <v>0</v>
      </c>
      <c r="X177" s="110">
        <f>+'Gantt Proyectos'!W245</f>
        <v>0</v>
      </c>
      <c r="Y177" s="110">
        <f>+'Gantt Proyectos'!X245</f>
        <v>0</v>
      </c>
      <c r="Z177" s="110">
        <f>+'Gantt Proyectos'!Y245</f>
        <v>0</v>
      </c>
      <c r="AA177" s="110">
        <f>+'Gantt Proyectos'!Z245</f>
        <v>0</v>
      </c>
      <c r="AB177" s="110">
        <f>+'Gantt Proyectos'!AA245</f>
        <v>0</v>
      </c>
      <c r="AC177" s="110">
        <f>+'Gantt Proyectos'!AB245</f>
        <v>0</v>
      </c>
      <c r="AD177" s="110">
        <f>+'Gantt Proyectos'!AC245</f>
        <v>0</v>
      </c>
      <c r="AE177" s="110">
        <f>+'Gantt Proyectos'!AD245</f>
        <v>0</v>
      </c>
      <c r="AF177" s="110">
        <f>+'Gantt Proyectos'!AE245</f>
        <v>0</v>
      </c>
      <c r="AG177" s="172">
        <v>1</v>
      </c>
      <c r="AH177" s="169">
        <f ca="1">+IFERROR(IF(ISNUMBER(OFFSET('EDP Proyectado'!AI177,0,-'Ingreso Proyectado'!$P177))&lt;&gt;0,IF(OFFSET('EDP Proyectado'!AI177,0,-'Ingreso Proyectado'!$P177)+0&lt;=1,0,OFFSET('EDP Proyectado'!AI177,0,-'Ingreso Proyectado'!$P177)+0)),0)</f>
        <v>0</v>
      </c>
      <c r="AI177" s="169">
        <f ca="1">+IFERROR(IF(ISNUMBER(OFFSET('EDP Proyectado'!AJ177,0,-'Ingreso Proyectado'!$P177))&lt;&gt;0,IF(OFFSET('EDP Proyectado'!AJ177,0,-'Ingreso Proyectado'!$P177)+0&lt;=1,0,OFFSET('EDP Proyectado'!AJ177,0,-'Ingreso Proyectado'!$P177)+0)),0)</f>
        <v>0</v>
      </c>
      <c r="AJ177" s="169">
        <f ca="1">+IFERROR(IF(ISNUMBER(OFFSET('EDP Proyectado'!AK177,0,-'Ingreso Proyectado'!$P177))&lt;&gt;0,IF(OFFSET('EDP Proyectado'!AK177,0,-'Ingreso Proyectado'!$P177)+0&lt;=1,0,OFFSET('EDP Proyectado'!AK177,0,-'Ingreso Proyectado'!$P177)+0)),0)</f>
        <v>0</v>
      </c>
      <c r="AK177" s="169">
        <f ca="1">+IFERROR(IF(ISNUMBER(OFFSET('EDP Proyectado'!AL177,0,-'Ingreso Proyectado'!$P177))&lt;&gt;0,IF(OFFSET('EDP Proyectado'!AL177,0,-'Ingreso Proyectado'!$P177)+0&lt;=1,0,OFFSET('EDP Proyectado'!AL177,0,-'Ingreso Proyectado'!$P177)+0)),0)</f>
        <v>0</v>
      </c>
      <c r="AL177" s="169">
        <f ca="1">+IFERROR(IF(ISNUMBER(OFFSET('EDP Proyectado'!AM177,0,-'Ingreso Proyectado'!$P177))&lt;&gt;0,IF(OFFSET('EDP Proyectado'!AM177,0,-'Ingreso Proyectado'!$P177)+0&lt;=1,0,OFFSET('EDP Proyectado'!AM177,0,-'Ingreso Proyectado'!$P177)+0)),0)</f>
        <v>0</v>
      </c>
      <c r="AM177" s="169">
        <f ca="1">+IFERROR(IF(ISNUMBER(OFFSET('EDP Proyectado'!AN177,0,-'Ingreso Proyectado'!$P177))&lt;&gt;0,IF(OFFSET('EDP Proyectado'!AN177,0,-'Ingreso Proyectado'!$P177)+0&lt;=1,0,OFFSET('EDP Proyectado'!AN177,0,-'Ingreso Proyectado'!$P177)+0)),0)</f>
        <v>0</v>
      </c>
      <c r="AN177" s="169">
        <f ca="1">+IFERROR(IF(ISNUMBER(OFFSET('EDP Proyectado'!AO177,0,-'Ingreso Proyectado'!$P177))&lt;&gt;0,IF(OFFSET('EDP Proyectado'!AO177,0,-'Ingreso Proyectado'!$P177)+0&lt;=1,0,OFFSET('EDP Proyectado'!AO177,0,-'Ingreso Proyectado'!$P177)+0)),0)</f>
        <v>0</v>
      </c>
      <c r="AO177" s="169">
        <f ca="1">+IFERROR(IF(ISNUMBER(OFFSET('EDP Proyectado'!AP177,0,-'Ingreso Proyectado'!$P177))&lt;&gt;0,IF(OFFSET('EDP Proyectado'!AP177,0,-'Ingreso Proyectado'!$P177)+0&lt;=1,0,OFFSET('EDP Proyectado'!AP177,0,-'Ingreso Proyectado'!$P177)+0)),0)</f>
        <v>0</v>
      </c>
      <c r="AP177" s="170">
        <f ca="1">+IFERROR(IF(ISNUMBER(OFFSET('EDP Proyectado'!AQ177,0,-'Ingreso Proyectado'!$P177))&lt;&gt;0,IF(OFFSET('EDP Proyectado'!AQ177,0,-'Ingreso Proyectado'!$P177)+0&lt;=1,0,OFFSET('EDP Proyectado'!AQ177,0,-'Ingreso Proyectado'!$P177)+0)),0)</f>
        <v>0</v>
      </c>
    </row>
    <row r="178" spans="3:42" x14ac:dyDescent="0.2">
      <c r="C178" s="110">
        <f>+'Gantt Proyectos'!C246</f>
        <v>0</v>
      </c>
      <c r="D178" s="110">
        <f>+'Gantt Proyectos'!D246</f>
        <v>0</v>
      </c>
      <c r="E178" s="110">
        <f>+'Gantt Proyectos'!E246</f>
        <v>0</v>
      </c>
      <c r="F178" s="148">
        <f>+'Gantt Proyectos'!F246</f>
        <v>0</v>
      </c>
      <c r="G178" s="110">
        <f>+'Gantt Proyectos'!G246</f>
        <v>0</v>
      </c>
      <c r="H178" s="110">
        <f>+'Gantt Proyectos'!H246</f>
        <v>0</v>
      </c>
      <c r="I178" s="189">
        <v>1</v>
      </c>
      <c r="J178" s="189">
        <f t="shared" si="10"/>
        <v>0</v>
      </c>
      <c r="K178" s="110">
        <f>+'Gantt Proyectos'!I246</f>
        <v>0</v>
      </c>
      <c r="L178" s="110">
        <f>+'Gantt Proyectos'!J246</f>
        <v>0</v>
      </c>
      <c r="M178" s="110">
        <f>+'Gantt Proyectos'!K246</f>
        <v>0</v>
      </c>
      <c r="N178" s="110">
        <f>+'Gantt Proyectos'!L246</f>
        <v>0</v>
      </c>
      <c r="O178" s="110">
        <f>+'Gantt Proyectos'!M246</f>
        <v>0</v>
      </c>
      <c r="P178" s="110">
        <f>+'Gantt Proyectos'!N246</f>
        <v>0</v>
      </c>
      <c r="Q178" s="110">
        <f>+'Gantt Proyectos'!O246</f>
        <v>0</v>
      </c>
      <c r="R178" s="110">
        <f>+'Gantt Proyectos'!P246</f>
        <v>0</v>
      </c>
      <c r="S178" s="110">
        <f>+'Gantt Proyectos'!R246</f>
        <v>0</v>
      </c>
      <c r="T178" s="118">
        <f>+'Gantt Proyectos'!S246</f>
        <v>0</v>
      </c>
      <c r="U178" s="157">
        <f>+'Gantt Proyectos'!T246</f>
        <v>0</v>
      </c>
      <c r="V178" s="157">
        <f>+'Gantt Proyectos'!U246</f>
        <v>0</v>
      </c>
      <c r="W178" s="201">
        <f t="shared" si="11"/>
        <v>0</v>
      </c>
      <c r="X178" s="110">
        <f>+'Gantt Proyectos'!W246</f>
        <v>0</v>
      </c>
      <c r="Y178" s="110">
        <f>+'Gantt Proyectos'!X246</f>
        <v>0</v>
      </c>
      <c r="Z178" s="110">
        <f>+'Gantt Proyectos'!Y246</f>
        <v>0</v>
      </c>
      <c r="AA178" s="110">
        <f>+'Gantt Proyectos'!Z246</f>
        <v>0</v>
      </c>
      <c r="AB178" s="110">
        <f>+'Gantt Proyectos'!AA246</f>
        <v>0</v>
      </c>
      <c r="AC178" s="110">
        <f>+'Gantt Proyectos'!AB246</f>
        <v>0</v>
      </c>
      <c r="AD178" s="110">
        <f>+'Gantt Proyectos'!AC246</f>
        <v>0</v>
      </c>
      <c r="AE178" s="110">
        <f>+'Gantt Proyectos'!AD246</f>
        <v>0</v>
      </c>
      <c r="AF178" s="110">
        <f>+'Gantt Proyectos'!AE246</f>
        <v>0</v>
      </c>
      <c r="AG178" s="172">
        <v>1</v>
      </c>
      <c r="AH178" s="169">
        <f ca="1">+IFERROR(IF(ISNUMBER(OFFSET('EDP Proyectado'!AI178,0,-'Ingreso Proyectado'!$P178))&lt;&gt;0,IF(OFFSET('EDP Proyectado'!AI178,0,-'Ingreso Proyectado'!$P178)+0&lt;=1,0,OFFSET('EDP Proyectado'!AI178,0,-'Ingreso Proyectado'!$P178)+0)),0)</f>
        <v>0</v>
      </c>
      <c r="AI178" s="169">
        <f ca="1">+IFERROR(IF(ISNUMBER(OFFSET('EDP Proyectado'!AJ178,0,-'Ingreso Proyectado'!$P178))&lt;&gt;0,IF(OFFSET('EDP Proyectado'!AJ178,0,-'Ingreso Proyectado'!$P178)+0&lt;=1,0,OFFSET('EDP Proyectado'!AJ178,0,-'Ingreso Proyectado'!$P178)+0)),0)</f>
        <v>0</v>
      </c>
      <c r="AJ178" s="169">
        <f ca="1">+IFERROR(IF(ISNUMBER(OFFSET('EDP Proyectado'!AK178,0,-'Ingreso Proyectado'!$P178))&lt;&gt;0,IF(OFFSET('EDP Proyectado'!AK178,0,-'Ingreso Proyectado'!$P178)+0&lt;=1,0,OFFSET('EDP Proyectado'!AK178,0,-'Ingreso Proyectado'!$P178)+0)),0)</f>
        <v>0</v>
      </c>
      <c r="AK178" s="169">
        <f ca="1">+IFERROR(IF(ISNUMBER(OFFSET('EDP Proyectado'!AL178,0,-'Ingreso Proyectado'!$P178))&lt;&gt;0,IF(OFFSET('EDP Proyectado'!AL178,0,-'Ingreso Proyectado'!$P178)+0&lt;=1,0,OFFSET('EDP Proyectado'!AL178,0,-'Ingreso Proyectado'!$P178)+0)),0)</f>
        <v>0</v>
      </c>
      <c r="AL178" s="169">
        <f ca="1">+IFERROR(IF(ISNUMBER(OFFSET('EDP Proyectado'!AM178,0,-'Ingreso Proyectado'!$P178))&lt;&gt;0,IF(OFFSET('EDP Proyectado'!AM178,0,-'Ingreso Proyectado'!$P178)+0&lt;=1,0,OFFSET('EDP Proyectado'!AM178,0,-'Ingreso Proyectado'!$P178)+0)),0)</f>
        <v>0</v>
      </c>
      <c r="AM178" s="169">
        <f ca="1">+IFERROR(IF(ISNUMBER(OFFSET('EDP Proyectado'!AN178,0,-'Ingreso Proyectado'!$P178))&lt;&gt;0,IF(OFFSET('EDP Proyectado'!AN178,0,-'Ingreso Proyectado'!$P178)+0&lt;=1,0,OFFSET('EDP Proyectado'!AN178,0,-'Ingreso Proyectado'!$P178)+0)),0)</f>
        <v>0</v>
      </c>
      <c r="AN178" s="169">
        <f ca="1">+IFERROR(IF(ISNUMBER(OFFSET('EDP Proyectado'!AO178,0,-'Ingreso Proyectado'!$P178))&lt;&gt;0,IF(OFFSET('EDP Proyectado'!AO178,0,-'Ingreso Proyectado'!$P178)+0&lt;=1,0,OFFSET('EDP Proyectado'!AO178,0,-'Ingreso Proyectado'!$P178)+0)),0)</f>
        <v>0</v>
      </c>
      <c r="AO178" s="169">
        <f ca="1">+IFERROR(IF(ISNUMBER(OFFSET('EDP Proyectado'!AP178,0,-'Ingreso Proyectado'!$P178))&lt;&gt;0,IF(OFFSET('EDP Proyectado'!AP178,0,-'Ingreso Proyectado'!$P178)+0&lt;=1,0,OFFSET('EDP Proyectado'!AP178,0,-'Ingreso Proyectado'!$P178)+0)),0)</f>
        <v>0</v>
      </c>
      <c r="AP178" s="170">
        <f ca="1">+IFERROR(IF(ISNUMBER(OFFSET('EDP Proyectado'!AQ178,0,-'Ingreso Proyectado'!$P178))&lt;&gt;0,IF(OFFSET('EDP Proyectado'!AQ178,0,-'Ingreso Proyectado'!$P178)+0&lt;=1,0,OFFSET('EDP Proyectado'!AQ178,0,-'Ingreso Proyectado'!$P178)+0)),0)</f>
        <v>0</v>
      </c>
    </row>
    <row r="179" spans="3:42" x14ac:dyDescent="0.2">
      <c r="C179" s="110">
        <f>+'Gantt Proyectos'!C247</f>
        <v>0</v>
      </c>
      <c r="D179" s="110">
        <f>+'Gantt Proyectos'!D247</f>
        <v>0</v>
      </c>
      <c r="E179" s="110">
        <f>+'Gantt Proyectos'!E247</f>
        <v>0</v>
      </c>
      <c r="F179" s="148">
        <f>+'Gantt Proyectos'!F247</f>
        <v>0</v>
      </c>
      <c r="G179" s="110">
        <f>+'Gantt Proyectos'!G247</f>
        <v>0</v>
      </c>
      <c r="H179" s="110">
        <f>+'Gantt Proyectos'!H247</f>
        <v>0</v>
      </c>
      <c r="I179" s="189">
        <v>1</v>
      </c>
      <c r="J179" s="189">
        <f t="shared" si="10"/>
        <v>0</v>
      </c>
      <c r="K179" s="110">
        <f>+'Gantt Proyectos'!I247</f>
        <v>0</v>
      </c>
      <c r="L179" s="110">
        <f>+'Gantt Proyectos'!J247</f>
        <v>0</v>
      </c>
      <c r="M179" s="110">
        <f>+'Gantt Proyectos'!K247</f>
        <v>0</v>
      </c>
      <c r="N179" s="110">
        <f>+'Gantt Proyectos'!L247</f>
        <v>0</v>
      </c>
      <c r="O179" s="110">
        <f>+'Gantt Proyectos'!M247</f>
        <v>0</v>
      </c>
      <c r="P179" s="110">
        <f>+'Gantt Proyectos'!N247</f>
        <v>0</v>
      </c>
      <c r="Q179" s="110">
        <f>+'Gantt Proyectos'!O247</f>
        <v>0</v>
      </c>
      <c r="R179" s="110">
        <f>+'Gantt Proyectos'!P247</f>
        <v>0</v>
      </c>
      <c r="S179" s="110">
        <f>+'Gantt Proyectos'!R247</f>
        <v>0</v>
      </c>
      <c r="T179" s="118">
        <f>+'Gantt Proyectos'!S247</f>
        <v>0</v>
      </c>
      <c r="U179" s="157">
        <f>+'Gantt Proyectos'!T247</f>
        <v>0</v>
      </c>
      <c r="V179" s="157">
        <f>+'Gantt Proyectos'!U247</f>
        <v>0</v>
      </c>
      <c r="W179" s="201">
        <f t="shared" si="11"/>
        <v>0</v>
      </c>
      <c r="X179" s="110">
        <f>+'Gantt Proyectos'!W247</f>
        <v>0</v>
      </c>
      <c r="Y179" s="110">
        <f>+'Gantt Proyectos'!X247</f>
        <v>0</v>
      </c>
      <c r="Z179" s="110">
        <f>+'Gantt Proyectos'!Y247</f>
        <v>0</v>
      </c>
      <c r="AA179" s="110">
        <f>+'Gantt Proyectos'!Z247</f>
        <v>0</v>
      </c>
      <c r="AB179" s="110">
        <f>+'Gantt Proyectos'!AA247</f>
        <v>0</v>
      </c>
      <c r="AC179" s="110">
        <f>+'Gantt Proyectos'!AB247</f>
        <v>0</v>
      </c>
      <c r="AD179" s="110">
        <f>+'Gantt Proyectos'!AC247</f>
        <v>0</v>
      </c>
      <c r="AE179" s="110">
        <f>+'Gantt Proyectos'!AD247</f>
        <v>0</v>
      </c>
      <c r="AF179" s="110">
        <f>+'Gantt Proyectos'!AE247</f>
        <v>0</v>
      </c>
      <c r="AG179" s="172">
        <v>1</v>
      </c>
      <c r="AH179" s="169">
        <f ca="1">+IFERROR(IF(ISNUMBER(OFFSET('EDP Proyectado'!AI179,0,-'Ingreso Proyectado'!$P179))&lt;&gt;0,IF(OFFSET('EDP Proyectado'!AI179,0,-'Ingreso Proyectado'!$P179)+0&lt;=1,0,OFFSET('EDP Proyectado'!AI179,0,-'Ingreso Proyectado'!$P179)+0)),0)</f>
        <v>0</v>
      </c>
      <c r="AI179" s="169">
        <f ca="1">+IFERROR(IF(ISNUMBER(OFFSET('EDP Proyectado'!AJ179,0,-'Ingreso Proyectado'!$P179))&lt;&gt;0,IF(OFFSET('EDP Proyectado'!AJ179,0,-'Ingreso Proyectado'!$P179)+0&lt;=1,0,OFFSET('EDP Proyectado'!AJ179,0,-'Ingreso Proyectado'!$P179)+0)),0)</f>
        <v>0</v>
      </c>
      <c r="AJ179" s="169">
        <f ca="1">+IFERROR(IF(ISNUMBER(OFFSET('EDP Proyectado'!AK179,0,-'Ingreso Proyectado'!$P179))&lt;&gt;0,IF(OFFSET('EDP Proyectado'!AK179,0,-'Ingreso Proyectado'!$P179)+0&lt;=1,0,OFFSET('EDP Proyectado'!AK179,0,-'Ingreso Proyectado'!$P179)+0)),0)</f>
        <v>0</v>
      </c>
      <c r="AK179" s="169">
        <f ca="1">+IFERROR(IF(ISNUMBER(OFFSET('EDP Proyectado'!AL179,0,-'Ingreso Proyectado'!$P179))&lt;&gt;0,IF(OFFSET('EDP Proyectado'!AL179,0,-'Ingreso Proyectado'!$P179)+0&lt;=1,0,OFFSET('EDP Proyectado'!AL179,0,-'Ingreso Proyectado'!$P179)+0)),0)</f>
        <v>0</v>
      </c>
      <c r="AL179" s="169">
        <f ca="1">+IFERROR(IF(ISNUMBER(OFFSET('EDP Proyectado'!AM179,0,-'Ingreso Proyectado'!$P179))&lt;&gt;0,IF(OFFSET('EDP Proyectado'!AM179,0,-'Ingreso Proyectado'!$P179)+0&lt;=1,0,OFFSET('EDP Proyectado'!AM179,0,-'Ingreso Proyectado'!$P179)+0)),0)</f>
        <v>0</v>
      </c>
      <c r="AM179" s="169">
        <f ca="1">+IFERROR(IF(ISNUMBER(OFFSET('EDP Proyectado'!AN179,0,-'Ingreso Proyectado'!$P179))&lt;&gt;0,IF(OFFSET('EDP Proyectado'!AN179,0,-'Ingreso Proyectado'!$P179)+0&lt;=1,0,OFFSET('EDP Proyectado'!AN179,0,-'Ingreso Proyectado'!$P179)+0)),0)</f>
        <v>0</v>
      </c>
      <c r="AN179" s="169">
        <f ca="1">+IFERROR(IF(ISNUMBER(OFFSET('EDP Proyectado'!AO179,0,-'Ingreso Proyectado'!$P179))&lt;&gt;0,IF(OFFSET('EDP Proyectado'!AO179,0,-'Ingreso Proyectado'!$P179)+0&lt;=1,0,OFFSET('EDP Proyectado'!AO179,0,-'Ingreso Proyectado'!$P179)+0)),0)</f>
        <v>0</v>
      </c>
      <c r="AO179" s="169">
        <f ca="1">+IFERROR(IF(ISNUMBER(OFFSET('EDP Proyectado'!AP179,0,-'Ingreso Proyectado'!$P179))&lt;&gt;0,IF(OFFSET('EDP Proyectado'!AP179,0,-'Ingreso Proyectado'!$P179)+0&lt;=1,0,OFFSET('EDP Proyectado'!AP179,0,-'Ingreso Proyectado'!$P179)+0)),0)</f>
        <v>0</v>
      </c>
      <c r="AP179" s="170">
        <f ca="1">+IFERROR(IF(ISNUMBER(OFFSET('EDP Proyectado'!AQ179,0,-'Ingreso Proyectado'!$P179))&lt;&gt;0,IF(OFFSET('EDP Proyectado'!AQ179,0,-'Ingreso Proyectado'!$P179)+0&lt;=1,0,OFFSET('EDP Proyectado'!AQ179,0,-'Ingreso Proyectado'!$P179)+0)),0)</f>
        <v>0</v>
      </c>
    </row>
    <row r="180" spans="3:42" x14ac:dyDescent="0.2">
      <c r="C180" s="110">
        <f>+'Gantt Proyectos'!C248</f>
        <v>0</v>
      </c>
      <c r="D180" s="110">
        <f>+'Gantt Proyectos'!D248</f>
        <v>0</v>
      </c>
      <c r="E180" s="110">
        <f>+'Gantt Proyectos'!E248</f>
        <v>0</v>
      </c>
      <c r="F180" s="148">
        <f>+'Gantt Proyectos'!F248</f>
        <v>0</v>
      </c>
      <c r="G180" s="110">
        <f>+'Gantt Proyectos'!G248</f>
        <v>0</v>
      </c>
      <c r="H180" s="110">
        <f>+'Gantt Proyectos'!H248</f>
        <v>0</v>
      </c>
      <c r="I180" s="189">
        <v>1</v>
      </c>
      <c r="J180" s="189">
        <f t="shared" si="10"/>
        <v>0</v>
      </c>
      <c r="K180" s="110">
        <f>+'Gantt Proyectos'!I248</f>
        <v>0</v>
      </c>
      <c r="L180" s="110">
        <f>+'Gantt Proyectos'!J248</f>
        <v>0</v>
      </c>
      <c r="M180" s="110">
        <f>+'Gantt Proyectos'!K248</f>
        <v>0</v>
      </c>
      <c r="N180" s="110">
        <f>+'Gantt Proyectos'!L248</f>
        <v>0</v>
      </c>
      <c r="O180" s="110">
        <f>+'Gantt Proyectos'!M248</f>
        <v>0</v>
      </c>
      <c r="P180" s="110">
        <f>+'Gantt Proyectos'!N248</f>
        <v>0</v>
      </c>
      <c r="Q180" s="110">
        <f>+'Gantt Proyectos'!O248</f>
        <v>0</v>
      </c>
      <c r="R180" s="110">
        <f>+'Gantt Proyectos'!P248</f>
        <v>0</v>
      </c>
      <c r="S180" s="110">
        <f>+'Gantt Proyectos'!R248</f>
        <v>0</v>
      </c>
      <c r="T180" s="118">
        <f>+'Gantt Proyectos'!S248</f>
        <v>0</v>
      </c>
      <c r="U180" s="157">
        <f>+'Gantt Proyectos'!T248</f>
        <v>0</v>
      </c>
      <c r="V180" s="157">
        <f>+'Gantt Proyectos'!U248</f>
        <v>0</v>
      </c>
      <c r="W180" s="201">
        <f t="shared" si="11"/>
        <v>0</v>
      </c>
      <c r="X180" s="110">
        <f>+'Gantt Proyectos'!W248</f>
        <v>0</v>
      </c>
      <c r="Y180" s="110">
        <f>+'Gantt Proyectos'!X248</f>
        <v>0</v>
      </c>
      <c r="Z180" s="110">
        <f>+'Gantt Proyectos'!Y248</f>
        <v>0</v>
      </c>
      <c r="AA180" s="110">
        <f>+'Gantt Proyectos'!Z248</f>
        <v>0</v>
      </c>
      <c r="AB180" s="110">
        <f>+'Gantt Proyectos'!AA248</f>
        <v>0</v>
      </c>
      <c r="AC180" s="110">
        <f>+'Gantt Proyectos'!AB248</f>
        <v>0</v>
      </c>
      <c r="AD180" s="110">
        <f>+'Gantt Proyectos'!AC248</f>
        <v>0</v>
      </c>
      <c r="AE180" s="110">
        <f>+'Gantt Proyectos'!AD248</f>
        <v>0</v>
      </c>
      <c r="AF180" s="110">
        <f>+'Gantt Proyectos'!AE248</f>
        <v>0</v>
      </c>
      <c r="AG180" s="172">
        <v>1</v>
      </c>
      <c r="AH180" s="169">
        <f ca="1">+IFERROR(IF(ISNUMBER(OFFSET('EDP Proyectado'!AI180,0,-'Ingreso Proyectado'!$P180))&lt;&gt;0,IF(OFFSET('EDP Proyectado'!AI180,0,-'Ingreso Proyectado'!$P180)+0&lt;=1,0,OFFSET('EDP Proyectado'!AI180,0,-'Ingreso Proyectado'!$P180)+0)),0)</f>
        <v>0</v>
      </c>
      <c r="AI180" s="169">
        <f ca="1">+IFERROR(IF(ISNUMBER(OFFSET('EDP Proyectado'!AJ180,0,-'Ingreso Proyectado'!$P180))&lt;&gt;0,IF(OFFSET('EDP Proyectado'!AJ180,0,-'Ingreso Proyectado'!$P180)+0&lt;=1,0,OFFSET('EDP Proyectado'!AJ180,0,-'Ingreso Proyectado'!$P180)+0)),0)</f>
        <v>0</v>
      </c>
      <c r="AJ180" s="169">
        <f ca="1">+IFERROR(IF(ISNUMBER(OFFSET('EDP Proyectado'!AK180,0,-'Ingreso Proyectado'!$P180))&lt;&gt;0,IF(OFFSET('EDP Proyectado'!AK180,0,-'Ingreso Proyectado'!$P180)+0&lt;=1,0,OFFSET('EDP Proyectado'!AK180,0,-'Ingreso Proyectado'!$P180)+0)),0)</f>
        <v>0</v>
      </c>
      <c r="AK180" s="169">
        <f ca="1">+IFERROR(IF(ISNUMBER(OFFSET('EDP Proyectado'!AL180,0,-'Ingreso Proyectado'!$P180))&lt;&gt;0,IF(OFFSET('EDP Proyectado'!AL180,0,-'Ingreso Proyectado'!$P180)+0&lt;=1,0,OFFSET('EDP Proyectado'!AL180,0,-'Ingreso Proyectado'!$P180)+0)),0)</f>
        <v>0</v>
      </c>
      <c r="AL180" s="169">
        <f ca="1">+IFERROR(IF(ISNUMBER(OFFSET('EDP Proyectado'!AM180,0,-'Ingreso Proyectado'!$P180))&lt;&gt;0,IF(OFFSET('EDP Proyectado'!AM180,0,-'Ingreso Proyectado'!$P180)+0&lt;=1,0,OFFSET('EDP Proyectado'!AM180,0,-'Ingreso Proyectado'!$P180)+0)),0)</f>
        <v>0</v>
      </c>
      <c r="AM180" s="169">
        <f ca="1">+IFERROR(IF(ISNUMBER(OFFSET('EDP Proyectado'!AN180,0,-'Ingreso Proyectado'!$P180))&lt;&gt;0,IF(OFFSET('EDP Proyectado'!AN180,0,-'Ingreso Proyectado'!$P180)+0&lt;=1,0,OFFSET('EDP Proyectado'!AN180,0,-'Ingreso Proyectado'!$P180)+0)),0)</f>
        <v>0</v>
      </c>
      <c r="AN180" s="169">
        <f ca="1">+IFERROR(IF(ISNUMBER(OFFSET('EDP Proyectado'!AO180,0,-'Ingreso Proyectado'!$P180))&lt;&gt;0,IF(OFFSET('EDP Proyectado'!AO180,0,-'Ingreso Proyectado'!$P180)+0&lt;=1,0,OFFSET('EDP Proyectado'!AO180,0,-'Ingreso Proyectado'!$P180)+0)),0)</f>
        <v>0</v>
      </c>
      <c r="AO180" s="169">
        <f ca="1">+IFERROR(IF(ISNUMBER(OFFSET('EDP Proyectado'!AP180,0,-'Ingreso Proyectado'!$P180))&lt;&gt;0,IF(OFFSET('EDP Proyectado'!AP180,0,-'Ingreso Proyectado'!$P180)+0&lt;=1,0,OFFSET('EDP Proyectado'!AP180,0,-'Ingreso Proyectado'!$P180)+0)),0)</f>
        <v>0</v>
      </c>
      <c r="AP180" s="170">
        <f ca="1">+IFERROR(IF(ISNUMBER(OFFSET('EDP Proyectado'!AQ180,0,-'Ingreso Proyectado'!$P180))&lt;&gt;0,IF(OFFSET('EDP Proyectado'!AQ180,0,-'Ingreso Proyectado'!$P180)+0&lt;=1,0,OFFSET('EDP Proyectado'!AQ180,0,-'Ingreso Proyectado'!$P180)+0)),0)</f>
        <v>0</v>
      </c>
    </row>
    <row r="181" spans="3:42" x14ac:dyDescent="0.2">
      <c r="C181" s="110">
        <f>+'Gantt Proyectos'!C249</f>
        <v>0</v>
      </c>
      <c r="D181" s="110">
        <f>+'Gantt Proyectos'!D249</f>
        <v>0</v>
      </c>
      <c r="E181" s="110">
        <f>+'Gantt Proyectos'!E249</f>
        <v>0</v>
      </c>
      <c r="F181" s="148">
        <f>+'Gantt Proyectos'!F249</f>
        <v>0</v>
      </c>
      <c r="G181" s="110">
        <f>+'Gantt Proyectos'!G249</f>
        <v>0</v>
      </c>
      <c r="H181" s="110">
        <f>+'Gantt Proyectos'!H249</f>
        <v>0</v>
      </c>
      <c r="I181" s="189">
        <v>1</v>
      </c>
      <c r="J181" s="189">
        <f t="shared" si="10"/>
        <v>0</v>
      </c>
      <c r="K181" s="110">
        <f>+'Gantt Proyectos'!I249</f>
        <v>0</v>
      </c>
      <c r="L181" s="110">
        <f>+'Gantt Proyectos'!J249</f>
        <v>0</v>
      </c>
      <c r="M181" s="110">
        <f>+'Gantt Proyectos'!K249</f>
        <v>0</v>
      </c>
      <c r="N181" s="110">
        <f>+'Gantt Proyectos'!L249</f>
        <v>0</v>
      </c>
      <c r="O181" s="110">
        <f>+'Gantt Proyectos'!M249</f>
        <v>0</v>
      </c>
      <c r="P181" s="110">
        <f>+'Gantt Proyectos'!N249</f>
        <v>0</v>
      </c>
      <c r="Q181" s="110">
        <f>+'Gantt Proyectos'!O249</f>
        <v>0</v>
      </c>
      <c r="R181" s="110">
        <f>+'Gantt Proyectos'!P249</f>
        <v>0</v>
      </c>
      <c r="S181" s="110">
        <f>+'Gantt Proyectos'!R249</f>
        <v>0</v>
      </c>
      <c r="T181" s="118">
        <f>+'Gantt Proyectos'!S249</f>
        <v>0</v>
      </c>
      <c r="U181" s="157">
        <f>+'Gantt Proyectos'!T249</f>
        <v>0</v>
      </c>
      <c r="V181" s="157">
        <f>+'Gantt Proyectos'!U249</f>
        <v>0</v>
      </c>
      <c r="W181" s="201">
        <f t="shared" si="11"/>
        <v>0</v>
      </c>
      <c r="X181" s="110">
        <f>+'Gantt Proyectos'!W249</f>
        <v>0</v>
      </c>
      <c r="Y181" s="110">
        <f>+'Gantt Proyectos'!X249</f>
        <v>0</v>
      </c>
      <c r="Z181" s="110">
        <f>+'Gantt Proyectos'!Y249</f>
        <v>0</v>
      </c>
      <c r="AA181" s="110">
        <f>+'Gantt Proyectos'!Z249</f>
        <v>0</v>
      </c>
      <c r="AB181" s="110">
        <f>+'Gantt Proyectos'!AA249</f>
        <v>0</v>
      </c>
      <c r="AC181" s="110">
        <f>+'Gantt Proyectos'!AB249</f>
        <v>0</v>
      </c>
      <c r="AD181" s="110">
        <f>+'Gantt Proyectos'!AC249</f>
        <v>0</v>
      </c>
      <c r="AE181" s="110">
        <f>+'Gantt Proyectos'!AD249</f>
        <v>0</v>
      </c>
      <c r="AF181" s="110">
        <f>+'Gantt Proyectos'!AE249</f>
        <v>0</v>
      </c>
      <c r="AG181" s="172">
        <v>1</v>
      </c>
      <c r="AH181" s="169">
        <f ca="1">+IFERROR(IF(ISNUMBER(OFFSET('EDP Proyectado'!AI181,0,-'Ingreso Proyectado'!$P181))&lt;&gt;0,IF(OFFSET('EDP Proyectado'!AI181,0,-'Ingreso Proyectado'!$P181)+0&lt;=1,0,OFFSET('EDP Proyectado'!AI181,0,-'Ingreso Proyectado'!$P181)+0)),0)</f>
        <v>0</v>
      </c>
      <c r="AI181" s="169">
        <f ca="1">+IFERROR(IF(ISNUMBER(OFFSET('EDP Proyectado'!AJ181,0,-'Ingreso Proyectado'!$P181))&lt;&gt;0,IF(OFFSET('EDP Proyectado'!AJ181,0,-'Ingreso Proyectado'!$P181)+0&lt;=1,0,OFFSET('EDP Proyectado'!AJ181,0,-'Ingreso Proyectado'!$P181)+0)),0)</f>
        <v>0</v>
      </c>
      <c r="AJ181" s="169">
        <f ca="1">+IFERROR(IF(ISNUMBER(OFFSET('EDP Proyectado'!AK181,0,-'Ingreso Proyectado'!$P181))&lt;&gt;0,IF(OFFSET('EDP Proyectado'!AK181,0,-'Ingreso Proyectado'!$P181)+0&lt;=1,0,OFFSET('EDP Proyectado'!AK181,0,-'Ingreso Proyectado'!$P181)+0)),0)</f>
        <v>0</v>
      </c>
      <c r="AK181" s="169">
        <f ca="1">+IFERROR(IF(ISNUMBER(OFFSET('EDP Proyectado'!AL181,0,-'Ingreso Proyectado'!$P181))&lt;&gt;0,IF(OFFSET('EDP Proyectado'!AL181,0,-'Ingreso Proyectado'!$P181)+0&lt;=1,0,OFFSET('EDP Proyectado'!AL181,0,-'Ingreso Proyectado'!$P181)+0)),0)</f>
        <v>0</v>
      </c>
      <c r="AL181" s="169">
        <f ca="1">+IFERROR(IF(ISNUMBER(OFFSET('EDP Proyectado'!AM181,0,-'Ingreso Proyectado'!$P181))&lt;&gt;0,IF(OFFSET('EDP Proyectado'!AM181,0,-'Ingreso Proyectado'!$P181)+0&lt;=1,0,OFFSET('EDP Proyectado'!AM181,0,-'Ingreso Proyectado'!$P181)+0)),0)</f>
        <v>0</v>
      </c>
      <c r="AM181" s="169">
        <f ca="1">+IFERROR(IF(ISNUMBER(OFFSET('EDP Proyectado'!AN181,0,-'Ingreso Proyectado'!$P181))&lt;&gt;0,IF(OFFSET('EDP Proyectado'!AN181,0,-'Ingreso Proyectado'!$P181)+0&lt;=1,0,OFFSET('EDP Proyectado'!AN181,0,-'Ingreso Proyectado'!$P181)+0)),0)</f>
        <v>0</v>
      </c>
      <c r="AN181" s="169">
        <f ca="1">+IFERROR(IF(ISNUMBER(OFFSET('EDP Proyectado'!AO181,0,-'Ingreso Proyectado'!$P181))&lt;&gt;0,IF(OFFSET('EDP Proyectado'!AO181,0,-'Ingreso Proyectado'!$P181)+0&lt;=1,0,OFFSET('EDP Proyectado'!AO181,0,-'Ingreso Proyectado'!$P181)+0)),0)</f>
        <v>0</v>
      </c>
      <c r="AO181" s="169">
        <f ca="1">+IFERROR(IF(ISNUMBER(OFFSET('EDP Proyectado'!AP181,0,-'Ingreso Proyectado'!$P181))&lt;&gt;0,IF(OFFSET('EDP Proyectado'!AP181,0,-'Ingreso Proyectado'!$P181)+0&lt;=1,0,OFFSET('EDP Proyectado'!AP181,0,-'Ingreso Proyectado'!$P181)+0)),0)</f>
        <v>0</v>
      </c>
      <c r="AP181" s="170">
        <f ca="1">+IFERROR(IF(ISNUMBER(OFFSET('EDP Proyectado'!AQ181,0,-'Ingreso Proyectado'!$P181))&lt;&gt;0,IF(OFFSET('EDP Proyectado'!AQ181,0,-'Ingreso Proyectado'!$P181)+0&lt;=1,0,OFFSET('EDP Proyectado'!AQ181,0,-'Ingreso Proyectado'!$P181)+0)),0)</f>
        <v>0</v>
      </c>
    </row>
    <row r="182" spans="3:42" x14ac:dyDescent="0.2">
      <c r="C182" s="110">
        <f>+'Gantt Proyectos'!C250</f>
        <v>0</v>
      </c>
      <c r="D182" s="110">
        <f>+'Gantt Proyectos'!D250</f>
        <v>0</v>
      </c>
      <c r="E182" s="110">
        <f>+'Gantt Proyectos'!E250</f>
        <v>0</v>
      </c>
      <c r="F182" s="148">
        <f>+'Gantt Proyectos'!F250</f>
        <v>0</v>
      </c>
      <c r="G182" s="110">
        <f>+'Gantt Proyectos'!G250</f>
        <v>0</v>
      </c>
      <c r="H182" s="110">
        <f>+'Gantt Proyectos'!H250</f>
        <v>0</v>
      </c>
      <c r="I182" s="189">
        <v>1</v>
      </c>
      <c r="J182" s="189">
        <f t="shared" si="10"/>
        <v>0</v>
      </c>
      <c r="K182" s="110">
        <f>+'Gantt Proyectos'!I250</f>
        <v>0</v>
      </c>
      <c r="L182" s="110">
        <f>+'Gantt Proyectos'!J250</f>
        <v>0</v>
      </c>
      <c r="M182" s="110">
        <f>+'Gantt Proyectos'!K250</f>
        <v>0</v>
      </c>
      <c r="N182" s="110">
        <f>+'Gantt Proyectos'!L250</f>
        <v>0</v>
      </c>
      <c r="O182" s="110">
        <f>+'Gantt Proyectos'!M250</f>
        <v>0</v>
      </c>
      <c r="P182" s="110">
        <f>+'Gantt Proyectos'!N250</f>
        <v>0</v>
      </c>
      <c r="Q182" s="110">
        <f>+'Gantt Proyectos'!O250</f>
        <v>0</v>
      </c>
      <c r="R182" s="110">
        <f>+'Gantt Proyectos'!P250</f>
        <v>0</v>
      </c>
      <c r="S182" s="110">
        <f>+'Gantt Proyectos'!R250</f>
        <v>0</v>
      </c>
      <c r="T182" s="118">
        <f>+'Gantt Proyectos'!S250</f>
        <v>0</v>
      </c>
      <c r="U182" s="157">
        <f>+'Gantt Proyectos'!T250</f>
        <v>0</v>
      </c>
      <c r="V182" s="157">
        <f>+'Gantt Proyectos'!U250</f>
        <v>0</v>
      </c>
      <c r="W182" s="201">
        <f t="shared" si="11"/>
        <v>0</v>
      </c>
      <c r="X182" s="110">
        <f>+'Gantt Proyectos'!W250</f>
        <v>0</v>
      </c>
      <c r="Y182" s="110">
        <f>+'Gantt Proyectos'!X250</f>
        <v>0</v>
      </c>
      <c r="Z182" s="110">
        <f>+'Gantt Proyectos'!Y250</f>
        <v>0</v>
      </c>
      <c r="AA182" s="110">
        <f>+'Gantt Proyectos'!Z250</f>
        <v>0</v>
      </c>
      <c r="AB182" s="110">
        <f>+'Gantt Proyectos'!AA250</f>
        <v>0</v>
      </c>
      <c r="AC182" s="110">
        <f>+'Gantt Proyectos'!AB250</f>
        <v>0</v>
      </c>
      <c r="AD182" s="110">
        <f>+'Gantt Proyectos'!AC250</f>
        <v>0</v>
      </c>
      <c r="AE182" s="110">
        <f>+'Gantt Proyectos'!AD250</f>
        <v>0</v>
      </c>
      <c r="AF182" s="110">
        <f>+'Gantt Proyectos'!AE250</f>
        <v>0</v>
      </c>
      <c r="AG182" s="172">
        <v>1</v>
      </c>
      <c r="AH182" s="169">
        <f ca="1">+IFERROR(IF(ISNUMBER(OFFSET('EDP Proyectado'!AI182,0,-'Ingreso Proyectado'!$P182))&lt;&gt;0,IF(OFFSET('EDP Proyectado'!AI182,0,-'Ingreso Proyectado'!$P182)+0&lt;=1,0,OFFSET('EDP Proyectado'!AI182,0,-'Ingreso Proyectado'!$P182)+0)),0)</f>
        <v>0</v>
      </c>
      <c r="AI182" s="169">
        <f ca="1">+IFERROR(IF(ISNUMBER(OFFSET('EDP Proyectado'!AJ182,0,-'Ingreso Proyectado'!$P182))&lt;&gt;0,IF(OFFSET('EDP Proyectado'!AJ182,0,-'Ingreso Proyectado'!$P182)+0&lt;=1,0,OFFSET('EDP Proyectado'!AJ182,0,-'Ingreso Proyectado'!$P182)+0)),0)</f>
        <v>0</v>
      </c>
      <c r="AJ182" s="169">
        <f ca="1">+IFERROR(IF(ISNUMBER(OFFSET('EDP Proyectado'!AK182,0,-'Ingreso Proyectado'!$P182))&lt;&gt;0,IF(OFFSET('EDP Proyectado'!AK182,0,-'Ingreso Proyectado'!$P182)+0&lt;=1,0,OFFSET('EDP Proyectado'!AK182,0,-'Ingreso Proyectado'!$P182)+0)),0)</f>
        <v>0</v>
      </c>
      <c r="AK182" s="169">
        <f ca="1">+IFERROR(IF(ISNUMBER(OFFSET('EDP Proyectado'!AL182,0,-'Ingreso Proyectado'!$P182))&lt;&gt;0,IF(OFFSET('EDP Proyectado'!AL182,0,-'Ingreso Proyectado'!$P182)+0&lt;=1,0,OFFSET('EDP Proyectado'!AL182,0,-'Ingreso Proyectado'!$P182)+0)),0)</f>
        <v>0</v>
      </c>
      <c r="AL182" s="169">
        <f ca="1">+IFERROR(IF(ISNUMBER(OFFSET('EDP Proyectado'!AM182,0,-'Ingreso Proyectado'!$P182))&lt;&gt;0,IF(OFFSET('EDP Proyectado'!AM182,0,-'Ingreso Proyectado'!$P182)+0&lt;=1,0,OFFSET('EDP Proyectado'!AM182,0,-'Ingreso Proyectado'!$P182)+0)),0)</f>
        <v>0</v>
      </c>
      <c r="AM182" s="169">
        <f ca="1">+IFERROR(IF(ISNUMBER(OFFSET('EDP Proyectado'!AN182,0,-'Ingreso Proyectado'!$P182))&lt;&gt;0,IF(OFFSET('EDP Proyectado'!AN182,0,-'Ingreso Proyectado'!$P182)+0&lt;=1,0,OFFSET('EDP Proyectado'!AN182,0,-'Ingreso Proyectado'!$P182)+0)),0)</f>
        <v>0</v>
      </c>
      <c r="AN182" s="169">
        <f ca="1">+IFERROR(IF(ISNUMBER(OFFSET('EDP Proyectado'!AO182,0,-'Ingreso Proyectado'!$P182))&lt;&gt;0,IF(OFFSET('EDP Proyectado'!AO182,0,-'Ingreso Proyectado'!$P182)+0&lt;=1,0,OFFSET('EDP Proyectado'!AO182,0,-'Ingreso Proyectado'!$P182)+0)),0)</f>
        <v>0</v>
      </c>
      <c r="AO182" s="169">
        <f ca="1">+IFERROR(IF(ISNUMBER(OFFSET('EDP Proyectado'!AP182,0,-'Ingreso Proyectado'!$P182))&lt;&gt;0,IF(OFFSET('EDP Proyectado'!AP182,0,-'Ingreso Proyectado'!$P182)+0&lt;=1,0,OFFSET('EDP Proyectado'!AP182,0,-'Ingreso Proyectado'!$P182)+0)),0)</f>
        <v>0</v>
      </c>
      <c r="AP182" s="170">
        <f ca="1">+IFERROR(IF(ISNUMBER(OFFSET('EDP Proyectado'!AQ182,0,-'Ingreso Proyectado'!$P182))&lt;&gt;0,IF(OFFSET('EDP Proyectado'!AQ182,0,-'Ingreso Proyectado'!$P182)+0&lt;=1,0,OFFSET('EDP Proyectado'!AQ182,0,-'Ingreso Proyectado'!$P182)+0)),0)</f>
        <v>0</v>
      </c>
    </row>
    <row r="183" spans="3:42" x14ac:dyDescent="0.2">
      <c r="C183" s="110">
        <f>+'Gantt Proyectos'!C251</f>
        <v>0</v>
      </c>
      <c r="D183" s="110">
        <f>+'Gantt Proyectos'!D251</f>
        <v>0</v>
      </c>
      <c r="E183" s="110">
        <f>+'Gantt Proyectos'!E251</f>
        <v>0</v>
      </c>
      <c r="F183" s="148">
        <f>+'Gantt Proyectos'!F251</f>
        <v>0</v>
      </c>
      <c r="G183" s="110">
        <f>+'Gantt Proyectos'!G251</f>
        <v>0</v>
      </c>
      <c r="H183" s="110">
        <f>+'Gantt Proyectos'!H251</f>
        <v>0</v>
      </c>
      <c r="I183" s="189">
        <v>1</v>
      </c>
      <c r="J183" s="189">
        <f t="shared" si="10"/>
        <v>0</v>
      </c>
      <c r="K183" s="110">
        <f>+'Gantt Proyectos'!I251</f>
        <v>0</v>
      </c>
      <c r="L183" s="110">
        <f>+'Gantt Proyectos'!J251</f>
        <v>0</v>
      </c>
      <c r="M183" s="110">
        <f>+'Gantt Proyectos'!K251</f>
        <v>0</v>
      </c>
      <c r="N183" s="110">
        <f>+'Gantt Proyectos'!L251</f>
        <v>0</v>
      </c>
      <c r="O183" s="110">
        <f>+'Gantt Proyectos'!M251</f>
        <v>0</v>
      </c>
      <c r="P183" s="110">
        <f>+'Gantt Proyectos'!N251</f>
        <v>0</v>
      </c>
      <c r="Q183" s="110">
        <f>+'Gantt Proyectos'!O251</f>
        <v>0</v>
      </c>
      <c r="R183" s="110">
        <f>+'Gantt Proyectos'!P251</f>
        <v>0</v>
      </c>
      <c r="S183" s="110">
        <f>+'Gantt Proyectos'!R251</f>
        <v>0</v>
      </c>
      <c r="T183" s="118">
        <f>+'Gantt Proyectos'!S251</f>
        <v>0</v>
      </c>
      <c r="U183" s="157">
        <f>+'Gantt Proyectos'!T251</f>
        <v>0</v>
      </c>
      <c r="V183" s="157">
        <f>+'Gantt Proyectos'!U251</f>
        <v>0</v>
      </c>
      <c r="W183" s="201">
        <f t="shared" si="11"/>
        <v>0</v>
      </c>
      <c r="X183" s="110">
        <f>+'Gantt Proyectos'!W251</f>
        <v>0</v>
      </c>
      <c r="Y183" s="110">
        <f>+'Gantt Proyectos'!X251</f>
        <v>0</v>
      </c>
      <c r="Z183" s="110">
        <f>+'Gantt Proyectos'!Y251</f>
        <v>0</v>
      </c>
      <c r="AA183" s="110">
        <f>+'Gantt Proyectos'!Z251</f>
        <v>0</v>
      </c>
      <c r="AB183" s="110">
        <f>+'Gantt Proyectos'!AA251</f>
        <v>0</v>
      </c>
      <c r="AC183" s="110">
        <f>+'Gantt Proyectos'!AB251</f>
        <v>0</v>
      </c>
      <c r="AD183" s="110">
        <f>+'Gantt Proyectos'!AC251</f>
        <v>0</v>
      </c>
      <c r="AE183" s="110">
        <f>+'Gantt Proyectos'!AD251</f>
        <v>0</v>
      </c>
      <c r="AF183" s="110">
        <f>+'Gantt Proyectos'!AE251</f>
        <v>0</v>
      </c>
      <c r="AG183" s="172">
        <v>1</v>
      </c>
      <c r="AH183" s="169">
        <f ca="1">+IFERROR(IF(ISNUMBER(OFFSET('EDP Proyectado'!AI183,0,-'Ingreso Proyectado'!$P183))&lt;&gt;0,IF(OFFSET('EDP Proyectado'!AI183,0,-'Ingreso Proyectado'!$P183)+0&lt;=1,0,OFFSET('EDP Proyectado'!AI183,0,-'Ingreso Proyectado'!$P183)+0)),0)</f>
        <v>0</v>
      </c>
      <c r="AI183" s="169">
        <f ca="1">+IFERROR(IF(ISNUMBER(OFFSET('EDP Proyectado'!AJ183,0,-'Ingreso Proyectado'!$P183))&lt;&gt;0,IF(OFFSET('EDP Proyectado'!AJ183,0,-'Ingreso Proyectado'!$P183)+0&lt;=1,0,OFFSET('EDP Proyectado'!AJ183,0,-'Ingreso Proyectado'!$P183)+0)),0)</f>
        <v>0</v>
      </c>
      <c r="AJ183" s="169">
        <f ca="1">+IFERROR(IF(ISNUMBER(OFFSET('EDP Proyectado'!AK183,0,-'Ingreso Proyectado'!$P183))&lt;&gt;0,IF(OFFSET('EDP Proyectado'!AK183,0,-'Ingreso Proyectado'!$P183)+0&lt;=1,0,OFFSET('EDP Proyectado'!AK183,0,-'Ingreso Proyectado'!$P183)+0)),0)</f>
        <v>0</v>
      </c>
      <c r="AK183" s="169">
        <f ca="1">+IFERROR(IF(ISNUMBER(OFFSET('EDP Proyectado'!AL183,0,-'Ingreso Proyectado'!$P183))&lt;&gt;0,IF(OFFSET('EDP Proyectado'!AL183,0,-'Ingreso Proyectado'!$P183)+0&lt;=1,0,OFFSET('EDP Proyectado'!AL183,0,-'Ingreso Proyectado'!$P183)+0)),0)</f>
        <v>0</v>
      </c>
      <c r="AL183" s="169">
        <f ca="1">+IFERROR(IF(ISNUMBER(OFFSET('EDP Proyectado'!AM183,0,-'Ingreso Proyectado'!$P183))&lt;&gt;0,IF(OFFSET('EDP Proyectado'!AM183,0,-'Ingreso Proyectado'!$P183)+0&lt;=1,0,OFFSET('EDP Proyectado'!AM183,0,-'Ingreso Proyectado'!$P183)+0)),0)</f>
        <v>0</v>
      </c>
      <c r="AM183" s="169">
        <f ca="1">+IFERROR(IF(ISNUMBER(OFFSET('EDP Proyectado'!AN183,0,-'Ingreso Proyectado'!$P183))&lt;&gt;0,IF(OFFSET('EDP Proyectado'!AN183,0,-'Ingreso Proyectado'!$P183)+0&lt;=1,0,OFFSET('EDP Proyectado'!AN183,0,-'Ingreso Proyectado'!$P183)+0)),0)</f>
        <v>0</v>
      </c>
      <c r="AN183" s="169">
        <f ca="1">+IFERROR(IF(ISNUMBER(OFFSET('EDP Proyectado'!AO183,0,-'Ingreso Proyectado'!$P183))&lt;&gt;0,IF(OFFSET('EDP Proyectado'!AO183,0,-'Ingreso Proyectado'!$P183)+0&lt;=1,0,OFFSET('EDP Proyectado'!AO183,0,-'Ingreso Proyectado'!$P183)+0)),0)</f>
        <v>0</v>
      </c>
      <c r="AO183" s="169">
        <f ca="1">+IFERROR(IF(ISNUMBER(OFFSET('EDP Proyectado'!AP183,0,-'Ingreso Proyectado'!$P183))&lt;&gt;0,IF(OFFSET('EDP Proyectado'!AP183,0,-'Ingreso Proyectado'!$P183)+0&lt;=1,0,OFFSET('EDP Proyectado'!AP183,0,-'Ingreso Proyectado'!$P183)+0)),0)</f>
        <v>0</v>
      </c>
      <c r="AP183" s="170">
        <f ca="1">+IFERROR(IF(ISNUMBER(OFFSET('EDP Proyectado'!AQ183,0,-'Ingreso Proyectado'!$P183))&lt;&gt;0,IF(OFFSET('EDP Proyectado'!AQ183,0,-'Ingreso Proyectado'!$P183)+0&lt;=1,0,OFFSET('EDP Proyectado'!AQ183,0,-'Ingreso Proyectado'!$P183)+0)),0)</f>
        <v>0</v>
      </c>
    </row>
    <row r="184" spans="3:42" x14ac:dyDescent="0.2">
      <c r="C184" s="110">
        <f>+'Gantt Proyectos'!C252</f>
        <v>0</v>
      </c>
      <c r="D184" s="110">
        <f>+'Gantt Proyectos'!D252</f>
        <v>0</v>
      </c>
      <c r="E184" s="110">
        <f>+'Gantt Proyectos'!E252</f>
        <v>0</v>
      </c>
      <c r="F184" s="148">
        <f>+'Gantt Proyectos'!F252</f>
        <v>0</v>
      </c>
      <c r="G184" s="110">
        <f>+'Gantt Proyectos'!G252</f>
        <v>0</v>
      </c>
      <c r="H184" s="110">
        <f>+'Gantt Proyectos'!H252</f>
        <v>0</v>
      </c>
      <c r="I184" s="189">
        <v>1</v>
      </c>
      <c r="J184" s="189">
        <f t="shared" si="10"/>
        <v>0</v>
      </c>
      <c r="K184" s="110">
        <f>+'Gantt Proyectos'!I252</f>
        <v>0</v>
      </c>
      <c r="L184" s="110">
        <f>+'Gantt Proyectos'!J252</f>
        <v>0</v>
      </c>
      <c r="M184" s="110">
        <f>+'Gantt Proyectos'!K252</f>
        <v>0</v>
      </c>
      <c r="N184" s="110">
        <f>+'Gantt Proyectos'!L252</f>
        <v>0</v>
      </c>
      <c r="O184" s="110">
        <f>+'Gantt Proyectos'!M252</f>
        <v>0</v>
      </c>
      <c r="P184" s="110">
        <f>+'Gantt Proyectos'!N252</f>
        <v>0</v>
      </c>
      <c r="Q184" s="110">
        <f>+'Gantt Proyectos'!O252</f>
        <v>0</v>
      </c>
      <c r="R184" s="110">
        <f>+'Gantt Proyectos'!P252</f>
        <v>0</v>
      </c>
      <c r="S184" s="110">
        <f>+'Gantt Proyectos'!R252</f>
        <v>0</v>
      </c>
      <c r="T184" s="118">
        <f>+'Gantt Proyectos'!S252</f>
        <v>0</v>
      </c>
      <c r="U184" s="157">
        <f>+'Gantt Proyectos'!T252</f>
        <v>0</v>
      </c>
      <c r="V184" s="157">
        <f>+'Gantt Proyectos'!U252</f>
        <v>0</v>
      </c>
      <c r="W184" s="201">
        <f t="shared" si="11"/>
        <v>0</v>
      </c>
      <c r="X184" s="110">
        <f>+'Gantt Proyectos'!W252</f>
        <v>0</v>
      </c>
      <c r="Y184" s="110">
        <f>+'Gantt Proyectos'!X252</f>
        <v>0</v>
      </c>
      <c r="Z184" s="110">
        <f>+'Gantt Proyectos'!Y252</f>
        <v>0</v>
      </c>
      <c r="AA184" s="110">
        <f>+'Gantt Proyectos'!Z252</f>
        <v>0</v>
      </c>
      <c r="AB184" s="110">
        <f>+'Gantt Proyectos'!AA252</f>
        <v>0</v>
      </c>
      <c r="AC184" s="110">
        <f>+'Gantt Proyectos'!AB252</f>
        <v>0</v>
      </c>
      <c r="AD184" s="110">
        <f>+'Gantt Proyectos'!AC252</f>
        <v>0</v>
      </c>
      <c r="AE184" s="110">
        <f>+'Gantt Proyectos'!AD252</f>
        <v>0</v>
      </c>
      <c r="AF184" s="110">
        <f>+'Gantt Proyectos'!AE252</f>
        <v>0</v>
      </c>
      <c r="AG184" s="172">
        <v>1</v>
      </c>
      <c r="AH184" s="169">
        <f ca="1">+IFERROR(IF(ISNUMBER(OFFSET('EDP Proyectado'!AI184,0,-'Ingreso Proyectado'!$P184))&lt;&gt;0,IF(OFFSET('EDP Proyectado'!AI184,0,-'Ingreso Proyectado'!$P184)+0&lt;=1,0,OFFSET('EDP Proyectado'!AI184,0,-'Ingreso Proyectado'!$P184)+0)),0)</f>
        <v>0</v>
      </c>
      <c r="AI184" s="169">
        <f ca="1">+IFERROR(IF(ISNUMBER(OFFSET('EDP Proyectado'!AJ184,0,-'Ingreso Proyectado'!$P184))&lt;&gt;0,IF(OFFSET('EDP Proyectado'!AJ184,0,-'Ingreso Proyectado'!$P184)+0&lt;=1,0,OFFSET('EDP Proyectado'!AJ184,0,-'Ingreso Proyectado'!$P184)+0)),0)</f>
        <v>0</v>
      </c>
      <c r="AJ184" s="169">
        <f ca="1">+IFERROR(IF(ISNUMBER(OFFSET('EDP Proyectado'!AK184,0,-'Ingreso Proyectado'!$P184))&lt;&gt;0,IF(OFFSET('EDP Proyectado'!AK184,0,-'Ingreso Proyectado'!$P184)+0&lt;=1,0,OFFSET('EDP Proyectado'!AK184,0,-'Ingreso Proyectado'!$P184)+0)),0)</f>
        <v>0</v>
      </c>
      <c r="AK184" s="169">
        <f ca="1">+IFERROR(IF(ISNUMBER(OFFSET('EDP Proyectado'!AL184,0,-'Ingreso Proyectado'!$P184))&lt;&gt;0,IF(OFFSET('EDP Proyectado'!AL184,0,-'Ingreso Proyectado'!$P184)+0&lt;=1,0,OFFSET('EDP Proyectado'!AL184,0,-'Ingreso Proyectado'!$P184)+0)),0)</f>
        <v>0</v>
      </c>
      <c r="AL184" s="169">
        <f ca="1">+IFERROR(IF(ISNUMBER(OFFSET('EDP Proyectado'!AM184,0,-'Ingreso Proyectado'!$P184))&lt;&gt;0,IF(OFFSET('EDP Proyectado'!AM184,0,-'Ingreso Proyectado'!$P184)+0&lt;=1,0,OFFSET('EDP Proyectado'!AM184,0,-'Ingreso Proyectado'!$P184)+0)),0)</f>
        <v>0</v>
      </c>
      <c r="AM184" s="169">
        <f ca="1">+IFERROR(IF(ISNUMBER(OFFSET('EDP Proyectado'!AN184,0,-'Ingreso Proyectado'!$P184))&lt;&gt;0,IF(OFFSET('EDP Proyectado'!AN184,0,-'Ingreso Proyectado'!$P184)+0&lt;=1,0,OFFSET('EDP Proyectado'!AN184,0,-'Ingreso Proyectado'!$P184)+0)),0)</f>
        <v>0</v>
      </c>
      <c r="AN184" s="169">
        <f ca="1">+IFERROR(IF(ISNUMBER(OFFSET('EDP Proyectado'!AO184,0,-'Ingreso Proyectado'!$P184))&lt;&gt;0,IF(OFFSET('EDP Proyectado'!AO184,0,-'Ingreso Proyectado'!$P184)+0&lt;=1,0,OFFSET('EDP Proyectado'!AO184,0,-'Ingreso Proyectado'!$P184)+0)),0)</f>
        <v>0</v>
      </c>
      <c r="AO184" s="169">
        <f ca="1">+IFERROR(IF(ISNUMBER(OFFSET('EDP Proyectado'!AP184,0,-'Ingreso Proyectado'!$P184))&lt;&gt;0,IF(OFFSET('EDP Proyectado'!AP184,0,-'Ingreso Proyectado'!$P184)+0&lt;=1,0,OFFSET('EDP Proyectado'!AP184,0,-'Ingreso Proyectado'!$P184)+0)),0)</f>
        <v>0</v>
      </c>
      <c r="AP184" s="170">
        <f ca="1">+IFERROR(IF(ISNUMBER(OFFSET('EDP Proyectado'!AQ184,0,-'Ingreso Proyectado'!$P184))&lt;&gt;0,IF(OFFSET('EDP Proyectado'!AQ184,0,-'Ingreso Proyectado'!$P184)+0&lt;=1,0,OFFSET('EDP Proyectado'!AQ184,0,-'Ingreso Proyectado'!$P184)+0)),0)</f>
        <v>0</v>
      </c>
    </row>
    <row r="185" spans="3:42" x14ac:dyDescent="0.2">
      <c r="C185" s="110">
        <f>+'Gantt Proyectos'!C253</f>
        <v>0</v>
      </c>
      <c r="D185" s="110">
        <f>+'Gantt Proyectos'!D253</f>
        <v>0</v>
      </c>
      <c r="E185" s="110">
        <f>+'Gantt Proyectos'!E253</f>
        <v>0</v>
      </c>
      <c r="F185" s="148">
        <f>+'Gantt Proyectos'!F253</f>
        <v>0</v>
      </c>
      <c r="G185" s="110">
        <f>+'Gantt Proyectos'!G253</f>
        <v>0</v>
      </c>
      <c r="H185" s="110">
        <f>+'Gantt Proyectos'!H253</f>
        <v>0</v>
      </c>
      <c r="I185" s="189">
        <v>1</v>
      </c>
      <c r="J185" s="189">
        <f t="shared" si="10"/>
        <v>0</v>
      </c>
      <c r="K185" s="110">
        <f>+'Gantt Proyectos'!I253</f>
        <v>0</v>
      </c>
      <c r="L185" s="110">
        <f>+'Gantt Proyectos'!J253</f>
        <v>0</v>
      </c>
      <c r="M185" s="110">
        <f>+'Gantt Proyectos'!K253</f>
        <v>0</v>
      </c>
      <c r="N185" s="110">
        <f>+'Gantt Proyectos'!L253</f>
        <v>0</v>
      </c>
      <c r="O185" s="110">
        <f>+'Gantt Proyectos'!M253</f>
        <v>0</v>
      </c>
      <c r="P185" s="110">
        <f>+'Gantt Proyectos'!N253</f>
        <v>0</v>
      </c>
      <c r="Q185" s="110">
        <f>+'Gantt Proyectos'!O253</f>
        <v>0</v>
      </c>
      <c r="R185" s="110">
        <f>+'Gantt Proyectos'!P253</f>
        <v>0</v>
      </c>
      <c r="S185" s="110">
        <f>+'Gantt Proyectos'!R253</f>
        <v>0</v>
      </c>
      <c r="T185" s="118">
        <f>+'Gantt Proyectos'!S253</f>
        <v>0</v>
      </c>
      <c r="U185" s="157">
        <f>+'Gantt Proyectos'!T253</f>
        <v>0</v>
      </c>
      <c r="V185" s="157">
        <f>+'Gantt Proyectos'!U253</f>
        <v>0</v>
      </c>
      <c r="W185" s="201">
        <f t="shared" si="11"/>
        <v>0</v>
      </c>
      <c r="X185" s="110">
        <f>+'Gantt Proyectos'!W253</f>
        <v>0</v>
      </c>
      <c r="Y185" s="110">
        <f>+'Gantt Proyectos'!X253</f>
        <v>0</v>
      </c>
      <c r="Z185" s="110">
        <f>+'Gantt Proyectos'!Y253</f>
        <v>0</v>
      </c>
      <c r="AA185" s="110">
        <f>+'Gantt Proyectos'!Z253</f>
        <v>0</v>
      </c>
      <c r="AB185" s="110">
        <f>+'Gantt Proyectos'!AA253</f>
        <v>0</v>
      </c>
      <c r="AC185" s="110">
        <f>+'Gantt Proyectos'!AB253</f>
        <v>0</v>
      </c>
      <c r="AD185" s="110">
        <f>+'Gantt Proyectos'!AC253</f>
        <v>0</v>
      </c>
      <c r="AE185" s="110">
        <f>+'Gantt Proyectos'!AD253</f>
        <v>0</v>
      </c>
      <c r="AF185" s="110">
        <f>+'Gantt Proyectos'!AE253</f>
        <v>0</v>
      </c>
      <c r="AG185" s="172">
        <v>1</v>
      </c>
      <c r="AH185" s="169">
        <f ca="1">+IFERROR(IF(ISNUMBER(OFFSET('EDP Proyectado'!AI185,0,-'Ingreso Proyectado'!$P185))&lt;&gt;0,IF(OFFSET('EDP Proyectado'!AI185,0,-'Ingreso Proyectado'!$P185)+0&lt;=1,0,OFFSET('EDP Proyectado'!AI185,0,-'Ingreso Proyectado'!$P185)+0)),0)</f>
        <v>0</v>
      </c>
      <c r="AI185" s="169">
        <f ca="1">+IFERROR(IF(ISNUMBER(OFFSET('EDP Proyectado'!AJ185,0,-'Ingreso Proyectado'!$P185))&lt;&gt;0,IF(OFFSET('EDP Proyectado'!AJ185,0,-'Ingreso Proyectado'!$P185)+0&lt;=1,0,OFFSET('EDP Proyectado'!AJ185,0,-'Ingreso Proyectado'!$P185)+0)),0)</f>
        <v>0</v>
      </c>
      <c r="AJ185" s="169">
        <f ca="1">+IFERROR(IF(ISNUMBER(OFFSET('EDP Proyectado'!AK185,0,-'Ingreso Proyectado'!$P185))&lt;&gt;0,IF(OFFSET('EDP Proyectado'!AK185,0,-'Ingreso Proyectado'!$P185)+0&lt;=1,0,OFFSET('EDP Proyectado'!AK185,0,-'Ingreso Proyectado'!$P185)+0)),0)</f>
        <v>0</v>
      </c>
      <c r="AK185" s="169">
        <f ca="1">+IFERROR(IF(ISNUMBER(OFFSET('EDP Proyectado'!AL185,0,-'Ingreso Proyectado'!$P185))&lt;&gt;0,IF(OFFSET('EDP Proyectado'!AL185,0,-'Ingreso Proyectado'!$P185)+0&lt;=1,0,OFFSET('EDP Proyectado'!AL185,0,-'Ingreso Proyectado'!$P185)+0)),0)</f>
        <v>0</v>
      </c>
      <c r="AL185" s="169">
        <f ca="1">+IFERROR(IF(ISNUMBER(OFFSET('EDP Proyectado'!AM185,0,-'Ingreso Proyectado'!$P185))&lt;&gt;0,IF(OFFSET('EDP Proyectado'!AM185,0,-'Ingreso Proyectado'!$P185)+0&lt;=1,0,OFFSET('EDP Proyectado'!AM185,0,-'Ingreso Proyectado'!$P185)+0)),0)</f>
        <v>0</v>
      </c>
      <c r="AM185" s="169">
        <f ca="1">+IFERROR(IF(ISNUMBER(OFFSET('EDP Proyectado'!AN185,0,-'Ingreso Proyectado'!$P185))&lt;&gt;0,IF(OFFSET('EDP Proyectado'!AN185,0,-'Ingreso Proyectado'!$P185)+0&lt;=1,0,OFFSET('EDP Proyectado'!AN185,0,-'Ingreso Proyectado'!$P185)+0)),0)</f>
        <v>0</v>
      </c>
      <c r="AN185" s="169">
        <f ca="1">+IFERROR(IF(ISNUMBER(OFFSET('EDP Proyectado'!AO185,0,-'Ingreso Proyectado'!$P185))&lt;&gt;0,IF(OFFSET('EDP Proyectado'!AO185,0,-'Ingreso Proyectado'!$P185)+0&lt;=1,0,OFFSET('EDP Proyectado'!AO185,0,-'Ingreso Proyectado'!$P185)+0)),0)</f>
        <v>0</v>
      </c>
      <c r="AO185" s="169">
        <f ca="1">+IFERROR(IF(ISNUMBER(OFFSET('EDP Proyectado'!AP185,0,-'Ingreso Proyectado'!$P185))&lt;&gt;0,IF(OFFSET('EDP Proyectado'!AP185,0,-'Ingreso Proyectado'!$P185)+0&lt;=1,0,OFFSET('EDP Proyectado'!AP185,0,-'Ingreso Proyectado'!$P185)+0)),0)</f>
        <v>0</v>
      </c>
      <c r="AP185" s="170">
        <f ca="1">+IFERROR(IF(ISNUMBER(OFFSET('EDP Proyectado'!AQ185,0,-'Ingreso Proyectado'!$P185))&lt;&gt;0,IF(OFFSET('EDP Proyectado'!AQ185,0,-'Ingreso Proyectado'!$P185)+0&lt;=1,0,OFFSET('EDP Proyectado'!AQ185,0,-'Ingreso Proyectado'!$P185)+0)),0)</f>
        <v>0</v>
      </c>
    </row>
    <row r="186" spans="3:42" x14ac:dyDescent="0.2">
      <c r="C186" s="110">
        <f>+'Gantt Proyectos'!C254</f>
        <v>0</v>
      </c>
      <c r="D186" s="110">
        <f>+'Gantt Proyectos'!D254</f>
        <v>0</v>
      </c>
      <c r="E186" s="110">
        <f>+'Gantt Proyectos'!E254</f>
        <v>0</v>
      </c>
      <c r="F186" s="148">
        <f>+'Gantt Proyectos'!F254</f>
        <v>0</v>
      </c>
      <c r="G186" s="110">
        <f>+'Gantt Proyectos'!G254</f>
        <v>0</v>
      </c>
      <c r="H186" s="110">
        <f>+'Gantt Proyectos'!H254</f>
        <v>0</v>
      </c>
      <c r="I186" s="189">
        <v>1</v>
      </c>
      <c r="J186" s="189">
        <f t="shared" si="10"/>
        <v>0</v>
      </c>
      <c r="K186" s="110">
        <f>+'Gantt Proyectos'!I254</f>
        <v>0</v>
      </c>
      <c r="L186" s="110">
        <f>+'Gantt Proyectos'!J254</f>
        <v>0</v>
      </c>
      <c r="M186" s="110">
        <f>+'Gantt Proyectos'!K254</f>
        <v>0</v>
      </c>
      <c r="N186" s="110">
        <f>+'Gantt Proyectos'!L254</f>
        <v>0</v>
      </c>
      <c r="O186" s="110">
        <f>+'Gantt Proyectos'!M254</f>
        <v>0</v>
      </c>
      <c r="P186" s="110">
        <f>+'Gantt Proyectos'!N254</f>
        <v>0</v>
      </c>
      <c r="Q186" s="110">
        <f>+'Gantt Proyectos'!O254</f>
        <v>0</v>
      </c>
      <c r="R186" s="110">
        <f>+'Gantt Proyectos'!P254</f>
        <v>0</v>
      </c>
      <c r="S186" s="110">
        <f>+'Gantt Proyectos'!R254</f>
        <v>0</v>
      </c>
      <c r="T186" s="118">
        <f>+'Gantt Proyectos'!S254</f>
        <v>0</v>
      </c>
      <c r="U186" s="157">
        <f>+'Gantt Proyectos'!T254</f>
        <v>0</v>
      </c>
      <c r="V186" s="157">
        <f>+'Gantt Proyectos'!U254</f>
        <v>0</v>
      </c>
      <c r="W186" s="201">
        <f t="shared" si="11"/>
        <v>0</v>
      </c>
      <c r="X186" s="110">
        <f>+'Gantt Proyectos'!W254</f>
        <v>0</v>
      </c>
      <c r="Y186" s="110">
        <f>+'Gantt Proyectos'!X254</f>
        <v>0</v>
      </c>
      <c r="Z186" s="110">
        <f>+'Gantt Proyectos'!Y254</f>
        <v>0</v>
      </c>
      <c r="AA186" s="110">
        <f>+'Gantt Proyectos'!Z254</f>
        <v>0</v>
      </c>
      <c r="AB186" s="110">
        <f>+'Gantt Proyectos'!AA254</f>
        <v>0</v>
      </c>
      <c r="AC186" s="110">
        <f>+'Gantt Proyectos'!AB254</f>
        <v>0</v>
      </c>
      <c r="AD186" s="110">
        <f>+'Gantt Proyectos'!AC254</f>
        <v>0</v>
      </c>
      <c r="AE186" s="110">
        <f>+'Gantt Proyectos'!AD254</f>
        <v>0</v>
      </c>
      <c r="AF186" s="110">
        <f>+'Gantt Proyectos'!AE254</f>
        <v>0</v>
      </c>
      <c r="AG186" s="172">
        <v>1</v>
      </c>
      <c r="AH186" s="169">
        <f ca="1">+IFERROR(IF(ISNUMBER(OFFSET('EDP Proyectado'!AI186,0,-'Ingreso Proyectado'!$P186))&lt;&gt;0,IF(OFFSET('EDP Proyectado'!AI186,0,-'Ingreso Proyectado'!$P186)+0&lt;=1,0,OFFSET('EDP Proyectado'!AI186,0,-'Ingreso Proyectado'!$P186)+0)),0)</f>
        <v>0</v>
      </c>
      <c r="AI186" s="169">
        <f ca="1">+IFERROR(IF(ISNUMBER(OFFSET('EDP Proyectado'!AJ186,0,-'Ingreso Proyectado'!$P186))&lt;&gt;0,IF(OFFSET('EDP Proyectado'!AJ186,0,-'Ingreso Proyectado'!$P186)+0&lt;=1,0,OFFSET('EDP Proyectado'!AJ186,0,-'Ingreso Proyectado'!$P186)+0)),0)</f>
        <v>0</v>
      </c>
      <c r="AJ186" s="169">
        <f ca="1">+IFERROR(IF(ISNUMBER(OFFSET('EDP Proyectado'!AK186,0,-'Ingreso Proyectado'!$P186))&lt;&gt;0,IF(OFFSET('EDP Proyectado'!AK186,0,-'Ingreso Proyectado'!$P186)+0&lt;=1,0,OFFSET('EDP Proyectado'!AK186,0,-'Ingreso Proyectado'!$P186)+0)),0)</f>
        <v>0</v>
      </c>
      <c r="AK186" s="169">
        <f ca="1">+IFERROR(IF(ISNUMBER(OFFSET('EDP Proyectado'!AL186,0,-'Ingreso Proyectado'!$P186))&lt;&gt;0,IF(OFFSET('EDP Proyectado'!AL186,0,-'Ingreso Proyectado'!$P186)+0&lt;=1,0,OFFSET('EDP Proyectado'!AL186,0,-'Ingreso Proyectado'!$P186)+0)),0)</f>
        <v>0</v>
      </c>
      <c r="AL186" s="169">
        <f ca="1">+IFERROR(IF(ISNUMBER(OFFSET('EDP Proyectado'!AM186,0,-'Ingreso Proyectado'!$P186))&lt;&gt;0,IF(OFFSET('EDP Proyectado'!AM186,0,-'Ingreso Proyectado'!$P186)+0&lt;=1,0,OFFSET('EDP Proyectado'!AM186,0,-'Ingreso Proyectado'!$P186)+0)),0)</f>
        <v>0</v>
      </c>
      <c r="AM186" s="169">
        <f ca="1">+IFERROR(IF(ISNUMBER(OFFSET('EDP Proyectado'!AN186,0,-'Ingreso Proyectado'!$P186))&lt;&gt;0,IF(OFFSET('EDP Proyectado'!AN186,0,-'Ingreso Proyectado'!$P186)+0&lt;=1,0,OFFSET('EDP Proyectado'!AN186,0,-'Ingreso Proyectado'!$P186)+0)),0)</f>
        <v>0</v>
      </c>
      <c r="AN186" s="169">
        <f ca="1">+IFERROR(IF(ISNUMBER(OFFSET('EDP Proyectado'!AO186,0,-'Ingreso Proyectado'!$P186))&lt;&gt;0,IF(OFFSET('EDP Proyectado'!AO186,0,-'Ingreso Proyectado'!$P186)+0&lt;=1,0,OFFSET('EDP Proyectado'!AO186,0,-'Ingreso Proyectado'!$P186)+0)),0)</f>
        <v>0</v>
      </c>
      <c r="AO186" s="169">
        <f ca="1">+IFERROR(IF(ISNUMBER(OFFSET('EDP Proyectado'!AP186,0,-'Ingreso Proyectado'!$P186))&lt;&gt;0,IF(OFFSET('EDP Proyectado'!AP186,0,-'Ingreso Proyectado'!$P186)+0&lt;=1,0,OFFSET('EDP Proyectado'!AP186,0,-'Ingreso Proyectado'!$P186)+0)),0)</f>
        <v>0</v>
      </c>
      <c r="AP186" s="170">
        <f ca="1">+IFERROR(IF(ISNUMBER(OFFSET('EDP Proyectado'!AQ186,0,-'Ingreso Proyectado'!$P186))&lt;&gt;0,IF(OFFSET('EDP Proyectado'!AQ186,0,-'Ingreso Proyectado'!$P186)+0&lt;=1,0,OFFSET('EDP Proyectado'!AQ186,0,-'Ingreso Proyectado'!$P186)+0)),0)</f>
        <v>0</v>
      </c>
    </row>
    <row r="187" spans="3:42" x14ac:dyDescent="0.2">
      <c r="C187" s="110">
        <f>+'Gantt Proyectos'!C255</f>
        <v>0</v>
      </c>
      <c r="D187" s="110">
        <f>+'Gantt Proyectos'!D255</f>
        <v>0</v>
      </c>
      <c r="E187" s="110">
        <f>+'Gantt Proyectos'!E255</f>
        <v>0</v>
      </c>
      <c r="F187" s="148">
        <f>+'Gantt Proyectos'!F255</f>
        <v>0</v>
      </c>
      <c r="G187" s="110">
        <f>+'Gantt Proyectos'!G255</f>
        <v>0</v>
      </c>
      <c r="H187" s="110">
        <f>+'Gantt Proyectos'!H255</f>
        <v>0</v>
      </c>
      <c r="I187" s="189">
        <v>1</v>
      </c>
      <c r="J187" s="189">
        <f t="shared" si="10"/>
        <v>0</v>
      </c>
      <c r="K187" s="110">
        <f>+'Gantt Proyectos'!I255</f>
        <v>0</v>
      </c>
      <c r="L187" s="110">
        <f>+'Gantt Proyectos'!J255</f>
        <v>0</v>
      </c>
      <c r="M187" s="110">
        <f>+'Gantt Proyectos'!K255</f>
        <v>0</v>
      </c>
      <c r="N187" s="110">
        <f>+'Gantt Proyectos'!L255</f>
        <v>0</v>
      </c>
      <c r="O187" s="110">
        <f>+'Gantt Proyectos'!M255</f>
        <v>0</v>
      </c>
      <c r="P187" s="110">
        <f>+'Gantt Proyectos'!N255</f>
        <v>0</v>
      </c>
      <c r="Q187" s="110">
        <f>+'Gantt Proyectos'!O255</f>
        <v>0</v>
      </c>
      <c r="R187" s="110">
        <f>+'Gantt Proyectos'!P255</f>
        <v>0</v>
      </c>
      <c r="S187" s="110">
        <f>+'Gantt Proyectos'!R255</f>
        <v>0</v>
      </c>
      <c r="T187" s="118">
        <f>+'Gantt Proyectos'!S255</f>
        <v>0</v>
      </c>
      <c r="U187" s="157">
        <f>+'Gantt Proyectos'!T255</f>
        <v>0</v>
      </c>
      <c r="V187" s="157">
        <f>+'Gantt Proyectos'!U255</f>
        <v>0</v>
      </c>
      <c r="W187" s="201">
        <f t="shared" si="11"/>
        <v>0</v>
      </c>
      <c r="X187" s="110">
        <f>+'Gantt Proyectos'!W255</f>
        <v>0</v>
      </c>
      <c r="Y187" s="110">
        <f>+'Gantt Proyectos'!X255</f>
        <v>0</v>
      </c>
      <c r="Z187" s="110">
        <f>+'Gantt Proyectos'!Y255</f>
        <v>0</v>
      </c>
      <c r="AA187" s="110">
        <f>+'Gantt Proyectos'!Z255</f>
        <v>0</v>
      </c>
      <c r="AB187" s="110">
        <f>+'Gantt Proyectos'!AA255</f>
        <v>0</v>
      </c>
      <c r="AC187" s="110">
        <f>+'Gantt Proyectos'!AB255</f>
        <v>0</v>
      </c>
      <c r="AD187" s="110">
        <f>+'Gantt Proyectos'!AC255</f>
        <v>0</v>
      </c>
      <c r="AE187" s="110">
        <f>+'Gantt Proyectos'!AD255</f>
        <v>0</v>
      </c>
      <c r="AF187" s="110">
        <f>+'Gantt Proyectos'!AE255</f>
        <v>0</v>
      </c>
      <c r="AG187" s="172">
        <v>1</v>
      </c>
      <c r="AH187" s="169">
        <f ca="1">+IFERROR(IF(ISNUMBER(OFFSET('EDP Proyectado'!AI187,0,-'Ingreso Proyectado'!$P187))&lt;&gt;0,IF(OFFSET('EDP Proyectado'!AI187,0,-'Ingreso Proyectado'!$P187)+0&lt;=1,0,OFFSET('EDP Proyectado'!AI187,0,-'Ingreso Proyectado'!$P187)+0)),0)</f>
        <v>0</v>
      </c>
      <c r="AI187" s="169">
        <f ca="1">+IFERROR(IF(ISNUMBER(OFFSET('EDP Proyectado'!AJ187,0,-'Ingreso Proyectado'!$P187))&lt;&gt;0,IF(OFFSET('EDP Proyectado'!AJ187,0,-'Ingreso Proyectado'!$P187)+0&lt;=1,0,OFFSET('EDP Proyectado'!AJ187,0,-'Ingreso Proyectado'!$P187)+0)),0)</f>
        <v>0</v>
      </c>
      <c r="AJ187" s="169">
        <f ca="1">+IFERROR(IF(ISNUMBER(OFFSET('EDP Proyectado'!AK187,0,-'Ingreso Proyectado'!$P187))&lt;&gt;0,IF(OFFSET('EDP Proyectado'!AK187,0,-'Ingreso Proyectado'!$P187)+0&lt;=1,0,OFFSET('EDP Proyectado'!AK187,0,-'Ingreso Proyectado'!$P187)+0)),0)</f>
        <v>0</v>
      </c>
      <c r="AK187" s="169">
        <f ca="1">+IFERROR(IF(ISNUMBER(OFFSET('EDP Proyectado'!AL187,0,-'Ingreso Proyectado'!$P187))&lt;&gt;0,IF(OFFSET('EDP Proyectado'!AL187,0,-'Ingreso Proyectado'!$P187)+0&lt;=1,0,OFFSET('EDP Proyectado'!AL187,0,-'Ingreso Proyectado'!$P187)+0)),0)</f>
        <v>0</v>
      </c>
      <c r="AL187" s="169">
        <f ca="1">+IFERROR(IF(ISNUMBER(OFFSET('EDP Proyectado'!AM187,0,-'Ingreso Proyectado'!$P187))&lt;&gt;0,IF(OFFSET('EDP Proyectado'!AM187,0,-'Ingreso Proyectado'!$P187)+0&lt;=1,0,OFFSET('EDP Proyectado'!AM187,0,-'Ingreso Proyectado'!$P187)+0)),0)</f>
        <v>0</v>
      </c>
      <c r="AM187" s="169">
        <f ca="1">+IFERROR(IF(ISNUMBER(OFFSET('EDP Proyectado'!AN187,0,-'Ingreso Proyectado'!$P187))&lt;&gt;0,IF(OFFSET('EDP Proyectado'!AN187,0,-'Ingreso Proyectado'!$P187)+0&lt;=1,0,OFFSET('EDP Proyectado'!AN187,0,-'Ingreso Proyectado'!$P187)+0)),0)</f>
        <v>0</v>
      </c>
      <c r="AN187" s="169">
        <f ca="1">+IFERROR(IF(ISNUMBER(OFFSET('EDP Proyectado'!AO187,0,-'Ingreso Proyectado'!$P187))&lt;&gt;0,IF(OFFSET('EDP Proyectado'!AO187,0,-'Ingreso Proyectado'!$P187)+0&lt;=1,0,OFFSET('EDP Proyectado'!AO187,0,-'Ingreso Proyectado'!$P187)+0)),0)</f>
        <v>0</v>
      </c>
      <c r="AO187" s="169">
        <f ca="1">+IFERROR(IF(ISNUMBER(OFFSET('EDP Proyectado'!AP187,0,-'Ingreso Proyectado'!$P187))&lt;&gt;0,IF(OFFSET('EDP Proyectado'!AP187,0,-'Ingreso Proyectado'!$P187)+0&lt;=1,0,OFFSET('EDP Proyectado'!AP187,0,-'Ingreso Proyectado'!$P187)+0)),0)</f>
        <v>0</v>
      </c>
      <c r="AP187" s="170">
        <f ca="1">+IFERROR(IF(ISNUMBER(OFFSET('EDP Proyectado'!AQ187,0,-'Ingreso Proyectado'!$P187))&lt;&gt;0,IF(OFFSET('EDP Proyectado'!AQ187,0,-'Ingreso Proyectado'!$P187)+0&lt;=1,0,OFFSET('EDP Proyectado'!AQ187,0,-'Ingreso Proyectado'!$P187)+0)),0)</f>
        <v>0</v>
      </c>
    </row>
    <row r="188" spans="3:42" x14ac:dyDescent="0.2">
      <c r="C188" s="110">
        <f>+'Gantt Proyectos'!C256</f>
        <v>0</v>
      </c>
      <c r="D188" s="110">
        <f>+'Gantt Proyectos'!D256</f>
        <v>0</v>
      </c>
      <c r="E188" s="110">
        <f>+'Gantt Proyectos'!E256</f>
        <v>0</v>
      </c>
      <c r="F188" s="148">
        <f>+'Gantt Proyectos'!F256</f>
        <v>0</v>
      </c>
      <c r="G188" s="110">
        <f>+'Gantt Proyectos'!G256</f>
        <v>0</v>
      </c>
      <c r="H188" s="110">
        <f>+'Gantt Proyectos'!H256</f>
        <v>0</v>
      </c>
      <c r="I188" s="189">
        <v>1</v>
      </c>
      <c r="J188" s="189">
        <f t="shared" si="10"/>
        <v>0</v>
      </c>
      <c r="K188" s="110">
        <f>+'Gantt Proyectos'!I256</f>
        <v>0</v>
      </c>
      <c r="L188" s="110">
        <f>+'Gantt Proyectos'!J256</f>
        <v>0</v>
      </c>
      <c r="M188" s="110">
        <f>+'Gantt Proyectos'!K256</f>
        <v>0</v>
      </c>
      <c r="N188" s="110">
        <f>+'Gantt Proyectos'!L256</f>
        <v>0</v>
      </c>
      <c r="O188" s="110">
        <f>+'Gantt Proyectos'!M256</f>
        <v>0</v>
      </c>
      <c r="P188" s="110">
        <f>+'Gantt Proyectos'!N256</f>
        <v>0</v>
      </c>
      <c r="Q188" s="110">
        <f>+'Gantt Proyectos'!O256</f>
        <v>0</v>
      </c>
      <c r="R188" s="110">
        <f>+'Gantt Proyectos'!P256</f>
        <v>0</v>
      </c>
      <c r="S188" s="110">
        <f>+'Gantt Proyectos'!R256</f>
        <v>0</v>
      </c>
      <c r="T188" s="118">
        <f>+'Gantt Proyectos'!S256</f>
        <v>0</v>
      </c>
      <c r="U188" s="157">
        <f>+'Gantt Proyectos'!T256</f>
        <v>0</v>
      </c>
      <c r="V188" s="157">
        <f>+'Gantt Proyectos'!U256</f>
        <v>0</v>
      </c>
      <c r="W188" s="201">
        <f t="shared" si="11"/>
        <v>0</v>
      </c>
      <c r="X188" s="110">
        <f>+'Gantt Proyectos'!W256</f>
        <v>0</v>
      </c>
      <c r="Y188" s="110">
        <f>+'Gantt Proyectos'!X256</f>
        <v>0</v>
      </c>
      <c r="Z188" s="110">
        <f>+'Gantt Proyectos'!Y256</f>
        <v>0</v>
      </c>
      <c r="AA188" s="110">
        <f>+'Gantt Proyectos'!Z256</f>
        <v>0</v>
      </c>
      <c r="AB188" s="110">
        <f>+'Gantt Proyectos'!AA256</f>
        <v>0</v>
      </c>
      <c r="AC188" s="110">
        <f>+'Gantt Proyectos'!AB256</f>
        <v>0</v>
      </c>
      <c r="AD188" s="110">
        <f>+'Gantt Proyectos'!AC256</f>
        <v>0</v>
      </c>
      <c r="AE188" s="110">
        <f>+'Gantt Proyectos'!AD256</f>
        <v>0</v>
      </c>
      <c r="AF188" s="110">
        <f>+'Gantt Proyectos'!AE256</f>
        <v>0</v>
      </c>
      <c r="AG188" s="172">
        <v>1</v>
      </c>
      <c r="AH188" s="169">
        <f ca="1">+IFERROR(IF(ISNUMBER(OFFSET('EDP Proyectado'!AI188,0,-'Ingreso Proyectado'!$P188))&lt;&gt;0,IF(OFFSET('EDP Proyectado'!AI188,0,-'Ingreso Proyectado'!$P188)+0&lt;=1,0,OFFSET('EDP Proyectado'!AI188,0,-'Ingreso Proyectado'!$P188)+0)),0)</f>
        <v>0</v>
      </c>
      <c r="AI188" s="169">
        <f ca="1">+IFERROR(IF(ISNUMBER(OFFSET('EDP Proyectado'!AJ188,0,-'Ingreso Proyectado'!$P188))&lt;&gt;0,IF(OFFSET('EDP Proyectado'!AJ188,0,-'Ingreso Proyectado'!$P188)+0&lt;=1,0,OFFSET('EDP Proyectado'!AJ188,0,-'Ingreso Proyectado'!$P188)+0)),0)</f>
        <v>0</v>
      </c>
      <c r="AJ188" s="169">
        <f ca="1">+IFERROR(IF(ISNUMBER(OFFSET('EDP Proyectado'!AK188,0,-'Ingreso Proyectado'!$P188))&lt;&gt;0,IF(OFFSET('EDP Proyectado'!AK188,0,-'Ingreso Proyectado'!$P188)+0&lt;=1,0,OFFSET('EDP Proyectado'!AK188,0,-'Ingreso Proyectado'!$P188)+0)),0)</f>
        <v>0</v>
      </c>
      <c r="AK188" s="169">
        <f ca="1">+IFERROR(IF(ISNUMBER(OFFSET('EDP Proyectado'!AL188,0,-'Ingreso Proyectado'!$P188))&lt;&gt;0,IF(OFFSET('EDP Proyectado'!AL188,0,-'Ingreso Proyectado'!$P188)+0&lt;=1,0,OFFSET('EDP Proyectado'!AL188,0,-'Ingreso Proyectado'!$P188)+0)),0)</f>
        <v>0</v>
      </c>
      <c r="AL188" s="169">
        <f ca="1">+IFERROR(IF(ISNUMBER(OFFSET('EDP Proyectado'!AM188,0,-'Ingreso Proyectado'!$P188))&lt;&gt;0,IF(OFFSET('EDP Proyectado'!AM188,0,-'Ingreso Proyectado'!$P188)+0&lt;=1,0,OFFSET('EDP Proyectado'!AM188,0,-'Ingreso Proyectado'!$P188)+0)),0)</f>
        <v>0</v>
      </c>
      <c r="AM188" s="169">
        <f ca="1">+IFERROR(IF(ISNUMBER(OFFSET('EDP Proyectado'!AN188,0,-'Ingreso Proyectado'!$P188))&lt;&gt;0,IF(OFFSET('EDP Proyectado'!AN188,0,-'Ingreso Proyectado'!$P188)+0&lt;=1,0,OFFSET('EDP Proyectado'!AN188,0,-'Ingreso Proyectado'!$P188)+0)),0)</f>
        <v>0</v>
      </c>
      <c r="AN188" s="169">
        <f ca="1">+IFERROR(IF(ISNUMBER(OFFSET('EDP Proyectado'!AO188,0,-'Ingreso Proyectado'!$P188))&lt;&gt;0,IF(OFFSET('EDP Proyectado'!AO188,0,-'Ingreso Proyectado'!$P188)+0&lt;=1,0,OFFSET('EDP Proyectado'!AO188,0,-'Ingreso Proyectado'!$P188)+0)),0)</f>
        <v>0</v>
      </c>
      <c r="AO188" s="169">
        <f ca="1">+IFERROR(IF(ISNUMBER(OFFSET('EDP Proyectado'!AP188,0,-'Ingreso Proyectado'!$P188))&lt;&gt;0,IF(OFFSET('EDP Proyectado'!AP188,0,-'Ingreso Proyectado'!$P188)+0&lt;=1,0,OFFSET('EDP Proyectado'!AP188,0,-'Ingreso Proyectado'!$P188)+0)),0)</f>
        <v>0</v>
      </c>
      <c r="AP188" s="170">
        <f ca="1">+IFERROR(IF(ISNUMBER(OFFSET('EDP Proyectado'!AQ188,0,-'Ingreso Proyectado'!$P188))&lt;&gt;0,IF(OFFSET('EDP Proyectado'!AQ188,0,-'Ingreso Proyectado'!$P188)+0&lt;=1,0,OFFSET('EDP Proyectado'!AQ188,0,-'Ingreso Proyectado'!$P188)+0)),0)</f>
        <v>0</v>
      </c>
    </row>
    <row r="189" spans="3:42" x14ac:dyDescent="0.2">
      <c r="C189" s="110">
        <f>+'Gantt Proyectos'!C257</f>
        <v>0</v>
      </c>
      <c r="D189" s="110">
        <f>+'Gantt Proyectos'!D257</f>
        <v>0</v>
      </c>
      <c r="E189" s="110">
        <f>+'Gantt Proyectos'!E257</f>
        <v>0</v>
      </c>
      <c r="F189" s="148">
        <f>+'Gantt Proyectos'!F257</f>
        <v>0</v>
      </c>
      <c r="G189" s="110">
        <f>+'Gantt Proyectos'!G257</f>
        <v>0</v>
      </c>
      <c r="H189" s="110">
        <f>+'Gantt Proyectos'!H257</f>
        <v>0</v>
      </c>
      <c r="I189" s="189">
        <v>1</v>
      </c>
      <c r="J189" s="189">
        <f t="shared" si="10"/>
        <v>0</v>
      </c>
      <c r="K189" s="110">
        <f>+'Gantt Proyectos'!I257</f>
        <v>0</v>
      </c>
      <c r="L189" s="110">
        <f>+'Gantt Proyectos'!J257</f>
        <v>0</v>
      </c>
      <c r="M189" s="110">
        <f>+'Gantt Proyectos'!K257</f>
        <v>0</v>
      </c>
      <c r="N189" s="110">
        <f>+'Gantt Proyectos'!L257</f>
        <v>0</v>
      </c>
      <c r="O189" s="110">
        <f>+'Gantt Proyectos'!M257</f>
        <v>0</v>
      </c>
      <c r="P189" s="110">
        <f>+'Gantt Proyectos'!N257</f>
        <v>0</v>
      </c>
      <c r="Q189" s="110">
        <f>+'Gantt Proyectos'!O257</f>
        <v>0</v>
      </c>
      <c r="R189" s="110">
        <f>+'Gantt Proyectos'!P257</f>
        <v>0</v>
      </c>
      <c r="S189" s="110">
        <f>+'Gantt Proyectos'!R257</f>
        <v>0</v>
      </c>
      <c r="T189" s="118">
        <f>+'Gantt Proyectos'!S257</f>
        <v>0</v>
      </c>
      <c r="U189" s="157">
        <f>+'Gantt Proyectos'!T257</f>
        <v>0</v>
      </c>
      <c r="V189" s="157">
        <f>+'Gantt Proyectos'!U257</f>
        <v>0</v>
      </c>
      <c r="W189" s="201">
        <f t="shared" si="11"/>
        <v>0</v>
      </c>
      <c r="X189" s="110">
        <f>+'Gantt Proyectos'!W257</f>
        <v>0</v>
      </c>
      <c r="Y189" s="110">
        <f>+'Gantt Proyectos'!X257</f>
        <v>0</v>
      </c>
      <c r="Z189" s="110">
        <f>+'Gantt Proyectos'!Y257</f>
        <v>0</v>
      </c>
      <c r="AA189" s="110">
        <f>+'Gantt Proyectos'!Z257</f>
        <v>0</v>
      </c>
      <c r="AB189" s="110">
        <f>+'Gantt Proyectos'!AA257</f>
        <v>0</v>
      </c>
      <c r="AC189" s="110">
        <f>+'Gantt Proyectos'!AB257</f>
        <v>0</v>
      </c>
      <c r="AD189" s="110">
        <f>+'Gantt Proyectos'!AC257</f>
        <v>0</v>
      </c>
      <c r="AE189" s="110">
        <f>+'Gantt Proyectos'!AD257</f>
        <v>0</v>
      </c>
      <c r="AF189" s="110">
        <f>+'Gantt Proyectos'!AE257</f>
        <v>0</v>
      </c>
      <c r="AG189" s="172">
        <v>1</v>
      </c>
      <c r="AH189" s="169">
        <f ca="1">+IFERROR(IF(ISNUMBER(OFFSET('EDP Proyectado'!AI189,0,-'Ingreso Proyectado'!$P189))&lt;&gt;0,IF(OFFSET('EDP Proyectado'!AI189,0,-'Ingreso Proyectado'!$P189)+0&lt;=1,0,OFFSET('EDP Proyectado'!AI189,0,-'Ingreso Proyectado'!$P189)+0)),0)</f>
        <v>0</v>
      </c>
      <c r="AI189" s="169">
        <f ca="1">+IFERROR(IF(ISNUMBER(OFFSET('EDP Proyectado'!AJ189,0,-'Ingreso Proyectado'!$P189))&lt;&gt;0,IF(OFFSET('EDP Proyectado'!AJ189,0,-'Ingreso Proyectado'!$P189)+0&lt;=1,0,OFFSET('EDP Proyectado'!AJ189,0,-'Ingreso Proyectado'!$P189)+0)),0)</f>
        <v>0</v>
      </c>
      <c r="AJ189" s="169">
        <f ca="1">+IFERROR(IF(ISNUMBER(OFFSET('EDP Proyectado'!AK189,0,-'Ingreso Proyectado'!$P189))&lt;&gt;0,IF(OFFSET('EDP Proyectado'!AK189,0,-'Ingreso Proyectado'!$P189)+0&lt;=1,0,OFFSET('EDP Proyectado'!AK189,0,-'Ingreso Proyectado'!$P189)+0)),0)</f>
        <v>0</v>
      </c>
      <c r="AK189" s="169">
        <f ca="1">+IFERROR(IF(ISNUMBER(OFFSET('EDP Proyectado'!AL189,0,-'Ingreso Proyectado'!$P189))&lt;&gt;0,IF(OFFSET('EDP Proyectado'!AL189,0,-'Ingreso Proyectado'!$P189)+0&lt;=1,0,OFFSET('EDP Proyectado'!AL189,0,-'Ingreso Proyectado'!$P189)+0)),0)</f>
        <v>0</v>
      </c>
      <c r="AL189" s="169">
        <f ca="1">+IFERROR(IF(ISNUMBER(OFFSET('EDP Proyectado'!AM189,0,-'Ingreso Proyectado'!$P189))&lt;&gt;0,IF(OFFSET('EDP Proyectado'!AM189,0,-'Ingreso Proyectado'!$P189)+0&lt;=1,0,OFFSET('EDP Proyectado'!AM189,0,-'Ingreso Proyectado'!$P189)+0)),0)</f>
        <v>0</v>
      </c>
      <c r="AM189" s="169">
        <f ca="1">+IFERROR(IF(ISNUMBER(OFFSET('EDP Proyectado'!AN189,0,-'Ingreso Proyectado'!$P189))&lt;&gt;0,IF(OFFSET('EDP Proyectado'!AN189,0,-'Ingreso Proyectado'!$P189)+0&lt;=1,0,OFFSET('EDP Proyectado'!AN189,0,-'Ingreso Proyectado'!$P189)+0)),0)</f>
        <v>0</v>
      </c>
      <c r="AN189" s="169">
        <f ca="1">+IFERROR(IF(ISNUMBER(OFFSET('EDP Proyectado'!AO189,0,-'Ingreso Proyectado'!$P189))&lt;&gt;0,IF(OFFSET('EDP Proyectado'!AO189,0,-'Ingreso Proyectado'!$P189)+0&lt;=1,0,OFFSET('EDP Proyectado'!AO189,0,-'Ingreso Proyectado'!$P189)+0)),0)</f>
        <v>0</v>
      </c>
      <c r="AO189" s="169">
        <f ca="1">+IFERROR(IF(ISNUMBER(OFFSET('EDP Proyectado'!AP189,0,-'Ingreso Proyectado'!$P189))&lt;&gt;0,IF(OFFSET('EDP Proyectado'!AP189,0,-'Ingreso Proyectado'!$P189)+0&lt;=1,0,OFFSET('EDP Proyectado'!AP189,0,-'Ingreso Proyectado'!$P189)+0)),0)</f>
        <v>0</v>
      </c>
      <c r="AP189" s="170">
        <f ca="1">+IFERROR(IF(ISNUMBER(OFFSET('EDP Proyectado'!AQ189,0,-'Ingreso Proyectado'!$P189))&lt;&gt;0,IF(OFFSET('EDP Proyectado'!AQ189,0,-'Ingreso Proyectado'!$P189)+0&lt;=1,0,OFFSET('EDP Proyectado'!AQ189,0,-'Ingreso Proyectado'!$P189)+0)),0)</f>
        <v>0</v>
      </c>
    </row>
    <row r="190" spans="3:42" x14ac:dyDescent="0.2">
      <c r="C190" s="110">
        <f>+'Gantt Proyectos'!C258</f>
        <v>0</v>
      </c>
      <c r="D190" s="110">
        <f>+'Gantt Proyectos'!D258</f>
        <v>0</v>
      </c>
      <c r="E190" s="110">
        <f>+'Gantt Proyectos'!E258</f>
        <v>0</v>
      </c>
      <c r="F190" s="148">
        <f>+'Gantt Proyectos'!F258</f>
        <v>0</v>
      </c>
      <c r="G190" s="110">
        <f>+'Gantt Proyectos'!G258</f>
        <v>0</v>
      </c>
      <c r="H190" s="110">
        <f>+'Gantt Proyectos'!H258</f>
        <v>0</v>
      </c>
      <c r="I190" s="189">
        <v>1</v>
      </c>
      <c r="J190" s="189">
        <f t="shared" si="10"/>
        <v>0</v>
      </c>
      <c r="K190" s="110">
        <f>+'Gantt Proyectos'!I258</f>
        <v>0</v>
      </c>
      <c r="L190" s="110">
        <f>+'Gantt Proyectos'!J258</f>
        <v>0</v>
      </c>
      <c r="M190" s="110">
        <f>+'Gantt Proyectos'!K258</f>
        <v>0</v>
      </c>
      <c r="N190" s="110">
        <f>+'Gantt Proyectos'!L258</f>
        <v>0</v>
      </c>
      <c r="O190" s="110">
        <f>+'Gantt Proyectos'!M258</f>
        <v>0</v>
      </c>
      <c r="P190" s="110">
        <f>+'Gantt Proyectos'!N258</f>
        <v>0</v>
      </c>
      <c r="Q190" s="110">
        <f>+'Gantt Proyectos'!O258</f>
        <v>0</v>
      </c>
      <c r="R190" s="110">
        <f>+'Gantt Proyectos'!P258</f>
        <v>0</v>
      </c>
      <c r="S190" s="110">
        <f>+'Gantt Proyectos'!R258</f>
        <v>0</v>
      </c>
      <c r="T190" s="118">
        <f>+'Gantt Proyectos'!S258</f>
        <v>0</v>
      </c>
      <c r="U190" s="157">
        <f>+'Gantt Proyectos'!T258</f>
        <v>0</v>
      </c>
      <c r="V190" s="157">
        <f>+'Gantt Proyectos'!U258</f>
        <v>0</v>
      </c>
      <c r="W190" s="201">
        <f t="shared" si="11"/>
        <v>0</v>
      </c>
      <c r="X190" s="110">
        <f>+'Gantt Proyectos'!W258</f>
        <v>0</v>
      </c>
      <c r="Y190" s="110">
        <f>+'Gantt Proyectos'!X258</f>
        <v>0</v>
      </c>
      <c r="Z190" s="110">
        <f>+'Gantt Proyectos'!Y258</f>
        <v>0</v>
      </c>
      <c r="AA190" s="110">
        <f>+'Gantt Proyectos'!Z258</f>
        <v>0</v>
      </c>
      <c r="AB190" s="110">
        <f>+'Gantt Proyectos'!AA258</f>
        <v>0</v>
      </c>
      <c r="AC190" s="110">
        <f>+'Gantt Proyectos'!AB258</f>
        <v>0</v>
      </c>
      <c r="AD190" s="110">
        <f>+'Gantt Proyectos'!AC258</f>
        <v>0</v>
      </c>
      <c r="AE190" s="110">
        <f>+'Gantt Proyectos'!AD258</f>
        <v>0</v>
      </c>
      <c r="AF190" s="110">
        <f>+'Gantt Proyectos'!AE258</f>
        <v>0</v>
      </c>
      <c r="AG190" s="172">
        <v>1</v>
      </c>
      <c r="AH190" s="169">
        <f ca="1">+IFERROR(IF(ISNUMBER(OFFSET('EDP Proyectado'!AI190,0,-'Ingreso Proyectado'!$P190))&lt;&gt;0,IF(OFFSET('EDP Proyectado'!AI190,0,-'Ingreso Proyectado'!$P190)+0&lt;=1,0,OFFSET('EDP Proyectado'!AI190,0,-'Ingreso Proyectado'!$P190)+0)),0)</f>
        <v>0</v>
      </c>
      <c r="AI190" s="169">
        <f ca="1">+IFERROR(IF(ISNUMBER(OFFSET('EDP Proyectado'!AJ190,0,-'Ingreso Proyectado'!$P190))&lt;&gt;0,IF(OFFSET('EDP Proyectado'!AJ190,0,-'Ingreso Proyectado'!$P190)+0&lt;=1,0,OFFSET('EDP Proyectado'!AJ190,0,-'Ingreso Proyectado'!$P190)+0)),0)</f>
        <v>0</v>
      </c>
      <c r="AJ190" s="169">
        <f ca="1">+IFERROR(IF(ISNUMBER(OFFSET('EDP Proyectado'!AK190,0,-'Ingreso Proyectado'!$P190))&lt;&gt;0,IF(OFFSET('EDP Proyectado'!AK190,0,-'Ingreso Proyectado'!$P190)+0&lt;=1,0,OFFSET('EDP Proyectado'!AK190,0,-'Ingreso Proyectado'!$P190)+0)),0)</f>
        <v>0</v>
      </c>
      <c r="AK190" s="169">
        <f ca="1">+IFERROR(IF(ISNUMBER(OFFSET('EDP Proyectado'!AL190,0,-'Ingreso Proyectado'!$P190))&lt;&gt;0,IF(OFFSET('EDP Proyectado'!AL190,0,-'Ingreso Proyectado'!$P190)+0&lt;=1,0,OFFSET('EDP Proyectado'!AL190,0,-'Ingreso Proyectado'!$P190)+0)),0)</f>
        <v>0</v>
      </c>
      <c r="AL190" s="169">
        <f ca="1">+IFERROR(IF(ISNUMBER(OFFSET('EDP Proyectado'!AM190,0,-'Ingreso Proyectado'!$P190))&lt;&gt;0,IF(OFFSET('EDP Proyectado'!AM190,0,-'Ingreso Proyectado'!$P190)+0&lt;=1,0,OFFSET('EDP Proyectado'!AM190,0,-'Ingreso Proyectado'!$P190)+0)),0)</f>
        <v>0</v>
      </c>
      <c r="AM190" s="169">
        <f ca="1">+IFERROR(IF(ISNUMBER(OFFSET('EDP Proyectado'!AN190,0,-'Ingreso Proyectado'!$P190))&lt;&gt;0,IF(OFFSET('EDP Proyectado'!AN190,0,-'Ingreso Proyectado'!$P190)+0&lt;=1,0,OFFSET('EDP Proyectado'!AN190,0,-'Ingreso Proyectado'!$P190)+0)),0)</f>
        <v>0</v>
      </c>
      <c r="AN190" s="169">
        <f ca="1">+IFERROR(IF(ISNUMBER(OFFSET('EDP Proyectado'!AO190,0,-'Ingreso Proyectado'!$P190))&lt;&gt;0,IF(OFFSET('EDP Proyectado'!AO190,0,-'Ingreso Proyectado'!$P190)+0&lt;=1,0,OFFSET('EDP Proyectado'!AO190,0,-'Ingreso Proyectado'!$P190)+0)),0)</f>
        <v>0</v>
      </c>
      <c r="AO190" s="169">
        <f ca="1">+IFERROR(IF(ISNUMBER(OFFSET('EDP Proyectado'!AP190,0,-'Ingreso Proyectado'!$P190))&lt;&gt;0,IF(OFFSET('EDP Proyectado'!AP190,0,-'Ingreso Proyectado'!$P190)+0&lt;=1,0,OFFSET('EDP Proyectado'!AP190,0,-'Ingreso Proyectado'!$P190)+0)),0)</f>
        <v>0</v>
      </c>
      <c r="AP190" s="170">
        <f ca="1">+IFERROR(IF(ISNUMBER(OFFSET('EDP Proyectado'!AQ190,0,-'Ingreso Proyectado'!$P190))&lt;&gt;0,IF(OFFSET('EDP Proyectado'!AQ190,0,-'Ingreso Proyectado'!$P190)+0&lt;=1,0,OFFSET('EDP Proyectado'!AQ190,0,-'Ingreso Proyectado'!$P190)+0)),0)</f>
        <v>0</v>
      </c>
    </row>
    <row r="191" spans="3:42" x14ac:dyDescent="0.2">
      <c r="C191" s="110">
        <f>+'Gantt Proyectos'!C259</f>
        <v>0</v>
      </c>
      <c r="D191" s="110">
        <f>+'Gantt Proyectos'!D259</f>
        <v>0</v>
      </c>
      <c r="E191" s="110">
        <f>+'Gantt Proyectos'!E259</f>
        <v>0</v>
      </c>
      <c r="F191" s="148">
        <f>+'Gantt Proyectos'!F259</f>
        <v>0</v>
      </c>
      <c r="G191" s="110">
        <f>+'Gantt Proyectos'!G259</f>
        <v>0</v>
      </c>
      <c r="H191" s="110">
        <f>+'Gantt Proyectos'!H259</f>
        <v>0</v>
      </c>
      <c r="I191" s="189">
        <v>1</v>
      </c>
      <c r="J191" s="189">
        <f t="shared" si="10"/>
        <v>0</v>
      </c>
      <c r="K191" s="110">
        <f>+'Gantt Proyectos'!I259</f>
        <v>0</v>
      </c>
      <c r="L191" s="110">
        <f>+'Gantt Proyectos'!J259</f>
        <v>0</v>
      </c>
      <c r="M191" s="110">
        <f>+'Gantt Proyectos'!K259</f>
        <v>0</v>
      </c>
      <c r="N191" s="110">
        <f>+'Gantt Proyectos'!L259</f>
        <v>0</v>
      </c>
      <c r="O191" s="110">
        <f>+'Gantt Proyectos'!M259</f>
        <v>0</v>
      </c>
      <c r="P191" s="110">
        <f>+'Gantt Proyectos'!N259</f>
        <v>0</v>
      </c>
      <c r="Q191" s="110">
        <f>+'Gantt Proyectos'!O259</f>
        <v>0</v>
      </c>
      <c r="R191" s="110">
        <f>+'Gantt Proyectos'!P259</f>
        <v>0</v>
      </c>
      <c r="S191" s="110">
        <f>+'Gantt Proyectos'!R259</f>
        <v>0</v>
      </c>
      <c r="T191" s="118">
        <f>+'Gantt Proyectos'!S259</f>
        <v>0</v>
      </c>
      <c r="U191" s="157">
        <f>+'Gantt Proyectos'!T259</f>
        <v>0</v>
      </c>
      <c r="V191" s="157">
        <f>+'Gantt Proyectos'!U259</f>
        <v>0</v>
      </c>
      <c r="W191" s="201">
        <f t="shared" si="11"/>
        <v>0</v>
      </c>
      <c r="X191" s="110">
        <f>+'Gantt Proyectos'!W259</f>
        <v>0</v>
      </c>
      <c r="Y191" s="110">
        <f>+'Gantt Proyectos'!X259</f>
        <v>0</v>
      </c>
      <c r="Z191" s="110">
        <f>+'Gantt Proyectos'!Y259</f>
        <v>0</v>
      </c>
      <c r="AA191" s="110">
        <f>+'Gantt Proyectos'!Z259</f>
        <v>0</v>
      </c>
      <c r="AB191" s="110">
        <f>+'Gantt Proyectos'!AA259</f>
        <v>0</v>
      </c>
      <c r="AC191" s="110">
        <f>+'Gantt Proyectos'!AB259</f>
        <v>0</v>
      </c>
      <c r="AD191" s="110">
        <f>+'Gantt Proyectos'!AC259</f>
        <v>0</v>
      </c>
      <c r="AE191" s="110">
        <f>+'Gantt Proyectos'!AD259</f>
        <v>0</v>
      </c>
      <c r="AF191" s="110">
        <f>+'Gantt Proyectos'!AE259</f>
        <v>0</v>
      </c>
      <c r="AG191" s="172">
        <v>1</v>
      </c>
      <c r="AH191" s="169">
        <f ca="1">+IFERROR(IF(ISNUMBER(OFFSET('EDP Proyectado'!AI191,0,-'Ingreso Proyectado'!$P191))&lt;&gt;0,IF(OFFSET('EDP Proyectado'!AI191,0,-'Ingreso Proyectado'!$P191)+0&lt;=1,0,OFFSET('EDP Proyectado'!AI191,0,-'Ingreso Proyectado'!$P191)+0)),0)</f>
        <v>0</v>
      </c>
      <c r="AI191" s="169">
        <f ca="1">+IFERROR(IF(ISNUMBER(OFFSET('EDP Proyectado'!AJ191,0,-'Ingreso Proyectado'!$P191))&lt;&gt;0,IF(OFFSET('EDP Proyectado'!AJ191,0,-'Ingreso Proyectado'!$P191)+0&lt;=1,0,OFFSET('EDP Proyectado'!AJ191,0,-'Ingreso Proyectado'!$P191)+0)),0)</f>
        <v>0</v>
      </c>
      <c r="AJ191" s="169">
        <f ca="1">+IFERROR(IF(ISNUMBER(OFFSET('EDP Proyectado'!AK191,0,-'Ingreso Proyectado'!$P191))&lt;&gt;0,IF(OFFSET('EDP Proyectado'!AK191,0,-'Ingreso Proyectado'!$P191)+0&lt;=1,0,OFFSET('EDP Proyectado'!AK191,0,-'Ingreso Proyectado'!$P191)+0)),0)</f>
        <v>0</v>
      </c>
      <c r="AK191" s="169">
        <f ca="1">+IFERROR(IF(ISNUMBER(OFFSET('EDP Proyectado'!AL191,0,-'Ingreso Proyectado'!$P191))&lt;&gt;0,IF(OFFSET('EDP Proyectado'!AL191,0,-'Ingreso Proyectado'!$P191)+0&lt;=1,0,OFFSET('EDP Proyectado'!AL191,0,-'Ingreso Proyectado'!$P191)+0)),0)</f>
        <v>0</v>
      </c>
      <c r="AL191" s="169">
        <f ca="1">+IFERROR(IF(ISNUMBER(OFFSET('EDP Proyectado'!AM191,0,-'Ingreso Proyectado'!$P191))&lt;&gt;0,IF(OFFSET('EDP Proyectado'!AM191,0,-'Ingreso Proyectado'!$P191)+0&lt;=1,0,OFFSET('EDP Proyectado'!AM191,0,-'Ingreso Proyectado'!$P191)+0)),0)</f>
        <v>0</v>
      </c>
      <c r="AM191" s="169">
        <f ca="1">+IFERROR(IF(ISNUMBER(OFFSET('EDP Proyectado'!AN191,0,-'Ingreso Proyectado'!$P191))&lt;&gt;0,IF(OFFSET('EDP Proyectado'!AN191,0,-'Ingreso Proyectado'!$P191)+0&lt;=1,0,OFFSET('EDP Proyectado'!AN191,0,-'Ingreso Proyectado'!$P191)+0)),0)</f>
        <v>0</v>
      </c>
      <c r="AN191" s="169">
        <f ca="1">+IFERROR(IF(ISNUMBER(OFFSET('EDP Proyectado'!AO191,0,-'Ingreso Proyectado'!$P191))&lt;&gt;0,IF(OFFSET('EDP Proyectado'!AO191,0,-'Ingreso Proyectado'!$P191)+0&lt;=1,0,OFFSET('EDP Proyectado'!AO191,0,-'Ingreso Proyectado'!$P191)+0)),0)</f>
        <v>0</v>
      </c>
      <c r="AO191" s="169">
        <f ca="1">+IFERROR(IF(ISNUMBER(OFFSET('EDP Proyectado'!AP191,0,-'Ingreso Proyectado'!$P191))&lt;&gt;0,IF(OFFSET('EDP Proyectado'!AP191,0,-'Ingreso Proyectado'!$P191)+0&lt;=1,0,OFFSET('EDP Proyectado'!AP191,0,-'Ingreso Proyectado'!$P191)+0)),0)</f>
        <v>0</v>
      </c>
      <c r="AP191" s="170">
        <f ca="1">+IFERROR(IF(ISNUMBER(OFFSET('EDP Proyectado'!AQ191,0,-'Ingreso Proyectado'!$P191))&lt;&gt;0,IF(OFFSET('EDP Proyectado'!AQ191,0,-'Ingreso Proyectado'!$P191)+0&lt;=1,0,OFFSET('EDP Proyectado'!AQ191,0,-'Ingreso Proyectado'!$P191)+0)),0)</f>
        <v>0</v>
      </c>
    </row>
    <row r="192" spans="3:42" x14ac:dyDescent="0.2">
      <c r="C192" s="110">
        <f>+'Gantt Proyectos'!C260</f>
        <v>0</v>
      </c>
      <c r="D192" s="110">
        <f>+'Gantt Proyectos'!D260</f>
        <v>0</v>
      </c>
      <c r="E192" s="110">
        <f>+'Gantt Proyectos'!E260</f>
        <v>0</v>
      </c>
      <c r="F192" s="148">
        <f>+'Gantt Proyectos'!F260</f>
        <v>0</v>
      </c>
      <c r="G192" s="110">
        <f>+'Gantt Proyectos'!G260</f>
        <v>0</v>
      </c>
      <c r="H192" s="110">
        <f>+'Gantt Proyectos'!H260</f>
        <v>0</v>
      </c>
      <c r="I192" s="189">
        <v>1</v>
      </c>
      <c r="J192" s="189">
        <f t="shared" si="10"/>
        <v>0</v>
      </c>
      <c r="K192" s="110">
        <f>+'Gantt Proyectos'!I260</f>
        <v>0</v>
      </c>
      <c r="L192" s="110">
        <f>+'Gantt Proyectos'!J260</f>
        <v>0</v>
      </c>
      <c r="M192" s="110">
        <f>+'Gantt Proyectos'!K260</f>
        <v>0</v>
      </c>
      <c r="N192" s="110">
        <f>+'Gantt Proyectos'!L260</f>
        <v>0</v>
      </c>
      <c r="O192" s="110">
        <f>+'Gantt Proyectos'!M260</f>
        <v>0</v>
      </c>
      <c r="P192" s="110">
        <f>+'Gantt Proyectos'!N260</f>
        <v>0</v>
      </c>
      <c r="Q192" s="110">
        <f>+'Gantt Proyectos'!O260</f>
        <v>0</v>
      </c>
      <c r="R192" s="110">
        <f>+'Gantt Proyectos'!P260</f>
        <v>0</v>
      </c>
      <c r="S192" s="110">
        <f>+'Gantt Proyectos'!R260</f>
        <v>0</v>
      </c>
      <c r="T192" s="118">
        <f>+'Gantt Proyectos'!S260</f>
        <v>0</v>
      </c>
      <c r="U192" s="157">
        <f>+'Gantt Proyectos'!T260</f>
        <v>0</v>
      </c>
      <c r="V192" s="157">
        <f>+'Gantt Proyectos'!U260</f>
        <v>0</v>
      </c>
      <c r="W192" s="201">
        <f t="shared" si="11"/>
        <v>0</v>
      </c>
      <c r="X192" s="110">
        <f>+'Gantt Proyectos'!W260</f>
        <v>0</v>
      </c>
      <c r="Y192" s="110">
        <f>+'Gantt Proyectos'!X260</f>
        <v>0</v>
      </c>
      <c r="Z192" s="110">
        <f>+'Gantt Proyectos'!Y260</f>
        <v>0</v>
      </c>
      <c r="AA192" s="110">
        <f>+'Gantt Proyectos'!Z260</f>
        <v>0</v>
      </c>
      <c r="AB192" s="110">
        <f>+'Gantt Proyectos'!AA260</f>
        <v>0</v>
      </c>
      <c r="AC192" s="110">
        <f>+'Gantt Proyectos'!AB260</f>
        <v>0</v>
      </c>
      <c r="AD192" s="110">
        <f>+'Gantt Proyectos'!AC260</f>
        <v>0</v>
      </c>
      <c r="AE192" s="110">
        <f>+'Gantt Proyectos'!AD260</f>
        <v>0</v>
      </c>
      <c r="AF192" s="110">
        <f>+'Gantt Proyectos'!AE260</f>
        <v>0</v>
      </c>
      <c r="AG192" s="172">
        <v>1</v>
      </c>
      <c r="AH192" s="169">
        <f ca="1">+IFERROR(IF(ISNUMBER(OFFSET('EDP Proyectado'!AI192,0,-'Ingreso Proyectado'!$P192))&lt;&gt;0,IF(OFFSET('EDP Proyectado'!AI192,0,-'Ingreso Proyectado'!$P192)+0&lt;=1,0,OFFSET('EDP Proyectado'!AI192,0,-'Ingreso Proyectado'!$P192)+0)),0)</f>
        <v>0</v>
      </c>
      <c r="AI192" s="169">
        <f ca="1">+IFERROR(IF(ISNUMBER(OFFSET('EDP Proyectado'!AJ192,0,-'Ingreso Proyectado'!$P192))&lt;&gt;0,IF(OFFSET('EDP Proyectado'!AJ192,0,-'Ingreso Proyectado'!$P192)+0&lt;=1,0,OFFSET('EDP Proyectado'!AJ192,0,-'Ingreso Proyectado'!$P192)+0)),0)</f>
        <v>0</v>
      </c>
      <c r="AJ192" s="169">
        <f ca="1">+IFERROR(IF(ISNUMBER(OFFSET('EDP Proyectado'!AK192,0,-'Ingreso Proyectado'!$P192))&lt;&gt;0,IF(OFFSET('EDP Proyectado'!AK192,0,-'Ingreso Proyectado'!$P192)+0&lt;=1,0,OFFSET('EDP Proyectado'!AK192,0,-'Ingreso Proyectado'!$P192)+0)),0)</f>
        <v>0</v>
      </c>
      <c r="AK192" s="169">
        <f ca="1">+IFERROR(IF(ISNUMBER(OFFSET('EDP Proyectado'!AL192,0,-'Ingreso Proyectado'!$P192))&lt;&gt;0,IF(OFFSET('EDP Proyectado'!AL192,0,-'Ingreso Proyectado'!$P192)+0&lt;=1,0,OFFSET('EDP Proyectado'!AL192,0,-'Ingreso Proyectado'!$P192)+0)),0)</f>
        <v>0</v>
      </c>
      <c r="AL192" s="169">
        <f ca="1">+IFERROR(IF(ISNUMBER(OFFSET('EDP Proyectado'!AM192,0,-'Ingreso Proyectado'!$P192))&lt;&gt;0,IF(OFFSET('EDP Proyectado'!AM192,0,-'Ingreso Proyectado'!$P192)+0&lt;=1,0,OFFSET('EDP Proyectado'!AM192,0,-'Ingreso Proyectado'!$P192)+0)),0)</f>
        <v>0</v>
      </c>
      <c r="AM192" s="169">
        <f ca="1">+IFERROR(IF(ISNUMBER(OFFSET('EDP Proyectado'!AN192,0,-'Ingreso Proyectado'!$P192))&lt;&gt;0,IF(OFFSET('EDP Proyectado'!AN192,0,-'Ingreso Proyectado'!$P192)+0&lt;=1,0,OFFSET('EDP Proyectado'!AN192,0,-'Ingreso Proyectado'!$P192)+0)),0)</f>
        <v>0</v>
      </c>
      <c r="AN192" s="169">
        <f ca="1">+IFERROR(IF(ISNUMBER(OFFSET('EDP Proyectado'!AO192,0,-'Ingreso Proyectado'!$P192))&lt;&gt;0,IF(OFFSET('EDP Proyectado'!AO192,0,-'Ingreso Proyectado'!$P192)+0&lt;=1,0,OFFSET('EDP Proyectado'!AO192,0,-'Ingreso Proyectado'!$P192)+0)),0)</f>
        <v>0</v>
      </c>
      <c r="AO192" s="169">
        <f ca="1">+IFERROR(IF(ISNUMBER(OFFSET('EDP Proyectado'!AP192,0,-'Ingreso Proyectado'!$P192))&lt;&gt;0,IF(OFFSET('EDP Proyectado'!AP192,0,-'Ingreso Proyectado'!$P192)+0&lt;=1,0,OFFSET('EDP Proyectado'!AP192,0,-'Ingreso Proyectado'!$P192)+0)),0)</f>
        <v>0</v>
      </c>
      <c r="AP192" s="170">
        <f ca="1">+IFERROR(IF(ISNUMBER(OFFSET('EDP Proyectado'!AQ192,0,-'Ingreso Proyectado'!$P192))&lt;&gt;0,IF(OFFSET('EDP Proyectado'!AQ192,0,-'Ingreso Proyectado'!$P192)+0&lt;=1,0,OFFSET('EDP Proyectado'!AQ192,0,-'Ingreso Proyectado'!$P192)+0)),0)</f>
        <v>0</v>
      </c>
    </row>
    <row r="193" spans="3:42" x14ac:dyDescent="0.2">
      <c r="C193" s="110">
        <f>+'Gantt Proyectos'!C261</f>
        <v>0</v>
      </c>
      <c r="D193" s="110">
        <f>+'Gantt Proyectos'!D261</f>
        <v>0</v>
      </c>
      <c r="E193" s="110">
        <f>+'Gantt Proyectos'!E261</f>
        <v>0</v>
      </c>
      <c r="F193" s="148">
        <f>+'Gantt Proyectos'!F261</f>
        <v>0</v>
      </c>
      <c r="G193" s="110">
        <f>+'Gantt Proyectos'!G261</f>
        <v>0</v>
      </c>
      <c r="H193" s="110">
        <f>+'Gantt Proyectos'!H261</f>
        <v>0</v>
      </c>
      <c r="I193" s="189">
        <v>1</v>
      </c>
      <c r="J193" s="189">
        <f t="shared" si="10"/>
        <v>0</v>
      </c>
      <c r="K193" s="110">
        <f>+'Gantt Proyectos'!I261</f>
        <v>0</v>
      </c>
      <c r="L193" s="110">
        <f>+'Gantt Proyectos'!J261</f>
        <v>0</v>
      </c>
      <c r="M193" s="110">
        <f>+'Gantt Proyectos'!K261</f>
        <v>0</v>
      </c>
      <c r="N193" s="110">
        <f>+'Gantt Proyectos'!L261</f>
        <v>0</v>
      </c>
      <c r="O193" s="110">
        <f>+'Gantt Proyectos'!M261</f>
        <v>0</v>
      </c>
      <c r="P193" s="110">
        <f>+'Gantt Proyectos'!N261</f>
        <v>0</v>
      </c>
      <c r="Q193" s="110">
        <f>+'Gantt Proyectos'!O261</f>
        <v>0</v>
      </c>
      <c r="R193" s="110">
        <f>+'Gantt Proyectos'!P261</f>
        <v>0</v>
      </c>
      <c r="S193" s="110">
        <f>+'Gantt Proyectos'!R261</f>
        <v>0</v>
      </c>
      <c r="T193" s="118">
        <f>+'Gantt Proyectos'!S261</f>
        <v>0</v>
      </c>
      <c r="U193" s="157">
        <f>+'Gantt Proyectos'!T261</f>
        <v>0</v>
      </c>
      <c r="V193" s="157">
        <f>+'Gantt Proyectos'!U261</f>
        <v>0</v>
      </c>
      <c r="W193" s="201">
        <f t="shared" si="11"/>
        <v>0</v>
      </c>
      <c r="X193" s="110">
        <f>+'Gantt Proyectos'!W261</f>
        <v>0</v>
      </c>
      <c r="Y193" s="110">
        <f>+'Gantt Proyectos'!X261</f>
        <v>0</v>
      </c>
      <c r="Z193" s="110">
        <f>+'Gantt Proyectos'!Y261</f>
        <v>0</v>
      </c>
      <c r="AA193" s="110">
        <f>+'Gantt Proyectos'!Z261</f>
        <v>0</v>
      </c>
      <c r="AB193" s="110">
        <f>+'Gantt Proyectos'!AA261</f>
        <v>0</v>
      </c>
      <c r="AC193" s="110">
        <f>+'Gantt Proyectos'!AB261</f>
        <v>0</v>
      </c>
      <c r="AD193" s="110">
        <f>+'Gantt Proyectos'!AC261</f>
        <v>0</v>
      </c>
      <c r="AE193" s="110">
        <f>+'Gantt Proyectos'!AD261</f>
        <v>0</v>
      </c>
      <c r="AF193" s="110">
        <f>+'Gantt Proyectos'!AE261</f>
        <v>0</v>
      </c>
      <c r="AG193" s="172">
        <v>1</v>
      </c>
      <c r="AH193" s="169">
        <f ca="1">+IFERROR(IF(ISNUMBER(OFFSET('EDP Proyectado'!AI193,0,-'Ingreso Proyectado'!$P193))&lt;&gt;0,IF(OFFSET('EDP Proyectado'!AI193,0,-'Ingreso Proyectado'!$P193)+0&lt;=1,0,OFFSET('EDP Proyectado'!AI193,0,-'Ingreso Proyectado'!$P193)+0)),0)</f>
        <v>0</v>
      </c>
      <c r="AI193" s="169">
        <f ca="1">+IFERROR(IF(ISNUMBER(OFFSET('EDP Proyectado'!AJ193,0,-'Ingreso Proyectado'!$P193))&lt;&gt;0,IF(OFFSET('EDP Proyectado'!AJ193,0,-'Ingreso Proyectado'!$P193)+0&lt;=1,0,OFFSET('EDP Proyectado'!AJ193,0,-'Ingreso Proyectado'!$P193)+0)),0)</f>
        <v>0</v>
      </c>
      <c r="AJ193" s="169">
        <f ca="1">+IFERROR(IF(ISNUMBER(OFFSET('EDP Proyectado'!AK193,0,-'Ingreso Proyectado'!$P193))&lt;&gt;0,IF(OFFSET('EDP Proyectado'!AK193,0,-'Ingreso Proyectado'!$P193)+0&lt;=1,0,OFFSET('EDP Proyectado'!AK193,0,-'Ingreso Proyectado'!$P193)+0)),0)</f>
        <v>0</v>
      </c>
      <c r="AK193" s="169">
        <f ca="1">+IFERROR(IF(ISNUMBER(OFFSET('EDP Proyectado'!AL193,0,-'Ingreso Proyectado'!$P193))&lt;&gt;0,IF(OFFSET('EDP Proyectado'!AL193,0,-'Ingreso Proyectado'!$P193)+0&lt;=1,0,OFFSET('EDP Proyectado'!AL193,0,-'Ingreso Proyectado'!$P193)+0)),0)</f>
        <v>0</v>
      </c>
      <c r="AL193" s="169">
        <f ca="1">+IFERROR(IF(ISNUMBER(OFFSET('EDP Proyectado'!AM193,0,-'Ingreso Proyectado'!$P193))&lt;&gt;0,IF(OFFSET('EDP Proyectado'!AM193,0,-'Ingreso Proyectado'!$P193)+0&lt;=1,0,OFFSET('EDP Proyectado'!AM193,0,-'Ingreso Proyectado'!$P193)+0)),0)</f>
        <v>0</v>
      </c>
      <c r="AM193" s="169">
        <f ca="1">+IFERROR(IF(ISNUMBER(OFFSET('EDP Proyectado'!AN193,0,-'Ingreso Proyectado'!$P193))&lt;&gt;0,IF(OFFSET('EDP Proyectado'!AN193,0,-'Ingreso Proyectado'!$P193)+0&lt;=1,0,OFFSET('EDP Proyectado'!AN193,0,-'Ingreso Proyectado'!$P193)+0)),0)</f>
        <v>0</v>
      </c>
      <c r="AN193" s="169">
        <f ca="1">+IFERROR(IF(ISNUMBER(OFFSET('EDP Proyectado'!AO193,0,-'Ingreso Proyectado'!$P193))&lt;&gt;0,IF(OFFSET('EDP Proyectado'!AO193,0,-'Ingreso Proyectado'!$P193)+0&lt;=1,0,OFFSET('EDP Proyectado'!AO193,0,-'Ingreso Proyectado'!$P193)+0)),0)</f>
        <v>0</v>
      </c>
      <c r="AO193" s="169">
        <f ca="1">+IFERROR(IF(ISNUMBER(OFFSET('EDP Proyectado'!AP193,0,-'Ingreso Proyectado'!$P193))&lt;&gt;0,IF(OFFSET('EDP Proyectado'!AP193,0,-'Ingreso Proyectado'!$P193)+0&lt;=1,0,OFFSET('EDP Proyectado'!AP193,0,-'Ingreso Proyectado'!$P193)+0)),0)</f>
        <v>0</v>
      </c>
      <c r="AP193" s="170">
        <f ca="1">+IFERROR(IF(ISNUMBER(OFFSET('EDP Proyectado'!AQ193,0,-'Ingreso Proyectado'!$P193))&lt;&gt;0,IF(OFFSET('EDP Proyectado'!AQ193,0,-'Ingreso Proyectado'!$P193)+0&lt;=1,0,OFFSET('EDP Proyectado'!AQ193,0,-'Ingreso Proyectado'!$P193)+0)),0)</f>
        <v>0</v>
      </c>
    </row>
    <row r="194" spans="3:42" x14ac:dyDescent="0.2">
      <c r="C194" s="110">
        <f>+'Gantt Proyectos'!C262</f>
        <v>0</v>
      </c>
      <c r="D194" s="110">
        <f>+'Gantt Proyectos'!D262</f>
        <v>0</v>
      </c>
      <c r="E194" s="110">
        <f>+'Gantt Proyectos'!E262</f>
        <v>0</v>
      </c>
      <c r="F194" s="148">
        <f>+'Gantt Proyectos'!F262</f>
        <v>0</v>
      </c>
      <c r="G194" s="110">
        <f>+'Gantt Proyectos'!G262</f>
        <v>0</v>
      </c>
      <c r="H194" s="110">
        <f>+'Gantt Proyectos'!H262</f>
        <v>0</v>
      </c>
      <c r="I194" s="189">
        <v>1</v>
      </c>
      <c r="J194" s="189">
        <f t="shared" si="10"/>
        <v>0</v>
      </c>
      <c r="K194" s="110">
        <f>+'Gantt Proyectos'!I262</f>
        <v>0</v>
      </c>
      <c r="L194" s="110">
        <f>+'Gantt Proyectos'!J262</f>
        <v>0</v>
      </c>
      <c r="M194" s="110">
        <f>+'Gantt Proyectos'!K262</f>
        <v>0</v>
      </c>
      <c r="N194" s="110">
        <f>+'Gantt Proyectos'!L262</f>
        <v>0</v>
      </c>
      <c r="O194" s="110">
        <f>+'Gantt Proyectos'!M262</f>
        <v>0</v>
      </c>
      <c r="P194" s="110">
        <f>+'Gantt Proyectos'!N262</f>
        <v>0</v>
      </c>
      <c r="Q194" s="110">
        <f>+'Gantt Proyectos'!O262</f>
        <v>0</v>
      </c>
      <c r="R194" s="110">
        <f>+'Gantt Proyectos'!P262</f>
        <v>0</v>
      </c>
      <c r="S194" s="110">
        <f>+'Gantt Proyectos'!R262</f>
        <v>0</v>
      </c>
      <c r="T194" s="118">
        <f>+'Gantt Proyectos'!S262</f>
        <v>0</v>
      </c>
      <c r="U194" s="157">
        <f>+'Gantt Proyectos'!T262</f>
        <v>0</v>
      </c>
      <c r="V194" s="157">
        <f>+'Gantt Proyectos'!U262</f>
        <v>0</v>
      </c>
      <c r="W194" s="201">
        <f t="shared" si="11"/>
        <v>0</v>
      </c>
      <c r="X194" s="110">
        <f>+'Gantt Proyectos'!W262</f>
        <v>0</v>
      </c>
      <c r="Y194" s="110">
        <f>+'Gantt Proyectos'!X262</f>
        <v>0</v>
      </c>
      <c r="Z194" s="110">
        <f>+'Gantt Proyectos'!Y262</f>
        <v>0</v>
      </c>
      <c r="AA194" s="110">
        <f>+'Gantt Proyectos'!Z262</f>
        <v>0</v>
      </c>
      <c r="AB194" s="110">
        <f>+'Gantt Proyectos'!AA262</f>
        <v>0</v>
      </c>
      <c r="AC194" s="110">
        <f>+'Gantt Proyectos'!AB262</f>
        <v>0</v>
      </c>
      <c r="AD194" s="110">
        <f>+'Gantt Proyectos'!AC262</f>
        <v>0</v>
      </c>
      <c r="AE194" s="110">
        <f>+'Gantt Proyectos'!AD262</f>
        <v>0</v>
      </c>
      <c r="AF194" s="110">
        <f>+'Gantt Proyectos'!AE262</f>
        <v>0</v>
      </c>
      <c r="AG194" s="172">
        <v>1</v>
      </c>
      <c r="AH194" s="169">
        <f ca="1">+IFERROR(IF(ISNUMBER(OFFSET('EDP Proyectado'!AI194,0,-'Ingreso Proyectado'!$P194))&lt;&gt;0,IF(OFFSET('EDP Proyectado'!AI194,0,-'Ingreso Proyectado'!$P194)+0&lt;=1,0,OFFSET('EDP Proyectado'!AI194,0,-'Ingreso Proyectado'!$P194)+0)),0)</f>
        <v>0</v>
      </c>
      <c r="AI194" s="169">
        <f ca="1">+IFERROR(IF(ISNUMBER(OFFSET('EDP Proyectado'!AJ194,0,-'Ingreso Proyectado'!$P194))&lt;&gt;0,IF(OFFSET('EDP Proyectado'!AJ194,0,-'Ingreso Proyectado'!$P194)+0&lt;=1,0,OFFSET('EDP Proyectado'!AJ194,0,-'Ingreso Proyectado'!$P194)+0)),0)</f>
        <v>0</v>
      </c>
      <c r="AJ194" s="169">
        <f ca="1">+IFERROR(IF(ISNUMBER(OFFSET('EDP Proyectado'!AK194,0,-'Ingreso Proyectado'!$P194))&lt;&gt;0,IF(OFFSET('EDP Proyectado'!AK194,0,-'Ingreso Proyectado'!$P194)+0&lt;=1,0,OFFSET('EDP Proyectado'!AK194,0,-'Ingreso Proyectado'!$P194)+0)),0)</f>
        <v>0</v>
      </c>
      <c r="AK194" s="169">
        <f ca="1">+IFERROR(IF(ISNUMBER(OFFSET('EDP Proyectado'!AL194,0,-'Ingreso Proyectado'!$P194))&lt;&gt;0,IF(OFFSET('EDP Proyectado'!AL194,0,-'Ingreso Proyectado'!$P194)+0&lt;=1,0,OFFSET('EDP Proyectado'!AL194,0,-'Ingreso Proyectado'!$P194)+0)),0)</f>
        <v>0</v>
      </c>
      <c r="AL194" s="169">
        <f ca="1">+IFERROR(IF(ISNUMBER(OFFSET('EDP Proyectado'!AM194,0,-'Ingreso Proyectado'!$P194))&lt;&gt;0,IF(OFFSET('EDP Proyectado'!AM194,0,-'Ingreso Proyectado'!$P194)+0&lt;=1,0,OFFSET('EDP Proyectado'!AM194,0,-'Ingreso Proyectado'!$P194)+0)),0)</f>
        <v>0</v>
      </c>
      <c r="AM194" s="169">
        <f ca="1">+IFERROR(IF(ISNUMBER(OFFSET('EDP Proyectado'!AN194,0,-'Ingreso Proyectado'!$P194))&lt;&gt;0,IF(OFFSET('EDP Proyectado'!AN194,0,-'Ingreso Proyectado'!$P194)+0&lt;=1,0,OFFSET('EDP Proyectado'!AN194,0,-'Ingreso Proyectado'!$P194)+0)),0)</f>
        <v>0</v>
      </c>
      <c r="AN194" s="169">
        <f ca="1">+IFERROR(IF(ISNUMBER(OFFSET('EDP Proyectado'!AO194,0,-'Ingreso Proyectado'!$P194))&lt;&gt;0,IF(OFFSET('EDP Proyectado'!AO194,0,-'Ingreso Proyectado'!$P194)+0&lt;=1,0,OFFSET('EDP Proyectado'!AO194,0,-'Ingreso Proyectado'!$P194)+0)),0)</f>
        <v>0</v>
      </c>
      <c r="AO194" s="169">
        <f ca="1">+IFERROR(IF(ISNUMBER(OFFSET('EDP Proyectado'!AP194,0,-'Ingreso Proyectado'!$P194))&lt;&gt;0,IF(OFFSET('EDP Proyectado'!AP194,0,-'Ingreso Proyectado'!$P194)+0&lt;=1,0,OFFSET('EDP Proyectado'!AP194,0,-'Ingreso Proyectado'!$P194)+0)),0)</f>
        <v>0</v>
      </c>
      <c r="AP194" s="170">
        <f ca="1">+IFERROR(IF(ISNUMBER(OFFSET('EDP Proyectado'!AQ194,0,-'Ingreso Proyectado'!$P194))&lt;&gt;0,IF(OFFSET('EDP Proyectado'!AQ194,0,-'Ingreso Proyectado'!$P194)+0&lt;=1,0,OFFSET('EDP Proyectado'!AQ194,0,-'Ingreso Proyectado'!$P194)+0)),0)</f>
        <v>0</v>
      </c>
    </row>
    <row r="195" spans="3:42" x14ac:dyDescent="0.2">
      <c r="F195" s="148"/>
    </row>
    <row r="196" spans="3:42" x14ac:dyDescent="0.2">
      <c r="F196" s="148"/>
    </row>
    <row r="197" spans="3:42" x14ac:dyDescent="0.2">
      <c r="F197" s="148"/>
    </row>
    <row r="198" spans="3:42" x14ac:dyDescent="0.2">
      <c r="F198" s="148"/>
    </row>
    <row r="199" spans="3:42" x14ac:dyDescent="0.2">
      <c r="F199" s="148"/>
    </row>
    <row r="200" spans="3:42" x14ac:dyDescent="0.2">
      <c r="F200" s="148"/>
    </row>
    <row r="201" spans="3:42" x14ac:dyDescent="0.2">
      <c r="F201" s="148"/>
    </row>
    <row r="202" spans="3:42" x14ac:dyDescent="0.2">
      <c r="F202" s="148"/>
    </row>
    <row r="203" spans="3:42" x14ac:dyDescent="0.2">
      <c r="F203" s="148"/>
    </row>
    <row r="204" spans="3:42" x14ac:dyDescent="0.2">
      <c r="F204" s="148"/>
    </row>
    <row r="205" spans="3:42" x14ac:dyDescent="0.2">
      <c r="F205" s="148"/>
    </row>
    <row r="206" spans="3:42" x14ac:dyDescent="0.2">
      <c r="F206" s="148"/>
    </row>
    <row r="207" spans="3:42" x14ac:dyDescent="0.2">
      <c r="F207" s="148"/>
    </row>
    <row r="208" spans="3:42" x14ac:dyDescent="0.2">
      <c r="F208" s="148"/>
    </row>
    <row r="209" spans="6:6" x14ac:dyDescent="0.2">
      <c r="F209" s="148"/>
    </row>
    <row r="210" spans="6:6" x14ac:dyDescent="0.2">
      <c r="F210" s="148"/>
    </row>
    <row r="211" spans="6:6" x14ac:dyDescent="0.2">
      <c r="F211" s="148"/>
    </row>
  </sheetData>
  <autoFilter ref="C28:AP194" xr:uid="{A700975B-F250-4A3F-9AFB-780943889894}"/>
  <mergeCells count="1">
    <mergeCell ref="I27:J2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71A87-9383-4CE5-9F60-F23A19EFFC9D}">
  <sheetPr>
    <tabColor theme="8" tint="-0.249977111117893"/>
  </sheetPr>
  <dimension ref="A1:Q167"/>
  <sheetViews>
    <sheetView topLeftCell="A24" zoomScale="89" zoomScaleNormal="80" workbookViewId="0">
      <selection activeCell="H65" sqref="H65"/>
    </sheetView>
  </sheetViews>
  <sheetFormatPr baseColWidth="10" defaultColWidth="11.5" defaultRowHeight="11" x14ac:dyDescent="0.2"/>
  <cols>
    <col min="1" max="2" width="11.5" style="110"/>
    <col min="3" max="3" width="11.83203125" style="110" customWidth="1"/>
    <col min="4" max="4" width="15" style="148" customWidth="1"/>
    <col min="5" max="5" width="60.5" style="148" bestFit="1" customWidth="1"/>
    <col min="6" max="6" width="60.5" style="261" bestFit="1" customWidth="1"/>
    <col min="7" max="7" width="20.1640625" style="110" bestFit="1" customWidth="1"/>
    <col min="8" max="8" width="15.83203125" style="110" customWidth="1"/>
    <col min="9" max="10" width="26.5" style="110" customWidth="1"/>
    <col min="11" max="11" width="19.83203125" style="110" bestFit="1" customWidth="1"/>
    <col min="12" max="18" width="11.5" style="110"/>
    <col min="19" max="19" width="19.83203125" style="110" bestFit="1" customWidth="1"/>
    <col min="20" max="16384" width="11.5" style="110"/>
  </cols>
  <sheetData>
    <row r="1" spans="1:17" s="159" customFormat="1" x14ac:dyDescent="0.2">
      <c r="A1" s="158"/>
    </row>
    <row r="2" spans="1:17" s="161" customFormat="1" x14ac:dyDescent="0.2">
      <c r="A2" s="160"/>
    </row>
    <row r="3" spans="1:17" s="161" customFormat="1" x14ac:dyDescent="0.2">
      <c r="A3" s="160"/>
      <c r="D3" s="164" t="s">
        <v>0</v>
      </c>
    </row>
    <row r="4" spans="1:17" s="161" customFormat="1" x14ac:dyDescent="0.2">
      <c r="A4" s="160"/>
      <c r="D4" s="164">
        <v>2025</v>
      </c>
    </row>
    <row r="5" spans="1:17" s="161" customFormat="1" x14ac:dyDescent="0.2">
      <c r="A5" s="160"/>
      <c r="D5" s="167" t="s">
        <v>417</v>
      </c>
    </row>
    <row r="6" spans="1:17" s="161" customFormat="1" x14ac:dyDescent="0.2">
      <c r="A6" s="160"/>
    </row>
    <row r="7" spans="1:17" s="163" customFormat="1" ht="12" thickBot="1" x14ac:dyDescent="0.25">
      <c r="A7" s="162"/>
    </row>
    <row r="8" spans="1:17" x14ac:dyDescent="0.2">
      <c r="D8" s="110"/>
      <c r="E8" s="110"/>
      <c r="F8" s="110"/>
    </row>
    <row r="9" spans="1:17" s="165" customFormat="1" x14ac:dyDescent="0.2">
      <c r="B9" s="166" t="s">
        <v>407</v>
      </c>
    </row>
    <row r="10" spans="1:17" x14ac:dyDescent="0.2">
      <c r="B10" s="148"/>
      <c r="D10" s="110"/>
      <c r="E10" s="110"/>
      <c r="F10" s="110"/>
    </row>
    <row r="11" spans="1:17" ht="12" thickBot="1" x14ac:dyDescent="0.25">
      <c r="B11" s="148"/>
      <c r="D11" s="110"/>
      <c r="E11" s="110"/>
      <c r="F11" s="110"/>
    </row>
    <row r="12" spans="1:17" ht="13" thickBot="1" x14ac:dyDescent="0.25">
      <c r="B12" s="148"/>
      <c r="D12" s="110"/>
      <c r="E12" s="268"/>
      <c r="F12" s="173" t="s">
        <v>418</v>
      </c>
      <c r="G12" s="173"/>
      <c r="H12" s="173" t="s">
        <v>409</v>
      </c>
      <c r="I12" s="138">
        <v>45777</v>
      </c>
      <c r="J12" s="138">
        <v>45807</v>
      </c>
      <c r="K12" s="138">
        <v>45838</v>
      </c>
      <c r="L12" s="138">
        <v>45868</v>
      </c>
      <c r="M12" s="138">
        <v>45899</v>
      </c>
      <c r="N12" s="138">
        <v>45930</v>
      </c>
      <c r="O12" s="138">
        <v>45960</v>
      </c>
      <c r="P12" s="138">
        <v>45991</v>
      </c>
      <c r="Q12" s="139">
        <v>46021</v>
      </c>
    </row>
    <row r="13" spans="1:17" x14ac:dyDescent="0.2">
      <c r="B13" s="148"/>
      <c r="D13" s="110"/>
      <c r="E13" s="268"/>
      <c r="F13" s="277" t="s">
        <v>41</v>
      </c>
      <c r="G13" s="278" t="s">
        <v>32</v>
      </c>
      <c r="H13" s="278">
        <f>+SUM(I13:Q13)</f>
        <v>3375586.5131644108</v>
      </c>
      <c r="I13" s="279">
        <f>+SUM(I14:I20)</f>
        <v>410921.73378594464</v>
      </c>
      <c r="J13" s="279">
        <f t="shared" ref="J13:Q13" si="0">+SUM(J14:J20)</f>
        <v>365603.55196776282</v>
      </c>
      <c r="K13" s="279">
        <f t="shared" si="0"/>
        <v>355976.27924049011</v>
      </c>
      <c r="L13" s="279">
        <f t="shared" si="0"/>
        <v>436567.18833139917</v>
      </c>
      <c r="M13" s="279">
        <f t="shared" si="0"/>
        <v>365603.55196776282</v>
      </c>
      <c r="N13" s="279">
        <f t="shared" si="0"/>
        <v>378739.91560412647</v>
      </c>
      <c r="O13" s="279">
        <f t="shared" si="0"/>
        <v>359012.6428768537</v>
      </c>
      <c r="P13" s="279">
        <f t="shared" si="0"/>
        <v>345012.6428768537</v>
      </c>
      <c r="Q13" s="280">
        <f t="shared" si="0"/>
        <v>358149.00651321735</v>
      </c>
    </row>
    <row r="14" spans="1:17" x14ac:dyDescent="0.2">
      <c r="B14" s="148"/>
      <c r="D14" s="110"/>
      <c r="E14" s="268"/>
      <c r="F14" s="288" t="str">
        <f t="shared" ref="F14:F60" si="1">+F13</f>
        <v>Chile</v>
      </c>
      <c r="G14" s="281" t="s">
        <v>419</v>
      </c>
      <c r="H14" s="179">
        <f t="shared" ref="H14:H52" si="2">+SUM(I14:Q14)</f>
        <v>2538966.3313462287</v>
      </c>
      <c r="I14" s="193">
        <f t="shared" ref="I14:Q20" si="3">+SUMIFS(I$63:I$1048576,$D$63:$D$1048576,$F14,$E$63:$E$1048576,$G14)</f>
        <v>296380.09742230829</v>
      </c>
      <c r="J14" s="193">
        <f t="shared" si="3"/>
        <v>279221.00651321735</v>
      </c>
      <c r="K14" s="193">
        <f t="shared" si="3"/>
        <v>272357.37014958099</v>
      </c>
      <c r="L14" s="193">
        <f t="shared" si="3"/>
        <v>332652.82469503552</v>
      </c>
      <c r="M14" s="193">
        <f t="shared" si="3"/>
        <v>279221.00651321735</v>
      </c>
      <c r="N14" s="193">
        <f t="shared" si="3"/>
        <v>275789.18833139917</v>
      </c>
      <c r="O14" s="193">
        <f t="shared" si="3"/>
        <v>268925.55196776282</v>
      </c>
      <c r="P14" s="193">
        <f t="shared" si="3"/>
        <v>268925.55196776282</v>
      </c>
      <c r="Q14" s="194">
        <f t="shared" si="3"/>
        <v>265493.73378594464</v>
      </c>
    </row>
    <row r="15" spans="1:17" x14ac:dyDescent="0.2">
      <c r="B15" s="148"/>
      <c r="D15" s="110"/>
      <c r="E15" s="268"/>
      <c r="F15" s="288" t="str">
        <f t="shared" si="1"/>
        <v>Chile</v>
      </c>
      <c r="G15" s="281" t="s">
        <v>420</v>
      </c>
      <c r="H15" s="179">
        <f t="shared" si="2"/>
        <v>465102</v>
      </c>
      <c r="I15" s="193">
        <f t="shared" si="3"/>
        <v>51678</v>
      </c>
      <c r="J15" s="193">
        <f t="shared" si="3"/>
        <v>51678</v>
      </c>
      <c r="K15" s="193">
        <f>+SUMIFS(K$63:K$1048576,$D$63:$D$1048576,$F15,$E$63:$E$1048576,$G15)</f>
        <v>51678</v>
      </c>
      <c r="L15" s="193">
        <f t="shared" si="3"/>
        <v>51678</v>
      </c>
      <c r="M15" s="193">
        <f t="shared" si="3"/>
        <v>51678</v>
      </c>
      <c r="N15" s="193">
        <f t="shared" si="3"/>
        <v>51678</v>
      </c>
      <c r="O15" s="193">
        <f t="shared" si="3"/>
        <v>51678</v>
      </c>
      <c r="P15" s="193">
        <f t="shared" si="3"/>
        <v>51678</v>
      </c>
      <c r="Q15" s="194">
        <f t="shared" si="3"/>
        <v>51678</v>
      </c>
    </row>
    <row r="16" spans="1:17" x14ac:dyDescent="0.2">
      <c r="B16" s="148"/>
      <c r="D16" s="110"/>
      <c r="E16" s="268"/>
      <c r="F16" s="288" t="str">
        <f t="shared" si="1"/>
        <v>Chile</v>
      </c>
      <c r="G16" s="281" t="s">
        <v>421</v>
      </c>
      <c r="H16" s="179">
        <f t="shared" si="2"/>
        <v>65250</v>
      </c>
      <c r="I16" s="193">
        <f t="shared" si="3"/>
        <v>7250</v>
      </c>
      <c r="J16" s="193">
        <f t="shared" si="3"/>
        <v>7250</v>
      </c>
      <c r="K16" s="193">
        <f t="shared" si="3"/>
        <v>7250</v>
      </c>
      <c r="L16" s="193">
        <f t="shared" si="3"/>
        <v>7250</v>
      </c>
      <c r="M16" s="193">
        <f t="shared" si="3"/>
        <v>7250</v>
      </c>
      <c r="N16" s="193">
        <f t="shared" si="3"/>
        <v>7250</v>
      </c>
      <c r="O16" s="193">
        <f t="shared" si="3"/>
        <v>7250</v>
      </c>
      <c r="P16" s="193">
        <f t="shared" si="3"/>
        <v>7250</v>
      </c>
      <c r="Q16" s="194">
        <f t="shared" si="3"/>
        <v>7250</v>
      </c>
    </row>
    <row r="17" spans="2:17" x14ac:dyDescent="0.2">
      <c r="B17" s="148"/>
      <c r="D17" s="110"/>
      <c r="E17" s="268"/>
      <c r="F17" s="288" t="str">
        <f t="shared" si="1"/>
        <v>Chile</v>
      </c>
      <c r="G17" s="281" t="s">
        <v>422</v>
      </c>
      <c r="H17" s="179">
        <f t="shared" si="2"/>
        <v>0</v>
      </c>
      <c r="I17" s="193">
        <f t="shared" si="3"/>
        <v>0</v>
      </c>
      <c r="J17" s="193">
        <f t="shared" si="3"/>
        <v>0</v>
      </c>
      <c r="K17" s="193">
        <f t="shared" si="3"/>
        <v>0</v>
      </c>
      <c r="L17" s="193">
        <f t="shared" si="3"/>
        <v>0</v>
      </c>
      <c r="M17" s="193">
        <f t="shared" si="3"/>
        <v>0</v>
      </c>
      <c r="N17" s="193">
        <f t="shared" si="3"/>
        <v>0</v>
      </c>
      <c r="O17" s="193">
        <f t="shared" si="3"/>
        <v>0</v>
      </c>
      <c r="P17" s="193">
        <f t="shared" si="3"/>
        <v>0</v>
      </c>
      <c r="Q17" s="194">
        <f t="shared" si="3"/>
        <v>0</v>
      </c>
    </row>
    <row r="18" spans="2:17" x14ac:dyDescent="0.2">
      <c r="B18" s="148"/>
      <c r="D18" s="110"/>
      <c r="E18" s="268"/>
      <c r="F18" s="288" t="str">
        <f t="shared" si="1"/>
        <v>Chile</v>
      </c>
      <c r="G18" s="281" t="s">
        <v>423</v>
      </c>
      <c r="H18" s="179">
        <f t="shared" si="2"/>
        <v>35000</v>
      </c>
      <c r="I18" s="193">
        <f t="shared" si="3"/>
        <v>11000</v>
      </c>
      <c r="J18" s="193">
        <f t="shared" si="3"/>
        <v>0</v>
      </c>
      <c r="K18" s="193">
        <f t="shared" si="3"/>
        <v>0</v>
      </c>
      <c r="L18" s="193">
        <f t="shared" si="3"/>
        <v>10000</v>
      </c>
      <c r="M18" s="193">
        <f t="shared" si="3"/>
        <v>0</v>
      </c>
      <c r="N18" s="193">
        <f t="shared" si="3"/>
        <v>0</v>
      </c>
      <c r="O18" s="193">
        <f t="shared" si="3"/>
        <v>14000</v>
      </c>
      <c r="P18" s="193">
        <f t="shared" si="3"/>
        <v>0</v>
      </c>
      <c r="Q18" s="194">
        <f t="shared" si="3"/>
        <v>0</v>
      </c>
    </row>
    <row r="19" spans="2:17" x14ac:dyDescent="0.2">
      <c r="B19" s="148"/>
      <c r="D19" s="110"/>
      <c r="E19" s="268"/>
      <c r="F19" s="288" t="str">
        <f t="shared" si="1"/>
        <v>Chile</v>
      </c>
      <c r="G19" s="281" t="s">
        <v>424</v>
      </c>
      <c r="H19" s="179">
        <f t="shared" si="2"/>
        <v>40000</v>
      </c>
      <c r="I19" s="193">
        <f t="shared" si="3"/>
        <v>0</v>
      </c>
      <c r="J19" s="193">
        <f t="shared" si="3"/>
        <v>0</v>
      </c>
      <c r="K19" s="193">
        <f t="shared" si="3"/>
        <v>0</v>
      </c>
      <c r="L19" s="193">
        <f t="shared" si="3"/>
        <v>0</v>
      </c>
      <c r="M19" s="193">
        <f t="shared" si="3"/>
        <v>0</v>
      </c>
      <c r="N19" s="193">
        <f t="shared" si="3"/>
        <v>20000</v>
      </c>
      <c r="O19" s="193">
        <f t="shared" si="3"/>
        <v>0</v>
      </c>
      <c r="P19" s="193">
        <f t="shared" si="3"/>
        <v>0</v>
      </c>
      <c r="Q19" s="194">
        <f t="shared" si="3"/>
        <v>20000</v>
      </c>
    </row>
    <row r="20" spans="2:17" ht="12" thickBot="1" x14ac:dyDescent="0.25">
      <c r="B20" s="148"/>
      <c r="D20" s="110"/>
      <c r="E20" s="268"/>
      <c r="F20" s="288" t="str">
        <f t="shared" si="1"/>
        <v>Chile</v>
      </c>
      <c r="G20" s="281" t="s">
        <v>47</v>
      </c>
      <c r="H20" s="179">
        <f t="shared" si="2"/>
        <v>231268.18181818182</v>
      </c>
      <c r="I20" s="193">
        <f t="shared" si="3"/>
        <v>44613.636363636368</v>
      </c>
      <c r="J20" s="193">
        <f t="shared" si="3"/>
        <v>27454.545454545456</v>
      </c>
      <c r="K20" s="193">
        <f t="shared" si="3"/>
        <v>24690.909090909092</v>
      </c>
      <c r="L20" s="193">
        <f t="shared" si="3"/>
        <v>34986.36363636364</v>
      </c>
      <c r="M20" s="193">
        <f t="shared" si="3"/>
        <v>27454.545454545456</v>
      </c>
      <c r="N20" s="193">
        <f t="shared" si="3"/>
        <v>24022.727272727272</v>
      </c>
      <c r="O20" s="193">
        <f t="shared" si="3"/>
        <v>17159.090909090912</v>
      </c>
      <c r="P20" s="193">
        <f t="shared" si="3"/>
        <v>17159.090909090912</v>
      </c>
      <c r="Q20" s="194">
        <f t="shared" si="3"/>
        <v>13727.272727272728</v>
      </c>
    </row>
    <row r="21" spans="2:17" x14ac:dyDescent="0.2">
      <c r="B21" s="148"/>
      <c r="D21" s="110"/>
      <c r="E21" s="110"/>
      <c r="F21" s="277" t="s">
        <v>44</v>
      </c>
      <c r="G21" s="278" t="s">
        <v>32</v>
      </c>
      <c r="H21" s="278">
        <f>+SUM(I21:Q21)</f>
        <v>468360.61714285729</v>
      </c>
      <c r="I21" s="279">
        <f>+SUM(I22:I28)</f>
        <v>52040.068571428579</v>
      </c>
      <c r="J21" s="279">
        <f t="shared" ref="J21" si="4">+SUM(J22:J28)</f>
        <v>52040.068571428579</v>
      </c>
      <c r="K21" s="279">
        <f t="shared" ref="K21" si="5">+SUM(K22:K28)</f>
        <v>52040.068571428579</v>
      </c>
      <c r="L21" s="279">
        <f t="shared" ref="L21" si="6">+SUM(L22:L28)</f>
        <v>52040.068571428579</v>
      </c>
      <c r="M21" s="279">
        <f t="shared" ref="M21" si="7">+SUM(M22:M28)</f>
        <v>52040.068571428579</v>
      </c>
      <c r="N21" s="279">
        <f t="shared" ref="N21" si="8">+SUM(N22:N28)</f>
        <v>52040.068571428579</v>
      </c>
      <c r="O21" s="279">
        <f t="shared" ref="O21" si="9">+SUM(O22:O28)</f>
        <v>52040.068571428579</v>
      </c>
      <c r="P21" s="279">
        <f t="shared" ref="P21" si="10">+SUM(P22:P28)</f>
        <v>52040.068571428579</v>
      </c>
      <c r="Q21" s="280">
        <f t="shared" ref="Q21" si="11">+SUM(Q22:Q28)</f>
        <v>52040.068571428579</v>
      </c>
    </row>
    <row r="22" spans="2:17" x14ac:dyDescent="0.2">
      <c r="B22" s="148"/>
      <c r="D22" s="110"/>
      <c r="E22" s="110"/>
      <c r="F22" s="288" t="str">
        <f t="shared" si="1"/>
        <v>Perú</v>
      </c>
      <c r="G22" s="281" t="s">
        <v>419</v>
      </c>
      <c r="H22" s="179">
        <f t="shared" si="2"/>
        <v>406337.76000000007</v>
      </c>
      <c r="I22" s="193">
        <f t="shared" ref="I22:Q28" si="12">+SUMIFS(I$63:I$1048576,$D$63:$D$1048576,$F22,$E$63:$E$1048576,$G22)</f>
        <v>45148.640000000007</v>
      </c>
      <c r="J22" s="193">
        <f t="shared" si="12"/>
        <v>45148.640000000007</v>
      </c>
      <c r="K22" s="193">
        <f t="shared" si="12"/>
        <v>45148.640000000007</v>
      </c>
      <c r="L22" s="193">
        <f t="shared" si="12"/>
        <v>45148.640000000007</v>
      </c>
      <c r="M22" s="193">
        <f t="shared" si="12"/>
        <v>45148.640000000007</v>
      </c>
      <c r="N22" s="193">
        <f t="shared" si="12"/>
        <v>45148.640000000007</v>
      </c>
      <c r="O22" s="193">
        <f t="shared" si="12"/>
        <v>45148.640000000007</v>
      </c>
      <c r="P22" s="193">
        <f t="shared" si="12"/>
        <v>45148.640000000007</v>
      </c>
      <c r="Q22" s="194">
        <f t="shared" si="12"/>
        <v>45148.640000000007</v>
      </c>
    </row>
    <row r="23" spans="2:17" x14ac:dyDescent="0.2">
      <c r="B23" s="148"/>
      <c r="D23" s="110"/>
      <c r="E23" s="110"/>
      <c r="F23" s="288" t="str">
        <f t="shared" si="1"/>
        <v>Perú</v>
      </c>
      <c r="G23" s="281" t="s">
        <v>420</v>
      </c>
      <c r="H23" s="179">
        <f t="shared" si="2"/>
        <v>62022.857142857145</v>
      </c>
      <c r="I23" s="193">
        <f t="shared" si="12"/>
        <v>6891.4285714285716</v>
      </c>
      <c r="J23" s="193">
        <f t="shared" si="12"/>
        <v>6891.4285714285716</v>
      </c>
      <c r="K23" s="193">
        <f t="shared" si="12"/>
        <v>6891.4285714285716</v>
      </c>
      <c r="L23" s="193">
        <f t="shared" si="12"/>
        <v>6891.4285714285716</v>
      </c>
      <c r="M23" s="193">
        <f t="shared" si="12"/>
        <v>6891.4285714285716</v>
      </c>
      <c r="N23" s="193">
        <f t="shared" si="12"/>
        <v>6891.4285714285716</v>
      </c>
      <c r="O23" s="193">
        <f t="shared" si="12"/>
        <v>6891.4285714285716</v>
      </c>
      <c r="P23" s="193">
        <f t="shared" si="12"/>
        <v>6891.4285714285716</v>
      </c>
      <c r="Q23" s="194">
        <f t="shared" si="12"/>
        <v>6891.4285714285716</v>
      </c>
    </row>
    <row r="24" spans="2:17" x14ac:dyDescent="0.2">
      <c r="B24" s="148"/>
      <c r="D24" s="110"/>
      <c r="E24" s="110"/>
      <c r="F24" s="288" t="str">
        <f t="shared" si="1"/>
        <v>Perú</v>
      </c>
      <c r="G24" s="281" t="s">
        <v>421</v>
      </c>
      <c r="H24" s="179">
        <f t="shared" si="2"/>
        <v>0</v>
      </c>
      <c r="I24" s="193">
        <f t="shared" si="12"/>
        <v>0</v>
      </c>
      <c r="J24" s="193">
        <f t="shared" si="12"/>
        <v>0</v>
      </c>
      <c r="K24" s="193">
        <f t="shared" si="12"/>
        <v>0</v>
      </c>
      <c r="L24" s="193">
        <f t="shared" si="12"/>
        <v>0</v>
      </c>
      <c r="M24" s="193">
        <f t="shared" si="12"/>
        <v>0</v>
      </c>
      <c r="N24" s="193">
        <f t="shared" si="12"/>
        <v>0</v>
      </c>
      <c r="O24" s="193">
        <f t="shared" si="12"/>
        <v>0</v>
      </c>
      <c r="P24" s="193">
        <f t="shared" si="12"/>
        <v>0</v>
      </c>
      <c r="Q24" s="194">
        <f t="shared" si="12"/>
        <v>0</v>
      </c>
    </row>
    <row r="25" spans="2:17" x14ac:dyDescent="0.2">
      <c r="B25" s="148"/>
      <c r="D25" s="110"/>
      <c r="E25" s="110"/>
      <c r="F25" s="288" t="str">
        <f t="shared" si="1"/>
        <v>Perú</v>
      </c>
      <c r="G25" s="281" t="s">
        <v>422</v>
      </c>
      <c r="H25" s="179">
        <f t="shared" si="2"/>
        <v>0</v>
      </c>
      <c r="I25" s="193">
        <f t="shared" si="12"/>
        <v>0</v>
      </c>
      <c r="J25" s="193">
        <f t="shared" si="12"/>
        <v>0</v>
      </c>
      <c r="K25" s="193">
        <f t="shared" si="12"/>
        <v>0</v>
      </c>
      <c r="L25" s="193">
        <f t="shared" si="12"/>
        <v>0</v>
      </c>
      <c r="M25" s="193">
        <f t="shared" si="12"/>
        <v>0</v>
      </c>
      <c r="N25" s="193">
        <f t="shared" si="12"/>
        <v>0</v>
      </c>
      <c r="O25" s="193">
        <f t="shared" si="12"/>
        <v>0</v>
      </c>
      <c r="P25" s="193">
        <f t="shared" si="12"/>
        <v>0</v>
      </c>
      <c r="Q25" s="194">
        <f t="shared" si="12"/>
        <v>0</v>
      </c>
    </row>
    <row r="26" spans="2:17" x14ac:dyDescent="0.2">
      <c r="B26" s="148"/>
      <c r="D26" s="110"/>
      <c r="E26" s="110"/>
      <c r="F26" s="288" t="str">
        <f t="shared" si="1"/>
        <v>Perú</v>
      </c>
      <c r="G26" s="281" t="s">
        <v>423</v>
      </c>
      <c r="H26" s="179">
        <f t="shared" si="2"/>
        <v>0</v>
      </c>
      <c r="I26" s="193">
        <f t="shared" si="12"/>
        <v>0</v>
      </c>
      <c r="J26" s="193">
        <f t="shared" si="12"/>
        <v>0</v>
      </c>
      <c r="K26" s="193">
        <f t="shared" si="12"/>
        <v>0</v>
      </c>
      <c r="L26" s="193">
        <f t="shared" si="12"/>
        <v>0</v>
      </c>
      <c r="M26" s="193">
        <f t="shared" si="12"/>
        <v>0</v>
      </c>
      <c r="N26" s="193">
        <f t="shared" si="12"/>
        <v>0</v>
      </c>
      <c r="O26" s="193">
        <f t="shared" si="12"/>
        <v>0</v>
      </c>
      <c r="P26" s="193">
        <f t="shared" si="12"/>
        <v>0</v>
      </c>
      <c r="Q26" s="194">
        <f t="shared" si="12"/>
        <v>0</v>
      </c>
    </row>
    <row r="27" spans="2:17" x14ac:dyDescent="0.2">
      <c r="B27" s="148"/>
      <c r="D27" s="110"/>
      <c r="E27" s="110"/>
      <c r="F27" s="288" t="str">
        <f t="shared" si="1"/>
        <v>Perú</v>
      </c>
      <c r="G27" s="281" t="s">
        <v>424</v>
      </c>
      <c r="H27" s="179">
        <f t="shared" si="2"/>
        <v>0</v>
      </c>
      <c r="I27" s="193">
        <f t="shared" si="12"/>
        <v>0</v>
      </c>
      <c r="J27" s="193">
        <f t="shared" si="12"/>
        <v>0</v>
      </c>
      <c r="K27" s="193">
        <f t="shared" si="12"/>
        <v>0</v>
      </c>
      <c r="L27" s="193">
        <f t="shared" si="12"/>
        <v>0</v>
      </c>
      <c r="M27" s="193">
        <f t="shared" si="12"/>
        <v>0</v>
      </c>
      <c r="N27" s="193">
        <f t="shared" si="12"/>
        <v>0</v>
      </c>
      <c r="O27" s="193">
        <f t="shared" si="12"/>
        <v>0</v>
      </c>
      <c r="P27" s="193">
        <f t="shared" si="12"/>
        <v>0</v>
      </c>
      <c r="Q27" s="194">
        <f t="shared" si="12"/>
        <v>0</v>
      </c>
    </row>
    <row r="28" spans="2:17" ht="12" thickBot="1" x14ac:dyDescent="0.25">
      <c r="B28" s="148"/>
      <c r="D28" s="110"/>
      <c r="E28" s="110"/>
      <c r="F28" s="288" t="str">
        <f t="shared" si="1"/>
        <v>Perú</v>
      </c>
      <c r="G28" s="281" t="s">
        <v>47</v>
      </c>
      <c r="H28" s="179">
        <f t="shared" si="2"/>
        <v>0</v>
      </c>
      <c r="I28" s="193">
        <f t="shared" si="12"/>
        <v>0</v>
      </c>
      <c r="J28" s="193">
        <f t="shared" si="12"/>
        <v>0</v>
      </c>
      <c r="K28" s="193">
        <f t="shared" si="12"/>
        <v>0</v>
      </c>
      <c r="L28" s="193">
        <f t="shared" si="12"/>
        <v>0</v>
      </c>
      <c r="M28" s="193">
        <f t="shared" si="12"/>
        <v>0</v>
      </c>
      <c r="N28" s="193">
        <f t="shared" si="12"/>
        <v>0</v>
      </c>
      <c r="O28" s="193">
        <f t="shared" si="12"/>
        <v>0</v>
      </c>
      <c r="P28" s="193">
        <f t="shared" si="12"/>
        <v>0</v>
      </c>
      <c r="Q28" s="194">
        <f t="shared" si="12"/>
        <v>0</v>
      </c>
    </row>
    <row r="29" spans="2:17" ht="14.25" customHeight="1" x14ac:dyDescent="0.2">
      <c r="B29" s="148"/>
      <c r="D29" s="110"/>
      <c r="E29" s="110"/>
      <c r="F29" s="277" t="s">
        <v>45</v>
      </c>
      <c r="G29" s="278" t="s">
        <v>32</v>
      </c>
      <c r="H29" s="278">
        <f>+SUM(I29:Q29)</f>
        <v>679799.77272727271</v>
      </c>
      <c r="I29" s="279">
        <f>+SUM(I30:I36)</f>
        <v>64573.71212121212</v>
      </c>
      <c r="J29" s="279">
        <f t="shared" ref="J29" si="13">+SUM(J30:J36)</f>
        <v>71437.34848484848</v>
      </c>
      <c r="K29" s="279">
        <f t="shared" ref="K29" si="14">+SUM(K30:K36)</f>
        <v>71437.34848484848</v>
      </c>
      <c r="L29" s="279">
        <f t="shared" ref="L29" si="15">+SUM(L30:L36)</f>
        <v>110164.62121212122</v>
      </c>
      <c r="M29" s="279">
        <f t="shared" ref="M29" si="16">+SUM(M30:M36)</f>
        <v>85164.621212121216</v>
      </c>
      <c r="N29" s="279">
        <f t="shared" ref="N29" si="17">+SUM(N30:N36)</f>
        <v>85164.621212121216</v>
      </c>
      <c r="O29" s="279">
        <f t="shared" ref="O29" si="18">+SUM(O30:O36)</f>
        <v>71437.34848484848</v>
      </c>
      <c r="P29" s="279">
        <f t="shared" ref="P29" si="19">+SUM(P30:P36)</f>
        <v>64573.71212121212</v>
      </c>
      <c r="Q29" s="280">
        <f t="shared" ref="Q29" si="20">+SUM(Q30:Q36)</f>
        <v>55846.439393939392</v>
      </c>
    </row>
    <row r="30" spans="2:17" x14ac:dyDescent="0.2">
      <c r="B30" s="148"/>
      <c r="D30" s="110"/>
      <c r="E30" s="110"/>
      <c r="F30" s="288" t="str">
        <f t="shared" si="1"/>
        <v>Brasil</v>
      </c>
      <c r="G30" s="281" t="s">
        <v>419</v>
      </c>
      <c r="H30" s="179">
        <f t="shared" si="2"/>
        <v>281343.63636363635</v>
      </c>
      <c r="I30" s="193">
        <f t="shared" ref="I30:Q36" si="21">+SUMIFS(I$63:I$1048576,$D$63:$D$1048576,$F30,$E$63:$E$1048576,$G30)</f>
        <v>27447.272727272728</v>
      </c>
      <c r="J30" s="193">
        <f t="shared" si="21"/>
        <v>30879.090909090912</v>
      </c>
      <c r="K30" s="193">
        <f t="shared" si="21"/>
        <v>30879.090909090912</v>
      </c>
      <c r="L30" s="193">
        <f t="shared" si="21"/>
        <v>37742.727272727272</v>
      </c>
      <c r="M30" s="193">
        <f t="shared" si="21"/>
        <v>37742.727272727272</v>
      </c>
      <c r="N30" s="193">
        <f t="shared" si="21"/>
        <v>37742.727272727272</v>
      </c>
      <c r="O30" s="193">
        <f t="shared" si="21"/>
        <v>30879.090909090912</v>
      </c>
      <c r="P30" s="193">
        <f t="shared" si="21"/>
        <v>27447.272727272728</v>
      </c>
      <c r="Q30" s="194">
        <f t="shared" si="21"/>
        <v>20583.636363636364</v>
      </c>
    </row>
    <row r="31" spans="2:17" x14ac:dyDescent="0.2">
      <c r="B31" s="148"/>
      <c r="D31" s="110"/>
      <c r="E31" s="110"/>
      <c r="F31" s="288" t="str">
        <f t="shared" si="1"/>
        <v>Brasil</v>
      </c>
      <c r="G31" s="281" t="s">
        <v>420</v>
      </c>
      <c r="H31" s="179">
        <f t="shared" si="2"/>
        <v>147830.99999999994</v>
      </c>
      <c r="I31" s="193">
        <f t="shared" si="21"/>
        <v>16425.666666666664</v>
      </c>
      <c r="J31" s="193">
        <f t="shared" si="21"/>
        <v>16425.666666666664</v>
      </c>
      <c r="K31" s="193">
        <f t="shared" si="21"/>
        <v>16425.666666666664</v>
      </c>
      <c r="L31" s="193">
        <f t="shared" si="21"/>
        <v>16425.666666666664</v>
      </c>
      <c r="M31" s="193">
        <f t="shared" si="21"/>
        <v>16425.666666666664</v>
      </c>
      <c r="N31" s="193">
        <f t="shared" si="21"/>
        <v>16425.666666666664</v>
      </c>
      <c r="O31" s="193">
        <f t="shared" si="21"/>
        <v>16425.666666666664</v>
      </c>
      <c r="P31" s="193">
        <f t="shared" si="21"/>
        <v>16425.666666666664</v>
      </c>
      <c r="Q31" s="194">
        <f t="shared" si="21"/>
        <v>16425.666666666664</v>
      </c>
    </row>
    <row r="32" spans="2:17" x14ac:dyDescent="0.2">
      <c r="B32" s="148"/>
      <c r="D32" s="110"/>
      <c r="E32" s="110"/>
      <c r="F32" s="288" t="str">
        <f t="shared" si="1"/>
        <v>Brasil</v>
      </c>
      <c r="G32" s="281" t="s">
        <v>421</v>
      </c>
      <c r="H32" s="179">
        <f t="shared" si="2"/>
        <v>62761.5</v>
      </c>
      <c r="I32" s="193">
        <f t="shared" si="21"/>
        <v>6973.5</v>
      </c>
      <c r="J32" s="193">
        <f t="shared" si="21"/>
        <v>6973.5</v>
      </c>
      <c r="K32" s="193">
        <f t="shared" si="21"/>
        <v>6973.5</v>
      </c>
      <c r="L32" s="193">
        <f t="shared" si="21"/>
        <v>6973.5</v>
      </c>
      <c r="M32" s="193">
        <f t="shared" si="21"/>
        <v>6973.5</v>
      </c>
      <c r="N32" s="193">
        <f t="shared" si="21"/>
        <v>6973.5</v>
      </c>
      <c r="O32" s="193">
        <f t="shared" si="21"/>
        <v>6973.5</v>
      </c>
      <c r="P32" s="193">
        <f t="shared" si="21"/>
        <v>6973.5</v>
      </c>
      <c r="Q32" s="194">
        <f t="shared" si="21"/>
        <v>6973.5</v>
      </c>
    </row>
    <row r="33" spans="2:17" x14ac:dyDescent="0.2">
      <c r="B33" s="148"/>
      <c r="D33" s="110"/>
      <c r="E33" s="110"/>
      <c r="F33" s="288" t="str">
        <f t="shared" si="1"/>
        <v>Brasil</v>
      </c>
      <c r="G33" s="281" t="s">
        <v>422</v>
      </c>
      <c r="H33" s="179">
        <f t="shared" si="2"/>
        <v>0</v>
      </c>
      <c r="I33" s="193">
        <f t="shared" si="21"/>
        <v>0</v>
      </c>
      <c r="J33" s="193">
        <f t="shared" si="21"/>
        <v>0</v>
      </c>
      <c r="K33" s="193">
        <f t="shared" si="21"/>
        <v>0</v>
      </c>
      <c r="L33" s="193">
        <f t="shared" si="21"/>
        <v>0</v>
      </c>
      <c r="M33" s="193">
        <f t="shared" si="21"/>
        <v>0</v>
      </c>
      <c r="N33" s="193">
        <f t="shared" si="21"/>
        <v>0</v>
      </c>
      <c r="O33" s="193">
        <f t="shared" si="21"/>
        <v>0</v>
      </c>
      <c r="P33" s="193">
        <f t="shared" si="21"/>
        <v>0</v>
      </c>
      <c r="Q33" s="194">
        <f t="shared" si="21"/>
        <v>0</v>
      </c>
    </row>
    <row r="34" spans="2:17" x14ac:dyDescent="0.2">
      <c r="B34" s="148"/>
      <c r="D34" s="110"/>
      <c r="E34" s="110"/>
      <c r="F34" s="288" t="str">
        <f t="shared" si="1"/>
        <v>Brasil</v>
      </c>
      <c r="G34" s="281" t="s">
        <v>423</v>
      </c>
      <c r="H34" s="179">
        <f t="shared" si="2"/>
        <v>25000</v>
      </c>
      <c r="I34" s="193">
        <f t="shared" si="21"/>
        <v>0</v>
      </c>
      <c r="J34" s="193">
        <f t="shared" si="21"/>
        <v>0</v>
      </c>
      <c r="K34" s="193">
        <f t="shared" si="21"/>
        <v>0</v>
      </c>
      <c r="L34" s="193">
        <f t="shared" si="21"/>
        <v>25000</v>
      </c>
      <c r="M34" s="193">
        <f t="shared" si="21"/>
        <v>0</v>
      </c>
      <c r="N34" s="193">
        <f t="shared" si="21"/>
        <v>0</v>
      </c>
      <c r="O34" s="193">
        <f t="shared" si="21"/>
        <v>0</v>
      </c>
      <c r="P34" s="193">
        <f t="shared" si="21"/>
        <v>0</v>
      </c>
      <c r="Q34" s="194">
        <f t="shared" si="21"/>
        <v>0</v>
      </c>
    </row>
    <row r="35" spans="2:17" x14ac:dyDescent="0.2">
      <c r="B35" s="148"/>
      <c r="D35" s="110"/>
      <c r="E35" s="110"/>
      <c r="F35" s="288" t="str">
        <f t="shared" si="1"/>
        <v>Brasil</v>
      </c>
      <c r="G35" s="281" t="s">
        <v>424</v>
      </c>
      <c r="H35" s="179">
        <f t="shared" si="2"/>
        <v>5000</v>
      </c>
      <c r="I35" s="193">
        <f t="shared" si="21"/>
        <v>0</v>
      </c>
      <c r="J35" s="193">
        <f t="shared" si="21"/>
        <v>0</v>
      </c>
      <c r="K35" s="193">
        <f t="shared" si="21"/>
        <v>0</v>
      </c>
      <c r="L35" s="193">
        <f t="shared" si="21"/>
        <v>0</v>
      </c>
      <c r="M35" s="193">
        <f t="shared" si="21"/>
        <v>0</v>
      </c>
      <c r="N35" s="193">
        <f t="shared" si="21"/>
        <v>0</v>
      </c>
      <c r="O35" s="193">
        <f t="shared" si="21"/>
        <v>0</v>
      </c>
      <c r="P35" s="193">
        <f t="shared" si="21"/>
        <v>0</v>
      </c>
      <c r="Q35" s="194">
        <f t="shared" si="21"/>
        <v>5000</v>
      </c>
    </row>
    <row r="36" spans="2:17" ht="12" thickBot="1" x14ac:dyDescent="0.25">
      <c r="B36" s="148"/>
      <c r="D36" s="110"/>
      <c r="E36" s="110"/>
      <c r="F36" s="288" t="str">
        <f t="shared" si="1"/>
        <v>Brasil</v>
      </c>
      <c r="G36" s="281" t="s">
        <v>47</v>
      </c>
      <c r="H36" s="179">
        <f t="shared" si="2"/>
        <v>157863.63636363635</v>
      </c>
      <c r="I36" s="193">
        <f t="shared" si="21"/>
        <v>13727.272727272728</v>
      </c>
      <c r="J36" s="193">
        <f t="shared" si="21"/>
        <v>17159.090909090912</v>
      </c>
      <c r="K36" s="193">
        <f t="shared" si="21"/>
        <v>17159.090909090912</v>
      </c>
      <c r="L36" s="193">
        <f t="shared" si="21"/>
        <v>24022.727272727272</v>
      </c>
      <c r="M36" s="193">
        <f t="shared" si="21"/>
        <v>24022.727272727272</v>
      </c>
      <c r="N36" s="193">
        <f t="shared" si="21"/>
        <v>24022.727272727272</v>
      </c>
      <c r="O36" s="193">
        <f t="shared" si="21"/>
        <v>17159.090909090912</v>
      </c>
      <c r="P36" s="193">
        <f t="shared" si="21"/>
        <v>13727.272727272728</v>
      </c>
      <c r="Q36" s="194">
        <f t="shared" si="21"/>
        <v>6863.636363636364</v>
      </c>
    </row>
    <row r="37" spans="2:17" x14ac:dyDescent="0.2">
      <c r="B37" s="148"/>
      <c r="D37" s="110"/>
      <c r="E37" s="110"/>
      <c r="F37" s="277" t="s">
        <v>46</v>
      </c>
      <c r="G37" s="278" t="s">
        <v>32</v>
      </c>
      <c r="H37" s="278">
        <f>+SUM(I37:Q37)</f>
        <v>389498.20454545465</v>
      </c>
      <c r="I37" s="279">
        <f>+SUM(I38:I44)</f>
        <v>40555.356060606064</v>
      </c>
      <c r="J37" s="279">
        <f t="shared" ref="J37" si="22">+SUM(J38:J44)</f>
        <v>40555.356060606064</v>
      </c>
      <c r="K37" s="279">
        <f t="shared" ref="K37" si="23">+SUM(K38:K44)</f>
        <v>66918.992424242431</v>
      </c>
      <c r="L37" s="279">
        <f t="shared" ref="L37" si="24">+SUM(L38:L44)</f>
        <v>33691.719696969696</v>
      </c>
      <c r="M37" s="279">
        <f t="shared" ref="M37" si="25">+SUM(M38:M44)</f>
        <v>40555.356060606064</v>
      </c>
      <c r="N37" s="279">
        <f t="shared" ref="N37" si="26">+SUM(N38:N44)</f>
        <v>40555.356060606064</v>
      </c>
      <c r="O37" s="279">
        <f t="shared" ref="O37" si="27">+SUM(O38:O44)</f>
        <v>40555.356060606064</v>
      </c>
      <c r="P37" s="279">
        <f t="shared" ref="P37" si="28">+SUM(P38:P44)</f>
        <v>40555.356060606064</v>
      </c>
      <c r="Q37" s="280">
        <f t="shared" ref="Q37" si="29">+SUM(Q38:Q44)</f>
        <v>45555.356060606064</v>
      </c>
    </row>
    <row r="38" spans="2:17" x14ac:dyDescent="0.2">
      <c r="B38" s="148"/>
      <c r="D38" s="110"/>
      <c r="E38" s="110"/>
      <c r="F38" s="288" t="str">
        <f t="shared" si="1"/>
        <v>USA</v>
      </c>
      <c r="G38" s="281" t="s">
        <v>419</v>
      </c>
      <c r="H38" s="179">
        <f t="shared" si="2"/>
        <v>286772.72727272724</v>
      </c>
      <c r="I38" s="193">
        <f t="shared" ref="I38:Q44" si="30">+SUMIFS(I$63:I$1048576,$D$63:$D$1048576,$F38,$E$63:$E$1048576,$G38)</f>
        <v>31863.636363636364</v>
      </c>
      <c r="J38" s="193">
        <f t="shared" si="30"/>
        <v>31863.636363636364</v>
      </c>
      <c r="K38" s="193">
        <f t="shared" si="30"/>
        <v>35295.454545454544</v>
      </c>
      <c r="L38" s="193">
        <f t="shared" si="30"/>
        <v>28431.818181818184</v>
      </c>
      <c r="M38" s="193">
        <f t="shared" si="30"/>
        <v>31863.636363636364</v>
      </c>
      <c r="N38" s="193">
        <f t="shared" si="30"/>
        <v>31863.636363636364</v>
      </c>
      <c r="O38" s="193">
        <f t="shared" si="30"/>
        <v>31863.636363636364</v>
      </c>
      <c r="P38" s="193">
        <f t="shared" si="30"/>
        <v>31863.636363636364</v>
      </c>
      <c r="Q38" s="194">
        <f t="shared" si="30"/>
        <v>31863.636363636364</v>
      </c>
    </row>
    <row r="39" spans="2:17" x14ac:dyDescent="0.2">
      <c r="B39" s="148"/>
      <c r="D39" s="110"/>
      <c r="E39" s="110"/>
      <c r="F39" s="288" t="str">
        <f t="shared" si="1"/>
        <v>USA</v>
      </c>
      <c r="G39" s="281" t="s">
        <v>420</v>
      </c>
      <c r="H39" s="179">
        <f t="shared" si="2"/>
        <v>450</v>
      </c>
      <c r="I39" s="193">
        <f t="shared" si="30"/>
        <v>50</v>
      </c>
      <c r="J39" s="193">
        <f t="shared" si="30"/>
        <v>50</v>
      </c>
      <c r="K39" s="193">
        <f t="shared" si="30"/>
        <v>50</v>
      </c>
      <c r="L39" s="193">
        <f t="shared" si="30"/>
        <v>50</v>
      </c>
      <c r="M39" s="193">
        <f t="shared" si="30"/>
        <v>50</v>
      </c>
      <c r="N39" s="193">
        <f t="shared" si="30"/>
        <v>50</v>
      </c>
      <c r="O39" s="193">
        <f t="shared" si="30"/>
        <v>50</v>
      </c>
      <c r="P39" s="193">
        <f t="shared" si="30"/>
        <v>50</v>
      </c>
      <c r="Q39" s="194">
        <f t="shared" si="30"/>
        <v>50</v>
      </c>
    </row>
    <row r="40" spans="2:17" x14ac:dyDescent="0.2">
      <c r="B40" s="148"/>
      <c r="D40" s="110"/>
      <c r="E40" s="110"/>
      <c r="F40" s="288" t="str">
        <f t="shared" si="1"/>
        <v>USA</v>
      </c>
      <c r="G40" s="281" t="s">
        <v>421</v>
      </c>
      <c r="H40" s="179">
        <f t="shared" si="2"/>
        <v>16002.750000000002</v>
      </c>
      <c r="I40" s="193">
        <f t="shared" si="30"/>
        <v>1778.0833333333333</v>
      </c>
      <c r="J40" s="193">
        <f t="shared" si="30"/>
        <v>1778.0833333333333</v>
      </c>
      <c r="K40" s="193">
        <f t="shared" si="30"/>
        <v>1778.0833333333333</v>
      </c>
      <c r="L40" s="193">
        <f t="shared" si="30"/>
        <v>1778.0833333333333</v>
      </c>
      <c r="M40" s="193">
        <f t="shared" si="30"/>
        <v>1778.0833333333333</v>
      </c>
      <c r="N40" s="193">
        <f t="shared" si="30"/>
        <v>1778.0833333333333</v>
      </c>
      <c r="O40" s="193">
        <f t="shared" si="30"/>
        <v>1778.0833333333333</v>
      </c>
      <c r="P40" s="193">
        <f t="shared" si="30"/>
        <v>1778.0833333333333</v>
      </c>
      <c r="Q40" s="194">
        <f t="shared" si="30"/>
        <v>1778.0833333333333</v>
      </c>
    </row>
    <row r="41" spans="2:17" x14ac:dyDescent="0.2">
      <c r="B41" s="148"/>
      <c r="D41" s="110"/>
      <c r="E41" s="110"/>
      <c r="F41" s="288" t="str">
        <f t="shared" si="1"/>
        <v>USA</v>
      </c>
      <c r="G41" s="281" t="s">
        <v>422</v>
      </c>
      <c r="H41" s="179">
        <f t="shared" si="2"/>
        <v>0</v>
      </c>
      <c r="I41" s="193">
        <f t="shared" si="30"/>
        <v>0</v>
      </c>
      <c r="J41" s="193">
        <f t="shared" si="30"/>
        <v>0</v>
      </c>
      <c r="K41" s="193">
        <f t="shared" si="30"/>
        <v>0</v>
      </c>
      <c r="L41" s="193">
        <f t="shared" si="30"/>
        <v>0</v>
      </c>
      <c r="M41" s="193">
        <f t="shared" si="30"/>
        <v>0</v>
      </c>
      <c r="N41" s="193">
        <f t="shared" si="30"/>
        <v>0</v>
      </c>
      <c r="O41" s="193">
        <f t="shared" si="30"/>
        <v>0</v>
      </c>
      <c r="P41" s="193">
        <f t="shared" si="30"/>
        <v>0</v>
      </c>
      <c r="Q41" s="194">
        <f t="shared" si="30"/>
        <v>0</v>
      </c>
    </row>
    <row r="42" spans="2:17" x14ac:dyDescent="0.2">
      <c r="B42" s="148"/>
      <c r="D42" s="110"/>
      <c r="E42" s="110"/>
      <c r="F42" s="288" t="str">
        <f t="shared" si="1"/>
        <v>USA</v>
      </c>
      <c r="G42" s="281" t="s">
        <v>423</v>
      </c>
      <c r="H42" s="179">
        <f t="shared" si="2"/>
        <v>19500</v>
      </c>
      <c r="I42" s="193">
        <f t="shared" si="30"/>
        <v>0</v>
      </c>
      <c r="J42" s="193">
        <f t="shared" si="30"/>
        <v>0</v>
      </c>
      <c r="K42" s="193">
        <f t="shared" si="30"/>
        <v>19500</v>
      </c>
      <c r="L42" s="193">
        <f t="shared" si="30"/>
        <v>0</v>
      </c>
      <c r="M42" s="193">
        <f t="shared" si="30"/>
        <v>0</v>
      </c>
      <c r="N42" s="193">
        <f t="shared" si="30"/>
        <v>0</v>
      </c>
      <c r="O42" s="193">
        <f t="shared" si="30"/>
        <v>0</v>
      </c>
      <c r="P42" s="193">
        <f t="shared" si="30"/>
        <v>0</v>
      </c>
      <c r="Q42" s="194">
        <f t="shared" si="30"/>
        <v>0</v>
      </c>
    </row>
    <row r="43" spans="2:17" x14ac:dyDescent="0.2">
      <c r="B43" s="148"/>
      <c r="D43" s="110"/>
      <c r="E43" s="110"/>
      <c r="F43" s="288" t="str">
        <f t="shared" si="1"/>
        <v>USA</v>
      </c>
      <c r="G43" s="281" t="s">
        <v>424</v>
      </c>
      <c r="H43" s="179">
        <f t="shared" si="2"/>
        <v>5000</v>
      </c>
      <c r="I43" s="193">
        <f t="shared" si="30"/>
        <v>0</v>
      </c>
      <c r="J43" s="193">
        <f t="shared" si="30"/>
        <v>0</v>
      </c>
      <c r="K43" s="193">
        <f t="shared" si="30"/>
        <v>0</v>
      </c>
      <c r="L43" s="193">
        <f t="shared" si="30"/>
        <v>0</v>
      </c>
      <c r="M43" s="193">
        <f t="shared" si="30"/>
        <v>0</v>
      </c>
      <c r="N43" s="193">
        <f t="shared" si="30"/>
        <v>0</v>
      </c>
      <c r="O43" s="193">
        <f t="shared" si="30"/>
        <v>0</v>
      </c>
      <c r="P43" s="193">
        <f t="shared" si="30"/>
        <v>0</v>
      </c>
      <c r="Q43" s="194">
        <f t="shared" si="30"/>
        <v>5000</v>
      </c>
    </row>
    <row r="44" spans="2:17" ht="12" thickBot="1" x14ac:dyDescent="0.25">
      <c r="B44" s="148"/>
      <c r="D44" s="110"/>
      <c r="E44" s="110"/>
      <c r="F44" s="288" t="str">
        <f t="shared" si="1"/>
        <v>USA</v>
      </c>
      <c r="G44" s="281" t="s">
        <v>47</v>
      </c>
      <c r="H44" s="179">
        <f t="shared" si="2"/>
        <v>61772.727272727294</v>
      </c>
      <c r="I44" s="193">
        <f t="shared" si="30"/>
        <v>6863.636363636364</v>
      </c>
      <c r="J44" s="193">
        <f t="shared" si="30"/>
        <v>6863.636363636364</v>
      </c>
      <c r="K44" s="193">
        <f t="shared" si="30"/>
        <v>10295.454545454546</v>
      </c>
      <c r="L44" s="193">
        <f t="shared" si="30"/>
        <v>3431.818181818182</v>
      </c>
      <c r="M44" s="193">
        <f t="shared" si="30"/>
        <v>6863.636363636364</v>
      </c>
      <c r="N44" s="193">
        <f t="shared" si="30"/>
        <v>6863.636363636364</v>
      </c>
      <c r="O44" s="193">
        <f t="shared" si="30"/>
        <v>6863.636363636364</v>
      </c>
      <c r="P44" s="193">
        <f t="shared" si="30"/>
        <v>6863.636363636364</v>
      </c>
      <c r="Q44" s="194">
        <f t="shared" si="30"/>
        <v>6863.636363636364</v>
      </c>
    </row>
    <row r="45" spans="2:17" x14ac:dyDescent="0.2">
      <c r="B45" s="148"/>
      <c r="D45" s="110"/>
      <c r="E45" s="110"/>
      <c r="F45" s="277" t="s">
        <v>47</v>
      </c>
      <c r="G45" s="278" t="s">
        <v>32</v>
      </c>
      <c r="H45" s="278">
        <f>+SUM(I45:Q45)</f>
        <v>0</v>
      </c>
      <c r="I45" s="279">
        <f>+SUM(I46:I52)</f>
        <v>0</v>
      </c>
      <c r="J45" s="279">
        <f t="shared" ref="J45" si="31">+SUM(J46:J52)</f>
        <v>0</v>
      </c>
      <c r="K45" s="279">
        <f t="shared" ref="K45" si="32">+SUM(K46:K52)</f>
        <v>0</v>
      </c>
      <c r="L45" s="279">
        <f t="shared" ref="L45" si="33">+SUM(L46:L52)</f>
        <v>0</v>
      </c>
      <c r="M45" s="279">
        <f t="shared" ref="M45" si="34">+SUM(M46:M52)</f>
        <v>0</v>
      </c>
      <c r="N45" s="279">
        <f t="shared" ref="N45" si="35">+SUM(N46:N52)</f>
        <v>0</v>
      </c>
      <c r="O45" s="279">
        <f t="shared" ref="O45" si="36">+SUM(O46:O52)</f>
        <v>0</v>
      </c>
      <c r="P45" s="279">
        <f t="shared" ref="P45" si="37">+SUM(P46:P52)</f>
        <v>0</v>
      </c>
      <c r="Q45" s="280">
        <f t="shared" ref="Q45" si="38">+SUM(Q46:Q52)</f>
        <v>0</v>
      </c>
    </row>
    <row r="46" spans="2:17" x14ac:dyDescent="0.2">
      <c r="B46" s="148"/>
      <c r="D46" s="110"/>
      <c r="E46" s="110"/>
      <c r="F46" s="288" t="str">
        <f t="shared" si="1"/>
        <v>Otros</v>
      </c>
      <c r="G46" s="281" t="s">
        <v>419</v>
      </c>
      <c r="H46" s="179">
        <f t="shared" si="2"/>
        <v>0</v>
      </c>
      <c r="I46" s="193">
        <f t="shared" ref="I46:Q52" si="39">+SUMIFS(I$63:I$1048576,$D$63:$D$1048576,$F46,$E$63:$E$1048576,$G46)</f>
        <v>0</v>
      </c>
      <c r="J46" s="193">
        <f t="shared" si="39"/>
        <v>0</v>
      </c>
      <c r="K46" s="193">
        <f t="shared" si="39"/>
        <v>0</v>
      </c>
      <c r="L46" s="193">
        <f t="shared" si="39"/>
        <v>0</v>
      </c>
      <c r="M46" s="193">
        <f t="shared" si="39"/>
        <v>0</v>
      </c>
      <c r="N46" s="193">
        <f t="shared" si="39"/>
        <v>0</v>
      </c>
      <c r="O46" s="193">
        <f t="shared" si="39"/>
        <v>0</v>
      </c>
      <c r="P46" s="193">
        <f t="shared" si="39"/>
        <v>0</v>
      </c>
      <c r="Q46" s="194">
        <f t="shared" si="39"/>
        <v>0</v>
      </c>
    </row>
    <row r="47" spans="2:17" x14ac:dyDescent="0.2">
      <c r="B47" s="148"/>
      <c r="D47" s="110"/>
      <c r="E47" s="110"/>
      <c r="F47" s="288" t="str">
        <f t="shared" si="1"/>
        <v>Otros</v>
      </c>
      <c r="G47" s="281" t="s">
        <v>420</v>
      </c>
      <c r="H47" s="179">
        <f t="shared" si="2"/>
        <v>0</v>
      </c>
      <c r="I47" s="193">
        <f t="shared" si="39"/>
        <v>0</v>
      </c>
      <c r="J47" s="193">
        <f t="shared" si="39"/>
        <v>0</v>
      </c>
      <c r="K47" s="193">
        <f t="shared" si="39"/>
        <v>0</v>
      </c>
      <c r="L47" s="193">
        <f t="shared" si="39"/>
        <v>0</v>
      </c>
      <c r="M47" s="193">
        <f t="shared" si="39"/>
        <v>0</v>
      </c>
      <c r="N47" s="193">
        <f t="shared" si="39"/>
        <v>0</v>
      </c>
      <c r="O47" s="193">
        <f t="shared" si="39"/>
        <v>0</v>
      </c>
      <c r="P47" s="193">
        <f t="shared" si="39"/>
        <v>0</v>
      </c>
      <c r="Q47" s="194">
        <f t="shared" si="39"/>
        <v>0</v>
      </c>
    </row>
    <row r="48" spans="2:17" x14ac:dyDescent="0.2">
      <c r="B48" s="148"/>
      <c r="D48" s="110"/>
      <c r="E48" s="110"/>
      <c r="F48" s="288" t="str">
        <f t="shared" si="1"/>
        <v>Otros</v>
      </c>
      <c r="G48" s="281" t="s">
        <v>421</v>
      </c>
      <c r="H48" s="179">
        <f t="shared" si="2"/>
        <v>0</v>
      </c>
      <c r="I48" s="193">
        <f t="shared" si="39"/>
        <v>0</v>
      </c>
      <c r="J48" s="193">
        <f t="shared" si="39"/>
        <v>0</v>
      </c>
      <c r="K48" s="193">
        <f t="shared" si="39"/>
        <v>0</v>
      </c>
      <c r="L48" s="193">
        <f t="shared" si="39"/>
        <v>0</v>
      </c>
      <c r="M48" s="193">
        <f t="shared" si="39"/>
        <v>0</v>
      </c>
      <c r="N48" s="193">
        <f t="shared" si="39"/>
        <v>0</v>
      </c>
      <c r="O48" s="193">
        <f t="shared" si="39"/>
        <v>0</v>
      </c>
      <c r="P48" s="193">
        <f t="shared" si="39"/>
        <v>0</v>
      </c>
      <c r="Q48" s="194">
        <f t="shared" si="39"/>
        <v>0</v>
      </c>
    </row>
    <row r="49" spans="2:17" x14ac:dyDescent="0.2">
      <c r="B49" s="148"/>
      <c r="D49" s="110"/>
      <c r="E49" s="110"/>
      <c r="F49" s="288" t="str">
        <f t="shared" si="1"/>
        <v>Otros</v>
      </c>
      <c r="G49" s="281" t="s">
        <v>422</v>
      </c>
      <c r="H49" s="179">
        <f t="shared" si="2"/>
        <v>0</v>
      </c>
      <c r="I49" s="193">
        <f t="shared" si="39"/>
        <v>0</v>
      </c>
      <c r="J49" s="193">
        <f t="shared" si="39"/>
        <v>0</v>
      </c>
      <c r="K49" s="193">
        <f t="shared" si="39"/>
        <v>0</v>
      </c>
      <c r="L49" s="193">
        <f t="shared" si="39"/>
        <v>0</v>
      </c>
      <c r="M49" s="193">
        <f t="shared" si="39"/>
        <v>0</v>
      </c>
      <c r="N49" s="193">
        <f t="shared" si="39"/>
        <v>0</v>
      </c>
      <c r="O49" s="193">
        <f t="shared" si="39"/>
        <v>0</v>
      </c>
      <c r="P49" s="193">
        <f t="shared" si="39"/>
        <v>0</v>
      </c>
      <c r="Q49" s="194">
        <f t="shared" si="39"/>
        <v>0</v>
      </c>
    </row>
    <row r="50" spans="2:17" x14ac:dyDescent="0.2">
      <c r="B50" s="148"/>
      <c r="D50" s="110"/>
      <c r="E50" s="110"/>
      <c r="F50" s="288" t="str">
        <f t="shared" si="1"/>
        <v>Otros</v>
      </c>
      <c r="G50" s="281" t="s">
        <v>423</v>
      </c>
      <c r="H50" s="179">
        <f t="shared" si="2"/>
        <v>0</v>
      </c>
      <c r="I50" s="193">
        <f t="shared" si="39"/>
        <v>0</v>
      </c>
      <c r="J50" s="193">
        <f t="shared" si="39"/>
        <v>0</v>
      </c>
      <c r="K50" s="193">
        <f t="shared" si="39"/>
        <v>0</v>
      </c>
      <c r="L50" s="193">
        <f t="shared" si="39"/>
        <v>0</v>
      </c>
      <c r="M50" s="193">
        <f t="shared" si="39"/>
        <v>0</v>
      </c>
      <c r="N50" s="193">
        <f t="shared" si="39"/>
        <v>0</v>
      </c>
      <c r="O50" s="193">
        <f t="shared" si="39"/>
        <v>0</v>
      </c>
      <c r="P50" s="193">
        <f t="shared" si="39"/>
        <v>0</v>
      </c>
      <c r="Q50" s="194">
        <f t="shared" si="39"/>
        <v>0</v>
      </c>
    </row>
    <row r="51" spans="2:17" x14ac:dyDescent="0.2">
      <c r="B51" s="148"/>
      <c r="D51" s="110"/>
      <c r="E51" s="110"/>
      <c r="F51" s="288" t="str">
        <f t="shared" si="1"/>
        <v>Otros</v>
      </c>
      <c r="G51" s="281" t="s">
        <v>424</v>
      </c>
      <c r="H51" s="179">
        <f t="shared" si="2"/>
        <v>0</v>
      </c>
      <c r="I51" s="193">
        <f t="shared" si="39"/>
        <v>0</v>
      </c>
      <c r="J51" s="193">
        <f t="shared" si="39"/>
        <v>0</v>
      </c>
      <c r="K51" s="193">
        <f t="shared" si="39"/>
        <v>0</v>
      </c>
      <c r="L51" s="193">
        <f t="shared" si="39"/>
        <v>0</v>
      </c>
      <c r="M51" s="193">
        <f t="shared" si="39"/>
        <v>0</v>
      </c>
      <c r="N51" s="193">
        <f t="shared" si="39"/>
        <v>0</v>
      </c>
      <c r="O51" s="193">
        <f t="shared" si="39"/>
        <v>0</v>
      </c>
      <c r="P51" s="193">
        <f t="shared" si="39"/>
        <v>0</v>
      </c>
      <c r="Q51" s="194">
        <f t="shared" si="39"/>
        <v>0</v>
      </c>
    </row>
    <row r="52" spans="2:17" ht="12" thickBot="1" x14ac:dyDescent="0.25">
      <c r="B52" s="148"/>
      <c r="D52" s="110"/>
      <c r="E52" s="110"/>
      <c r="F52" s="288" t="str">
        <f t="shared" si="1"/>
        <v>Otros</v>
      </c>
      <c r="G52" s="281" t="s">
        <v>47</v>
      </c>
      <c r="H52" s="179">
        <f t="shared" si="2"/>
        <v>0</v>
      </c>
      <c r="I52" s="193">
        <f t="shared" si="39"/>
        <v>0</v>
      </c>
      <c r="J52" s="193">
        <f t="shared" si="39"/>
        <v>0</v>
      </c>
      <c r="K52" s="193">
        <f t="shared" si="39"/>
        <v>0</v>
      </c>
      <c r="L52" s="193">
        <f t="shared" si="39"/>
        <v>0</v>
      </c>
      <c r="M52" s="193">
        <f t="shared" si="39"/>
        <v>0</v>
      </c>
      <c r="N52" s="193">
        <f t="shared" si="39"/>
        <v>0</v>
      </c>
      <c r="O52" s="193">
        <f t="shared" si="39"/>
        <v>0</v>
      </c>
      <c r="P52" s="193">
        <f t="shared" si="39"/>
        <v>0</v>
      </c>
      <c r="Q52" s="194">
        <f t="shared" si="39"/>
        <v>0</v>
      </c>
    </row>
    <row r="53" spans="2:17" x14ac:dyDescent="0.2">
      <c r="B53" s="148"/>
      <c r="D53" s="110"/>
      <c r="E53" s="110"/>
      <c r="F53" s="282" t="s">
        <v>32</v>
      </c>
      <c r="G53" s="283" t="s">
        <v>32</v>
      </c>
      <c r="H53" s="283">
        <f>+H45+H37+H29+H21+H13</f>
        <v>4913245.1075799949</v>
      </c>
      <c r="I53" s="284">
        <f t="shared" ref="I53:Q53" si="40">+I45+I37+I29+I21+I13</f>
        <v>568090.87053919141</v>
      </c>
      <c r="J53" s="284">
        <f t="shared" si="40"/>
        <v>529636.325084646</v>
      </c>
      <c r="K53" s="284">
        <f t="shared" si="40"/>
        <v>546372.68872100953</v>
      </c>
      <c r="L53" s="284">
        <f t="shared" si="40"/>
        <v>632463.59781191871</v>
      </c>
      <c r="M53" s="284">
        <f t="shared" si="40"/>
        <v>543363.59781191871</v>
      </c>
      <c r="N53" s="284">
        <f t="shared" si="40"/>
        <v>556499.96144828235</v>
      </c>
      <c r="O53" s="284">
        <f t="shared" si="40"/>
        <v>523045.41599373682</v>
      </c>
      <c r="P53" s="284">
        <f t="shared" si="40"/>
        <v>502181.77963010047</v>
      </c>
      <c r="Q53" s="285">
        <f t="shared" si="40"/>
        <v>511590.87053919141</v>
      </c>
    </row>
    <row r="54" spans="2:17" x14ac:dyDescent="0.2">
      <c r="B54" s="148"/>
      <c r="D54" s="110"/>
      <c r="E54" s="110"/>
      <c r="F54" s="288" t="str">
        <f t="shared" si="1"/>
        <v>Total</v>
      </c>
      <c r="G54" s="281" t="s">
        <v>419</v>
      </c>
      <c r="H54" s="179">
        <f t="shared" ref="H54:H60" si="41">+H46+H38+H30+H22+H14</f>
        <v>3513420.4549825923</v>
      </c>
      <c r="I54" s="193">
        <f t="shared" ref="I54:Q54" si="42">+I46+I38+I30+I22+I14</f>
        <v>400839.64651321736</v>
      </c>
      <c r="J54" s="193">
        <f t="shared" si="42"/>
        <v>387112.37378594466</v>
      </c>
      <c r="K54" s="193">
        <f t="shared" si="42"/>
        <v>383680.55560412642</v>
      </c>
      <c r="L54" s="193">
        <f t="shared" si="42"/>
        <v>443976.01014958101</v>
      </c>
      <c r="M54" s="193">
        <f t="shared" si="42"/>
        <v>393976.01014958101</v>
      </c>
      <c r="N54" s="193">
        <f t="shared" si="42"/>
        <v>390544.19196776277</v>
      </c>
      <c r="O54" s="193">
        <f t="shared" si="42"/>
        <v>376816.91924049007</v>
      </c>
      <c r="P54" s="193">
        <f t="shared" si="42"/>
        <v>373385.10105867195</v>
      </c>
      <c r="Q54" s="194">
        <f t="shared" si="42"/>
        <v>363089.64651321736</v>
      </c>
    </row>
    <row r="55" spans="2:17" x14ac:dyDescent="0.2">
      <c r="B55" s="148"/>
      <c r="D55" s="110"/>
      <c r="E55" s="110"/>
      <c r="F55" s="288" t="str">
        <f t="shared" si="1"/>
        <v>Total</v>
      </c>
      <c r="G55" s="281" t="s">
        <v>420</v>
      </c>
      <c r="H55" s="179">
        <f t="shared" si="41"/>
        <v>675405.85714285704</v>
      </c>
      <c r="I55" s="193">
        <f t="shared" ref="I55:Q55" si="43">+I47+I39+I31+I23+I15</f>
        <v>75045.095238095237</v>
      </c>
      <c r="J55" s="193">
        <f t="shared" si="43"/>
        <v>75045.095238095237</v>
      </c>
      <c r="K55" s="193">
        <f t="shared" si="43"/>
        <v>75045.095238095237</v>
      </c>
      <c r="L55" s="193">
        <f t="shared" si="43"/>
        <v>75045.095238095237</v>
      </c>
      <c r="M55" s="193">
        <f t="shared" si="43"/>
        <v>75045.095238095237</v>
      </c>
      <c r="N55" s="193">
        <f t="shared" si="43"/>
        <v>75045.095238095237</v>
      </c>
      <c r="O55" s="193">
        <f t="shared" si="43"/>
        <v>75045.095238095237</v>
      </c>
      <c r="P55" s="193">
        <f t="shared" si="43"/>
        <v>75045.095238095237</v>
      </c>
      <c r="Q55" s="194">
        <f t="shared" si="43"/>
        <v>75045.095238095237</v>
      </c>
    </row>
    <row r="56" spans="2:17" x14ac:dyDescent="0.2">
      <c r="B56" s="148"/>
      <c r="D56" s="110"/>
      <c r="E56" s="110"/>
      <c r="F56" s="288" t="str">
        <f t="shared" si="1"/>
        <v>Total</v>
      </c>
      <c r="G56" s="281" t="s">
        <v>421</v>
      </c>
      <c r="H56" s="179">
        <f t="shared" si="41"/>
        <v>144014.25</v>
      </c>
      <c r="I56" s="193">
        <f t="shared" ref="I56:Q56" si="44">+I48+I40+I32+I24+I16</f>
        <v>16001.583333333334</v>
      </c>
      <c r="J56" s="193">
        <f t="shared" si="44"/>
        <v>16001.583333333334</v>
      </c>
      <c r="K56" s="193">
        <f t="shared" si="44"/>
        <v>16001.583333333334</v>
      </c>
      <c r="L56" s="193">
        <f t="shared" si="44"/>
        <v>16001.583333333334</v>
      </c>
      <c r="M56" s="193">
        <f t="shared" si="44"/>
        <v>16001.583333333334</v>
      </c>
      <c r="N56" s="193">
        <f t="shared" si="44"/>
        <v>16001.583333333334</v>
      </c>
      <c r="O56" s="193">
        <f t="shared" si="44"/>
        <v>16001.583333333334</v>
      </c>
      <c r="P56" s="193">
        <f t="shared" si="44"/>
        <v>16001.583333333334</v>
      </c>
      <c r="Q56" s="194">
        <f t="shared" si="44"/>
        <v>16001.583333333334</v>
      </c>
    </row>
    <row r="57" spans="2:17" x14ac:dyDescent="0.2">
      <c r="B57" s="148"/>
      <c r="D57" s="110"/>
      <c r="E57" s="110"/>
      <c r="F57" s="288" t="str">
        <f t="shared" si="1"/>
        <v>Total</v>
      </c>
      <c r="G57" s="281" t="s">
        <v>422</v>
      </c>
      <c r="H57" s="179">
        <f t="shared" si="41"/>
        <v>0</v>
      </c>
      <c r="I57" s="193">
        <f t="shared" ref="I57:Q57" si="45">+I49+I41+I33+I25+I17</f>
        <v>0</v>
      </c>
      <c r="J57" s="193">
        <f t="shared" si="45"/>
        <v>0</v>
      </c>
      <c r="K57" s="193">
        <f t="shared" si="45"/>
        <v>0</v>
      </c>
      <c r="L57" s="193">
        <f t="shared" si="45"/>
        <v>0</v>
      </c>
      <c r="M57" s="193">
        <f t="shared" si="45"/>
        <v>0</v>
      </c>
      <c r="N57" s="193">
        <f t="shared" si="45"/>
        <v>0</v>
      </c>
      <c r="O57" s="193">
        <f t="shared" si="45"/>
        <v>0</v>
      </c>
      <c r="P57" s="193">
        <f t="shared" si="45"/>
        <v>0</v>
      </c>
      <c r="Q57" s="194">
        <f t="shared" si="45"/>
        <v>0</v>
      </c>
    </row>
    <row r="58" spans="2:17" x14ac:dyDescent="0.2">
      <c r="B58" s="148"/>
      <c r="D58" s="110"/>
      <c r="E58" s="110"/>
      <c r="F58" s="288" t="str">
        <f t="shared" si="1"/>
        <v>Total</v>
      </c>
      <c r="G58" s="281" t="s">
        <v>423</v>
      </c>
      <c r="H58" s="179">
        <f t="shared" si="41"/>
        <v>79500</v>
      </c>
      <c r="I58" s="193">
        <f t="shared" ref="I58:Q58" si="46">+I50+I42+I34+I26+I18</f>
        <v>11000</v>
      </c>
      <c r="J58" s="193">
        <f t="shared" si="46"/>
        <v>0</v>
      </c>
      <c r="K58" s="193">
        <f t="shared" si="46"/>
        <v>19500</v>
      </c>
      <c r="L58" s="193">
        <f t="shared" si="46"/>
        <v>35000</v>
      </c>
      <c r="M58" s="193">
        <f t="shared" si="46"/>
        <v>0</v>
      </c>
      <c r="N58" s="193">
        <f t="shared" si="46"/>
        <v>0</v>
      </c>
      <c r="O58" s="193">
        <f t="shared" si="46"/>
        <v>14000</v>
      </c>
      <c r="P58" s="193">
        <f t="shared" si="46"/>
        <v>0</v>
      </c>
      <c r="Q58" s="194">
        <f t="shared" si="46"/>
        <v>0</v>
      </c>
    </row>
    <row r="59" spans="2:17" x14ac:dyDescent="0.2">
      <c r="B59" s="148"/>
      <c r="D59" s="110"/>
      <c r="E59" s="110"/>
      <c r="F59" s="288" t="str">
        <f t="shared" si="1"/>
        <v>Total</v>
      </c>
      <c r="G59" s="281" t="s">
        <v>424</v>
      </c>
      <c r="H59" s="179">
        <f t="shared" si="41"/>
        <v>50000</v>
      </c>
      <c r="I59" s="193">
        <f t="shared" ref="I59:Q59" si="47">+I51+I43+I35+I27+I19</f>
        <v>0</v>
      </c>
      <c r="J59" s="193">
        <f t="shared" si="47"/>
        <v>0</v>
      </c>
      <c r="K59" s="193">
        <f t="shared" si="47"/>
        <v>0</v>
      </c>
      <c r="L59" s="193">
        <f t="shared" si="47"/>
        <v>0</v>
      </c>
      <c r="M59" s="193">
        <f t="shared" si="47"/>
        <v>0</v>
      </c>
      <c r="N59" s="193">
        <f t="shared" si="47"/>
        <v>20000</v>
      </c>
      <c r="O59" s="193">
        <f t="shared" si="47"/>
        <v>0</v>
      </c>
      <c r="P59" s="193">
        <f t="shared" si="47"/>
        <v>0</v>
      </c>
      <c r="Q59" s="194">
        <f t="shared" si="47"/>
        <v>30000</v>
      </c>
    </row>
    <row r="60" spans="2:17" ht="12" thickBot="1" x14ac:dyDescent="0.25">
      <c r="B60" s="148"/>
      <c r="D60" s="110"/>
      <c r="E60" s="110"/>
      <c r="F60" s="289" t="str">
        <f t="shared" si="1"/>
        <v>Total</v>
      </c>
      <c r="G60" s="181" t="s">
        <v>47</v>
      </c>
      <c r="H60" s="180">
        <f t="shared" si="41"/>
        <v>450904.54545454547</v>
      </c>
      <c r="I60" s="195">
        <f t="shared" ref="I60:Q60" si="48">+I52+I44+I36+I28+I20</f>
        <v>65204.545454545456</v>
      </c>
      <c r="J60" s="195">
        <f t="shared" si="48"/>
        <v>51477.272727272735</v>
      </c>
      <c r="K60" s="195">
        <f t="shared" si="48"/>
        <v>52145.454545454544</v>
      </c>
      <c r="L60" s="195">
        <f t="shared" si="48"/>
        <v>62440.909090909096</v>
      </c>
      <c r="M60" s="195">
        <f t="shared" si="48"/>
        <v>58340.909090909088</v>
      </c>
      <c r="N60" s="195">
        <f t="shared" si="48"/>
        <v>54909.090909090912</v>
      </c>
      <c r="O60" s="195">
        <f t="shared" si="48"/>
        <v>41181.818181818191</v>
      </c>
      <c r="P60" s="195">
        <f t="shared" si="48"/>
        <v>37750</v>
      </c>
      <c r="Q60" s="196">
        <f t="shared" si="48"/>
        <v>27454.545454545456</v>
      </c>
    </row>
    <row r="61" spans="2:17" ht="12" thickBot="1" x14ac:dyDescent="0.25">
      <c r="D61" s="110"/>
      <c r="E61" s="110"/>
      <c r="F61" s="110"/>
    </row>
    <row r="62" spans="2:17" ht="25" thickBot="1" x14ac:dyDescent="0.25">
      <c r="C62" s="204" t="s">
        <v>269</v>
      </c>
      <c r="D62" s="171" t="s">
        <v>17</v>
      </c>
      <c r="E62" s="171" t="s">
        <v>425</v>
      </c>
      <c r="F62" s="171" t="s">
        <v>426</v>
      </c>
      <c r="G62" s="171" t="s">
        <v>273</v>
      </c>
      <c r="H62" s="211" t="s">
        <v>32</v>
      </c>
      <c r="I62" s="115">
        <v>45777</v>
      </c>
      <c r="J62" s="115">
        <v>45807</v>
      </c>
      <c r="K62" s="115">
        <v>45838</v>
      </c>
      <c r="L62" s="115">
        <v>45868</v>
      </c>
      <c r="M62" s="115">
        <v>45899</v>
      </c>
      <c r="N62" s="115">
        <v>45930</v>
      </c>
      <c r="O62" s="115">
        <v>45960</v>
      </c>
      <c r="P62" s="115">
        <v>45991</v>
      </c>
      <c r="Q62" s="116">
        <v>46021</v>
      </c>
    </row>
    <row r="63" spans="2:17" x14ac:dyDescent="0.2">
      <c r="C63" s="262"/>
      <c r="D63" s="263" t="s">
        <v>41</v>
      </c>
      <c r="E63" s="263" t="s">
        <v>419</v>
      </c>
      <c r="F63" s="457" t="s">
        <v>22</v>
      </c>
      <c r="G63" s="265">
        <f>+'Gantt Proyectos'!J97</f>
        <v>1</v>
      </c>
      <c r="H63" s="290">
        <f>+SUM(I63:Q63)</f>
        <v>209561.69886481765</v>
      </c>
      <c r="I63" s="454">
        <f>+'Listas y Parametros'!V64</f>
        <v>23284.633207201961</v>
      </c>
      <c r="J63" s="266">
        <f>+'Listas y Parametros'!W64</f>
        <v>23284.633207201961</v>
      </c>
      <c r="K63" s="266">
        <f>+'Listas y Parametros'!X64</f>
        <v>23284.633207201961</v>
      </c>
      <c r="L63" s="266">
        <f>+'Listas y Parametros'!Y64</f>
        <v>23284.633207201961</v>
      </c>
      <c r="M63" s="266">
        <f>+'Listas y Parametros'!Z64</f>
        <v>23284.633207201961</v>
      </c>
      <c r="N63" s="266">
        <f>+'Listas y Parametros'!AA64</f>
        <v>23284.633207201961</v>
      </c>
      <c r="O63" s="266">
        <f>+'Listas y Parametros'!AB64</f>
        <v>23284.633207201961</v>
      </c>
      <c r="P63" s="266">
        <f>+'Listas y Parametros'!AC64</f>
        <v>23284.633207201961</v>
      </c>
      <c r="Q63" s="267">
        <f>+'Listas y Parametros'!AD64</f>
        <v>23284.633207201961</v>
      </c>
    </row>
    <row r="64" spans="2:17" x14ac:dyDescent="0.2">
      <c r="C64" s="117"/>
      <c r="D64" s="287" t="str">
        <f>+D63</f>
        <v>Chile</v>
      </c>
      <c r="E64" s="268" t="s">
        <v>419</v>
      </c>
      <c r="F64" s="451" t="s">
        <v>23</v>
      </c>
      <c r="G64" s="120">
        <f>+'Gantt Proyectos'!J98</f>
        <v>1</v>
      </c>
      <c r="H64" s="291">
        <f t="shared" ref="H64:H102" si="49">+SUM(I64:Q64)</f>
        <v>127995.65990269862</v>
      </c>
      <c r="I64" s="455">
        <f>+'Listas y Parametros'!V65</f>
        <v>14221.73998918874</v>
      </c>
      <c r="J64" s="270">
        <f>+'Listas y Parametros'!W65</f>
        <v>14221.73998918874</v>
      </c>
      <c r="K64" s="270">
        <f>+'Listas y Parametros'!X65</f>
        <v>14221.73998918874</v>
      </c>
      <c r="L64" s="270">
        <f>+'Listas y Parametros'!Y65</f>
        <v>14221.73998918874</v>
      </c>
      <c r="M64" s="270">
        <f>+'Listas y Parametros'!Z65</f>
        <v>14221.73998918874</v>
      </c>
      <c r="N64" s="270">
        <f>+'Listas y Parametros'!AA65</f>
        <v>14221.73998918874</v>
      </c>
      <c r="O64" s="270">
        <f>+'Listas y Parametros'!AB65</f>
        <v>14221.73998918874</v>
      </c>
      <c r="P64" s="270">
        <f>+'Listas y Parametros'!AC65</f>
        <v>14221.73998918874</v>
      </c>
      <c r="Q64" s="170">
        <f>+'Listas y Parametros'!AD65</f>
        <v>14221.73998918874</v>
      </c>
    </row>
    <row r="65" spans="3:17" x14ac:dyDescent="0.2">
      <c r="C65" s="117"/>
      <c r="D65" s="287" t="str">
        <f t="shared" ref="D65:D83" si="50">+D64</f>
        <v>Chile</v>
      </c>
      <c r="E65" s="268" t="s">
        <v>419</v>
      </c>
      <c r="F65" s="451" t="s">
        <v>33</v>
      </c>
      <c r="G65" s="120">
        <f>+'Gantt Proyectos'!J99</f>
        <v>1</v>
      </c>
      <c r="H65" s="291">
        <f t="shared" si="49"/>
        <v>1853469.9108902661</v>
      </c>
      <c r="I65" s="455">
        <f>+'Listas y Parametros'!V66</f>
        <v>205941.10121002956</v>
      </c>
      <c r="J65" s="270">
        <f>+'Listas y Parametros'!W66</f>
        <v>205941.10121002956</v>
      </c>
      <c r="K65" s="270">
        <f>+'Listas y Parametros'!X66</f>
        <v>205941.10121002956</v>
      </c>
      <c r="L65" s="270">
        <f>+'Listas y Parametros'!Y66</f>
        <v>205941.10121002956</v>
      </c>
      <c r="M65" s="270">
        <f>+'Listas y Parametros'!Z66</f>
        <v>205941.10121002956</v>
      </c>
      <c r="N65" s="270">
        <f>+'Listas y Parametros'!AA66</f>
        <v>205941.10121002956</v>
      </c>
      <c r="O65" s="270">
        <f>+'Listas y Parametros'!AB66</f>
        <v>205941.10121002956</v>
      </c>
      <c r="P65" s="270">
        <f>+'Listas y Parametros'!AC66</f>
        <v>205941.10121002956</v>
      </c>
      <c r="Q65" s="170">
        <f>+'Listas y Parametros'!AD66</f>
        <v>205941.10121002956</v>
      </c>
    </row>
    <row r="66" spans="3:17" x14ac:dyDescent="0.2">
      <c r="C66" s="117"/>
      <c r="D66" s="287" t="str">
        <f t="shared" si="50"/>
        <v>Chile</v>
      </c>
      <c r="E66" s="268" t="s">
        <v>419</v>
      </c>
      <c r="F66" s="451" t="s">
        <v>31</v>
      </c>
      <c r="G66" s="120">
        <f>+'Gantt Proyectos'!J100</f>
        <v>1</v>
      </c>
      <c r="H66" s="291">
        <f t="shared" si="49"/>
        <v>74870.879870264878</v>
      </c>
      <c r="I66" s="455">
        <f>+'Listas y Parametros'!V74</f>
        <v>8318.9866522516531</v>
      </c>
      <c r="J66" s="270">
        <f>+'Listas y Parametros'!W74</f>
        <v>8318.9866522516531</v>
      </c>
      <c r="K66" s="270">
        <f>+'Listas y Parametros'!X74</f>
        <v>8318.9866522516531</v>
      </c>
      <c r="L66" s="270">
        <f>+'Listas y Parametros'!Y74</f>
        <v>8318.9866522516531</v>
      </c>
      <c r="M66" s="270">
        <f>+'Listas y Parametros'!Z74</f>
        <v>8318.9866522516531</v>
      </c>
      <c r="N66" s="270">
        <f>+'Listas y Parametros'!AA74</f>
        <v>8318.9866522516531</v>
      </c>
      <c r="O66" s="270">
        <f>+'Listas y Parametros'!AB74</f>
        <v>8318.9866522516531</v>
      </c>
      <c r="P66" s="270">
        <f>+'Listas y Parametros'!AC74</f>
        <v>8318.9866522516531</v>
      </c>
      <c r="Q66" s="170">
        <f>+'Listas y Parametros'!AD74</f>
        <v>8318.9866522516531</v>
      </c>
    </row>
    <row r="67" spans="3:17" x14ac:dyDescent="0.2">
      <c r="C67" s="117"/>
      <c r="D67" s="287" t="str">
        <f t="shared" si="50"/>
        <v>Chile</v>
      </c>
      <c r="E67" s="268" t="s">
        <v>419</v>
      </c>
      <c r="F67" s="451" t="s">
        <v>68</v>
      </c>
      <c r="G67" s="120">
        <f>+'Gantt Proyectos'!J101</f>
        <v>1</v>
      </c>
      <c r="H67" s="291">
        <f t="shared" si="49"/>
        <v>223068.18181818182</v>
      </c>
      <c r="I67" s="455">
        <f>+SUMIFS('Listas y Parametros'!C$289:C$293,'Listas y Parametros'!$B$289:$B$293,'Costos Proyectados por Unidad'!$D67)</f>
        <v>44613.636363636368</v>
      </c>
      <c r="J67" s="270">
        <f>+SUMIFS('Listas y Parametros'!D$289:D$293,'Listas y Parametros'!$B$289:$B$293,'Costos Proyectados por Unidad'!$D67)</f>
        <v>27454.545454545456</v>
      </c>
      <c r="K67" s="270">
        <f>+SUMIFS('Listas y Parametros'!E$289:E$293,'Listas y Parametros'!$B$289:$B$293,'Costos Proyectados por Unidad'!$D67)</f>
        <v>20590.909090909092</v>
      </c>
      <c r="L67" s="270">
        <f>+SUMIFS('Listas y Parametros'!F$289:F$293,'Listas y Parametros'!$B$289:$B$293,'Costos Proyectados por Unidad'!$D67)</f>
        <v>30886.36363636364</v>
      </c>
      <c r="M67" s="270">
        <f>+SUMIFS('Listas y Parametros'!G$289:G$293,'Listas y Parametros'!$B$289:$B$293,'Costos Proyectados por Unidad'!$D67)</f>
        <v>27454.545454545456</v>
      </c>
      <c r="N67" s="270">
        <f>+SUMIFS('Listas y Parametros'!H$289:H$293,'Listas y Parametros'!$B$289:$B$293,'Costos Proyectados por Unidad'!$D67)</f>
        <v>24022.727272727272</v>
      </c>
      <c r="O67" s="270">
        <f>+SUMIFS('Listas y Parametros'!I$289:I$293,'Listas y Parametros'!$B$289:$B$293,'Costos Proyectados por Unidad'!$D67)</f>
        <v>17159.090909090912</v>
      </c>
      <c r="P67" s="270">
        <f>+SUMIFS('Listas y Parametros'!J$289:J$293,'Listas y Parametros'!$B$289:$B$293,'Costos Proyectados por Unidad'!$D67)</f>
        <v>17159.090909090912</v>
      </c>
      <c r="Q67" s="170">
        <f>+SUMIFS('Listas y Parametros'!K$289:K$293,'Listas y Parametros'!$B$289:$B$293,'Costos Proyectados por Unidad'!$D67)</f>
        <v>13727.272727272728</v>
      </c>
    </row>
    <row r="68" spans="3:17" x14ac:dyDescent="0.2">
      <c r="C68" s="117"/>
      <c r="D68" s="287" t="str">
        <f t="shared" si="50"/>
        <v>Chile</v>
      </c>
      <c r="E68" s="268" t="s">
        <v>419</v>
      </c>
      <c r="F68" s="451" t="s">
        <v>147</v>
      </c>
      <c r="G68" s="120">
        <f>+'Gantt Proyectos'!J102</f>
        <v>1</v>
      </c>
      <c r="H68" s="291">
        <f t="shared" si="49"/>
        <v>50000</v>
      </c>
      <c r="I68" s="455">
        <f>+SUMIFS('Listas y Parametros'!C$166:C$170,'Listas y Parametros'!$B$166:$B$170,'Costos Proyectados por Unidad'!$D68)</f>
        <v>0</v>
      </c>
      <c r="J68" s="270">
        <f>+SUMIFS('Listas y Parametros'!D$166:D$170,'Listas y Parametros'!$B$166:$B$170,'Costos Proyectados por Unidad'!$D68)</f>
        <v>0</v>
      </c>
      <c r="K68" s="270">
        <f>+SUMIFS('Listas y Parametros'!E$166:E$170,'Listas y Parametros'!$B$166:$B$170,'Costos Proyectados por Unidad'!$D68)</f>
        <v>0</v>
      </c>
      <c r="L68" s="270">
        <f>+SUMIFS('Listas y Parametros'!F$166:F$170,'Listas y Parametros'!$B$166:$B$170,'Costos Proyectados por Unidad'!$D68)</f>
        <v>50000</v>
      </c>
      <c r="M68" s="270">
        <f>+SUMIFS('Listas y Parametros'!G$166:G$170,'Listas y Parametros'!$B$166:$B$170,'Costos Proyectados por Unidad'!$D68)</f>
        <v>0</v>
      </c>
      <c r="N68" s="270">
        <f>+SUMIFS('Listas y Parametros'!H$166:H$170,'Listas y Parametros'!$B$166:$B$170,'Costos Proyectados por Unidad'!$D68)</f>
        <v>0</v>
      </c>
      <c r="O68" s="270">
        <f>+SUMIFS('Listas y Parametros'!I$166:I$170,'Listas y Parametros'!$B$166:$B$170,'Costos Proyectados por Unidad'!$D68)</f>
        <v>0</v>
      </c>
      <c r="P68" s="270">
        <f>+SUMIFS('Listas y Parametros'!J$166:J$170,'Listas y Parametros'!$B$166:$B$170,'Costos Proyectados por Unidad'!$D68)</f>
        <v>0</v>
      </c>
      <c r="Q68" s="170">
        <f>+SUMIFS('Listas y Parametros'!K$166:K$170,'Listas y Parametros'!$B$166:$B$170,'Costos Proyectados por Unidad'!$D68)</f>
        <v>0</v>
      </c>
    </row>
    <row r="69" spans="3:17" x14ac:dyDescent="0.2">
      <c r="C69" s="117"/>
      <c r="D69" s="287" t="str">
        <f t="shared" si="50"/>
        <v>Chile</v>
      </c>
      <c r="E69" s="268"/>
      <c r="F69" s="451"/>
      <c r="G69" s="120"/>
      <c r="H69" s="291"/>
      <c r="I69" s="455"/>
      <c r="J69" s="270"/>
      <c r="K69" s="270"/>
      <c r="L69" s="270"/>
      <c r="M69" s="270"/>
      <c r="N69" s="270"/>
      <c r="O69" s="270"/>
      <c r="P69" s="270"/>
      <c r="Q69" s="170"/>
    </row>
    <row r="70" spans="3:17" x14ac:dyDescent="0.2">
      <c r="C70" s="117"/>
      <c r="D70" s="287" t="str">
        <f t="shared" si="50"/>
        <v>Chile</v>
      </c>
      <c r="E70" s="268" t="s">
        <v>420</v>
      </c>
      <c r="F70" s="451" t="s">
        <v>235</v>
      </c>
      <c r="G70" s="120">
        <f>+'Gantt Proyectos'!J103</f>
        <v>1</v>
      </c>
      <c r="H70" s="291">
        <f t="shared" si="49"/>
        <v>0</v>
      </c>
      <c r="I70" s="455">
        <f>+SUMIFS('Listas y Parametros'!J$179:J$188,'Listas y Parametros'!$H$179:$H$188,'Costos Proyectados por Unidad'!$D70,'Listas y Parametros'!$I$179:$I$188,'Costos Proyectados por Unidad'!$F70)</f>
        <v>0</v>
      </c>
      <c r="J70" s="270">
        <f>+SUMIFS('Listas y Parametros'!K$179:K$188,'Listas y Parametros'!$H$179:$H$188,'Costos Proyectados por Unidad'!$D70,'Listas y Parametros'!$I$179:$I$188,'Costos Proyectados por Unidad'!$F70)</f>
        <v>0</v>
      </c>
      <c r="K70" s="270">
        <f>+SUMIFS('Listas y Parametros'!L$179:L$188,'Listas y Parametros'!$H$179:$H$188,'Costos Proyectados por Unidad'!$D70,'Listas y Parametros'!$I$179:$I$188,'Costos Proyectados por Unidad'!$F70)</f>
        <v>0</v>
      </c>
      <c r="L70" s="270">
        <f>+SUMIFS('Listas y Parametros'!M$179:M$188,'Listas y Parametros'!$H$179:$H$188,'Costos Proyectados por Unidad'!$D70,'Listas y Parametros'!$I$179:$I$188,'Costos Proyectados por Unidad'!$F70)</f>
        <v>0</v>
      </c>
      <c r="M70" s="270">
        <f>+SUMIFS('Listas y Parametros'!N$179:N$188,'Listas y Parametros'!$H$179:$H$188,'Costos Proyectados por Unidad'!$D70,'Listas y Parametros'!$I$179:$I$188,'Costos Proyectados por Unidad'!$F70)</f>
        <v>0</v>
      </c>
      <c r="N70" s="270">
        <f>+SUMIFS('Listas y Parametros'!O$179:O$188,'Listas y Parametros'!$H$179:$H$188,'Costos Proyectados por Unidad'!$D70,'Listas y Parametros'!$I$179:$I$188,'Costos Proyectados por Unidad'!$F70)</f>
        <v>0</v>
      </c>
      <c r="O70" s="270">
        <f>+SUMIFS('Listas y Parametros'!P$179:P$188,'Listas y Parametros'!$H$179:$H$188,'Costos Proyectados por Unidad'!$D70,'Listas y Parametros'!$I$179:$I$188,'Costos Proyectados por Unidad'!$F70)</f>
        <v>0</v>
      </c>
      <c r="P70" s="270">
        <f>+SUMIFS('Listas y Parametros'!Q$179:Q$188,'Listas y Parametros'!$H$179:$H$188,'Costos Proyectados por Unidad'!$D70,'Listas y Parametros'!$I$179:$I$188,'Costos Proyectados por Unidad'!$F70)</f>
        <v>0</v>
      </c>
      <c r="Q70" s="170">
        <f>+SUMIFS('Listas y Parametros'!R$179:R$188,'Listas y Parametros'!$H$179:$H$188,'Costos Proyectados por Unidad'!$D70,'Listas y Parametros'!$I$179:$I$188,'Costos Proyectados por Unidad'!$F70)</f>
        <v>0</v>
      </c>
    </row>
    <row r="71" spans="3:17" x14ac:dyDescent="0.2">
      <c r="C71" s="117"/>
      <c r="D71" s="287" t="str">
        <f t="shared" si="50"/>
        <v>Chile</v>
      </c>
      <c r="E71" s="268" t="s">
        <v>420</v>
      </c>
      <c r="F71" s="451" t="s">
        <v>236</v>
      </c>
      <c r="G71" s="120">
        <f>+'Gantt Proyectos'!J104</f>
        <v>1</v>
      </c>
      <c r="H71" s="291">
        <f t="shared" si="49"/>
        <v>465102</v>
      </c>
      <c r="I71" s="455">
        <f>+SUMIFS('Listas y Parametros'!J$179:J$188,'Listas y Parametros'!$H$179:$H$188,'Costos Proyectados por Unidad'!$D71,'Listas y Parametros'!$I$179:$I$188,'Costos Proyectados por Unidad'!$F71)</f>
        <v>51678</v>
      </c>
      <c r="J71" s="270">
        <f>+SUMIFS('Listas y Parametros'!K$179:K$188,'Listas y Parametros'!$H$179:$H$188,'Costos Proyectados por Unidad'!$D71,'Listas y Parametros'!$I$179:$I$188,'Costos Proyectados por Unidad'!$F71)</f>
        <v>51678</v>
      </c>
      <c r="K71" s="270">
        <f>+SUMIFS('Listas y Parametros'!L$179:L$188,'Listas y Parametros'!$H$179:$H$188,'Costos Proyectados por Unidad'!$D71,'Listas y Parametros'!$I$179:$I$188,'Costos Proyectados por Unidad'!$F71)</f>
        <v>51678</v>
      </c>
      <c r="L71" s="270">
        <f>+SUMIFS('Listas y Parametros'!M$179:M$188,'Listas y Parametros'!$H$179:$H$188,'Costos Proyectados por Unidad'!$D71,'Listas y Parametros'!$I$179:$I$188,'Costos Proyectados por Unidad'!$F71)</f>
        <v>51678</v>
      </c>
      <c r="M71" s="270">
        <f>+SUMIFS('Listas y Parametros'!N$179:N$188,'Listas y Parametros'!$H$179:$H$188,'Costos Proyectados por Unidad'!$D71,'Listas y Parametros'!$I$179:$I$188,'Costos Proyectados por Unidad'!$F71)</f>
        <v>51678</v>
      </c>
      <c r="N71" s="270">
        <f>+SUMIFS('Listas y Parametros'!O$179:O$188,'Listas y Parametros'!$H$179:$H$188,'Costos Proyectados por Unidad'!$D71,'Listas y Parametros'!$I$179:$I$188,'Costos Proyectados por Unidad'!$F71)</f>
        <v>51678</v>
      </c>
      <c r="O71" s="270">
        <f>+SUMIFS('Listas y Parametros'!P$179:P$188,'Listas y Parametros'!$H$179:$H$188,'Costos Proyectados por Unidad'!$D71,'Listas y Parametros'!$I$179:$I$188,'Costos Proyectados por Unidad'!$F71)</f>
        <v>51678</v>
      </c>
      <c r="P71" s="270">
        <f>+SUMIFS('Listas y Parametros'!Q$179:Q$188,'Listas y Parametros'!$H$179:$H$188,'Costos Proyectados por Unidad'!$D71,'Listas y Parametros'!$I$179:$I$188,'Costos Proyectados por Unidad'!$F71)</f>
        <v>51678</v>
      </c>
      <c r="Q71" s="170">
        <f>+SUMIFS('Listas y Parametros'!R$179:R$188,'Listas y Parametros'!$H$179:$H$188,'Costos Proyectados por Unidad'!$D71,'Listas y Parametros'!$I$179:$I$188,'Costos Proyectados por Unidad'!$F71)</f>
        <v>51678</v>
      </c>
    </row>
    <row r="72" spans="3:17" x14ac:dyDescent="0.2">
      <c r="C72" s="117"/>
      <c r="D72" s="287" t="str">
        <f t="shared" si="50"/>
        <v>Chile</v>
      </c>
      <c r="E72" s="268"/>
      <c r="F72" s="451"/>
      <c r="G72" s="120"/>
      <c r="H72" s="291"/>
      <c r="I72" s="455"/>
      <c r="J72" s="270"/>
      <c r="K72" s="270"/>
      <c r="L72" s="270"/>
      <c r="M72" s="270"/>
      <c r="N72" s="270"/>
      <c r="O72" s="270"/>
      <c r="P72" s="270"/>
      <c r="Q72" s="170"/>
    </row>
    <row r="73" spans="3:17" x14ac:dyDescent="0.2">
      <c r="C73" s="117"/>
      <c r="D73" s="287" t="str">
        <f t="shared" si="50"/>
        <v>Chile</v>
      </c>
      <c r="E73" s="268" t="s">
        <v>421</v>
      </c>
      <c r="F73" s="451" t="s">
        <v>427</v>
      </c>
      <c r="G73" s="120">
        <f>+'Gantt Proyectos'!J105</f>
        <v>1</v>
      </c>
      <c r="H73" s="291">
        <f t="shared" si="49"/>
        <v>65250</v>
      </c>
      <c r="I73" s="455">
        <f>+SUMIFS('Listas y Parametros'!J$195:J$199,'Listas y Parametros'!$I$195:$I$199,'Costos Proyectados por Unidad'!$D73)</f>
        <v>7250</v>
      </c>
      <c r="J73" s="270">
        <f>+SUMIFS('Listas y Parametros'!K$195:K$199,'Listas y Parametros'!$I$195:$I$199,'Costos Proyectados por Unidad'!$D73)</f>
        <v>7250</v>
      </c>
      <c r="K73" s="270">
        <f>+SUMIFS('Listas y Parametros'!L$195:L$199,'Listas y Parametros'!$I$195:$I$199,'Costos Proyectados por Unidad'!$D73)</f>
        <v>7250</v>
      </c>
      <c r="L73" s="270">
        <f>+SUMIFS('Listas y Parametros'!M$195:M$199,'Listas y Parametros'!$I$195:$I$199,'Costos Proyectados por Unidad'!$D73)</f>
        <v>7250</v>
      </c>
      <c r="M73" s="270">
        <f>+SUMIFS('Listas y Parametros'!N$195:N$199,'Listas y Parametros'!$I$195:$I$199,'Costos Proyectados por Unidad'!$D73)</f>
        <v>7250</v>
      </c>
      <c r="N73" s="270">
        <f>+SUMIFS('Listas y Parametros'!O$195:O$199,'Listas y Parametros'!$I$195:$I$199,'Costos Proyectados por Unidad'!$D73)</f>
        <v>7250</v>
      </c>
      <c r="O73" s="270">
        <f>+SUMIFS('Listas y Parametros'!P$195:P$199,'Listas y Parametros'!$I$195:$I$199,'Costos Proyectados por Unidad'!$D73)</f>
        <v>7250</v>
      </c>
      <c r="P73" s="270">
        <f>+SUMIFS('Listas y Parametros'!Q$195:Q$199,'Listas y Parametros'!$I$195:$I$199,'Costos Proyectados por Unidad'!$D73)</f>
        <v>7250</v>
      </c>
      <c r="Q73" s="170">
        <f>+SUMIFS('Listas y Parametros'!R$195:R$199,'Listas y Parametros'!$I$195:$I$199,'Costos Proyectados por Unidad'!$D73)</f>
        <v>7250</v>
      </c>
    </row>
    <row r="74" spans="3:17" x14ac:dyDescent="0.2">
      <c r="C74" s="117"/>
      <c r="D74" s="287" t="str">
        <f t="shared" si="50"/>
        <v>Chile</v>
      </c>
      <c r="E74" s="268"/>
      <c r="F74" s="451"/>
      <c r="G74" s="120"/>
      <c r="H74" s="291"/>
      <c r="I74" s="455"/>
      <c r="J74" s="270"/>
      <c r="K74" s="270"/>
      <c r="L74" s="270"/>
      <c r="M74" s="270"/>
      <c r="N74" s="270"/>
      <c r="O74" s="270"/>
      <c r="P74" s="270"/>
      <c r="Q74" s="170"/>
    </row>
    <row r="75" spans="3:17" x14ac:dyDescent="0.2">
      <c r="C75" s="117"/>
      <c r="D75" s="287" t="str">
        <f t="shared" si="50"/>
        <v>Chile</v>
      </c>
      <c r="E75" s="268" t="s">
        <v>422</v>
      </c>
      <c r="F75" s="451" t="s">
        <v>428</v>
      </c>
      <c r="G75" s="120">
        <f>+'Gantt Proyectos'!J107</f>
        <v>1</v>
      </c>
      <c r="H75" s="291">
        <f t="shared" si="49"/>
        <v>0</v>
      </c>
      <c r="I75" s="455"/>
      <c r="J75" s="270"/>
      <c r="K75" s="270"/>
      <c r="L75" s="270"/>
      <c r="M75" s="270"/>
      <c r="N75" s="270"/>
      <c r="O75" s="270"/>
      <c r="P75" s="270"/>
      <c r="Q75" s="170"/>
    </row>
    <row r="76" spans="3:17" x14ac:dyDescent="0.2">
      <c r="C76" s="117"/>
      <c r="D76" s="287" t="str">
        <f t="shared" si="50"/>
        <v>Chile</v>
      </c>
      <c r="E76" s="268"/>
      <c r="F76" s="451"/>
      <c r="G76" s="120"/>
      <c r="H76" s="291"/>
      <c r="I76" s="455"/>
      <c r="J76" s="270"/>
      <c r="K76" s="270"/>
      <c r="L76" s="270"/>
      <c r="M76" s="270"/>
      <c r="N76" s="270"/>
      <c r="O76" s="270"/>
      <c r="P76" s="270"/>
      <c r="Q76" s="170"/>
    </row>
    <row r="77" spans="3:17" x14ac:dyDescent="0.2">
      <c r="C77" s="117"/>
      <c r="D77" s="287" t="str">
        <f t="shared" si="50"/>
        <v>Chile</v>
      </c>
      <c r="E77" s="268" t="s">
        <v>423</v>
      </c>
      <c r="F77" s="451" t="s">
        <v>429</v>
      </c>
      <c r="G77" s="120">
        <f>+'Gantt Proyectos'!J108</f>
        <v>1</v>
      </c>
      <c r="H77" s="291">
        <f t="shared" si="49"/>
        <v>35000</v>
      </c>
      <c r="I77" s="455">
        <f>+SUMIFS('Listas y Parametros'!J$224:J$228,'Listas y Parametros'!$I$224:$I$228,'Costos Proyectados por Unidad'!$D77)</f>
        <v>11000</v>
      </c>
      <c r="J77" s="270">
        <f>+SUMIFS('Listas y Parametros'!K$224:K$228,'Listas y Parametros'!$I$224:$I$228,'Costos Proyectados por Unidad'!$D77)</f>
        <v>0</v>
      </c>
      <c r="K77" s="270">
        <f>+SUMIFS('Listas y Parametros'!L$224:L$228,'Listas y Parametros'!$I$224:$I$228,'Costos Proyectados por Unidad'!$D77)</f>
        <v>0</v>
      </c>
      <c r="L77" s="270">
        <f>+SUMIFS('Listas y Parametros'!M$224:M$228,'Listas y Parametros'!$I$224:$I$228,'Costos Proyectados por Unidad'!$D77)</f>
        <v>10000</v>
      </c>
      <c r="M77" s="270">
        <f>+SUMIFS('Listas y Parametros'!N$224:N$228,'Listas y Parametros'!$I$224:$I$228,'Costos Proyectados por Unidad'!$D77)</f>
        <v>0</v>
      </c>
      <c r="N77" s="270">
        <f>+SUMIFS('Listas y Parametros'!O$224:O$228,'Listas y Parametros'!$I$224:$I$228,'Costos Proyectados por Unidad'!$D77)</f>
        <v>0</v>
      </c>
      <c r="O77" s="270">
        <f>+SUMIFS('Listas y Parametros'!P$224:P$228,'Listas y Parametros'!$I$224:$I$228,'Costos Proyectados por Unidad'!$D77)</f>
        <v>14000</v>
      </c>
      <c r="P77" s="270">
        <f>+SUMIFS('Listas y Parametros'!Q$224:Q$228,'Listas y Parametros'!$I$224:$I$228,'Costos Proyectados por Unidad'!$D77)</f>
        <v>0</v>
      </c>
      <c r="Q77" s="170">
        <f>+SUMIFS('Listas y Parametros'!R$224:R$228,'Listas y Parametros'!$I$224:$I$228,'Costos Proyectados por Unidad'!$D77)</f>
        <v>0</v>
      </c>
    </row>
    <row r="78" spans="3:17" x14ac:dyDescent="0.2">
      <c r="C78" s="117"/>
      <c r="D78" s="287" t="str">
        <f t="shared" si="50"/>
        <v>Chile</v>
      </c>
      <c r="E78" s="268"/>
      <c r="F78" s="451"/>
      <c r="G78" s="120"/>
      <c r="H78" s="291"/>
      <c r="I78" s="455"/>
      <c r="J78" s="270"/>
      <c r="K78" s="270"/>
      <c r="L78" s="270"/>
      <c r="M78" s="270"/>
      <c r="N78" s="270"/>
      <c r="O78" s="270"/>
      <c r="P78" s="270"/>
      <c r="Q78" s="170"/>
    </row>
    <row r="79" spans="3:17" x14ac:dyDescent="0.2">
      <c r="C79" s="117"/>
      <c r="D79" s="287" t="str">
        <f t="shared" si="50"/>
        <v>Chile</v>
      </c>
      <c r="E79" s="268" t="s">
        <v>424</v>
      </c>
      <c r="F79" s="451" t="s">
        <v>430</v>
      </c>
      <c r="G79" s="120">
        <f>+'Gantt Proyectos'!J109</f>
        <v>1</v>
      </c>
      <c r="H79" s="291">
        <f t="shared" si="49"/>
        <v>40000</v>
      </c>
      <c r="I79" s="455">
        <f>+SUMIFS('Listas y Parametros'!C$245:C$249,'Listas y Parametros'!$B$245:$B$249,'Costos Proyectados por Unidad'!$D79)</f>
        <v>0</v>
      </c>
      <c r="J79" s="270">
        <f>+SUMIFS('Listas y Parametros'!D$245:D$249,'Listas y Parametros'!$B$245:$B$249,'Costos Proyectados por Unidad'!$D79)</f>
        <v>0</v>
      </c>
      <c r="K79" s="270">
        <f>+SUMIFS('Listas y Parametros'!E$245:E$249,'Listas y Parametros'!$B$245:$B$249,'Costos Proyectados por Unidad'!$D79)</f>
        <v>0</v>
      </c>
      <c r="L79" s="270">
        <f>+SUMIFS('Listas y Parametros'!F$245:F$249,'Listas y Parametros'!$B$245:$B$249,'Costos Proyectados por Unidad'!$D79)</f>
        <v>0</v>
      </c>
      <c r="M79" s="270">
        <f>+SUMIFS('Listas y Parametros'!G$245:G$249,'Listas y Parametros'!$B$245:$B$249,'Costos Proyectados por Unidad'!$D79)</f>
        <v>0</v>
      </c>
      <c r="N79" s="270">
        <f>+SUMIFS('Listas y Parametros'!H$245:H$249,'Listas y Parametros'!$B$245:$B$249,'Costos Proyectados por Unidad'!$D79)</f>
        <v>20000</v>
      </c>
      <c r="O79" s="270">
        <f>+SUMIFS('Listas y Parametros'!I$245:I$249,'Listas y Parametros'!$B$245:$B$249,'Costos Proyectados por Unidad'!$D79)</f>
        <v>0</v>
      </c>
      <c r="P79" s="270">
        <f>+SUMIFS('Listas y Parametros'!J$245:J$249,'Listas y Parametros'!$B$245:$B$249,'Costos Proyectados por Unidad'!$D79)</f>
        <v>0</v>
      </c>
      <c r="Q79" s="170">
        <f>+SUMIFS('Listas y Parametros'!K$245:K$249,'Listas y Parametros'!$B$245:$B$249,'Costos Proyectados por Unidad'!$D79)</f>
        <v>20000</v>
      </c>
    </row>
    <row r="80" spans="3:17" x14ac:dyDescent="0.2">
      <c r="C80" s="117"/>
      <c r="D80" s="287" t="str">
        <f t="shared" si="50"/>
        <v>Chile</v>
      </c>
      <c r="E80" s="268"/>
      <c r="F80" s="451"/>
      <c r="G80" s="120"/>
      <c r="H80" s="291"/>
      <c r="I80" s="455"/>
      <c r="J80" s="270"/>
      <c r="K80" s="270"/>
      <c r="L80" s="270"/>
      <c r="M80" s="270"/>
      <c r="N80" s="270"/>
      <c r="O80" s="270"/>
      <c r="P80" s="270"/>
      <c r="Q80" s="170"/>
    </row>
    <row r="81" spans="3:17" x14ac:dyDescent="0.2">
      <c r="C81" s="117"/>
      <c r="D81" s="287" t="str">
        <f t="shared" si="50"/>
        <v>Chile</v>
      </c>
      <c r="E81" s="268" t="s">
        <v>47</v>
      </c>
      <c r="F81" s="451" t="s">
        <v>47</v>
      </c>
      <c r="G81" s="120">
        <f>+'Gantt Proyectos'!J110</f>
        <v>1</v>
      </c>
      <c r="H81" s="291">
        <f t="shared" si="49"/>
        <v>231268.18181818182</v>
      </c>
      <c r="I81" s="455">
        <f>+SUMIFS('Listas y Parametros'!C$262:C$266,'Listas y Parametros'!$B$262:$B$266,'Costos Proyectados por Unidad'!$D81)</f>
        <v>44613.636363636368</v>
      </c>
      <c r="J81" s="270">
        <f>+SUMIFS('Listas y Parametros'!D$262:D$266,'Listas y Parametros'!$B$262:$B$266,'Costos Proyectados por Unidad'!$D81)</f>
        <v>27454.545454545456</v>
      </c>
      <c r="K81" s="270">
        <f>+SUMIFS('Listas y Parametros'!E$262:E$266,'Listas y Parametros'!$B$262:$B$266,'Costos Proyectados por Unidad'!$D81)</f>
        <v>24690.909090909092</v>
      </c>
      <c r="L81" s="270">
        <f>+SUMIFS('Listas y Parametros'!F$262:F$266,'Listas y Parametros'!$B$262:$B$266,'Costos Proyectados por Unidad'!$D81)</f>
        <v>34986.36363636364</v>
      </c>
      <c r="M81" s="270">
        <f>+SUMIFS('Listas y Parametros'!G$262:G$266,'Listas y Parametros'!$B$262:$B$266,'Costos Proyectados por Unidad'!$D81)</f>
        <v>27454.545454545456</v>
      </c>
      <c r="N81" s="270">
        <f>+SUMIFS('Listas y Parametros'!H$262:H$266,'Listas y Parametros'!$B$262:$B$266,'Costos Proyectados por Unidad'!$D81)</f>
        <v>24022.727272727272</v>
      </c>
      <c r="O81" s="270">
        <f>+SUMIFS('Listas y Parametros'!I$262:I$266,'Listas y Parametros'!$B$262:$B$266,'Costos Proyectados por Unidad'!$D81)</f>
        <v>17159.090909090912</v>
      </c>
      <c r="P81" s="270">
        <f>+SUMIFS('Listas y Parametros'!J$262:J$266,'Listas y Parametros'!$B$262:$B$266,'Costos Proyectados por Unidad'!$D81)</f>
        <v>17159.090909090912</v>
      </c>
      <c r="Q81" s="170">
        <f>+SUMIFS('Listas y Parametros'!K$262:K$266,'Listas y Parametros'!$B$262:$B$266,'Costos Proyectados por Unidad'!$D81)</f>
        <v>13727.272727272728</v>
      </c>
    </row>
    <row r="82" spans="3:17" x14ac:dyDescent="0.2">
      <c r="C82" s="117"/>
      <c r="D82" s="287" t="str">
        <f t="shared" si="50"/>
        <v>Chile</v>
      </c>
      <c r="E82" s="268"/>
      <c r="F82" s="458"/>
      <c r="G82" s="120"/>
      <c r="H82" s="291"/>
      <c r="I82" s="455"/>
      <c r="J82" s="270"/>
      <c r="K82" s="270"/>
      <c r="L82" s="270"/>
      <c r="M82" s="270"/>
      <c r="N82" s="270"/>
      <c r="O82" s="270"/>
      <c r="P82" s="270"/>
      <c r="Q82" s="170"/>
    </row>
    <row r="83" spans="3:17" ht="12" thickBot="1" x14ac:dyDescent="0.25">
      <c r="C83" s="272"/>
      <c r="D83" s="287" t="str">
        <f t="shared" si="50"/>
        <v>Chile</v>
      </c>
      <c r="E83" s="273"/>
      <c r="F83" s="274"/>
      <c r="G83" s="127"/>
      <c r="H83" s="292"/>
      <c r="I83" s="456"/>
      <c r="J83" s="275"/>
      <c r="K83" s="275"/>
      <c r="L83" s="275"/>
      <c r="M83" s="275"/>
      <c r="N83" s="275"/>
      <c r="O83" s="275"/>
      <c r="P83" s="275"/>
      <c r="Q83" s="276"/>
    </row>
    <row r="84" spans="3:17" x14ac:dyDescent="0.2">
      <c r="C84" s="262"/>
      <c r="D84" s="263" t="s">
        <v>44</v>
      </c>
      <c r="E84" s="263" t="s">
        <v>419</v>
      </c>
      <c r="F84" s="264" t="s">
        <v>22</v>
      </c>
      <c r="G84" s="265">
        <f>+'Gantt Proyectos'!J113</f>
        <v>1</v>
      </c>
      <c r="H84" s="290">
        <f t="shared" si="49"/>
        <v>29571.840000000011</v>
      </c>
      <c r="I84" s="454">
        <f>+'Listas y Parametros'!V77</f>
        <v>3285.76</v>
      </c>
      <c r="J84" s="266">
        <f>+'Listas y Parametros'!W77</f>
        <v>3285.76</v>
      </c>
      <c r="K84" s="266">
        <f>+'Listas y Parametros'!X77</f>
        <v>3285.76</v>
      </c>
      <c r="L84" s="266">
        <f>+'Listas y Parametros'!Y77</f>
        <v>3285.76</v>
      </c>
      <c r="M84" s="266">
        <f>+'Listas y Parametros'!Z77</f>
        <v>3285.76</v>
      </c>
      <c r="N84" s="266">
        <f>+'Listas y Parametros'!AA77</f>
        <v>3285.76</v>
      </c>
      <c r="O84" s="266">
        <f>+'Listas y Parametros'!AB77</f>
        <v>3285.76</v>
      </c>
      <c r="P84" s="266">
        <f>+'Listas y Parametros'!AC77</f>
        <v>3285.76</v>
      </c>
      <c r="Q84" s="267">
        <f>+'Listas y Parametros'!AD77</f>
        <v>3285.76</v>
      </c>
    </row>
    <row r="85" spans="3:17" x14ac:dyDescent="0.2">
      <c r="C85" s="117"/>
      <c r="D85" s="287" t="str">
        <f>+D84</f>
        <v>Perú</v>
      </c>
      <c r="E85" s="268" t="s">
        <v>419</v>
      </c>
      <c r="F85" s="269" t="s">
        <v>23</v>
      </c>
      <c r="G85" s="120">
        <f>+'Gantt Proyectos'!J114</f>
        <v>1</v>
      </c>
      <c r="H85" s="291">
        <f t="shared" si="49"/>
        <v>9000</v>
      </c>
      <c r="I85" s="455">
        <f>+'Listas y Parametros'!V78</f>
        <v>1000</v>
      </c>
      <c r="J85" s="270">
        <f>+'Listas y Parametros'!W78</f>
        <v>1000</v>
      </c>
      <c r="K85" s="270">
        <f>+'Listas y Parametros'!X78</f>
        <v>1000</v>
      </c>
      <c r="L85" s="270">
        <f>+'Listas y Parametros'!Y78</f>
        <v>1000</v>
      </c>
      <c r="M85" s="270">
        <f>+'Listas y Parametros'!Z78</f>
        <v>1000</v>
      </c>
      <c r="N85" s="270">
        <f>+'Listas y Parametros'!AA78</f>
        <v>1000</v>
      </c>
      <c r="O85" s="270">
        <f>+'Listas y Parametros'!AB78</f>
        <v>1000</v>
      </c>
      <c r="P85" s="270">
        <f>+'Listas y Parametros'!AC78</f>
        <v>1000</v>
      </c>
      <c r="Q85" s="170">
        <f>+'Listas y Parametros'!AD78</f>
        <v>1000</v>
      </c>
    </row>
    <row r="86" spans="3:17" x14ac:dyDescent="0.2">
      <c r="C86" s="117"/>
      <c r="D86" s="287" t="str">
        <f t="shared" ref="D86:D104" si="51">+D85</f>
        <v>Perú</v>
      </c>
      <c r="E86" s="268" t="s">
        <v>419</v>
      </c>
      <c r="F86" s="269" t="s">
        <v>33</v>
      </c>
      <c r="G86" s="120">
        <f>+'Gantt Proyectos'!J115</f>
        <v>1</v>
      </c>
      <c r="H86" s="291">
        <f t="shared" si="49"/>
        <v>367765.92000000004</v>
      </c>
      <c r="I86" s="455">
        <f>+'Listas y Parametros'!V79</f>
        <v>40862.880000000005</v>
      </c>
      <c r="J86" s="270">
        <f>+'Listas y Parametros'!W79</f>
        <v>40862.880000000005</v>
      </c>
      <c r="K86" s="270">
        <f>+'Listas y Parametros'!X79</f>
        <v>40862.880000000005</v>
      </c>
      <c r="L86" s="270">
        <f>+'Listas y Parametros'!Y79</f>
        <v>40862.880000000005</v>
      </c>
      <c r="M86" s="270">
        <f>+'Listas y Parametros'!Z79</f>
        <v>40862.880000000005</v>
      </c>
      <c r="N86" s="270">
        <f>+'Listas y Parametros'!AA79</f>
        <v>40862.880000000005</v>
      </c>
      <c r="O86" s="270">
        <f>+'Listas y Parametros'!AB79</f>
        <v>40862.880000000005</v>
      </c>
      <c r="P86" s="270">
        <f>+'Listas y Parametros'!AC79</f>
        <v>40862.880000000005</v>
      </c>
      <c r="Q86" s="170">
        <f>+'Listas y Parametros'!AD79</f>
        <v>40862.880000000005</v>
      </c>
    </row>
    <row r="87" spans="3:17" x14ac:dyDescent="0.2">
      <c r="C87" s="117"/>
      <c r="D87" s="287" t="str">
        <f t="shared" si="51"/>
        <v>Perú</v>
      </c>
      <c r="E87" s="268" t="s">
        <v>419</v>
      </c>
      <c r="F87" s="269" t="s">
        <v>31</v>
      </c>
      <c r="G87" s="120">
        <f>+'Gantt Proyectos'!J116</f>
        <v>1</v>
      </c>
      <c r="H87" s="291">
        <f t="shared" si="49"/>
        <v>0</v>
      </c>
      <c r="I87" s="455">
        <f>+'Listas y Parametros'!V87</f>
        <v>0</v>
      </c>
      <c r="J87" s="270">
        <f>+'Listas y Parametros'!W87</f>
        <v>0</v>
      </c>
      <c r="K87" s="270">
        <f>+'Listas y Parametros'!X87</f>
        <v>0</v>
      </c>
      <c r="L87" s="270">
        <f>+'Listas y Parametros'!Y87</f>
        <v>0</v>
      </c>
      <c r="M87" s="270">
        <f>+'Listas y Parametros'!Z87</f>
        <v>0</v>
      </c>
      <c r="N87" s="270">
        <f>+'Listas y Parametros'!AA87</f>
        <v>0</v>
      </c>
      <c r="O87" s="270">
        <f>+'Listas y Parametros'!AB87</f>
        <v>0</v>
      </c>
      <c r="P87" s="270">
        <f>+'Listas y Parametros'!AC87</f>
        <v>0</v>
      </c>
      <c r="Q87" s="170">
        <f>+'Listas y Parametros'!AD87</f>
        <v>0</v>
      </c>
    </row>
    <row r="88" spans="3:17" x14ac:dyDescent="0.2">
      <c r="C88" s="117"/>
      <c r="D88" s="287" t="str">
        <f t="shared" si="51"/>
        <v>Perú</v>
      </c>
      <c r="E88" s="268" t="s">
        <v>419</v>
      </c>
      <c r="F88" s="269" t="s">
        <v>68</v>
      </c>
      <c r="G88" s="120">
        <f>+'Gantt Proyectos'!J117</f>
        <v>1</v>
      </c>
      <c r="H88" s="291">
        <f t="shared" si="49"/>
        <v>0</v>
      </c>
      <c r="I88" s="455">
        <f>+SUMIFS('Listas y Parametros'!C$289:C$293,'Listas y Parametros'!$B$289:$B$293,'Costos Proyectados por Unidad'!$D88)</f>
        <v>0</v>
      </c>
      <c r="J88" s="270">
        <f>+SUMIFS('Listas y Parametros'!D$289:D$293,'Listas y Parametros'!$B$289:$B$293,'Costos Proyectados por Unidad'!$D88)</f>
        <v>0</v>
      </c>
      <c r="K88" s="270">
        <f>+SUMIFS('Listas y Parametros'!E$289:E$293,'Listas y Parametros'!$B$289:$B$293,'Costos Proyectados por Unidad'!$D88)</f>
        <v>0</v>
      </c>
      <c r="L88" s="270">
        <f>+SUMIFS('Listas y Parametros'!F$289:F$293,'Listas y Parametros'!$B$289:$B$293,'Costos Proyectados por Unidad'!$D88)</f>
        <v>0</v>
      </c>
      <c r="M88" s="270">
        <f>+SUMIFS('Listas y Parametros'!G$289:G$293,'Listas y Parametros'!$B$289:$B$293,'Costos Proyectados por Unidad'!$D88)</f>
        <v>0</v>
      </c>
      <c r="N88" s="270">
        <f>+SUMIFS('Listas y Parametros'!H$289:H$293,'Listas y Parametros'!$B$289:$B$293,'Costos Proyectados por Unidad'!$D88)</f>
        <v>0</v>
      </c>
      <c r="O88" s="270">
        <f>+SUMIFS('Listas y Parametros'!I$289:I$293,'Listas y Parametros'!$B$289:$B$293,'Costos Proyectados por Unidad'!$D88)</f>
        <v>0</v>
      </c>
      <c r="P88" s="270">
        <f>+SUMIFS('Listas y Parametros'!J$289:J$293,'Listas y Parametros'!$B$289:$B$293,'Costos Proyectados por Unidad'!$D88)</f>
        <v>0</v>
      </c>
      <c r="Q88" s="170">
        <f>+SUMIFS('Listas y Parametros'!K$289:K$293,'Listas y Parametros'!$B$289:$B$293,'Costos Proyectados por Unidad'!$D88)</f>
        <v>0</v>
      </c>
    </row>
    <row r="89" spans="3:17" x14ac:dyDescent="0.2">
      <c r="C89" s="117"/>
      <c r="D89" s="287" t="str">
        <f t="shared" si="51"/>
        <v>Perú</v>
      </c>
      <c r="E89" s="268" t="s">
        <v>419</v>
      </c>
      <c r="F89" s="269" t="s">
        <v>147</v>
      </c>
      <c r="G89" s="120">
        <f>+'Gantt Proyectos'!J118</f>
        <v>1</v>
      </c>
      <c r="H89" s="291">
        <f t="shared" si="49"/>
        <v>0</v>
      </c>
      <c r="I89" s="455">
        <f>+SUMIFS('Listas y Parametros'!C$166:C$170,'Listas y Parametros'!$B$166:$B$170,'Costos Proyectados por Unidad'!$D89)</f>
        <v>0</v>
      </c>
      <c r="J89" s="270">
        <f>+SUMIFS('Listas y Parametros'!D$166:D$170,'Listas y Parametros'!$B$166:$B$170,'Costos Proyectados por Unidad'!$D89)</f>
        <v>0</v>
      </c>
      <c r="K89" s="270">
        <f>+SUMIFS('Listas y Parametros'!E$166:E$170,'Listas y Parametros'!$B$166:$B$170,'Costos Proyectados por Unidad'!$D89)</f>
        <v>0</v>
      </c>
      <c r="L89" s="270">
        <f>+SUMIFS('Listas y Parametros'!F$166:F$170,'Listas y Parametros'!$B$166:$B$170,'Costos Proyectados por Unidad'!$D89)</f>
        <v>0</v>
      </c>
      <c r="M89" s="270">
        <f>+SUMIFS('Listas y Parametros'!G$166:G$170,'Listas y Parametros'!$B$166:$B$170,'Costos Proyectados por Unidad'!$D89)</f>
        <v>0</v>
      </c>
      <c r="N89" s="270">
        <f>+SUMIFS('Listas y Parametros'!H$166:H$170,'Listas y Parametros'!$B$166:$B$170,'Costos Proyectados por Unidad'!$D89)</f>
        <v>0</v>
      </c>
      <c r="O89" s="270">
        <f>+SUMIFS('Listas y Parametros'!I$166:I$170,'Listas y Parametros'!$B$166:$B$170,'Costos Proyectados por Unidad'!$D89)</f>
        <v>0</v>
      </c>
      <c r="P89" s="270">
        <f>+SUMIFS('Listas y Parametros'!J$166:J$170,'Listas y Parametros'!$B$166:$B$170,'Costos Proyectados por Unidad'!$D89)</f>
        <v>0</v>
      </c>
      <c r="Q89" s="170">
        <f>+SUMIFS('Listas y Parametros'!K$166:K$170,'Listas y Parametros'!$B$166:$B$170,'Costos Proyectados por Unidad'!$D89)</f>
        <v>0</v>
      </c>
    </row>
    <row r="90" spans="3:17" x14ac:dyDescent="0.2">
      <c r="C90" s="117"/>
      <c r="D90" s="287" t="str">
        <f t="shared" si="51"/>
        <v>Perú</v>
      </c>
      <c r="E90" s="268"/>
      <c r="F90" s="269"/>
      <c r="G90" s="120"/>
      <c r="H90" s="291"/>
      <c r="I90" s="455"/>
      <c r="J90" s="270"/>
      <c r="K90" s="270"/>
      <c r="L90" s="270"/>
      <c r="M90" s="270"/>
      <c r="N90" s="270"/>
      <c r="O90" s="270"/>
      <c r="P90" s="270"/>
      <c r="Q90" s="170"/>
    </row>
    <row r="91" spans="3:17" x14ac:dyDescent="0.2">
      <c r="C91" s="117"/>
      <c r="D91" s="287" t="str">
        <f t="shared" si="51"/>
        <v>Perú</v>
      </c>
      <c r="E91" s="268" t="s">
        <v>420</v>
      </c>
      <c r="F91" s="269" t="s">
        <v>235</v>
      </c>
      <c r="G91" s="120">
        <f>+'Gantt Proyectos'!J120</f>
        <v>1</v>
      </c>
      <c r="H91" s="291">
        <f t="shared" si="49"/>
        <v>40896</v>
      </c>
      <c r="I91" s="455">
        <f>+SUMIFS('Listas y Parametros'!J$179:J$188,'Listas y Parametros'!$H$179:$H$188,'Costos Proyectados por Unidad'!$D91,'Listas y Parametros'!$I$179:$I$188,'Costos Proyectados por Unidad'!$F91)</f>
        <v>4544</v>
      </c>
      <c r="J91" s="270">
        <f>+SUMIFS('Listas y Parametros'!K$179:K$188,'Listas y Parametros'!$H$179:$H$188,'Costos Proyectados por Unidad'!$D91,'Listas y Parametros'!$I$179:$I$188,'Costos Proyectados por Unidad'!$F91)</f>
        <v>4544</v>
      </c>
      <c r="K91" s="270">
        <f>+SUMIFS('Listas y Parametros'!L$179:L$188,'Listas y Parametros'!$H$179:$H$188,'Costos Proyectados por Unidad'!$D91,'Listas y Parametros'!$I$179:$I$188,'Costos Proyectados por Unidad'!$F91)</f>
        <v>4544</v>
      </c>
      <c r="L91" s="270">
        <f>+SUMIFS('Listas y Parametros'!M$179:M$188,'Listas y Parametros'!$H$179:$H$188,'Costos Proyectados por Unidad'!$D91,'Listas y Parametros'!$I$179:$I$188,'Costos Proyectados por Unidad'!$F91)</f>
        <v>4544</v>
      </c>
      <c r="M91" s="270">
        <f>+SUMIFS('Listas y Parametros'!N$179:N$188,'Listas y Parametros'!$H$179:$H$188,'Costos Proyectados por Unidad'!$D91,'Listas y Parametros'!$I$179:$I$188,'Costos Proyectados por Unidad'!$F91)</f>
        <v>4544</v>
      </c>
      <c r="N91" s="270">
        <f>+SUMIFS('Listas y Parametros'!O$179:O$188,'Listas y Parametros'!$H$179:$H$188,'Costos Proyectados por Unidad'!$D91,'Listas y Parametros'!$I$179:$I$188,'Costos Proyectados por Unidad'!$F91)</f>
        <v>4544</v>
      </c>
      <c r="O91" s="270">
        <f>+SUMIFS('Listas y Parametros'!P$179:P$188,'Listas y Parametros'!$H$179:$H$188,'Costos Proyectados por Unidad'!$D91,'Listas y Parametros'!$I$179:$I$188,'Costos Proyectados por Unidad'!$F91)</f>
        <v>4544</v>
      </c>
      <c r="P91" s="270">
        <f>+SUMIFS('Listas y Parametros'!Q$179:Q$188,'Listas y Parametros'!$H$179:$H$188,'Costos Proyectados por Unidad'!$D91,'Listas y Parametros'!$I$179:$I$188,'Costos Proyectados por Unidad'!$F91)</f>
        <v>4544</v>
      </c>
      <c r="Q91" s="170">
        <f>+SUMIFS('Listas y Parametros'!R$179:R$188,'Listas y Parametros'!$H$179:$H$188,'Costos Proyectados por Unidad'!$D91,'Listas y Parametros'!$I$179:$I$188,'Costos Proyectados por Unidad'!$F91)</f>
        <v>4544</v>
      </c>
    </row>
    <row r="92" spans="3:17" x14ac:dyDescent="0.2">
      <c r="C92" s="117"/>
      <c r="D92" s="287" t="str">
        <f t="shared" si="51"/>
        <v>Perú</v>
      </c>
      <c r="E92" s="268" t="s">
        <v>420</v>
      </c>
      <c r="F92" s="269" t="s">
        <v>236</v>
      </c>
      <c r="G92" s="120">
        <f>+'Gantt Proyectos'!J121</f>
        <v>1</v>
      </c>
      <c r="H92" s="291">
        <f t="shared" si="49"/>
        <v>21126.857142857149</v>
      </c>
      <c r="I92" s="455">
        <f>+SUMIFS('Listas y Parametros'!J$179:J$188,'Listas y Parametros'!$H$179:$H$188,'Costos Proyectados por Unidad'!$D92,'Listas y Parametros'!$I$179:$I$188,'Costos Proyectados por Unidad'!$F92)</f>
        <v>2347.4285714285716</v>
      </c>
      <c r="J92" s="270">
        <f>+SUMIFS('Listas y Parametros'!K$179:K$188,'Listas y Parametros'!$H$179:$H$188,'Costos Proyectados por Unidad'!$D92,'Listas y Parametros'!$I$179:$I$188,'Costos Proyectados por Unidad'!$F92)</f>
        <v>2347.4285714285716</v>
      </c>
      <c r="K92" s="270">
        <f>+SUMIFS('Listas y Parametros'!L$179:L$188,'Listas y Parametros'!$H$179:$H$188,'Costos Proyectados por Unidad'!$D92,'Listas y Parametros'!$I$179:$I$188,'Costos Proyectados por Unidad'!$F92)</f>
        <v>2347.4285714285716</v>
      </c>
      <c r="L92" s="270">
        <f>+SUMIFS('Listas y Parametros'!M$179:M$188,'Listas y Parametros'!$H$179:$H$188,'Costos Proyectados por Unidad'!$D92,'Listas y Parametros'!$I$179:$I$188,'Costos Proyectados por Unidad'!$F92)</f>
        <v>2347.4285714285716</v>
      </c>
      <c r="M92" s="270">
        <f>+SUMIFS('Listas y Parametros'!N$179:N$188,'Listas y Parametros'!$H$179:$H$188,'Costos Proyectados por Unidad'!$D92,'Listas y Parametros'!$I$179:$I$188,'Costos Proyectados por Unidad'!$F92)</f>
        <v>2347.4285714285716</v>
      </c>
      <c r="N92" s="270">
        <f>+SUMIFS('Listas y Parametros'!O$179:O$188,'Listas y Parametros'!$H$179:$H$188,'Costos Proyectados por Unidad'!$D92,'Listas y Parametros'!$I$179:$I$188,'Costos Proyectados por Unidad'!$F92)</f>
        <v>2347.4285714285716</v>
      </c>
      <c r="O92" s="270">
        <f>+SUMIFS('Listas y Parametros'!P$179:P$188,'Listas y Parametros'!$H$179:$H$188,'Costos Proyectados por Unidad'!$D92,'Listas y Parametros'!$I$179:$I$188,'Costos Proyectados por Unidad'!$F92)</f>
        <v>2347.4285714285716</v>
      </c>
      <c r="P92" s="270">
        <f>+SUMIFS('Listas y Parametros'!Q$179:Q$188,'Listas y Parametros'!$H$179:$H$188,'Costos Proyectados por Unidad'!$D92,'Listas y Parametros'!$I$179:$I$188,'Costos Proyectados por Unidad'!$F92)</f>
        <v>2347.4285714285716</v>
      </c>
      <c r="Q92" s="170">
        <f>+SUMIFS('Listas y Parametros'!R$179:R$188,'Listas y Parametros'!$H$179:$H$188,'Costos Proyectados por Unidad'!$D92,'Listas y Parametros'!$I$179:$I$188,'Costos Proyectados por Unidad'!$F92)</f>
        <v>2347.4285714285716</v>
      </c>
    </row>
    <row r="93" spans="3:17" x14ac:dyDescent="0.2">
      <c r="C93" s="117"/>
      <c r="D93" s="287" t="str">
        <f t="shared" si="51"/>
        <v>Perú</v>
      </c>
      <c r="E93" s="268"/>
      <c r="F93" s="269"/>
      <c r="G93" s="120"/>
      <c r="H93" s="291"/>
      <c r="I93" s="455"/>
      <c r="J93" s="270"/>
      <c r="K93" s="270"/>
      <c r="L93" s="270"/>
      <c r="M93" s="270"/>
      <c r="N93" s="270"/>
      <c r="O93" s="270"/>
      <c r="P93" s="270"/>
      <c r="Q93" s="170"/>
    </row>
    <row r="94" spans="3:17" x14ac:dyDescent="0.2">
      <c r="C94" s="117"/>
      <c r="D94" s="287" t="str">
        <f t="shared" si="51"/>
        <v>Perú</v>
      </c>
      <c r="E94" s="268" t="s">
        <v>421</v>
      </c>
      <c r="F94" s="451" t="s">
        <v>427</v>
      </c>
      <c r="G94" s="120">
        <f>+'Gantt Proyectos'!J123</f>
        <v>1</v>
      </c>
      <c r="H94" s="291">
        <f t="shared" si="49"/>
        <v>0</v>
      </c>
      <c r="I94" s="455">
        <f>+SUMIFS('Listas y Parametros'!J$195:J$199,'Listas y Parametros'!$I$195:$I$199,'Costos Proyectados por Unidad'!$D94)</f>
        <v>0</v>
      </c>
      <c r="J94" s="270">
        <f>+SUMIFS('Listas y Parametros'!K$195:K$199,'Listas y Parametros'!$I$195:$I$199,'Costos Proyectados por Unidad'!$D94)</f>
        <v>0</v>
      </c>
      <c r="K94" s="270">
        <f>+SUMIFS('Listas y Parametros'!L$195:L$199,'Listas y Parametros'!$I$195:$I$199,'Costos Proyectados por Unidad'!$D94)</f>
        <v>0</v>
      </c>
      <c r="L94" s="270">
        <f>+SUMIFS('Listas y Parametros'!M$195:M$199,'Listas y Parametros'!$I$195:$I$199,'Costos Proyectados por Unidad'!$D94)</f>
        <v>0</v>
      </c>
      <c r="M94" s="270">
        <f>+SUMIFS('Listas y Parametros'!N$195:N$199,'Listas y Parametros'!$I$195:$I$199,'Costos Proyectados por Unidad'!$D94)</f>
        <v>0</v>
      </c>
      <c r="N94" s="270">
        <f>+SUMIFS('Listas y Parametros'!O$195:O$199,'Listas y Parametros'!$I$195:$I$199,'Costos Proyectados por Unidad'!$D94)</f>
        <v>0</v>
      </c>
      <c r="O94" s="270">
        <f>+SUMIFS('Listas y Parametros'!P$195:P$199,'Listas y Parametros'!$I$195:$I$199,'Costos Proyectados por Unidad'!$D94)</f>
        <v>0</v>
      </c>
      <c r="P94" s="270">
        <f>+SUMIFS('Listas y Parametros'!Q$195:Q$199,'Listas y Parametros'!$I$195:$I$199,'Costos Proyectados por Unidad'!$D94)</f>
        <v>0</v>
      </c>
      <c r="Q94" s="170">
        <f>+SUMIFS('Listas y Parametros'!R$195:R$199,'Listas y Parametros'!$I$195:$I$199,'Costos Proyectados por Unidad'!$D94)</f>
        <v>0</v>
      </c>
    </row>
    <row r="95" spans="3:17" x14ac:dyDescent="0.2">
      <c r="C95" s="117"/>
      <c r="D95" s="287" t="str">
        <f t="shared" si="51"/>
        <v>Perú</v>
      </c>
      <c r="E95" s="268"/>
      <c r="F95" s="269"/>
      <c r="G95" s="120"/>
      <c r="H95" s="291"/>
      <c r="I95" s="455"/>
      <c r="J95" s="270"/>
      <c r="K95" s="270"/>
      <c r="L95" s="270"/>
      <c r="M95" s="270"/>
      <c r="N95" s="270"/>
      <c r="O95" s="270"/>
      <c r="P95" s="270"/>
      <c r="Q95" s="170"/>
    </row>
    <row r="96" spans="3:17" x14ac:dyDescent="0.2">
      <c r="C96" s="117"/>
      <c r="D96" s="287" t="str">
        <f t="shared" si="51"/>
        <v>Perú</v>
      </c>
      <c r="E96" s="268" t="s">
        <v>422</v>
      </c>
      <c r="F96" s="269" t="s">
        <v>428</v>
      </c>
      <c r="G96" s="120">
        <f>+'Gantt Proyectos'!J126</f>
        <v>1</v>
      </c>
      <c r="H96" s="291">
        <f t="shared" si="49"/>
        <v>0</v>
      </c>
      <c r="I96" s="455"/>
      <c r="J96" s="270"/>
      <c r="K96" s="270"/>
      <c r="L96" s="270"/>
      <c r="M96" s="270"/>
      <c r="N96" s="270"/>
      <c r="O96" s="270"/>
      <c r="P96" s="270"/>
      <c r="Q96" s="170"/>
    </row>
    <row r="97" spans="3:17" x14ac:dyDescent="0.2">
      <c r="C97" s="117"/>
      <c r="D97" s="287" t="str">
        <f t="shared" si="51"/>
        <v>Perú</v>
      </c>
      <c r="E97" s="268"/>
      <c r="F97" s="269"/>
      <c r="G97" s="120"/>
      <c r="H97" s="291"/>
      <c r="I97" s="455"/>
      <c r="J97" s="270"/>
      <c r="K97" s="270"/>
      <c r="L97" s="270"/>
      <c r="M97" s="270"/>
      <c r="N97" s="270"/>
      <c r="O97" s="270"/>
      <c r="P97" s="270"/>
      <c r="Q97" s="170"/>
    </row>
    <row r="98" spans="3:17" x14ac:dyDescent="0.2">
      <c r="C98" s="117"/>
      <c r="D98" s="287" t="str">
        <f t="shared" si="51"/>
        <v>Perú</v>
      </c>
      <c r="E98" s="268" t="s">
        <v>423</v>
      </c>
      <c r="F98" s="269" t="s">
        <v>429</v>
      </c>
      <c r="G98" s="120">
        <f>+'Gantt Proyectos'!J128</f>
        <v>0</v>
      </c>
      <c r="H98" s="291">
        <f t="shared" si="49"/>
        <v>0</v>
      </c>
      <c r="I98" s="455">
        <f>+SUMIFS('Listas y Parametros'!J$224:J$228,'Listas y Parametros'!$I$224:$I$228,'Costos Proyectados por Unidad'!$D98)</f>
        <v>0</v>
      </c>
      <c r="J98" s="270">
        <f>+SUMIFS('Listas y Parametros'!K$224:K$228,'Listas y Parametros'!$I$224:$I$228,'Costos Proyectados por Unidad'!$D98)</f>
        <v>0</v>
      </c>
      <c r="K98" s="270">
        <f>+SUMIFS('Listas y Parametros'!L$224:L$228,'Listas y Parametros'!$I$224:$I$228,'Costos Proyectados por Unidad'!$D98)</f>
        <v>0</v>
      </c>
      <c r="L98" s="270">
        <f>+SUMIFS('Listas y Parametros'!M$224:M$228,'Listas y Parametros'!$I$224:$I$228,'Costos Proyectados por Unidad'!$D98)</f>
        <v>0</v>
      </c>
      <c r="M98" s="270">
        <f>+SUMIFS('Listas y Parametros'!N$224:N$228,'Listas y Parametros'!$I$224:$I$228,'Costos Proyectados por Unidad'!$D98)</f>
        <v>0</v>
      </c>
      <c r="N98" s="270">
        <f>+SUMIFS('Listas y Parametros'!O$224:O$228,'Listas y Parametros'!$I$224:$I$228,'Costos Proyectados por Unidad'!$D98)</f>
        <v>0</v>
      </c>
      <c r="O98" s="270">
        <f>+SUMIFS('Listas y Parametros'!P$224:P$228,'Listas y Parametros'!$I$224:$I$228,'Costos Proyectados por Unidad'!$D98)</f>
        <v>0</v>
      </c>
      <c r="P98" s="270">
        <f>+SUMIFS('Listas y Parametros'!Q$224:Q$228,'Listas y Parametros'!$I$224:$I$228,'Costos Proyectados por Unidad'!$D98)</f>
        <v>0</v>
      </c>
      <c r="Q98" s="170">
        <f>+SUMIFS('Listas y Parametros'!R$224:R$228,'Listas y Parametros'!$I$224:$I$228,'Costos Proyectados por Unidad'!$D98)</f>
        <v>0</v>
      </c>
    </row>
    <row r="99" spans="3:17" x14ac:dyDescent="0.2">
      <c r="C99" s="117"/>
      <c r="D99" s="287" t="str">
        <f t="shared" si="51"/>
        <v>Perú</v>
      </c>
      <c r="E99" s="268"/>
      <c r="F99" s="269"/>
      <c r="G99" s="120"/>
      <c r="H99" s="291"/>
      <c r="I99" s="455"/>
      <c r="J99" s="270"/>
      <c r="K99" s="270"/>
      <c r="L99" s="270"/>
      <c r="M99" s="270"/>
      <c r="N99" s="270"/>
      <c r="O99" s="270"/>
      <c r="P99" s="270"/>
      <c r="Q99" s="170"/>
    </row>
    <row r="100" spans="3:17" x14ac:dyDescent="0.2">
      <c r="C100" s="117"/>
      <c r="D100" s="287" t="str">
        <f t="shared" si="51"/>
        <v>Perú</v>
      </c>
      <c r="E100" s="268" t="s">
        <v>424</v>
      </c>
      <c r="F100" s="269" t="s">
        <v>430</v>
      </c>
      <c r="G100" s="120">
        <f>+'Gantt Proyectos'!J130</f>
        <v>1</v>
      </c>
      <c r="H100" s="291">
        <f t="shared" si="49"/>
        <v>0</v>
      </c>
      <c r="I100" s="455">
        <f>+SUMIFS('Listas y Parametros'!C$245:C$249,'Listas y Parametros'!$B$245:$B$249,'Costos Proyectados por Unidad'!$D100)</f>
        <v>0</v>
      </c>
      <c r="J100" s="270">
        <f>+SUMIFS('Listas y Parametros'!D$245:D$249,'Listas y Parametros'!$B$245:$B$249,'Costos Proyectados por Unidad'!$D100)</f>
        <v>0</v>
      </c>
      <c r="K100" s="270">
        <f>+SUMIFS('Listas y Parametros'!E$245:E$249,'Listas y Parametros'!$B$245:$B$249,'Costos Proyectados por Unidad'!$D100)</f>
        <v>0</v>
      </c>
      <c r="L100" s="270">
        <f>+SUMIFS('Listas y Parametros'!F$245:F$249,'Listas y Parametros'!$B$245:$B$249,'Costos Proyectados por Unidad'!$D100)</f>
        <v>0</v>
      </c>
      <c r="M100" s="270">
        <f>+SUMIFS('Listas y Parametros'!G$245:G$249,'Listas y Parametros'!$B$245:$B$249,'Costos Proyectados por Unidad'!$D100)</f>
        <v>0</v>
      </c>
      <c r="N100" s="270">
        <f>+SUMIFS('Listas y Parametros'!H$245:H$249,'Listas y Parametros'!$B$245:$B$249,'Costos Proyectados por Unidad'!$D100)</f>
        <v>0</v>
      </c>
      <c r="O100" s="270">
        <f>+SUMIFS('Listas y Parametros'!I$245:I$249,'Listas y Parametros'!$B$245:$B$249,'Costos Proyectados por Unidad'!$D100)</f>
        <v>0</v>
      </c>
      <c r="P100" s="270">
        <f>+SUMIFS('Listas y Parametros'!J$245:J$249,'Listas y Parametros'!$B$245:$B$249,'Costos Proyectados por Unidad'!$D100)</f>
        <v>0</v>
      </c>
      <c r="Q100" s="170">
        <f>+SUMIFS('Listas y Parametros'!K$245:K$249,'Listas y Parametros'!$B$245:$B$249,'Costos Proyectados por Unidad'!$D100)</f>
        <v>0</v>
      </c>
    </row>
    <row r="101" spans="3:17" x14ac:dyDescent="0.2">
      <c r="C101" s="117"/>
      <c r="D101" s="287" t="str">
        <f t="shared" si="51"/>
        <v>Perú</v>
      </c>
      <c r="E101" s="268"/>
      <c r="F101" s="269"/>
      <c r="G101" s="120"/>
      <c r="H101" s="291"/>
      <c r="I101" s="455"/>
      <c r="J101" s="270"/>
      <c r="K101" s="270"/>
      <c r="L101" s="270"/>
      <c r="M101" s="270"/>
      <c r="N101" s="270"/>
      <c r="O101" s="270"/>
      <c r="P101" s="270"/>
      <c r="Q101" s="170"/>
    </row>
    <row r="102" spans="3:17" x14ac:dyDescent="0.2">
      <c r="C102" s="117"/>
      <c r="D102" s="287" t="str">
        <f t="shared" si="51"/>
        <v>Perú</v>
      </c>
      <c r="E102" s="268" t="s">
        <v>47</v>
      </c>
      <c r="F102" s="269" t="s">
        <v>47</v>
      </c>
      <c r="G102" s="120">
        <f>+'Gantt Proyectos'!J131</f>
        <v>1</v>
      </c>
      <c r="H102" s="291">
        <f t="shared" si="49"/>
        <v>0</v>
      </c>
      <c r="I102" s="455">
        <f>+SUMIFS('Listas y Parametros'!C$262:C$266,'Listas y Parametros'!$B$262:$B$266,'Costos Proyectados por Unidad'!$D102)</f>
        <v>0</v>
      </c>
      <c r="J102" s="270">
        <f>+SUMIFS('Listas y Parametros'!D$262:D$266,'Listas y Parametros'!$B$262:$B$266,'Costos Proyectados por Unidad'!$D102)</f>
        <v>0</v>
      </c>
      <c r="K102" s="270">
        <f>+SUMIFS('Listas y Parametros'!E$262:E$266,'Listas y Parametros'!$B$262:$B$266,'Costos Proyectados por Unidad'!$D102)</f>
        <v>0</v>
      </c>
      <c r="L102" s="270">
        <f>+SUMIFS('Listas y Parametros'!F$262:F$266,'Listas y Parametros'!$B$262:$B$266,'Costos Proyectados por Unidad'!$D102)</f>
        <v>0</v>
      </c>
      <c r="M102" s="270">
        <f>+SUMIFS('Listas y Parametros'!G$262:G$266,'Listas y Parametros'!$B$262:$B$266,'Costos Proyectados por Unidad'!$D102)</f>
        <v>0</v>
      </c>
      <c r="N102" s="270">
        <f>+SUMIFS('Listas y Parametros'!H$262:H$266,'Listas y Parametros'!$B$262:$B$266,'Costos Proyectados por Unidad'!$D102)</f>
        <v>0</v>
      </c>
      <c r="O102" s="270">
        <f>+SUMIFS('Listas y Parametros'!I$262:I$266,'Listas y Parametros'!$B$262:$B$266,'Costos Proyectados por Unidad'!$D102)</f>
        <v>0</v>
      </c>
      <c r="P102" s="270">
        <f>+SUMIFS('Listas y Parametros'!J$262:J$266,'Listas y Parametros'!$B$262:$B$266,'Costos Proyectados por Unidad'!$D102)</f>
        <v>0</v>
      </c>
      <c r="Q102" s="170">
        <f>+SUMIFS('Listas y Parametros'!K$262:K$266,'Listas y Parametros'!$B$262:$B$266,'Costos Proyectados por Unidad'!$D102)</f>
        <v>0</v>
      </c>
    </row>
    <row r="103" spans="3:17" x14ac:dyDescent="0.2">
      <c r="C103" s="117"/>
      <c r="D103" s="287" t="str">
        <f t="shared" si="51"/>
        <v>Perú</v>
      </c>
      <c r="E103" s="268"/>
      <c r="F103" s="271"/>
      <c r="G103" s="120"/>
      <c r="H103" s="291"/>
      <c r="I103" s="455"/>
      <c r="J103" s="270"/>
      <c r="K103" s="270"/>
      <c r="L103" s="270"/>
      <c r="M103" s="270"/>
      <c r="N103" s="270"/>
      <c r="O103" s="270"/>
      <c r="P103" s="270"/>
      <c r="Q103" s="170"/>
    </row>
    <row r="104" spans="3:17" ht="12" thickBot="1" x14ac:dyDescent="0.25">
      <c r="C104" s="272"/>
      <c r="D104" s="287" t="str">
        <f t="shared" si="51"/>
        <v>Perú</v>
      </c>
      <c r="E104" s="273"/>
      <c r="F104" s="274"/>
      <c r="G104" s="127"/>
      <c r="H104" s="292"/>
      <c r="I104" s="456"/>
      <c r="J104" s="275"/>
      <c r="K104" s="275"/>
      <c r="L104" s="275"/>
      <c r="M104" s="275"/>
      <c r="N104" s="275"/>
      <c r="O104" s="275"/>
      <c r="P104" s="275"/>
      <c r="Q104" s="276"/>
    </row>
    <row r="105" spans="3:17" x14ac:dyDescent="0.2">
      <c r="C105" s="262"/>
      <c r="D105" s="263" t="s">
        <v>45</v>
      </c>
      <c r="E105" s="263" t="s">
        <v>419</v>
      </c>
      <c r="F105" s="264" t="s">
        <v>22</v>
      </c>
      <c r="G105" s="265">
        <f>+'Gantt Proyectos'!J135</f>
        <v>0</v>
      </c>
      <c r="H105" s="290">
        <f t="shared" ref="H105:H121" si="52">+SUM(I105:Q105)</f>
        <v>80280</v>
      </c>
      <c r="I105" s="266">
        <f>+'Listas y Parametros'!V90</f>
        <v>8920</v>
      </c>
      <c r="J105" s="266">
        <f>+'Listas y Parametros'!W90</f>
        <v>8920</v>
      </c>
      <c r="K105" s="266">
        <f>+'Listas y Parametros'!X90</f>
        <v>8920</v>
      </c>
      <c r="L105" s="266">
        <f>+'Listas y Parametros'!Y90</f>
        <v>8920</v>
      </c>
      <c r="M105" s="266">
        <f>+'Listas y Parametros'!Z90</f>
        <v>8920</v>
      </c>
      <c r="N105" s="266">
        <f>+'Listas y Parametros'!AA90</f>
        <v>8920</v>
      </c>
      <c r="O105" s="266">
        <f>+'Listas y Parametros'!AB90</f>
        <v>8920</v>
      </c>
      <c r="P105" s="266">
        <f>+'Listas y Parametros'!AC90</f>
        <v>8920</v>
      </c>
      <c r="Q105" s="267">
        <f>+'Listas y Parametros'!AD90</f>
        <v>8920</v>
      </c>
    </row>
    <row r="106" spans="3:17" x14ac:dyDescent="0.2">
      <c r="C106" s="117"/>
      <c r="D106" s="287" t="str">
        <f>+D105</f>
        <v>Brasil</v>
      </c>
      <c r="E106" s="268" t="s">
        <v>419</v>
      </c>
      <c r="F106" s="269" t="s">
        <v>23</v>
      </c>
      <c r="G106" s="120">
        <f>+'Gantt Proyectos'!J136</f>
        <v>0</v>
      </c>
      <c r="H106" s="291">
        <f t="shared" si="52"/>
        <v>0</v>
      </c>
      <c r="I106" s="270">
        <f>+'Listas y Parametros'!V91</f>
        <v>0</v>
      </c>
      <c r="J106" s="270">
        <f>+'Listas y Parametros'!W91</f>
        <v>0</v>
      </c>
      <c r="K106" s="270">
        <f>+'Listas y Parametros'!X91</f>
        <v>0</v>
      </c>
      <c r="L106" s="270">
        <f>+'Listas y Parametros'!Y91</f>
        <v>0</v>
      </c>
      <c r="M106" s="270">
        <f>+'Listas y Parametros'!Z91</f>
        <v>0</v>
      </c>
      <c r="N106" s="270">
        <f>+'Listas y Parametros'!AA91</f>
        <v>0</v>
      </c>
      <c r="O106" s="270">
        <f>+'Listas y Parametros'!AB91</f>
        <v>0</v>
      </c>
      <c r="P106" s="270">
        <f>+'Listas y Parametros'!AC91</f>
        <v>0</v>
      </c>
      <c r="Q106" s="170">
        <f>+'Listas y Parametros'!AD91</f>
        <v>0</v>
      </c>
    </row>
    <row r="107" spans="3:17" x14ac:dyDescent="0.2">
      <c r="C107" s="117"/>
      <c r="D107" s="287" t="str">
        <f t="shared" ref="D107:D125" si="53">+D106</f>
        <v>Brasil</v>
      </c>
      <c r="E107" s="268" t="s">
        <v>419</v>
      </c>
      <c r="F107" s="269" t="s">
        <v>33</v>
      </c>
      <c r="G107" s="120">
        <f>+'Gantt Proyectos'!J137</f>
        <v>1</v>
      </c>
      <c r="H107" s="291">
        <f t="shared" si="52"/>
        <v>33300</v>
      </c>
      <c r="I107" s="270">
        <f>+'Listas y Parametros'!V92</f>
        <v>3700</v>
      </c>
      <c r="J107" s="270">
        <f>+'Listas y Parametros'!W92</f>
        <v>3700</v>
      </c>
      <c r="K107" s="270">
        <f>+'Listas y Parametros'!X92</f>
        <v>3700</v>
      </c>
      <c r="L107" s="270">
        <f>+'Listas y Parametros'!Y92</f>
        <v>3700</v>
      </c>
      <c r="M107" s="270">
        <f>+'Listas y Parametros'!Z92</f>
        <v>3700</v>
      </c>
      <c r="N107" s="270">
        <f>+'Listas y Parametros'!AA92</f>
        <v>3700</v>
      </c>
      <c r="O107" s="270">
        <f>+'Listas y Parametros'!AB92</f>
        <v>3700</v>
      </c>
      <c r="P107" s="270">
        <f>+'Listas y Parametros'!AC92</f>
        <v>3700</v>
      </c>
      <c r="Q107" s="170">
        <f>+'Listas y Parametros'!AD92</f>
        <v>3700</v>
      </c>
    </row>
    <row r="108" spans="3:17" x14ac:dyDescent="0.2">
      <c r="C108" s="117"/>
      <c r="D108" s="287" t="str">
        <f t="shared" si="53"/>
        <v>Brasil</v>
      </c>
      <c r="E108" s="268" t="s">
        <v>419</v>
      </c>
      <c r="F108" s="269" t="s">
        <v>31</v>
      </c>
      <c r="G108" s="120">
        <f>+'Gantt Proyectos'!J138</f>
        <v>0</v>
      </c>
      <c r="H108" s="291">
        <f t="shared" si="52"/>
        <v>9900</v>
      </c>
      <c r="I108" s="270">
        <f>+'Listas y Parametros'!V100</f>
        <v>1100</v>
      </c>
      <c r="J108" s="270">
        <f>+'Listas y Parametros'!W100</f>
        <v>1100</v>
      </c>
      <c r="K108" s="270">
        <f>+'Listas y Parametros'!X100</f>
        <v>1100</v>
      </c>
      <c r="L108" s="270">
        <f>+'Listas y Parametros'!Y100</f>
        <v>1100</v>
      </c>
      <c r="M108" s="270">
        <f>+'Listas y Parametros'!Z100</f>
        <v>1100</v>
      </c>
      <c r="N108" s="270">
        <f>+'Listas y Parametros'!AA100</f>
        <v>1100</v>
      </c>
      <c r="O108" s="270">
        <f>+'Listas y Parametros'!AB100</f>
        <v>1100</v>
      </c>
      <c r="P108" s="270">
        <f>+'Listas y Parametros'!AC100</f>
        <v>1100</v>
      </c>
      <c r="Q108" s="170">
        <f>+'Listas y Parametros'!AD100</f>
        <v>1100</v>
      </c>
    </row>
    <row r="109" spans="3:17" x14ac:dyDescent="0.2">
      <c r="C109" s="117"/>
      <c r="D109" s="287" t="str">
        <f t="shared" si="53"/>
        <v>Brasil</v>
      </c>
      <c r="E109" s="268" t="s">
        <v>419</v>
      </c>
      <c r="F109" s="269" t="s">
        <v>68</v>
      </c>
      <c r="G109" s="120">
        <f>+'Gantt Proyectos'!J139</f>
        <v>0</v>
      </c>
      <c r="H109" s="291">
        <f t="shared" si="52"/>
        <v>157863.63636363635</v>
      </c>
      <c r="I109" s="455">
        <f>+SUMIFS('Listas y Parametros'!C$289:C$293,'Listas y Parametros'!$B$289:$B$293,'Costos Proyectados por Unidad'!$D109)</f>
        <v>13727.272727272728</v>
      </c>
      <c r="J109" s="270">
        <f>+SUMIFS('Listas y Parametros'!D$289:D$293,'Listas y Parametros'!$B$289:$B$293,'Costos Proyectados por Unidad'!$D109)</f>
        <v>17159.090909090912</v>
      </c>
      <c r="K109" s="270">
        <f>+SUMIFS('Listas y Parametros'!E$289:E$293,'Listas y Parametros'!$B$289:$B$293,'Costos Proyectados por Unidad'!$D109)</f>
        <v>17159.090909090912</v>
      </c>
      <c r="L109" s="270">
        <f>+SUMIFS('Listas y Parametros'!F$289:F$293,'Listas y Parametros'!$B$289:$B$293,'Costos Proyectados por Unidad'!$D109)</f>
        <v>24022.727272727272</v>
      </c>
      <c r="M109" s="270">
        <f>+SUMIFS('Listas y Parametros'!G$289:G$293,'Listas y Parametros'!$B$289:$B$293,'Costos Proyectados por Unidad'!$D109)</f>
        <v>24022.727272727272</v>
      </c>
      <c r="N109" s="270">
        <f>+SUMIFS('Listas y Parametros'!H$289:H$293,'Listas y Parametros'!$B$289:$B$293,'Costos Proyectados por Unidad'!$D109)</f>
        <v>24022.727272727272</v>
      </c>
      <c r="O109" s="270">
        <f>+SUMIFS('Listas y Parametros'!I$289:I$293,'Listas y Parametros'!$B$289:$B$293,'Costos Proyectados por Unidad'!$D109)</f>
        <v>17159.090909090912</v>
      </c>
      <c r="P109" s="270">
        <f>+SUMIFS('Listas y Parametros'!J$289:J$293,'Listas y Parametros'!$B$289:$B$293,'Costos Proyectados por Unidad'!$D109)</f>
        <v>13727.272727272728</v>
      </c>
      <c r="Q109" s="170">
        <f>+SUMIFS('Listas y Parametros'!K$289:K$293,'Listas y Parametros'!$B$289:$B$293,'Costos Proyectados por Unidad'!$D109)</f>
        <v>6863.636363636364</v>
      </c>
    </row>
    <row r="110" spans="3:17" x14ac:dyDescent="0.2">
      <c r="C110" s="117"/>
      <c r="D110" s="287" t="str">
        <f t="shared" si="53"/>
        <v>Brasil</v>
      </c>
      <c r="E110" s="268" t="s">
        <v>419</v>
      </c>
      <c r="F110" s="269" t="s">
        <v>147</v>
      </c>
      <c r="G110" s="120">
        <f>+'Gantt Proyectos'!J140</f>
        <v>0</v>
      </c>
      <c r="H110" s="291">
        <f t="shared" si="52"/>
        <v>0</v>
      </c>
      <c r="I110" s="455">
        <f>+SUMIFS('Listas y Parametros'!C$166:C$170,'Listas y Parametros'!$B$166:$B$170,'Costos Proyectados por Unidad'!$D110)</f>
        <v>0</v>
      </c>
      <c r="J110" s="270">
        <f>+SUMIFS('Listas y Parametros'!D$166:D$170,'Listas y Parametros'!$B$166:$B$170,'Costos Proyectados por Unidad'!$D110)</f>
        <v>0</v>
      </c>
      <c r="K110" s="270">
        <f>+SUMIFS('Listas y Parametros'!E$166:E$170,'Listas y Parametros'!$B$166:$B$170,'Costos Proyectados por Unidad'!$D110)</f>
        <v>0</v>
      </c>
      <c r="L110" s="270">
        <f>+SUMIFS('Listas y Parametros'!F$166:F$170,'Listas y Parametros'!$B$166:$B$170,'Costos Proyectados por Unidad'!$D110)</f>
        <v>0</v>
      </c>
      <c r="M110" s="270">
        <f>+SUMIFS('Listas y Parametros'!G$166:G$170,'Listas y Parametros'!$B$166:$B$170,'Costos Proyectados por Unidad'!$D110)</f>
        <v>0</v>
      </c>
      <c r="N110" s="270">
        <f>+SUMIFS('Listas y Parametros'!H$166:H$170,'Listas y Parametros'!$B$166:$B$170,'Costos Proyectados por Unidad'!$D110)</f>
        <v>0</v>
      </c>
      <c r="O110" s="270">
        <f>+SUMIFS('Listas y Parametros'!I$166:I$170,'Listas y Parametros'!$B$166:$B$170,'Costos Proyectados por Unidad'!$D110)</f>
        <v>0</v>
      </c>
      <c r="P110" s="270">
        <f>+SUMIFS('Listas y Parametros'!J$166:J$170,'Listas y Parametros'!$B$166:$B$170,'Costos Proyectados por Unidad'!$D110)</f>
        <v>0</v>
      </c>
      <c r="Q110" s="170">
        <f>+SUMIFS('Listas y Parametros'!K$166:K$170,'Listas y Parametros'!$B$166:$B$170,'Costos Proyectados por Unidad'!$D110)</f>
        <v>0</v>
      </c>
    </row>
    <row r="111" spans="3:17" x14ac:dyDescent="0.2">
      <c r="C111" s="117"/>
      <c r="D111" s="287" t="str">
        <f t="shared" si="53"/>
        <v>Brasil</v>
      </c>
      <c r="E111" s="268"/>
      <c r="F111" s="269"/>
      <c r="G111" s="120"/>
      <c r="H111" s="291"/>
      <c r="I111" s="455"/>
      <c r="J111" s="270"/>
      <c r="K111" s="270"/>
      <c r="L111" s="270"/>
      <c r="M111" s="270"/>
      <c r="N111" s="270"/>
      <c r="O111" s="270"/>
      <c r="P111" s="270"/>
      <c r="Q111" s="170"/>
    </row>
    <row r="112" spans="3:17" x14ac:dyDescent="0.2">
      <c r="C112" s="117"/>
      <c r="D112" s="287" t="str">
        <f t="shared" si="53"/>
        <v>Brasil</v>
      </c>
      <c r="E112" s="268" t="s">
        <v>420</v>
      </c>
      <c r="F112" s="269" t="s">
        <v>235</v>
      </c>
      <c r="G112" s="120">
        <f>+'Gantt Proyectos'!J142</f>
        <v>0</v>
      </c>
      <c r="H112" s="291">
        <f t="shared" si="52"/>
        <v>14571</v>
      </c>
      <c r="I112" s="455">
        <f>+SUMIFS('Listas y Parametros'!J$179:J$188,'Listas y Parametros'!$H$179:$H$188,'Costos Proyectados por Unidad'!$D112,'Listas y Parametros'!$I$179:$I$188,'Costos Proyectados por Unidad'!$F112)</f>
        <v>1619</v>
      </c>
      <c r="J112" s="270">
        <f>+SUMIFS('Listas y Parametros'!K$179:K$188,'Listas y Parametros'!$H$179:$H$188,'Costos Proyectados por Unidad'!$D112,'Listas y Parametros'!$I$179:$I$188,'Costos Proyectados por Unidad'!$F112)</f>
        <v>1619</v>
      </c>
      <c r="K112" s="270">
        <f>+SUMIFS('Listas y Parametros'!L$179:L$188,'Listas y Parametros'!$H$179:$H$188,'Costos Proyectados por Unidad'!$D112,'Listas y Parametros'!$I$179:$I$188,'Costos Proyectados por Unidad'!$F112)</f>
        <v>1619</v>
      </c>
      <c r="L112" s="270">
        <f>+SUMIFS('Listas y Parametros'!M$179:M$188,'Listas y Parametros'!$H$179:$H$188,'Costos Proyectados por Unidad'!$D112,'Listas y Parametros'!$I$179:$I$188,'Costos Proyectados por Unidad'!$F112)</f>
        <v>1619</v>
      </c>
      <c r="M112" s="270">
        <f>+SUMIFS('Listas y Parametros'!N$179:N$188,'Listas y Parametros'!$H$179:$H$188,'Costos Proyectados por Unidad'!$D112,'Listas y Parametros'!$I$179:$I$188,'Costos Proyectados por Unidad'!$F112)</f>
        <v>1619</v>
      </c>
      <c r="N112" s="270">
        <f>+SUMIFS('Listas y Parametros'!O$179:O$188,'Listas y Parametros'!$H$179:$H$188,'Costos Proyectados por Unidad'!$D112,'Listas y Parametros'!$I$179:$I$188,'Costos Proyectados por Unidad'!$F112)</f>
        <v>1619</v>
      </c>
      <c r="O112" s="270">
        <f>+SUMIFS('Listas y Parametros'!P$179:P$188,'Listas y Parametros'!$H$179:$H$188,'Costos Proyectados por Unidad'!$D112,'Listas y Parametros'!$I$179:$I$188,'Costos Proyectados por Unidad'!$F112)</f>
        <v>1619</v>
      </c>
      <c r="P112" s="270">
        <f>+SUMIFS('Listas y Parametros'!Q$179:Q$188,'Listas y Parametros'!$H$179:$H$188,'Costos Proyectados por Unidad'!$D112,'Listas y Parametros'!$I$179:$I$188,'Costos Proyectados por Unidad'!$F112)</f>
        <v>1619</v>
      </c>
      <c r="Q112" s="170">
        <f>+SUMIFS('Listas y Parametros'!R$179:R$188,'Listas y Parametros'!$H$179:$H$188,'Costos Proyectados por Unidad'!$D112,'Listas y Parametros'!$I$179:$I$188,'Costos Proyectados por Unidad'!$F112)</f>
        <v>1619</v>
      </c>
    </row>
    <row r="113" spans="3:17" x14ac:dyDescent="0.2">
      <c r="C113" s="117"/>
      <c r="D113" s="287" t="str">
        <f t="shared" si="53"/>
        <v>Brasil</v>
      </c>
      <c r="E113" s="268" t="s">
        <v>420</v>
      </c>
      <c r="F113" s="269" t="s">
        <v>236</v>
      </c>
      <c r="G113" s="120">
        <f>+'Gantt Proyectos'!J143</f>
        <v>1</v>
      </c>
      <c r="H113" s="291">
        <f t="shared" si="52"/>
        <v>133260</v>
      </c>
      <c r="I113" s="455">
        <f>+SUMIFS('Listas y Parametros'!J$179:J$188,'Listas y Parametros'!$H$179:$H$188,'Costos Proyectados por Unidad'!$D113,'Listas y Parametros'!$I$179:$I$188,'Costos Proyectados por Unidad'!$F113)</f>
        <v>14806.666666666666</v>
      </c>
      <c r="J113" s="270">
        <f>+SUMIFS('Listas y Parametros'!K$179:K$188,'Listas y Parametros'!$H$179:$H$188,'Costos Proyectados por Unidad'!$D113,'Listas y Parametros'!$I$179:$I$188,'Costos Proyectados por Unidad'!$F113)</f>
        <v>14806.666666666666</v>
      </c>
      <c r="K113" s="270">
        <f>+SUMIFS('Listas y Parametros'!L$179:L$188,'Listas y Parametros'!$H$179:$H$188,'Costos Proyectados por Unidad'!$D113,'Listas y Parametros'!$I$179:$I$188,'Costos Proyectados por Unidad'!$F113)</f>
        <v>14806.666666666666</v>
      </c>
      <c r="L113" s="270">
        <f>+SUMIFS('Listas y Parametros'!M$179:M$188,'Listas y Parametros'!$H$179:$H$188,'Costos Proyectados por Unidad'!$D113,'Listas y Parametros'!$I$179:$I$188,'Costos Proyectados por Unidad'!$F113)</f>
        <v>14806.666666666666</v>
      </c>
      <c r="M113" s="270">
        <f>+SUMIFS('Listas y Parametros'!N$179:N$188,'Listas y Parametros'!$H$179:$H$188,'Costos Proyectados por Unidad'!$D113,'Listas y Parametros'!$I$179:$I$188,'Costos Proyectados por Unidad'!$F113)</f>
        <v>14806.666666666666</v>
      </c>
      <c r="N113" s="270">
        <f>+SUMIFS('Listas y Parametros'!O$179:O$188,'Listas y Parametros'!$H$179:$H$188,'Costos Proyectados por Unidad'!$D113,'Listas y Parametros'!$I$179:$I$188,'Costos Proyectados por Unidad'!$F113)</f>
        <v>14806.666666666666</v>
      </c>
      <c r="O113" s="270">
        <f>+SUMIFS('Listas y Parametros'!P$179:P$188,'Listas y Parametros'!$H$179:$H$188,'Costos Proyectados por Unidad'!$D113,'Listas y Parametros'!$I$179:$I$188,'Costos Proyectados por Unidad'!$F113)</f>
        <v>14806.666666666666</v>
      </c>
      <c r="P113" s="270">
        <f>+SUMIFS('Listas y Parametros'!Q$179:Q$188,'Listas y Parametros'!$H$179:$H$188,'Costos Proyectados por Unidad'!$D113,'Listas y Parametros'!$I$179:$I$188,'Costos Proyectados por Unidad'!$F113)</f>
        <v>14806.666666666666</v>
      </c>
      <c r="Q113" s="170">
        <f>+SUMIFS('Listas y Parametros'!R$179:R$188,'Listas y Parametros'!$H$179:$H$188,'Costos Proyectados por Unidad'!$D113,'Listas y Parametros'!$I$179:$I$188,'Costos Proyectados por Unidad'!$F113)</f>
        <v>14806.666666666666</v>
      </c>
    </row>
    <row r="114" spans="3:17" x14ac:dyDescent="0.2">
      <c r="C114" s="117"/>
      <c r="D114" s="287" t="str">
        <f t="shared" si="53"/>
        <v>Brasil</v>
      </c>
      <c r="E114" s="268"/>
      <c r="F114" s="269"/>
      <c r="G114" s="120"/>
      <c r="H114" s="291"/>
      <c r="I114" s="455"/>
      <c r="J114" s="270"/>
      <c r="K114" s="270"/>
      <c r="L114" s="270"/>
      <c r="M114" s="270"/>
      <c r="N114" s="270"/>
      <c r="O114" s="270"/>
      <c r="P114" s="270"/>
      <c r="Q114" s="170"/>
    </row>
    <row r="115" spans="3:17" x14ac:dyDescent="0.2">
      <c r="C115" s="117"/>
      <c r="D115" s="287" t="str">
        <f t="shared" si="53"/>
        <v>Brasil</v>
      </c>
      <c r="E115" s="268" t="s">
        <v>421</v>
      </c>
      <c r="F115" s="451" t="s">
        <v>427</v>
      </c>
      <c r="G115" s="120">
        <f>+'Gantt Proyectos'!J145</f>
        <v>0</v>
      </c>
      <c r="H115" s="291">
        <f t="shared" si="52"/>
        <v>62761.5</v>
      </c>
      <c r="I115" s="455">
        <f>+SUMIFS('Listas y Parametros'!J$195:J$199,'Listas y Parametros'!$I$195:$I$199,'Costos Proyectados por Unidad'!$D115)</f>
        <v>6973.5</v>
      </c>
      <c r="J115" s="270">
        <f>+SUMIFS('Listas y Parametros'!K$195:K$199,'Listas y Parametros'!$I$195:$I$199,'Costos Proyectados por Unidad'!$D115)</f>
        <v>6973.5</v>
      </c>
      <c r="K115" s="270">
        <f>+SUMIFS('Listas y Parametros'!L$195:L$199,'Listas y Parametros'!$I$195:$I$199,'Costos Proyectados por Unidad'!$D115)</f>
        <v>6973.5</v>
      </c>
      <c r="L115" s="270">
        <f>+SUMIFS('Listas y Parametros'!M$195:M$199,'Listas y Parametros'!$I$195:$I$199,'Costos Proyectados por Unidad'!$D115)</f>
        <v>6973.5</v>
      </c>
      <c r="M115" s="270">
        <f>+SUMIFS('Listas y Parametros'!N$195:N$199,'Listas y Parametros'!$I$195:$I$199,'Costos Proyectados por Unidad'!$D115)</f>
        <v>6973.5</v>
      </c>
      <c r="N115" s="270">
        <f>+SUMIFS('Listas y Parametros'!O$195:O$199,'Listas y Parametros'!$I$195:$I$199,'Costos Proyectados por Unidad'!$D115)</f>
        <v>6973.5</v>
      </c>
      <c r="O115" s="270">
        <f>+SUMIFS('Listas y Parametros'!P$195:P$199,'Listas y Parametros'!$I$195:$I$199,'Costos Proyectados por Unidad'!$D115)</f>
        <v>6973.5</v>
      </c>
      <c r="P115" s="270">
        <f>+SUMIFS('Listas y Parametros'!Q$195:Q$199,'Listas y Parametros'!$I$195:$I$199,'Costos Proyectados por Unidad'!$D115)</f>
        <v>6973.5</v>
      </c>
      <c r="Q115" s="170">
        <f>+SUMIFS('Listas y Parametros'!R$195:R$199,'Listas y Parametros'!$I$195:$I$199,'Costos Proyectados por Unidad'!$D115)</f>
        <v>6973.5</v>
      </c>
    </row>
    <row r="116" spans="3:17" x14ac:dyDescent="0.2">
      <c r="C116" s="117"/>
      <c r="D116" s="287" t="str">
        <f t="shared" si="53"/>
        <v>Brasil</v>
      </c>
      <c r="E116" s="268"/>
      <c r="F116" s="269"/>
      <c r="G116" s="120"/>
      <c r="H116" s="291"/>
      <c r="I116" s="455"/>
      <c r="J116" s="270"/>
      <c r="K116" s="270"/>
      <c r="L116" s="270"/>
      <c r="M116" s="270"/>
      <c r="N116" s="270"/>
      <c r="O116" s="270"/>
      <c r="P116" s="270"/>
      <c r="Q116" s="170"/>
    </row>
    <row r="117" spans="3:17" x14ac:dyDescent="0.2">
      <c r="C117" s="117"/>
      <c r="D117" s="287" t="str">
        <f t="shared" si="53"/>
        <v>Brasil</v>
      </c>
      <c r="E117" s="268" t="s">
        <v>422</v>
      </c>
      <c r="F117" s="269" t="s">
        <v>428</v>
      </c>
      <c r="G117" s="120">
        <f>+'Gantt Proyectos'!J148</f>
        <v>1</v>
      </c>
      <c r="H117" s="291">
        <f t="shared" si="52"/>
        <v>0</v>
      </c>
      <c r="I117" s="455"/>
      <c r="J117" s="270"/>
      <c r="K117" s="270"/>
      <c r="L117" s="270"/>
      <c r="M117" s="270"/>
      <c r="N117" s="270"/>
      <c r="O117" s="270"/>
      <c r="P117" s="270"/>
      <c r="Q117" s="170"/>
    </row>
    <row r="118" spans="3:17" x14ac:dyDescent="0.2">
      <c r="C118" s="117"/>
      <c r="D118" s="287" t="str">
        <f t="shared" si="53"/>
        <v>Brasil</v>
      </c>
      <c r="E118" s="268"/>
      <c r="F118" s="269"/>
      <c r="G118" s="120"/>
      <c r="H118" s="291"/>
      <c r="I118" s="455"/>
      <c r="J118" s="270"/>
      <c r="K118" s="270"/>
      <c r="L118" s="270"/>
      <c r="M118" s="270"/>
      <c r="N118" s="270"/>
      <c r="O118" s="270"/>
      <c r="P118" s="270"/>
      <c r="Q118" s="170"/>
    </row>
    <row r="119" spans="3:17" x14ac:dyDescent="0.2">
      <c r="C119" s="117"/>
      <c r="D119" s="287" t="str">
        <f t="shared" si="53"/>
        <v>Brasil</v>
      </c>
      <c r="E119" s="268" t="s">
        <v>423</v>
      </c>
      <c r="F119" s="269" t="s">
        <v>429</v>
      </c>
      <c r="G119" s="120">
        <f>+'Gantt Proyectos'!J150</f>
        <v>1</v>
      </c>
      <c r="H119" s="291">
        <f t="shared" si="52"/>
        <v>25000</v>
      </c>
      <c r="I119" s="455">
        <f>+SUMIFS('Listas y Parametros'!J$224:J$228,'Listas y Parametros'!$I$224:$I$228,'Costos Proyectados por Unidad'!$D119)</f>
        <v>0</v>
      </c>
      <c r="J119" s="270">
        <f>+SUMIFS('Listas y Parametros'!K$224:K$228,'Listas y Parametros'!$I$224:$I$228,'Costos Proyectados por Unidad'!$D119)</f>
        <v>0</v>
      </c>
      <c r="K119" s="270">
        <f>+SUMIFS('Listas y Parametros'!L$224:L$228,'Listas y Parametros'!$I$224:$I$228,'Costos Proyectados por Unidad'!$D119)</f>
        <v>0</v>
      </c>
      <c r="L119" s="270">
        <f>+SUMIFS('Listas y Parametros'!M$224:M$228,'Listas y Parametros'!$I$224:$I$228,'Costos Proyectados por Unidad'!$D119)</f>
        <v>25000</v>
      </c>
      <c r="M119" s="270">
        <f>+SUMIFS('Listas y Parametros'!N$224:N$228,'Listas y Parametros'!$I$224:$I$228,'Costos Proyectados por Unidad'!$D119)</f>
        <v>0</v>
      </c>
      <c r="N119" s="270">
        <f>+SUMIFS('Listas y Parametros'!O$224:O$228,'Listas y Parametros'!$I$224:$I$228,'Costos Proyectados por Unidad'!$D119)</f>
        <v>0</v>
      </c>
      <c r="O119" s="270">
        <f>+SUMIFS('Listas y Parametros'!P$224:P$228,'Listas y Parametros'!$I$224:$I$228,'Costos Proyectados por Unidad'!$D119)</f>
        <v>0</v>
      </c>
      <c r="P119" s="270">
        <f>+SUMIFS('Listas y Parametros'!Q$224:Q$228,'Listas y Parametros'!$I$224:$I$228,'Costos Proyectados por Unidad'!$D119)</f>
        <v>0</v>
      </c>
      <c r="Q119" s="170">
        <f>+SUMIFS('Listas y Parametros'!R$224:R$228,'Listas y Parametros'!$I$224:$I$228,'Costos Proyectados por Unidad'!$D119)</f>
        <v>0</v>
      </c>
    </row>
    <row r="120" spans="3:17" x14ac:dyDescent="0.2">
      <c r="C120" s="117"/>
      <c r="D120" s="287" t="str">
        <f t="shared" si="53"/>
        <v>Brasil</v>
      </c>
      <c r="E120" s="268"/>
      <c r="F120" s="269"/>
      <c r="G120" s="120"/>
      <c r="H120" s="291"/>
      <c r="I120" s="455"/>
      <c r="J120" s="270"/>
      <c r="K120" s="270"/>
      <c r="L120" s="270"/>
      <c r="M120" s="270"/>
      <c r="N120" s="270"/>
      <c r="O120" s="270"/>
      <c r="P120" s="270"/>
      <c r="Q120" s="170"/>
    </row>
    <row r="121" spans="3:17" x14ac:dyDescent="0.2">
      <c r="C121" s="117"/>
      <c r="D121" s="287" t="str">
        <f t="shared" si="53"/>
        <v>Brasil</v>
      </c>
      <c r="E121" s="268" t="s">
        <v>424</v>
      </c>
      <c r="F121" s="269" t="s">
        <v>430</v>
      </c>
      <c r="G121" s="120">
        <f>+'Gantt Proyectos'!J152</f>
        <v>1</v>
      </c>
      <c r="H121" s="291">
        <f t="shared" si="52"/>
        <v>5000</v>
      </c>
      <c r="I121" s="455">
        <f>+SUMIFS('Listas y Parametros'!C$245:C$249,'Listas y Parametros'!$B$245:$B$249,'Costos Proyectados por Unidad'!$D121)</f>
        <v>0</v>
      </c>
      <c r="J121" s="270">
        <f>+SUMIFS('Listas y Parametros'!D$245:D$249,'Listas y Parametros'!$B$245:$B$249,'Costos Proyectados por Unidad'!$D121)</f>
        <v>0</v>
      </c>
      <c r="K121" s="270">
        <f>+SUMIFS('Listas y Parametros'!E$245:E$249,'Listas y Parametros'!$B$245:$B$249,'Costos Proyectados por Unidad'!$D121)</f>
        <v>0</v>
      </c>
      <c r="L121" s="270">
        <f>+SUMIFS('Listas y Parametros'!F$245:F$249,'Listas y Parametros'!$B$245:$B$249,'Costos Proyectados por Unidad'!$D121)</f>
        <v>0</v>
      </c>
      <c r="M121" s="270">
        <f>+SUMIFS('Listas y Parametros'!G$245:G$249,'Listas y Parametros'!$B$245:$B$249,'Costos Proyectados por Unidad'!$D121)</f>
        <v>0</v>
      </c>
      <c r="N121" s="270">
        <f>+SUMIFS('Listas y Parametros'!H$245:H$249,'Listas y Parametros'!$B$245:$B$249,'Costos Proyectados por Unidad'!$D121)</f>
        <v>0</v>
      </c>
      <c r="O121" s="270">
        <f>+SUMIFS('Listas y Parametros'!I$245:I$249,'Listas y Parametros'!$B$245:$B$249,'Costos Proyectados por Unidad'!$D121)</f>
        <v>0</v>
      </c>
      <c r="P121" s="270">
        <f>+SUMIFS('Listas y Parametros'!J$245:J$249,'Listas y Parametros'!$B$245:$B$249,'Costos Proyectados por Unidad'!$D121)</f>
        <v>0</v>
      </c>
      <c r="Q121" s="170">
        <f>+SUMIFS('Listas y Parametros'!K$245:K$249,'Listas y Parametros'!$B$245:$B$249,'Costos Proyectados por Unidad'!$D121)</f>
        <v>5000</v>
      </c>
    </row>
    <row r="122" spans="3:17" x14ac:dyDescent="0.2">
      <c r="C122" s="117"/>
      <c r="D122" s="287" t="str">
        <f t="shared" si="53"/>
        <v>Brasil</v>
      </c>
      <c r="E122" s="268"/>
      <c r="F122" s="269"/>
      <c r="G122" s="120"/>
      <c r="H122" s="291"/>
      <c r="I122" s="455"/>
      <c r="J122" s="270"/>
      <c r="K122" s="270"/>
      <c r="L122" s="270"/>
      <c r="M122" s="270"/>
      <c r="N122" s="270"/>
      <c r="O122" s="270"/>
      <c r="P122" s="270"/>
      <c r="Q122" s="170"/>
    </row>
    <row r="123" spans="3:17" x14ac:dyDescent="0.2">
      <c r="C123" s="117"/>
      <c r="D123" s="287" t="str">
        <f t="shared" si="53"/>
        <v>Brasil</v>
      </c>
      <c r="E123" s="268" t="s">
        <v>47</v>
      </c>
      <c r="F123" s="269" t="s">
        <v>47</v>
      </c>
      <c r="G123" s="120">
        <f>+'Gantt Proyectos'!J153</f>
        <v>1</v>
      </c>
      <c r="H123" s="291">
        <f t="shared" ref="H123:H142" si="54">+SUM(I123:Q123)</f>
        <v>157863.63636363635</v>
      </c>
      <c r="I123" s="455">
        <f>+SUMIFS('Listas y Parametros'!C$262:C$266,'Listas y Parametros'!$B$262:$B$266,'Costos Proyectados por Unidad'!$D123)</f>
        <v>13727.272727272728</v>
      </c>
      <c r="J123" s="270">
        <f>+SUMIFS('Listas y Parametros'!D$262:D$266,'Listas y Parametros'!$B$262:$B$266,'Costos Proyectados por Unidad'!$D123)</f>
        <v>17159.090909090912</v>
      </c>
      <c r="K123" s="270">
        <f>+SUMIFS('Listas y Parametros'!E$262:E$266,'Listas y Parametros'!$B$262:$B$266,'Costos Proyectados por Unidad'!$D123)</f>
        <v>17159.090909090912</v>
      </c>
      <c r="L123" s="270">
        <f>+SUMIFS('Listas y Parametros'!F$262:F$266,'Listas y Parametros'!$B$262:$B$266,'Costos Proyectados por Unidad'!$D123)</f>
        <v>24022.727272727272</v>
      </c>
      <c r="M123" s="270">
        <f>+SUMIFS('Listas y Parametros'!G$262:G$266,'Listas y Parametros'!$B$262:$B$266,'Costos Proyectados por Unidad'!$D123)</f>
        <v>24022.727272727272</v>
      </c>
      <c r="N123" s="270">
        <f>+SUMIFS('Listas y Parametros'!H$262:H$266,'Listas y Parametros'!$B$262:$B$266,'Costos Proyectados por Unidad'!$D123)</f>
        <v>24022.727272727272</v>
      </c>
      <c r="O123" s="270">
        <f>+SUMIFS('Listas y Parametros'!I$262:I$266,'Listas y Parametros'!$B$262:$B$266,'Costos Proyectados por Unidad'!$D123)</f>
        <v>17159.090909090912</v>
      </c>
      <c r="P123" s="270">
        <f>+SUMIFS('Listas y Parametros'!J$262:J$266,'Listas y Parametros'!$B$262:$B$266,'Costos Proyectados por Unidad'!$D123)</f>
        <v>13727.272727272728</v>
      </c>
      <c r="Q123" s="170">
        <f>+SUMIFS('Listas y Parametros'!K$262:K$266,'Listas y Parametros'!$B$262:$B$266,'Costos Proyectados por Unidad'!$D123)</f>
        <v>6863.636363636364</v>
      </c>
    </row>
    <row r="124" spans="3:17" ht="15" customHeight="1" x14ac:dyDescent="0.2">
      <c r="C124" s="117"/>
      <c r="D124" s="287" t="str">
        <f t="shared" si="53"/>
        <v>Brasil</v>
      </c>
      <c r="E124" s="268"/>
      <c r="F124" s="271"/>
      <c r="G124" s="120"/>
      <c r="H124" s="291"/>
      <c r="I124" s="455"/>
      <c r="J124" s="270"/>
      <c r="K124" s="270"/>
      <c r="L124" s="270"/>
      <c r="M124" s="270"/>
      <c r="N124" s="270"/>
      <c r="O124" s="270"/>
      <c r="P124" s="270"/>
      <c r="Q124" s="170"/>
    </row>
    <row r="125" spans="3:17" ht="12" thickBot="1" x14ac:dyDescent="0.25">
      <c r="C125" s="272"/>
      <c r="D125" s="287" t="str">
        <f t="shared" si="53"/>
        <v>Brasil</v>
      </c>
      <c r="E125" s="273"/>
      <c r="F125" s="274"/>
      <c r="G125" s="127"/>
      <c r="H125" s="292"/>
      <c r="I125" s="456"/>
      <c r="J125" s="275"/>
      <c r="K125" s="275"/>
      <c r="L125" s="275"/>
      <c r="M125" s="275"/>
      <c r="N125" s="275"/>
      <c r="O125" s="275"/>
      <c r="P125" s="275"/>
      <c r="Q125" s="276"/>
    </row>
    <row r="126" spans="3:17" x14ac:dyDescent="0.2">
      <c r="C126" s="262"/>
      <c r="D126" s="263" t="s">
        <v>46</v>
      </c>
      <c r="E126" s="263" t="s">
        <v>419</v>
      </c>
      <c r="F126" s="264" t="s">
        <v>22</v>
      </c>
      <c r="G126" s="265">
        <f>+'Gantt Proyectos'!J157</f>
        <v>0</v>
      </c>
      <c r="H126" s="290">
        <f t="shared" si="54"/>
        <v>225000</v>
      </c>
      <c r="I126" s="454">
        <f>+'Listas y Parametros'!V103</f>
        <v>25000</v>
      </c>
      <c r="J126" s="266">
        <f>+'Listas y Parametros'!W103</f>
        <v>25000</v>
      </c>
      <c r="K126" s="266">
        <f>+'Listas y Parametros'!X103</f>
        <v>25000</v>
      </c>
      <c r="L126" s="266">
        <f>+'Listas y Parametros'!Y103</f>
        <v>25000</v>
      </c>
      <c r="M126" s="266">
        <f>+'Listas y Parametros'!Z103</f>
        <v>25000</v>
      </c>
      <c r="N126" s="266">
        <f>+'Listas y Parametros'!AA103</f>
        <v>25000</v>
      </c>
      <c r="O126" s="266">
        <f>+'Listas y Parametros'!AB103</f>
        <v>25000</v>
      </c>
      <c r="P126" s="266">
        <f>+'Listas y Parametros'!AC103</f>
        <v>25000</v>
      </c>
      <c r="Q126" s="267">
        <f>+'Listas y Parametros'!AD103</f>
        <v>25000</v>
      </c>
    </row>
    <row r="127" spans="3:17" x14ac:dyDescent="0.2">
      <c r="C127" s="117"/>
      <c r="D127" s="287" t="str">
        <f>+D126</f>
        <v>USA</v>
      </c>
      <c r="E127" s="268" t="s">
        <v>419</v>
      </c>
      <c r="F127" s="269" t="s">
        <v>23</v>
      </c>
      <c r="G127" s="120">
        <f>+'Gantt Proyectos'!J158</f>
        <v>0</v>
      </c>
      <c r="H127" s="291">
        <f t="shared" si="54"/>
        <v>0</v>
      </c>
      <c r="I127" s="455">
        <f>+'Listas y Parametros'!V104</f>
        <v>0</v>
      </c>
      <c r="J127" s="270">
        <f>+'Listas y Parametros'!W104</f>
        <v>0</v>
      </c>
      <c r="K127" s="270">
        <f>+'Listas y Parametros'!X104</f>
        <v>0</v>
      </c>
      <c r="L127" s="270">
        <f>+'Listas y Parametros'!Y104</f>
        <v>0</v>
      </c>
      <c r="M127" s="270">
        <f>+'Listas y Parametros'!Z104</f>
        <v>0</v>
      </c>
      <c r="N127" s="270">
        <f>+'Listas y Parametros'!AA104</f>
        <v>0</v>
      </c>
      <c r="O127" s="270">
        <f>+'Listas y Parametros'!AB104</f>
        <v>0</v>
      </c>
      <c r="P127" s="270">
        <f>+'Listas y Parametros'!AC104</f>
        <v>0</v>
      </c>
      <c r="Q127" s="170">
        <f>+'Listas y Parametros'!AD104</f>
        <v>0</v>
      </c>
    </row>
    <row r="128" spans="3:17" x14ac:dyDescent="0.2">
      <c r="C128" s="117"/>
      <c r="D128" s="287" t="str">
        <f t="shared" ref="D128:D146" si="55">+D127</f>
        <v>USA</v>
      </c>
      <c r="E128" s="268" t="s">
        <v>419</v>
      </c>
      <c r="F128" s="269" t="s">
        <v>33</v>
      </c>
      <c r="G128" s="120">
        <f>+'Gantt Proyectos'!J159</f>
        <v>0</v>
      </c>
      <c r="H128" s="291">
        <f t="shared" si="54"/>
        <v>0</v>
      </c>
      <c r="I128" s="455">
        <f>+'Listas y Parametros'!V105</f>
        <v>0</v>
      </c>
      <c r="J128" s="270">
        <f>+'Listas y Parametros'!W105</f>
        <v>0</v>
      </c>
      <c r="K128" s="270">
        <f>+'Listas y Parametros'!X105</f>
        <v>0</v>
      </c>
      <c r="L128" s="270">
        <f>+'Listas y Parametros'!Y105</f>
        <v>0</v>
      </c>
      <c r="M128" s="270">
        <f>+'Listas y Parametros'!Z105</f>
        <v>0</v>
      </c>
      <c r="N128" s="270">
        <f>+'Listas y Parametros'!AA105</f>
        <v>0</v>
      </c>
      <c r="O128" s="270">
        <f>+'Listas y Parametros'!AB105</f>
        <v>0</v>
      </c>
      <c r="P128" s="270">
        <f>+'Listas y Parametros'!AC105</f>
        <v>0</v>
      </c>
      <c r="Q128" s="170">
        <f>+'Listas y Parametros'!AD105</f>
        <v>0</v>
      </c>
    </row>
    <row r="129" spans="3:17" x14ac:dyDescent="0.2">
      <c r="C129" s="117"/>
      <c r="D129" s="287" t="str">
        <f t="shared" si="55"/>
        <v>USA</v>
      </c>
      <c r="E129" s="268" t="s">
        <v>419</v>
      </c>
      <c r="F129" s="269" t="s">
        <v>31</v>
      </c>
      <c r="G129" s="120">
        <f>+'Gantt Proyectos'!J160</f>
        <v>0</v>
      </c>
      <c r="H129" s="291">
        <f t="shared" si="54"/>
        <v>0</v>
      </c>
      <c r="I129" s="455">
        <f>+'Listas y Parametros'!V113</f>
        <v>0</v>
      </c>
      <c r="J129" s="270">
        <f>+'Listas y Parametros'!W113</f>
        <v>0</v>
      </c>
      <c r="K129" s="270">
        <f>+'Listas y Parametros'!X113</f>
        <v>0</v>
      </c>
      <c r="L129" s="270">
        <f>+'Listas y Parametros'!Y113</f>
        <v>0</v>
      </c>
      <c r="M129" s="270">
        <f>+'Listas y Parametros'!Z113</f>
        <v>0</v>
      </c>
      <c r="N129" s="270">
        <f>+'Listas y Parametros'!AA113</f>
        <v>0</v>
      </c>
      <c r="O129" s="270">
        <f>+'Listas y Parametros'!AB113</f>
        <v>0</v>
      </c>
      <c r="P129" s="270">
        <f>+'Listas y Parametros'!AC113</f>
        <v>0</v>
      </c>
      <c r="Q129" s="170">
        <f>+'Listas y Parametros'!AD113</f>
        <v>0</v>
      </c>
    </row>
    <row r="130" spans="3:17" x14ac:dyDescent="0.2">
      <c r="C130" s="117"/>
      <c r="D130" s="287" t="str">
        <f t="shared" si="55"/>
        <v>USA</v>
      </c>
      <c r="E130" s="268" t="s">
        <v>419</v>
      </c>
      <c r="F130" s="269" t="s">
        <v>68</v>
      </c>
      <c r="G130" s="120">
        <f>+'Gantt Proyectos'!J161</f>
        <v>0</v>
      </c>
      <c r="H130" s="291">
        <f t="shared" si="54"/>
        <v>61772.727272727294</v>
      </c>
      <c r="I130" s="455">
        <f>+SUMIFS('Listas y Parametros'!C$289:C$293,'Listas y Parametros'!$B$289:$B$293,'Costos Proyectados por Unidad'!$D130)</f>
        <v>6863.636363636364</v>
      </c>
      <c r="J130" s="270">
        <f>+SUMIFS('Listas y Parametros'!D$289:D$293,'Listas y Parametros'!$B$289:$B$293,'Costos Proyectados por Unidad'!$D130)</f>
        <v>6863.636363636364</v>
      </c>
      <c r="K130" s="270">
        <f>+SUMIFS('Listas y Parametros'!E$289:E$293,'Listas y Parametros'!$B$289:$B$293,'Costos Proyectados por Unidad'!$D130)</f>
        <v>10295.454545454546</v>
      </c>
      <c r="L130" s="270">
        <f>+SUMIFS('Listas y Parametros'!F$289:F$293,'Listas y Parametros'!$B$289:$B$293,'Costos Proyectados por Unidad'!$D130)</f>
        <v>3431.818181818182</v>
      </c>
      <c r="M130" s="270">
        <f>+SUMIFS('Listas y Parametros'!G$289:G$293,'Listas y Parametros'!$B$289:$B$293,'Costos Proyectados por Unidad'!$D130)</f>
        <v>6863.636363636364</v>
      </c>
      <c r="N130" s="270">
        <f>+SUMIFS('Listas y Parametros'!H$289:H$293,'Listas y Parametros'!$B$289:$B$293,'Costos Proyectados por Unidad'!$D130)</f>
        <v>6863.636363636364</v>
      </c>
      <c r="O130" s="270">
        <f>+SUMIFS('Listas y Parametros'!I$289:I$293,'Listas y Parametros'!$B$289:$B$293,'Costos Proyectados por Unidad'!$D130)</f>
        <v>6863.636363636364</v>
      </c>
      <c r="P130" s="270">
        <f>+SUMIFS('Listas y Parametros'!J$289:J$293,'Listas y Parametros'!$B$289:$B$293,'Costos Proyectados por Unidad'!$D130)</f>
        <v>6863.636363636364</v>
      </c>
      <c r="Q130" s="170">
        <f>+SUMIFS('Listas y Parametros'!K$289:K$293,'Listas y Parametros'!$B$289:$B$293,'Costos Proyectados por Unidad'!$D130)</f>
        <v>6863.636363636364</v>
      </c>
    </row>
    <row r="131" spans="3:17" x14ac:dyDescent="0.2">
      <c r="C131" s="117"/>
      <c r="D131" s="287" t="str">
        <f t="shared" si="55"/>
        <v>USA</v>
      </c>
      <c r="E131" s="268" t="s">
        <v>419</v>
      </c>
      <c r="F131" s="269" t="s">
        <v>147</v>
      </c>
      <c r="G131" s="120">
        <f>+'Gantt Proyectos'!J162</f>
        <v>0</v>
      </c>
      <c r="H131" s="291">
        <f t="shared" si="54"/>
        <v>0</v>
      </c>
      <c r="I131" s="455">
        <f>+SUMIFS('Listas y Parametros'!C$166:C$170,'Listas y Parametros'!$B$166:$B$170,'Costos Proyectados por Unidad'!$D131)</f>
        <v>0</v>
      </c>
      <c r="J131" s="270">
        <f>+SUMIFS('Listas y Parametros'!D$166:D$170,'Listas y Parametros'!$B$166:$B$170,'Costos Proyectados por Unidad'!$D131)</f>
        <v>0</v>
      </c>
      <c r="K131" s="270">
        <f>+SUMIFS('Listas y Parametros'!E$166:E$170,'Listas y Parametros'!$B$166:$B$170,'Costos Proyectados por Unidad'!$D131)</f>
        <v>0</v>
      </c>
      <c r="L131" s="270">
        <f>+SUMIFS('Listas y Parametros'!F$166:F$170,'Listas y Parametros'!$B$166:$B$170,'Costos Proyectados por Unidad'!$D131)</f>
        <v>0</v>
      </c>
      <c r="M131" s="270">
        <f>+SUMIFS('Listas y Parametros'!G$166:G$170,'Listas y Parametros'!$B$166:$B$170,'Costos Proyectados por Unidad'!$D131)</f>
        <v>0</v>
      </c>
      <c r="N131" s="270">
        <f>+SUMIFS('Listas y Parametros'!H$166:H$170,'Listas y Parametros'!$B$166:$B$170,'Costos Proyectados por Unidad'!$D131)</f>
        <v>0</v>
      </c>
      <c r="O131" s="270">
        <f>+SUMIFS('Listas y Parametros'!I$166:I$170,'Listas y Parametros'!$B$166:$B$170,'Costos Proyectados por Unidad'!$D131)</f>
        <v>0</v>
      </c>
      <c r="P131" s="270">
        <f>+SUMIFS('Listas y Parametros'!J$166:J$170,'Listas y Parametros'!$B$166:$B$170,'Costos Proyectados por Unidad'!$D131)</f>
        <v>0</v>
      </c>
      <c r="Q131" s="170">
        <f>+SUMIFS('Listas y Parametros'!K$166:K$170,'Listas y Parametros'!$B$166:$B$170,'Costos Proyectados por Unidad'!$D131)</f>
        <v>0</v>
      </c>
    </row>
    <row r="132" spans="3:17" x14ac:dyDescent="0.2">
      <c r="C132" s="117"/>
      <c r="D132" s="287" t="str">
        <f t="shared" si="55"/>
        <v>USA</v>
      </c>
      <c r="E132" s="268"/>
      <c r="F132" s="269"/>
      <c r="G132" s="120"/>
      <c r="H132" s="291"/>
      <c r="I132" s="455"/>
      <c r="J132" s="270"/>
      <c r="K132" s="270"/>
      <c r="L132" s="270"/>
      <c r="M132" s="270"/>
      <c r="N132" s="270"/>
      <c r="O132" s="270"/>
      <c r="P132" s="270"/>
      <c r="Q132" s="170"/>
    </row>
    <row r="133" spans="3:17" x14ac:dyDescent="0.2">
      <c r="C133" s="117"/>
      <c r="D133" s="287" t="str">
        <f t="shared" si="55"/>
        <v>USA</v>
      </c>
      <c r="E133" s="268" t="s">
        <v>420</v>
      </c>
      <c r="F133" s="269" t="s">
        <v>235</v>
      </c>
      <c r="G133" s="120">
        <f>+'Gantt Proyectos'!J164</f>
        <v>0</v>
      </c>
      <c r="H133" s="291">
        <f t="shared" si="54"/>
        <v>0</v>
      </c>
      <c r="I133" s="455">
        <f>+SUMIFS('Listas y Parametros'!J$179:J$188,'Listas y Parametros'!$H$179:$H$188,'Costos Proyectados por Unidad'!$D133,'Listas y Parametros'!$I$179:$I$188,'Costos Proyectados por Unidad'!$F133)</f>
        <v>0</v>
      </c>
      <c r="J133" s="270">
        <f>+SUMIFS('Listas y Parametros'!K$179:K$188,'Listas y Parametros'!$H$179:$H$188,'Costos Proyectados por Unidad'!$D133,'Listas y Parametros'!$I$179:$I$188,'Costos Proyectados por Unidad'!$F133)</f>
        <v>0</v>
      </c>
      <c r="K133" s="270">
        <f>+SUMIFS('Listas y Parametros'!L$179:L$188,'Listas y Parametros'!$H$179:$H$188,'Costos Proyectados por Unidad'!$D133,'Listas y Parametros'!$I$179:$I$188,'Costos Proyectados por Unidad'!$F133)</f>
        <v>0</v>
      </c>
      <c r="L133" s="270">
        <f>+SUMIFS('Listas y Parametros'!M$179:M$188,'Listas y Parametros'!$H$179:$H$188,'Costos Proyectados por Unidad'!$D133,'Listas y Parametros'!$I$179:$I$188,'Costos Proyectados por Unidad'!$F133)</f>
        <v>0</v>
      </c>
      <c r="M133" s="270">
        <f>+SUMIFS('Listas y Parametros'!N$179:N$188,'Listas y Parametros'!$H$179:$H$188,'Costos Proyectados por Unidad'!$D133,'Listas y Parametros'!$I$179:$I$188,'Costos Proyectados por Unidad'!$F133)</f>
        <v>0</v>
      </c>
      <c r="N133" s="270">
        <f>+SUMIFS('Listas y Parametros'!O$179:O$188,'Listas y Parametros'!$H$179:$H$188,'Costos Proyectados por Unidad'!$D133,'Listas y Parametros'!$I$179:$I$188,'Costos Proyectados por Unidad'!$F133)</f>
        <v>0</v>
      </c>
      <c r="O133" s="270">
        <f>+SUMIFS('Listas y Parametros'!P$179:P$188,'Listas y Parametros'!$H$179:$H$188,'Costos Proyectados por Unidad'!$D133,'Listas y Parametros'!$I$179:$I$188,'Costos Proyectados por Unidad'!$F133)</f>
        <v>0</v>
      </c>
      <c r="P133" s="270">
        <f>+SUMIFS('Listas y Parametros'!Q$179:Q$188,'Listas y Parametros'!$H$179:$H$188,'Costos Proyectados por Unidad'!$D133,'Listas y Parametros'!$I$179:$I$188,'Costos Proyectados por Unidad'!$F133)</f>
        <v>0</v>
      </c>
      <c r="Q133" s="170">
        <f>+SUMIFS('Listas y Parametros'!R$179:R$188,'Listas y Parametros'!$H$179:$H$188,'Costos Proyectados por Unidad'!$D133,'Listas y Parametros'!$I$179:$I$188,'Costos Proyectados por Unidad'!$F133)</f>
        <v>0</v>
      </c>
    </row>
    <row r="134" spans="3:17" x14ac:dyDescent="0.2">
      <c r="C134" s="117"/>
      <c r="D134" s="287" t="str">
        <f t="shared" si="55"/>
        <v>USA</v>
      </c>
      <c r="E134" s="268" t="s">
        <v>420</v>
      </c>
      <c r="F134" s="269" t="s">
        <v>236</v>
      </c>
      <c r="G134" s="120">
        <f>+'Gantt Proyectos'!J165</f>
        <v>0</v>
      </c>
      <c r="H134" s="291">
        <f t="shared" si="54"/>
        <v>450</v>
      </c>
      <c r="I134" s="455">
        <f>+SUMIFS('Listas y Parametros'!J$179:J$188,'Listas y Parametros'!$H$179:$H$188,'Costos Proyectados por Unidad'!$D134,'Listas y Parametros'!$I$179:$I$188,'Costos Proyectados por Unidad'!$F134)</f>
        <v>50</v>
      </c>
      <c r="J134" s="270">
        <f>+SUMIFS('Listas y Parametros'!K$179:K$188,'Listas y Parametros'!$H$179:$H$188,'Costos Proyectados por Unidad'!$D134,'Listas y Parametros'!$I$179:$I$188,'Costos Proyectados por Unidad'!$F134)</f>
        <v>50</v>
      </c>
      <c r="K134" s="270">
        <f>+SUMIFS('Listas y Parametros'!L$179:L$188,'Listas y Parametros'!$H$179:$H$188,'Costos Proyectados por Unidad'!$D134,'Listas y Parametros'!$I$179:$I$188,'Costos Proyectados por Unidad'!$F134)</f>
        <v>50</v>
      </c>
      <c r="L134" s="270">
        <f>+SUMIFS('Listas y Parametros'!M$179:M$188,'Listas y Parametros'!$H$179:$H$188,'Costos Proyectados por Unidad'!$D134,'Listas y Parametros'!$I$179:$I$188,'Costos Proyectados por Unidad'!$F134)</f>
        <v>50</v>
      </c>
      <c r="M134" s="270">
        <f>+SUMIFS('Listas y Parametros'!N$179:N$188,'Listas y Parametros'!$H$179:$H$188,'Costos Proyectados por Unidad'!$D134,'Listas y Parametros'!$I$179:$I$188,'Costos Proyectados por Unidad'!$F134)</f>
        <v>50</v>
      </c>
      <c r="N134" s="270">
        <f>+SUMIFS('Listas y Parametros'!O$179:O$188,'Listas y Parametros'!$H$179:$H$188,'Costos Proyectados por Unidad'!$D134,'Listas y Parametros'!$I$179:$I$188,'Costos Proyectados por Unidad'!$F134)</f>
        <v>50</v>
      </c>
      <c r="O134" s="270">
        <f>+SUMIFS('Listas y Parametros'!P$179:P$188,'Listas y Parametros'!$H$179:$H$188,'Costos Proyectados por Unidad'!$D134,'Listas y Parametros'!$I$179:$I$188,'Costos Proyectados por Unidad'!$F134)</f>
        <v>50</v>
      </c>
      <c r="P134" s="270">
        <f>+SUMIFS('Listas y Parametros'!Q$179:Q$188,'Listas y Parametros'!$H$179:$H$188,'Costos Proyectados por Unidad'!$D134,'Listas y Parametros'!$I$179:$I$188,'Costos Proyectados por Unidad'!$F134)</f>
        <v>50</v>
      </c>
      <c r="Q134" s="170">
        <f>+SUMIFS('Listas y Parametros'!R$179:R$188,'Listas y Parametros'!$H$179:$H$188,'Costos Proyectados por Unidad'!$D134,'Listas y Parametros'!$I$179:$I$188,'Costos Proyectados por Unidad'!$F134)</f>
        <v>50</v>
      </c>
    </row>
    <row r="135" spans="3:17" x14ac:dyDescent="0.2">
      <c r="C135" s="117"/>
      <c r="D135" s="287" t="str">
        <f t="shared" si="55"/>
        <v>USA</v>
      </c>
      <c r="E135" s="268"/>
      <c r="F135" s="269"/>
      <c r="G135" s="120"/>
      <c r="H135" s="291"/>
      <c r="I135" s="455"/>
      <c r="J135" s="270"/>
      <c r="K135" s="270"/>
      <c r="L135" s="270"/>
      <c r="M135" s="270"/>
      <c r="N135" s="270"/>
      <c r="O135" s="270"/>
      <c r="P135" s="270"/>
      <c r="Q135" s="170"/>
    </row>
    <row r="136" spans="3:17" x14ac:dyDescent="0.2">
      <c r="C136" s="117"/>
      <c r="D136" s="287" t="str">
        <f t="shared" si="55"/>
        <v>USA</v>
      </c>
      <c r="E136" s="268" t="s">
        <v>421</v>
      </c>
      <c r="F136" s="451" t="s">
        <v>427</v>
      </c>
      <c r="G136" s="120">
        <f>+'Gantt Proyectos'!J167</f>
        <v>0</v>
      </c>
      <c r="H136" s="291">
        <f t="shared" si="54"/>
        <v>16002.750000000002</v>
      </c>
      <c r="I136" s="455">
        <f>+SUMIFS('Listas y Parametros'!J$195:J$199,'Listas y Parametros'!$I$195:$I$199,'Costos Proyectados por Unidad'!$D136)</f>
        <v>1778.0833333333333</v>
      </c>
      <c r="J136" s="270">
        <f>+SUMIFS('Listas y Parametros'!K$195:K$199,'Listas y Parametros'!$I$195:$I$199,'Costos Proyectados por Unidad'!$D136)</f>
        <v>1778.0833333333333</v>
      </c>
      <c r="K136" s="270">
        <f>+SUMIFS('Listas y Parametros'!L$195:L$199,'Listas y Parametros'!$I$195:$I$199,'Costos Proyectados por Unidad'!$D136)</f>
        <v>1778.0833333333333</v>
      </c>
      <c r="L136" s="270">
        <f>+SUMIFS('Listas y Parametros'!M$195:M$199,'Listas y Parametros'!$I$195:$I$199,'Costos Proyectados por Unidad'!$D136)</f>
        <v>1778.0833333333333</v>
      </c>
      <c r="M136" s="270">
        <f>+SUMIFS('Listas y Parametros'!N$195:N$199,'Listas y Parametros'!$I$195:$I$199,'Costos Proyectados por Unidad'!$D136)</f>
        <v>1778.0833333333333</v>
      </c>
      <c r="N136" s="270">
        <f>+SUMIFS('Listas y Parametros'!O$195:O$199,'Listas y Parametros'!$I$195:$I$199,'Costos Proyectados por Unidad'!$D136)</f>
        <v>1778.0833333333333</v>
      </c>
      <c r="O136" s="270">
        <f>+SUMIFS('Listas y Parametros'!P$195:P$199,'Listas y Parametros'!$I$195:$I$199,'Costos Proyectados por Unidad'!$D136)</f>
        <v>1778.0833333333333</v>
      </c>
      <c r="P136" s="270">
        <f>+SUMIFS('Listas y Parametros'!Q$195:Q$199,'Listas y Parametros'!$I$195:$I$199,'Costos Proyectados por Unidad'!$D136)</f>
        <v>1778.0833333333333</v>
      </c>
      <c r="Q136" s="170">
        <f>+SUMIFS('Listas y Parametros'!R$195:R$199,'Listas y Parametros'!$I$195:$I$199,'Costos Proyectados por Unidad'!$D136)</f>
        <v>1778.0833333333333</v>
      </c>
    </row>
    <row r="137" spans="3:17" x14ac:dyDescent="0.2">
      <c r="C137" s="117"/>
      <c r="D137" s="287" t="str">
        <f t="shared" si="55"/>
        <v>USA</v>
      </c>
      <c r="E137" s="268"/>
      <c r="F137" s="269"/>
      <c r="G137" s="120"/>
      <c r="H137" s="291"/>
      <c r="I137" s="455"/>
      <c r="J137" s="270"/>
      <c r="K137" s="270"/>
      <c r="L137" s="270"/>
      <c r="M137" s="270"/>
      <c r="N137" s="270"/>
      <c r="O137" s="270"/>
      <c r="P137" s="270"/>
      <c r="Q137" s="170"/>
    </row>
    <row r="138" spans="3:17" x14ac:dyDescent="0.2">
      <c r="C138" s="117"/>
      <c r="D138" s="287" t="str">
        <f t="shared" si="55"/>
        <v>USA</v>
      </c>
      <c r="E138" s="268" t="s">
        <v>422</v>
      </c>
      <c r="F138" s="269" t="s">
        <v>428</v>
      </c>
      <c r="G138" s="120">
        <f>+'Gantt Proyectos'!J170</f>
        <v>0</v>
      </c>
      <c r="H138" s="291">
        <f t="shared" si="54"/>
        <v>0</v>
      </c>
      <c r="I138" s="455"/>
      <c r="J138" s="270"/>
      <c r="K138" s="270"/>
      <c r="L138" s="270"/>
      <c r="M138" s="270"/>
      <c r="N138" s="270"/>
      <c r="O138" s="270"/>
      <c r="P138" s="270"/>
      <c r="Q138" s="170"/>
    </row>
    <row r="139" spans="3:17" x14ac:dyDescent="0.2">
      <c r="C139" s="117"/>
      <c r="D139" s="287" t="str">
        <f t="shared" si="55"/>
        <v>USA</v>
      </c>
      <c r="E139" s="268"/>
      <c r="F139" s="269"/>
      <c r="G139" s="120"/>
      <c r="H139" s="291"/>
      <c r="I139" s="455"/>
      <c r="J139" s="270"/>
      <c r="K139" s="270"/>
      <c r="L139" s="270"/>
      <c r="M139" s="270"/>
      <c r="N139" s="270"/>
      <c r="O139" s="270"/>
      <c r="P139" s="270"/>
      <c r="Q139" s="170"/>
    </row>
    <row r="140" spans="3:17" x14ac:dyDescent="0.2">
      <c r="C140" s="117"/>
      <c r="D140" s="287" t="str">
        <f t="shared" si="55"/>
        <v>USA</v>
      </c>
      <c r="E140" s="268" t="s">
        <v>423</v>
      </c>
      <c r="F140" s="269" t="s">
        <v>429</v>
      </c>
      <c r="G140" s="120">
        <f>+'Gantt Proyectos'!J172</f>
        <v>0</v>
      </c>
      <c r="H140" s="291">
        <f t="shared" si="54"/>
        <v>19500</v>
      </c>
      <c r="I140" s="455">
        <f>+SUMIFS('Listas y Parametros'!J$224:J$228,'Listas y Parametros'!$I$224:$I$228,'Costos Proyectados por Unidad'!$D140)</f>
        <v>0</v>
      </c>
      <c r="J140" s="270">
        <f>+SUMIFS('Listas y Parametros'!K$224:K$228,'Listas y Parametros'!$I$224:$I$228,'Costos Proyectados por Unidad'!$D140)</f>
        <v>0</v>
      </c>
      <c r="K140" s="270">
        <f>+SUMIFS('Listas y Parametros'!L$224:L$228,'Listas y Parametros'!$I$224:$I$228,'Costos Proyectados por Unidad'!$D140)</f>
        <v>19500</v>
      </c>
      <c r="L140" s="270">
        <f>+SUMIFS('Listas y Parametros'!M$224:M$228,'Listas y Parametros'!$I$224:$I$228,'Costos Proyectados por Unidad'!$D140)</f>
        <v>0</v>
      </c>
      <c r="M140" s="270">
        <f>+SUMIFS('Listas y Parametros'!N$224:N$228,'Listas y Parametros'!$I$224:$I$228,'Costos Proyectados por Unidad'!$D140)</f>
        <v>0</v>
      </c>
      <c r="N140" s="270">
        <f>+SUMIFS('Listas y Parametros'!O$224:O$228,'Listas y Parametros'!$I$224:$I$228,'Costos Proyectados por Unidad'!$D140)</f>
        <v>0</v>
      </c>
      <c r="O140" s="270">
        <f>+SUMIFS('Listas y Parametros'!P$224:P$228,'Listas y Parametros'!$I$224:$I$228,'Costos Proyectados por Unidad'!$D140)</f>
        <v>0</v>
      </c>
      <c r="P140" s="270">
        <f>+SUMIFS('Listas y Parametros'!Q$224:Q$228,'Listas y Parametros'!$I$224:$I$228,'Costos Proyectados por Unidad'!$D140)</f>
        <v>0</v>
      </c>
      <c r="Q140" s="170">
        <f>+SUMIFS('Listas y Parametros'!R$224:R$228,'Listas y Parametros'!$I$224:$I$228,'Costos Proyectados por Unidad'!$D140)</f>
        <v>0</v>
      </c>
    </row>
    <row r="141" spans="3:17" x14ac:dyDescent="0.2">
      <c r="C141" s="117"/>
      <c r="D141" s="287" t="str">
        <f t="shared" si="55"/>
        <v>USA</v>
      </c>
      <c r="E141" s="268"/>
      <c r="F141" s="269"/>
      <c r="G141" s="120"/>
      <c r="H141" s="291"/>
      <c r="I141" s="455"/>
      <c r="J141" s="270"/>
      <c r="K141" s="270"/>
      <c r="L141" s="270"/>
      <c r="M141" s="270"/>
      <c r="N141" s="270"/>
      <c r="O141" s="270"/>
      <c r="P141" s="270"/>
      <c r="Q141" s="170"/>
    </row>
    <row r="142" spans="3:17" x14ac:dyDescent="0.2">
      <c r="C142" s="117"/>
      <c r="D142" s="287" t="str">
        <f t="shared" si="55"/>
        <v>USA</v>
      </c>
      <c r="E142" s="268" t="s">
        <v>424</v>
      </c>
      <c r="F142" s="269" t="s">
        <v>430</v>
      </c>
      <c r="G142" s="120">
        <f>+'Gantt Proyectos'!J174</f>
        <v>0</v>
      </c>
      <c r="H142" s="291">
        <f t="shared" si="54"/>
        <v>5000</v>
      </c>
      <c r="I142" s="455">
        <f>+SUMIFS('Listas y Parametros'!C$245:C$249,'Listas y Parametros'!$B$245:$B$249,'Costos Proyectados por Unidad'!$D142)</f>
        <v>0</v>
      </c>
      <c r="J142" s="270">
        <f>+SUMIFS('Listas y Parametros'!D$245:D$249,'Listas y Parametros'!$B$245:$B$249,'Costos Proyectados por Unidad'!$D142)</f>
        <v>0</v>
      </c>
      <c r="K142" s="270">
        <f>+SUMIFS('Listas y Parametros'!E$245:E$249,'Listas y Parametros'!$B$245:$B$249,'Costos Proyectados por Unidad'!$D142)</f>
        <v>0</v>
      </c>
      <c r="L142" s="270">
        <f>+SUMIFS('Listas y Parametros'!F$245:F$249,'Listas y Parametros'!$B$245:$B$249,'Costos Proyectados por Unidad'!$D142)</f>
        <v>0</v>
      </c>
      <c r="M142" s="270">
        <f>+SUMIFS('Listas y Parametros'!G$245:G$249,'Listas y Parametros'!$B$245:$B$249,'Costos Proyectados por Unidad'!$D142)</f>
        <v>0</v>
      </c>
      <c r="N142" s="270">
        <f>+SUMIFS('Listas y Parametros'!H$245:H$249,'Listas y Parametros'!$B$245:$B$249,'Costos Proyectados por Unidad'!$D142)</f>
        <v>0</v>
      </c>
      <c r="O142" s="270">
        <f>+SUMIFS('Listas y Parametros'!I$245:I$249,'Listas y Parametros'!$B$245:$B$249,'Costos Proyectados por Unidad'!$D142)</f>
        <v>0</v>
      </c>
      <c r="P142" s="270">
        <f>+SUMIFS('Listas y Parametros'!J$245:J$249,'Listas y Parametros'!$B$245:$B$249,'Costos Proyectados por Unidad'!$D142)</f>
        <v>0</v>
      </c>
      <c r="Q142" s="170">
        <f>+SUMIFS('Listas y Parametros'!K$245:K$249,'Listas y Parametros'!$B$245:$B$249,'Costos Proyectados por Unidad'!$D142)</f>
        <v>5000</v>
      </c>
    </row>
    <row r="143" spans="3:17" x14ac:dyDescent="0.2">
      <c r="C143" s="117"/>
      <c r="D143" s="287" t="str">
        <f t="shared" si="55"/>
        <v>USA</v>
      </c>
      <c r="E143" s="268"/>
      <c r="F143" s="269"/>
      <c r="G143" s="120"/>
      <c r="H143" s="291"/>
      <c r="I143" s="455"/>
      <c r="J143" s="270"/>
      <c r="K143" s="270"/>
      <c r="L143" s="270"/>
      <c r="M143" s="270"/>
      <c r="N143" s="270"/>
      <c r="O143" s="270"/>
      <c r="P143" s="270"/>
      <c r="Q143" s="170"/>
    </row>
    <row r="144" spans="3:17" x14ac:dyDescent="0.2">
      <c r="C144" s="117"/>
      <c r="D144" s="287" t="str">
        <f t="shared" si="55"/>
        <v>USA</v>
      </c>
      <c r="E144" s="268" t="s">
        <v>47</v>
      </c>
      <c r="F144" s="269" t="s">
        <v>47</v>
      </c>
      <c r="G144" s="120">
        <f>+'Gantt Proyectos'!J175</f>
        <v>0</v>
      </c>
      <c r="H144" s="291">
        <f t="shared" ref="H144:H163" si="56">+SUM(I144:Q144)</f>
        <v>61772.727272727294</v>
      </c>
      <c r="I144" s="455">
        <f>+SUMIFS('Listas y Parametros'!C$262:C$266,'Listas y Parametros'!$B$262:$B$266,'Costos Proyectados por Unidad'!$D144)</f>
        <v>6863.636363636364</v>
      </c>
      <c r="J144" s="270">
        <f>+SUMIFS('Listas y Parametros'!D$262:D$266,'Listas y Parametros'!$B$262:$B$266,'Costos Proyectados por Unidad'!$D144)</f>
        <v>6863.636363636364</v>
      </c>
      <c r="K144" s="270">
        <f>+SUMIFS('Listas y Parametros'!E$262:E$266,'Listas y Parametros'!$B$262:$B$266,'Costos Proyectados por Unidad'!$D144)</f>
        <v>10295.454545454546</v>
      </c>
      <c r="L144" s="270">
        <f>+SUMIFS('Listas y Parametros'!F$262:F$266,'Listas y Parametros'!$B$262:$B$266,'Costos Proyectados por Unidad'!$D144)</f>
        <v>3431.818181818182</v>
      </c>
      <c r="M144" s="270">
        <f>+SUMIFS('Listas y Parametros'!G$262:G$266,'Listas y Parametros'!$B$262:$B$266,'Costos Proyectados por Unidad'!$D144)</f>
        <v>6863.636363636364</v>
      </c>
      <c r="N144" s="270">
        <f>+SUMIFS('Listas y Parametros'!H$262:H$266,'Listas y Parametros'!$B$262:$B$266,'Costos Proyectados por Unidad'!$D144)</f>
        <v>6863.636363636364</v>
      </c>
      <c r="O144" s="270">
        <f>+SUMIFS('Listas y Parametros'!I$262:I$266,'Listas y Parametros'!$B$262:$B$266,'Costos Proyectados por Unidad'!$D144)</f>
        <v>6863.636363636364</v>
      </c>
      <c r="P144" s="270">
        <f>+SUMIFS('Listas y Parametros'!J$262:J$266,'Listas y Parametros'!$B$262:$B$266,'Costos Proyectados por Unidad'!$D144)</f>
        <v>6863.636363636364</v>
      </c>
      <c r="Q144" s="170">
        <f>+SUMIFS('Listas y Parametros'!K$262:K$266,'Listas y Parametros'!$B$262:$B$266,'Costos Proyectados por Unidad'!$D144)</f>
        <v>6863.636363636364</v>
      </c>
    </row>
    <row r="145" spans="3:17" x14ac:dyDescent="0.2">
      <c r="C145" s="117"/>
      <c r="D145" s="287" t="str">
        <f t="shared" si="55"/>
        <v>USA</v>
      </c>
      <c r="E145" s="268"/>
      <c r="F145" s="271"/>
      <c r="G145" s="120"/>
      <c r="H145" s="291"/>
      <c r="I145" s="455"/>
      <c r="J145" s="270"/>
      <c r="K145" s="270"/>
      <c r="L145" s="270"/>
      <c r="M145" s="270"/>
      <c r="N145" s="270"/>
      <c r="O145" s="270"/>
      <c r="P145" s="270"/>
      <c r="Q145" s="170"/>
    </row>
    <row r="146" spans="3:17" ht="12" thickBot="1" x14ac:dyDescent="0.25">
      <c r="C146" s="272"/>
      <c r="D146" s="287" t="str">
        <f t="shared" si="55"/>
        <v>USA</v>
      </c>
      <c r="E146" s="273"/>
      <c r="F146" s="274"/>
      <c r="G146" s="127"/>
      <c r="H146" s="292"/>
      <c r="I146" s="456"/>
      <c r="J146" s="275"/>
      <c r="K146" s="275"/>
      <c r="L146" s="275"/>
      <c r="M146" s="275"/>
      <c r="N146" s="275"/>
      <c r="O146" s="275"/>
      <c r="P146" s="275"/>
      <c r="Q146" s="276"/>
    </row>
    <row r="147" spans="3:17" x14ac:dyDescent="0.2">
      <c r="C147" s="262"/>
      <c r="D147" s="263" t="s">
        <v>47</v>
      </c>
      <c r="E147" s="263" t="s">
        <v>419</v>
      </c>
      <c r="F147" s="264" t="s">
        <v>22</v>
      </c>
      <c r="G147" s="265">
        <f>+'Gantt Proyectos'!J179</f>
        <v>0</v>
      </c>
      <c r="H147" s="290">
        <f t="shared" si="56"/>
        <v>0</v>
      </c>
      <c r="I147" s="266">
        <f>+'Listas y Parametros'!V116</f>
        <v>0</v>
      </c>
      <c r="J147" s="266">
        <f>+'Listas y Parametros'!W116</f>
        <v>0</v>
      </c>
      <c r="K147" s="266">
        <f>+'Listas y Parametros'!X116</f>
        <v>0</v>
      </c>
      <c r="L147" s="266">
        <f>+'Listas y Parametros'!Y116</f>
        <v>0</v>
      </c>
      <c r="M147" s="266">
        <f>+'Listas y Parametros'!Z116</f>
        <v>0</v>
      </c>
      <c r="N147" s="266">
        <f>+'Listas y Parametros'!AA116</f>
        <v>0</v>
      </c>
      <c r="O147" s="266">
        <f>+'Listas y Parametros'!AB116</f>
        <v>0</v>
      </c>
      <c r="P147" s="266">
        <f>+'Listas y Parametros'!AC116</f>
        <v>0</v>
      </c>
      <c r="Q147" s="267">
        <f>+'Listas y Parametros'!AD116</f>
        <v>0</v>
      </c>
    </row>
    <row r="148" spans="3:17" x14ac:dyDescent="0.2">
      <c r="C148" s="117"/>
      <c r="D148" s="287" t="str">
        <f>+D147</f>
        <v>Otros</v>
      </c>
      <c r="E148" s="268" t="s">
        <v>419</v>
      </c>
      <c r="F148" s="269" t="s">
        <v>23</v>
      </c>
      <c r="G148" s="120">
        <f>+'Gantt Proyectos'!J180</f>
        <v>0</v>
      </c>
      <c r="H148" s="291">
        <f t="shared" si="56"/>
        <v>0</v>
      </c>
      <c r="I148" s="270">
        <f>+'Listas y Parametros'!V117</f>
        <v>0</v>
      </c>
      <c r="J148" s="270">
        <f>+'Listas y Parametros'!W117</f>
        <v>0</v>
      </c>
      <c r="K148" s="270">
        <f>+'Listas y Parametros'!X117</f>
        <v>0</v>
      </c>
      <c r="L148" s="270">
        <f>+'Listas y Parametros'!Y117</f>
        <v>0</v>
      </c>
      <c r="M148" s="270">
        <f>+'Listas y Parametros'!Z117</f>
        <v>0</v>
      </c>
      <c r="N148" s="270">
        <f>+'Listas y Parametros'!AA117</f>
        <v>0</v>
      </c>
      <c r="O148" s="270">
        <f>+'Listas y Parametros'!AB117</f>
        <v>0</v>
      </c>
      <c r="P148" s="270">
        <f>+'Listas y Parametros'!AC117</f>
        <v>0</v>
      </c>
      <c r="Q148" s="170">
        <f>+'Listas y Parametros'!AD117</f>
        <v>0</v>
      </c>
    </row>
    <row r="149" spans="3:17" x14ac:dyDescent="0.2">
      <c r="C149" s="117"/>
      <c r="D149" s="287" t="str">
        <f t="shared" ref="D149:D167" si="57">+D148</f>
        <v>Otros</v>
      </c>
      <c r="E149" s="268" t="s">
        <v>419</v>
      </c>
      <c r="F149" s="269" t="s">
        <v>33</v>
      </c>
      <c r="G149" s="120">
        <f>+'Gantt Proyectos'!J181</f>
        <v>0</v>
      </c>
      <c r="H149" s="291">
        <f t="shared" si="56"/>
        <v>0</v>
      </c>
      <c r="I149" s="270">
        <f>+'Listas y Parametros'!V118</f>
        <v>0</v>
      </c>
      <c r="J149" s="270">
        <f>+'Listas y Parametros'!W118</f>
        <v>0</v>
      </c>
      <c r="K149" s="270">
        <f>+'Listas y Parametros'!X118</f>
        <v>0</v>
      </c>
      <c r="L149" s="270">
        <f>+'Listas y Parametros'!Y118</f>
        <v>0</v>
      </c>
      <c r="M149" s="270">
        <f>+'Listas y Parametros'!Z118</f>
        <v>0</v>
      </c>
      <c r="N149" s="270">
        <f>+'Listas y Parametros'!AA118</f>
        <v>0</v>
      </c>
      <c r="O149" s="270">
        <f>+'Listas y Parametros'!AB118</f>
        <v>0</v>
      </c>
      <c r="P149" s="270">
        <f>+'Listas y Parametros'!AC118</f>
        <v>0</v>
      </c>
      <c r="Q149" s="170">
        <f>+'Listas y Parametros'!AD118</f>
        <v>0</v>
      </c>
    </row>
    <row r="150" spans="3:17" x14ac:dyDescent="0.2">
      <c r="C150" s="117"/>
      <c r="D150" s="287" t="str">
        <f t="shared" si="57"/>
        <v>Otros</v>
      </c>
      <c r="E150" s="268" t="s">
        <v>419</v>
      </c>
      <c r="F150" s="269" t="s">
        <v>31</v>
      </c>
      <c r="G150" s="120">
        <f>+'Gantt Proyectos'!J182</f>
        <v>0</v>
      </c>
      <c r="H150" s="291">
        <f t="shared" si="56"/>
        <v>0</v>
      </c>
      <c r="I150" s="270">
        <f>+'Listas y Parametros'!V126</f>
        <v>0</v>
      </c>
      <c r="J150" s="270">
        <f>+'Listas y Parametros'!W126</f>
        <v>0</v>
      </c>
      <c r="K150" s="270">
        <f>+'Listas y Parametros'!X126</f>
        <v>0</v>
      </c>
      <c r="L150" s="270">
        <f>+'Listas y Parametros'!Y126</f>
        <v>0</v>
      </c>
      <c r="M150" s="270">
        <f>+'Listas y Parametros'!Z126</f>
        <v>0</v>
      </c>
      <c r="N150" s="270">
        <f>+'Listas y Parametros'!AA126</f>
        <v>0</v>
      </c>
      <c r="O150" s="270">
        <f>+'Listas y Parametros'!AB126</f>
        <v>0</v>
      </c>
      <c r="P150" s="270">
        <f>+'Listas y Parametros'!AC126</f>
        <v>0</v>
      </c>
      <c r="Q150" s="170">
        <f>+'Listas y Parametros'!AD126</f>
        <v>0</v>
      </c>
    </row>
    <row r="151" spans="3:17" x14ac:dyDescent="0.2">
      <c r="C151" s="117"/>
      <c r="D151" s="287" t="str">
        <f t="shared" si="57"/>
        <v>Otros</v>
      </c>
      <c r="E151" s="268" t="s">
        <v>419</v>
      </c>
      <c r="F151" s="269" t="s">
        <v>68</v>
      </c>
      <c r="G151" s="120">
        <f>+'Gantt Proyectos'!J183</f>
        <v>0</v>
      </c>
      <c r="H151" s="291">
        <f t="shared" si="56"/>
        <v>0</v>
      </c>
      <c r="I151" s="455">
        <f>+SUMIFS('Listas y Parametros'!C$289:C$293,'Listas y Parametros'!$B$289:$B$293,'Costos Proyectados por Unidad'!$D151)</f>
        <v>0</v>
      </c>
      <c r="J151" s="270">
        <f>+SUMIFS('Listas y Parametros'!D$289:D$293,'Listas y Parametros'!$B$289:$B$293,'Costos Proyectados por Unidad'!$D151)</f>
        <v>0</v>
      </c>
      <c r="K151" s="270">
        <f>+SUMIFS('Listas y Parametros'!E$289:E$293,'Listas y Parametros'!$B$289:$B$293,'Costos Proyectados por Unidad'!$D151)</f>
        <v>0</v>
      </c>
      <c r="L151" s="270">
        <f>+SUMIFS('Listas y Parametros'!F$289:F$293,'Listas y Parametros'!$B$289:$B$293,'Costos Proyectados por Unidad'!$D151)</f>
        <v>0</v>
      </c>
      <c r="M151" s="270">
        <f>+SUMIFS('Listas y Parametros'!G$289:G$293,'Listas y Parametros'!$B$289:$B$293,'Costos Proyectados por Unidad'!$D151)</f>
        <v>0</v>
      </c>
      <c r="N151" s="270">
        <f>+SUMIFS('Listas y Parametros'!H$289:H$293,'Listas y Parametros'!$B$289:$B$293,'Costos Proyectados por Unidad'!$D151)</f>
        <v>0</v>
      </c>
      <c r="O151" s="270">
        <f>+SUMIFS('Listas y Parametros'!I$289:I$293,'Listas y Parametros'!$B$289:$B$293,'Costos Proyectados por Unidad'!$D151)</f>
        <v>0</v>
      </c>
      <c r="P151" s="270">
        <f>+SUMIFS('Listas y Parametros'!J$289:J$293,'Listas y Parametros'!$B$289:$B$293,'Costos Proyectados por Unidad'!$D151)</f>
        <v>0</v>
      </c>
      <c r="Q151" s="170">
        <f>+SUMIFS('Listas y Parametros'!K$289:K$293,'Listas y Parametros'!$B$289:$B$293,'Costos Proyectados por Unidad'!$D151)</f>
        <v>0</v>
      </c>
    </row>
    <row r="152" spans="3:17" x14ac:dyDescent="0.2">
      <c r="C152" s="117"/>
      <c r="D152" s="287" t="str">
        <f t="shared" si="57"/>
        <v>Otros</v>
      </c>
      <c r="E152" s="268" t="s">
        <v>419</v>
      </c>
      <c r="F152" s="269" t="s">
        <v>147</v>
      </c>
      <c r="G152" s="120">
        <f>+'Gantt Proyectos'!J184</f>
        <v>0</v>
      </c>
      <c r="H152" s="291">
        <f t="shared" si="56"/>
        <v>0</v>
      </c>
      <c r="I152" s="455">
        <f>+SUMIFS('Listas y Parametros'!C$166:C$170,'Listas y Parametros'!$B$166:$B$170,'Costos Proyectados por Unidad'!$D152)</f>
        <v>0</v>
      </c>
      <c r="J152" s="270">
        <f>+SUMIFS('Listas y Parametros'!D$166:D$170,'Listas y Parametros'!$B$166:$B$170,'Costos Proyectados por Unidad'!$D152)</f>
        <v>0</v>
      </c>
      <c r="K152" s="270">
        <f>+SUMIFS('Listas y Parametros'!E$166:E$170,'Listas y Parametros'!$B$166:$B$170,'Costos Proyectados por Unidad'!$D152)</f>
        <v>0</v>
      </c>
      <c r="L152" s="270">
        <f>+SUMIFS('Listas y Parametros'!F$166:F$170,'Listas y Parametros'!$B$166:$B$170,'Costos Proyectados por Unidad'!$D152)</f>
        <v>0</v>
      </c>
      <c r="M152" s="270">
        <f>+SUMIFS('Listas y Parametros'!G$166:G$170,'Listas y Parametros'!$B$166:$B$170,'Costos Proyectados por Unidad'!$D152)</f>
        <v>0</v>
      </c>
      <c r="N152" s="270">
        <f>+SUMIFS('Listas y Parametros'!H$166:H$170,'Listas y Parametros'!$B$166:$B$170,'Costos Proyectados por Unidad'!$D152)</f>
        <v>0</v>
      </c>
      <c r="O152" s="270">
        <f>+SUMIFS('Listas y Parametros'!I$166:I$170,'Listas y Parametros'!$B$166:$B$170,'Costos Proyectados por Unidad'!$D152)</f>
        <v>0</v>
      </c>
      <c r="P152" s="270">
        <f>+SUMIFS('Listas y Parametros'!J$166:J$170,'Listas y Parametros'!$B$166:$B$170,'Costos Proyectados por Unidad'!$D152)</f>
        <v>0</v>
      </c>
      <c r="Q152" s="170">
        <f>+SUMIFS('Listas y Parametros'!K$166:K$170,'Listas y Parametros'!$B$166:$B$170,'Costos Proyectados por Unidad'!$D152)</f>
        <v>0</v>
      </c>
    </row>
    <row r="153" spans="3:17" x14ac:dyDescent="0.2">
      <c r="C153" s="117"/>
      <c r="D153" s="287" t="str">
        <f t="shared" si="57"/>
        <v>Otros</v>
      </c>
      <c r="E153" s="268"/>
      <c r="F153" s="269"/>
      <c r="G153" s="120"/>
      <c r="H153" s="291"/>
      <c r="I153" s="455"/>
      <c r="J153" s="270"/>
      <c r="K153" s="270"/>
      <c r="L153" s="270"/>
      <c r="M153" s="270"/>
      <c r="N153" s="270"/>
      <c r="O153" s="270"/>
      <c r="P153" s="270"/>
      <c r="Q153" s="170"/>
    </row>
    <row r="154" spans="3:17" x14ac:dyDescent="0.2">
      <c r="C154" s="117"/>
      <c r="D154" s="287" t="str">
        <f t="shared" si="57"/>
        <v>Otros</v>
      </c>
      <c r="E154" s="268" t="s">
        <v>420</v>
      </c>
      <c r="F154" s="269" t="s">
        <v>235</v>
      </c>
      <c r="G154" s="120">
        <f>+'Gantt Proyectos'!J186</f>
        <v>0</v>
      </c>
      <c r="H154" s="291">
        <f t="shared" si="56"/>
        <v>0</v>
      </c>
      <c r="I154" s="455">
        <f>+SUMIFS('Listas y Parametros'!J$179:J$188,'Listas y Parametros'!$H$179:$H$188,'Costos Proyectados por Unidad'!$D154,'Listas y Parametros'!$I$179:$I$188,'Costos Proyectados por Unidad'!$F154)</f>
        <v>0</v>
      </c>
      <c r="J154" s="270">
        <f>+SUMIFS('Listas y Parametros'!K$179:K$188,'Listas y Parametros'!$H$179:$H$188,'Costos Proyectados por Unidad'!$D154,'Listas y Parametros'!$I$179:$I$188,'Costos Proyectados por Unidad'!$F154)</f>
        <v>0</v>
      </c>
      <c r="K154" s="270">
        <f>+SUMIFS('Listas y Parametros'!L$179:L$188,'Listas y Parametros'!$H$179:$H$188,'Costos Proyectados por Unidad'!$D154,'Listas y Parametros'!$I$179:$I$188,'Costos Proyectados por Unidad'!$F154)</f>
        <v>0</v>
      </c>
      <c r="L154" s="270">
        <f>+SUMIFS('Listas y Parametros'!M$179:M$188,'Listas y Parametros'!$H$179:$H$188,'Costos Proyectados por Unidad'!$D154,'Listas y Parametros'!$I$179:$I$188,'Costos Proyectados por Unidad'!$F154)</f>
        <v>0</v>
      </c>
      <c r="M154" s="270">
        <f>+SUMIFS('Listas y Parametros'!N$179:N$188,'Listas y Parametros'!$H$179:$H$188,'Costos Proyectados por Unidad'!$D154,'Listas y Parametros'!$I$179:$I$188,'Costos Proyectados por Unidad'!$F154)</f>
        <v>0</v>
      </c>
      <c r="N154" s="270">
        <f>+SUMIFS('Listas y Parametros'!O$179:O$188,'Listas y Parametros'!$H$179:$H$188,'Costos Proyectados por Unidad'!$D154,'Listas y Parametros'!$I$179:$I$188,'Costos Proyectados por Unidad'!$F154)</f>
        <v>0</v>
      </c>
      <c r="O154" s="270">
        <f>+SUMIFS('Listas y Parametros'!P$179:P$188,'Listas y Parametros'!$H$179:$H$188,'Costos Proyectados por Unidad'!$D154,'Listas y Parametros'!$I$179:$I$188,'Costos Proyectados por Unidad'!$F154)</f>
        <v>0</v>
      </c>
      <c r="P154" s="270">
        <f>+SUMIFS('Listas y Parametros'!Q$179:Q$188,'Listas y Parametros'!$H$179:$H$188,'Costos Proyectados por Unidad'!$D154,'Listas y Parametros'!$I$179:$I$188,'Costos Proyectados por Unidad'!$F154)</f>
        <v>0</v>
      </c>
      <c r="Q154" s="170">
        <f>+SUMIFS('Listas y Parametros'!R$179:R$188,'Listas y Parametros'!$H$179:$H$188,'Costos Proyectados por Unidad'!$D154,'Listas y Parametros'!$I$179:$I$188,'Costos Proyectados por Unidad'!$F154)</f>
        <v>0</v>
      </c>
    </row>
    <row r="155" spans="3:17" x14ac:dyDescent="0.2">
      <c r="C155" s="117"/>
      <c r="D155" s="287" t="str">
        <f t="shared" si="57"/>
        <v>Otros</v>
      </c>
      <c r="E155" s="268" t="s">
        <v>420</v>
      </c>
      <c r="F155" s="269" t="s">
        <v>236</v>
      </c>
      <c r="G155" s="120">
        <f>+'Gantt Proyectos'!J187</f>
        <v>0</v>
      </c>
      <c r="H155" s="291">
        <f t="shared" si="56"/>
        <v>0</v>
      </c>
      <c r="I155" s="455">
        <f>+SUMIFS('Listas y Parametros'!J$179:J$188,'Listas y Parametros'!$H$179:$H$188,'Costos Proyectados por Unidad'!$D155,'Listas y Parametros'!$I$179:$I$188,'Costos Proyectados por Unidad'!$F155)</f>
        <v>0</v>
      </c>
      <c r="J155" s="270">
        <f>+SUMIFS('Listas y Parametros'!K$179:K$188,'Listas y Parametros'!$H$179:$H$188,'Costos Proyectados por Unidad'!$D155,'Listas y Parametros'!$I$179:$I$188,'Costos Proyectados por Unidad'!$F155)</f>
        <v>0</v>
      </c>
      <c r="K155" s="270">
        <f>+SUMIFS('Listas y Parametros'!L$179:L$188,'Listas y Parametros'!$H$179:$H$188,'Costos Proyectados por Unidad'!$D155,'Listas y Parametros'!$I$179:$I$188,'Costos Proyectados por Unidad'!$F155)</f>
        <v>0</v>
      </c>
      <c r="L155" s="270">
        <f>+SUMIFS('Listas y Parametros'!M$179:M$188,'Listas y Parametros'!$H$179:$H$188,'Costos Proyectados por Unidad'!$D155,'Listas y Parametros'!$I$179:$I$188,'Costos Proyectados por Unidad'!$F155)</f>
        <v>0</v>
      </c>
      <c r="M155" s="270">
        <f>+SUMIFS('Listas y Parametros'!N$179:N$188,'Listas y Parametros'!$H$179:$H$188,'Costos Proyectados por Unidad'!$D155,'Listas y Parametros'!$I$179:$I$188,'Costos Proyectados por Unidad'!$F155)</f>
        <v>0</v>
      </c>
      <c r="N155" s="270">
        <f>+SUMIFS('Listas y Parametros'!O$179:O$188,'Listas y Parametros'!$H$179:$H$188,'Costos Proyectados por Unidad'!$D155,'Listas y Parametros'!$I$179:$I$188,'Costos Proyectados por Unidad'!$F155)</f>
        <v>0</v>
      </c>
      <c r="O155" s="270">
        <f>+SUMIFS('Listas y Parametros'!P$179:P$188,'Listas y Parametros'!$H$179:$H$188,'Costos Proyectados por Unidad'!$D155,'Listas y Parametros'!$I$179:$I$188,'Costos Proyectados por Unidad'!$F155)</f>
        <v>0</v>
      </c>
      <c r="P155" s="270">
        <f>+SUMIFS('Listas y Parametros'!Q$179:Q$188,'Listas y Parametros'!$H$179:$H$188,'Costos Proyectados por Unidad'!$D155,'Listas y Parametros'!$I$179:$I$188,'Costos Proyectados por Unidad'!$F155)</f>
        <v>0</v>
      </c>
      <c r="Q155" s="170">
        <f>+SUMIFS('Listas y Parametros'!R$179:R$188,'Listas y Parametros'!$H$179:$H$188,'Costos Proyectados por Unidad'!$D155,'Listas y Parametros'!$I$179:$I$188,'Costos Proyectados por Unidad'!$F155)</f>
        <v>0</v>
      </c>
    </row>
    <row r="156" spans="3:17" x14ac:dyDescent="0.2">
      <c r="C156" s="117"/>
      <c r="D156" s="287" t="str">
        <f t="shared" si="57"/>
        <v>Otros</v>
      </c>
      <c r="E156" s="268"/>
      <c r="F156" s="269"/>
      <c r="G156" s="120"/>
      <c r="H156" s="291"/>
      <c r="I156" s="455"/>
      <c r="J156" s="270"/>
      <c r="K156" s="270"/>
      <c r="L156" s="270"/>
      <c r="M156" s="270"/>
      <c r="N156" s="270"/>
      <c r="O156" s="270"/>
      <c r="P156" s="270"/>
      <c r="Q156" s="170"/>
    </row>
    <row r="157" spans="3:17" x14ac:dyDescent="0.2">
      <c r="C157" s="117"/>
      <c r="D157" s="287" t="str">
        <f t="shared" si="57"/>
        <v>Otros</v>
      </c>
      <c r="E157" s="268" t="s">
        <v>421</v>
      </c>
      <c r="F157" s="451" t="s">
        <v>427</v>
      </c>
      <c r="G157" s="120">
        <f>+'Gantt Proyectos'!J189</f>
        <v>0</v>
      </c>
      <c r="H157" s="291">
        <f t="shared" si="56"/>
        <v>0</v>
      </c>
      <c r="I157" s="455">
        <f>+SUMIFS('Listas y Parametros'!J$195:J$199,'Listas y Parametros'!$I$195:$I$199,'Costos Proyectados por Unidad'!$D157)</f>
        <v>0</v>
      </c>
      <c r="J157" s="270">
        <f>+SUMIFS('Listas y Parametros'!K$195:K$199,'Listas y Parametros'!$I$195:$I$199,'Costos Proyectados por Unidad'!$D157)</f>
        <v>0</v>
      </c>
      <c r="K157" s="270">
        <f>+SUMIFS('Listas y Parametros'!L$195:L$199,'Listas y Parametros'!$I$195:$I$199,'Costos Proyectados por Unidad'!$D157)</f>
        <v>0</v>
      </c>
      <c r="L157" s="270">
        <f>+SUMIFS('Listas y Parametros'!M$195:M$199,'Listas y Parametros'!$I$195:$I$199,'Costos Proyectados por Unidad'!$D157)</f>
        <v>0</v>
      </c>
      <c r="M157" s="270">
        <f>+SUMIFS('Listas y Parametros'!N$195:N$199,'Listas y Parametros'!$I$195:$I$199,'Costos Proyectados por Unidad'!$D157)</f>
        <v>0</v>
      </c>
      <c r="N157" s="270">
        <f>+SUMIFS('Listas y Parametros'!O$195:O$199,'Listas y Parametros'!$I$195:$I$199,'Costos Proyectados por Unidad'!$D157)</f>
        <v>0</v>
      </c>
      <c r="O157" s="270">
        <f>+SUMIFS('Listas y Parametros'!P$195:P$199,'Listas y Parametros'!$I$195:$I$199,'Costos Proyectados por Unidad'!$D157)</f>
        <v>0</v>
      </c>
      <c r="P157" s="270">
        <f>+SUMIFS('Listas y Parametros'!Q$195:Q$199,'Listas y Parametros'!$I$195:$I$199,'Costos Proyectados por Unidad'!$D157)</f>
        <v>0</v>
      </c>
      <c r="Q157" s="170">
        <f>+SUMIFS('Listas y Parametros'!R$195:R$199,'Listas y Parametros'!$I$195:$I$199,'Costos Proyectados por Unidad'!$D157)</f>
        <v>0</v>
      </c>
    </row>
    <row r="158" spans="3:17" x14ac:dyDescent="0.2">
      <c r="C158" s="117"/>
      <c r="D158" s="287" t="str">
        <f t="shared" si="57"/>
        <v>Otros</v>
      </c>
      <c r="E158" s="268"/>
      <c r="F158" s="269"/>
      <c r="G158" s="120"/>
      <c r="H158" s="291"/>
      <c r="I158" s="455"/>
      <c r="J158" s="270"/>
      <c r="K158" s="270"/>
      <c r="L158" s="270"/>
      <c r="M158" s="270"/>
      <c r="N158" s="270"/>
      <c r="O158" s="270"/>
      <c r="P158" s="270"/>
      <c r="Q158" s="170"/>
    </row>
    <row r="159" spans="3:17" x14ac:dyDescent="0.2">
      <c r="C159" s="117"/>
      <c r="D159" s="287" t="str">
        <f t="shared" si="57"/>
        <v>Otros</v>
      </c>
      <c r="E159" s="268" t="s">
        <v>422</v>
      </c>
      <c r="F159" s="269" t="s">
        <v>428</v>
      </c>
      <c r="G159" s="120">
        <f>+'Gantt Proyectos'!J192</f>
        <v>0</v>
      </c>
      <c r="H159" s="291">
        <f t="shared" si="56"/>
        <v>0</v>
      </c>
      <c r="I159" s="455"/>
      <c r="J159" s="270"/>
      <c r="K159" s="270"/>
      <c r="L159" s="270"/>
      <c r="M159" s="270"/>
      <c r="N159" s="270"/>
      <c r="O159" s="270"/>
      <c r="P159" s="270"/>
      <c r="Q159" s="170"/>
    </row>
    <row r="160" spans="3:17" x14ac:dyDescent="0.2">
      <c r="C160" s="117"/>
      <c r="D160" s="287" t="str">
        <f t="shared" si="57"/>
        <v>Otros</v>
      </c>
      <c r="E160" s="268"/>
      <c r="F160" s="269"/>
      <c r="G160" s="120"/>
      <c r="H160" s="291"/>
      <c r="I160" s="455"/>
      <c r="J160" s="270"/>
      <c r="K160" s="270"/>
      <c r="L160" s="270"/>
      <c r="M160" s="270"/>
      <c r="N160" s="270"/>
      <c r="O160" s="270"/>
      <c r="P160" s="270"/>
      <c r="Q160" s="170"/>
    </row>
    <row r="161" spans="3:17" x14ac:dyDescent="0.2">
      <c r="C161" s="117"/>
      <c r="D161" s="287" t="str">
        <f t="shared" si="57"/>
        <v>Otros</v>
      </c>
      <c r="E161" s="268" t="s">
        <v>423</v>
      </c>
      <c r="F161" s="269" t="s">
        <v>429</v>
      </c>
      <c r="G161" s="120">
        <f>+'Gantt Proyectos'!J194</f>
        <v>0</v>
      </c>
      <c r="H161" s="291">
        <f t="shared" si="56"/>
        <v>0</v>
      </c>
      <c r="I161" s="455">
        <f>+SUMIFS('Listas y Parametros'!J$224:J$228,'Listas y Parametros'!$I$224:$I$228,'Costos Proyectados por Unidad'!$D161)</f>
        <v>0</v>
      </c>
      <c r="J161" s="270">
        <f>+SUMIFS('Listas y Parametros'!K$224:K$228,'Listas y Parametros'!$I$224:$I$228,'Costos Proyectados por Unidad'!$D161)</f>
        <v>0</v>
      </c>
      <c r="K161" s="270">
        <f>+SUMIFS('Listas y Parametros'!L$224:L$228,'Listas y Parametros'!$I$224:$I$228,'Costos Proyectados por Unidad'!$D161)</f>
        <v>0</v>
      </c>
      <c r="L161" s="270">
        <f>+SUMIFS('Listas y Parametros'!M$224:M$228,'Listas y Parametros'!$I$224:$I$228,'Costos Proyectados por Unidad'!$D161)</f>
        <v>0</v>
      </c>
      <c r="M161" s="270">
        <f>+SUMIFS('Listas y Parametros'!N$224:N$228,'Listas y Parametros'!$I$224:$I$228,'Costos Proyectados por Unidad'!$D161)</f>
        <v>0</v>
      </c>
      <c r="N161" s="270">
        <f>+SUMIFS('Listas y Parametros'!O$224:O$228,'Listas y Parametros'!$I$224:$I$228,'Costos Proyectados por Unidad'!$D161)</f>
        <v>0</v>
      </c>
      <c r="O161" s="270">
        <f>+SUMIFS('Listas y Parametros'!P$224:P$228,'Listas y Parametros'!$I$224:$I$228,'Costos Proyectados por Unidad'!$D161)</f>
        <v>0</v>
      </c>
      <c r="P161" s="270">
        <f>+SUMIFS('Listas y Parametros'!Q$224:Q$228,'Listas y Parametros'!$I$224:$I$228,'Costos Proyectados por Unidad'!$D161)</f>
        <v>0</v>
      </c>
      <c r="Q161" s="170">
        <f>+SUMIFS('Listas y Parametros'!R$224:R$228,'Listas y Parametros'!$I$224:$I$228,'Costos Proyectados por Unidad'!$D161)</f>
        <v>0</v>
      </c>
    </row>
    <row r="162" spans="3:17" x14ac:dyDescent="0.2">
      <c r="C162" s="117"/>
      <c r="D162" s="287" t="str">
        <f t="shared" si="57"/>
        <v>Otros</v>
      </c>
      <c r="E162" s="268"/>
      <c r="F162" s="269"/>
      <c r="G162" s="120"/>
      <c r="H162" s="291"/>
      <c r="I162" s="455"/>
      <c r="J162" s="270"/>
      <c r="K162" s="270"/>
      <c r="L162" s="270"/>
      <c r="M162" s="270"/>
      <c r="N162" s="270"/>
      <c r="O162" s="270"/>
      <c r="P162" s="270"/>
      <c r="Q162" s="170"/>
    </row>
    <row r="163" spans="3:17" x14ac:dyDescent="0.2">
      <c r="C163" s="117"/>
      <c r="D163" s="287" t="str">
        <f t="shared" si="57"/>
        <v>Otros</v>
      </c>
      <c r="E163" s="268" t="s">
        <v>424</v>
      </c>
      <c r="F163" s="269" t="s">
        <v>430</v>
      </c>
      <c r="G163" s="120">
        <f>+'Gantt Proyectos'!J196</f>
        <v>0</v>
      </c>
      <c r="H163" s="291">
        <f t="shared" si="56"/>
        <v>0</v>
      </c>
      <c r="I163" s="455">
        <f>+SUMIFS('Listas y Parametros'!C$245:C$249,'Listas y Parametros'!$B$245:$B$249,'Costos Proyectados por Unidad'!$D163)</f>
        <v>0</v>
      </c>
      <c r="J163" s="270">
        <f>+SUMIFS('Listas y Parametros'!D$245:D$249,'Listas y Parametros'!$B$245:$B$249,'Costos Proyectados por Unidad'!$D163)</f>
        <v>0</v>
      </c>
      <c r="K163" s="270">
        <f>+SUMIFS('Listas y Parametros'!E$245:E$249,'Listas y Parametros'!$B$245:$B$249,'Costos Proyectados por Unidad'!$D163)</f>
        <v>0</v>
      </c>
      <c r="L163" s="270">
        <f>+SUMIFS('Listas y Parametros'!F$245:F$249,'Listas y Parametros'!$B$245:$B$249,'Costos Proyectados por Unidad'!$D163)</f>
        <v>0</v>
      </c>
      <c r="M163" s="270">
        <f>+SUMIFS('Listas y Parametros'!G$245:G$249,'Listas y Parametros'!$B$245:$B$249,'Costos Proyectados por Unidad'!$D163)</f>
        <v>0</v>
      </c>
      <c r="N163" s="270">
        <f>+SUMIFS('Listas y Parametros'!H$245:H$249,'Listas y Parametros'!$B$245:$B$249,'Costos Proyectados por Unidad'!$D163)</f>
        <v>0</v>
      </c>
      <c r="O163" s="270">
        <f>+SUMIFS('Listas y Parametros'!I$245:I$249,'Listas y Parametros'!$B$245:$B$249,'Costos Proyectados por Unidad'!$D163)</f>
        <v>0</v>
      </c>
      <c r="P163" s="270">
        <f>+SUMIFS('Listas y Parametros'!J$245:J$249,'Listas y Parametros'!$B$245:$B$249,'Costos Proyectados por Unidad'!$D163)</f>
        <v>0</v>
      </c>
      <c r="Q163" s="170">
        <f>+SUMIFS('Listas y Parametros'!K$245:K$249,'Listas y Parametros'!$B$245:$B$249,'Costos Proyectados por Unidad'!$D163)</f>
        <v>0</v>
      </c>
    </row>
    <row r="164" spans="3:17" x14ac:dyDescent="0.2">
      <c r="C164" s="117"/>
      <c r="D164" s="287" t="str">
        <f t="shared" si="57"/>
        <v>Otros</v>
      </c>
      <c r="E164" s="268"/>
      <c r="F164" s="269"/>
      <c r="G164" s="120"/>
      <c r="H164" s="291"/>
      <c r="I164" s="455"/>
      <c r="J164" s="270"/>
      <c r="K164" s="270"/>
      <c r="L164" s="270"/>
      <c r="M164" s="270"/>
      <c r="N164" s="270"/>
      <c r="O164" s="270"/>
      <c r="P164" s="270"/>
      <c r="Q164" s="170"/>
    </row>
    <row r="165" spans="3:17" x14ac:dyDescent="0.2">
      <c r="C165" s="117"/>
      <c r="D165" s="287" t="str">
        <f t="shared" si="57"/>
        <v>Otros</v>
      </c>
      <c r="E165" s="268" t="s">
        <v>47</v>
      </c>
      <c r="F165" s="269" t="s">
        <v>47</v>
      </c>
      <c r="G165" s="120">
        <f>+'Gantt Proyectos'!J197</f>
        <v>0</v>
      </c>
      <c r="H165" s="291">
        <f t="shared" ref="H165" si="58">+SUM(I165:Q165)</f>
        <v>0</v>
      </c>
      <c r="I165" s="455">
        <f>+SUMIFS('Listas y Parametros'!C$262:C$266,'Listas y Parametros'!$B$262:$B$266,'Costos Proyectados por Unidad'!$D165)</f>
        <v>0</v>
      </c>
      <c r="J165" s="270">
        <f>+SUMIFS('Listas y Parametros'!D$262:D$266,'Listas y Parametros'!$B$262:$B$266,'Costos Proyectados por Unidad'!$D165)</f>
        <v>0</v>
      </c>
      <c r="K165" s="270">
        <f>+SUMIFS('Listas y Parametros'!E$262:E$266,'Listas y Parametros'!$B$262:$B$266,'Costos Proyectados por Unidad'!$D165)</f>
        <v>0</v>
      </c>
      <c r="L165" s="270">
        <f>+SUMIFS('Listas y Parametros'!F$262:F$266,'Listas y Parametros'!$B$262:$B$266,'Costos Proyectados por Unidad'!$D165)</f>
        <v>0</v>
      </c>
      <c r="M165" s="270">
        <f>+SUMIFS('Listas y Parametros'!G$262:G$266,'Listas y Parametros'!$B$262:$B$266,'Costos Proyectados por Unidad'!$D165)</f>
        <v>0</v>
      </c>
      <c r="N165" s="270">
        <f>+SUMIFS('Listas y Parametros'!H$262:H$266,'Listas y Parametros'!$B$262:$B$266,'Costos Proyectados por Unidad'!$D165)</f>
        <v>0</v>
      </c>
      <c r="O165" s="270">
        <f>+SUMIFS('Listas y Parametros'!I$262:I$266,'Listas y Parametros'!$B$262:$B$266,'Costos Proyectados por Unidad'!$D165)</f>
        <v>0</v>
      </c>
      <c r="P165" s="270">
        <f>+SUMIFS('Listas y Parametros'!J$262:J$266,'Listas y Parametros'!$B$262:$B$266,'Costos Proyectados por Unidad'!$D165)</f>
        <v>0</v>
      </c>
      <c r="Q165" s="170">
        <f>+SUMIFS('Listas y Parametros'!K$262:K$266,'Listas y Parametros'!$B$262:$B$266,'Costos Proyectados por Unidad'!$D165)</f>
        <v>0</v>
      </c>
    </row>
    <row r="166" spans="3:17" x14ac:dyDescent="0.2">
      <c r="C166" s="117"/>
      <c r="D166" s="287" t="str">
        <f t="shared" si="57"/>
        <v>Otros</v>
      </c>
      <c r="E166" s="268"/>
      <c r="F166" s="271"/>
      <c r="G166" s="120"/>
      <c r="H166" s="291"/>
      <c r="I166" s="455"/>
      <c r="J166" s="270"/>
      <c r="K166" s="270"/>
      <c r="L166" s="270"/>
      <c r="M166" s="270"/>
      <c r="N166" s="270"/>
      <c r="O166" s="270"/>
      <c r="P166" s="270"/>
      <c r="Q166" s="170"/>
    </row>
    <row r="167" spans="3:17" ht="12" thickBot="1" x14ac:dyDescent="0.25">
      <c r="C167" s="272"/>
      <c r="D167" s="287" t="str">
        <f t="shared" si="57"/>
        <v>Otros</v>
      </c>
      <c r="E167" s="273"/>
      <c r="F167" s="274"/>
      <c r="G167" s="127"/>
      <c r="H167" s="292"/>
      <c r="I167" s="456"/>
      <c r="J167" s="275"/>
      <c r="K167" s="275"/>
      <c r="L167" s="275"/>
      <c r="M167" s="275"/>
      <c r="N167" s="275"/>
      <c r="O167" s="275"/>
      <c r="P167" s="275"/>
      <c r="Q167" s="276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CA04-EB18-4A41-834F-54325F0BEC17}">
  <sheetPr>
    <tabColor rgb="FF00B050"/>
  </sheetPr>
  <dimension ref="A1:P32"/>
  <sheetViews>
    <sheetView showGridLines="0" topLeftCell="B6" zoomScale="141" zoomScaleNormal="100" workbookViewId="0">
      <selection activeCell="I18" sqref="I18"/>
    </sheetView>
  </sheetViews>
  <sheetFormatPr baseColWidth="10" defaultColWidth="11.5" defaultRowHeight="10" x14ac:dyDescent="0.15"/>
  <cols>
    <col min="1" max="16384" width="11.5" style="222"/>
  </cols>
  <sheetData>
    <row r="1" spans="1:16" s="214" customFormat="1" x14ac:dyDescent="0.2">
      <c r="A1" s="213"/>
    </row>
    <row r="2" spans="1:16" s="216" customFormat="1" x14ac:dyDescent="0.2">
      <c r="A2" s="215"/>
    </row>
    <row r="3" spans="1:16" s="216" customFormat="1" x14ac:dyDescent="0.2">
      <c r="A3" s="215"/>
      <c r="D3" s="217" t="s">
        <v>0</v>
      </c>
    </row>
    <row r="4" spans="1:16" s="216" customFormat="1" x14ac:dyDescent="0.2">
      <c r="A4" s="215"/>
      <c r="D4" s="217">
        <v>2025</v>
      </c>
    </row>
    <row r="5" spans="1:16" s="216" customFormat="1" x14ac:dyDescent="0.2">
      <c r="A5" s="215"/>
      <c r="D5" s="218" t="s">
        <v>431</v>
      </c>
    </row>
    <row r="6" spans="1:16" s="216" customFormat="1" x14ac:dyDescent="0.2">
      <c r="A6" s="215"/>
    </row>
    <row r="7" spans="1:16" s="220" customFormat="1" ht="11" thickBot="1" x14ac:dyDescent="0.25">
      <c r="A7" s="219"/>
    </row>
    <row r="8" spans="1:16" s="221" customFormat="1" x14ac:dyDescent="0.2"/>
    <row r="12" spans="1:16" ht="11" thickBot="1" x14ac:dyDescent="0.2"/>
    <row r="13" spans="1:16" ht="12" thickBot="1" x14ac:dyDescent="0.2">
      <c r="D13" s="223" t="s">
        <v>114</v>
      </c>
      <c r="E13" s="224" t="s">
        <v>65</v>
      </c>
      <c r="F13" s="225" t="s">
        <v>34</v>
      </c>
      <c r="G13" s="225" t="s">
        <v>32</v>
      </c>
      <c r="H13" s="238">
        <v>45777</v>
      </c>
      <c r="I13" s="226">
        <v>45807</v>
      </c>
      <c r="J13" s="226">
        <v>45838</v>
      </c>
      <c r="K13" s="226">
        <v>45868</v>
      </c>
      <c r="L13" s="226">
        <v>45899</v>
      </c>
      <c r="M13" s="226">
        <v>45930</v>
      </c>
      <c r="N13" s="226">
        <v>45960</v>
      </c>
      <c r="O13" s="226">
        <v>45991</v>
      </c>
      <c r="P13" s="227">
        <v>46021</v>
      </c>
    </row>
    <row r="14" spans="1:16" x14ac:dyDescent="0.15">
      <c r="D14" s="248">
        <v>1</v>
      </c>
      <c r="E14" s="248" t="s">
        <v>41</v>
      </c>
      <c r="F14" s="235" t="s">
        <v>42</v>
      </c>
      <c r="G14" s="245">
        <f ca="1">+SUM(H14:P14)</f>
        <v>2047848.7704223555</v>
      </c>
      <c r="H14" s="239">
        <f ca="1">+SUMIFS('Ingreso Proyectado'!AH$28:AH$1048576,'Ingreso Proyectado'!$F$28:$F$1048576,'Flujo Caja'!$E$14)</f>
        <v>0</v>
      </c>
      <c r="I14" s="228">
        <f ca="1">+SUMIFS('Ingreso Proyectado'!AI$28:AI$1048576,'Ingreso Proyectado'!$F$28:$F$1048576,'Flujo Caja'!$E$14)</f>
        <v>534524.84335275833</v>
      </c>
      <c r="J14" s="228">
        <f ca="1">+SUMIFS('Ingreso Proyectado'!AJ$28:AJ$1048576,'Ingreso Proyectado'!$F$28:$F$1048576,'Flujo Caja'!$E$14)</f>
        <v>452758.17461538466</v>
      </c>
      <c r="K14" s="228">
        <f ca="1">+SUMIFS('Ingreso Proyectado'!AK$28:AK$1048576,'Ingreso Proyectado'!$F$28:$F$1048576,'Flujo Caja'!$E$14)</f>
        <v>369120.64128205122</v>
      </c>
      <c r="L14" s="228">
        <f ca="1">+SUMIFS('Ingreso Proyectado'!AL$28:AL$1048576,'Ingreso Proyectado'!$F$28:$F$1048576,'Flujo Caja'!$E$14)</f>
        <v>213934.35556776557</v>
      </c>
      <c r="M14" s="228">
        <f ca="1">+SUMIFS('Ingreso Proyectado'!AM$28:AM$1048576,'Ingreso Proyectado'!$F$28:$F$1048576,'Flujo Caja'!$E$14)</f>
        <v>168877.68890109891</v>
      </c>
      <c r="N14" s="228">
        <f ca="1">+SUMIFS('Ingreso Proyectado'!AN$28:AN$1048576,'Ingreso Proyectado'!$F$28:$F$1048576,'Flujo Caja'!$E$14)</f>
        <v>168877.68890109891</v>
      </c>
      <c r="O14" s="228">
        <f ca="1">+SUMIFS('Ingreso Proyectado'!AO$28:AO$1048576,'Ingreso Proyectado'!$F$28:$F$1048576,'Flujo Caja'!$E$14)</f>
        <v>69877.688901098896</v>
      </c>
      <c r="P14" s="229">
        <f ca="1">+SUMIFS('Ingreso Proyectado'!AP$28:AP$1048576,'Ingreso Proyectado'!$F$28:$F$1048576,'Flujo Caja'!$E$14)</f>
        <v>69877.688901098896</v>
      </c>
    </row>
    <row r="15" spans="1:16" x14ac:dyDescent="0.15">
      <c r="D15" s="249"/>
      <c r="E15" s="249"/>
      <c r="F15" s="236" t="s">
        <v>53</v>
      </c>
      <c r="G15" s="246">
        <f t="shared" ref="G15:G30" si="0">+SUM(H15:P15)</f>
        <v>3375586.5131644108</v>
      </c>
      <c r="H15" s="240">
        <f>+'Costos Proyectados por Unidad'!I13</f>
        <v>410921.73378594464</v>
      </c>
      <c r="I15" s="230">
        <f>+'Costos Proyectados por Unidad'!J13</f>
        <v>365603.55196776282</v>
      </c>
      <c r="J15" s="230">
        <f>+'Costos Proyectados por Unidad'!K13</f>
        <v>355976.27924049011</v>
      </c>
      <c r="K15" s="230">
        <f>+'Costos Proyectados por Unidad'!L13</f>
        <v>436567.18833139917</v>
      </c>
      <c r="L15" s="230">
        <f>+'Costos Proyectados por Unidad'!M13</f>
        <v>365603.55196776282</v>
      </c>
      <c r="M15" s="230">
        <f>+'Costos Proyectados por Unidad'!N13</f>
        <v>378739.91560412647</v>
      </c>
      <c r="N15" s="230">
        <f>+'Costos Proyectados por Unidad'!O13</f>
        <v>359012.6428768537</v>
      </c>
      <c r="O15" s="230">
        <f>+'Costos Proyectados por Unidad'!P13</f>
        <v>345012.6428768537</v>
      </c>
      <c r="P15" s="231">
        <f>+'Costos Proyectados por Unidad'!Q13</f>
        <v>358149.00651321735</v>
      </c>
    </row>
    <row r="16" spans="1:16" ht="11" thickBot="1" x14ac:dyDescent="0.2">
      <c r="D16" s="250"/>
      <c r="E16" s="250"/>
      <c r="F16" s="237" t="s">
        <v>49</v>
      </c>
      <c r="G16" s="247">
        <f t="shared" ca="1" si="0"/>
        <v>-1327737.7427420556</v>
      </c>
      <c r="H16" s="241">
        <f ca="1">+H14-H15</f>
        <v>-410921.73378594464</v>
      </c>
      <c r="I16" s="232">
        <f t="shared" ref="I16:P16" ca="1" si="1">+I14-I15</f>
        <v>168921.29138499551</v>
      </c>
      <c r="J16" s="232">
        <f t="shared" ca="1" si="1"/>
        <v>96781.89537489455</v>
      </c>
      <c r="K16" s="232">
        <f t="shared" ca="1" si="1"/>
        <v>-67446.547049347952</v>
      </c>
      <c r="L16" s="232">
        <f t="shared" ca="1" si="1"/>
        <v>-151669.19639999725</v>
      </c>
      <c r="M16" s="232">
        <f t="shared" ca="1" si="1"/>
        <v>-209862.22670302755</v>
      </c>
      <c r="N16" s="232">
        <f t="shared" ca="1" si="1"/>
        <v>-190134.95397575479</v>
      </c>
      <c r="O16" s="232">
        <f t="shared" ca="1" si="1"/>
        <v>-275134.95397575479</v>
      </c>
      <c r="P16" s="233">
        <f t="shared" ca="1" si="1"/>
        <v>-288271.31761211844</v>
      </c>
    </row>
    <row r="17" spans="4:16" x14ac:dyDescent="0.15">
      <c r="D17" s="249">
        <v>2</v>
      </c>
      <c r="E17" s="249" t="s">
        <v>44</v>
      </c>
      <c r="F17" s="236" t="s">
        <v>42</v>
      </c>
      <c r="G17" s="246">
        <f t="shared" ca="1" si="0"/>
        <v>2311208.9285714286</v>
      </c>
      <c r="H17" s="239">
        <f ca="1">+SUMIFS('Ingreso Proyectado'!AH$28:AH$1048576,'Ingreso Proyectado'!$F$28:$F$1048576,'Flujo Caja'!$E$17)</f>
        <v>0</v>
      </c>
      <c r="I17" s="228">
        <f ca="1">+SUMIFS('Ingreso Proyectado'!AI$28:AI$1048576,'Ingreso Proyectado'!$F$28:$F$1048576,'Flujo Caja'!$E$17)</f>
        <v>42252.714285714283</v>
      </c>
      <c r="J17" s="228">
        <f ca="1">+SUMIFS('Ingreso Proyectado'!AJ$28:AJ$1048576,'Ingreso Proyectado'!$F$28:$F$1048576,'Flujo Caja'!$E$17)</f>
        <v>257132.84523809524</v>
      </c>
      <c r="K17" s="228">
        <f ca="1">+SUMIFS('Ingreso Proyectado'!AK$28:AK$1048576,'Ingreso Proyectado'!$F$28:$F$1048576,'Flujo Caja'!$E$17)</f>
        <v>257132.84523809524</v>
      </c>
      <c r="L17" s="228">
        <f ca="1">+SUMIFS('Ingreso Proyectado'!AL$28:AL$1048576,'Ingreso Proyectado'!$F$28:$F$1048576,'Flujo Caja'!$E$17)</f>
        <v>372123.89523809525</v>
      </c>
      <c r="M17" s="228">
        <f ca="1">+SUMIFS('Ingreso Proyectado'!AM$28:AM$1048576,'Ingreso Proyectado'!$F$28:$F$1048576,'Flujo Caja'!$E$17)</f>
        <v>393534.51428571431</v>
      </c>
      <c r="N17" s="228">
        <f ca="1">+SUMIFS('Ingreso Proyectado'!AN$28:AN$1048576,'Ingreso Proyectado'!$F$28:$F$1048576,'Flujo Caja'!$E$17)</f>
        <v>420617.84761904762</v>
      </c>
      <c r="O17" s="228">
        <f ca="1">+SUMIFS('Ingreso Proyectado'!AO$28:AO$1048576,'Ingreso Proyectado'!$F$28:$F$1048576,'Flujo Caja'!$E$17)</f>
        <v>285332.13333333336</v>
      </c>
      <c r="P17" s="229">
        <f ca="1">+SUMIFS('Ingreso Proyectado'!AP$28:AP$1048576,'Ingreso Proyectado'!$F$28:$F$1048576,'Flujo Caja'!$E$17)</f>
        <v>283082.13333333336</v>
      </c>
    </row>
    <row r="18" spans="4:16" x14ac:dyDescent="0.15">
      <c r="D18" s="249"/>
      <c r="E18" s="249"/>
      <c r="F18" s="236" t="s">
        <v>53</v>
      </c>
      <c r="G18" s="246">
        <f t="shared" si="0"/>
        <v>468360.61714285729</v>
      </c>
      <c r="H18" s="240">
        <f>+'Costos Proyectados por Unidad'!I21</f>
        <v>52040.068571428579</v>
      </c>
      <c r="I18" s="230">
        <f>+'Costos Proyectados por Unidad'!J21</f>
        <v>52040.068571428579</v>
      </c>
      <c r="J18" s="230">
        <f>+'Costos Proyectados por Unidad'!K21</f>
        <v>52040.068571428579</v>
      </c>
      <c r="K18" s="230">
        <f>+'Costos Proyectados por Unidad'!L21</f>
        <v>52040.068571428579</v>
      </c>
      <c r="L18" s="230">
        <f>+'Costos Proyectados por Unidad'!M21</f>
        <v>52040.068571428579</v>
      </c>
      <c r="M18" s="230">
        <f>+'Costos Proyectados por Unidad'!N21</f>
        <v>52040.068571428579</v>
      </c>
      <c r="N18" s="230">
        <f>+'Costos Proyectados por Unidad'!O21</f>
        <v>52040.068571428579</v>
      </c>
      <c r="O18" s="230">
        <f>+'Costos Proyectados por Unidad'!P21</f>
        <v>52040.068571428579</v>
      </c>
      <c r="P18" s="231">
        <f>+'Costos Proyectados por Unidad'!Q21</f>
        <v>52040.068571428579</v>
      </c>
    </row>
    <row r="19" spans="4:16" ht="11" thickBot="1" x14ac:dyDescent="0.2">
      <c r="D19" s="250"/>
      <c r="E19" s="250"/>
      <c r="F19" s="237" t="s">
        <v>49</v>
      </c>
      <c r="G19" s="247">
        <f t="shared" ref="G19" ca="1" si="2">+SUM(H19:P19)</f>
        <v>1842848.3114285714</v>
      </c>
      <c r="H19" s="241">
        <f ca="1">+H17-H18</f>
        <v>-52040.068571428579</v>
      </c>
      <c r="I19" s="232">
        <f t="shared" ref="I19" ca="1" si="3">+I17-I18</f>
        <v>-9787.3542857142966</v>
      </c>
      <c r="J19" s="232">
        <f t="shared" ref="J19" ca="1" si="4">+J17-J18</f>
        <v>205092.77666666667</v>
      </c>
      <c r="K19" s="232">
        <f t="shared" ref="K19" ca="1" si="5">+K17-K18</f>
        <v>205092.77666666667</v>
      </c>
      <c r="L19" s="232">
        <f t="shared" ref="L19" ca="1" si="6">+L17-L18</f>
        <v>320083.82666666666</v>
      </c>
      <c r="M19" s="232">
        <f t="shared" ref="M19" ca="1" si="7">+M17-M18</f>
        <v>341494.44571428571</v>
      </c>
      <c r="N19" s="232">
        <f t="shared" ref="N19" ca="1" si="8">+N17-N18</f>
        <v>368577.77904761903</v>
      </c>
      <c r="O19" s="232">
        <f t="shared" ref="O19" ca="1" si="9">+O17-O18</f>
        <v>233292.06476190477</v>
      </c>
      <c r="P19" s="233">
        <f t="shared" ref="P19" ca="1" si="10">+P17-P18</f>
        <v>231042.06476190477</v>
      </c>
    </row>
    <row r="20" spans="4:16" x14ac:dyDescent="0.15">
      <c r="D20" s="249">
        <v>3</v>
      </c>
      <c r="E20" s="249" t="s">
        <v>45</v>
      </c>
      <c r="F20" s="236" t="s">
        <v>42</v>
      </c>
      <c r="G20" s="246">
        <f t="shared" ca="1" si="0"/>
        <v>1730307.3055555557</v>
      </c>
      <c r="H20" s="239">
        <f ca="1">+SUMIFS('Ingreso Proyectado'!AH$28:AH$1048576,'Ingreso Proyectado'!$F$28:$F$1048576,'Flujo Caja'!$E$20)</f>
        <v>0</v>
      </c>
      <c r="I20" s="228">
        <f ca="1">+SUMIFS('Ingreso Proyectado'!AI$28:AI$1048576,'Ingreso Proyectado'!$F$28:$F$1048576,'Flujo Caja'!$E$20)</f>
        <v>78666.666666666657</v>
      </c>
      <c r="J20" s="228">
        <f ca="1">+SUMIFS('Ingreso Proyectado'!AJ$28:AJ$1048576,'Ingreso Proyectado'!$F$28:$F$1048576,'Flujo Caja'!$E$20)</f>
        <v>78666.666666666657</v>
      </c>
      <c r="K20" s="228">
        <f ca="1">+SUMIFS('Ingreso Proyectado'!AK$28:AK$1048576,'Ingreso Proyectado'!$F$28:$F$1048576,'Flujo Caja'!$E$20)</f>
        <v>219554.91666666666</v>
      </c>
      <c r="L20" s="228">
        <f ca="1">+SUMIFS('Ingreso Proyectado'!AL$28:AL$1048576,'Ingreso Proyectado'!$F$28:$F$1048576,'Flujo Caja'!$E$20)</f>
        <v>167888.25</v>
      </c>
      <c r="M20" s="228">
        <f ca="1">+SUMIFS('Ingreso Proyectado'!AM$28:AM$1048576,'Ingreso Proyectado'!$F$28:$F$1048576,'Flujo Caja'!$E$20)</f>
        <v>358235.47222222225</v>
      </c>
      <c r="N20" s="228">
        <f ca="1">+SUMIFS('Ingreso Proyectado'!AN$28:AN$1048576,'Ingreso Proyectado'!$F$28:$F$1048576,'Flujo Caja'!$E$20)</f>
        <v>316934.22222222225</v>
      </c>
      <c r="O20" s="228">
        <f ca="1">+SUMIFS('Ingreso Proyectado'!AO$28:AO$1048576,'Ingreso Proyectado'!$F$28:$F$1048576,'Flujo Caja'!$E$20)</f>
        <v>301513.88888888888</v>
      </c>
      <c r="P20" s="229">
        <f ca="1">+SUMIFS('Ingreso Proyectado'!AP$28:AP$1048576,'Ingreso Proyectado'!$F$28:$F$1048576,'Flujo Caja'!$E$20)</f>
        <v>208847.22222222222</v>
      </c>
    </row>
    <row r="21" spans="4:16" x14ac:dyDescent="0.15">
      <c r="D21" s="249"/>
      <c r="E21" s="249"/>
      <c r="F21" s="236" t="s">
        <v>53</v>
      </c>
      <c r="G21" s="246">
        <f t="shared" si="0"/>
        <v>679799.77272727271</v>
      </c>
      <c r="H21" s="240">
        <f>+'Costos Proyectados por Unidad'!I29</f>
        <v>64573.71212121212</v>
      </c>
      <c r="I21" s="230">
        <f>+'Costos Proyectados por Unidad'!J29</f>
        <v>71437.34848484848</v>
      </c>
      <c r="J21" s="230">
        <f>+'Costos Proyectados por Unidad'!K29</f>
        <v>71437.34848484848</v>
      </c>
      <c r="K21" s="230">
        <f>+'Costos Proyectados por Unidad'!L29</f>
        <v>110164.62121212122</v>
      </c>
      <c r="L21" s="230">
        <f>+'Costos Proyectados por Unidad'!M29</f>
        <v>85164.621212121216</v>
      </c>
      <c r="M21" s="230">
        <f>+'Costos Proyectados por Unidad'!N29</f>
        <v>85164.621212121216</v>
      </c>
      <c r="N21" s="230">
        <f>+'Costos Proyectados por Unidad'!O29</f>
        <v>71437.34848484848</v>
      </c>
      <c r="O21" s="230">
        <f>+'Costos Proyectados por Unidad'!P29</f>
        <v>64573.71212121212</v>
      </c>
      <c r="P21" s="231">
        <f>+'Costos Proyectados por Unidad'!Q29</f>
        <v>55846.439393939392</v>
      </c>
    </row>
    <row r="22" spans="4:16" ht="11" thickBot="1" x14ac:dyDescent="0.2">
      <c r="D22" s="250"/>
      <c r="E22" s="250"/>
      <c r="F22" s="237" t="s">
        <v>49</v>
      </c>
      <c r="G22" s="247">
        <f t="shared" ref="G22" ca="1" si="11">+SUM(H22:P22)</f>
        <v>1050507.5328282828</v>
      </c>
      <c r="H22" s="241">
        <f ca="1">+H20-H21</f>
        <v>-64573.71212121212</v>
      </c>
      <c r="I22" s="232">
        <f t="shared" ref="I22" ca="1" si="12">+I20-I21</f>
        <v>7229.3181818181765</v>
      </c>
      <c r="J22" s="232">
        <f t="shared" ref="J22" ca="1" si="13">+J20-J21</f>
        <v>7229.3181818181765</v>
      </c>
      <c r="K22" s="232">
        <f t="shared" ref="K22" ca="1" si="14">+K20-K21</f>
        <v>109390.29545454544</v>
      </c>
      <c r="L22" s="232">
        <f t="shared" ref="L22" ca="1" si="15">+L20-L21</f>
        <v>82723.628787878784</v>
      </c>
      <c r="M22" s="232">
        <f t="shared" ref="M22" ca="1" si="16">+M20-M21</f>
        <v>273070.85101010103</v>
      </c>
      <c r="N22" s="232">
        <f t="shared" ref="N22" ca="1" si="17">+N20-N21</f>
        <v>245496.87373737377</v>
      </c>
      <c r="O22" s="232">
        <f t="shared" ref="O22" ca="1" si="18">+O20-O21</f>
        <v>236940.17676767675</v>
      </c>
      <c r="P22" s="233">
        <f t="shared" ref="P22" ca="1" si="19">+P20-P21</f>
        <v>153000.78282828283</v>
      </c>
    </row>
    <row r="23" spans="4:16" x14ac:dyDescent="0.15">
      <c r="D23" s="249">
        <v>4</v>
      </c>
      <c r="E23" s="249" t="s">
        <v>46</v>
      </c>
      <c r="F23" s="236" t="s">
        <v>42</v>
      </c>
      <c r="G23" s="246">
        <f t="shared" ca="1" si="0"/>
        <v>531685.40476190473</v>
      </c>
      <c r="H23" s="239">
        <f ca="1">+SUMIFS('Ingreso Proyectado'!AH$28:AH$1048576,'Ingreso Proyectado'!$F$28:$F$1048576,'Flujo Caja'!$E$23)</f>
        <v>0</v>
      </c>
      <c r="I23" s="228">
        <f ca="1">+SUMIFS('Ingreso Proyectado'!AI$28:AI$1048576,'Ingreso Proyectado'!$F$28:$F$1048576,'Flujo Caja'!$E$23)</f>
        <v>80256.833333333328</v>
      </c>
      <c r="J23" s="228">
        <f ca="1">+SUMIFS('Ingreso Proyectado'!AJ$28:AJ$1048576,'Ingreso Proyectado'!$F$28:$F$1048576,'Flujo Caja'!$E$23)</f>
        <v>156666.66666666666</v>
      </c>
      <c r="K23" s="228">
        <f ca="1">+SUMIFS('Ingreso Proyectado'!AK$28:AK$1048576,'Ingreso Proyectado'!$F$28:$F$1048576,'Flujo Caja'!$E$23)</f>
        <v>156666.66666666666</v>
      </c>
      <c r="L23" s="228">
        <f ca="1">+SUMIFS('Ingreso Proyectado'!AL$28:AL$1048576,'Ingreso Proyectado'!$F$28:$F$1048576,'Flujo Caja'!$E$23)</f>
        <v>120952.38095238095</v>
      </c>
      <c r="M23" s="228">
        <f ca="1">+SUMIFS('Ingreso Proyectado'!AM$28:AM$1048576,'Ingreso Proyectado'!$F$28:$F$1048576,'Flujo Caja'!$E$23)</f>
        <v>4285.7142857142853</v>
      </c>
      <c r="N23" s="228">
        <f ca="1">+SUMIFS('Ingreso Proyectado'!AN$28:AN$1048576,'Ingreso Proyectado'!$F$28:$F$1048576,'Flujo Caja'!$E$23)</f>
        <v>4285.7142857142853</v>
      </c>
      <c r="O23" s="228">
        <f ca="1">+SUMIFS('Ingreso Proyectado'!AO$28:AO$1048576,'Ingreso Proyectado'!$F$28:$F$1048576,'Flujo Caja'!$E$23)</f>
        <v>4285.7142857142853</v>
      </c>
      <c r="P23" s="229">
        <f ca="1">+SUMIFS('Ingreso Proyectado'!AP$28:AP$1048576,'Ingreso Proyectado'!$F$28:$F$1048576,'Flujo Caja'!$E$23)</f>
        <v>4285.7142857142853</v>
      </c>
    </row>
    <row r="24" spans="4:16" x14ac:dyDescent="0.15">
      <c r="D24" s="249"/>
      <c r="E24" s="249"/>
      <c r="F24" s="236" t="s">
        <v>53</v>
      </c>
      <c r="G24" s="246">
        <f t="shared" si="0"/>
        <v>389498.20454545465</v>
      </c>
      <c r="H24" s="240">
        <f>+'Costos Proyectados por Unidad'!I37</f>
        <v>40555.356060606064</v>
      </c>
      <c r="I24" s="230">
        <f>+'Costos Proyectados por Unidad'!J37</f>
        <v>40555.356060606064</v>
      </c>
      <c r="J24" s="230">
        <f>+'Costos Proyectados por Unidad'!K37</f>
        <v>66918.992424242431</v>
      </c>
      <c r="K24" s="230">
        <f>+'Costos Proyectados por Unidad'!L37</f>
        <v>33691.719696969696</v>
      </c>
      <c r="L24" s="230">
        <f>+'Costos Proyectados por Unidad'!M37</f>
        <v>40555.356060606064</v>
      </c>
      <c r="M24" s="230">
        <f>+'Costos Proyectados por Unidad'!N37</f>
        <v>40555.356060606064</v>
      </c>
      <c r="N24" s="230">
        <f>+'Costos Proyectados por Unidad'!O37</f>
        <v>40555.356060606064</v>
      </c>
      <c r="O24" s="230">
        <f>+'Costos Proyectados por Unidad'!P37</f>
        <v>40555.356060606064</v>
      </c>
      <c r="P24" s="231">
        <f>+'Costos Proyectados por Unidad'!Q37</f>
        <v>45555.356060606064</v>
      </c>
    </row>
    <row r="25" spans="4:16" ht="11" thickBot="1" x14ac:dyDescent="0.2">
      <c r="D25" s="250"/>
      <c r="E25" s="250"/>
      <c r="F25" s="237" t="s">
        <v>49</v>
      </c>
      <c r="G25" s="247">
        <f t="shared" ref="G25" ca="1" si="20">+SUM(H25:P25)</f>
        <v>142187.20021645009</v>
      </c>
      <c r="H25" s="241">
        <f ca="1">+H23-H24</f>
        <v>-40555.356060606064</v>
      </c>
      <c r="I25" s="232">
        <f t="shared" ref="I25" ca="1" si="21">+I23-I24</f>
        <v>39701.477272727265</v>
      </c>
      <c r="J25" s="232">
        <f t="shared" ref="J25" ca="1" si="22">+J23-J24</f>
        <v>89747.674242424226</v>
      </c>
      <c r="K25" s="232">
        <f t="shared" ref="K25" ca="1" si="23">+K23-K24</f>
        <v>122974.94696969696</v>
      </c>
      <c r="L25" s="232">
        <f t="shared" ref="L25" ca="1" si="24">+L23-L24</f>
        <v>80397.024891774883</v>
      </c>
      <c r="M25" s="232">
        <f t="shared" ref="M25" ca="1" si="25">+M23-M24</f>
        <v>-36269.641774891781</v>
      </c>
      <c r="N25" s="232">
        <f t="shared" ref="N25" ca="1" si="26">+N23-N24</f>
        <v>-36269.641774891781</v>
      </c>
      <c r="O25" s="232">
        <f t="shared" ref="O25" ca="1" si="27">+O23-O24</f>
        <v>-36269.641774891781</v>
      </c>
      <c r="P25" s="233">
        <f t="shared" ref="P25" ca="1" si="28">+P23-P24</f>
        <v>-41269.641774891781</v>
      </c>
    </row>
    <row r="26" spans="4:16" x14ac:dyDescent="0.15">
      <c r="D26" s="249">
        <v>5</v>
      </c>
      <c r="E26" s="249" t="s">
        <v>47</v>
      </c>
      <c r="F26" s="236" t="s">
        <v>42</v>
      </c>
      <c r="G26" s="246">
        <f t="shared" si="0"/>
        <v>0</v>
      </c>
      <c r="H26" s="239">
        <f>+SUMIFS('Ingreso Proyectado'!AH$28:AH$1048576,'Ingreso Proyectado'!$F$28:$F$1048576,'Flujo Caja'!$E$26)</f>
        <v>0</v>
      </c>
      <c r="I26" s="228">
        <f>+SUMIFS('Ingreso Proyectado'!AI$28:AI$1048576,'Ingreso Proyectado'!$F$28:$F$1048576,'Flujo Caja'!$E$26)</f>
        <v>0</v>
      </c>
      <c r="J26" s="228">
        <f>+SUMIFS('Ingreso Proyectado'!AJ$28:AJ$1048576,'Ingreso Proyectado'!$F$28:$F$1048576,'Flujo Caja'!$E$26)</f>
        <v>0</v>
      </c>
      <c r="K26" s="228">
        <f>+SUMIFS('Ingreso Proyectado'!AK$28:AK$1048576,'Ingreso Proyectado'!$F$28:$F$1048576,'Flujo Caja'!$E$26)</f>
        <v>0</v>
      </c>
      <c r="L26" s="228">
        <f>+SUMIFS('Ingreso Proyectado'!AL$28:AL$1048576,'Ingreso Proyectado'!$F$28:$F$1048576,'Flujo Caja'!$E$26)</f>
        <v>0</v>
      </c>
      <c r="M26" s="228">
        <f>+SUMIFS('Ingreso Proyectado'!AM$28:AM$1048576,'Ingreso Proyectado'!$F$28:$F$1048576,'Flujo Caja'!$E$26)</f>
        <v>0</v>
      </c>
      <c r="N26" s="228">
        <f>+SUMIFS('Ingreso Proyectado'!AN$28:AN$1048576,'Ingreso Proyectado'!$F$28:$F$1048576,'Flujo Caja'!$E$26)</f>
        <v>0</v>
      </c>
      <c r="O26" s="228">
        <f>+SUMIFS('Ingreso Proyectado'!AO$28:AO$1048576,'Ingreso Proyectado'!$F$28:$F$1048576,'Flujo Caja'!$E$26)</f>
        <v>0</v>
      </c>
      <c r="P26" s="229">
        <f>+SUMIFS('Ingreso Proyectado'!AP$28:AP$1048576,'Ingreso Proyectado'!$F$28:$F$1048576,'Flujo Caja'!$E$26)</f>
        <v>0</v>
      </c>
    </row>
    <row r="27" spans="4:16" x14ac:dyDescent="0.15">
      <c r="D27" s="249"/>
      <c r="E27" s="249"/>
      <c r="F27" s="236" t="s">
        <v>53</v>
      </c>
      <c r="G27" s="246">
        <f t="shared" si="0"/>
        <v>0</v>
      </c>
      <c r="H27" s="240">
        <f>+'Costos Proyectados por Unidad'!I45</f>
        <v>0</v>
      </c>
      <c r="I27" s="230">
        <f>+'Costos Proyectados por Unidad'!J45</f>
        <v>0</v>
      </c>
      <c r="J27" s="230">
        <f>+'Costos Proyectados por Unidad'!K45</f>
        <v>0</v>
      </c>
      <c r="K27" s="230">
        <f>+'Costos Proyectados por Unidad'!L45</f>
        <v>0</v>
      </c>
      <c r="L27" s="230">
        <f>+'Costos Proyectados por Unidad'!M45</f>
        <v>0</v>
      </c>
      <c r="M27" s="230">
        <f>+'Costos Proyectados por Unidad'!N45</f>
        <v>0</v>
      </c>
      <c r="N27" s="230">
        <f>+'Costos Proyectados por Unidad'!O45</f>
        <v>0</v>
      </c>
      <c r="O27" s="230">
        <f>+'Costos Proyectados por Unidad'!P45</f>
        <v>0</v>
      </c>
      <c r="P27" s="231">
        <f>+'Costos Proyectados por Unidad'!Q45</f>
        <v>0</v>
      </c>
    </row>
    <row r="28" spans="4:16" ht="11" thickBot="1" x14ac:dyDescent="0.2">
      <c r="D28" s="250"/>
      <c r="E28" s="250"/>
      <c r="F28" s="237" t="s">
        <v>49</v>
      </c>
      <c r="G28" s="247">
        <f t="shared" ref="G28" si="29">+SUM(H28:P28)</f>
        <v>0</v>
      </c>
      <c r="H28" s="241">
        <f>+H26-H27</f>
        <v>0</v>
      </c>
      <c r="I28" s="232">
        <f t="shared" ref="I28" si="30">+I26-I27</f>
        <v>0</v>
      </c>
      <c r="J28" s="232">
        <f t="shared" ref="J28" si="31">+J26-J27</f>
        <v>0</v>
      </c>
      <c r="K28" s="232">
        <f t="shared" ref="K28" si="32">+K26-K27</f>
        <v>0</v>
      </c>
      <c r="L28" s="232">
        <f t="shared" ref="L28" si="33">+L26-L27</f>
        <v>0</v>
      </c>
      <c r="M28" s="232">
        <f t="shared" ref="M28" si="34">+M26-M27</f>
        <v>0</v>
      </c>
      <c r="N28" s="232">
        <f t="shared" ref="N28" si="35">+N26-N27</f>
        <v>0</v>
      </c>
      <c r="O28" s="232">
        <f t="shared" ref="O28" si="36">+O26-O27</f>
        <v>0</v>
      </c>
      <c r="P28" s="233">
        <f t="shared" ref="P28" si="37">+P26-P27</f>
        <v>0</v>
      </c>
    </row>
    <row r="29" spans="4:16" x14ac:dyDescent="0.15">
      <c r="D29" s="251">
        <v>6</v>
      </c>
      <c r="E29" s="251" t="s">
        <v>32</v>
      </c>
      <c r="F29" s="253" t="s">
        <v>42</v>
      </c>
      <c r="G29" s="254">
        <f t="shared" ca="1" si="0"/>
        <v>6621050.4093112452</v>
      </c>
      <c r="H29" s="255">
        <f ca="1">+H26+H23+H20+H17+H14</f>
        <v>0</v>
      </c>
      <c r="I29" s="256">
        <f t="shared" ref="I29:P29" ca="1" si="38">+I26+I23+I20+I17+I14</f>
        <v>735701.05763847264</v>
      </c>
      <c r="J29" s="256">
        <f t="shared" ca="1" si="38"/>
        <v>945224.35318681318</v>
      </c>
      <c r="K29" s="256">
        <f t="shared" ca="1" si="38"/>
        <v>1002475.0698534797</v>
      </c>
      <c r="L29" s="256">
        <f t="shared" ca="1" si="38"/>
        <v>874898.8817582418</v>
      </c>
      <c r="M29" s="256">
        <f t="shared" ca="1" si="38"/>
        <v>924933.38969474973</v>
      </c>
      <c r="N29" s="256">
        <f t="shared" ca="1" si="38"/>
        <v>910715.4730280831</v>
      </c>
      <c r="O29" s="256">
        <f t="shared" ca="1" si="38"/>
        <v>661009.42540903541</v>
      </c>
      <c r="P29" s="257">
        <f t="shared" ca="1" si="38"/>
        <v>566092.75874236878</v>
      </c>
    </row>
    <row r="30" spans="4:16" x14ac:dyDescent="0.15">
      <c r="D30" s="251"/>
      <c r="E30" s="251"/>
      <c r="F30" s="253" t="s">
        <v>53</v>
      </c>
      <c r="G30" s="254">
        <f t="shared" si="0"/>
        <v>4913245.1075799949</v>
      </c>
      <c r="H30" s="258">
        <f t="shared" ref="H30:H31" si="39">+H27+H24+H21+H18+H15</f>
        <v>568090.87053919141</v>
      </c>
      <c r="I30" s="259">
        <f t="shared" ref="I30:P30" si="40">+I27+I24+I21+I18+I15</f>
        <v>529636.325084646</v>
      </c>
      <c r="J30" s="259">
        <f t="shared" si="40"/>
        <v>546372.68872100953</v>
      </c>
      <c r="K30" s="259">
        <f t="shared" si="40"/>
        <v>632463.59781191871</v>
      </c>
      <c r="L30" s="259">
        <f t="shared" si="40"/>
        <v>543363.59781191871</v>
      </c>
      <c r="M30" s="259">
        <f t="shared" si="40"/>
        <v>556499.96144828235</v>
      </c>
      <c r="N30" s="259">
        <f t="shared" si="40"/>
        <v>523045.41599373682</v>
      </c>
      <c r="O30" s="259">
        <f t="shared" si="40"/>
        <v>502181.77963010047</v>
      </c>
      <c r="P30" s="260">
        <f t="shared" si="40"/>
        <v>511590.87053919141</v>
      </c>
    </row>
    <row r="31" spans="4:16" ht="11" thickBot="1" x14ac:dyDescent="0.2">
      <c r="D31" s="252"/>
      <c r="E31" s="252"/>
      <c r="F31" s="237" t="s">
        <v>49</v>
      </c>
      <c r="G31" s="247">
        <f t="shared" ref="G31" ca="1" si="41">+SUM(H31:P31)</f>
        <v>1707805.3017312491</v>
      </c>
      <c r="H31" s="242">
        <f t="shared" ca="1" si="39"/>
        <v>-568090.87053919141</v>
      </c>
      <c r="I31" s="243">
        <f t="shared" ref="I31:P31" ca="1" si="42">+I28+I25+I22+I19+I16</f>
        <v>206064.73255382665</v>
      </c>
      <c r="J31" s="243">
        <f t="shared" ca="1" si="42"/>
        <v>398851.66446580359</v>
      </c>
      <c r="K31" s="243">
        <f t="shared" ca="1" si="42"/>
        <v>370011.47204156109</v>
      </c>
      <c r="L31" s="243">
        <f t="shared" ca="1" si="42"/>
        <v>331535.28394632309</v>
      </c>
      <c r="M31" s="243">
        <f t="shared" ca="1" si="42"/>
        <v>368433.42824646743</v>
      </c>
      <c r="N31" s="243">
        <f t="shared" ca="1" si="42"/>
        <v>387670.05703434628</v>
      </c>
      <c r="O31" s="243">
        <f t="shared" ca="1" si="42"/>
        <v>158827.64577893494</v>
      </c>
      <c r="P31" s="244">
        <f t="shared" ca="1" si="42"/>
        <v>54501.888203177368</v>
      </c>
    </row>
    <row r="32" spans="4:16" x14ac:dyDescent="0.15">
      <c r="D32" s="234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4475-507A-4BEC-B4AE-BAAB9B399DF5}">
  <sheetPr>
    <tabColor theme="5"/>
  </sheetPr>
  <dimension ref="A1:AP211"/>
  <sheetViews>
    <sheetView showGridLines="0" topLeftCell="O139" zoomScale="70" zoomScaleNormal="70" workbookViewId="0">
      <selection activeCell="D40" sqref="D40"/>
    </sheetView>
  </sheetViews>
  <sheetFormatPr baseColWidth="10" defaultColWidth="11.5" defaultRowHeight="11" outlineLevelCol="1" x14ac:dyDescent="0.2"/>
  <cols>
    <col min="1" max="2" width="11.5" style="110"/>
    <col min="3" max="3" width="11.83203125" style="110" customWidth="1"/>
    <col min="4" max="4" width="60.5" style="110" bestFit="1" customWidth="1"/>
    <col min="5" max="5" width="15" style="110" bestFit="1" customWidth="1"/>
    <col min="6" max="8" width="15" style="110" customWidth="1"/>
    <col min="9" max="10" width="15" style="190" customWidth="1"/>
    <col min="11" max="11" width="15" style="110" customWidth="1"/>
    <col min="12" max="20" width="11.5" style="110" bestFit="1"/>
    <col min="21" max="23" width="11.5" style="157" bestFit="1"/>
    <col min="24" max="24" width="11.5" style="110" bestFit="1"/>
    <col min="25" max="29" width="11.5" style="110" hidden="1" customWidth="1" outlineLevel="1"/>
    <col min="30" max="30" width="39.1640625" style="110" bestFit="1" customWidth="1" collapsed="1"/>
    <col min="31" max="31" width="39.1640625" style="110" customWidth="1"/>
    <col min="32" max="33" width="26.5" style="110" customWidth="1"/>
    <col min="34" max="34" width="19.83203125" style="110" bestFit="1" customWidth="1"/>
    <col min="35" max="41" width="11.5" style="110" bestFit="1"/>
    <col min="42" max="42" width="19.83203125" style="110" bestFit="1" customWidth="1"/>
    <col min="43" max="16384" width="11.5" style="110"/>
  </cols>
  <sheetData>
    <row r="1" spans="1:42" s="159" customFormat="1" x14ac:dyDescent="0.2">
      <c r="A1" s="158"/>
    </row>
    <row r="2" spans="1:42" s="161" customFormat="1" x14ac:dyDescent="0.2">
      <c r="A2" s="160"/>
    </row>
    <row r="3" spans="1:42" s="161" customFormat="1" x14ac:dyDescent="0.2">
      <c r="A3" s="160"/>
      <c r="D3" s="164" t="s">
        <v>0</v>
      </c>
    </row>
    <row r="4" spans="1:42" s="161" customFormat="1" x14ac:dyDescent="0.2">
      <c r="A4" s="160"/>
      <c r="D4" s="164">
        <v>2025</v>
      </c>
    </row>
    <row r="5" spans="1:42" s="161" customFormat="1" x14ac:dyDescent="0.2">
      <c r="A5" s="160"/>
      <c r="D5" s="167" t="s">
        <v>406</v>
      </c>
    </row>
    <row r="6" spans="1:42" s="161" customFormat="1" x14ac:dyDescent="0.2">
      <c r="A6" s="160"/>
    </row>
    <row r="7" spans="1:42" s="163" customFormat="1" ht="12" thickBot="1" x14ac:dyDescent="0.25">
      <c r="A7" s="162"/>
    </row>
    <row r="8" spans="1:42" x14ac:dyDescent="0.2">
      <c r="I8" s="110"/>
      <c r="J8" s="110"/>
      <c r="U8" s="110"/>
      <c r="V8" s="110"/>
      <c r="W8" s="110"/>
    </row>
    <row r="9" spans="1:42" s="165" customFormat="1" x14ac:dyDescent="0.2">
      <c r="B9" s="166" t="s">
        <v>407</v>
      </c>
    </row>
    <row r="10" spans="1:42" ht="12" thickBot="1" x14ac:dyDescent="0.25">
      <c r="B10" s="148"/>
      <c r="I10" s="110"/>
      <c r="J10" s="110"/>
      <c r="U10" s="110"/>
      <c r="V10" s="110"/>
      <c r="W10" s="110"/>
    </row>
    <row r="11" spans="1:42" ht="13" thickBot="1" x14ac:dyDescent="0.25">
      <c r="B11" s="148"/>
      <c r="I11" s="110"/>
      <c r="J11" s="110"/>
      <c r="U11" s="110"/>
      <c r="V11" s="110"/>
      <c r="W11" s="110"/>
      <c r="AF11" s="173" t="s">
        <v>414</v>
      </c>
      <c r="AG11" s="173" t="s">
        <v>409</v>
      </c>
      <c r="AH11" s="138">
        <v>45777</v>
      </c>
      <c r="AI11" s="138">
        <v>45807</v>
      </c>
      <c r="AJ11" s="138">
        <v>45838</v>
      </c>
      <c r="AK11" s="138">
        <v>45868</v>
      </c>
      <c r="AL11" s="138">
        <v>45899</v>
      </c>
      <c r="AM11" s="138">
        <v>45930</v>
      </c>
      <c r="AN11" s="138">
        <v>45960</v>
      </c>
      <c r="AO11" s="138">
        <v>45991</v>
      </c>
      <c r="AP11" s="139">
        <v>46021</v>
      </c>
    </row>
    <row r="12" spans="1:42" x14ac:dyDescent="0.2">
      <c r="B12" s="148"/>
      <c r="I12" s="110"/>
      <c r="J12" s="110"/>
      <c r="U12" s="110"/>
      <c r="V12" s="110"/>
      <c r="W12" s="110"/>
      <c r="AF12" s="174" t="s">
        <v>41</v>
      </c>
      <c r="AG12" s="178">
        <f t="shared" ref="AG12:AG17" ca="1" si="0">+SUM(AH12:XFD12)</f>
        <v>1399420.1989937839</v>
      </c>
      <c r="AH12" s="182">
        <f t="shared" ref="AH12:AP16" ca="1" si="1">+SUMIFS(AH$29:AH$55,$F$29:$F$55,$AF12)</f>
        <v>0</v>
      </c>
      <c r="AI12" s="182">
        <f t="shared" ca="1" si="1"/>
        <v>534524.84335275833</v>
      </c>
      <c r="AJ12" s="182">
        <f t="shared" ca="1" si="1"/>
        <v>452758.17461538466</v>
      </c>
      <c r="AK12" s="182">
        <f t="shared" ca="1" si="1"/>
        <v>294120.64128205122</v>
      </c>
      <c r="AL12" s="182">
        <f t="shared" ca="1" si="1"/>
        <v>76648.641282051278</v>
      </c>
      <c r="AM12" s="182">
        <f t="shared" ca="1" si="1"/>
        <v>10341.974615384615</v>
      </c>
      <c r="AN12" s="182">
        <f t="shared" ca="1" si="1"/>
        <v>10341.974615384615</v>
      </c>
      <c r="AO12" s="182">
        <f t="shared" ca="1" si="1"/>
        <v>10341.974615384615</v>
      </c>
      <c r="AP12" s="183">
        <f t="shared" ca="1" si="1"/>
        <v>10341.974615384615</v>
      </c>
    </row>
    <row r="13" spans="1:42" x14ac:dyDescent="0.2">
      <c r="B13" s="148"/>
      <c r="I13" s="110"/>
      <c r="J13" s="110"/>
      <c r="U13" s="110"/>
      <c r="V13" s="110"/>
      <c r="W13" s="110"/>
      <c r="AF13" s="175" t="s">
        <v>44</v>
      </c>
      <c r="AG13" s="179">
        <f t="shared" ca="1" si="0"/>
        <v>1871714.9285714286</v>
      </c>
      <c r="AH13" s="184">
        <f t="shared" ca="1" si="1"/>
        <v>0</v>
      </c>
      <c r="AI13" s="184">
        <f t="shared" ca="1" si="1"/>
        <v>42252.714285714283</v>
      </c>
      <c r="AJ13" s="184">
        <f t="shared" ca="1" si="1"/>
        <v>257132.84523809524</v>
      </c>
      <c r="AK13" s="184">
        <f t="shared" ca="1" si="1"/>
        <v>257132.84523809524</v>
      </c>
      <c r="AL13" s="184">
        <f t="shared" ca="1" si="1"/>
        <v>332625.09523809527</v>
      </c>
      <c r="AM13" s="184">
        <f t="shared" ca="1" si="1"/>
        <v>317785.71428571432</v>
      </c>
      <c r="AN13" s="184">
        <f t="shared" ca="1" si="1"/>
        <v>305785.71428571432</v>
      </c>
      <c r="AO13" s="184">
        <f t="shared" ca="1" si="1"/>
        <v>179500</v>
      </c>
      <c r="AP13" s="185">
        <f t="shared" ca="1" si="1"/>
        <v>179500</v>
      </c>
    </row>
    <row r="14" spans="1:42" x14ac:dyDescent="0.2">
      <c r="B14" s="148"/>
      <c r="I14" s="110"/>
      <c r="J14" s="110"/>
      <c r="U14" s="110"/>
      <c r="V14" s="110"/>
      <c r="W14" s="110"/>
      <c r="AF14" s="175" t="s">
        <v>45</v>
      </c>
      <c r="AG14" s="179">
        <f t="shared" ca="1" si="0"/>
        <v>505251.75</v>
      </c>
      <c r="AH14" s="184">
        <f t="shared" ca="1" si="1"/>
        <v>0</v>
      </c>
      <c r="AI14" s="184">
        <f t="shared" ca="1" si="1"/>
        <v>78666.666666666657</v>
      </c>
      <c r="AJ14" s="184">
        <f t="shared" ca="1" si="1"/>
        <v>78666.666666666657</v>
      </c>
      <c r="AK14" s="184">
        <f t="shared" ca="1" si="1"/>
        <v>149554.91666666666</v>
      </c>
      <c r="AL14" s="184">
        <f t="shared" ca="1" si="1"/>
        <v>97888.25</v>
      </c>
      <c r="AM14" s="184">
        <f t="shared" ca="1" si="1"/>
        <v>70888.25</v>
      </c>
      <c r="AN14" s="184">
        <f t="shared" ca="1" si="1"/>
        <v>29587</v>
      </c>
      <c r="AO14" s="184">
        <f t="shared" ca="1" si="1"/>
        <v>0</v>
      </c>
      <c r="AP14" s="185">
        <f t="shared" ca="1" si="1"/>
        <v>0</v>
      </c>
    </row>
    <row r="15" spans="1:42" x14ac:dyDescent="0.2">
      <c r="B15" s="148"/>
      <c r="I15" s="110"/>
      <c r="J15" s="110"/>
      <c r="U15" s="110"/>
      <c r="V15" s="110"/>
      <c r="W15" s="110"/>
      <c r="AF15" s="175" t="s">
        <v>46</v>
      </c>
      <c r="AG15" s="179">
        <f t="shared" ca="1" si="0"/>
        <v>430256.83333333326</v>
      </c>
      <c r="AH15" s="184">
        <f t="shared" ca="1" si="1"/>
        <v>0</v>
      </c>
      <c r="AI15" s="184">
        <f t="shared" ca="1" si="1"/>
        <v>80256.833333333328</v>
      </c>
      <c r="AJ15" s="184">
        <f t="shared" ca="1" si="1"/>
        <v>116666.66666666666</v>
      </c>
      <c r="AK15" s="184">
        <f t="shared" ca="1" si="1"/>
        <v>116666.66666666666</v>
      </c>
      <c r="AL15" s="184">
        <f t="shared" ca="1" si="1"/>
        <v>116666.66666666666</v>
      </c>
      <c r="AM15" s="184">
        <f t="shared" ca="1" si="1"/>
        <v>0</v>
      </c>
      <c r="AN15" s="184">
        <f t="shared" ca="1" si="1"/>
        <v>0</v>
      </c>
      <c r="AO15" s="184">
        <f t="shared" ca="1" si="1"/>
        <v>0</v>
      </c>
      <c r="AP15" s="185">
        <f t="shared" ca="1" si="1"/>
        <v>0</v>
      </c>
    </row>
    <row r="16" spans="1:42" ht="12" thickBot="1" x14ac:dyDescent="0.25">
      <c r="B16" s="148"/>
      <c r="I16" s="110"/>
      <c r="J16" s="110"/>
      <c r="U16" s="110"/>
      <c r="V16" s="110"/>
      <c r="W16" s="110"/>
      <c r="AF16" s="176" t="s">
        <v>47</v>
      </c>
      <c r="AG16" s="180">
        <f t="shared" si="0"/>
        <v>0</v>
      </c>
      <c r="AH16" s="186">
        <f t="shared" si="1"/>
        <v>0</v>
      </c>
      <c r="AI16" s="186">
        <f t="shared" si="1"/>
        <v>0</v>
      </c>
      <c r="AJ16" s="186">
        <f t="shared" si="1"/>
        <v>0</v>
      </c>
      <c r="AK16" s="186">
        <f t="shared" si="1"/>
        <v>0</v>
      </c>
      <c r="AL16" s="186">
        <f t="shared" si="1"/>
        <v>0</v>
      </c>
      <c r="AM16" s="186">
        <f t="shared" si="1"/>
        <v>0</v>
      </c>
      <c r="AN16" s="186">
        <f t="shared" si="1"/>
        <v>0</v>
      </c>
      <c r="AO16" s="186">
        <f t="shared" si="1"/>
        <v>0</v>
      </c>
      <c r="AP16" s="187">
        <f t="shared" si="1"/>
        <v>0</v>
      </c>
    </row>
    <row r="17" spans="2:42" ht="12" thickBot="1" x14ac:dyDescent="0.25">
      <c r="B17" s="148"/>
      <c r="I17" s="110"/>
      <c r="J17" s="110"/>
      <c r="U17" s="110"/>
      <c r="V17" s="110"/>
      <c r="W17" s="110"/>
      <c r="AF17" s="177" t="s">
        <v>32</v>
      </c>
      <c r="AG17" s="181">
        <f t="shared" ca="1" si="0"/>
        <v>4206643.7108985465</v>
      </c>
      <c r="AH17" s="186">
        <f t="shared" ref="AH17:AP17" ca="1" si="2">+SUM(AH12:AH16)</f>
        <v>0</v>
      </c>
      <c r="AI17" s="186">
        <f t="shared" ca="1" si="2"/>
        <v>735701.05763847264</v>
      </c>
      <c r="AJ17" s="186">
        <f t="shared" ca="1" si="2"/>
        <v>905224.35318681318</v>
      </c>
      <c r="AK17" s="186">
        <f t="shared" ca="1" si="2"/>
        <v>817475.06985347974</v>
      </c>
      <c r="AL17" s="186">
        <f t="shared" ca="1" si="2"/>
        <v>623828.65318681323</v>
      </c>
      <c r="AM17" s="186">
        <f t="shared" ca="1" si="2"/>
        <v>399015.93890109891</v>
      </c>
      <c r="AN17" s="186">
        <f t="shared" ca="1" si="2"/>
        <v>345714.68890109891</v>
      </c>
      <c r="AO17" s="186">
        <f t="shared" ca="1" si="2"/>
        <v>189841.97461538462</v>
      </c>
      <c r="AP17" s="187">
        <f t="shared" ca="1" si="2"/>
        <v>189841.97461538462</v>
      </c>
    </row>
    <row r="18" spans="2:42" ht="12" thickBot="1" x14ac:dyDescent="0.25">
      <c r="B18" s="148"/>
      <c r="I18" s="110"/>
      <c r="J18" s="110"/>
      <c r="U18" s="110"/>
      <c r="V18" s="110"/>
      <c r="W18" s="110"/>
    </row>
    <row r="19" spans="2:42" ht="13" thickBot="1" x14ac:dyDescent="0.25">
      <c r="B19" s="148"/>
      <c r="I19" s="110"/>
      <c r="J19" s="110"/>
      <c r="U19" s="110"/>
      <c r="V19" s="110"/>
      <c r="W19" s="110"/>
      <c r="AF19" s="173" t="s">
        <v>415</v>
      </c>
      <c r="AG19" s="173" t="s">
        <v>409</v>
      </c>
      <c r="AH19" s="138">
        <v>45777</v>
      </c>
      <c r="AI19" s="138">
        <v>45807</v>
      </c>
      <c r="AJ19" s="138">
        <v>45838</v>
      </c>
      <c r="AK19" s="138">
        <v>45868</v>
      </c>
      <c r="AL19" s="138">
        <v>45899</v>
      </c>
      <c r="AM19" s="138">
        <v>45930</v>
      </c>
      <c r="AN19" s="138">
        <v>45960</v>
      </c>
      <c r="AO19" s="138">
        <v>45991</v>
      </c>
      <c r="AP19" s="139">
        <v>46021</v>
      </c>
    </row>
    <row r="20" spans="2:42" x14ac:dyDescent="0.2">
      <c r="B20" s="148"/>
      <c r="I20" s="110"/>
      <c r="J20" s="110"/>
      <c r="U20" s="110"/>
      <c r="V20" s="110"/>
      <c r="W20" s="110"/>
      <c r="AF20" s="174" t="s">
        <v>41</v>
      </c>
      <c r="AG20" s="178" t="e">
        <f t="shared" ref="AG20:AG25" ca="1" si="3">+SUM(AH20:XFD20)</f>
        <v>#REF!</v>
      </c>
      <c r="AH20" s="191" t="e" cm="1">
        <f t="array" aca="1" ref="AH20" ca="1">+SUMPRODUCT(($G$29:$G$99999=$AF20)*$I$29:$I$99999*AH$29:AH$99999)+SUMPRODUCT(($H$29:$H$99999=$AF20)*$J$29:$J$99999*AH$29:AH$99999)</f>
        <v>#REF!</v>
      </c>
      <c r="AI20" s="191" t="e" cm="1">
        <f t="array" aca="1" ref="AI20" ca="1">+SUMPRODUCT(($G$29:$G$99999=$AF20)*$I$29:$I$99999*AI$29:AI$99999)+SUMPRODUCT(($H$29:$H$99999=$AF20)*$J$29:$J$99999*AI$29:AI$99999)</f>
        <v>#REF!</v>
      </c>
      <c r="AJ20" s="191" t="e" cm="1">
        <f t="array" aca="1" ref="AJ20" ca="1">+SUMPRODUCT(($G$29:$G$99999=$AF20)*$I$29:$I$99999*AJ$29:AJ$99999)+SUMPRODUCT(($H$29:$H$99999=$AF20)*$J$29:$J$99999*AJ$29:AJ$99999)</f>
        <v>#REF!</v>
      </c>
      <c r="AK20" s="191" t="e" cm="1">
        <f t="array" aca="1" ref="AK20" ca="1">+SUMPRODUCT(($G$29:$G$99999=$AF20)*$I$29:$I$99999*AK$29:AK$99999)+SUMPRODUCT(($H$29:$H$99999=$AF20)*$J$29:$J$99999*AK$29:AK$99999)</f>
        <v>#REF!</v>
      </c>
      <c r="AL20" s="191" t="e" cm="1">
        <f t="array" aca="1" ref="AL20" ca="1">+SUMPRODUCT(($G$29:$G$99999=$AF20)*$I$29:$I$99999*AL$29:AL$99999)+SUMPRODUCT(($H$29:$H$99999=$AF20)*$J$29:$J$99999*AL$29:AL$99999)</f>
        <v>#REF!</v>
      </c>
      <c r="AM20" s="191" t="e" cm="1">
        <f t="array" aca="1" ref="AM20" ca="1">+SUMPRODUCT(($G$29:$G$99999=$AF20)*$I$29:$I$99999*AM$29:AM$99999)+SUMPRODUCT(($H$29:$H$99999=$AF20)*$J$29:$J$99999*AM$29:AM$99999)</f>
        <v>#REF!</v>
      </c>
      <c r="AN20" s="191" t="e" cm="1">
        <f t="array" aca="1" ref="AN20" ca="1">+SUMPRODUCT(($G$29:$G$99999=$AF20)*$I$29:$I$99999*AN$29:AN$99999)+SUMPRODUCT(($H$29:$H$99999=$AF20)*$J$29:$J$99999*AN$29:AN$99999)</f>
        <v>#REF!</v>
      </c>
      <c r="AO20" s="191" t="e" cm="1">
        <f t="array" aca="1" ref="AO20" ca="1">+SUMPRODUCT(($G$29:$G$99999=$AF20)*$I$29:$I$99999*AO$29:AO$99999)+SUMPRODUCT(($H$29:$H$99999=$AF20)*$J$29:$J$99999*AO$29:AO$99999)</f>
        <v>#REF!</v>
      </c>
      <c r="AP20" s="192" t="e" cm="1">
        <f t="array" aca="1" ref="AP20" ca="1">+SUMPRODUCT(($G$29:$G$99999=$AF20)*$I$29:$I$99999*AP$29:AP$99999)+SUMPRODUCT(($H$29:$H$99999=$AF20)*$J$29:$J$99999*AP$29:AP$99999)</f>
        <v>#REF!</v>
      </c>
    </row>
    <row r="21" spans="2:42" x14ac:dyDescent="0.2">
      <c r="B21" s="148"/>
      <c r="I21" s="110"/>
      <c r="J21" s="110"/>
      <c r="U21" s="110"/>
      <c r="V21" s="110"/>
      <c r="W21" s="110"/>
      <c r="AF21" s="175" t="s">
        <v>44</v>
      </c>
      <c r="AG21" s="179" t="e">
        <f t="shared" ca="1" si="3"/>
        <v>#REF!</v>
      </c>
      <c r="AH21" s="193" t="e" cm="1">
        <f t="array" aca="1" ref="AH21" ca="1">+SUMPRODUCT(($G$29:$G$99999=$AF21)*$I$29:$I$99999*AH$29:AH$99999)+SUMPRODUCT(($H$29:$H$99999=$AF21)*$J$29:$J$99999*AH$29:AH$99999)</f>
        <v>#REF!</v>
      </c>
      <c r="AI21" s="193" t="e" cm="1">
        <f t="array" aca="1" ref="AI21" ca="1">+SUMPRODUCT(($G$29:$G$99999=$AF21)*$I$29:$I$99999*AI$29:AI$99999)+SUMPRODUCT(($H$29:$H$99999=$AF21)*$J$29:$J$99999*AI$29:AI$99999)</f>
        <v>#REF!</v>
      </c>
      <c r="AJ21" s="193" t="e" cm="1">
        <f t="array" aca="1" ref="AJ21" ca="1">+SUMPRODUCT(($G$29:$G$99999=$AF21)*$I$29:$I$99999*AJ$29:AJ$99999)+SUMPRODUCT(($H$29:$H$99999=$AF21)*$J$29:$J$99999*AJ$29:AJ$99999)</f>
        <v>#REF!</v>
      </c>
      <c r="AK21" s="193" t="e" cm="1">
        <f t="array" aca="1" ref="AK21" ca="1">+SUMPRODUCT(($G$29:$G$99999=$AF21)*$I$29:$I$99999*AK$29:AK$99999)+SUMPRODUCT(($H$29:$H$99999=$AF21)*$J$29:$J$99999*AK$29:AK$99999)</f>
        <v>#REF!</v>
      </c>
      <c r="AL21" s="193" t="e" cm="1">
        <f t="array" aca="1" ref="AL21" ca="1">+SUMPRODUCT(($G$29:$G$99999=$AF21)*$I$29:$I$99999*AL$29:AL$99999)+SUMPRODUCT(($H$29:$H$99999=$AF21)*$J$29:$J$99999*AL$29:AL$99999)</f>
        <v>#REF!</v>
      </c>
      <c r="AM21" s="193" t="e" cm="1">
        <f t="array" aca="1" ref="AM21" ca="1">+SUMPRODUCT(($G$29:$G$99999=$AF21)*$I$29:$I$99999*AM$29:AM$99999)+SUMPRODUCT(($H$29:$H$99999=$AF21)*$J$29:$J$99999*AM$29:AM$99999)</f>
        <v>#REF!</v>
      </c>
      <c r="AN21" s="193" t="e" cm="1">
        <f t="array" aca="1" ref="AN21" ca="1">+SUMPRODUCT(($G$29:$G$99999=$AF21)*$I$29:$I$99999*AN$29:AN$99999)+SUMPRODUCT(($H$29:$H$99999=$AF21)*$J$29:$J$99999*AN$29:AN$99999)</f>
        <v>#REF!</v>
      </c>
      <c r="AO21" s="193" t="e" cm="1">
        <f t="array" aca="1" ref="AO21" ca="1">+SUMPRODUCT(($G$29:$G$99999=$AF21)*$I$29:$I$99999*AO$29:AO$99999)+SUMPRODUCT(($H$29:$H$99999=$AF21)*$J$29:$J$99999*AO$29:AO$99999)</f>
        <v>#REF!</v>
      </c>
      <c r="AP21" s="194" t="e" cm="1">
        <f t="array" aca="1" ref="AP21" ca="1">+SUMPRODUCT(($G$29:$G$99999=$AF21)*$I$29:$I$99999*AP$29:AP$99999)+SUMPRODUCT(($H$29:$H$99999=$AF21)*$J$29:$J$99999*AP$29:AP$99999)</f>
        <v>#REF!</v>
      </c>
    </row>
    <row r="22" spans="2:42" x14ac:dyDescent="0.2">
      <c r="B22" s="148"/>
      <c r="I22" s="110"/>
      <c r="J22" s="110"/>
      <c r="U22" s="110"/>
      <c r="V22" s="110"/>
      <c r="W22" s="110"/>
      <c r="AF22" s="175" t="s">
        <v>45</v>
      </c>
      <c r="AG22" s="179" t="e">
        <f t="shared" ca="1" si="3"/>
        <v>#REF!</v>
      </c>
      <c r="AH22" s="193" t="e" cm="1">
        <f t="array" aca="1" ref="AH22" ca="1">+SUMPRODUCT(($G$29:$G$99999=$AF22)*$I$29:$I$99999*AH$29:AH$99999)+SUMPRODUCT(($H$29:$H$99999=$AF22)*$J$29:$J$99999*AH$29:AH$99999)</f>
        <v>#REF!</v>
      </c>
      <c r="AI22" s="193" t="e" cm="1">
        <f t="array" aca="1" ref="AI22" ca="1">+SUMPRODUCT(($G$29:$G$99999=$AF22)*$I$29:$I$99999*AI$29:AI$99999)+SUMPRODUCT(($H$29:$H$99999=$AF22)*$J$29:$J$99999*AI$29:AI$99999)</f>
        <v>#REF!</v>
      </c>
      <c r="AJ22" s="193" t="e" cm="1">
        <f t="array" aca="1" ref="AJ22" ca="1">+SUMPRODUCT(($G$29:$G$99999=$AF22)*$I$29:$I$99999*AJ$29:AJ$99999)+SUMPRODUCT(($H$29:$H$99999=$AF22)*$J$29:$J$99999*AJ$29:AJ$99999)</f>
        <v>#REF!</v>
      </c>
      <c r="AK22" s="193" t="e" cm="1">
        <f t="array" aca="1" ref="AK22" ca="1">+SUMPRODUCT(($G$29:$G$99999=$AF22)*$I$29:$I$99999*AK$29:AK$99999)+SUMPRODUCT(($H$29:$H$99999=$AF22)*$J$29:$J$99999*AK$29:AK$99999)</f>
        <v>#REF!</v>
      </c>
      <c r="AL22" s="193" t="e" cm="1">
        <f t="array" aca="1" ref="AL22" ca="1">+SUMPRODUCT(($G$29:$G$99999=$AF22)*$I$29:$I$99999*AL$29:AL$99999)+SUMPRODUCT(($H$29:$H$99999=$AF22)*$J$29:$J$99999*AL$29:AL$99999)</f>
        <v>#REF!</v>
      </c>
      <c r="AM22" s="193" t="e" cm="1">
        <f t="array" aca="1" ref="AM22" ca="1">+SUMPRODUCT(($G$29:$G$99999=$AF22)*$I$29:$I$99999*AM$29:AM$99999)+SUMPRODUCT(($H$29:$H$99999=$AF22)*$J$29:$J$99999*AM$29:AM$99999)</f>
        <v>#REF!</v>
      </c>
      <c r="AN22" s="193" t="e" cm="1">
        <f t="array" aca="1" ref="AN22" ca="1">+SUMPRODUCT(($G$29:$G$99999=$AF22)*$I$29:$I$99999*AN$29:AN$99999)+SUMPRODUCT(($H$29:$H$99999=$AF22)*$J$29:$J$99999*AN$29:AN$99999)</f>
        <v>#REF!</v>
      </c>
      <c r="AO22" s="193" t="e" cm="1">
        <f t="array" aca="1" ref="AO22" ca="1">+SUMPRODUCT(($G$29:$G$99999=$AF22)*$I$29:$I$99999*AO$29:AO$99999)+SUMPRODUCT(($H$29:$H$99999=$AF22)*$J$29:$J$99999*AO$29:AO$99999)</f>
        <v>#REF!</v>
      </c>
      <c r="AP22" s="194" t="e" cm="1">
        <f t="array" aca="1" ref="AP22" ca="1">+SUMPRODUCT(($G$29:$G$99999=$AF22)*$I$29:$I$99999*AP$29:AP$99999)+SUMPRODUCT(($H$29:$H$99999=$AF22)*$J$29:$J$99999*AP$29:AP$99999)</f>
        <v>#REF!</v>
      </c>
    </row>
    <row r="23" spans="2:42" x14ac:dyDescent="0.2">
      <c r="B23" s="148"/>
      <c r="I23" s="110"/>
      <c r="J23" s="110"/>
      <c r="U23" s="110"/>
      <c r="V23" s="110"/>
      <c r="W23" s="110"/>
      <c r="AF23" s="175" t="s">
        <v>46</v>
      </c>
      <c r="AG23" s="179" t="e">
        <f t="shared" ca="1" si="3"/>
        <v>#REF!</v>
      </c>
      <c r="AH23" s="193" t="e" cm="1">
        <f t="array" aca="1" ref="AH23" ca="1">+SUMPRODUCT(($G$29:$G$99999=$AF23)*$I$29:$I$99999*AH$29:AH$99999)+SUMPRODUCT(($H$29:$H$99999=$AF23)*$J$29:$J$99999*AH$29:AH$99999)</f>
        <v>#REF!</v>
      </c>
      <c r="AI23" s="193" t="e" cm="1">
        <f t="array" aca="1" ref="AI23" ca="1">+SUMPRODUCT(($G$29:$G$99999=$AF23)*$I$29:$I$99999*AI$29:AI$99999)+SUMPRODUCT(($H$29:$H$99999=$AF23)*$J$29:$J$99999*AI$29:AI$99999)</f>
        <v>#REF!</v>
      </c>
      <c r="AJ23" s="193" t="e" cm="1">
        <f t="array" aca="1" ref="AJ23" ca="1">+SUMPRODUCT(($G$29:$G$99999=$AF23)*$I$29:$I$99999*AJ$29:AJ$99999)+SUMPRODUCT(($H$29:$H$99999=$AF23)*$J$29:$J$99999*AJ$29:AJ$99999)</f>
        <v>#REF!</v>
      </c>
      <c r="AK23" s="193" t="e" cm="1">
        <f t="array" aca="1" ref="AK23" ca="1">+SUMPRODUCT(($G$29:$G$99999=$AF23)*$I$29:$I$99999*AK$29:AK$99999)+SUMPRODUCT(($H$29:$H$99999=$AF23)*$J$29:$J$99999*AK$29:AK$99999)</f>
        <v>#REF!</v>
      </c>
      <c r="AL23" s="193" t="e" cm="1">
        <f t="array" aca="1" ref="AL23" ca="1">+SUMPRODUCT(($G$29:$G$99999=$AF23)*$I$29:$I$99999*AL$29:AL$99999)+SUMPRODUCT(($H$29:$H$99999=$AF23)*$J$29:$J$99999*AL$29:AL$99999)</f>
        <v>#REF!</v>
      </c>
      <c r="AM23" s="193" t="e" cm="1">
        <f t="array" aca="1" ref="AM23" ca="1">+SUMPRODUCT(($G$29:$G$99999=$AF23)*$I$29:$I$99999*AM$29:AM$99999)+SUMPRODUCT(($H$29:$H$99999=$AF23)*$J$29:$J$99999*AM$29:AM$99999)</f>
        <v>#REF!</v>
      </c>
      <c r="AN23" s="193" t="e" cm="1">
        <f t="array" aca="1" ref="AN23" ca="1">+SUMPRODUCT(($G$29:$G$99999=$AF23)*$I$29:$I$99999*AN$29:AN$99999)+SUMPRODUCT(($H$29:$H$99999=$AF23)*$J$29:$J$99999*AN$29:AN$99999)</f>
        <v>#REF!</v>
      </c>
      <c r="AO23" s="193" t="e" cm="1">
        <f t="array" aca="1" ref="AO23" ca="1">+SUMPRODUCT(($G$29:$G$99999=$AF23)*$I$29:$I$99999*AO$29:AO$99999)+SUMPRODUCT(($H$29:$H$99999=$AF23)*$J$29:$J$99999*AO$29:AO$99999)</f>
        <v>#REF!</v>
      </c>
      <c r="AP23" s="194" t="e" cm="1">
        <f t="array" aca="1" ref="AP23" ca="1">+SUMPRODUCT(($G$29:$G$99999=$AF23)*$I$29:$I$99999*AP$29:AP$99999)+SUMPRODUCT(($H$29:$H$99999=$AF23)*$J$29:$J$99999*AP$29:AP$99999)</f>
        <v>#REF!</v>
      </c>
    </row>
    <row r="24" spans="2:42" ht="12" thickBot="1" x14ac:dyDescent="0.25">
      <c r="B24" s="148"/>
      <c r="I24" s="110"/>
      <c r="J24" s="110"/>
      <c r="U24" s="110"/>
      <c r="V24" s="110"/>
      <c r="W24" s="110"/>
      <c r="AF24" s="176" t="s">
        <v>47</v>
      </c>
      <c r="AG24" s="180" t="e">
        <f t="shared" ca="1" si="3"/>
        <v>#REF!</v>
      </c>
      <c r="AH24" s="195" t="e" cm="1">
        <f t="array" aca="1" ref="AH24" ca="1">+SUMPRODUCT(($G$29:$G$99999=$AF24)*$I$29:$I$99999*AH$29:AH$99999)+SUMPRODUCT(($H$29:$H$99999=$AF24)*$J$29:$J$99999*AH$29:AH$99999)</f>
        <v>#REF!</v>
      </c>
      <c r="AI24" s="195" t="e" cm="1">
        <f t="array" aca="1" ref="AI24" ca="1">+SUMPRODUCT(($G$29:$G$99999=$AF24)*$I$29:$I$99999*AI$29:AI$99999)+SUMPRODUCT(($H$29:$H$99999=$AF24)*$J$29:$J$99999*AI$29:AI$99999)</f>
        <v>#REF!</v>
      </c>
      <c r="AJ24" s="195" t="e" cm="1">
        <f t="array" aca="1" ref="AJ24" ca="1">+SUMPRODUCT(($G$29:$G$99999=$AF24)*$I$29:$I$99999*AJ$29:AJ$99999)+SUMPRODUCT(($H$29:$H$99999=$AF24)*$J$29:$J$99999*AJ$29:AJ$99999)</f>
        <v>#REF!</v>
      </c>
      <c r="AK24" s="195" t="e" cm="1">
        <f t="array" aca="1" ref="AK24" ca="1">+SUMPRODUCT(($G$29:$G$99999=$AF24)*$I$29:$I$99999*AK$29:AK$99999)+SUMPRODUCT(($H$29:$H$99999=$AF24)*$J$29:$J$99999*AK$29:AK$99999)</f>
        <v>#REF!</v>
      </c>
      <c r="AL24" s="195" t="e" cm="1">
        <f t="array" aca="1" ref="AL24" ca="1">+SUMPRODUCT(($G$29:$G$99999=$AF24)*$I$29:$I$99999*AL$29:AL$99999)+SUMPRODUCT(($H$29:$H$99999=$AF24)*$J$29:$J$99999*AL$29:AL$99999)</f>
        <v>#REF!</v>
      </c>
      <c r="AM24" s="195" t="e" cm="1">
        <f t="array" aca="1" ref="AM24" ca="1">+SUMPRODUCT(($G$29:$G$99999=$AF24)*$I$29:$I$99999*AM$29:AM$99999)+SUMPRODUCT(($H$29:$H$99999=$AF24)*$J$29:$J$99999*AM$29:AM$99999)</f>
        <v>#REF!</v>
      </c>
      <c r="AN24" s="195" t="e" cm="1">
        <f t="array" aca="1" ref="AN24" ca="1">+SUMPRODUCT(($G$29:$G$99999=$AF24)*$I$29:$I$99999*AN$29:AN$99999)+SUMPRODUCT(($H$29:$H$99999=$AF24)*$J$29:$J$99999*AN$29:AN$99999)</f>
        <v>#REF!</v>
      </c>
      <c r="AO24" s="195" t="e" cm="1">
        <f t="array" aca="1" ref="AO24" ca="1">+SUMPRODUCT(($G$29:$G$99999=$AF24)*$I$29:$I$99999*AO$29:AO$99999)+SUMPRODUCT(($H$29:$H$99999=$AF24)*$J$29:$J$99999*AO$29:AO$99999)</f>
        <v>#REF!</v>
      </c>
      <c r="AP24" s="196" t="e" cm="1">
        <f t="array" aca="1" ref="AP24" ca="1">+SUMPRODUCT(($G$29:$G$99999=$AF24)*$I$29:$I$99999*AP$29:AP$99999)+SUMPRODUCT(($H$29:$H$99999=$AF24)*$J$29:$J$99999*AP$29:AP$99999)</f>
        <v>#REF!</v>
      </c>
    </row>
    <row r="25" spans="2:42" ht="12" thickBot="1" x14ac:dyDescent="0.25">
      <c r="B25" s="148"/>
      <c r="I25" s="110"/>
      <c r="J25" s="110"/>
      <c r="U25" s="110"/>
      <c r="V25" s="110"/>
      <c r="W25" s="110"/>
      <c r="AF25" s="177" t="s">
        <v>32</v>
      </c>
      <c r="AG25" s="181" t="e">
        <f t="shared" ca="1" si="3"/>
        <v>#REF!</v>
      </c>
      <c r="AH25" s="186" t="e">
        <f t="shared" ref="AH25:AP25" ca="1" si="4">+SUM(AH20:AH24)</f>
        <v>#REF!</v>
      </c>
      <c r="AI25" s="186" t="e">
        <f t="shared" ca="1" si="4"/>
        <v>#REF!</v>
      </c>
      <c r="AJ25" s="186" t="e">
        <f t="shared" ca="1" si="4"/>
        <v>#REF!</v>
      </c>
      <c r="AK25" s="186" t="e">
        <f t="shared" ca="1" si="4"/>
        <v>#REF!</v>
      </c>
      <c r="AL25" s="186" t="e">
        <f t="shared" ca="1" si="4"/>
        <v>#REF!</v>
      </c>
      <c r="AM25" s="186" t="e">
        <f t="shared" ca="1" si="4"/>
        <v>#REF!</v>
      </c>
      <c r="AN25" s="186" t="e">
        <f t="shared" ca="1" si="4"/>
        <v>#REF!</v>
      </c>
      <c r="AO25" s="186" t="e">
        <f t="shared" ca="1" si="4"/>
        <v>#REF!</v>
      </c>
      <c r="AP25" s="187" t="e">
        <f t="shared" ca="1" si="4"/>
        <v>#REF!</v>
      </c>
    </row>
    <row r="26" spans="2:42" ht="12" thickBot="1" x14ac:dyDescent="0.25">
      <c r="B26" s="148"/>
      <c r="I26" s="110"/>
      <c r="J26" s="110"/>
      <c r="U26" s="110"/>
      <c r="V26" s="110"/>
      <c r="W26" s="110"/>
    </row>
    <row r="27" spans="2:42" ht="12" thickBot="1" x14ac:dyDescent="0.25">
      <c r="I27" s="671" t="s">
        <v>411</v>
      </c>
      <c r="J27" s="672"/>
      <c r="U27" s="110"/>
      <c r="V27" s="110"/>
      <c r="W27" s="110"/>
      <c r="AH27" s="184">
        <f t="shared" ref="AH27:AP27" ca="1" si="5">+SUM(AH29:AH55)</f>
        <v>0</v>
      </c>
      <c r="AI27" s="184">
        <f t="shared" ca="1" si="5"/>
        <v>735701.05763847253</v>
      </c>
      <c r="AJ27" s="184">
        <f t="shared" ca="1" si="5"/>
        <v>905224.35318681318</v>
      </c>
      <c r="AK27" s="184">
        <f t="shared" ca="1" si="5"/>
        <v>817475.06985347974</v>
      </c>
      <c r="AL27" s="184">
        <f t="shared" ca="1" si="5"/>
        <v>623828.65318681311</v>
      </c>
      <c r="AM27" s="184">
        <f t="shared" ca="1" si="5"/>
        <v>399015.93890109891</v>
      </c>
      <c r="AN27" s="184">
        <f t="shared" ca="1" si="5"/>
        <v>345714.68890109891</v>
      </c>
      <c r="AO27" s="184">
        <f t="shared" ca="1" si="5"/>
        <v>189841.97461538462</v>
      </c>
      <c r="AP27" s="184">
        <f t="shared" ca="1" si="5"/>
        <v>189841.97461538462</v>
      </c>
    </row>
    <row r="28" spans="2:42" ht="37" thickBot="1" x14ac:dyDescent="0.25">
      <c r="C28" s="111" t="s">
        <v>269</v>
      </c>
      <c r="D28" s="112" t="s">
        <v>15</v>
      </c>
      <c r="E28" s="112" t="s">
        <v>16</v>
      </c>
      <c r="F28" s="112" t="s">
        <v>17</v>
      </c>
      <c r="G28" s="149" t="s">
        <v>270</v>
      </c>
      <c r="H28" s="149" t="s">
        <v>271</v>
      </c>
      <c r="I28" s="188" t="s">
        <v>270</v>
      </c>
      <c r="J28" s="188" t="s">
        <v>271</v>
      </c>
      <c r="K28" s="112" t="s">
        <v>272</v>
      </c>
      <c r="L28" s="112" t="s">
        <v>273</v>
      </c>
      <c r="M28" s="112" t="s">
        <v>274</v>
      </c>
      <c r="N28" s="112" t="s">
        <v>275</v>
      </c>
      <c r="O28" s="112" t="s">
        <v>412</v>
      </c>
      <c r="P28" s="112" t="s">
        <v>277</v>
      </c>
      <c r="Q28" s="112" t="s">
        <v>278</v>
      </c>
      <c r="R28" s="112" t="s">
        <v>279</v>
      </c>
      <c r="S28" s="149" t="s">
        <v>68</v>
      </c>
      <c r="T28" s="149" t="s">
        <v>281</v>
      </c>
      <c r="U28" s="149" t="s">
        <v>282</v>
      </c>
      <c r="V28" s="149" t="s">
        <v>283</v>
      </c>
      <c r="W28" s="200" t="s">
        <v>284</v>
      </c>
      <c r="X28" s="112" t="s">
        <v>285</v>
      </c>
      <c r="Y28" s="112" t="s">
        <v>25</v>
      </c>
      <c r="Z28" s="112" t="s">
        <v>26</v>
      </c>
      <c r="AA28" s="112" t="s">
        <v>27</v>
      </c>
      <c r="AB28" s="112" t="s">
        <v>28</v>
      </c>
      <c r="AC28" s="112" t="s">
        <v>29</v>
      </c>
      <c r="AD28" s="112" t="s">
        <v>18</v>
      </c>
      <c r="AE28" s="113" t="s">
        <v>19</v>
      </c>
      <c r="AF28" s="113" t="s">
        <v>64</v>
      </c>
      <c r="AG28" s="171" t="s">
        <v>413</v>
      </c>
      <c r="AH28" s="137">
        <v>45777</v>
      </c>
      <c r="AI28" s="138">
        <v>45807</v>
      </c>
      <c r="AJ28" s="138">
        <v>45838</v>
      </c>
      <c r="AK28" s="138">
        <v>45868</v>
      </c>
      <c r="AL28" s="138">
        <v>45899</v>
      </c>
      <c r="AM28" s="138">
        <v>45930</v>
      </c>
      <c r="AN28" s="138">
        <v>45960</v>
      </c>
      <c r="AO28" s="138">
        <v>45991</v>
      </c>
      <c r="AP28" s="139">
        <v>46021</v>
      </c>
    </row>
    <row r="29" spans="2:42" x14ac:dyDescent="0.2">
      <c r="C29" s="117">
        <f>+'Gantt Proyectos'!C97</f>
        <v>1</v>
      </c>
      <c r="D29" s="140" t="str">
        <f>+'Gantt Proyectos'!D97</f>
        <v>CMP: Estrategia Minera para MLC Brownfield</v>
      </c>
      <c r="E29" s="118" t="str">
        <f>+'Gantt Proyectos'!E97</f>
        <v>CMP</v>
      </c>
      <c r="F29" s="146" t="str">
        <f>+'Gantt Proyectos'!F97</f>
        <v>Chile</v>
      </c>
      <c r="G29" s="118" t="str">
        <f>+'Gantt Proyectos'!G97</f>
        <v>Chile</v>
      </c>
      <c r="H29" s="118" t="str">
        <f>+'Gantt Proyectos'!H97</f>
        <v>Perú</v>
      </c>
      <c r="I29" s="189">
        <v>0.5</v>
      </c>
      <c r="J29" s="189">
        <f t="shared" ref="J29:J60" si="6">1-I29</f>
        <v>0.5</v>
      </c>
      <c r="K29" s="118" t="str">
        <f>+'Gantt Proyectos'!I97</f>
        <v>Open Pit</v>
      </c>
      <c r="L29" s="120">
        <f>+'Gantt Proyectos'!J97</f>
        <v>1</v>
      </c>
      <c r="M29" s="118" t="str">
        <f>+'Gantt Proyectos'!K97</f>
        <v>FR</v>
      </c>
      <c r="N29" s="316">
        <f>+'Gantt Proyectos'!L97</f>
        <v>36143</v>
      </c>
      <c r="O29" s="316">
        <f>+'Gantt Proyectos'!M97</f>
        <v>0</v>
      </c>
      <c r="P29" s="118">
        <f>+'Gantt Proyectos'!N97</f>
        <v>1</v>
      </c>
      <c r="Q29" s="119">
        <f>+'Gantt Proyectos'!O97</f>
        <v>45502</v>
      </c>
      <c r="R29" s="119">
        <f>+'Gantt Proyectos'!P97</f>
        <v>45754</v>
      </c>
      <c r="S29" s="118" t="str">
        <f>+'Gantt Proyectos'!R97</f>
        <v>No</v>
      </c>
      <c r="T29" s="118">
        <f>+'Gantt Proyectos'!S97</f>
        <v>0</v>
      </c>
      <c r="U29" s="156">
        <f>+'Gantt Proyectos'!T97</f>
        <v>45502</v>
      </c>
      <c r="V29" s="156">
        <f>+'Gantt Proyectos'!U97</f>
        <v>45754</v>
      </c>
      <c r="W29" s="201">
        <f t="shared" ref="W29:W60" si="7">+ROUNDUP(_xlfn.DAYS(V29,U29)/30.5,0)</f>
        <v>9</v>
      </c>
      <c r="X29" s="121">
        <f>+'Gantt Proyectos'!W97</f>
        <v>0.72035794183445179</v>
      </c>
      <c r="Y29" s="122">
        <f>+'Gantt Proyectos'!X97</f>
        <v>0.25</v>
      </c>
      <c r="Z29" s="122">
        <f>+'Gantt Proyectos'!Y97</f>
        <v>0.33</v>
      </c>
      <c r="AA29" s="122">
        <f>+'Gantt Proyectos'!Z97</f>
        <v>0</v>
      </c>
      <c r="AB29" s="122">
        <f>+'Gantt Proyectos'!AA97</f>
        <v>0.5</v>
      </c>
      <c r="AC29" s="122">
        <f>+'Gantt Proyectos'!AB97</f>
        <v>0.5</v>
      </c>
      <c r="AD29" s="152" t="str">
        <f>+'Gantt Proyectos'!AC97</f>
        <v>Estudio Conceptual / LOM</v>
      </c>
      <c r="AE29" s="123" t="str">
        <f>+'Gantt Proyectos'!AD97</f>
        <v>Actual</v>
      </c>
      <c r="AF29" s="124" t="str">
        <f>+'Gantt Proyectos'!AE97</f>
        <v>7. Finalizado</v>
      </c>
      <c r="AG29" s="172">
        <v>1</v>
      </c>
      <c r="AH29" s="169">
        <f ca="1">+IFERROR(IF(ISNUMBER(OFFSET('EDP Proyectado'!AI29,0,-'Ingreso Proyectado_Edu'!$P29))&lt;&gt;0,IF(OFFSET('EDP Proyectado'!AI29,0,-'Ingreso Proyectado_Edu'!$P29)+0&lt;=1,0,OFFSET('EDP Proyectado'!AI29,0,-'Ingreso Proyectado_Edu'!$P29)+0)),0)</f>
        <v>0</v>
      </c>
      <c r="AI29" s="169">
        <f ca="1">+IFERROR(IF(ISNUMBER(OFFSET('EDP Proyectado'!AJ29,0,-'Ingreso Proyectado_Edu'!$P29))&lt;&gt;0,IF(OFFSET('EDP Proyectado'!AJ29,0,-'Ingreso Proyectado_Edu'!$P29)+0&lt;=1,0,OFFSET('EDP Proyectado'!AJ29,0,-'Ingreso Proyectado_Edu'!$P29)+0)),0)</f>
        <v>4015.8888888888887</v>
      </c>
      <c r="AJ29" s="169">
        <f ca="1">+IFERROR(IF(ISNUMBER(OFFSET('EDP Proyectado'!AK29,0,-'Ingreso Proyectado_Edu'!$P29))&lt;&gt;0,IF(OFFSET('EDP Proyectado'!AK29,0,-'Ingreso Proyectado_Edu'!$P29)+0&lt;=1,0,OFFSET('EDP Proyectado'!AK29,0,-'Ingreso Proyectado_Edu'!$P29)+0)),0)</f>
        <v>0</v>
      </c>
      <c r="AK29" s="169">
        <f ca="1">+IFERROR(IF(ISNUMBER(OFFSET('EDP Proyectado'!AL29,0,-'Ingreso Proyectado_Edu'!$P29))&lt;&gt;0,IF(OFFSET('EDP Proyectado'!AL29,0,-'Ingreso Proyectado_Edu'!$P29)+0&lt;=1,0,OFFSET('EDP Proyectado'!AL29,0,-'Ingreso Proyectado_Edu'!$P29)+0)),0)</f>
        <v>0</v>
      </c>
      <c r="AL29" s="169">
        <f ca="1">+IFERROR(IF(ISNUMBER(OFFSET('EDP Proyectado'!AM29,0,-'Ingreso Proyectado_Edu'!$P29))&lt;&gt;0,IF(OFFSET('EDP Proyectado'!AM29,0,-'Ingreso Proyectado_Edu'!$P29)+0&lt;=1,0,OFFSET('EDP Proyectado'!AM29,0,-'Ingreso Proyectado_Edu'!$P29)+0)),0)</f>
        <v>0</v>
      </c>
      <c r="AM29" s="169">
        <f ca="1">+IFERROR(IF(ISNUMBER(OFFSET('EDP Proyectado'!AN29,0,-'Ingreso Proyectado_Edu'!$P29))&lt;&gt;0,IF(OFFSET('EDP Proyectado'!AN29,0,-'Ingreso Proyectado_Edu'!$P29)+0&lt;=1,0,OFFSET('EDP Proyectado'!AN29,0,-'Ingreso Proyectado_Edu'!$P29)+0)),0)</f>
        <v>0</v>
      </c>
      <c r="AN29" s="169">
        <f ca="1">+IFERROR(IF(ISNUMBER(OFFSET('EDP Proyectado'!AO29,0,-'Ingreso Proyectado_Edu'!$P29))&lt;&gt;0,IF(OFFSET('EDP Proyectado'!AO29,0,-'Ingreso Proyectado_Edu'!$P29)+0&lt;=1,0,OFFSET('EDP Proyectado'!AO29,0,-'Ingreso Proyectado_Edu'!$P29)+0)),0)</f>
        <v>0</v>
      </c>
      <c r="AO29" s="169">
        <f ca="1">+IFERROR(IF(ISNUMBER(OFFSET('EDP Proyectado'!AP29,0,-'Ingreso Proyectado_Edu'!$P29))&lt;&gt;0,IF(OFFSET('EDP Proyectado'!AP29,0,-'Ingreso Proyectado_Edu'!$P29)+0&lt;=1,0,OFFSET('EDP Proyectado'!AP29,0,-'Ingreso Proyectado_Edu'!$P29)+0)),0)</f>
        <v>0</v>
      </c>
      <c r="AP29" s="170">
        <f ca="1">+IFERROR(IF(ISNUMBER(OFFSET('EDP Proyectado'!AQ29,0,-'Ingreso Proyectado_Edu'!$P29))&lt;&gt;0,IF(OFFSET('EDP Proyectado'!AQ29,0,-'Ingreso Proyectado_Edu'!$P29)+0&lt;=1,0,OFFSET('EDP Proyectado'!AQ29,0,-'Ingreso Proyectado_Edu'!$P29)+0)),0)</f>
        <v>0</v>
      </c>
    </row>
    <row r="30" spans="2:42" x14ac:dyDescent="0.2">
      <c r="C30" s="117">
        <f>+'Gantt Proyectos'!C98</f>
        <v>2</v>
      </c>
      <c r="D30" s="140" t="str">
        <f>+'Gantt Proyectos'!D98</f>
        <v>Spence: Analisis proyecto SCUT</v>
      </c>
      <c r="E30" s="118" t="str">
        <f>+'Gantt Proyectos'!E98</f>
        <v>BHP</v>
      </c>
      <c r="F30" s="146" t="str">
        <f>+'Gantt Proyectos'!F98</f>
        <v>Chile</v>
      </c>
      <c r="G30" s="118" t="str">
        <f>+'Gantt Proyectos'!G98</f>
        <v>Chile</v>
      </c>
      <c r="H30" s="118" t="str">
        <f>+'Gantt Proyectos'!H98</f>
        <v>Perú</v>
      </c>
      <c r="I30" s="189">
        <v>0.5</v>
      </c>
      <c r="J30" s="189">
        <f t="shared" si="6"/>
        <v>0.5</v>
      </c>
      <c r="K30" s="118" t="str">
        <f>+'Gantt Proyectos'!I98</f>
        <v>Open Pit</v>
      </c>
      <c r="L30" s="120">
        <f>+'Gantt Proyectos'!J98</f>
        <v>1</v>
      </c>
      <c r="M30" s="118" t="str">
        <f>+'Gantt Proyectos'!K98</f>
        <v>FR</v>
      </c>
      <c r="N30" s="316">
        <f>+'Gantt Proyectos'!L98</f>
        <v>47590</v>
      </c>
      <c r="O30" s="316">
        <f>+'Gantt Proyectos'!M98</f>
        <v>0</v>
      </c>
      <c r="P30" s="118">
        <f>+'Gantt Proyectos'!N98</f>
        <v>1</v>
      </c>
      <c r="Q30" s="119">
        <f>+'Gantt Proyectos'!O98</f>
        <v>45719</v>
      </c>
      <c r="R30" s="119">
        <f>+'Gantt Proyectos'!P98</f>
        <v>45754</v>
      </c>
      <c r="S30" s="118" t="str">
        <f>+'Gantt Proyectos'!R98</f>
        <v>No</v>
      </c>
      <c r="T30" s="118">
        <f>+'Gantt Proyectos'!S98</f>
        <v>0</v>
      </c>
      <c r="U30" s="156">
        <f>+'Gantt Proyectos'!T98</f>
        <v>45719</v>
      </c>
      <c r="V30" s="156">
        <f>+'Gantt Proyectos'!U98</f>
        <v>45754</v>
      </c>
      <c r="W30" s="201">
        <f t="shared" si="7"/>
        <v>2</v>
      </c>
      <c r="X30" s="121">
        <f>+'Gantt Proyectos'!W98</f>
        <v>0.72035794183445179</v>
      </c>
      <c r="Y30" s="122">
        <f>+'Gantt Proyectos'!X98</f>
        <v>0.25</v>
      </c>
      <c r="Z30" s="122">
        <f>+'Gantt Proyectos'!Y98</f>
        <v>0.33</v>
      </c>
      <c r="AA30" s="122">
        <f>+'Gantt Proyectos'!Z98</f>
        <v>0</v>
      </c>
      <c r="AB30" s="122">
        <f>+'Gantt Proyectos'!AA98</f>
        <v>0.5</v>
      </c>
      <c r="AC30" s="122">
        <f>+'Gantt Proyectos'!AB98</f>
        <v>0.5</v>
      </c>
      <c r="AD30" s="152" t="str">
        <f>+'Gantt Proyectos'!AC98</f>
        <v>Confiabilidad Planes</v>
      </c>
      <c r="AE30" s="123" t="str">
        <f>+'Gantt Proyectos'!AD98</f>
        <v>Actual</v>
      </c>
      <c r="AF30" s="124" t="str">
        <f>+'Gantt Proyectos'!AE98</f>
        <v>7. Finalizado</v>
      </c>
      <c r="AG30" s="172">
        <v>1</v>
      </c>
      <c r="AH30" s="169">
        <f ca="1">+IFERROR(IF(ISNUMBER(OFFSET('EDP Proyectado'!AI30,0,-'Ingreso Proyectado_Edu'!$P30))&lt;&gt;0,IF(OFFSET('EDP Proyectado'!AI30,0,-'Ingreso Proyectado_Edu'!$P30)+0&lt;=1,0,OFFSET('EDP Proyectado'!AI30,0,-'Ingreso Proyectado_Edu'!$P30)+0)),0)</f>
        <v>0</v>
      </c>
      <c r="AI30" s="169">
        <f ca="1">+IFERROR(IF(ISNUMBER(OFFSET('EDP Proyectado'!AJ30,0,-'Ingreso Proyectado_Edu'!$P30))&lt;&gt;0,IF(OFFSET('EDP Proyectado'!AJ30,0,-'Ingreso Proyectado_Edu'!$P30)+0&lt;=1,0,OFFSET('EDP Proyectado'!AJ30,0,-'Ingreso Proyectado_Edu'!$P30)+0)),0)</f>
        <v>23795</v>
      </c>
      <c r="AJ30" s="169">
        <f ca="1">+IFERROR(IF(ISNUMBER(OFFSET('EDP Proyectado'!AK30,0,-'Ingreso Proyectado_Edu'!$P30))&lt;&gt;0,IF(OFFSET('EDP Proyectado'!AK30,0,-'Ingreso Proyectado_Edu'!$P30)+0&lt;=1,0,OFFSET('EDP Proyectado'!AK30,0,-'Ingreso Proyectado_Edu'!$P30)+0)),0)</f>
        <v>0</v>
      </c>
      <c r="AK30" s="169">
        <f ca="1">+IFERROR(IF(ISNUMBER(OFFSET('EDP Proyectado'!AL30,0,-'Ingreso Proyectado_Edu'!$P30))&lt;&gt;0,IF(OFFSET('EDP Proyectado'!AL30,0,-'Ingreso Proyectado_Edu'!$P30)+0&lt;=1,0,OFFSET('EDP Proyectado'!AL30,0,-'Ingreso Proyectado_Edu'!$P30)+0)),0)</f>
        <v>0</v>
      </c>
      <c r="AL30" s="169">
        <f ca="1">+IFERROR(IF(ISNUMBER(OFFSET('EDP Proyectado'!AM30,0,-'Ingreso Proyectado_Edu'!$P30))&lt;&gt;0,IF(OFFSET('EDP Proyectado'!AM30,0,-'Ingreso Proyectado_Edu'!$P30)+0&lt;=1,0,OFFSET('EDP Proyectado'!AM30,0,-'Ingreso Proyectado_Edu'!$P30)+0)),0)</f>
        <v>0</v>
      </c>
      <c r="AM30" s="169">
        <f ca="1">+IFERROR(IF(ISNUMBER(OFFSET('EDP Proyectado'!AN30,0,-'Ingreso Proyectado_Edu'!$P30))&lt;&gt;0,IF(OFFSET('EDP Proyectado'!AN30,0,-'Ingreso Proyectado_Edu'!$P30)+0&lt;=1,0,OFFSET('EDP Proyectado'!AN30,0,-'Ingreso Proyectado_Edu'!$P30)+0)),0)</f>
        <v>0</v>
      </c>
      <c r="AN30" s="169">
        <f ca="1">+IFERROR(IF(ISNUMBER(OFFSET('EDP Proyectado'!AO30,0,-'Ingreso Proyectado_Edu'!$P30))&lt;&gt;0,IF(OFFSET('EDP Proyectado'!AO30,0,-'Ingreso Proyectado_Edu'!$P30)+0&lt;=1,0,OFFSET('EDP Proyectado'!AO30,0,-'Ingreso Proyectado_Edu'!$P30)+0)),0)</f>
        <v>0</v>
      </c>
      <c r="AO30" s="169">
        <f ca="1">+IFERROR(IF(ISNUMBER(OFFSET('EDP Proyectado'!AP30,0,-'Ingreso Proyectado_Edu'!$P30))&lt;&gt;0,IF(OFFSET('EDP Proyectado'!AP30,0,-'Ingreso Proyectado_Edu'!$P30)+0&lt;=1,0,OFFSET('EDP Proyectado'!AP30,0,-'Ingreso Proyectado_Edu'!$P30)+0)),0)</f>
        <v>0</v>
      </c>
      <c r="AP30" s="170">
        <f ca="1">+IFERROR(IF(ISNUMBER(OFFSET('EDP Proyectado'!AQ30,0,-'Ingreso Proyectado_Edu'!$P30))&lt;&gt;0,IF(OFFSET('EDP Proyectado'!AQ30,0,-'Ingreso Proyectado_Edu'!$P30)+0&lt;=1,0,OFFSET('EDP Proyectado'!AQ30,0,-'Ingreso Proyectado_Edu'!$P30)+0)),0)</f>
        <v>0</v>
      </c>
    </row>
    <row r="31" spans="2:42" x14ac:dyDescent="0.2">
      <c r="C31" s="117">
        <f>+'Gantt Proyectos'!C99</f>
        <v>3</v>
      </c>
      <c r="D31" s="140" t="str">
        <f>+'Gantt Proyectos'!D99</f>
        <v>Resolution: MinePlan Review (Scoping)</v>
      </c>
      <c r="E31" s="118" t="str">
        <f>+'Gantt Proyectos'!E99</f>
        <v>BHP</v>
      </c>
      <c r="F31" s="146" t="str">
        <f>+'Gantt Proyectos'!F99</f>
        <v>Chile</v>
      </c>
      <c r="G31" s="118" t="str">
        <f>+'Gantt Proyectos'!G99</f>
        <v>Chile</v>
      </c>
      <c r="H31" s="118">
        <f>+'Gantt Proyectos'!H99</f>
        <v>0</v>
      </c>
      <c r="I31" s="189">
        <v>1</v>
      </c>
      <c r="J31" s="189">
        <f t="shared" si="6"/>
        <v>0</v>
      </c>
      <c r="K31" s="118" t="str">
        <f>+'Gantt Proyectos'!I99</f>
        <v>Subterránea</v>
      </c>
      <c r="L31" s="120">
        <f>+'Gantt Proyectos'!J99</f>
        <v>1</v>
      </c>
      <c r="M31" s="118" t="str">
        <f>+'Gantt Proyectos'!K99</f>
        <v>CA</v>
      </c>
      <c r="N31" s="316">
        <f>+'Gantt Proyectos'!L99</f>
        <v>254012</v>
      </c>
      <c r="O31" s="316">
        <f>+'Gantt Proyectos'!M99</f>
        <v>0</v>
      </c>
      <c r="P31" s="118">
        <f>+'Gantt Proyectos'!N99</f>
        <v>1</v>
      </c>
      <c r="Q31" s="119">
        <f>+'Gantt Proyectos'!O99</f>
        <v>45635</v>
      </c>
      <c r="R31" s="119">
        <f>+'Gantt Proyectos'!P99</f>
        <v>45754</v>
      </c>
      <c r="S31" s="118" t="str">
        <f>+'Gantt Proyectos'!R99</f>
        <v>No</v>
      </c>
      <c r="T31" s="118">
        <f>+'Gantt Proyectos'!S99</f>
        <v>0</v>
      </c>
      <c r="U31" s="156">
        <f>+'Gantt Proyectos'!T99</f>
        <v>45635</v>
      </c>
      <c r="V31" s="156">
        <f>+'Gantt Proyectos'!U99</f>
        <v>45754</v>
      </c>
      <c r="W31" s="201">
        <f t="shared" si="7"/>
        <v>4</v>
      </c>
      <c r="X31" s="121">
        <f>+'Gantt Proyectos'!W99</f>
        <v>1.4474272930648768</v>
      </c>
      <c r="Y31" s="122">
        <f>+'Gantt Proyectos'!X99</f>
        <v>0.33</v>
      </c>
      <c r="Z31" s="122">
        <f>+'Gantt Proyectos'!Y99</f>
        <v>0.5</v>
      </c>
      <c r="AA31" s="122">
        <f>+'Gantt Proyectos'!Z99</f>
        <v>0.33</v>
      </c>
      <c r="AB31" s="122">
        <f>+'Gantt Proyectos'!AA99</f>
        <v>1</v>
      </c>
      <c r="AC31" s="122">
        <f>+'Gantt Proyectos'!AB99</f>
        <v>1</v>
      </c>
      <c r="AD31" s="152" t="str">
        <f>+'Gantt Proyectos'!AC99</f>
        <v>Scoping</v>
      </c>
      <c r="AE31" s="123" t="str">
        <f>+'Gantt Proyectos'!AD99</f>
        <v>Actual</v>
      </c>
      <c r="AF31" s="124" t="str">
        <f>+'Gantt Proyectos'!AE99</f>
        <v>7. Finalizado</v>
      </c>
      <c r="AG31" s="172">
        <v>1</v>
      </c>
      <c r="AH31" s="169">
        <f ca="1">+IFERROR(IF(ISNUMBER(OFFSET('EDP Proyectado'!AI31,0,-'Ingreso Proyectado_Edu'!$P31))&lt;&gt;0,IF(OFFSET('EDP Proyectado'!AI31,0,-'Ingreso Proyectado_Edu'!$P31)+0&lt;=1,0,OFFSET('EDP Proyectado'!AI31,0,-'Ingreso Proyectado_Edu'!$P31)+0)),0)</f>
        <v>0</v>
      </c>
      <c r="AI31" s="169">
        <f ca="1">+IFERROR(IF(ISNUMBER(OFFSET('EDP Proyectado'!AJ31,0,-'Ingreso Proyectado_Edu'!$P31))&lt;&gt;0,IF(OFFSET('EDP Proyectado'!AJ31,0,-'Ingreso Proyectado_Edu'!$P31)+0&lt;=1,0,OFFSET('EDP Proyectado'!AJ31,0,-'Ingreso Proyectado_Edu'!$P31)+0)),0)</f>
        <v>63503</v>
      </c>
      <c r="AJ31" s="169">
        <f ca="1">+IFERROR(IF(ISNUMBER(OFFSET('EDP Proyectado'!AK31,0,-'Ingreso Proyectado_Edu'!$P31))&lt;&gt;0,IF(OFFSET('EDP Proyectado'!AK31,0,-'Ingreso Proyectado_Edu'!$P31)+0&lt;=1,0,OFFSET('EDP Proyectado'!AK31,0,-'Ingreso Proyectado_Edu'!$P31)+0)),0)</f>
        <v>0</v>
      </c>
      <c r="AK31" s="169">
        <f ca="1">+IFERROR(IF(ISNUMBER(OFFSET('EDP Proyectado'!AL31,0,-'Ingreso Proyectado_Edu'!$P31))&lt;&gt;0,IF(OFFSET('EDP Proyectado'!AL31,0,-'Ingreso Proyectado_Edu'!$P31)+0&lt;=1,0,OFFSET('EDP Proyectado'!AL31,0,-'Ingreso Proyectado_Edu'!$P31)+0)),0)</f>
        <v>0</v>
      </c>
      <c r="AL31" s="169">
        <f ca="1">+IFERROR(IF(ISNUMBER(OFFSET('EDP Proyectado'!AM31,0,-'Ingreso Proyectado_Edu'!$P31))&lt;&gt;0,IF(OFFSET('EDP Proyectado'!AM31,0,-'Ingreso Proyectado_Edu'!$P31)+0&lt;=1,0,OFFSET('EDP Proyectado'!AM31,0,-'Ingreso Proyectado_Edu'!$P31)+0)),0)</f>
        <v>0</v>
      </c>
      <c r="AM31" s="169">
        <f ca="1">+IFERROR(IF(ISNUMBER(OFFSET('EDP Proyectado'!AN31,0,-'Ingreso Proyectado_Edu'!$P31))&lt;&gt;0,IF(OFFSET('EDP Proyectado'!AN31,0,-'Ingreso Proyectado_Edu'!$P31)+0&lt;=1,0,OFFSET('EDP Proyectado'!AN31,0,-'Ingreso Proyectado_Edu'!$P31)+0)),0)</f>
        <v>0</v>
      </c>
      <c r="AN31" s="169">
        <f ca="1">+IFERROR(IF(ISNUMBER(OFFSET('EDP Proyectado'!AO31,0,-'Ingreso Proyectado_Edu'!$P31))&lt;&gt;0,IF(OFFSET('EDP Proyectado'!AO31,0,-'Ingreso Proyectado_Edu'!$P31)+0&lt;=1,0,OFFSET('EDP Proyectado'!AO31,0,-'Ingreso Proyectado_Edu'!$P31)+0)),0)</f>
        <v>0</v>
      </c>
      <c r="AO31" s="169">
        <f ca="1">+IFERROR(IF(ISNUMBER(OFFSET('EDP Proyectado'!AP31,0,-'Ingreso Proyectado_Edu'!$P31))&lt;&gt;0,IF(OFFSET('EDP Proyectado'!AP31,0,-'Ingreso Proyectado_Edu'!$P31)+0&lt;=1,0,OFFSET('EDP Proyectado'!AP31,0,-'Ingreso Proyectado_Edu'!$P31)+0)),0)</f>
        <v>0</v>
      </c>
      <c r="AP31" s="170">
        <f ca="1">+IFERROR(IF(ISNUMBER(OFFSET('EDP Proyectado'!AQ31,0,-'Ingreso Proyectado_Edu'!$P31))&lt;&gt;0,IF(OFFSET('EDP Proyectado'!AQ31,0,-'Ingreso Proyectado_Edu'!$P31)+0&lt;=1,0,OFFSET('EDP Proyectado'!AQ31,0,-'Ingreso Proyectado_Edu'!$P31)+0)),0)</f>
        <v>0</v>
      </c>
    </row>
    <row r="32" spans="2:42" x14ac:dyDescent="0.2">
      <c r="C32" s="117">
        <f>+'Gantt Proyectos'!C100</f>
        <v>4</v>
      </c>
      <c r="D32" s="140" t="str">
        <f>+'Gantt Proyectos'!D100</f>
        <v>Twin Metals: Analisis integrado con Northmet</v>
      </c>
      <c r="E32" s="118" t="str">
        <f>+'Gantt Proyectos'!E100</f>
        <v>Twin Metals</v>
      </c>
      <c r="F32" s="146" t="str">
        <f>+'Gantt Proyectos'!F100</f>
        <v>Chile</v>
      </c>
      <c r="G32" s="118" t="str">
        <f>+'Gantt Proyectos'!G100</f>
        <v>Chile</v>
      </c>
      <c r="H32" s="118" t="str">
        <f>+'Gantt Proyectos'!H100</f>
        <v>Perú</v>
      </c>
      <c r="I32" s="189">
        <v>0.5</v>
      </c>
      <c r="J32" s="189">
        <f t="shared" si="6"/>
        <v>0.5</v>
      </c>
      <c r="K32" s="118" t="str">
        <f>+'Gantt Proyectos'!I100</f>
        <v>Open Pit</v>
      </c>
      <c r="L32" s="120">
        <f>+'Gantt Proyectos'!J100</f>
        <v>1</v>
      </c>
      <c r="M32" s="118" t="str">
        <f>+'Gantt Proyectos'!K100</f>
        <v>CA</v>
      </c>
      <c r="N32" s="316">
        <f>+'Gantt Proyectos'!L100</f>
        <v>132000</v>
      </c>
      <c r="O32" s="316">
        <f>+'Gantt Proyectos'!M100</f>
        <v>0</v>
      </c>
      <c r="P32" s="118">
        <f>+'Gantt Proyectos'!N100</f>
        <v>1</v>
      </c>
      <c r="Q32" s="119">
        <f>+'Gantt Proyectos'!O100</f>
        <v>45719</v>
      </c>
      <c r="R32" s="119">
        <f>+'Gantt Proyectos'!P100</f>
        <v>45803</v>
      </c>
      <c r="S32" s="118" t="str">
        <f>+'Gantt Proyectos'!R100</f>
        <v>No</v>
      </c>
      <c r="T32" s="118">
        <f>+'Gantt Proyectos'!S100</f>
        <v>0</v>
      </c>
      <c r="U32" s="156">
        <f>+'Gantt Proyectos'!T100</f>
        <v>45719</v>
      </c>
      <c r="V32" s="156">
        <f>+'Gantt Proyectos'!U100</f>
        <v>45803</v>
      </c>
      <c r="W32" s="201">
        <f t="shared" si="7"/>
        <v>3</v>
      </c>
      <c r="X32" s="121">
        <f>+'Gantt Proyectos'!W100</f>
        <v>0.72035794183445179</v>
      </c>
      <c r="Y32" s="122">
        <f>+'Gantt Proyectos'!X100</f>
        <v>0.25</v>
      </c>
      <c r="Z32" s="122">
        <f>+'Gantt Proyectos'!Y100</f>
        <v>0.33</v>
      </c>
      <c r="AA32" s="122">
        <f>+'Gantt Proyectos'!Z100</f>
        <v>0</v>
      </c>
      <c r="AB32" s="122">
        <f>+'Gantt Proyectos'!AA100</f>
        <v>0.5</v>
      </c>
      <c r="AC32" s="122">
        <f>+'Gantt Proyectos'!AB100</f>
        <v>0.5</v>
      </c>
      <c r="AD32" s="152" t="str">
        <f>+'Gantt Proyectos'!AC100</f>
        <v>Estudio Conceptual / LOM</v>
      </c>
      <c r="AE32" s="123" t="str">
        <f>+'Gantt Proyectos'!AD100</f>
        <v>Actual</v>
      </c>
      <c r="AF32" s="124" t="str">
        <f>+'Gantt Proyectos'!AE100</f>
        <v>7. Finalizado</v>
      </c>
      <c r="AG32" s="172">
        <v>1</v>
      </c>
      <c r="AH32" s="169">
        <f ca="1">+IFERROR(IF(ISNUMBER(OFFSET('EDP Proyectado'!AI32,0,-'Ingreso Proyectado_Edu'!$P32))&lt;&gt;0,IF(OFFSET('EDP Proyectado'!AI32,0,-'Ingreso Proyectado_Edu'!$P32)+0&lt;=1,0,OFFSET('EDP Proyectado'!AI32,0,-'Ingreso Proyectado_Edu'!$P32)+0)),0)</f>
        <v>0</v>
      </c>
      <c r="AI32" s="169">
        <f ca="1">+IFERROR(IF(ISNUMBER(OFFSET('EDP Proyectado'!AJ32,0,-'Ingreso Proyectado_Edu'!$P32))&lt;&gt;0,IF(OFFSET('EDP Proyectado'!AJ32,0,-'Ingreso Proyectado_Edu'!$P32)+0&lt;=1,0,OFFSET('EDP Proyectado'!AJ32,0,-'Ingreso Proyectado_Edu'!$P32)+0)),0)</f>
        <v>44000</v>
      </c>
      <c r="AJ32" s="169">
        <f ca="1">+IFERROR(IF(ISNUMBER(OFFSET('EDP Proyectado'!AK32,0,-'Ingreso Proyectado_Edu'!$P32))&lt;&gt;0,IF(OFFSET('EDP Proyectado'!AK32,0,-'Ingreso Proyectado_Edu'!$P32)+0&lt;=1,0,OFFSET('EDP Proyectado'!AK32,0,-'Ingreso Proyectado_Edu'!$P32)+0)),0)</f>
        <v>44000</v>
      </c>
      <c r="AK32" s="169">
        <f ca="1">+IFERROR(IF(ISNUMBER(OFFSET('EDP Proyectado'!AL32,0,-'Ingreso Proyectado_Edu'!$P32))&lt;&gt;0,IF(OFFSET('EDP Proyectado'!AL32,0,-'Ingreso Proyectado_Edu'!$P32)+0&lt;=1,0,OFFSET('EDP Proyectado'!AL32,0,-'Ingreso Proyectado_Edu'!$P32)+0)),0)</f>
        <v>0</v>
      </c>
      <c r="AL32" s="169">
        <f ca="1">+IFERROR(IF(ISNUMBER(OFFSET('EDP Proyectado'!AM32,0,-'Ingreso Proyectado_Edu'!$P32))&lt;&gt;0,IF(OFFSET('EDP Proyectado'!AM32,0,-'Ingreso Proyectado_Edu'!$P32)+0&lt;=1,0,OFFSET('EDP Proyectado'!AM32,0,-'Ingreso Proyectado_Edu'!$P32)+0)),0)</f>
        <v>0</v>
      </c>
      <c r="AM32" s="169">
        <f ca="1">+IFERROR(IF(ISNUMBER(OFFSET('EDP Proyectado'!AN32,0,-'Ingreso Proyectado_Edu'!$P32))&lt;&gt;0,IF(OFFSET('EDP Proyectado'!AN32,0,-'Ingreso Proyectado_Edu'!$P32)+0&lt;=1,0,OFFSET('EDP Proyectado'!AN32,0,-'Ingreso Proyectado_Edu'!$P32)+0)),0)</f>
        <v>0</v>
      </c>
      <c r="AN32" s="169">
        <f ca="1">+IFERROR(IF(ISNUMBER(OFFSET('EDP Proyectado'!AO32,0,-'Ingreso Proyectado_Edu'!$P32))&lt;&gt;0,IF(OFFSET('EDP Proyectado'!AO32,0,-'Ingreso Proyectado_Edu'!$P32)+0&lt;=1,0,OFFSET('EDP Proyectado'!AO32,0,-'Ingreso Proyectado_Edu'!$P32)+0)),0)</f>
        <v>0</v>
      </c>
      <c r="AO32" s="169">
        <f ca="1">+IFERROR(IF(ISNUMBER(OFFSET('EDP Proyectado'!AP32,0,-'Ingreso Proyectado_Edu'!$P32))&lt;&gt;0,IF(OFFSET('EDP Proyectado'!AP32,0,-'Ingreso Proyectado_Edu'!$P32)+0&lt;=1,0,OFFSET('EDP Proyectado'!AP32,0,-'Ingreso Proyectado_Edu'!$P32)+0)),0)</f>
        <v>0</v>
      </c>
      <c r="AP32" s="170">
        <f ca="1">+IFERROR(IF(ISNUMBER(OFFSET('EDP Proyectado'!AQ32,0,-'Ingreso Proyectado_Edu'!$P32))&lt;&gt;0,IF(OFFSET('EDP Proyectado'!AQ32,0,-'Ingreso Proyectado_Edu'!$P32)+0&lt;=1,0,OFFSET('EDP Proyectado'!AQ32,0,-'Ingreso Proyectado_Edu'!$P32)+0)),0)</f>
        <v>0</v>
      </c>
    </row>
    <row r="33" spans="3:42" x14ac:dyDescent="0.2">
      <c r="C33" s="117">
        <f>+'Gantt Proyectos'!C101</f>
        <v>5</v>
      </c>
      <c r="D33" s="140" t="str">
        <f>+'Gantt Proyectos'!D101</f>
        <v>FEL3 CNN</v>
      </c>
      <c r="E33" s="118" t="str">
        <f>+'Gantt Proyectos'!E101</f>
        <v>CMP</v>
      </c>
      <c r="F33" s="146" t="str">
        <f>+'Gantt Proyectos'!F101</f>
        <v>Chile</v>
      </c>
      <c r="G33" s="118" t="str">
        <f>+'Gantt Proyectos'!G101</f>
        <v>Chile</v>
      </c>
      <c r="H33" s="118">
        <f>+'Gantt Proyectos'!H101</f>
        <v>0</v>
      </c>
      <c r="I33" s="189">
        <v>1</v>
      </c>
      <c r="J33" s="189">
        <f t="shared" si="6"/>
        <v>0</v>
      </c>
      <c r="K33" s="118" t="str">
        <f>+'Gantt Proyectos'!I101</f>
        <v>Open Pit</v>
      </c>
      <c r="L33" s="120">
        <f>+'Gantt Proyectos'!J101</f>
        <v>1</v>
      </c>
      <c r="M33" s="118" t="str">
        <f>+'Gantt Proyectos'!K101</f>
        <v>FR</v>
      </c>
      <c r="N33" s="316">
        <f>+'Gantt Proyectos'!L101</f>
        <v>121038.49</v>
      </c>
      <c r="O33" s="316">
        <f>+'Gantt Proyectos'!M101</f>
        <v>0</v>
      </c>
      <c r="P33" s="118">
        <f>+'Gantt Proyectos'!N101</f>
        <v>1</v>
      </c>
      <c r="Q33" s="119">
        <f>+'Gantt Proyectos'!O101</f>
        <v>45579</v>
      </c>
      <c r="R33" s="119">
        <f>+'Gantt Proyectos'!P101</f>
        <v>45754</v>
      </c>
      <c r="S33" s="118" t="str">
        <f>+'Gantt Proyectos'!R101</f>
        <v>No</v>
      </c>
      <c r="T33" s="118">
        <f>+'Gantt Proyectos'!S101</f>
        <v>0</v>
      </c>
      <c r="U33" s="156">
        <f>+'Gantt Proyectos'!T101</f>
        <v>45579</v>
      </c>
      <c r="V33" s="156">
        <f>+'Gantt Proyectos'!U101</f>
        <v>45754</v>
      </c>
      <c r="W33" s="201">
        <f t="shared" si="7"/>
        <v>6</v>
      </c>
      <c r="X33" s="121">
        <f>+'Gantt Proyectos'!W101</f>
        <v>2.1588366890380311</v>
      </c>
      <c r="Y33" s="122">
        <f>+'Gantt Proyectos'!X101</f>
        <v>0.5</v>
      </c>
      <c r="Z33" s="122">
        <f>+'Gantt Proyectos'!Y101</f>
        <v>0.5</v>
      </c>
      <c r="AA33" s="122">
        <f>+'Gantt Proyectos'!Z101</f>
        <v>0.75</v>
      </c>
      <c r="AB33" s="122">
        <f>+'Gantt Proyectos'!AA101</f>
        <v>2</v>
      </c>
      <c r="AC33" s="122">
        <f>+'Gantt Proyectos'!AB101</f>
        <v>1</v>
      </c>
      <c r="AD33" s="152" t="str">
        <f>+'Gantt Proyectos'!AC101</f>
        <v>PFS</v>
      </c>
      <c r="AE33" s="123" t="str">
        <f>+'Gantt Proyectos'!AD101</f>
        <v>Actual</v>
      </c>
      <c r="AF33" s="124" t="str">
        <f>+'Gantt Proyectos'!AE101</f>
        <v>6. Cierre: +90%</v>
      </c>
      <c r="AG33" s="172">
        <v>1</v>
      </c>
      <c r="AH33" s="169">
        <f ca="1">+IFERROR(IF(ISNUMBER(OFFSET('EDP Proyectado'!AI33,0,-'Ingreso Proyectado_Edu'!$P33))&lt;&gt;0,IF(OFFSET('EDP Proyectado'!AI33,0,-'Ingreso Proyectado_Edu'!$P33)+0&lt;=1,0,OFFSET('EDP Proyectado'!AI33,0,-'Ingreso Proyectado_Edu'!$P33)+0)),0)</f>
        <v>0</v>
      </c>
      <c r="AI33" s="169">
        <f ca="1">+IFERROR(IF(ISNUMBER(OFFSET('EDP Proyectado'!AJ33,0,-'Ingreso Proyectado_Edu'!$P33))&lt;&gt;0,IF(OFFSET('EDP Proyectado'!AJ33,0,-'Ingreso Proyectado_Edu'!$P33)+0&lt;=1,0,OFFSET('EDP Proyectado'!AJ33,0,-'Ingreso Proyectado_Edu'!$P33)+0)),0)</f>
        <v>20173.081666666665</v>
      </c>
      <c r="AJ33" s="169">
        <f ca="1">+IFERROR(IF(ISNUMBER(OFFSET('EDP Proyectado'!AK33,0,-'Ingreso Proyectado_Edu'!$P33))&lt;&gt;0,IF(OFFSET('EDP Proyectado'!AK33,0,-'Ingreso Proyectado_Edu'!$P33)+0&lt;=1,0,OFFSET('EDP Proyectado'!AK33,0,-'Ingreso Proyectado_Edu'!$P33)+0)),0)</f>
        <v>0</v>
      </c>
      <c r="AK33" s="169">
        <f ca="1">+IFERROR(IF(ISNUMBER(OFFSET('EDP Proyectado'!AL33,0,-'Ingreso Proyectado_Edu'!$P33))&lt;&gt;0,IF(OFFSET('EDP Proyectado'!AL33,0,-'Ingreso Proyectado_Edu'!$P33)+0&lt;=1,0,OFFSET('EDP Proyectado'!AL33,0,-'Ingreso Proyectado_Edu'!$P33)+0)),0)</f>
        <v>0</v>
      </c>
      <c r="AL33" s="169">
        <f ca="1">+IFERROR(IF(ISNUMBER(OFFSET('EDP Proyectado'!AM33,0,-'Ingreso Proyectado_Edu'!$P33))&lt;&gt;0,IF(OFFSET('EDP Proyectado'!AM33,0,-'Ingreso Proyectado_Edu'!$P33)+0&lt;=1,0,OFFSET('EDP Proyectado'!AM33,0,-'Ingreso Proyectado_Edu'!$P33)+0)),0)</f>
        <v>0</v>
      </c>
      <c r="AM33" s="169">
        <f ca="1">+IFERROR(IF(ISNUMBER(OFFSET('EDP Proyectado'!AN33,0,-'Ingreso Proyectado_Edu'!$P33))&lt;&gt;0,IF(OFFSET('EDP Proyectado'!AN33,0,-'Ingreso Proyectado_Edu'!$P33)+0&lt;=1,0,OFFSET('EDP Proyectado'!AN33,0,-'Ingreso Proyectado_Edu'!$P33)+0)),0)</f>
        <v>0</v>
      </c>
      <c r="AN33" s="169">
        <f ca="1">+IFERROR(IF(ISNUMBER(OFFSET('EDP Proyectado'!AO33,0,-'Ingreso Proyectado_Edu'!$P33))&lt;&gt;0,IF(OFFSET('EDP Proyectado'!AO33,0,-'Ingreso Proyectado_Edu'!$P33)+0&lt;=1,0,OFFSET('EDP Proyectado'!AO33,0,-'Ingreso Proyectado_Edu'!$P33)+0)),0)</f>
        <v>0</v>
      </c>
      <c r="AO33" s="169">
        <f ca="1">+IFERROR(IF(ISNUMBER(OFFSET('EDP Proyectado'!AP33,0,-'Ingreso Proyectado_Edu'!$P33))&lt;&gt;0,IF(OFFSET('EDP Proyectado'!AP33,0,-'Ingreso Proyectado_Edu'!$P33)+0&lt;=1,0,OFFSET('EDP Proyectado'!AP33,0,-'Ingreso Proyectado_Edu'!$P33)+0)),0)</f>
        <v>0</v>
      </c>
      <c r="AP33" s="170">
        <f ca="1">+IFERROR(IF(ISNUMBER(OFFSET('EDP Proyectado'!AQ33,0,-'Ingreso Proyectado_Edu'!$P33))&lt;&gt;0,IF(OFFSET('EDP Proyectado'!AQ33,0,-'Ingreso Proyectado_Edu'!$P33)+0&lt;=1,0,OFFSET('EDP Proyectado'!AQ33,0,-'Ingreso Proyectado_Edu'!$P33)+0)),0)</f>
        <v>0</v>
      </c>
    </row>
    <row r="34" spans="3:42" x14ac:dyDescent="0.2">
      <c r="C34" s="117">
        <f>+'Gantt Proyectos'!C102</f>
        <v>6</v>
      </c>
      <c r="D34" s="140" t="str">
        <f>+'Gantt Proyectos'!D102</f>
        <v>Estudio de Factibilidad Mina Romeral UG - Acceso Mina SLS</v>
      </c>
      <c r="E34" s="118" t="str">
        <f>+'Gantt Proyectos'!E102</f>
        <v>CMP</v>
      </c>
      <c r="F34" s="146" t="str">
        <f>+'Gantt Proyectos'!F102</f>
        <v>Chile</v>
      </c>
      <c r="G34" s="118" t="str">
        <f>+'Gantt Proyectos'!G102</f>
        <v>Chile</v>
      </c>
      <c r="H34" s="118">
        <f>+'Gantt Proyectos'!H102</f>
        <v>0</v>
      </c>
      <c r="I34" s="189">
        <v>1</v>
      </c>
      <c r="J34" s="189">
        <f t="shared" si="6"/>
        <v>0</v>
      </c>
      <c r="K34" s="118" t="str">
        <f>+'Gantt Proyectos'!I102</f>
        <v>Subterránea</v>
      </c>
      <c r="L34" s="120">
        <f>+'Gantt Proyectos'!J102</f>
        <v>1</v>
      </c>
      <c r="M34" s="118" t="str">
        <f>+'Gantt Proyectos'!K102</f>
        <v>RM</v>
      </c>
      <c r="N34" s="316">
        <f>+'Gantt Proyectos'!L102</f>
        <v>900007.88</v>
      </c>
      <c r="O34" s="316">
        <f>+'Gantt Proyectos'!M102</f>
        <v>530757</v>
      </c>
      <c r="P34" s="118">
        <f>+'Gantt Proyectos'!N102</f>
        <v>1</v>
      </c>
      <c r="Q34" s="119">
        <f>+'Gantt Proyectos'!O102</f>
        <v>45446</v>
      </c>
      <c r="R34" s="119">
        <f>+'Gantt Proyectos'!P102</f>
        <v>45754</v>
      </c>
      <c r="S34" s="118" t="str">
        <f>+'Gantt Proyectos'!R102</f>
        <v>No</v>
      </c>
      <c r="T34" s="118">
        <f>+'Gantt Proyectos'!S102</f>
        <v>0</v>
      </c>
      <c r="U34" s="156">
        <f>+'Gantt Proyectos'!T102</f>
        <v>45446</v>
      </c>
      <c r="V34" s="156">
        <f>+'Gantt Proyectos'!U102</f>
        <v>45754</v>
      </c>
      <c r="W34" s="201">
        <f t="shared" si="7"/>
        <v>11</v>
      </c>
      <c r="X34" s="121">
        <f>+'Gantt Proyectos'!W102</f>
        <v>2.5503355704697985</v>
      </c>
      <c r="Y34" s="122">
        <f>+'Gantt Proyectos'!X102</f>
        <v>0.5</v>
      </c>
      <c r="Z34" s="122">
        <f>+'Gantt Proyectos'!Y102</f>
        <v>0.67</v>
      </c>
      <c r="AA34" s="122">
        <f>+'Gantt Proyectos'!Z102</f>
        <v>1</v>
      </c>
      <c r="AB34" s="122">
        <f>+'Gantt Proyectos'!AA102</f>
        <v>2.5</v>
      </c>
      <c r="AC34" s="122">
        <f>+'Gantt Proyectos'!AB102</f>
        <v>1</v>
      </c>
      <c r="AD34" s="152" t="str">
        <f>+'Gantt Proyectos'!AC102</f>
        <v>FS e Ing. Basica</v>
      </c>
      <c r="AE34" s="123" t="str">
        <f>+'Gantt Proyectos'!AD102</f>
        <v>Actual</v>
      </c>
      <c r="AF34" s="124" t="str">
        <f>+'Gantt Proyectos'!AE102</f>
        <v>6. Cierre: +90%</v>
      </c>
      <c r="AG34" s="172">
        <v>1</v>
      </c>
      <c r="AH34" s="169">
        <f ca="1">+IFERROR(IF(ISNUMBER(OFFSET('EDP Proyectado'!AI34,0,-'Ingreso Proyectado_Edu'!$P34))&lt;&gt;0,IF(OFFSET('EDP Proyectado'!AI34,0,-'Ingreso Proyectado_Edu'!$P34)+0&lt;=1,0,OFFSET('EDP Proyectado'!AI34,0,-'Ingreso Proyectado_Edu'!$P34)+0)),0)</f>
        <v>0</v>
      </c>
      <c r="AI34" s="169">
        <f ca="1">+IFERROR(IF(ISNUMBER(OFFSET('EDP Proyectado'!AJ34,0,-'Ingreso Proyectado_Edu'!$P34))&lt;&gt;0,IF(OFFSET('EDP Proyectado'!AJ34,0,-'Ingreso Proyectado_Edu'!$P34)+0&lt;=1,0,OFFSET('EDP Proyectado'!AJ34,0,-'Ingreso Proyectado_Edu'!$P34)+0)),0)</f>
        <v>81818.898181818178</v>
      </c>
      <c r="AJ34" s="169">
        <f ca="1">+IFERROR(IF(ISNUMBER(OFFSET('EDP Proyectado'!AK34,0,-'Ingreso Proyectado_Edu'!$P34))&lt;&gt;0,IF(OFFSET('EDP Proyectado'!AK34,0,-'Ingreso Proyectado_Edu'!$P34)+0&lt;=1,0,OFFSET('EDP Proyectado'!AK34,0,-'Ingreso Proyectado_Edu'!$P34)+0)),0)</f>
        <v>0</v>
      </c>
      <c r="AK34" s="169">
        <f ca="1">+IFERROR(IF(ISNUMBER(OFFSET('EDP Proyectado'!AL34,0,-'Ingreso Proyectado_Edu'!$P34))&lt;&gt;0,IF(OFFSET('EDP Proyectado'!AL34,0,-'Ingreso Proyectado_Edu'!$P34)+0&lt;=1,0,OFFSET('EDP Proyectado'!AL34,0,-'Ingreso Proyectado_Edu'!$P34)+0)),0)</f>
        <v>0</v>
      </c>
      <c r="AL34" s="169">
        <f ca="1">+IFERROR(IF(ISNUMBER(OFFSET('EDP Proyectado'!AM34,0,-'Ingreso Proyectado_Edu'!$P34))&lt;&gt;0,IF(OFFSET('EDP Proyectado'!AM34,0,-'Ingreso Proyectado_Edu'!$P34)+0&lt;=1,0,OFFSET('EDP Proyectado'!AM34,0,-'Ingreso Proyectado_Edu'!$P34)+0)),0)</f>
        <v>0</v>
      </c>
      <c r="AM34" s="169">
        <f ca="1">+IFERROR(IF(ISNUMBER(OFFSET('EDP Proyectado'!AN34,0,-'Ingreso Proyectado_Edu'!$P34))&lt;&gt;0,IF(OFFSET('EDP Proyectado'!AN34,0,-'Ingreso Proyectado_Edu'!$P34)+0&lt;=1,0,OFFSET('EDP Proyectado'!AN34,0,-'Ingreso Proyectado_Edu'!$P34)+0)),0)</f>
        <v>0</v>
      </c>
      <c r="AN34" s="169">
        <f ca="1">+IFERROR(IF(ISNUMBER(OFFSET('EDP Proyectado'!AO34,0,-'Ingreso Proyectado_Edu'!$P34))&lt;&gt;0,IF(OFFSET('EDP Proyectado'!AO34,0,-'Ingreso Proyectado_Edu'!$P34)+0&lt;=1,0,OFFSET('EDP Proyectado'!AO34,0,-'Ingreso Proyectado_Edu'!$P34)+0)),0)</f>
        <v>0</v>
      </c>
      <c r="AO34" s="169">
        <f ca="1">+IFERROR(IF(ISNUMBER(OFFSET('EDP Proyectado'!AP34,0,-'Ingreso Proyectado_Edu'!$P34))&lt;&gt;0,IF(OFFSET('EDP Proyectado'!AP34,0,-'Ingreso Proyectado_Edu'!$P34)+0&lt;=1,0,OFFSET('EDP Proyectado'!AP34,0,-'Ingreso Proyectado_Edu'!$P34)+0)),0)</f>
        <v>0</v>
      </c>
      <c r="AP34" s="170">
        <f ca="1">+IFERROR(IF(ISNUMBER(OFFSET('EDP Proyectado'!AQ34,0,-'Ingreso Proyectado_Edu'!$P34))&lt;&gt;0,IF(OFFSET('EDP Proyectado'!AQ34,0,-'Ingreso Proyectado_Edu'!$P34)+0&lt;=1,0,OFFSET('EDP Proyectado'!AQ34,0,-'Ingreso Proyectado_Edu'!$P34)+0)),0)</f>
        <v>0</v>
      </c>
    </row>
    <row r="35" spans="3:42" x14ac:dyDescent="0.2">
      <c r="C35" s="117">
        <f>+'Gantt Proyectos'!C103</f>
        <v>7</v>
      </c>
      <c r="D35" s="140" t="str">
        <f>+'Gantt Proyectos'!D103</f>
        <v>Cobre Panamá: Evaluación estratégica del activo</v>
      </c>
      <c r="E35" s="118" t="str">
        <f>+'Gantt Proyectos'!E103</f>
        <v>Debevoise&amp;Plimpton</v>
      </c>
      <c r="F35" s="146" t="str">
        <f>+'Gantt Proyectos'!F103</f>
        <v>Chile</v>
      </c>
      <c r="G35" s="118" t="str">
        <f>+'Gantt Proyectos'!G103</f>
        <v>Chile</v>
      </c>
      <c r="H35" s="118" t="str">
        <f>+'Gantt Proyectos'!H103</f>
        <v>Perú</v>
      </c>
      <c r="I35" s="189">
        <v>0.5</v>
      </c>
      <c r="J35" s="189">
        <f t="shared" si="6"/>
        <v>0.5</v>
      </c>
      <c r="K35" s="118" t="str">
        <f>+'Gantt Proyectos'!I103</f>
        <v>Open Pit</v>
      </c>
      <c r="L35" s="120">
        <f>+'Gantt Proyectos'!J103</f>
        <v>1</v>
      </c>
      <c r="M35" s="118" t="str">
        <f>+'Gantt Proyectos'!K103</f>
        <v>GD</v>
      </c>
      <c r="N35" s="316">
        <f>+'Gantt Proyectos'!L103</f>
        <v>272200.59999999998</v>
      </c>
      <c r="O35" s="316">
        <f>+'Gantt Proyectos'!M103</f>
        <v>2841972.1688888888</v>
      </c>
      <c r="P35" s="118">
        <f>+'Gantt Proyectos'!N103</f>
        <v>2</v>
      </c>
      <c r="Q35" s="119">
        <f>+'Gantt Proyectos'!O103</f>
        <v>45663</v>
      </c>
      <c r="R35" s="119">
        <f>+'Gantt Proyectos'!P103</f>
        <v>45754</v>
      </c>
      <c r="S35" s="118" t="str">
        <f>+'Gantt Proyectos'!R103</f>
        <v>No</v>
      </c>
      <c r="T35" s="118">
        <f>+'Gantt Proyectos'!S103</f>
        <v>0</v>
      </c>
      <c r="U35" s="156">
        <f>+'Gantt Proyectos'!T103</f>
        <v>45663</v>
      </c>
      <c r="V35" s="156">
        <f>+'Gantt Proyectos'!U103</f>
        <v>45754</v>
      </c>
      <c r="W35" s="201">
        <f t="shared" si="7"/>
        <v>3</v>
      </c>
      <c r="X35" s="121">
        <f>+'Gantt Proyectos'!W103</f>
        <v>0.72035794183445179</v>
      </c>
      <c r="Y35" s="122">
        <f>+'Gantt Proyectos'!X103</f>
        <v>0.25</v>
      </c>
      <c r="Z35" s="122">
        <f>+'Gantt Proyectos'!Y103</f>
        <v>0.33</v>
      </c>
      <c r="AA35" s="122">
        <f>+'Gantt Proyectos'!Z103</f>
        <v>0</v>
      </c>
      <c r="AB35" s="122">
        <f>+'Gantt Proyectos'!AA103</f>
        <v>0.5</v>
      </c>
      <c r="AC35" s="122">
        <f>+'Gantt Proyectos'!AB103</f>
        <v>0.5</v>
      </c>
      <c r="AD35" s="152" t="str">
        <f>+'Gantt Proyectos'!AC103</f>
        <v>Estudio Conceptual / LOM</v>
      </c>
      <c r="AE35" s="123" t="str">
        <f>+'Gantt Proyectos'!AD103</f>
        <v>Actual</v>
      </c>
      <c r="AF35" s="124" t="str">
        <f>+'Gantt Proyectos'!AE103</f>
        <v>6. Cierre: +90%</v>
      </c>
      <c r="AG35" s="172">
        <v>1</v>
      </c>
      <c r="AH35" s="169">
        <f ca="1">+IFERROR(IF(ISNUMBER(OFFSET('EDP Proyectado'!AI35,0,-'Ingreso Proyectado_Edu'!$P35))&lt;&gt;0,IF(OFFSET('EDP Proyectado'!AI35,0,-'Ingreso Proyectado_Edu'!$P35)+0&lt;=1,0,OFFSET('EDP Proyectado'!AI35,0,-'Ingreso Proyectado_Edu'!$P35)+0)),0)</f>
        <v>0</v>
      </c>
      <c r="AI35" s="169">
        <f ca="1">+IFERROR(IF(ISNUMBER(OFFSET('EDP Proyectado'!AJ35,0,-'Ingreso Proyectado_Edu'!$P35))&lt;&gt;0,IF(OFFSET('EDP Proyectado'!AJ35,0,-'Ingreso Proyectado_Edu'!$P35)+0&lt;=1,0,OFFSET('EDP Proyectado'!AJ35,0,-'Ingreso Proyectado_Edu'!$P35)+0)),0)</f>
        <v>0</v>
      </c>
      <c r="AJ35" s="169">
        <f ca="1">+IFERROR(IF(ISNUMBER(OFFSET('EDP Proyectado'!AK35,0,-'Ingreso Proyectado_Edu'!$P35))&lt;&gt;0,IF(OFFSET('EDP Proyectado'!AK35,0,-'Ingreso Proyectado_Edu'!$P35)+0&lt;=1,0,OFFSET('EDP Proyectado'!AK35,0,-'Ingreso Proyectado_Edu'!$P35)+0)),0)</f>
        <v>90733.533333333326</v>
      </c>
      <c r="AK35" s="169">
        <f ca="1">+IFERROR(IF(ISNUMBER(OFFSET('EDP Proyectado'!AL35,0,-'Ingreso Proyectado_Edu'!$P35))&lt;&gt;0,IF(OFFSET('EDP Proyectado'!AL35,0,-'Ingreso Proyectado_Edu'!$P35)+0&lt;=1,0,OFFSET('EDP Proyectado'!AL35,0,-'Ingreso Proyectado_Edu'!$P35)+0)),0)</f>
        <v>0</v>
      </c>
      <c r="AL35" s="169">
        <f ca="1">+IFERROR(IF(ISNUMBER(OFFSET('EDP Proyectado'!AM35,0,-'Ingreso Proyectado_Edu'!$P35))&lt;&gt;0,IF(OFFSET('EDP Proyectado'!AM35,0,-'Ingreso Proyectado_Edu'!$P35)+0&lt;=1,0,OFFSET('EDP Proyectado'!AM35,0,-'Ingreso Proyectado_Edu'!$P35)+0)),0)</f>
        <v>0</v>
      </c>
      <c r="AM35" s="169">
        <f ca="1">+IFERROR(IF(ISNUMBER(OFFSET('EDP Proyectado'!AN35,0,-'Ingreso Proyectado_Edu'!$P35))&lt;&gt;0,IF(OFFSET('EDP Proyectado'!AN35,0,-'Ingreso Proyectado_Edu'!$P35)+0&lt;=1,0,OFFSET('EDP Proyectado'!AN35,0,-'Ingreso Proyectado_Edu'!$P35)+0)),0)</f>
        <v>0</v>
      </c>
      <c r="AN35" s="169">
        <f ca="1">+IFERROR(IF(ISNUMBER(OFFSET('EDP Proyectado'!AO35,0,-'Ingreso Proyectado_Edu'!$P35))&lt;&gt;0,IF(OFFSET('EDP Proyectado'!AO35,0,-'Ingreso Proyectado_Edu'!$P35)+0&lt;=1,0,OFFSET('EDP Proyectado'!AO35,0,-'Ingreso Proyectado_Edu'!$P35)+0)),0)</f>
        <v>0</v>
      </c>
      <c r="AO35" s="169">
        <f ca="1">+IFERROR(IF(ISNUMBER(OFFSET('EDP Proyectado'!AP35,0,-'Ingreso Proyectado_Edu'!$P35))&lt;&gt;0,IF(OFFSET('EDP Proyectado'!AP35,0,-'Ingreso Proyectado_Edu'!$P35)+0&lt;=1,0,OFFSET('EDP Proyectado'!AP35,0,-'Ingreso Proyectado_Edu'!$P35)+0)),0)</f>
        <v>0</v>
      </c>
      <c r="AP35" s="170">
        <f ca="1">+IFERROR(IF(ISNUMBER(OFFSET('EDP Proyectado'!AQ35,0,-'Ingreso Proyectado_Edu'!$P35))&lt;&gt;0,IF(OFFSET('EDP Proyectado'!AQ35,0,-'Ingreso Proyectado_Edu'!$P35)+0&lt;=1,0,OFFSET('EDP Proyectado'!AQ35,0,-'Ingreso Proyectado_Edu'!$P35)+0)),0)</f>
        <v>0</v>
      </c>
    </row>
    <row r="36" spans="3:42" x14ac:dyDescent="0.2">
      <c r="C36" s="117">
        <f>+'Gantt Proyectos'!C104</f>
        <v>8</v>
      </c>
      <c r="D36" s="118" t="str">
        <f>+'Gantt Proyectos'!D104</f>
        <v>Ferrobamba Scoping Study: Escenarios de sensibilidad</v>
      </c>
      <c r="E36" s="118" t="str">
        <f>+'Gantt Proyectos'!E104</f>
        <v>Las Bambas</v>
      </c>
      <c r="F36" s="146" t="str">
        <f>+'Gantt Proyectos'!F104</f>
        <v>Perú</v>
      </c>
      <c r="G36" s="118" t="str">
        <f>+'Gantt Proyectos'!G104</f>
        <v>Chile</v>
      </c>
      <c r="H36" s="118" t="str">
        <f>+'Gantt Proyectos'!H104</f>
        <v>Perú</v>
      </c>
      <c r="I36" s="189">
        <v>0.5</v>
      </c>
      <c r="J36" s="189">
        <f t="shared" si="6"/>
        <v>0.5</v>
      </c>
      <c r="K36" s="118" t="str">
        <f>+'Gantt Proyectos'!I104</f>
        <v>Subterránea</v>
      </c>
      <c r="L36" s="120">
        <f>+'Gantt Proyectos'!J104</f>
        <v>1</v>
      </c>
      <c r="M36" s="118" t="str">
        <f>+'Gantt Proyectos'!K104</f>
        <v>RM</v>
      </c>
      <c r="N36" s="316">
        <f>+'Gantt Proyectos'!L104</f>
        <v>87520</v>
      </c>
      <c r="O36" s="316">
        <f>+'Gantt Proyectos'!M104</f>
        <v>0</v>
      </c>
      <c r="P36" s="118">
        <f>+'Gantt Proyectos'!N104</f>
        <v>2</v>
      </c>
      <c r="Q36" s="119">
        <f>+'Gantt Proyectos'!O104</f>
        <v>45649</v>
      </c>
      <c r="R36" s="119">
        <f>+'Gantt Proyectos'!P104</f>
        <v>45815</v>
      </c>
      <c r="S36" s="118" t="str">
        <f>+'Gantt Proyectos'!R104</f>
        <v>No</v>
      </c>
      <c r="T36" s="118">
        <f>+'Gantt Proyectos'!S104</f>
        <v>0</v>
      </c>
      <c r="U36" s="156">
        <f>+'Gantt Proyectos'!T104</f>
        <v>45649</v>
      </c>
      <c r="V36" s="156">
        <f>+'Gantt Proyectos'!U104</f>
        <v>45815</v>
      </c>
      <c r="W36" s="201">
        <f t="shared" si="7"/>
        <v>6</v>
      </c>
      <c r="X36" s="121">
        <f>+'Gantt Proyectos'!W104</f>
        <v>0.72035794183445179</v>
      </c>
      <c r="Y36" s="122">
        <f>+'Gantt Proyectos'!X104</f>
        <v>0.25</v>
      </c>
      <c r="Z36" s="122">
        <f>+'Gantt Proyectos'!Y104</f>
        <v>0.33</v>
      </c>
      <c r="AA36" s="122">
        <f>+'Gantt Proyectos'!Z104</f>
        <v>0</v>
      </c>
      <c r="AB36" s="122">
        <f>+'Gantt Proyectos'!AA104</f>
        <v>0.5</v>
      </c>
      <c r="AC36" s="122">
        <f>+'Gantt Proyectos'!AB104</f>
        <v>0.5</v>
      </c>
      <c r="AD36" s="152" t="str">
        <f>+'Gantt Proyectos'!AC104</f>
        <v>Estudio Conceptual / LOM</v>
      </c>
      <c r="AE36" s="123" t="str">
        <f>+'Gantt Proyectos'!AD104</f>
        <v>Actual</v>
      </c>
      <c r="AF36" s="124" t="str">
        <f>+'Gantt Proyectos'!AE104</f>
        <v>5. Avance: 75%</v>
      </c>
      <c r="AG36" s="172">
        <v>1</v>
      </c>
      <c r="AH36" s="169">
        <f ca="1">+IFERROR(IF(ISNUMBER(OFFSET('EDP Proyectado'!AI36,0,-'Ingreso Proyectado_Edu'!$P36))&lt;&gt;0,IF(OFFSET('EDP Proyectado'!AI36,0,-'Ingreso Proyectado_Edu'!$P36)+0&lt;=1,0,OFFSET('EDP Proyectado'!AI36,0,-'Ingreso Proyectado_Edu'!$P36)+0)),0)</f>
        <v>0</v>
      </c>
      <c r="AI36" s="169">
        <f ca="1">+IFERROR(IF(ISNUMBER(OFFSET('EDP Proyectado'!AJ36,0,-'Ingreso Proyectado_Edu'!$P36))&lt;&gt;0,IF(OFFSET('EDP Proyectado'!AJ36,0,-'Ingreso Proyectado_Edu'!$P36)+0&lt;=1,0,OFFSET('EDP Proyectado'!AJ36,0,-'Ingreso Proyectado_Edu'!$P36)+0)),0)</f>
        <v>0</v>
      </c>
      <c r="AJ36" s="169">
        <f ca="1">+IFERROR(IF(ISNUMBER(OFFSET('EDP Proyectado'!AK36,0,-'Ingreso Proyectado_Edu'!$P36))&lt;&gt;0,IF(OFFSET('EDP Proyectado'!AK36,0,-'Ingreso Proyectado_Edu'!$P36)+0&lt;=1,0,OFFSET('EDP Proyectado'!AK36,0,-'Ingreso Proyectado_Edu'!$P36)+0)),0)</f>
        <v>14586.666666666666</v>
      </c>
      <c r="AK36" s="169">
        <f ca="1">+IFERROR(IF(ISNUMBER(OFFSET('EDP Proyectado'!AL36,0,-'Ingreso Proyectado_Edu'!$P36))&lt;&gt;0,IF(OFFSET('EDP Proyectado'!AL36,0,-'Ingreso Proyectado_Edu'!$P36)+0&lt;=1,0,OFFSET('EDP Proyectado'!AL36,0,-'Ingreso Proyectado_Edu'!$P36)+0)),0)</f>
        <v>14586.666666666666</v>
      </c>
      <c r="AL36" s="169">
        <f ca="1">+IFERROR(IF(ISNUMBER(OFFSET('EDP Proyectado'!AM36,0,-'Ingreso Proyectado_Edu'!$P36))&lt;&gt;0,IF(OFFSET('EDP Proyectado'!AM36,0,-'Ingreso Proyectado_Edu'!$P36)+0&lt;=1,0,OFFSET('EDP Proyectado'!AM36,0,-'Ingreso Proyectado_Edu'!$P36)+0)),0)</f>
        <v>14586.666666666666</v>
      </c>
      <c r="AM36" s="169">
        <f ca="1">+IFERROR(IF(ISNUMBER(OFFSET('EDP Proyectado'!AN36,0,-'Ingreso Proyectado_Edu'!$P36))&lt;&gt;0,IF(OFFSET('EDP Proyectado'!AN36,0,-'Ingreso Proyectado_Edu'!$P36)+0&lt;=1,0,OFFSET('EDP Proyectado'!AN36,0,-'Ingreso Proyectado_Edu'!$P36)+0)),0)</f>
        <v>0</v>
      </c>
      <c r="AN36" s="169">
        <f ca="1">+IFERROR(IF(ISNUMBER(OFFSET('EDP Proyectado'!AO36,0,-'Ingreso Proyectado_Edu'!$P36))&lt;&gt;0,IF(OFFSET('EDP Proyectado'!AO36,0,-'Ingreso Proyectado_Edu'!$P36)+0&lt;=1,0,OFFSET('EDP Proyectado'!AO36,0,-'Ingreso Proyectado_Edu'!$P36)+0)),0)</f>
        <v>0</v>
      </c>
      <c r="AO36" s="169">
        <f ca="1">+IFERROR(IF(ISNUMBER(OFFSET('EDP Proyectado'!AP36,0,-'Ingreso Proyectado_Edu'!$P36))&lt;&gt;0,IF(OFFSET('EDP Proyectado'!AP36,0,-'Ingreso Proyectado_Edu'!$P36)+0&lt;=1,0,OFFSET('EDP Proyectado'!AP36,0,-'Ingreso Proyectado_Edu'!$P36)+0)),0)</f>
        <v>0</v>
      </c>
      <c r="AP36" s="170">
        <f ca="1">+IFERROR(IF(ISNUMBER(OFFSET('EDP Proyectado'!AQ36,0,-'Ingreso Proyectado_Edu'!$P36))&lt;&gt;0,IF(OFFSET('EDP Proyectado'!AQ36,0,-'Ingreso Proyectado_Edu'!$P36)+0&lt;=1,0,OFFSET('EDP Proyectado'!AQ36,0,-'Ingreso Proyectado_Edu'!$P36)+0)),0)</f>
        <v>0</v>
      </c>
    </row>
    <row r="37" spans="3:42" x14ac:dyDescent="0.2">
      <c r="C37" s="117">
        <f>+'Gantt Proyectos'!C105</f>
        <v>9</v>
      </c>
      <c r="D37" s="118" t="str">
        <f>+'Gantt Proyectos'!D105</f>
        <v>Pre-PFS Twin Metals Birch Lake - Maturi</v>
      </c>
      <c r="E37" s="118" t="str">
        <f>+'Gantt Proyectos'!E105</f>
        <v>Twin Metals</v>
      </c>
      <c r="F37" s="146" t="str">
        <f>+'Gantt Proyectos'!F105</f>
        <v>USA</v>
      </c>
      <c r="G37" s="118" t="str">
        <f>+'Gantt Proyectos'!G105</f>
        <v>Perú</v>
      </c>
      <c r="H37" s="118">
        <f>+'Gantt Proyectos'!H105</f>
        <v>0</v>
      </c>
      <c r="I37" s="189">
        <v>1</v>
      </c>
      <c r="J37" s="189">
        <f t="shared" si="6"/>
        <v>0</v>
      </c>
      <c r="K37" s="118" t="str">
        <f>+'Gantt Proyectos'!I105</f>
        <v>Subterránea</v>
      </c>
      <c r="L37" s="120">
        <f>+'Gantt Proyectos'!J105</f>
        <v>1</v>
      </c>
      <c r="M37" s="118" t="str">
        <f>+'Gantt Proyectos'!K105</f>
        <v>JB</v>
      </c>
      <c r="N37" s="316">
        <f>+'Gantt Proyectos'!L105</f>
        <v>481541</v>
      </c>
      <c r="O37" s="316">
        <f>+'Gantt Proyectos'!M105</f>
        <v>1108886.5899999999</v>
      </c>
      <c r="P37" s="118">
        <f>+'Gantt Proyectos'!N105</f>
        <v>1</v>
      </c>
      <c r="Q37" s="119">
        <f>+'Gantt Proyectos'!O105</f>
        <v>45600</v>
      </c>
      <c r="R37" s="119">
        <f>+'Gantt Proyectos'!P105</f>
        <v>45771</v>
      </c>
      <c r="S37" s="118" t="str">
        <f>+'Gantt Proyectos'!R105</f>
        <v>No</v>
      </c>
      <c r="T37" s="118">
        <f>+'Gantt Proyectos'!S105</f>
        <v>0</v>
      </c>
      <c r="U37" s="156">
        <f>+'Gantt Proyectos'!T105</f>
        <v>45600</v>
      </c>
      <c r="V37" s="156">
        <f>+'Gantt Proyectos'!U105</f>
        <v>45771</v>
      </c>
      <c r="W37" s="201">
        <f t="shared" si="7"/>
        <v>6</v>
      </c>
      <c r="X37" s="121">
        <f>+'Gantt Proyectos'!W105</f>
        <v>2.1588366890380311</v>
      </c>
      <c r="Y37" s="122">
        <f>+'Gantt Proyectos'!X105</f>
        <v>0.5</v>
      </c>
      <c r="Z37" s="122">
        <f>+'Gantt Proyectos'!Y105</f>
        <v>0.5</v>
      </c>
      <c r="AA37" s="122">
        <f>+'Gantt Proyectos'!Z105</f>
        <v>0.75</v>
      </c>
      <c r="AB37" s="122">
        <f>+'Gantt Proyectos'!AA105</f>
        <v>2</v>
      </c>
      <c r="AC37" s="122">
        <f>+'Gantt Proyectos'!AB105</f>
        <v>1</v>
      </c>
      <c r="AD37" s="152" t="str">
        <f>+'Gantt Proyectos'!AC105</f>
        <v>PFS</v>
      </c>
      <c r="AE37" s="123" t="str">
        <f>+'Gantt Proyectos'!AD105</f>
        <v>Actual</v>
      </c>
      <c r="AF37" s="124" t="str">
        <f>+'Gantt Proyectos'!AE105</f>
        <v>5. Avance: 75%</v>
      </c>
      <c r="AG37" s="172">
        <v>1</v>
      </c>
      <c r="AH37" s="169">
        <f ca="1">+IFERROR(IF(ISNUMBER(OFFSET('EDP Proyectado'!AI37,0,-'Ingreso Proyectado_Edu'!$P37))&lt;&gt;0,IF(OFFSET('EDP Proyectado'!AI37,0,-'Ingreso Proyectado_Edu'!$P37)+0&lt;=1,0,OFFSET('EDP Proyectado'!AI37,0,-'Ingreso Proyectado_Edu'!$P37)+0)),0)</f>
        <v>0</v>
      </c>
      <c r="AI37" s="169">
        <f ca="1">+IFERROR(IF(ISNUMBER(OFFSET('EDP Proyectado'!AJ37,0,-'Ingreso Proyectado_Edu'!$P37))&lt;&gt;0,IF(OFFSET('EDP Proyectado'!AJ37,0,-'Ingreso Proyectado_Edu'!$P37)+0&lt;=1,0,OFFSET('EDP Proyectado'!AJ37,0,-'Ingreso Proyectado_Edu'!$P37)+0)),0)</f>
        <v>80256.833333333328</v>
      </c>
      <c r="AJ37" s="169">
        <f ca="1">+IFERROR(IF(ISNUMBER(OFFSET('EDP Proyectado'!AK37,0,-'Ingreso Proyectado_Edu'!$P37))&lt;&gt;0,IF(OFFSET('EDP Proyectado'!AK37,0,-'Ingreso Proyectado_Edu'!$P37)+0&lt;=1,0,OFFSET('EDP Proyectado'!AK37,0,-'Ingreso Proyectado_Edu'!$P37)+0)),0)</f>
        <v>0</v>
      </c>
      <c r="AK37" s="169">
        <f ca="1">+IFERROR(IF(ISNUMBER(OFFSET('EDP Proyectado'!AL37,0,-'Ingreso Proyectado_Edu'!$P37))&lt;&gt;0,IF(OFFSET('EDP Proyectado'!AL37,0,-'Ingreso Proyectado_Edu'!$P37)+0&lt;=1,0,OFFSET('EDP Proyectado'!AL37,0,-'Ingreso Proyectado_Edu'!$P37)+0)),0)</f>
        <v>0</v>
      </c>
      <c r="AL37" s="169">
        <f ca="1">+IFERROR(IF(ISNUMBER(OFFSET('EDP Proyectado'!AM37,0,-'Ingreso Proyectado_Edu'!$P37))&lt;&gt;0,IF(OFFSET('EDP Proyectado'!AM37,0,-'Ingreso Proyectado_Edu'!$P37)+0&lt;=1,0,OFFSET('EDP Proyectado'!AM37,0,-'Ingreso Proyectado_Edu'!$P37)+0)),0)</f>
        <v>0</v>
      </c>
      <c r="AM37" s="169">
        <f ca="1">+IFERROR(IF(ISNUMBER(OFFSET('EDP Proyectado'!AN37,0,-'Ingreso Proyectado_Edu'!$P37))&lt;&gt;0,IF(OFFSET('EDP Proyectado'!AN37,0,-'Ingreso Proyectado_Edu'!$P37)+0&lt;=1,0,OFFSET('EDP Proyectado'!AN37,0,-'Ingreso Proyectado_Edu'!$P37)+0)),0)</f>
        <v>0</v>
      </c>
      <c r="AN37" s="169">
        <f ca="1">+IFERROR(IF(ISNUMBER(OFFSET('EDP Proyectado'!AO37,0,-'Ingreso Proyectado_Edu'!$P37))&lt;&gt;0,IF(OFFSET('EDP Proyectado'!AO37,0,-'Ingreso Proyectado_Edu'!$P37)+0&lt;=1,0,OFFSET('EDP Proyectado'!AO37,0,-'Ingreso Proyectado_Edu'!$P37)+0)),0)</f>
        <v>0</v>
      </c>
      <c r="AO37" s="169">
        <f ca="1">+IFERROR(IF(ISNUMBER(OFFSET('EDP Proyectado'!AP37,0,-'Ingreso Proyectado_Edu'!$P37))&lt;&gt;0,IF(OFFSET('EDP Proyectado'!AP37,0,-'Ingreso Proyectado_Edu'!$P37)+0&lt;=1,0,OFFSET('EDP Proyectado'!AP37,0,-'Ingreso Proyectado_Edu'!$P37)+0)),0)</f>
        <v>0</v>
      </c>
      <c r="AP37" s="170">
        <f ca="1">+IFERROR(IF(ISNUMBER(OFFSET('EDP Proyectado'!AQ37,0,-'Ingreso Proyectado_Edu'!$P37))&lt;&gt;0,IF(OFFSET('EDP Proyectado'!AQ37,0,-'Ingreso Proyectado_Edu'!$P37)+0&lt;=1,0,OFFSET('EDP Proyectado'!AQ37,0,-'Ingreso Proyectado_Edu'!$P37)+0)),0)</f>
        <v>0</v>
      </c>
    </row>
    <row r="38" spans="3:42" x14ac:dyDescent="0.2">
      <c r="C38" s="117">
        <f>+'Gantt Proyectos'!C106</f>
        <v>10</v>
      </c>
      <c r="D38" s="118" t="str">
        <f>+'Gantt Proyectos'!D106</f>
        <v>Análisis Conceptual - Aura UG</v>
      </c>
      <c r="E38" s="118" t="str">
        <f>+'Gantt Proyectos'!E106</f>
        <v>Aura Minerals</v>
      </c>
      <c r="F38" s="146" t="str">
        <f>+'Gantt Proyectos'!F106</f>
        <v>Brasil</v>
      </c>
      <c r="G38" s="118" t="str">
        <f>+'Gantt Proyectos'!G106</f>
        <v>Chile</v>
      </c>
      <c r="H38" s="118">
        <f>+'Gantt Proyectos'!H106</f>
        <v>0</v>
      </c>
      <c r="I38" s="189">
        <v>1</v>
      </c>
      <c r="J38" s="189">
        <f t="shared" si="6"/>
        <v>0</v>
      </c>
      <c r="K38" s="118" t="str">
        <f>+'Gantt Proyectos'!I106</f>
        <v>Subterránea</v>
      </c>
      <c r="L38" s="120">
        <f>+'Gantt Proyectos'!J106</f>
        <v>1</v>
      </c>
      <c r="M38" s="118" t="str">
        <f>+'Gantt Proyectos'!K106</f>
        <v>RMI</v>
      </c>
      <c r="N38" s="316">
        <f>+'Gantt Proyectos'!L106</f>
        <v>310000</v>
      </c>
      <c r="O38" s="316">
        <f>+'Gantt Proyectos'!M106</f>
        <v>86592</v>
      </c>
      <c r="P38" s="118">
        <f>+'Gantt Proyectos'!N106</f>
        <v>1</v>
      </c>
      <c r="Q38" s="119">
        <f>+'Gantt Proyectos'!O106</f>
        <v>45642</v>
      </c>
      <c r="R38" s="119">
        <f>+'Gantt Proyectos'!P106</f>
        <v>45824</v>
      </c>
      <c r="S38" s="118" t="str">
        <f>+'Gantt Proyectos'!R106</f>
        <v>No</v>
      </c>
      <c r="T38" s="118">
        <f>+'Gantt Proyectos'!S106</f>
        <v>0</v>
      </c>
      <c r="U38" s="156">
        <f>+'Gantt Proyectos'!T106</f>
        <v>45642</v>
      </c>
      <c r="V38" s="156">
        <f>+'Gantt Proyectos'!U106</f>
        <v>45824</v>
      </c>
      <c r="W38" s="201">
        <f t="shared" si="7"/>
        <v>6</v>
      </c>
      <c r="X38" s="121">
        <f>+'Gantt Proyectos'!W106</f>
        <v>1.4474272930648768</v>
      </c>
      <c r="Y38" s="122">
        <f>+'Gantt Proyectos'!X106</f>
        <v>0.33</v>
      </c>
      <c r="Z38" s="122">
        <f>+'Gantt Proyectos'!Y106</f>
        <v>0.5</v>
      </c>
      <c r="AA38" s="122">
        <f>+'Gantt Proyectos'!Z106</f>
        <v>0.33</v>
      </c>
      <c r="AB38" s="122">
        <f>+'Gantt Proyectos'!AA106</f>
        <v>1</v>
      </c>
      <c r="AC38" s="122">
        <f>+'Gantt Proyectos'!AB106</f>
        <v>1</v>
      </c>
      <c r="AD38" s="152" t="str">
        <f>+'Gantt Proyectos'!AC106</f>
        <v>Scoping</v>
      </c>
      <c r="AE38" s="123" t="str">
        <f>+'Gantt Proyectos'!AD106</f>
        <v>Actual</v>
      </c>
      <c r="AF38" s="124" t="str">
        <f>+'Gantt Proyectos'!AE106</f>
        <v>5. Avance: 75%</v>
      </c>
      <c r="AG38" s="172">
        <v>1</v>
      </c>
      <c r="AH38" s="169">
        <f ca="1">+IFERROR(IF(ISNUMBER(OFFSET('EDP Proyectado'!AI38,0,-'Ingreso Proyectado_Edu'!$P38))&lt;&gt;0,IF(OFFSET('EDP Proyectado'!AI38,0,-'Ingreso Proyectado_Edu'!$P38)+0&lt;=1,0,OFFSET('EDP Proyectado'!AI38,0,-'Ingreso Proyectado_Edu'!$P38)+0)),0)</f>
        <v>0</v>
      </c>
      <c r="AI38" s="169">
        <f ca="1">+IFERROR(IF(ISNUMBER(OFFSET('EDP Proyectado'!AJ38,0,-'Ingreso Proyectado_Edu'!$P38))&lt;&gt;0,IF(OFFSET('EDP Proyectado'!AJ38,0,-'Ingreso Proyectado_Edu'!$P38)+0&lt;=1,0,OFFSET('EDP Proyectado'!AJ38,0,-'Ingreso Proyectado_Edu'!$P38)+0)),0)</f>
        <v>51666.666666666664</v>
      </c>
      <c r="AJ38" s="169">
        <f ca="1">+IFERROR(IF(ISNUMBER(OFFSET('EDP Proyectado'!AK38,0,-'Ingreso Proyectado_Edu'!$P38))&lt;&gt;0,IF(OFFSET('EDP Proyectado'!AK38,0,-'Ingreso Proyectado_Edu'!$P38)+0&lt;=1,0,OFFSET('EDP Proyectado'!AK38,0,-'Ingreso Proyectado_Edu'!$P38)+0)),0)</f>
        <v>51666.666666666664</v>
      </c>
      <c r="AK38" s="169">
        <f ca="1">+IFERROR(IF(ISNUMBER(OFFSET('EDP Proyectado'!AL38,0,-'Ingreso Proyectado_Edu'!$P38))&lt;&gt;0,IF(OFFSET('EDP Proyectado'!AL38,0,-'Ingreso Proyectado_Edu'!$P38)+0&lt;=1,0,OFFSET('EDP Proyectado'!AL38,0,-'Ingreso Proyectado_Edu'!$P38)+0)),0)</f>
        <v>51666.666666666664</v>
      </c>
      <c r="AL38" s="169">
        <f ca="1">+IFERROR(IF(ISNUMBER(OFFSET('EDP Proyectado'!AM38,0,-'Ingreso Proyectado_Edu'!$P38))&lt;&gt;0,IF(OFFSET('EDP Proyectado'!AM38,0,-'Ingreso Proyectado_Edu'!$P38)+0&lt;=1,0,OFFSET('EDP Proyectado'!AM38,0,-'Ingreso Proyectado_Edu'!$P38)+0)),0)</f>
        <v>0</v>
      </c>
      <c r="AM38" s="169">
        <f ca="1">+IFERROR(IF(ISNUMBER(OFFSET('EDP Proyectado'!AN38,0,-'Ingreso Proyectado_Edu'!$P38))&lt;&gt;0,IF(OFFSET('EDP Proyectado'!AN38,0,-'Ingreso Proyectado_Edu'!$P38)+0&lt;=1,0,OFFSET('EDP Proyectado'!AN38,0,-'Ingreso Proyectado_Edu'!$P38)+0)),0)</f>
        <v>0</v>
      </c>
      <c r="AN38" s="169">
        <f ca="1">+IFERROR(IF(ISNUMBER(OFFSET('EDP Proyectado'!AO38,0,-'Ingreso Proyectado_Edu'!$P38))&lt;&gt;0,IF(OFFSET('EDP Proyectado'!AO38,0,-'Ingreso Proyectado_Edu'!$P38)+0&lt;=1,0,OFFSET('EDP Proyectado'!AO38,0,-'Ingreso Proyectado_Edu'!$P38)+0)),0)</f>
        <v>0</v>
      </c>
      <c r="AO38" s="169">
        <f ca="1">+IFERROR(IF(ISNUMBER(OFFSET('EDP Proyectado'!AP38,0,-'Ingreso Proyectado_Edu'!$P38))&lt;&gt;0,IF(OFFSET('EDP Proyectado'!AP38,0,-'Ingreso Proyectado_Edu'!$P38)+0&lt;=1,0,OFFSET('EDP Proyectado'!AP38,0,-'Ingreso Proyectado_Edu'!$P38)+0)),0)</f>
        <v>0</v>
      </c>
      <c r="AP38" s="170">
        <f ca="1">+IFERROR(IF(ISNUMBER(OFFSET('EDP Proyectado'!AQ38,0,-'Ingreso Proyectado_Edu'!$P38))&lt;&gt;0,IF(OFFSET('EDP Proyectado'!AQ38,0,-'Ingreso Proyectado_Edu'!$P38)+0&lt;=1,0,OFFSET('EDP Proyectado'!AQ38,0,-'Ingreso Proyectado_Edu'!$P38)+0)),0)</f>
        <v>0</v>
      </c>
    </row>
    <row r="39" spans="3:42" x14ac:dyDescent="0.2">
      <c r="C39" s="117">
        <f>+'Gantt Proyectos'!C107</f>
        <v>11</v>
      </c>
      <c r="D39" s="118" t="str">
        <f>+'Gantt Proyectos'!D107</f>
        <v>Los Calatos - Extensión (v3)</v>
      </c>
      <c r="E39" s="118" t="str">
        <f>+'Gantt Proyectos'!E107</f>
        <v>CD Capital</v>
      </c>
      <c r="F39" s="146" t="str">
        <f>+'Gantt Proyectos'!F107</f>
        <v>Perú</v>
      </c>
      <c r="G39" s="118" t="str">
        <f>+'Gantt Proyectos'!G107</f>
        <v>Chile</v>
      </c>
      <c r="H39" s="118" t="str">
        <f>+'Gantt Proyectos'!H107</f>
        <v>Perú</v>
      </c>
      <c r="I39" s="189">
        <v>0.5</v>
      </c>
      <c r="J39" s="189">
        <f t="shared" si="6"/>
        <v>0.5</v>
      </c>
      <c r="K39" s="118" t="str">
        <f>+'Gantt Proyectos'!I107</f>
        <v>Subterránea</v>
      </c>
      <c r="L39" s="120">
        <f>+'Gantt Proyectos'!J107</f>
        <v>1</v>
      </c>
      <c r="M39" s="118" t="str">
        <f>+'Gantt Proyectos'!K107</f>
        <v>AF</v>
      </c>
      <c r="N39" s="316">
        <f>+'Gantt Proyectos'!L107</f>
        <v>295769</v>
      </c>
      <c r="O39" s="316">
        <f>+'Gantt Proyectos'!M107</f>
        <v>11920</v>
      </c>
      <c r="P39" s="118">
        <f>+'Gantt Proyectos'!N107</f>
        <v>1</v>
      </c>
      <c r="Q39" s="119">
        <f>+'Gantt Proyectos'!O107</f>
        <v>45670</v>
      </c>
      <c r="R39" s="119">
        <f>+'Gantt Proyectos'!P107</f>
        <v>45866</v>
      </c>
      <c r="S39" s="118" t="str">
        <f>+'Gantt Proyectos'!R107</f>
        <v>No</v>
      </c>
      <c r="T39" s="118">
        <f>+'Gantt Proyectos'!S107</f>
        <v>0</v>
      </c>
      <c r="U39" s="156">
        <f>+'Gantt Proyectos'!T107</f>
        <v>45670</v>
      </c>
      <c r="V39" s="156">
        <f>+'Gantt Proyectos'!U107</f>
        <v>45866</v>
      </c>
      <c r="W39" s="201">
        <f t="shared" si="7"/>
        <v>7</v>
      </c>
      <c r="X39" s="121">
        <f>+'Gantt Proyectos'!W107</f>
        <v>2.1588366890380311</v>
      </c>
      <c r="Y39" s="122">
        <f>+'Gantt Proyectos'!X107</f>
        <v>0.5</v>
      </c>
      <c r="Z39" s="122">
        <f>+'Gantt Proyectos'!Y107</f>
        <v>0.5</v>
      </c>
      <c r="AA39" s="122">
        <f>+'Gantt Proyectos'!Z107</f>
        <v>0.75</v>
      </c>
      <c r="AB39" s="122">
        <f>+'Gantt Proyectos'!AA107</f>
        <v>2</v>
      </c>
      <c r="AC39" s="122">
        <f>+'Gantt Proyectos'!AB107</f>
        <v>1</v>
      </c>
      <c r="AD39" s="152" t="str">
        <f>+'Gantt Proyectos'!AC107</f>
        <v>PFS</v>
      </c>
      <c r="AE39" s="123" t="str">
        <f>+'Gantt Proyectos'!AD107</f>
        <v>Actual</v>
      </c>
      <c r="AF39" s="124" t="str">
        <f>+'Gantt Proyectos'!AE107</f>
        <v>4. Avance: 50%</v>
      </c>
      <c r="AG39" s="172">
        <v>1</v>
      </c>
      <c r="AH39" s="169">
        <f ca="1">+IFERROR(IF(ISNUMBER(OFFSET('EDP Proyectado'!AI39,0,-'Ingreso Proyectado_Edu'!$P39))&lt;&gt;0,IF(OFFSET('EDP Proyectado'!AI39,0,-'Ingreso Proyectado_Edu'!$P39)+0&lt;=1,0,OFFSET('EDP Proyectado'!AI39,0,-'Ingreso Proyectado_Edu'!$P39)+0)),0)</f>
        <v>0</v>
      </c>
      <c r="AI39" s="169">
        <f ca="1">+IFERROR(IF(ISNUMBER(OFFSET('EDP Proyectado'!AJ39,0,-'Ingreso Proyectado_Edu'!$P39))&lt;&gt;0,IF(OFFSET('EDP Proyectado'!AJ39,0,-'Ingreso Proyectado_Edu'!$P39)+0&lt;=1,0,OFFSET('EDP Proyectado'!AJ39,0,-'Ingreso Proyectado_Edu'!$P39)+0)),0)</f>
        <v>42252.714285714283</v>
      </c>
      <c r="AJ39" s="169">
        <f ca="1">+IFERROR(IF(ISNUMBER(OFFSET('EDP Proyectado'!AK39,0,-'Ingreso Proyectado_Edu'!$P39))&lt;&gt;0,IF(OFFSET('EDP Proyectado'!AK39,0,-'Ingreso Proyectado_Edu'!$P39)+0&lt;=1,0,OFFSET('EDP Proyectado'!AK39,0,-'Ingreso Proyectado_Edu'!$P39)+0)),0)</f>
        <v>42252.714285714283</v>
      </c>
      <c r="AK39" s="169">
        <f ca="1">+IFERROR(IF(ISNUMBER(OFFSET('EDP Proyectado'!AL39,0,-'Ingreso Proyectado_Edu'!$P39))&lt;&gt;0,IF(OFFSET('EDP Proyectado'!AL39,0,-'Ingreso Proyectado_Edu'!$P39)+0&lt;=1,0,OFFSET('EDP Proyectado'!AL39,0,-'Ingreso Proyectado_Edu'!$P39)+0)),0)</f>
        <v>42252.714285714283</v>
      </c>
      <c r="AL39" s="169">
        <f ca="1">+IFERROR(IF(ISNUMBER(OFFSET('EDP Proyectado'!AM39,0,-'Ingreso Proyectado_Edu'!$P39))&lt;&gt;0,IF(OFFSET('EDP Proyectado'!AM39,0,-'Ingreso Proyectado_Edu'!$P39)+0&lt;=1,0,OFFSET('EDP Proyectado'!AM39,0,-'Ingreso Proyectado_Edu'!$P39)+0)),0)</f>
        <v>42252.714285714283</v>
      </c>
      <c r="AM39" s="169">
        <f ca="1">+IFERROR(IF(ISNUMBER(OFFSET('EDP Proyectado'!AN39,0,-'Ingreso Proyectado_Edu'!$P39))&lt;&gt;0,IF(OFFSET('EDP Proyectado'!AN39,0,-'Ingreso Proyectado_Edu'!$P39)+0&lt;=1,0,OFFSET('EDP Proyectado'!AN39,0,-'Ingreso Proyectado_Edu'!$P39)+0)),0)</f>
        <v>0</v>
      </c>
      <c r="AN39" s="169">
        <f ca="1">+IFERROR(IF(ISNUMBER(OFFSET('EDP Proyectado'!AO39,0,-'Ingreso Proyectado_Edu'!$P39))&lt;&gt;0,IF(OFFSET('EDP Proyectado'!AO39,0,-'Ingreso Proyectado_Edu'!$P39)+0&lt;=1,0,OFFSET('EDP Proyectado'!AO39,0,-'Ingreso Proyectado_Edu'!$P39)+0)),0)</f>
        <v>0</v>
      </c>
      <c r="AO39" s="169">
        <f ca="1">+IFERROR(IF(ISNUMBER(OFFSET('EDP Proyectado'!AP39,0,-'Ingreso Proyectado_Edu'!$P39))&lt;&gt;0,IF(OFFSET('EDP Proyectado'!AP39,0,-'Ingreso Proyectado_Edu'!$P39)+0&lt;=1,0,OFFSET('EDP Proyectado'!AP39,0,-'Ingreso Proyectado_Edu'!$P39)+0)),0)</f>
        <v>0</v>
      </c>
      <c r="AP39" s="170">
        <f ca="1">+IFERROR(IF(ISNUMBER(OFFSET('EDP Proyectado'!AQ39,0,-'Ingreso Proyectado_Edu'!$P39))&lt;&gt;0,IF(OFFSET('EDP Proyectado'!AQ39,0,-'Ingreso Proyectado_Edu'!$P39)+0&lt;=1,0,OFFSET('EDP Proyectado'!AQ39,0,-'Ingreso Proyectado_Edu'!$P39)+0)),0)</f>
        <v>0</v>
      </c>
    </row>
    <row r="40" spans="3:42" x14ac:dyDescent="0.2">
      <c r="C40" s="117">
        <f>+'Gantt Proyectos'!C108</f>
        <v>12</v>
      </c>
      <c r="D40" s="118" t="str">
        <f>+'Gantt Proyectos'!D108</f>
        <v>Analisis Innovación Tecnologica Distrito Centinela</v>
      </c>
      <c r="E40" s="118" t="str">
        <f>+'Gantt Proyectos'!E108</f>
        <v>AMSA</v>
      </c>
      <c r="F40" s="146" t="str">
        <f>+'Gantt Proyectos'!F108</f>
        <v>Chile</v>
      </c>
      <c r="G40" s="118" t="str">
        <f>+'Gantt Proyectos'!G108</f>
        <v>Chile</v>
      </c>
      <c r="H40" s="118">
        <f>+'Gantt Proyectos'!H108</f>
        <v>0</v>
      </c>
      <c r="I40" s="189">
        <v>1</v>
      </c>
      <c r="J40" s="189">
        <f t="shared" si="6"/>
        <v>0</v>
      </c>
      <c r="K40" s="118" t="str">
        <f>+'Gantt Proyectos'!I108</f>
        <v>Open Pit</v>
      </c>
      <c r="L40" s="120">
        <f>+'Gantt Proyectos'!J108</f>
        <v>1</v>
      </c>
      <c r="M40" s="118" t="str">
        <f>+'Gantt Proyectos'!K108</f>
        <v>CAR</v>
      </c>
      <c r="N40" s="316">
        <f>+'Gantt Proyectos'!L108</f>
        <v>134445.66999999998</v>
      </c>
      <c r="O40" s="316">
        <f>+'Gantt Proyectos'!M108</f>
        <v>0</v>
      </c>
      <c r="P40" s="118">
        <f>+'Gantt Proyectos'!N108</f>
        <v>1</v>
      </c>
      <c r="Q40" s="119">
        <f>+'Gantt Proyectos'!O108</f>
        <v>45649</v>
      </c>
      <c r="R40" s="119">
        <f>+'Gantt Proyectos'!P108</f>
        <v>46020</v>
      </c>
      <c r="S40" s="118" t="str">
        <f>+'Gantt Proyectos'!R108</f>
        <v>No</v>
      </c>
      <c r="T40" s="118">
        <f>+'Gantt Proyectos'!S108</f>
        <v>0</v>
      </c>
      <c r="U40" s="156">
        <f>+'Gantt Proyectos'!T108</f>
        <v>45649</v>
      </c>
      <c r="V40" s="156">
        <f>+'Gantt Proyectos'!U108</f>
        <v>46020</v>
      </c>
      <c r="W40" s="201">
        <f t="shared" si="7"/>
        <v>13</v>
      </c>
      <c r="X40" s="121">
        <f>+'Gantt Proyectos'!W108</f>
        <v>1.4474272930648768</v>
      </c>
      <c r="Y40" s="122">
        <f>+'Gantt Proyectos'!X108</f>
        <v>0.33</v>
      </c>
      <c r="Z40" s="122">
        <f>+'Gantt Proyectos'!Y108</f>
        <v>0.5</v>
      </c>
      <c r="AA40" s="122">
        <f>+'Gantt Proyectos'!Z108</f>
        <v>0.33</v>
      </c>
      <c r="AB40" s="122">
        <f>+'Gantt Proyectos'!AA108</f>
        <v>1</v>
      </c>
      <c r="AC40" s="122">
        <f>+'Gantt Proyectos'!AB108</f>
        <v>1</v>
      </c>
      <c r="AD40" s="152" t="str">
        <f>+'Gantt Proyectos'!AC108</f>
        <v>Scoping</v>
      </c>
      <c r="AE40" s="123" t="str">
        <f>+'Gantt Proyectos'!AD108</f>
        <v>Actual</v>
      </c>
      <c r="AF40" s="124" t="str">
        <f>+'Gantt Proyectos'!AE108</f>
        <v>4. Avance: 50%</v>
      </c>
      <c r="AG40" s="172">
        <v>1</v>
      </c>
      <c r="AH40" s="169">
        <f ca="1">+IFERROR(IF(ISNUMBER(OFFSET('EDP Proyectado'!AI40,0,-'Ingreso Proyectado_Edu'!$P40))&lt;&gt;0,IF(OFFSET('EDP Proyectado'!AI40,0,-'Ingreso Proyectado_Edu'!$P40)+0&lt;=1,0,OFFSET('EDP Proyectado'!AI40,0,-'Ingreso Proyectado_Edu'!$P40)+0)),0)</f>
        <v>0</v>
      </c>
      <c r="AI40" s="169">
        <f ca="1">+IFERROR(IF(ISNUMBER(OFFSET('EDP Proyectado'!AJ40,0,-'Ingreso Proyectado_Edu'!$P40))&lt;&gt;0,IF(OFFSET('EDP Proyectado'!AJ40,0,-'Ingreso Proyectado_Edu'!$P40)+0&lt;=1,0,OFFSET('EDP Proyectado'!AJ40,0,-'Ingreso Proyectado_Edu'!$P40)+0)),0)</f>
        <v>10341.974615384615</v>
      </c>
      <c r="AJ40" s="169">
        <f ca="1">+IFERROR(IF(ISNUMBER(OFFSET('EDP Proyectado'!AK40,0,-'Ingreso Proyectado_Edu'!$P40))&lt;&gt;0,IF(OFFSET('EDP Proyectado'!AK40,0,-'Ingreso Proyectado_Edu'!$P40)+0&lt;=1,0,OFFSET('EDP Proyectado'!AK40,0,-'Ingreso Proyectado_Edu'!$P40)+0)),0)</f>
        <v>10341.974615384615</v>
      </c>
      <c r="AK40" s="169">
        <f ca="1">+IFERROR(IF(ISNUMBER(OFFSET('EDP Proyectado'!AL40,0,-'Ingreso Proyectado_Edu'!$P40))&lt;&gt;0,IF(OFFSET('EDP Proyectado'!AL40,0,-'Ingreso Proyectado_Edu'!$P40)+0&lt;=1,0,OFFSET('EDP Proyectado'!AL40,0,-'Ingreso Proyectado_Edu'!$P40)+0)),0)</f>
        <v>10341.974615384615</v>
      </c>
      <c r="AL40" s="169">
        <f ca="1">+IFERROR(IF(ISNUMBER(OFFSET('EDP Proyectado'!AM40,0,-'Ingreso Proyectado_Edu'!$P40))&lt;&gt;0,IF(OFFSET('EDP Proyectado'!AM40,0,-'Ingreso Proyectado_Edu'!$P40)+0&lt;=1,0,OFFSET('EDP Proyectado'!AM40,0,-'Ingreso Proyectado_Edu'!$P40)+0)),0)</f>
        <v>10341.974615384615</v>
      </c>
      <c r="AM40" s="169">
        <f ca="1">+IFERROR(IF(ISNUMBER(OFFSET('EDP Proyectado'!AN40,0,-'Ingreso Proyectado_Edu'!$P40))&lt;&gt;0,IF(OFFSET('EDP Proyectado'!AN40,0,-'Ingreso Proyectado_Edu'!$P40)+0&lt;=1,0,OFFSET('EDP Proyectado'!AN40,0,-'Ingreso Proyectado_Edu'!$P40)+0)),0)</f>
        <v>10341.974615384615</v>
      </c>
      <c r="AN40" s="169">
        <f ca="1">+IFERROR(IF(ISNUMBER(OFFSET('EDP Proyectado'!AO40,0,-'Ingreso Proyectado_Edu'!$P40))&lt;&gt;0,IF(OFFSET('EDP Proyectado'!AO40,0,-'Ingreso Proyectado_Edu'!$P40)+0&lt;=1,0,OFFSET('EDP Proyectado'!AO40,0,-'Ingreso Proyectado_Edu'!$P40)+0)),0)</f>
        <v>10341.974615384615</v>
      </c>
      <c r="AO40" s="169">
        <f ca="1">+IFERROR(IF(ISNUMBER(OFFSET('EDP Proyectado'!AP40,0,-'Ingreso Proyectado_Edu'!$P40))&lt;&gt;0,IF(OFFSET('EDP Proyectado'!AP40,0,-'Ingreso Proyectado_Edu'!$P40)+0&lt;=1,0,OFFSET('EDP Proyectado'!AP40,0,-'Ingreso Proyectado_Edu'!$P40)+0)),0)</f>
        <v>10341.974615384615</v>
      </c>
      <c r="AP40" s="170">
        <f ca="1">+IFERROR(IF(ISNUMBER(OFFSET('EDP Proyectado'!AQ40,0,-'Ingreso Proyectado_Edu'!$P40))&lt;&gt;0,IF(OFFSET('EDP Proyectado'!AQ40,0,-'Ingreso Proyectado_Edu'!$P40)+0&lt;=1,0,OFFSET('EDP Proyectado'!AQ40,0,-'Ingreso Proyectado_Edu'!$P40)+0)),0)</f>
        <v>10341.974615384615</v>
      </c>
    </row>
    <row r="41" spans="3:42" x14ac:dyDescent="0.2">
      <c r="C41" s="117">
        <f>+'Gantt Proyectos'!C109</f>
        <v>13</v>
      </c>
      <c r="D41" s="118" t="str">
        <f>+'Gantt Proyectos'!D109</f>
        <v>Cerro Colorado: Diseño Cierre de Botaderos</v>
      </c>
      <c r="E41" s="118" t="str">
        <f>+'Gantt Proyectos'!E109</f>
        <v>BHP</v>
      </c>
      <c r="F41" s="146" t="str">
        <f>+'Gantt Proyectos'!F109</f>
        <v>Chile</v>
      </c>
      <c r="G41" s="118" t="str">
        <f>+'Gantt Proyectos'!G109</f>
        <v>Chile</v>
      </c>
      <c r="H41" s="118">
        <f>+'Gantt Proyectos'!H109</f>
        <v>0</v>
      </c>
      <c r="I41" s="189">
        <v>1</v>
      </c>
      <c r="J41" s="189">
        <f t="shared" si="6"/>
        <v>0</v>
      </c>
      <c r="K41" s="118" t="str">
        <f>+'Gantt Proyectos'!I109</f>
        <v>Open Pit</v>
      </c>
      <c r="L41" s="120">
        <f>+'Gantt Proyectos'!J109</f>
        <v>1</v>
      </c>
      <c r="M41" s="118" t="str">
        <f>+'Gantt Proyectos'!K109</f>
        <v>RM</v>
      </c>
      <c r="N41" s="316">
        <f>+'Gantt Proyectos'!L109</f>
        <v>904853</v>
      </c>
      <c r="O41" s="316">
        <f>+'Gantt Proyectos'!M109</f>
        <v>469229.57888888888</v>
      </c>
      <c r="P41" s="118">
        <f>+'Gantt Proyectos'!N109</f>
        <v>1</v>
      </c>
      <c r="Q41" s="119">
        <f>+'Gantt Proyectos'!O109</f>
        <v>45649</v>
      </c>
      <c r="R41" s="119">
        <f>+'Gantt Proyectos'!P109</f>
        <v>45831</v>
      </c>
      <c r="S41" s="118" t="str">
        <f>+'Gantt Proyectos'!R109</f>
        <v>No</v>
      </c>
      <c r="T41" s="118">
        <f>+'Gantt Proyectos'!S109</f>
        <v>0</v>
      </c>
      <c r="U41" s="156">
        <f>+'Gantt Proyectos'!T109</f>
        <v>45649</v>
      </c>
      <c r="V41" s="156">
        <f>+'Gantt Proyectos'!U109</f>
        <v>45831</v>
      </c>
      <c r="W41" s="201">
        <f t="shared" si="7"/>
        <v>6</v>
      </c>
      <c r="X41" s="121">
        <f>+'Gantt Proyectos'!W109</f>
        <v>2.5503355704697985</v>
      </c>
      <c r="Y41" s="122">
        <f>+'Gantt Proyectos'!X109</f>
        <v>0.5</v>
      </c>
      <c r="Z41" s="122">
        <f>+'Gantt Proyectos'!Y109</f>
        <v>0.67</v>
      </c>
      <c r="AA41" s="122">
        <f>+'Gantt Proyectos'!Z109</f>
        <v>1</v>
      </c>
      <c r="AB41" s="122">
        <f>+'Gantt Proyectos'!AA109</f>
        <v>2.5</v>
      </c>
      <c r="AC41" s="122">
        <f>+'Gantt Proyectos'!AB109</f>
        <v>1</v>
      </c>
      <c r="AD41" s="152" t="str">
        <f>+'Gantt Proyectos'!AC109</f>
        <v>FS e Ing. Basica</v>
      </c>
      <c r="AE41" s="123" t="str">
        <f>+'Gantt Proyectos'!AD109</f>
        <v>Actual</v>
      </c>
      <c r="AF41" s="124" t="str">
        <f>+'Gantt Proyectos'!AE109</f>
        <v>4. Avance: 50%</v>
      </c>
      <c r="AG41" s="172">
        <v>1</v>
      </c>
      <c r="AH41" s="169">
        <f ca="1">+IFERROR(IF(ISNUMBER(OFFSET('EDP Proyectado'!AI41,0,-'Ingreso Proyectado_Edu'!$P41))&lt;&gt;0,IF(OFFSET('EDP Proyectado'!AI41,0,-'Ingreso Proyectado_Edu'!$P41)+0&lt;=1,0,OFFSET('EDP Proyectado'!AI41,0,-'Ingreso Proyectado_Edu'!$P41)+0)),0)</f>
        <v>0</v>
      </c>
      <c r="AI41" s="169">
        <f ca="1">+IFERROR(IF(ISNUMBER(OFFSET('EDP Proyectado'!AJ41,0,-'Ingreso Proyectado_Edu'!$P41))&lt;&gt;0,IF(OFFSET('EDP Proyectado'!AJ41,0,-'Ingreso Proyectado_Edu'!$P41)+0&lt;=1,0,OFFSET('EDP Proyectado'!AJ41,0,-'Ingreso Proyectado_Edu'!$P41)+0)),0)</f>
        <v>150808.83333333331</v>
      </c>
      <c r="AJ41" s="169">
        <f ca="1">+IFERROR(IF(ISNUMBER(OFFSET('EDP Proyectado'!AK41,0,-'Ingreso Proyectado_Edu'!$P41))&lt;&gt;0,IF(OFFSET('EDP Proyectado'!AK41,0,-'Ingreso Proyectado_Edu'!$P41)+0&lt;=1,0,OFFSET('EDP Proyectado'!AK41,0,-'Ingreso Proyectado_Edu'!$P41)+0)),0)</f>
        <v>150808.83333333331</v>
      </c>
      <c r="AK41" s="169">
        <f ca="1">+IFERROR(IF(ISNUMBER(OFFSET('EDP Proyectado'!AL41,0,-'Ingreso Proyectado_Edu'!$P41))&lt;&gt;0,IF(OFFSET('EDP Proyectado'!AL41,0,-'Ingreso Proyectado_Edu'!$P41)+0&lt;=1,0,OFFSET('EDP Proyectado'!AL41,0,-'Ingreso Proyectado_Edu'!$P41)+0)),0)</f>
        <v>150808.83333333331</v>
      </c>
      <c r="AL41" s="169">
        <f ca="1">+IFERROR(IF(ISNUMBER(OFFSET('EDP Proyectado'!AM41,0,-'Ingreso Proyectado_Edu'!$P41))&lt;&gt;0,IF(OFFSET('EDP Proyectado'!AM41,0,-'Ingreso Proyectado_Edu'!$P41)+0&lt;=1,0,OFFSET('EDP Proyectado'!AM41,0,-'Ingreso Proyectado_Edu'!$P41)+0)),0)</f>
        <v>0</v>
      </c>
      <c r="AM41" s="169">
        <f ca="1">+IFERROR(IF(ISNUMBER(OFFSET('EDP Proyectado'!AN41,0,-'Ingreso Proyectado_Edu'!$P41))&lt;&gt;0,IF(OFFSET('EDP Proyectado'!AN41,0,-'Ingreso Proyectado_Edu'!$P41)+0&lt;=1,0,OFFSET('EDP Proyectado'!AN41,0,-'Ingreso Proyectado_Edu'!$P41)+0)),0)</f>
        <v>0</v>
      </c>
      <c r="AN41" s="169">
        <f ca="1">+IFERROR(IF(ISNUMBER(OFFSET('EDP Proyectado'!AO41,0,-'Ingreso Proyectado_Edu'!$P41))&lt;&gt;0,IF(OFFSET('EDP Proyectado'!AO41,0,-'Ingreso Proyectado_Edu'!$P41)+0&lt;=1,0,OFFSET('EDP Proyectado'!AO41,0,-'Ingreso Proyectado_Edu'!$P41)+0)),0)</f>
        <v>0</v>
      </c>
      <c r="AO41" s="169">
        <f ca="1">+IFERROR(IF(ISNUMBER(OFFSET('EDP Proyectado'!AP41,0,-'Ingreso Proyectado_Edu'!$P41))&lt;&gt;0,IF(OFFSET('EDP Proyectado'!AP41,0,-'Ingreso Proyectado_Edu'!$P41)+0&lt;=1,0,OFFSET('EDP Proyectado'!AP41,0,-'Ingreso Proyectado_Edu'!$P41)+0)),0)</f>
        <v>0</v>
      </c>
      <c r="AP41" s="170">
        <f ca="1">+IFERROR(IF(ISNUMBER(OFFSET('EDP Proyectado'!AQ41,0,-'Ingreso Proyectado_Edu'!$P41))&lt;&gt;0,IF(OFFSET('EDP Proyectado'!AQ41,0,-'Ingreso Proyectado_Edu'!$P41)+0&lt;=1,0,OFFSET('EDP Proyectado'!AQ41,0,-'Ingreso Proyectado_Edu'!$P41)+0)),0)</f>
        <v>0</v>
      </c>
    </row>
    <row r="42" spans="3:42" x14ac:dyDescent="0.2">
      <c r="C42" s="117">
        <f>+'Gantt Proyectos'!C110</f>
        <v>14</v>
      </c>
      <c r="D42" s="118" t="str">
        <f>+'Gantt Proyectos'!D110</f>
        <v>Analisis de Productividad Los Bronces</v>
      </c>
      <c r="E42" s="118" t="str">
        <f>+'Gantt Proyectos'!E110</f>
        <v>AngloAmerican</v>
      </c>
      <c r="F42" s="146" t="str">
        <f>+'Gantt Proyectos'!F110</f>
        <v>Chile</v>
      </c>
      <c r="G42" s="118" t="str">
        <f>+'Gantt Proyectos'!G110</f>
        <v>Chile</v>
      </c>
      <c r="H42" s="118">
        <f>+'Gantt Proyectos'!H110</f>
        <v>0</v>
      </c>
      <c r="I42" s="189">
        <v>1</v>
      </c>
      <c r="J42" s="189">
        <f t="shared" si="6"/>
        <v>0</v>
      </c>
      <c r="K42" s="118" t="str">
        <f>+'Gantt Proyectos'!I110</f>
        <v>Open Pit</v>
      </c>
      <c r="L42" s="120">
        <f>+'Gantt Proyectos'!J110</f>
        <v>1</v>
      </c>
      <c r="M42" s="118" t="str">
        <f>+'Gantt Proyectos'!K110</f>
        <v>FR</v>
      </c>
      <c r="N42" s="316">
        <f>+'Gantt Proyectos'!L110</f>
        <v>62417</v>
      </c>
      <c r="O42" s="316">
        <f>+'Gantt Proyectos'!M110</f>
        <v>0</v>
      </c>
      <c r="P42" s="118">
        <f>+'Gantt Proyectos'!N110</f>
        <v>2</v>
      </c>
      <c r="Q42" s="119">
        <f>+'Gantt Proyectos'!O110</f>
        <v>45719</v>
      </c>
      <c r="R42" s="119">
        <f>+'Gantt Proyectos'!P110</f>
        <v>45782</v>
      </c>
      <c r="S42" s="118" t="str">
        <f>+'Gantt Proyectos'!R110</f>
        <v>No</v>
      </c>
      <c r="T42" s="118">
        <f>+'Gantt Proyectos'!S110</f>
        <v>0</v>
      </c>
      <c r="U42" s="156">
        <f>+'Gantt Proyectos'!T110</f>
        <v>45719</v>
      </c>
      <c r="V42" s="156">
        <f>+'Gantt Proyectos'!U110</f>
        <v>45782</v>
      </c>
      <c r="W42" s="201">
        <f t="shared" si="7"/>
        <v>3</v>
      </c>
      <c r="X42" s="121">
        <f>+'Gantt Proyectos'!W110</f>
        <v>0.72035794183445179</v>
      </c>
      <c r="Y42" s="122">
        <f>+'Gantt Proyectos'!X110</f>
        <v>0.25</v>
      </c>
      <c r="Z42" s="122">
        <f>+'Gantt Proyectos'!Y110</f>
        <v>0.33</v>
      </c>
      <c r="AA42" s="122">
        <f>+'Gantt Proyectos'!Z110</f>
        <v>0</v>
      </c>
      <c r="AB42" s="122">
        <f>+'Gantt Proyectos'!AA110</f>
        <v>0.5</v>
      </c>
      <c r="AC42" s="122">
        <f>+'Gantt Proyectos'!AB110</f>
        <v>0.5</v>
      </c>
      <c r="AD42" s="152" t="str">
        <f>+'Gantt Proyectos'!AC110</f>
        <v>Confiabilidad Planes</v>
      </c>
      <c r="AE42" s="123" t="str">
        <f>+'Gantt Proyectos'!AD110</f>
        <v>Actual</v>
      </c>
      <c r="AF42" s="124" t="str">
        <f>+'Gantt Proyectos'!AE110</f>
        <v>4. Avance: 50%</v>
      </c>
      <c r="AG42" s="172">
        <v>1</v>
      </c>
      <c r="AH42" s="169">
        <f ca="1">+IFERROR(IF(ISNUMBER(OFFSET('EDP Proyectado'!AI42,0,-'Ingreso Proyectado_Edu'!$P42))&lt;&gt;0,IF(OFFSET('EDP Proyectado'!AI42,0,-'Ingreso Proyectado_Edu'!$P42)+0&lt;=1,0,OFFSET('EDP Proyectado'!AI42,0,-'Ingreso Proyectado_Edu'!$P42)+0)),0)</f>
        <v>0</v>
      </c>
      <c r="AI42" s="169">
        <f ca="1">+IFERROR(IF(ISNUMBER(OFFSET('EDP Proyectado'!AJ42,0,-'Ingreso Proyectado_Edu'!$P42))&lt;&gt;0,IF(OFFSET('EDP Proyectado'!AJ42,0,-'Ingreso Proyectado_Edu'!$P42)+0&lt;=1,0,OFFSET('EDP Proyectado'!AJ42,0,-'Ingreso Proyectado_Edu'!$P42)+0)),0)</f>
        <v>0</v>
      </c>
      <c r="AJ42" s="169">
        <f ca="1">+IFERROR(IF(ISNUMBER(OFFSET('EDP Proyectado'!AK42,0,-'Ingreso Proyectado_Edu'!$P42))&lt;&gt;0,IF(OFFSET('EDP Proyectado'!AK42,0,-'Ingreso Proyectado_Edu'!$P42)+0&lt;=1,0,OFFSET('EDP Proyectado'!AK42,0,-'Ingreso Proyectado_Edu'!$P42)+0)),0)</f>
        <v>20805.666666666664</v>
      </c>
      <c r="AK42" s="169">
        <f ca="1">+IFERROR(IF(ISNUMBER(OFFSET('EDP Proyectado'!AL42,0,-'Ingreso Proyectado_Edu'!$P42))&lt;&gt;0,IF(OFFSET('EDP Proyectado'!AL42,0,-'Ingreso Proyectado_Edu'!$P42)+0&lt;=1,0,OFFSET('EDP Proyectado'!AL42,0,-'Ingreso Proyectado_Edu'!$P42)+0)),0)</f>
        <v>20805.666666666664</v>
      </c>
      <c r="AL42" s="169">
        <f ca="1">+IFERROR(IF(ISNUMBER(OFFSET('EDP Proyectado'!AM42,0,-'Ingreso Proyectado_Edu'!$P42))&lt;&gt;0,IF(OFFSET('EDP Proyectado'!AM42,0,-'Ingreso Proyectado_Edu'!$P42)+0&lt;=1,0,OFFSET('EDP Proyectado'!AM42,0,-'Ingreso Proyectado_Edu'!$P42)+0)),0)</f>
        <v>0</v>
      </c>
      <c r="AM42" s="169">
        <f ca="1">+IFERROR(IF(ISNUMBER(OFFSET('EDP Proyectado'!AN42,0,-'Ingreso Proyectado_Edu'!$P42))&lt;&gt;0,IF(OFFSET('EDP Proyectado'!AN42,0,-'Ingreso Proyectado_Edu'!$P42)+0&lt;=1,0,OFFSET('EDP Proyectado'!AN42,0,-'Ingreso Proyectado_Edu'!$P42)+0)),0)</f>
        <v>0</v>
      </c>
      <c r="AN42" s="169">
        <f ca="1">+IFERROR(IF(ISNUMBER(OFFSET('EDP Proyectado'!AO42,0,-'Ingreso Proyectado_Edu'!$P42))&lt;&gt;0,IF(OFFSET('EDP Proyectado'!AO42,0,-'Ingreso Proyectado_Edu'!$P42)+0&lt;=1,0,OFFSET('EDP Proyectado'!AO42,0,-'Ingreso Proyectado_Edu'!$P42)+0)),0)</f>
        <v>0</v>
      </c>
      <c r="AO42" s="169">
        <f ca="1">+IFERROR(IF(ISNUMBER(OFFSET('EDP Proyectado'!AP42,0,-'Ingreso Proyectado_Edu'!$P42))&lt;&gt;0,IF(OFFSET('EDP Proyectado'!AP42,0,-'Ingreso Proyectado_Edu'!$P42)+0&lt;=1,0,OFFSET('EDP Proyectado'!AP42,0,-'Ingreso Proyectado_Edu'!$P42)+0)),0)</f>
        <v>0</v>
      </c>
      <c r="AP42" s="170">
        <f ca="1">+IFERROR(IF(ISNUMBER(OFFSET('EDP Proyectado'!AQ42,0,-'Ingreso Proyectado_Edu'!$P42))&lt;&gt;0,IF(OFFSET('EDP Proyectado'!AQ42,0,-'Ingreso Proyectado_Edu'!$P42)+0&lt;=1,0,OFFSET('EDP Proyectado'!AQ42,0,-'Ingreso Proyectado_Edu'!$P42)+0)),0)</f>
        <v>0</v>
      </c>
    </row>
    <row r="43" spans="3:42" x14ac:dyDescent="0.2">
      <c r="C43" s="117">
        <f>+'Gantt Proyectos'!C111</f>
        <v>15</v>
      </c>
      <c r="D43" s="118" t="str">
        <f>+'Gantt Proyectos'!D111</f>
        <v>Ingenieria implementacion HDD Los Bronces</v>
      </c>
      <c r="E43" s="118" t="str">
        <f>+'Gantt Proyectos'!E111</f>
        <v>AngloAmerican</v>
      </c>
      <c r="F43" s="146" t="str">
        <f>+'Gantt Proyectos'!F111</f>
        <v>Chile</v>
      </c>
      <c r="G43" s="118" t="str">
        <f>+'Gantt Proyectos'!G111</f>
        <v>Chile</v>
      </c>
      <c r="H43" s="118">
        <f>+'Gantt Proyectos'!H111</f>
        <v>0</v>
      </c>
      <c r="I43" s="189">
        <v>1</v>
      </c>
      <c r="J43" s="189">
        <f t="shared" si="6"/>
        <v>0</v>
      </c>
      <c r="K43" s="118" t="str">
        <f>+'Gantt Proyectos'!I111</f>
        <v>Open Pit</v>
      </c>
      <c r="L43" s="120">
        <f>+'Gantt Proyectos'!J111</f>
        <v>1</v>
      </c>
      <c r="M43" s="118" t="str">
        <f>+'Gantt Proyectos'!K111</f>
        <v>RM</v>
      </c>
      <c r="N43" s="316">
        <f>+'Gantt Proyectos'!L111</f>
        <v>183430</v>
      </c>
      <c r="O43" s="316">
        <f>+'Gantt Proyectos'!M111</f>
        <v>0</v>
      </c>
      <c r="P43" s="118">
        <f>+'Gantt Proyectos'!N111</f>
        <v>1</v>
      </c>
      <c r="Q43" s="119">
        <f>+'Gantt Proyectos'!O111</f>
        <v>45719</v>
      </c>
      <c r="R43" s="119">
        <f>+'Gantt Proyectos'!P111</f>
        <v>45838</v>
      </c>
      <c r="S43" s="118" t="str">
        <f>+'Gantt Proyectos'!R111</f>
        <v>No</v>
      </c>
      <c r="T43" s="118">
        <f>+'Gantt Proyectos'!S111</f>
        <v>0</v>
      </c>
      <c r="U43" s="156">
        <f>+'Gantt Proyectos'!T111</f>
        <v>45719</v>
      </c>
      <c r="V43" s="156">
        <f>+'Gantt Proyectos'!U111</f>
        <v>45838</v>
      </c>
      <c r="W43" s="201">
        <f t="shared" si="7"/>
        <v>4</v>
      </c>
      <c r="X43" s="121">
        <f>+'Gantt Proyectos'!W111</f>
        <v>0.72035794183445179</v>
      </c>
      <c r="Y43" s="122">
        <f>+'Gantt Proyectos'!X111</f>
        <v>0.25</v>
      </c>
      <c r="Z43" s="122">
        <f>+'Gantt Proyectos'!Y111</f>
        <v>0.33</v>
      </c>
      <c r="AA43" s="122">
        <f>+'Gantt Proyectos'!Z111</f>
        <v>0</v>
      </c>
      <c r="AB43" s="122">
        <f>+'Gantt Proyectos'!AA111</f>
        <v>0.5</v>
      </c>
      <c r="AC43" s="122">
        <f>+'Gantt Proyectos'!AB111</f>
        <v>0.5</v>
      </c>
      <c r="AD43" s="152" t="str">
        <f>+'Gantt Proyectos'!AC111</f>
        <v>Estudio Conceptual / LOM</v>
      </c>
      <c r="AE43" s="123" t="str">
        <f>+'Gantt Proyectos'!AD111</f>
        <v>Actual</v>
      </c>
      <c r="AF43" s="124" t="str">
        <f>+'Gantt Proyectos'!AE111</f>
        <v>4. Avance: 50%</v>
      </c>
      <c r="AG43" s="172">
        <v>1</v>
      </c>
      <c r="AH43" s="169">
        <f ca="1">+IFERROR(IF(ISNUMBER(OFFSET('EDP Proyectado'!AI43,0,-'Ingreso Proyectado_Edu'!$P43))&lt;&gt;0,IF(OFFSET('EDP Proyectado'!AI43,0,-'Ingreso Proyectado_Edu'!$P43)+0&lt;=1,0,OFFSET('EDP Proyectado'!AI43,0,-'Ingreso Proyectado_Edu'!$P43)+0)),0)</f>
        <v>0</v>
      </c>
      <c r="AI43" s="169">
        <f ca="1">+IFERROR(IF(ISNUMBER(OFFSET('EDP Proyectado'!AJ43,0,-'Ingreso Proyectado_Edu'!$P43))&lt;&gt;0,IF(OFFSET('EDP Proyectado'!AJ43,0,-'Ingreso Proyectado_Edu'!$P43)+0&lt;=1,0,OFFSET('EDP Proyectado'!AJ43,0,-'Ingreso Proyectado_Edu'!$P43)+0)),0)</f>
        <v>45857.5</v>
      </c>
      <c r="AJ43" s="169">
        <f ca="1">+IFERROR(IF(ISNUMBER(OFFSET('EDP Proyectado'!AK43,0,-'Ingreso Proyectado_Edu'!$P43))&lt;&gt;0,IF(OFFSET('EDP Proyectado'!AK43,0,-'Ingreso Proyectado_Edu'!$P43)+0&lt;=1,0,OFFSET('EDP Proyectado'!AK43,0,-'Ingreso Proyectado_Edu'!$P43)+0)),0)</f>
        <v>45857.5</v>
      </c>
      <c r="AK43" s="169">
        <f ca="1">+IFERROR(IF(ISNUMBER(OFFSET('EDP Proyectado'!AL43,0,-'Ingreso Proyectado_Edu'!$P43))&lt;&gt;0,IF(OFFSET('EDP Proyectado'!AL43,0,-'Ingreso Proyectado_Edu'!$P43)+0&lt;=1,0,OFFSET('EDP Proyectado'!AL43,0,-'Ingreso Proyectado_Edu'!$P43)+0)),0)</f>
        <v>45857.5</v>
      </c>
      <c r="AL43" s="169">
        <f ca="1">+IFERROR(IF(ISNUMBER(OFFSET('EDP Proyectado'!AM43,0,-'Ingreso Proyectado_Edu'!$P43))&lt;&gt;0,IF(OFFSET('EDP Proyectado'!AM43,0,-'Ingreso Proyectado_Edu'!$P43)+0&lt;=1,0,OFFSET('EDP Proyectado'!AM43,0,-'Ingreso Proyectado_Edu'!$P43)+0)),0)</f>
        <v>0</v>
      </c>
      <c r="AM43" s="169">
        <f ca="1">+IFERROR(IF(ISNUMBER(OFFSET('EDP Proyectado'!AN43,0,-'Ingreso Proyectado_Edu'!$P43))&lt;&gt;0,IF(OFFSET('EDP Proyectado'!AN43,0,-'Ingreso Proyectado_Edu'!$P43)+0&lt;=1,0,OFFSET('EDP Proyectado'!AN43,0,-'Ingreso Proyectado_Edu'!$P43)+0)),0)</f>
        <v>0</v>
      </c>
      <c r="AN43" s="169">
        <f ca="1">+IFERROR(IF(ISNUMBER(OFFSET('EDP Proyectado'!AO43,0,-'Ingreso Proyectado_Edu'!$P43))&lt;&gt;0,IF(OFFSET('EDP Proyectado'!AO43,0,-'Ingreso Proyectado_Edu'!$P43)+0&lt;=1,0,OFFSET('EDP Proyectado'!AO43,0,-'Ingreso Proyectado_Edu'!$P43)+0)),0)</f>
        <v>0</v>
      </c>
      <c r="AO43" s="169">
        <f ca="1">+IFERROR(IF(ISNUMBER(OFFSET('EDP Proyectado'!AP43,0,-'Ingreso Proyectado_Edu'!$P43))&lt;&gt;0,IF(OFFSET('EDP Proyectado'!AP43,0,-'Ingreso Proyectado_Edu'!$P43)+0&lt;=1,0,OFFSET('EDP Proyectado'!AP43,0,-'Ingreso Proyectado_Edu'!$P43)+0)),0)</f>
        <v>0</v>
      </c>
      <c r="AP43" s="170">
        <f ca="1">+IFERROR(IF(ISNUMBER(OFFSET('EDP Proyectado'!AQ43,0,-'Ingreso Proyectado_Edu'!$P43))&lt;&gt;0,IF(OFFSET('EDP Proyectado'!AQ43,0,-'Ingreso Proyectado_Edu'!$P43)+0&lt;=1,0,OFFSET('EDP Proyectado'!AQ43,0,-'Ingreso Proyectado_Edu'!$P43)+0)),0)</f>
        <v>0</v>
      </c>
    </row>
    <row r="44" spans="3:42" x14ac:dyDescent="0.2">
      <c r="C44" s="117">
        <f>+'Gantt Proyectos'!C112</f>
        <v>16</v>
      </c>
      <c r="D44" s="118" t="str">
        <f>+'Gantt Proyectos'!D112</f>
        <v>V MEIA San Rafael</v>
      </c>
      <c r="E44" s="118" t="str">
        <f>+'Gantt Proyectos'!E112</f>
        <v>Minsur</v>
      </c>
      <c r="F44" s="146" t="str">
        <f>+'Gantt Proyectos'!F112</f>
        <v>Perú</v>
      </c>
      <c r="G44" s="118" t="str">
        <f>+'Gantt Proyectos'!G112</f>
        <v>Chile</v>
      </c>
      <c r="H44" s="118" t="str">
        <f>+'Gantt Proyectos'!H112</f>
        <v>Perú</v>
      </c>
      <c r="I44" s="189">
        <v>0.5</v>
      </c>
      <c r="J44" s="189">
        <f t="shared" si="6"/>
        <v>0.5</v>
      </c>
      <c r="K44" s="118" t="str">
        <f>+'Gantt Proyectos'!I112</f>
        <v>Subterránea</v>
      </c>
      <c r="L44" s="120">
        <f>+'Gantt Proyectos'!J112</f>
        <v>1</v>
      </c>
      <c r="M44" s="118" t="str">
        <f>+'Gantt Proyectos'!K112</f>
        <v>RM</v>
      </c>
      <c r="N44" s="316">
        <f>+'Gantt Proyectos'!L112</f>
        <v>248031</v>
      </c>
      <c r="O44" s="316">
        <f>+'Gantt Proyectos'!M112</f>
        <v>0</v>
      </c>
      <c r="P44" s="118">
        <f>+'Gantt Proyectos'!N112</f>
        <v>2</v>
      </c>
      <c r="Q44" s="119">
        <f>+'Gantt Proyectos'!O112</f>
        <v>45691</v>
      </c>
      <c r="R44" s="119">
        <f>+'Gantt Proyectos'!P112</f>
        <v>45789</v>
      </c>
      <c r="S44" s="118" t="str">
        <f>+'Gantt Proyectos'!R112</f>
        <v>No</v>
      </c>
      <c r="T44" s="118">
        <f>+'Gantt Proyectos'!S112</f>
        <v>0</v>
      </c>
      <c r="U44" s="156">
        <f>+'Gantt Proyectos'!T112</f>
        <v>45691</v>
      </c>
      <c r="V44" s="156">
        <f>+'Gantt Proyectos'!U112</f>
        <v>45789</v>
      </c>
      <c r="W44" s="201">
        <f t="shared" si="7"/>
        <v>4</v>
      </c>
      <c r="X44" s="121">
        <f>+'Gantt Proyectos'!W112</f>
        <v>0.97986577181208034</v>
      </c>
      <c r="Y44" s="122">
        <f>+'Gantt Proyectos'!X112</f>
        <v>0.33</v>
      </c>
      <c r="Z44" s="122">
        <f>+'Gantt Proyectos'!Y112</f>
        <v>0.33</v>
      </c>
      <c r="AA44" s="122">
        <f>+'Gantt Proyectos'!Z112</f>
        <v>0.5</v>
      </c>
      <c r="AB44" s="122">
        <f>+'Gantt Proyectos'!AA112</f>
        <v>1</v>
      </c>
      <c r="AC44" s="122">
        <f>+'Gantt Proyectos'!AB112</f>
        <v>0</v>
      </c>
      <c r="AD44" s="152" t="str">
        <f>+'Gantt Proyectos'!AC112</f>
        <v>Permisos / MEIA</v>
      </c>
      <c r="AE44" s="123" t="str">
        <f>+'Gantt Proyectos'!AD112</f>
        <v>Actual</v>
      </c>
      <c r="AF44" s="124" t="str">
        <f>+'Gantt Proyectos'!AE112</f>
        <v>3. Avance: 25%</v>
      </c>
      <c r="AG44" s="172">
        <v>1</v>
      </c>
      <c r="AH44" s="169">
        <f ca="1">+IFERROR(IF(ISNUMBER(OFFSET('EDP Proyectado'!AI44,0,-'Ingreso Proyectado_Edu'!$P44))&lt;&gt;0,IF(OFFSET('EDP Proyectado'!AI44,0,-'Ingreso Proyectado_Edu'!$P44)+0&lt;=1,0,OFFSET('EDP Proyectado'!AI44,0,-'Ingreso Proyectado_Edu'!$P44)+0)),0)</f>
        <v>0</v>
      </c>
      <c r="AI44" s="169">
        <f ca="1">+IFERROR(IF(ISNUMBER(OFFSET('EDP Proyectado'!AJ44,0,-'Ingreso Proyectado_Edu'!$P44))&lt;&gt;0,IF(OFFSET('EDP Proyectado'!AJ44,0,-'Ingreso Proyectado_Edu'!$P44)+0&lt;=1,0,OFFSET('EDP Proyectado'!AJ44,0,-'Ingreso Proyectado_Edu'!$P44)+0)),0)</f>
        <v>0</v>
      </c>
      <c r="AJ44" s="169">
        <f ca="1">+IFERROR(IF(ISNUMBER(OFFSET('EDP Proyectado'!AK44,0,-'Ingreso Proyectado_Edu'!$P44))&lt;&gt;0,IF(OFFSET('EDP Proyectado'!AK44,0,-'Ingreso Proyectado_Edu'!$P44)+0&lt;=1,0,OFFSET('EDP Proyectado'!AK44,0,-'Ingreso Proyectado_Edu'!$P44)+0)),0)</f>
        <v>62007.75</v>
      </c>
      <c r="AK44" s="169">
        <f ca="1">+IFERROR(IF(ISNUMBER(OFFSET('EDP Proyectado'!AL44,0,-'Ingreso Proyectado_Edu'!$P44))&lt;&gt;0,IF(OFFSET('EDP Proyectado'!AL44,0,-'Ingreso Proyectado_Edu'!$P44)+0&lt;=1,0,OFFSET('EDP Proyectado'!AL44,0,-'Ingreso Proyectado_Edu'!$P44)+0)),0)</f>
        <v>62007.75</v>
      </c>
      <c r="AL44" s="169">
        <f ca="1">+IFERROR(IF(ISNUMBER(OFFSET('EDP Proyectado'!AM44,0,-'Ingreso Proyectado_Edu'!$P44))&lt;&gt;0,IF(OFFSET('EDP Proyectado'!AM44,0,-'Ingreso Proyectado_Edu'!$P44)+0&lt;=1,0,OFFSET('EDP Proyectado'!AM44,0,-'Ingreso Proyectado_Edu'!$P44)+0)),0)</f>
        <v>0</v>
      </c>
      <c r="AM44" s="169">
        <f ca="1">+IFERROR(IF(ISNUMBER(OFFSET('EDP Proyectado'!AN44,0,-'Ingreso Proyectado_Edu'!$P44))&lt;&gt;0,IF(OFFSET('EDP Proyectado'!AN44,0,-'Ingreso Proyectado_Edu'!$P44)+0&lt;=1,0,OFFSET('EDP Proyectado'!AN44,0,-'Ingreso Proyectado_Edu'!$P44)+0)),0)</f>
        <v>0</v>
      </c>
      <c r="AN44" s="169">
        <f ca="1">+IFERROR(IF(ISNUMBER(OFFSET('EDP Proyectado'!AO44,0,-'Ingreso Proyectado_Edu'!$P44))&lt;&gt;0,IF(OFFSET('EDP Proyectado'!AO44,0,-'Ingreso Proyectado_Edu'!$P44)+0&lt;=1,0,OFFSET('EDP Proyectado'!AO44,0,-'Ingreso Proyectado_Edu'!$P44)+0)),0)</f>
        <v>0</v>
      </c>
      <c r="AO44" s="169">
        <f ca="1">+IFERROR(IF(ISNUMBER(OFFSET('EDP Proyectado'!AP44,0,-'Ingreso Proyectado_Edu'!$P44))&lt;&gt;0,IF(OFFSET('EDP Proyectado'!AP44,0,-'Ingreso Proyectado_Edu'!$P44)+0&lt;=1,0,OFFSET('EDP Proyectado'!AP44,0,-'Ingreso Proyectado_Edu'!$P44)+0)),0)</f>
        <v>0</v>
      </c>
      <c r="AP44" s="170">
        <f ca="1">+IFERROR(IF(ISNUMBER(OFFSET('EDP Proyectado'!AQ44,0,-'Ingreso Proyectado_Edu'!$P44))&lt;&gt;0,IF(OFFSET('EDP Proyectado'!AQ44,0,-'Ingreso Proyectado_Edu'!$P44)+0&lt;=1,0,OFFSET('EDP Proyectado'!AQ44,0,-'Ingreso Proyectado_Edu'!$P44)+0)),0)</f>
        <v>0</v>
      </c>
    </row>
    <row r="45" spans="3:42" x14ac:dyDescent="0.2">
      <c r="C45" s="117">
        <f>+'Gantt Proyectos'!C113</f>
        <v>17</v>
      </c>
      <c r="D45" s="118" t="str">
        <f>+'Gantt Proyectos'!D113</f>
        <v>Fase 2 CTV: Modelamiento Recursos, Geomecanica y LOM actualizado</v>
      </c>
      <c r="E45" s="118" t="str">
        <f>+'Gantt Proyectos'!E113</f>
        <v>Mosaic</v>
      </c>
      <c r="F45" s="146" t="str">
        <f>+'Gantt Proyectos'!F113</f>
        <v>Brasil</v>
      </c>
      <c r="G45" s="118" t="str">
        <f>+'Gantt Proyectos'!G113</f>
        <v>Perú</v>
      </c>
      <c r="H45" s="118" t="str">
        <f>+'Gantt Proyectos'!H113</f>
        <v>Chile</v>
      </c>
      <c r="I45" s="189">
        <v>0.5</v>
      </c>
      <c r="J45" s="189">
        <f t="shared" si="6"/>
        <v>0.5</v>
      </c>
      <c r="K45" s="118" t="str">
        <f>+'Gantt Proyectos'!I113</f>
        <v>Subterránea</v>
      </c>
      <c r="L45" s="120">
        <f>+'Gantt Proyectos'!J113</f>
        <v>1</v>
      </c>
      <c r="M45" s="118" t="str">
        <f>+'Gantt Proyectos'!K113</f>
        <v>CH</v>
      </c>
      <c r="N45" s="316">
        <f>+'Gantt Proyectos'!L113</f>
        <v>330410</v>
      </c>
      <c r="O45" s="316">
        <f>+'Gantt Proyectos'!M113</f>
        <v>0</v>
      </c>
      <c r="P45" s="118">
        <f>+'Gantt Proyectos'!N113</f>
        <v>3</v>
      </c>
      <c r="Q45" s="119">
        <f>+'Gantt Proyectos'!O113</f>
        <v>45600</v>
      </c>
      <c r="R45" s="119">
        <f>+'Gantt Proyectos'!P113</f>
        <v>45838</v>
      </c>
      <c r="S45" s="118" t="str">
        <f>+'Gantt Proyectos'!R113</f>
        <v>No</v>
      </c>
      <c r="T45" s="118">
        <f>+'Gantt Proyectos'!S113</f>
        <v>0</v>
      </c>
      <c r="U45" s="156">
        <f>+'Gantt Proyectos'!T113</f>
        <v>45600</v>
      </c>
      <c r="V45" s="156">
        <f>+'Gantt Proyectos'!U113</f>
        <v>45838</v>
      </c>
      <c r="W45" s="201">
        <f t="shared" si="7"/>
        <v>8</v>
      </c>
      <c r="X45" s="121">
        <f>+'Gantt Proyectos'!W113</f>
        <v>1.4474272930648768</v>
      </c>
      <c r="Y45" s="122">
        <f>+'Gantt Proyectos'!X113</f>
        <v>0.33</v>
      </c>
      <c r="Z45" s="122">
        <f>+'Gantt Proyectos'!Y113</f>
        <v>0.5</v>
      </c>
      <c r="AA45" s="122">
        <f>+'Gantt Proyectos'!Z113</f>
        <v>0.33</v>
      </c>
      <c r="AB45" s="122">
        <f>+'Gantt Proyectos'!AA113</f>
        <v>1</v>
      </c>
      <c r="AC45" s="122">
        <f>+'Gantt Proyectos'!AB113</f>
        <v>1</v>
      </c>
      <c r="AD45" s="152" t="str">
        <f>+'Gantt Proyectos'!AC113</f>
        <v>Scoping</v>
      </c>
      <c r="AE45" s="123" t="str">
        <f>+'Gantt Proyectos'!AD113</f>
        <v>Actual</v>
      </c>
      <c r="AF45" s="124" t="str">
        <f>+'Gantt Proyectos'!AE113</f>
        <v>3. Avance: 25%</v>
      </c>
      <c r="AG45" s="172">
        <v>1</v>
      </c>
      <c r="AH45" s="169">
        <f ca="1">+IFERROR(IF(ISNUMBER(OFFSET('EDP Proyectado'!AI45,0,-'Ingreso Proyectado_Edu'!$P45))&lt;&gt;0,IF(OFFSET('EDP Proyectado'!AI45,0,-'Ingreso Proyectado_Edu'!$P45)+0&lt;=1,0,OFFSET('EDP Proyectado'!AI45,0,-'Ingreso Proyectado_Edu'!$P45)+0)),0)</f>
        <v>0</v>
      </c>
      <c r="AI45" s="169">
        <f ca="1">+IFERROR(IF(ISNUMBER(OFFSET('EDP Proyectado'!AJ45,0,-'Ingreso Proyectado_Edu'!$P45))&lt;&gt;0,IF(OFFSET('EDP Proyectado'!AJ45,0,-'Ingreso Proyectado_Edu'!$P45)+0&lt;=1,0,OFFSET('EDP Proyectado'!AJ45,0,-'Ingreso Proyectado_Edu'!$P45)+0)),0)</f>
        <v>0</v>
      </c>
      <c r="AJ45" s="169">
        <f ca="1">+IFERROR(IF(ISNUMBER(OFFSET('EDP Proyectado'!AK45,0,-'Ingreso Proyectado_Edu'!$P45))&lt;&gt;0,IF(OFFSET('EDP Proyectado'!AK45,0,-'Ingreso Proyectado_Edu'!$P45)+0&lt;=1,0,OFFSET('EDP Proyectado'!AK45,0,-'Ingreso Proyectado_Edu'!$P45)+0)),0)</f>
        <v>0</v>
      </c>
      <c r="AK45" s="169">
        <f ca="1">+IFERROR(IF(ISNUMBER(OFFSET('EDP Proyectado'!AL45,0,-'Ingreso Proyectado_Edu'!$P45))&lt;&gt;0,IF(OFFSET('EDP Proyectado'!AL45,0,-'Ingreso Proyectado_Edu'!$P45)+0&lt;=1,0,OFFSET('EDP Proyectado'!AL45,0,-'Ingreso Proyectado_Edu'!$P45)+0)),0)</f>
        <v>41301.25</v>
      </c>
      <c r="AL45" s="169">
        <f ca="1">+IFERROR(IF(ISNUMBER(OFFSET('EDP Proyectado'!AM45,0,-'Ingreso Proyectado_Edu'!$P45))&lt;&gt;0,IF(OFFSET('EDP Proyectado'!AM45,0,-'Ingreso Proyectado_Edu'!$P45)+0&lt;=1,0,OFFSET('EDP Proyectado'!AM45,0,-'Ingreso Proyectado_Edu'!$P45)+0)),0)</f>
        <v>41301.25</v>
      </c>
      <c r="AM45" s="169">
        <f ca="1">+IFERROR(IF(ISNUMBER(OFFSET('EDP Proyectado'!AN45,0,-'Ingreso Proyectado_Edu'!$P45))&lt;&gt;0,IF(OFFSET('EDP Proyectado'!AN45,0,-'Ingreso Proyectado_Edu'!$P45)+0&lt;=1,0,OFFSET('EDP Proyectado'!AN45,0,-'Ingreso Proyectado_Edu'!$P45)+0)),0)</f>
        <v>41301.25</v>
      </c>
      <c r="AN45" s="169">
        <f ca="1">+IFERROR(IF(ISNUMBER(OFFSET('EDP Proyectado'!AO45,0,-'Ingreso Proyectado_Edu'!$P45))&lt;&gt;0,IF(OFFSET('EDP Proyectado'!AO45,0,-'Ingreso Proyectado_Edu'!$P45)+0&lt;=1,0,OFFSET('EDP Proyectado'!AO45,0,-'Ingreso Proyectado_Edu'!$P45)+0)),0)</f>
        <v>0</v>
      </c>
      <c r="AO45" s="169">
        <f ca="1">+IFERROR(IF(ISNUMBER(OFFSET('EDP Proyectado'!AP45,0,-'Ingreso Proyectado_Edu'!$P45))&lt;&gt;0,IF(OFFSET('EDP Proyectado'!AP45,0,-'Ingreso Proyectado_Edu'!$P45)+0&lt;=1,0,OFFSET('EDP Proyectado'!AP45,0,-'Ingreso Proyectado_Edu'!$P45)+0)),0)</f>
        <v>0</v>
      </c>
      <c r="AP45" s="170">
        <f ca="1">+IFERROR(IF(ISNUMBER(OFFSET('EDP Proyectado'!AQ45,0,-'Ingreso Proyectado_Edu'!$P45))&lt;&gt;0,IF(OFFSET('EDP Proyectado'!AQ45,0,-'Ingreso Proyectado_Edu'!$P45)+0&lt;=1,0,OFFSET('EDP Proyectado'!AQ45,0,-'Ingreso Proyectado_Edu'!$P45)+0)),0)</f>
        <v>0</v>
      </c>
    </row>
    <row r="46" spans="3:42" x14ac:dyDescent="0.2">
      <c r="C46" s="117">
        <f>+'Gantt Proyectos'!C114</f>
        <v>18</v>
      </c>
      <c r="D46" s="118" t="str">
        <f>+'Gantt Proyectos'!D114</f>
        <v>Estrategia de Valor para Mina Cobriza</v>
      </c>
      <c r="E46" s="118" t="str">
        <f>+'Gantt Proyectos'!E114</f>
        <v>OCP</v>
      </c>
      <c r="F46" s="146" t="str">
        <f>+'Gantt Proyectos'!F114</f>
        <v>Perú</v>
      </c>
      <c r="G46" s="118" t="str">
        <f>+'Gantt Proyectos'!G114</f>
        <v>Chile</v>
      </c>
      <c r="H46" s="118" t="str">
        <f>+'Gantt Proyectos'!H114</f>
        <v>Perú</v>
      </c>
      <c r="I46" s="189">
        <v>0.5</v>
      </c>
      <c r="J46" s="189">
        <f t="shared" si="6"/>
        <v>0.5</v>
      </c>
      <c r="K46" s="118" t="str">
        <f>+'Gantt Proyectos'!I114</f>
        <v>Subterránea</v>
      </c>
      <c r="L46" s="120">
        <f>+'Gantt Proyectos'!J114</f>
        <v>1</v>
      </c>
      <c r="M46" s="118" t="str">
        <f>+'Gantt Proyectos'!K114</f>
        <v>MF</v>
      </c>
      <c r="N46" s="316">
        <f>+'Gantt Proyectos'!L114</f>
        <v>184000</v>
      </c>
      <c r="O46" s="316">
        <f>+'Gantt Proyectos'!M114</f>
        <v>0</v>
      </c>
      <c r="P46" s="118">
        <f>+'Gantt Proyectos'!N114</f>
        <v>2</v>
      </c>
      <c r="Q46" s="119">
        <f>+'Gantt Proyectos'!O114</f>
        <v>45691</v>
      </c>
      <c r="R46" s="119">
        <f>+'Gantt Proyectos'!P114</f>
        <v>45881</v>
      </c>
      <c r="S46" s="118" t="str">
        <f>+'Gantt Proyectos'!R114</f>
        <v>No</v>
      </c>
      <c r="T46" s="118">
        <f>+'Gantt Proyectos'!S114</f>
        <v>0</v>
      </c>
      <c r="U46" s="156">
        <f>+'Gantt Proyectos'!T114</f>
        <v>45691</v>
      </c>
      <c r="V46" s="156">
        <f>+'Gantt Proyectos'!U114</f>
        <v>45881</v>
      </c>
      <c r="W46" s="201">
        <f t="shared" si="7"/>
        <v>7</v>
      </c>
      <c r="X46" s="121">
        <f>+'Gantt Proyectos'!W114</f>
        <v>0.72035794183445179</v>
      </c>
      <c r="Y46" s="122">
        <f>+'Gantt Proyectos'!X114</f>
        <v>0.25</v>
      </c>
      <c r="Z46" s="122">
        <f>+'Gantt Proyectos'!Y114</f>
        <v>0.33</v>
      </c>
      <c r="AA46" s="122">
        <f>+'Gantt Proyectos'!Z114</f>
        <v>0</v>
      </c>
      <c r="AB46" s="122">
        <f>+'Gantt Proyectos'!AA114</f>
        <v>0.5</v>
      </c>
      <c r="AC46" s="122">
        <f>+'Gantt Proyectos'!AB114</f>
        <v>0.5</v>
      </c>
      <c r="AD46" s="152" t="str">
        <f>+'Gantt Proyectos'!AC114</f>
        <v>Estudio Conceptual / LOM</v>
      </c>
      <c r="AE46" s="123" t="str">
        <f>+'Gantt Proyectos'!AD114</f>
        <v>Actual</v>
      </c>
      <c r="AF46" s="124" t="str">
        <f>+'Gantt Proyectos'!AE114</f>
        <v>3. Avance: 25%</v>
      </c>
      <c r="AG46" s="172">
        <v>1</v>
      </c>
      <c r="AH46" s="169">
        <f ca="1">+IFERROR(IF(ISNUMBER(OFFSET('EDP Proyectado'!AI46,0,-'Ingreso Proyectado_Edu'!$P46))&lt;&gt;0,IF(OFFSET('EDP Proyectado'!AI46,0,-'Ingreso Proyectado_Edu'!$P46)+0&lt;=1,0,OFFSET('EDP Proyectado'!AI46,0,-'Ingreso Proyectado_Edu'!$P46)+0)),0)</f>
        <v>0</v>
      </c>
      <c r="AI46" s="169">
        <f ca="1">+IFERROR(IF(ISNUMBER(OFFSET('EDP Proyectado'!AJ46,0,-'Ingreso Proyectado_Edu'!$P46))&lt;&gt;0,IF(OFFSET('EDP Proyectado'!AJ46,0,-'Ingreso Proyectado_Edu'!$P46)+0&lt;=1,0,OFFSET('EDP Proyectado'!AJ46,0,-'Ingreso Proyectado_Edu'!$P46)+0)),0)</f>
        <v>0</v>
      </c>
      <c r="AJ46" s="169">
        <f ca="1">+IFERROR(IF(ISNUMBER(OFFSET('EDP Proyectado'!AK46,0,-'Ingreso Proyectado_Edu'!$P46))&lt;&gt;0,IF(OFFSET('EDP Proyectado'!AK46,0,-'Ingreso Proyectado_Edu'!$P46)+0&lt;=1,0,OFFSET('EDP Proyectado'!AK46,0,-'Ingreso Proyectado_Edu'!$P46)+0)),0)</f>
        <v>26285.714285714283</v>
      </c>
      <c r="AK46" s="169">
        <f ca="1">+IFERROR(IF(ISNUMBER(OFFSET('EDP Proyectado'!AL46,0,-'Ingreso Proyectado_Edu'!$P46))&lt;&gt;0,IF(OFFSET('EDP Proyectado'!AL46,0,-'Ingreso Proyectado_Edu'!$P46)+0&lt;=1,0,OFFSET('EDP Proyectado'!AL46,0,-'Ingreso Proyectado_Edu'!$P46)+0)),0)</f>
        <v>26285.714285714283</v>
      </c>
      <c r="AL46" s="169">
        <f ca="1">+IFERROR(IF(ISNUMBER(OFFSET('EDP Proyectado'!AM46,0,-'Ingreso Proyectado_Edu'!$P46))&lt;&gt;0,IF(OFFSET('EDP Proyectado'!AM46,0,-'Ingreso Proyectado_Edu'!$P46)+0&lt;=1,0,OFFSET('EDP Proyectado'!AM46,0,-'Ingreso Proyectado_Edu'!$P46)+0)),0)</f>
        <v>26285.714285714283</v>
      </c>
      <c r="AM46" s="169">
        <f ca="1">+IFERROR(IF(ISNUMBER(OFFSET('EDP Proyectado'!AN46,0,-'Ingreso Proyectado_Edu'!$P46))&lt;&gt;0,IF(OFFSET('EDP Proyectado'!AN46,0,-'Ingreso Proyectado_Edu'!$P46)+0&lt;=1,0,OFFSET('EDP Proyectado'!AN46,0,-'Ingreso Proyectado_Edu'!$P46)+0)),0)</f>
        <v>26285.714285714283</v>
      </c>
      <c r="AN46" s="169">
        <f ca="1">+IFERROR(IF(ISNUMBER(OFFSET('EDP Proyectado'!AO46,0,-'Ingreso Proyectado_Edu'!$P46))&lt;&gt;0,IF(OFFSET('EDP Proyectado'!AO46,0,-'Ingreso Proyectado_Edu'!$P46)+0&lt;=1,0,OFFSET('EDP Proyectado'!AO46,0,-'Ingreso Proyectado_Edu'!$P46)+0)),0)</f>
        <v>26285.714285714283</v>
      </c>
      <c r="AO46" s="169">
        <f ca="1">+IFERROR(IF(ISNUMBER(OFFSET('EDP Proyectado'!AP46,0,-'Ingreso Proyectado_Edu'!$P46))&lt;&gt;0,IF(OFFSET('EDP Proyectado'!AP46,0,-'Ingreso Proyectado_Edu'!$P46)+0&lt;=1,0,OFFSET('EDP Proyectado'!AP46,0,-'Ingreso Proyectado_Edu'!$P46)+0)),0)</f>
        <v>0</v>
      </c>
      <c r="AP46" s="170">
        <f ca="1">+IFERROR(IF(ISNUMBER(OFFSET('EDP Proyectado'!AQ46,0,-'Ingreso Proyectado_Edu'!$P46))&lt;&gt;0,IF(OFFSET('EDP Proyectado'!AQ46,0,-'Ingreso Proyectado_Edu'!$P46)+0&lt;=1,0,OFFSET('EDP Proyectado'!AQ46,0,-'Ingreso Proyectado_Edu'!$P46)+0)),0)</f>
        <v>0</v>
      </c>
    </row>
    <row r="47" spans="3:42" x14ac:dyDescent="0.2">
      <c r="C47" s="117">
        <f>+'Gantt Proyectos'!C115</f>
        <v>19</v>
      </c>
      <c r="D47" s="118" t="str">
        <f>+'Gantt Proyectos'!D115</f>
        <v>PFS Ferrobamba UG (MEIA)</v>
      </c>
      <c r="E47" s="118" t="str">
        <f>+'Gantt Proyectos'!E115</f>
        <v>Las Bambas</v>
      </c>
      <c r="F47" s="146" t="str">
        <f>+'Gantt Proyectos'!F115</f>
        <v>Perú</v>
      </c>
      <c r="G47" s="118" t="str">
        <f>+'Gantt Proyectos'!G115</f>
        <v>Chile</v>
      </c>
      <c r="H47" s="118">
        <f>+'Gantt Proyectos'!H115</f>
        <v>0</v>
      </c>
      <c r="I47" s="189">
        <v>1</v>
      </c>
      <c r="J47" s="189">
        <f t="shared" si="6"/>
        <v>0</v>
      </c>
      <c r="K47" s="118" t="str">
        <f>+'Gantt Proyectos'!I115</f>
        <v>Subterránea</v>
      </c>
      <c r="L47" s="120">
        <f>+'Gantt Proyectos'!J115</f>
        <v>1</v>
      </c>
      <c r="M47" s="118" t="str">
        <f>+'Gantt Proyectos'!K115</f>
        <v>RM</v>
      </c>
      <c r="N47" s="316">
        <f>+'Gantt Proyectos'!L115</f>
        <v>600000</v>
      </c>
      <c r="O47" s="316">
        <f>+'Gantt Proyectos'!M115</f>
        <v>62911.409999999916</v>
      </c>
      <c r="P47" s="118">
        <f>+'Gantt Proyectos'!N115</f>
        <v>2</v>
      </c>
      <c r="Q47" s="119">
        <f>+'Gantt Proyectos'!O115</f>
        <v>45719</v>
      </c>
      <c r="R47" s="119">
        <f>+'Gantt Proyectos'!P115</f>
        <v>45872</v>
      </c>
      <c r="S47" s="118" t="str">
        <f>+'Gantt Proyectos'!R115</f>
        <v>No</v>
      </c>
      <c r="T47" s="118">
        <f>+'Gantt Proyectos'!S115</f>
        <v>0</v>
      </c>
      <c r="U47" s="156">
        <f>+'Gantt Proyectos'!T115</f>
        <v>45719</v>
      </c>
      <c r="V47" s="156">
        <f>+'Gantt Proyectos'!U115</f>
        <v>45872</v>
      </c>
      <c r="W47" s="201">
        <f t="shared" si="7"/>
        <v>6</v>
      </c>
      <c r="X47" s="121">
        <f>+'Gantt Proyectos'!W115</f>
        <v>0.97986577181208034</v>
      </c>
      <c r="Y47" s="122">
        <f>+'Gantt Proyectos'!X115</f>
        <v>0.33</v>
      </c>
      <c r="Z47" s="122">
        <f>+'Gantt Proyectos'!Y115</f>
        <v>0.33</v>
      </c>
      <c r="AA47" s="122">
        <f>+'Gantt Proyectos'!Z115</f>
        <v>0.5</v>
      </c>
      <c r="AB47" s="122">
        <f>+'Gantt Proyectos'!AA115</f>
        <v>1</v>
      </c>
      <c r="AC47" s="122">
        <f>+'Gantt Proyectos'!AB115</f>
        <v>0</v>
      </c>
      <c r="AD47" s="152" t="str">
        <f>+'Gantt Proyectos'!AC115</f>
        <v>Permisos / MEIA</v>
      </c>
      <c r="AE47" s="123" t="str">
        <f>+'Gantt Proyectos'!AD115</f>
        <v>Actual</v>
      </c>
      <c r="AF47" s="124" t="str">
        <f>+'Gantt Proyectos'!AE115</f>
        <v>3. Avance: 25%</v>
      </c>
      <c r="AG47" s="172">
        <v>1</v>
      </c>
      <c r="AH47" s="169">
        <f ca="1">+IFERROR(IF(ISNUMBER(OFFSET('EDP Proyectado'!AI47,0,-'Ingreso Proyectado_Edu'!$P47))&lt;&gt;0,IF(OFFSET('EDP Proyectado'!AI47,0,-'Ingreso Proyectado_Edu'!$P47)+0&lt;=1,0,OFFSET('EDP Proyectado'!AI47,0,-'Ingreso Proyectado_Edu'!$P47)+0)),0)</f>
        <v>0</v>
      </c>
      <c r="AI47" s="169">
        <f ca="1">+IFERROR(IF(ISNUMBER(OFFSET('EDP Proyectado'!AJ47,0,-'Ingreso Proyectado_Edu'!$P47))&lt;&gt;0,IF(OFFSET('EDP Proyectado'!AJ47,0,-'Ingreso Proyectado_Edu'!$P47)+0&lt;=1,0,OFFSET('EDP Proyectado'!AJ47,0,-'Ingreso Proyectado_Edu'!$P47)+0)),0)</f>
        <v>0</v>
      </c>
      <c r="AJ47" s="169">
        <f ca="1">+IFERROR(IF(ISNUMBER(OFFSET('EDP Proyectado'!AK47,0,-'Ingreso Proyectado_Edu'!$P47))&lt;&gt;0,IF(OFFSET('EDP Proyectado'!AK47,0,-'Ingreso Proyectado_Edu'!$P47)+0&lt;=1,0,OFFSET('EDP Proyectado'!AK47,0,-'Ingreso Proyectado_Edu'!$P47)+0)),0)</f>
        <v>100000</v>
      </c>
      <c r="AK47" s="169">
        <f ca="1">+IFERROR(IF(ISNUMBER(OFFSET('EDP Proyectado'!AL47,0,-'Ingreso Proyectado_Edu'!$P47))&lt;&gt;0,IF(OFFSET('EDP Proyectado'!AL47,0,-'Ingreso Proyectado_Edu'!$P47)+0&lt;=1,0,OFFSET('EDP Proyectado'!AL47,0,-'Ingreso Proyectado_Edu'!$P47)+0)),0)</f>
        <v>100000</v>
      </c>
      <c r="AL47" s="169">
        <f ca="1">+IFERROR(IF(ISNUMBER(OFFSET('EDP Proyectado'!AM47,0,-'Ingreso Proyectado_Edu'!$P47))&lt;&gt;0,IF(OFFSET('EDP Proyectado'!AM47,0,-'Ingreso Proyectado_Edu'!$P47)+0&lt;=1,0,OFFSET('EDP Proyectado'!AM47,0,-'Ingreso Proyectado_Edu'!$P47)+0)),0)</f>
        <v>100000</v>
      </c>
      <c r="AM47" s="169">
        <f ca="1">+IFERROR(IF(ISNUMBER(OFFSET('EDP Proyectado'!AN47,0,-'Ingreso Proyectado_Edu'!$P47))&lt;&gt;0,IF(OFFSET('EDP Proyectado'!AN47,0,-'Ingreso Proyectado_Edu'!$P47)+0&lt;=1,0,OFFSET('EDP Proyectado'!AN47,0,-'Ingreso Proyectado_Edu'!$P47)+0)),0)</f>
        <v>100000</v>
      </c>
      <c r="AN47" s="169">
        <f ca="1">+IFERROR(IF(ISNUMBER(OFFSET('EDP Proyectado'!AO47,0,-'Ingreso Proyectado_Edu'!$P47))&lt;&gt;0,IF(OFFSET('EDP Proyectado'!AO47,0,-'Ingreso Proyectado_Edu'!$P47)+0&lt;=1,0,OFFSET('EDP Proyectado'!AO47,0,-'Ingreso Proyectado_Edu'!$P47)+0)),0)</f>
        <v>100000</v>
      </c>
      <c r="AO47" s="169">
        <f ca="1">+IFERROR(IF(ISNUMBER(OFFSET('EDP Proyectado'!AP47,0,-'Ingreso Proyectado_Edu'!$P47))&lt;&gt;0,IF(OFFSET('EDP Proyectado'!AP47,0,-'Ingreso Proyectado_Edu'!$P47)+0&lt;=1,0,OFFSET('EDP Proyectado'!AP47,0,-'Ingreso Proyectado_Edu'!$P47)+0)),0)</f>
        <v>0</v>
      </c>
      <c r="AP47" s="170">
        <f ca="1">+IFERROR(IF(ISNUMBER(OFFSET('EDP Proyectado'!AQ47,0,-'Ingreso Proyectado_Edu'!$P47))&lt;&gt;0,IF(OFFSET('EDP Proyectado'!AQ47,0,-'Ingreso Proyectado_Edu'!$P47)+0&lt;=1,0,OFFSET('EDP Proyectado'!AQ47,0,-'Ingreso Proyectado_Edu'!$P47)+0)),0)</f>
        <v>0</v>
      </c>
    </row>
    <row r="48" spans="3:42" x14ac:dyDescent="0.2">
      <c r="C48" s="117">
        <f>+'Gantt Proyectos'!C116</f>
        <v>20</v>
      </c>
      <c r="D48" s="118" t="str">
        <f>+'Gantt Proyectos'!D116</f>
        <v>BHP: Análisis de accesibilidad para MEL UG</v>
      </c>
      <c r="E48" s="118" t="str">
        <f>+'Gantt Proyectos'!E116</f>
        <v>MEL</v>
      </c>
      <c r="F48" s="146" t="str">
        <f>+'Gantt Proyectos'!F116</f>
        <v>Chile</v>
      </c>
      <c r="G48" s="118" t="str">
        <f>+'Gantt Proyectos'!G116</f>
        <v>Chile</v>
      </c>
      <c r="H48" s="118">
        <f>+'Gantt Proyectos'!H116</f>
        <v>0</v>
      </c>
      <c r="I48" s="189">
        <v>1</v>
      </c>
      <c r="J48" s="189">
        <f t="shared" si="6"/>
        <v>0</v>
      </c>
      <c r="K48" s="118" t="str">
        <f>+'Gantt Proyectos'!I116</f>
        <v>Subterránea</v>
      </c>
      <c r="L48" s="120">
        <f>+'Gantt Proyectos'!J116</f>
        <v>1</v>
      </c>
      <c r="M48" s="118" t="str">
        <f>+'Gantt Proyectos'!K116</f>
        <v>CA</v>
      </c>
      <c r="N48" s="316">
        <f>+'Gantt Proyectos'!L116</f>
        <v>198920</v>
      </c>
      <c r="O48" s="316" t="str">
        <f>+'Gantt Proyectos'!M116</f>
        <v>Saldo [USD]</v>
      </c>
      <c r="P48" s="118">
        <f>+'Gantt Proyectos'!N116</f>
        <v>1</v>
      </c>
      <c r="Q48" s="119">
        <f>+'Gantt Proyectos'!O116</f>
        <v>45754</v>
      </c>
      <c r="R48" s="119">
        <f>+'Gantt Proyectos'!P116</f>
        <v>45845</v>
      </c>
      <c r="S48" s="118" t="str">
        <f>+'Gantt Proyectos'!R116</f>
        <v>No</v>
      </c>
      <c r="T48" s="118">
        <f>+'Gantt Proyectos'!S116</f>
        <v>0</v>
      </c>
      <c r="U48" s="156">
        <f>+'Gantt Proyectos'!T116</f>
        <v>45754</v>
      </c>
      <c r="V48" s="156">
        <f>+'Gantt Proyectos'!U116</f>
        <v>45845</v>
      </c>
      <c r="W48" s="201">
        <f t="shared" si="7"/>
        <v>3</v>
      </c>
      <c r="X48" s="121">
        <f>+'Gantt Proyectos'!W116</f>
        <v>1.4474272930648768</v>
      </c>
      <c r="Y48" s="122">
        <f>+'Gantt Proyectos'!X116</f>
        <v>0.33</v>
      </c>
      <c r="Z48" s="122">
        <f>+'Gantt Proyectos'!Y116</f>
        <v>0.5</v>
      </c>
      <c r="AA48" s="122">
        <f>+'Gantt Proyectos'!Z116</f>
        <v>0.33</v>
      </c>
      <c r="AB48" s="122">
        <f>+'Gantt Proyectos'!AA116</f>
        <v>1</v>
      </c>
      <c r="AC48" s="122">
        <f>+'Gantt Proyectos'!AB116</f>
        <v>1</v>
      </c>
      <c r="AD48" s="152" t="str">
        <f>+'Gantt Proyectos'!AC116</f>
        <v>Scoping</v>
      </c>
      <c r="AE48" s="123" t="str">
        <f>+'Gantt Proyectos'!AD116</f>
        <v>Actual</v>
      </c>
      <c r="AF48" s="124" t="str">
        <f>+'Gantt Proyectos'!AE116</f>
        <v>3. Avance: 25%</v>
      </c>
      <c r="AG48" s="172">
        <v>1</v>
      </c>
      <c r="AH48" s="169">
        <f ca="1">+IFERROR(IF(ISNUMBER(OFFSET('EDP Proyectado'!AI48,0,-'Ingreso Proyectado_Edu'!$P48))&lt;&gt;0,IF(OFFSET('EDP Proyectado'!AI48,0,-'Ingreso Proyectado_Edu'!$P48)+0&lt;=1,0,OFFSET('EDP Proyectado'!AI48,0,-'Ingreso Proyectado_Edu'!$P48)+0)),0)</f>
        <v>0</v>
      </c>
      <c r="AI48" s="169">
        <f ca="1">+IFERROR(IF(ISNUMBER(OFFSET('EDP Proyectado'!AJ48,0,-'Ingreso Proyectado_Edu'!$P48))&lt;&gt;0,IF(OFFSET('EDP Proyectado'!AJ48,0,-'Ingreso Proyectado_Edu'!$P48)+0&lt;=1,0,OFFSET('EDP Proyectado'!AJ48,0,-'Ingreso Proyectado_Edu'!$P48)+0)),0)</f>
        <v>66306.666666666657</v>
      </c>
      <c r="AJ48" s="169">
        <f ca="1">+IFERROR(IF(ISNUMBER(OFFSET('EDP Proyectado'!AK48,0,-'Ingreso Proyectado_Edu'!$P48))&lt;&gt;0,IF(OFFSET('EDP Proyectado'!AK48,0,-'Ingreso Proyectado_Edu'!$P48)+0&lt;=1,0,OFFSET('EDP Proyectado'!AK48,0,-'Ingreso Proyectado_Edu'!$P48)+0)),0)</f>
        <v>66306.666666666657</v>
      </c>
      <c r="AK48" s="169">
        <f ca="1">+IFERROR(IF(ISNUMBER(OFFSET('EDP Proyectado'!AL48,0,-'Ingreso Proyectado_Edu'!$P48))&lt;&gt;0,IF(OFFSET('EDP Proyectado'!AL48,0,-'Ingreso Proyectado_Edu'!$P48)+0&lt;=1,0,OFFSET('EDP Proyectado'!AL48,0,-'Ingreso Proyectado_Edu'!$P48)+0)),0)</f>
        <v>66306.666666666657</v>
      </c>
      <c r="AL48" s="169">
        <f ca="1">+IFERROR(IF(ISNUMBER(OFFSET('EDP Proyectado'!AM48,0,-'Ingreso Proyectado_Edu'!$P48))&lt;&gt;0,IF(OFFSET('EDP Proyectado'!AM48,0,-'Ingreso Proyectado_Edu'!$P48)+0&lt;=1,0,OFFSET('EDP Proyectado'!AM48,0,-'Ingreso Proyectado_Edu'!$P48)+0)),0)</f>
        <v>66306.666666666657</v>
      </c>
      <c r="AM48" s="169">
        <f ca="1">+IFERROR(IF(ISNUMBER(OFFSET('EDP Proyectado'!AN48,0,-'Ingreso Proyectado_Edu'!$P48))&lt;&gt;0,IF(OFFSET('EDP Proyectado'!AN48,0,-'Ingreso Proyectado_Edu'!$P48)+0&lt;=1,0,OFFSET('EDP Proyectado'!AN48,0,-'Ingreso Proyectado_Edu'!$P48)+0)),0)</f>
        <v>0</v>
      </c>
      <c r="AN48" s="169">
        <f ca="1">+IFERROR(IF(ISNUMBER(OFFSET('EDP Proyectado'!AO48,0,-'Ingreso Proyectado_Edu'!$P48))&lt;&gt;0,IF(OFFSET('EDP Proyectado'!AO48,0,-'Ingreso Proyectado_Edu'!$P48)+0&lt;=1,0,OFFSET('EDP Proyectado'!AO48,0,-'Ingreso Proyectado_Edu'!$P48)+0)),0)</f>
        <v>0</v>
      </c>
      <c r="AO48" s="169">
        <f ca="1">+IFERROR(IF(ISNUMBER(OFFSET('EDP Proyectado'!AP48,0,-'Ingreso Proyectado_Edu'!$P48))&lt;&gt;0,IF(OFFSET('EDP Proyectado'!AP48,0,-'Ingreso Proyectado_Edu'!$P48)+0&lt;=1,0,OFFSET('EDP Proyectado'!AP48,0,-'Ingreso Proyectado_Edu'!$P48)+0)),0)</f>
        <v>0</v>
      </c>
      <c r="AP48" s="170">
        <f ca="1">+IFERROR(IF(ISNUMBER(OFFSET('EDP Proyectado'!AQ48,0,-'Ingreso Proyectado_Edu'!$P48))&lt;&gt;0,IF(OFFSET('EDP Proyectado'!AQ48,0,-'Ingreso Proyectado_Edu'!$P48)+0&lt;=1,0,OFFSET('EDP Proyectado'!AQ48,0,-'Ingreso Proyectado_Edu'!$P48)+0)),0)</f>
        <v>0</v>
      </c>
    </row>
    <row r="49" spans="2:42" x14ac:dyDescent="0.2">
      <c r="C49" s="117">
        <f>+'Gantt Proyectos'!C117</f>
        <v>21</v>
      </c>
      <c r="D49" s="118" t="str">
        <f>+'Gantt Proyectos'!D117</f>
        <v>Resolution: Análisis de Proyecto Túnel 68L</v>
      </c>
      <c r="E49" s="118" t="str">
        <f>+'Gantt Proyectos'!E117</f>
        <v>BHP</v>
      </c>
      <c r="F49" s="146" t="str">
        <f>+'Gantt Proyectos'!F117</f>
        <v>Chile</v>
      </c>
      <c r="G49" s="118" t="str">
        <f>+'Gantt Proyectos'!G117</f>
        <v>Chile</v>
      </c>
      <c r="H49" s="118" t="str">
        <f>+'Gantt Proyectos'!H117</f>
        <v>Perú</v>
      </c>
      <c r="I49" s="189">
        <v>0.5</v>
      </c>
      <c r="J49" s="189">
        <f t="shared" si="6"/>
        <v>0.5</v>
      </c>
      <c r="K49" s="118" t="str">
        <f>+'Gantt Proyectos'!I117</f>
        <v>Subterránea</v>
      </c>
      <c r="L49" s="120">
        <f>+'Gantt Proyectos'!J117</f>
        <v>1</v>
      </c>
      <c r="M49" s="118" t="str">
        <f>+'Gantt Proyectos'!K117</f>
        <v>CA</v>
      </c>
      <c r="N49" s="316">
        <f>+'Gantt Proyectos'!L117</f>
        <v>47808</v>
      </c>
      <c r="O49" s="316">
        <f>+'Gantt Proyectos'!M117</f>
        <v>0</v>
      </c>
      <c r="P49" s="118">
        <f>+'Gantt Proyectos'!N117</f>
        <v>1</v>
      </c>
      <c r="Q49" s="119">
        <f>+'Gantt Proyectos'!O117</f>
        <v>45768</v>
      </c>
      <c r="R49" s="119">
        <f>+'Gantt Proyectos'!P117</f>
        <v>45803</v>
      </c>
      <c r="S49" s="118" t="str">
        <f>+'Gantt Proyectos'!R117</f>
        <v>No</v>
      </c>
      <c r="T49" s="118">
        <f>+'Gantt Proyectos'!S117</f>
        <v>0</v>
      </c>
      <c r="U49" s="156">
        <f>+'Gantt Proyectos'!T117</f>
        <v>45768</v>
      </c>
      <c r="V49" s="156">
        <f>+'Gantt Proyectos'!U117</f>
        <v>45803</v>
      </c>
      <c r="W49" s="201">
        <f t="shared" si="7"/>
        <v>2</v>
      </c>
      <c r="X49" s="121">
        <f>+'Gantt Proyectos'!W117</f>
        <v>1</v>
      </c>
      <c r="Y49" s="122">
        <f>+'Gantt Proyectos'!X117</f>
        <v>0.33</v>
      </c>
      <c r="Z49" s="122">
        <f>+'Gantt Proyectos'!Y117</f>
        <v>0.5</v>
      </c>
      <c r="AA49" s="122">
        <f>+'Gantt Proyectos'!Z117</f>
        <v>0.33</v>
      </c>
      <c r="AB49" s="122">
        <f>+'Gantt Proyectos'!AA117</f>
        <v>1</v>
      </c>
      <c r="AC49" s="122">
        <f>+'Gantt Proyectos'!AB117</f>
        <v>0</v>
      </c>
      <c r="AD49" s="152" t="str">
        <f>+'Gantt Proyectos'!AC117</f>
        <v>Consultoria y Due Dilligence</v>
      </c>
      <c r="AE49" s="123" t="str">
        <f>+'Gantt Proyectos'!AD117</f>
        <v>Actual</v>
      </c>
      <c r="AF49" s="124" t="str">
        <f>+'Gantt Proyectos'!AE117</f>
        <v>2. KOM</v>
      </c>
      <c r="AG49" s="172">
        <v>1</v>
      </c>
      <c r="AH49" s="169">
        <f ca="1">+IFERROR(IF(ISNUMBER(OFFSET('EDP Proyectado'!AI49,0,-'Ingreso Proyectado_Edu'!$P49))&lt;&gt;0,IF(OFFSET('EDP Proyectado'!AI49,0,-'Ingreso Proyectado_Edu'!$P49)+0&lt;=1,0,OFFSET('EDP Proyectado'!AI49,0,-'Ingreso Proyectado_Edu'!$P49)+0)),0)</f>
        <v>0</v>
      </c>
      <c r="AI49" s="169">
        <f ca="1">+IFERROR(IF(ISNUMBER(OFFSET('EDP Proyectado'!AJ49,0,-'Ingreso Proyectado_Edu'!$P49))&lt;&gt;0,IF(OFFSET('EDP Proyectado'!AJ49,0,-'Ingreso Proyectado_Edu'!$P49)+0&lt;=1,0,OFFSET('EDP Proyectado'!AJ49,0,-'Ingreso Proyectado_Edu'!$P49)+0)),0)</f>
        <v>23904</v>
      </c>
      <c r="AJ49" s="169">
        <f ca="1">+IFERROR(IF(ISNUMBER(OFFSET('EDP Proyectado'!AK49,0,-'Ingreso Proyectado_Edu'!$P49))&lt;&gt;0,IF(OFFSET('EDP Proyectado'!AK49,0,-'Ingreso Proyectado_Edu'!$P49)+0&lt;=1,0,OFFSET('EDP Proyectado'!AK49,0,-'Ingreso Proyectado_Edu'!$P49)+0)),0)</f>
        <v>23904</v>
      </c>
      <c r="AK49" s="169">
        <f ca="1">+IFERROR(IF(ISNUMBER(OFFSET('EDP Proyectado'!AL49,0,-'Ingreso Proyectado_Edu'!$P49))&lt;&gt;0,IF(OFFSET('EDP Proyectado'!AL49,0,-'Ingreso Proyectado_Edu'!$P49)+0&lt;=1,0,OFFSET('EDP Proyectado'!AL49,0,-'Ingreso Proyectado_Edu'!$P49)+0)),0)</f>
        <v>0</v>
      </c>
      <c r="AL49" s="169">
        <f ca="1">+IFERROR(IF(ISNUMBER(OFFSET('EDP Proyectado'!AM49,0,-'Ingreso Proyectado_Edu'!$P49))&lt;&gt;0,IF(OFFSET('EDP Proyectado'!AM49,0,-'Ingreso Proyectado_Edu'!$P49)+0&lt;=1,0,OFFSET('EDP Proyectado'!AM49,0,-'Ingreso Proyectado_Edu'!$P49)+0)),0)</f>
        <v>0</v>
      </c>
      <c r="AM49" s="169">
        <f ca="1">+IFERROR(IF(ISNUMBER(OFFSET('EDP Proyectado'!AN49,0,-'Ingreso Proyectado_Edu'!$P49))&lt;&gt;0,IF(OFFSET('EDP Proyectado'!AN49,0,-'Ingreso Proyectado_Edu'!$P49)+0&lt;=1,0,OFFSET('EDP Proyectado'!AN49,0,-'Ingreso Proyectado_Edu'!$P49)+0)),0)</f>
        <v>0</v>
      </c>
      <c r="AN49" s="169">
        <f ca="1">+IFERROR(IF(ISNUMBER(OFFSET('EDP Proyectado'!AO49,0,-'Ingreso Proyectado_Edu'!$P49))&lt;&gt;0,IF(OFFSET('EDP Proyectado'!AO49,0,-'Ingreso Proyectado_Edu'!$P49)+0&lt;=1,0,OFFSET('EDP Proyectado'!AO49,0,-'Ingreso Proyectado_Edu'!$P49)+0)),0)</f>
        <v>0</v>
      </c>
      <c r="AO49" s="169">
        <f ca="1">+IFERROR(IF(ISNUMBER(OFFSET('EDP Proyectado'!AP49,0,-'Ingreso Proyectado_Edu'!$P49))&lt;&gt;0,IF(OFFSET('EDP Proyectado'!AP49,0,-'Ingreso Proyectado_Edu'!$P49)+0&lt;=1,0,OFFSET('EDP Proyectado'!AP49,0,-'Ingreso Proyectado_Edu'!$P49)+0)),0)</f>
        <v>0</v>
      </c>
      <c r="AP49" s="170">
        <f ca="1">+IFERROR(IF(ISNUMBER(OFFSET('EDP Proyectado'!AQ49,0,-'Ingreso Proyectado_Edu'!$P49))&lt;&gt;0,IF(OFFSET('EDP Proyectado'!AQ49,0,-'Ingreso Proyectado_Edu'!$P49)+0&lt;=1,0,OFFSET('EDP Proyectado'!AQ49,0,-'Ingreso Proyectado_Edu'!$P49)+0)),0)</f>
        <v>0</v>
      </c>
    </row>
    <row r="50" spans="2:42" x14ac:dyDescent="0.2">
      <c r="C50" s="117">
        <f>+'Gantt Proyectos'!C118</f>
        <v>22</v>
      </c>
      <c r="D50" s="118" t="str">
        <f>+'Gantt Proyectos'!D118</f>
        <v>Cajati: Actualización Ingeniería P1</v>
      </c>
      <c r="E50" s="118" t="str">
        <f>+'Gantt Proyectos'!E118</f>
        <v>Mosaic</v>
      </c>
      <c r="F50" s="146" t="str">
        <f>+'Gantt Proyectos'!F118</f>
        <v>Brasil</v>
      </c>
      <c r="G50" s="118" t="str">
        <f>+'Gantt Proyectos'!G118</f>
        <v>Chile</v>
      </c>
      <c r="H50" s="118">
        <f>+'Gantt Proyectos'!H118</f>
        <v>0</v>
      </c>
      <c r="I50" s="189">
        <v>1</v>
      </c>
      <c r="J50" s="189">
        <f t="shared" si="6"/>
        <v>0</v>
      </c>
      <c r="K50" s="118" t="str">
        <f>+'Gantt Proyectos'!I118</f>
        <v>Subterránea</v>
      </c>
      <c r="L50" s="120">
        <f>+'Gantt Proyectos'!J118</f>
        <v>1</v>
      </c>
      <c r="M50" s="118" t="str">
        <f>+'Gantt Proyectos'!K118</f>
        <v>AF</v>
      </c>
      <c r="N50" s="316">
        <f>+'Gantt Proyectos'!L118</f>
        <v>147935</v>
      </c>
      <c r="O50" s="316">
        <f>+'Gantt Proyectos'!M118</f>
        <v>0</v>
      </c>
      <c r="P50" s="118">
        <f>+'Gantt Proyectos'!N118</f>
        <v>3</v>
      </c>
      <c r="Q50" s="119">
        <f>+'Gantt Proyectos'!O118</f>
        <v>45726</v>
      </c>
      <c r="R50" s="119">
        <f>+'Gantt Proyectos'!P118</f>
        <v>45866</v>
      </c>
      <c r="S50" s="118" t="str">
        <f>+'Gantt Proyectos'!R118</f>
        <v>No</v>
      </c>
      <c r="T50" s="118">
        <f>+'Gantt Proyectos'!S118</f>
        <v>0</v>
      </c>
      <c r="U50" s="156">
        <f>+'Gantt Proyectos'!T118</f>
        <v>45726</v>
      </c>
      <c r="V50" s="156">
        <f>+'Gantt Proyectos'!U118</f>
        <v>45866</v>
      </c>
      <c r="W50" s="201">
        <f t="shared" si="7"/>
        <v>5</v>
      </c>
      <c r="X50" s="121">
        <f>+'Gantt Proyectos'!W118</f>
        <v>2.5503355704697985</v>
      </c>
      <c r="Y50" s="122">
        <f>+'Gantt Proyectos'!X118</f>
        <v>0.5</v>
      </c>
      <c r="Z50" s="122">
        <f>+'Gantt Proyectos'!Y118</f>
        <v>0.67</v>
      </c>
      <c r="AA50" s="122">
        <f>+'Gantt Proyectos'!Z118</f>
        <v>1</v>
      </c>
      <c r="AB50" s="122">
        <f>+'Gantt Proyectos'!AA118</f>
        <v>2.5</v>
      </c>
      <c r="AC50" s="122">
        <f>+'Gantt Proyectos'!AB118</f>
        <v>1</v>
      </c>
      <c r="AD50" s="152" t="str">
        <f>+'Gantt Proyectos'!AC118</f>
        <v>FS e Ing. Basica</v>
      </c>
      <c r="AE50" s="123" t="str">
        <f>+'Gantt Proyectos'!AD118</f>
        <v>Actual</v>
      </c>
      <c r="AF50" s="124" t="str">
        <f>+'Gantt Proyectos'!AE118</f>
        <v>2. KOM</v>
      </c>
      <c r="AG50" s="172">
        <v>1</v>
      </c>
      <c r="AH50" s="169">
        <f ca="1">+IFERROR(IF(ISNUMBER(OFFSET('EDP Proyectado'!AI50,0,-'Ingreso Proyectado_Edu'!$P50))&lt;&gt;0,IF(OFFSET('EDP Proyectado'!AI50,0,-'Ingreso Proyectado_Edu'!$P50)+0&lt;=1,0,OFFSET('EDP Proyectado'!AI50,0,-'Ingreso Proyectado_Edu'!$P50)+0)),0)</f>
        <v>0</v>
      </c>
      <c r="AI50" s="169">
        <f ca="1">+IFERROR(IF(ISNUMBER(OFFSET('EDP Proyectado'!AJ50,0,-'Ingreso Proyectado_Edu'!$P50))&lt;&gt;0,IF(OFFSET('EDP Proyectado'!AJ50,0,-'Ingreso Proyectado_Edu'!$P50)+0&lt;=1,0,OFFSET('EDP Proyectado'!AJ50,0,-'Ingreso Proyectado_Edu'!$P50)+0)),0)</f>
        <v>0</v>
      </c>
      <c r="AJ50" s="169">
        <f ca="1">+IFERROR(IF(ISNUMBER(OFFSET('EDP Proyectado'!AK50,0,-'Ingreso Proyectado_Edu'!$P50))&lt;&gt;0,IF(OFFSET('EDP Proyectado'!AK50,0,-'Ingreso Proyectado_Edu'!$P50)+0&lt;=1,0,OFFSET('EDP Proyectado'!AK50,0,-'Ingreso Proyectado_Edu'!$P50)+0)),0)</f>
        <v>0</v>
      </c>
      <c r="AK50" s="169">
        <f ca="1">+IFERROR(IF(ISNUMBER(OFFSET('EDP Proyectado'!AL50,0,-'Ingreso Proyectado_Edu'!$P50))&lt;&gt;0,IF(OFFSET('EDP Proyectado'!AL50,0,-'Ingreso Proyectado_Edu'!$P50)+0&lt;=1,0,OFFSET('EDP Proyectado'!AL50,0,-'Ingreso Proyectado_Edu'!$P50)+0)),0)</f>
        <v>29587</v>
      </c>
      <c r="AL50" s="169">
        <f ca="1">+IFERROR(IF(ISNUMBER(OFFSET('EDP Proyectado'!AM50,0,-'Ingreso Proyectado_Edu'!$P50))&lt;&gt;0,IF(OFFSET('EDP Proyectado'!AM50,0,-'Ingreso Proyectado_Edu'!$P50)+0&lt;=1,0,OFFSET('EDP Proyectado'!AM50,0,-'Ingreso Proyectado_Edu'!$P50)+0)),0)</f>
        <v>29587</v>
      </c>
      <c r="AM50" s="169">
        <f ca="1">+IFERROR(IF(ISNUMBER(OFFSET('EDP Proyectado'!AN50,0,-'Ingreso Proyectado_Edu'!$P50))&lt;&gt;0,IF(OFFSET('EDP Proyectado'!AN50,0,-'Ingreso Proyectado_Edu'!$P50)+0&lt;=1,0,OFFSET('EDP Proyectado'!AN50,0,-'Ingreso Proyectado_Edu'!$P50)+0)),0)</f>
        <v>29587</v>
      </c>
      <c r="AN50" s="169">
        <f ca="1">+IFERROR(IF(ISNUMBER(OFFSET('EDP Proyectado'!AO50,0,-'Ingreso Proyectado_Edu'!$P50))&lt;&gt;0,IF(OFFSET('EDP Proyectado'!AO50,0,-'Ingreso Proyectado_Edu'!$P50)+0&lt;=1,0,OFFSET('EDP Proyectado'!AO50,0,-'Ingreso Proyectado_Edu'!$P50)+0)),0)</f>
        <v>29587</v>
      </c>
      <c r="AO50" s="169">
        <f ca="1">+IFERROR(IF(ISNUMBER(OFFSET('EDP Proyectado'!AP50,0,-'Ingreso Proyectado_Edu'!$P50))&lt;&gt;0,IF(OFFSET('EDP Proyectado'!AP50,0,-'Ingreso Proyectado_Edu'!$P50)+0&lt;=1,0,OFFSET('EDP Proyectado'!AP50,0,-'Ingreso Proyectado_Edu'!$P50)+0)),0)</f>
        <v>0</v>
      </c>
      <c r="AP50" s="170">
        <f ca="1">+IFERROR(IF(ISNUMBER(OFFSET('EDP Proyectado'!AQ50,0,-'Ingreso Proyectado_Edu'!$P50))&lt;&gt;0,IF(OFFSET('EDP Proyectado'!AQ50,0,-'Ingreso Proyectado_Edu'!$P50)+0&lt;=1,0,OFFSET('EDP Proyectado'!AQ50,0,-'Ingreso Proyectado_Edu'!$P50)+0)),0)</f>
        <v>0</v>
      </c>
    </row>
    <row r="51" spans="2:42" x14ac:dyDescent="0.2">
      <c r="C51" s="117">
        <f>+'Gantt Proyectos'!C119</f>
        <v>23</v>
      </c>
      <c r="D51" s="118" t="str">
        <f>+'Gantt Proyectos'!D119</f>
        <v>LOM Integrado San Rafael: 2025</v>
      </c>
      <c r="E51" s="118" t="str">
        <f>+'Gantt Proyectos'!E119</f>
        <v>Minsur</v>
      </c>
      <c r="F51" s="146" t="str">
        <f>+'Gantt Proyectos'!F119</f>
        <v>Perú</v>
      </c>
      <c r="G51" s="118" t="str">
        <f>+'Gantt Proyectos'!G119</f>
        <v>Perú</v>
      </c>
      <c r="H51" s="118" t="str">
        <f>+'Gantt Proyectos'!H119</f>
        <v>Chile</v>
      </c>
      <c r="I51" s="189">
        <v>0.5</v>
      </c>
      <c r="J51" s="189">
        <f t="shared" si="6"/>
        <v>0.5</v>
      </c>
      <c r="K51" s="118" t="str">
        <f>+'Gantt Proyectos'!I119</f>
        <v>Subterránea</v>
      </c>
      <c r="L51" s="120">
        <f>+'Gantt Proyectos'!J119</f>
        <v>1</v>
      </c>
      <c r="M51" s="118" t="str">
        <f>+'Gantt Proyectos'!K119</f>
        <v>MF</v>
      </c>
      <c r="N51" s="316">
        <f>+'Gantt Proyectos'!L119</f>
        <v>60000</v>
      </c>
      <c r="O51" s="316">
        <f>+'Gantt Proyectos'!M119</f>
        <v>0</v>
      </c>
      <c r="P51" s="118">
        <f>+'Gantt Proyectos'!N119</f>
        <v>2</v>
      </c>
      <c r="Q51" s="119">
        <f>+'Gantt Proyectos'!O119</f>
        <v>45719</v>
      </c>
      <c r="R51" s="119">
        <f>+'Gantt Proyectos'!P119</f>
        <v>45859</v>
      </c>
      <c r="S51" s="118" t="str">
        <f>+'Gantt Proyectos'!R119</f>
        <v>No</v>
      </c>
      <c r="T51" s="118">
        <f>+'Gantt Proyectos'!S119</f>
        <v>0</v>
      </c>
      <c r="U51" s="156">
        <f>+'Gantt Proyectos'!T119</f>
        <v>45719</v>
      </c>
      <c r="V51" s="156">
        <f>+'Gantt Proyectos'!U119</f>
        <v>45859</v>
      </c>
      <c r="W51" s="201">
        <f t="shared" si="7"/>
        <v>5</v>
      </c>
      <c r="X51" s="121">
        <f>+'Gantt Proyectos'!W119</f>
        <v>0.72035794183445179</v>
      </c>
      <c r="Y51" s="122">
        <f>+'Gantt Proyectos'!X119</f>
        <v>0.25</v>
      </c>
      <c r="Z51" s="122">
        <f>+'Gantt Proyectos'!Y119</f>
        <v>0.33</v>
      </c>
      <c r="AA51" s="122">
        <f>+'Gantt Proyectos'!Z119</f>
        <v>0</v>
      </c>
      <c r="AB51" s="122">
        <f>+'Gantt Proyectos'!AA119</f>
        <v>0.5</v>
      </c>
      <c r="AC51" s="122">
        <f>+'Gantt Proyectos'!AB119</f>
        <v>0.5</v>
      </c>
      <c r="AD51" s="152" t="str">
        <f>+'Gantt Proyectos'!AC119</f>
        <v>Estudio Conceptual / LOM</v>
      </c>
      <c r="AE51" s="123" t="str">
        <f>+'Gantt Proyectos'!AD119</f>
        <v>Actual</v>
      </c>
      <c r="AF51" s="124" t="str">
        <f>+'Gantt Proyectos'!AE119</f>
        <v>2. KOM</v>
      </c>
      <c r="AG51" s="172">
        <v>1</v>
      </c>
      <c r="AH51" s="169">
        <f ca="1">+IFERROR(IF(ISNUMBER(OFFSET('EDP Proyectado'!AI51,0,-'Ingreso Proyectado_Edu'!$P51))&lt;&gt;0,IF(OFFSET('EDP Proyectado'!AI51,0,-'Ingreso Proyectado_Edu'!$P51)+0&lt;=1,0,OFFSET('EDP Proyectado'!AI51,0,-'Ingreso Proyectado_Edu'!$P51)+0)),0)</f>
        <v>0</v>
      </c>
      <c r="AI51" s="169">
        <f ca="1">+IFERROR(IF(ISNUMBER(OFFSET('EDP Proyectado'!AJ51,0,-'Ingreso Proyectado_Edu'!$P51))&lt;&gt;0,IF(OFFSET('EDP Proyectado'!AJ51,0,-'Ingreso Proyectado_Edu'!$P51)+0&lt;=1,0,OFFSET('EDP Proyectado'!AJ51,0,-'Ingreso Proyectado_Edu'!$P51)+0)),0)</f>
        <v>0</v>
      </c>
      <c r="AJ51" s="169">
        <f ca="1">+IFERROR(IF(ISNUMBER(OFFSET('EDP Proyectado'!AK51,0,-'Ingreso Proyectado_Edu'!$P51))&lt;&gt;0,IF(OFFSET('EDP Proyectado'!AK51,0,-'Ingreso Proyectado_Edu'!$P51)+0&lt;=1,0,OFFSET('EDP Proyectado'!AK51,0,-'Ingreso Proyectado_Edu'!$P51)+0)),0)</f>
        <v>12000</v>
      </c>
      <c r="AK51" s="169">
        <f ca="1">+IFERROR(IF(ISNUMBER(OFFSET('EDP Proyectado'!AL51,0,-'Ingreso Proyectado_Edu'!$P51))&lt;&gt;0,IF(OFFSET('EDP Proyectado'!AL51,0,-'Ingreso Proyectado_Edu'!$P51)+0&lt;=1,0,OFFSET('EDP Proyectado'!AL51,0,-'Ingreso Proyectado_Edu'!$P51)+0)),0)</f>
        <v>12000</v>
      </c>
      <c r="AL51" s="169">
        <f ca="1">+IFERROR(IF(ISNUMBER(OFFSET('EDP Proyectado'!AM51,0,-'Ingreso Proyectado_Edu'!$P51))&lt;&gt;0,IF(OFFSET('EDP Proyectado'!AM51,0,-'Ingreso Proyectado_Edu'!$P51)+0&lt;=1,0,OFFSET('EDP Proyectado'!AM51,0,-'Ingreso Proyectado_Edu'!$P51)+0)),0)</f>
        <v>12000</v>
      </c>
      <c r="AM51" s="169">
        <f ca="1">+IFERROR(IF(ISNUMBER(OFFSET('EDP Proyectado'!AN51,0,-'Ingreso Proyectado_Edu'!$P51))&lt;&gt;0,IF(OFFSET('EDP Proyectado'!AN51,0,-'Ingreso Proyectado_Edu'!$P51)+0&lt;=1,0,OFFSET('EDP Proyectado'!AN51,0,-'Ingreso Proyectado_Edu'!$P51)+0)),0)</f>
        <v>12000</v>
      </c>
      <c r="AN51" s="169">
        <f ca="1">+IFERROR(IF(ISNUMBER(OFFSET('EDP Proyectado'!AO51,0,-'Ingreso Proyectado_Edu'!$P51))&lt;&gt;0,IF(OFFSET('EDP Proyectado'!AO51,0,-'Ingreso Proyectado_Edu'!$P51)+0&lt;=1,0,OFFSET('EDP Proyectado'!AO51,0,-'Ingreso Proyectado_Edu'!$P51)+0)),0)</f>
        <v>0</v>
      </c>
      <c r="AO51" s="169">
        <f ca="1">+IFERROR(IF(ISNUMBER(OFFSET('EDP Proyectado'!AP51,0,-'Ingreso Proyectado_Edu'!$P51))&lt;&gt;0,IF(OFFSET('EDP Proyectado'!AP51,0,-'Ingreso Proyectado_Edu'!$P51)+0&lt;=1,0,OFFSET('EDP Proyectado'!AP51,0,-'Ingreso Proyectado_Edu'!$P51)+0)),0)</f>
        <v>0</v>
      </c>
      <c r="AP51" s="170">
        <f ca="1">+IFERROR(IF(ISNUMBER(OFFSET('EDP Proyectado'!AQ51,0,-'Ingreso Proyectado_Edu'!$P51))&lt;&gt;0,IF(OFFSET('EDP Proyectado'!AQ51,0,-'Ingreso Proyectado_Edu'!$P51)+0&lt;=1,0,OFFSET('EDP Proyectado'!AQ51,0,-'Ingreso Proyectado_Edu'!$P51)+0)),0)</f>
        <v>0</v>
      </c>
    </row>
    <row r="52" spans="2:42" x14ac:dyDescent="0.2">
      <c r="C52" s="117">
        <f>+'Gantt Proyectos'!C120</f>
        <v>24</v>
      </c>
      <c r="D52" s="118" t="str">
        <f>+'Gantt Proyectos'!D120</f>
        <v>Soporte Minero en Litigio OT - Gobierno Mongolia (Fase 2)</v>
      </c>
      <c r="E52" s="118" t="str">
        <f>+'Gantt Proyectos'!E120</f>
        <v>ThreeCrowns</v>
      </c>
      <c r="F52" s="146" t="str">
        <f>+'Gantt Proyectos'!F120</f>
        <v>USA</v>
      </c>
      <c r="G52" s="118" t="str">
        <f>+'Gantt Proyectos'!G120</f>
        <v>Chile</v>
      </c>
      <c r="H52" s="118">
        <f>+'Gantt Proyectos'!H120</f>
        <v>0</v>
      </c>
      <c r="I52" s="189">
        <v>1</v>
      </c>
      <c r="J52" s="189">
        <f t="shared" si="6"/>
        <v>0</v>
      </c>
      <c r="K52" s="118" t="str">
        <f>+'Gantt Proyectos'!I120</f>
        <v>Subterránea</v>
      </c>
      <c r="L52" s="120">
        <f>+'Gantt Proyectos'!J120</f>
        <v>1</v>
      </c>
      <c r="M52" s="118" t="str">
        <f>+'Gantt Proyectos'!K120</f>
        <v>-</v>
      </c>
      <c r="N52" s="316">
        <f>+'Gantt Proyectos'!L120</f>
        <v>350000</v>
      </c>
      <c r="O52" s="316">
        <f>+'Gantt Proyectos'!M120</f>
        <v>350000</v>
      </c>
      <c r="P52" s="118">
        <f>+'Gantt Proyectos'!N120</f>
        <v>2</v>
      </c>
      <c r="Q52" s="119">
        <f>+'Gantt Proyectos'!O120</f>
        <v>45775</v>
      </c>
      <c r="R52" s="119">
        <f>+'Gantt Proyectos'!P120</f>
        <v>45838</v>
      </c>
      <c r="S52" s="118" t="str">
        <f>+'Gantt Proyectos'!R120</f>
        <v>No</v>
      </c>
      <c r="T52" s="118">
        <f>+'Gantt Proyectos'!S120</f>
        <v>0</v>
      </c>
      <c r="U52" s="156">
        <f>+'Gantt Proyectos'!T120</f>
        <v>45775</v>
      </c>
      <c r="V52" s="156">
        <f>+'Gantt Proyectos'!U120</f>
        <v>45838</v>
      </c>
      <c r="W52" s="201">
        <f t="shared" si="7"/>
        <v>3</v>
      </c>
      <c r="X52" s="121">
        <f>+'Gantt Proyectos'!W120</f>
        <v>1</v>
      </c>
      <c r="Y52" s="122">
        <f>+'Gantt Proyectos'!X120</f>
        <v>0.33</v>
      </c>
      <c r="Z52" s="122">
        <f>+'Gantt Proyectos'!Y120</f>
        <v>0.5</v>
      </c>
      <c r="AA52" s="122">
        <f>+'Gantt Proyectos'!Z120</f>
        <v>0.33</v>
      </c>
      <c r="AB52" s="122">
        <f>+'Gantt Proyectos'!AA120</f>
        <v>1</v>
      </c>
      <c r="AC52" s="122">
        <f>+'Gantt Proyectos'!AB120</f>
        <v>0</v>
      </c>
      <c r="AD52" s="152" t="str">
        <f>+'Gantt Proyectos'!AC120</f>
        <v>Consultoria y Due Dilligence</v>
      </c>
      <c r="AE52" s="123" t="str">
        <f>+'Gantt Proyectos'!AD120</f>
        <v>Actual</v>
      </c>
      <c r="AF52" s="124" t="str">
        <f>+'Gantt Proyectos'!AE120</f>
        <v>2. KOM</v>
      </c>
      <c r="AG52" s="172">
        <v>1</v>
      </c>
      <c r="AH52" s="169">
        <f ca="1">+IFERROR(IF(ISNUMBER(OFFSET('EDP Proyectado'!AI52,0,-'Ingreso Proyectado_Edu'!$P52))&lt;&gt;0,IF(OFFSET('EDP Proyectado'!AI52,0,-'Ingreso Proyectado_Edu'!$P52)+0&lt;=1,0,OFFSET('EDP Proyectado'!AI52,0,-'Ingreso Proyectado_Edu'!$P52)+0)),0)</f>
        <v>0</v>
      </c>
      <c r="AI52" s="169">
        <f ca="1">+IFERROR(IF(ISNUMBER(OFFSET('EDP Proyectado'!AJ52,0,-'Ingreso Proyectado_Edu'!$P52))&lt;&gt;0,IF(OFFSET('EDP Proyectado'!AJ52,0,-'Ingreso Proyectado_Edu'!$P52)+0&lt;=1,0,OFFSET('EDP Proyectado'!AJ52,0,-'Ingreso Proyectado_Edu'!$P52)+0)),0)</f>
        <v>0</v>
      </c>
      <c r="AJ52" s="169">
        <f ca="1">+IFERROR(IF(ISNUMBER(OFFSET('EDP Proyectado'!AK52,0,-'Ingreso Proyectado_Edu'!$P52))&lt;&gt;0,IF(OFFSET('EDP Proyectado'!AK52,0,-'Ingreso Proyectado_Edu'!$P52)+0&lt;=1,0,OFFSET('EDP Proyectado'!AK52,0,-'Ingreso Proyectado_Edu'!$P52)+0)),0)</f>
        <v>116666.66666666666</v>
      </c>
      <c r="AK52" s="169">
        <f ca="1">+IFERROR(IF(ISNUMBER(OFFSET('EDP Proyectado'!AL52,0,-'Ingreso Proyectado_Edu'!$P52))&lt;&gt;0,IF(OFFSET('EDP Proyectado'!AL52,0,-'Ingreso Proyectado_Edu'!$P52)+0&lt;=1,0,OFFSET('EDP Proyectado'!AL52,0,-'Ingreso Proyectado_Edu'!$P52)+0)),0)</f>
        <v>116666.66666666666</v>
      </c>
      <c r="AL52" s="169">
        <f ca="1">+IFERROR(IF(ISNUMBER(OFFSET('EDP Proyectado'!AM52,0,-'Ingreso Proyectado_Edu'!$P52))&lt;&gt;0,IF(OFFSET('EDP Proyectado'!AM52,0,-'Ingreso Proyectado_Edu'!$P52)+0&lt;=1,0,OFFSET('EDP Proyectado'!AM52,0,-'Ingreso Proyectado_Edu'!$P52)+0)),0)</f>
        <v>116666.66666666666</v>
      </c>
      <c r="AM52" s="169">
        <f ca="1">+IFERROR(IF(ISNUMBER(OFFSET('EDP Proyectado'!AN52,0,-'Ingreso Proyectado_Edu'!$P52))&lt;&gt;0,IF(OFFSET('EDP Proyectado'!AN52,0,-'Ingreso Proyectado_Edu'!$P52)+0&lt;=1,0,OFFSET('EDP Proyectado'!AN52,0,-'Ingreso Proyectado_Edu'!$P52)+0)),0)</f>
        <v>0</v>
      </c>
      <c r="AN52" s="169">
        <f ca="1">+IFERROR(IF(ISNUMBER(OFFSET('EDP Proyectado'!AO52,0,-'Ingreso Proyectado_Edu'!$P52))&lt;&gt;0,IF(OFFSET('EDP Proyectado'!AO52,0,-'Ingreso Proyectado_Edu'!$P52)+0&lt;=1,0,OFFSET('EDP Proyectado'!AO52,0,-'Ingreso Proyectado_Edu'!$P52)+0)),0)</f>
        <v>0</v>
      </c>
      <c r="AO52" s="169">
        <f ca="1">+IFERROR(IF(ISNUMBER(OFFSET('EDP Proyectado'!AP52,0,-'Ingreso Proyectado_Edu'!$P52))&lt;&gt;0,IF(OFFSET('EDP Proyectado'!AP52,0,-'Ingreso Proyectado_Edu'!$P52)+0&lt;=1,0,OFFSET('EDP Proyectado'!AP52,0,-'Ingreso Proyectado_Edu'!$P52)+0)),0)</f>
        <v>0</v>
      </c>
      <c r="AP52" s="170">
        <f ca="1">+IFERROR(IF(ISNUMBER(OFFSET('EDP Proyectado'!AQ52,0,-'Ingreso Proyectado_Edu'!$P52))&lt;&gt;0,IF(OFFSET('EDP Proyectado'!AQ52,0,-'Ingreso Proyectado_Edu'!$P52)+0&lt;=1,0,OFFSET('EDP Proyectado'!AQ52,0,-'Ingreso Proyectado_Edu'!$P52)+0)),0)</f>
        <v>0</v>
      </c>
    </row>
    <row r="53" spans="2:42" x14ac:dyDescent="0.2">
      <c r="C53" s="117">
        <f>+'Gantt Proyectos'!C121</f>
        <v>25</v>
      </c>
      <c r="D53" s="118" t="str">
        <f>+'Gantt Proyectos'!D121</f>
        <v>Aura: Ingeniería Túnel de Exploraciones</v>
      </c>
      <c r="E53" s="118" t="str">
        <f>+'Gantt Proyectos'!E121</f>
        <v>Aura Minerals</v>
      </c>
      <c r="F53" s="146" t="str">
        <f>+'Gantt Proyectos'!F121</f>
        <v>Brasil</v>
      </c>
      <c r="G53" s="118" t="str">
        <f>+'Gantt Proyectos'!G121</f>
        <v>Chile</v>
      </c>
      <c r="H53" s="118">
        <f>+'Gantt Proyectos'!H121</f>
        <v>0</v>
      </c>
      <c r="I53" s="189">
        <v>1</v>
      </c>
      <c r="J53" s="189">
        <f t="shared" si="6"/>
        <v>0</v>
      </c>
      <c r="K53" s="118" t="str">
        <f>+'Gantt Proyectos'!I121</f>
        <v>Subterránea</v>
      </c>
      <c r="L53" s="120">
        <f>+'Gantt Proyectos'!J121</f>
        <v>1</v>
      </c>
      <c r="M53" s="118" t="str">
        <f>+'Gantt Proyectos'!K121</f>
        <v>AF</v>
      </c>
      <c r="N53" s="316">
        <f>+'Gantt Proyectos'!L121</f>
        <v>108000</v>
      </c>
      <c r="O53" s="316">
        <f>+'Gantt Proyectos'!M121</f>
        <v>108000</v>
      </c>
      <c r="P53" s="118">
        <f>+'Gantt Proyectos'!N121</f>
        <v>1</v>
      </c>
      <c r="Q53" s="119">
        <f>+'Gantt Proyectos'!O121</f>
        <v>45761</v>
      </c>
      <c r="R53" s="119">
        <f>+'Gantt Proyectos'!P121</f>
        <v>45859</v>
      </c>
      <c r="S53" s="118" t="str">
        <f>+'Gantt Proyectos'!R121</f>
        <v>No</v>
      </c>
      <c r="T53" s="118">
        <f>+'Gantt Proyectos'!S121</f>
        <v>0</v>
      </c>
      <c r="U53" s="156">
        <f>+'Gantt Proyectos'!T121</f>
        <v>45761</v>
      </c>
      <c r="V53" s="156">
        <f>+'Gantt Proyectos'!U121</f>
        <v>45859</v>
      </c>
      <c r="W53" s="201">
        <f t="shared" si="7"/>
        <v>4</v>
      </c>
      <c r="X53" s="121">
        <f>+'Gantt Proyectos'!W121</f>
        <v>1.4474272930648768</v>
      </c>
      <c r="Y53" s="122">
        <f>+'Gantt Proyectos'!X121</f>
        <v>0.33</v>
      </c>
      <c r="Z53" s="122">
        <f>+'Gantt Proyectos'!Y121</f>
        <v>0.5</v>
      </c>
      <c r="AA53" s="122">
        <f>+'Gantt Proyectos'!Z121</f>
        <v>0.33</v>
      </c>
      <c r="AB53" s="122">
        <f>+'Gantt Proyectos'!AA121</f>
        <v>1</v>
      </c>
      <c r="AC53" s="122">
        <f>+'Gantt Proyectos'!AB121</f>
        <v>1</v>
      </c>
      <c r="AD53" s="152" t="str">
        <f>+'Gantt Proyectos'!AC121</f>
        <v>Scoping</v>
      </c>
      <c r="AE53" s="123" t="str">
        <f>+'Gantt Proyectos'!AD121</f>
        <v>Actual</v>
      </c>
      <c r="AF53" s="124" t="str">
        <f>+'Gantt Proyectos'!AE121</f>
        <v>2. KOM</v>
      </c>
      <c r="AG53" s="172">
        <v>1</v>
      </c>
      <c r="AH53" s="169">
        <f ca="1">+IFERROR(IF(ISNUMBER(OFFSET('EDP Proyectado'!AI53,0,-'Ingreso Proyectado_Edu'!$P53))&lt;&gt;0,IF(OFFSET('EDP Proyectado'!AI53,0,-'Ingreso Proyectado_Edu'!$P53)+0&lt;=1,0,OFFSET('EDP Proyectado'!AI53,0,-'Ingreso Proyectado_Edu'!$P53)+0)),0)</f>
        <v>0</v>
      </c>
      <c r="AI53" s="169">
        <f ca="1">+IFERROR(IF(ISNUMBER(OFFSET('EDP Proyectado'!AJ53,0,-'Ingreso Proyectado_Edu'!$P53))&lt;&gt;0,IF(OFFSET('EDP Proyectado'!AJ53,0,-'Ingreso Proyectado_Edu'!$P53)+0&lt;=1,0,OFFSET('EDP Proyectado'!AJ53,0,-'Ingreso Proyectado_Edu'!$P53)+0)),0)</f>
        <v>27000</v>
      </c>
      <c r="AJ53" s="169">
        <f ca="1">+IFERROR(IF(ISNUMBER(OFFSET('EDP Proyectado'!AK53,0,-'Ingreso Proyectado_Edu'!$P53))&lt;&gt;0,IF(OFFSET('EDP Proyectado'!AK53,0,-'Ingreso Proyectado_Edu'!$P53)+0&lt;=1,0,OFFSET('EDP Proyectado'!AK53,0,-'Ingreso Proyectado_Edu'!$P53)+0)),0)</f>
        <v>27000</v>
      </c>
      <c r="AK53" s="169">
        <f ca="1">+IFERROR(IF(ISNUMBER(OFFSET('EDP Proyectado'!AL53,0,-'Ingreso Proyectado_Edu'!$P53))&lt;&gt;0,IF(OFFSET('EDP Proyectado'!AL53,0,-'Ingreso Proyectado_Edu'!$P53)+0&lt;=1,0,OFFSET('EDP Proyectado'!AL53,0,-'Ingreso Proyectado_Edu'!$P53)+0)),0)</f>
        <v>27000</v>
      </c>
      <c r="AL53" s="169">
        <f ca="1">+IFERROR(IF(ISNUMBER(OFFSET('EDP Proyectado'!AM53,0,-'Ingreso Proyectado_Edu'!$P53))&lt;&gt;0,IF(OFFSET('EDP Proyectado'!AM53,0,-'Ingreso Proyectado_Edu'!$P53)+0&lt;=1,0,OFFSET('EDP Proyectado'!AM53,0,-'Ingreso Proyectado_Edu'!$P53)+0)),0)</f>
        <v>27000</v>
      </c>
      <c r="AM53" s="169">
        <f ca="1">+IFERROR(IF(ISNUMBER(OFFSET('EDP Proyectado'!AN53,0,-'Ingreso Proyectado_Edu'!$P53))&lt;&gt;0,IF(OFFSET('EDP Proyectado'!AN53,0,-'Ingreso Proyectado_Edu'!$P53)+0&lt;=1,0,OFFSET('EDP Proyectado'!AN53,0,-'Ingreso Proyectado_Edu'!$P53)+0)),0)</f>
        <v>0</v>
      </c>
      <c r="AN53" s="169">
        <f ca="1">+IFERROR(IF(ISNUMBER(OFFSET('EDP Proyectado'!AO53,0,-'Ingreso Proyectado_Edu'!$P53))&lt;&gt;0,IF(OFFSET('EDP Proyectado'!AO53,0,-'Ingreso Proyectado_Edu'!$P53)+0&lt;=1,0,OFFSET('EDP Proyectado'!AO53,0,-'Ingreso Proyectado_Edu'!$P53)+0)),0)</f>
        <v>0</v>
      </c>
      <c r="AO53" s="169">
        <f ca="1">+IFERROR(IF(ISNUMBER(OFFSET('EDP Proyectado'!AP53,0,-'Ingreso Proyectado_Edu'!$P53))&lt;&gt;0,IF(OFFSET('EDP Proyectado'!AP53,0,-'Ingreso Proyectado_Edu'!$P53)+0&lt;=1,0,OFFSET('EDP Proyectado'!AP53,0,-'Ingreso Proyectado_Edu'!$P53)+0)),0)</f>
        <v>0</v>
      </c>
      <c r="AP53" s="170">
        <f ca="1">+IFERROR(IF(ISNUMBER(OFFSET('EDP Proyectado'!AQ53,0,-'Ingreso Proyectado_Edu'!$P53))&lt;&gt;0,IF(OFFSET('EDP Proyectado'!AQ53,0,-'Ingreso Proyectado_Edu'!$P53)+0&lt;=1,0,OFFSET('EDP Proyectado'!AQ53,0,-'Ingreso Proyectado_Edu'!$P53)+0)),0)</f>
        <v>0</v>
      </c>
    </row>
    <row r="54" spans="2:42" x14ac:dyDescent="0.2">
      <c r="C54" s="117">
        <f>+'Gantt Proyectos'!C122</f>
        <v>26</v>
      </c>
      <c r="D54" s="118" t="str">
        <f>+'Gantt Proyectos'!D122</f>
        <v>Los Calatos - DFS</v>
      </c>
      <c r="E54" s="145" t="str">
        <f>+'Gantt Proyectos'!E122</f>
        <v>CD Capital</v>
      </c>
      <c r="F54" s="147" t="str">
        <f>+'Gantt Proyectos'!F122</f>
        <v>Perú</v>
      </c>
      <c r="G54" s="118" t="str">
        <f>+'Gantt Proyectos'!G122</f>
        <v>Chile</v>
      </c>
      <c r="H54" s="118" t="str">
        <f>+'Gantt Proyectos'!H122</f>
        <v>Perú</v>
      </c>
      <c r="I54" s="189">
        <v>0.5</v>
      </c>
      <c r="J54" s="189">
        <f t="shared" si="6"/>
        <v>0.5</v>
      </c>
      <c r="K54" s="118" t="str">
        <f>+'Gantt Proyectos'!I122</f>
        <v>Subterránea</v>
      </c>
      <c r="L54" s="120">
        <f>+'Gantt Proyectos'!J122</f>
        <v>1</v>
      </c>
      <c r="M54" s="145" t="str">
        <f>+'Gantt Proyectos'!K122</f>
        <v>AF</v>
      </c>
      <c r="N54" s="460">
        <f>+'Gantt Proyectos'!L122</f>
        <v>1100000</v>
      </c>
      <c r="O54" s="460">
        <f>+'Gantt Proyectos'!M122</f>
        <v>1100000</v>
      </c>
      <c r="P54" s="145">
        <f>+'Gantt Proyectos'!N122</f>
        <v>1</v>
      </c>
      <c r="Q54" s="119">
        <f>+'Gantt Proyectos'!O122</f>
        <v>45840</v>
      </c>
      <c r="R54" s="119">
        <f>+'Gantt Proyectos'!P122</f>
        <v>46058</v>
      </c>
      <c r="S54" s="145" t="str">
        <f>+'Gantt Proyectos'!R122</f>
        <v>No</v>
      </c>
      <c r="T54" s="118">
        <f>+'Gantt Proyectos'!S122</f>
        <v>0</v>
      </c>
      <c r="U54" s="156">
        <f>+'Gantt Proyectos'!T122</f>
        <v>45840</v>
      </c>
      <c r="V54" s="156">
        <f>+'Gantt Proyectos'!U122</f>
        <v>46058</v>
      </c>
      <c r="W54" s="201">
        <f t="shared" si="7"/>
        <v>8</v>
      </c>
      <c r="X54" s="121">
        <f>+'Gantt Proyectos'!W122</f>
        <v>2.5503355704697985</v>
      </c>
      <c r="Y54" s="122">
        <f>+'Gantt Proyectos'!X122</f>
        <v>0.5</v>
      </c>
      <c r="Z54" s="122">
        <f>+'Gantt Proyectos'!Y122</f>
        <v>0.67</v>
      </c>
      <c r="AA54" s="122">
        <f>+'Gantt Proyectos'!Z122</f>
        <v>1</v>
      </c>
      <c r="AB54" s="122">
        <f>+'Gantt Proyectos'!AA122</f>
        <v>2.5</v>
      </c>
      <c r="AC54" s="122">
        <f>+'Gantt Proyectos'!AB122</f>
        <v>1</v>
      </c>
      <c r="AD54" s="152" t="str">
        <f>+'Gantt Proyectos'!AC122</f>
        <v>FS e Ing. Basica</v>
      </c>
      <c r="AE54" s="123" t="str">
        <f>+'Gantt Proyectos'!AD122</f>
        <v>Asignado</v>
      </c>
      <c r="AF54" s="124" t="str">
        <f>+'Gantt Proyectos'!AE122</f>
        <v>1. Proyectado: Asignado</v>
      </c>
      <c r="AG54" s="172">
        <v>1</v>
      </c>
      <c r="AH54" s="169">
        <f ca="1">+IFERROR(IF(ISNUMBER(OFFSET('EDP Proyectado'!AI54,0,-'Ingreso Proyectado_Edu'!$P54))&lt;&gt;0,IF(OFFSET('EDP Proyectado'!AI54,0,-'Ingreso Proyectado_Edu'!$P54)+0&lt;=1,0,OFFSET('EDP Proyectado'!AI54,0,-'Ingreso Proyectado_Edu'!$P54)+0)),0)</f>
        <v>0</v>
      </c>
      <c r="AI54" s="169">
        <f ca="1">+IFERROR(IF(ISNUMBER(OFFSET('EDP Proyectado'!AJ54,0,-'Ingreso Proyectado_Edu'!$P54))&lt;&gt;0,IF(OFFSET('EDP Proyectado'!AJ54,0,-'Ingreso Proyectado_Edu'!$P54)+0&lt;=1,0,OFFSET('EDP Proyectado'!AJ54,0,-'Ingreso Proyectado_Edu'!$P54)+0)),0)</f>
        <v>0</v>
      </c>
      <c r="AJ54" s="169">
        <f ca="1">+IFERROR(IF(ISNUMBER(OFFSET('EDP Proyectado'!AK54,0,-'Ingreso Proyectado_Edu'!$P54))&lt;&gt;0,IF(OFFSET('EDP Proyectado'!AK54,0,-'Ingreso Proyectado_Edu'!$P54)+0&lt;=1,0,OFFSET('EDP Proyectado'!AK54,0,-'Ingreso Proyectado_Edu'!$P54)+0)),0)</f>
        <v>0</v>
      </c>
      <c r="AK54" s="169">
        <f ca="1">+IFERROR(IF(ISNUMBER(OFFSET('EDP Proyectado'!AL54,0,-'Ingreso Proyectado_Edu'!$P54))&lt;&gt;0,IF(OFFSET('EDP Proyectado'!AL54,0,-'Ingreso Proyectado_Edu'!$P54)+0&lt;=1,0,OFFSET('EDP Proyectado'!AL54,0,-'Ingreso Proyectado_Edu'!$P54)+0)),0)</f>
        <v>0</v>
      </c>
      <c r="AL54" s="169">
        <f ca="1">+IFERROR(IF(ISNUMBER(OFFSET('EDP Proyectado'!AM54,0,-'Ingreso Proyectado_Edu'!$P54))&lt;&gt;0,IF(OFFSET('EDP Proyectado'!AM54,0,-'Ingreso Proyectado_Edu'!$P54)+0&lt;=1,0,OFFSET('EDP Proyectado'!AM54,0,-'Ingreso Proyectado_Edu'!$P54)+0)),0)</f>
        <v>137500</v>
      </c>
      <c r="AM54" s="169">
        <f ca="1">+IFERROR(IF(ISNUMBER(OFFSET('EDP Proyectado'!AN54,0,-'Ingreso Proyectado_Edu'!$P54))&lt;&gt;0,IF(OFFSET('EDP Proyectado'!AN54,0,-'Ingreso Proyectado_Edu'!$P54)+0&lt;=1,0,OFFSET('EDP Proyectado'!AN54,0,-'Ingreso Proyectado_Edu'!$P54)+0)),0)</f>
        <v>137500</v>
      </c>
      <c r="AN54" s="169">
        <f ca="1">+IFERROR(IF(ISNUMBER(OFFSET('EDP Proyectado'!AO54,0,-'Ingreso Proyectado_Edu'!$P54))&lt;&gt;0,IF(OFFSET('EDP Proyectado'!AO54,0,-'Ingreso Proyectado_Edu'!$P54)+0&lt;=1,0,OFFSET('EDP Proyectado'!AO54,0,-'Ingreso Proyectado_Edu'!$P54)+0)),0)</f>
        <v>137500</v>
      </c>
      <c r="AO54" s="169">
        <f ca="1">+IFERROR(IF(ISNUMBER(OFFSET('EDP Proyectado'!AP54,0,-'Ingreso Proyectado_Edu'!$P54))&lt;&gt;0,IF(OFFSET('EDP Proyectado'!AP54,0,-'Ingreso Proyectado_Edu'!$P54)+0&lt;=1,0,OFFSET('EDP Proyectado'!AP54,0,-'Ingreso Proyectado_Edu'!$P54)+0)),0)</f>
        <v>137500</v>
      </c>
      <c r="AP54" s="170">
        <f ca="1">+IFERROR(IF(ISNUMBER(OFFSET('EDP Proyectado'!AQ54,0,-'Ingreso Proyectado_Edu'!$P54))&lt;&gt;0,IF(OFFSET('EDP Proyectado'!AQ54,0,-'Ingreso Proyectado_Edu'!$P54)+0&lt;=1,0,OFFSET('EDP Proyectado'!AQ54,0,-'Ingreso Proyectado_Edu'!$P54)+0)),0)</f>
        <v>137500</v>
      </c>
    </row>
    <row r="55" spans="2:42" x14ac:dyDescent="0.2">
      <c r="B55" s="462"/>
      <c r="C55" s="117">
        <f>+'Gantt Proyectos'!C123</f>
        <v>27</v>
      </c>
      <c r="D55" s="118" t="str">
        <f>+'Gantt Proyectos'!D123</f>
        <v>Ferrobamba PFS</v>
      </c>
      <c r="E55" s="145" t="str">
        <f>+'Gantt Proyectos'!E123</f>
        <v>Las Bambas</v>
      </c>
      <c r="F55" s="147" t="str">
        <f>+'Gantt Proyectos'!F123</f>
        <v>Perú</v>
      </c>
      <c r="G55" s="118" t="str">
        <f>+'Gantt Proyectos'!G123</f>
        <v>Chile</v>
      </c>
      <c r="H55" s="118">
        <f>+'Gantt Proyectos'!H123</f>
        <v>0</v>
      </c>
      <c r="I55" s="461">
        <v>1</v>
      </c>
      <c r="J55" s="461">
        <f t="shared" si="6"/>
        <v>0</v>
      </c>
      <c r="K55" s="118" t="str">
        <f>+'Gantt Proyectos'!I123</f>
        <v>Subterránea</v>
      </c>
      <c r="L55" s="120">
        <f>+'Gantt Proyectos'!J123</f>
        <v>1</v>
      </c>
      <c r="M55" s="145" t="str">
        <f>+'Gantt Proyectos'!K123</f>
        <v>RM</v>
      </c>
      <c r="N55" s="460">
        <f>+'Gantt Proyectos'!L123</f>
        <v>600000</v>
      </c>
      <c r="O55" s="460">
        <f>+'Gantt Proyectos'!M123</f>
        <v>600000</v>
      </c>
      <c r="P55" s="145">
        <f>+'Gantt Proyectos'!N123</f>
        <v>2</v>
      </c>
      <c r="Q55" s="119">
        <f>+'Gantt Proyectos'!O123</f>
        <v>45845</v>
      </c>
      <c r="R55" s="119">
        <f>+'Gantt Proyectos'!P123</f>
        <v>46139</v>
      </c>
      <c r="S55" s="145" t="str">
        <f>+'Gantt Proyectos'!R123</f>
        <v>No</v>
      </c>
      <c r="T55" s="118">
        <f>+'Gantt Proyectos'!S123</f>
        <v>0</v>
      </c>
      <c r="U55" s="156">
        <f>+'Gantt Proyectos'!T123</f>
        <v>45845</v>
      </c>
      <c r="V55" s="156">
        <f>+'Gantt Proyectos'!U123</f>
        <v>46139</v>
      </c>
      <c r="W55" s="201">
        <f t="shared" si="7"/>
        <v>10</v>
      </c>
      <c r="X55" s="121">
        <f>+'Gantt Proyectos'!W123</f>
        <v>1.5111856823266216</v>
      </c>
      <c r="Y55" s="122">
        <f>+'Gantt Proyectos'!X123</f>
        <v>0.5</v>
      </c>
      <c r="Z55" s="122">
        <f>+'Gantt Proyectos'!Y123</f>
        <v>0.5</v>
      </c>
      <c r="AA55" s="122">
        <f>+'Gantt Proyectos'!Z123</f>
        <v>0.75</v>
      </c>
      <c r="AB55" s="122">
        <f>+'Gantt Proyectos'!AA123</f>
        <v>2</v>
      </c>
      <c r="AC55" s="122">
        <f>+'Gantt Proyectos'!AB123</f>
        <v>1</v>
      </c>
      <c r="AD55" s="152" t="str">
        <f>+'Gantt Proyectos'!AC123</f>
        <v>PFS</v>
      </c>
      <c r="AE55" s="123" t="str">
        <f>+'Gantt Proyectos'!AD123</f>
        <v>No Asignado</v>
      </c>
      <c r="AF55" s="124" t="str">
        <f>+'Gantt Proyectos'!AE123</f>
        <v>1. Proyectado: No  Asignado</v>
      </c>
      <c r="AG55" s="172">
        <v>1</v>
      </c>
      <c r="AH55" s="169">
        <f ca="1">+IFERROR(IF(ISNUMBER(OFFSET('EDP Proyectado'!AI55,0,-'Ingreso Proyectado_Edu'!$P55))&lt;&gt;0,IF(OFFSET('EDP Proyectado'!AI55,0,-'Ingreso Proyectado_Edu'!$P55)+0&lt;=1,0,OFFSET('EDP Proyectado'!AI55,0,-'Ingreso Proyectado_Edu'!$P55)+0)),0)</f>
        <v>0</v>
      </c>
      <c r="AI55" s="169">
        <f ca="1">+IFERROR(IF(ISNUMBER(OFFSET('EDP Proyectado'!AJ55,0,-'Ingreso Proyectado_Edu'!$P55))&lt;&gt;0,IF(OFFSET('EDP Proyectado'!AJ55,0,-'Ingreso Proyectado_Edu'!$P55)+0&lt;=1,0,OFFSET('EDP Proyectado'!AJ55,0,-'Ingreso Proyectado_Edu'!$P55)+0)),0)</f>
        <v>0</v>
      </c>
      <c r="AJ55" s="169">
        <f ca="1">+IFERROR(IF(ISNUMBER(OFFSET('EDP Proyectado'!AK55,0,-'Ingreso Proyectado_Edu'!$P55))&lt;&gt;0,IF(OFFSET('EDP Proyectado'!AK55,0,-'Ingreso Proyectado_Edu'!$P55)+0&lt;=1,0,OFFSET('EDP Proyectado'!AK55,0,-'Ingreso Proyectado_Edu'!$P55)+0)),0)</f>
        <v>0</v>
      </c>
      <c r="AK55" s="169">
        <f ca="1">+IFERROR(IF(ISNUMBER(OFFSET('EDP Proyectado'!AL55,0,-'Ingreso Proyectado_Edu'!$P55))&lt;&gt;0,IF(OFFSET('EDP Proyectado'!AL55,0,-'Ingreso Proyectado_Edu'!$P55)+0&lt;=1,0,OFFSET('EDP Proyectado'!AL55,0,-'Ingreso Proyectado_Edu'!$P55)+0)),0)</f>
        <v>0</v>
      </c>
      <c r="AL55" s="169">
        <f ca="1">+IFERROR(IF(ISNUMBER(OFFSET('EDP Proyectado'!AM55,0,-'Ingreso Proyectado_Edu'!$P55))&lt;&gt;0,IF(OFFSET('EDP Proyectado'!AM55,0,-'Ingreso Proyectado_Edu'!$P55)+0&lt;=1,0,OFFSET('EDP Proyectado'!AM55,0,-'Ingreso Proyectado_Edu'!$P55)+0)),0)</f>
        <v>0</v>
      </c>
      <c r="AM55" s="169">
        <f ca="1">+IFERROR(IF(ISNUMBER(OFFSET('EDP Proyectado'!AN55,0,-'Ingreso Proyectado_Edu'!$P55))&lt;&gt;0,IF(OFFSET('EDP Proyectado'!AN55,0,-'Ingreso Proyectado_Edu'!$P55)+0&lt;=1,0,OFFSET('EDP Proyectado'!AN55,0,-'Ingreso Proyectado_Edu'!$P55)+0)),0)</f>
        <v>42000</v>
      </c>
      <c r="AN55" s="169">
        <f ca="1">+IFERROR(IF(ISNUMBER(OFFSET('EDP Proyectado'!AO55,0,-'Ingreso Proyectado_Edu'!$P55))&lt;&gt;0,IF(OFFSET('EDP Proyectado'!AO55,0,-'Ingreso Proyectado_Edu'!$P55)+0&lt;=1,0,OFFSET('EDP Proyectado'!AO55,0,-'Ingreso Proyectado_Edu'!$P55)+0)),0)</f>
        <v>42000</v>
      </c>
      <c r="AO55" s="169">
        <f ca="1">+IFERROR(IF(ISNUMBER(OFFSET('EDP Proyectado'!AP55,0,-'Ingreso Proyectado_Edu'!$P55))&lt;&gt;0,IF(OFFSET('EDP Proyectado'!AP55,0,-'Ingreso Proyectado_Edu'!$P55)+0&lt;=1,0,OFFSET('EDP Proyectado'!AP55,0,-'Ingreso Proyectado_Edu'!$P55)+0)),0)</f>
        <v>42000</v>
      </c>
      <c r="AP55" s="170">
        <f ca="1">+IFERROR(IF(ISNUMBER(OFFSET('EDP Proyectado'!AQ55,0,-'Ingreso Proyectado_Edu'!$P55))&lt;&gt;0,IF(OFFSET('EDP Proyectado'!AQ55,0,-'Ingreso Proyectado_Edu'!$P55)+0&lt;=1,0,OFFSET('EDP Proyectado'!AQ55,0,-'Ingreso Proyectado_Edu'!$P55)+0)),0)</f>
        <v>42000</v>
      </c>
    </row>
    <row r="56" spans="2:42" x14ac:dyDescent="0.2">
      <c r="C56" s="117">
        <f>+'Gantt Proyectos'!C124</f>
        <v>28</v>
      </c>
      <c r="D56" s="118" t="str">
        <f>+'Gantt Proyectos'!D124</f>
        <v>Caserones: Implementacion NSR en Corto Plazo</v>
      </c>
      <c r="E56" s="145" t="str">
        <f>+'Gantt Proyectos'!E124</f>
        <v>Lundin</v>
      </c>
      <c r="F56" s="147" t="str">
        <f>+'Gantt Proyectos'!F124</f>
        <v>Chile</v>
      </c>
      <c r="G56" s="118" t="str">
        <f>+'Gantt Proyectos'!G124</f>
        <v>Chile</v>
      </c>
      <c r="H56" s="118">
        <f>+'Gantt Proyectos'!H124</f>
        <v>0</v>
      </c>
      <c r="I56" s="189">
        <v>1</v>
      </c>
      <c r="J56" s="189">
        <f t="shared" si="6"/>
        <v>0</v>
      </c>
      <c r="K56" s="118" t="str">
        <f>+'Gantt Proyectos'!I124</f>
        <v>Open Pit</v>
      </c>
      <c r="L56" s="120">
        <f>+'Gantt Proyectos'!J124</f>
        <v>0</v>
      </c>
      <c r="M56" s="145" t="str">
        <f>+'Gantt Proyectos'!K124</f>
        <v>FR</v>
      </c>
      <c r="N56" s="460">
        <f>+'Gantt Proyectos'!L124</f>
        <v>0</v>
      </c>
      <c r="O56" s="460">
        <f>+'Gantt Proyectos'!M124</f>
        <v>0</v>
      </c>
      <c r="P56" s="145">
        <f>+'Gantt Proyectos'!N124</f>
        <v>2</v>
      </c>
      <c r="Q56" s="119">
        <f>+'Gantt Proyectos'!O124</f>
        <v>45782</v>
      </c>
      <c r="R56" s="119">
        <f>+'Gantt Proyectos'!P124</f>
        <v>45866</v>
      </c>
      <c r="S56" s="145" t="str">
        <f>+'Gantt Proyectos'!R124</f>
        <v>No</v>
      </c>
      <c r="T56" s="118">
        <f>+'Gantt Proyectos'!S124</f>
        <v>0</v>
      </c>
      <c r="U56" s="156">
        <f>+'Gantt Proyectos'!T124</f>
        <v>45782</v>
      </c>
      <c r="V56" s="156">
        <f>+'Gantt Proyectos'!U124</f>
        <v>45866</v>
      </c>
      <c r="W56" s="201">
        <f t="shared" si="7"/>
        <v>3</v>
      </c>
      <c r="X56" s="121">
        <f>+'Gantt Proyectos'!W124</f>
        <v>0</v>
      </c>
      <c r="Y56" s="122">
        <f>+'Gantt Proyectos'!X124</f>
        <v>0</v>
      </c>
      <c r="Z56" s="122">
        <f>+'Gantt Proyectos'!Y124</f>
        <v>0</v>
      </c>
      <c r="AA56" s="122">
        <f>+'Gantt Proyectos'!Z124</f>
        <v>0</v>
      </c>
      <c r="AB56" s="122">
        <f>+'Gantt Proyectos'!AA124</f>
        <v>0</v>
      </c>
      <c r="AC56" s="122">
        <f>+'Gantt Proyectos'!AB124</f>
        <v>0</v>
      </c>
      <c r="AD56" s="152" t="str">
        <f>+'Gantt Proyectos'!AC124</f>
        <v>Consultoria y Due Dilligence</v>
      </c>
      <c r="AE56" s="123" t="str">
        <f>+'Gantt Proyectos'!AD124</f>
        <v>No Asignado</v>
      </c>
      <c r="AF56" s="124" t="str">
        <f>+'Gantt Proyectos'!AE124</f>
        <v>1. Proyectado: No  Asignado</v>
      </c>
      <c r="AG56" s="172">
        <v>1</v>
      </c>
      <c r="AH56" s="169">
        <f ca="1">+IFERROR(IF(ISNUMBER(OFFSET('EDP Proyectado'!AI56,0,-'Ingreso Proyectado_Edu'!$P56))&lt;&gt;0,IF(OFFSET('EDP Proyectado'!AI56,0,-'Ingreso Proyectado_Edu'!$P56)+0&lt;=1,0,OFFSET('EDP Proyectado'!AI56,0,-'Ingreso Proyectado_Edu'!$P56)+0)),0)</f>
        <v>0</v>
      </c>
      <c r="AI56" s="169">
        <f ca="1">+IFERROR(IF(ISNUMBER(OFFSET('EDP Proyectado'!AJ56,0,-'Ingreso Proyectado_Edu'!$P56))&lt;&gt;0,IF(OFFSET('EDP Proyectado'!AJ56,0,-'Ingreso Proyectado_Edu'!$P56)+0&lt;=1,0,OFFSET('EDP Proyectado'!AJ56,0,-'Ingreso Proyectado_Edu'!$P56)+0)),0)</f>
        <v>0</v>
      </c>
      <c r="AJ56" s="169">
        <f ca="1">+IFERROR(IF(ISNUMBER(OFFSET('EDP Proyectado'!AK56,0,-'Ingreso Proyectado_Edu'!$P56))&lt;&gt;0,IF(OFFSET('EDP Proyectado'!AK56,0,-'Ingreso Proyectado_Edu'!$P56)+0&lt;=1,0,OFFSET('EDP Proyectado'!AK56,0,-'Ingreso Proyectado_Edu'!$P56)+0)),0)</f>
        <v>0</v>
      </c>
      <c r="AK56" s="169">
        <f ca="1">+IFERROR(IF(ISNUMBER(OFFSET('EDP Proyectado'!AL56,0,-'Ingreso Proyectado_Edu'!$P56))&lt;&gt;0,IF(OFFSET('EDP Proyectado'!AL56,0,-'Ingreso Proyectado_Edu'!$P56)+0&lt;=1,0,OFFSET('EDP Proyectado'!AL56,0,-'Ingreso Proyectado_Edu'!$P56)+0)),0)</f>
        <v>0</v>
      </c>
      <c r="AL56" s="169">
        <f ca="1">+IFERROR(IF(ISNUMBER(OFFSET('EDP Proyectado'!AM56,0,-'Ingreso Proyectado_Edu'!$P56))&lt;&gt;0,IF(OFFSET('EDP Proyectado'!AM56,0,-'Ingreso Proyectado_Edu'!$P56)+0&lt;=1,0,OFFSET('EDP Proyectado'!AM56,0,-'Ingreso Proyectado_Edu'!$P56)+0)),0)</f>
        <v>0</v>
      </c>
      <c r="AM56" s="169">
        <f ca="1">+IFERROR(IF(ISNUMBER(OFFSET('EDP Proyectado'!AN56,0,-'Ingreso Proyectado_Edu'!$P56))&lt;&gt;0,IF(OFFSET('EDP Proyectado'!AN56,0,-'Ingreso Proyectado_Edu'!$P56)+0&lt;=1,0,OFFSET('EDP Proyectado'!AN56,0,-'Ingreso Proyectado_Edu'!$P56)+0)),0)</f>
        <v>0</v>
      </c>
      <c r="AN56" s="169">
        <f ca="1">+IFERROR(IF(ISNUMBER(OFFSET('EDP Proyectado'!AO56,0,-'Ingreso Proyectado_Edu'!$P56))&lt;&gt;0,IF(OFFSET('EDP Proyectado'!AO56,0,-'Ingreso Proyectado_Edu'!$P56)+0&lt;=1,0,OFFSET('EDP Proyectado'!AO56,0,-'Ingreso Proyectado_Edu'!$P56)+0)),0)</f>
        <v>0</v>
      </c>
      <c r="AO56" s="169">
        <f ca="1">+IFERROR(IF(ISNUMBER(OFFSET('EDP Proyectado'!AP56,0,-'Ingreso Proyectado_Edu'!$P56))&lt;&gt;0,IF(OFFSET('EDP Proyectado'!AP56,0,-'Ingreso Proyectado_Edu'!$P56)+0&lt;=1,0,OFFSET('EDP Proyectado'!AP56,0,-'Ingreso Proyectado_Edu'!$P56)+0)),0)</f>
        <v>0</v>
      </c>
      <c r="AP56" s="170">
        <f ca="1">+IFERROR(IF(ISNUMBER(OFFSET('EDP Proyectado'!AQ56,0,-'Ingreso Proyectado_Edu'!$P56))&lt;&gt;0,IF(OFFSET('EDP Proyectado'!AQ56,0,-'Ingreso Proyectado_Edu'!$P56)+0&lt;=1,0,OFFSET('EDP Proyectado'!AQ56,0,-'Ingreso Proyectado_Edu'!$P56)+0)),0)</f>
        <v>0</v>
      </c>
    </row>
    <row r="57" spans="2:42" x14ac:dyDescent="0.2">
      <c r="C57" s="117">
        <f>+'Gantt Proyectos'!C125</f>
        <v>29</v>
      </c>
      <c r="D57" s="118" t="str">
        <f>+'Gantt Proyectos'!D125</f>
        <v>Caserones: Análisis Estratégico</v>
      </c>
      <c r="E57" s="145" t="str">
        <f>+'Gantt Proyectos'!E125</f>
        <v>Lundin</v>
      </c>
      <c r="F57" s="147" t="str">
        <f>+'Gantt Proyectos'!F125</f>
        <v>Chile</v>
      </c>
      <c r="G57" s="118" t="str">
        <f>+'Gantt Proyectos'!G125</f>
        <v>Chile</v>
      </c>
      <c r="H57" s="118">
        <f>+'Gantt Proyectos'!H125</f>
        <v>0</v>
      </c>
      <c r="I57" s="189">
        <v>1</v>
      </c>
      <c r="J57" s="189">
        <f t="shared" si="6"/>
        <v>0</v>
      </c>
      <c r="K57" s="118" t="str">
        <f>+'Gantt Proyectos'!I125</f>
        <v>Open Pit</v>
      </c>
      <c r="L57" s="120">
        <f>+'Gantt Proyectos'!J125</f>
        <v>1</v>
      </c>
      <c r="M57" s="145" t="str">
        <f>+'Gantt Proyectos'!K125</f>
        <v>FR</v>
      </c>
      <c r="N57" s="460">
        <f>+'Gantt Proyectos'!L125</f>
        <v>300000</v>
      </c>
      <c r="O57" s="460">
        <f>+'Gantt Proyectos'!M125</f>
        <v>300000</v>
      </c>
      <c r="P57" s="145">
        <f>+'Gantt Proyectos'!N125</f>
        <v>2</v>
      </c>
      <c r="Q57" s="119">
        <f>+'Gantt Proyectos'!O125</f>
        <v>45782</v>
      </c>
      <c r="R57" s="119">
        <f>+'Gantt Proyectos'!P125</f>
        <v>45887</v>
      </c>
      <c r="S57" s="145" t="str">
        <f>+'Gantt Proyectos'!R125</f>
        <v>No</v>
      </c>
      <c r="T57" s="118">
        <f>+'Gantt Proyectos'!S125</f>
        <v>0</v>
      </c>
      <c r="U57" s="156">
        <f>+'Gantt Proyectos'!T125</f>
        <v>45782</v>
      </c>
      <c r="V57" s="156">
        <f>+'Gantt Proyectos'!U125</f>
        <v>45887</v>
      </c>
      <c r="W57" s="201">
        <f t="shared" si="7"/>
        <v>4</v>
      </c>
      <c r="X57" s="121">
        <f>+'Gantt Proyectos'!W125</f>
        <v>0.72035794183445179</v>
      </c>
      <c r="Y57" s="122">
        <f>+'Gantt Proyectos'!X125</f>
        <v>0.25</v>
      </c>
      <c r="Z57" s="122">
        <f>+'Gantt Proyectos'!Y125</f>
        <v>0.33</v>
      </c>
      <c r="AA57" s="122">
        <f>+'Gantt Proyectos'!Z125</f>
        <v>0</v>
      </c>
      <c r="AB57" s="122">
        <f>+'Gantt Proyectos'!AA125</f>
        <v>0.5</v>
      </c>
      <c r="AC57" s="122">
        <f>+'Gantt Proyectos'!AB125</f>
        <v>0.5</v>
      </c>
      <c r="AD57" s="152" t="str">
        <f>+'Gantt Proyectos'!AC125</f>
        <v>Estudio Conceptual / LOM</v>
      </c>
      <c r="AE57" s="123" t="str">
        <f>+'Gantt Proyectos'!AD125</f>
        <v>Actual</v>
      </c>
      <c r="AF57" s="124" t="str">
        <f>+'Gantt Proyectos'!AE125</f>
        <v>3. Avance: 25%</v>
      </c>
      <c r="AG57" s="172">
        <v>1</v>
      </c>
      <c r="AH57" s="169">
        <f ca="1">+IFERROR(IF(ISNUMBER(OFFSET('EDP Proyectado'!AI57,0,-'Ingreso Proyectado_Edu'!$P57))&lt;&gt;0,IF(OFFSET('EDP Proyectado'!AI57,0,-'Ingreso Proyectado_Edu'!$P57)+0&lt;=1,0,OFFSET('EDP Proyectado'!AI57,0,-'Ingreso Proyectado_Edu'!$P57)+0)),0)</f>
        <v>0</v>
      </c>
      <c r="AI57" s="169">
        <f ca="1">+IFERROR(IF(ISNUMBER(OFFSET('EDP Proyectado'!AJ57,0,-'Ingreso Proyectado_Edu'!$P57))&lt;&gt;0,IF(OFFSET('EDP Proyectado'!AJ57,0,-'Ingreso Proyectado_Edu'!$P57)+0&lt;=1,0,OFFSET('EDP Proyectado'!AJ57,0,-'Ingreso Proyectado_Edu'!$P57)+0)),0)</f>
        <v>0</v>
      </c>
      <c r="AJ57" s="169">
        <f ca="1">+IFERROR(IF(ISNUMBER(OFFSET('EDP Proyectado'!AK57,0,-'Ingreso Proyectado_Edu'!$P57))&lt;&gt;0,IF(OFFSET('EDP Proyectado'!AK57,0,-'Ingreso Proyectado_Edu'!$P57)+0&lt;=1,0,OFFSET('EDP Proyectado'!AK57,0,-'Ingreso Proyectado_Edu'!$P57)+0)),0)</f>
        <v>0</v>
      </c>
      <c r="AK57" s="169">
        <f ca="1">+IFERROR(IF(ISNUMBER(OFFSET('EDP Proyectado'!AL57,0,-'Ingreso Proyectado_Edu'!$P57))&lt;&gt;0,IF(OFFSET('EDP Proyectado'!AL57,0,-'Ingreso Proyectado_Edu'!$P57)+0&lt;=1,0,OFFSET('EDP Proyectado'!AL57,0,-'Ingreso Proyectado_Edu'!$P57)+0)),0)</f>
        <v>75000</v>
      </c>
      <c r="AL57" s="169">
        <f ca="1">+IFERROR(IF(ISNUMBER(OFFSET('EDP Proyectado'!AM57,0,-'Ingreso Proyectado_Edu'!$P57))&lt;&gt;0,IF(OFFSET('EDP Proyectado'!AM57,0,-'Ingreso Proyectado_Edu'!$P57)+0&lt;=1,0,OFFSET('EDP Proyectado'!AM57,0,-'Ingreso Proyectado_Edu'!$P57)+0)),0)</f>
        <v>75000</v>
      </c>
      <c r="AM57" s="169">
        <f ca="1">+IFERROR(IF(ISNUMBER(OFFSET('EDP Proyectado'!AN57,0,-'Ingreso Proyectado_Edu'!$P57))&lt;&gt;0,IF(OFFSET('EDP Proyectado'!AN57,0,-'Ingreso Proyectado_Edu'!$P57)+0&lt;=1,0,OFFSET('EDP Proyectado'!AN57,0,-'Ingreso Proyectado_Edu'!$P57)+0)),0)</f>
        <v>75000</v>
      </c>
      <c r="AN57" s="169">
        <f ca="1">+IFERROR(IF(ISNUMBER(OFFSET('EDP Proyectado'!AO57,0,-'Ingreso Proyectado_Edu'!$P57))&lt;&gt;0,IF(OFFSET('EDP Proyectado'!AO57,0,-'Ingreso Proyectado_Edu'!$P57)+0&lt;=1,0,OFFSET('EDP Proyectado'!AO57,0,-'Ingreso Proyectado_Edu'!$P57)+0)),0)</f>
        <v>75000</v>
      </c>
      <c r="AO57" s="169">
        <f ca="1">+IFERROR(IF(ISNUMBER(OFFSET('EDP Proyectado'!AP57,0,-'Ingreso Proyectado_Edu'!$P57))&lt;&gt;0,IF(OFFSET('EDP Proyectado'!AP57,0,-'Ingreso Proyectado_Edu'!$P57)+0&lt;=1,0,OFFSET('EDP Proyectado'!AP57,0,-'Ingreso Proyectado_Edu'!$P57)+0)),0)</f>
        <v>0</v>
      </c>
      <c r="AP57" s="170">
        <f ca="1">+IFERROR(IF(ISNUMBER(OFFSET('EDP Proyectado'!AQ57,0,-'Ingreso Proyectado_Edu'!$P57))&lt;&gt;0,IF(OFFSET('EDP Proyectado'!AQ57,0,-'Ingreso Proyectado_Edu'!$P57)+0&lt;=1,0,OFFSET('EDP Proyectado'!AQ57,0,-'Ingreso Proyectado_Edu'!$P57)+0)),0)</f>
        <v>0</v>
      </c>
    </row>
    <row r="58" spans="2:42" x14ac:dyDescent="0.2">
      <c r="C58" s="117">
        <f>+'Gantt Proyectos'!C126</f>
        <v>30</v>
      </c>
      <c r="D58" s="118" t="str">
        <f>+'Gantt Proyectos'!D126</f>
        <v>QuinnEmanuel: OT Allegation</v>
      </c>
      <c r="E58" s="145" t="str">
        <f>+'Gantt Proyectos'!E126</f>
        <v>QuinnEmanuel</v>
      </c>
      <c r="F58" s="147" t="str">
        <f>+'Gantt Proyectos'!F126</f>
        <v>USA</v>
      </c>
      <c r="G58" s="118" t="str">
        <f>+'Gantt Proyectos'!G126</f>
        <v>Chile</v>
      </c>
      <c r="H58" s="118">
        <f>+'Gantt Proyectos'!H126</f>
        <v>0</v>
      </c>
      <c r="I58" s="189">
        <v>1</v>
      </c>
      <c r="J58" s="189">
        <f t="shared" si="6"/>
        <v>0</v>
      </c>
      <c r="K58" s="118" t="str">
        <f>+'Gantt Proyectos'!I126</f>
        <v>Subterránea</v>
      </c>
      <c r="L58" s="120">
        <f>+'Gantt Proyectos'!J126</f>
        <v>1</v>
      </c>
      <c r="M58" s="145" t="str">
        <f>+'Gantt Proyectos'!K126</f>
        <v>MF</v>
      </c>
      <c r="N58" s="460">
        <f>+'Gantt Proyectos'!L126</f>
        <v>300000</v>
      </c>
      <c r="O58" s="460">
        <f>+'Gantt Proyectos'!M126</f>
        <v>300000</v>
      </c>
      <c r="P58" s="145">
        <f>+'Gantt Proyectos'!N126</f>
        <v>2</v>
      </c>
      <c r="Q58" s="119">
        <f>+'Gantt Proyectos'!O126</f>
        <v>45838</v>
      </c>
      <c r="R58" s="119">
        <f>+'Gantt Proyectos'!P126</f>
        <v>46023</v>
      </c>
      <c r="S58" s="145" t="str">
        <f>+'Gantt Proyectos'!R126</f>
        <v>No</v>
      </c>
      <c r="T58" s="118">
        <f>+'Gantt Proyectos'!S126</f>
        <v>0</v>
      </c>
      <c r="U58" s="156">
        <f>+'Gantt Proyectos'!T126</f>
        <v>45838</v>
      </c>
      <c r="V58" s="156">
        <f>+'Gantt Proyectos'!U126</f>
        <v>46023</v>
      </c>
      <c r="W58" s="201">
        <f t="shared" si="7"/>
        <v>7</v>
      </c>
      <c r="X58" s="121">
        <f>+'Gantt Proyectos'!W126</f>
        <v>0.1</v>
      </c>
      <c r="Y58" s="122">
        <f>+'Gantt Proyectos'!X126</f>
        <v>0.33</v>
      </c>
      <c r="Z58" s="122">
        <f>+'Gantt Proyectos'!Y126</f>
        <v>0.5</v>
      </c>
      <c r="AA58" s="122">
        <f>+'Gantt Proyectos'!Z126</f>
        <v>0.33</v>
      </c>
      <c r="AB58" s="122">
        <f>+'Gantt Proyectos'!AA126</f>
        <v>1</v>
      </c>
      <c r="AC58" s="122">
        <f>+'Gantt Proyectos'!AB126</f>
        <v>0</v>
      </c>
      <c r="AD58" s="152" t="str">
        <f>+'Gantt Proyectos'!AC126</f>
        <v>Consultoria y Due Dilligence</v>
      </c>
      <c r="AE58" s="123" t="str">
        <f>+'Gantt Proyectos'!AD126</f>
        <v>No Asignado</v>
      </c>
      <c r="AF58" s="124" t="str">
        <f>+'Gantt Proyectos'!AE126</f>
        <v>1. Proyectado: No  Asignado</v>
      </c>
      <c r="AG58" s="172">
        <v>1</v>
      </c>
      <c r="AH58" s="169">
        <f ca="1">+IFERROR(IF(ISNUMBER(OFFSET('EDP Proyectado'!AI58,0,-'Ingreso Proyectado_Edu'!$P58))&lt;&gt;0,IF(OFFSET('EDP Proyectado'!AI58,0,-'Ingreso Proyectado_Edu'!$P58)+0&lt;=1,0,OFFSET('EDP Proyectado'!AI58,0,-'Ingreso Proyectado_Edu'!$P58)+0)),0)</f>
        <v>0</v>
      </c>
      <c r="AI58" s="169">
        <f ca="1">+IFERROR(IF(ISNUMBER(OFFSET('EDP Proyectado'!AJ58,0,-'Ingreso Proyectado_Edu'!$P58))&lt;&gt;0,IF(OFFSET('EDP Proyectado'!AJ58,0,-'Ingreso Proyectado_Edu'!$P58)+0&lt;=1,0,OFFSET('EDP Proyectado'!AJ58,0,-'Ingreso Proyectado_Edu'!$P58)+0)),0)</f>
        <v>0</v>
      </c>
      <c r="AJ58" s="169">
        <f ca="1">+IFERROR(IF(ISNUMBER(OFFSET('EDP Proyectado'!AK58,0,-'Ingreso Proyectado_Edu'!$P58))&lt;&gt;0,IF(OFFSET('EDP Proyectado'!AK58,0,-'Ingreso Proyectado_Edu'!$P58)+0&lt;=1,0,OFFSET('EDP Proyectado'!AK58,0,-'Ingreso Proyectado_Edu'!$P58)+0)),0)</f>
        <v>0</v>
      </c>
      <c r="AK58" s="169">
        <f ca="1">+IFERROR(IF(ISNUMBER(OFFSET('EDP Proyectado'!AL58,0,-'Ingreso Proyectado_Edu'!$P58))&lt;&gt;0,IF(OFFSET('EDP Proyectado'!AL58,0,-'Ingreso Proyectado_Edu'!$P58)+0&lt;=1,0,OFFSET('EDP Proyectado'!AL58,0,-'Ingreso Proyectado_Edu'!$P58)+0)),0)</f>
        <v>0</v>
      </c>
      <c r="AL58" s="169">
        <f ca="1">+IFERROR(IF(ISNUMBER(OFFSET('EDP Proyectado'!AM58,0,-'Ingreso Proyectado_Edu'!$P58))&lt;&gt;0,IF(OFFSET('EDP Proyectado'!AM58,0,-'Ingreso Proyectado_Edu'!$P58)+0&lt;=1,0,OFFSET('EDP Proyectado'!AM58,0,-'Ingreso Proyectado_Edu'!$P58)+0)),0)</f>
        <v>4285.7142857142853</v>
      </c>
      <c r="AM58" s="169">
        <f ca="1">+IFERROR(IF(ISNUMBER(OFFSET('EDP Proyectado'!AN58,0,-'Ingreso Proyectado_Edu'!$P58))&lt;&gt;0,IF(OFFSET('EDP Proyectado'!AN58,0,-'Ingreso Proyectado_Edu'!$P58)+0&lt;=1,0,OFFSET('EDP Proyectado'!AN58,0,-'Ingreso Proyectado_Edu'!$P58)+0)),0)</f>
        <v>4285.7142857142853</v>
      </c>
      <c r="AN58" s="169">
        <f ca="1">+IFERROR(IF(ISNUMBER(OFFSET('EDP Proyectado'!AO58,0,-'Ingreso Proyectado_Edu'!$P58))&lt;&gt;0,IF(OFFSET('EDP Proyectado'!AO58,0,-'Ingreso Proyectado_Edu'!$P58)+0&lt;=1,0,OFFSET('EDP Proyectado'!AO58,0,-'Ingreso Proyectado_Edu'!$P58)+0)),0)</f>
        <v>4285.7142857142853</v>
      </c>
      <c r="AO58" s="169">
        <f ca="1">+IFERROR(IF(ISNUMBER(OFFSET('EDP Proyectado'!AP58,0,-'Ingreso Proyectado_Edu'!$P58))&lt;&gt;0,IF(OFFSET('EDP Proyectado'!AP58,0,-'Ingreso Proyectado_Edu'!$P58)+0&lt;=1,0,OFFSET('EDP Proyectado'!AP58,0,-'Ingreso Proyectado_Edu'!$P58)+0)),0)</f>
        <v>4285.7142857142853</v>
      </c>
      <c r="AP58" s="170">
        <f ca="1">+IFERROR(IF(ISNUMBER(OFFSET('EDP Proyectado'!AQ58,0,-'Ingreso Proyectado_Edu'!$P58))&lt;&gt;0,IF(OFFSET('EDP Proyectado'!AQ58,0,-'Ingreso Proyectado_Edu'!$P58)+0&lt;=1,0,OFFSET('EDP Proyectado'!AQ58,0,-'Ingreso Proyectado_Edu'!$P58)+0)),0)</f>
        <v>4285.7142857142853</v>
      </c>
    </row>
    <row r="59" spans="2:42" x14ac:dyDescent="0.2">
      <c r="C59" s="117">
        <f>+'Gantt Proyectos'!C127</f>
        <v>31</v>
      </c>
      <c r="D59" s="118" t="str">
        <f>+'Gantt Proyectos'!D127</f>
        <v xml:space="preserve">DET: Ingeniería Perfil Sector Teniente 9 </v>
      </c>
      <c r="E59" s="145" t="str">
        <f>+'Gantt Proyectos'!E127</f>
        <v>Codelco</v>
      </c>
      <c r="F59" s="147" t="str">
        <f>+'Gantt Proyectos'!F127</f>
        <v>Chile</v>
      </c>
      <c r="G59" s="118" t="str">
        <f>+'Gantt Proyectos'!G127</f>
        <v>Chile</v>
      </c>
      <c r="H59" s="118">
        <f>+'Gantt Proyectos'!H127</f>
        <v>0</v>
      </c>
      <c r="I59" s="189">
        <v>1</v>
      </c>
      <c r="J59" s="189">
        <f t="shared" si="6"/>
        <v>0</v>
      </c>
      <c r="K59" s="118" t="str">
        <f>+'Gantt Proyectos'!I127</f>
        <v>Subterránea</v>
      </c>
      <c r="L59" s="120">
        <f>+'Gantt Proyectos'!J127</f>
        <v>1</v>
      </c>
      <c r="M59" s="145" t="str">
        <f>+'Gantt Proyectos'!K127</f>
        <v>CA</v>
      </c>
      <c r="N59" s="460">
        <f>+'Gantt Proyectos'!L127</f>
        <v>300000</v>
      </c>
      <c r="O59" s="460">
        <f>+'Gantt Proyectos'!M127</f>
        <v>300000</v>
      </c>
      <c r="P59" s="145">
        <f>+'Gantt Proyectos'!N127</f>
        <v>2</v>
      </c>
      <c r="Q59" s="119">
        <f>+'Gantt Proyectos'!O127</f>
        <v>45859</v>
      </c>
      <c r="R59" s="119">
        <f>+'Gantt Proyectos'!P127</f>
        <v>45978</v>
      </c>
      <c r="S59" s="145" t="str">
        <f>+'Gantt Proyectos'!R127</f>
        <v>No</v>
      </c>
      <c r="T59" s="118">
        <f>+'Gantt Proyectos'!S127</f>
        <v>0</v>
      </c>
      <c r="U59" s="156">
        <f>+'Gantt Proyectos'!T127</f>
        <v>45859</v>
      </c>
      <c r="V59" s="156">
        <f>+'Gantt Proyectos'!U127</f>
        <v>45978</v>
      </c>
      <c r="W59" s="201">
        <f t="shared" si="7"/>
        <v>4</v>
      </c>
      <c r="X59" s="121">
        <f>+'Gantt Proyectos'!W127</f>
        <v>0.28948545861297537</v>
      </c>
      <c r="Y59" s="122">
        <f>+'Gantt Proyectos'!X127</f>
        <v>0.33</v>
      </c>
      <c r="Z59" s="122">
        <f>+'Gantt Proyectos'!Y127</f>
        <v>0.5</v>
      </c>
      <c r="AA59" s="122">
        <f>+'Gantt Proyectos'!Z127</f>
        <v>0.33</v>
      </c>
      <c r="AB59" s="122">
        <f>+'Gantt Proyectos'!AA127</f>
        <v>1</v>
      </c>
      <c r="AC59" s="122">
        <f>+'Gantt Proyectos'!AB127</f>
        <v>1</v>
      </c>
      <c r="AD59" s="152" t="str">
        <f>+'Gantt Proyectos'!AC127</f>
        <v>Scoping</v>
      </c>
      <c r="AE59" s="123" t="str">
        <f>+'Gantt Proyectos'!AD127</f>
        <v>No Asignado</v>
      </c>
      <c r="AF59" s="124" t="str">
        <f>+'Gantt Proyectos'!AE127</f>
        <v>1. Proyectado: No  Asignado</v>
      </c>
      <c r="AG59" s="172">
        <v>1</v>
      </c>
      <c r="AH59" s="169">
        <f ca="1">+IFERROR(IF(ISNUMBER(OFFSET('EDP Proyectado'!AI59,0,-'Ingreso Proyectado_Edu'!$P59))&lt;&gt;0,IF(OFFSET('EDP Proyectado'!AI59,0,-'Ingreso Proyectado_Edu'!$P59)+0&lt;=1,0,OFFSET('EDP Proyectado'!AI59,0,-'Ingreso Proyectado_Edu'!$P59)+0)),0)</f>
        <v>0</v>
      </c>
      <c r="AI59" s="169">
        <f ca="1">+IFERROR(IF(ISNUMBER(OFFSET('EDP Proyectado'!AJ59,0,-'Ingreso Proyectado_Edu'!$P59))&lt;&gt;0,IF(OFFSET('EDP Proyectado'!AJ59,0,-'Ingreso Proyectado_Edu'!$P59)+0&lt;=1,0,OFFSET('EDP Proyectado'!AJ59,0,-'Ingreso Proyectado_Edu'!$P59)+0)),0)</f>
        <v>0</v>
      </c>
      <c r="AJ59" s="169">
        <f ca="1">+IFERROR(IF(ISNUMBER(OFFSET('EDP Proyectado'!AK59,0,-'Ingreso Proyectado_Edu'!$P59))&lt;&gt;0,IF(OFFSET('EDP Proyectado'!AK59,0,-'Ingreso Proyectado_Edu'!$P59)+0&lt;=1,0,OFFSET('EDP Proyectado'!AK59,0,-'Ingreso Proyectado_Edu'!$P59)+0)),0)</f>
        <v>0</v>
      </c>
      <c r="AK59" s="169">
        <f ca="1">+IFERROR(IF(ISNUMBER(OFFSET('EDP Proyectado'!AL59,0,-'Ingreso Proyectado_Edu'!$P59))&lt;&gt;0,IF(OFFSET('EDP Proyectado'!AL59,0,-'Ingreso Proyectado_Edu'!$P59)+0&lt;=1,0,OFFSET('EDP Proyectado'!AL59,0,-'Ingreso Proyectado_Edu'!$P59)+0)),0)</f>
        <v>0</v>
      </c>
      <c r="AL59" s="169">
        <f ca="1">+IFERROR(IF(ISNUMBER(OFFSET('EDP Proyectado'!AM59,0,-'Ingreso Proyectado_Edu'!$P59))&lt;&gt;0,IF(OFFSET('EDP Proyectado'!AM59,0,-'Ingreso Proyectado_Edu'!$P59)+0&lt;=1,0,OFFSET('EDP Proyectado'!AM59,0,-'Ingreso Proyectado_Edu'!$P59)+0)),0)</f>
        <v>0</v>
      </c>
      <c r="AM59" s="169">
        <f ca="1">+IFERROR(IF(ISNUMBER(OFFSET('EDP Proyectado'!AN59,0,-'Ingreso Proyectado_Edu'!$P59))&lt;&gt;0,IF(OFFSET('EDP Proyectado'!AN59,0,-'Ingreso Proyectado_Edu'!$P59)+0&lt;=1,0,OFFSET('EDP Proyectado'!AN59,0,-'Ingreso Proyectado_Edu'!$P59)+0)),0)</f>
        <v>15000</v>
      </c>
      <c r="AN59" s="169">
        <f ca="1">+IFERROR(IF(ISNUMBER(OFFSET('EDP Proyectado'!AO59,0,-'Ingreso Proyectado_Edu'!$P59))&lt;&gt;0,IF(OFFSET('EDP Proyectado'!AO59,0,-'Ingreso Proyectado_Edu'!$P59)+0&lt;=1,0,OFFSET('EDP Proyectado'!AO59,0,-'Ingreso Proyectado_Edu'!$P59)+0)),0)</f>
        <v>15000</v>
      </c>
      <c r="AO59" s="169">
        <f ca="1">+IFERROR(IF(ISNUMBER(OFFSET('EDP Proyectado'!AP59,0,-'Ingreso Proyectado_Edu'!$P59))&lt;&gt;0,IF(OFFSET('EDP Proyectado'!AP59,0,-'Ingreso Proyectado_Edu'!$P59)+0&lt;=1,0,OFFSET('EDP Proyectado'!AP59,0,-'Ingreso Proyectado_Edu'!$P59)+0)),0)</f>
        <v>15000</v>
      </c>
      <c r="AP59" s="170">
        <f ca="1">+IFERROR(IF(ISNUMBER(OFFSET('EDP Proyectado'!AQ59,0,-'Ingreso Proyectado_Edu'!$P59))&lt;&gt;0,IF(OFFSET('EDP Proyectado'!AQ59,0,-'Ingreso Proyectado_Edu'!$P59)+0&lt;=1,0,OFFSET('EDP Proyectado'!AQ59,0,-'Ingreso Proyectado_Edu'!$P59)+0)),0)</f>
        <v>15000</v>
      </c>
    </row>
    <row r="60" spans="2:42" x14ac:dyDescent="0.2">
      <c r="C60" s="117">
        <f>+'Gantt Proyectos'!C128</f>
        <v>32</v>
      </c>
      <c r="D60" s="118" t="str">
        <f>+'Gantt Proyectos'!D128</f>
        <v>Ingeniería Basica Sistema Manejo Materiales Candelaria</v>
      </c>
      <c r="E60" s="145" t="str">
        <f>+'Gantt Proyectos'!E128</f>
        <v>Lundin</v>
      </c>
      <c r="F60" s="147" t="str">
        <f>+'Gantt Proyectos'!F128</f>
        <v>Chile</v>
      </c>
      <c r="G60" s="118" t="str">
        <f>+'Gantt Proyectos'!G128</f>
        <v>Chile</v>
      </c>
      <c r="H60" s="118">
        <f>+'Gantt Proyectos'!H128</f>
        <v>0</v>
      </c>
      <c r="I60" s="189">
        <v>1</v>
      </c>
      <c r="J60" s="189">
        <f t="shared" si="6"/>
        <v>0</v>
      </c>
      <c r="K60" s="118" t="str">
        <f>+'Gantt Proyectos'!I128</f>
        <v>Subterránea</v>
      </c>
      <c r="L60" s="120">
        <f>+'Gantt Proyectos'!J128</f>
        <v>0</v>
      </c>
      <c r="M60" s="145" t="str">
        <f>+'Gantt Proyectos'!K128</f>
        <v>RM</v>
      </c>
      <c r="N60" s="460">
        <f>+'Gantt Proyectos'!L128</f>
        <v>1300000</v>
      </c>
      <c r="O60" s="460">
        <f>+'Gantt Proyectos'!M128</f>
        <v>1300000</v>
      </c>
      <c r="P60" s="145">
        <f>+'Gantt Proyectos'!N128</f>
        <v>2</v>
      </c>
      <c r="Q60" s="119">
        <f>+'Gantt Proyectos'!O128</f>
        <v>45796</v>
      </c>
      <c r="R60" s="119">
        <f>+'Gantt Proyectos'!P128</f>
        <v>46020</v>
      </c>
      <c r="S60" s="145" t="str">
        <f>+'Gantt Proyectos'!R128</f>
        <v>No</v>
      </c>
      <c r="T60" s="118">
        <f>+'Gantt Proyectos'!S128</f>
        <v>0</v>
      </c>
      <c r="U60" s="156">
        <f>+'Gantt Proyectos'!T128</f>
        <v>45796</v>
      </c>
      <c r="V60" s="156">
        <f>+'Gantt Proyectos'!U128</f>
        <v>46020</v>
      </c>
      <c r="W60" s="201">
        <f t="shared" si="7"/>
        <v>8</v>
      </c>
      <c r="X60" s="121">
        <f>+'Gantt Proyectos'!W128</f>
        <v>0</v>
      </c>
      <c r="Y60" s="122">
        <f>+'Gantt Proyectos'!X128</f>
        <v>0</v>
      </c>
      <c r="Z60" s="122">
        <f>+'Gantt Proyectos'!Y128</f>
        <v>0</v>
      </c>
      <c r="AA60" s="122">
        <f>+'Gantt Proyectos'!Z128</f>
        <v>0</v>
      </c>
      <c r="AB60" s="122">
        <f>+'Gantt Proyectos'!AA128</f>
        <v>0</v>
      </c>
      <c r="AC60" s="122">
        <f>+'Gantt Proyectos'!AB128</f>
        <v>0</v>
      </c>
      <c r="AD60" s="152" t="str">
        <f>+'Gantt Proyectos'!AC128</f>
        <v>FS e Ing. Basica</v>
      </c>
      <c r="AE60" s="123" t="str">
        <f>+'Gantt Proyectos'!AD128</f>
        <v>No Asignado</v>
      </c>
      <c r="AF60" s="124" t="str">
        <f>+'Gantt Proyectos'!AE128</f>
        <v>1. Proyectado: No  Asignado</v>
      </c>
      <c r="AG60" s="172">
        <v>1</v>
      </c>
      <c r="AH60" s="169">
        <f ca="1">+IFERROR(IF(ISNUMBER(OFFSET('EDP Proyectado'!AI60,0,-'Ingreso Proyectado_Edu'!$P60))&lt;&gt;0,IF(OFFSET('EDP Proyectado'!AI60,0,-'Ingreso Proyectado_Edu'!$P60)+0&lt;=1,0,OFFSET('EDP Proyectado'!AI60,0,-'Ingreso Proyectado_Edu'!$P60)+0)),0)</f>
        <v>0</v>
      </c>
      <c r="AI60" s="169">
        <f ca="1">+IFERROR(IF(ISNUMBER(OFFSET('EDP Proyectado'!AJ60,0,-'Ingreso Proyectado_Edu'!$P60))&lt;&gt;0,IF(OFFSET('EDP Proyectado'!AJ60,0,-'Ingreso Proyectado_Edu'!$P60)+0&lt;=1,0,OFFSET('EDP Proyectado'!AJ60,0,-'Ingreso Proyectado_Edu'!$P60)+0)),0)</f>
        <v>0</v>
      </c>
      <c r="AJ60" s="169">
        <f ca="1">+IFERROR(IF(ISNUMBER(OFFSET('EDP Proyectado'!AK60,0,-'Ingreso Proyectado_Edu'!$P60))&lt;&gt;0,IF(OFFSET('EDP Proyectado'!AK60,0,-'Ingreso Proyectado_Edu'!$P60)+0&lt;=1,0,OFFSET('EDP Proyectado'!AK60,0,-'Ingreso Proyectado_Edu'!$P60)+0)),0)</f>
        <v>0</v>
      </c>
      <c r="AK60" s="169">
        <f ca="1">+IFERROR(IF(ISNUMBER(OFFSET('EDP Proyectado'!AL60,0,-'Ingreso Proyectado_Edu'!$P60))&lt;&gt;0,IF(OFFSET('EDP Proyectado'!AL60,0,-'Ingreso Proyectado_Edu'!$P60)+0&lt;=1,0,OFFSET('EDP Proyectado'!AL60,0,-'Ingreso Proyectado_Edu'!$P60)+0)),0)</f>
        <v>0</v>
      </c>
      <c r="AL60" s="169">
        <f ca="1">+IFERROR(IF(ISNUMBER(OFFSET('EDP Proyectado'!AM60,0,-'Ingreso Proyectado_Edu'!$P60))&lt;&gt;0,IF(OFFSET('EDP Proyectado'!AM60,0,-'Ingreso Proyectado_Edu'!$P60)+0&lt;=1,0,OFFSET('EDP Proyectado'!AM60,0,-'Ingreso Proyectado_Edu'!$P60)+0)),0)</f>
        <v>0</v>
      </c>
      <c r="AM60" s="169">
        <f ca="1">+IFERROR(IF(ISNUMBER(OFFSET('EDP Proyectado'!AN60,0,-'Ingreso Proyectado_Edu'!$P60))&lt;&gt;0,IF(OFFSET('EDP Proyectado'!AN60,0,-'Ingreso Proyectado_Edu'!$P60)+0&lt;=1,0,OFFSET('EDP Proyectado'!AN60,0,-'Ingreso Proyectado_Edu'!$P60)+0)),0)</f>
        <v>0</v>
      </c>
      <c r="AN60" s="169">
        <f ca="1">+IFERROR(IF(ISNUMBER(OFFSET('EDP Proyectado'!AO60,0,-'Ingreso Proyectado_Edu'!$P60))&lt;&gt;0,IF(OFFSET('EDP Proyectado'!AO60,0,-'Ingreso Proyectado_Edu'!$P60)+0&lt;=1,0,OFFSET('EDP Proyectado'!AO60,0,-'Ingreso Proyectado_Edu'!$P60)+0)),0)</f>
        <v>0</v>
      </c>
      <c r="AO60" s="169">
        <f ca="1">+IFERROR(IF(ISNUMBER(OFFSET('EDP Proyectado'!AP60,0,-'Ingreso Proyectado_Edu'!$P60))&lt;&gt;0,IF(OFFSET('EDP Proyectado'!AP60,0,-'Ingreso Proyectado_Edu'!$P60)+0&lt;=1,0,OFFSET('EDP Proyectado'!AP60,0,-'Ingreso Proyectado_Edu'!$P60)+0)),0)</f>
        <v>0</v>
      </c>
      <c r="AP60" s="170">
        <f ca="1">+IFERROR(IF(ISNUMBER(OFFSET('EDP Proyectado'!AQ60,0,-'Ingreso Proyectado_Edu'!$P60))&lt;&gt;0,IF(OFFSET('EDP Proyectado'!AQ60,0,-'Ingreso Proyectado_Edu'!$P60)+0&lt;=1,0,OFFSET('EDP Proyectado'!AQ60,0,-'Ingreso Proyectado_Edu'!$P60)+0)),0)</f>
        <v>0</v>
      </c>
    </row>
    <row r="61" spans="2:42" x14ac:dyDescent="0.2">
      <c r="C61" s="117">
        <f>+'Gantt Proyectos'!C129</f>
        <v>33</v>
      </c>
      <c r="D61" s="118" t="str">
        <f>+'Gantt Proyectos'!D129</f>
        <v>PEA Proyecto Furnas</v>
      </c>
      <c r="E61" s="145" t="str">
        <f>+'Gantt Proyectos'!E129</f>
        <v>Ero Copper</v>
      </c>
      <c r="F61" s="147" t="str">
        <f>+'Gantt Proyectos'!F129</f>
        <v>Brasil</v>
      </c>
      <c r="G61" s="118" t="str">
        <f>+'Gantt Proyectos'!G129</f>
        <v>Chile</v>
      </c>
      <c r="H61" s="118" t="str">
        <f>+'Gantt Proyectos'!H129</f>
        <v>Perú</v>
      </c>
      <c r="I61" s="189">
        <v>0.5</v>
      </c>
      <c r="J61" s="189">
        <f t="shared" ref="J61:J92" si="8">1-I61</f>
        <v>0.5</v>
      </c>
      <c r="K61" s="118" t="str">
        <f>+'Gantt Proyectos'!I129</f>
        <v>Subterránea</v>
      </c>
      <c r="L61" s="120">
        <f>+'Gantt Proyectos'!J129</f>
        <v>1</v>
      </c>
      <c r="M61" s="145" t="str">
        <f>+'Gantt Proyectos'!K129</f>
        <v>-</v>
      </c>
      <c r="N61" s="460">
        <f>+'Gantt Proyectos'!L129</f>
        <v>490000</v>
      </c>
      <c r="O61" s="460">
        <f>+'Gantt Proyectos'!M129</f>
        <v>490000</v>
      </c>
      <c r="P61" s="145">
        <f>+'Gantt Proyectos'!N129</f>
        <v>2</v>
      </c>
      <c r="Q61" s="119">
        <f>+'Gantt Proyectos'!O129</f>
        <v>45789</v>
      </c>
      <c r="R61" s="119">
        <f>+'Gantt Proyectos'!P129</f>
        <v>45985</v>
      </c>
      <c r="S61" s="145" t="str">
        <f>+'Gantt Proyectos'!R129</f>
        <v>No</v>
      </c>
      <c r="T61" s="118">
        <f>+'Gantt Proyectos'!S129</f>
        <v>0</v>
      </c>
      <c r="U61" s="156">
        <f>+'Gantt Proyectos'!T129</f>
        <v>45789</v>
      </c>
      <c r="V61" s="156">
        <f>+'Gantt Proyectos'!U129</f>
        <v>45985</v>
      </c>
      <c r="W61" s="201">
        <f t="shared" ref="W61:W92" si="9">+ROUNDUP(_xlfn.DAYS(V61,U61)/30.5,0)</f>
        <v>7</v>
      </c>
      <c r="X61" s="121">
        <f>+'Gantt Proyectos'!W129</f>
        <v>1.4474272930648799</v>
      </c>
      <c r="Y61" s="122">
        <f>+'Gantt Proyectos'!X129</f>
        <v>0.33</v>
      </c>
      <c r="Z61" s="122">
        <f>+'Gantt Proyectos'!Y129</f>
        <v>0.5</v>
      </c>
      <c r="AA61" s="122">
        <f>+'Gantt Proyectos'!Z129</f>
        <v>0.33</v>
      </c>
      <c r="AB61" s="122">
        <f>+'Gantt Proyectos'!AA129</f>
        <v>1</v>
      </c>
      <c r="AC61" s="122">
        <f>+'Gantt Proyectos'!AB129</f>
        <v>1</v>
      </c>
      <c r="AD61" s="152" t="str">
        <f>+'Gantt Proyectos'!AC129</f>
        <v>PEA</v>
      </c>
      <c r="AE61" s="123" t="str">
        <f>+'Gantt Proyectos'!AD129</f>
        <v>Actual</v>
      </c>
      <c r="AF61" s="124" t="str">
        <f>+'Gantt Proyectos'!AE129</f>
        <v>3. Avance: 25%</v>
      </c>
      <c r="AG61" s="172">
        <v>1</v>
      </c>
      <c r="AH61" s="169">
        <f ca="1">+IFERROR(IF(ISNUMBER(OFFSET('EDP Proyectado'!AI61,0,-'Ingreso Proyectado_Edu'!$P61))&lt;&gt;0,IF(OFFSET('EDP Proyectado'!AI61,0,-'Ingreso Proyectado_Edu'!$P61)+0&lt;=1,0,OFFSET('EDP Proyectado'!AI61,0,-'Ingreso Proyectado_Edu'!$P61)+0)),0)</f>
        <v>0</v>
      </c>
      <c r="AI61" s="169">
        <f ca="1">+IFERROR(IF(ISNUMBER(OFFSET('EDP Proyectado'!AJ61,0,-'Ingreso Proyectado_Edu'!$P61))&lt;&gt;0,IF(OFFSET('EDP Proyectado'!AJ61,0,-'Ingreso Proyectado_Edu'!$P61)+0&lt;=1,0,OFFSET('EDP Proyectado'!AJ61,0,-'Ingreso Proyectado_Edu'!$P61)+0)),0)</f>
        <v>0</v>
      </c>
      <c r="AJ61" s="169">
        <f ca="1">+IFERROR(IF(ISNUMBER(OFFSET('EDP Proyectado'!AK61,0,-'Ingreso Proyectado_Edu'!$P61))&lt;&gt;0,IF(OFFSET('EDP Proyectado'!AK61,0,-'Ingreso Proyectado_Edu'!$P61)+0&lt;=1,0,OFFSET('EDP Proyectado'!AK61,0,-'Ingreso Proyectado_Edu'!$P61)+0)),0)</f>
        <v>0</v>
      </c>
      <c r="AK61" s="169">
        <f ca="1">+IFERROR(IF(ISNUMBER(OFFSET('EDP Proyectado'!AL61,0,-'Ingreso Proyectado_Edu'!$P61))&lt;&gt;0,IF(OFFSET('EDP Proyectado'!AL61,0,-'Ingreso Proyectado_Edu'!$P61)+0&lt;=1,0,OFFSET('EDP Proyectado'!AL61,0,-'Ingreso Proyectado_Edu'!$P61)+0)),0)</f>
        <v>70000</v>
      </c>
      <c r="AL61" s="169">
        <f ca="1">+IFERROR(IF(ISNUMBER(OFFSET('EDP Proyectado'!AM61,0,-'Ingreso Proyectado_Edu'!$P61))&lt;&gt;0,IF(OFFSET('EDP Proyectado'!AM61,0,-'Ingreso Proyectado_Edu'!$P61)+0&lt;=1,0,OFFSET('EDP Proyectado'!AM61,0,-'Ingreso Proyectado_Edu'!$P61)+0)),0)</f>
        <v>70000</v>
      </c>
      <c r="AM61" s="169">
        <f ca="1">+IFERROR(IF(ISNUMBER(OFFSET('EDP Proyectado'!AN61,0,-'Ingreso Proyectado_Edu'!$P61))&lt;&gt;0,IF(OFFSET('EDP Proyectado'!AN61,0,-'Ingreso Proyectado_Edu'!$P61)+0&lt;=1,0,OFFSET('EDP Proyectado'!AN61,0,-'Ingreso Proyectado_Edu'!$P61)+0)),0)</f>
        <v>70000</v>
      </c>
      <c r="AN61" s="169">
        <f ca="1">+IFERROR(IF(ISNUMBER(OFFSET('EDP Proyectado'!AO61,0,-'Ingreso Proyectado_Edu'!$P61))&lt;&gt;0,IF(OFFSET('EDP Proyectado'!AO61,0,-'Ingreso Proyectado_Edu'!$P61)+0&lt;=1,0,OFFSET('EDP Proyectado'!AO61,0,-'Ingreso Proyectado_Edu'!$P61)+0)),0)</f>
        <v>70000</v>
      </c>
      <c r="AO61" s="169">
        <f ca="1">+IFERROR(IF(ISNUMBER(OFFSET('EDP Proyectado'!AP61,0,-'Ingreso Proyectado_Edu'!$P61))&lt;&gt;0,IF(OFFSET('EDP Proyectado'!AP61,0,-'Ingreso Proyectado_Edu'!$P61)+0&lt;=1,0,OFFSET('EDP Proyectado'!AP61,0,-'Ingreso Proyectado_Edu'!$P61)+0)),0)</f>
        <v>70000</v>
      </c>
      <c r="AP61" s="170">
        <f ca="1">+IFERROR(IF(ISNUMBER(OFFSET('EDP Proyectado'!AQ61,0,-'Ingreso Proyectado_Edu'!$P61))&lt;&gt;0,IF(OFFSET('EDP Proyectado'!AQ61,0,-'Ingreso Proyectado_Edu'!$P61)+0&lt;=1,0,OFFSET('EDP Proyectado'!AQ61,0,-'Ingreso Proyectado_Edu'!$P61)+0)),0)</f>
        <v>70000</v>
      </c>
    </row>
    <row r="62" spans="2:42" x14ac:dyDescent="0.2">
      <c r="C62" s="117">
        <f>+'Gantt Proyectos'!C130</f>
        <v>34</v>
      </c>
      <c r="D62" s="145" t="str">
        <f>+'Gantt Proyectos'!D130</f>
        <v xml:space="preserve">Cerro Blanco: FS Minería + Ing Detalle componentes </v>
      </c>
      <c r="E62" s="145" t="str">
        <f>+'Gantt Proyectos'!E130</f>
        <v>Aura Minerals</v>
      </c>
      <c r="F62" s="147" t="str">
        <f>+'Gantt Proyectos'!F130</f>
        <v>Brasil</v>
      </c>
      <c r="G62" s="118" t="str">
        <f>+'Gantt Proyectos'!G130</f>
        <v>Chile</v>
      </c>
      <c r="H62" s="118">
        <f>+'Gantt Proyectos'!H130</f>
        <v>0</v>
      </c>
      <c r="I62" s="189">
        <v>1</v>
      </c>
      <c r="J62" s="189">
        <f t="shared" si="8"/>
        <v>0</v>
      </c>
      <c r="K62" s="118" t="str">
        <f>+'Gantt Proyectos'!I130</f>
        <v>Subterránea</v>
      </c>
      <c r="L62" s="120">
        <f>+'Gantt Proyectos'!J130</f>
        <v>1</v>
      </c>
      <c r="M62" s="145" t="str">
        <f>+'Gantt Proyectos'!K130</f>
        <v>-</v>
      </c>
      <c r="N62" s="460">
        <f>+'Gantt Proyectos'!L130</f>
        <v>2400000</v>
      </c>
      <c r="O62" s="460">
        <f>+'Gantt Proyectos'!M130</f>
        <v>2400000</v>
      </c>
      <c r="P62" s="145">
        <f>+'Gantt Proyectos'!N130</f>
        <v>2</v>
      </c>
      <c r="Q62" s="119">
        <f>+'Gantt Proyectos'!O130</f>
        <v>45850</v>
      </c>
      <c r="R62" s="119">
        <f>+'Gantt Proyectos'!P130</f>
        <v>46128</v>
      </c>
      <c r="S62" s="145" t="str">
        <f>+'Gantt Proyectos'!R130</f>
        <v>No</v>
      </c>
      <c r="T62" s="118">
        <f>+'Gantt Proyectos'!S130</f>
        <v>0</v>
      </c>
      <c r="U62" s="156">
        <f>+'Gantt Proyectos'!T130</f>
        <v>45850</v>
      </c>
      <c r="V62" s="156">
        <f>+'Gantt Proyectos'!U130</f>
        <v>46128</v>
      </c>
      <c r="W62" s="201">
        <f t="shared" si="9"/>
        <v>10</v>
      </c>
      <c r="X62" s="121">
        <f>+'Gantt Proyectos'!W130</f>
        <v>0.51006711409395977</v>
      </c>
      <c r="Y62" s="122">
        <f>+'Gantt Proyectos'!X130</f>
        <v>0.5</v>
      </c>
      <c r="Z62" s="122">
        <f>+'Gantt Proyectos'!Y130</f>
        <v>0.67</v>
      </c>
      <c r="AA62" s="122">
        <f>+'Gantt Proyectos'!Z130</f>
        <v>1</v>
      </c>
      <c r="AB62" s="122">
        <f>+'Gantt Proyectos'!AA130</f>
        <v>2.5</v>
      </c>
      <c r="AC62" s="122">
        <f>+'Gantt Proyectos'!AB130</f>
        <v>1</v>
      </c>
      <c r="AD62" s="152" t="str">
        <f>+'Gantt Proyectos'!AC130</f>
        <v>FS e Ing. Basica</v>
      </c>
      <c r="AE62" s="123" t="str">
        <f>+'Gantt Proyectos'!AD130</f>
        <v>No Asignado</v>
      </c>
      <c r="AF62" s="124" t="str">
        <f>+'Gantt Proyectos'!AE130</f>
        <v>1. Proyectado: No  Asignado</v>
      </c>
      <c r="AG62" s="172">
        <v>1</v>
      </c>
      <c r="AH62" s="169">
        <f ca="1">+IFERROR(IF(ISNUMBER(OFFSET('EDP Proyectado'!AI62,0,-'Ingreso Proyectado_Edu'!$P62))&lt;&gt;0,IF(OFFSET('EDP Proyectado'!AI62,0,-'Ingreso Proyectado_Edu'!$P62)+0&lt;=1,0,OFFSET('EDP Proyectado'!AI62,0,-'Ingreso Proyectado_Edu'!$P62)+0)),0)</f>
        <v>0</v>
      </c>
      <c r="AI62" s="169">
        <f ca="1">+IFERROR(IF(ISNUMBER(OFFSET('EDP Proyectado'!AJ62,0,-'Ingreso Proyectado_Edu'!$P62))&lt;&gt;0,IF(OFFSET('EDP Proyectado'!AJ62,0,-'Ingreso Proyectado_Edu'!$P62)+0&lt;=1,0,OFFSET('EDP Proyectado'!AJ62,0,-'Ingreso Proyectado_Edu'!$P62)+0)),0)</f>
        <v>0</v>
      </c>
      <c r="AJ62" s="169">
        <f ca="1">+IFERROR(IF(ISNUMBER(OFFSET('EDP Proyectado'!AK62,0,-'Ingreso Proyectado_Edu'!$P62))&lt;&gt;0,IF(OFFSET('EDP Proyectado'!AK62,0,-'Ingreso Proyectado_Edu'!$P62)+0&lt;=1,0,OFFSET('EDP Proyectado'!AK62,0,-'Ingreso Proyectado_Edu'!$P62)+0)),0)</f>
        <v>0</v>
      </c>
      <c r="AK62" s="169">
        <f ca="1">+IFERROR(IF(ISNUMBER(OFFSET('EDP Proyectado'!AL62,0,-'Ingreso Proyectado_Edu'!$P62))&lt;&gt;0,IF(OFFSET('EDP Proyectado'!AL62,0,-'Ingreso Proyectado_Edu'!$P62)+0&lt;=1,0,OFFSET('EDP Proyectado'!AL62,0,-'Ingreso Proyectado_Edu'!$P62)+0)),0)</f>
        <v>0</v>
      </c>
      <c r="AL62" s="169">
        <f ca="1">+IFERROR(IF(ISNUMBER(OFFSET('EDP Proyectado'!AM62,0,-'Ingreso Proyectado_Edu'!$P62))&lt;&gt;0,IF(OFFSET('EDP Proyectado'!AM62,0,-'Ingreso Proyectado_Edu'!$P62)+0&lt;=1,0,OFFSET('EDP Proyectado'!AM62,0,-'Ingreso Proyectado_Edu'!$P62)+0)),0)</f>
        <v>0</v>
      </c>
      <c r="AM62" s="169">
        <f ca="1">+IFERROR(IF(ISNUMBER(OFFSET('EDP Proyectado'!AN62,0,-'Ingreso Proyectado_Edu'!$P62))&lt;&gt;0,IF(OFFSET('EDP Proyectado'!AN62,0,-'Ingreso Proyectado_Edu'!$P62)+0&lt;=1,0,OFFSET('EDP Proyectado'!AN62,0,-'Ingreso Proyectado_Edu'!$P62)+0)),0)</f>
        <v>48000</v>
      </c>
      <c r="AN62" s="169">
        <f ca="1">+IFERROR(IF(ISNUMBER(OFFSET('EDP Proyectado'!AO62,0,-'Ingreso Proyectado_Edu'!$P62))&lt;&gt;0,IF(OFFSET('EDP Proyectado'!AO62,0,-'Ingreso Proyectado_Edu'!$P62)+0&lt;=1,0,OFFSET('EDP Proyectado'!AO62,0,-'Ingreso Proyectado_Edu'!$P62)+0)),0)</f>
        <v>48000</v>
      </c>
      <c r="AO62" s="169">
        <f ca="1">+IFERROR(IF(ISNUMBER(OFFSET('EDP Proyectado'!AP62,0,-'Ingreso Proyectado_Edu'!$P62))&lt;&gt;0,IF(OFFSET('EDP Proyectado'!AP62,0,-'Ingreso Proyectado_Edu'!$P62)+0&lt;=1,0,OFFSET('EDP Proyectado'!AP62,0,-'Ingreso Proyectado_Edu'!$P62)+0)),0)</f>
        <v>48000</v>
      </c>
      <c r="AP62" s="170">
        <f ca="1">+IFERROR(IF(ISNUMBER(OFFSET('EDP Proyectado'!AQ62,0,-'Ingreso Proyectado_Edu'!$P62))&lt;&gt;0,IF(OFFSET('EDP Proyectado'!AQ62,0,-'Ingreso Proyectado_Edu'!$P62)+0&lt;=1,0,OFFSET('EDP Proyectado'!AQ62,0,-'Ingreso Proyectado_Edu'!$P62)+0)),0)</f>
        <v>48000</v>
      </c>
    </row>
    <row r="63" spans="2:42" x14ac:dyDescent="0.2">
      <c r="C63" s="117">
        <f>+'Gantt Proyectos'!C131</f>
        <v>35</v>
      </c>
      <c r="D63" s="145" t="str">
        <f>+'Gantt Proyectos'!D131</f>
        <v>Scoping Study Algarrobo UG</v>
      </c>
      <c r="E63" s="145" t="str">
        <f>+'Gantt Proyectos'!E131</f>
        <v>CMP</v>
      </c>
      <c r="F63" s="147" t="str">
        <f>+'Gantt Proyectos'!F131</f>
        <v>Chile</v>
      </c>
      <c r="G63" s="118" t="str">
        <f>+'Gantt Proyectos'!G131</f>
        <v>Chile</v>
      </c>
      <c r="H63" s="118">
        <f>+'Gantt Proyectos'!H131</f>
        <v>0</v>
      </c>
      <c r="I63" s="189">
        <v>1</v>
      </c>
      <c r="J63" s="189">
        <f t="shared" si="8"/>
        <v>0</v>
      </c>
      <c r="K63" s="118" t="str">
        <f>+'Gantt Proyectos'!I131</f>
        <v>Subterránea</v>
      </c>
      <c r="L63" s="120">
        <f>+'Gantt Proyectos'!J131</f>
        <v>1</v>
      </c>
      <c r="M63" s="145" t="str">
        <f>+'Gantt Proyectos'!K131</f>
        <v>-</v>
      </c>
      <c r="N63" s="460">
        <f>+'Gantt Proyectos'!L131</f>
        <v>160000</v>
      </c>
      <c r="O63" s="460">
        <f>+'Gantt Proyectos'!M131</f>
        <v>160000</v>
      </c>
      <c r="P63" s="145">
        <f>+'Gantt Proyectos'!N131</f>
        <v>2</v>
      </c>
      <c r="Q63" s="119">
        <f>+'Gantt Proyectos'!O131</f>
        <v>45824</v>
      </c>
      <c r="R63" s="119">
        <f>+'Gantt Proyectos'!P131</f>
        <v>46027</v>
      </c>
      <c r="S63" s="145" t="str">
        <f>+'Gantt Proyectos'!R131</f>
        <v>No</v>
      </c>
      <c r="T63" s="118">
        <f>+'Gantt Proyectos'!S131</f>
        <v>0</v>
      </c>
      <c r="U63" s="156">
        <f>+'Gantt Proyectos'!T131</f>
        <v>45824</v>
      </c>
      <c r="V63" s="156">
        <f>+'Gantt Proyectos'!U131</f>
        <v>46027</v>
      </c>
      <c r="W63" s="201">
        <f t="shared" si="9"/>
        <v>7</v>
      </c>
      <c r="X63" s="121">
        <f>+'Gantt Proyectos'!W131</f>
        <v>0.14474272930648768</v>
      </c>
      <c r="Y63" s="122">
        <f>+'Gantt Proyectos'!X131</f>
        <v>0.33</v>
      </c>
      <c r="Z63" s="122">
        <f>+'Gantt Proyectos'!Y131</f>
        <v>0.5</v>
      </c>
      <c r="AA63" s="122">
        <f>+'Gantt Proyectos'!Z131</f>
        <v>0.33</v>
      </c>
      <c r="AB63" s="122">
        <f>+'Gantt Proyectos'!AA131</f>
        <v>1</v>
      </c>
      <c r="AC63" s="122">
        <f>+'Gantt Proyectos'!AB131</f>
        <v>1</v>
      </c>
      <c r="AD63" s="152" t="str">
        <f>+'Gantt Proyectos'!AC131</f>
        <v>Scoping</v>
      </c>
      <c r="AE63" s="123" t="str">
        <f>+'Gantt Proyectos'!AD131</f>
        <v>No Asignado</v>
      </c>
      <c r="AF63" s="124" t="str">
        <f>+'Gantt Proyectos'!AE131</f>
        <v>1. Proyectado: No  Asignado</v>
      </c>
      <c r="AG63" s="172">
        <v>1</v>
      </c>
      <c r="AH63" s="169">
        <f ca="1">+IFERROR(IF(ISNUMBER(OFFSET('EDP Proyectado'!AI63,0,-'Ingreso Proyectado_Edu'!$P63))&lt;&gt;0,IF(OFFSET('EDP Proyectado'!AI63,0,-'Ingreso Proyectado_Edu'!$P63)+0&lt;=1,0,OFFSET('EDP Proyectado'!AI63,0,-'Ingreso Proyectado_Edu'!$P63)+0)),0)</f>
        <v>0</v>
      </c>
      <c r="AI63" s="169">
        <f ca="1">+IFERROR(IF(ISNUMBER(OFFSET('EDP Proyectado'!AJ63,0,-'Ingreso Proyectado_Edu'!$P63))&lt;&gt;0,IF(OFFSET('EDP Proyectado'!AJ63,0,-'Ingreso Proyectado_Edu'!$P63)+0&lt;=1,0,OFFSET('EDP Proyectado'!AJ63,0,-'Ingreso Proyectado_Edu'!$P63)+0)),0)</f>
        <v>0</v>
      </c>
      <c r="AJ63" s="169">
        <f ca="1">+IFERROR(IF(ISNUMBER(OFFSET('EDP Proyectado'!AK63,0,-'Ingreso Proyectado_Edu'!$P63))&lt;&gt;0,IF(OFFSET('EDP Proyectado'!AK63,0,-'Ingreso Proyectado_Edu'!$P63)+0&lt;=1,0,OFFSET('EDP Proyectado'!AK63,0,-'Ingreso Proyectado_Edu'!$P63)+0)),0)</f>
        <v>0</v>
      </c>
      <c r="AK63" s="169">
        <f ca="1">+IFERROR(IF(ISNUMBER(OFFSET('EDP Proyectado'!AL63,0,-'Ingreso Proyectado_Edu'!$P63))&lt;&gt;0,IF(OFFSET('EDP Proyectado'!AL63,0,-'Ingreso Proyectado_Edu'!$P63)+0&lt;=1,0,OFFSET('EDP Proyectado'!AL63,0,-'Ingreso Proyectado_Edu'!$P63)+0)),0)</f>
        <v>0</v>
      </c>
      <c r="AL63" s="169">
        <f ca="1">+IFERROR(IF(ISNUMBER(OFFSET('EDP Proyectado'!AM63,0,-'Ingreso Proyectado_Edu'!$P63))&lt;&gt;0,IF(OFFSET('EDP Proyectado'!AM63,0,-'Ingreso Proyectado_Edu'!$P63)+0&lt;=1,0,OFFSET('EDP Proyectado'!AM63,0,-'Ingreso Proyectado_Edu'!$P63)+0)),0)</f>
        <v>2285.7142857142858</v>
      </c>
      <c r="AM63" s="169">
        <f ca="1">+IFERROR(IF(ISNUMBER(OFFSET('EDP Proyectado'!AN63,0,-'Ingreso Proyectado_Edu'!$P63))&lt;&gt;0,IF(OFFSET('EDP Proyectado'!AN63,0,-'Ingreso Proyectado_Edu'!$P63)+0&lt;=1,0,OFFSET('EDP Proyectado'!AN63,0,-'Ingreso Proyectado_Edu'!$P63)+0)),0)</f>
        <v>2285.7142857142858</v>
      </c>
      <c r="AN63" s="169">
        <f ca="1">+IFERROR(IF(ISNUMBER(OFFSET('EDP Proyectado'!AO63,0,-'Ingreso Proyectado_Edu'!$P63))&lt;&gt;0,IF(OFFSET('EDP Proyectado'!AO63,0,-'Ingreso Proyectado_Edu'!$P63)+0&lt;=1,0,OFFSET('EDP Proyectado'!AO63,0,-'Ingreso Proyectado_Edu'!$P63)+0)),0)</f>
        <v>2285.7142857142858</v>
      </c>
      <c r="AO63" s="169">
        <f ca="1">+IFERROR(IF(ISNUMBER(OFFSET('EDP Proyectado'!AP63,0,-'Ingreso Proyectado_Edu'!$P63))&lt;&gt;0,IF(OFFSET('EDP Proyectado'!AP63,0,-'Ingreso Proyectado_Edu'!$P63)+0&lt;=1,0,OFFSET('EDP Proyectado'!AP63,0,-'Ingreso Proyectado_Edu'!$P63)+0)),0)</f>
        <v>2285.7142857142858</v>
      </c>
      <c r="AP63" s="170">
        <f ca="1">+IFERROR(IF(ISNUMBER(OFFSET('EDP Proyectado'!AQ63,0,-'Ingreso Proyectado_Edu'!$P63))&lt;&gt;0,IF(OFFSET('EDP Proyectado'!AQ63,0,-'Ingreso Proyectado_Edu'!$P63)+0&lt;=1,0,OFFSET('EDP Proyectado'!AQ63,0,-'Ingreso Proyectado_Edu'!$P63)+0)),0)</f>
        <v>2285.7142857142858</v>
      </c>
    </row>
    <row r="64" spans="2:42" x14ac:dyDescent="0.2">
      <c r="C64" s="117">
        <f>+'Gantt Proyectos'!C132</f>
        <v>36</v>
      </c>
      <c r="D64" s="145" t="str">
        <f>+'Gantt Proyectos'!D132</f>
        <v>Soporte Romeral, construcción túnel exploratorio</v>
      </c>
      <c r="E64" s="145" t="str">
        <f>+'Gantt Proyectos'!E132</f>
        <v>Romeral</v>
      </c>
      <c r="F64" s="147" t="str">
        <f>+'Gantt Proyectos'!F132</f>
        <v>Chile</v>
      </c>
      <c r="G64" s="118" t="str">
        <f>+'Gantt Proyectos'!G132</f>
        <v>Chile</v>
      </c>
      <c r="H64" s="118">
        <f>+'Gantt Proyectos'!H132</f>
        <v>0</v>
      </c>
      <c r="I64" s="189">
        <v>1</v>
      </c>
      <c r="J64" s="189">
        <f t="shared" si="8"/>
        <v>0</v>
      </c>
      <c r="K64" s="118" t="str">
        <f>+'Gantt Proyectos'!I132</f>
        <v>Subterránea</v>
      </c>
      <c r="L64" s="120">
        <f>+'Gantt Proyectos'!J132</f>
        <v>1</v>
      </c>
      <c r="M64" s="145" t="str">
        <f>+'Gantt Proyectos'!K132</f>
        <v>RM</v>
      </c>
      <c r="N64" s="460">
        <f>+'Gantt Proyectos'!L132</f>
        <v>500000</v>
      </c>
      <c r="O64" s="460">
        <f>+'Gantt Proyectos'!M132</f>
        <v>500000</v>
      </c>
      <c r="P64" s="145">
        <f>+'Gantt Proyectos'!N132</f>
        <v>2</v>
      </c>
      <c r="Q64" s="119">
        <f>+'Gantt Proyectos'!O132</f>
        <v>45839</v>
      </c>
      <c r="R64" s="119">
        <f>+'Gantt Proyectos'!P132</f>
        <v>46569</v>
      </c>
      <c r="S64" s="145" t="str">
        <f>+'Gantt Proyectos'!R132</f>
        <v>No</v>
      </c>
      <c r="T64" s="118">
        <f>+'Gantt Proyectos'!S132</f>
        <v>0</v>
      </c>
      <c r="U64" s="156">
        <f>+'Gantt Proyectos'!T132</f>
        <v>45839</v>
      </c>
      <c r="V64" s="156">
        <f>+'Gantt Proyectos'!U132</f>
        <v>46569</v>
      </c>
      <c r="W64" s="201">
        <f t="shared" si="9"/>
        <v>24</v>
      </c>
      <c r="X64" s="121">
        <f>+'Gantt Proyectos'!W132</f>
        <v>0.3</v>
      </c>
      <c r="Y64" s="122">
        <f>+'Gantt Proyectos'!X132</f>
        <v>0.33</v>
      </c>
      <c r="Z64" s="122">
        <f>+'Gantt Proyectos'!Y132</f>
        <v>0.5</v>
      </c>
      <c r="AA64" s="122">
        <f>+'Gantt Proyectos'!Z132</f>
        <v>0.33</v>
      </c>
      <c r="AB64" s="122">
        <f>+'Gantt Proyectos'!AA132</f>
        <v>1</v>
      </c>
      <c r="AC64" s="122">
        <f>+'Gantt Proyectos'!AB132</f>
        <v>0</v>
      </c>
      <c r="AD64" s="152" t="str">
        <f>+'Gantt Proyectos'!AC132</f>
        <v>Consultoria y Due Dilligence</v>
      </c>
      <c r="AE64" s="123" t="str">
        <f>+'Gantt Proyectos'!AD132</f>
        <v>No Asignado</v>
      </c>
      <c r="AF64" s="124" t="str">
        <f>+'Gantt Proyectos'!AE132</f>
        <v>1. Proyectado: No  Asignado</v>
      </c>
      <c r="AG64" s="172">
        <v>1</v>
      </c>
      <c r="AH64" s="169">
        <f ca="1">+IFERROR(IF(ISNUMBER(OFFSET('EDP Proyectado'!AI64,0,-'Ingreso Proyectado_Edu'!$P64))&lt;&gt;0,IF(OFFSET('EDP Proyectado'!AI64,0,-'Ingreso Proyectado_Edu'!$P64)+0&lt;=1,0,OFFSET('EDP Proyectado'!AI64,0,-'Ingreso Proyectado_Edu'!$P64)+0)),0)</f>
        <v>0</v>
      </c>
      <c r="AI64" s="169">
        <f ca="1">+IFERROR(IF(ISNUMBER(OFFSET('EDP Proyectado'!AJ64,0,-'Ingreso Proyectado_Edu'!$P64))&lt;&gt;0,IF(OFFSET('EDP Proyectado'!AJ64,0,-'Ingreso Proyectado_Edu'!$P64)+0&lt;=1,0,OFFSET('EDP Proyectado'!AJ64,0,-'Ingreso Proyectado_Edu'!$P64)+0)),0)</f>
        <v>0</v>
      </c>
      <c r="AJ64" s="169">
        <f ca="1">+IFERROR(IF(ISNUMBER(OFFSET('EDP Proyectado'!AK64,0,-'Ingreso Proyectado_Edu'!$P64))&lt;&gt;0,IF(OFFSET('EDP Proyectado'!AK64,0,-'Ingreso Proyectado_Edu'!$P64)+0&lt;=1,0,OFFSET('EDP Proyectado'!AK64,0,-'Ingreso Proyectado_Edu'!$P64)+0)),0)</f>
        <v>0</v>
      </c>
      <c r="AK64" s="169">
        <f ca="1">+IFERROR(IF(ISNUMBER(OFFSET('EDP Proyectado'!AL64,0,-'Ingreso Proyectado_Edu'!$P64))&lt;&gt;0,IF(OFFSET('EDP Proyectado'!AL64,0,-'Ingreso Proyectado_Edu'!$P64)+0&lt;=1,0,OFFSET('EDP Proyectado'!AL64,0,-'Ingreso Proyectado_Edu'!$P64)+0)),0)</f>
        <v>0</v>
      </c>
      <c r="AL64" s="169">
        <f ca="1">+IFERROR(IF(ISNUMBER(OFFSET('EDP Proyectado'!AM64,0,-'Ingreso Proyectado_Edu'!$P64))&lt;&gt;0,IF(OFFSET('EDP Proyectado'!AM64,0,-'Ingreso Proyectado_Edu'!$P64)+0&lt;=1,0,OFFSET('EDP Proyectado'!AM64,0,-'Ingreso Proyectado_Edu'!$P64)+0)),0)</f>
        <v>0</v>
      </c>
      <c r="AM64" s="169">
        <f ca="1">+IFERROR(IF(ISNUMBER(OFFSET('EDP Proyectado'!AN64,0,-'Ingreso Proyectado_Edu'!$P64))&lt;&gt;0,IF(OFFSET('EDP Proyectado'!AN64,0,-'Ingreso Proyectado_Edu'!$P64)+0&lt;=1,0,OFFSET('EDP Proyectado'!AN64,0,-'Ingreso Proyectado_Edu'!$P64)+0)),0)</f>
        <v>6249.9999999999991</v>
      </c>
      <c r="AN64" s="169">
        <f ca="1">+IFERROR(IF(ISNUMBER(OFFSET('EDP Proyectado'!AO64,0,-'Ingreso Proyectado_Edu'!$P64))&lt;&gt;0,IF(OFFSET('EDP Proyectado'!AO64,0,-'Ingreso Proyectado_Edu'!$P64)+0&lt;=1,0,OFFSET('EDP Proyectado'!AO64,0,-'Ingreso Proyectado_Edu'!$P64)+0)),0)</f>
        <v>6249.9999999999991</v>
      </c>
      <c r="AO64" s="169">
        <f ca="1">+IFERROR(IF(ISNUMBER(OFFSET('EDP Proyectado'!AP64,0,-'Ingreso Proyectado_Edu'!$P64))&lt;&gt;0,IF(OFFSET('EDP Proyectado'!AP64,0,-'Ingreso Proyectado_Edu'!$P64)+0&lt;=1,0,OFFSET('EDP Proyectado'!AP64,0,-'Ingreso Proyectado_Edu'!$P64)+0)),0)</f>
        <v>6249.9999999999991</v>
      </c>
      <c r="AP64" s="170">
        <f ca="1">+IFERROR(IF(ISNUMBER(OFFSET('EDP Proyectado'!AQ64,0,-'Ingreso Proyectado_Edu'!$P64))&lt;&gt;0,IF(OFFSET('EDP Proyectado'!AQ64,0,-'Ingreso Proyectado_Edu'!$P64)+0&lt;=1,0,OFFSET('EDP Proyectado'!AQ64,0,-'Ingreso Proyectado_Edu'!$P64)+0)),0)</f>
        <v>6249.9999999999991</v>
      </c>
    </row>
    <row r="65" spans="3:42" x14ac:dyDescent="0.2">
      <c r="C65" s="117">
        <f>+'Gantt Proyectos'!C133</f>
        <v>37</v>
      </c>
      <c r="D65" s="145" t="str">
        <f>+'Gantt Proyectos'!D133</f>
        <v>Servicios de geología y planificación (3 años)</v>
      </c>
      <c r="E65" s="145" t="str">
        <f>+'Gantt Proyectos'!E133</f>
        <v>Alcoa</v>
      </c>
      <c r="F65" s="147" t="str">
        <f>+'Gantt Proyectos'!F133</f>
        <v>Brasil</v>
      </c>
      <c r="G65" s="118" t="str">
        <f>+'Gantt Proyectos'!G133</f>
        <v>Chile</v>
      </c>
      <c r="H65" s="118" t="str">
        <f>+'Gantt Proyectos'!H133</f>
        <v>Perú</v>
      </c>
      <c r="I65" s="189">
        <v>0.5</v>
      </c>
      <c r="J65" s="189">
        <f t="shared" si="8"/>
        <v>0.5</v>
      </c>
      <c r="K65" s="118" t="str">
        <f>+'Gantt Proyectos'!I133</f>
        <v>Open Pit</v>
      </c>
      <c r="L65" s="120">
        <f>+'Gantt Proyectos'!J133</f>
        <v>1</v>
      </c>
      <c r="M65" s="145" t="str">
        <f>+'Gantt Proyectos'!K133</f>
        <v>CH</v>
      </c>
      <c r="N65" s="460">
        <f>+'Gantt Proyectos'!L133</f>
        <v>890000</v>
      </c>
      <c r="O65" s="460">
        <f>+'Gantt Proyectos'!M133</f>
        <v>890000</v>
      </c>
      <c r="P65" s="145">
        <f>+'Gantt Proyectos'!N133</f>
        <v>2</v>
      </c>
      <c r="Q65" s="119">
        <f>+'Gantt Proyectos'!O133</f>
        <v>45839</v>
      </c>
      <c r="R65" s="119">
        <f>+'Gantt Proyectos'!P133</f>
        <v>46388</v>
      </c>
      <c r="S65" s="145" t="str">
        <f>+'Gantt Proyectos'!R133</f>
        <v>No</v>
      </c>
      <c r="T65" s="118">
        <f>+'Gantt Proyectos'!S133</f>
        <v>0</v>
      </c>
      <c r="U65" s="156">
        <f>+'Gantt Proyectos'!T133</f>
        <v>45839</v>
      </c>
      <c r="V65" s="156">
        <f>+'Gantt Proyectos'!U133</f>
        <v>46388</v>
      </c>
      <c r="W65" s="201">
        <f t="shared" si="9"/>
        <v>18</v>
      </c>
      <c r="X65" s="121">
        <f>+'Gantt Proyectos'!W133</f>
        <v>0.89261744966442946</v>
      </c>
      <c r="Y65" s="122">
        <f>+'Gantt Proyectos'!X133</f>
        <v>0.5</v>
      </c>
      <c r="Z65" s="122">
        <f>+'Gantt Proyectos'!Y133</f>
        <v>0.67</v>
      </c>
      <c r="AA65" s="122">
        <f>+'Gantt Proyectos'!Z133</f>
        <v>1</v>
      </c>
      <c r="AB65" s="122">
        <f>+'Gantt Proyectos'!AA133</f>
        <v>2.5</v>
      </c>
      <c r="AC65" s="122">
        <f>+'Gantt Proyectos'!AB133</f>
        <v>1</v>
      </c>
      <c r="AD65" s="152" t="str">
        <f>+'Gantt Proyectos'!AC133</f>
        <v>FS e Ing. Basica</v>
      </c>
      <c r="AE65" s="123" t="str">
        <f>+'Gantt Proyectos'!AD133</f>
        <v>No Asignado</v>
      </c>
      <c r="AF65" s="124" t="str">
        <f>+'Gantt Proyectos'!AE133</f>
        <v>1. Proyectado: No  Asignado</v>
      </c>
      <c r="AG65" s="172">
        <v>1</v>
      </c>
      <c r="AH65" s="169">
        <f ca="1">+IFERROR(IF(ISNUMBER(OFFSET('EDP Proyectado'!AI65,0,-'Ingreso Proyectado_Edu'!$P65))&lt;&gt;0,IF(OFFSET('EDP Proyectado'!AI65,0,-'Ingreso Proyectado_Edu'!$P65)+0&lt;=1,0,OFFSET('EDP Proyectado'!AI65,0,-'Ingreso Proyectado_Edu'!$P65)+0)),0)</f>
        <v>0</v>
      </c>
      <c r="AI65" s="169">
        <f ca="1">+IFERROR(IF(ISNUMBER(OFFSET('EDP Proyectado'!AJ65,0,-'Ingreso Proyectado_Edu'!$P65))&lt;&gt;0,IF(OFFSET('EDP Proyectado'!AJ65,0,-'Ingreso Proyectado_Edu'!$P65)+0&lt;=1,0,OFFSET('EDP Proyectado'!AJ65,0,-'Ingreso Proyectado_Edu'!$P65)+0)),0)</f>
        <v>0</v>
      </c>
      <c r="AJ65" s="169">
        <f ca="1">+IFERROR(IF(ISNUMBER(OFFSET('EDP Proyectado'!AK65,0,-'Ingreso Proyectado_Edu'!$P65))&lt;&gt;0,IF(OFFSET('EDP Proyectado'!AK65,0,-'Ingreso Proyectado_Edu'!$P65)+0&lt;=1,0,OFFSET('EDP Proyectado'!AK65,0,-'Ingreso Proyectado_Edu'!$P65)+0)),0)</f>
        <v>0</v>
      </c>
      <c r="AK65" s="169">
        <f ca="1">+IFERROR(IF(ISNUMBER(OFFSET('EDP Proyectado'!AL65,0,-'Ingreso Proyectado_Edu'!$P65))&lt;&gt;0,IF(OFFSET('EDP Proyectado'!AL65,0,-'Ingreso Proyectado_Edu'!$P65)+0&lt;=1,0,OFFSET('EDP Proyectado'!AL65,0,-'Ingreso Proyectado_Edu'!$P65)+0)),0)</f>
        <v>0</v>
      </c>
      <c r="AL65" s="169">
        <f ca="1">+IFERROR(IF(ISNUMBER(OFFSET('EDP Proyectado'!AM65,0,-'Ingreso Proyectado_Edu'!$P65))&lt;&gt;0,IF(OFFSET('EDP Proyectado'!AM65,0,-'Ingreso Proyectado_Edu'!$P65)+0&lt;=1,0,OFFSET('EDP Proyectado'!AM65,0,-'Ingreso Proyectado_Edu'!$P65)+0)),0)</f>
        <v>0</v>
      </c>
      <c r="AM65" s="169">
        <f ca="1">+IFERROR(IF(ISNUMBER(OFFSET('EDP Proyectado'!AN65,0,-'Ingreso Proyectado_Edu'!$P65))&lt;&gt;0,IF(OFFSET('EDP Proyectado'!AN65,0,-'Ingreso Proyectado_Edu'!$P65)+0&lt;=1,0,OFFSET('EDP Proyectado'!AN65,0,-'Ingreso Proyectado_Edu'!$P65)+0)),0)</f>
        <v>17305.555555555555</v>
      </c>
      <c r="AN65" s="169">
        <f ca="1">+IFERROR(IF(ISNUMBER(OFFSET('EDP Proyectado'!AO65,0,-'Ingreso Proyectado_Edu'!$P65))&lt;&gt;0,IF(OFFSET('EDP Proyectado'!AO65,0,-'Ingreso Proyectado_Edu'!$P65)+0&lt;=1,0,OFFSET('EDP Proyectado'!AO65,0,-'Ingreso Proyectado_Edu'!$P65)+0)),0)</f>
        <v>17305.555555555555</v>
      </c>
      <c r="AO65" s="169">
        <f ca="1">+IFERROR(IF(ISNUMBER(OFFSET('EDP Proyectado'!AP65,0,-'Ingreso Proyectado_Edu'!$P65))&lt;&gt;0,IF(OFFSET('EDP Proyectado'!AP65,0,-'Ingreso Proyectado_Edu'!$P65)+0&lt;=1,0,OFFSET('EDP Proyectado'!AP65,0,-'Ingreso Proyectado_Edu'!$P65)+0)),0)</f>
        <v>17305.555555555555</v>
      </c>
      <c r="AP65" s="170">
        <f ca="1">+IFERROR(IF(ISNUMBER(OFFSET('EDP Proyectado'!AQ65,0,-'Ingreso Proyectado_Edu'!$P65))&lt;&gt;0,IF(OFFSET('EDP Proyectado'!AQ65,0,-'Ingreso Proyectado_Edu'!$P65)+0&lt;=1,0,OFFSET('EDP Proyectado'!AQ65,0,-'Ingreso Proyectado_Edu'!$P65)+0)),0)</f>
        <v>17305.555555555555</v>
      </c>
    </row>
    <row r="66" spans="3:42" x14ac:dyDescent="0.2">
      <c r="C66" s="117">
        <f>+'Gantt Proyectos'!C134</f>
        <v>38</v>
      </c>
      <c r="D66" s="145" t="str">
        <f>+'Gantt Proyectos'!D134</f>
        <v>Evaluación de diferentes escenarios estrategicos (Cambio de producto)</v>
      </c>
      <c r="E66" s="145" t="str">
        <f>+'Gantt Proyectos'!E134</f>
        <v>BCG</v>
      </c>
      <c r="F66" s="147" t="str">
        <f>+'Gantt Proyectos'!F134</f>
        <v>Brasil</v>
      </c>
      <c r="G66" s="118" t="str">
        <f>+'Gantt Proyectos'!G134</f>
        <v>Chile</v>
      </c>
      <c r="H66" s="118">
        <f>+'Gantt Proyectos'!H134</f>
        <v>0</v>
      </c>
      <c r="I66" s="189">
        <v>1</v>
      </c>
      <c r="J66" s="189">
        <f t="shared" si="8"/>
        <v>0</v>
      </c>
      <c r="K66" s="118" t="str">
        <f>+'Gantt Proyectos'!I134</f>
        <v>Open Pit</v>
      </c>
      <c r="L66" s="120">
        <f>+'Gantt Proyectos'!J134</f>
        <v>1</v>
      </c>
      <c r="M66" s="145" t="str">
        <f>+'Gantt Proyectos'!K134</f>
        <v>FR</v>
      </c>
      <c r="N66" s="460">
        <f>+'Gantt Proyectos'!L134</f>
        <v>180000</v>
      </c>
      <c r="O66" s="460">
        <f>+'Gantt Proyectos'!M134</f>
        <v>180000</v>
      </c>
      <c r="P66" s="145">
        <f>+'Gantt Proyectos'!N134</f>
        <v>2</v>
      </c>
      <c r="Q66" s="119">
        <f>+'Gantt Proyectos'!O134</f>
        <v>45839</v>
      </c>
      <c r="R66" s="119">
        <f>+'Gantt Proyectos'!P134</f>
        <v>45920</v>
      </c>
      <c r="S66" s="145" t="str">
        <f>+'Gantt Proyectos'!R134</f>
        <v>No</v>
      </c>
      <c r="T66" s="118">
        <f>+'Gantt Proyectos'!S134</f>
        <v>0</v>
      </c>
      <c r="U66" s="156">
        <f>+'Gantt Proyectos'!T134</f>
        <v>45839</v>
      </c>
      <c r="V66" s="156">
        <f>+'Gantt Proyectos'!U134</f>
        <v>45920</v>
      </c>
      <c r="W66" s="201">
        <f t="shared" si="9"/>
        <v>3</v>
      </c>
      <c r="X66" s="121">
        <f>+'Gantt Proyectos'!W134</f>
        <v>0.9</v>
      </c>
      <c r="Y66" s="122">
        <f>+'Gantt Proyectos'!X134</f>
        <v>0.33</v>
      </c>
      <c r="Z66" s="122">
        <f>+'Gantt Proyectos'!Y134</f>
        <v>0.5</v>
      </c>
      <c r="AA66" s="122">
        <f>+'Gantt Proyectos'!Z134</f>
        <v>0.33</v>
      </c>
      <c r="AB66" s="122">
        <f>+'Gantt Proyectos'!AA134</f>
        <v>1</v>
      </c>
      <c r="AC66" s="122">
        <f>+'Gantt Proyectos'!AB134</f>
        <v>0</v>
      </c>
      <c r="AD66" s="152" t="str">
        <f>+'Gantt Proyectos'!AC134</f>
        <v>Consultoria y Due Dilligence</v>
      </c>
      <c r="AE66" s="123" t="str">
        <f>+'Gantt Proyectos'!AD134</f>
        <v>No Asignado</v>
      </c>
      <c r="AF66" s="124" t="str">
        <f>+'Gantt Proyectos'!AE134</f>
        <v>1. Proyectado: No  Asignado</v>
      </c>
      <c r="AG66" s="172">
        <v>1</v>
      </c>
      <c r="AH66" s="169">
        <f ca="1">+IFERROR(IF(ISNUMBER(OFFSET('EDP Proyectado'!AI66,0,-'Ingreso Proyectado_Edu'!$P66))&lt;&gt;0,IF(OFFSET('EDP Proyectado'!AI66,0,-'Ingreso Proyectado_Edu'!$P66)+0&lt;=1,0,OFFSET('EDP Proyectado'!AI66,0,-'Ingreso Proyectado_Edu'!$P66)+0)),0)</f>
        <v>0</v>
      </c>
      <c r="AI66" s="169">
        <f ca="1">+IFERROR(IF(ISNUMBER(OFFSET('EDP Proyectado'!AJ66,0,-'Ingreso Proyectado_Edu'!$P66))&lt;&gt;0,IF(OFFSET('EDP Proyectado'!AJ66,0,-'Ingreso Proyectado_Edu'!$P66)+0&lt;=1,0,OFFSET('EDP Proyectado'!AJ66,0,-'Ingreso Proyectado_Edu'!$P66)+0)),0)</f>
        <v>0</v>
      </c>
      <c r="AJ66" s="169">
        <f ca="1">+IFERROR(IF(ISNUMBER(OFFSET('EDP Proyectado'!AK66,0,-'Ingreso Proyectado_Edu'!$P66))&lt;&gt;0,IF(OFFSET('EDP Proyectado'!AK66,0,-'Ingreso Proyectado_Edu'!$P66)+0&lt;=1,0,OFFSET('EDP Proyectado'!AK66,0,-'Ingreso Proyectado_Edu'!$P66)+0)),0)</f>
        <v>0</v>
      </c>
      <c r="AK66" s="169">
        <f ca="1">+IFERROR(IF(ISNUMBER(OFFSET('EDP Proyectado'!AL66,0,-'Ingreso Proyectado_Edu'!$P66))&lt;&gt;0,IF(OFFSET('EDP Proyectado'!AL66,0,-'Ingreso Proyectado_Edu'!$P66)+0&lt;=1,0,OFFSET('EDP Proyectado'!AL66,0,-'Ingreso Proyectado_Edu'!$P66)+0)),0)</f>
        <v>0</v>
      </c>
      <c r="AL66" s="169">
        <f ca="1">+IFERROR(IF(ISNUMBER(OFFSET('EDP Proyectado'!AM66,0,-'Ingreso Proyectado_Edu'!$P66))&lt;&gt;0,IF(OFFSET('EDP Proyectado'!AM66,0,-'Ingreso Proyectado_Edu'!$P66)+0&lt;=1,0,OFFSET('EDP Proyectado'!AM66,0,-'Ingreso Proyectado_Edu'!$P66)+0)),0)</f>
        <v>0</v>
      </c>
      <c r="AM66" s="169">
        <f ca="1">+IFERROR(IF(ISNUMBER(OFFSET('EDP Proyectado'!AN66,0,-'Ingreso Proyectado_Edu'!$P66))&lt;&gt;0,IF(OFFSET('EDP Proyectado'!AN66,0,-'Ingreso Proyectado_Edu'!$P66)+0&lt;=1,0,OFFSET('EDP Proyectado'!AN66,0,-'Ingreso Proyectado_Edu'!$P66)+0)),0)</f>
        <v>54000</v>
      </c>
      <c r="AN66" s="169">
        <f ca="1">+IFERROR(IF(ISNUMBER(OFFSET('EDP Proyectado'!AO66,0,-'Ingreso Proyectado_Edu'!$P66))&lt;&gt;0,IF(OFFSET('EDP Proyectado'!AO66,0,-'Ingreso Proyectado_Edu'!$P66)+0&lt;=1,0,OFFSET('EDP Proyectado'!AO66,0,-'Ingreso Proyectado_Edu'!$P66)+0)),0)</f>
        <v>54000</v>
      </c>
      <c r="AO66" s="169">
        <f ca="1">+IFERROR(IF(ISNUMBER(OFFSET('EDP Proyectado'!AP66,0,-'Ingreso Proyectado_Edu'!$P66))&lt;&gt;0,IF(OFFSET('EDP Proyectado'!AP66,0,-'Ingreso Proyectado_Edu'!$P66)+0&lt;=1,0,OFFSET('EDP Proyectado'!AP66,0,-'Ingreso Proyectado_Edu'!$P66)+0)),0)</f>
        <v>54000</v>
      </c>
      <c r="AP66" s="170">
        <f ca="1">+IFERROR(IF(ISNUMBER(OFFSET('EDP Proyectado'!AQ66,0,-'Ingreso Proyectado_Edu'!$P66))&lt;&gt;0,IF(OFFSET('EDP Proyectado'!AQ66,0,-'Ingreso Proyectado_Edu'!$P66)+0&lt;=1,0,OFFSET('EDP Proyectado'!AQ66,0,-'Ingreso Proyectado_Edu'!$P66)+0)),0)</f>
        <v>0</v>
      </c>
    </row>
    <row r="67" spans="3:42" x14ac:dyDescent="0.2">
      <c r="C67" s="117">
        <f>+'Gantt Proyectos'!C135</f>
        <v>39</v>
      </c>
      <c r="D67" s="145" t="str">
        <f>+'Gantt Proyectos'!D135</f>
        <v>Optimización proceso LOM + Implementación SIMPLAN</v>
      </c>
      <c r="E67" s="145" t="str">
        <f>+'Gantt Proyectos'!E135</f>
        <v>LHG</v>
      </c>
      <c r="F67" s="147" t="str">
        <f>+'Gantt Proyectos'!F135</f>
        <v>Brasil</v>
      </c>
      <c r="G67" s="118" t="str">
        <f>+'Gantt Proyectos'!G135</f>
        <v>Chile</v>
      </c>
      <c r="H67" s="118">
        <f>+'Gantt Proyectos'!H135</f>
        <v>0</v>
      </c>
      <c r="I67" s="189">
        <v>1</v>
      </c>
      <c r="J67" s="189">
        <f t="shared" si="8"/>
        <v>0</v>
      </c>
      <c r="K67" s="118" t="str">
        <f>+'Gantt Proyectos'!I135</f>
        <v>Open Pit</v>
      </c>
      <c r="L67" s="120">
        <f>+'Gantt Proyectos'!J135</f>
        <v>0</v>
      </c>
      <c r="M67" s="145" t="str">
        <f>+'Gantt Proyectos'!K135</f>
        <v>RL</v>
      </c>
      <c r="N67" s="460">
        <f>+'Gantt Proyectos'!L135</f>
        <v>150000</v>
      </c>
      <c r="O67" s="460">
        <f>+'Gantt Proyectos'!M135</f>
        <v>150000</v>
      </c>
      <c r="P67" s="145">
        <f>+'Gantt Proyectos'!N135</f>
        <v>2</v>
      </c>
      <c r="Q67" s="119">
        <f>+'Gantt Proyectos'!O135</f>
        <v>45809</v>
      </c>
      <c r="R67" s="119">
        <f>+'Gantt Proyectos'!P135</f>
        <v>45901</v>
      </c>
      <c r="S67" s="145" t="str">
        <f>+'Gantt Proyectos'!R135</f>
        <v>No</v>
      </c>
      <c r="T67" s="118">
        <f>+'Gantt Proyectos'!S135</f>
        <v>0</v>
      </c>
      <c r="U67" s="156">
        <f>+'Gantt Proyectos'!T135</f>
        <v>45809</v>
      </c>
      <c r="V67" s="156">
        <f>+'Gantt Proyectos'!U135</f>
        <v>45901</v>
      </c>
      <c r="W67" s="201">
        <f t="shared" si="9"/>
        <v>4</v>
      </c>
      <c r="X67" s="121">
        <f>+'Gantt Proyectos'!W135</f>
        <v>0</v>
      </c>
      <c r="Y67" s="122">
        <f>+'Gantt Proyectos'!X135</f>
        <v>0</v>
      </c>
      <c r="Z67" s="122">
        <f>+'Gantt Proyectos'!Y135</f>
        <v>0</v>
      </c>
      <c r="AA67" s="122">
        <f>+'Gantt Proyectos'!Z135</f>
        <v>0</v>
      </c>
      <c r="AB67" s="122">
        <f>+'Gantt Proyectos'!AA135</f>
        <v>0</v>
      </c>
      <c r="AC67" s="122">
        <f>+'Gantt Proyectos'!AB135</f>
        <v>0</v>
      </c>
      <c r="AD67" s="152" t="str">
        <f>+'Gantt Proyectos'!AC135</f>
        <v>Consultoria y Due Dilligence</v>
      </c>
      <c r="AE67" s="123" t="str">
        <f>+'Gantt Proyectos'!AD135</f>
        <v>No Asignado</v>
      </c>
      <c r="AF67" s="124" t="str">
        <f>+'Gantt Proyectos'!AE135</f>
        <v>1. Proyectado: No  Asignado</v>
      </c>
      <c r="AG67" s="172">
        <v>1</v>
      </c>
      <c r="AH67" s="169">
        <f ca="1">+IFERROR(IF(ISNUMBER(OFFSET('EDP Proyectado'!AI67,0,-'Ingreso Proyectado_Edu'!$P67))&lt;&gt;0,IF(OFFSET('EDP Proyectado'!AI67,0,-'Ingreso Proyectado_Edu'!$P67)+0&lt;=1,0,OFFSET('EDP Proyectado'!AI67,0,-'Ingreso Proyectado_Edu'!$P67)+0)),0)</f>
        <v>0</v>
      </c>
      <c r="AI67" s="169">
        <f ca="1">+IFERROR(IF(ISNUMBER(OFFSET('EDP Proyectado'!AJ67,0,-'Ingreso Proyectado_Edu'!$P67))&lt;&gt;0,IF(OFFSET('EDP Proyectado'!AJ67,0,-'Ingreso Proyectado_Edu'!$P67)+0&lt;=1,0,OFFSET('EDP Proyectado'!AJ67,0,-'Ingreso Proyectado_Edu'!$P67)+0)),0)</f>
        <v>0</v>
      </c>
      <c r="AJ67" s="169">
        <f ca="1">+IFERROR(IF(ISNUMBER(OFFSET('EDP Proyectado'!AK67,0,-'Ingreso Proyectado_Edu'!$P67))&lt;&gt;0,IF(OFFSET('EDP Proyectado'!AK67,0,-'Ingreso Proyectado_Edu'!$P67)+0&lt;=1,0,OFFSET('EDP Proyectado'!AK67,0,-'Ingreso Proyectado_Edu'!$P67)+0)),0)</f>
        <v>0</v>
      </c>
      <c r="AK67" s="169">
        <f ca="1">+IFERROR(IF(ISNUMBER(OFFSET('EDP Proyectado'!AL67,0,-'Ingreso Proyectado_Edu'!$P67))&lt;&gt;0,IF(OFFSET('EDP Proyectado'!AL67,0,-'Ingreso Proyectado_Edu'!$P67)+0&lt;=1,0,OFFSET('EDP Proyectado'!AL67,0,-'Ingreso Proyectado_Edu'!$P67)+0)),0)</f>
        <v>0</v>
      </c>
      <c r="AL67" s="169">
        <f ca="1">+IFERROR(IF(ISNUMBER(OFFSET('EDP Proyectado'!AM67,0,-'Ingreso Proyectado_Edu'!$P67))&lt;&gt;0,IF(OFFSET('EDP Proyectado'!AM67,0,-'Ingreso Proyectado_Edu'!$P67)+0&lt;=1,0,OFFSET('EDP Proyectado'!AM67,0,-'Ingreso Proyectado_Edu'!$P67)+0)),0)</f>
        <v>0</v>
      </c>
      <c r="AM67" s="169">
        <f ca="1">+IFERROR(IF(ISNUMBER(OFFSET('EDP Proyectado'!AN67,0,-'Ingreso Proyectado_Edu'!$P67))&lt;&gt;0,IF(OFFSET('EDP Proyectado'!AN67,0,-'Ingreso Proyectado_Edu'!$P67)+0&lt;=1,0,OFFSET('EDP Proyectado'!AN67,0,-'Ingreso Proyectado_Edu'!$P67)+0)),0)</f>
        <v>0</v>
      </c>
      <c r="AN67" s="169">
        <f ca="1">+IFERROR(IF(ISNUMBER(OFFSET('EDP Proyectado'!AO67,0,-'Ingreso Proyectado_Edu'!$P67))&lt;&gt;0,IF(OFFSET('EDP Proyectado'!AO67,0,-'Ingreso Proyectado_Edu'!$P67)+0&lt;=1,0,OFFSET('EDP Proyectado'!AO67,0,-'Ingreso Proyectado_Edu'!$P67)+0)),0)</f>
        <v>0</v>
      </c>
      <c r="AO67" s="169">
        <f ca="1">+IFERROR(IF(ISNUMBER(OFFSET('EDP Proyectado'!AP67,0,-'Ingreso Proyectado_Edu'!$P67))&lt;&gt;0,IF(OFFSET('EDP Proyectado'!AP67,0,-'Ingreso Proyectado_Edu'!$P67)+0&lt;=1,0,OFFSET('EDP Proyectado'!AP67,0,-'Ingreso Proyectado_Edu'!$P67)+0)),0)</f>
        <v>0</v>
      </c>
      <c r="AP67" s="170">
        <f ca="1">+IFERROR(IF(ISNUMBER(OFFSET('EDP Proyectado'!AQ67,0,-'Ingreso Proyectado_Edu'!$P67))&lt;&gt;0,IF(OFFSET('EDP Proyectado'!AQ67,0,-'Ingreso Proyectado_Edu'!$P67)+0&lt;=1,0,OFFSET('EDP Proyectado'!AQ67,0,-'Ingreso Proyectado_Edu'!$P67)+0)),0)</f>
        <v>0</v>
      </c>
    </row>
    <row r="68" spans="3:42" x14ac:dyDescent="0.2">
      <c r="C68" s="117">
        <f>+'Gantt Proyectos'!C136</f>
        <v>40</v>
      </c>
      <c r="D68" s="145" t="str">
        <f>+'Gantt Proyectos'!D136</f>
        <v>Servicio de Modelamiento Geotécnico Botaderos Parca</v>
      </c>
      <c r="E68" s="145" t="str">
        <f>+'Gantt Proyectos'!E136</f>
        <v>BHP</v>
      </c>
      <c r="F68" s="147" t="str">
        <f>+'Gantt Proyectos'!F136</f>
        <v>Chile</v>
      </c>
      <c r="G68" s="118" t="str">
        <f>+'Gantt Proyectos'!G136</f>
        <v>Chile</v>
      </c>
      <c r="H68" s="118" t="str">
        <f>+'Gantt Proyectos'!H136</f>
        <v>Perú</v>
      </c>
      <c r="I68" s="189">
        <v>0.5</v>
      </c>
      <c r="J68" s="189">
        <f t="shared" si="8"/>
        <v>0.5</v>
      </c>
      <c r="K68" s="118" t="str">
        <f>+'Gantt Proyectos'!I136</f>
        <v>Geomecánica</v>
      </c>
      <c r="L68" s="120">
        <f>+'Gantt Proyectos'!J136</f>
        <v>0</v>
      </c>
      <c r="M68" s="145" t="str">
        <f>+'Gantt Proyectos'!K136</f>
        <v>RM</v>
      </c>
      <c r="N68" s="460">
        <f>+'Gantt Proyectos'!L136</f>
        <v>300000</v>
      </c>
      <c r="O68" s="460">
        <f>+'Gantt Proyectos'!M136</f>
        <v>300000</v>
      </c>
      <c r="P68" s="145">
        <f>+'Gantt Proyectos'!N136</f>
        <v>2</v>
      </c>
      <c r="Q68" s="119">
        <f>+'Gantt Proyectos'!O136</f>
        <v>45809</v>
      </c>
      <c r="R68" s="119">
        <f>+'Gantt Proyectos'!P136</f>
        <v>45950</v>
      </c>
      <c r="S68" s="145" t="str">
        <f>+'Gantt Proyectos'!R136</f>
        <v>No</v>
      </c>
      <c r="T68" s="118">
        <f>+'Gantt Proyectos'!S136</f>
        <v>0</v>
      </c>
      <c r="U68" s="156">
        <f>+'Gantt Proyectos'!T136</f>
        <v>45809</v>
      </c>
      <c r="V68" s="156">
        <f>+'Gantt Proyectos'!U136</f>
        <v>45950</v>
      </c>
      <c r="W68" s="201">
        <f t="shared" si="9"/>
        <v>5</v>
      </c>
      <c r="X68" s="121">
        <f>+'Gantt Proyectos'!W136</f>
        <v>0</v>
      </c>
      <c r="Y68" s="122">
        <f>+'Gantt Proyectos'!X136</f>
        <v>0</v>
      </c>
      <c r="Z68" s="122">
        <f>+'Gantt Proyectos'!Y136</f>
        <v>0</v>
      </c>
      <c r="AA68" s="122">
        <f>+'Gantt Proyectos'!Z136</f>
        <v>0</v>
      </c>
      <c r="AB68" s="122">
        <f>+'Gantt Proyectos'!AA136</f>
        <v>0</v>
      </c>
      <c r="AC68" s="122">
        <f>+'Gantt Proyectos'!AB136</f>
        <v>0</v>
      </c>
      <c r="AD68" s="152" t="str">
        <f>+'Gantt Proyectos'!AC136</f>
        <v>FS e Ing. Basica</v>
      </c>
      <c r="AE68" s="123" t="str">
        <f>+'Gantt Proyectos'!AD136</f>
        <v>No Asignado</v>
      </c>
      <c r="AF68" s="124" t="str">
        <f>+'Gantt Proyectos'!AE136</f>
        <v>1. Proyectado: No  Asignado</v>
      </c>
      <c r="AG68" s="172">
        <v>1</v>
      </c>
      <c r="AH68" s="169">
        <f ca="1">+IFERROR(IF(ISNUMBER(OFFSET('EDP Proyectado'!AI68,0,-'Ingreso Proyectado_Edu'!$P68))&lt;&gt;0,IF(OFFSET('EDP Proyectado'!AI68,0,-'Ingreso Proyectado_Edu'!$P68)+0&lt;=1,0,OFFSET('EDP Proyectado'!AI68,0,-'Ingreso Proyectado_Edu'!$P68)+0)),0)</f>
        <v>0</v>
      </c>
      <c r="AI68" s="169">
        <f ca="1">+IFERROR(IF(ISNUMBER(OFFSET('EDP Proyectado'!AJ68,0,-'Ingreso Proyectado_Edu'!$P68))&lt;&gt;0,IF(OFFSET('EDP Proyectado'!AJ68,0,-'Ingreso Proyectado_Edu'!$P68)+0&lt;=1,0,OFFSET('EDP Proyectado'!AJ68,0,-'Ingreso Proyectado_Edu'!$P68)+0)),0)</f>
        <v>0</v>
      </c>
      <c r="AJ68" s="169">
        <f ca="1">+IFERROR(IF(ISNUMBER(OFFSET('EDP Proyectado'!AK68,0,-'Ingreso Proyectado_Edu'!$P68))&lt;&gt;0,IF(OFFSET('EDP Proyectado'!AK68,0,-'Ingreso Proyectado_Edu'!$P68)+0&lt;=1,0,OFFSET('EDP Proyectado'!AK68,0,-'Ingreso Proyectado_Edu'!$P68)+0)),0)</f>
        <v>0</v>
      </c>
      <c r="AK68" s="169">
        <f ca="1">+IFERROR(IF(ISNUMBER(OFFSET('EDP Proyectado'!AL68,0,-'Ingreso Proyectado_Edu'!$P68))&lt;&gt;0,IF(OFFSET('EDP Proyectado'!AL68,0,-'Ingreso Proyectado_Edu'!$P68)+0&lt;=1,0,OFFSET('EDP Proyectado'!AL68,0,-'Ingreso Proyectado_Edu'!$P68)+0)),0)</f>
        <v>0</v>
      </c>
      <c r="AL68" s="169">
        <f ca="1">+IFERROR(IF(ISNUMBER(OFFSET('EDP Proyectado'!AM68,0,-'Ingreso Proyectado_Edu'!$P68))&lt;&gt;0,IF(OFFSET('EDP Proyectado'!AM68,0,-'Ingreso Proyectado_Edu'!$P68)+0&lt;=1,0,OFFSET('EDP Proyectado'!AM68,0,-'Ingreso Proyectado_Edu'!$P68)+0)),0)</f>
        <v>0</v>
      </c>
      <c r="AM68" s="169">
        <f ca="1">+IFERROR(IF(ISNUMBER(OFFSET('EDP Proyectado'!AN68,0,-'Ingreso Proyectado_Edu'!$P68))&lt;&gt;0,IF(OFFSET('EDP Proyectado'!AN68,0,-'Ingreso Proyectado_Edu'!$P68)+0&lt;=1,0,OFFSET('EDP Proyectado'!AN68,0,-'Ingreso Proyectado_Edu'!$P68)+0)),0)</f>
        <v>0</v>
      </c>
      <c r="AN68" s="169">
        <f ca="1">+IFERROR(IF(ISNUMBER(OFFSET('EDP Proyectado'!AO68,0,-'Ingreso Proyectado_Edu'!$P68))&lt;&gt;0,IF(OFFSET('EDP Proyectado'!AO68,0,-'Ingreso Proyectado_Edu'!$P68)+0&lt;=1,0,OFFSET('EDP Proyectado'!AO68,0,-'Ingreso Proyectado_Edu'!$P68)+0)),0)</f>
        <v>0</v>
      </c>
      <c r="AO68" s="169">
        <f ca="1">+IFERROR(IF(ISNUMBER(OFFSET('EDP Proyectado'!AP68,0,-'Ingreso Proyectado_Edu'!$P68))&lt;&gt;0,IF(OFFSET('EDP Proyectado'!AP68,0,-'Ingreso Proyectado_Edu'!$P68)+0&lt;=1,0,OFFSET('EDP Proyectado'!AP68,0,-'Ingreso Proyectado_Edu'!$P68)+0)),0)</f>
        <v>0</v>
      </c>
      <c r="AP68" s="170">
        <f ca="1">+IFERROR(IF(ISNUMBER(OFFSET('EDP Proyectado'!AQ68,0,-'Ingreso Proyectado_Edu'!$P68))&lt;&gt;0,IF(OFFSET('EDP Proyectado'!AQ68,0,-'Ingreso Proyectado_Edu'!$P68)+0&lt;=1,0,OFFSET('EDP Proyectado'!AQ68,0,-'Ingreso Proyectado_Edu'!$P68)+0)),0)</f>
        <v>0</v>
      </c>
    </row>
    <row r="69" spans="3:42" x14ac:dyDescent="0.2">
      <c r="C69" s="117">
        <f>+'Gantt Proyectos'!C137</f>
        <v>41</v>
      </c>
      <c r="D69" s="145" t="str">
        <f>+'Gantt Proyectos'!D137</f>
        <v>Evaluación de cumplimiento de planes de corto plazo</v>
      </c>
      <c r="E69" s="145" t="str">
        <f>+'Gantt Proyectos'!E137</f>
        <v>Antamina</v>
      </c>
      <c r="F69" s="147" t="str">
        <f>+'Gantt Proyectos'!F137</f>
        <v>Perú</v>
      </c>
      <c r="G69" s="118" t="str">
        <f>+'Gantt Proyectos'!G137</f>
        <v>Perú</v>
      </c>
      <c r="H69" s="118" t="str">
        <f>+'Gantt Proyectos'!H137</f>
        <v>Chile</v>
      </c>
      <c r="I69" s="189">
        <v>0.5</v>
      </c>
      <c r="J69" s="189">
        <f t="shared" si="8"/>
        <v>0.5</v>
      </c>
      <c r="K69" s="118" t="str">
        <f>+'Gantt Proyectos'!I137</f>
        <v>Open Pit</v>
      </c>
      <c r="L69" s="120">
        <f>+'Gantt Proyectos'!J137</f>
        <v>1</v>
      </c>
      <c r="M69" s="145" t="str">
        <f>+'Gantt Proyectos'!K137</f>
        <v>FR</v>
      </c>
      <c r="N69" s="460">
        <f>+'Gantt Proyectos'!L137</f>
        <v>180000</v>
      </c>
      <c r="O69" s="460">
        <f>+'Gantt Proyectos'!M137</f>
        <v>180000</v>
      </c>
      <c r="P69" s="145">
        <f>+'Gantt Proyectos'!N137</f>
        <v>2</v>
      </c>
      <c r="Q69" s="119">
        <f>+'Gantt Proyectos'!O137</f>
        <v>45839</v>
      </c>
      <c r="R69" s="119">
        <f>+'Gantt Proyectos'!P137</f>
        <v>45931</v>
      </c>
      <c r="S69" s="145" t="str">
        <f>+'Gantt Proyectos'!R137</f>
        <v>No</v>
      </c>
      <c r="T69" s="118">
        <f>+'Gantt Proyectos'!S137</f>
        <v>0</v>
      </c>
      <c r="U69" s="156">
        <f>+'Gantt Proyectos'!T137</f>
        <v>45839</v>
      </c>
      <c r="V69" s="156">
        <f>+'Gantt Proyectos'!U137</f>
        <v>45931</v>
      </c>
      <c r="W69" s="201">
        <f t="shared" si="9"/>
        <v>4</v>
      </c>
      <c r="X69" s="121">
        <f>+'Gantt Proyectos'!W137</f>
        <v>0.05</v>
      </c>
      <c r="Y69" s="122">
        <f>+'Gantt Proyectos'!X137</f>
        <v>0.33</v>
      </c>
      <c r="Z69" s="122">
        <f>+'Gantt Proyectos'!Y137</f>
        <v>0.5</v>
      </c>
      <c r="AA69" s="122">
        <f>+'Gantt Proyectos'!Z137</f>
        <v>0.33</v>
      </c>
      <c r="AB69" s="122">
        <f>+'Gantt Proyectos'!AA137</f>
        <v>1</v>
      </c>
      <c r="AC69" s="122">
        <f>+'Gantt Proyectos'!AB137</f>
        <v>0</v>
      </c>
      <c r="AD69" s="152" t="str">
        <f>+'Gantt Proyectos'!AC137</f>
        <v>Consultoria y Due Dilligence</v>
      </c>
      <c r="AE69" s="123" t="str">
        <f>+'Gantt Proyectos'!AD137</f>
        <v>No Asignado</v>
      </c>
      <c r="AF69" s="124" t="str">
        <f>+'Gantt Proyectos'!AE137</f>
        <v>1. Proyectado: No  Asignado</v>
      </c>
      <c r="AG69" s="172">
        <v>1</v>
      </c>
      <c r="AH69" s="169">
        <f ca="1">+IFERROR(IF(ISNUMBER(OFFSET('EDP Proyectado'!AI69,0,-'Ingreso Proyectado_Edu'!$P69))&lt;&gt;0,IF(OFFSET('EDP Proyectado'!AI69,0,-'Ingreso Proyectado_Edu'!$P69)+0&lt;=1,0,OFFSET('EDP Proyectado'!AI69,0,-'Ingreso Proyectado_Edu'!$P69)+0)),0)</f>
        <v>0</v>
      </c>
      <c r="AI69" s="169">
        <f ca="1">+IFERROR(IF(ISNUMBER(OFFSET('EDP Proyectado'!AJ69,0,-'Ingreso Proyectado_Edu'!$P69))&lt;&gt;0,IF(OFFSET('EDP Proyectado'!AJ69,0,-'Ingreso Proyectado_Edu'!$P69)+0&lt;=1,0,OFFSET('EDP Proyectado'!AJ69,0,-'Ingreso Proyectado_Edu'!$P69)+0)),0)</f>
        <v>0</v>
      </c>
      <c r="AJ69" s="169">
        <f ca="1">+IFERROR(IF(ISNUMBER(OFFSET('EDP Proyectado'!AK69,0,-'Ingreso Proyectado_Edu'!$P69))&lt;&gt;0,IF(OFFSET('EDP Proyectado'!AK69,0,-'Ingreso Proyectado_Edu'!$P69)+0&lt;=1,0,OFFSET('EDP Proyectado'!AK69,0,-'Ingreso Proyectado_Edu'!$P69)+0)),0)</f>
        <v>0</v>
      </c>
      <c r="AK69" s="169">
        <f ca="1">+IFERROR(IF(ISNUMBER(OFFSET('EDP Proyectado'!AL69,0,-'Ingreso Proyectado_Edu'!$P69))&lt;&gt;0,IF(OFFSET('EDP Proyectado'!AL69,0,-'Ingreso Proyectado_Edu'!$P69)+0&lt;=1,0,OFFSET('EDP Proyectado'!AL69,0,-'Ingreso Proyectado_Edu'!$P69)+0)),0)</f>
        <v>0</v>
      </c>
      <c r="AL69" s="169">
        <f ca="1">+IFERROR(IF(ISNUMBER(OFFSET('EDP Proyectado'!AM69,0,-'Ingreso Proyectado_Edu'!$P69))&lt;&gt;0,IF(OFFSET('EDP Proyectado'!AM69,0,-'Ingreso Proyectado_Edu'!$P69)+0&lt;=1,0,OFFSET('EDP Proyectado'!AM69,0,-'Ingreso Proyectado_Edu'!$P69)+0)),0)</f>
        <v>0</v>
      </c>
      <c r="AM69" s="169">
        <f ca="1">+IFERROR(IF(ISNUMBER(OFFSET('EDP Proyectado'!AN69,0,-'Ingreso Proyectado_Edu'!$P69))&lt;&gt;0,IF(OFFSET('EDP Proyectado'!AN69,0,-'Ingreso Proyectado_Edu'!$P69)+0&lt;=1,0,OFFSET('EDP Proyectado'!AN69,0,-'Ingreso Proyectado_Edu'!$P69)+0)),0)</f>
        <v>2250</v>
      </c>
      <c r="AN69" s="169">
        <f ca="1">+IFERROR(IF(ISNUMBER(OFFSET('EDP Proyectado'!AO69,0,-'Ingreso Proyectado_Edu'!$P69))&lt;&gt;0,IF(OFFSET('EDP Proyectado'!AO69,0,-'Ingreso Proyectado_Edu'!$P69)+0&lt;=1,0,OFFSET('EDP Proyectado'!AO69,0,-'Ingreso Proyectado_Edu'!$P69)+0)),0)</f>
        <v>2250</v>
      </c>
      <c r="AO69" s="169">
        <f ca="1">+IFERROR(IF(ISNUMBER(OFFSET('EDP Proyectado'!AP69,0,-'Ingreso Proyectado_Edu'!$P69))&lt;&gt;0,IF(OFFSET('EDP Proyectado'!AP69,0,-'Ingreso Proyectado_Edu'!$P69)+0&lt;=1,0,OFFSET('EDP Proyectado'!AP69,0,-'Ingreso Proyectado_Edu'!$P69)+0)),0)</f>
        <v>2250</v>
      </c>
      <c r="AP69" s="170">
        <f ca="1">+IFERROR(IF(ISNUMBER(OFFSET('EDP Proyectado'!AQ69,0,-'Ingreso Proyectado_Edu'!$P69))&lt;&gt;0,IF(OFFSET('EDP Proyectado'!AQ69,0,-'Ingreso Proyectado_Edu'!$P69)+0&lt;=1,0,OFFSET('EDP Proyectado'!AQ69,0,-'Ingreso Proyectado_Edu'!$P69)+0)),0)</f>
        <v>0</v>
      </c>
    </row>
    <row r="70" spans="3:42" x14ac:dyDescent="0.2">
      <c r="C70" s="117">
        <f>+'Gantt Proyectos'!C138</f>
        <v>42</v>
      </c>
      <c r="D70" s="145" t="str">
        <f>+'Gantt Proyectos'!D138</f>
        <v xml:space="preserve"> Actualización del Estudio Geomecánico</v>
      </c>
      <c r="E70" s="145" t="str">
        <f>+'Gantt Proyectos'!E138</f>
        <v>Nexa</v>
      </c>
      <c r="F70" s="147" t="str">
        <f>+'Gantt Proyectos'!F138</f>
        <v>Perú</v>
      </c>
      <c r="G70" s="118" t="str">
        <f>+'Gantt Proyectos'!G138</f>
        <v>Chile</v>
      </c>
      <c r="H70" s="118" t="str">
        <f>+'Gantt Proyectos'!H138</f>
        <v>Perú</v>
      </c>
      <c r="I70" s="189">
        <v>0.5</v>
      </c>
      <c r="J70" s="189">
        <f t="shared" si="8"/>
        <v>0.5</v>
      </c>
      <c r="K70" s="118" t="str">
        <f>+'Gantt Proyectos'!I138</f>
        <v>Geomecánica</v>
      </c>
      <c r="L70" s="120">
        <f>+'Gantt Proyectos'!J138</f>
        <v>0</v>
      </c>
      <c r="M70" s="145" t="str">
        <f>+'Gantt Proyectos'!K138</f>
        <v>CH</v>
      </c>
      <c r="N70" s="460">
        <f>+'Gantt Proyectos'!L138</f>
        <v>120000</v>
      </c>
      <c r="O70" s="460">
        <f>+'Gantt Proyectos'!M138</f>
        <v>120000</v>
      </c>
      <c r="P70" s="145">
        <f>+'Gantt Proyectos'!N138</f>
        <v>2</v>
      </c>
      <c r="Q70" s="119">
        <f>+'Gantt Proyectos'!O138</f>
        <v>45809</v>
      </c>
      <c r="R70" s="119">
        <f>+'Gantt Proyectos'!P138</f>
        <v>45901</v>
      </c>
      <c r="S70" s="145" t="str">
        <f>+'Gantt Proyectos'!R138</f>
        <v>No</v>
      </c>
      <c r="T70" s="118">
        <f>+'Gantt Proyectos'!S138</f>
        <v>0</v>
      </c>
      <c r="U70" s="156">
        <f>+'Gantt Proyectos'!T138</f>
        <v>45809</v>
      </c>
      <c r="V70" s="156">
        <f>+'Gantt Proyectos'!U138</f>
        <v>45901</v>
      </c>
      <c r="W70" s="201">
        <f t="shared" si="9"/>
        <v>4</v>
      </c>
      <c r="X70" s="121">
        <f>+'Gantt Proyectos'!W138</f>
        <v>0</v>
      </c>
      <c r="Y70" s="122">
        <f>+'Gantt Proyectos'!X138</f>
        <v>0</v>
      </c>
      <c r="Z70" s="122">
        <f>+'Gantt Proyectos'!Y138</f>
        <v>0</v>
      </c>
      <c r="AA70" s="122">
        <f>+'Gantt Proyectos'!Z138</f>
        <v>0</v>
      </c>
      <c r="AB70" s="122">
        <f>+'Gantt Proyectos'!AA138</f>
        <v>0</v>
      </c>
      <c r="AC70" s="122">
        <f>+'Gantt Proyectos'!AB138</f>
        <v>0</v>
      </c>
      <c r="AD70" s="152" t="str">
        <f>+'Gantt Proyectos'!AC138</f>
        <v>Consultoria y Due Dilligence</v>
      </c>
      <c r="AE70" s="123" t="str">
        <f>+'Gantt Proyectos'!AD138</f>
        <v>No Asignado</v>
      </c>
      <c r="AF70" s="124" t="str">
        <f>+'Gantt Proyectos'!AE138</f>
        <v>1. Proyectado: No  Asignado</v>
      </c>
      <c r="AG70" s="172">
        <v>1</v>
      </c>
      <c r="AH70" s="169">
        <f ca="1">+IFERROR(IF(ISNUMBER(OFFSET('EDP Proyectado'!AI70,0,-'Ingreso Proyectado_Edu'!$P70))&lt;&gt;0,IF(OFFSET('EDP Proyectado'!AI70,0,-'Ingreso Proyectado_Edu'!$P70)+0&lt;=1,0,OFFSET('EDP Proyectado'!AI70,0,-'Ingreso Proyectado_Edu'!$P70)+0)),0)</f>
        <v>0</v>
      </c>
      <c r="AI70" s="169">
        <f ca="1">+IFERROR(IF(ISNUMBER(OFFSET('EDP Proyectado'!AJ70,0,-'Ingreso Proyectado_Edu'!$P70))&lt;&gt;0,IF(OFFSET('EDP Proyectado'!AJ70,0,-'Ingreso Proyectado_Edu'!$P70)+0&lt;=1,0,OFFSET('EDP Proyectado'!AJ70,0,-'Ingreso Proyectado_Edu'!$P70)+0)),0)</f>
        <v>0</v>
      </c>
      <c r="AJ70" s="169">
        <f ca="1">+IFERROR(IF(ISNUMBER(OFFSET('EDP Proyectado'!AK70,0,-'Ingreso Proyectado_Edu'!$P70))&lt;&gt;0,IF(OFFSET('EDP Proyectado'!AK70,0,-'Ingreso Proyectado_Edu'!$P70)+0&lt;=1,0,OFFSET('EDP Proyectado'!AK70,0,-'Ingreso Proyectado_Edu'!$P70)+0)),0)</f>
        <v>0</v>
      </c>
      <c r="AK70" s="169">
        <f ca="1">+IFERROR(IF(ISNUMBER(OFFSET('EDP Proyectado'!AL70,0,-'Ingreso Proyectado_Edu'!$P70))&lt;&gt;0,IF(OFFSET('EDP Proyectado'!AL70,0,-'Ingreso Proyectado_Edu'!$P70)+0&lt;=1,0,OFFSET('EDP Proyectado'!AL70,0,-'Ingreso Proyectado_Edu'!$P70)+0)),0)</f>
        <v>0</v>
      </c>
      <c r="AL70" s="169">
        <f ca="1">+IFERROR(IF(ISNUMBER(OFFSET('EDP Proyectado'!AM70,0,-'Ingreso Proyectado_Edu'!$P70))&lt;&gt;0,IF(OFFSET('EDP Proyectado'!AM70,0,-'Ingreso Proyectado_Edu'!$P70)+0&lt;=1,0,OFFSET('EDP Proyectado'!AM70,0,-'Ingreso Proyectado_Edu'!$P70)+0)),0)</f>
        <v>0</v>
      </c>
      <c r="AM70" s="169">
        <f ca="1">+IFERROR(IF(ISNUMBER(OFFSET('EDP Proyectado'!AN70,0,-'Ingreso Proyectado_Edu'!$P70))&lt;&gt;0,IF(OFFSET('EDP Proyectado'!AN70,0,-'Ingreso Proyectado_Edu'!$P70)+0&lt;=1,0,OFFSET('EDP Proyectado'!AN70,0,-'Ingreso Proyectado_Edu'!$P70)+0)),0)</f>
        <v>0</v>
      </c>
      <c r="AN70" s="169">
        <f ca="1">+IFERROR(IF(ISNUMBER(OFFSET('EDP Proyectado'!AO70,0,-'Ingreso Proyectado_Edu'!$P70))&lt;&gt;0,IF(OFFSET('EDP Proyectado'!AO70,0,-'Ingreso Proyectado_Edu'!$P70)+0&lt;=1,0,OFFSET('EDP Proyectado'!AO70,0,-'Ingreso Proyectado_Edu'!$P70)+0)),0)</f>
        <v>0</v>
      </c>
      <c r="AO70" s="169">
        <f ca="1">+IFERROR(IF(ISNUMBER(OFFSET('EDP Proyectado'!AP70,0,-'Ingreso Proyectado_Edu'!$P70))&lt;&gt;0,IF(OFFSET('EDP Proyectado'!AP70,0,-'Ingreso Proyectado_Edu'!$P70)+0&lt;=1,0,OFFSET('EDP Proyectado'!AP70,0,-'Ingreso Proyectado_Edu'!$P70)+0)),0)</f>
        <v>0</v>
      </c>
      <c r="AP70" s="170">
        <f ca="1">+IFERROR(IF(ISNUMBER(OFFSET('EDP Proyectado'!AQ70,0,-'Ingreso Proyectado_Edu'!$P70))&lt;&gt;0,IF(OFFSET('EDP Proyectado'!AQ70,0,-'Ingreso Proyectado_Edu'!$P70)+0&lt;=1,0,OFFSET('EDP Proyectado'!AQ70,0,-'Ingreso Proyectado_Edu'!$P70)+0)),0)</f>
        <v>0</v>
      </c>
    </row>
    <row r="71" spans="3:42" x14ac:dyDescent="0.2">
      <c r="C71" s="117">
        <f>+'Gantt Proyectos'!C139</f>
        <v>43</v>
      </c>
      <c r="D71" s="145" t="str">
        <f>+'Gantt Proyectos'!D139</f>
        <v>Ing detalle infraestructura Mina</v>
      </c>
      <c r="E71" s="145" t="str">
        <f>+'Gantt Proyectos'!E139</f>
        <v>BR Nickel</v>
      </c>
      <c r="F71" s="147" t="str">
        <f>+'Gantt Proyectos'!F139</f>
        <v>Brasil</v>
      </c>
      <c r="G71" s="118" t="str">
        <f>+'Gantt Proyectos'!G139</f>
        <v>Chile</v>
      </c>
      <c r="H71" s="118">
        <f>+'Gantt Proyectos'!H139</f>
        <v>0</v>
      </c>
      <c r="I71" s="189">
        <v>1</v>
      </c>
      <c r="J71" s="189">
        <f t="shared" si="8"/>
        <v>0</v>
      </c>
      <c r="K71" s="118" t="str">
        <f>+'Gantt Proyectos'!I139</f>
        <v>Open Pit</v>
      </c>
      <c r="L71" s="120">
        <f>+'Gantt Proyectos'!J139</f>
        <v>0</v>
      </c>
      <c r="M71" s="145" t="str">
        <f>+'Gantt Proyectos'!K139</f>
        <v>RM</v>
      </c>
      <c r="N71" s="460">
        <f>+'Gantt Proyectos'!L139</f>
        <v>700000</v>
      </c>
      <c r="O71" s="460">
        <f>+'Gantt Proyectos'!M139</f>
        <v>700000</v>
      </c>
      <c r="P71" s="145">
        <f>+'Gantt Proyectos'!N139</f>
        <v>2</v>
      </c>
      <c r="Q71" s="119">
        <f>+'Gantt Proyectos'!O139</f>
        <v>45809</v>
      </c>
      <c r="R71" s="119">
        <f>+'Gantt Proyectos'!P139</f>
        <v>46357</v>
      </c>
      <c r="S71" s="145" t="str">
        <f>+'Gantt Proyectos'!R139</f>
        <v>No</v>
      </c>
      <c r="T71" s="118">
        <f>+'Gantt Proyectos'!S139</f>
        <v>0</v>
      </c>
      <c r="U71" s="156">
        <f>+'Gantt Proyectos'!T139</f>
        <v>45809</v>
      </c>
      <c r="V71" s="156">
        <f>+'Gantt Proyectos'!U139</f>
        <v>46357</v>
      </c>
      <c r="W71" s="201">
        <f t="shared" si="9"/>
        <v>18</v>
      </c>
      <c r="X71" s="121">
        <f>+'Gantt Proyectos'!W139</f>
        <v>0</v>
      </c>
      <c r="Y71" s="122">
        <f>+'Gantt Proyectos'!X139</f>
        <v>0</v>
      </c>
      <c r="Z71" s="122">
        <f>+'Gantt Proyectos'!Y139</f>
        <v>0</v>
      </c>
      <c r="AA71" s="122">
        <f>+'Gantt Proyectos'!Z139</f>
        <v>0</v>
      </c>
      <c r="AB71" s="122">
        <f>+'Gantt Proyectos'!AA139</f>
        <v>0</v>
      </c>
      <c r="AC71" s="122">
        <f>+'Gantt Proyectos'!AB139</f>
        <v>0</v>
      </c>
      <c r="AD71" s="152" t="str">
        <f>+'Gantt Proyectos'!AC139</f>
        <v>FS e Ing. Basica</v>
      </c>
      <c r="AE71" s="123" t="str">
        <f>+'Gantt Proyectos'!AD139</f>
        <v>No Asignado</v>
      </c>
      <c r="AF71" s="124" t="str">
        <f>+'Gantt Proyectos'!AE139</f>
        <v>1. Proyectado: No  Asignado</v>
      </c>
      <c r="AG71" s="172">
        <v>1</v>
      </c>
      <c r="AH71" s="169">
        <f ca="1">+IFERROR(IF(ISNUMBER(OFFSET('EDP Proyectado'!AI71,0,-'Ingreso Proyectado_Edu'!$P71))&lt;&gt;0,IF(OFFSET('EDP Proyectado'!AI71,0,-'Ingreso Proyectado_Edu'!$P71)+0&lt;=1,0,OFFSET('EDP Proyectado'!AI71,0,-'Ingreso Proyectado_Edu'!$P71)+0)),0)</f>
        <v>0</v>
      </c>
      <c r="AI71" s="169">
        <f ca="1">+IFERROR(IF(ISNUMBER(OFFSET('EDP Proyectado'!AJ71,0,-'Ingreso Proyectado_Edu'!$P71))&lt;&gt;0,IF(OFFSET('EDP Proyectado'!AJ71,0,-'Ingreso Proyectado_Edu'!$P71)+0&lt;=1,0,OFFSET('EDP Proyectado'!AJ71,0,-'Ingreso Proyectado_Edu'!$P71)+0)),0)</f>
        <v>0</v>
      </c>
      <c r="AJ71" s="169">
        <f ca="1">+IFERROR(IF(ISNUMBER(OFFSET('EDP Proyectado'!AK71,0,-'Ingreso Proyectado_Edu'!$P71))&lt;&gt;0,IF(OFFSET('EDP Proyectado'!AK71,0,-'Ingreso Proyectado_Edu'!$P71)+0&lt;=1,0,OFFSET('EDP Proyectado'!AK71,0,-'Ingreso Proyectado_Edu'!$P71)+0)),0)</f>
        <v>0</v>
      </c>
      <c r="AK71" s="169">
        <f ca="1">+IFERROR(IF(ISNUMBER(OFFSET('EDP Proyectado'!AL71,0,-'Ingreso Proyectado_Edu'!$P71))&lt;&gt;0,IF(OFFSET('EDP Proyectado'!AL71,0,-'Ingreso Proyectado_Edu'!$P71)+0&lt;=1,0,OFFSET('EDP Proyectado'!AL71,0,-'Ingreso Proyectado_Edu'!$P71)+0)),0)</f>
        <v>0</v>
      </c>
      <c r="AL71" s="169">
        <f ca="1">+IFERROR(IF(ISNUMBER(OFFSET('EDP Proyectado'!AM71,0,-'Ingreso Proyectado_Edu'!$P71))&lt;&gt;0,IF(OFFSET('EDP Proyectado'!AM71,0,-'Ingreso Proyectado_Edu'!$P71)+0&lt;=1,0,OFFSET('EDP Proyectado'!AM71,0,-'Ingreso Proyectado_Edu'!$P71)+0)),0)</f>
        <v>0</v>
      </c>
      <c r="AM71" s="169">
        <f ca="1">+IFERROR(IF(ISNUMBER(OFFSET('EDP Proyectado'!AN71,0,-'Ingreso Proyectado_Edu'!$P71))&lt;&gt;0,IF(OFFSET('EDP Proyectado'!AN71,0,-'Ingreso Proyectado_Edu'!$P71)+0&lt;=1,0,OFFSET('EDP Proyectado'!AN71,0,-'Ingreso Proyectado_Edu'!$P71)+0)),0)</f>
        <v>0</v>
      </c>
      <c r="AN71" s="169">
        <f ca="1">+IFERROR(IF(ISNUMBER(OFFSET('EDP Proyectado'!AO71,0,-'Ingreso Proyectado_Edu'!$P71))&lt;&gt;0,IF(OFFSET('EDP Proyectado'!AO71,0,-'Ingreso Proyectado_Edu'!$P71)+0&lt;=1,0,OFFSET('EDP Proyectado'!AO71,0,-'Ingreso Proyectado_Edu'!$P71)+0)),0)</f>
        <v>0</v>
      </c>
      <c r="AO71" s="169">
        <f ca="1">+IFERROR(IF(ISNUMBER(OFFSET('EDP Proyectado'!AP71,0,-'Ingreso Proyectado_Edu'!$P71))&lt;&gt;0,IF(OFFSET('EDP Proyectado'!AP71,0,-'Ingreso Proyectado_Edu'!$P71)+0&lt;=1,0,OFFSET('EDP Proyectado'!AP71,0,-'Ingreso Proyectado_Edu'!$P71)+0)),0)</f>
        <v>0</v>
      </c>
      <c r="AP71" s="170">
        <f ca="1">+IFERROR(IF(ISNUMBER(OFFSET('EDP Proyectado'!AQ71,0,-'Ingreso Proyectado_Edu'!$P71))&lt;&gt;0,IF(OFFSET('EDP Proyectado'!AQ71,0,-'Ingreso Proyectado_Edu'!$P71)+0&lt;=1,0,OFFSET('EDP Proyectado'!AQ71,0,-'Ingreso Proyectado_Edu'!$P71)+0)),0)</f>
        <v>0</v>
      </c>
    </row>
    <row r="72" spans="3:42" x14ac:dyDescent="0.2">
      <c r="C72" s="117">
        <f>+'Gantt Proyectos'!C140</f>
        <v>44</v>
      </c>
      <c r="D72" s="145" t="str">
        <f>+'Gantt Proyectos'!D140</f>
        <v>Estudio Geomecánico de Interacción Block Caving – Chancado Primario</v>
      </c>
      <c r="E72" s="145" t="str">
        <f>+'Gantt Proyectos'!E140</f>
        <v>Nexa</v>
      </c>
      <c r="F72" s="147" t="str">
        <f>+'Gantt Proyectos'!F140</f>
        <v>Perú</v>
      </c>
      <c r="G72" s="118" t="str">
        <f>+'Gantt Proyectos'!G140</f>
        <v>Chile</v>
      </c>
      <c r="H72" s="118" t="str">
        <f>+'Gantt Proyectos'!H140</f>
        <v>Perú</v>
      </c>
      <c r="I72" s="189">
        <v>0.5</v>
      </c>
      <c r="J72" s="189">
        <f t="shared" si="8"/>
        <v>0.5</v>
      </c>
      <c r="K72" s="118" t="str">
        <f>+'Gantt Proyectos'!I140</f>
        <v>Geomecánica</v>
      </c>
      <c r="L72" s="120">
        <f>+'Gantt Proyectos'!J140</f>
        <v>0</v>
      </c>
      <c r="M72" s="145" t="str">
        <f>+'Gantt Proyectos'!K140</f>
        <v>CH</v>
      </c>
      <c r="N72" s="460">
        <f>+'Gantt Proyectos'!L140</f>
        <v>150000</v>
      </c>
      <c r="O72" s="460">
        <f>+'Gantt Proyectos'!M140</f>
        <v>150000</v>
      </c>
      <c r="P72" s="145">
        <f>+'Gantt Proyectos'!N140</f>
        <v>2</v>
      </c>
      <c r="Q72" s="119">
        <f>+'Gantt Proyectos'!O140</f>
        <v>45809</v>
      </c>
      <c r="R72" s="119">
        <f>+'Gantt Proyectos'!P140</f>
        <v>45901</v>
      </c>
      <c r="S72" s="145" t="str">
        <f>+'Gantt Proyectos'!R140</f>
        <v>No</v>
      </c>
      <c r="T72" s="118">
        <f>+'Gantt Proyectos'!S140</f>
        <v>0</v>
      </c>
      <c r="U72" s="156">
        <f>+'Gantt Proyectos'!T140</f>
        <v>45809</v>
      </c>
      <c r="V72" s="156">
        <f>+'Gantt Proyectos'!U140</f>
        <v>45901</v>
      </c>
      <c r="W72" s="201">
        <f t="shared" si="9"/>
        <v>4</v>
      </c>
      <c r="X72" s="121">
        <f>+'Gantt Proyectos'!W140</f>
        <v>0</v>
      </c>
      <c r="Y72" s="122">
        <f>+'Gantt Proyectos'!X140</f>
        <v>0</v>
      </c>
      <c r="Z72" s="122">
        <f>+'Gantt Proyectos'!Y140</f>
        <v>0</v>
      </c>
      <c r="AA72" s="122">
        <f>+'Gantt Proyectos'!Z140</f>
        <v>0</v>
      </c>
      <c r="AB72" s="122">
        <f>+'Gantt Proyectos'!AA140</f>
        <v>0</v>
      </c>
      <c r="AC72" s="122">
        <f>+'Gantt Proyectos'!AB140</f>
        <v>0</v>
      </c>
      <c r="AD72" s="152" t="str">
        <f>+'Gantt Proyectos'!AC140</f>
        <v>Consultoria y Due Dilligence</v>
      </c>
      <c r="AE72" s="123" t="str">
        <f>+'Gantt Proyectos'!AD140</f>
        <v>No Asignado</v>
      </c>
      <c r="AF72" s="124" t="str">
        <f>+'Gantt Proyectos'!AE140</f>
        <v>1. Proyectado: No  Asignado</v>
      </c>
      <c r="AG72" s="172">
        <v>1</v>
      </c>
      <c r="AH72" s="169">
        <f ca="1">+IFERROR(IF(ISNUMBER(OFFSET('EDP Proyectado'!AI72,0,-'Ingreso Proyectado_Edu'!$P72))&lt;&gt;0,IF(OFFSET('EDP Proyectado'!AI72,0,-'Ingreso Proyectado_Edu'!$P72)+0&lt;=1,0,OFFSET('EDP Proyectado'!AI72,0,-'Ingreso Proyectado_Edu'!$P72)+0)),0)</f>
        <v>0</v>
      </c>
      <c r="AI72" s="169">
        <f ca="1">+IFERROR(IF(ISNUMBER(OFFSET('EDP Proyectado'!AJ72,0,-'Ingreso Proyectado_Edu'!$P72))&lt;&gt;0,IF(OFFSET('EDP Proyectado'!AJ72,0,-'Ingreso Proyectado_Edu'!$P72)+0&lt;=1,0,OFFSET('EDP Proyectado'!AJ72,0,-'Ingreso Proyectado_Edu'!$P72)+0)),0)</f>
        <v>0</v>
      </c>
      <c r="AJ72" s="169">
        <f ca="1">+IFERROR(IF(ISNUMBER(OFFSET('EDP Proyectado'!AK72,0,-'Ingreso Proyectado_Edu'!$P72))&lt;&gt;0,IF(OFFSET('EDP Proyectado'!AK72,0,-'Ingreso Proyectado_Edu'!$P72)+0&lt;=1,0,OFFSET('EDP Proyectado'!AK72,0,-'Ingreso Proyectado_Edu'!$P72)+0)),0)</f>
        <v>0</v>
      </c>
      <c r="AK72" s="169">
        <f ca="1">+IFERROR(IF(ISNUMBER(OFFSET('EDP Proyectado'!AL72,0,-'Ingreso Proyectado_Edu'!$P72))&lt;&gt;0,IF(OFFSET('EDP Proyectado'!AL72,0,-'Ingreso Proyectado_Edu'!$P72)+0&lt;=1,0,OFFSET('EDP Proyectado'!AL72,0,-'Ingreso Proyectado_Edu'!$P72)+0)),0)</f>
        <v>0</v>
      </c>
      <c r="AL72" s="169">
        <f ca="1">+IFERROR(IF(ISNUMBER(OFFSET('EDP Proyectado'!AM72,0,-'Ingreso Proyectado_Edu'!$P72))&lt;&gt;0,IF(OFFSET('EDP Proyectado'!AM72,0,-'Ingreso Proyectado_Edu'!$P72)+0&lt;=1,0,OFFSET('EDP Proyectado'!AM72,0,-'Ingreso Proyectado_Edu'!$P72)+0)),0)</f>
        <v>0</v>
      </c>
      <c r="AM72" s="169">
        <f ca="1">+IFERROR(IF(ISNUMBER(OFFSET('EDP Proyectado'!AN72,0,-'Ingreso Proyectado_Edu'!$P72))&lt;&gt;0,IF(OFFSET('EDP Proyectado'!AN72,0,-'Ingreso Proyectado_Edu'!$P72)+0&lt;=1,0,OFFSET('EDP Proyectado'!AN72,0,-'Ingreso Proyectado_Edu'!$P72)+0)),0)</f>
        <v>0</v>
      </c>
      <c r="AN72" s="169">
        <f ca="1">+IFERROR(IF(ISNUMBER(OFFSET('EDP Proyectado'!AO72,0,-'Ingreso Proyectado_Edu'!$P72))&lt;&gt;0,IF(OFFSET('EDP Proyectado'!AO72,0,-'Ingreso Proyectado_Edu'!$P72)+0&lt;=1,0,OFFSET('EDP Proyectado'!AO72,0,-'Ingreso Proyectado_Edu'!$P72)+0)),0)</f>
        <v>0</v>
      </c>
      <c r="AO72" s="169">
        <f ca="1">+IFERROR(IF(ISNUMBER(OFFSET('EDP Proyectado'!AP72,0,-'Ingreso Proyectado_Edu'!$P72))&lt;&gt;0,IF(OFFSET('EDP Proyectado'!AP72,0,-'Ingreso Proyectado_Edu'!$P72)+0&lt;=1,0,OFFSET('EDP Proyectado'!AP72,0,-'Ingreso Proyectado_Edu'!$P72)+0)),0)</f>
        <v>0</v>
      </c>
      <c r="AP72" s="170">
        <f ca="1">+IFERROR(IF(ISNUMBER(OFFSET('EDP Proyectado'!AQ72,0,-'Ingreso Proyectado_Edu'!$P72))&lt;&gt;0,IF(OFFSET('EDP Proyectado'!AQ72,0,-'Ingreso Proyectado_Edu'!$P72)+0&lt;=1,0,OFFSET('EDP Proyectado'!AQ72,0,-'Ingreso Proyectado_Edu'!$P72)+0)),0)</f>
        <v>0</v>
      </c>
    </row>
    <row r="73" spans="3:42" x14ac:dyDescent="0.2">
      <c r="C73" s="117">
        <f>+'Gantt Proyectos'!C141</f>
        <v>45</v>
      </c>
      <c r="D73" s="145" t="str">
        <f>+'Gantt Proyectos'!D141</f>
        <v>Servicio de revisón independiente de infraestructura (relaves)</v>
      </c>
      <c r="E73" s="145" t="str">
        <f>+'Gantt Proyectos'!E141</f>
        <v>ERG</v>
      </c>
      <c r="F73" s="147" t="str">
        <f>+'Gantt Proyectos'!F141</f>
        <v>Brasil</v>
      </c>
      <c r="G73" s="118" t="str">
        <f>+'Gantt Proyectos'!G141</f>
        <v>Chile</v>
      </c>
      <c r="H73" s="118">
        <f>+'Gantt Proyectos'!H141</f>
        <v>0</v>
      </c>
      <c r="I73" s="189">
        <v>1</v>
      </c>
      <c r="J73" s="189">
        <f t="shared" si="8"/>
        <v>0</v>
      </c>
      <c r="K73" s="118" t="str">
        <f>+'Gantt Proyectos'!I141</f>
        <v>Open Pit</v>
      </c>
      <c r="L73" s="120">
        <f>+'Gantt Proyectos'!J141</f>
        <v>0</v>
      </c>
      <c r="M73" s="145" t="str">
        <f>+'Gantt Proyectos'!K141</f>
        <v>CH</v>
      </c>
      <c r="N73" s="460">
        <f>+'Gantt Proyectos'!L141</f>
        <v>490000</v>
      </c>
      <c r="O73" s="460">
        <f>+'Gantt Proyectos'!M141</f>
        <v>490000</v>
      </c>
      <c r="P73" s="145">
        <f>+'Gantt Proyectos'!N141</f>
        <v>2</v>
      </c>
      <c r="Q73" s="119">
        <f>+'Gantt Proyectos'!O141</f>
        <v>45809</v>
      </c>
      <c r="R73" s="119">
        <f>+'Gantt Proyectos'!P141</f>
        <v>46011</v>
      </c>
      <c r="S73" s="145" t="str">
        <f>+'Gantt Proyectos'!R141</f>
        <v>No</v>
      </c>
      <c r="T73" s="118">
        <f>+'Gantt Proyectos'!S141</f>
        <v>0</v>
      </c>
      <c r="U73" s="156">
        <f>+'Gantt Proyectos'!T141</f>
        <v>45809</v>
      </c>
      <c r="V73" s="156">
        <f>+'Gantt Proyectos'!U141</f>
        <v>46011</v>
      </c>
      <c r="W73" s="201">
        <f t="shared" si="9"/>
        <v>7</v>
      </c>
      <c r="X73" s="121">
        <f>+'Gantt Proyectos'!W141</f>
        <v>0</v>
      </c>
      <c r="Y73" s="122">
        <f>+'Gantt Proyectos'!X141</f>
        <v>0</v>
      </c>
      <c r="Z73" s="122">
        <f>+'Gantt Proyectos'!Y141</f>
        <v>0</v>
      </c>
      <c r="AA73" s="122">
        <f>+'Gantt Proyectos'!Z141</f>
        <v>0</v>
      </c>
      <c r="AB73" s="122">
        <f>+'Gantt Proyectos'!AA141</f>
        <v>0</v>
      </c>
      <c r="AC73" s="122">
        <f>+'Gantt Proyectos'!AB141</f>
        <v>0</v>
      </c>
      <c r="AD73" s="152" t="str">
        <f>+'Gantt Proyectos'!AC141</f>
        <v>Consultoria y Due Dilligence</v>
      </c>
      <c r="AE73" s="123" t="str">
        <f>+'Gantt Proyectos'!AD141</f>
        <v>No Asignado</v>
      </c>
      <c r="AF73" s="124" t="str">
        <f>+'Gantt Proyectos'!AE141</f>
        <v>1. Proyectado: No  Asignado</v>
      </c>
      <c r="AG73" s="172">
        <v>1</v>
      </c>
      <c r="AH73" s="169">
        <f ca="1">+IFERROR(IF(ISNUMBER(OFFSET('EDP Proyectado'!AI73,0,-'Ingreso Proyectado_Edu'!$P73))&lt;&gt;0,IF(OFFSET('EDP Proyectado'!AI73,0,-'Ingreso Proyectado_Edu'!$P73)+0&lt;=1,0,OFFSET('EDP Proyectado'!AI73,0,-'Ingreso Proyectado_Edu'!$P73)+0)),0)</f>
        <v>0</v>
      </c>
      <c r="AI73" s="169">
        <f ca="1">+IFERROR(IF(ISNUMBER(OFFSET('EDP Proyectado'!AJ73,0,-'Ingreso Proyectado_Edu'!$P73))&lt;&gt;0,IF(OFFSET('EDP Proyectado'!AJ73,0,-'Ingreso Proyectado_Edu'!$P73)+0&lt;=1,0,OFFSET('EDP Proyectado'!AJ73,0,-'Ingreso Proyectado_Edu'!$P73)+0)),0)</f>
        <v>0</v>
      </c>
      <c r="AJ73" s="169">
        <f ca="1">+IFERROR(IF(ISNUMBER(OFFSET('EDP Proyectado'!AK73,0,-'Ingreso Proyectado_Edu'!$P73))&lt;&gt;0,IF(OFFSET('EDP Proyectado'!AK73,0,-'Ingreso Proyectado_Edu'!$P73)+0&lt;=1,0,OFFSET('EDP Proyectado'!AK73,0,-'Ingreso Proyectado_Edu'!$P73)+0)),0)</f>
        <v>0</v>
      </c>
      <c r="AK73" s="169">
        <f ca="1">+IFERROR(IF(ISNUMBER(OFFSET('EDP Proyectado'!AL73,0,-'Ingreso Proyectado_Edu'!$P73))&lt;&gt;0,IF(OFFSET('EDP Proyectado'!AL73,0,-'Ingreso Proyectado_Edu'!$P73)+0&lt;=1,0,OFFSET('EDP Proyectado'!AL73,0,-'Ingreso Proyectado_Edu'!$P73)+0)),0)</f>
        <v>0</v>
      </c>
      <c r="AL73" s="169">
        <f ca="1">+IFERROR(IF(ISNUMBER(OFFSET('EDP Proyectado'!AM73,0,-'Ingreso Proyectado_Edu'!$P73))&lt;&gt;0,IF(OFFSET('EDP Proyectado'!AM73,0,-'Ingreso Proyectado_Edu'!$P73)+0&lt;=1,0,OFFSET('EDP Proyectado'!AM73,0,-'Ingreso Proyectado_Edu'!$P73)+0)),0)</f>
        <v>0</v>
      </c>
      <c r="AM73" s="169">
        <f ca="1">+IFERROR(IF(ISNUMBER(OFFSET('EDP Proyectado'!AN73,0,-'Ingreso Proyectado_Edu'!$P73))&lt;&gt;0,IF(OFFSET('EDP Proyectado'!AN73,0,-'Ingreso Proyectado_Edu'!$P73)+0&lt;=1,0,OFFSET('EDP Proyectado'!AN73,0,-'Ingreso Proyectado_Edu'!$P73)+0)),0)</f>
        <v>0</v>
      </c>
      <c r="AN73" s="169">
        <f ca="1">+IFERROR(IF(ISNUMBER(OFFSET('EDP Proyectado'!AO73,0,-'Ingreso Proyectado_Edu'!$P73))&lt;&gt;0,IF(OFFSET('EDP Proyectado'!AO73,0,-'Ingreso Proyectado_Edu'!$P73)+0&lt;=1,0,OFFSET('EDP Proyectado'!AO73,0,-'Ingreso Proyectado_Edu'!$P73)+0)),0)</f>
        <v>0</v>
      </c>
      <c r="AO73" s="169">
        <f ca="1">+IFERROR(IF(ISNUMBER(OFFSET('EDP Proyectado'!AP73,0,-'Ingreso Proyectado_Edu'!$P73))&lt;&gt;0,IF(OFFSET('EDP Proyectado'!AP73,0,-'Ingreso Proyectado_Edu'!$P73)+0&lt;=1,0,OFFSET('EDP Proyectado'!AP73,0,-'Ingreso Proyectado_Edu'!$P73)+0)),0)</f>
        <v>0</v>
      </c>
      <c r="AP73" s="170">
        <f ca="1">+IFERROR(IF(ISNUMBER(OFFSET('EDP Proyectado'!AQ73,0,-'Ingreso Proyectado_Edu'!$P73))&lt;&gt;0,IF(OFFSET('EDP Proyectado'!AQ73,0,-'Ingreso Proyectado_Edu'!$P73)+0&lt;=1,0,OFFSET('EDP Proyectado'!AQ73,0,-'Ingreso Proyectado_Edu'!$P73)+0)),0)</f>
        <v>0</v>
      </c>
    </row>
    <row r="74" spans="3:42" x14ac:dyDescent="0.2">
      <c r="C74" s="117">
        <f>+'Gantt Proyectos'!C142</f>
        <v>46</v>
      </c>
      <c r="D74" s="145" t="str">
        <f>+'Gantt Proyectos'!D142</f>
        <v>Rockhaven Klaza Project (PFS)</v>
      </c>
      <c r="E74" s="145" t="str">
        <f>+'Gantt Proyectos'!E142</f>
        <v>Rockhaven</v>
      </c>
      <c r="F74" s="147" t="str">
        <f>+'Gantt Proyectos'!F142</f>
        <v>USA</v>
      </c>
      <c r="G74" s="145" t="str">
        <f>+'Gantt Proyectos'!G142</f>
        <v>Chile</v>
      </c>
      <c r="H74" s="145" t="str">
        <f>+'Gantt Proyectos'!H142</f>
        <v>Perú</v>
      </c>
      <c r="I74" s="189">
        <v>1</v>
      </c>
      <c r="J74" s="189">
        <f t="shared" si="8"/>
        <v>0</v>
      </c>
      <c r="K74" s="145" t="str">
        <f>+'Gantt Proyectos'!I142</f>
        <v>Subterránea</v>
      </c>
      <c r="L74" s="120">
        <f>+'Gantt Proyectos'!J142</f>
        <v>0</v>
      </c>
      <c r="M74" s="145">
        <f>+'Gantt Proyectos'!K142</f>
        <v>0</v>
      </c>
      <c r="N74" s="145">
        <f>+'Gantt Proyectos'!L142</f>
        <v>1500000</v>
      </c>
      <c r="O74" s="145">
        <f>+'Gantt Proyectos'!M142</f>
        <v>1500000</v>
      </c>
      <c r="P74" s="145">
        <f>+'Gantt Proyectos'!N142</f>
        <v>2</v>
      </c>
      <c r="Q74" s="119">
        <f>+'Gantt Proyectos'!O142</f>
        <v>45885</v>
      </c>
      <c r="R74" s="119">
        <f>+'Gantt Proyectos'!P142</f>
        <v>46189</v>
      </c>
      <c r="S74" s="145" t="str">
        <f>+'Gantt Proyectos'!R142</f>
        <v>No</v>
      </c>
      <c r="T74" s="118">
        <f>+'Gantt Proyectos'!S142</f>
        <v>0</v>
      </c>
      <c r="U74" s="156">
        <f>+'Gantt Proyectos'!T142</f>
        <v>45885</v>
      </c>
      <c r="V74" s="156">
        <f>+'Gantt Proyectos'!U142</f>
        <v>46189</v>
      </c>
      <c r="W74" s="201">
        <f t="shared" si="9"/>
        <v>10</v>
      </c>
      <c r="X74" s="121">
        <f>+'Gantt Proyectos'!W142</f>
        <v>0</v>
      </c>
      <c r="Y74" s="122">
        <f>+'Gantt Proyectos'!X142</f>
        <v>0</v>
      </c>
      <c r="Z74" s="122">
        <f>+'Gantt Proyectos'!Y142</f>
        <v>0</v>
      </c>
      <c r="AA74" s="122">
        <f>+'Gantt Proyectos'!Z142</f>
        <v>0</v>
      </c>
      <c r="AB74" s="122">
        <f>+'Gantt Proyectos'!AA142</f>
        <v>0</v>
      </c>
      <c r="AC74" s="122">
        <f>+'Gantt Proyectos'!AB142</f>
        <v>0</v>
      </c>
      <c r="AD74" s="153" t="str">
        <f>+'Gantt Proyectos'!AC142</f>
        <v>PFS</v>
      </c>
      <c r="AE74" s="123" t="str">
        <f>+'Gantt Proyectos'!AD142</f>
        <v>No Asignado</v>
      </c>
      <c r="AF74" s="124" t="str">
        <f>+'Gantt Proyectos'!AE142</f>
        <v>1. Proyectado: No  Asignado</v>
      </c>
      <c r="AG74" s="172">
        <v>1</v>
      </c>
      <c r="AH74" s="169">
        <f ca="1">+IFERROR(IF(ISNUMBER(OFFSET('EDP Proyectado'!AI74,0,-'Ingreso Proyectado_Edu'!$P74))&lt;&gt;0,IF(OFFSET('EDP Proyectado'!AI74,0,-'Ingreso Proyectado_Edu'!$P74)+0&lt;=1,0,OFFSET('EDP Proyectado'!AI74,0,-'Ingreso Proyectado_Edu'!$P74)+0)),0)</f>
        <v>0</v>
      </c>
      <c r="AI74" s="169">
        <f ca="1">+IFERROR(IF(ISNUMBER(OFFSET('EDP Proyectado'!AJ74,0,-'Ingreso Proyectado_Edu'!$P74))&lt;&gt;0,IF(OFFSET('EDP Proyectado'!AJ74,0,-'Ingreso Proyectado_Edu'!$P74)+0&lt;=1,0,OFFSET('EDP Proyectado'!AJ74,0,-'Ingreso Proyectado_Edu'!$P74)+0)),0)</f>
        <v>0</v>
      </c>
      <c r="AJ74" s="169">
        <f ca="1">+IFERROR(IF(ISNUMBER(OFFSET('EDP Proyectado'!AK74,0,-'Ingreso Proyectado_Edu'!$P74))&lt;&gt;0,IF(OFFSET('EDP Proyectado'!AK74,0,-'Ingreso Proyectado_Edu'!$P74)+0&lt;=1,0,OFFSET('EDP Proyectado'!AK74,0,-'Ingreso Proyectado_Edu'!$P74)+0)),0)</f>
        <v>0</v>
      </c>
      <c r="AK74" s="169">
        <f ca="1">+IFERROR(IF(ISNUMBER(OFFSET('EDP Proyectado'!AL74,0,-'Ingreso Proyectado_Edu'!$P74))&lt;&gt;0,IF(OFFSET('EDP Proyectado'!AL74,0,-'Ingreso Proyectado_Edu'!$P74)+0&lt;=1,0,OFFSET('EDP Proyectado'!AL74,0,-'Ingreso Proyectado_Edu'!$P74)+0)),0)</f>
        <v>0</v>
      </c>
      <c r="AL74" s="169">
        <f ca="1">+IFERROR(IF(ISNUMBER(OFFSET('EDP Proyectado'!AM74,0,-'Ingreso Proyectado_Edu'!$P74))&lt;&gt;0,IF(OFFSET('EDP Proyectado'!AM74,0,-'Ingreso Proyectado_Edu'!$P74)+0&lt;=1,0,OFFSET('EDP Proyectado'!AM74,0,-'Ingreso Proyectado_Edu'!$P74)+0)),0)</f>
        <v>0</v>
      </c>
      <c r="AM74" s="169">
        <f ca="1">+IFERROR(IF(ISNUMBER(OFFSET('EDP Proyectado'!AN74,0,-'Ingreso Proyectado_Edu'!$P74))&lt;&gt;0,IF(OFFSET('EDP Proyectado'!AN74,0,-'Ingreso Proyectado_Edu'!$P74)+0&lt;=1,0,OFFSET('EDP Proyectado'!AN74,0,-'Ingreso Proyectado_Edu'!$P74)+0)),0)</f>
        <v>0</v>
      </c>
      <c r="AN74" s="169">
        <f ca="1">+IFERROR(IF(ISNUMBER(OFFSET('EDP Proyectado'!AO74,0,-'Ingreso Proyectado_Edu'!$P74))&lt;&gt;0,IF(OFFSET('EDP Proyectado'!AO74,0,-'Ingreso Proyectado_Edu'!$P74)+0&lt;=1,0,OFFSET('EDP Proyectado'!AO74,0,-'Ingreso Proyectado_Edu'!$P74)+0)),0)</f>
        <v>0</v>
      </c>
      <c r="AO74" s="169">
        <f ca="1">+IFERROR(IF(ISNUMBER(OFFSET('EDP Proyectado'!AP74,0,-'Ingreso Proyectado_Edu'!$P74))&lt;&gt;0,IF(OFFSET('EDP Proyectado'!AP74,0,-'Ingreso Proyectado_Edu'!$P74)+0&lt;=1,0,OFFSET('EDP Proyectado'!AP74,0,-'Ingreso Proyectado_Edu'!$P74)+0)),0)</f>
        <v>0</v>
      </c>
      <c r="AP74" s="170">
        <f ca="1">+IFERROR(IF(ISNUMBER(OFFSET('EDP Proyectado'!AQ74,0,-'Ingreso Proyectado_Edu'!$P74))&lt;&gt;0,IF(OFFSET('EDP Proyectado'!AQ74,0,-'Ingreso Proyectado_Edu'!$P74)+0&lt;=1,0,OFFSET('EDP Proyectado'!AQ74,0,-'Ingreso Proyectado_Edu'!$P74)+0)),0)</f>
        <v>0</v>
      </c>
    </row>
    <row r="75" spans="3:42" x14ac:dyDescent="0.2">
      <c r="C75" s="144">
        <f>+'Gantt Proyectos'!C143</f>
        <v>47</v>
      </c>
      <c r="D75" s="145" t="str">
        <f>+'Gantt Proyectos'!D143</f>
        <v>HILL OF VALUE AND OPTIMIZED CUT-OFF GRADE STRATEGY ANALYSIS</v>
      </c>
      <c r="E75" s="145" t="str">
        <f>+'Gantt Proyectos'!E143</f>
        <v>South 32</v>
      </c>
      <c r="F75" s="147" t="str">
        <f>+'Gantt Proyectos'!F143</f>
        <v>USA</v>
      </c>
      <c r="G75" s="145" t="str">
        <f>+'Gantt Proyectos'!G143</f>
        <v>Perú</v>
      </c>
      <c r="H75" s="145">
        <f>+'Gantt Proyectos'!H143</f>
        <v>0</v>
      </c>
      <c r="I75" s="189">
        <v>1</v>
      </c>
      <c r="J75" s="189">
        <f t="shared" si="8"/>
        <v>0</v>
      </c>
      <c r="K75" s="145" t="str">
        <f>+'Gantt Proyectos'!I143</f>
        <v>Subterránea</v>
      </c>
      <c r="L75" s="120">
        <f>+'Gantt Proyectos'!J143</f>
        <v>1</v>
      </c>
      <c r="M75" s="145" t="str">
        <f>+'Gantt Proyectos'!K143</f>
        <v>PV</v>
      </c>
      <c r="N75" s="145">
        <f>+'Gantt Proyectos'!L143</f>
        <v>40000</v>
      </c>
      <c r="O75" s="145">
        <f>+'Gantt Proyectos'!M143</f>
        <v>40000</v>
      </c>
      <c r="P75" s="145">
        <f>+'Gantt Proyectos'!N143</f>
        <v>1</v>
      </c>
      <c r="Q75" s="119">
        <f>+'Gantt Proyectos'!O143</f>
        <v>45807</v>
      </c>
      <c r="R75" s="119">
        <f>+'Gantt Proyectos'!P143</f>
        <v>45836</v>
      </c>
      <c r="S75" s="145" t="str">
        <f>+'Gantt Proyectos'!R143</f>
        <v>No</v>
      </c>
      <c r="T75" s="118">
        <f>+'Gantt Proyectos'!S143</f>
        <v>0</v>
      </c>
      <c r="U75" s="156">
        <f>+'Gantt Proyectos'!T143</f>
        <v>45807</v>
      </c>
      <c r="V75" s="156">
        <f>+'Gantt Proyectos'!U143</f>
        <v>45836</v>
      </c>
      <c r="W75" s="201">
        <f t="shared" si="9"/>
        <v>1</v>
      </c>
      <c r="X75" s="121">
        <f>+'Gantt Proyectos'!W143</f>
        <v>1</v>
      </c>
      <c r="Y75" s="122">
        <f>+'Gantt Proyectos'!X143</f>
        <v>0.33</v>
      </c>
      <c r="Z75" s="122">
        <f>+'Gantt Proyectos'!Y143</f>
        <v>0.5</v>
      </c>
      <c r="AA75" s="122">
        <f>+'Gantt Proyectos'!Z143</f>
        <v>0.33</v>
      </c>
      <c r="AB75" s="122">
        <f>+'Gantt Proyectos'!AA143</f>
        <v>1</v>
      </c>
      <c r="AC75" s="122">
        <f>+'Gantt Proyectos'!AB143</f>
        <v>0</v>
      </c>
      <c r="AD75" s="123" t="str">
        <f>+'Gantt Proyectos'!AC143</f>
        <v>Consultoria y Due Dilligence</v>
      </c>
      <c r="AE75" s="123" t="str">
        <f>+'Gantt Proyectos'!AD143</f>
        <v>Asignado</v>
      </c>
      <c r="AF75" s="124" t="str">
        <f>+'Gantt Proyectos'!AE143</f>
        <v>1. Proyectado: Asignado</v>
      </c>
      <c r="AG75" s="172">
        <v>1</v>
      </c>
      <c r="AH75" s="169">
        <f ca="1">+IFERROR(IF(ISNUMBER(OFFSET('EDP Proyectado'!AI75,0,-'Ingreso Proyectado_Edu'!$P75))&lt;&gt;0,IF(OFFSET('EDP Proyectado'!AI75,0,-'Ingreso Proyectado_Edu'!$P75)+0&lt;=1,0,OFFSET('EDP Proyectado'!AI75,0,-'Ingreso Proyectado_Edu'!$P75)+0)),0)</f>
        <v>0</v>
      </c>
      <c r="AI75" s="169">
        <f ca="1">+IFERROR(IF(ISNUMBER(OFFSET('EDP Proyectado'!AJ75,0,-'Ingreso Proyectado_Edu'!$P75))&lt;&gt;0,IF(OFFSET('EDP Proyectado'!AJ75,0,-'Ingreso Proyectado_Edu'!$P75)+0&lt;=1,0,OFFSET('EDP Proyectado'!AJ75,0,-'Ingreso Proyectado_Edu'!$P75)+0)),0)</f>
        <v>0</v>
      </c>
      <c r="AJ75" s="169">
        <f ca="1">+IFERROR(IF(ISNUMBER(OFFSET('EDP Proyectado'!AK75,0,-'Ingreso Proyectado_Edu'!$P75))&lt;&gt;0,IF(OFFSET('EDP Proyectado'!AK75,0,-'Ingreso Proyectado_Edu'!$P75)+0&lt;=1,0,OFFSET('EDP Proyectado'!AK75,0,-'Ingreso Proyectado_Edu'!$P75)+0)),0)</f>
        <v>40000</v>
      </c>
      <c r="AK75" s="169">
        <f ca="1">+IFERROR(IF(ISNUMBER(OFFSET('EDP Proyectado'!AL75,0,-'Ingreso Proyectado_Edu'!$P75))&lt;&gt;0,IF(OFFSET('EDP Proyectado'!AL75,0,-'Ingreso Proyectado_Edu'!$P75)+0&lt;=1,0,OFFSET('EDP Proyectado'!AL75,0,-'Ingreso Proyectado_Edu'!$P75)+0)),0)</f>
        <v>40000</v>
      </c>
      <c r="AL75" s="169">
        <f ca="1">+IFERROR(IF(ISNUMBER(OFFSET('EDP Proyectado'!AM75,0,-'Ingreso Proyectado_Edu'!$P75))&lt;&gt;0,IF(OFFSET('EDP Proyectado'!AM75,0,-'Ingreso Proyectado_Edu'!$P75)+0&lt;=1,0,OFFSET('EDP Proyectado'!AM75,0,-'Ingreso Proyectado_Edu'!$P75)+0)),0)</f>
        <v>0</v>
      </c>
      <c r="AM75" s="169">
        <f ca="1">+IFERROR(IF(ISNUMBER(OFFSET('EDP Proyectado'!AN75,0,-'Ingreso Proyectado_Edu'!$P75))&lt;&gt;0,IF(OFFSET('EDP Proyectado'!AN75,0,-'Ingreso Proyectado_Edu'!$P75)+0&lt;=1,0,OFFSET('EDP Proyectado'!AN75,0,-'Ingreso Proyectado_Edu'!$P75)+0)),0)</f>
        <v>0</v>
      </c>
      <c r="AN75" s="169">
        <f ca="1">+IFERROR(IF(ISNUMBER(OFFSET('EDP Proyectado'!AO75,0,-'Ingreso Proyectado_Edu'!$P75))&lt;&gt;0,IF(OFFSET('EDP Proyectado'!AO75,0,-'Ingreso Proyectado_Edu'!$P75)+0&lt;=1,0,OFFSET('EDP Proyectado'!AO75,0,-'Ingreso Proyectado_Edu'!$P75)+0)),0)</f>
        <v>0</v>
      </c>
      <c r="AO75" s="169">
        <f ca="1">+IFERROR(IF(ISNUMBER(OFFSET('EDP Proyectado'!AP75,0,-'Ingreso Proyectado_Edu'!$P75))&lt;&gt;0,IF(OFFSET('EDP Proyectado'!AP75,0,-'Ingreso Proyectado_Edu'!$P75)+0&lt;=1,0,OFFSET('EDP Proyectado'!AP75,0,-'Ingreso Proyectado_Edu'!$P75)+0)),0)</f>
        <v>0</v>
      </c>
      <c r="AP75" s="170">
        <f ca="1">+IFERROR(IF(ISNUMBER(OFFSET('EDP Proyectado'!AQ75,0,-'Ingreso Proyectado_Edu'!$P75))&lt;&gt;0,IF(OFFSET('EDP Proyectado'!AQ75,0,-'Ingreso Proyectado_Edu'!$P75)+0&lt;=1,0,OFFSET('EDP Proyectado'!AQ75,0,-'Ingreso Proyectado_Edu'!$P75)+0)),0)</f>
        <v>0</v>
      </c>
    </row>
    <row r="76" spans="3:42" x14ac:dyDescent="0.2">
      <c r="C76" s="144">
        <f>+'Gantt Proyectos'!C144</f>
        <v>48</v>
      </c>
      <c r="D76" s="145" t="str">
        <f>+'Gantt Proyectos'!D144</f>
        <v>Analisis de confiafilidad de plan + Entrenamiento de usuario</v>
      </c>
      <c r="E76" s="145" t="str">
        <f>+'Gantt Proyectos'!E144</f>
        <v>Capstone Copper</v>
      </c>
      <c r="F76" s="147" t="str">
        <f>+'Gantt Proyectos'!F144</f>
        <v>Chile</v>
      </c>
      <c r="G76" s="145" t="str">
        <f>+'Gantt Proyectos'!G144</f>
        <v>Chile</v>
      </c>
      <c r="H76" s="145">
        <f>+'Gantt Proyectos'!H144</f>
        <v>0</v>
      </c>
      <c r="I76" s="189">
        <v>1</v>
      </c>
      <c r="J76" s="189">
        <f t="shared" si="8"/>
        <v>0</v>
      </c>
      <c r="K76" s="145" t="str">
        <f>+'Gantt Proyectos'!I144</f>
        <v>Open Pit</v>
      </c>
      <c r="L76" s="120">
        <f>+'Gantt Proyectos'!J144</f>
        <v>1</v>
      </c>
      <c r="M76" s="145" t="str">
        <f>+'Gantt Proyectos'!K144</f>
        <v>GD</v>
      </c>
      <c r="N76" s="145">
        <f>+'Gantt Proyectos'!L144</f>
        <v>200000</v>
      </c>
      <c r="O76" s="145">
        <f>+'Gantt Proyectos'!M144</f>
        <v>200000</v>
      </c>
      <c r="P76" s="145">
        <f>+'Gantt Proyectos'!N144</f>
        <v>1</v>
      </c>
      <c r="Q76" s="119">
        <f>+'Gantt Proyectos'!O144</f>
        <v>45853</v>
      </c>
      <c r="R76" s="119">
        <f>+'Gantt Proyectos'!P144</f>
        <v>46003</v>
      </c>
      <c r="S76" s="145" t="str">
        <f>+'Gantt Proyectos'!R144</f>
        <v>No</v>
      </c>
      <c r="T76" s="118">
        <f>+'Gantt Proyectos'!S144</f>
        <v>0</v>
      </c>
      <c r="U76" s="156">
        <f>+'Gantt Proyectos'!T144</f>
        <v>45853</v>
      </c>
      <c r="V76" s="156">
        <f>+'Gantt Proyectos'!U144</f>
        <v>46003</v>
      </c>
      <c r="W76" s="201">
        <f t="shared" si="9"/>
        <v>5</v>
      </c>
      <c r="X76" s="121">
        <f>+'Gantt Proyectos'!W144</f>
        <v>0.9</v>
      </c>
      <c r="Y76" s="122">
        <f>+'Gantt Proyectos'!X144</f>
        <v>0.33</v>
      </c>
      <c r="Z76" s="122">
        <f>+'Gantt Proyectos'!Y144</f>
        <v>0.5</v>
      </c>
      <c r="AA76" s="122">
        <f>+'Gantt Proyectos'!Z144</f>
        <v>0.33</v>
      </c>
      <c r="AB76" s="122">
        <f>+'Gantt Proyectos'!AA144</f>
        <v>1</v>
      </c>
      <c r="AC76" s="122">
        <f>+'Gantt Proyectos'!AB144</f>
        <v>0</v>
      </c>
      <c r="AD76" s="123" t="str">
        <f>+'Gantt Proyectos'!AC144</f>
        <v>Consultoria y Due Dilligence</v>
      </c>
      <c r="AE76" s="123" t="str">
        <f>+'Gantt Proyectos'!AD144</f>
        <v>No Asignado</v>
      </c>
      <c r="AF76" s="124" t="str">
        <f>+'Gantt Proyectos'!AE144</f>
        <v>1. Proyectado: No  Asignado</v>
      </c>
      <c r="AG76" s="172">
        <v>1</v>
      </c>
      <c r="AH76" s="169">
        <f ca="1">+IFERROR(IF(ISNUMBER(OFFSET('EDP Proyectado'!AI76,0,-'Ingreso Proyectado_Edu'!$P76))&lt;&gt;0,IF(OFFSET('EDP Proyectado'!AI76,0,-'Ingreso Proyectado_Edu'!$P76)+0&lt;=1,0,OFFSET('EDP Proyectado'!AI76,0,-'Ingreso Proyectado_Edu'!$P76)+0)),0)</f>
        <v>0</v>
      </c>
      <c r="AI76" s="169">
        <f ca="1">+IFERROR(IF(ISNUMBER(OFFSET('EDP Proyectado'!AJ76,0,-'Ingreso Proyectado_Edu'!$P76))&lt;&gt;0,IF(OFFSET('EDP Proyectado'!AJ76,0,-'Ingreso Proyectado_Edu'!$P76)+0&lt;=1,0,OFFSET('EDP Proyectado'!AJ76,0,-'Ingreso Proyectado_Edu'!$P76)+0)),0)</f>
        <v>0</v>
      </c>
      <c r="AJ76" s="169">
        <f ca="1">+IFERROR(IF(ISNUMBER(OFFSET('EDP Proyectado'!AK76,0,-'Ingreso Proyectado_Edu'!$P76))&lt;&gt;0,IF(OFFSET('EDP Proyectado'!AK76,0,-'Ingreso Proyectado_Edu'!$P76)+0&lt;=1,0,OFFSET('EDP Proyectado'!AK76,0,-'Ingreso Proyectado_Edu'!$P76)+0)),0)</f>
        <v>0</v>
      </c>
      <c r="AK76" s="169">
        <f ca="1">+IFERROR(IF(ISNUMBER(OFFSET('EDP Proyectado'!AL76,0,-'Ingreso Proyectado_Edu'!$P76))&lt;&gt;0,IF(OFFSET('EDP Proyectado'!AL76,0,-'Ingreso Proyectado_Edu'!$P76)+0&lt;=1,0,OFFSET('EDP Proyectado'!AL76,0,-'Ingreso Proyectado_Edu'!$P76)+0)),0)</f>
        <v>0</v>
      </c>
      <c r="AL76" s="169">
        <f ca="1">+IFERROR(IF(ISNUMBER(OFFSET('EDP Proyectado'!AM76,0,-'Ingreso Proyectado_Edu'!$P76))&lt;&gt;0,IF(OFFSET('EDP Proyectado'!AM76,0,-'Ingreso Proyectado_Edu'!$P76)+0&lt;=1,0,OFFSET('EDP Proyectado'!AM76,0,-'Ingreso Proyectado_Edu'!$P76)+0)),0)</f>
        <v>36000</v>
      </c>
      <c r="AM76" s="169">
        <f ca="1">+IFERROR(IF(ISNUMBER(OFFSET('EDP Proyectado'!AN76,0,-'Ingreso Proyectado_Edu'!$P76))&lt;&gt;0,IF(OFFSET('EDP Proyectado'!AN76,0,-'Ingreso Proyectado_Edu'!$P76)+0&lt;=1,0,OFFSET('EDP Proyectado'!AN76,0,-'Ingreso Proyectado_Edu'!$P76)+0)),0)</f>
        <v>36000</v>
      </c>
      <c r="AN76" s="169">
        <f ca="1">+IFERROR(IF(ISNUMBER(OFFSET('EDP Proyectado'!AO76,0,-'Ingreso Proyectado_Edu'!$P76))&lt;&gt;0,IF(OFFSET('EDP Proyectado'!AO76,0,-'Ingreso Proyectado_Edu'!$P76)+0&lt;=1,0,OFFSET('EDP Proyectado'!AO76,0,-'Ingreso Proyectado_Edu'!$P76)+0)),0)</f>
        <v>36000</v>
      </c>
      <c r="AO76" s="169">
        <f ca="1">+IFERROR(IF(ISNUMBER(OFFSET('EDP Proyectado'!AP76,0,-'Ingreso Proyectado_Edu'!$P76))&lt;&gt;0,IF(OFFSET('EDP Proyectado'!AP76,0,-'Ingreso Proyectado_Edu'!$P76)+0&lt;=1,0,OFFSET('EDP Proyectado'!AP76,0,-'Ingreso Proyectado_Edu'!$P76)+0)),0)</f>
        <v>36000</v>
      </c>
      <c r="AP76" s="170">
        <f ca="1">+IFERROR(IF(ISNUMBER(OFFSET('EDP Proyectado'!AQ76,0,-'Ingreso Proyectado_Edu'!$P76))&lt;&gt;0,IF(OFFSET('EDP Proyectado'!AQ76,0,-'Ingreso Proyectado_Edu'!$P76)+0&lt;=1,0,OFFSET('EDP Proyectado'!AQ76,0,-'Ingreso Proyectado_Edu'!$P76)+0)),0)</f>
        <v>36000</v>
      </c>
    </row>
    <row r="77" spans="3:42" x14ac:dyDescent="0.2">
      <c r="C77" s="144">
        <f>+'Gantt Proyectos'!C145</f>
        <v>49</v>
      </c>
      <c r="D77" s="145" t="str">
        <f>+'Gantt Proyectos'!D145</f>
        <v xml:space="preserve">Viabilidad Económica del proyecto </v>
      </c>
      <c r="E77" s="145" t="str">
        <f>+'Gantt Proyectos'!E145</f>
        <v>Minsur</v>
      </c>
      <c r="F77" s="147" t="str">
        <f>+'Gantt Proyectos'!F145</f>
        <v>Perú</v>
      </c>
      <c r="G77" s="145" t="str">
        <f>+'Gantt Proyectos'!G145</f>
        <v>Perú</v>
      </c>
      <c r="H77" s="145">
        <f>+'Gantt Proyectos'!H145</f>
        <v>0</v>
      </c>
      <c r="I77" s="189">
        <v>1</v>
      </c>
      <c r="J77" s="189">
        <f t="shared" si="8"/>
        <v>0</v>
      </c>
      <c r="K77" s="145" t="str">
        <f>+'Gantt Proyectos'!I145</f>
        <v>Subterránea</v>
      </c>
      <c r="L77" s="120">
        <f>+'Gantt Proyectos'!J145</f>
        <v>0</v>
      </c>
      <c r="M77" s="145" t="str">
        <f>+'Gantt Proyectos'!K145</f>
        <v>PA</v>
      </c>
      <c r="N77" s="145">
        <f>+'Gantt Proyectos'!L145</f>
        <v>150000</v>
      </c>
      <c r="O77" s="145">
        <f>+'Gantt Proyectos'!M145</f>
        <v>150000</v>
      </c>
      <c r="P77" s="145">
        <f>+'Gantt Proyectos'!N145</f>
        <v>2</v>
      </c>
      <c r="Q77" s="119">
        <f>+'Gantt Proyectos'!O145</f>
        <v>45823</v>
      </c>
      <c r="R77" s="119">
        <f>+'Gantt Proyectos'!P145</f>
        <v>45883</v>
      </c>
      <c r="S77" s="145" t="str">
        <f>+'Gantt Proyectos'!R145</f>
        <v>No</v>
      </c>
      <c r="T77" s="118">
        <f>+'Gantt Proyectos'!S145</f>
        <v>0</v>
      </c>
      <c r="U77" s="156">
        <f>+'Gantt Proyectos'!T145</f>
        <v>45823</v>
      </c>
      <c r="V77" s="156">
        <f>+'Gantt Proyectos'!U145</f>
        <v>45883</v>
      </c>
      <c r="W77" s="201">
        <f t="shared" si="9"/>
        <v>2</v>
      </c>
      <c r="X77" s="121">
        <f>+'Gantt Proyectos'!W145</f>
        <v>0</v>
      </c>
      <c r="Y77" s="122">
        <f>+'Gantt Proyectos'!X145</f>
        <v>0</v>
      </c>
      <c r="Z77" s="122">
        <f>+'Gantt Proyectos'!Y145</f>
        <v>0</v>
      </c>
      <c r="AA77" s="122">
        <f>+'Gantt Proyectos'!Z145</f>
        <v>0</v>
      </c>
      <c r="AB77" s="122">
        <f>+'Gantt Proyectos'!AA145</f>
        <v>0</v>
      </c>
      <c r="AC77" s="122">
        <f>+'Gantt Proyectos'!AB145</f>
        <v>0</v>
      </c>
      <c r="AD77" s="123" t="str">
        <f>+'Gantt Proyectos'!AC145</f>
        <v>Consultoria y Due Dilligence</v>
      </c>
      <c r="AE77" s="123" t="str">
        <f>+'Gantt Proyectos'!AD145</f>
        <v>No Asignado</v>
      </c>
      <c r="AF77" s="124" t="str">
        <f>+'Gantt Proyectos'!AE145</f>
        <v>1. Proyectado: No  Asignado</v>
      </c>
      <c r="AG77" s="172">
        <v>1</v>
      </c>
      <c r="AH77" s="169">
        <f ca="1">+IFERROR(IF(ISNUMBER(OFFSET('EDP Proyectado'!AI77,0,-'Ingreso Proyectado_Edu'!$P77))&lt;&gt;0,IF(OFFSET('EDP Proyectado'!AI77,0,-'Ingreso Proyectado_Edu'!$P77)+0&lt;=1,0,OFFSET('EDP Proyectado'!AI77,0,-'Ingreso Proyectado_Edu'!$P77)+0)),0)</f>
        <v>0</v>
      </c>
      <c r="AI77" s="169">
        <f ca="1">+IFERROR(IF(ISNUMBER(OFFSET('EDP Proyectado'!AJ77,0,-'Ingreso Proyectado_Edu'!$P77))&lt;&gt;0,IF(OFFSET('EDP Proyectado'!AJ77,0,-'Ingreso Proyectado_Edu'!$P77)+0&lt;=1,0,OFFSET('EDP Proyectado'!AJ77,0,-'Ingreso Proyectado_Edu'!$P77)+0)),0)</f>
        <v>0</v>
      </c>
      <c r="AJ77" s="169">
        <f ca="1">+IFERROR(IF(ISNUMBER(OFFSET('EDP Proyectado'!AK77,0,-'Ingreso Proyectado_Edu'!$P77))&lt;&gt;0,IF(OFFSET('EDP Proyectado'!AK77,0,-'Ingreso Proyectado_Edu'!$P77)+0&lt;=1,0,OFFSET('EDP Proyectado'!AK77,0,-'Ingreso Proyectado_Edu'!$P77)+0)),0)</f>
        <v>0</v>
      </c>
      <c r="AK77" s="169">
        <f ca="1">+IFERROR(IF(ISNUMBER(OFFSET('EDP Proyectado'!AL77,0,-'Ingreso Proyectado_Edu'!$P77))&lt;&gt;0,IF(OFFSET('EDP Proyectado'!AL77,0,-'Ingreso Proyectado_Edu'!$P77)+0&lt;=1,0,OFFSET('EDP Proyectado'!AL77,0,-'Ingreso Proyectado_Edu'!$P77)+0)),0)</f>
        <v>0</v>
      </c>
      <c r="AL77" s="169">
        <f ca="1">+IFERROR(IF(ISNUMBER(OFFSET('EDP Proyectado'!AM77,0,-'Ingreso Proyectado_Edu'!$P77))&lt;&gt;0,IF(OFFSET('EDP Proyectado'!AM77,0,-'Ingreso Proyectado_Edu'!$P77)+0&lt;=1,0,OFFSET('EDP Proyectado'!AM77,0,-'Ingreso Proyectado_Edu'!$P77)+0)),0)</f>
        <v>0</v>
      </c>
      <c r="AM77" s="169">
        <f ca="1">+IFERROR(IF(ISNUMBER(OFFSET('EDP Proyectado'!AN77,0,-'Ingreso Proyectado_Edu'!$P77))&lt;&gt;0,IF(OFFSET('EDP Proyectado'!AN77,0,-'Ingreso Proyectado_Edu'!$P77)+0&lt;=1,0,OFFSET('EDP Proyectado'!AN77,0,-'Ingreso Proyectado_Edu'!$P77)+0)),0)</f>
        <v>0</v>
      </c>
      <c r="AN77" s="169">
        <f ca="1">+IFERROR(IF(ISNUMBER(OFFSET('EDP Proyectado'!AO77,0,-'Ingreso Proyectado_Edu'!$P77))&lt;&gt;0,IF(OFFSET('EDP Proyectado'!AO77,0,-'Ingreso Proyectado_Edu'!$P77)+0&lt;=1,0,OFFSET('EDP Proyectado'!AO77,0,-'Ingreso Proyectado_Edu'!$P77)+0)),0)</f>
        <v>0</v>
      </c>
      <c r="AO77" s="169">
        <f ca="1">+IFERROR(IF(ISNUMBER(OFFSET('EDP Proyectado'!AP77,0,-'Ingreso Proyectado_Edu'!$P77))&lt;&gt;0,IF(OFFSET('EDP Proyectado'!AP77,0,-'Ingreso Proyectado_Edu'!$P77)+0&lt;=1,0,OFFSET('EDP Proyectado'!AP77,0,-'Ingreso Proyectado_Edu'!$P77)+0)),0)</f>
        <v>0</v>
      </c>
      <c r="AP77" s="170">
        <f ca="1">+IFERROR(IF(ISNUMBER(OFFSET('EDP Proyectado'!AQ77,0,-'Ingreso Proyectado_Edu'!$P77))&lt;&gt;0,IF(OFFSET('EDP Proyectado'!AQ77,0,-'Ingreso Proyectado_Edu'!$P77)+0&lt;=1,0,OFFSET('EDP Proyectado'!AQ77,0,-'Ingreso Proyectado_Edu'!$P77)+0)),0)</f>
        <v>0</v>
      </c>
    </row>
    <row r="78" spans="3:42" x14ac:dyDescent="0.2">
      <c r="C78" s="144">
        <f>+'Gantt Proyectos'!C146</f>
        <v>50</v>
      </c>
      <c r="D78" s="145" t="e">
        <f>+'Gantt Proyectos'!#REF!</f>
        <v>#REF!</v>
      </c>
      <c r="E78" s="145" t="e">
        <f>+'Gantt Proyectos'!#REF!</f>
        <v>#REF!</v>
      </c>
      <c r="F78" s="147" t="e">
        <f>+'Gantt Proyectos'!#REF!</f>
        <v>#REF!</v>
      </c>
      <c r="G78" s="145" t="e">
        <f>+'Gantt Proyectos'!#REF!</f>
        <v>#REF!</v>
      </c>
      <c r="H78" s="145">
        <f>+'Gantt Proyectos'!H146</f>
        <v>0</v>
      </c>
      <c r="I78" s="189">
        <v>1</v>
      </c>
      <c r="J78" s="189">
        <f t="shared" si="8"/>
        <v>0</v>
      </c>
      <c r="K78" s="145">
        <f>+'Gantt Proyectos'!I146</f>
        <v>0</v>
      </c>
      <c r="L78" s="120">
        <f>+'Gantt Proyectos'!J146</f>
        <v>1</v>
      </c>
      <c r="M78" s="145">
        <f>+'Gantt Proyectos'!K146</f>
        <v>0</v>
      </c>
      <c r="N78" s="145">
        <f>+'Gantt Proyectos'!L146</f>
        <v>180000</v>
      </c>
      <c r="O78" s="145">
        <f>+'Gantt Proyectos'!M146</f>
        <v>180000</v>
      </c>
      <c r="P78" s="145">
        <f>+'Gantt Proyectos'!N146</f>
        <v>2</v>
      </c>
      <c r="Q78" s="119">
        <f>+'Gantt Proyectos'!O146</f>
        <v>45839</v>
      </c>
      <c r="R78" s="119">
        <f>+'Gantt Proyectos'!P146</f>
        <v>45901</v>
      </c>
      <c r="S78" s="145" t="str">
        <f>+'Gantt Proyectos'!R146</f>
        <v>No</v>
      </c>
      <c r="T78" s="118">
        <f>+'Gantt Proyectos'!S146</f>
        <v>0</v>
      </c>
      <c r="U78" s="156">
        <f>+'Gantt Proyectos'!T146</f>
        <v>45839</v>
      </c>
      <c r="V78" s="156">
        <f>+'Gantt Proyectos'!U146</f>
        <v>45901</v>
      </c>
      <c r="W78" s="201">
        <f t="shared" si="9"/>
        <v>3</v>
      </c>
      <c r="X78" s="121">
        <f>+'Gantt Proyectos'!W146</f>
        <v>0.21711409395973152</v>
      </c>
      <c r="Y78" s="122">
        <f>+'Gantt Proyectos'!X146</f>
        <v>0.33</v>
      </c>
      <c r="Z78" s="122">
        <f>+'Gantt Proyectos'!Y146</f>
        <v>0.5</v>
      </c>
      <c r="AA78" s="122">
        <f>+'Gantt Proyectos'!Z146</f>
        <v>0.33</v>
      </c>
      <c r="AB78" s="122">
        <f>+'Gantt Proyectos'!AA146</f>
        <v>1</v>
      </c>
      <c r="AC78" s="122">
        <f>+'Gantt Proyectos'!AB146</f>
        <v>1</v>
      </c>
      <c r="AD78" s="123" t="str">
        <f>+'Gantt Proyectos'!AC146</f>
        <v>Scoping</v>
      </c>
      <c r="AE78" s="123" t="str">
        <f>+'Gantt Proyectos'!AD146</f>
        <v>No Asignado</v>
      </c>
      <c r="AF78" s="124" t="str">
        <f>+'Gantt Proyectos'!AE146</f>
        <v>1. Proyectado: No  Asignado</v>
      </c>
      <c r="AG78" s="172">
        <v>1</v>
      </c>
      <c r="AH78" s="169">
        <f ca="1">+IFERROR(IF(ISNUMBER(OFFSET('EDP Proyectado'!AI78,0,-'Ingreso Proyectado_Edu'!$P78))&lt;&gt;0,IF(OFFSET('EDP Proyectado'!AI78,0,-'Ingreso Proyectado_Edu'!$P78)+0&lt;=1,0,OFFSET('EDP Proyectado'!AI78,0,-'Ingreso Proyectado_Edu'!$P78)+0)),0)</f>
        <v>0</v>
      </c>
      <c r="AI78" s="169">
        <f ca="1">+IFERROR(IF(ISNUMBER(OFFSET('EDP Proyectado'!AJ78,0,-'Ingreso Proyectado_Edu'!$P78))&lt;&gt;0,IF(OFFSET('EDP Proyectado'!AJ78,0,-'Ingreso Proyectado_Edu'!$P78)+0&lt;=1,0,OFFSET('EDP Proyectado'!AJ78,0,-'Ingreso Proyectado_Edu'!$P78)+0)),0)</f>
        <v>0</v>
      </c>
      <c r="AJ78" s="169">
        <f ca="1">+IFERROR(IF(ISNUMBER(OFFSET('EDP Proyectado'!AK78,0,-'Ingreso Proyectado_Edu'!$P78))&lt;&gt;0,IF(OFFSET('EDP Proyectado'!AK78,0,-'Ingreso Proyectado_Edu'!$P78)+0&lt;=1,0,OFFSET('EDP Proyectado'!AK78,0,-'Ingreso Proyectado_Edu'!$P78)+0)),0)</f>
        <v>0</v>
      </c>
      <c r="AK78" s="169">
        <f ca="1">+IFERROR(IF(ISNUMBER(OFFSET('EDP Proyectado'!AL78,0,-'Ingreso Proyectado_Edu'!$P78))&lt;&gt;0,IF(OFFSET('EDP Proyectado'!AL78,0,-'Ingreso Proyectado_Edu'!$P78)+0&lt;=1,0,OFFSET('EDP Proyectado'!AL78,0,-'Ingreso Proyectado_Edu'!$P78)+0)),0)</f>
        <v>0</v>
      </c>
      <c r="AL78" s="169">
        <f ca="1">+IFERROR(IF(ISNUMBER(OFFSET('EDP Proyectado'!AM78,0,-'Ingreso Proyectado_Edu'!$P78))&lt;&gt;0,IF(OFFSET('EDP Proyectado'!AM78,0,-'Ingreso Proyectado_Edu'!$P78)+0&lt;=1,0,OFFSET('EDP Proyectado'!AM78,0,-'Ingreso Proyectado_Edu'!$P78)+0)),0)</f>
        <v>0</v>
      </c>
      <c r="AM78" s="169">
        <f ca="1">+IFERROR(IF(ISNUMBER(OFFSET('EDP Proyectado'!AN78,0,-'Ingreso Proyectado_Edu'!$P78))&lt;&gt;0,IF(OFFSET('EDP Proyectado'!AN78,0,-'Ingreso Proyectado_Edu'!$P78)+0&lt;=1,0,OFFSET('EDP Proyectado'!AN78,0,-'Ingreso Proyectado_Edu'!$P78)+0)),0)</f>
        <v>9000</v>
      </c>
      <c r="AN78" s="169">
        <f ca="1">+IFERROR(IF(ISNUMBER(OFFSET('EDP Proyectado'!AO78,0,-'Ingreso Proyectado_Edu'!$P78))&lt;&gt;0,IF(OFFSET('EDP Proyectado'!AO78,0,-'Ingreso Proyectado_Edu'!$P78)+0&lt;=1,0,OFFSET('EDP Proyectado'!AO78,0,-'Ingreso Proyectado_Edu'!$P78)+0)),0)</f>
        <v>9000</v>
      </c>
      <c r="AO78" s="169">
        <f ca="1">+IFERROR(IF(ISNUMBER(OFFSET('EDP Proyectado'!AP78,0,-'Ingreso Proyectado_Edu'!$P78))&lt;&gt;0,IF(OFFSET('EDP Proyectado'!AP78,0,-'Ingreso Proyectado_Edu'!$P78)+0&lt;=1,0,OFFSET('EDP Proyectado'!AP78,0,-'Ingreso Proyectado_Edu'!$P78)+0)),0)</f>
        <v>0</v>
      </c>
      <c r="AP78" s="170">
        <f ca="1">+IFERROR(IF(ISNUMBER(OFFSET('EDP Proyectado'!AQ78,0,-'Ingreso Proyectado_Edu'!$P78))&lt;&gt;0,IF(OFFSET('EDP Proyectado'!AQ78,0,-'Ingreso Proyectado_Edu'!$P78)+0&lt;=1,0,OFFSET('EDP Proyectado'!AQ78,0,-'Ingreso Proyectado_Edu'!$P78)+0)),0)</f>
        <v>0</v>
      </c>
    </row>
    <row r="79" spans="3:42" x14ac:dyDescent="0.2">
      <c r="C79" s="144">
        <f>+'Gantt Proyectos'!C147</f>
        <v>51</v>
      </c>
      <c r="D79" s="145" t="e">
        <f>+'Gantt Proyectos'!#REF!</f>
        <v>#REF!</v>
      </c>
      <c r="E79" s="145" t="e">
        <f>+'Gantt Proyectos'!#REF!</f>
        <v>#REF!</v>
      </c>
      <c r="F79" s="147" t="e">
        <f>+'Gantt Proyectos'!#REF!</f>
        <v>#REF!</v>
      </c>
      <c r="G79" s="145" t="e">
        <f>+'Gantt Proyectos'!#REF!</f>
        <v>#REF!</v>
      </c>
      <c r="H79" s="145">
        <f>+'Gantt Proyectos'!H147</f>
        <v>0</v>
      </c>
      <c r="I79" s="189">
        <v>1</v>
      </c>
      <c r="J79" s="189">
        <f t="shared" si="8"/>
        <v>0</v>
      </c>
      <c r="K79" s="145">
        <f>+'Gantt Proyectos'!I147</f>
        <v>0</v>
      </c>
      <c r="L79" s="120">
        <f>+'Gantt Proyectos'!J147</f>
        <v>1</v>
      </c>
      <c r="M79" s="145">
        <f>+'Gantt Proyectos'!K147</f>
        <v>0</v>
      </c>
      <c r="N79" s="145">
        <f>+'Gantt Proyectos'!L147</f>
        <v>350000</v>
      </c>
      <c r="O79" s="145">
        <f>+'Gantt Proyectos'!M147</f>
        <v>350000</v>
      </c>
      <c r="P79" s="145">
        <f>+'Gantt Proyectos'!N147</f>
        <v>2</v>
      </c>
      <c r="Q79" s="119">
        <f>+'Gantt Proyectos'!O147</f>
        <v>45870</v>
      </c>
      <c r="R79" s="119">
        <f>+'Gantt Proyectos'!P147</f>
        <v>45992</v>
      </c>
      <c r="S79" s="145" t="str">
        <f>+'Gantt Proyectos'!R147</f>
        <v>No</v>
      </c>
      <c r="T79" s="118">
        <f>+'Gantt Proyectos'!S147</f>
        <v>0</v>
      </c>
      <c r="U79" s="156">
        <f>+'Gantt Proyectos'!T147</f>
        <v>45870</v>
      </c>
      <c r="V79" s="156">
        <f>+'Gantt Proyectos'!U147</f>
        <v>45992</v>
      </c>
      <c r="W79" s="201">
        <f t="shared" si="9"/>
        <v>4</v>
      </c>
      <c r="X79" s="121">
        <f>+'Gantt Proyectos'!W147</f>
        <v>0.25503355704697989</v>
      </c>
      <c r="Y79" s="122">
        <f>+'Gantt Proyectos'!X147</f>
        <v>0</v>
      </c>
      <c r="Z79" s="122">
        <f>+'Gantt Proyectos'!Y147</f>
        <v>0</v>
      </c>
      <c r="AA79" s="122">
        <f>+'Gantt Proyectos'!Z147</f>
        <v>0</v>
      </c>
      <c r="AB79" s="122">
        <f>+'Gantt Proyectos'!AA147</f>
        <v>0</v>
      </c>
      <c r="AC79" s="122">
        <f>+'Gantt Proyectos'!AB147</f>
        <v>0</v>
      </c>
      <c r="AD79" s="123" t="str">
        <f>+'Gantt Proyectos'!AC147</f>
        <v>FS e Ing. Basica</v>
      </c>
      <c r="AE79" s="123" t="str">
        <f>+'Gantt Proyectos'!AD147</f>
        <v>No Asignado</v>
      </c>
      <c r="AF79" s="124" t="str">
        <f>+'Gantt Proyectos'!AE147</f>
        <v>1. Proyectado: No  Asignado</v>
      </c>
      <c r="AG79" s="172">
        <v>1</v>
      </c>
      <c r="AH79" s="169">
        <f ca="1">+IFERROR(IF(ISNUMBER(OFFSET('EDP Proyectado'!AI79,0,-'Ingreso Proyectado_Edu'!$P79))&lt;&gt;0,IF(OFFSET('EDP Proyectado'!AI79,0,-'Ingreso Proyectado_Edu'!$P79)+0&lt;=1,0,OFFSET('EDP Proyectado'!AI79,0,-'Ingreso Proyectado_Edu'!$P79)+0)),0)</f>
        <v>0</v>
      </c>
      <c r="AI79" s="169">
        <f ca="1">+IFERROR(IF(ISNUMBER(OFFSET('EDP Proyectado'!AJ79,0,-'Ingreso Proyectado_Edu'!$P79))&lt;&gt;0,IF(OFFSET('EDP Proyectado'!AJ79,0,-'Ingreso Proyectado_Edu'!$P79)+0&lt;=1,0,OFFSET('EDP Proyectado'!AJ79,0,-'Ingreso Proyectado_Edu'!$P79)+0)),0)</f>
        <v>0</v>
      </c>
      <c r="AJ79" s="169">
        <f ca="1">+IFERROR(IF(ISNUMBER(OFFSET('EDP Proyectado'!AK79,0,-'Ingreso Proyectado_Edu'!$P79))&lt;&gt;0,IF(OFFSET('EDP Proyectado'!AK79,0,-'Ingreso Proyectado_Edu'!$P79)+0&lt;=1,0,OFFSET('EDP Proyectado'!AK79,0,-'Ingreso Proyectado_Edu'!$P79)+0)),0)</f>
        <v>0</v>
      </c>
      <c r="AK79" s="169">
        <f ca="1">+IFERROR(IF(ISNUMBER(OFFSET('EDP Proyectado'!AL79,0,-'Ingreso Proyectado_Edu'!$P79))&lt;&gt;0,IF(OFFSET('EDP Proyectado'!AL79,0,-'Ingreso Proyectado_Edu'!$P79)+0&lt;=1,0,OFFSET('EDP Proyectado'!AL79,0,-'Ingreso Proyectado_Edu'!$P79)+0)),0)</f>
        <v>0</v>
      </c>
      <c r="AL79" s="169">
        <f ca="1">+IFERROR(IF(ISNUMBER(OFFSET('EDP Proyectado'!AM79,0,-'Ingreso Proyectado_Edu'!$P79))&lt;&gt;0,IF(OFFSET('EDP Proyectado'!AM79,0,-'Ingreso Proyectado_Edu'!$P79)+0&lt;=1,0,OFFSET('EDP Proyectado'!AM79,0,-'Ingreso Proyectado_Edu'!$P79)+0)),0)</f>
        <v>0</v>
      </c>
      <c r="AM79" s="169">
        <f ca="1">+IFERROR(IF(ISNUMBER(OFFSET('EDP Proyectado'!AN79,0,-'Ingreso Proyectado_Edu'!$P79))&lt;&gt;0,IF(OFFSET('EDP Proyectado'!AN79,0,-'Ingreso Proyectado_Edu'!$P79)+0&lt;=1,0,OFFSET('EDP Proyectado'!AN79,0,-'Ingreso Proyectado_Edu'!$P79)+0)),0)</f>
        <v>0</v>
      </c>
      <c r="AN79" s="169">
        <f ca="1">+IFERROR(IF(ISNUMBER(OFFSET('EDP Proyectado'!AO79,0,-'Ingreso Proyectado_Edu'!$P79))&lt;&gt;0,IF(OFFSET('EDP Proyectado'!AO79,0,-'Ingreso Proyectado_Edu'!$P79)+0&lt;=1,0,OFFSET('EDP Proyectado'!AO79,0,-'Ingreso Proyectado_Edu'!$P79)+0)),0)</f>
        <v>8750</v>
      </c>
      <c r="AO79" s="169">
        <f ca="1">+IFERROR(IF(ISNUMBER(OFFSET('EDP Proyectado'!AP79,0,-'Ingreso Proyectado_Edu'!$P79))&lt;&gt;0,IF(OFFSET('EDP Proyectado'!AP79,0,-'Ingreso Proyectado_Edu'!$P79)+0&lt;=1,0,OFFSET('EDP Proyectado'!AP79,0,-'Ingreso Proyectado_Edu'!$P79)+0)),0)</f>
        <v>8750</v>
      </c>
      <c r="AP79" s="170">
        <f ca="1">+IFERROR(IF(ISNUMBER(OFFSET('EDP Proyectado'!AQ79,0,-'Ingreso Proyectado_Edu'!$P79))&lt;&gt;0,IF(OFFSET('EDP Proyectado'!AQ79,0,-'Ingreso Proyectado_Edu'!$P79)+0&lt;=1,0,OFFSET('EDP Proyectado'!AQ79,0,-'Ingreso Proyectado_Edu'!$P79)+0)),0)</f>
        <v>8750</v>
      </c>
    </row>
    <row r="80" spans="3:42" x14ac:dyDescent="0.2">
      <c r="C80" s="144">
        <f>+'Gantt Proyectos'!C148</f>
        <v>52</v>
      </c>
      <c r="D80" s="145" t="e">
        <f>+'Gantt Proyectos'!#REF!</f>
        <v>#REF!</v>
      </c>
      <c r="E80" s="145" t="e">
        <f>+'Gantt Proyectos'!#REF!</f>
        <v>#REF!</v>
      </c>
      <c r="F80" s="147" t="e">
        <f>+'Gantt Proyectos'!#REF!</f>
        <v>#REF!</v>
      </c>
      <c r="G80" s="145" t="e">
        <f>+'Gantt Proyectos'!#REF!</f>
        <v>#REF!</v>
      </c>
      <c r="H80" s="145">
        <f>+'Gantt Proyectos'!H148</f>
        <v>0</v>
      </c>
      <c r="I80" s="189">
        <v>1</v>
      </c>
      <c r="J80" s="189">
        <f t="shared" si="8"/>
        <v>0</v>
      </c>
      <c r="K80" s="145" t="str">
        <f>+'Gantt Proyectos'!I148</f>
        <v>Subterránea</v>
      </c>
      <c r="L80" s="120">
        <f>+'Gantt Proyectos'!J148</f>
        <v>1</v>
      </c>
      <c r="M80" s="145">
        <f>+'Gantt Proyectos'!K148</f>
        <v>0</v>
      </c>
      <c r="N80" s="145">
        <f>+'Gantt Proyectos'!L148</f>
        <v>91000</v>
      </c>
      <c r="O80" s="145">
        <f>+'Gantt Proyectos'!M148</f>
        <v>91000</v>
      </c>
      <c r="P80" s="145">
        <f>+'Gantt Proyectos'!N148</f>
        <v>2</v>
      </c>
      <c r="Q80" s="119">
        <f>+'Gantt Proyectos'!O148</f>
        <v>45870</v>
      </c>
      <c r="R80" s="119">
        <f>+'Gantt Proyectos'!P148</f>
        <v>45960</v>
      </c>
      <c r="S80" s="145" t="str">
        <f>+'Gantt Proyectos'!R148</f>
        <v>No</v>
      </c>
      <c r="T80" s="118">
        <f>+'Gantt Proyectos'!S148</f>
        <v>0</v>
      </c>
      <c r="U80" s="156">
        <f>+'Gantt Proyectos'!T148</f>
        <v>45870</v>
      </c>
      <c r="V80" s="156">
        <f>+'Gantt Proyectos'!U148</f>
        <v>45960</v>
      </c>
      <c r="W80" s="201">
        <f t="shared" si="9"/>
        <v>3</v>
      </c>
      <c r="X80" s="121">
        <f>+'Gantt Proyectos'!W148</f>
        <v>0.72035794183445179</v>
      </c>
      <c r="Y80" s="122">
        <f>+'Gantt Proyectos'!X148</f>
        <v>0</v>
      </c>
      <c r="Z80" s="122">
        <f>+'Gantt Proyectos'!Y148</f>
        <v>0</v>
      </c>
      <c r="AA80" s="122">
        <f>+'Gantt Proyectos'!Z148</f>
        <v>0</v>
      </c>
      <c r="AB80" s="122">
        <f>+'Gantt Proyectos'!AA148</f>
        <v>0</v>
      </c>
      <c r="AC80" s="122">
        <f>+'Gantt Proyectos'!AB148</f>
        <v>0</v>
      </c>
      <c r="AD80" s="123" t="str">
        <f>+'Gantt Proyectos'!AC148</f>
        <v>Estudio Conceptual / LOM</v>
      </c>
      <c r="AE80" s="123" t="str">
        <f>+'Gantt Proyectos'!AD148</f>
        <v>Asignado</v>
      </c>
      <c r="AF80" s="124" t="str">
        <f>+'Gantt Proyectos'!AE148</f>
        <v>1. Proyectado: Asignado</v>
      </c>
      <c r="AG80" s="172">
        <v>1</v>
      </c>
      <c r="AH80" s="169">
        <f ca="1">+IFERROR(IF(ISNUMBER(OFFSET('EDP Proyectado'!AI80,0,-'Ingreso Proyectado_Edu'!$P80))&lt;&gt;0,IF(OFFSET('EDP Proyectado'!AI80,0,-'Ingreso Proyectado_Edu'!$P80)+0&lt;=1,0,OFFSET('EDP Proyectado'!AI80,0,-'Ingreso Proyectado_Edu'!$P80)+0)),0)</f>
        <v>0</v>
      </c>
      <c r="AI80" s="169">
        <f ca="1">+IFERROR(IF(ISNUMBER(OFFSET('EDP Proyectado'!AJ80,0,-'Ingreso Proyectado_Edu'!$P80))&lt;&gt;0,IF(OFFSET('EDP Proyectado'!AJ80,0,-'Ingreso Proyectado_Edu'!$P80)+0&lt;=1,0,OFFSET('EDP Proyectado'!AJ80,0,-'Ingreso Proyectado_Edu'!$P80)+0)),0)</f>
        <v>0</v>
      </c>
      <c r="AJ80" s="169">
        <f ca="1">+IFERROR(IF(ISNUMBER(OFFSET('EDP Proyectado'!AK80,0,-'Ingreso Proyectado_Edu'!$P80))&lt;&gt;0,IF(OFFSET('EDP Proyectado'!AK80,0,-'Ingreso Proyectado_Edu'!$P80)+0&lt;=1,0,OFFSET('EDP Proyectado'!AK80,0,-'Ingreso Proyectado_Edu'!$P80)+0)),0)</f>
        <v>0</v>
      </c>
      <c r="AK80" s="169">
        <f ca="1">+IFERROR(IF(ISNUMBER(OFFSET('EDP Proyectado'!AL80,0,-'Ingreso Proyectado_Edu'!$P80))&lt;&gt;0,IF(OFFSET('EDP Proyectado'!AL80,0,-'Ingreso Proyectado_Edu'!$P80)+0&lt;=1,0,OFFSET('EDP Proyectado'!AL80,0,-'Ingreso Proyectado_Edu'!$P80)+0)),0)</f>
        <v>0</v>
      </c>
      <c r="AL80" s="169">
        <f ca="1">+IFERROR(IF(ISNUMBER(OFFSET('EDP Proyectado'!AM80,0,-'Ingreso Proyectado_Edu'!$P80))&lt;&gt;0,IF(OFFSET('EDP Proyectado'!AM80,0,-'Ingreso Proyectado_Edu'!$P80)+0&lt;=1,0,OFFSET('EDP Proyectado'!AM80,0,-'Ingreso Proyectado_Edu'!$P80)+0)),0)</f>
        <v>0</v>
      </c>
      <c r="AM80" s="169">
        <f ca="1">+IFERROR(IF(ISNUMBER(OFFSET('EDP Proyectado'!AN80,0,-'Ingreso Proyectado_Edu'!$P80))&lt;&gt;0,IF(OFFSET('EDP Proyectado'!AN80,0,-'Ingreso Proyectado_Edu'!$P80)+0&lt;=1,0,OFFSET('EDP Proyectado'!AN80,0,-'Ingreso Proyectado_Edu'!$P80)+0)),0)</f>
        <v>0</v>
      </c>
      <c r="AN80" s="169">
        <f ca="1">+IFERROR(IF(ISNUMBER(OFFSET('EDP Proyectado'!AO80,0,-'Ingreso Proyectado_Edu'!$P80))&lt;&gt;0,IF(OFFSET('EDP Proyectado'!AO80,0,-'Ingreso Proyectado_Edu'!$P80)+0&lt;=1,0,OFFSET('EDP Proyectado'!AO80,0,-'Ingreso Proyectado_Edu'!$P80)+0)),0)</f>
        <v>30333.333333333332</v>
      </c>
      <c r="AO80" s="169">
        <f ca="1">+IFERROR(IF(ISNUMBER(OFFSET('EDP Proyectado'!AP80,0,-'Ingreso Proyectado_Edu'!$P80))&lt;&gt;0,IF(OFFSET('EDP Proyectado'!AP80,0,-'Ingreso Proyectado_Edu'!$P80)+0&lt;=1,0,OFFSET('EDP Proyectado'!AP80,0,-'Ingreso Proyectado_Edu'!$P80)+0)),0)</f>
        <v>30333.333333333332</v>
      </c>
      <c r="AP80" s="170">
        <f ca="1">+IFERROR(IF(ISNUMBER(OFFSET('EDP Proyectado'!AQ80,0,-'Ingreso Proyectado_Edu'!$P80))&lt;&gt;0,IF(OFFSET('EDP Proyectado'!AQ80,0,-'Ingreso Proyectado_Edu'!$P80)+0&lt;=1,0,OFFSET('EDP Proyectado'!AQ80,0,-'Ingreso Proyectado_Edu'!$P80)+0)),0)</f>
        <v>30333.333333333332</v>
      </c>
    </row>
    <row r="81" spans="3:42" x14ac:dyDescent="0.2">
      <c r="C81" s="144">
        <f>+'Gantt Proyectos'!C149</f>
        <v>53</v>
      </c>
      <c r="D81" s="145" t="e">
        <f>+'Gantt Proyectos'!#REF!</f>
        <v>#REF!</v>
      </c>
      <c r="E81" s="145" t="e">
        <f>+'Gantt Proyectos'!#REF!</f>
        <v>#REF!</v>
      </c>
      <c r="F81" s="147" t="e">
        <f>+'Gantt Proyectos'!#REF!</f>
        <v>#REF!</v>
      </c>
      <c r="G81" s="145" t="e">
        <f>+'Gantt Proyectos'!#REF!</f>
        <v>#REF!</v>
      </c>
      <c r="H81" s="145">
        <f>+'Gantt Proyectos'!H149</f>
        <v>0</v>
      </c>
      <c r="I81" s="189">
        <v>1</v>
      </c>
      <c r="J81" s="189">
        <f t="shared" si="8"/>
        <v>0</v>
      </c>
      <c r="K81" s="145" t="str">
        <f>+'Gantt Proyectos'!I149</f>
        <v>Subterránea</v>
      </c>
      <c r="L81" s="120">
        <f>+'Gantt Proyectos'!J149</f>
        <v>1</v>
      </c>
      <c r="M81" s="145">
        <f>+'Gantt Proyectos'!K149</f>
        <v>0</v>
      </c>
      <c r="N81" s="145">
        <f>+'Gantt Proyectos'!L149</f>
        <v>100000</v>
      </c>
      <c r="O81" s="145">
        <f>+'Gantt Proyectos'!M149</f>
        <v>100000</v>
      </c>
      <c r="P81" s="145">
        <f>+'Gantt Proyectos'!N149</f>
        <v>2</v>
      </c>
      <c r="Q81" s="119">
        <f>+'Gantt Proyectos'!O149</f>
        <v>45839</v>
      </c>
      <c r="R81" s="119">
        <f>+'Gantt Proyectos'!P149</f>
        <v>45960</v>
      </c>
      <c r="S81" s="145" t="str">
        <f>+'Gantt Proyectos'!R149</f>
        <v>No</v>
      </c>
      <c r="T81" s="118">
        <f>+'Gantt Proyectos'!S149</f>
        <v>0</v>
      </c>
      <c r="U81" s="156">
        <f>+'Gantt Proyectos'!T149</f>
        <v>45839</v>
      </c>
      <c r="V81" s="156">
        <f>+'Gantt Proyectos'!U149</f>
        <v>45960</v>
      </c>
      <c r="W81" s="201">
        <f t="shared" si="9"/>
        <v>4</v>
      </c>
      <c r="X81" s="121">
        <f>+'Gantt Proyectos'!W149</f>
        <v>2.5503355704697985</v>
      </c>
      <c r="Y81" s="122">
        <f>+'Gantt Proyectos'!X149</f>
        <v>0</v>
      </c>
      <c r="Z81" s="122">
        <f>+'Gantt Proyectos'!Y149</f>
        <v>0</v>
      </c>
      <c r="AA81" s="122">
        <f>+'Gantt Proyectos'!Z149</f>
        <v>0</v>
      </c>
      <c r="AB81" s="122">
        <f>+'Gantt Proyectos'!AA149</f>
        <v>0</v>
      </c>
      <c r="AC81" s="122">
        <f>+'Gantt Proyectos'!AB149</f>
        <v>0</v>
      </c>
      <c r="AD81" s="123" t="str">
        <f>+'Gantt Proyectos'!AC149</f>
        <v>FS e Ing. Basica</v>
      </c>
      <c r="AE81" s="123" t="str">
        <f>+'Gantt Proyectos'!AD149</f>
        <v>Asignado</v>
      </c>
      <c r="AF81" s="124" t="str">
        <f>+'Gantt Proyectos'!AE149</f>
        <v>1. Proyectado: Asignado</v>
      </c>
      <c r="AG81" s="172">
        <v>1</v>
      </c>
      <c r="AH81" s="169">
        <f ca="1">+IFERROR(IF(ISNUMBER(OFFSET('EDP Proyectado'!AI81,0,-'Ingreso Proyectado_Edu'!$P81))&lt;&gt;0,IF(OFFSET('EDP Proyectado'!AI81,0,-'Ingreso Proyectado_Edu'!$P81)+0&lt;=1,0,OFFSET('EDP Proyectado'!AI81,0,-'Ingreso Proyectado_Edu'!$P81)+0)),0)</f>
        <v>0</v>
      </c>
      <c r="AI81" s="169">
        <f ca="1">+IFERROR(IF(ISNUMBER(OFFSET('EDP Proyectado'!AJ81,0,-'Ingreso Proyectado_Edu'!$P81))&lt;&gt;0,IF(OFFSET('EDP Proyectado'!AJ81,0,-'Ingreso Proyectado_Edu'!$P81)+0&lt;=1,0,OFFSET('EDP Proyectado'!AJ81,0,-'Ingreso Proyectado_Edu'!$P81)+0)),0)</f>
        <v>0</v>
      </c>
      <c r="AJ81" s="169">
        <f ca="1">+IFERROR(IF(ISNUMBER(OFFSET('EDP Proyectado'!AK81,0,-'Ingreso Proyectado_Edu'!$P81))&lt;&gt;0,IF(OFFSET('EDP Proyectado'!AK81,0,-'Ingreso Proyectado_Edu'!$P81)+0&lt;=1,0,OFFSET('EDP Proyectado'!AK81,0,-'Ingreso Proyectado_Edu'!$P81)+0)),0)</f>
        <v>0</v>
      </c>
      <c r="AK81" s="169">
        <f ca="1">+IFERROR(IF(ISNUMBER(OFFSET('EDP Proyectado'!AL81,0,-'Ingreso Proyectado_Edu'!$P81))&lt;&gt;0,IF(OFFSET('EDP Proyectado'!AL81,0,-'Ingreso Proyectado_Edu'!$P81)+0&lt;=1,0,OFFSET('EDP Proyectado'!AL81,0,-'Ingreso Proyectado_Edu'!$P81)+0)),0)</f>
        <v>0</v>
      </c>
      <c r="AL81" s="169">
        <f ca="1">+IFERROR(IF(ISNUMBER(OFFSET('EDP Proyectado'!AM81,0,-'Ingreso Proyectado_Edu'!$P81))&lt;&gt;0,IF(OFFSET('EDP Proyectado'!AM81,0,-'Ingreso Proyectado_Edu'!$P81)+0&lt;=1,0,OFFSET('EDP Proyectado'!AM81,0,-'Ingreso Proyectado_Edu'!$P81)+0)),0)</f>
        <v>0</v>
      </c>
      <c r="AM81" s="169">
        <f ca="1">+IFERROR(IF(ISNUMBER(OFFSET('EDP Proyectado'!AN81,0,-'Ingreso Proyectado_Edu'!$P81))&lt;&gt;0,IF(OFFSET('EDP Proyectado'!AN81,0,-'Ingreso Proyectado_Edu'!$P81)+0&lt;=1,0,OFFSET('EDP Proyectado'!AN81,0,-'Ingreso Proyectado_Edu'!$P81)+0)),0)</f>
        <v>25000</v>
      </c>
      <c r="AN81" s="169">
        <f ca="1">+IFERROR(IF(ISNUMBER(OFFSET('EDP Proyectado'!AO81,0,-'Ingreso Proyectado_Edu'!$P81))&lt;&gt;0,IF(OFFSET('EDP Proyectado'!AO81,0,-'Ingreso Proyectado_Edu'!$P81)+0&lt;=1,0,OFFSET('EDP Proyectado'!AO81,0,-'Ingreso Proyectado_Edu'!$P81)+0)),0)</f>
        <v>25000</v>
      </c>
      <c r="AO81" s="169">
        <f ca="1">+IFERROR(IF(ISNUMBER(OFFSET('EDP Proyectado'!AP81,0,-'Ingreso Proyectado_Edu'!$P81))&lt;&gt;0,IF(OFFSET('EDP Proyectado'!AP81,0,-'Ingreso Proyectado_Edu'!$P81)+0&lt;=1,0,OFFSET('EDP Proyectado'!AP81,0,-'Ingreso Proyectado_Edu'!$P81)+0)),0)</f>
        <v>25000</v>
      </c>
      <c r="AP81" s="170">
        <f ca="1">+IFERROR(IF(ISNUMBER(OFFSET('EDP Proyectado'!AQ81,0,-'Ingreso Proyectado_Edu'!$P81))&lt;&gt;0,IF(OFFSET('EDP Proyectado'!AQ81,0,-'Ingreso Proyectado_Edu'!$P81)+0&lt;=1,0,OFFSET('EDP Proyectado'!AQ81,0,-'Ingreso Proyectado_Edu'!$P81)+0)),0)</f>
        <v>25000</v>
      </c>
    </row>
    <row r="82" spans="3:42" x14ac:dyDescent="0.2">
      <c r="C82" s="144">
        <f>+'Gantt Proyectos'!C150</f>
        <v>54</v>
      </c>
      <c r="D82" s="145" t="str">
        <f>+'Gantt Proyectos'!D150</f>
        <v>Corto plazo</v>
      </c>
      <c r="E82" s="145" t="str">
        <f>+'Gantt Proyectos'!E150</f>
        <v>CMDIC</v>
      </c>
      <c r="F82" s="147" t="str">
        <f>+'Gantt Proyectos'!F150</f>
        <v>Chile</v>
      </c>
      <c r="G82" s="145" t="str">
        <f>+'Gantt Proyectos'!G150</f>
        <v>Chile</v>
      </c>
      <c r="H82" s="145">
        <f>+'Gantt Proyectos'!H150</f>
        <v>0</v>
      </c>
      <c r="I82" s="189">
        <v>1</v>
      </c>
      <c r="J82" s="189">
        <f t="shared" si="8"/>
        <v>0</v>
      </c>
      <c r="K82" s="145">
        <f>+'Gantt Proyectos'!I150</f>
        <v>0</v>
      </c>
      <c r="L82" s="120">
        <f>+'Gantt Proyectos'!J150</f>
        <v>1</v>
      </c>
      <c r="M82" s="145">
        <f>+'Gantt Proyectos'!K150</f>
        <v>0</v>
      </c>
      <c r="N82" s="145">
        <f>+'Gantt Proyectos'!L150</f>
        <v>120000</v>
      </c>
      <c r="O82" s="145">
        <f>+'Gantt Proyectos'!M150</f>
        <v>120000</v>
      </c>
      <c r="P82" s="145">
        <f>+'Gantt Proyectos'!N150</f>
        <v>1</v>
      </c>
      <c r="Q82" s="119">
        <f>+'Gantt Proyectos'!O150</f>
        <v>45839</v>
      </c>
      <c r="R82" s="119">
        <f>+'Gantt Proyectos'!P150</f>
        <v>45930</v>
      </c>
      <c r="S82" s="145" t="str">
        <f>+'Gantt Proyectos'!R150</f>
        <v>No</v>
      </c>
      <c r="T82" s="118">
        <f>+'Gantt Proyectos'!S150</f>
        <v>0</v>
      </c>
      <c r="U82" s="156">
        <f>+'Gantt Proyectos'!T150</f>
        <v>45839</v>
      </c>
      <c r="V82" s="156">
        <f>+'Gantt Proyectos'!U150</f>
        <v>45930</v>
      </c>
      <c r="W82" s="201">
        <f t="shared" si="9"/>
        <v>3</v>
      </c>
      <c r="X82" s="121">
        <f>+'Gantt Proyectos'!W150</f>
        <v>0.21610738255033554</v>
      </c>
      <c r="Y82" s="122">
        <f>+'Gantt Proyectos'!X150</f>
        <v>0</v>
      </c>
      <c r="Z82" s="122">
        <f>+'Gantt Proyectos'!Y150</f>
        <v>0</v>
      </c>
      <c r="AA82" s="122">
        <f>+'Gantt Proyectos'!Z150</f>
        <v>0</v>
      </c>
      <c r="AB82" s="122">
        <f>+'Gantt Proyectos'!AA150</f>
        <v>0</v>
      </c>
      <c r="AC82" s="122">
        <f>+'Gantt Proyectos'!AB150</f>
        <v>0</v>
      </c>
      <c r="AD82" s="123" t="str">
        <f>+'Gantt Proyectos'!AC150</f>
        <v>Estudio Conceptual / LOM</v>
      </c>
      <c r="AE82" s="123" t="str">
        <f>+'Gantt Proyectos'!AD150</f>
        <v>No Asignado</v>
      </c>
      <c r="AF82" s="124" t="str">
        <f>+'Gantt Proyectos'!AE150</f>
        <v>1. Proyectado: No  Asignado</v>
      </c>
      <c r="AG82" s="172">
        <v>1</v>
      </c>
      <c r="AH82" s="169">
        <f ca="1">+IFERROR(IF(ISNUMBER(OFFSET('EDP Proyectado'!AI82,0,-'Ingreso Proyectado_Edu'!$P82))&lt;&gt;0,IF(OFFSET('EDP Proyectado'!AI82,0,-'Ingreso Proyectado_Edu'!$P82)+0&lt;=1,0,OFFSET('EDP Proyectado'!AI82,0,-'Ingreso Proyectado_Edu'!$P82)+0)),0)</f>
        <v>0</v>
      </c>
      <c r="AI82" s="169">
        <f ca="1">+IFERROR(IF(ISNUMBER(OFFSET('EDP Proyectado'!AJ82,0,-'Ingreso Proyectado_Edu'!$P82))&lt;&gt;0,IF(OFFSET('EDP Proyectado'!AJ82,0,-'Ingreso Proyectado_Edu'!$P82)+0&lt;=1,0,OFFSET('EDP Proyectado'!AJ82,0,-'Ingreso Proyectado_Edu'!$P82)+0)),0)</f>
        <v>0</v>
      </c>
      <c r="AJ82" s="169">
        <f ca="1">+IFERROR(IF(ISNUMBER(OFFSET('EDP Proyectado'!AK82,0,-'Ingreso Proyectado_Edu'!$P82))&lt;&gt;0,IF(OFFSET('EDP Proyectado'!AK82,0,-'Ingreso Proyectado_Edu'!$P82)+0&lt;=1,0,OFFSET('EDP Proyectado'!AK82,0,-'Ingreso Proyectado_Edu'!$P82)+0)),0)</f>
        <v>0</v>
      </c>
      <c r="AK82" s="169">
        <f ca="1">+IFERROR(IF(ISNUMBER(OFFSET('EDP Proyectado'!AL82,0,-'Ingreso Proyectado_Edu'!$P82))&lt;&gt;0,IF(OFFSET('EDP Proyectado'!AL82,0,-'Ingreso Proyectado_Edu'!$P82)+0&lt;=1,0,OFFSET('EDP Proyectado'!AL82,0,-'Ingreso Proyectado_Edu'!$P82)+0)),0)</f>
        <v>0</v>
      </c>
      <c r="AL82" s="169">
        <f ca="1">+IFERROR(IF(ISNUMBER(OFFSET('EDP Proyectado'!AM82,0,-'Ingreso Proyectado_Edu'!$P82))&lt;&gt;0,IF(OFFSET('EDP Proyectado'!AM82,0,-'Ingreso Proyectado_Edu'!$P82)+0&lt;=1,0,OFFSET('EDP Proyectado'!AM82,0,-'Ingreso Proyectado_Edu'!$P82)+0)),0)</f>
        <v>12000</v>
      </c>
      <c r="AM82" s="169">
        <f ca="1">+IFERROR(IF(ISNUMBER(OFFSET('EDP Proyectado'!AN82,0,-'Ingreso Proyectado_Edu'!$P82))&lt;&gt;0,IF(OFFSET('EDP Proyectado'!AN82,0,-'Ingreso Proyectado_Edu'!$P82)+0&lt;=1,0,OFFSET('EDP Proyectado'!AN82,0,-'Ingreso Proyectado_Edu'!$P82)+0)),0)</f>
        <v>12000</v>
      </c>
      <c r="AN82" s="169">
        <f ca="1">+IFERROR(IF(ISNUMBER(OFFSET('EDP Proyectado'!AO82,0,-'Ingreso Proyectado_Edu'!$P82))&lt;&gt;0,IF(OFFSET('EDP Proyectado'!AO82,0,-'Ingreso Proyectado_Edu'!$P82)+0&lt;=1,0,OFFSET('EDP Proyectado'!AO82,0,-'Ingreso Proyectado_Edu'!$P82)+0)),0)</f>
        <v>12000</v>
      </c>
      <c r="AO82" s="169">
        <f ca="1">+IFERROR(IF(ISNUMBER(OFFSET('EDP Proyectado'!AP82,0,-'Ingreso Proyectado_Edu'!$P82))&lt;&gt;0,IF(OFFSET('EDP Proyectado'!AP82,0,-'Ingreso Proyectado_Edu'!$P82)+0&lt;=1,0,OFFSET('EDP Proyectado'!AP82,0,-'Ingreso Proyectado_Edu'!$P82)+0)),0)</f>
        <v>0</v>
      </c>
      <c r="AP82" s="170">
        <f ca="1">+IFERROR(IF(ISNUMBER(OFFSET('EDP Proyectado'!AQ82,0,-'Ingreso Proyectado_Edu'!$P82))&lt;&gt;0,IF(OFFSET('EDP Proyectado'!AQ82,0,-'Ingreso Proyectado_Edu'!$P82)+0&lt;=1,0,OFFSET('EDP Proyectado'!AQ82,0,-'Ingreso Proyectado_Edu'!$P82)+0)),0)</f>
        <v>0</v>
      </c>
    </row>
    <row r="83" spans="3:42" x14ac:dyDescent="0.2">
      <c r="C83" s="144">
        <f>+'Gantt Proyectos'!C151</f>
        <v>55</v>
      </c>
      <c r="D83" s="145" t="str">
        <f>+'Gantt Proyectos'!D151</f>
        <v>Corto plazo</v>
      </c>
      <c r="E83" s="145" t="str">
        <f>+'Gantt Proyectos'!E151</f>
        <v>AMSA</v>
      </c>
      <c r="F83" s="147" t="str">
        <f>+'Gantt Proyectos'!F151</f>
        <v>Chile</v>
      </c>
      <c r="G83" s="145" t="str">
        <f>+'Gantt Proyectos'!G151</f>
        <v>Chile</v>
      </c>
      <c r="H83" s="145">
        <f>+'Gantt Proyectos'!H151</f>
        <v>0</v>
      </c>
      <c r="I83" s="189">
        <v>1</v>
      </c>
      <c r="J83" s="189">
        <f t="shared" si="8"/>
        <v>0</v>
      </c>
      <c r="K83" s="145">
        <f>+'Gantt Proyectos'!I151</f>
        <v>0</v>
      </c>
      <c r="L83" s="120">
        <f>+'Gantt Proyectos'!J151</f>
        <v>1</v>
      </c>
      <c r="M83" s="145">
        <f>+'Gantt Proyectos'!K151</f>
        <v>0</v>
      </c>
      <c r="N83" s="145">
        <f>+'Gantt Proyectos'!L151</f>
        <v>120000</v>
      </c>
      <c r="O83" s="145">
        <f>+'Gantt Proyectos'!M151</f>
        <v>120000</v>
      </c>
      <c r="P83" s="145">
        <f>+'Gantt Proyectos'!N151</f>
        <v>1</v>
      </c>
      <c r="Q83" s="119">
        <f>+'Gantt Proyectos'!O151</f>
        <v>45839</v>
      </c>
      <c r="R83" s="119">
        <f>+'Gantt Proyectos'!P151</f>
        <v>45930</v>
      </c>
      <c r="S83" s="145" t="str">
        <f>+'Gantt Proyectos'!R151</f>
        <v>No</v>
      </c>
      <c r="T83" s="118">
        <f>+'Gantt Proyectos'!S151</f>
        <v>0</v>
      </c>
      <c r="U83" s="156">
        <f>+'Gantt Proyectos'!T151</f>
        <v>45839</v>
      </c>
      <c r="V83" s="156">
        <f>+'Gantt Proyectos'!U151</f>
        <v>45930</v>
      </c>
      <c r="W83" s="201">
        <f t="shared" si="9"/>
        <v>3</v>
      </c>
      <c r="X83" s="121">
        <f>+'Gantt Proyectos'!W151</f>
        <v>0.21610738255033554</v>
      </c>
      <c r="Y83" s="122">
        <f>+'Gantt Proyectos'!X151</f>
        <v>0</v>
      </c>
      <c r="Z83" s="122">
        <f>+'Gantt Proyectos'!Y151</f>
        <v>0</v>
      </c>
      <c r="AA83" s="122">
        <f>+'Gantt Proyectos'!Z151</f>
        <v>0</v>
      </c>
      <c r="AB83" s="122">
        <f>+'Gantt Proyectos'!AA151</f>
        <v>0</v>
      </c>
      <c r="AC83" s="122">
        <f>+'Gantt Proyectos'!AB151</f>
        <v>0</v>
      </c>
      <c r="AD83" s="123" t="str">
        <f>+'Gantt Proyectos'!AC151</f>
        <v>Estudio Conceptual / LOM</v>
      </c>
      <c r="AE83" s="123" t="str">
        <f>+'Gantt Proyectos'!AD151</f>
        <v>No Asignado</v>
      </c>
      <c r="AF83" s="124" t="str">
        <f>+'Gantt Proyectos'!AE151</f>
        <v>1. Proyectado: No  Asignado</v>
      </c>
      <c r="AG83" s="172">
        <v>1</v>
      </c>
      <c r="AH83" s="169">
        <f ca="1">+IFERROR(IF(ISNUMBER(OFFSET('EDP Proyectado'!AI83,0,-'Ingreso Proyectado_Edu'!$P83))&lt;&gt;0,IF(OFFSET('EDP Proyectado'!AI83,0,-'Ingreso Proyectado_Edu'!$P83)+0&lt;=1,0,OFFSET('EDP Proyectado'!AI83,0,-'Ingreso Proyectado_Edu'!$P83)+0)),0)</f>
        <v>0</v>
      </c>
      <c r="AI83" s="169">
        <f ca="1">+IFERROR(IF(ISNUMBER(OFFSET('EDP Proyectado'!AJ83,0,-'Ingreso Proyectado_Edu'!$P83))&lt;&gt;0,IF(OFFSET('EDP Proyectado'!AJ83,0,-'Ingreso Proyectado_Edu'!$P83)+0&lt;=1,0,OFFSET('EDP Proyectado'!AJ83,0,-'Ingreso Proyectado_Edu'!$P83)+0)),0)</f>
        <v>0</v>
      </c>
      <c r="AJ83" s="169">
        <f ca="1">+IFERROR(IF(ISNUMBER(OFFSET('EDP Proyectado'!AK83,0,-'Ingreso Proyectado_Edu'!$P83))&lt;&gt;0,IF(OFFSET('EDP Proyectado'!AK83,0,-'Ingreso Proyectado_Edu'!$P83)+0&lt;=1,0,OFFSET('EDP Proyectado'!AK83,0,-'Ingreso Proyectado_Edu'!$P83)+0)),0)</f>
        <v>0</v>
      </c>
      <c r="AK83" s="169">
        <f ca="1">+IFERROR(IF(ISNUMBER(OFFSET('EDP Proyectado'!AL83,0,-'Ingreso Proyectado_Edu'!$P83))&lt;&gt;0,IF(OFFSET('EDP Proyectado'!AL83,0,-'Ingreso Proyectado_Edu'!$P83)+0&lt;=1,0,OFFSET('EDP Proyectado'!AL83,0,-'Ingreso Proyectado_Edu'!$P83)+0)),0)</f>
        <v>0</v>
      </c>
      <c r="AL83" s="169">
        <f ca="1">+IFERROR(IF(ISNUMBER(OFFSET('EDP Proyectado'!AM83,0,-'Ingreso Proyectado_Edu'!$P83))&lt;&gt;0,IF(OFFSET('EDP Proyectado'!AM83,0,-'Ingreso Proyectado_Edu'!$P83)+0&lt;=1,0,OFFSET('EDP Proyectado'!AM83,0,-'Ingreso Proyectado_Edu'!$P83)+0)),0)</f>
        <v>12000</v>
      </c>
      <c r="AM83" s="169">
        <f ca="1">+IFERROR(IF(ISNUMBER(OFFSET('EDP Proyectado'!AN83,0,-'Ingreso Proyectado_Edu'!$P83))&lt;&gt;0,IF(OFFSET('EDP Proyectado'!AN83,0,-'Ingreso Proyectado_Edu'!$P83)+0&lt;=1,0,OFFSET('EDP Proyectado'!AN83,0,-'Ingreso Proyectado_Edu'!$P83)+0)),0)</f>
        <v>12000</v>
      </c>
      <c r="AN83" s="169">
        <f ca="1">+IFERROR(IF(ISNUMBER(OFFSET('EDP Proyectado'!AO83,0,-'Ingreso Proyectado_Edu'!$P83))&lt;&gt;0,IF(OFFSET('EDP Proyectado'!AO83,0,-'Ingreso Proyectado_Edu'!$P83)+0&lt;=1,0,OFFSET('EDP Proyectado'!AO83,0,-'Ingreso Proyectado_Edu'!$P83)+0)),0)</f>
        <v>12000</v>
      </c>
      <c r="AO83" s="169">
        <f ca="1">+IFERROR(IF(ISNUMBER(OFFSET('EDP Proyectado'!AP83,0,-'Ingreso Proyectado_Edu'!$P83))&lt;&gt;0,IF(OFFSET('EDP Proyectado'!AP83,0,-'Ingreso Proyectado_Edu'!$P83)+0&lt;=1,0,OFFSET('EDP Proyectado'!AP83,0,-'Ingreso Proyectado_Edu'!$P83)+0)),0)</f>
        <v>0</v>
      </c>
      <c r="AP83" s="170">
        <f ca="1">+IFERROR(IF(ISNUMBER(OFFSET('EDP Proyectado'!AQ83,0,-'Ingreso Proyectado_Edu'!$P83))&lt;&gt;0,IF(OFFSET('EDP Proyectado'!AQ83,0,-'Ingreso Proyectado_Edu'!$P83)+0&lt;=1,0,OFFSET('EDP Proyectado'!AQ83,0,-'Ingreso Proyectado_Edu'!$P83)+0)),0)</f>
        <v>0</v>
      </c>
    </row>
    <row r="84" spans="3:42" x14ac:dyDescent="0.2">
      <c r="C84" s="144">
        <f>+'Gantt Proyectos'!C152</f>
        <v>56</v>
      </c>
      <c r="D84" s="145" t="str">
        <f>+'Gantt Proyectos'!D152</f>
        <v>Acompañamiento simplan Cajati</v>
      </c>
      <c r="E84" s="145" t="str">
        <f>+'Gantt Proyectos'!E152</f>
        <v>Mosaic</v>
      </c>
      <c r="F84" s="147" t="str">
        <f>+'Gantt Proyectos'!F152</f>
        <v>Brasil</v>
      </c>
      <c r="G84" s="145" t="str">
        <f>+'Gantt Proyectos'!G152</f>
        <v>Chile</v>
      </c>
      <c r="H84" s="145">
        <f>+'Gantt Proyectos'!H152</f>
        <v>0</v>
      </c>
      <c r="I84" s="189">
        <v>1</v>
      </c>
      <c r="J84" s="189">
        <f t="shared" si="8"/>
        <v>0</v>
      </c>
      <c r="K84" s="145">
        <f>+'Gantt Proyectos'!I152</f>
        <v>0</v>
      </c>
      <c r="L84" s="120">
        <f>+'Gantt Proyectos'!J152</f>
        <v>1</v>
      </c>
      <c r="M84" s="145">
        <f>+'Gantt Proyectos'!K152</f>
        <v>0</v>
      </c>
      <c r="N84" s="145">
        <f>+'Gantt Proyectos'!L152</f>
        <v>85000</v>
      </c>
      <c r="O84" s="145">
        <f>+'Gantt Proyectos'!M152</f>
        <v>85000</v>
      </c>
      <c r="P84" s="145">
        <f>+'Gantt Proyectos'!N152</f>
        <v>3</v>
      </c>
      <c r="Q84" s="119">
        <f>+'Gantt Proyectos'!O152</f>
        <v>45870</v>
      </c>
      <c r="R84" s="119">
        <f>+'Gantt Proyectos'!P152</f>
        <v>45960</v>
      </c>
      <c r="S84" s="145" t="str">
        <f>+'Gantt Proyectos'!R152</f>
        <v>No</v>
      </c>
      <c r="T84" s="118">
        <f>+'Gantt Proyectos'!S152</f>
        <v>0</v>
      </c>
      <c r="U84" s="156">
        <f>+'Gantt Proyectos'!T152</f>
        <v>45870</v>
      </c>
      <c r="V84" s="156">
        <f>+'Gantt Proyectos'!U152</f>
        <v>45960</v>
      </c>
      <c r="W84" s="201">
        <f t="shared" si="9"/>
        <v>3</v>
      </c>
      <c r="X84" s="121">
        <f>+'Gantt Proyectos'!W152</f>
        <v>0.5</v>
      </c>
      <c r="Y84" s="122">
        <f>+'Gantt Proyectos'!X152</f>
        <v>0</v>
      </c>
      <c r="Z84" s="122">
        <f>+'Gantt Proyectos'!Y152</f>
        <v>0</v>
      </c>
      <c r="AA84" s="122">
        <f>+'Gantt Proyectos'!Z152</f>
        <v>0</v>
      </c>
      <c r="AB84" s="122">
        <f>+'Gantt Proyectos'!AA152</f>
        <v>0</v>
      </c>
      <c r="AC84" s="122">
        <f>+'Gantt Proyectos'!AB152</f>
        <v>0</v>
      </c>
      <c r="AD84" s="123" t="str">
        <f>+'Gantt Proyectos'!AC152</f>
        <v>Consultoria y Due Dilligence</v>
      </c>
      <c r="AE84" s="123" t="str">
        <f>+'Gantt Proyectos'!AD152</f>
        <v>No Asignado</v>
      </c>
      <c r="AF84" s="124" t="str">
        <f>+'Gantt Proyectos'!AE152</f>
        <v>1. Proyectado: No  Asignado</v>
      </c>
      <c r="AG84" s="172">
        <v>1</v>
      </c>
      <c r="AH84" s="169">
        <f ca="1">+IFERROR(IF(ISNUMBER(OFFSET('EDP Proyectado'!AI84,0,-'Ingreso Proyectado_Edu'!$P84))&lt;&gt;0,IF(OFFSET('EDP Proyectado'!AI84,0,-'Ingreso Proyectado_Edu'!$P84)+0&lt;=1,0,OFFSET('EDP Proyectado'!AI84,0,-'Ingreso Proyectado_Edu'!$P84)+0)),0)</f>
        <v>0</v>
      </c>
      <c r="AI84" s="169">
        <f ca="1">+IFERROR(IF(ISNUMBER(OFFSET('EDP Proyectado'!AJ84,0,-'Ingreso Proyectado_Edu'!$P84))&lt;&gt;0,IF(OFFSET('EDP Proyectado'!AJ84,0,-'Ingreso Proyectado_Edu'!$P84)+0&lt;=1,0,OFFSET('EDP Proyectado'!AJ84,0,-'Ingreso Proyectado_Edu'!$P84)+0)),0)</f>
        <v>0</v>
      </c>
      <c r="AJ84" s="169">
        <f ca="1">+IFERROR(IF(ISNUMBER(OFFSET('EDP Proyectado'!AK84,0,-'Ingreso Proyectado_Edu'!$P84))&lt;&gt;0,IF(OFFSET('EDP Proyectado'!AK84,0,-'Ingreso Proyectado_Edu'!$P84)+0&lt;=1,0,OFFSET('EDP Proyectado'!AK84,0,-'Ingreso Proyectado_Edu'!$P84)+0)),0)</f>
        <v>0</v>
      </c>
      <c r="AK84" s="169">
        <f ca="1">+IFERROR(IF(ISNUMBER(OFFSET('EDP Proyectado'!AL84,0,-'Ingreso Proyectado_Edu'!$P84))&lt;&gt;0,IF(OFFSET('EDP Proyectado'!AL84,0,-'Ingreso Proyectado_Edu'!$P84)+0&lt;=1,0,OFFSET('EDP Proyectado'!AL84,0,-'Ingreso Proyectado_Edu'!$P84)+0)),0)</f>
        <v>0</v>
      </c>
      <c r="AL84" s="169">
        <f ca="1">+IFERROR(IF(ISNUMBER(OFFSET('EDP Proyectado'!AM84,0,-'Ingreso Proyectado_Edu'!$P84))&lt;&gt;0,IF(OFFSET('EDP Proyectado'!AM84,0,-'Ingreso Proyectado_Edu'!$P84)+0&lt;=1,0,OFFSET('EDP Proyectado'!AM84,0,-'Ingreso Proyectado_Edu'!$P84)+0)),0)</f>
        <v>0</v>
      </c>
      <c r="AM84" s="169">
        <f ca="1">+IFERROR(IF(ISNUMBER(OFFSET('EDP Proyectado'!AN84,0,-'Ingreso Proyectado_Edu'!$P84))&lt;&gt;0,IF(OFFSET('EDP Proyectado'!AN84,0,-'Ingreso Proyectado_Edu'!$P84)+0&lt;=1,0,OFFSET('EDP Proyectado'!AN84,0,-'Ingreso Proyectado_Edu'!$P84)+0)),0)</f>
        <v>0</v>
      </c>
      <c r="AN84" s="169">
        <f ca="1">+IFERROR(IF(ISNUMBER(OFFSET('EDP Proyectado'!AO84,0,-'Ingreso Proyectado_Edu'!$P84))&lt;&gt;0,IF(OFFSET('EDP Proyectado'!AO84,0,-'Ingreso Proyectado_Edu'!$P84)+0&lt;=1,0,OFFSET('EDP Proyectado'!AO84,0,-'Ingreso Proyectado_Edu'!$P84)+0)),0)</f>
        <v>0</v>
      </c>
      <c r="AO84" s="169">
        <f ca="1">+IFERROR(IF(ISNUMBER(OFFSET('EDP Proyectado'!AP84,0,-'Ingreso Proyectado_Edu'!$P84))&lt;&gt;0,IF(OFFSET('EDP Proyectado'!AP84,0,-'Ingreso Proyectado_Edu'!$P84)+0&lt;=1,0,OFFSET('EDP Proyectado'!AP84,0,-'Ingreso Proyectado_Edu'!$P84)+0)),0)</f>
        <v>14166.666666666666</v>
      </c>
      <c r="AP84" s="170">
        <f ca="1">+IFERROR(IF(ISNUMBER(OFFSET('EDP Proyectado'!AQ84,0,-'Ingreso Proyectado_Edu'!$P84))&lt;&gt;0,IF(OFFSET('EDP Proyectado'!AQ84,0,-'Ingreso Proyectado_Edu'!$P84)+0&lt;=1,0,OFFSET('EDP Proyectado'!AQ84,0,-'Ingreso Proyectado_Edu'!$P84)+0)),0)</f>
        <v>14166.666666666666</v>
      </c>
    </row>
    <row r="85" spans="3:42" x14ac:dyDescent="0.2">
      <c r="C85" s="144">
        <f>+'Gantt Proyectos'!C153</f>
        <v>57</v>
      </c>
      <c r="D85" s="145" t="str">
        <f>+'Gantt Proyectos'!D153</f>
        <v xml:space="preserve">Actualziación LOM </v>
      </c>
      <c r="E85" s="145" t="str">
        <f>+'Gantt Proyectos'!E153</f>
        <v>LHG</v>
      </c>
      <c r="F85" s="147" t="str">
        <f>+'Gantt Proyectos'!F153</f>
        <v>Brasil</v>
      </c>
      <c r="G85" s="145" t="str">
        <f>+'Gantt Proyectos'!G153</f>
        <v>Chile</v>
      </c>
      <c r="H85" s="145">
        <f>+'Gantt Proyectos'!H153</f>
        <v>0</v>
      </c>
      <c r="I85" s="189">
        <v>1</v>
      </c>
      <c r="J85" s="189">
        <f t="shared" si="8"/>
        <v>0</v>
      </c>
      <c r="K85" s="145">
        <f>+'Gantt Proyectos'!I153</f>
        <v>0</v>
      </c>
      <c r="L85" s="120">
        <f>+'Gantt Proyectos'!J153</f>
        <v>1</v>
      </c>
      <c r="M85" s="145">
        <f>+'Gantt Proyectos'!K153</f>
        <v>0</v>
      </c>
      <c r="N85" s="145">
        <f>+'Gantt Proyectos'!L153</f>
        <v>145000</v>
      </c>
      <c r="O85" s="145">
        <f>+'Gantt Proyectos'!M153</f>
        <v>145000</v>
      </c>
      <c r="P85" s="145">
        <f>+'Gantt Proyectos'!N153</f>
        <v>2</v>
      </c>
      <c r="Q85" s="119">
        <f>+'Gantt Proyectos'!O153</f>
        <v>45839</v>
      </c>
      <c r="R85" s="119">
        <f>+'Gantt Proyectos'!P153</f>
        <v>45930</v>
      </c>
      <c r="S85" s="145" t="str">
        <f>+'Gantt Proyectos'!R153</f>
        <v>No</v>
      </c>
      <c r="T85" s="118">
        <f>+'Gantt Proyectos'!S153</f>
        <v>0</v>
      </c>
      <c r="U85" s="156">
        <f>+'Gantt Proyectos'!T153</f>
        <v>45839</v>
      </c>
      <c r="V85" s="156">
        <f>+'Gantt Proyectos'!U153</f>
        <v>45930</v>
      </c>
      <c r="W85" s="201">
        <f t="shared" si="9"/>
        <v>3</v>
      </c>
      <c r="X85" s="121">
        <f>+'Gantt Proyectos'!W153</f>
        <v>0.57628635346756141</v>
      </c>
      <c r="Y85" s="122">
        <f>+'Gantt Proyectos'!X153</f>
        <v>0</v>
      </c>
      <c r="Z85" s="122">
        <f>+'Gantt Proyectos'!Y153</f>
        <v>0</v>
      </c>
      <c r="AA85" s="122">
        <f>+'Gantt Proyectos'!Z153</f>
        <v>0</v>
      </c>
      <c r="AB85" s="122">
        <f>+'Gantt Proyectos'!AA153</f>
        <v>0</v>
      </c>
      <c r="AC85" s="122">
        <f>+'Gantt Proyectos'!AB153</f>
        <v>0</v>
      </c>
      <c r="AD85" s="123" t="str">
        <f>+'Gantt Proyectos'!AC153</f>
        <v>Estudio Conceptual / LOM</v>
      </c>
      <c r="AE85" s="123" t="str">
        <f>+'Gantt Proyectos'!AD153</f>
        <v>No Asignado</v>
      </c>
      <c r="AF85" s="124" t="str">
        <f>+'Gantt Proyectos'!AE153</f>
        <v>1. Proyectado: No  Asignado</v>
      </c>
      <c r="AG85" s="172">
        <v>1</v>
      </c>
      <c r="AH85" s="169">
        <f ca="1">+IFERROR(IF(ISNUMBER(OFFSET('EDP Proyectado'!AI85,0,-'Ingreso Proyectado_Edu'!$P85))&lt;&gt;0,IF(OFFSET('EDP Proyectado'!AI85,0,-'Ingreso Proyectado_Edu'!$P85)+0&lt;=1,0,OFFSET('EDP Proyectado'!AI85,0,-'Ingreso Proyectado_Edu'!$P85)+0)),0)</f>
        <v>0</v>
      </c>
      <c r="AI85" s="169">
        <f ca="1">+IFERROR(IF(ISNUMBER(OFFSET('EDP Proyectado'!AJ85,0,-'Ingreso Proyectado_Edu'!$P85))&lt;&gt;0,IF(OFFSET('EDP Proyectado'!AJ85,0,-'Ingreso Proyectado_Edu'!$P85)+0&lt;=1,0,OFFSET('EDP Proyectado'!AJ85,0,-'Ingreso Proyectado_Edu'!$P85)+0)),0)</f>
        <v>0</v>
      </c>
      <c r="AJ85" s="169">
        <f ca="1">+IFERROR(IF(ISNUMBER(OFFSET('EDP Proyectado'!AK85,0,-'Ingreso Proyectado_Edu'!$P85))&lt;&gt;0,IF(OFFSET('EDP Proyectado'!AK85,0,-'Ingreso Proyectado_Edu'!$P85)+0&lt;=1,0,OFFSET('EDP Proyectado'!AK85,0,-'Ingreso Proyectado_Edu'!$P85)+0)),0)</f>
        <v>0</v>
      </c>
      <c r="AK85" s="169">
        <f ca="1">+IFERROR(IF(ISNUMBER(OFFSET('EDP Proyectado'!AL85,0,-'Ingreso Proyectado_Edu'!$P85))&lt;&gt;0,IF(OFFSET('EDP Proyectado'!AL85,0,-'Ingreso Proyectado_Edu'!$P85)+0&lt;=1,0,OFFSET('EDP Proyectado'!AL85,0,-'Ingreso Proyectado_Edu'!$P85)+0)),0)</f>
        <v>0</v>
      </c>
      <c r="AL85" s="169">
        <f ca="1">+IFERROR(IF(ISNUMBER(OFFSET('EDP Proyectado'!AM85,0,-'Ingreso Proyectado_Edu'!$P85))&lt;&gt;0,IF(OFFSET('EDP Proyectado'!AM85,0,-'Ingreso Proyectado_Edu'!$P85)+0&lt;=1,0,OFFSET('EDP Proyectado'!AM85,0,-'Ingreso Proyectado_Edu'!$P85)+0)),0)</f>
        <v>0</v>
      </c>
      <c r="AM85" s="169">
        <f ca="1">+IFERROR(IF(ISNUMBER(OFFSET('EDP Proyectado'!AN85,0,-'Ingreso Proyectado_Edu'!$P85))&lt;&gt;0,IF(OFFSET('EDP Proyectado'!AN85,0,-'Ingreso Proyectado_Edu'!$P85)+0&lt;=1,0,OFFSET('EDP Proyectado'!AN85,0,-'Ingreso Proyectado_Edu'!$P85)+0)),0)</f>
        <v>38666.666666666664</v>
      </c>
      <c r="AN85" s="169">
        <f ca="1">+IFERROR(IF(ISNUMBER(OFFSET('EDP Proyectado'!AO85,0,-'Ingreso Proyectado_Edu'!$P85))&lt;&gt;0,IF(OFFSET('EDP Proyectado'!AO85,0,-'Ingreso Proyectado_Edu'!$P85)+0&lt;=1,0,OFFSET('EDP Proyectado'!AO85,0,-'Ingreso Proyectado_Edu'!$P85)+0)),0)</f>
        <v>38666.666666666664</v>
      </c>
      <c r="AO85" s="169">
        <f ca="1">+IFERROR(IF(ISNUMBER(OFFSET('EDP Proyectado'!AP85,0,-'Ingreso Proyectado_Edu'!$P85))&lt;&gt;0,IF(OFFSET('EDP Proyectado'!AP85,0,-'Ingreso Proyectado_Edu'!$P85)+0&lt;=1,0,OFFSET('EDP Proyectado'!AP85,0,-'Ingreso Proyectado_Edu'!$P85)+0)),0)</f>
        <v>38666.666666666664</v>
      </c>
      <c r="AP85" s="170">
        <f ca="1">+IFERROR(IF(ISNUMBER(OFFSET('EDP Proyectado'!AQ85,0,-'Ingreso Proyectado_Edu'!$P85))&lt;&gt;0,IF(OFFSET('EDP Proyectado'!AQ85,0,-'Ingreso Proyectado_Edu'!$P85)+0&lt;=1,0,OFFSET('EDP Proyectado'!AQ85,0,-'Ingreso Proyectado_Edu'!$P85)+0)),0)</f>
        <v>0</v>
      </c>
    </row>
    <row r="86" spans="3:42" x14ac:dyDescent="0.2">
      <c r="C86" s="144">
        <f>+'Gantt Proyectos'!C154</f>
        <v>58</v>
      </c>
      <c r="D86" s="145" t="str">
        <f>+'Gantt Proyectos'!D154</f>
        <v>Alpayana Estudio de Sismicidad</v>
      </c>
      <c r="E86" s="145" t="str">
        <f>+'Gantt Proyectos'!E154</f>
        <v>Alpayana</v>
      </c>
      <c r="F86" s="147" t="str">
        <f>+'Gantt Proyectos'!F154</f>
        <v>Perú</v>
      </c>
      <c r="G86" s="145" t="str">
        <f>+'Gantt Proyectos'!G154</f>
        <v>Chile</v>
      </c>
      <c r="H86" s="145">
        <f>+'Gantt Proyectos'!H154</f>
        <v>0</v>
      </c>
      <c r="I86" s="189">
        <v>1</v>
      </c>
      <c r="J86" s="189">
        <f t="shared" si="8"/>
        <v>0</v>
      </c>
      <c r="K86" s="145">
        <f>+'Gantt Proyectos'!I154</f>
        <v>0</v>
      </c>
      <c r="L86" s="120">
        <f>+'Gantt Proyectos'!J154</f>
        <v>1</v>
      </c>
      <c r="M86" s="145">
        <f>+'Gantt Proyectos'!K154</f>
        <v>0</v>
      </c>
      <c r="N86" s="145">
        <f>+'Gantt Proyectos'!L154</f>
        <v>197494</v>
      </c>
      <c r="O86" s="145">
        <f>+'Gantt Proyectos'!M154</f>
        <v>197494</v>
      </c>
      <c r="P86" s="145">
        <f>+'Gantt Proyectos'!N154</f>
        <v>2</v>
      </c>
      <c r="Q86" s="119">
        <f>+'Gantt Proyectos'!O154</f>
        <v>45823</v>
      </c>
      <c r="R86" s="119">
        <f>+'Gantt Proyectos'!P154</f>
        <v>45975</v>
      </c>
      <c r="S86" s="145" t="str">
        <f>+'Gantt Proyectos'!R154</f>
        <v>No</v>
      </c>
      <c r="T86" s="118">
        <f>+'Gantt Proyectos'!S154</f>
        <v>0</v>
      </c>
      <c r="U86" s="156">
        <f>+'Gantt Proyectos'!T154</f>
        <v>45823</v>
      </c>
      <c r="V86" s="156">
        <f>+'Gantt Proyectos'!U154</f>
        <v>45975</v>
      </c>
      <c r="W86" s="201">
        <f t="shared" si="9"/>
        <v>5</v>
      </c>
      <c r="X86" s="121">
        <f>+'Gantt Proyectos'!W154</f>
        <v>0.72035794183445179</v>
      </c>
      <c r="Y86" s="122">
        <f>+'Gantt Proyectos'!X154</f>
        <v>0</v>
      </c>
      <c r="Z86" s="122">
        <f>+'Gantt Proyectos'!Y154</f>
        <v>0</v>
      </c>
      <c r="AA86" s="122">
        <f>+'Gantt Proyectos'!Z154</f>
        <v>0</v>
      </c>
      <c r="AB86" s="122">
        <f>+'Gantt Proyectos'!AA154</f>
        <v>0</v>
      </c>
      <c r="AC86" s="122">
        <f>+'Gantt Proyectos'!AB154</f>
        <v>0</v>
      </c>
      <c r="AD86" s="123" t="str">
        <f>+'Gantt Proyectos'!AC154</f>
        <v>Estudio Conceptual / LOM</v>
      </c>
      <c r="AE86" s="123" t="str">
        <f>+'Gantt Proyectos'!AD154</f>
        <v>Asignado</v>
      </c>
      <c r="AF86" s="124" t="str">
        <f>+'Gantt Proyectos'!AE154</f>
        <v>1. Proyectado: Asignado</v>
      </c>
      <c r="AG86" s="172">
        <v>1</v>
      </c>
      <c r="AH86" s="169">
        <f ca="1">+IFERROR(IF(ISNUMBER(OFFSET('EDP Proyectado'!AI86,0,-'Ingreso Proyectado_Edu'!$P86))&lt;&gt;0,IF(OFFSET('EDP Proyectado'!AI86,0,-'Ingreso Proyectado_Edu'!$P86)+0&lt;=1,0,OFFSET('EDP Proyectado'!AI86,0,-'Ingreso Proyectado_Edu'!$P86)+0)),0)</f>
        <v>0</v>
      </c>
      <c r="AI86" s="169">
        <f ca="1">+IFERROR(IF(ISNUMBER(OFFSET('EDP Proyectado'!AJ86,0,-'Ingreso Proyectado_Edu'!$P86))&lt;&gt;0,IF(OFFSET('EDP Proyectado'!AJ86,0,-'Ingreso Proyectado_Edu'!$P86)+0&lt;=1,0,OFFSET('EDP Proyectado'!AJ86,0,-'Ingreso Proyectado_Edu'!$P86)+0)),0)</f>
        <v>0</v>
      </c>
      <c r="AJ86" s="169">
        <f ca="1">+IFERROR(IF(ISNUMBER(OFFSET('EDP Proyectado'!AK86,0,-'Ingreso Proyectado_Edu'!$P86))&lt;&gt;0,IF(OFFSET('EDP Proyectado'!AK86,0,-'Ingreso Proyectado_Edu'!$P86)+0&lt;=1,0,OFFSET('EDP Proyectado'!AK86,0,-'Ingreso Proyectado_Edu'!$P86)+0)),0)</f>
        <v>0</v>
      </c>
      <c r="AK86" s="169">
        <f ca="1">+IFERROR(IF(ISNUMBER(OFFSET('EDP Proyectado'!AL86,0,-'Ingreso Proyectado_Edu'!$P86))&lt;&gt;0,IF(OFFSET('EDP Proyectado'!AL86,0,-'Ingreso Proyectado_Edu'!$P86)+0&lt;=1,0,OFFSET('EDP Proyectado'!AL86,0,-'Ingreso Proyectado_Edu'!$P86)+0)),0)</f>
        <v>0</v>
      </c>
      <c r="AL86" s="169">
        <f ca="1">+IFERROR(IF(ISNUMBER(OFFSET('EDP Proyectado'!AM86,0,-'Ingreso Proyectado_Edu'!$P86))&lt;&gt;0,IF(OFFSET('EDP Proyectado'!AM86,0,-'Ingreso Proyectado_Edu'!$P86)+0&lt;=1,0,OFFSET('EDP Proyectado'!AM86,0,-'Ingreso Proyectado_Edu'!$P86)+0)),0)</f>
        <v>39498.800000000003</v>
      </c>
      <c r="AM86" s="169">
        <f ca="1">+IFERROR(IF(ISNUMBER(OFFSET('EDP Proyectado'!AN86,0,-'Ingreso Proyectado_Edu'!$P86))&lt;&gt;0,IF(OFFSET('EDP Proyectado'!AN86,0,-'Ingreso Proyectado_Edu'!$P86)+0&lt;=1,0,OFFSET('EDP Proyectado'!AN86,0,-'Ingreso Proyectado_Edu'!$P86)+0)),0)</f>
        <v>39498.800000000003</v>
      </c>
      <c r="AN86" s="169">
        <f ca="1">+IFERROR(IF(ISNUMBER(OFFSET('EDP Proyectado'!AO86,0,-'Ingreso Proyectado_Edu'!$P86))&lt;&gt;0,IF(OFFSET('EDP Proyectado'!AO86,0,-'Ingreso Proyectado_Edu'!$P86)+0&lt;=1,0,OFFSET('EDP Proyectado'!AO86,0,-'Ingreso Proyectado_Edu'!$P86)+0)),0)</f>
        <v>39498.800000000003</v>
      </c>
      <c r="AO86" s="169">
        <f ca="1">+IFERROR(IF(ISNUMBER(OFFSET('EDP Proyectado'!AP86,0,-'Ingreso Proyectado_Edu'!$P86))&lt;&gt;0,IF(OFFSET('EDP Proyectado'!AP86,0,-'Ingreso Proyectado_Edu'!$P86)+0&lt;=1,0,OFFSET('EDP Proyectado'!AP86,0,-'Ingreso Proyectado_Edu'!$P86)+0)),0)</f>
        <v>39498.800000000003</v>
      </c>
      <c r="AP86" s="170">
        <f ca="1">+IFERROR(IF(ISNUMBER(OFFSET('EDP Proyectado'!AQ86,0,-'Ingreso Proyectado_Edu'!$P86))&lt;&gt;0,IF(OFFSET('EDP Proyectado'!AQ86,0,-'Ingreso Proyectado_Edu'!$P86)+0&lt;=1,0,OFFSET('EDP Proyectado'!AQ86,0,-'Ingreso Proyectado_Edu'!$P86)+0)),0)</f>
        <v>39498.800000000003</v>
      </c>
    </row>
    <row r="87" spans="3:42" x14ac:dyDescent="0.2">
      <c r="C87" s="144">
        <f>+'Gantt Proyectos'!C155</f>
        <v>59</v>
      </c>
      <c r="D87" s="145" t="str">
        <f>+'Gantt Proyectos'!D155</f>
        <v>Vale Gongo Soco</v>
      </c>
      <c r="E87" s="145" t="str">
        <f>+'Gantt Proyectos'!E155</f>
        <v>Vale</v>
      </c>
      <c r="F87" s="147" t="str">
        <f>+'Gantt Proyectos'!F155</f>
        <v>Brasil</v>
      </c>
      <c r="G87" s="145" t="str">
        <f>+'Gantt Proyectos'!G155</f>
        <v>Chile</v>
      </c>
      <c r="H87" s="145">
        <f>+'Gantt Proyectos'!H155</f>
        <v>0</v>
      </c>
      <c r="I87" s="189">
        <v>1</v>
      </c>
      <c r="J87" s="189">
        <f t="shared" si="8"/>
        <v>0</v>
      </c>
      <c r="K87" s="145">
        <f>+'Gantt Proyectos'!I155</f>
        <v>0</v>
      </c>
      <c r="L87" s="120">
        <f>+'Gantt Proyectos'!J155</f>
        <v>1</v>
      </c>
      <c r="M87" s="145">
        <f>+'Gantt Proyectos'!K155</f>
        <v>0</v>
      </c>
      <c r="N87" s="145">
        <f>+'Gantt Proyectos'!L155</f>
        <v>475000</v>
      </c>
      <c r="O87" s="145">
        <f>+'Gantt Proyectos'!M155</f>
        <v>475000</v>
      </c>
      <c r="P87" s="145">
        <f>+'Gantt Proyectos'!N155</f>
        <v>1</v>
      </c>
      <c r="Q87" s="119">
        <f>+'Gantt Proyectos'!O155</f>
        <v>45870</v>
      </c>
      <c r="R87" s="119">
        <f>+'Gantt Proyectos'!P155</f>
        <v>45991</v>
      </c>
      <c r="S87" s="145" t="str">
        <f>+'Gantt Proyectos'!R155</f>
        <v>No</v>
      </c>
      <c r="T87" s="118">
        <f>+'Gantt Proyectos'!S155</f>
        <v>0</v>
      </c>
      <c r="U87" s="156">
        <f>+'Gantt Proyectos'!T155</f>
        <v>45870</v>
      </c>
      <c r="V87" s="156">
        <f>+'Gantt Proyectos'!U155</f>
        <v>45991</v>
      </c>
      <c r="W87" s="201">
        <f t="shared" si="9"/>
        <v>4</v>
      </c>
      <c r="X87" s="121">
        <f>+'Gantt Proyectos'!W155</f>
        <v>0.72371364653243841</v>
      </c>
      <c r="Y87" s="122">
        <f>+'Gantt Proyectos'!X155</f>
        <v>0</v>
      </c>
      <c r="Z87" s="122">
        <f>+'Gantt Proyectos'!Y155</f>
        <v>0</v>
      </c>
      <c r="AA87" s="122">
        <f>+'Gantt Proyectos'!Z155</f>
        <v>0</v>
      </c>
      <c r="AB87" s="122">
        <f>+'Gantt Proyectos'!AA155</f>
        <v>0</v>
      </c>
      <c r="AC87" s="122">
        <f>+'Gantt Proyectos'!AB155</f>
        <v>0</v>
      </c>
      <c r="AD87" s="123" t="str">
        <f>+'Gantt Proyectos'!AC155</f>
        <v>Scoping</v>
      </c>
      <c r="AE87" s="123" t="str">
        <f>+'Gantt Proyectos'!AD155</f>
        <v>No Asignado</v>
      </c>
      <c r="AF87" s="124" t="str">
        <f>+'Gantt Proyectos'!AE155</f>
        <v>1. Proyectado: No  Asignado</v>
      </c>
      <c r="AG87" s="172">
        <v>1</v>
      </c>
      <c r="AH87" s="169">
        <f ca="1">+IFERROR(IF(ISNUMBER(OFFSET('EDP Proyectado'!AI87,0,-'Ingreso Proyectado_Edu'!$P87))&lt;&gt;0,IF(OFFSET('EDP Proyectado'!AI87,0,-'Ingreso Proyectado_Edu'!$P87)+0&lt;=1,0,OFFSET('EDP Proyectado'!AI87,0,-'Ingreso Proyectado_Edu'!$P87)+0)),0)</f>
        <v>0</v>
      </c>
      <c r="AI87" s="169">
        <f ca="1">+IFERROR(IF(ISNUMBER(OFFSET('EDP Proyectado'!AJ87,0,-'Ingreso Proyectado_Edu'!$P87))&lt;&gt;0,IF(OFFSET('EDP Proyectado'!AJ87,0,-'Ingreso Proyectado_Edu'!$P87)+0&lt;=1,0,OFFSET('EDP Proyectado'!AJ87,0,-'Ingreso Proyectado_Edu'!$P87)+0)),0)</f>
        <v>0</v>
      </c>
      <c r="AJ87" s="169">
        <f ca="1">+IFERROR(IF(ISNUMBER(OFFSET('EDP Proyectado'!AK87,0,-'Ingreso Proyectado_Edu'!$P87))&lt;&gt;0,IF(OFFSET('EDP Proyectado'!AK87,0,-'Ingreso Proyectado_Edu'!$P87)+0&lt;=1,0,OFFSET('EDP Proyectado'!AK87,0,-'Ingreso Proyectado_Edu'!$P87)+0)),0)</f>
        <v>0</v>
      </c>
      <c r="AK87" s="169">
        <f ca="1">+IFERROR(IF(ISNUMBER(OFFSET('EDP Proyectado'!AL87,0,-'Ingreso Proyectado_Edu'!$P87))&lt;&gt;0,IF(OFFSET('EDP Proyectado'!AL87,0,-'Ingreso Proyectado_Edu'!$P87)+0&lt;=1,0,OFFSET('EDP Proyectado'!AL87,0,-'Ingreso Proyectado_Edu'!$P87)+0)),0)</f>
        <v>0</v>
      </c>
      <c r="AL87" s="169">
        <f ca="1">+IFERROR(IF(ISNUMBER(OFFSET('EDP Proyectado'!AM87,0,-'Ingreso Proyectado_Edu'!$P87))&lt;&gt;0,IF(OFFSET('EDP Proyectado'!AM87,0,-'Ingreso Proyectado_Edu'!$P87)+0&lt;=1,0,OFFSET('EDP Proyectado'!AM87,0,-'Ingreso Proyectado_Edu'!$P87)+0)),0)</f>
        <v>0</v>
      </c>
      <c r="AM87" s="169">
        <f ca="1">+IFERROR(IF(ISNUMBER(OFFSET('EDP Proyectado'!AN87,0,-'Ingreso Proyectado_Edu'!$P87))&lt;&gt;0,IF(OFFSET('EDP Proyectado'!AN87,0,-'Ingreso Proyectado_Edu'!$P87)+0&lt;=1,0,OFFSET('EDP Proyectado'!AN87,0,-'Ingreso Proyectado_Edu'!$P87)+0)),0)</f>
        <v>59375</v>
      </c>
      <c r="AN87" s="169">
        <f ca="1">+IFERROR(IF(ISNUMBER(OFFSET('EDP Proyectado'!AO87,0,-'Ingreso Proyectado_Edu'!$P87))&lt;&gt;0,IF(OFFSET('EDP Proyectado'!AO87,0,-'Ingreso Proyectado_Edu'!$P87)+0&lt;=1,0,OFFSET('EDP Proyectado'!AO87,0,-'Ingreso Proyectado_Edu'!$P87)+0)),0)</f>
        <v>59375</v>
      </c>
      <c r="AO87" s="169">
        <f ca="1">+IFERROR(IF(ISNUMBER(OFFSET('EDP Proyectado'!AP87,0,-'Ingreso Proyectado_Edu'!$P87))&lt;&gt;0,IF(OFFSET('EDP Proyectado'!AP87,0,-'Ingreso Proyectado_Edu'!$P87)+0&lt;=1,0,OFFSET('EDP Proyectado'!AP87,0,-'Ingreso Proyectado_Edu'!$P87)+0)),0)</f>
        <v>59375</v>
      </c>
      <c r="AP87" s="170">
        <f ca="1">+IFERROR(IF(ISNUMBER(OFFSET('EDP Proyectado'!AQ87,0,-'Ingreso Proyectado_Edu'!$P87))&lt;&gt;0,IF(OFFSET('EDP Proyectado'!AQ87,0,-'Ingreso Proyectado_Edu'!$P87)+0&lt;=1,0,OFFSET('EDP Proyectado'!AQ87,0,-'Ingreso Proyectado_Edu'!$P87)+0)),0)</f>
        <v>59375</v>
      </c>
    </row>
    <row r="88" spans="3:42" x14ac:dyDescent="0.2">
      <c r="C88" s="144">
        <f>+'Gantt Proyectos'!C156</f>
        <v>60</v>
      </c>
      <c r="D88" s="145">
        <f>+'Gantt Proyectos'!D156</f>
        <v>0</v>
      </c>
      <c r="E88" s="145">
        <f>+'Gantt Proyectos'!E156</f>
        <v>0</v>
      </c>
      <c r="F88" s="147">
        <f>+'Gantt Proyectos'!F156</f>
        <v>0</v>
      </c>
      <c r="G88" s="145">
        <f>+'Gantt Proyectos'!G156</f>
        <v>0</v>
      </c>
      <c r="H88" s="145">
        <f>+'Gantt Proyectos'!H156</f>
        <v>0</v>
      </c>
      <c r="I88" s="189">
        <v>1</v>
      </c>
      <c r="J88" s="189">
        <f t="shared" si="8"/>
        <v>0</v>
      </c>
      <c r="K88" s="145">
        <f>+'Gantt Proyectos'!I156</f>
        <v>0</v>
      </c>
      <c r="L88" s="120">
        <f>+'Gantt Proyectos'!J156</f>
        <v>0</v>
      </c>
      <c r="M88" s="145">
        <f>+'Gantt Proyectos'!K156</f>
        <v>0</v>
      </c>
      <c r="N88" s="145">
        <f>+'Gantt Proyectos'!L156</f>
        <v>0</v>
      </c>
      <c r="O88" s="145">
        <f>+'Gantt Proyectos'!M156</f>
        <v>0</v>
      </c>
      <c r="P88" s="145">
        <f>+'Gantt Proyectos'!N156</f>
        <v>0</v>
      </c>
      <c r="Q88" s="119">
        <f>+'Gantt Proyectos'!O156</f>
        <v>0</v>
      </c>
      <c r="R88" s="119">
        <f>+'Gantt Proyectos'!P156</f>
        <v>0</v>
      </c>
      <c r="S88" s="145">
        <f>+'Gantt Proyectos'!R156</f>
        <v>0</v>
      </c>
      <c r="T88" s="118">
        <f>+'Gantt Proyectos'!S156</f>
        <v>0</v>
      </c>
      <c r="U88" s="156">
        <f>+'Gantt Proyectos'!T156</f>
        <v>0</v>
      </c>
      <c r="V88" s="156">
        <f>+'Gantt Proyectos'!U156</f>
        <v>0</v>
      </c>
      <c r="W88" s="201">
        <f t="shared" si="9"/>
        <v>0</v>
      </c>
      <c r="X88" s="121">
        <f>+'Gantt Proyectos'!W156</f>
        <v>0</v>
      </c>
      <c r="Y88" s="122">
        <f>+'Gantt Proyectos'!X156</f>
        <v>0</v>
      </c>
      <c r="Z88" s="122">
        <f>+'Gantt Proyectos'!Y156</f>
        <v>0</v>
      </c>
      <c r="AA88" s="122">
        <f>+'Gantt Proyectos'!Z156</f>
        <v>0</v>
      </c>
      <c r="AB88" s="122">
        <f>+'Gantt Proyectos'!AA156</f>
        <v>0</v>
      </c>
      <c r="AC88" s="122">
        <f>+'Gantt Proyectos'!AB156</f>
        <v>0</v>
      </c>
      <c r="AD88" s="123">
        <f>+'Gantt Proyectos'!AC156</f>
        <v>0</v>
      </c>
      <c r="AE88" s="123">
        <f>+'Gantt Proyectos'!AD156</f>
        <v>0</v>
      </c>
      <c r="AF88" s="124">
        <f>+'Gantt Proyectos'!AE156</f>
        <v>0</v>
      </c>
      <c r="AG88" s="172">
        <v>1</v>
      </c>
      <c r="AH88" s="169">
        <f ca="1">+IFERROR(IF(ISNUMBER(OFFSET('EDP Proyectado'!AI88,0,-'Ingreso Proyectado_Edu'!$P88))&lt;&gt;0,IF(OFFSET('EDP Proyectado'!AI88,0,-'Ingreso Proyectado_Edu'!$P88)+0&lt;=1,0,OFFSET('EDP Proyectado'!AI88,0,-'Ingreso Proyectado_Edu'!$P88)+0)),0)</f>
        <v>0</v>
      </c>
      <c r="AI88" s="169">
        <f ca="1">+IFERROR(IF(ISNUMBER(OFFSET('EDP Proyectado'!AJ88,0,-'Ingreso Proyectado_Edu'!$P88))&lt;&gt;0,IF(OFFSET('EDP Proyectado'!AJ88,0,-'Ingreso Proyectado_Edu'!$P88)+0&lt;=1,0,OFFSET('EDP Proyectado'!AJ88,0,-'Ingreso Proyectado_Edu'!$P88)+0)),0)</f>
        <v>0</v>
      </c>
      <c r="AJ88" s="169">
        <f ca="1">+IFERROR(IF(ISNUMBER(OFFSET('EDP Proyectado'!AK88,0,-'Ingreso Proyectado_Edu'!$P88))&lt;&gt;0,IF(OFFSET('EDP Proyectado'!AK88,0,-'Ingreso Proyectado_Edu'!$P88)+0&lt;=1,0,OFFSET('EDP Proyectado'!AK88,0,-'Ingreso Proyectado_Edu'!$P88)+0)),0)</f>
        <v>0</v>
      </c>
      <c r="AK88" s="169">
        <f ca="1">+IFERROR(IF(ISNUMBER(OFFSET('EDP Proyectado'!AL88,0,-'Ingreso Proyectado_Edu'!$P88))&lt;&gt;0,IF(OFFSET('EDP Proyectado'!AL88,0,-'Ingreso Proyectado_Edu'!$P88)+0&lt;=1,0,OFFSET('EDP Proyectado'!AL88,0,-'Ingreso Proyectado_Edu'!$P88)+0)),0)</f>
        <v>0</v>
      </c>
      <c r="AL88" s="169">
        <f ca="1">+IFERROR(IF(ISNUMBER(OFFSET('EDP Proyectado'!AM88,0,-'Ingreso Proyectado_Edu'!$P88))&lt;&gt;0,IF(OFFSET('EDP Proyectado'!AM88,0,-'Ingreso Proyectado_Edu'!$P88)+0&lt;=1,0,OFFSET('EDP Proyectado'!AM88,0,-'Ingreso Proyectado_Edu'!$P88)+0)),0)</f>
        <v>0</v>
      </c>
      <c r="AM88" s="169">
        <f ca="1">+IFERROR(IF(ISNUMBER(OFFSET('EDP Proyectado'!AN88,0,-'Ingreso Proyectado_Edu'!$P88))&lt;&gt;0,IF(OFFSET('EDP Proyectado'!AN88,0,-'Ingreso Proyectado_Edu'!$P88)+0&lt;=1,0,OFFSET('EDP Proyectado'!AN88,0,-'Ingreso Proyectado_Edu'!$P88)+0)),0)</f>
        <v>0</v>
      </c>
      <c r="AN88" s="169">
        <f ca="1">+IFERROR(IF(ISNUMBER(OFFSET('EDP Proyectado'!AO88,0,-'Ingreso Proyectado_Edu'!$P88))&lt;&gt;0,IF(OFFSET('EDP Proyectado'!AO88,0,-'Ingreso Proyectado_Edu'!$P88)+0&lt;=1,0,OFFSET('EDP Proyectado'!AO88,0,-'Ingreso Proyectado_Edu'!$P88)+0)),0)</f>
        <v>0</v>
      </c>
      <c r="AO88" s="169">
        <f ca="1">+IFERROR(IF(ISNUMBER(OFFSET('EDP Proyectado'!AP88,0,-'Ingreso Proyectado_Edu'!$P88))&lt;&gt;0,IF(OFFSET('EDP Proyectado'!AP88,0,-'Ingreso Proyectado_Edu'!$P88)+0&lt;=1,0,OFFSET('EDP Proyectado'!AP88,0,-'Ingreso Proyectado_Edu'!$P88)+0)),0)</f>
        <v>0</v>
      </c>
      <c r="AP88" s="170">
        <f ca="1">+IFERROR(IF(ISNUMBER(OFFSET('EDP Proyectado'!AQ88,0,-'Ingreso Proyectado_Edu'!$P88))&lt;&gt;0,IF(OFFSET('EDP Proyectado'!AQ88,0,-'Ingreso Proyectado_Edu'!$P88)+0&lt;=1,0,OFFSET('EDP Proyectado'!AQ88,0,-'Ingreso Proyectado_Edu'!$P88)+0)),0)</f>
        <v>0</v>
      </c>
    </row>
    <row r="89" spans="3:42" x14ac:dyDescent="0.2">
      <c r="C89" s="144">
        <f>+'Gantt Proyectos'!C157</f>
        <v>61</v>
      </c>
      <c r="D89" s="145">
        <f>+'Gantt Proyectos'!D157</f>
        <v>0</v>
      </c>
      <c r="E89" s="145">
        <f>+'Gantt Proyectos'!E157</f>
        <v>0</v>
      </c>
      <c r="F89" s="147">
        <f>+'Gantt Proyectos'!F157</f>
        <v>0</v>
      </c>
      <c r="G89" s="145">
        <f>+'Gantt Proyectos'!G157</f>
        <v>0</v>
      </c>
      <c r="H89" s="145">
        <f>+'Gantt Proyectos'!H157</f>
        <v>0</v>
      </c>
      <c r="I89" s="189">
        <v>1</v>
      </c>
      <c r="J89" s="189">
        <f t="shared" si="8"/>
        <v>0</v>
      </c>
      <c r="K89" s="145">
        <f>+'Gantt Proyectos'!I157</f>
        <v>0</v>
      </c>
      <c r="L89" s="120">
        <f>+'Gantt Proyectos'!J157</f>
        <v>0</v>
      </c>
      <c r="M89" s="145">
        <f>+'Gantt Proyectos'!K157</f>
        <v>0</v>
      </c>
      <c r="N89" s="145">
        <f>+'Gantt Proyectos'!L157</f>
        <v>0</v>
      </c>
      <c r="O89" s="145">
        <f>+'Gantt Proyectos'!M157</f>
        <v>0</v>
      </c>
      <c r="P89" s="145">
        <f>+'Gantt Proyectos'!N157</f>
        <v>0</v>
      </c>
      <c r="Q89" s="119">
        <f>+'Gantt Proyectos'!O157</f>
        <v>0</v>
      </c>
      <c r="R89" s="119">
        <f>+'Gantt Proyectos'!P157</f>
        <v>0</v>
      </c>
      <c r="S89" s="145">
        <f>+'Gantt Proyectos'!R157</f>
        <v>0</v>
      </c>
      <c r="T89" s="118">
        <f>+'Gantt Proyectos'!S157</f>
        <v>0</v>
      </c>
      <c r="U89" s="156">
        <f>+'Gantt Proyectos'!T157</f>
        <v>0</v>
      </c>
      <c r="V89" s="156">
        <f>+'Gantt Proyectos'!U157</f>
        <v>0</v>
      </c>
      <c r="W89" s="201">
        <f t="shared" si="9"/>
        <v>0</v>
      </c>
      <c r="X89" s="121">
        <f>+'Gantt Proyectos'!W157</f>
        <v>0</v>
      </c>
      <c r="Y89" s="122">
        <f>+'Gantt Proyectos'!X157</f>
        <v>0</v>
      </c>
      <c r="Z89" s="122">
        <f>+'Gantt Proyectos'!Y157</f>
        <v>0</v>
      </c>
      <c r="AA89" s="122">
        <f>+'Gantt Proyectos'!Z157</f>
        <v>0</v>
      </c>
      <c r="AB89" s="122">
        <f>+'Gantt Proyectos'!AA157</f>
        <v>0</v>
      </c>
      <c r="AC89" s="122">
        <f>+'Gantt Proyectos'!AB157</f>
        <v>0</v>
      </c>
      <c r="AD89" s="123">
        <f>+'Gantt Proyectos'!AC157</f>
        <v>0</v>
      </c>
      <c r="AE89" s="123">
        <f>+'Gantt Proyectos'!AD157</f>
        <v>0</v>
      </c>
      <c r="AF89" s="124">
        <f>+'Gantt Proyectos'!AE157</f>
        <v>0</v>
      </c>
      <c r="AG89" s="172">
        <v>1</v>
      </c>
      <c r="AH89" s="169">
        <f ca="1">+IFERROR(IF(ISNUMBER(OFFSET('EDP Proyectado'!AI89,0,-'Ingreso Proyectado_Edu'!$P89))&lt;&gt;0,IF(OFFSET('EDP Proyectado'!AI89,0,-'Ingreso Proyectado_Edu'!$P89)+0&lt;=1,0,OFFSET('EDP Proyectado'!AI89,0,-'Ingreso Proyectado_Edu'!$P89)+0)),0)</f>
        <v>0</v>
      </c>
      <c r="AI89" s="169">
        <f ca="1">+IFERROR(IF(ISNUMBER(OFFSET('EDP Proyectado'!AJ89,0,-'Ingreso Proyectado_Edu'!$P89))&lt;&gt;0,IF(OFFSET('EDP Proyectado'!AJ89,0,-'Ingreso Proyectado_Edu'!$P89)+0&lt;=1,0,OFFSET('EDP Proyectado'!AJ89,0,-'Ingreso Proyectado_Edu'!$P89)+0)),0)</f>
        <v>0</v>
      </c>
      <c r="AJ89" s="169">
        <f ca="1">+IFERROR(IF(ISNUMBER(OFFSET('EDP Proyectado'!AK89,0,-'Ingreso Proyectado_Edu'!$P89))&lt;&gt;0,IF(OFFSET('EDP Proyectado'!AK89,0,-'Ingreso Proyectado_Edu'!$P89)+0&lt;=1,0,OFFSET('EDP Proyectado'!AK89,0,-'Ingreso Proyectado_Edu'!$P89)+0)),0)</f>
        <v>0</v>
      </c>
      <c r="AK89" s="169">
        <f ca="1">+IFERROR(IF(ISNUMBER(OFFSET('EDP Proyectado'!AL89,0,-'Ingreso Proyectado_Edu'!$P89))&lt;&gt;0,IF(OFFSET('EDP Proyectado'!AL89,0,-'Ingreso Proyectado_Edu'!$P89)+0&lt;=1,0,OFFSET('EDP Proyectado'!AL89,0,-'Ingreso Proyectado_Edu'!$P89)+0)),0)</f>
        <v>0</v>
      </c>
      <c r="AL89" s="169">
        <f ca="1">+IFERROR(IF(ISNUMBER(OFFSET('EDP Proyectado'!AM89,0,-'Ingreso Proyectado_Edu'!$P89))&lt;&gt;0,IF(OFFSET('EDP Proyectado'!AM89,0,-'Ingreso Proyectado_Edu'!$P89)+0&lt;=1,0,OFFSET('EDP Proyectado'!AM89,0,-'Ingreso Proyectado_Edu'!$P89)+0)),0)</f>
        <v>0</v>
      </c>
      <c r="AM89" s="169">
        <f ca="1">+IFERROR(IF(ISNUMBER(OFFSET('EDP Proyectado'!AN89,0,-'Ingreso Proyectado_Edu'!$P89))&lt;&gt;0,IF(OFFSET('EDP Proyectado'!AN89,0,-'Ingreso Proyectado_Edu'!$P89)+0&lt;=1,0,OFFSET('EDP Proyectado'!AN89,0,-'Ingreso Proyectado_Edu'!$P89)+0)),0)</f>
        <v>0</v>
      </c>
      <c r="AN89" s="169">
        <f ca="1">+IFERROR(IF(ISNUMBER(OFFSET('EDP Proyectado'!AO89,0,-'Ingreso Proyectado_Edu'!$P89))&lt;&gt;0,IF(OFFSET('EDP Proyectado'!AO89,0,-'Ingreso Proyectado_Edu'!$P89)+0&lt;=1,0,OFFSET('EDP Proyectado'!AO89,0,-'Ingreso Proyectado_Edu'!$P89)+0)),0)</f>
        <v>0</v>
      </c>
      <c r="AO89" s="169">
        <f ca="1">+IFERROR(IF(ISNUMBER(OFFSET('EDP Proyectado'!AP89,0,-'Ingreso Proyectado_Edu'!$P89))&lt;&gt;0,IF(OFFSET('EDP Proyectado'!AP89,0,-'Ingreso Proyectado_Edu'!$P89)+0&lt;=1,0,OFFSET('EDP Proyectado'!AP89,0,-'Ingreso Proyectado_Edu'!$P89)+0)),0)</f>
        <v>0</v>
      </c>
      <c r="AP89" s="170">
        <f ca="1">+IFERROR(IF(ISNUMBER(OFFSET('EDP Proyectado'!AQ89,0,-'Ingreso Proyectado_Edu'!$P89))&lt;&gt;0,IF(OFFSET('EDP Proyectado'!AQ89,0,-'Ingreso Proyectado_Edu'!$P89)+0&lt;=1,0,OFFSET('EDP Proyectado'!AQ89,0,-'Ingreso Proyectado_Edu'!$P89)+0)),0)</f>
        <v>0</v>
      </c>
    </row>
    <row r="90" spans="3:42" x14ac:dyDescent="0.2">
      <c r="C90" s="144">
        <f>+'Gantt Proyectos'!C158</f>
        <v>62</v>
      </c>
      <c r="D90" s="145">
        <f>+'Gantt Proyectos'!D158</f>
        <v>0</v>
      </c>
      <c r="E90" s="145">
        <f>+'Gantt Proyectos'!E158</f>
        <v>0</v>
      </c>
      <c r="F90" s="147">
        <f>+'Gantt Proyectos'!F158</f>
        <v>0</v>
      </c>
      <c r="G90" s="145">
        <f>+'Gantt Proyectos'!G158</f>
        <v>0</v>
      </c>
      <c r="H90" s="145">
        <f>+'Gantt Proyectos'!H158</f>
        <v>0</v>
      </c>
      <c r="I90" s="189">
        <v>1</v>
      </c>
      <c r="J90" s="189">
        <f t="shared" si="8"/>
        <v>0</v>
      </c>
      <c r="K90" s="145">
        <f>+'Gantt Proyectos'!I158</f>
        <v>0</v>
      </c>
      <c r="L90" s="120">
        <f>+'Gantt Proyectos'!J158</f>
        <v>0</v>
      </c>
      <c r="M90" s="145">
        <f>+'Gantt Proyectos'!K158</f>
        <v>0</v>
      </c>
      <c r="N90" s="145">
        <f>+'Gantt Proyectos'!L158</f>
        <v>0</v>
      </c>
      <c r="O90" s="145">
        <f>+'Gantt Proyectos'!M158</f>
        <v>0</v>
      </c>
      <c r="P90" s="145">
        <f>+'Gantt Proyectos'!N158</f>
        <v>0</v>
      </c>
      <c r="Q90" s="119">
        <f>+'Gantt Proyectos'!O158</f>
        <v>0</v>
      </c>
      <c r="R90" s="119">
        <f>+'Gantt Proyectos'!P158</f>
        <v>0</v>
      </c>
      <c r="S90" s="145">
        <f>+'Gantt Proyectos'!R158</f>
        <v>0</v>
      </c>
      <c r="T90" s="118">
        <f>+'Gantt Proyectos'!S158</f>
        <v>0</v>
      </c>
      <c r="U90" s="156">
        <f>+'Gantt Proyectos'!T158</f>
        <v>0</v>
      </c>
      <c r="V90" s="156">
        <f>+'Gantt Proyectos'!U158</f>
        <v>0</v>
      </c>
      <c r="W90" s="201">
        <f t="shared" si="9"/>
        <v>0</v>
      </c>
      <c r="X90" s="121">
        <f>+'Gantt Proyectos'!W158</f>
        <v>0</v>
      </c>
      <c r="Y90" s="122">
        <f>+'Gantt Proyectos'!X158</f>
        <v>0</v>
      </c>
      <c r="Z90" s="122">
        <f>+'Gantt Proyectos'!Y158</f>
        <v>0</v>
      </c>
      <c r="AA90" s="122">
        <f>+'Gantt Proyectos'!Z158</f>
        <v>0</v>
      </c>
      <c r="AB90" s="122">
        <f>+'Gantt Proyectos'!AA158</f>
        <v>0</v>
      </c>
      <c r="AC90" s="122">
        <f>+'Gantt Proyectos'!AB158</f>
        <v>0</v>
      </c>
      <c r="AD90" s="123">
        <f>+'Gantt Proyectos'!AC158</f>
        <v>0</v>
      </c>
      <c r="AE90" s="123">
        <f>+'Gantt Proyectos'!AD158</f>
        <v>0</v>
      </c>
      <c r="AF90" s="124">
        <f>+'Gantt Proyectos'!AE158</f>
        <v>0</v>
      </c>
      <c r="AG90" s="172">
        <v>1</v>
      </c>
      <c r="AH90" s="169">
        <f ca="1">+IFERROR(IF(ISNUMBER(OFFSET('EDP Proyectado'!AI90,0,-'Ingreso Proyectado_Edu'!$P90))&lt;&gt;0,IF(OFFSET('EDP Proyectado'!AI90,0,-'Ingreso Proyectado_Edu'!$P90)+0&lt;=1,0,OFFSET('EDP Proyectado'!AI90,0,-'Ingreso Proyectado_Edu'!$P90)+0)),0)</f>
        <v>0</v>
      </c>
      <c r="AI90" s="169">
        <f ca="1">+IFERROR(IF(ISNUMBER(OFFSET('EDP Proyectado'!AJ90,0,-'Ingreso Proyectado_Edu'!$P90))&lt;&gt;0,IF(OFFSET('EDP Proyectado'!AJ90,0,-'Ingreso Proyectado_Edu'!$P90)+0&lt;=1,0,OFFSET('EDP Proyectado'!AJ90,0,-'Ingreso Proyectado_Edu'!$P90)+0)),0)</f>
        <v>0</v>
      </c>
      <c r="AJ90" s="169">
        <f ca="1">+IFERROR(IF(ISNUMBER(OFFSET('EDP Proyectado'!AK90,0,-'Ingreso Proyectado_Edu'!$P90))&lt;&gt;0,IF(OFFSET('EDP Proyectado'!AK90,0,-'Ingreso Proyectado_Edu'!$P90)+0&lt;=1,0,OFFSET('EDP Proyectado'!AK90,0,-'Ingreso Proyectado_Edu'!$P90)+0)),0)</f>
        <v>0</v>
      </c>
      <c r="AK90" s="169">
        <f ca="1">+IFERROR(IF(ISNUMBER(OFFSET('EDP Proyectado'!AL90,0,-'Ingreso Proyectado_Edu'!$P90))&lt;&gt;0,IF(OFFSET('EDP Proyectado'!AL90,0,-'Ingreso Proyectado_Edu'!$P90)+0&lt;=1,0,OFFSET('EDP Proyectado'!AL90,0,-'Ingreso Proyectado_Edu'!$P90)+0)),0)</f>
        <v>0</v>
      </c>
      <c r="AL90" s="169">
        <f ca="1">+IFERROR(IF(ISNUMBER(OFFSET('EDP Proyectado'!AM90,0,-'Ingreso Proyectado_Edu'!$P90))&lt;&gt;0,IF(OFFSET('EDP Proyectado'!AM90,0,-'Ingreso Proyectado_Edu'!$P90)+0&lt;=1,0,OFFSET('EDP Proyectado'!AM90,0,-'Ingreso Proyectado_Edu'!$P90)+0)),0)</f>
        <v>0</v>
      </c>
      <c r="AM90" s="169">
        <f ca="1">+IFERROR(IF(ISNUMBER(OFFSET('EDP Proyectado'!AN90,0,-'Ingreso Proyectado_Edu'!$P90))&lt;&gt;0,IF(OFFSET('EDP Proyectado'!AN90,0,-'Ingreso Proyectado_Edu'!$P90)+0&lt;=1,0,OFFSET('EDP Proyectado'!AN90,0,-'Ingreso Proyectado_Edu'!$P90)+0)),0)</f>
        <v>0</v>
      </c>
      <c r="AN90" s="169">
        <f ca="1">+IFERROR(IF(ISNUMBER(OFFSET('EDP Proyectado'!AO90,0,-'Ingreso Proyectado_Edu'!$P90))&lt;&gt;0,IF(OFFSET('EDP Proyectado'!AO90,0,-'Ingreso Proyectado_Edu'!$P90)+0&lt;=1,0,OFFSET('EDP Proyectado'!AO90,0,-'Ingreso Proyectado_Edu'!$P90)+0)),0)</f>
        <v>0</v>
      </c>
      <c r="AO90" s="169">
        <f ca="1">+IFERROR(IF(ISNUMBER(OFFSET('EDP Proyectado'!AP90,0,-'Ingreso Proyectado_Edu'!$P90))&lt;&gt;0,IF(OFFSET('EDP Proyectado'!AP90,0,-'Ingreso Proyectado_Edu'!$P90)+0&lt;=1,0,OFFSET('EDP Proyectado'!AP90,0,-'Ingreso Proyectado_Edu'!$P90)+0)),0)</f>
        <v>0</v>
      </c>
      <c r="AP90" s="170">
        <f ca="1">+IFERROR(IF(ISNUMBER(OFFSET('EDP Proyectado'!AQ90,0,-'Ingreso Proyectado_Edu'!$P90))&lt;&gt;0,IF(OFFSET('EDP Proyectado'!AQ90,0,-'Ingreso Proyectado_Edu'!$P90)+0&lt;=1,0,OFFSET('EDP Proyectado'!AQ90,0,-'Ingreso Proyectado_Edu'!$P90)+0)),0)</f>
        <v>0</v>
      </c>
    </row>
    <row r="91" spans="3:42" x14ac:dyDescent="0.2">
      <c r="C91" s="144">
        <f>+'Gantt Proyectos'!C159</f>
        <v>63</v>
      </c>
      <c r="D91" s="145">
        <f>+'Gantt Proyectos'!D159</f>
        <v>0</v>
      </c>
      <c r="E91" s="145">
        <f>+'Gantt Proyectos'!E159</f>
        <v>0</v>
      </c>
      <c r="F91" s="147">
        <f>+'Gantt Proyectos'!F159</f>
        <v>0</v>
      </c>
      <c r="G91" s="145">
        <f>+'Gantt Proyectos'!G159</f>
        <v>0</v>
      </c>
      <c r="H91" s="145">
        <f>+'Gantt Proyectos'!H159</f>
        <v>0</v>
      </c>
      <c r="I91" s="189">
        <v>1</v>
      </c>
      <c r="J91" s="189">
        <f t="shared" si="8"/>
        <v>0</v>
      </c>
      <c r="K91" s="145">
        <f>+'Gantt Proyectos'!I159</f>
        <v>0</v>
      </c>
      <c r="L91" s="120">
        <f>+'Gantt Proyectos'!J159</f>
        <v>0</v>
      </c>
      <c r="M91" s="145">
        <f>+'Gantt Proyectos'!K159</f>
        <v>0</v>
      </c>
      <c r="N91" s="145">
        <f>+'Gantt Proyectos'!L159</f>
        <v>0</v>
      </c>
      <c r="O91" s="145">
        <f>+'Gantt Proyectos'!M159</f>
        <v>0</v>
      </c>
      <c r="P91" s="145">
        <f>+'Gantt Proyectos'!N159</f>
        <v>0</v>
      </c>
      <c r="Q91" s="119">
        <f>+'Gantt Proyectos'!O159</f>
        <v>0</v>
      </c>
      <c r="R91" s="119">
        <f>+'Gantt Proyectos'!P159</f>
        <v>0</v>
      </c>
      <c r="S91" s="145">
        <f>+'Gantt Proyectos'!R159</f>
        <v>0</v>
      </c>
      <c r="T91" s="118">
        <f>+'Gantt Proyectos'!S159</f>
        <v>0</v>
      </c>
      <c r="U91" s="156">
        <f>+'Gantt Proyectos'!T159</f>
        <v>0</v>
      </c>
      <c r="V91" s="156">
        <f>+'Gantt Proyectos'!U159</f>
        <v>0</v>
      </c>
      <c r="W91" s="201">
        <f t="shared" si="9"/>
        <v>0</v>
      </c>
      <c r="X91" s="121">
        <f>+'Gantt Proyectos'!W159</f>
        <v>0</v>
      </c>
      <c r="Y91" s="122">
        <f>+'Gantt Proyectos'!X159</f>
        <v>0</v>
      </c>
      <c r="Z91" s="122">
        <f>+'Gantt Proyectos'!Y159</f>
        <v>0</v>
      </c>
      <c r="AA91" s="122">
        <f>+'Gantt Proyectos'!Z159</f>
        <v>0</v>
      </c>
      <c r="AB91" s="122">
        <f>+'Gantt Proyectos'!AA159</f>
        <v>0</v>
      </c>
      <c r="AC91" s="122">
        <f>+'Gantt Proyectos'!AB159</f>
        <v>0</v>
      </c>
      <c r="AD91" s="123">
        <f>+'Gantt Proyectos'!AC159</f>
        <v>0</v>
      </c>
      <c r="AE91" s="123">
        <f>+'Gantt Proyectos'!AD159</f>
        <v>0</v>
      </c>
      <c r="AF91" s="124">
        <f>+'Gantt Proyectos'!AE159</f>
        <v>0</v>
      </c>
      <c r="AG91" s="172">
        <v>1</v>
      </c>
      <c r="AH91" s="169">
        <f ca="1">+IFERROR(IF(ISNUMBER(OFFSET('EDP Proyectado'!AI91,0,-'Ingreso Proyectado_Edu'!$P91))&lt;&gt;0,IF(OFFSET('EDP Proyectado'!AI91,0,-'Ingreso Proyectado_Edu'!$P91)+0&lt;=1,0,OFFSET('EDP Proyectado'!AI91,0,-'Ingreso Proyectado_Edu'!$P91)+0)),0)</f>
        <v>0</v>
      </c>
      <c r="AI91" s="169">
        <f ca="1">+IFERROR(IF(ISNUMBER(OFFSET('EDP Proyectado'!AJ91,0,-'Ingreso Proyectado_Edu'!$P91))&lt;&gt;0,IF(OFFSET('EDP Proyectado'!AJ91,0,-'Ingreso Proyectado_Edu'!$P91)+0&lt;=1,0,OFFSET('EDP Proyectado'!AJ91,0,-'Ingreso Proyectado_Edu'!$P91)+0)),0)</f>
        <v>0</v>
      </c>
      <c r="AJ91" s="169">
        <f ca="1">+IFERROR(IF(ISNUMBER(OFFSET('EDP Proyectado'!AK91,0,-'Ingreso Proyectado_Edu'!$P91))&lt;&gt;0,IF(OFFSET('EDP Proyectado'!AK91,0,-'Ingreso Proyectado_Edu'!$P91)+0&lt;=1,0,OFFSET('EDP Proyectado'!AK91,0,-'Ingreso Proyectado_Edu'!$P91)+0)),0)</f>
        <v>0</v>
      </c>
      <c r="AK91" s="169">
        <f ca="1">+IFERROR(IF(ISNUMBER(OFFSET('EDP Proyectado'!AL91,0,-'Ingreso Proyectado_Edu'!$P91))&lt;&gt;0,IF(OFFSET('EDP Proyectado'!AL91,0,-'Ingreso Proyectado_Edu'!$P91)+0&lt;=1,0,OFFSET('EDP Proyectado'!AL91,0,-'Ingreso Proyectado_Edu'!$P91)+0)),0)</f>
        <v>0</v>
      </c>
      <c r="AL91" s="169">
        <f ca="1">+IFERROR(IF(ISNUMBER(OFFSET('EDP Proyectado'!AM91,0,-'Ingreso Proyectado_Edu'!$P91))&lt;&gt;0,IF(OFFSET('EDP Proyectado'!AM91,0,-'Ingreso Proyectado_Edu'!$P91)+0&lt;=1,0,OFFSET('EDP Proyectado'!AM91,0,-'Ingreso Proyectado_Edu'!$P91)+0)),0)</f>
        <v>0</v>
      </c>
      <c r="AM91" s="169">
        <f ca="1">+IFERROR(IF(ISNUMBER(OFFSET('EDP Proyectado'!AN91,0,-'Ingreso Proyectado_Edu'!$P91))&lt;&gt;0,IF(OFFSET('EDP Proyectado'!AN91,0,-'Ingreso Proyectado_Edu'!$P91)+0&lt;=1,0,OFFSET('EDP Proyectado'!AN91,0,-'Ingreso Proyectado_Edu'!$P91)+0)),0)</f>
        <v>0</v>
      </c>
      <c r="AN91" s="169">
        <f ca="1">+IFERROR(IF(ISNUMBER(OFFSET('EDP Proyectado'!AO91,0,-'Ingreso Proyectado_Edu'!$P91))&lt;&gt;0,IF(OFFSET('EDP Proyectado'!AO91,0,-'Ingreso Proyectado_Edu'!$P91)+0&lt;=1,0,OFFSET('EDP Proyectado'!AO91,0,-'Ingreso Proyectado_Edu'!$P91)+0)),0)</f>
        <v>0</v>
      </c>
      <c r="AO91" s="169">
        <f ca="1">+IFERROR(IF(ISNUMBER(OFFSET('EDP Proyectado'!AP91,0,-'Ingreso Proyectado_Edu'!$P91))&lt;&gt;0,IF(OFFSET('EDP Proyectado'!AP91,0,-'Ingreso Proyectado_Edu'!$P91)+0&lt;=1,0,OFFSET('EDP Proyectado'!AP91,0,-'Ingreso Proyectado_Edu'!$P91)+0)),0)</f>
        <v>0</v>
      </c>
      <c r="AP91" s="170">
        <f ca="1">+IFERROR(IF(ISNUMBER(OFFSET('EDP Proyectado'!AQ91,0,-'Ingreso Proyectado_Edu'!$P91))&lt;&gt;0,IF(OFFSET('EDP Proyectado'!AQ91,0,-'Ingreso Proyectado_Edu'!$P91)+0&lt;=1,0,OFFSET('EDP Proyectado'!AQ91,0,-'Ingreso Proyectado_Edu'!$P91)+0)),0)</f>
        <v>0</v>
      </c>
    </row>
    <row r="92" spans="3:42" x14ac:dyDescent="0.2">
      <c r="C92" s="144">
        <f>+'Gantt Proyectos'!C160</f>
        <v>64</v>
      </c>
      <c r="D92" s="145">
        <f>+'Gantt Proyectos'!D160</f>
        <v>0</v>
      </c>
      <c r="E92" s="145">
        <f>+'Gantt Proyectos'!E160</f>
        <v>0</v>
      </c>
      <c r="F92" s="147">
        <f>+'Gantt Proyectos'!F160</f>
        <v>0</v>
      </c>
      <c r="G92" s="145">
        <f>+'Gantt Proyectos'!G160</f>
        <v>0</v>
      </c>
      <c r="H92" s="145">
        <f>+'Gantt Proyectos'!H160</f>
        <v>0</v>
      </c>
      <c r="I92" s="189">
        <v>1</v>
      </c>
      <c r="J92" s="189">
        <f t="shared" si="8"/>
        <v>0</v>
      </c>
      <c r="K92" s="145">
        <f>+'Gantt Proyectos'!I160</f>
        <v>0</v>
      </c>
      <c r="L92" s="120">
        <f>+'Gantt Proyectos'!J160</f>
        <v>0</v>
      </c>
      <c r="M92" s="145">
        <f>+'Gantt Proyectos'!K160</f>
        <v>0</v>
      </c>
      <c r="N92" s="145">
        <f>+'Gantt Proyectos'!L160</f>
        <v>0</v>
      </c>
      <c r="O92" s="145">
        <f>+'Gantt Proyectos'!M160</f>
        <v>0</v>
      </c>
      <c r="P92" s="145">
        <f>+'Gantt Proyectos'!N160</f>
        <v>0</v>
      </c>
      <c r="Q92" s="119">
        <f>+'Gantt Proyectos'!O160</f>
        <v>0</v>
      </c>
      <c r="R92" s="119">
        <f>+'Gantt Proyectos'!P160</f>
        <v>0</v>
      </c>
      <c r="S92" s="145">
        <f>+'Gantt Proyectos'!R160</f>
        <v>0</v>
      </c>
      <c r="T92" s="118">
        <f>+'Gantt Proyectos'!S160</f>
        <v>0</v>
      </c>
      <c r="U92" s="156">
        <f>+'Gantt Proyectos'!T160</f>
        <v>0</v>
      </c>
      <c r="V92" s="156">
        <f>+'Gantt Proyectos'!U160</f>
        <v>0</v>
      </c>
      <c r="W92" s="201">
        <f t="shared" si="9"/>
        <v>0</v>
      </c>
      <c r="X92" s="121">
        <f>+'Gantt Proyectos'!W160</f>
        <v>0</v>
      </c>
      <c r="Y92" s="122">
        <f>+'Gantt Proyectos'!X160</f>
        <v>0</v>
      </c>
      <c r="Z92" s="122">
        <f>+'Gantt Proyectos'!Y160</f>
        <v>0</v>
      </c>
      <c r="AA92" s="122">
        <f>+'Gantt Proyectos'!Z160</f>
        <v>0</v>
      </c>
      <c r="AB92" s="122">
        <f>+'Gantt Proyectos'!AA160</f>
        <v>0</v>
      </c>
      <c r="AC92" s="122">
        <f>+'Gantt Proyectos'!AB160</f>
        <v>0</v>
      </c>
      <c r="AD92" s="123">
        <f>+'Gantt Proyectos'!AC160</f>
        <v>0</v>
      </c>
      <c r="AE92" s="123">
        <f>+'Gantt Proyectos'!AD160</f>
        <v>0</v>
      </c>
      <c r="AF92" s="124">
        <f>+'Gantt Proyectos'!AE160</f>
        <v>0</v>
      </c>
      <c r="AG92" s="172">
        <v>1</v>
      </c>
      <c r="AH92" s="169">
        <f ca="1">+IFERROR(IF(ISNUMBER(OFFSET('EDP Proyectado'!AI92,0,-'Ingreso Proyectado_Edu'!$P92))&lt;&gt;0,IF(OFFSET('EDP Proyectado'!AI92,0,-'Ingreso Proyectado_Edu'!$P92)+0&lt;=1,0,OFFSET('EDP Proyectado'!AI92,0,-'Ingreso Proyectado_Edu'!$P92)+0)),0)</f>
        <v>0</v>
      </c>
      <c r="AI92" s="169">
        <f ca="1">+IFERROR(IF(ISNUMBER(OFFSET('EDP Proyectado'!AJ92,0,-'Ingreso Proyectado_Edu'!$P92))&lt;&gt;0,IF(OFFSET('EDP Proyectado'!AJ92,0,-'Ingreso Proyectado_Edu'!$P92)+0&lt;=1,0,OFFSET('EDP Proyectado'!AJ92,0,-'Ingreso Proyectado_Edu'!$P92)+0)),0)</f>
        <v>0</v>
      </c>
      <c r="AJ92" s="169">
        <f ca="1">+IFERROR(IF(ISNUMBER(OFFSET('EDP Proyectado'!AK92,0,-'Ingreso Proyectado_Edu'!$P92))&lt;&gt;0,IF(OFFSET('EDP Proyectado'!AK92,0,-'Ingreso Proyectado_Edu'!$P92)+0&lt;=1,0,OFFSET('EDP Proyectado'!AK92,0,-'Ingreso Proyectado_Edu'!$P92)+0)),0)</f>
        <v>0</v>
      </c>
      <c r="AK92" s="169">
        <f ca="1">+IFERROR(IF(ISNUMBER(OFFSET('EDP Proyectado'!AL92,0,-'Ingreso Proyectado_Edu'!$P92))&lt;&gt;0,IF(OFFSET('EDP Proyectado'!AL92,0,-'Ingreso Proyectado_Edu'!$P92)+0&lt;=1,0,OFFSET('EDP Proyectado'!AL92,0,-'Ingreso Proyectado_Edu'!$P92)+0)),0)</f>
        <v>0</v>
      </c>
      <c r="AL92" s="169">
        <f ca="1">+IFERROR(IF(ISNUMBER(OFFSET('EDP Proyectado'!AM92,0,-'Ingreso Proyectado_Edu'!$P92))&lt;&gt;0,IF(OFFSET('EDP Proyectado'!AM92,0,-'Ingreso Proyectado_Edu'!$P92)+0&lt;=1,0,OFFSET('EDP Proyectado'!AM92,0,-'Ingreso Proyectado_Edu'!$P92)+0)),0)</f>
        <v>0</v>
      </c>
      <c r="AM92" s="169">
        <f ca="1">+IFERROR(IF(ISNUMBER(OFFSET('EDP Proyectado'!AN92,0,-'Ingreso Proyectado_Edu'!$P92))&lt;&gt;0,IF(OFFSET('EDP Proyectado'!AN92,0,-'Ingreso Proyectado_Edu'!$P92)+0&lt;=1,0,OFFSET('EDP Proyectado'!AN92,0,-'Ingreso Proyectado_Edu'!$P92)+0)),0)</f>
        <v>0</v>
      </c>
      <c r="AN92" s="169">
        <f ca="1">+IFERROR(IF(ISNUMBER(OFFSET('EDP Proyectado'!AO92,0,-'Ingreso Proyectado_Edu'!$P92))&lt;&gt;0,IF(OFFSET('EDP Proyectado'!AO92,0,-'Ingreso Proyectado_Edu'!$P92)+0&lt;=1,0,OFFSET('EDP Proyectado'!AO92,0,-'Ingreso Proyectado_Edu'!$P92)+0)),0)</f>
        <v>0</v>
      </c>
      <c r="AO92" s="169">
        <f ca="1">+IFERROR(IF(ISNUMBER(OFFSET('EDP Proyectado'!AP92,0,-'Ingreso Proyectado_Edu'!$P92))&lt;&gt;0,IF(OFFSET('EDP Proyectado'!AP92,0,-'Ingreso Proyectado_Edu'!$P92)+0&lt;=1,0,OFFSET('EDP Proyectado'!AP92,0,-'Ingreso Proyectado_Edu'!$P92)+0)),0)</f>
        <v>0</v>
      </c>
      <c r="AP92" s="170">
        <f ca="1">+IFERROR(IF(ISNUMBER(OFFSET('EDP Proyectado'!AQ92,0,-'Ingreso Proyectado_Edu'!$P92))&lt;&gt;0,IF(OFFSET('EDP Proyectado'!AQ92,0,-'Ingreso Proyectado_Edu'!$P92)+0&lt;=1,0,OFFSET('EDP Proyectado'!AQ92,0,-'Ingreso Proyectado_Edu'!$P92)+0)),0)</f>
        <v>0</v>
      </c>
    </row>
    <row r="93" spans="3:42" x14ac:dyDescent="0.2">
      <c r="C93" s="144">
        <f>+'Gantt Proyectos'!C161</f>
        <v>65</v>
      </c>
      <c r="D93" s="145">
        <f>+'Gantt Proyectos'!D161</f>
        <v>0</v>
      </c>
      <c r="E93" s="145">
        <f>+'Gantt Proyectos'!E161</f>
        <v>0</v>
      </c>
      <c r="F93" s="147">
        <f>+'Gantt Proyectos'!F161</f>
        <v>0</v>
      </c>
      <c r="G93" s="145">
        <f>+'Gantt Proyectos'!G161</f>
        <v>0</v>
      </c>
      <c r="H93" s="145">
        <f>+'Gantt Proyectos'!H161</f>
        <v>0</v>
      </c>
      <c r="I93" s="189">
        <v>1</v>
      </c>
      <c r="J93" s="189">
        <f t="shared" ref="J93:J124" si="10">1-I93</f>
        <v>0</v>
      </c>
      <c r="K93" s="145">
        <f>+'Gantt Proyectos'!I161</f>
        <v>0</v>
      </c>
      <c r="L93" s="120">
        <f>+'Gantt Proyectos'!J161</f>
        <v>0</v>
      </c>
      <c r="M93" s="145">
        <f>+'Gantt Proyectos'!K161</f>
        <v>0</v>
      </c>
      <c r="N93" s="145">
        <f>+'Gantt Proyectos'!L161</f>
        <v>0</v>
      </c>
      <c r="O93" s="145">
        <f>+'Gantt Proyectos'!M161</f>
        <v>0</v>
      </c>
      <c r="P93" s="145">
        <f>+'Gantt Proyectos'!N161</f>
        <v>0</v>
      </c>
      <c r="Q93" s="119">
        <f>+'Gantt Proyectos'!O161</f>
        <v>0</v>
      </c>
      <c r="R93" s="119">
        <f>+'Gantt Proyectos'!P161</f>
        <v>0</v>
      </c>
      <c r="S93" s="145">
        <f>+'Gantt Proyectos'!R161</f>
        <v>0</v>
      </c>
      <c r="T93" s="118">
        <f>+'Gantt Proyectos'!S161</f>
        <v>0</v>
      </c>
      <c r="U93" s="156">
        <f>+'Gantt Proyectos'!T161</f>
        <v>0</v>
      </c>
      <c r="V93" s="156">
        <f>+'Gantt Proyectos'!U161</f>
        <v>0</v>
      </c>
      <c r="W93" s="201">
        <f t="shared" ref="W93:W124" si="11">+ROUNDUP(_xlfn.DAYS(V93,U93)/30.5,0)</f>
        <v>0</v>
      </c>
      <c r="X93" s="121">
        <f>+'Gantt Proyectos'!W161</f>
        <v>0</v>
      </c>
      <c r="Y93" s="122">
        <f>+'Gantt Proyectos'!X161</f>
        <v>0</v>
      </c>
      <c r="Z93" s="122">
        <f>+'Gantt Proyectos'!Y161</f>
        <v>0</v>
      </c>
      <c r="AA93" s="122">
        <f>+'Gantt Proyectos'!Z161</f>
        <v>0</v>
      </c>
      <c r="AB93" s="122">
        <f>+'Gantt Proyectos'!AA161</f>
        <v>0</v>
      </c>
      <c r="AC93" s="122">
        <f>+'Gantt Proyectos'!AB161</f>
        <v>0</v>
      </c>
      <c r="AD93" s="123">
        <f>+'Gantt Proyectos'!AC161</f>
        <v>0</v>
      </c>
      <c r="AE93" s="123">
        <f>+'Gantt Proyectos'!AD161</f>
        <v>0</v>
      </c>
      <c r="AF93" s="124">
        <f>+'Gantt Proyectos'!AE161</f>
        <v>0</v>
      </c>
      <c r="AG93" s="172">
        <v>1</v>
      </c>
      <c r="AH93" s="169">
        <f ca="1">+IFERROR(IF(ISNUMBER(OFFSET('EDP Proyectado'!AI93,0,-'Ingreso Proyectado_Edu'!$P93))&lt;&gt;0,IF(OFFSET('EDP Proyectado'!AI93,0,-'Ingreso Proyectado_Edu'!$P93)+0&lt;=1,0,OFFSET('EDP Proyectado'!AI93,0,-'Ingreso Proyectado_Edu'!$P93)+0)),0)</f>
        <v>0</v>
      </c>
      <c r="AI93" s="169">
        <f ca="1">+IFERROR(IF(ISNUMBER(OFFSET('EDP Proyectado'!AJ93,0,-'Ingreso Proyectado_Edu'!$P93))&lt;&gt;0,IF(OFFSET('EDP Proyectado'!AJ93,0,-'Ingreso Proyectado_Edu'!$P93)+0&lt;=1,0,OFFSET('EDP Proyectado'!AJ93,0,-'Ingreso Proyectado_Edu'!$P93)+0)),0)</f>
        <v>0</v>
      </c>
      <c r="AJ93" s="169">
        <f ca="1">+IFERROR(IF(ISNUMBER(OFFSET('EDP Proyectado'!AK93,0,-'Ingreso Proyectado_Edu'!$P93))&lt;&gt;0,IF(OFFSET('EDP Proyectado'!AK93,0,-'Ingreso Proyectado_Edu'!$P93)+0&lt;=1,0,OFFSET('EDP Proyectado'!AK93,0,-'Ingreso Proyectado_Edu'!$P93)+0)),0)</f>
        <v>0</v>
      </c>
      <c r="AK93" s="169">
        <f ca="1">+IFERROR(IF(ISNUMBER(OFFSET('EDP Proyectado'!AL93,0,-'Ingreso Proyectado_Edu'!$P93))&lt;&gt;0,IF(OFFSET('EDP Proyectado'!AL93,0,-'Ingreso Proyectado_Edu'!$P93)+0&lt;=1,0,OFFSET('EDP Proyectado'!AL93,0,-'Ingreso Proyectado_Edu'!$P93)+0)),0)</f>
        <v>0</v>
      </c>
      <c r="AL93" s="169">
        <f ca="1">+IFERROR(IF(ISNUMBER(OFFSET('EDP Proyectado'!AM93,0,-'Ingreso Proyectado_Edu'!$P93))&lt;&gt;0,IF(OFFSET('EDP Proyectado'!AM93,0,-'Ingreso Proyectado_Edu'!$P93)+0&lt;=1,0,OFFSET('EDP Proyectado'!AM93,0,-'Ingreso Proyectado_Edu'!$P93)+0)),0)</f>
        <v>0</v>
      </c>
      <c r="AM93" s="169">
        <f ca="1">+IFERROR(IF(ISNUMBER(OFFSET('EDP Proyectado'!AN93,0,-'Ingreso Proyectado_Edu'!$P93))&lt;&gt;0,IF(OFFSET('EDP Proyectado'!AN93,0,-'Ingreso Proyectado_Edu'!$P93)+0&lt;=1,0,OFFSET('EDP Proyectado'!AN93,0,-'Ingreso Proyectado_Edu'!$P93)+0)),0)</f>
        <v>0</v>
      </c>
      <c r="AN93" s="169">
        <f ca="1">+IFERROR(IF(ISNUMBER(OFFSET('EDP Proyectado'!AO93,0,-'Ingreso Proyectado_Edu'!$P93))&lt;&gt;0,IF(OFFSET('EDP Proyectado'!AO93,0,-'Ingreso Proyectado_Edu'!$P93)+0&lt;=1,0,OFFSET('EDP Proyectado'!AO93,0,-'Ingreso Proyectado_Edu'!$P93)+0)),0)</f>
        <v>0</v>
      </c>
      <c r="AO93" s="169">
        <f ca="1">+IFERROR(IF(ISNUMBER(OFFSET('EDP Proyectado'!AP93,0,-'Ingreso Proyectado_Edu'!$P93))&lt;&gt;0,IF(OFFSET('EDP Proyectado'!AP93,0,-'Ingreso Proyectado_Edu'!$P93)+0&lt;=1,0,OFFSET('EDP Proyectado'!AP93,0,-'Ingreso Proyectado_Edu'!$P93)+0)),0)</f>
        <v>0</v>
      </c>
      <c r="AP93" s="170">
        <f ca="1">+IFERROR(IF(ISNUMBER(OFFSET('EDP Proyectado'!AQ93,0,-'Ingreso Proyectado_Edu'!$P93))&lt;&gt;0,IF(OFFSET('EDP Proyectado'!AQ93,0,-'Ingreso Proyectado_Edu'!$P93)+0&lt;=1,0,OFFSET('EDP Proyectado'!AQ93,0,-'Ingreso Proyectado_Edu'!$P93)+0)),0)</f>
        <v>0</v>
      </c>
    </row>
    <row r="94" spans="3:42" x14ac:dyDescent="0.2">
      <c r="C94" s="144">
        <f>+'Gantt Proyectos'!C162</f>
        <v>66</v>
      </c>
      <c r="D94" s="145">
        <f>+'Gantt Proyectos'!D162</f>
        <v>0</v>
      </c>
      <c r="E94" s="145">
        <f>+'Gantt Proyectos'!E162</f>
        <v>0</v>
      </c>
      <c r="F94" s="147">
        <f>+'Gantt Proyectos'!F162</f>
        <v>0</v>
      </c>
      <c r="G94" s="145">
        <f>+'Gantt Proyectos'!G162</f>
        <v>0</v>
      </c>
      <c r="H94" s="145">
        <f>+'Gantt Proyectos'!H162</f>
        <v>0</v>
      </c>
      <c r="I94" s="189">
        <v>1</v>
      </c>
      <c r="J94" s="189">
        <f t="shared" si="10"/>
        <v>0</v>
      </c>
      <c r="K94" s="145">
        <f>+'Gantt Proyectos'!I162</f>
        <v>0</v>
      </c>
      <c r="L94" s="120">
        <f>+'Gantt Proyectos'!J162</f>
        <v>0</v>
      </c>
      <c r="M94" s="145">
        <f>+'Gantt Proyectos'!K162</f>
        <v>0</v>
      </c>
      <c r="N94" s="145">
        <f>+'Gantt Proyectos'!L162</f>
        <v>0</v>
      </c>
      <c r="O94" s="145">
        <f>+'Gantt Proyectos'!M162</f>
        <v>0</v>
      </c>
      <c r="P94" s="145">
        <f>+'Gantt Proyectos'!N162</f>
        <v>0</v>
      </c>
      <c r="Q94" s="119">
        <f>+'Gantt Proyectos'!O162</f>
        <v>0</v>
      </c>
      <c r="R94" s="119">
        <f>+'Gantt Proyectos'!P162</f>
        <v>0</v>
      </c>
      <c r="S94" s="145">
        <f>+'Gantt Proyectos'!R162</f>
        <v>0</v>
      </c>
      <c r="T94" s="118">
        <f>+'Gantt Proyectos'!S162</f>
        <v>0</v>
      </c>
      <c r="U94" s="156">
        <f>+'Gantt Proyectos'!T162</f>
        <v>0</v>
      </c>
      <c r="V94" s="156">
        <f>+'Gantt Proyectos'!U162</f>
        <v>0</v>
      </c>
      <c r="W94" s="201">
        <f t="shared" si="11"/>
        <v>0</v>
      </c>
      <c r="X94" s="121">
        <f>+'Gantt Proyectos'!W162</f>
        <v>0</v>
      </c>
      <c r="Y94" s="122">
        <f>+'Gantt Proyectos'!X162</f>
        <v>0</v>
      </c>
      <c r="Z94" s="122">
        <f>+'Gantt Proyectos'!Y162</f>
        <v>0</v>
      </c>
      <c r="AA94" s="122">
        <f>+'Gantt Proyectos'!Z162</f>
        <v>0</v>
      </c>
      <c r="AB94" s="122">
        <f>+'Gantt Proyectos'!AA162</f>
        <v>0</v>
      </c>
      <c r="AC94" s="122">
        <f>+'Gantt Proyectos'!AB162</f>
        <v>0</v>
      </c>
      <c r="AD94" s="123">
        <f>+'Gantt Proyectos'!AC162</f>
        <v>0</v>
      </c>
      <c r="AE94" s="123">
        <f>+'Gantt Proyectos'!AD162</f>
        <v>0</v>
      </c>
      <c r="AF94" s="124">
        <f>+'Gantt Proyectos'!AE162</f>
        <v>0</v>
      </c>
      <c r="AG94" s="172">
        <v>1</v>
      </c>
      <c r="AH94" s="169">
        <f ca="1">+IFERROR(IF(ISNUMBER(OFFSET('EDP Proyectado'!AI94,0,-'Ingreso Proyectado_Edu'!$P94))&lt;&gt;0,IF(OFFSET('EDP Proyectado'!AI94,0,-'Ingreso Proyectado_Edu'!$P94)+0&lt;=1,0,OFFSET('EDP Proyectado'!AI94,0,-'Ingreso Proyectado_Edu'!$P94)+0)),0)</f>
        <v>0</v>
      </c>
      <c r="AI94" s="169">
        <f ca="1">+IFERROR(IF(ISNUMBER(OFFSET('EDP Proyectado'!AJ94,0,-'Ingreso Proyectado_Edu'!$P94))&lt;&gt;0,IF(OFFSET('EDP Proyectado'!AJ94,0,-'Ingreso Proyectado_Edu'!$P94)+0&lt;=1,0,OFFSET('EDP Proyectado'!AJ94,0,-'Ingreso Proyectado_Edu'!$P94)+0)),0)</f>
        <v>0</v>
      </c>
      <c r="AJ94" s="169">
        <f ca="1">+IFERROR(IF(ISNUMBER(OFFSET('EDP Proyectado'!AK94,0,-'Ingreso Proyectado_Edu'!$P94))&lt;&gt;0,IF(OFFSET('EDP Proyectado'!AK94,0,-'Ingreso Proyectado_Edu'!$P94)+0&lt;=1,0,OFFSET('EDP Proyectado'!AK94,0,-'Ingreso Proyectado_Edu'!$P94)+0)),0)</f>
        <v>0</v>
      </c>
      <c r="AK94" s="169">
        <f ca="1">+IFERROR(IF(ISNUMBER(OFFSET('EDP Proyectado'!AL94,0,-'Ingreso Proyectado_Edu'!$P94))&lt;&gt;0,IF(OFFSET('EDP Proyectado'!AL94,0,-'Ingreso Proyectado_Edu'!$P94)+0&lt;=1,0,OFFSET('EDP Proyectado'!AL94,0,-'Ingreso Proyectado_Edu'!$P94)+0)),0)</f>
        <v>0</v>
      </c>
      <c r="AL94" s="169">
        <f ca="1">+IFERROR(IF(ISNUMBER(OFFSET('EDP Proyectado'!AM94,0,-'Ingreso Proyectado_Edu'!$P94))&lt;&gt;0,IF(OFFSET('EDP Proyectado'!AM94,0,-'Ingreso Proyectado_Edu'!$P94)+0&lt;=1,0,OFFSET('EDP Proyectado'!AM94,0,-'Ingreso Proyectado_Edu'!$P94)+0)),0)</f>
        <v>0</v>
      </c>
      <c r="AM94" s="169">
        <f ca="1">+IFERROR(IF(ISNUMBER(OFFSET('EDP Proyectado'!AN94,0,-'Ingreso Proyectado_Edu'!$P94))&lt;&gt;0,IF(OFFSET('EDP Proyectado'!AN94,0,-'Ingreso Proyectado_Edu'!$P94)+0&lt;=1,0,OFFSET('EDP Proyectado'!AN94,0,-'Ingreso Proyectado_Edu'!$P94)+0)),0)</f>
        <v>0</v>
      </c>
      <c r="AN94" s="169">
        <f ca="1">+IFERROR(IF(ISNUMBER(OFFSET('EDP Proyectado'!AO94,0,-'Ingreso Proyectado_Edu'!$P94))&lt;&gt;0,IF(OFFSET('EDP Proyectado'!AO94,0,-'Ingreso Proyectado_Edu'!$P94)+0&lt;=1,0,OFFSET('EDP Proyectado'!AO94,0,-'Ingreso Proyectado_Edu'!$P94)+0)),0)</f>
        <v>0</v>
      </c>
      <c r="AO94" s="169">
        <f ca="1">+IFERROR(IF(ISNUMBER(OFFSET('EDP Proyectado'!AP94,0,-'Ingreso Proyectado_Edu'!$P94))&lt;&gt;0,IF(OFFSET('EDP Proyectado'!AP94,0,-'Ingreso Proyectado_Edu'!$P94)+0&lt;=1,0,OFFSET('EDP Proyectado'!AP94,0,-'Ingreso Proyectado_Edu'!$P94)+0)),0)</f>
        <v>0</v>
      </c>
      <c r="AP94" s="170">
        <f ca="1">+IFERROR(IF(ISNUMBER(OFFSET('EDP Proyectado'!AQ94,0,-'Ingreso Proyectado_Edu'!$P94))&lt;&gt;0,IF(OFFSET('EDP Proyectado'!AQ94,0,-'Ingreso Proyectado_Edu'!$P94)+0&lt;=1,0,OFFSET('EDP Proyectado'!AQ94,0,-'Ingreso Proyectado_Edu'!$P94)+0)),0)</f>
        <v>0</v>
      </c>
    </row>
    <row r="95" spans="3:42" x14ac:dyDescent="0.2">
      <c r="C95" s="144">
        <f>+'Gantt Proyectos'!C163</f>
        <v>67</v>
      </c>
      <c r="D95" s="145">
        <f>+'Gantt Proyectos'!D163</f>
        <v>0</v>
      </c>
      <c r="E95" s="145">
        <f>+'Gantt Proyectos'!E163</f>
        <v>0</v>
      </c>
      <c r="F95" s="147">
        <f>+'Gantt Proyectos'!F163</f>
        <v>0</v>
      </c>
      <c r="G95" s="145">
        <f>+'Gantt Proyectos'!G163</f>
        <v>0</v>
      </c>
      <c r="H95" s="145">
        <f>+'Gantt Proyectos'!H163</f>
        <v>0</v>
      </c>
      <c r="I95" s="189">
        <v>1</v>
      </c>
      <c r="J95" s="189">
        <f t="shared" si="10"/>
        <v>0</v>
      </c>
      <c r="K95" s="145">
        <f>+'Gantt Proyectos'!I163</f>
        <v>0</v>
      </c>
      <c r="L95" s="120">
        <f>+'Gantt Proyectos'!J163</f>
        <v>0</v>
      </c>
      <c r="M95" s="145">
        <f>+'Gantt Proyectos'!K163</f>
        <v>0</v>
      </c>
      <c r="N95" s="145">
        <f>+'Gantt Proyectos'!L163</f>
        <v>0</v>
      </c>
      <c r="O95" s="145">
        <f>+'Gantt Proyectos'!M163</f>
        <v>0</v>
      </c>
      <c r="P95" s="145">
        <f>+'Gantt Proyectos'!N163</f>
        <v>0</v>
      </c>
      <c r="Q95" s="119">
        <f>+'Gantt Proyectos'!O163</f>
        <v>0</v>
      </c>
      <c r="R95" s="119">
        <f>+'Gantt Proyectos'!P163</f>
        <v>0</v>
      </c>
      <c r="S95" s="145">
        <f>+'Gantt Proyectos'!R163</f>
        <v>0</v>
      </c>
      <c r="T95" s="118">
        <f>+'Gantt Proyectos'!S163</f>
        <v>0</v>
      </c>
      <c r="U95" s="156">
        <f>+'Gantt Proyectos'!T163</f>
        <v>0</v>
      </c>
      <c r="V95" s="156">
        <f>+'Gantt Proyectos'!U163</f>
        <v>0</v>
      </c>
      <c r="W95" s="201">
        <f t="shared" si="11"/>
        <v>0</v>
      </c>
      <c r="X95" s="121">
        <f>+'Gantt Proyectos'!W163</f>
        <v>0</v>
      </c>
      <c r="Y95" s="122">
        <f>+'Gantt Proyectos'!X163</f>
        <v>0</v>
      </c>
      <c r="Z95" s="122">
        <f>+'Gantt Proyectos'!Y163</f>
        <v>0</v>
      </c>
      <c r="AA95" s="122">
        <f>+'Gantt Proyectos'!Z163</f>
        <v>0</v>
      </c>
      <c r="AB95" s="122">
        <f>+'Gantt Proyectos'!AA163</f>
        <v>0</v>
      </c>
      <c r="AC95" s="122">
        <f>+'Gantt Proyectos'!AB163</f>
        <v>0</v>
      </c>
      <c r="AD95" s="123">
        <f>+'Gantt Proyectos'!AC163</f>
        <v>0</v>
      </c>
      <c r="AE95" s="123">
        <f>+'Gantt Proyectos'!AD163</f>
        <v>0</v>
      </c>
      <c r="AF95" s="124">
        <f>+'Gantt Proyectos'!AE163</f>
        <v>0</v>
      </c>
      <c r="AG95" s="172">
        <v>1</v>
      </c>
      <c r="AH95" s="169">
        <f ca="1">+IFERROR(IF(ISNUMBER(OFFSET('EDP Proyectado'!AI95,0,-'Ingreso Proyectado_Edu'!$P95))&lt;&gt;0,IF(OFFSET('EDP Proyectado'!AI95,0,-'Ingreso Proyectado_Edu'!$P95)+0&lt;=1,0,OFFSET('EDP Proyectado'!AI95,0,-'Ingreso Proyectado_Edu'!$P95)+0)),0)</f>
        <v>0</v>
      </c>
      <c r="AI95" s="169">
        <f ca="1">+IFERROR(IF(ISNUMBER(OFFSET('EDP Proyectado'!AJ95,0,-'Ingreso Proyectado_Edu'!$P95))&lt;&gt;0,IF(OFFSET('EDP Proyectado'!AJ95,0,-'Ingreso Proyectado_Edu'!$P95)+0&lt;=1,0,OFFSET('EDP Proyectado'!AJ95,0,-'Ingreso Proyectado_Edu'!$P95)+0)),0)</f>
        <v>0</v>
      </c>
      <c r="AJ95" s="169">
        <f ca="1">+IFERROR(IF(ISNUMBER(OFFSET('EDP Proyectado'!AK95,0,-'Ingreso Proyectado_Edu'!$P95))&lt;&gt;0,IF(OFFSET('EDP Proyectado'!AK95,0,-'Ingreso Proyectado_Edu'!$P95)+0&lt;=1,0,OFFSET('EDP Proyectado'!AK95,0,-'Ingreso Proyectado_Edu'!$P95)+0)),0)</f>
        <v>0</v>
      </c>
      <c r="AK95" s="169">
        <f ca="1">+IFERROR(IF(ISNUMBER(OFFSET('EDP Proyectado'!AL95,0,-'Ingreso Proyectado_Edu'!$P95))&lt;&gt;0,IF(OFFSET('EDP Proyectado'!AL95,0,-'Ingreso Proyectado_Edu'!$P95)+0&lt;=1,0,OFFSET('EDP Proyectado'!AL95,0,-'Ingreso Proyectado_Edu'!$P95)+0)),0)</f>
        <v>0</v>
      </c>
      <c r="AL95" s="169">
        <f ca="1">+IFERROR(IF(ISNUMBER(OFFSET('EDP Proyectado'!AM95,0,-'Ingreso Proyectado_Edu'!$P95))&lt;&gt;0,IF(OFFSET('EDP Proyectado'!AM95,0,-'Ingreso Proyectado_Edu'!$P95)+0&lt;=1,0,OFFSET('EDP Proyectado'!AM95,0,-'Ingreso Proyectado_Edu'!$P95)+0)),0)</f>
        <v>0</v>
      </c>
      <c r="AM95" s="169">
        <f ca="1">+IFERROR(IF(ISNUMBER(OFFSET('EDP Proyectado'!AN95,0,-'Ingreso Proyectado_Edu'!$P95))&lt;&gt;0,IF(OFFSET('EDP Proyectado'!AN95,0,-'Ingreso Proyectado_Edu'!$P95)+0&lt;=1,0,OFFSET('EDP Proyectado'!AN95,0,-'Ingreso Proyectado_Edu'!$P95)+0)),0)</f>
        <v>0</v>
      </c>
      <c r="AN95" s="169">
        <f ca="1">+IFERROR(IF(ISNUMBER(OFFSET('EDP Proyectado'!AO95,0,-'Ingreso Proyectado_Edu'!$P95))&lt;&gt;0,IF(OFFSET('EDP Proyectado'!AO95,0,-'Ingreso Proyectado_Edu'!$P95)+0&lt;=1,0,OFFSET('EDP Proyectado'!AO95,0,-'Ingreso Proyectado_Edu'!$P95)+0)),0)</f>
        <v>0</v>
      </c>
      <c r="AO95" s="169">
        <f ca="1">+IFERROR(IF(ISNUMBER(OFFSET('EDP Proyectado'!AP95,0,-'Ingreso Proyectado_Edu'!$P95))&lt;&gt;0,IF(OFFSET('EDP Proyectado'!AP95,0,-'Ingreso Proyectado_Edu'!$P95)+0&lt;=1,0,OFFSET('EDP Proyectado'!AP95,0,-'Ingreso Proyectado_Edu'!$P95)+0)),0)</f>
        <v>0</v>
      </c>
      <c r="AP95" s="170">
        <f ca="1">+IFERROR(IF(ISNUMBER(OFFSET('EDP Proyectado'!AQ95,0,-'Ingreso Proyectado_Edu'!$P95))&lt;&gt;0,IF(OFFSET('EDP Proyectado'!AQ95,0,-'Ingreso Proyectado_Edu'!$P95)+0&lt;=1,0,OFFSET('EDP Proyectado'!AQ95,0,-'Ingreso Proyectado_Edu'!$P95)+0)),0)</f>
        <v>0</v>
      </c>
    </row>
    <row r="96" spans="3:42" x14ac:dyDescent="0.2">
      <c r="C96" s="144">
        <f>+'Gantt Proyectos'!C164</f>
        <v>68</v>
      </c>
      <c r="D96" s="145">
        <f>+'Gantt Proyectos'!D164</f>
        <v>0</v>
      </c>
      <c r="E96" s="145">
        <f>+'Gantt Proyectos'!E164</f>
        <v>0</v>
      </c>
      <c r="F96" s="147">
        <f>+'Gantt Proyectos'!F164</f>
        <v>0</v>
      </c>
      <c r="G96" s="145">
        <f>+'Gantt Proyectos'!G164</f>
        <v>0</v>
      </c>
      <c r="H96" s="145">
        <f>+'Gantt Proyectos'!H164</f>
        <v>0</v>
      </c>
      <c r="I96" s="189">
        <v>1</v>
      </c>
      <c r="J96" s="189">
        <f t="shared" si="10"/>
        <v>0</v>
      </c>
      <c r="K96" s="145">
        <f>+'Gantt Proyectos'!I164</f>
        <v>0</v>
      </c>
      <c r="L96" s="120">
        <f>+'Gantt Proyectos'!J164</f>
        <v>0</v>
      </c>
      <c r="M96" s="145">
        <f>+'Gantt Proyectos'!K164</f>
        <v>0</v>
      </c>
      <c r="N96" s="145">
        <f>+'Gantt Proyectos'!L164</f>
        <v>0</v>
      </c>
      <c r="O96" s="145">
        <f>+'Gantt Proyectos'!M164</f>
        <v>0</v>
      </c>
      <c r="P96" s="145">
        <f>+'Gantt Proyectos'!N164</f>
        <v>0</v>
      </c>
      <c r="Q96" s="119">
        <f>+'Gantt Proyectos'!O164</f>
        <v>0</v>
      </c>
      <c r="R96" s="119">
        <f>+'Gantt Proyectos'!P164</f>
        <v>0</v>
      </c>
      <c r="S96" s="145">
        <f>+'Gantt Proyectos'!R164</f>
        <v>0</v>
      </c>
      <c r="T96" s="118">
        <f>+'Gantt Proyectos'!S164</f>
        <v>0</v>
      </c>
      <c r="U96" s="156">
        <f>+'Gantt Proyectos'!T164</f>
        <v>0</v>
      </c>
      <c r="V96" s="156">
        <f>+'Gantt Proyectos'!U164</f>
        <v>0</v>
      </c>
      <c r="W96" s="201">
        <f t="shared" si="11"/>
        <v>0</v>
      </c>
      <c r="X96" s="121">
        <f>+'Gantt Proyectos'!W164</f>
        <v>0</v>
      </c>
      <c r="Y96" s="122">
        <f>+'Gantt Proyectos'!X164</f>
        <v>0</v>
      </c>
      <c r="Z96" s="122">
        <f>+'Gantt Proyectos'!Y164</f>
        <v>0</v>
      </c>
      <c r="AA96" s="122">
        <f>+'Gantt Proyectos'!Z164</f>
        <v>0</v>
      </c>
      <c r="AB96" s="122">
        <f>+'Gantt Proyectos'!AA164</f>
        <v>0</v>
      </c>
      <c r="AC96" s="122">
        <f>+'Gantt Proyectos'!AB164</f>
        <v>0</v>
      </c>
      <c r="AD96" s="123">
        <f>+'Gantt Proyectos'!AC164</f>
        <v>0</v>
      </c>
      <c r="AE96" s="123">
        <f>+'Gantt Proyectos'!AD164</f>
        <v>0</v>
      </c>
      <c r="AF96" s="124">
        <f>+'Gantt Proyectos'!AE164</f>
        <v>0</v>
      </c>
      <c r="AG96" s="172">
        <v>1</v>
      </c>
      <c r="AH96" s="169">
        <f ca="1">+IFERROR(IF(ISNUMBER(OFFSET('EDP Proyectado'!AI96,0,-'Ingreso Proyectado_Edu'!$P96))&lt;&gt;0,IF(OFFSET('EDP Proyectado'!AI96,0,-'Ingreso Proyectado_Edu'!$P96)+0&lt;=1,0,OFFSET('EDP Proyectado'!AI96,0,-'Ingreso Proyectado_Edu'!$P96)+0)),0)</f>
        <v>0</v>
      </c>
      <c r="AI96" s="169">
        <f ca="1">+IFERROR(IF(ISNUMBER(OFFSET('EDP Proyectado'!AJ96,0,-'Ingreso Proyectado_Edu'!$P96))&lt;&gt;0,IF(OFFSET('EDP Proyectado'!AJ96,0,-'Ingreso Proyectado_Edu'!$P96)+0&lt;=1,0,OFFSET('EDP Proyectado'!AJ96,0,-'Ingreso Proyectado_Edu'!$P96)+0)),0)</f>
        <v>0</v>
      </c>
      <c r="AJ96" s="169">
        <f ca="1">+IFERROR(IF(ISNUMBER(OFFSET('EDP Proyectado'!AK96,0,-'Ingreso Proyectado_Edu'!$P96))&lt;&gt;0,IF(OFFSET('EDP Proyectado'!AK96,0,-'Ingreso Proyectado_Edu'!$P96)+0&lt;=1,0,OFFSET('EDP Proyectado'!AK96,0,-'Ingreso Proyectado_Edu'!$P96)+0)),0)</f>
        <v>0</v>
      </c>
      <c r="AK96" s="169">
        <f ca="1">+IFERROR(IF(ISNUMBER(OFFSET('EDP Proyectado'!AL96,0,-'Ingreso Proyectado_Edu'!$P96))&lt;&gt;0,IF(OFFSET('EDP Proyectado'!AL96,0,-'Ingreso Proyectado_Edu'!$P96)+0&lt;=1,0,OFFSET('EDP Proyectado'!AL96,0,-'Ingreso Proyectado_Edu'!$P96)+0)),0)</f>
        <v>0</v>
      </c>
      <c r="AL96" s="169">
        <f ca="1">+IFERROR(IF(ISNUMBER(OFFSET('EDP Proyectado'!AM96,0,-'Ingreso Proyectado_Edu'!$P96))&lt;&gt;0,IF(OFFSET('EDP Proyectado'!AM96,0,-'Ingreso Proyectado_Edu'!$P96)+0&lt;=1,0,OFFSET('EDP Proyectado'!AM96,0,-'Ingreso Proyectado_Edu'!$P96)+0)),0)</f>
        <v>0</v>
      </c>
      <c r="AM96" s="169">
        <f ca="1">+IFERROR(IF(ISNUMBER(OFFSET('EDP Proyectado'!AN96,0,-'Ingreso Proyectado_Edu'!$P96))&lt;&gt;0,IF(OFFSET('EDP Proyectado'!AN96,0,-'Ingreso Proyectado_Edu'!$P96)+0&lt;=1,0,OFFSET('EDP Proyectado'!AN96,0,-'Ingreso Proyectado_Edu'!$P96)+0)),0)</f>
        <v>0</v>
      </c>
      <c r="AN96" s="169">
        <f ca="1">+IFERROR(IF(ISNUMBER(OFFSET('EDP Proyectado'!AO96,0,-'Ingreso Proyectado_Edu'!$P96))&lt;&gt;0,IF(OFFSET('EDP Proyectado'!AO96,0,-'Ingreso Proyectado_Edu'!$P96)+0&lt;=1,0,OFFSET('EDP Proyectado'!AO96,0,-'Ingreso Proyectado_Edu'!$P96)+0)),0)</f>
        <v>0</v>
      </c>
      <c r="AO96" s="169">
        <f ca="1">+IFERROR(IF(ISNUMBER(OFFSET('EDP Proyectado'!AP96,0,-'Ingreso Proyectado_Edu'!$P96))&lt;&gt;0,IF(OFFSET('EDP Proyectado'!AP96,0,-'Ingreso Proyectado_Edu'!$P96)+0&lt;=1,0,OFFSET('EDP Proyectado'!AP96,0,-'Ingreso Proyectado_Edu'!$P96)+0)),0)</f>
        <v>0</v>
      </c>
      <c r="AP96" s="170">
        <f ca="1">+IFERROR(IF(ISNUMBER(OFFSET('EDP Proyectado'!AQ96,0,-'Ingreso Proyectado_Edu'!$P96))&lt;&gt;0,IF(OFFSET('EDP Proyectado'!AQ96,0,-'Ingreso Proyectado_Edu'!$P96)+0&lt;=1,0,OFFSET('EDP Proyectado'!AQ96,0,-'Ingreso Proyectado_Edu'!$P96)+0)),0)</f>
        <v>0</v>
      </c>
    </row>
    <row r="97" spans="3:42" x14ac:dyDescent="0.2">
      <c r="C97" s="144">
        <f>+'Gantt Proyectos'!C165</f>
        <v>69</v>
      </c>
      <c r="D97" s="145">
        <f>+'Gantt Proyectos'!D165</f>
        <v>0</v>
      </c>
      <c r="E97" s="145">
        <f>+'Gantt Proyectos'!E165</f>
        <v>0</v>
      </c>
      <c r="F97" s="147">
        <f>+'Gantt Proyectos'!F165</f>
        <v>0</v>
      </c>
      <c r="G97" s="145">
        <f>+'Gantt Proyectos'!G165</f>
        <v>0</v>
      </c>
      <c r="H97" s="145">
        <f>+'Gantt Proyectos'!H165</f>
        <v>0</v>
      </c>
      <c r="I97" s="189">
        <v>1</v>
      </c>
      <c r="J97" s="189">
        <f t="shared" si="10"/>
        <v>0</v>
      </c>
      <c r="K97" s="145">
        <f>+'Gantt Proyectos'!I165</f>
        <v>0</v>
      </c>
      <c r="L97" s="120">
        <f>+'Gantt Proyectos'!J165</f>
        <v>0</v>
      </c>
      <c r="M97" s="145">
        <f>+'Gantt Proyectos'!K165</f>
        <v>0</v>
      </c>
      <c r="N97" s="145">
        <f>+'Gantt Proyectos'!L165</f>
        <v>0</v>
      </c>
      <c r="O97" s="145">
        <f>+'Gantt Proyectos'!M165</f>
        <v>0</v>
      </c>
      <c r="P97" s="145">
        <f>+'Gantt Proyectos'!N165</f>
        <v>0</v>
      </c>
      <c r="Q97" s="119">
        <f>+'Gantt Proyectos'!O165</f>
        <v>0</v>
      </c>
      <c r="R97" s="119">
        <f>+'Gantt Proyectos'!P165</f>
        <v>0</v>
      </c>
      <c r="S97" s="145">
        <f>+'Gantt Proyectos'!R165</f>
        <v>0</v>
      </c>
      <c r="T97" s="118">
        <f>+'Gantt Proyectos'!S165</f>
        <v>0</v>
      </c>
      <c r="U97" s="156">
        <f>+'Gantt Proyectos'!T165</f>
        <v>0</v>
      </c>
      <c r="V97" s="156">
        <f>+'Gantt Proyectos'!U165</f>
        <v>0</v>
      </c>
      <c r="W97" s="201">
        <f t="shared" si="11"/>
        <v>0</v>
      </c>
      <c r="X97" s="121">
        <f>+'Gantt Proyectos'!W165</f>
        <v>0</v>
      </c>
      <c r="Y97" s="122">
        <f>+'Gantt Proyectos'!X165</f>
        <v>0</v>
      </c>
      <c r="Z97" s="122">
        <f>+'Gantt Proyectos'!Y165</f>
        <v>0</v>
      </c>
      <c r="AA97" s="122">
        <f>+'Gantt Proyectos'!Z165</f>
        <v>0</v>
      </c>
      <c r="AB97" s="122">
        <f>+'Gantt Proyectos'!AA165</f>
        <v>0</v>
      </c>
      <c r="AC97" s="122">
        <f>+'Gantt Proyectos'!AB165</f>
        <v>0</v>
      </c>
      <c r="AD97" s="123">
        <f>+'Gantt Proyectos'!AC165</f>
        <v>0</v>
      </c>
      <c r="AE97" s="123">
        <f>+'Gantt Proyectos'!AD165</f>
        <v>0</v>
      </c>
      <c r="AF97" s="124">
        <f>+'Gantt Proyectos'!AE165</f>
        <v>0</v>
      </c>
      <c r="AG97" s="172">
        <v>1</v>
      </c>
      <c r="AH97" s="169">
        <f ca="1">+IFERROR(IF(ISNUMBER(OFFSET('EDP Proyectado'!AI97,0,-'Ingreso Proyectado_Edu'!$P97))&lt;&gt;0,IF(OFFSET('EDP Proyectado'!AI97,0,-'Ingreso Proyectado_Edu'!$P97)+0&lt;=1,0,OFFSET('EDP Proyectado'!AI97,0,-'Ingreso Proyectado_Edu'!$P97)+0)),0)</f>
        <v>0</v>
      </c>
      <c r="AI97" s="169">
        <f ca="1">+IFERROR(IF(ISNUMBER(OFFSET('EDP Proyectado'!AJ97,0,-'Ingreso Proyectado_Edu'!$P97))&lt;&gt;0,IF(OFFSET('EDP Proyectado'!AJ97,0,-'Ingreso Proyectado_Edu'!$P97)+0&lt;=1,0,OFFSET('EDP Proyectado'!AJ97,0,-'Ingreso Proyectado_Edu'!$P97)+0)),0)</f>
        <v>0</v>
      </c>
      <c r="AJ97" s="169">
        <f ca="1">+IFERROR(IF(ISNUMBER(OFFSET('EDP Proyectado'!AK97,0,-'Ingreso Proyectado_Edu'!$P97))&lt;&gt;0,IF(OFFSET('EDP Proyectado'!AK97,0,-'Ingreso Proyectado_Edu'!$P97)+0&lt;=1,0,OFFSET('EDP Proyectado'!AK97,0,-'Ingreso Proyectado_Edu'!$P97)+0)),0)</f>
        <v>0</v>
      </c>
      <c r="AK97" s="169">
        <f ca="1">+IFERROR(IF(ISNUMBER(OFFSET('EDP Proyectado'!AL97,0,-'Ingreso Proyectado_Edu'!$P97))&lt;&gt;0,IF(OFFSET('EDP Proyectado'!AL97,0,-'Ingreso Proyectado_Edu'!$P97)+0&lt;=1,0,OFFSET('EDP Proyectado'!AL97,0,-'Ingreso Proyectado_Edu'!$P97)+0)),0)</f>
        <v>0</v>
      </c>
      <c r="AL97" s="169">
        <f ca="1">+IFERROR(IF(ISNUMBER(OFFSET('EDP Proyectado'!AM97,0,-'Ingreso Proyectado_Edu'!$P97))&lt;&gt;0,IF(OFFSET('EDP Proyectado'!AM97,0,-'Ingreso Proyectado_Edu'!$P97)+0&lt;=1,0,OFFSET('EDP Proyectado'!AM97,0,-'Ingreso Proyectado_Edu'!$P97)+0)),0)</f>
        <v>0</v>
      </c>
      <c r="AM97" s="169">
        <f ca="1">+IFERROR(IF(ISNUMBER(OFFSET('EDP Proyectado'!AN97,0,-'Ingreso Proyectado_Edu'!$P97))&lt;&gt;0,IF(OFFSET('EDP Proyectado'!AN97,0,-'Ingreso Proyectado_Edu'!$P97)+0&lt;=1,0,OFFSET('EDP Proyectado'!AN97,0,-'Ingreso Proyectado_Edu'!$P97)+0)),0)</f>
        <v>0</v>
      </c>
      <c r="AN97" s="169">
        <f ca="1">+IFERROR(IF(ISNUMBER(OFFSET('EDP Proyectado'!AO97,0,-'Ingreso Proyectado_Edu'!$P97))&lt;&gt;0,IF(OFFSET('EDP Proyectado'!AO97,0,-'Ingreso Proyectado_Edu'!$P97)+0&lt;=1,0,OFFSET('EDP Proyectado'!AO97,0,-'Ingreso Proyectado_Edu'!$P97)+0)),0)</f>
        <v>0</v>
      </c>
      <c r="AO97" s="169">
        <f ca="1">+IFERROR(IF(ISNUMBER(OFFSET('EDP Proyectado'!AP97,0,-'Ingreso Proyectado_Edu'!$P97))&lt;&gt;0,IF(OFFSET('EDP Proyectado'!AP97,0,-'Ingreso Proyectado_Edu'!$P97)+0&lt;=1,0,OFFSET('EDP Proyectado'!AP97,0,-'Ingreso Proyectado_Edu'!$P97)+0)),0)</f>
        <v>0</v>
      </c>
      <c r="AP97" s="170">
        <f ca="1">+IFERROR(IF(ISNUMBER(OFFSET('EDP Proyectado'!AQ97,0,-'Ingreso Proyectado_Edu'!$P97))&lt;&gt;0,IF(OFFSET('EDP Proyectado'!AQ97,0,-'Ingreso Proyectado_Edu'!$P97)+0&lt;=1,0,OFFSET('EDP Proyectado'!AQ97,0,-'Ingreso Proyectado_Edu'!$P97)+0)),0)</f>
        <v>0</v>
      </c>
    </row>
    <row r="98" spans="3:42" x14ac:dyDescent="0.2">
      <c r="C98" s="144">
        <f>+'Gantt Proyectos'!C166</f>
        <v>70</v>
      </c>
      <c r="D98" s="145">
        <f>+'Gantt Proyectos'!D166</f>
        <v>0</v>
      </c>
      <c r="E98" s="145">
        <f>+'Gantt Proyectos'!E166</f>
        <v>0</v>
      </c>
      <c r="F98" s="147">
        <f>+'Gantt Proyectos'!F166</f>
        <v>0</v>
      </c>
      <c r="G98" s="145">
        <f>+'Gantt Proyectos'!G166</f>
        <v>0</v>
      </c>
      <c r="H98" s="145">
        <f>+'Gantt Proyectos'!H166</f>
        <v>0</v>
      </c>
      <c r="I98" s="189">
        <v>1</v>
      </c>
      <c r="J98" s="189">
        <f t="shared" si="10"/>
        <v>0</v>
      </c>
      <c r="K98" s="145">
        <f>+'Gantt Proyectos'!I166</f>
        <v>0</v>
      </c>
      <c r="L98" s="120">
        <f>+'Gantt Proyectos'!J166</f>
        <v>0</v>
      </c>
      <c r="M98" s="145">
        <f>+'Gantt Proyectos'!K166</f>
        <v>0</v>
      </c>
      <c r="N98" s="145">
        <f>+'Gantt Proyectos'!L166</f>
        <v>0</v>
      </c>
      <c r="O98" s="145">
        <f>+'Gantt Proyectos'!M166</f>
        <v>0</v>
      </c>
      <c r="P98" s="145">
        <f>+'Gantt Proyectos'!N166</f>
        <v>0</v>
      </c>
      <c r="Q98" s="119">
        <f>+'Gantt Proyectos'!O166</f>
        <v>0</v>
      </c>
      <c r="R98" s="119">
        <f>+'Gantt Proyectos'!P166</f>
        <v>0</v>
      </c>
      <c r="S98" s="145">
        <f>+'Gantt Proyectos'!R166</f>
        <v>0</v>
      </c>
      <c r="T98" s="118">
        <f>+'Gantt Proyectos'!S166</f>
        <v>0</v>
      </c>
      <c r="U98" s="156">
        <f>+'Gantt Proyectos'!T166</f>
        <v>0</v>
      </c>
      <c r="V98" s="156">
        <f>+'Gantt Proyectos'!U166</f>
        <v>0</v>
      </c>
      <c r="W98" s="201">
        <f t="shared" si="11"/>
        <v>0</v>
      </c>
      <c r="X98" s="121">
        <f>+'Gantt Proyectos'!W166</f>
        <v>0</v>
      </c>
      <c r="Y98" s="122">
        <f>+'Gantt Proyectos'!X166</f>
        <v>0</v>
      </c>
      <c r="Z98" s="122">
        <f>+'Gantt Proyectos'!Y166</f>
        <v>0</v>
      </c>
      <c r="AA98" s="122">
        <f>+'Gantt Proyectos'!Z166</f>
        <v>0</v>
      </c>
      <c r="AB98" s="122">
        <f>+'Gantt Proyectos'!AA166</f>
        <v>0</v>
      </c>
      <c r="AC98" s="122">
        <f>+'Gantt Proyectos'!AB166</f>
        <v>0</v>
      </c>
      <c r="AD98" s="123">
        <f>+'Gantt Proyectos'!AC166</f>
        <v>0</v>
      </c>
      <c r="AE98" s="123">
        <f>+'Gantt Proyectos'!AD166</f>
        <v>0</v>
      </c>
      <c r="AF98" s="124">
        <f>+'Gantt Proyectos'!AE166</f>
        <v>0</v>
      </c>
      <c r="AG98" s="172">
        <v>1</v>
      </c>
      <c r="AH98" s="169">
        <f ca="1">+IFERROR(IF(ISNUMBER(OFFSET('EDP Proyectado'!AI98,0,-'Ingreso Proyectado_Edu'!$P98))&lt;&gt;0,IF(OFFSET('EDP Proyectado'!AI98,0,-'Ingreso Proyectado_Edu'!$P98)+0&lt;=1,0,OFFSET('EDP Proyectado'!AI98,0,-'Ingreso Proyectado_Edu'!$P98)+0)),0)</f>
        <v>0</v>
      </c>
      <c r="AI98" s="169">
        <f ca="1">+IFERROR(IF(ISNUMBER(OFFSET('EDP Proyectado'!AJ98,0,-'Ingreso Proyectado_Edu'!$P98))&lt;&gt;0,IF(OFFSET('EDP Proyectado'!AJ98,0,-'Ingreso Proyectado_Edu'!$P98)+0&lt;=1,0,OFFSET('EDP Proyectado'!AJ98,0,-'Ingreso Proyectado_Edu'!$P98)+0)),0)</f>
        <v>0</v>
      </c>
      <c r="AJ98" s="169">
        <f ca="1">+IFERROR(IF(ISNUMBER(OFFSET('EDP Proyectado'!AK98,0,-'Ingreso Proyectado_Edu'!$P98))&lt;&gt;0,IF(OFFSET('EDP Proyectado'!AK98,0,-'Ingreso Proyectado_Edu'!$P98)+0&lt;=1,0,OFFSET('EDP Proyectado'!AK98,0,-'Ingreso Proyectado_Edu'!$P98)+0)),0)</f>
        <v>0</v>
      </c>
      <c r="AK98" s="169">
        <f ca="1">+IFERROR(IF(ISNUMBER(OFFSET('EDP Proyectado'!AL98,0,-'Ingreso Proyectado_Edu'!$P98))&lt;&gt;0,IF(OFFSET('EDP Proyectado'!AL98,0,-'Ingreso Proyectado_Edu'!$P98)+0&lt;=1,0,OFFSET('EDP Proyectado'!AL98,0,-'Ingreso Proyectado_Edu'!$P98)+0)),0)</f>
        <v>0</v>
      </c>
      <c r="AL98" s="169">
        <f ca="1">+IFERROR(IF(ISNUMBER(OFFSET('EDP Proyectado'!AM98,0,-'Ingreso Proyectado_Edu'!$P98))&lt;&gt;0,IF(OFFSET('EDP Proyectado'!AM98,0,-'Ingreso Proyectado_Edu'!$P98)+0&lt;=1,0,OFFSET('EDP Proyectado'!AM98,0,-'Ingreso Proyectado_Edu'!$P98)+0)),0)</f>
        <v>0</v>
      </c>
      <c r="AM98" s="169">
        <f ca="1">+IFERROR(IF(ISNUMBER(OFFSET('EDP Proyectado'!AN98,0,-'Ingreso Proyectado_Edu'!$P98))&lt;&gt;0,IF(OFFSET('EDP Proyectado'!AN98,0,-'Ingreso Proyectado_Edu'!$P98)+0&lt;=1,0,OFFSET('EDP Proyectado'!AN98,0,-'Ingreso Proyectado_Edu'!$P98)+0)),0)</f>
        <v>0</v>
      </c>
      <c r="AN98" s="169">
        <f ca="1">+IFERROR(IF(ISNUMBER(OFFSET('EDP Proyectado'!AO98,0,-'Ingreso Proyectado_Edu'!$P98))&lt;&gt;0,IF(OFFSET('EDP Proyectado'!AO98,0,-'Ingreso Proyectado_Edu'!$P98)+0&lt;=1,0,OFFSET('EDP Proyectado'!AO98,0,-'Ingreso Proyectado_Edu'!$P98)+0)),0)</f>
        <v>0</v>
      </c>
      <c r="AO98" s="169">
        <f ca="1">+IFERROR(IF(ISNUMBER(OFFSET('EDP Proyectado'!AP98,0,-'Ingreso Proyectado_Edu'!$P98))&lt;&gt;0,IF(OFFSET('EDP Proyectado'!AP98,0,-'Ingreso Proyectado_Edu'!$P98)+0&lt;=1,0,OFFSET('EDP Proyectado'!AP98,0,-'Ingreso Proyectado_Edu'!$P98)+0)),0)</f>
        <v>0</v>
      </c>
      <c r="AP98" s="170">
        <f ca="1">+IFERROR(IF(ISNUMBER(OFFSET('EDP Proyectado'!AQ98,0,-'Ingreso Proyectado_Edu'!$P98))&lt;&gt;0,IF(OFFSET('EDP Proyectado'!AQ98,0,-'Ingreso Proyectado_Edu'!$P98)+0&lt;=1,0,OFFSET('EDP Proyectado'!AQ98,0,-'Ingreso Proyectado_Edu'!$P98)+0)),0)</f>
        <v>0</v>
      </c>
    </row>
    <row r="99" spans="3:42" x14ac:dyDescent="0.2">
      <c r="C99" s="144">
        <f>+'Gantt Proyectos'!C167</f>
        <v>71</v>
      </c>
      <c r="D99" s="145">
        <f>+'Gantt Proyectos'!D167</f>
        <v>0</v>
      </c>
      <c r="E99" s="145">
        <f>+'Gantt Proyectos'!E167</f>
        <v>0</v>
      </c>
      <c r="F99" s="147">
        <f>+'Gantt Proyectos'!F167</f>
        <v>0</v>
      </c>
      <c r="G99" s="145">
        <f>+'Gantt Proyectos'!G167</f>
        <v>0</v>
      </c>
      <c r="H99" s="145">
        <f>+'Gantt Proyectos'!H167</f>
        <v>0</v>
      </c>
      <c r="I99" s="189">
        <v>1</v>
      </c>
      <c r="J99" s="189">
        <f t="shared" si="10"/>
        <v>0</v>
      </c>
      <c r="K99" s="145">
        <f>+'Gantt Proyectos'!I167</f>
        <v>0</v>
      </c>
      <c r="L99" s="120">
        <f>+'Gantt Proyectos'!J167</f>
        <v>0</v>
      </c>
      <c r="M99" s="145">
        <f>+'Gantt Proyectos'!K167</f>
        <v>0</v>
      </c>
      <c r="N99" s="145">
        <f>+'Gantt Proyectos'!L167</f>
        <v>0</v>
      </c>
      <c r="O99" s="145">
        <f>+'Gantt Proyectos'!M167</f>
        <v>0</v>
      </c>
      <c r="P99" s="145">
        <f>+'Gantt Proyectos'!N167</f>
        <v>0</v>
      </c>
      <c r="Q99" s="119">
        <f>+'Gantt Proyectos'!O167</f>
        <v>0</v>
      </c>
      <c r="R99" s="119">
        <f>+'Gantt Proyectos'!P167</f>
        <v>0</v>
      </c>
      <c r="S99" s="145">
        <f>+'Gantt Proyectos'!R167</f>
        <v>0</v>
      </c>
      <c r="T99" s="118">
        <f>+'Gantt Proyectos'!S167</f>
        <v>0</v>
      </c>
      <c r="U99" s="156">
        <f>+'Gantt Proyectos'!T167</f>
        <v>0</v>
      </c>
      <c r="V99" s="156">
        <f>+'Gantt Proyectos'!U167</f>
        <v>0</v>
      </c>
      <c r="W99" s="201">
        <f t="shared" si="11"/>
        <v>0</v>
      </c>
      <c r="X99" s="121">
        <f>+'Gantt Proyectos'!W167</f>
        <v>0</v>
      </c>
      <c r="Y99" s="122">
        <f>+'Gantt Proyectos'!X167</f>
        <v>0</v>
      </c>
      <c r="Z99" s="122">
        <f>+'Gantt Proyectos'!Y167</f>
        <v>0</v>
      </c>
      <c r="AA99" s="122">
        <f>+'Gantt Proyectos'!Z167</f>
        <v>0</v>
      </c>
      <c r="AB99" s="122">
        <f>+'Gantt Proyectos'!AA167</f>
        <v>0</v>
      </c>
      <c r="AC99" s="122">
        <f>+'Gantt Proyectos'!AB167</f>
        <v>0</v>
      </c>
      <c r="AD99" s="123">
        <f>+'Gantt Proyectos'!AC167</f>
        <v>0</v>
      </c>
      <c r="AE99" s="123">
        <f>+'Gantt Proyectos'!AD167</f>
        <v>0</v>
      </c>
      <c r="AF99" s="124">
        <f>+'Gantt Proyectos'!AE167</f>
        <v>0</v>
      </c>
      <c r="AG99" s="172">
        <v>1</v>
      </c>
      <c r="AH99" s="169">
        <f ca="1">+IFERROR(IF(ISNUMBER(OFFSET('EDP Proyectado'!AI99,0,-'Ingreso Proyectado_Edu'!$P99))&lt;&gt;0,IF(OFFSET('EDP Proyectado'!AI99,0,-'Ingreso Proyectado_Edu'!$P99)+0&lt;=1,0,OFFSET('EDP Proyectado'!AI99,0,-'Ingreso Proyectado_Edu'!$P99)+0)),0)</f>
        <v>0</v>
      </c>
      <c r="AI99" s="169">
        <f ca="1">+IFERROR(IF(ISNUMBER(OFFSET('EDP Proyectado'!AJ99,0,-'Ingreso Proyectado_Edu'!$P99))&lt;&gt;0,IF(OFFSET('EDP Proyectado'!AJ99,0,-'Ingreso Proyectado_Edu'!$P99)+0&lt;=1,0,OFFSET('EDP Proyectado'!AJ99,0,-'Ingreso Proyectado_Edu'!$P99)+0)),0)</f>
        <v>0</v>
      </c>
      <c r="AJ99" s="169">
        <f ca="1">+IFERROR(IF(ISNUMBER(OFFSET('EDP Proyectado'!AK99,0,-'Ingreso Proyectado_Edu'!$P99))&lt;&gt;0,IF(OFFSET('EDP Proyectado'!AK99,0,-'Ingreso Proyectado_Edu'!$P99)+0&lt;=1,0,OFFSET('EDP Proyectado'!AK99,0,-'Ingreso Proyectado_Edu'!$P99)+0)),0)</f>
        <v>0</v>
      </c>
      <c r="AK99" s="169">
        <f ca="1">+IFERROR(IF(ISNUMBER(OFFSET('EDP Proyectado'!AL99,0,-'Ingreso Proyectado_Edu'!$P99))&lt;&gt;0,IF(OFFSET('EDP Proyectado'!AL99,0,-'Ingreso Proyectado_Edu'!$P99)+0&lt;=1,0,OFFSET('EDP Proyectado'!AL99,0,-'Ingreso Proyectado_Edu'!$P99)+0)),0)</f>
        <v>0</v>
      </c>
      <c r="AL99" s="169">
        <f ca="1">+IFERROR(IF(ISNUMBER(OFFSET('EDP Proyectado'!AM99,0,-'Ingreso Proyectado_Edu'!$P99))&lt;&gt;0,IF(OFFSET('EDP Proyectado'!AM99,0,-'Ingreso Proyectado_Edu'!$P99)+0&lt;=1,0,OFFSET('EDP Proyectado'!AM99,0,-'Ingreso Proyectado_Edu'!$P99)+0)),0)</f>
        <v>0</v>
      </c>
      <c r="AM99" s="169">
        <f ca="1">+IFERROR(IF(ISNUMBER(OFFSET('EDP Proyectado'!AN99,0,-'Ingreso Proyectado_Edu'!$P99))&lt;&gt;0,IF(OFFSET('EDP Proyectado'!AN99,0,-'Ingreso Proyectado_Edu'!$P99)+0&lt;=1,0,OFFSET('EDP Proyectado'!AN99,0,-'Ingreso Proyectado_Edu'!$P99)+0)),0)</f>
        <v>0</v>
      </c>
      <c r="AN99" s="169">
        <f ca="1">+IFERROR(IF(ISNUMBER(OFFSET('EDP Proyectado'!AO99,0,-'Ingreso Proyectado_Edu'!$P99))&lt;&gt;0,IF(OFFSET('EDP Proyectado'!AO99,0,-'Ingreso Proyectado_Edu'!$P99)+0&lt;=1,0,OFFSET('EDP Proyectado'!AO99,0,-'Ingreso Proyectado_Edu'!$P99)+0)),0)</f>
        <v>0</v>
      </c>
      <c r="AO99" s="169">
        <f ca="1">+IFERROR(IF(ISNUMBER(OFFSET('EDP Proyectado'!AP99,0,-'Ingreso Proyectado_Edu'!$P99))&lt;&gt;0,IF(OFFSET('EDP Proyectado'!AP99,0,-'Ingreso Proyectado_Edu'!$P99)+0&lt;=1,0,OFFSET('EDP Proyectado'!AP99,0,-'Ingreso Proyectado_Edu'!$P99)+0)),0)</f>
        <v>0</v>
      </c>
      <c r="AP99" s="170">
        <f ca="1">+IFERROR(IF(ISNUMBER(OFFSET('EDP Proyectado'!AQ99,0,-'Ingreso Proyectado_Edu'!$P99))&lt;&gt;0,IF(OFFSET('EDP Proyectado'!AQ99,0,-'Ingreso Proyectado_Edu'!$P99)+0&lt;=1,0,OFFSET('EDP Proyectado'!AQ99,0,-'Ingreso Proyectado_Edu'!$P99)+0)),0)</f>
        <v>0</v>
      </c>
    </row>
    <row r="100" spans="3:42" x14ac:dyDescent="0.2">
      <c r="C100" s="144">
        <f>+'Gantt Proyectos'!C168</f>
        <v>72</v>
      </c>
      <c r="D100" s="145">
        <f>+'Gantt Proyectos'!D168</f>
        <v>0</v>
      </c>
      <c r="E100" s="145">
        <f>+'Gantt Proyectos'!E168</f>
        <v>0</v>
      </c>
      <c r="F100" s="147">
        <f>+'Gantt Proyectos'!F168</f>
        <v>0</v>
      </c>
      <c r="G100" s="145">
        <f>+'Gantt Proyectos'!G168</f>
        <v>0</v>
      </c>
      <c r="H100" s="145">
        <f>+'Gantt Proyectos'!H168</f>
        <v>0</v>
      </c>
      <c r="I100" s="189">
        <v>1</v>
      </c>
      <c r="J100" s="189">
        <f t="shared" si="10"/>
        <v>0</v>
      </c>
      <c r="K100" s="145">
        <f>+'Gantt Proyectos'!I168</f>
        <v>0</v>
      </c>
      <c r="L100" s="120">
        <f>+'Gantt Proyectos'!J168</f>
        <v>0</v>
      </c>
      <c r="M100" s="145">
        <f>+'Gantt Proyectos'!K168</f>
        <v>0</v>
      </c>
      <c r="N100" s="145">
        <f>+'Gantt Proyectos'!L168</f>
        <v>0</v>
      </c>
      <c r="O100" s="145">
        <f>+'Gantt Proyectos'!M168</f>
        <v>0</v>
      </c>
      <c r="P100" s="145">
        <f>+'Gantt Proyectos'!N168</f>
        <v>0</v>
      </c>
      <c r="Q100" s="119">
        <f>+'Gantt Proyectos'!O168</f>
        <v>0</v>
      </c>
      <c r="R100" s="119">
        <f>+'Gantt Proyectos'!P168</f>
        <v>0</v>
      </c>
      <c r="S100" s="145">
        <f>+'Gantt Proyectos'!R168</f>
        <v>0</v>
      </c>
      <c r="T100" s="118">
        <f>+'Gantt Proyectos'!S168</f>
        <v>0</v>
      </c>
      <c r="U100" s="156">
        <f>+'Gantt Proyectos'!T168</f>
        <v>0</v>
      </c>
      <c r="V100" s="156">
        <f>+'Gantt Proyectos'!U168</f>
        <v>0</v>
      </c>
      <c r="W100" s="201">
        <f t="shared" si="11"/>
        <v>0</v>
      </c>
      <c r="X100" s="121">
        <f>+'Gantt Proyectos'!W168</f>
        <v>0</v>
      </c>
      <c r="Y100" s="122">
        <f>+'Gantt Proyectos'!X168</f>
        <v>0</v>
      </c>
      <c r="Z100" s="122">
        <f>+'Gantt Proyectos'!Y168</f>
        <v>0</v>
      </c>
      <c r="AA100" s="122">
        <f>+'Gantt Proyectos'!Z168</f>
        <v>0</v>
      </c>
      <c r="AB100" s="122">
        <f>+'Gantt Proyectos'!AA168</f>
        <v>0</v>
      </c>
      <c r="AC100" s="122">
        <f>+'Gantt Proyectos'!AB168</f>
        <v>0</v>
      </c>
      <c r="AD100" s="123">
        <f>+'Gantt Proyectos'!AC168</f>
        <v>0</v>
      </c>
      <c r="AE100" s="123">
        <f>+'Gantt Proyectos'!AD168</f>
        <v>0</v>
      </c>
      <c r="AF100" s="124">
        <f>+'Gantt Proyectos'!AE168</f>
        <v>0</v>
      </c>
      <c r="AG100" s="172">
        <v>1</v>
      </c>
      <c r="AH100" s="169">
        <f ca="1">+IFERROR(IF(ISNUMBER(OFFSET('EDP Proyectado'!AI100,0,-'Ingreso Proyectado_Edu'!$P100))&lt;&gt;0,IF(OFFSET('EDP Proyectado'!AI100,0,-'Ingreso Proyectado_Edu'!$P100)+0&lt;=1,0,OFFSET('EDP Proyectado'!AI100,0,-'Ingreso Proyectado_Edu'!$P100)+0)),0)</f>
        <v>0</v>
      </c>
      <c r="AI100" s="169">
        <f ca="1">+IFERROR(IF(ISNUMBER(OFFSET('EDP Proyectado'!AJ100,0,-'Ingreso Proyectado_Edu'!$P100))&lt;&gt;0,IF(OFFSET('EDP Proyectado'!AJ100,0,-'Ingreso Proyectado_Edu'!$P100)+0&lt;=1,0,OFFSET('EDP Proyectado'!AJ100,0,-'Ingreso Proyectado_Edu'!$P100)+0)),0)</f>
        <v>0</v>
      </c>
      <c r="AJ100" s="169">
        <f ca="1">+IFERROR(IF(ISNUMBER(OFFSET('EDP Proyectado'!AK100,0,-'Ingreso Proyectado_Edu'!$P100))&lt;&gt;0,IF(OFFSET('EDP Proyectado'!AK100,0,-'Ingreso Proyectado_Edu'!$P100)+0&lt;=1,0,OFFSET('EDP Proyectado'!AK100,0,-'Ingreso Proyectado_Edu'!$P100)+0)),0)</f>
        <v>0</v>
      </c>
      <c r="AK100" s="169">
        <f ca="1">+IFERROR(IF(ISNUMBER(OFFSET('EDP Proyectado'!AL100,0,-'Ingreso Proyectado_Edu'!$P100))&lt;&gt;0,IF(OFFSET('EDP Proyectado'!AL100,0,-'Ingreso Proyectado_Edu'!$P100)+0&lt;=1,0,OFFSET('EDP Proyectado'!AL100,0,-'Ingreso Proyectado_Edu'!$P100)+0)),0)</f>
        <v>0</v>
      </c>
      <c r="AL100" s="169">
        <f ca="1">+IFERROR(IF(ISNUMBER(OFFSET('EDP Proyectado'!AM100,0,-'Ingreso Proyectado_Edu'!$P100))&lt;&gt;0,IF(OFFSET('EDP Proyectado'!AM100,0,-'Ingreso Proyectado_Edu'!$P100)+0&lt;=1,0,OFFSET('EDP Proyectado'!AM100,0,-'Ingreso Proyectado_Edu'!$P100)+0)),0)</f>
        <v>0</v>
      </c>
      <c r="AM100" s="169">
        <f ca="1">+IFERROR(IF(ISNUMBER(OFFSET('EDP Proyectado'!AN100,0,-'Ingreso Proyectado_Edu'!$P100))&lt;&gt;0,IF(OFFSET('EDP Proyectado'!AN100,0,-'Ingreso Proyectado_Edu'!$P100)+0&lt;=1,0,OFFSET('EDP Proyectado'!AN100,0,-'Ingreso Proyectado_Edu'!$P100)+0)),0)</f>
        <v>0</v>
      </c>
      <c r="AN100" s="169">
        <f ca="1">+IFERROR(IF(ISNUMBER(OFFSET('EDP Proyectado'!AO100,0,-'Ingreso Proyectado_Edu'!$P100))&lt;&gt;0,IF(OFFSET('EDP Proyectado'!AO100,0,-'Ingreso Proyectado_Edu'!$P100)+0&lt;=1,0,OFFSET('EDP Proyectado'!AO100,0,-'Ingreso Proyectado_Edu'!$P100)+0)),0)</f>
        <v>0</v>
      </c>
      <c r="AO100" s="169">
        <f ca="1">+IFERROR(IF(ISNUMBER(OFFSET('EDP Proyectado'!AP100,0,-'Ingreso Proyectado_Edu'!$P100))&lt;&gt;0,IF(OFFSET('EDP Proyectado'!AP100,0,-'Ingreso Proyectado_Edu'!$P100)+0&lt;=1,0,OFFSET('EDP Proyectado'!AP100,0,-'Ingreso Proyectado_Edu'!$P100)+0)),0)</f>
        <v>0</v>
      </c>
      <c r="AP100" s="170">
        <f ca="1">+IFERROR(IF(ISNUMBER(OFFSET('EDP Proyectado'!AQ100,0,-'Ingreso Proyectado_Edu'!$P100))&lt;&gt;0,IF(OFFSET('EDP Proyectado'!AQ100,0,-'Ingreso Proyectado_Edu'!$P100)+0&lt;=1,0,OFFSET('EDP Proyectado'!AQ100,0,-'Ingreso Proyectado_Edu'!$P100)+0)),0)</f>
        <v>0</v>
      </c>
    </row>
    <row r="101" spans="3:42" x14ac:dyDescent="0.2">
      <c r="C101" s="144">
        <f>+'Gantt Proyectos'!C169</f>
        <v>73</v>
      </c>
      <c r="D101" s="145">
        <f>+'Gantt Proyectos'!D169</f>
        <v>0</v>
      </c>
      <c r="E101" s="145">
        <f>+'Gantt Proyectos'!E169</f>
        <v>0</v>
      </c>
      <c r="F101" s="147">
        <f>+'Gantt Proyectos'!F169</f>
        <v>0</v>
      </c>
      <c r="G101" s="145">
        <f>+'Gantt Proyectos'!G169</f>
        <v>0</v>
      </c>
      <c r="H101" s="145">
        <f>+'Gantt Proyectos'!H169</f>
        <v>0</v>
      </c>
      <c r="I101" s="189">
        <v>1</v>
      </c>
      <c r="J101" s="189">
        <f t="shared" si="10"/>
        <v>0</v>
      </c>
      <c r="K101" s="145">
        <f>+'Gantt Proyectos'!I169</f>
        <v>0</v>
      </c>
      <c r="L101" s="120">
        <f>+'Gantt Proyectos'!J169</f>
        <v>0</v>
      </c>
      <c r="M101" s="145">
        <f>+'Gantt Proyectos'!K169</f>
        <v>0</v>
      </c>
      <c r="N101" s="145">
        <f>+'Gantt Proyectos'!L169</f>
        <v>0</v>
      </c>
      <c r="O101" s="145">
        <f>+'Gantt Proyectos'!M169</f>
        <v>0</v>
      </c>
      <c r="P101" s="145">
        <f>+'Gantt Proyectos'!N169</f>
        <v>0</v>
      </c>
      <c r="Q101" s="119">
        <f>+'Gantt Proyectos'!O169</f>
        <v>0</v>
      </c>
      <c r="R101" s="119">
        <f>+'Gantt Proyectos'!P169</f>
        <v>0</v>
      </c>
      <c r="S101" s="145">
        <f>+'Gantt Proyectos'!R169</f>
        <v>0</v>
      </c>
      <c r="T101" s="118">
        <f>+'Gantt Proyectos'!S169</f>
        <v>0</v>
      </c>
      <c r="U101" s="156">
        <f>+'Gantt Proyectos'!T169</f>
        <v>0</v>
      </c>
      <c r="V101" s="156">
        <f>+'Gantt Proyectos'!U169</f>
        <v>0</v>
      </c>
      <c r="W101" s="201">
        <f t="shared" si="11"/>
        <v>0</v>
      </c>
      <c r="X101" s="121">
        <f>+'Gantt Proyectos'!W169</f>
        <v>0</v>
      </c>
      <c r="Y101" s="122">
        <f>+'Gantt Proyectos'!X169</f>
        <v>0</v>
      </c>
      <c r="Z101" s="122">
        <f>+'Gantt Proyectos'!Y169</f>
        <v>0</v>
      </c>
      <c r="AA101" s="122">
        <f>+'Gantt Proyectos'!Z169</f>
        <v>0</v>
      </c>
      <c r="AB101" s="122">
        <f>+'Gantt Proyectos'!AA169</f>
        <v>0</v>
      </c>
      <c r="AC101" s="122">
        <f>+'Gantt Proyectos'!AB169</f>
        <v>0</v>
      </c>
      <c r="AD101" s="123">
        <f>+'Gantt Proyectos'!AC169</f>
        <v>0</v>
      </c>
      <c r="AE101" s="123">
        <f>+'Gantt Proyectos'!AD169</f>
        <v>0</v>
      </c>
      <c r="AF101" s="124">
        <f>+'Gantt Proyectos'!AE169</f>
        <v>0</v>
      </c>
      <c r="AG101" s="172">
        <v>1</v>
      </c>
      <c r="AH101" s="169">
        <f ca="1">+IFERROR(IF(ISNUMBER(OFFSET('EDP Proyectado'!AI101,0,-'Ingreso Proyectado_Edu'!$P101))&lt;&gt;0,IF(OFFSET('EDP Proyectado'!AI101,0,-'Ingreso Proyectado_Edu'!$P101)+0&lt;=1,0,OFFSET('EDP Proyectado'!AI101,0,-'Ingreso Proyectado_Edu'!$P101)+0)),0)</f>
        <v>0</v>
      </c>
      <c r="AI101" s="169">
        <f ca="1">+IFERROR(IF(ISNUMBER(OFFSET('EDP Proyectado'!AJ101,0,-'Ingreso Proyectado_Edu'!$P101))&lt;&gt;0,IF(OFFSET('EDP Proyectado'!AJ101,0,-'Ingreso Proyectado_Edu'!$P101)+0&lt;=1,0,OFFSET('EDP Proyectado'!AJ101,0,-'Ingreso Proyectado_Edu'!$P101)+0)),0)</f>
        <v>0</v>
      </c>
      <c r="AJ101" s="169">
        <f ca="1">+IFERROR(IF(ISNUMBER(OFFSET('EDP Proyectado'!AK101,0,-'Ingreso Proyectado_Edu'!$P101))&lt;&gt;0,IF(OFFSET('EDP Proyectado'!AK101,0,-'Ingreso Proyectado_Edu'!$P101)+0&lt;=1,0,OFFSET('EDP Proyectado'!AK101,0,-'Ingreso Proyectado_Edu'!$P101)+0)),0)</f>
        <v>0</v>
      </c>
      <c r="AK101" s="169">
        <f ca="1">+IFERROR(IF(ISNUMBER(OFFSET('EDP Proyectado'!AL101,0,-'Ingreso Proyectado_Edu'!$P101))&lt;&gt;0,IF(OFFSET('EDP Proyectado'!AL101,0,-'Ingreso Proyectado_Edu'!$P101)+0&lt;=1,0,OFFSET('EDP Proyectado'!AL101,0,-'Ingreso Proyectado_Edu'!$P101)+0)),0)</f>
        <v>0</v>
      </c>
      <c r="AL101" s="169">
        <f ca="1">+IFERROR(IF(ISNUMBER(OFFSET('EDP Proyectado'!AM101,0,-'Ingreso Proyectado_Edu'!$P101))&lt;&gt;0,IF(OFFSET('EDP Proyectado'!AM101,0,-'Ingreso Proyectado_Edu'!$P101)+0&lt;=1,0,OFFSET('EDP Proyectado'!AM101,0,-'Ingreso Proyectado_Edu'!$P101)+0)),0)</f>
        <v>0</v>
      </c>
      <c r="AM101" s="169">
        <f ca="1">+IFERROR(IF(ISNUMBER(OFFSET('EDP Proyectado'!AN101,0,-'Ingreso Proyectado_Edu'!$P101))&lt;&gt;0,IF(OFFSET('EDP Proyectado'!AN101,0,-'Ingreso Proyectado_Edu'!$P101)+0&lt;=1,0,OFFSET('EDP Proyectado'!AN101,0,-'Ingreso Proyectado_Edu'!$P101)+0)),0)</f>
        <v>0</v>
      </c>
      <c r="AN101" s="169">
        <f ca="1">+IFERROR(IF(ISNUMBER(OFFSET('EDP Proyectado'!AO101,0,-'Ingreso Proyectado_Edu'!$P101))&lt;&gt;0,IF(OFFSET('EDP Proyectado'!AO101,0,-'Ingreso Proyectado_Edu'!$P101)+0&lt;=1,0,OFFSET('EDP Proyectado'!AO101,0,-'Ingreso Proyectado_Edu'!$P101)+0)),0)</f>
        <v>0</v>
      </c>
      <c r="AO101" s="169">
        <f ca="1">+IFERROR(IF(ISNUMBER(OFFSET('EDP Proyectado'!AP101,0,-'Ingreso Proyectado_Edu'!$P101))&lt;&gt;0,IF(OFFSET('EDP Proyectado'!AP101,0,-'Ingreso Proyectado_Edu'!$P101)+0&lt;=1,0,OFFSET('EDP Proyectado'!AP101,0,-'Ingreso Proyectado_Edu'!$P101)+0)),0)</f>
        <v>0</v>
      </c>
      <c r="AP101" s="170">
        <f ca="1">+IFERROR(IF(ISNUMBER(OFFSET('EDP Proyectado'!AQ101,0,-'Ingreso Proyectado_Edu'!$P101))&lt;&gt;0,IF(OFFSET('EDP Proyectado'!AQ101,0,-'Ingreso Proyectado_Edu'!$P101)+0&lt;=1,0,OFFSET('EDP Proyectado'!AQ101,0,-'Ingreso Proyectado_Edu'!$P101)+0)),0)</f>
        <v>0</v>
      </c>
    </row>
    <row r="102" spans="3:42" x14ac:dyDescent="0.2">
      <c r="C102" s="144">
        <f>+'Gantt Proyectos'!C170</f>
        <v>74</v>
      </c>
      <c r="D102" s="145">
        <f>+'Gantt Proyectos'!D170</f>
        <v>0</v>
      </c>
      <c r="E102" s="145">
        <f>+'Gantt Proyectos'!E170</f>
        <v>0</v>
      </c>
      <c r="F102" s="147">
        <f>+'Gantt Proyectos'!F170</f>
        <v>0</v>
      </c>
      <c r="G102" s="145">
        <f>+'Gantt Proyectos'!G170</f>
        <v>0</v>
      </c>
      <c r="H102" s="145">
        <f>+'Gantt Proyectos'!H170</f>
        <v>0</v>
      </c>
      <c r="I102" s="189">
        <v>1</v>
      </c>
      <c r="J102" s="189">
        <f t="shared" si="10"/>
        <v>0</v>
      </c>
      <c r="K102" s="145">
        <f>+'Gantt Proyectos'!I170</f>
        <v>0</v>
      </c>
      <c r="L102" s="120">
        <f>+'Gantt Proyectos'!J170</f>
        <v>0</v>
      </c>
      <c r="M102" s="145">
        <f>+'Gantt Proyectos'!K170</f>
        <v>0</v>
      </c>
      <c r="N102" s="145">
        <f>+'Gantt Proyectos'!L170</f>
        <v>0</v>
      </c>
      <c r="O102" s="145">
        <f>+'Gantt Proyectos'!M170</f>
        <v>0</v>
      </c>
      <c r="P102" s="145">
        <f>+'Gantt Proyectos'!N170</f>
        <v>0</v>
      </c>
      <c r="Q102" s="119">
        <f>+'Gantt Proyectos'!O170</f>
        <v>0</v>
      </c>
      <c r="R102" s="119">
        <f>+'Gantt Proyectos'!P170</f>
        <v>0</v>
      </c>
      <c r="S102" s="145">
        <f>+'Gantt Proyectos'!R170</f>
        <v>0</v>
      </c>
      <c r="T102" s="118">
        <f>+'Gantt Proyectos'!S170</f>
        <v>0</v>
      </c>
      <c r="U102" s="156">
        <f>+'Gantt Proyectos'!T170</f>
        <v>0</v>
      </c>
      <c r="V102" s="156">
        <f>+'Gantt Proyectos'!U170</f>
        <v>0</v>
      </c>
      <c r="W102" s="201">
        <f t="shared" si="11"/>
        <v>0</v>
      </c>
      <c r="X102" s="121">
        <f>+'Gantt Proyectos'!W170</f>
        <v>0</v>
      </c>
      <c r="Y102" s="122">
        <f>+'Gantt Proyectos'!X170</f>
        <v>0</v>
      </c>
      <c r="Z102" s="122">
        <f>+'Gantt Proyectos'!Y170</f>
        <v>0</v>
      </c>
      <c r="AA102" s="122">
        <f>+'Gantt Proyectos'!Z170</f>
        <v>0</v>
      </c>
      <c r="AB102" s="122">
        <f>+'Gantt Proyectos'!AA170</f>
        <v>0</v>
      </c>
      <c r="AC102" s="122">
        <f>+'Gantt Proyectos'!AB170</f>
        <v>0</v>
      </c>
      <c r="AD102" s="123">
        <f>+'Gantt Proyectos'!AC170</f>
        <v>0</v>
      </c>
      <c r="AE102" s="123">
        <f>+'Gantt Proyectos'!AD170</f>
        <v>0</v>
      </c>
      <c r="AF102" s="124">
        <f>+'Gantt Proyectos'!AE170</f>
        <v>0</v>
      </c>
      <c r="AG102" s="172">
        <v>1</v>
      </c>
      <c r="AH102" s="169">
        <f ca="1">+IFERROR(IF(ISNUMBER(OFFSET('EDP Proyectado'!AI102,0,-'Ingreso Proyectado_Edu'!$P102))&lt;&gt;0,IF(OFFSET('EDP Proyectado'!AI102,0,-'Ingreso Proyectado_Edu'!$P102)+0&lt;=1,0,OFFSET('EDP Proyectado'!AI102,0,-'Ingreso Proyectado_Edu'!$P102)+0)),0)</f>
        <v>0</v>
      </c>
      <c r="AI102" s="169">
        <f ca="1">+IFERROR(IF(ISNUMBER(OFFSET('EDP Proyectado'!AJ102,0,-'Ingreso Proyectado_Edu'!$P102))&lt;&gt;0,IF(OFFSET('EDP Proyectado'!AJ102,0,-'Ingreso Proyectado_Edu'!$P102)+0&lt;=1,0,OFFSET('EDP Proyectado'!AJ102,0,-'Ingreso Proyectado_Edu'!$P102)+0)),0)</f>
        <v>0</v>
      </c>
      <c r="AJ102" s="169">
        <f ca="1">+IFERROR(IF(ISNUMBER(OFFSET('EDP Proyectado'!AK102,0,-'Ingreso Proyectado_Edu'!$P102))&lt;&gt;0,IF(OFFSET('EDP Proyectado'!AK102,0,-'Ingreso Proyectado_Edu'!$P102)+0&lt;=1,0,OFFSET('EDP Proyectado'!AK102,0,-'Ingreso Proyectado_Edu'!$P102)+0)),0)</f>
        <v>0</v>
      </c>
      <c r="AK102" s="169">
        <f ca="1">+IFERROR(IF(ISNUMBER(OFFSET('EDP Proyectado'!AL102,0,-'Ingreso Proyectado_Edu'!$P102))&lt;&gt;0,IF(OFFSET('EDP Proyectado'!AL102,0,-'Ingreso Proyectado_Edu'!$P102)+0&lt;=1,0,OFFSET('EDP Proyectado'!AL102,0,-'Ingreso Proyectado_Edu'!$P102)+0)),0)</f>
        <v>0</v>
      </c>
      <c r="AL102" s="169">
        <f ca="1">+IFERROR(IF(ISNUMBER(OFFSET('EDP Proyectado'!AM102,0,-'Ingreso Proyectado_Edu'!$P102))&lt;&gt;0,IF(OFFSET('EDP Proyectado'!AM102,0,-'Ingreso Proyectado_Edu'!$P102)+0&lt;=1,0,OFFSET('EDP Proyectado'!AM102,0,-'Ingreso Proyectado_Edu'!$P102)+0)),0)</f>
        <v>0</v>
      </c>
      <c r="AM102" s="169">
        <f ca="1">+IFERROR(IF(ISNUMBER(OFFSET('EDP Proyectado'!AN102,0,-'Ingreso Proyectado_Edu'!$P102))&lt;&gt;0,IF(OFFSET('EDP Proyectado'!AN102,0,-'Ingreso Proyectado_Edu'!$P102)+0&lt;=1,0,OFFSET('EDP Proyectado'!AN102,0,-'Ingreso Proyectado_Edu'!$P102)+0)),0)</f>
        <v>0</v>
      </c>
      <c r="AN102" s="169">
        <f ca="1">+IFERROR(IF(ISNUMBER(OFFSET('EDP Proyectado'!AO102,0,-'Ingreso Proyectado_Edu'!$P102))&lt;&gt;0,IF(OFFSET('EDP Proyectado'!AO102,0,-'Ingreso Proyectado_Edu'!$P102)+0&lt;=1,0,OFFSET('EDP Proyectado'!AO102,0,-'Ingreso Proyectado_Edu'!$P102)+0)),0)</f>
        <v>0</v>
      </c>
      <c r="AO102" s="169">
        <f ca="1">+IFERROR(IF(ISNUMBER(OFFSET('EDP Proyectado'!AP102,0,-'Ingreso Proyectado_Edu'!$P102))&lt;&gt;0,IF(OFFSET('EDP Proyectado'!AP102,0,-'Ingreso Proyectado_Edu'!$P102)+0&lt;=1,0,OFFSET('EDP Proyectado'!AP102,0,-'Ingreso Proyectado_Edu'!$P102)+0)),0)</f>
        <v>0</v>
      </c>
      <c r="AP102" s="170">
        <f ca="1">+IFERROR(IF(ISNUMBER(OFFSET('EDP Proyectado'!AQ102,0,-'Ingreso Proyectado_Edu'!$P102))&lt;&gt;0,IF(OFFSET('EDP Proyectado'!AQ102,0,-'Ingreso Proyectado_Edu'!$P102)+0&lt;=1,0,OFFSET('EDP Proyectado'!AQ102,0,-'Ingreso Proyectado_Edu'!$P102)+0)),0)</f>
        <v>0</v>
      </c>
    </row>
    <row r="103" spans="3:42" x14ac:dyDescent="0.2">
      <c r="C103" s="144">
        <f>+'Gantt Proyectos'!C171</f>
        <v>75</v>
      </c>
      <c r="D103" s="145">
        <f>+'Gantt Proyectos'!D171</f>
        <v>0</v>
      </c>
      <c r="E103" s="145">
        <f>+'Gantt Proyectos'!E171</f>
        <v>0</v>
      </c>
      <c r="F103" s="147">
        <f>+'Gantt Proyectos'!F171</f>
        <v>0</v>
      </c>
      <c r="G103" s="145">
        <f>+'Gantt Proyectos'!G171</f>
        <v>0</v>
      </c>
      <c r="H103" s="145">
        <f>+'Gantt Proyectos'!H171</f>
        <v>0</v>
      </c>
      <c r="I103" s="189">
        <v>1</v>
      </c>
      <c r="J103" s="189">
        <f t="shared" si="10"/>
        <v>0</v>
      </c>
      <c r="K103" s="145">
        <f>+'Gantt Proyectos'!I171</f>
        <v>0</v>
      </c>
      <c r="L103" s="120">
        <f>+'Gantt Proyectos'!J171</f>
        <v>0</v>
      </c>
      <c r="M103" s="145">
        <f>+'Gantt Proyectos'!K171</f>
        <v>0</v>
      </c>
      <c r="N103" s="145">
        <f>+'Gantt Proyectos'!L171</f>
        <v>0</v>
      </c>
      <c r="O103" s="145">
        <f>+'Gantt Proyectos'!M171</f>
        <v>0</v>
      </c>
      <c r="P103" s="145">
        <f>+'Gantt Proyectos'!N171</f>
        <v>0</v>
      </c>
      <c r="Q103" s="119">
        <f>+'Gantt Proyectos'!O171</f>
        <v>0</v>
      </c>
      <c r="R103" s="119">
        <f>+'Gantt Proyectos'!P171</f>
        <v>0</v>
      </c>
      <c r="S103" s="145">
        <f>+'Gantt Proyectos'!R171</f>
        <v>0</v>
      </c>
      <c r="T103" s="118">
        <f>+'Gantt Proyectos'!S171</f>
        <v>0</v>
      </c>
      <c r="U103" s="156">
        <f>+'Gantt Proyectos'!T171</f>
        <v>0</v>
      </c>
      <c r="V103" s="156">
        <f>+'Gantt Proyectos'!U171</f>
        <v>0</v>
      </c>
      <c r="W103" s="201">
        <f t="shared" si="11"/>
        <v>0</v>
      </c>
      <c r="X103" s="121">
        <f>+'Gantt Proyectos'!W171</f>
        <v>0</v>
      </c>
      <c r="Y103" s="122">
        <f>+'Gantt Proyectos'!X171</f>
        <v>0</v>
      </c>
      <c r="Z103" s="122">
        <f>+'Gantt Proyectos'!Y171</f>
        <v>0</v>
      </c>
      <c r="AA103" s="122">
        <f>+'Gantt Proyectos'!Z171</f>
        <v>0</v>
      </c>
      <c r="AB103" s="122">
        <f>+'Gantt Proyectos'!AA171</f>
        <v>0</v>
      </c>
      <c r="AC103" s="122">
        <f>+'Gantt Proyectos'!AB171</f>
        <v>0</v>
      </c>
      <c r="AD103" s="123">
        <f>+'Gantt Proyectos'!AC171</f>
        <v>0</v>
      </c>
      <c r="AE103" s="123">
        <f>+'Gantt Proyectos'!AD171</f>
        <v>0</v>
      </c>
      <c r="AF103" s="124">
        <f>+'Gantt Proyectos'!AE171</f>
        <v>0</v>
      </c>
      <c r="AG103" s="172">
        <v>1</v>
      </c>
      <c r="AH103" s="169">
        <f ca="1">+IFERROR(IF(ISNUMBER(OFFSET('EDP Proyectado'!AI103,0,-'Ingreso Proyectado_Edu'!$P103))&lt;&gt;0,IF(OFFSET('EDP Proyectado'!AI103,0,-'Ingreso Proyectado_Edu'!$P103)+0&lt;=1,0,OFFSET('EDP Proyectado'!AI103,0,-'Ingreso Proyectado_Edu'!$P103)+0)),0)</f>
        <v>0</v>
      </c>
      <c r="AI103" s="169">
        <f ca="1">+IFERROR(IF(ISNUMBER(OFFSET('EDP Proyectado'!AJ103,0,-'Ingreso Proyectado_Edu'!$P103))&lt;&gt;0,IF(OFFSET('EDP Proyectado'!AJ103,0,-'Ingreso Proyectado_Edu'!$P103)+0&lt;=1,0,OFFSET('EDP Proyectado'!AJ103,0,-'Ingreso Proyectado_Edu'!$P103)+0)),0)</f>
        <v>0</v>
      </c>
      <c r="AJ103" s="169">
        <f ca="1">+IFERROR(IF(ISNUMBER(OFFSET('EDP Proyectado'!AK103,0,-'Ingreso Proyectado_Edu'!$P103))&lt;&gt;0,IF(OFFSET('EDP Proyectado'!AK103,0,-'Ingreso Proyectado_Edu'!$P103)+0&lt;=1,0,OFFSET('EDP Proyectado'!AK103,0,-'Ingreso Proyectado_Edu'!$P103)+0)),0)</f>
        <v>0</v>
      </c>
      <c r="AK103" s="169">
        <f ca="1">+IFERROR(IF(ISNUMBER(OFFSET('EDP Proyectado'!AL103,0,-'Ingreso Proyectado_Edu'!$P103))&lt;&gt;0,IF(OFFSET('EDP Proyectado'!AL103,0,-'Ingreso Proyectado_Edu'!$P103)+0&lt;=1,0,OFFSET('EDP Proyectado'!AL103,0,-'Ingreso Proyectado_Edu'!$P103)+0)),0)</f>
        <v>0</v>
      </c>
      <c r="AL103" s="169">
        <f ca="1">+IFERROR(IF(ISNUMBER(OFFSET('EDP Proyectado'!AM103,0,-'Ingreso Proyectado_Edu'!$P103))&lt;&gt;0,IF(OFFSET('EDP Proyectado'!AM103,0,-'Ingreso Proyectado_Edu'!$P103)+0&lt;=1,0,OFFSET('EDP Proyectado'!AM103,0,-'Ingreso Proyectado_Edu'!$P103)+0)),0)</f>
        <v>0</v>
      </c>
      <c r="AM103" s="169">
        <f ca="1">+IFERROR(IF(ISNUMBER(OFFSET('EDP Proyectado'!AN103,0,-'Ingreso Proyectado_Edu'!$P103))&lt;&gt;0,IF(OFFSET('EDP Proyectado'!AN103,0,-'Ingreso Proyectado_Edu'!$P103)+0&lt;=1,0,OFFSET('EDP Proyectado'!AN103,0,-'Ingreso Proyectado_Edu'!$P103)+0)),0)</f>
        <v>0</v>
      </c>
      <c r="AN103" s="169">
        <f ca="1">+IFERROR(IF(ISNUMBER(OFFSET('EDP Proyectado'!AO103,0,-'Ingreso Proyectado_Edu'!$P103))&lt;&gt;0,IF(OFFSET('EDP Proyectado'!AO103,0,-'Ingreso Proyectado_Edu'!$P103)+0&lt;=1,0,OFFSET('EDP Proyectado'!AO103,0,-'Ingreso Proyectado_Edu'!$P103)+0)),0)</f>
        <v>0</v>
      </c>
      <c r="AO103" s="169">
        <f ca="1">+IFERROR(IF(ISNUMBER(OFFSET('EDP Proyectado'!AP103,0,-'Ingreso Proyectado_Edu'!$P103))&lt;&gt;0,IF(OFFSET('EDP Proyectado'!AP103,0,-'Ingreso Proyectado_Edu'!$P103)+0&lt;=1,0,OFFSET('EDP Proyectado'!AP103,0,-'Ingreso Proyectado_Edu'!$P103)+0)),0)</f>
        <v>0</v>
      </c>
      <c r="AP103" s="170">
        <f ca="1">+IFERROR(IF(ISNUMBER(OFFSET('EDP Proyectado'!AQ103,0,-'Ingreso Proyectado_Edu'!$P103))&lt;&gt;0,IF(OFFSET('EDP Proyectado'!AQ103,0,-'Ingreso Proyectado_Edu'!$P103)+0&lt;=1,0,OFFSET('EDP Proyectado'!AQ103,0,-'Ingreso Proyectado_Edu'!$P103)+0)),0)</f>
        <v>0</v>
      </c>
    </row>
    <row r="104" spans="3:42" x14ac:dyDescent="0.2">
      <c r="C104" s="144">
        <f>+'Gantt Proyectos'!C172</f>
        <v>76</v>
      </c>
      <c r="D104" s="145">
        <f>+'Gantt Proyectos'!D172</f>
        <v>0</v>
      </c>
      <c r="E104" s="145">
        <f>+'Gantt Proyectos'!E172</f>
        <v>0</v>
      </c>
      <c r="F104" s="147">
        <f>+'Gantt Proyectos'!F172</f>
        <v>0</v>
      </c>
      <c r="G104" s="145">
        <f>+'Gantt Proyectos'!G172</f>
        <v>0</v>
      </c>
      <c r="H104" s="145">
        <f>+'Gantt Proyectos'!H172</f>
        <v>0</v>
      </c>
      <c r="I104" s="189">
        <v>1</v>
      </c>
      <c r="J104" s="189">
        <f t="shared" si="10"/>
        <v>0</v>
      </c>
      <c r="K104" s="145">
        <f>+'Gantt Proyectos'!I172</f>
        <v>0</v>
      </c>
      <c r="L104" s="120">
        <f>+'Gantt Proyectos'!J172</f>
        <v>0</v>
      </c>
      <c r="M104" s="145">
        <f>+'Gantt Proyectos'!K172</f>
        <v>0</v>
      </c>
      <c r="N104" s="145">
        <f>+'Gantt Proyectos'!L172</f>
        <v>0</v>
      </c>
      <c r="O104" s="145">
        <f>+'Gantt Proyectos'!M172</f>
        <v>0</v>
      </c>
      <c r="P104" s="145">
        <f>+'Gantt Proyectos'!N172</f>
        <v>0</v>
      </c>
      <c r="Q104" s="119">
        <f>+'Gantt Proyectos'!O172</f>
        <v>0</v>
      </c>
      <c r="R104" s="119">
        <f>+'Gantt Proyectos'!P172</f>
        <v>0</v>
      </c>
      <c r="S104" s="145">
        <f>+'Gantt Proyectos'!R172</f>
        <v>0</v>
      </c>
      <c r="T104" s="118">
        <f>+'Gantt Proyectos'!S172</f>
        <v>0</v>
      </c>
      <c r="U104" s="156">
        <f>+'Gantt Proyectos'!T172</f>
        <v>0</v>
      </c>
      <c r="V104" s="156">
        <f>+'Gantt Proyectos'!U172</f>
        <v>0</v>
      </c>
      <c r="W104" s="201">
        <f t="shared" si="11"/>
        <v>0</v>
      </c>
      <c r="X104" s="121">
        <f>+'Gantt Proyectos'!W172</f>
        <v>0</v>
      </c>
      <c r="Y104" s="122">
        <f>+'Gantt Proyectos'!X172</f>
        <v>0</v>
      </c>
      <c r="Z104" s="122">
        <f>+'Gantt Proyectos'!Y172</f>
        <v>0</v>
      </c>
      <c r="AA104" s="122">
        <f>+'Gantt Proyectos'!Z172</f>
        <v>0</v>
      </c>
      <c r="AB104" s="122">
        <f>+'Gantt Proyectos'!AA172</f>
        <v>0</v>
      </c>
      <c r="AC104" s="122">
        <f>+'Gantt Proyectos'!AB172</f>
        <v>0</v>
      </c>
      <c r="AD104" s="123">
        <f>+'Gantt Proyectos'!AC172</f>
        <v>0</v>
      </c>
      <c r="AE104" s="123">
        <f>+'Gantt Proyectos'!AD172</f>
        <v>0</v>
      </c>
      <c r="AF104" s="124">
        <f>+'Gantt Proyectos'!AE172</f>
        <v>0</v>
      </c>
      <c r="AG104" s="172">
        <v>1</v>
      </c>
      <c r="AH104" s="169">
        <f ca="1">+IFERROR(IF(ISNUMBER(OFFSET('EDP Proyectado'!AI104,0,-'Ingreso Proyectado_Edu'!$P104))&lt;&gt;0,IF(OFFSET('EDP Proyectado'!AI104,0,-'Ingreso Proyectado_Edu'!$P104)+0&lt;=1,0,OFFSET('EDP Proyectado'!AI104,0,-'Ingreso Proyectado_Edu'!$P104)+0)),0)</f>
        <v>0</v>
      </c>
      <c r="AI104" s="169">
        <f ca="1">+IFERROR(IF(ISNUMBER(OFFSET('EDP Proyectado'!AJ104,0,-'Ingreso Proyectado_Edu'!$P104))&lt;&gt;0,IF(OFFSET('EDP Proyectado'!AJ104,0,-'Ingreso Proyectado_Edu'!$P104)+0&lt;=1,0,OFFSET('EDP Proyectado'!AJ104,0,-'Ingreso Proyectado_Edu'!$P104)+0)),0)</f>
        <v>0</v>
      </c>
      <c r="AJ104" s="169">
        <f ca="1">+IFERROR(IF(ISNUMBER(OFFSET('EDP Proyectado'!AK104,0,-'Ingreso Proyectado_Edu'!$P104))&lt;&gt;0,IF(OFFSET('EDP Proyectado'!AK104,0,-'Ingreso Proyectado_Edu'!$P104)+0&lt;=1,0,OFFSET('EDP Proyectado'!AK104,0,-'Ingreso Proyectado_Edu'!$P104)+0)),0)</f>
        <v>0</v>
      </c>
      <c r="AK104" s="169">
        <f ca="1">+IFERROR(IF(ISNUMBER(OFFSET('EDP Proyectado'!AL104,0,-'Ingreso Proyectado_Edu'!$P104))&lt;&gt;0,IF(OFFSET('EDP Proyectado'!AL104,0,-'Ingreso Proyectado_Edu'!$P104)+0&lt;=1,0,OFFSET('EDP Proyectado'!AL104,0,-'Ingreso Proyectado_Edu'!$P104)+0)),0)</f>
        <v>0</v>
      </c>
      <c r="AL104" s="169">
        <f ca="1">+IFERROR(IF(ISNUMBER(OFFSET('EDP Proyectado'!AM104,0,-'Ingreso Proyectado_Edu'!$P104))&lt;&gt;0,IF(OFFSET('EDP Proyectado'!AM104,0,-'Ingreso Proyectado_Edu'!$P104)+0&lt;=1,0,OFFSET('EDP Proyectado'!AM104,0,-'Ingreso Proyectado_Edu'!$P104)+0)),0)</f>
        <v>0</v>
      </c>
      <c r="AM104" s="169">
        <f ca="1">+IFERROR(IF(ISNUMBER(OFFSET('EDP Proyectado'!AN104,0,-'Ingreso Proyectado_Edu'!$P104))&lt;&gt;0,IF(OFFSET('EDP Proyectado'!AN104,0,-'Ingreso Proyectado_Edu'!$P104)+0&lt;=1,0,OFFSET('EDP Proyectado'!AN104,0,-'Ingreso Proyectado_Edu'!$P104)+0)),0)</f>
        <v>0</v>
      </c>
      <c r="AN104" s="169">
        <f ca="1">+IFERROR(IF(ISNUMBER(OFFSET('EDP Proyectado'!AO104,0,-'Ingreso Proyectado_Edu'!$P104))&lt;&gt;0,IF(OFFSET('EDP Proyectado'!AO104,0,-'Ingreso Proyectado_Edu'!$P104)+0&lt;=1,0,OFFSET('EDP Proyectado'!AO104,0,-'Ingreso Proyectado_Edu'!$P104)+0)),0)</f>
        <v>0</v>
      </c>
      <c r="AO104" s="169">
        <f ca="1">+IFERROR(IF(ISNUMBER(OFFSET('EDP Proyectado'!AP104,0,-'Ingreso Proyectado_Edu'!$P104))&lt;&gt;0,IF(OFFSET('EDP Proyectado'!AP104,0,-'Ingreso Proyectado_Edu'!$P104)+0&lt;=1,0,OFFSET('EDP Proyectado'!AP104,0,-'Ingreso Proyectado_Edu'!$P104)+0)),0)</f>
        <v>0</v>
      </c>
      <c r="AP104" s="170">
        <f ca="1">+IFERROR(IF(ISNUMBER(OFFSET('EDP Proyectado'!AQ104,0,-'Ingreso Proyectado_Edu'!$P104))&lt;&gt;0,IF(OFFSET('EDP Proyectado'!AQ104,0,-'Ingreso Proyectado_Edu'!$P104)+0&lt;=1,0,OFFSET('EDP Proyectado'!AQ104,0,-'Ingreso Proyectado_Edu'!$P104)+0)),0)</f>
        <v>0</v>
      </c>
    </row>
    <row r="105" spans="3:42" x14ac:dyDescent="0.2">
      <c r="C105" s="144">
        <f>+'Gantt Proyectos'!C173</f>
        <v>77</v>
      </c>
      <c r="D105" s="145">
        <f>+'Gantt Proyectos'!D173</f>
        <v>0</v>
      </c>
      <c r="E105" s="145">
        <f>+'Gantt Proyectos'!E173</f>
        <v>0</v>
      </c>
      <c r="F105" s="147">
        <f>+'Gantt Proyectos'!F173</f>
        <v>0</v>
      </c>
      <c r="G105" s="145">
        <f>+'Gantt Proyectos'!G173</f>
        <v>0</v>
      </c>
      <c r="H105" s="145">
        <f>+'Gantt Proyectos'!H173</f>
        <v>0</v>
      </c>
      <c r="I105" s="189">
        <v>1</v>
      </c>
      <c r="J105" s="189">
        <f t="shared" si="10"/>
        <v>0</v>
      </c>
      <c r="K105" s="145">
        <f>+'Gantt Proyectos'!I173</f>
        <v>0</v>
      </c>
      <c r="L105" s="120">
        <f>+'Gantt Proyectos'!J173</f>
        <v>0</v>
      </c>
      <c r="M105" s="145">
        <f>+'Gantt Proyectos'!K173</f>
        <v>0</v>
      </c>
      <c r="N105" s="145">
        <f>+'Gantt Proyectos'!L173</f>
        <v>0</v>
      </c>
      <c r="O105" s="145">
        <f>+'Gantt Proyectos'!M173</f>
        <v>0</v>
      </c>
      <c r="P105" s="145">
        <f>+'Gantt Proyectos'!N173</f>
        <v>0</v>
      </c>
      <c r="Q105" s="119">
        <f>+'Gantt Proyectos'!O173</f>
        <v>0</v>
      </c>
      <c r="R105" s="119">
        <f>+'Gantt Proyectos'!P173</f>
        <v>0</v>
      </c>
      <c r="S105" s="145">
        <f>+'Gantt Proyectos'!R173</f>
        <v>0</v>
      </c>
      <c r="T105" s="118">
        <f>+'Gantt Proyectos'!S173</f>
        <v>0</v>
      </c>
      <c r="U105" s="156">
        <f>+'Gantt Proyectos'!T173</f>
        <v>0</v>
      </c>
      <c r="V105" s="156">
        <f>+'Gantt Proyectos'!U173</f>
        <v>0</v>
      </c>
      <c r="W105" s="201">
        <f t="shared" si="11"/>
        <v>0</v>
      </c>
      <c r="X105" s="121">
        <f>+'Gantt Proyectos'!W173</f>
        <v>0</v>
      </c>
      <c r="Y105" s="122">
        <f>+'Gantt Proyectos'!X173</f>
        <v>0</v>
      </c>
      <c r="Z105" s="122">
        <f>+'Gantt Proyectos'!Y173</f>
        <v>0</v>
      </c>
      <c r="AA105" s="122">
        <f>+'Gantt Proyectos'!Z173</f>
        <v>0</v>
      </c>
      <c r="AB105" s="122">
        <f>+'Gantt Proyectos'!AA173</f>
        <v>0</v>
      </c>
      <c r="AC105" s="122">
        <f>+'Gantt Proyectos'!AB173</f>
        <v>0</v>
      </c>
      <c r="AD105" s="123">
        <f>+'Gantt Proyectos'!AC173</f>
        <v>0</v>
      </c>
      <c r="AE105" s="123">
        <f>+'Gantt Proyectos'!AD173</f>
        <v>0</v>
      </c>
      <c r="AF105" s="124">
        <f>+'Gantt Proyectos'!AE173</f>
        <v>0</v>
      </c>
      <c r="AG105" s="172">
        <v>1</v>
      </c>
      <c r="AH105" s="169">
        <f ca="1">+IFERROR(IF(ISNUMBER(OFFSET('EDP Proyectado'!AI105,0,-'Ingreso Proyectado_Edu'!$P105))&lt;&gt;0,IF(OFFSET('EDP Proyectado'!AI105,0,-'Ingreso Proyectado_Edu'!$P105)+0&lt;=1,0,OFFSET('EDP Proyectado'!AI105,0,-'Ingreso Proyectado_Edu'!$P105)+0)),0)</f>
        <v>0</v>
      </c>
      <c r="AI105" s="169">
        <f ca="1">+IFERROR(IF(ISNUMBER(OFFSET('EDP Proyectado'!AJ105,0,-'Ingreso Proyectado_Edu'!$P105))&lt;&gt;0,IF(OFFSET('EDP Proyectado'!AJ105,0,-'Ingreso Proyectado_Edu'!$P105)+0&lt;=1,0,OFFSET('EDP Proyectado'!AJ105,0,-'Ingreso Proyectado_Edu'!$P105)+0)),0)</f>
        <v>0</v>
      </c>
      <c r="AJ105" s="169">
        <f ca="1">+IFERROR(IF(ISNUMBER(OFFSET('EDP Proyectado'!AK105,0,-'Ingreso Proyectado_Edu'!$P105))&lt;&gt;0,IF(OFFSET('EDP Proyectado'!AK105,0,-'Ingreso Proyectado_Edu'!$P105)+0&lt;=1,0,OFFSET('EDP Proyectado'!AK105,0,-'Ingreso Proyectado_Edu'!$P105)+0)),0)</f>
        <v>0</v>
      </c>
      <c r="AK105" s="169">
        <f ca="1">+IFERROR(IF(ISNUMBER(OFFSET('EDP Proyectado'!AL105,0,-'Ingreso Proyectado_Edu'!$P105))&lt;&gt;0,IF(OFFSET('EDP Proyectado'!AL105,0,-'Ingreso Proyectado_Edu'!$P105)+0&lt;=1,0,OFFSET('EDP Proyectado'!AL105,0,-'Ingreso Proyectado_Edu'!$P105)+0)),0)</f>
        <v>0</v>
      </c>
      <c r="AL105" s="169">
        <f ca="1">+IFERROR(IF(ISNUMBER(OFFSET('EDP Proyectado'!AM105,0,-'Ingreso Proyectado_Edu'!$P105))&lt;&gt;0,IF(OFFSET('EDP Proyectado'!AM105,0,-'Ingreso Proyectado_Edu'!$P105)+0&lt;=1,0,OFFSET('EDP Proyectado'!AM105,0,-'Ingreso Proyectado_Edu'!$P105)+0)),0)</f>
        <v>0</v>
      </c>
      <c r="AM105" s="169">
        <f ca="1">+IFERROR(IF(ISNUMBER(OFFSET('EDP Proyectado'!AN105,0,-'Ingreso Proyectado_Edu'!$P105))&lt;&gt;0,IF(OFFSET('EDP Proyectado'!AN105,0,-'Ingreso Proyectado_Edu'!$P105)+0&lt;=1,0,OFFSET('EDP Proyectado'!AN105,0,-'Ingreso Proyectado_Edu'!$P105)+0)),0)</f>
        <v>0</v>
      </c>
      <c r="AN105" s="169">
        <f ca="1">+IFERROR(IF(ISNUMBER(OFFSET('EDP Proyectado'!AO105,0,-'Ingreso Proyectado_Edu'!$P105))&lt;&gt;0,IF(OFFSET('EDP Proyectado'!AO105,0,-'Ingreso Proyectado_Edu'!$P105)+0&lt;=1,0,OFFSET('EDP Proyectado'!AO105,0,-'Ingreso Proyectado_Edu'!$P105)+0)),0)</f>
        <v>0</v>
      </c>
      <c r="AO105" s="169">
        <f ca="1">+IFERROR(IF(ISNUMBER(OFFSET('EDP Proyectado'!AP105,0,-'Ingreso Proyectado_Edu'!$P105))&lt;&gt;0,IF(OFFSET('EDP Proyectado'!AP105,0,-'Ingreso Proyectado_Edu'!$P105)+0&lt;=1,0,OFFSET('EDP Proyectado'!AP105,0,-'Ingreso Proyectado_Edu'!$P105)+0)),0)</f>
        <v>0</v>
      </c>
      <c r="AP105" s="170">
        <f ca="1">+IFERROR(IF(ISNUMBER(OFFSET('EDP Proyectado'!AQ105,0,-'Ingreso Proyectado_Edu'!$P105))&lt;&gt;0,IF(OFFSET('EDP Proyectado'!AQ105,0,-'Ingreso Proyectado_Edu'!$P105)+0&lt;=1,0,OFFSET('EDP Proyectado'!AQ105,0,-'Ingreso Proyectado_Edu'!$P105)+0)),0)</f>
        <v>0</v>
      </c>
    </row>
    <row r="106" spans="3:42" x14ac:dyDescent="0.2">
      <c r="C106" s="144">
        <f>+'Gantt Proyectos'!C174</f>
        <v>78</v>
      </c>
      <c r="D106" s="145">
        <f>+'Gantt Proyectos'!D174</f>
        <v>0</v>
      </c>
      <c r="E106" s="145">
        <f>+'Gantt Proyectos'!E174</f>
        <v>0</v>
      </c>
      <c r="F106" s="147">
        <f>+'Gantt Proyectos'!F174</f>
        <v>0</v>
      </c>
      <c r="G106" s="145">
        <f>+'Gantt Proyectos'!G174</f>
        <v>0</v>
      </c>
      <c r="H106" s="145">
        <f>+'Gantt Proyectos'!H174</f>
        <v>0</v>
      </c>
      <c r="I106" s="189">
        <v>1</v>
      </c>
      <c r="J106" s="189">
        <f t="shared" si="10"/>
        <v>0</v>
      </c>
      <c r="K106" s="145">
        <f>+'Gantt Proyectos'!I174</f>
        <v>0</v>
      </c>
      <c r="L106" s="120">
        <f>+'Gantt Proyectos'!J174</f>
        <v>0</v>
      </c>
      <c r="M106" s="145">
        <f>+'Gantt Proyectos'!K174</f>
        <v>0</v>
      </c>
      <c r="N106" s="145">
        <f>+'Gantt Proyectos'!L174</f>
        <v>0</v>
      </c>
      <c r="O106" s="145">
        <f>+'Gantt Proyectos'!M174</f>
        <v>0</v>
      </c>
      <c r="P106" s="145">
        <f>+'Gantt Proyectos'!N174</f>
        <v>0</v>
      </c>
      <c r="Q106" s="119">
        <f>+'Gantt Proyectos'!O174</f>
        <v>0</v>
      </c>
      <c r="R106" s="119">
        <f>+'Gantt Proyectos'!P174</f>
        <v>0</v>
      </c>
      <c r="S106" s="145">
        <f>+'Gantt Proyectos'!R174</f>
        <v>0</v>
      </c>
      <c r="T106" s="118">
        <f>+'Gantt Proyectos'!S174</f>
        <v>0</v>
      </c>
      <c r="U106" s="156">
        <f>+'Gantt Proyectos'!T174</f>
        <v>0</v>
      </c>
      <c r="V106" s="156">
        <f>+'Gantt Proyectos'!U174</f>
        <v>0</v>
      </c>
      <c r="W106" s="201">
        <f t="shared" si="11"/>
        <v>0</v>
      </c>
      <c r="X106" s="121">
        <f>+'Gantt Proyectos'!W174</f>
        <v>0</v>
      </c>
      <c r="Y106" s="122">
        <f>+'Gantt Proyectos'!X174</f>
        <v>0</v>
      </c>
      <c r="Z106" s="122">
        <f>+'Gantt Proyectos'!Y174</f>
        <v>0</v>
      </c>
      <c r="AA106" s="122">
        <f>+'Gantt Proyectos'!Z174</f>
        <v>0</v>
      </c>
      <c r="AB106" s="122">
        <f>+'Gantt Proyectos'!AA174</f>
        <v>0</v>
      </c>
      <c r="AC106" s="122">
        <f>+'Gantt Proyectos'!AB174</f>
        <v>0</v>
      </c>
      <c r="AD106" s="123">
        <f>+'Gantt Proyectos'!AC174</f>
        <v>0</v>
      </c>
      <c r="AE106" s="123">
        <f>+'Gantt Proyectos'!AD174</f>
        <v>0</v>
      </c>
      <c r="AF106" s="124">
        <f>+'Gantt Proyectos'!AE174</f>
        <v>0</v>
      </c>
      <c r="AG106" s="172">
        <v>1</v>
      </c>
      <c r="AH106" s="169">
        <f ca="1">+IFERROR(IF(ISNUMBER(OFFSET('EDP Proyectado'!AI106,0,-'Ingreso Proyectado_Edu'!$P106))&lt;&gt;0,IF(OFFSET('EDP Proyectado'!AI106,0,-'Ingreso Proyectado_Edu'!$P106)+0&lt;=1,0,OFFSET('EDP Proyectado'!AI106,0,-'Ingreso Proyectado_Edu'!$P106)+0)),0)</f>
        <v>0</v>
      </c>
      <c r="AI106" s="169">
        <f ca="1">+IFERROR(IF(ISNUMBER(OFFSET('EDP Proyectado'!AJ106,0,-'Ingreso Proyectado_Edu'!$P106))&lt;&gt;0,IF(OFFSET('EDP Proyectado'!AJ106,0,-'Ingreso Proyectado_Edu'!$P106)+0&lt;=1,0,OFFSET('EDP Proyectado'!AJ106,0,-'Ingreso Proyectado_Edu'!$P106)+0)),0)</f>
        <v>0</v>
      </c>
      <c r="AJ106" s="169">
        <f ca="1">+IFERROR(IF(ISNUMBER(OFFSET('EDP Proyectado'!AK106,0,-'Ingreso Proyectado_Edu'!$P106))&lt;&gt;0,IF(OFFSET('EDP Proyectado'!AK106,0,-'Ingreso Proyectado_Edu'!$P106)+0&lt;=1,0,OFFSET('EDP Proyectado'!AK106,0,-'Ingreso Proyectado_Edu'!$P106)+0)),0)</f>
        <v>0</v>
      </c>
      <c r="AK106" s="169">
        <f ca="1">+IFERROR(IF(ISNUMBER(OFFSET('EDP Proyectado'!AL106,0,-'Ingreso Proyectado_Edu'!$P106))&lt;&gt;0,IF(OFFSET('EDP Proyectado'!AL106,0,-'Ingreso Proyectado_Edu'!$P106)+0&lt;=1,0,OFFSET('EDP Proyectado'!AL106,0,-'Ingreso Proyectado_Edu'!$P106)+0)),0)</f>
        <v>0</v>
      </c>
      <c r="AL106" s="169">
        <f ca="1">+IFERROR(IF(ISNUMBER(OFFSET('EDP Proyectado'!AM106,0,-'Ingreso Proyectado_Edu'!$P106))&lt;&gt;0,IF(OFFSET('EDP Proyectado'!AM106,0,-'Ingreso Proyectado_Edu'!$P106)+0&lt;=1,0,OFFSET('EDP Proyectado'!AM106,0,-'Ingreso Proyectado_Edu'!$P106)+0)),0)</f>
        <v>0</v>
      </c>
      <c r="AM106" s="169">
        <f ca="1">+IFERROR(IF(ISNUMBER(OFFSET('EDP Proyectado'!AN106,0,-'Ingreso Proyectado_Edu'!$P106))&lt;&gt;0,IF(OFFSET('EDP Proyectado'!AN106,0,-'Ingreso Proyectado_Edu'!$P106)+0&lt;=1,0,OFFSET('EDP Proyectado'!AN106,0,-'Ingreso Proyectado_Edu'!$P106)+0)),0)</f>
        <v>0</v>
      </c>
      <c r="AN106" s="169">
        <f ca="1">+IFERROR(IF(ISNUMBER(OFFSET('EDP Proyectado'!AO106,0,-'Ingreso Proyectado_Edu'!$P106))&lt;&gt;0,IF(OFFSET('EDP Proyectado'!AO106,0,-'Ingreso Proyectado_Edu'!$P106)+0&lt;=1,0,OFFSET('EDP Proyectado'!AO106,0,-'Ingreso Proyectado_Edu'!$P106)+0)),0)</f>
        <v>0</v>
      </c>
      <c r="AO106" s="169">
        <f ca="1">+IFERROR(IF(ISNUMBER(OFFSET('EDP Proyectado'!AP106,0,-'Ingreso Proyectado_Edu'!$P106))&lt;&gt;0,IF(OFFSET('EDP Proyectado'!AP106,0,-'Ingreso Proyectado_Edu'!$P106)+0&lt;=1,0,OFFSET('EDP Proyectado'!AP106,0,-'Ingreso Proyectado_Edu'!$P106)+0)),0)</f>
        <v>0</v>
      </c>
      <c r="AP106" s="170">
        <f ca="1">+IFERROR(IF(ISNUMBER(OFFSET('EDP Proyectado'!AQ106,0,-'Ingreso Proyectado_Edu'!$P106))&lt;&gt;0,IF(OFFSET('EDP Proyectado'!AQ106,0,-'Ingreso Proyectado_Edu'!$P106)+0&lt;=1,0,OFFSET('EDP Proyectado'!AQ106,0,-'Ingreso Proyectado_Edu'!$P106)+0)),0)</f>
        <v>0</v>
      </c>
    </row>
    <row r="107" spans="3:42" x14ac:dyDescent="0.2">
      <c r="C107" s="144">
        <f>+'Gantt Proyectos'!C175</f>
        <v>79</v>
      </c>
      <c r="D107" s="145">
        <f>+'Gantt Proyectos'!D175</f>
        <v>0</v>
      </c>
      <c r="E107" s="145">
        <f>+'Gantt Proyectos'!E175</f>
        <v>0</v>
      </c>
      <c r="F107" s="147">
        <f>+'Gantt Proyectos'!F175</f>
        <v>0</v>
      </c>
      <c r="G107" s="145">
        <f>+'Gantt Proyectos'!G175</f>
        <v>0</v>
      </c>
      <c r="H107" s="145">
        <f>+'Gantt Proyectos'!H175</f>
        <v>0</v>
      </c>
      <c r="I107" s="189">
        <v>1</v>
      </c>
      <c r="J107" s="189">
        <f t="shared" si="10"/>
        <v>0</v>
      </c>
      <c r="K107" s="145">
        <f>+'Gantt Proyectos'!I175</f>
        <v>0</v>
      </c>
      <c r="L107" s="120">
        <f>+'Gantt Proyectos'!J175</f>
        <v>0</v>
      </c>
      <c r="M107" s="145">
        <f>+'Gantt Proyectos'!K175</f>
        <v>0</v>
      </c>
      <c r="N107" s="145">
        <f>+'Gantt Proyectos'!L175</f>
        <v>0</v>
      </c>
      <c r="O107" s="145">
        <f>+'Gantt Proyectos'!M175</f>
        <v>0</v>
      </c>
      <c r="P107" s="145">
        <f>+'Gantt Proyectos'!N175</f>
        <v>0</v>
      </c>
      <c r="Q107" s="119">
        <f>+'Gantt Proyectos'!O175</f>
        <v>0</v>
      </c>
      <c r="R107" s="119">
        <f>+'Gantt Proyectos'!P175</f>
        <v>0</v>
      </c>
      <c r="S107" s="145">
        <f>+'Gantt Proyectos'!R175</f>
        <v>0</v>
      </c>
      <c r="T107" s="118">
        <f>+'Gantt Proyectos'!S175</f>
        <v>0</v>
      </c>
      <c r="U107" s="156">
        <f>+'Gantt Proyectos'!T175</f>
        <v>0</v>
      </c>
      <c r="V107" s="156">
        <f>+'Gantt Proyectos'!U175</f>
        <v>0</v>
      </c>
      <c r="W107" s="201">
        <f t="shared" si="11"/>
        <v>0</v>
      </c>
      <c r="X107" s="121">
        <f>+'Gantt Proyectos'!W175</f>
        <v>0</v>
      </c>
      <c r="Y107" s="122">
        <f>+'Gantt Proyectos'!X175</f>
        <v>0</v>
      </c>
      <c r="Z107" s="122">
        <f>+'Gantt Proyectos'!Y175</f>
        <v>0</v>
      </c>
      <c r="AA107" s="122">
        <f>+'Gantt Proyectos'!Z175</f>
        <v>0</v>
      </c>
      <c r="AB107" s="122">
        <f>+'Gantt Proyectos'!AA175</f>
        <v>0</v>
      </c>
      <c r="AC107" s="122">
        <f>+'Gantt Proyectos'!AB175</f>
        <v>0</v>
      </c>
      <c r="AD107" s="123">
        <f>+'Gantt Proyectos'!AC175</f>
        <v>0</v>
      </c>
      <c r="AE107" s="123">
        <f>+'Gantt Proyectos'!AD175</f>
        <v>0</v>
      </c>
      <c r="AF107" s="124">
        <f>+'Gantt Proyectos'!AE175</f>
        <v>0</v>
      </c>
      <c r="AG107" s="172">
        <v>1</v>
      </c>
      <c r="AH107" s="169">
        <f ca="1">+IFERROR(IF(ISNUMBER(OFFSET('EDP Proyectado'!AI107,0,-'Ingreso Proyectado_Edu'!$P107))&lt;&gt;0,IF(OFFSET('EDP Proyectado'!AI107,0,-'Ingreso Proyectado_Edu'!$P107)+0&lt;=1,0,OFFSET('EDP Proyectado'!AI107,0,-'Ingreso Proyectado_Edu'!$P107)+0)),0)</f>
        <v>0</v>
      </c>
      <c r="AI107" s="169">
        <f ca="1">+IFERROR(IF(ISNUMBER(OFFSET('EDP Proyectado'!AJ107,0,-'Ingreso Proyectado_Edu'!$P107))&lt;&gt;0,IF(OFFSET('EDP Proyectado'!AJ107,0,-'Ingreso Proyectado_Edu'!$P107)+0&lt;=1,0,OFFSET('EDP Proyectado'!AJ107,0,-'Ingreso Proyectado_Edu'!$P107)+0)),0)</f>
        <v>0</v>
      </c>
      <c r="AJ107" s="169">
        <f ca="1">+IFERROR(IF(ISNUMBER(OFFSET('EDP Proyectado'!AK107,0,-'Ingreso Proyectado_Edu'!$P107))&lt;&gt;0,IF(OFFSET('EDP Proyectado'!AK107,0,-'Ingreso Proyectado_Edu'!$P107)+0&lt;=1,0,OFFSET('EDP Proyectado'!AK107,0,-'Ingreso Proyectado_Edu'!$P107)+0)),0)</f>
        <v>0</v>
      </c>
      <c r="AK107" s="169">
        <f ca="1">+IFERROR(IF(ISNUMBER(OFFSET('EDP Proyectado'!AL107,0,-'Ingreso Proyectado_Edu'!$P107))&lt;&gt;0,IF(OFFSET('EDP Proyectado'!AL107,0,-'Ingreso Proyectado_Edu'!$P107)+0&lt;=1,0,OFFSET('EDP Proyectado'!AL107,0,-'Ingreso Proyectado_Edu'!$P107)+0)),0)</f>
        <v>0</v>
      </c>
      <c r="AL107" s="169">
        <f ca="1">+IFERROR(IF(ISNUMBER(OFFSET('EDP Proyectado'!AM107,0,-'Ingreso Proyectado_Edu'!$P107))&lt;&gt;0,IF(OFFSET('EDP Proyectado'!AM107,0,-'Ingreso Proyectado_Edu'!$P107)+0&lt;=1,0,OFFSET('EDP Proyectado'!AM107,0,-'Ingreso Proyectado_Edu'!$P107)+0)),0)</f>
        <v>0</v>
      </c>
      <c r="AM107" s="169">
        <f ca="1">+IFERROR(IF(ISNUMBER(OFFSET('EDP Proyectado'!AN107,0,-'Ingreso Proyectado_Edu'!$P107))&lt;&gt;0,IF(OFFSET('EDP Proyectado'!AN107,0,-'Ingreso Proyectado_Edu'!$P107)+0&lt;=1,0,OFFSET('EDP Proyectado'!AN107,0,-'Ingreso Proyectado_Edu'!$P107)+0)),0)</f>
        <v>0</v>
      </c>
      <c r="AN107" s="169">
        <f ca="1">+IFERROR(IF(ISNUMBER(OFFSET('EDP Proyectado'!AO107,0,-'Ingreso Proyectado_Edu'!$P107))&lt;&gt;0,IF(OFFSET('EDP Proyectado'!AO107,0,-'Ingreso Proyectado_Edu'!$P107)+0&lt;=1,0,OFFSET('EDP Proyectado'!AO107,0,-'Ingreso Proyectado_Edu'!$P107)+0)),0)</f>
        <v>0</v>
      </c>
      <c r="AO107" s="169">
        <f ca="1">+IFERROR(IF(ISNUMBER(OFFSET('EDP Proyectado'!AP107,0,-'Ingreso Proyectado_Edu'!$P107))&lt;&gt;0,IF(OFFSET('EDP Proyectado'!AP107,0,-'Ingreso Proyectado_Edu'!$P107)+0&lt;=1,0,OFFSET('EDP Proyectado'!AP107,0,-'Ingreso Proyectado_Edu'!$P107)+0)),0)</f>
        <v>0</v>
      </c>
      <c r="AP107" s="170">
        <f ca="1">+IFERROR(IF(ISNUMBER(OFFSET('EDP Proyectado'!AQ107,0,-'Ingreso Proyectado_Edu'!$P107))&lt;&gt;0,IF(OFFSET('EDP Proyectado'!AQ107,0,-'Ingreso Proyectado_Edu'!$P107)+0&lt;=1,0,OFFSET('EDP Proyectado'!AQ107,0,-'Ingreso Proyectado_Edu'!$P107)+0)),0)</f>
        <v>0</v>
      </c>
    </row>
    <row r="108" spans="3:42" x14ac:dyDescent="0.2">
      <c r="C108" s="144">
        <f>+'Gantt Proyectos'!C176</f>
        <v>80</v>
      </c>
      <c r="D108" s="145">
        <f>+'Gantt Proyectos'!D176</f>
        <v>0</v>
      </c>
      <c r="E108" s="145">
        <f>+'Gantt Proyectos'!E176</f>
        <v>0</v>
      </c>
      <c r="F108" s="147">
        <f>+'Gantt Proyectos'!F176</f>
        <v>0</v>
      </c>
      <c r="G108" s="145">
        <f>+'Gantt Proyectos'!G176</f>
        <v>0</v>
      </c>
      <c r="H108" s="145">
        <f>+'Gantt Proyectos'!H176</f>
        <v>0</v>
      </c>
      <c r="I108" s="189">
        <v>1</v>
      </c>
      <c r="J108" s="189">
        <f t="shared" si="10"/>
        <v>0</v>
      </c>
      <c r="K108" s="145">
        <f>+'Gantt Proyectos'!I176</f>
        <v>0</v>
      </c>
      <c r="L108" s="120">
        <f>+'Gantt Proyectos'!J176</f>
        <v>0</v>
      </c>
      <c r="M108" s="145">
        <f>+'Gantt Proyectos'!K176</f>
        <v>0</v>
      </c>
      <c r="N108" s="145">
        <f>+'Gantt Proyectos'!L176</f>
        <v>0</v>
      </c>
      <c r="O108" s="145">
        <f>+'Gantt Proyectos'!M176</f>
        <v>0</v>
      </c>
      <c r="P108" s="145">
        <f>+'Gantt Proyectos'!N176</f>
        <v>0</v>
      </c>
      <c r="Q108" s="119">
        <f>+'Gantt Proyectos'!O176</f>
        <v>0</v>
      </c>
      <c r="R108" s="119">
        <f>+'Gantt Proyectos'!P176</f>
        <v>0</v>
      </c>
      <c r="S108" s="145">
        <f>+'Gantt Proyectos'!R176</f>
        <v>0</v>
      </c>
      <c r="T108" s="118">
        <f>+'Gantt Proyectos'!S176</f>
        <v>0</v>
      </c>
      <c r="U108" s="156">
        <f>+'Gantt Proyectos'!T176</f>
        <v>0</v>
      </c>
      <c r="V108" s="156">
        <f>+'Gantt Proyectos'!U176</f>
        <v>0</v>
      </c>
      <c r="W108" s="201">
        <f t="shared" si="11"/>
        <v>0</v>
      </c>
      <c r="X108" s="121">
        <f>+'Gantt Proyectos'!W176</f>
        <v>0</v>
      </c>
      <c r="Y108" s="122">
        <f>+'Gantt Proyectos'!X176</f>
        <v>0</v>
      </c>
      <c r="Z108" s="122">
        <f>+'Gantt Proyectos'!Y176</f>
        <v>0</v>
      </c>
      <c r="AA108" s="122">
        <f>+'Gantt Proyectos'!Z176</f>
        <v>0</v>
      </c>
      <c r="AB108" s="122">
        <f>+'Gantt Proyectos'!AA176</f>
        <v>0</v>
      </c>
      <c r="AC108" s="122">
        <f>+'Gantt Proyectos'!AB176</f>
        <v>0</v>
      </c>
      <c r="AD108" s="123">
        <f>+'Gantt Proyectos'!AC176</f>
        <v>0</v>
      </c>
      <c r="AE108" s="123">
        <f>+'Gantt Proyectos'!AD176</f>
        <v>0</v>
      </c>
      <c r="AF108" s="124">
        <f>+'Gantt Proyectos'!AE176</f>
        <v>0</v>
      </c>
      <c r="AG108" s="172">
        <v>1</v>
      </c>
      <c r="AH108" s="169">
        <f ca="1">+IFERROR(IF(ISNUMBER(OFFSET('EDP Proyectado'!AI108,0,-'Ingreso Proyectado_Edu'!$P108))&lt;&gt;0,IF(OFFSET('EDP Proyectado'!AI108,0,-'Ingreso Proyectado_Edu'!$P108)+0&lt;=1,0,OFFSET('EDP Proyectado'!AI108,0,-'Ingreso Proyectado_Edu'!$P108)+0)),0)</f>
        <v>0</v>
      </c>
      <c r="AI108" s="169">
        <f ca="1">+IFERROR(IF(ISNUMBER(OFFSET('EDP Proyectado'!AJ108,0,-'Ingreso Proyectado_Edu'!$P108))&lt;&gt;0,IF(OFFSET('EDP Proyectado'!AJ108,0,-'Ingreso Proyectado_Edu'!$P108)+0&lt;=1,0,OFFSET('EDP Proyectado'!AJ108,0,-'Ingreso Proyectado_Edu'!$P108)+0)),0)</f>
        <v>0</v>
      </c>
      <c r="AJ108" s="169">
        <f ca="1">+IFERROR(IF(ISNUMBER(OFFSET('EDP Proyectado'!AK108,0,-'Ingreso Proyectado_Edu'!$P108))&lt;&gt;0,IF(OFFSET('EDP Proyectado'!AK108,0,-'Ingreso Proyectado_Edu'!$P108)+0&lt;=1,0,OFFSET('EDP Proyectado'!AK108,0,-'Ingreso Proyectado_Edu'!$P108)+0)),0)</f>
        <v>0</v>
      </c>
      <c r="AK108" s="169">
        <f ca="1">+IFERROR(IF(ISNUMBER(OFFSET('EDP Proyectado'!AL108,0,-'Ingreso Proyectado_Edu'!$P108))&lt;&gt;0,IF(OFFSET('EDP Proyectado'!AL108,0,-'Ingreso Proyectado_Edu'!$P108)+0&lt;=1,0,OFFSET('EDP Proyectado'!AL108,0,-'Ingreso Proyectado_Edu'!$P108)+0)),0)</f>
        <v>0</v>
      </c>
      <c r="AL108" s="169">
        <f ca="1">+IFERROR(IF(ISNUMBER(OFFSET('EDP Proyectado'!AM108,0,-'Ingreso Proyectado_Edu'!$P108))&lt;&gt;0,IF(OFFSET('EDP Proyectado'!AM108,0,-'Ingreso Proyectado_Edu'!$P108)+0&lt;=1,0,OFFSET('EDP Proyectado'!AM108,0,-'Ingreso Proyectado_Edu'!$P108)+0)),0)</f>
        <v>0</v>
      </c>
      <c r="AM108" s="169">
        <f ca="1">+IFERROR(IF(ISNUMBER(OFFSET('EDP Proyectado'!AN108,0,-'Ingreso Proyectado_Edu'!$P108))&lt;&gt;0,IF(OFFSET('EDP Proyectado'!AN108,0,-'Ingreso Proyectado_Edu'!$P108)+0&lt;=1,0,OFFSET('EDP Proyectado'!AN108,0,-'Ingreso Proyectado_Edu'!$P108)+0)),0)</f>
        <v>0</v>
      </c>
      <c r="AN108" s="169">
        <f ca="1">+IFERROR(IF(ISNUMBER(OFFSET('EDP Proyectado'!AO108,0,-'Ingreso Proyectado_Edu'!$P108))&lt;&gt;0,IF(OFFSET('EDP Proyectado'!AO108,0,-'Ingreso Proyectado_Edu'!$P108)+0&lt;=1,0,OFFSET('EDP Proyectado'!AO108,0,-'Ingreso Proyectado_Edu'!$P108)+0)),0)</f>
        <v>0</v>
      </c>
      <c r="AO108" s="169">
        <f ca="1">+IFERROR(IF(ISNUMBER(OFFSET('EDP Proyectado'!AP108,0,-'Ingreso Proyectado_Edu'!$P108))&lt;&gt;0,IF(OFFSET('EDP Proyectado'!AP108,0,-'Ingreso Proyectado_Edu'!$P108)+0&lt;=1,0,OFFSET('EDP Proyectado'!AP108,0,-'Ingreso Proyectado_Edu'!$P108)+0)),0)</f>
        <v>0</v>
      </c>
      <c r="AP108" s="170">
        <f ca="1">+IFERROR(IF(ISNUMBER(OFFSET('EDP Proyectado'!AQ108,0,-'Ingreso Proyectado_Edu'!$P108))&lt;&gt;0,IF(OFFSET('EDP Proyectado'!AQ108,0,-'Ingreso Proyectado_Edu'!$P108)+0&lt;=1,0,OFFSET('EDP Proyectado'!AQ108,0,-'Ingreso Proyectado_Edu'!$P108)+0)),0)</f>
        <v>0</v>
      </c>
    </row>
    <row r="109" spans="3:42" x14ac:dyDescent="0.2">
      <c r="C109" s="144">
        <f>+'Gantt Proyectos'!C177</f>
        <v>81</v>
      </c>
      <c r="D109" s="145">
        <f>+'Gantt Proyectos'!D177</f>
        <v>0</v>
      </c>
      <c r="E109" s="145">
        <f>+'Gantt Proyectos'!E177</f>
        <v>0</v>
      </c>
      <c r="F109" s="147">
        <f>+'Gantt Proyectos'!F177</f>
        <v>0</v>
      </c>
      <c r="G109" s="145">
        <f>+'Gantt Proyectos'!G177</f>
        <v>0</v>
      </c>
      <c r="H109" s="145">
        <f>+'Gantt Proyectos'!H177</f>
        <v>0</v>
      </c>
      <c r="I109" s="189">
        <v>1</v>
      </c>
      <c r="J109" s="189">
        <f t="shared" si="10"/>
        <v>0</v>
      </c>
      <c r="K109" s="145">
        <f>+'Gantt Proyectos'!I177</f>
        <v>0</v>
      </c>
      <c r="L109" s="120">
        <f>+'Gantt Proyectos'!J177</f>
        <v>0</v>
      </c>
      <c r="M109" s="145">
        <f>+'Gantt Proyectos'!K177</f>
        <v>0</v>
      </c>
      <c r="N109" s="145">
        <f>+'Gantt Proyectos'!L177</f>
        <v>0</v>
      </c>
      <c r="O109" s="145">
        <f>+'Gantt Proyectos'!M177</f>
        <v>0</v>
      </c>
      <c r="P109" s="145">
        <f>+'Gantt Proyectos'!N177</f>
        <v>0</v>
      </c>
      <c r="Q109" s="119">
        <f>+'Gantt Proyectos'!O177</f>
        <v>0</v>
      </c>
      <c r="R109" s="119">
        <f>+'Gantt Proyectos'!P177</f>
        <v>0</v>
      </c>
      <c r="S109" s="145">
        <f>+'Gantt Proyectos'!R177</f>
        <v>0</v>
      </c>
      <c r="T109" s="118">
        <f>+'Gantt Proyectos'!S177</f>
        <v>0</v>
      </c>
      <c r="U109" s="156">
        <f>+'Gantt Proyectos'!T177</f>
        <v>0</v>
      </c>
      <c r="V109" s="156">
        <f>+'Gantt Proyectos'!U177</f>
        <v>0</v>
      </c>
      <c r="W109" s="201">
        <f t="shared" si="11"/>
        <v>0</v>
      </c>
      <c r="X109" s="121">
        <f>+'Gantt Proyectos'!W177</f>
        <v>0</v>
      </c>
      <c r="Y109" s="122">
        <f>+'Gantt Proyectos'!X177</f>
        <v>0</v>
      </c>
      <c r="Z109" s="122">
        <f>+'Gantt Proyectos'!Y177</f>
        <v>0</v>
      </c>
      <c r="AA109" s="122">
        <f>+'Gantt Proyectos'!Z177</f>
        <v>0</v>
      </c>
      <c r="AB109" s="122">
        <f>+'Gantt Proyectos'!AA177</f>
        <v>0</v>
      </c>
      <c r="AC109" s="122">
        <f>+'Gantt Proyectos'!AB177</f>
        <v>0</v>
      </c>
      <c r="AD109" s="123">
        <f>+'Gantt Proyectos'!AC177</f>
        <v>0</v>
      </c>
      <c r="AE109" s="123">
        <f>+'Gantt Proyectos'!AD177</f>
        <v>0</v>
      </c>
      <c r="AF109" s="124">
        <f>+'Gantt Proyectos'!AE177</f>
        <v>0</v>
      </c>
      <c r="AG109" s="172">
        <v>1</v>
      </c>
      <c r="AH109" s="169">
        <f ca="1">+IFERROR(IF(ISNUMBER(OFFSET('EDP Proyectado'!AI109,0,-'Ingreso Proyectado_Edu'!$P109))&lt;&gt;0,IF(OFFSET('EDP Proyectado'!AI109,0,-'Ingreso Proyectado_Edu'!$P109)+0&lt;=1,0,OFFSET('EDP Proyectado'!AI109,0,-'Ingreso Proyectado_Edu'!$P109)+0)),0)</f>
        <v>0</v>
      </c>
      <c r="AI109" s="169">
        <f ca="1">+IFERROR(IF(ISNUMBER(OFFSET('EDP Proyectado'!AJ109,0,-'Ingreso Proyectado_Edu'!$P109))&lt;&gt;0,IF(OFFSET('EDP Proyectado'!AJ109,0,-'Ingreso Proyectado_Edu'!$P109)+0&lt;=1,0,OFFSET('EDP Proyectado'!AJ109,0,-'Ingreso Proyectado_Edu'!$P109)+0)),0)</f>
        <v>0</v>
      </c>
      <c r="AJ109" s="169">
        <f ca="1">+IFERROR(IF(ISNUMBER(OFFSET('EDP Proyectado'!AK109,0,-'Ingreso Proyectado_Edu'!$P109))&lt;&gt;0,IF(OFFSET('EDP Proyectado'!AK109,0,-'Ingreso Proyectado_Edu'!$P109)+0&lt;=1,0,OFFSET('EDP Proyectado'!AK109,0,-'Ingreso Proyectado_Edu'!$P109)+0)),0)</f>
        <v>0</v>
      </c>
      <c r="AK109" s="169">
        <f ca="1">+IFERROR(IF(ISNUMBER(OFFSET('EDP Proyectado'!AL109,0,-'Ingreso Proyectado_Edu'!$P109))&lt;&gt;0,IF(OFFSET('EDP Proyectado'!AL109,0,-'Ingreso Proyectado_Edu'!$P109)+0&lt;=1,0,OFFSET('EDP Proyectado'!AL109,0,-'Ingreso Proyectado_Edu'!$P109)+0)),0)</f>
        <v>0</v>
      </c>
      <c r="AL109" s="169">
        <f ca="1">+IFERROR(IF(ISNUMBER(OFFSET('EDP Proyectado'!AM109,0,-'Ingreso Proyectado_Edu'!$P109))&lt;&gt;0,IF(OFFSET('EDP Proyectado'!AM109,0,-'Ingreso Proyectado_Edu'!$P109)+0&lt;=1,0,OFFSET('EDP Proyectado'!AM109,0,-'Ingreso Proyectado_Edu'!$P109)+0)),0)</f>
        <v>0</v>
      </c>
      <c r="AM109" s="169">
        <f ca="1">+IFERROR(IF(ISNUMBER(OFFSET('EDP Proyectado'!AN109,0,-'Ingreso Proyectado_Edu'!$P109))&lt;&gt;0,IF(OFFSET('EDP Proyectado'!AN109,0,-'Ingreso Proyectado_Edu'!$P109)+0&lt;=1,0,OFFSET('EDP Proyectado'!AN109,0,-'Ingreso Proyectado_Edu'!$P109)+0)),0)</f>
        <v>0</v>
      </c>
      <c r="AN109" s="169">
        <f ca="1">+IFERROR(IF(ISNUMBER(OFFSET('EDP Proyectado'!AO109,0,-'Ingreso Proyectado_Edu'!$P109))&lt;&gt;0,IF(OFFSET('EDP Proyectado'!AO109,0,-'Ingreso Proyectado_Edu'!$P109)+0&lt;=1,0,OFFSET('EDP Proyectado'!AO109,0,-'Ingreso Proyectado_Edu'!$P109)+0)),0)</f>
        <v>0</v>
      </c>
      <c r="AO109" s="169">
        <f ca="1">+IFERROR(IF(ISNUMBER(OFFSET('EDP Proyectado'!AP109,0,-'Ingreso Proyectado_Edu'!$P109))&lt;&gt;0,IF(OFFSET('EDP Proyectado'!AP109,0,-'Ingreso Proyectado_Edu'!$P109)+0&lt;=1,0,OFFSET('EDP Proyectado'!AP109,0,-'Ingreso Proyectado_Edu'!$P109)+0)),0)</f>
        <v>0</v>
      </c>
      <c r="AP109" s="170">
        <f ca="1">+IFERROR(IF(ISNUMBER(OFFSET('EDP Proyectado'!AQ109,0,-'Ingreso Proyectado_Edu'!$P109))&lt;&gt;0,IF(OFFSET('EDP Proyectado'!AQ109,0,-'Ingreso Proyectado_Edu'!$P109)+0&lt;=1,0,OFFSET('EDP Proyectado'!AQ109,0,-'Ingreso Proyectado_Edu'!$P109)+0)),0)</f>
        <v>0</v>
      </c>
    </row>
    <row r="110" spans="3:42" x14ac:dyDescent="0.2">
      <c r="C110" s="144">
        <f>+'Gantt Proyectos'!C178</f>
        <v>82</v>
      </c>
      <c r="D110" s="145">
        <f>+'Gantt Proyectos'!D178</f>
        <v>0</v>
      </c>
      <c r="E110" s="145">
        <f>+'Gantt Proyectos'!E178</f>
        <v>0</v>
      </c>
      <c r="F110" s="147">
        <f>+'Gantt Proyectos'!F178</f>
        <v>0</v>
      </c>
      <c r="G110" s="145">
        <f>+'Gantt Proyectos'!G178</f>
        <v>0</v>
      </c>
      <c r="H110" s="145">
        <f>+'Gantt Proyectos'!H178</f>
        <v>0</v>
      </c>
      <c r="I110" s="189">
        <v>1</v>
      </c>
      <c r="J110" s="189">
        <f t="shared" si="10"/>
        <v>0</v>
      </c>
      <c r="K110" s="145">
        <f>+'Gantt Proyectos'!I178</f>
        <v>0</v>
      </c>
      <c r="L110" s="120">
        <f>+'Gantt Proyectos'!J178</f>
        <v>0</v>
      </c>
      <c r="M110" s="145">
        <f>+'Gantt Proyectos'!K178</f>
        <v>0</v>
      </c>
      <c r="N110" s="145">
        <f>+'Gantt Proyectos'!L178</f>
        <v>0</v>
      </c>
      <c r="O110" s="145">
        <f>+'Gantt Proyectos'!M178</f>
        <v>0</v>
      </c>
      <c r="P110" s="145">
        <f>+'Gantt Proyectos'!N178</f>
        <v>0</v>
      </c>
      <c r="Q110" s="119">
        <f>+'Gantt Proyectos'!O178</f>
        <v>0</v>
      </c>
      <c r="R110" s="119">
        <f>+'Gantt Proyectos'!P178</f>
        <v>0</v>
      </c>
      <c r="S110" s="145">
        <f>+'Gantt Proyectos'!R178</f>
        <v>0</v>
      </c>
      <c r="T110" s="118">
        <f>+'Gantt Proyectos'!S178</f>
        <v>0</v>
      </c>
      <c r="U110" s="156">
        <f>+'Gantt Proyectos'!T178</f>
        <v>0</v>
      </c>
      <c r="V110" s="156">
        <f>+'Gantt Proyectos'!U178</f>
        <v>0</v>
      </c>
      <c r="W110" s="201">
        <f t="shared" si="11"/>
        <v>0</v>
      </c>
      <c r="X110" s="121">
        <f>+'Gantt Proyectos'!W178</f>
        <v>0</v>
      </c>
      <c r="Y110" s="122">
        <f>+'Gantt Proyectos'!X178</f>
        <v>0</v>
      </c>
      <c r="Z110" s="122">
        <f>+'Gantt Proyectos'!Y178</f>
        <v>0</v>
      </c>
      <c r="AA110" s="122">
        <f>+'Gantt Proyectos'!Z178</f>
        <v>0</v>
      </c>
      <c r="AB110" s="122">
        <f>+'Gantt Proyectos'!AA178</f>
        <v>0</v>
      </c>
      <c r="AC110" s="122">
        <f>+'Gantt Proyectos'!AB178</f>
        <v>0</v>
      </c>
      <c r="AD110" s="123">
        <f>+'Gantt Proyectos'!AC178</f>
        <v>0</v>
      </c>
      <c r="AE110" s="123">
        <f>+'Gantt Proyectos'!AD178</f>
        <v>0</v>
      </c>
      <c r="AF110" s="124">
        <f>+'Gantt Proyectos'!AE178</f>
        <v>0</v>
      </c>
      <c r="AG110" s="172">
        <v>1</v>
      </c>
      <c r="AH110" s="169">
        <f ca="1">+IFERROR(IF(ISNUMBER(OFFSET('EDP Proyectado'!AI110,0,-'Ingreso Proyectado_Edu'!$P110))&lt;&gt;0,IF(OFFSET('EDP Proyectado'!AI110,0,-'Ingreso Proyectado_Edu'!$P110)+0&lt;=1,0,OFFSET('EDP Proyectado'!AI110,0,-'Ingreso Proyectado_Edu'!$P110)+0)),0)</f>
        <v>0</v>
      </c>
      <c r="AI110" s="169">
        <f ca="1">+IFERROR(IF(ISNUMBER(OFFSET('EDP Proyectado'!AJ110,0,-'Ingreso Proyectado_Edu'!$P110))&lt;&gt;0,IF(OFFSET('EDP Proyectado'!AJ110,0,-'Ingreso Proyectado_Edu'!$P110)+0&lt;=1,0,OFFSET('EDP Proyectado'!AJ110,0,-'Ingreso Proyectado_Edu'!$P110)+0)),0)</f>
        <v>0</v>
      </c>
      <c r="AJ110" s="169">
        <f ca="1">+IFERROR(IF(ISNUMBER(OFFSET('EDP Proyectado'!AK110,0,-'Ingreso Proyectado_Edu'!$P110))&lt;&gt;0,IF(OFFSET('EDP Proyectado'!AK110,0,-'Ingreso Proyectado_Edu'!$P110)+0&lt;=1,0,OFFSET('EDP Proyectado'!AK110,0,-'Ingreso Proyectado_Edu'!$P110)+0)),0)</f>
        <v>0</v>
      </c>
      <c r="AK110" s="169">
        <f ca="1">+IFERROR(IF(ISNUMBER(OFFSET('EDP Proyectado'!AL110,0,-'Ingreso Proyectado_Edu'!$P110))&lt;&gt;0,IF(OFFSET('EDP Proyectado'!AL110,0,-'Ingreso Proyectado_Edu'!$P110)+0&lt;=1,0,OFFSET('EDP Proyectado'!AL110,0,-'Ingreso Proyectado_Edu'!$P110)+0)),0)</f>
        <v>0</v>
      </c>
      <c r="AL110" s="169">
        <f ca="1">+IFERROR(IF(ISNUMBER(OFFSET('EDP Proyectado'!AM110,0,-'Ingreso Proyectado_Edu'!$P110))&lt;&gt;0,IF(OFFSET('EDP Proyectado'!AM110,0,-'Ingreso Proyectado_Edu'!$P110)+0&lt;=1,0,OFFSET('EDP Proyectado'!AM110,0,-'Ingreso Proyectado_Edu'!$P110)+0)),0)</f>
        <v>0</v>
      </c>
      <c r="AM110" s="169">
        <f ca="1">+IFERROR(IF(ISNUMBER(OFFSET('EDP Proyectado'!AN110,0,-'Ingreso Proyectado_Edu'!$P110))&lt;&gt;0,IF(OFFSET('EDP Proyectado'!AN110,0,-'Ingreso Proyectado_Edu'!$P110)+0&lt;=1,0,OFFSET('EDP Proyectado'!AN110,0,-'Ingreso Proyectado_Edu'!$P110)+0)),0)</f>
        <v>0</v>
      </c>
      <c r="AN110" s="169">
        <f ca="1">+IFERROR(IF(ISNUMBER(OFFSET('EDP Proyectado'!AO110,0,-'Ingreso Proyectado_Edu'!$P110))&lt;&gt;0,IF(OFFSET('EDP Proyectado'!AO110,0,-'Ingreso Proyectado_Edu'!$P110)+0&lt;=1,0,OFFSET('EDP Proyectado'!AO110,0,-'Ingreso Proyectado_Edu'!$P110)+0)),0)</f>
        <v>0</v>
      </c>
      <c r="AO110" s="169">
        <f ca="1">+IFERROR(IF(ISNUMBER(OFFSET('EDP Proyectado'!AP110,0,-'Ingreso Proyectado_Edu'!$P110))&lt;&gt;0,IF(OFFSET('EDP Proyectado'!AP110,0,-'Ingreso Proyectado_Edu'!$P110)+0&lt;=1,0,OFFSET('EDP Proyectado'!AP110,0,-'Ingreso Proyectado_Edu'!$P110)+0)),0)</f>
        <v>0</v>
      </c>
      <c r="AP110" s="170">
        <f ca="1">+IFERROR(IF(ISNUMBER(OFFSET('EDP Proyectado'!AQ110,0,-'Ingreso Proyectado_Edu'!$P110))&lt;&gt;0,IF(OFFSET('EDP Proyectado'!AQ110,0,-'Ingreso Proyectado_Edu'!$P110)+0&lt;=1,0,OFFSET('EDP Proyectado'!AQ110,0,-'Ingreso Proyectado_Edu'!$P110)+0)),0)</f>
        <v>0</v>
      </c>
    </row>
    <row r="111" spans="3:42" x14ac:dyDescent="0.2">
      <c r="C111" s="144">
        <f>+'Gantt Proyectos'!C179</f>
        <v>83</v>
      </c>
      <c r="D111" s="145">
        <f>+'Gantt Proyectos'!D179</f>
        <v>0</v>
      </c>
      <c r="E111" s="145">
        <f>+'Gantt Proyectos'!E179</f>
        <v>0</v>
      </c>
      <c r="F111" s="147">
        <f>+'Gantt Proyectos'!F179</f>
        <v>0</v>
      </c>
      <c r="G111" s="145">
        <f>+'Gantt Proyectos'!G179</f>
        <v>0</v>
      </c>
      <c r="H111" s="145">
        <f>+'Gantt Proyectos'!H179</f>
        <v>0</v>
      </c>
      <c r="I111" s="189">
        <v>1</v>
      </c>
      <c r="J111" s="189">
        <f t="shared" si="10"/>
        <v>0</v>
      </c>
      <c r="K111" s="145">
        <f>+'Gantt Proyectos'!I179</f>
        <v>0</v>
      </c>
      <c r="L111" s="120">
        <f>+'Gantt Proyectos'!J179</f>
        <v>0</v>
      </c>
      <c r="M111" s="145">
        <f>+'Gantt Proyectos'!K179</f>
        <v>0</v>
      </c>
      <c r="N111" s="145">
        <f>+'Gantt Proyectos'!L179</f>
        <v>0</v>
      </c>
      <c r="O111" s="145">
        <f>+'Gantt Proyectos'!M179</f>
        <v>0</v>
      </c>
      <c r="P111" s="145">
        <f>+'Gantt Proyectos'!N179</f>
        <v>0</v>
      </c>
      <c r="Q111" s="119">
        <f>+'Gantt Proyectos'!O179</f>
        <v>0</v>
      </c>
      <c r="R111" s="119">
        <f>+'Gantt Proyectos'!P179</f>
        <v>0</v>
      </c>
      <c r="S111" s="145">
        <f>+'Gantt Proyectos'!R179</f>
        <v>0</v>
      </c>
      <c r="T111" s="118">
        <f>+'Gantt Proyectos'!S179</f>
        <v>0</v>
      </c>
      <c r="U111" s="156">
        <f>+'Gantt Proyectos'!T179</f>
        <v>0</v>
      </c>
      <c r="V111" s="156">
        <f>+'Gantt Proyectos'!U179</f>
        <v>0</v>
      </c>
      <c r="W111" s="201">
        <f t="shared" si="11"/>
        <v>0</v>
      </c>
      <c r="X111" s="121">
        <f>+'Gantt Proyectos'!W179</f>
        <v>0</v>
      </c>
      <c r="Y111" s="122">
        <f>+'Gantt Proyectos'!X179</f>
        <v>0</v>
      </c>
      <c r="Z111" s="122">
        <f>+'Gantt Proyectos'!Y179</f>
        <v>0</v>
      </c>
      <c r="AA111" s="122">
        <f>+'Gantt Proyectos'!Z179</f>
        <v>0</v>
      </c>
      <c r="AB111" s="122">
        <f>+'Gantt Proyectos'!AA179</f>
        <v>0</v>
      </c>
      <c r="AC111" s="122">
        <f>+'Gantt Proyectos'!AB179</f>
        <v>0</v>
      </c>
      <c r="AD111" s="123">
        <f>+'Gantt Proyectos'!AC179</f>
        <v>0</v>
      </c>
      <c r="AE111" s="123">
        <f>+'Gantt Proyectos'!AD179</f>
        <v>0</v>
      </c>
      <c r="AF111" s="124">
        <f>+'Gantt Proyectos'!AE179</f>
        <v>0</v>
      </c>
      <c r="AG111" s="172">
        <v>1</v>
      </c>
      <c r="AH111" s="169">
        <f ca="1">+IFERROR(IF(ISNUMBER(OFFSET('EDP Proyectado'!AI111,0,-'Ingreso Proyectado_Edu'!$P111))&lt;&gt;0,IF(OFFSET('EDP Proyectado'!AI111,0,-'Ingreso Proyectado_Edu'!$P111)+0&lt;=1,0,OFFSET('EDP Proyectado'!AI111,0,-'Ingreso Proyectado_Edu'!$P111)+0)),0)</f>
        <v>0</v>
      </c>
      <c r="AI111" s="169">
        <f ca="1">+IFERROR(IF(ISNUMBER(OFFSET('EDP Proyectado'!AJ111,0,-'Ingreso Proyectado_Edu'!$P111))&lt;&gt;0,IF(OFFSET('EDP Proyectado'!AJ111,0,-'Ingreso Proyectado_Edu'!$P111)+0&lt;=1,0,OFFSET('EDP Proyectado'!AJ111,0,-'Ingreso Proyectado_Edu'!$P111)+0)),0)</f>
        <v>0</v>
      </c>
      <c r="AJ111" s="169">
        <f ca="1">+IFERROR(IF(ISNUMBER(OFFSET('EDP Proyectado'!AK111,0,-'Ingreso Proyectado_Edu'!$P111))&lt;&gt;0,IF(OFFSET('EDP Proyectado'!AK111,0,-'Ingreso Proyectado_Edu'!$P111)+0&lt;=1,0,OFFSET('EDP Proyectado'!AK111,0,-'Ingreso Proyectado_Edu'!$P111)+0)),0)</f>
        <v>0</v>
      </c>
      <c r="AK111" s="169">
        <f ca="1">+IFERROR(IF(ISNUMBER(OFFSET('EDP Proyectado'!AL111,0,-'Ingreso Proyectado_Edu'!$P111))&lt;&gt;0,IF(OFFSET('EDP Proyectado'!AL111,0,-'Ingreso Proyectado_Edu'!$P111)+0&lt;=1,0,OFFSET('EDP Proyectado'!AL111,0,-'Ingreso Proyectado_Edu'!$P111)+0)),0)</f>
        <v>0</v>
      </c>
      <c r="AL111" s="169">
        <f ca="1">+IFERROR(IF(ISNUMBER(OFFSET('EDP Proyectado'!AM111,0,-'Ingreso Proyectado_Edu'!$P111))&lt;&gt;0,IF(OFFSET('EDP Proyectado'!AM111,0,-'Ingreso Proyectado_Edu'!$P111)+0&lt;=1,0,OFFSET('EDP Proyectado'!AM111,0,-'Ingreso Proyectado_Edu'!$P111)+0)),0)</f>
        <v>0</v>
      </c>
      <c r="AM111" s="169">
        <f ca="1">+IFERROR(IF(ISNUMBER(OFFSET('EDP Proyectado'!AN111,0,-'Ingreso Proyectado_Edu'!$P111))&lt;&gt;0,IF(OFFSET('EDP Proyectado'!AN111,0,-'Ingreso Proyectado_Edu'!$P111)+0&lt;=1,0,OFFSET('EDP Proyectado'!AN111,0,-'Ingreso Proyectado_Edu'!$P111)+0)),0)</f>
        <v>0</v>
      </c>
      <c r="AN111" s="169">
        <f ca="1">+IFERROR(IF(ISNUMBER(OFFSET('EDP Proyectado'!AO111,0,-'Ingreso Proyectado_Edu'!$P111))&lt;&gt;0,IF(OFFSET('EDP Proyectado'!AO111,0,-'Ingreso Proyectado_Edu'!$P111)+0&lt;=1,0,OFFSET('EDP Proyectado'!AO111,0,-'Ingreso Proyectado_Edu'!$P111)+0)),0)</f>
        <v>0</v>
      </c>
      <c r="AO111" s="169">
        <f ca="1">+IFERROR(IF(ISNUMBER(OFFSET('EDP Proyectado'!AP111,0,-'Ingreso Proyectado_Edu'!$P111))&lt;&gt;0,IF(OFFSET('EDP Proyectado'!AP111,0,-'Ingreso Proyectado_Edu'!$P111)+0&lt;=1,0,OFFSET('EDP Proyectado'!AP111,0,-'Ingreso Proyectado_Edu'!$P111)+0)),0)</f>
        <v>0</v>
      </c>
      <c r="AP111" s="170">
        <f ca="1">+IFERROR(IF(ISNUMBER(OFFSET('EDP Proyectado'!AQ111,0,-'Ingreso Proyectado_Edu'!$P111))&lt;&gt;0,IF(OFFSET('EDP Proyectado'!AQ111,0,-'Ingreso Proyectado_Edu'!$P111)+0&lt;=1,0,OFFSET('EDP Proyectado'!AQ111,0,-'Ingreso Proyectado_Edu'!$P111)+0)),0)</f>
        <v>0</v>
      </c>
    </row>
    <row r="112" spans="3:42" x14ac:dyDescent="0.2">
      <c r="C112" s="144">
        <f>+'Gantt Proyectos'!C180</f>
        <v>84</v>
      </c>
      <c r="D112" s="145">
        <f>+'Gantt Proyectos'!D180</f>
        <v>0</v>
      </c>
      <c r="E112" s="145">
        <f>+'Gantt Proyectos'!E180</f>
        <v>0</v>
      </c>
      <c r="F112" s="147">
        <f>+'Gantt Proyectos'!F180</f>
        <v>0</v>
      </c>
      <c r="G112" s="145">
        <f>+'Gantt Proyectos'!G180</f>
        <v>0</v>
      </c>
      <c r="H112" s="145">
        <f>+'Gantt Proyectos'!H180</f>
        <v>0</v>
      </c>
      <c r="I112" s="189">
        <v>1</v>
      </c>
      <c r="J112" s="189">
        <f t="shared" si="10"/>
        <v>0</v>
      </c>
      <c r="K112" s="145">
        <f>+'Gantt Proyectos'!I180</f>
        <v>0</v>
      </c>
      <c r="L112" s="120">
        <f>+'Gantt Proyectos'!J180</f>
        <v>0</v>
      </c>
      <c r="M112" s="145">
        <f>+'Gantt Proyectos'!K180</f>
        <v>0</v>
      </c>
      <c r="N112" s="145">
        <f>+'Gantt Proyectos'!L180</f>
        <v>0</v>
      </c>
      <c r="O112" s="145">
        <f>+'Gantt Proyectos'!M180</f>
        <v>0</v>
      </c>
      <c r="P112" s="145">
        <f>+'Gantt Proyectos'!N180</f>
        <v>0</v>
      </c>
      <c r="Q112" s="119">
        <f>+'Gantt Proyectos'!O180</f>
        <v>0</v>
      </c>
      <c r="R112" s="119">
        <f>+'Gantt Proyectos'!P180</f>
        <v>0</v>
      </c>
      <c r="S112" s="145">
        <f>+'Gantt Proyectos'!R180</f>
        <v>0</v>
      </c>
      <c r="T112" s="118">
        <f>+'Gantt Proyectos'!S180</f>
        <v>0</v>
      </c>
      <c r="U112" s="156">
        <f>+'Gantt Proyectos'!T180</f>
        <v>0</v>
      </c>
      <c r="V112" s="156">
        <f>+'Gantt Proyectos'!U180</f>
        <v>0</v>
      </c>
      <c r="W112" s="201">
        <f t="shared" si="11"/>
        <v>0</v>
      </c>
      <c r="X112" s="121">
        <f>+'Gantt Proyectos'!W180</f>
        <v>0</v>
      </c>
      <c r="Y112" s="122">
        <f>+'Gantt Proyectos'!X180</f>
        <v>0</v>
      </c>
      <c r="Z112" s="122">
        <f>+'Gantt Proyectos'!Y180</f>
        <v>0</v>
      </c>
      <c r="AA112" s="122">
        <f>+'Gantt Proyectos'!Z180</f>
        <v>0</v>
      </c>
      <c r="AB112" s="122">
        <f>+'Gantt Proyectos'!AA180</f>
        <v>0</v>
      </c>
      <c r="AC112" s="122">
        <f>+'Gantt Proyectos'!AB180</f>
        <v>0</v>
      </c>
      <c r="AD112" s="123">
        <f>+'Gantt Proyectos'!AC180</f>
        <v>0</v>
      </c>
      <c r="AE112" s="123">
        <f>+'Gantt Proyectos'!AD180</f>
        <v>0</v>
      </c>
      <c r="AF112" s="124">
        <f>+'Gantt Proyectos'!AE180</f>
        <v>0</v>
      </c>
      <c r="AG112" s="172">
        <v>1</v>
      </c>
      <c r="AH112" s="169">
        <f ca="1">+IFERROR(IF(ISNUMBER(OFFSET('EDP Proyectado'!AI112,0,-'Ingreso Proyectado_Edu'!$P112))&lt;&gt;0,IF(OFFSET('EDP Proyectado'!AI112,0,-'Ingreso Proyectado_Edu'!$P112)+0&lt;=1,0,OFFSET('EDP Proyectado'!AI112,0,-'Ingreso Proyectado_Edu'!$P112)+0)),0)</f>
        <v>0</v>
      </c>
      <c r="AI112" s="169">
        <f ca="1">+IFERROR(IF(ISNUMBER(OFFSET('EDP Proyectado'!AJ112,0,-'Ingreso Proyectado_Edu'!$P112))&lt;&gt;0,IF(OFFSET('EDP Proyectado'!AJ112,0,-'Ingreso Proyectado_Edu'!$P112)+0&lt;=1,0,OFFSET('EDP Proyectado'!AJ112,0,-'Ingreso Proyectado_Edu'!$P112)+0)),0)</f>
        <v>0</v>
      </c>
      <c r="AJ112" s="169">
        <f ca="1">+IFERROR(IF(ISNUMBER(OFFSET('EDP Proyectado'!AK112,0,-'Ingreso Proyectado_Edu'!$P112))&lt;&gt;0,IF(OFFSET('EDP Proyectado'!AK112,0,-'Ingreso Proyectado_Edu'!$P112)+0&lt;=1,0,OFFSET('EDP Proyectado'!AK112,0,-'Ingreso Proyectado_Edu'!$P112)+0)),0)</f>
        <v>0</v>
      </c>
      <c r="AK112" s="169">
        <f ca="1">+IFERROR(IF(ISNUMBER(OFFSET('EDP Proyectado'!AL112,0,-'Ingreso Proyectado_Edu'!$P112))&lt;&gt;0,IF(OFFSET('EDP Proyectado'!AL112,0,-'Ingreso Proyectado_Edu'!$P112)+0&lt;=1,0,OFFSET('EDP Proyectado'!AL112,0,-'Ingreso Proyectado_Edu'!$P112)+0)),0)</f>
        <v>0</v>
      </c>
      <c r="AL112" s="169">
        <f ca="1">+IFERROR(IF(ISNUMBER(OFFSET('EDP Proyectado'!AM112,0,-'Ingreso Proyectado_Edu'!$P112))&lt;&gt;0,IF(OFFSET('EDP Proyectado'!AM112,0,-'Ingreso Proyectado_Edu'!$P112)+0&lt;=1,0,OFFSET('EDP Proyectado'!AM112,0,-'Ingreso Proyectado_Edu'!$P112)+0)),0)</f>
        <v>0</v>
      </c>
      <c r="AM112" s="169">
        <f ca="1">+IFERROR(IF(ISNUMBER(OFFSET('EDP Proyectado'!AN112,0,-'Ingreso Proyectado_Edu'!$P112))&lt;&gt;0,IF(OFFSET('EDP Proyectado'!AN112,0,-'Ingreso Proyectado_Edu'!$P112)+0&lt;=1,0,OFFSET('EDP Proyectado'!AN112,0,-'Ingreso Proyectado_Edu'!$P112)+0)),0)</f>
        <v>0</v>
      </c>
      <c r="AN112" s="169">
        <f ca="1">+IFERROR(IF(ISNUMBER(OFFSET('EDP Proyectado'!AO112,0,-'Ingreso Proyectado_Edu'!$P112))&lt;&gt;0,IF(OFFSET('EDP Proyectado'!AO112,0,-'Ingreso Proyectado_Edu'!$P112)+0&lt;=1,0,OFFSET('EDP Proyectado'!AO112,0,-'Ingreso Proyectado_Edu'!$P112)+0)),0)</f>
        <v>0</v>
      </c>
      <c r="AO112" s="169">
        <f ca="1">+IFERROR(IF(ISNUMBER(OFFSET('EDP Proyectado'!AP112,0,-'Ingreso Proyectado_Edu'!$P112))&lt;&gt;0,IF(OFFSET('EDP Proyectado'!AP112,0,-'Ingreso Proyectado_Edu'!$P112)+0&lt;=1,0,OFFSET('EDP Proyectado'!AP112,0,-'Ingreso Proyectado_Edu'!$P112)+0)),0)</f>
        <v>0</v>
      </c>
      <c r="AP112" s="170">
        <f ca="1">+IFERROR(IF(ISNUMBER(OFFSET('EDP Proyectado'!AQ112,0,-'Ingreso Proyectado_Edu'!$P112))&lt;&gt;0,IF(OFFSET('EDP Proyectado'!AQ112,0,-'Ingreso Proyectado_Edu'!$P112)+0&lt;=1,0,OFFSET('EDP Proyectado'!AQ112,0,-'Ingreso Proyectado_Edu'!$P112)+0)),0)</f>
        <v>0</v>
      </c>
    </row>
    <row r="113" spans="3:42" x14ac:dyDescent="0.2">
      <c r="C113" s="144">
        <f>+'Gantt Proyectos'!C181</f>
        <v>85</v>
      </c>
      <c r="D113" s="145">
        <f>+'Gantt Proyectos'!D181</f>
        <v>0</v>
      </c>
      <c r="E113" s="145">
        <f>+'Gantt Proyectos'!E181</f>
        <v>0</v>
      </c>
      <c r="F113" s="147">
        <f>+'Gantt Proyectos'!F181</f>
        <v>0</v>
      </c>
      <c r="G113" s="145">
        <f>+'Gantt Proyectos'!G181</f>
        <v>0</v>
      </c>
      <c r="H113" s="145">
        <f>+'Gantt Proyectos'!H181</f>
        <v>0</v>
      </c>
      <c r="I113" s="189">
        <v>1</v>
      </c>
      <c r="J113" s="189">
        <f t="shared" si="10"/>
        <v>0</v>
      </c>
      <c r="K113" s="145">
        <f>+'Gantt Proyectos'!I181</f>
        <v>0</v>
      </c>
      <c r="L113" s="120">
        <f>+'Gantt Proyectos'!J181</f>
        <v>0</v>
      </c>
      <c r="M113" s="145">
        <f>+'Gantt Proyectos'!K181</f>
        <v>0</v>
      </c>
      <c r="N113" s="145">
        <f>+'Gantt Proyectos'!L181</f>
        <v>0</v>
      </c>
      <c r="O113" s="145">
        <f>+'Gantt Proyectos'!M181</f>
        <v>0</v>
      </c>
      <c r="P113" s="145">
        <f>+'Gantt Proyectos'!N181</f>
        <v>0</v>
      </c>
      <c r="Q113" s="119">
        <f>+'Gantt Proyectos'!O181</f>
        <v>0</v>
      </c>
      <c r="R113" s="119">
        <f>+'Gantt Proyectos'!P181</f>
        <v>0</v>
      </c>
      <c r="S113" s="145">
        <f>+'Gantt Proyectos'!R181</f>
        <v>0</v>
      </c>
      <c r="T113" s="118">
        <f>+'Gantt Proyectos'!S181</f>
        <v>0</v>
      </c>
      <c r="U113" s="156">
        <f>+'Gantt Proyectos'!T181</f>
        <v>0</v>
      </c>
      <c r="V113" s="156">
        <f>+'Gantt Proyectos'!U181</f>
        <v>0</v>
      </c>
      <c r="W113" s="201">
        <f t="shared" si="11"/>
        <v>0</v>
      </c>
      <c r="X113" s="121">
        <f>+'Gantt Proyectos'!W181</f>
        <v>0</v>
      </c>
      <c r="Y113" s="122">
        <f>+'Gantt Proyectos'!X181</f>
        <v>0</v>
      </c>
      <c r="Z113" s="122">
        <f>+'Gantt Proyectos'!Y181</f>
        <v>0</v>
      </c>
      <c r="AA113" s="122">
        <f>+'Gantt Proyectos'!Z181</f>
        <v>0</v>
      </c>
      <c r="AB113" s="122">
        <f>+'Gantt Proyectos'!AA181</f>
        <v>0</v>
      </c>
      <c r="AC113" s="122">
        <f>+'Gantt Proyectos'!AB181</f>
        <v>0</v>
      </c>
      <c r="AD113" s="123">
        <f>+'Gantt Proyectos'!AC181</f>
        <v>0</v>
      </c>
      <c r="AE113" s="123">
        <f>+'Gantt Proyectos'!AD181</f>
        <v>0</v>
      </c>
      <c r="AF113" s="124">
        <f>+'Gantt Proyectos'!AE181</f>
        <v>0</v>
      </c>
      <c r="AG113" s="172">
        <v>1</v>
      </c>
      <c r="AH113" s="169">
        <f ca="1">+IFERROR(IF(ISNUMBER(OFFSET('EDP Proyectado'!AI113,0,-'Ingreso Proyectado_Edu'!$P113))&lt;&gt;0,IF(OFFSET('EDP Proyectado'!AI113,0,-'Ingreso Proyectado_Edu'!$P113)+0&lt;=1,0,OFFSET('EDP Proyectado'!AI113,0,-'Ingreso Proyectado_Edu'!$P113)+0)),0)</f>
        <v>0</v>
      </c>
      <c r="AI113" s="169">
        <f ca="1">+IFERROR(IF(ISNUMBER(OFFSET('EDP Proyectado'!AJ113,0,-'Ingreso Proyectado_Edu'!$P113))&lt;&gt;0,IF(OFFSET('EDP Proyectado'!AJ113,0,-'Ingreso Proyectado_Edu'!$P113)+0&lt;=1,0,OFFSET('EDP Proyectado'!AJ113,0,-'Ingreso Proyectado_Edu'!$P113)+0)),0)</f>
        <v>0</v>
      </c>
      <c r="AJ113" s="169">
        <f ca="1">+IFERROR(IF(ISNUMBER(OFFSET('EDP Proyectado'!AK113,0,-'Ingreso Proyectado_Edu'!$P113))&lt;&gt;0,IF(OFFSET('EDP Proyectado'!AK113,0,-'Ingreso Proyectado_Edu'!$P113)+0&lt;=1,0,OFFSET('EDP Proyectado'!AK113,0,-'Ingreso Proyectado_Edu'!$P113)+0)),0)</f>
        <v>0</v>
      </c>
      <c r="AK113" s="169">
        <f ca="1">+IFERROR(IF(ISNUMBER(OFFSET('EDP Proyectado'!AL113,0,-'Ingreso Proyectado_Edu'!$P113))&lt;&gt;0,IF(OFFSET('EDP Proyectado'!AL113,0,-'Ingreso Proyectado_Edu'!$P113)+0&lt;=1,0,OFFSET('EDP Proyectado'!AL113,0,-'Ingreso Proyectado_Edu'!$P113)+0)),0)</f>
        <v>0</v>
      </c>
      <c r="AL113" s="169">
        <f ca="1">+IFERROR(IF(ISNUMBER(OFFSET('EDP Proyectado'!AM113,0,-'Ingreso Proyectado_Edu'!$P113))&lt;&gt;0,IF(OFFSET('EDP Proyectado'!AM113,0,-'Ingreso Proyectado_Edu'!$P113)+0&lt;=1,0,OFFSET('EDP Proyectado'!AM113,0,-'Ingreso Proyectado_Edu'!$P113)+0)),0)</f>
        <v>0</v>
      </c>
      <c r="AM113" s="169">
        <f ca="1">+IFERROR(IF(ISNUMBER(OFFSET('EDP Proyectado'!AN113,0,-'Ingreso Proyectado_Edu'!$P113))&lt;&gt;0,IF(OFFSET('EDP Proyectado'!AN113,0,-'Ingreso Proyectado_Edu'!$P113)+0&lt;=1,0,OFFSET('EDP Proyectado'!AN113,0,-'Ingreso Proyectado_Edu'!$P113)+0)),0)</f>
        <v>0</v>
      </c>
      <c r="AN113" s="169">
        <f ca="1">+IFERROR(IF(ISNUMBER(OFFSET('EDP Proyectado'!AO113,0,-'Ingreso Proyectado_Edu'!$P113))&lt;&gt;0,IF(OFFSET('EDP Proyectado'!AO113,0,-'Ingreso Proyectado_Edu'!$P113)+0&lt;=1,0,OFFSET('EDP Proyectado'!AO113,0,-'Ingreso Proyectado_Edu'!$P113)+0)),0)</f>
        <v>0</v>
      </c>
      <c r="AO113" s="169">
        <f ca="1">+IFERROR(IF(ISNUMBER(OFFSET('EDP Proyectado'!AP113,0,-'Ingreso Proyectado_Edu'!$P113))&lt;&gt;0,IF(OFFSET('EDP Proyectado'!AP113,0,-'Ingreso Proyectado_Edu'!$P113)+0&lt;=1,0,OFFSET('EDP Proyectado'!AP113,0,-'Ingreso Proyectado_Edu'!$P113)+0)),0)</f>
        <v>0</v>
      </c>
      <c r="AP113" s="170">
        <f ca="1">+IFERROR(IF(ISNUMBER(OFFSET('EDP Proyectado'!AQ113,0,-'Ingreso Proyectado_Edu'!$P113))&lt;&gt;0,IF(OFFSET('EDP Proyectado'!AQ113,0,-'Ingreso Proyectado_Edu'!$P113)+0&lt;=1,0,OFFSET('EDP Proyectado'!AQ113,0,-'Ingreso Proyectado_Edu'!$P113)+0)),0)</f>
        <v>0</v>
      </c>
    </row>
    <row r="114" spans="3:42" x14ac:dyDescent="0.2">
      <c r="C114" s="144">
        <f>+'Gantt Proyectos'!C182</f>
        <v>86</v>
      </c>
      <c r="D114" s="145">
        <f>+'Gantt Proyectos'!D182</f>
        <v>0</v>
      </c>
      <c r="E114" s="145">
        <f>+'Gantt Proyectos'!E182</f>
        <v>0</v>
      </c>
      <c r="F114" s="147">
        <f>+'Gantt Proyectos'!F182</f>
        <v>0</v>
      </c>
      <c r="G114" s="145">
        <f>+'Gantt Proyectos'!G182</f>
        <v>0</v>
      </c>
      <c r="H114" s="145">
        <f>+'Gantt Proyectos'!H182</f>
        <v>0</v>
      </c>
      <c r="I114" s="189">
        <v>1</v>
      </c>
      <c r="J114" s="189">
        <f t="shared" si="10"/>
        <v>0</v>
      </c>
      <c r="K114" s="145">
        <f>+'Gantt Proyectos'!I182</f>
        <v>0</v>
      </c>
      <c r="L114" s="120">
        <f>+'Gantt Proyectos'!J182</f>
        <v>0</v>
      </c>
      <c r="M114" s="145">
        <f>+'Gantt Proyectos'!K182</f>
        <v>0</v>
      </c>
      <c r="N114" s="145">
        <f>+'Gantt Proyectos'!L182</f>
        <v>0</v>
      </c>
      <c r="O114" s="145">
        <f>+'Gantt Proyectos'!M182</f>
        <v>0</v>
      </c>
      <c r="P114" s="145">
        <f>+'Gantt Proyectos'!N182</f>
        <v>0</v>
      </c>
      <c r="Q114" s="119">
        <f>+'Gantt Proyectos'!O182</f>
        <v>0</v>
      </c>
      <c r="R114" s="119">
        <f>+'Gantt Proyectos'!P182</f>
        <v>0</v>
      </c>
      <c r="S114" s="145">
        <f>+'Gantt Proyectos'!R182</f>
        <v>0</v>
      </c>
      <c r="T114" s="118">
        <f>+'Gantt Proyectos'!S182</f>
        <v>0</v>
      </c>
      <c r="U114" s="156">
        <f>+'Gantt Proyectos'!T182</f>
        <v>0</v>
      </c>
      <c r="V114" s="156">
        <f>+'Gantt Proyectos'!U182</f>
        <v>0</v>
      </c>
      <c r="W114" s="201">
        <f t="shared" si="11"/>
        <v>0</v>
      </c>
      <c r="X114" s="121">
        <f>+'Gantt Proyectos'!W182</f>
        <v>0</v>
      </c>
      <c r="Y114" s="122">
        <f>+'Gantt Proyectos'!X182</f>
        <v>0</v>
      </c>
      <c r="Z114" s="122">
        <f>+'Gantt Proyectos'!Y182</f>
        <v>0</v>
      </c>
      <c r="AA114" s="122">
        <f>+'Gantt Proyectos'!Z182</f>
        <v>0</v>
      </c>
      <c r="AB114" s="122">
        <f>+'Gantt Proyectos'!AA182</f>
        <v>0</v>
      </c>
      <c r="AC114" s="122">
        <f>+'Gantt Proyectos'!AB182</f>
        <v>0</v>
      </c>
      <c r="AD114" s="123">
        <f>+'Gantt Proyectos'!AC182</f>
        <v>0</v>
      </c>
      <c r="AE114" s="123">
        <f>+'Gantt Proyectos'!AD182</f>
        <v>0</v>
      </c>
      <c r="AF114" s="124">
        <f>+'Gantt Proyectos'!AE182</f>
        <v>0</v>
      </c>
      <c r="AG114" s="172">
        <v>1</v>
      </c>
      <c r="AH114" s="169">
        <f ca="1">+IFERROR(IF(ISNUMBER(OFFSET('EDP Proyectado'!AI114,0,-'Ingreso Proyectado_Edu'!$P114))&lt;&gt;0,IF(OFFSET('EDP Proyectado'!AI114,0,-'Ingreso Proyectado_Edu'!$P114)+0&lt;=1,0,OFFSET('EDP Proyectado'!AI114,0,-'Ingreso Proyectado_Edu'!$P114)+0)),0)</f>
        <v>0</v>
      </c>
      <c r="AI114" s="169">
        <f ca="1">+IFERROR(IF(ISNUMBER(OFFSET('EDP Proyectado'!AJ114,0,-'Ingreso Proyectado_Edu'!$P114))&lt;&gt;0,IF(OFFSET('EDP Proyectado'!AJ114,0,-'Ingreso Proyectado_Edu'!$P114)+0&lt;=1,0,OFFSET('EDP Proyectado'!AJ114,0,-'Ingreso Proyectado_Edu'!$P114)+0)),0)</f>
        <v>0</v>
      </c>
      <c r="AJ114" s="169">
        <f ca="1">+IFERROR(IF(ISNUMBER(OFFSET('EDP Proyectado'!AK114,0,-'Ingreso Proyectado_Edu'!$P114))&lt;&gt;0,IF(OFFSET('EDP Proyectado'!AK114,0,-'Ingreso Proyectado_Edu'!$P114)+0&lt;=1,0,OFFSET('EDP Proyectado'!AK114,0,-'Ingreso Proyectado_Edu'!$P114)+0)),0)</f>
        <v>0</v>
      </c>
      <c r="AK114" s="169">
        <f ca="1">+IFERROR(IF(ISNUMBER(OFFSET('EDP Proyectado'!AL114,0,-'Ingreso Proyectado_Edu'!$P114))&lt;&gt;0,IF(OFFSET('EDP Proyectado'!AL114,0,-'Ingreso Proyectado_Edu'!$P114)+0&lt;=1,0,OFFSET('EDP Proyectado'!AL114,0,-'Ingreso Proyectado_Edu'!$P114)+0)),0)</f>
        <v>0</v>
      </c>
      <c r="AL114" s="169">
        <f ca="1">+IFERROR(IF(ISNUMBER(OFFSET('EDP Proyectado'!AM114,0,-'Ingreso Proyectado_Edu'!$P114))&lt;&gt;0,IF(OFFSET('EDP Proyectado'!AM114,0,-'Ingreso Proyectado_Edu'!$P114)+0&lt;=1,0,OFFSET('EDP Proyectado'!AM114,0,-'Ingreso Proyectado_Edu'!$P114)+0)),0)</f>
        <v>0</v>
      </c>
      <c r="AM114" s="169">
        <f ca="1">+IFERROR(IF(ISNUMBER(OFFSET('EDP Proyectado'!AN114,0,-'Ingreso Proyectado_Edu'!$P114))&lt;&gt;0,IF(OFFSET('EDP Proyectado'!AN114,0,-'Ingreso Proyectado_Edu'!$P114)+0&lt;=1,0,OFFSET('EDP Proyectado'!AN114,0,-'Ingreso Proyectado_Edu'!$P114)+0)),0)</f>
        <v>0</v>
      </c>
      <c r="AN114" s="169">
        <f ca="1">+IFERROR(IF(ISNUMBER(OFFSET('EDP Proyectado'!AO114,0,-'Ingreso Proyectado_Edu'!$P114))&lt;&gt;0,IF(OFFSET('EDP Proyectado'!AO114,0,-'Ingreso Proyectado_Edu'!$P114)+0&lt;=1,0,OFFSET('EDP Proyectado'!AO114,0,-'Ingreso Proyectado_Edu'!$P114)+0)),0)</f>
        <v>0</v>
      </c>
      <c r="AO114" s="169">
        <f ca="1">+IFERROR(IF(ISNUMBER(OFFSET('EDP Proyectado'!AP114,0,-'Ingreso Proyectado_Edu'!$P114))&lt;&gt;0,IF(OFFSET('EDP Proyectado'!AP114,0,-'Ingreso Proyectado_Edu'!$P114)+0&lt;=1,0,OFFSET('EDP Proyectado'!AP114,0,-'Ingreso Proyectado_Edu'!$P114)+0)),0)</f>
        <v>0</v>
      </c>
      <c r="AP114" s="170">
        <f ca="1">+IFERROR(IF(ISNUMBER(OFFSET('EDP Proyectado'!AQ114,0,-'Ingreso Proyectado_Edu'!$P114))&lt;&gt;0,IF(OFFSET('EDP Proyectado'!AQ114,0,-'Ingreso Proyectado_Edu'!$P114)+0&lt;=1,0,OFFSET('EDP Proyectado'!AQ114,0,-'Ingreso Proyectado_Edu'!$P114)+0)),0)</f>
        <v>0</v>
      </c>
    </row>
    <row r="115" spans="3:42" x14ac:dyDescent="0.2">
      <c r="C115" s="144">
        <f>+'Gantt Proyectos'!C183</f>
        <v>87</v>
      </c>
      <c r="D115" s="145">
        <f>+'Gantt Proyectos'!D183</f>
        <v>0</v>
      </c>
      <c r="E115" s="145">
        <f>+'Gantt Proyectos'!E183</f>
        <v>0</v>
      </c>
      <c r="F115" s="147">
        <f>+'Gantt Proyectos'!F183</f>
        <v>0</v>
      </c>
      <c r="G115" s="145">
        <f>+'Gantt Proyectos'!G183</f>
        <v>0</v>
      </c>
      <c r="H115" s="145">
        <f>+'Gantt Proyectos'!H183</f>
        <v>0</v>
      </c>
      <c r="I115" s="189">
        <v>1</v>
      </c>
      <c r="J115" s="189">
        <f t="shared" si="10"/>
        <v>0</v>
      </c>
      <c r="K115" s="145">
        <f>+'Gantt Proyectos'!I183</f>
        <v>0</v>
      </c>
      <c r="L115" s="120">
        <f>+'Gantt Proyectos'!J183</f>
        <v>0</v>
      </c>
      <c r="M115" s="145">
        <f>+'Gantt Proyectos'!K183</f>
        <v>0</v>
      </c>
      <c r="N115" s="145">
        <f>+'Gantt Proyectos'!L183</f>
        <v>0</v>
      </c>
      <c r="O115" s="145">
        <f>+'Gantt Proyectos'!M183</f>
        <v>0</v>
      </c>
      <c r="P115" s="145">
        <f>+'Gantt Proyectos'!N183</f>
        <v>0</v>
      </c>
      <c r="Q115" s="119">
        <f>+'Gantt Proyectos'!O183</f>
        <v>0</v>
      </c>
      <c r="R115" s="119">
        <f>+'Gantt Proyectos'!P183</f>
        <v>0</v>
      </c>
      <c r="S115" s="145">
        <f>+'Gantt Proyectos'!R183</f>
        <v>0</v>
      </c>
      <c r="T115" s="118">
        <f>+'Gantt Proyectos'!S183</f>
        <v>0</v>
      </c>
      <c r="U115" s="156">
        <f>+'Gantt Proyectos'!T183</f>
        <v>0</v>
      </c>
      <c r="V115" s="156">
        <f>+'Gantt Proyectos'!U183</f>
        <v>0</v>
      </c>
      <c r="W115" s="201">
        <f t="shared" si="11"/>
        <v>0</v>
      </c>
      <c r="X115" s="121">
        <f>+'Gantt Proyectos'!W183</f>
        <v>0</v>
      </c>
      <c r="Y115" s="122">
        <f>+'Gantt Proyectos'!X183</f>
        <v>0</v>
      </c>
      <c r="Z115" s="122">
        <f>+'Gantt Proyectos'!Y183</f>
        <v>0</v>
      </c>
      <c r="AA115" s="122">
        <f>+'Gantt Proyectos'!Z183</f>
        <v>0</v>
      </c>
      <c r="AB115" s="122">
        <f>+'Gantt Proyectos'!AA183</f>
        <v>0</v>
      </c>
      <c r="AC115" s="122">
        <f>+'Gantt Proyectos'!AB183</f>
        <v>0</v>
      </c>
      <c r="AD115" s="123">
        <f>+'Gantt Proyectos'!AC183</f>
        <v>0</v>
      </c>
      <c r="AE115" s="123">
        <f>+'Gantt Proyectos'!AD183</f>
        <v>0</v>
      </c>
      <c r="AF115" s="124">
        <f>+'Gantt Proyectos'!AE183</f>
        <v>0</v>
      </c>
      <c r="AG115" s="172">
        <v>1</v>
      </c>
      <c r="AH115" s="169">
        <f ca="1">+IFERROR(IF(ISNUMBER(OFFSET('EDP Proyectado'!AI115,0,-'Ingreso Proyectado_Edu'!$P115))&lt;&gt;0,IF(OFFSET('EDP Proyectado'!AI115,0,-'Ingreso Proyectado_Edu'!$P115)+0&lt;=1,0,OFFSET('EDP Proyectado'!AI115,0,-'Ingreso Proyectado_Edu'!$P115)+0)),0)</f>
        <v>0</v>
      </c>
      <c r="AI115" s="169">
        <f ca="1">+IFERROR(IF(ISNUMBER(OFFSET('EDP Proyectado'!AJ115,0,-'Ingreso Proyectado_Edu'!$P115))&lt;&gt;0,IF(OFFSET('EDP Proyectado'!AJ115,0,-'Ingreso Proyectado_Edu'!$P115)+0&lt;=1,0,OFFSET('EDP Proyectado'!AJ115,0,-'Ingreso Proyectado_Edu'!$P115)+0)),0)</f>
        <v>0</v>
      </c>
      <c r="AJ115" s="169">
        <f ca="1">+IFERROR(IF(ISNUMBER(OFFSET('EDP Proyectado'!AK115,0,-'Ingreso Proyectado_Edu'!$P115))&lt;&gt;0,IF(OFFSET('EDP Proyectado'!AK115,0,-'Ingreso Proyectado_Edu'!$P115)+0&lt;=1,0,OFFSET('EDP Proyectado'!AK115,0,-'Ingreso Proyectado_Edu'!$P115)+0)),0)</f>
        <v>0</v>
      </c>
      <c r="AK115" s="169">
        <f ca="1">+IFERROR(IF(ISNUMBER(OFFSET('EDP Proyectado'!AL115,0,-'Ingreso Proyectado_Edu'!$P115))&lt;&gt;0,IF(OFFSET('EDP Proyectado'!AL115,0,-'Ingreso Proyectado_Edu'!$P115)+0&lt;=1,0,OFFSET('EDP Proyectado'!AL115,0,-'Ingreso Proyectado_Edu'!$P115)+0)),0)</f>
        <v>0</v>
      </c>
      <c r="AL115" s="169">
        <f ca="1">+IFERROR(IF(ISNUMBER(OFFSET('EDP Proyectado'!AM115,0,-'Ingreso Proyectado_Edu'!$P115))&lt;&gt;0,IF(OFFSET('EDP Proyectado'!AM115,0,-'Ingreso Proyectado_Edu'!$P115)+0&lt;=1,0,OFFSET('EDP Proyectado'!AM115,0,-'Ingreso Proyectado_Edu'!$P115)+0)),0)</f>
        <v>0</v>
      </c>
      <c r="AM115" s="169">
        <f ca="1">+IFERROR(IF(ISNUMBER(OFFSET('EDP Proyectado'!AN115,0,-'Ingreso Proyectado_Edu'!$P115))&lt;&gt;0,IF(OFFSET('EDP Proyectado'!AN115,0,-'Ingreso Proyectado_Edu'!$P115)+0&lt;=1,0,OFFSET('EDP Proyectado'!AN115,0,-'Ingreso Proyectado_Edu'!$P115)+0)),0)</f>
        <v>0</v>
      </c>
      <c r="AN115" s="169">
        <f ca="1">+IFERROR(IF(ISNUMBER(OFFSET('EDP Proyectado'!AO115,0,-'Ingreso Proyectado_Edu'!$P115))&lt;&gt;0,IF(OFFSET('EDP Proyectado'!AO115,0,-'Ingreso Proyectado_Edu'!$P115)+0&lt;=1,0,OFFSET('EDP Proyectado'!AO115,0,-'Ingreso Proyectado_Edu'!$P115)+0)),0)</f>
        <v>0</v>
      </c>
      <c r="AO115" s="169">
        <f ca="1">+IFERROR(IF(ISNUMBER(OFFSET('EDP Proyectado'!AP115,0,-'Ingreso Proyectado_Edu'!$P115))&lt;&gt;0,IF(OFFSET('EDP Proyectado'!AP115,0,-'Ingreso Proyectado_Edu'!$P115)+0&lt;=1,0,OFFSET('EDP Proyectado'!AP115,0,-'Ingreso Proyectado_Edu'!$P115)+0)),0)</f>
        <v>0</v>
      </c>
      <c r="AP115" s="170">
        <f ca="1">+IFERROR(IF(ISNUMBER(OFFSET('EDP Proyectado'!AQ115,0,-'Ingreso Proyectado_Edu'!$P115))&lt;&gt;0,IF(OFFSET('EDP Proyectado'!AQ115,0,-'Ingreso Proyectado_Edu'!$P115)+0&lt;=1,0,OFFSET('EDP Proyectado'!AQ115,0,-'Ingreso Proyectado_Edu'!$P115)+0)),0)</f>
        <v>0</v>
      </c>
    </row>
    <row r="116" spans="3:42" x14ac:dyDescent="0.2">
      <c r="C116" s="144">
        <f>+'Gantt Proyectos'!C184</f>
        <v>88</v>
      </c>
      <c r="D116" s="145">
        <f>+'Gantt Proyectos'!D184</f>
        <v>0</v>
      </c>
      <c r="E116" s="145">
        <f>+'Gantt Proyectos'!E184</f>
        <v>0</v>
      </c>
      <c r="F116" s="147">
        <f>+'Gantt Proyectos'!F184</f>
        <v>0</v>
      </c>
      <c r="G116" s="145">
        <f>+'Gantt Proyectos'!G184</f>
        <v>0</v>
      </c>
      <c r="H116" s="145">
        <f>+'Gantt Proyectos'!H184</f>
        <v>0</v>
      </c>
      <c r="I116" s="189">
        <v>1</v>
      </c>
      <c r="J116" s="189">
        <f t="shared" si="10"/>
        <v>0</v>
      </c>
      <c r="K116" s="145">
        <f>+'Gantt Proyectos'!I184</f>
        <v>0</v>
      </c>
      <c r="L116" s="120">
        <f>+'Gantt Proyectos'!J184</f>
        <v>0</v>
      </c>
      <c r="M116" s="145">
        <f>+'Gantt Proyectos'!K184</f>
        <v>0</v>
      </c>
      <c r="N116" s="145">
        <f>+'Gantt Proyectos'!L184</f>
        <v>0</v>
      </c>
      <c r="O116" s="145">
        <f>+'Gantt Proyectos'!M184</f>
        <v>0</v>
      </c>
      <c r="P116" s="145">
        <f>+'Gantt Proyectos'!N184</f>
        <v>0</v>
      </c>
      <c r="Q116" s="119">
        <f>+'Gantt Proyectos'!O184</f>
        <v>0</v>
      </c>
      <c r="R116" s="119">
        <f>+'Gantt Proyectos'!P184</f>
        <v>0</v>
      </c>
      <c r="S116" s="145">
        <f>+'Gantt Proyectos'!R184</f>
        <v>0</v>
      </c>
      <c r="T116" s="118">
        <f>+'Gantt Proyectos'!S184</f>
        <v>0</v>
      </c>
      <c r="U116" s="156">
        <f>+'Gantt Proyectos'!T184</f>
        <v>0</v>
      </c>
      <c r="V116" s="156">
        <f>+'Gantt Proyectos'!U184</f>
        <v>0</v>
      </c>
      <c r="W116" s="201">
        <f t="shared" si="11"/>
        <v>0</v>
      </c>
      <c r="X116" s="121">
        <f>+'Gantt Proyectos'!W184</f>
        <v>0</v>
      </c>
      <c r="Y116" s="122">
        <f>+'Gantt Proyectos'!X184</f>
        <v>0</v>
      </c>
      <c r="Z116" s="122">
        <f>+'Gantt Proyectos'!Y184</f>
        <v>0</v>
      </c>
      <c r="AA116" s="122">
        <f>+'Gantt Proyectos'!Z184</f>
        <v>0</v>
      </c>
      <c r="AB116" s="122">
        <f>+'Gantt Proyectos'!AA184</f>
        <v>0</v>
      </c>
      <c r="AC116" s="122">
        <f>+'Gantt Proyectos'!AB184</f>
        <v>0</v>
      </c>
      <c r="AD116" s="123">
        <f>+'Gantt Proyectos'!AC184</f>
        <v>0</v>
      </c>
      <c r="AE116" s="123">
        <f>+'Gantt Proyectos'!AD184</f>
        <v>0</v>
      </c>
      <c r="AF116" s="124">
        <f>+'Gantt Proyectos'!AE184</f>
        <v>0</v>
      </c>
      <c r="AG116" s="172">
        <v>1</v>
      </c>
      <c r="AH116" s="169">
        <f ca="1">+IFERROR(IF(ISNUMBER(OFFSET('EDP Proyectado'!AI116,0,-'Ingreso Proyectado_Edu'!$P116))&lt;&gt;0,IF(OFFSET('EDP Proyectado'!AI116,0,-'Ingreso Proyectado_Edu'!$P116)+0&lt;=1,0,OFFSET('EDP Proyectado'!AI116,0,-'Ingreso Proyectado_Edu'!$P116)+0)),0)</f>
        <v>0</v>
      </c>
      <c r="AI116" s="169">
        <f ca="1">+IFERROR(IF(ISNUMBER(OFFSET('EDP Proyectado'!AJ116,0,-'Ingreso Proyectado_Edu'!$P116))&lt;&gt;0,IF(OFFSET('EDP Proyectado'!AJ116,0,-'Ingreso Proyectado_Edu'!$P116)+0&lt;=1,0,OFFSET('EDP Proyectado'!AJ116,0,-'Ingreso Proyectado_Edu'!$P116)+0)),0)</f>
        <v>0</v>
      </c>
      <c r="AJ116" s="169">
        <f ca="1">+IFERROR(IF(ISNUMBER(OFFSET('EDP Proyectado'!AK116,0,-'Ingreso Proyectado_Edu'!$P116))&lt;&gt;0,IF(OFFSET('EDP Proyectado'!AK116,0,-'Ingreso Proyectado_Edu'!$P116)+0&lt;=1,0,OFFSET('EDP Proyectado'!AK116,0,-'Ingreso Proyectado_Edu'!$P116)+0)),0)</f>
        <v>0</v>
      </c>
      <c r="AK116" s="169">
        <f ca="1">+IFERROR(IF(ISNUMBER(OFFSET('EDP Proyectado'!AL116,0,-'Ingreso Proyectado_Edu'!$P116))&lt;&gt;0,IF(OFFSET('EDP Proyectado'!AL116,0,-'Ingreso Proyectado_Edu'!$P116)+0&lt;=1,0,OFFSET('EDP Proyectado'!AL116,0,-'Ingreso Proyectado_Edu'!$P116)+0)),0)</f>
        <v>0</v>
      </c>
      <c r="AL116" s="169">
        <f ca="1">+IFERROR(IF(ISNUMBER(OFFSET('EDP Proyectado'!AM116,0,-'Ingreso Proyectado_Edu'!$P116))&lt;&gt;0,IF(OFFSET('EDP Proyectado'!AM116,0,-'Ingreso Proyectado_Edu'!$P116)+0&lt;=1,0,OFFSET('EDP Proyectado'!AM116,0,-'Ingreso Proyectado_Edu'!$P116)+0)),0)</f>
        <v>0</v>
      </c>
      <c r="AM116" s="169">
        <f ca="1">+IFERROR(IF(ISNUMBER(OFFSET('EDP Proyectado'!AN116,0,-'Ingreso Proyectado_Edu'!$P116))&lt;&gt;0,IF(OFFSET('EDP Proyectado'!AN116,0,-'Ingreso Proyectado_Edu'!$P116)+0&lt;=1,0,OFFSET('EDP Proyectado'!AN116,0,-'Ingreso Proyectado_Edu'!$P116)+0)),0)</f>
        <v>0</v>
      </c>
      <c r="AN116" s="169">
        <f ca="1">+IFERROR(IF(ISNUMBER(OFFSET('EDP Proyectado'!AO116,0,-'Ingreso Proyectado_Edu'!$P116))&lt;&gt;0,IF(OFFSET('EDP Proyectado'!AO116,0,-'Ingreso Proyectado_Edu'!$P116)+0&lt;=1,0,OFFSET('EDP Proyectado'!AO116,0,-'Ingreso Proyectado_Edu'!$P116)+0)),0)</f>
        <v>0</v>
      </c>
      <c r="AO116" s="169">
        <f ca="1">+IFERROR(IF(ISNUMBER(OFFSET('EDP Proyectado'!AP116,0,-'Ingreso Proyectado_Edu'!$P116))&lt;&gt;0,IF(OFFSET('EDP Proyectado'!AP116,0,-'Ingreso Proyectado_Edu'!$P116)+0&lt;=1,0,OFFSET('EDP Proyectado'!AP116,0,-'Ingreso Proyectado_Edu'!$P116)+0)),0)</f>
        <v>0</v>
      </c>
      <c r="AP116" s="170">
        <f ca="1">+IFERROR(IF(ISNUMBER(OFFSET('EDP Proyectado'!AQ116,0,-'Ingreso Proyectado_Edu'!$P116))&lt;&gt;0,IF(OFFSET('EDP Proyectado'!AQ116,0,-'Ingreso Proyectado_Edu'!$P116)+0&lt;=1,0,OFFSET('EDP Proyectado'!AQ116,0,-'Ingreso Proyectado_Edu'!$P116)+0)),0)</f>
        <v>0</v>
      </c>
    </row>
    <row r="117" spans="3:42" x14ac:dyDescent="0.2">
      <c r="C117" s="144">
        <f>+'Gantt Proyectos'!C185</f>
        <v>89</v>
      </c>
      <c r="D117" s="145">
        <f>+'Gantt Proyectos'!D185</f>
        <v>0</v>
      </c>
      <c r="E117" s="145">
        <f>+'Gantt Proyectos'!E185</f>
        <v>0</v>
      </c>
      <c r="F117" s="147">
        <f>+'Gantt Proyectos'!F185</f>
        <v>0</v>
      </c>
      <c r="G117" s="145">
        <f>+'Gantt Proyectos'!G185</f>
        <v>0</v>
      </c>
      <c r="H117" s="145">
        <f>+'Gantt Proyectos'!H185</f>
        <v>0</v>
      </c>
      <c r="I117" s="189">
        <v>1</v>
      </c>
      <c r="J117" s="189">
        <f t="shared" si="10"/>
        <v>0</v>
      </c>
      <c r="K117" s="145">
        <f>+'Gantt Proyectos'!I185</f>
        <v>0</v>
      </c>
      <c r="L117" s="120">
        <f>+'Gantt Proyectos'!J185</f>
        <v>0</v>
      </c>
      <c r="M117" s="145">
        <f>+'Gantt Proyectos'!K185</f>
        <v>0</v>
      </c>
      <c r="N117" s="145">
        <f>+'Gantt Proyectos'!L185</f>
        <v>0</v>
      </c>
      <c r="O117" s="145">
        <f>+'Gantt Proyectos'!M185</f>
        <v>0</v>
      </c>
      <c r="P117" s="145">
        <f>+'Gantt Proyectos'!N185</f>
        <v>0</v>
      </c>
      <c r="Q117" s="119">
        <f>+'Gantt Proyectos'!O185</f>
        <v>0</v>
      </c>
      <c r="R117" s="119">
        <f>+'Gantt Proyectos'!P185</f>
        <v>0</v>
      </c>
      <c r="S117" s="145">
        <f>+'Gantt Proyectos'!R185</f>
        <v>0</v>
      </c>
      <c r="T117" s="118">
        <f>+'Gantt Proyectos'!S185</f>
        <v>0</v>
      </c>
      <c r="U117" s="156">
        <f>+'Gantt Proyectos'!T185</f>
        <v>0</v>
      </c>
      <c r="V117" s="156">
        <f>+'Gantt Proyectos'!U185</f>
        <v>0</v>
      </c>
      <c r="W117" s="201">
        <f t="shared" si="11"/>
        <v>0</v>
      </c>
      <c r="X117" s="121">
        <f>+'Gantt Proyectos'!W185</f>
        <v>0</v>
      </c>
      <c r="Y117" s="122">
        <f>+'Gantt Proyectos'!X185</f>
        <v>0</v>
      </c>
      <c r="Z117" s="122">
        <f>+'Gantt Proyectos'!Y185</f>
        <v>0</v>
      </c>
      <c r="AA117" s="122">
        <f>+'Gantt Proyectos'!Z185</f>
        <v>0</v>
      </c>
      <c r="AB117" s="122">
        <f>+'Gantt Proyectos'!AA185</f>
        <v>0</v>
      </c>
      <c r="AC117" s="122">
        <f>+'Gantt Proyectos'!AB185</f>
        <v>0</v>
      </c>
      <c r="AD117" s="123">
        <f>+'Gantt Proyectos'!AC185</f>
        <v>0</v>
      </c>
      <c r="AE117" s="123">
        <f>+'Gantt Proyectos'!AD185</f>
        <v>0</v>
      </c>
      <c r="AF117" s="124">
        <f>+'Gantt Proyectos'!AE185</f>
        <v>0</v>
      </c>
      <c r="AG117" s="172">
        <v>1</v>
      </c>
      <c r="AH117" s="169">
        <f ca="1">+IFERROR(IF(ISNUMBER(OFFSET('EDP Proyectado'!AI117,0,-'Ingreso Proyectado_Edu'!$P117))&lt;&gt;0,IF(OFFSET('EDP Proyectado'!AI117,0,-'Ingreso Proyectado_Edu'!$P117)+0&lt;=1,0,OFFSET('EDP Proyectado'!AI117,0,-'Ingreso Proyectado_Edu'!$P117)+0)),0)</f>
        <v>0</v>
      </c>
      <c r="AI117" s="169">
        <f ca="1">+IFERROR(IF(ISNUMBER(OFFSET('EDP Proyectado'!AJ117,0,-'Ingreso Proyectado_Edu'!$P117))&lt;&gt;0,IF(OFFSET('EDP Proyectado'!AJ117,0,-'Ingreso Proyectado_Edu'!$P117)+0&lt;=1,0,OFFSET('EDP Proyectado'!AJ117,0,-'Ingreso Proyectado_Edu'!$P117)+0)),0)</f>
        <v>0</v>
      </c>
      <c r="AJ117" s="169">
        <f ca="1">+IFERROR(IF(ISNUMBER(OFFSET('EDP Proyectado'!AK117,0,-'Ingreso Proyectado_Edu'!$P117))&lt;&gt;0,IF(OFFSET('EDP Proyectado'!AK117,0,-'Ingreso Proyectado_Edu'!$P117)+0&lt;=1,0,OFFSET('EDP Proyectado'!AK117,0,-'Ingreso Proyectado_Edu'!$P117)+0)),0)</f>
        <v>0</v>
      </c>
      <c r="AK117" s="169">
        <f ca="1">+IFERROR(IF(ISNUMBER(OFFSET('EDP Proyectado'!AL117,0,-'Ingreso Proyectado_Edu'!$P117))&lt;&gt;0,IF(OFFSET('EDP Proyectado'!AL117,0,-'Ingreso Proyectado_Edu'!$P117)+0&lt;=1,0,OFFSET('EDP Proyectado'!AL117,0,-'Ingreso Proyectado_Edu'!$P117)+0)),0)</f>
        <v>0</v>
      </c>
      <c r="AL117" s="169">
        <f ca="1">+IFERROR(IF(ISNUMBER(OFFSET('EDP Proyectado'!AM117,0,-'Ingreso Proyectado_Edu'!$P117))&lt;&gt;0,IF(OFFSET('EDP Proyectado'!AM117,0,-'Ingreso Proyectado_Edu'!$P117)+0&lt;=1,0,OFFSET('EDP Proyectado'!AM117,0,-'Ingreso Proyectado_Edu'!$P117)+0)),0)</f>
        <v>0</v>
      </c>
      <c r="AM117" s="169">
        <f ca="1">+IFERROR(IF(ISNUMBER(OFFSET('EDP Proyectado'!AN117,0,-'Ingreso Proyectado_Edu'!$P117))&lt;&gt;0,IF(OFFSET('EDP Proyectado'!AN117,0,-'Ingreso Proyectado_Edu'!$P117)+0&lt;=1,0,OFFSET('EDP Proyectado'!AN117,0,-'Ingreso Proyectado_Edu'!$P117)+0)),0)</f>
        <v>0</v>
      </c>
      <c r="AN117" s="169">
        <f ca="1">+IFERROR(IF(ISNUMBER(OFFSET('EDP Proyectado'!AO117,0,-'Ingreso Proyectado_Edu'!$P117))&lt;&gt;0,IF(OFFSET('EDP Proyectado'!AO117,0,-'Ingreso Proyectado_Edu'!$P117)+0&lt;=1,0,OFFSET('EDP Proyectado'!AO117,0,-'Ingreso Proyectado_Edu'!$P117)+0)),0)</f>
        <v>0</v>
      </c>
      <c r="AO117" s="169">
        <f ca="1">+IFERROR(IF(ISNUMBER(OFFSET('EDP Proyectado'!AP117,0,-'Ingreso Proyectado_Edu'!$P117))&lt;&gt;0,IF(OFFSET('EDP Proyectado'!AP117,0,-'Ingreso Proyectado_Edu'!$P117)+0&lt;=1,0,OFFSET('EDP Proyectado'!AP117,0,-'Ingreso Proyectado_Edu'!$P117)+0)),0)</f>
        <v>0</v>
      </c>
      <c r="AP117" s="170">
        <f ca="1">+IFERROR(IF(ISNUMBER(OFFSET('EDP Proyectado'!AQ117,0,-'Ingreso Proyectado_Edu'!$P117))&lt;&gt;0,IF(OFFSET('EDP Proyectado'!AQ117,0,-'Ingreso Proyectado_Edu'!$P117)+0&lt;=1,0,OFFSET('EDP Proyectado'!AQ117,0,-'Ingreso Proyectado_Edu'!$P117)+0)),0)</f>
        <v>0</v>
      </c>
    </row>
    <row r="118" spans="3:42" x14ac:dyDescent="0.2">
      <c r="C118" s="144">
        <f>+'Gantt Proyectos'!C186</f>
        <v>90</v>
      </c>
      <c r="D118" s="145">
        <f>+'Gantt Proyectos'!D186</f>
        <v>0</v>
      </c>
      <c r="E118" s="145">
        <f>+'Gantt Proyectos'!E186</f>
        <v>0</v>
      </c>
      <c r="F118" s="147">
        <f>+'Gantt Proyectos'!F186</f>
        <v>0</v>
      </c>
      <c r="G118" s="145">
        <f>+'Gantt Proyectos'!G186</f>
        <v>0</v>
      </c>
      <c r="H118" s="145">
        <f>+'Gantt Proyectos'!H186</f>
        <v>0</v>
      </c>
      <c r="I118" s="189">
        <v>1</v>
      </c>
      <c r="J118" s="189">
        <f t="shared" si="10"/>
        <v>0</v>
      </c>
      <c r="K118" s="145">
        <f>+'Gantt Proyectos'!I186</f>
        <v>0</v>
      </c>
      <c r="L118" s="120">
        <f>+'Gantt Proyectos'!J186</f>
        <v>0</v>
      </c>
      <c r="M118" s="145">
        <f>+'Gantt Proyectos'!K186</f>
        <v>0</v>
      </c>
      <c r="N118" s="145">
        <f>+'Gantt Proyectos'!L186</f>
        <v>0</v>
      </c>
      <c r="O118" s="145">
        <f>+'Gantt Proyectos'!M186</f>
        <v>0</v>
      </c>
      <c r="P118" s="145">
        <f>+'Gantt Proyectos'!N186</f>
        <v>0</v>
      </c>
      <c r="Q118" s="119">
        <f>+'Gantt Proyectos'!O186</f>
        <v>0</v>
      </c>
      <c r="R118" s="119">
        <f>+'Gantt Proyectos'!P186</f>
        <v>0</v>
      </c>
      <c r="S118" s="145">
        <f>+'Gantt Proyectos'!R186</f>
        <v>0</v>
      </c>
      <c r="T118" s="118">
        <f>+'Gantt Proyectos'!S186</f>
        <v>0</v>
      </c>
      <c r="U118" s="156">
        <f>+'Gantt Proyectos'!T186</f>
        <v>0</v>
      </c>
      <c r="V118" s="156">
        <f>+'Gantt Proyectos'!U186</f>
        <v>0</v>
      </c>
      <c r="W118" s="201">
        <f t="shared" si="11"/>
        <v>0</v>
      </c>
      <c r="X118" s="121">
        <f>+'Gantt Proyectos'!W186</f>
        <v>0</v>
      </c>
      <c r="Y118" s="122">
        <f>+'Gantt Proyectos'!X186</f>
        <v>0</v>
      </c>
      <c r="Z118" s="122">
        <f>+'Gantt Proyectos'!Y186</f>
        <v>0</v>
      </c>
      <c r="AA118" s="122">
        <f>+'Gantt Proyectos'!Z186</f>
        <v>0</v>
      </c>
      <c r="AB118" s="122">
        <f>+'Gantt Proyectos'!AA186</f>
        <v>0</v>
      </c>
      <c r="AC118" s="122">
        <f>+'Gantt Proyectos'!AB186</f>
        <v>0</v>
      </c>
      <c r="AD118" s="123">
        <f>+'Gantt Proyectos'!AC186</f>
        <v>0</v>
      </c>
      <c r="AE118" s="123">
        <f>+'Gantt Proyectos'!AD186</f>
        <v>0</v>
      </c>
      <c r="AF118" s="124">
        <f>+'Gantt Proyectos'!AE186</f>
        <v>0</v>
      </c>
      <c r="AG118" s="172">
        <v>1</v>
      </c>
      <c r="AH118" s="169">
        <f ca="1">+IFERROR(IF(ISNUMBER(OFFSET('EDP Proyectado'!AI118,0,-'Ingreso Proyectado_Edu'!$P118))&lt;&gt;0,IF(OFFSET('EDP Proyectado'!AI118,0,-'Ingreso Proyectado_Edu'!$P118)+0&lt;=1,0,OFFSET('EDP Proyectado'!AI118,0,-'Ingreso Proyectado_Edu'!$P118)+0)),0)</f>
        <v>0</v>
      </c>
      <c r="AI118" s="169">
        <f ca="1">+IFERROR(IF(ISNUMBER(OFFSET('EDP Proyectado'!AJ118,0,-'Ingreso Proyectado_Edu'!$P118))&lt;&gt;0,IF(OFFSET('EDP Proyectado'!AJ118,0,-'Ingreso Proyectado_Edu'!$P118)+0&lt;=1,0,OFFSET('EDP Proyectado'!AJ118,0,-'Ingreso Proyectado_Edu'!$P118)+0)),0)</f>
        <v>0</v>
      </c>
      <c r="AJ118" s="169">
        <f ca="1">+IFERROR(IF(ISNUMBER(OFFSET('EDP Proyectado'!AK118,0,-'Ingreso Proyectado_Edu'!$P118))&lt;&gt;0,IF(OFFSET('EDP Proyectado'!AK118,0,-'Ingreso Proyectado_Edu'!$P118)+0&lt;=1,0,OFFSET('EDP Proyectado'!AK118,0,-'Ingreso Proyectado_Edu'!$P118)+0)),0)</f>
        <v>0</v>
      </c>
      <c r="AK118" s="169">
        <f ca="1">+IFERROR(IF(ISNUMBER(OFFSET('EDP Proyectado'!AL118,0,-'Ingreso Proyectado_Edu'!$P118))&lt;&gt;0,IF(OFFSET('EDP Proyectado'!AL118,0,-'Ingreso Proyectado_Edu'!$P118)+0&lt;=1,0,OFFSET('EDP Proyectado'!AL118,0,-'Ingreso Proyectado_Edu'!$P118)+0)),0)</f>
        <v>0</v>
      </c>
      <c r="AL118" s="169">
        <f ca="1">+IFERROR(IF(ISNUMBER(OFFSET('EDP Proyectado'!AM118,0,-'Ingreso Proyectado_Edu'!$P118))&lt;&gt;0,IF(OFFSET('EDP Proyectado'!AM118,0,-'Ingreso Proyectado_Edu'!$P118)+0&lt;=1,0,OFFSET('EDP Proyectado'!AM118,0,-'Ingreso Proyectado_Edu'!$P118)+0)),0)</f>
        <v>0</v>
      </c>
      <c r="AM118" s="169">
        <f ca="1">+IFERROR(IF(ISNUMBER(OFFSET('EDP Proyectado'!AN118,0,-'Ingreso Proyectado_Edu'!$P118))&lt;&gt;0,IF(OFFSET('EDP Proyectado'!AN118,0,-'Ingreso Proyectado_Edu'!$P118)+0&lt;=1,0,OFFSET('EDP Proyectado'!AN118,0,-'Ingreso Proyectado_Edu'!$P118)+0)),0)</f>
        <v>0</v>
      </c>
      <c r="AN118" s="169">
        <f ca="1">+IFERROR(IF(ISNUMBER(OFFSET('EDP Proyectado'!AO118,0,-'Ingreso Proyectado_Edu'!$P118))&lt;&gt;0,IF(OFFSET('EDP Proyectado'!AO118,0,-'Ingreso Proyectado_Edu'!$P118)+0&lt;=1,0,OFFSET('EDP Proyectado'!AO118,0,-'Ingreso Proyectado_Edu'!$P118)+0)),0)</f>
        <v>0</v>
      </c>
      <c r="AO118" s="169">
        <f ca="1">+IFERROR(IF(ISNUMBER(OFFSET('EDP Proyectado'!AP118,0,-'Ingreso Proyectado_Edu'!$P118))&lt;&gt;0,IF(OFFSET('EDP Proyectado'!AP118,0,-'Ingreso Proyectado_Edu'!$P118)+0&lt;=1,0,OFFSET('EDP Proyectado'!AP118,0,-'Ingreso Proyectado_Edu'!$P118)+0)),0)</f>
        <v>0</v>
      </c>
      <c r="AP118" s="170">
        <f ca="1">+IFERROR(IF(ISNUMBER(OFFSET('EDP Proyectado'!AQ118,0,-'Ingreso Proyectado_Edu'!$P118))&lt;&gt;0,IF(OFFSET('EDP Proyectado'!AQ118,0,-'Ingreso Proyectado_Edu'!$P118)+0&lt;=1,0,OFFSET('EDP Proyectado'!AQ118,0,-'Ingreso Proyectado_Edu'!$P118)+0)),0)</f>
        <v>0</v>
      </c>
    </row>
    <row r="119" spans="3:42" x14ac:dyDescent="0.2">
      <c r="C119" s="144">
        <f>+'Gantt Proyectos'!C187</f>
        <v>91</v>
      </c>
      <c r="D119" s="145">
        <f>+'Gantt Proyectos'!D187</f>
        <v>0</v>
      </c>
      <c r="E119" s="145">
        <f>+'Gantt Proyectos'!E187</f>
        <v>0</v>
      </c>
      <c r="F119" s="147">
        <f>+'Gantt Proyectos'!F187</f>
        <v>0</v>
      </c>
      <c r="G119" s="145">
        <f>+'Gantt Proyectos'!G187</f>
        <v>0</v>
      </c>
      <c r="H119" s="145">
        <f>+'Gantt Proyectos'!H187</f>
        <v>0</v>
      </c>
      <c r="I119" s="189">
        <v>1</v>
      </c>
      <c r="J119" s="189">
        <f t="shared" si="10"/>
        <v>0</v>
      </c>
      <c r="K119" s="145">
        <f>+'Gantt Proyectos'!I187</f>
        <v>0</v>
      </c>
      <c r="L119" s="120">
        <f>+'Gantt Proyectos'!J187</f>
        <v>0</v>
      </c>
      <c r="M119" s="145">
        <f>+'Gantt Proyectos'!K187</f>
        <v>0</v>
      </c>
      <c r="N119" s="145">
        <f>+'Gantt Proyectos'!L187</f>
        <v>0</v>
      </c>
      <c r="O119" s="145">
        <f>+'Gantt Proyectos'!M187</f>
        <v>0</v>
      </c>
      <c r="P119" s="145">
        <f>+'Gantt Proyectos'!N187</f>
        <v>0</v>
      </c>
      <c r="Q119" s="119">
        <f>+'Gantt Proyectos'!O187</f>
        <v>0</v>
      </c>
      <c r="R119" s="119">
        <f>+'Gantt Proyectos'!P187</f>
        <v>0</v>
      </c>
      <c r="S119" s="145">
        <f>+'Gantt Proyectos'!R187</f>
        <v>0</v>
      </c>
      <c r="T119" s="118">
        <f>+'Gantt Proyectos'!S187</f>
        <v>0</v>
      </c>
      <c r="U119" s="156">
        <f>+'Gantt Proyectos'!T187</f>
        <v>0</v>
      </c>
      <c r="V119" s="156">
        <f>+'Gantt Proyectos'!U187</f>
        <v>0</v>
      </c>
      <c r="W119" s="201">
        <f t="shared" si="11"/>
        <v>0</v>
      </c>
      <c r="X119" s="121">
        <f>+'Gantt Proyectos'!W187</f>
        <v>0</v>
      </c>
      <c r="Y119" s="122">
        <f>+'Gantt Proyectos'!X187</f>
        <v>0</v>
      </c>
      <c r="Z119" s="122">
        <f>+'Gantt Proyectos'!Y187</f>
        <v>0</v>
      </c>
      <c r="AA119" s="122">
        <f>+'Gantt Proyectos'!Z187</f>
        <v>0</v>
      </c>
      <c r="AB119" s="122">
        <f>+'Gantt Proyectos'!AA187</f>
        <v>0</v>
      </c>
      <c r="AC119" s="122">
        <f>+'Gantt Proyectos'!AB187</f>
        <v>0</v>
      </c>
      <c r="AD119" s="123">
        <f>+'Gantt Proyectos'!AC187</f>
        <v>0</v>
      </c>
      <c r="AE119" s="123">
        <f>+'Gantt Proyectos'!AD187</f>
        <v>0</v>
      </c>
      <c r="AF119" s="124">
        <f>+'Gantt Proyectos'!AE187</f>
        <v>0</v>
      </c>
      <c r="AG119" s="172">
        <v>1</v>
      </c>
      <c r="AH119" s="169">
        <f ca="1">+IFERROR(IF(ISNUMBER(OFFSET('EDP Proyectado'!AI119,0,-'Ingreso Proyectado_Edu'!$P119))&lt;&gt;0,IF(OFFSET('EDP Proyectado'!AI119,0,-'Ingreso Proyectado_Edu'!$P119)+0&lt;=1,0,OFFSET('EDP Proyectado'!AI119,0,-'Ingreso Proyectado_Edu'!$P119)+0)),0)</f>
        <v>0</v>
      </c>
      <c r="AI119" s="169">
        <f ca="1">+IFERROR(IF(ISNUMBER(OFFSET('EDP Proyectado'!AJ119,0,-'Ingreso Proyectado_Edu'!$P119))&lt;&gt;0,IF(OFFSET('EDP Proyectado'!AJ119,0,-'Ingreso Proyectado_Edu'!$P119)+0&lt;=1,0,OFFSET('EDP Proyectado'!AJ119,0,-'Ingreso Proyectado_Edu'!$P119)+0)),0)</f>
        <v>0</v>
      </c>
      <c r="AJ119" s="169">
        <f ca="1">+IFERROR(IF(ISNUMBER(OFFSET('EDP Proyectado'!AK119,0,-'Ingreso Proyectado_Edu'!$P119))&lt;&gt;0,IF(OFFSET('EDP Proyectado'!AK119,0,-'Ingreso Proyectado_Edu'!$P119)+0&lt;=1,0,OFFSET('EDP Proyectado'!AK119,0,-'Ingreso Proyectado_Edu'!$P119)+0)),0)</f>
        <v>0</v>
      </c>
      <c r="AK119" s="169">
        <f ca="1">+IFERROR(IF(ISNUMBER(OFFSET('EDP Proyectado'!AL119,0,-'Ingreso Proyectado_Edu'!$P119))&lt;&gt;0,IF(OFFSET('EDP Proyectado'!AL119,0,-'Ingreso Proyectado_Edu'!$P119)+0&lt;=1,0,OFFSET('EDP Proyectado'!AL119,0,-'Ingreso Proyectado_Edu'!$P119)+0)),0)</f>
        <v>0</v>
      </c>
      <c r="AL119" s="169">
        <f ca="1">+IFERROR(IF(ISNUMBER(OFFSET('EDP Proyectado'!AM119,0,-'Ingreso Proyectado_Edu'!$P119))&lt;&gt;0,IF(OFFSET('EDP Proyectado'!AM119,0,-'Ingreso Proyectado_Edu'!$P119)+0&lt;=1,0,OFFSET('EDP Proyectado'!AM119,0,-'Ingreso Proyectado_Edu'!$P119)+0)),0)</f>
        <v>0</v>
      </c>
      <c r="AM119" s="169">
        <f ca="1">+IFERROR(IF(ISNUMBER(OFFSET('EDP Proyectado'!AN119,0,-'Ingreso Proyectado_Edu'!$P119))&lt;&gt;0,IF(OFFSET('EDP Proyectado'!AN119,0,-'Ingreso Proyectado_Edu'!$P119)+0&lt;=1,0,OFFSET('EDP Proyectado'!AN119,0,-'Ingreso Proyectado_Edu'!$P119)+0)),0)</f>
        <v>0</v>
      </c>
      <c r="AN119" s="169">
        <f ca="1">+IFERROR(IF(ISNUMBER(OFFSET('EDP Proyectado'!AO119,0,-'Ingreso Proyectado_Edu'!$P119))&lt;&gt;0,IF(OFFSET('EDP Proyectado'!AO119,0,-'Ingreso Proyectado_Edu'!$P119)+0&lt;=1,0,OFFSET('EDP Proyectado'!AO119,0,-'Ingreso Proyectado_Edu'!$P119)+0)),0)</f>
        <v>0</v>
      </c>
      <c r="AO119" s="169">
        <f ca="1">+IFERROR(IF(ISNUMBER(OFFSET('EDP Proyectado'!AP119,0,-'Ingreso Proyectado_Edu'!$P119))&lt;&gt;0,IF(OFFSET('EDP Proyectado'!AP119,0,-'Ingreso Proyectado_Edu'!$P119)+0&lt;=1,0,OFFSET('EDP Proyectado'!AP119,0,-'Ingreso Proyectado_Edu'!$P119)+0)),0)</f>
        <v>0</v>
      </c>
      <c r="AP119" s="170">
        <f ca="1">+IFERROR(IF(ISNUMBER(OFFSET('EDP Proyectado'!AQ119,0,-'Ingreso Proyectado_Edu'!$P119))&lt;&gt;0,IF(OFFSET('EDP Proyectado'!AQ119,0,-'Ingreso Proyectado_Edu'!$P119)+0&lt;=1,0,OFFSET('EDP Proyectado'!AQ119,0,-'Ingreso Proyectado_Edu'!$P119)+0)),0)</f>
        <v>0</v>
      </c>
    </row>
    <row r="120" spans="3:42" x14ac:dyDescent="0.2">
      <c r="C120" s="144">
        <f>+'Gantt Proyectos'!C188</f>
        <v>92</v>
      </c>
      <c r="D120" s="145">
        <f>+'Gantt Proyectos'!D188</f>
        <v>0</v>
      </c>
      <c r="E120" s="145">
        <f>+'Gantt Proyectos'!E188</f>
        <v>0</v>
      </c>
      <c r="F120" s="147">
        <f>+'Gantt Proyectos'!F188</f>
        <v>0</v>
      </c>
      <c r="G120" s="145">
        <f>+'Gantt Proyectos'!G188</f>
        <v>0</v>
      </c>
      <c r="H120" s="145">
        <f>+'Gantt Proyectos'!H188</f>
        <v>0</v>
      </c>
      <c r="I120" s="189">
        <v>1</v>
      </c>
      <c r="J120" s="189">
        <f t="shared" si="10"/>
        <v>0</v>
      </c>
      <c r="K120" s="145">
        <f>+'Gantt Proyectos'!I188</f>
        <v>0</v>
      </c>
      <c r="L120" s="120">
        <f>+'Gantt Proyectos'!J188</f>
        <v>0</v>
      </c>
      <c r="M120" s="145">
        <f>+'Gantt Proyectos'!K188</f>
        <v>0</v>
      </c>
      <c r="N120" s="145">
        <f>+'Gantt Proyectos'!L188</f>
        <v>0</v>
      </c>
      <c r="O120" s="145">
        <f>+'Gantt Proyectos'!M188</f>
        <v>0</v>
      </c>
      <c r="P120" s="145">
        <f>+'Gantt Proyectos'!N188</f>
        <v>0</v>
      </c>
      <c r="Q120" s="119">
        <f>+'Gantt Proyectos'!O188</f>
        <v>0</v>
      </c>
      <c r="R120" s="119">
        <f>+'Gantt Proyectos'!P188</f>
        <v>0</v>
      </c>
      <c r="S120" s="145">
        <f>+'Gantt Proyectos'!R188</f>
        <v>0</v>
      </c>
      <c r="T120" s="118">
        <f>+'Gantt Proyectos'!S188</f>
        <v>0</v>
      </c>
      <c r="U120" s="156">
        <f>+'Gantt Proyectos'!T188</f>
        <v>0</v>
      </c>
      <c r="V120" s="156">
        <f>+'Gantt Proyectos'!U188</f>
        <v>0</v>
      </c>
      <c r="W120" s="201">
        <f t="shared" si="11"/>
        <v>0</v>
      </c>
      <c r="X120" s="121">
        <f>+'Gantt Proyectos'!W188</f>
        <v>0</v>
      </c>
      <c r="Y120" s="122">
        <f>+'Gantt Proyectos'!X188</f>
        <v>0</v>
      </c>
      <c r="Z120" s="122">
        <f>+'Gantt Proyectos'!Y188</f>
        <v>0</v>
      </c>
      <c r="AA120" s="122">
        <f>+'Gantt Proyectos'!Z188</f>
        <v>0</v>
      </c>
      <c r="AB120" s="122">
        <f>+'Gantt Proyectos'!AA188</f>
        <v>0</v>
      </c>
      <c r="AC120" s="122">
        <f>+'Gantt Proyectos'!AB188</f>
        <v>0</v>
      </c>
      <c r="AD120" s="123">
        <f>+'Gantt Proyectos'!AC188</f>
        <v>0</v>
      </c>
      <c r="AE120" s="123">
        <f>+'Gantt Proyectos'!AD188</f>
        <v>0</v>
      </c>
      <c r="AF120" s="124">
        <f>+'Gantt Proyectos'!AE188</f>
        <v>0</v>
      </c>
      <c r="AG120" s="172">
        <v>1</v>
      </c>
      <c r="AH120" s="169">
        <f ca="1">+IFERROR(IF(ISNUMBER(OFFSET('EDP Proyectado'!AI120,0,-'Ingreso Proyectado_Edu'!$P120))&lt;&gt;0,IF(OFFSET('EDP Proyectado'!AI120,0,-'Ingreso Proyectado_Edu'!$P120)+0&lt;=1,0,OFFSET('EDP Proyectado'!AI120,0,-'Ingreso Proyectado_Edu'!$P120)+0)),0)</f>
        <v>0</v>
      </c>
      <c r="AI120" s="169">
        <f ca="1">+IFERROR(IF(ISNUMBER(OFFSET('EDP Proyectado'!AJ120,0,-'Ingreso Proyectado_Edu'!$P120))&lt;&gt;0,IF(OFFSET('EDP Proyectado'!AJ120,0,-'Ingreso Proyectado_Edu'!$P120)+0&lt;=1,0,OFFSET('EDP Proyectado'!AJ120,0,-'Ingreso Proyectado_Edu'!$P120)+0)),0)</f>
        <v>0</v>
      </c>
      <c r="AJ120" s="169">
        <f ca="1">+IFERROR(IF(ISNUMBER(OFFSET('EDP Proyectado'!AK120,0,-'Ingreso Proyectado_Edu'!$P120))&lt;&gt;0,IF(OFFSET('EDP Proyectado'!AK120,0,-'Ingreso Proyectado_Edu'!$P120)+0&lt;=1,0,OFFSET('EDP Proyectado'!AK120,0,-'Ingreso Proyectado_Edu'!$P120)+0)),0)</f>
        <v>0</v>
      </c>
      <c r="AK120" s="169">
        <f ca="1">+IFERROR(IF(ISNUMBER(OFFSET('EDP Proyectado'!AL120,0,-'Ingreso Proyectado_Edu'!$P120))&lt;&gt;0,IF(OFFSET('EDP Proyectado'!AL120,0,-'Ingreso Proyectado_Edu'!$P120)+0&lt;=1,0,OFFSET('EDP Proyectado'!AL120,0,-'Ingreso Proyectado_Edu'!$P120)+0)),0)</f>
        <v>0</v>
      </c>
      <c r="AL120" s="169">
        <f ca="1">+IFERROR(IF(ISNUMBER(OFFSET('EDP Proyectado'!AM120,0,-'Ingreso Proyectado_Edu'!$P120))&lt;&gt;0,IF(OFFSET('EDP Proyectado'!AM120,0,-'Ingreso Proyectado_Edu'!$P120)+0&lt;=1,0,OFFSET('EDP Proyectado'!AM120,0,-'Ingreso Proyectado_Edu'!$P120)+0)),0)</f>
        <v>0</v>
      </c>
      <c r="AM120" s="169">
        <f ca="1">+IFERROR(IF(ISNUMBER(OFFSET('EDP Proyectado'!AN120,0,-'Ingreso Proyectado_Edu'!$P120))&lt;&gt;0,IF(OFFSET('EDP Proyectado'!AN120,0,-'Ingreso Proyectado_Edu'!$P120)+0&lt;=1,0,OFFSET('EDP Proyectado'!AN120,0,-'Ingreso Proyectado_Edu'!$P120)+0)),0)</f>
        <v>0</v>
      </c>
      <c r="AN120" s="169">
        <f ca="1">+IFERROR(IF(ISNUMBER(OFFSET('EDP Proyectado'!AO120,0,-'Ingreso Proyectado_Edu'!$P120))&lt;&gt;0,IF(OFFSET('EDP Proyectado'!AO120,0,-'Ingreso Proyectado_Edu'!$P120)+0&lt;=1,0,OFFSET('EDP Proyectado'!AO120,0,-'Ingreso Proyectado_Edu'!$P120)+0)),0)</f>
        <v>0</v>
      </c>
      <c r="AO120" s="169">
        <f ca="1">+IFERROR(IF(ISNUMBER(OFFSET('EDP Proyectado'!AP120,0,-'Ingreso Proyectado_Edu'!$P120))&lt;&gt;0,IF(OFFSET('EDP Proyectado'!AP120,0,-'Ingreso Proyectado_Edu'!$P120)+0&lt;=1,0,OFFSET('EDP Proyectado'!AP120,0,-'Ingreso Proyectado_Edu'!$P120)+0)),0)</f>
        <v>0</v>
      </c>
      <c r="AP120" s="170">
        <f ca="1">+IFERROR(IF(ISNUMBER(OFFSET('EDP Proyectado'!AQ120,0,-'Ingreso Proyectado_Edu'!$P120))&lt;&gt;0,IF(OFFSET('EDP Proyectado'!AQ120,0,-'Ingreso Proyectado_Edu'!$P120)+0&lt;=1,0,OFFSET('EDP Proyectado'!AQ120,0,-'Ingreso Proyectado_Edu'!$P120)+0)),0)</f>
        <v>0</v>
      </c>
    </row>
    <row r="121" spans="3:42" x14ac:dyDescent="0.2">
      <c r="C121" s="144">
        <f>+'Gantt Proyectos'!C189</f>
        <v>93</v>
      </c>
      <c r="D121" s="145">
        <f>+'Gantt Proyectos'!D189</f>
        <v>0</v>
      </c>
      <c r="E121" s="145">
        <f>+'Gantt Proyectos'!E189</f>
        <v>0</v>
      </c>
      <c r="F121" s="147">
        <f>+'Gantt Proyectos'!F189</f>
        <v>0</v>
      </c>
      <c r="G121" s="145">
        <f>+'Gantt Proyectos'!G189</f>
        <v>0</v>
      </c>
      <c r="H121" s="145">
        <f>+'Gantt Proyectos'!H189</f>
        <v>0</v>
      </c>
      <c r="I121" s="189">
        <v>1</v>
      </c>
      <c r="J121" s="189">
        <f t="shared" si="10"/>
        <v>0</v>
      </c>
      <c r="K121" s="145">
        <f>+'Gantt Proyectos'!I189</f>
        <v>0</v>
      </c>
      <c r="L121" s="120">
        <f>+'Gantt Proyectos'!J189</f>
        <v>0</v>
      </c>
      <c r="M121" s="145">
        <f>+'Gantt Proyectos'!K189</f>
        <v>0</v>
      </c>
      <c r="N121" s="145">
        <f>+'Gantt Proyectos'!L189</f>
        <v>0</v>
      </c>
      <c r="O121" s="145">
        <f>+'Gantt Proyectos'!M189</f>
        <v>0</v>
      </c>
      <c r="P121" s="145">
        <f>+'Gantt Proyectos'!N189</f>
        <v>0</v>
      </c>
      <c r="Q121" s="119">
        <f>+'Gantt Proyectos'!O189</f>
        <v>0</v>
      </c>
      <c r="R121" s="119">
        <f>+'Gantt Proyectos'!P189</f>
        <v>0</v>
      </c>
      <c r="S121" s="145">
        <f>+'Gantt Proyectos'!R189</f>
        <v>0</v>
      </c>
      <c r="T121" s="118">
        <f>+'Gantt Proyectos'!S189</f>
        <v>0</v>
      </c>
      <c r="U121" s="156">
        <f>+'Gantt Proyectos'!T189</f>
        <v>0</v>
      </c>
      <c r="V121" s="156">
        <f>+'Gantt Proyectos'!U189</f>
        <v>0</v>
      </c>
      <c r="W121" s="201">
        <f t="shared" si="11"/>
        <v>0</v>
      </c>
      <c r="X121" s="121">
        <f>+'Gantt Proyectos'!W189</f>
        <v>0</v>
      </c>
      <c r="Y121" s="122">
        <f>+'Gantt Proyectos'!X189</f>
        <v>0</v>
      </c>
      <c r="Z121" s="122">
        <f>+'Gantt Proyectos'!Y189</f>
        <v>0</v>
      </c>
      <c r="AA121" s="122">
        <f>+'Gantt Proyectos'!Z189</f>
        <v>0</v>
      </c>
      <c r="AB121" s="122">
        <f>+'Gantt Proyectos'!AA189</f>
        <v>0</v>
      </c>
      <c r="AC121" s="122">
        <f>+'Gantt Proyectos'!AB189</f>
        <v>0</v>
      </c>
      <c r="AD121" s="123">
        <f>+'Gantt Proyectos'!AC189</f>
        <v>0</v>
      </c>
      <c r="AE121" s="123">
        <f>+'Gantt Proyectos'!AD189</f>
        <v>0</v>
      </c>
      <c r="AF121" s="124">
        <f>+'Gantt Proyectos'!AE189</f>
        <v>0</v>
      </c>
      <c r="AG121" s="172">
        <v>1</v>
      </c>
      <c r="AH121" s="169">
        <f ca="1">+IFERROR(IF(ISNUMBER(OFFSET('EDP Proyectado'!AI121,0,-'Ingreso Proyectado_Edu'!$P121))&lt;&gt;0,IF(OFFSET('EDP Proyectado'!AI121,0,-'Ingreso Proyectado_Edu'!$P121)+0&lt;=1,0,OFFSET('EDP Proyectado'!AI121,0,-'Ingreso Proyectado_Edu'!$P121)+0)),0)</f>
        <v>0</v>
      </c>
      <c r="AI121" s="169">
        <f ca="1">+IFERROR(IF(ISNUMBER(OFFSET('EDP Proyectado'!AJ121,0,-'Ingreso Proyectado_Edu'!$P121))&lt;&gt;0,IF(OFFSET('EDP Proyectado'!AJ121,0,-'Ingreso Proyectado_Edu'!$P121)+0&lt;=1,0,OFFSET('EDP Proyectado'!AJ121,0,-'Ingreso Proyectado_Edu'!$P121)+0)),0)</f>
        <v>0</v>
      </c>
      <c r="AJ121" s="169">
        <f ca="1">+IFERROR(IF(ISNUMBER(OFFSET('EDP Proyectado'!AK121,0,-'Ingreso Proyectado_Edu'!$P121))&lt;&gt;0,IF(OFFSET('EDP Proyectado'!AK121,0,-'Ingreso Proyectado_Edu'!$P121)+0&lt;=1,0,OFFSET('EDP Proyectado'!AK121,0,-'Ingreso Proyectado_Edu'!$P121)+0)),0)</f>
        <v>0</v>
      </c>
      <c r="AK121" s="169">
        <f ca="1">+IFERROR(IF(ISNUMBER(OFFSET('EDP Proyectado'!AL121,0,-'Ingreso Proyectado_Edu'!$P121))&lt;&gt;0,IF(OFFSET('EDP Proyectado'!AL121,0,-'Ingreso Proyectado_Edu'!$P121)+0&lt;=1,0,OFFSET('EDP Proyectado'!AL121,0,-'Ingreso Proyectado_Edu'!$P121)+0)),0)</f>
        <v>0</v>
      </c>
      <c r="AL121" s="169">
        <f ca="1">+IFERROR(IF(ISNUMBER(OFFSET('EDP Proyectado'!AM121,0,-'Ingreso Proyectado_Edu'!$P121))&lt;&gt;0,IF(OFFSET('EDP Proyectado'!AM121,0,-'Ingreso Proyectado_Edu'!$P121)+0&lt;=1,0,OFFSET('EDP Proyectado'!AM121,0,-'Ingreso Proyectado_Edu'!$P121)+0)),0)</f>
        <v>0</v>
      </c>
      <c r="AM121" s="169">
        <f ca="1">+IFERROR(IF(ISNUMBER(OFFSET('EDP Proyectado'!AN121,0,-'Ingreso Proyectado_Edu'!$P121))&lt;&gt;0,IF(OFFSET('EDP Proyectado'!AN121,0,-'Ingreso Proyectado_Edu'!$P121)+0&lt;=1,0,OFFSET('EDP Proyectado'!AN121,0,-'Ingreso Proyectado_Edu'!$P121)+0)),0)</f>
        <v>0</v>
      </c>
      <c r="AN121" s="169">
        <f ca="1">+IFERROR(IF(ISNUMBER(OFFSET('EDP Proyectado'!AO121,0,-'Ingreso Proyectado_Edu'!$P121))&lt;&gt;0,IF(OFFSET('EDP Proyectado'!AO121,0,-'Ingreso Proyectado_Edu'!$P121)+0&lt;=1,0,OFFSET('EDP Proyectado'!AO121,0,-'Ingreso Proyectado_Edu'!$P121)+0)),0)</f>
        <v>0</v>
      </c>
      <c r="AO121" s="169">
        <f ca="1">+IFERROR(IF(ISNUMBER(OFFSET('EDP Proyectado'!AP121,0,-'Ingreso Proyectado_Edu'!$P121))&lt;&gt;0,IF(OFFSET('EDP Proyectado'!AP121,0,-'Ingreso Proyectado_Edu'!$P121)+0&lt;=1,0,OFFSET('EDP Proyectado'!AP121,0,-'Ingreso Proyectado_Edu'!$P121)+0)),0)</f>
        <v>0</v>
      </c>
      <c r="AP121" s="170">
        <f ca="1">+IFERROR(IF(ISNUMBER(OFFSET('EDP Proyectado'!AQ121,0,-'Ingreso Proyectado_Edu'!$P121))&lt;&gt;0,IF(OFFSET('EDP Proyectado'!AQ121,0,-'Ingreso Proyectado_Edu'!$P121)+0&lt;=1,0,OFFSET('EDP Proyectado'!AQ121,0,-'Ingreso Proyectado_Edu'!$P121)+0)),0)</f>
        <v>0</v>
      </c>
    </row>
    <row r="122" spans="3:42" x14ac:dyDescent="0.2">
      <c r="C122" s="144">
        <f>+'Gantt Proyectos'!C190</f>
        <v>94</v>
      </c>
      <c r="D122" s="145">
        <f>+'Gantt Proyectos'!D190</f>
        <v>0</v>
      </c>
      <c r="E122" s="145">
        <f>+'Gantt Proyectos'!E190</f>
        <v>0</v>
      </c>
      <c r="F122" s="147">
        <f>+'Gantt Proyectos'!F190</f>
        <v>0</v>
      </c>
      <c r="G122" s="145">
        <f>+'Gantt Proyectos'!G190</f>
        <v>0</v>
      </c>
      <c r="H122" s="145">
        <f>+'Gantt Proyectos'!H190</f>
        <v>0</v>
      </c>
      <c r="I122" s="189">
        <v>1</v>
      </c>
      <c r="J122" s="189">
        <f t="shared" si="10"/>
        <v>0</v>
      </c>
      <c r="K122" s="145">
        <f>+'Gantt Proyectos'!I190</f>
        <v>0</v>
      </c>
      <c r="L122" s="120">
        <f>+'Gantt Proyectos'!J190</f>
        <v>0</v>
      </c>
      <c r="M122" s="145">
        <f>+'Gantt Proyectos'!K190</f>
        <v>0</v>
      </c>
      <c r="N122" s="145">
        <f>+'Gantt Proyectos'!L190</f>
        <v>0</v>
      </c>
      <c r="O122" s="145">
        <f>+'Gantt Proyectos'!M190</f>
        <v>0</v>
      </c>
      <c r="P122" s="145">
        <f>+'Gantt Proyectos'!N190</f>
        <v>0</v>
      </c>
      <c r="Q122" s="119">
        <f>+'Gantt Proyectos'!O190</f>
        <v>0</v>
      </c>
      <c r="R122" s="119">
        <f>+'Gantt Proyectos'!P190</f>
        <v>0</v>
      </c>
      <c r="S122" s="145">
        <f>+'Gantt Proyectos'!R190</f>
        <v>0</v>
      </c>
      <c r="T122" s="118">
        <f>+'Gantt Proyectos'!S190</f>
        <v>0</v>
      </c>
      <c r="U122" s="156">
        <f>+'Gantt Proyectos'!T190</f>
        <v>0</v>
      </c>
      <c r="V122" s="156">
        <f>+'Gantt Proyectos'!U190</f>
        <v>0</v>
      </c>
      <c r="W122" s="201">
        <f t="shared" si="11"/>
        <v>0</v>
      </c>
      <c r="X122" s="121">
        <f>+'Gantt Proyectos'!W190</f>
        <v>0</v>
      </c>
      <c r="Y122" s="122">
        <f>+'Gantt Proyectos'!X190</f>
        <v>0</v>
      </c>
      <c r="Z122" s="122">
        <f>+'Gantt Proyectos'!Y190</f>
        <v>0</v>
      </c>
      <c r="AA122" s="122">
        <f>+'Gantt Proyectos'!Z190</f>
        <v>0</v>
      </c>
      <c r="AB122" s="122">
        <f>+'Gantt Proyectos'!AA190</f>
        <v>0</v>
      </c>
      <c r="AC122" s="122">
        <f>+'Gantt Proyectos'!AB190</f>
        <v>0</v>
      </c>
      <c r="AD122" s="123">
        <f>+'Gantt Proyectos'!AC190</f>
        <v>0</v>
      </c>
      <c r="AE122" s="123">
        <f>+'Gantt Proyectos'!AD190</f>
        <v>0</v>
      </c>
      <c r="AF122" s="124">
        <f>+'Gantt Proyectos'!AE190</f>
        <v>0</v>
      </c>
      <c r="AG122" s="172">
        <v>1</v>
      </c>
      <c r="AH122" s="169">
        <f ca="1">+IFERROR(IF(ISNUMBER(OFFSET('EDP Proyectado'!AI122,0,-'Ingreso Proyectado_Edu'!$P122))&lt;&gt;0,IF(OFFSET('EDP Proyectado'!AI122,0,-'Ingreso Proyectado_Edu'!$P122)+0&lt;=1,0,OFFSET('EDP Proyectado'!AI122,0,-'Ingreso Proyectado_Edu'!$P122)+0)),0)</f>
        <v>0</v>
      </c>
      <c r="AI122" s="169">
        <f ca="1">+IFERROR(IF(ISNUMBER(OFFSET('EDP Proyectado'!AJ122,0,-'Ingreso Proyectado_Edu'!$P122))&lt;&gt;0,IF(OFFSET('EDP Proyectado'!AJ122,0,-'Ingreso Proyectado_Edu'!$P122)+0&lt;=1,0,OFFSET('EDP Proyectado'!AJ122,0,-'Ingreso Proyectado_Edu'!$P122)+0)),0)</f>
        <v>0</v>
      </c>
      <c r="AJ122" s="169">
        <f ca="1">+IFERROR(IF(ISNUMBER(OFFSET('EDP Proyectado'!AK122,0,-'Ingreso Proyectado_Edu'!$P122))&lt;&gt;0,IF(OFFSET('EDP Proyectado'!AK122,0,-'Ingreso Proyectado_Edu'!$P122)+0&lt;=1,0,OFFSET('EDP Proyectado'!AK122,0,-'Ingreso Proyectado_Edu'!$P122)+0)),0)</f>
        <v>0</v>
      </c>
      <c r="AK122" s="169">
        <f ca="1">+IFERROR(IF(ISNUMBER(OFFSET('EDP Proyectado'!AL122,0,-'Ingreso Proyectado_Edu'!$P122))&lt;&gt;0,IF(OFFSET('EDP Proyectado'!AL122,0,-'Ingreso Proyectado_Edu'!$P122)+0&lt;=1,0,OFFSET('EDP Proyectado'!AL122,0,-'Ingreso Proyectado_Edu'!$P122)+0)),0)</f>
        <v>0</v>
      </c>
      <c r="AL122" s="169">
        <f ca="1">+IFERROR(IF(ISNUMBER(OFFSET('EDP Proyectado'!AM122,0,-'Ingreso Proyectado_Edu'!$P122))&lt;&gt;0,IF(OFFSET('EDP Proyectado'!AM122,0,-'Ingreso Proyectado_Edu'!$P122)+0&lt;=1,0,OFFSET('EDP Proyectado'!AM122,0,-'Ingreso Proyectado_Edu'!$P122)+0)),0)</f>
        <v>0</v>
      </c>
      <c r="AM122" s="169">
        <f ca="1">+IFERROR(IF(ISNUMBER(OFFSET('EDP Proyectado'!AN122,0,-'Ingreso Proyectado_Edu'!$P122))&lt;&gt;0,IF(OFFSET('EDP Proyectado'!AN122,0,-'Ingreso Proyectado_Edu'!$P122)+0&lt;=1,0,OFFSET('EDP Proyectado'!AN122,0,-'Ingreso Proyectado_Edu'!$P122)+0)),0)</f>
        <v>0</v>
      </c>
      <c r="AN122" s="169">
        <f ca="1">+IFERROR(IF(ISNUMBER(OFFSET('EDP Proyectado'!AO122,0,-'Ingreso Proyectado_Edu'!$P122))&lt;&gt;0,IF(OFFSET('EDP Proyectado'!AO122,0,-'Ingreso Proyectado_Edu'!$P122)+0&lt;=1,0,OFFSET('EDP Proyectado'!AO122,0,-'Ingreso Proyectado_Edu'!$P122)+0)),0)</f>
        <v>0</v>
      </c>
      <c r="AO122" s="169">
        <f ca="1">+IFERROR(IF(ISNUMBER(OFFSET('EDP Proyectado'!AP122,0,-'Ingreso Proyectado_Edu'!$P122))&lt;&gt;0,IF(OFFSET('EDP Proyectado'!AP122,0,-'Ingreso Proyectado_Edu'!$P122)+0&lt;=1,0,OFFSET('EDP Proyectado'!AP122,0,-'Ingreso Proyectado_Edu'!$P122)+0)),0)</f>
        <v>0</v>
      </c>
      <c r="AP122" s="170">
        <f ca="1">+IFERROR(IF(ISNUMBER(OFFSET('EDP Proyectado'!AQ122,0,-'Ingreso Proyectado_Edu'!$P122))&lt;&gt;0,IF(OFFSET('EDP Proyectado'!AQ122,0,-'Ingreso Proyectado_Edu'!$P122)+0&lt;=1,0,OFFSET('EDP Proyectado'!AQ122,0,-'Ingreso Proyectado_Edu'!$P122)+0)),0)</f>
        <v>0</v>
      </c>
    </row>
    <row r="123" spans="3:42" x14ac:dyDescent="0.2">
      <c r="C123" s="144">
        <f>+'Gantt Proyectos'!C191</f>
        <v>95</v>
      </c>
      <c r="D123" s="145">
        <f>+'Gantt Proyectos'!D191</f>
        <v>0</v>
      </c>
      <c r="E123" s="145">
        <f>+'Gantt Proyectos'!E191</f>
        <v>0</v>
      </c>
      <c r="F123" s="147">
        <f>+'Gantt Proyectos'!F191</f>
        <v>0</v>
      </c>
      <c r="G123" s="145">
        <f>+'Gantt Proyectos'!G191</f>
        <v>0</v>
      </c>
      <c r="H123" s="145">
        <f>+'Gantt Proyectos'!H191</f>
        <v>0</v>
      </c>
      <c r="I123" s="189">
        <v>1</v>
      </c>
      <c r="J123" s="189">
        <f t="shared" si="10"/>
        <v>0</v>
      </c>
      <c r="K123" s="145">
        <f>+'Gantt Proyectos'!I191</f>
        <v>0</v>
      </c>
      <c r="L123" s="120">
        <f>+'Gantt Proyectos'!J191</f>
        <v>0</v>
      </c>
      <c r="M123" s="145">
        <f>+'Gantt Proyectos'!K191</f>
        <v>0</v>
      </c>
      <c r="N123" s="145">
        <f>+'Gantt Proyectos'!L191</f>
        <v>0</v>
      </c>
      <c r="O123" s="145">
        <f>+'Gantt Proyectos'!M191</f>
        <v>0</v>
      </c>
      <c r="P123" s="145">
        <f>+'Gantt Proyectos'!N191</f>
        <v>0</v>
      </c>
      <c r="Q123" s="119">
        <f>+'Gantt Proyectos'!O191</f>
        <v>0</v>
      </c>
      <c r="R123" s="119">
        <f>+'Gantt Proyectos'!P191</f>
        <v>0</v>
      </c>
      <c r="S123" s="145">
        <f>+'Gantt Proyectos'!R191</f>
        <v>0</v>
      </c>
      <c r="T123" s="118">
        <f>+'Gantt Proyectos'!S191</f>
        <v>0</v>
      </c>
      <c r="U123" s="156">
        <f>+'Gantt Proyectos'!T191</f>
        <v>0</v>
      </c>
      <c r="V123" s="156">
        <f>+'Gantt Proyectos'!U191</f>
        <v>0</v>
      </c>
      <c r="W123" s="201">
        <f t="shared" si="11"/>
        <v>0</v>
      </c>
      <c r="X123" s="121">
        <f>+'Gantt Proyectos'!W191</f>
        <v>0</v>
      </c>
      <c r="Y123" s="122">
        <f>+'Gantt Proyectos'!X191</f>
        <v>0</v>
      </c>
      <c r="Z123" s="122">
        <f>+'Gantt Proyectos'!Y191</f>
        <v>0</v>
      </c>
      <c r="AA123" s="122">
        <f>+'Gantt Proyectos'!Z191</f>
        <v>0</v>
      </c>
      <c r="AB123" s="122">
        <f>+'Gantt Proyectos'!AA191</f>
        <v>0</v>
      </c>
      <c r="AC123" s="122">
        <f>+'Gantt Proyectos'!AB191</f>
        <v>0</v>
      </c>
      <c r="AD123" s="123">
        <f>+'Gantt Proyectos'!AC191</f>
        <v>0</v>
      </c>
      <c r="AE123" s="123">
        <f>+'Gantt Proyectos'!AD191</f>
        <v>0</v>
      </c>
      <c r="AF123" s="124">
        <f>+'Gantt Proyectos'!AE191</f>
        <v>0</v>
      </c>
      <c r="AG123" s="172">
        <v>1</v>
      </c>
      <c r="AH123" s="169">
        <f ca="1">+IFERROR(IF(ISNUMBER(OFFSET('EDP Proyectado'!AI123,0,-'Ingreso Proyectado_Edu'!$P123))&lt;&gt;0,IF(OFFSET('EDP Proyectado'!AI123,0,-'Ingreso Proyectado_Edu'!$P123)+0&lt;=1,0,OFFSET('EDP Proyectado'!AI123,0,-'Ingreso Proyectado_Edu'!$P123)+0)),0)</f>
        <v>0</v>
      </c>
      <c r="AI123" s="169">
        <f ca="1">+IFERROR(IF(ISNUMBER(OFFSET('EDP Proyectado'!AJ123,0,-'Ingreso Proyectado_Edu'!$P123))&lt;&gt;0,IF(OFFSET('EDP Proyectado'!AJ123,0,-'Ingreso Proyectado_Edu'!$P123)+0&lt;=1,0,OFFSET('EDP Proyectado'!AJ123,0,-'Ingreso Proyectado_Edu'!$P123)+0)),0)</f>
        <v>0</v>
      </c>
      <c r="AJ123" s="169">
        <f ca="1">+IFERROR(IF(ISNUMBER(OFFSET('EDP Proyectado'!AK123,0,-'Ingreso Proyectado_Edu'!$P123))&lt;&gt;0,IF(OFFSET('EDP Proyectado'!AK123,0,-'Ingreso Proyectado_Edu'!$P123)+0&lt;=1,0,OFFSET('EDP Proyectado'!AK123,0,-'Ingreso Proyectado_Edu'!$P123)+0)),0)</f>
        <v>0</v>
      </c>
      <c r="AK123" s="169">
        <f ca="1">+IFERROR(IF(ISNUMBER(OFFSET('EDP Proyectado'!AL123,0,-'Ingreso Proyectado_Edu'!$P123))&lt;&gt;0,IF(OFFSET('EDP Proyectado'!AL123,0,-'Ingreso Proyectado_Edu'!$P123)+0&lt;=1,0,OFFSET('EDP Proyectado'!AL123,0,-'Ingreso Proyectado_Edu'!$P123)+0)),0)</f>
        <v>0</v>
      </c>
      <c r="AL123" s="169">
        <f ca="1">+IFERROR(IF(ISNUMBER(OFFSET('EDP Proyectado'!AM123,0,-'Ingreso Proyectado_Edu'!$P123))&lt;&gt;0,IF(OFFSET('EDP Proyectado'!AM123,0,-'Ingreso Proyectado_Edu'!$P123)+0&lt;=1,0,OFFSET('EDP Proyectado'!AM123,0,-'Ingreso Proyectado_Edu'!$P123)+0)),0)</f>
        <v>0</v>
      </c>
      <c r="AM123" s="169">
        <f ca="1">+IFERROR(IF(ISNUMBER(OFFSET('EDP Proyectado'!AN123,0,-'Ingreso Proyectado_Edu'!$P123))&lt;&gt;0,IF(OFFSET('EDP Proyectado'!AN123,0,-'Ingreso Proyectado_Edu'!$P123)+0&lt;=1,0,OFFSET('EDP Proyectado'!AN123,0,-'Ingreso Proyectado_Edu'!$P123)+0)),0)</f>
        <v>0</v>
      </c>
      <c r="AN123" s="169">
        <f ca="1">+IFERROR(IF(ISNUMBER(OFFSET('EDP Proyectado'!AO123,0,-'Ingreso Proyectado_Edu'!$P123))&lt;&gt;0,IF(OFFSET('EDP Proyectado'!AO123,0,-'Ingreso Proyectado_Edu'!$P123)+0&lt;=1,0,OFFSET('EDP Proyectado'!AO123,0,-'Ingreso Proyectado_Edu'!$P123)+0)),0)</f>
        <v>0</v>
      </c>
      <c r="AO123" s="169">
        <f ca="1">+IFERROR(IF(ISNUMBER(OFFSET('EDP Proyectado'!AP123,0,-'Ingreso Proyectado_Edu'!$P123))&lt;&gt;0,IF(OFFSET('EDP Proyectado'!AP123,0,-'Ingreso Proyectado_Edu'!$P123)+0&lt;=1,0,OFFSET('EDP Proyectado'!AP123,0,-'Ingreso Proyectado_Edu'!$P123)+0)),0)</f>
        <v>0</v>
      </c>
      <c r="AP123" s="170">
        <f ca="1">+IFERROR(IF(ISNUMBER(OFFSET('EDP Proyectado'!AQ123,0,-'Ingreso Proyectado_Edu'!$P123))&lt;&gt;0,IF(OFFSET('EDP Proyectado'!AQ123,0,-'Ingreso Proyectado_Edu'!$P123)+0&lt;=1,0,OFFSET('EDP Proyectado'!AQ123,0,-'Ingreso Proyectado_Edu'!$P123)+0)),0)</f>
        <v>0</v>
      </c>
    </row>
    <row r="124" spans="3:42" x14ac:dyDescent="0.2">
      <c r="C124" s="144">
        <f>+'Gantt Proyectos'!C192</f>
        <v>96</v>
      </c>
      <c r="D124" s="145">
        <f>+'Gantt Proyectos'!D192</f>
        <v>0</v>
      </c>
      <c r="E124" s="145">
        <f>+'Gantt Proyectos'!E192</f>
        <v>0</v>
      </c>
      <c r="F124" s="147">
        <f>+'Gantt Proyectos'!F192</f>
        <v>0</v>
      </c>
      <c r="G124" s="145">
        <f>+'Gantt Proyectos'!G192</f>
        <v>0</v>
      </c>
      <c r="H124" s="145">
        <f>+'Gantt Proyectos'!H192</f>
        <v>0</v>
      </c>
      <c r="I124" s="189">
        <v>1</v>
      </c>
      <c r="J124" s="189">
        <f t="shared" si="10"/>
        <v>0</v>
      </c>
      <c r="K124" s="145">
        <f>+'Gantt Proyectos'!I192</f>
        <v>0</v>
      </c>
      <c r="L124" s="120">
        <f>+'Gantt Proyectos'!J192</f>
        <v>0</v>
      </c>
      <c r="M124" s="145">
        <f>+'Gantt Proyectos'!K192</f>
        <v>0</v>
      </c>
      <c r="N124" s="145">
        <f>+'Gantt Proyectos'!L192</f>
        <v>0</v>
      </c>
      <c r="O124" s="145">
        <f>+'Gantt Proyectos'!M192</f>
        <v>0</v>
      </c>
      <c r="P124" s="145">
        <f>+'Gantt Proyectos'!N192</f>
        <v>0</v>
      </c>
      <c r="Q124" s="119">
        <f>+'Gantt Proyectos'!O192</f>
        <v>0</v>
      </c>
      <c r="R124" s="119">
        <f>+'Gantt Proyectos'!P192</f>
        <v>0</v>
      </c>
      <c r="S124" s="145">
        <f>+'Gantt Proyectos'!R192</f>
        <v>0</v>
      </c>
      <c r="T124" s="118">
        <f>+'Gantt Proyectos'!S192</f>
        <v>0</v>
      </c>
      <c r="U124" s="156">
        <f>+'Gantt Proyectos'!T192</f>
        <v>0</v>
      </c>
      <c r="V124" s="156">
        <f>+'Gantt Proyectos'!U192</f>
        <v>0</v>
      </c>
      <c r="W124" s="201">
        <f t="shared" si="11"/>
        <v>0</v>
      </c>
      <c r="X124" s="121">
        <f>+'Gantt Proyectos'!W192</f>
        <v>0</v>
      </c>
      <c r="Y124" s="122">
        <f>+'Gantt Proyectos'!X192</f>
        <v>0</v>
      </c>
      <c r="Z124" s="122">
        <f>+'Gantt Proyectos'!Y192</f>
        <v>0</v>
      </c>
      <c r="AA124" s="122">
        <f>+'Gantt Proyectos'!Z192</f>
        <v>0</v>
      </c>
      <c r="AB124" s="122">
        <f>+'Gantt Proyectos'!AA192</f>
        <v>0</v>
      </c>
      <c r="AC124" s="122">
        <f>+'Gantt Proyectos'!AB192</f>
        <v>0</v>
      </c>
      <c r="AD124" s="123">
        <f>+'Gantt Proyectos'!AC192</f>
        <v>0</v>
      </c>
      <c r="AE124" s="123">
        <f>+'Gantt Proyectos'!AD192</f>
        <v>0</v>
      </c>
      <c r="AF124" s="124">
        <f>+'Gantt Proyectos'!AE192</f>
        <v>0</v>
      </c>
      <c r="AG124" s="172">
        <v>1</v>
      </c>
      <c r="AH124" s="169">
        <f ca="1">+IFERROR(IF(ISNUMBER(OFFSET('EDP Proyectado'!AI124,0,-'Ingreso Proyectado_Edu'!$P124))&lt;&gt;0,IF(OFFSET('EDP Proyectado'!AI124,0,-'Ingreso Proyectado_Edu'!$P124)+0&lt;=1,0,OFFSET('EDP Proyectado'!AI124,0,-'Ingreso Proyectado_Edu'!$P124)+0)),0)</f>
        <v>0</v>
      </c>
      <c r="AI124" s="169">
        <f ca="1">+IFERROR(IF(ISNUMBER(OFFSET('EDP Proyectado'!AJ124,0,-'Ingreso Proyectado_Edu'!$P124))&lt;&gt;0,IF(OFFSET('EDP Proyectado'!AJ124,0,-'Ingreso Proyectado_Edu'!$P124)+0&lt;=1,0,OFFSET('EDP Proyectado'!AJ124,0,-'Ingreso Proyectado_Edu'!$P124)+0)),0)</f>
        <v>0</v>
      </c>
      <c r="AJ124" s="169">
        <f ca="1">+IFERROR(IF(ISNUMBER(OFFSET('EDP Proyectado'!AK124,0,-'Ingreso Proyectado_Edu'!$P124))&lt;&gt;0,IF(OFFSET('EDP Proyectado'!AK124,0,-'Ingreso Proyectado_Edu'!$P124)+0&lt;=1,0,OFFSET('EDP Proyectado'!AK124,0,-'Ingreso Proyectado_Edu'!$P124)+0)),0)</f>
        <v>0</v>
      </c>
      <c r="AK124" s="169">
        <f ca="1">+IFERROR(IF(ISNUMBER(OFFSET('EDP Proyectado'!AL124,0,-'Ingreso Proyectado_Edu'!$P124))&lt;&gt;0,IF(OFFSET('EDP Proyectado'!AL124,0,-'Ingreso Proyectado_Edu'!$P124)+0&lt;=1,0,OFFSET('EDP Proyectado'!AL124,0,-'Ingreso Proyectado_Edu'!$P124)+0)),0)</f>
        <v>0</v>
      </c>
      <c r="AL124" s="169">
        <f ca="1">+IFERROR(IF(ISNUMBER(OFFSET('EDP Proyectado'!AM124,0,-'Ingreso Proyectado_Edu'!$P124))&lt;&gt;0,IF(OFFSET('EDP Proyectado'!AM124,0,-'Ingreso Proyectado_Edu'!$P124)+0&lt;=1,0,OFFSET('EDP Proyectado'!AM124,0,-'Ingreso Proyectado_Edu'!$P124)+0)),0)</f>
        <v>0</v>
      </c>
      <c r="AM124" s="169">
        <f ca="1">+IFERROR(IF(ISNUMBER(OFFSET('EDP Proyectado'!AN124,0,-'Ingreso Proyectado_Edu'!$P124))&lt;&gt;0,IF(OFFSET('EDP Proyectado'!AN124,0,-'Ingreso Proyectado_Edu'!$P124)+0&lt;=1,0,OFFSET('EDP Proyectado'!AN124,0,-'Ingreso Proyectado_Edu'!$P124)+0)),0)</f>
        <v>0</v>
      </c>
      <c r="AN124" s="169">
        <f ca="1">+IFERROR(IF(ISNUMBER(OFFSET('EDP Proyectado'!AO124,0,-'Ingreso Proyectado_Edu'!$P124))&lt;&gt;0,IF(OFFSET('EDP Proyectado'!AO124,0,-'Ingreso Proyectado_Edu'!$P124)+0&lt;=1,0,OFFSET('EDP Proyectado'!AO124,0,-'Ingreso Proyectado_Edu'!$P124)+0)),0)</f>
        <v>0</v>
      </c>
      <c r="AO124" s="169">
        <f ca="1">+IFERROR(IF(ISNUMBER(OFFSET('EDP Proyectado'!AP124,0,-'Ingreso Proyectado_Edu'!$P124))&lt;&gt;0,IF(OFFSET('EDP Proyectado'!AP124,0,-'Ingreso Proyectado_Edu'!$P124)+0&lt;=1,0,OFFSET('EDP Proyectado'!AP124,0,-'Ingreso Proyectado_Edu'!$P124)+0)),0)</f>
        <v>0</v>
      </c>
      <c r="AP124" s="170">
        <f ca="1">+IFERROR(IF(ISNUMBER(OFFSET('EDP Proyectado'!AQ124,0,-'Ingreso Proyectado_Edu'!$P124))&lt;&gt;0,IF(OFFSET('EDP Proyectado'!AQ124,0,-'Ingreso Proyectado_Edu'!$P124)+0&lt;=1,0,OFFSET('EDP Proyectado'!AQ124,0,-'Ingreso Proyectado_Edu'!$P124)+0)),0)</f>
        <v>0</v>
      </c>
    </row>
    <row r="125" spans="3:42" x14ac:dyDescent="0.2">
      <c r="C125" s="144">
        <f>+'Gantt Proyectos'!C193</f>
        <v>97</v>
      </c>
      <c r="D125" s="145">
        <f>+'Gantt Proyectos'!D193</f>
        <v>0</v>
      </c>
      <c r="E125" s="145">
        <f>+'Gantt Proyectos'!E193</f>
        <v>0</v>
      </c>
      <c r="F125" s="147">
        <f>+'Gantt Proyectos'!F193</f>
        <v>0</v>
      </c>
      <c r="G125" s="145">
        <f>+'Gantt Proyectos'!G193</f>
        <v>0</v>
      </c>
      <c r="H125" s="145">
        <f>+'Gantt Proyectos'!H193</f>
        <v>0</v>
      </c>
      <c r="I125" s="189">
        <v>1</v>
      </c>
      <c r="J125" s="189">
        <f t="shared" ref="J125:J156" si="12">1-I125</f>
        <v>0</v>
      </c>
      <c r="K125" s="145">
        <f>+'Gantt Proyectos'!I193</f>
        <v>0</v>
      </c>
      <c r="L125" s="120">
        <f>+'Gantt Proyectos'!J193</f>
        <v>0</v>
      </c>
      <c r="M125" s="145">
        <f>+'Gantt Proyectos'!K193</f>
        <v>0</v>
      </c>
      <c r="N125" s="145">
        <f>+'Gantt Proyectos'!L193</f>
        <v>0</v>
      </c>
      <c r="O125" s="145">
        <f>+'Gantt Proyectos'!M193</f>
        <v>0</v>
      </c>
      <c r="P125" s="145">
        <f>+'Gantt Proyectos'!N193</f>
        <v>0</v>
      </c>
      <c r="Q125" s="119">
        <f>+'Gantt Proyectos'!O193</f>
        <v>0</v>
      </c>
      <c r="R125" s="119">
        <f>+'Gantt Proyectos'!P193</f>
        <v>0</v>
      </c>
      <c r="S125" s="145">
        <f>+'Gantt Proyectos'!R193</f>
        <v>0</v>
      </c>
      <c r="T125" s="118">
        <f>+'Gantt Proyectos'!S193</f>
        <v>0</v>
      </c>
      <c r="U125" s="156">
        <f>+'Gantt Proyectos'!T193</f>
        <v>0</v>
      </c>
      <c r="V125" s="156">
        <f>+'Gantt Proyectos'!U193</f>
        <v>0</v>
      </c>
      <c r="W125" s="201">
        <f t="shared" ref="W125:W156" si="13">+ROUNDUP(_xlfn.DAYS(V125,U125)/30.5,0)</f>
        <v>0</v>
      </c>
      <c r="X125" s="121">
        <f>+'Gantt Proyectos'!W193</f>
        <v>0</v>
      </c>
      <c r="Y125" s="122">
        <f>+'Gantt Proyectos'!X193</f>
        <v>0</v>
      </c>
      <c r="Z125" s="122">
        <f>+'Gantt Proyectos'!Y193</f>
        <v>0</v>
      </c>
      <c r="AA125" s="122">
        <f>+'Gantt Proyectos'!Z193</f>
        <v>0</v>
      </c>
      <c r="AB125" s="122">
        <f>+'Gantt Proyectos'!AA193</f>
        <v>0</v>
      </c>
      <c r="AC125" s="122">
        <f>+'Gantt Proyectos'!AB193</f>
        <v>0</v>
      </c>
      <c r="AD125" s="123">
        <f>+'Gantt Proyectos'!AC193</f>
        <v>0</v>
      </c>
      <c r="AE125" s="123">
        <f>+'Gantt Proyectos'!AD193</f>
        <v>0</v>
      </c>
      <c r="AF125" s="124">
        <f>+'Gantt Proyectos'!AE193</f>
        <v>0</v>
      </c>
      <c r="AG125" s="172">
        <v>1</v>
      </c>
      <c r="AH125" s="169">
        <f ca="1">+IFERROR(IF(ISNUMBER(OFFSET('EDP Proyectado'!AI125,0,-'Ingreso Proyectado_Edu'!$P125))&lt;&gt;0,IF(OFFSET('EDP Proyectado'!AI125,0,-'Ingreso Proyectado_Edu'!$P125)+0&lt;=1,0,OFFSET('EDP Proyectado'!AI125,0,-'Ingreso Proyectado_Edu'!$P125)+0)),0)</f>
        <v>0</v>
      </c>
      <c r="AI125" s="169">
        <f ca="1">+IFERROR(IF(ISNUMBER(OFFSET('EDP Proyectado'!AJ125,0,-'Ingreso Proyectado_Edu'!$P125))&lt;&gt;0,IF(OFFSET('EDP Proyectado'!AJ125,0,-'Ingreso Proyectado_Edu'!$P125)+0&lt;=1,0,OFFSET('EDP Proyectado'!AJ125,0,-'Ingreso Proyectado_Edu'!$P125)+0)),0)</f>
        <v>0</v>
      </c>
      <c r="AJ125" s="169">
        <f ca="1">+IFERROR(IF(ISNUMBER(OFFSET('EDP Proyectado'!AK125,0,-'Ingreso Proyectado_Edu'!$P125))&lt;&gt;0,IF(OFFSET('EDP Proyectado'!AK125,0,-'Ingreso Proyectado_Edu'!$P125)+0&lt;=1,0,OFFSET('EDP Proyectado'!AK125,0,-'Ingreso Proyectado_Edu'!$P125)+0)),0)</f>
        <v>0</v>
      </c>
      <c r="AK125" s="169">
        <f ca="1">+IFERROR(IF(ISNUMBER(OFFSET('EDP Proyectado'!AL125,0,-'Ingreso Proyectado_Edu'!$P125))&lt;&gt;0,IF(OFFSET('EDP Proyectado'!AL125,0,-'Ingreso Proyectado_Edu'!$P125)+0&lt;=1,0,OFFSET('EDP Proyectado'!AL125,0,-'Ingreso Proyectado_Edu'!$P125)+0)),0)</f>
        <v>0</v>
      </c>
      <c r="AL125" s="169">
        <f ca="1">+IFERROR(IF(ISNUMBER(OFFSET('EDP Proyectado'!AM125,0,-'Ingreso Proyectado_Edu'!$P125))&lt;&gt;0,IF(OFFSET('EDP Proyectado'!AM125,0,-'Ingreso Proyectado_Edu'!$P125)+0&lt;=1,0,OFFSET('EDP Proyectado'!AM125,0,-'Ingreso Proyectado_Edu'!$P125)+0)),0)</f>
        <v>0</v>
      </c>
      <c r="AM125" s="169">
        <f ca="1">+IFERROR(IF(ISNUMBER(OFFSET('EDP Proyectado'!AN125,0,-'Ingreso Proyectado_Edu'!$P125))&lt;&gt;0,IF(OFFSET('EDP Proyectado'!AN125,0,-'Ingreso Proyectado_Edu'!$P125)+0&lt;=1,0,OFFSET('EDP Proyectado'!AN125,0,-'Ingreso Proyectado_Edu'!$P125)+0)),0)</f>
        <v>0</v>
      </c>
      <c r="AN125" s="169">
        <f ca="1">+IFERROR(IF(ISNUMBER(OFFSET('EDP Proyectado'!AO125,0,-'Ingreso Proyectado_Edu'!$P125))&lt;&gt;0,IF(OFFSET('EDP Proyectado'!AO125,0,-'Ingreso Proyectado_Edu'!$P125)+0&lt;=1,0,OFFSET('EDP Proyectado'!AO125,0,-'Ingreso Proyectado_Edu'!$P125)+0)),0)</f>
        <v>0</v>
      </c>
      <c r="AO125" s="169">
        <f ca="1">+IFERROR(IF(ISNUMBER(OFFSET('EDP Proyectado'!AP125,0,-'Ingreso Proyectado_Edu'!$P125))&lt;&gt;0,IF(OFFSET('EDP Proyectado'!AP125,0,-'Ingreso Proyectado_Edu'!$P125)+0&lt;=1,0,OFFSET('EDP Proyectado'!AP125,0,-'Ingreso Proyectado_Edu'!$P125)+0)),0)</f>
        <v>0</v>
      </c>
      <c r="AP125" s="170">
        <f ca="1">+IFERROR(IF(ISNUMBER(OFFSET('EDP Proyectado'!AQ125,0,-'Ingreso Proyectado_Edu'!$P125))&lt;&gt;0,IF(OFFSET('EDP Proyectado'!AQ125,0,-'Ingreso Proyectado_Edu'!$P125)+0&lt;=1,0,OFFSET('EDP Proyectado'!AQ125,0,-'Ingreso Proyectado_Edu'!$P125)+0)),0)</f>
        <v>0</v>
      </c>
    </row>
    <row r="126" spans="3:42" x14ac:dyDescent="0.2">
      <c r="C126" s="144">
        <f>+'Gantt Proyectos'!C194</f>
        <v>98</v>
      </c>
      <c r="D126" s="145">
        <f>+'Gantt Proyectos'!D194</f>
        <v>0</v>
      </c>
      <c r="E126" s="145">
        <f>+'Gantt Proyectos'!E194</f>
        <v>0</v>
      </c>
      <c r="F126" s="147">
        <f>+'Gantt Proyectos'!F194</f>
        <v>0</v>
      </c>
      <c r="G126" s="145">
        <f>+'Gantt Proyectos'!G194</f>
        <v>0</v>
      </c>
      <c r="H126" s="145">
        <f>+'Gantt Proyectos'!H194</f>
        <v>0</v>
      </c>
      <c r="I126" s="189">
        <v>1</v>
      </c>
      <c r="J126" s="189">
        <f t="shared" si="12"/>
        <v>0</v>
      </c>
      <c r="K126" s="145">
        <f>+'Gantt Proyectos'!I194</f>
        <v>0</v>
      </c>
      <c r="L126" s="120">
        <f>+'Gantt Proyectos'!J194</f>
        <v>0</v>
      </c>
      <c r="M126" s="145">
        <f>+'Gantt Proyectos'!K194</f>
        <v>0</v>
      </c>
      <c r="N126" s="145">
        <f>+'Gantt Proyectos'!L194</f>
        <v>0</v>
      </c>
      <c r="O126" s="145">
        <f>+'Gantt Proyectos'!M194</f>
        <v>0</v>
      </c>
      <c r="P126" s="145">
        <f>+'Gantt Proyectos'!N194</f>
        <v>0</v>
      </c>
      <c r="Q126" s="119">
        <f>+'Gantt Proyectos'!O194</f>
        <v>0</v>
      </c>
      <c r="R126" s="119">
        <f>+'Gantt Proyectos'!P194</f>
        <v>0</v>
      </c>
      <c r="S126" s="145">
        <f>+'Gantt Proyectos'!R194</f>
        <v>0</v>
      </c>
      <c r="T126" s="118">
        <f>+'Gantt Proyectos'!S194</f>
        <v>0</v>
      </c>
      <c r="U126" s="156">
        <f>+'Gantt Proyectos'!T194</f>
        <v>0</v>
      </c>
      <c r="V126" s="156">
        <f>+'Gantt Proyectos'!U194</f>
        <v>0</v>
      </c>
      <c r="W126" s="201">
        <f t="shared" si="13"/>
        <v>0</v>
      </c>
      <c r="X126" s="121">
        <f>+'Gantt Proyectos'!W194</f>
        <v>0</v>
      </c>
      <c r="Y126" s="122">
        <f>+'Gantt Proyectos'!X194</f>
        <v>0</v>
      </c>
      <c r="Z126" s="122">
        <f>+'Gantt Proyectos'!Y194</f>
        <v>0</v>
      </c>
      <c r="AA126" s="122">
        <f>+'Gantt Proyectos'!Z194</f>
        <v>0</v>
      </c>
      <c r="AB126" s="122">
        <f>+'Gantt Proyectos'!AA194</f>
        <v>0</v>
      </c>
      <c r="AC126" s="122">
        <f>+'Gantt Proyectos'!AB194</f>
        <v>0</v>
      </c>
      <c r="AD126" s="123">
        <f>+'Gantt Proyectos'!AC194</f>
        <v>0</v>
      </c>
      <c r="AE126" s="123">
        <f>+'Gantt Proyectos'!AD194</f>
        <v>0</v>
      </c>
      <c r="AF126" s="124">
        <f>+'Gantt Proyectos'!AE194</f>
        <v>0</v>
      </c>
      <c r="AG126" s="172">
        <v>1</v>
      </c>
      <c r="AH126" s="169">
        <f ca="1">+IFERROR(IF(ISNUMBER(OFFSET('EDP Proyectado'!AI126,0,-'Ingreso Proyectado_Edu'!$P126))&lt;&gt;0,IF(OFFSET('EDP Proyectado'!AI126,0,-'Ingreso Proyectado_Edu'!$P126)+0&lt;=1,0,OFFSET('EDP Proyectado'!AI126,0,-'Ingreso Proyectado_Edu'!$P126)+0)),0)</f>
        <v>0</v>
      </c>
      <c r="AI126" s="169">
        <f ca="1">+IFERROR(IF(ISNUMBER(OFFSET('EDP Proyectado'!AJ126,0,-'Ingreso Proyectado_Edu'!$P126))&lt;&gt;0,IF(OFFSET('EDP Proyectado'!AJ126,0,-'Ingreso Proyectado_Edu'!$P126)+0&lt;=1,0,OFFSET('EDP Proyectado'!AJ126,0,-'Ingreso Proyectado_Edu'!$P126)+0)),0)</f>
        <v>0</v>
      </c>
      <c r="AJ126" s="169">
        <f ca="1">+IFERROR(IF(ISNUMBER(OFFSET('EDP Proyectado'!AK126,0,-'Ingreso Proyectado_Edu'!$P126))&lt;&gt;0,IF(OFFSET('EDP Proyectado'!AK126,0,-'Ingreso Proyectado_Edu'!$P126)+0&lt;=1,0,OFFSET('EDP Proyectado'!AK126,0,-'Ingreso Proyectado_Edu'!$P126)+0)),0)</f>
        <v>0</v>
      </c>
      <c r="AK126" s="169">
        <f ca="1">+IFERROR(IF(ISNUMBER(OFFSET('EDP Proyectado'!AL126,0,-'Ingreso Proyectado_Edu'!$P126))&lt;&gt;0,IF(OFFSET('EDP Proyectado'!AL126,0,-'Ingreso Proyectado_Edu'!$P126)+0&lt;=1,0,OFFSET('EDP Proyectado'!AL126,0,-'Ingreso Proyectado_Edu'!$P126)+0)),0)</f>
        <v>0</v>
      </c>
      <c r="AL126" s="169">
        <f ca="1">+IFERROR(IF(ISNUMBER(OFFSET('EDP Proyectado'!AM126,0,-'Ingreso Proyectado_Edu'!$P126))&lt;&gt;0,IF(OFFSET('EDP Proyectado'!AM126,0,-'Ingreso Proyectado_Edu'!$P126)+0&lt;=1,0,OFFSET('EDP Proyectado'!AM126,0,-'Ingreso Proyectado_Edu'!$P126)+0)),0)</f>
        <v>0</v>
      </c>
      <c r="AM126" s="169">
        <f ca="1">+IFERROR(IF(ISNUMBER(OFFSET('EDP Proyectado'!AN126,0,-'Ingreso Proyectado_Edu'!$P126))&lt;&gt;0,IF(OFFSET('EDP Proyectado'!AN126,0,-'Ingreso Proyectado_Edu'!$P126)+0&lt;=1,0,OFFSET('EDP Proyectado'!AN126,0,-'Ingreso Proyectado_Edu'!$P126)+0)),0)</f>
        <v>0</v>
      </c>
      <c r="AN126" s="169">
        <f ca="1">+IFERROR(IF(ISNUMBER(OFFSET('EDP Proyectado'!AO126,0,-'Ingreso Proyectado_Edu'!$P126))&lt;&gt;0,IF(OFFSET('EDP Proyectado'!AO126,0,-'Ingreso Proyectado_Edu'!$P126)+0&lt;=1,0,OFFSET('EDP Proyectado'!AO126,0,-'Ingreso Proyectado_Edu'!$P126)+0)),0)</f>
        <v>0</v>
      </c>
      <c r="AO126" s="169">
        <f ca="1">+IFERROR(IF(ISNUMBER(OFFSET('EDP Proyectado'!AP126,0,-'Ingreso Proyectado_Edu'!$P126))&lt;&gt;0,IF(OFFSET('EDP Proyectado'!AP126,0,-'Ingreso Proyectado_Edu'!$P126)+0&lt;=1,0,OFFSET('EDP Proyectado'!AP126,0,-'Ingreso Proyectado_Edu'!$P126)+0)),0)</f>
        <v>0</v>
      </c>
      <c r="AP126" s="170">
        <f ca="1">+IFERROR(IF(ISNUMBER(OFFSET('EDP Proyectado'!AQ126,0,-'Ingreso Proyectado_Edu'!$P126))&lt;&gt;0,IF(OFFSET('EDP Proyectado'!AQ126,0,-'Ingreso Proyectado_Edu'!$P126)+0&lt;=1,0,OFFSET('EDP Proyectado'!AQ126,0,-'Ingreso Proyectado_Edu'!$P126)+0)),0)</f>
        <v>0</v>
      </c>
    </row>
    <row r="127" spans="3:42" x14ac:dyDescent="0.2">
      <c r="C127" s="144">
        <f>+'Gantt Proyectos'!C195</f>
        <v>99</v>
      </c>
      <c r="D127" s="145">
        <f>+'Gantt Proyectos'!D195</f>
        <v>0</v>
      </c>
      <c r="E127" s="145">
        <f>+'Gantt Proyectos'!E195</f>
        <v>0</v>
      </c>
      <c r="F127" s="147">
        <f>+'Gantt Proyectos'!F195</f>
        <v>0</v>
      </c>
      <c r="G127" s="145">
        <f>+'Gantt Proyectos'!G195</f>
        <v>0</v>
      </c>
      <c r="H127" s="145">
        <f>+'Gantt Proyectos'!H195</f>
        <v>0</v>
      </c>
      <c r="I127" s="189">
        <v>1</v>
      </c>
      <c r="J127" s="189">
        <f t="shared" si="12"/>
        <v>0</v>
      </c>
      <c r="K127" s="145">
        <f>+'Gantt Proyectos'!I195</f>
        <v>0</v>
      </c>
      <c r="L127" s="120">
        <f>+'Gantt Proyectos'!J195</f>
        <v>0</v>
      </c>
      <c r="M127" s="145">
        <f>+'Gantt Proyectos'!K195</f>
        <v>0</v>
      </c>
      <c r="N127" s="145">
        <f>+'Gantt Proyectos'!L195</f>
        <v>0</v>
      </c>
      <c r="O127" s="145">
        <f>+'Gantt Proyectos'!M195</f>
        <v>0</v>
      </c>
      <c r="P127" s="145">
        <f>+'Gantt Proyectos'!N195</f>
        <v>0</v>
      </c>
      <c r="Q127" s="119">
        <f>+'Gantt Proyectos'!O195</f>
        <v>0</v>
      </c>
      <c r="R127" s="119">
        <f>+'Gantt Proyectos'!P195</f>
        <v>0</v>
      </c>
      <c r="S127" s="145">
        <f>+'Gantt Proyectos'!R195</f>
        <v>0</v>
      </c>
      <c r="T127" s="118">
        <f>+'Gantt Proyectos'!S195</f>
        <v>0</v>
      </c>
      <c r="U127" s="156">
        <f>+'Gantt Proyectos'!T195</f>
        <v>0</v>
      </c>
      <c r="V127" s="156">
        <f>+'Gantt Proyectos'!U195</f>
        <v>0</v>
      </c>
      <c r="W127" s="201">
        <f t="shared" si="13"/>
        <v>0</v>
      </c>
      <c r="X127" s="121">
        <f>+'Gantt Proyectos'!W195</f>
        <v>0</v>
      </c>
      <c r="Y127" s="122">
        <f>+'Gantt Proyectos'!X195</f>
        <v>0</v>
      </c>
      <c r="Z127" s="122">
        <f>+'Gantt Proyectos'!Y195</f>
        <v>0</v>
      </c>
      <c r="AA127" s="122">
        <f>+'Gantt Proyectos'!Z195</f>
        <v>0</v>
      </c>
      <c r="AB127" s="122">
        <f>+'Gantt Proyectos'!AA195</f>
        <v>0</v>
      </c>
      <c r="AC127" s="122">
        <f>+'Gantt Proyectos'!AB195</f>
        <v>0</v>
      </c>
      <c r="AD127" s="123">
        <f>+'Gantt Proyectos'!AC195</f>
        <v>0</v>
      </c>
      <c r="AE127" s="123">
        <f>+'Gantt Proyectos'!AD195</f>
        <v>0</v>
      </c>
      <c r="AF127" s="124">
        <f>+'Gantt Proyectos'!AE195</f>
        <v>0</v>
      </c>
      <c r="AG127" s="172">
        <v>1</v>
      </c>
      <c r="AH127" s="169">
        <f ca="1">+IFERROR(IF(ISNUMBER(OFFSET('EDP Proyectado'!AI127,0,-'Ingreso Proyectado_Edu'!$P127))&lt;&gt;0,IF(OFFSET('EDP Proyectado'!AI127,0,-'Ingreso Proyectado_Edu'!$P127)+0&lt;=1,0,OFFSET('EDP Proyectado'!AI127,0,-'Ingreso Proyectado_Edu'!$P127)+0)),0)</f>
        <v>0</v>
      </c>
      <c r="AI127" s="169">
        <f ca="1">+IFERROR(IF(ISNUMBER(OFFSET('EDP Proyectado'!AJ127,0,-'Ingreso Proyectado_Edu'!$P127))&lt;&gt;0,IF(OFFSET('EDP Proyectado'!AJ127,0,-'Ingreso Proyectado_Edu'!$P127)+0&lt;=1,0,OFFSET('EDP Proyectado'!AJ127,0,-'Ingreso Proyectado_Edu'!$P127)+0)),0)</f>
        <v>0</v>
      </c>
      <c r="AJ127" s="169">
        <f ca="1">+IFERROR(IF(ISNUMBER(OFFSET('EDP Proyectado'!AK127,0,-'Ingreso Proyectado_Edu'!$P127))&lt;&gt;0,IF(OFFSET('EDP Proyectado'!AK127,0,-'Ingreso Proyectado_Edu'!$P127)+0&lt;=1,0,OFFSET('EDP Proyectado'!AK127,0,-'Ingreso Proyectado_Edu'!$P127)+0)),0)</f>
        <v>0</v>
      </c>
      <c r="AK127" s="169">
        <f ca="1">+IFERROR(IF(ISNUMBER(OFFSET('EDP Proyectado'!AL127,0,-'Ingreso Proyectado_Edu'!$P127))&lt;&gt;0,IF(OFFSET('EDP Proyectado'!AL127,0,-'Ingreso Proyectado_Edu'!$P127)+0&lt;=1,0,OFFSET('EDP Proyectado'!AL127,0,-'Ingreso Proyectado_Edu'!$P127)+0)),0)</f>
        <v>0</v>
      </c>
      <c r="AL127" s="169">
        <f ca="1">+IFERROR(IF(ISNUMBER(OFFSET('EDP Proyectado'!AM127,0,-'Ingreso Proyectado_Edu'!$P127))&lt;&gt;0,IF(OFFSET('EDP Proyectado'!AM127,0,-'Ingreso Proyectado_Edu'!$P127)+0&lt;=1,0,OFFSET('EDP Proyectado'!AM127,0,-'Ingreso Proyectado_Edu'!$P127)+0)),0)</f>
        <v>0</v>
      </c>
      <c r="AM127" s="169">
        <f ca="1">+IFERROR(IF(ISNUMBER(OFFSET('EDP Proyectado'!AN127,0,-'Ingreso Proyectado_Edu'!$P127))&lt;&gt;0,IF(OFFSET('EDP Proyectado'!AN127,0,-'Ingreso Proyectado_Edu'!$P127)+0&lt;=1,0,OFFSET('EDP Proyectado'!AN127,0,-'Ingreso Proyectado_Edu'!$P127)+0)),0)</f>
        <v>0</v>
      </c>
      <c r="AN127" s="169">
        <f ca="1">+IFERROR(IF(ISNUMBER(OFFSET('EDP Proyectado'!AO127,0,-'Ingreso Proyectado_Edu'!$P127))&lt;&gt;0,IF(OFFSET('EDP Proyectado'!AO127,0,-'Ingreso Proyectado_Edu'!$P127)+0&lt;=1,0,OFFSET('EDP Proyectado'!AO127,0,-'Ingreso Proyectado_Edu'!$P127)+0)),0)</f>
        <v>0</v>
      </c>
      <c r="AO127" s="169">
        <f ca="1">+IFERROR(IF(ISNUMBER(OFFSET('EDP Proyectado'!AP127,0,-'Ingreso Proyectado_Edu'!$P127))&lt;&gt;0,IF(OFFSET('EDP Proyectado'!AP127,0,-'Ingreso Proyectado_Edu'!$P127)+0&lt;=1,0,OFFSET('EDP Proyectado'!AP127,0,-'Ingreso Proyectado_Edu'!$P127)+0)),0)</f>
        <v>0</v>
      </c>
      <c r="AP127" s="170">
        <f ca="1">+IFERROR(IF(ISNUMBER(OFFSET('EDP Proyectado'!AQ127,0,-'Ingreso Proyectado_Edu'!$P127))&lt;&gt;0,IF(OFFSET('EDP Proyectado'!AQ127,0,-'Ingreso Proyectado_Edu'!$P127)+0&lt;=1,0,OFFSET('EDP Proyectado'!AQ127,0,-'Ingreso Proyectado_Edu'!$P127)+0)),0)</f>
        <v>0</v>
      </c>
    </row>
    <row r="128" spans="3:42" x14ac:dyDescent="0.2">
      <c r="C128" s="144">
        <f>+'Gantt Proyectos'!C196</f>
        <v>100</v>
      </c>
      <c r="D128" s="145">
        <f>+'Gantt Proyectos'!D196</f>
        <v>0</v>
      </c>
      <c r="E128" s="145">
        <f>+'Gantt Proyectos'!E196</f>
        <v>0</v>
      </c>
      <c r="F128" s="147">
        <f>+'Gantt Proyectos'!F196</f>
        <v>0</v>
      </c>
      <c r="G128" s="145">
        <f>+'Gantt Proyectos'!G196</f>
        <v>0</v>
      </c>
      <c r="H128" s="145">
        <f>+'Gantt Proyectos'!H196</f>
        <v>0</v>
      </c>
      <c r="I128" s="189">
        <v>1</v>
      </c>
      <c r="J128" s="189">
        <f t="shared" si="12"/>
        <v>0</v>
      </c>
      <c r="K128" s="145">
        <f>+'Gantt Proyectos'!I196</f>
        <v>0</v>
      </c>
      <c r="L128" s="120">
        <f>+'Gantt Proyectos'!J196</f>
        <v>0</v>
      </c>
      <c r="M128" s="145">
        <f>+'Gantt Proyectos'!K196</f>
        <v>0</v>
      </c>
      <c r="N128" s="145">
        <f>+'Gantt Proyectos'!L196</f>
        <v>0</v>
      </c>
      <c r="O128" s="145">
        <f>+'Gantt Proyectos'!M196</f>
        <v>0</v>
      </c>
      <c r="P128" s="145">
        <f>+'Gantt Proyectos'!N196</f>
        <v>0</v>
      </c>
      <c r="Q128" s="119">
        <f>+'Gantt Proyectos'!O196</f>
        <v>0</v>
      </c>
      <c r="R128" s="119">
        <f>+'Gantt Proyectos'!P196</f>
        <v>0</v>
      </c>
      <c r="S128" s="145">
        <f>+'Gantt Proyectos'!R196</f>
        <v>0</v>
      </c>
      <c r="T128" s="118">
        <f>+'Gantt Proyectos'!S196</f>
        <v>0</v>
      </c>
      <c r="U128" s="156">
        <f>+'Gantt Proyectos'!T196</f>
        <v>0</v>
      </c>
      <c r="V128" s="156">
        <f>+'Gantt Proyectos'!U196</f>
        <v>0</v>
      </c>
      <c r="W128" s="201">
        <f t="shared" si="13"/>
        <v>0</v>
      </c>
      <c r="X128" s="121">
        <f>+'Gantt Proyectos'!W196</f>
        <v>0</v>
      </c>
      <c r="Y128" s="122">
        <f>+'Gantt Proyectos'!X196</f>
        <v>0</v>
      </c>
      <c r="Z128" s="122">
        <f>+'Gantt Proyectos'!Y196</f>
        <v>0</v>
      </c>
      <c r="AA128" s="122">
        <f>+'Gantt Proyectos'!Z196</f>
        <v>0</v>
      </c>
      <c r="AB128" s="122">
        <f>+'Gantt Proyectos'!AA196</f>
        <v>0</v>
      </c>
      <c r="AC128" s="122">
        <f>+'Gantt Proyectos'!AB196</f>
        <v>0</v>
      </c>
      <c r="AD128" s="123">
        <f>+'Gantt Proyectos'!AC196</f>
        <v>0</v>
      </c>
      <c r="AE128" s="123">
        <f>+'Gantt Proyectos'!AD196</f>
        <v>0</v>
      </c>
      <c r="AF128" s="124">
        <f>+'Gantt Proyectos'!AE196</f>
        <v>0</v>
      </c>
      <c r="AG128" s="172">
        <v>1</v>
      </c>
      <c r="AH128" s="169">
        <f ca="1">+IFERROR(IF(ISNUMBER(OFFSET('EDP Proyectado'!AI128,0,-'Ingreso Proyectado_Edu'!$P128))&lt;&gt;0,IF(OFFSET('EDP Proyectado'!AI128,0,-'Ingreso Proyectado_Edu'!$P128)+0&lt;=1,0,OFFSET('EDP Proyectado'!AI128,0,-'Ingreso Proyectado_Edu'!$P128)+0)),0)</f>
        <v>0</v>
      </c>
      <c r="AI128" s="169">
        <f ca="1">+IFERROR(IF(ISNUMBER(OFFSET('EDP Proyectado'!AJ128,0,-'Ingreso Proyectado_Edu'!$P128))&lt;&gt;0,IF(OFFSET('EDP Proyectado'!AJ128,0,-'Ingreso Proyectado_Edu'!$P128)+0&lt;=1,0,OFFSET('EDP Proyectado'!AJ128,0,-'Ingreso Proyectado_Edu'!$P128)+0)),0)</f>
        <v>0</v>
      </c>
      <c r="AJ128" s="169">
        <f ca="1">+IFERROR(IF(ISNUMBER(OFFSET('EDP Proyectado'!AK128,0,-'Ingreso Proyectado_Edu'!$P128))&lt;&gt;0,IF(OFFSET('EDP Proyectado'!AK128,0,-'Ingreso Proyectado_Edu'!$P128)+0&lt;=1,0,OFFSET('EDP Proyectado'!AK128,0,-'Ingreso Proyectado_Edu'!$P128)+0)),0)</f>
        <v>0</v>
      </c>
      <c r="AK128" s="169">
        <f ca="1">+IFERROR(IF(ISNUMBER(OFFSET('EDP Proyectado'!AL128,0,-'Ingreso Proyectado_Edu'!$P128))&lt;&gt;0,IF(OFFSET('EDP Proyectado'!AL128,0,-'Ingreso Proyectado_Edu'!$P128)+0&lt;=1,0,OFFSET('EDP Proyectado'!AL128,0,-'Ingreso Proyectado_Edu'!$P128)+0)),0)</f>
        <v>0</v>
      </c>
      <c r="AL128" s="169">
        <f ca="1">+IFERROR(IF(ISNUMBER(OFFSET('EDP Proyectado'!AM128,0,-'Ingreso Proyectado_Edu'!$P128))&lt;&gt;0,IF(OFFSET('EDP Proyectado'!AM128,0,-'Ingreso Proyectado_Edu'!$P128)+0&lt;=1,0,OFFSET('EDP Proyectado'!AM128,0,-'Ingreso Proyectado_Edu'!$P128)+0)),0)</f>
        <v>0</v>
      </c>
      <c r="AM128" s="169">
        <f ca="1">+IFERROR(IF(ISNUMBER(OFFSET('EDP Proyectado'!AN128,0,-'Ingreso Proyectado_Edu'!$P128))&lt;&gt;0,IF(OFFSET('EDP Proyectado'!AN128,0,-'Ingreso Proyectado_Edu'!$P128)+0&lt;=1,0,OFFSET('EDP Proyectado'!AN128,0,-'Ingreso Proyectado_Edu'!$P128)+0)),0)</f>
        <v>0</v>
      </c>
      <c r="AN128" s="169">
        <f ca="1">+IFERROR(IF(ISNUMBER(OFFSET('EDP Proyectado'!AO128,0,-'Ingreso Proyectado_Edu'!$P128))&lt;&gt;0,IF(OFFSET('EDP Proyectado'!AO128,0,-'Ingreso Proyectado_Edu'!$P128)+0&lt;=1,0,OFFSET('EDP Proyectado'!AO128,0,-'Ingreso Proyectado_Edu'!$P128)+0)),0)</f>
        <v>0</v>
      </c>
      <c r="AO128" s="169">
        <f ca="1">+IFERROR(IF(ISNUMBER(OFFSET('EDP Proyectado'!AP128,0,-'Ingreso Proyectado_Edu'!$P128))&lt;&gt;0,IF(OFFSET('EDP Proyectado'!AP128,0,-'Ingreso Proyectado_Edu'!$P128)+0&lt;=1,0,OFFSET('EDP Proyectado'!AP128,0,-'Ingreso Proyectado_Edu'!$P128)+0)),0)</f>
        <v>0</v>
      </c>
      <c r="AP128" s="170">
        <f ca="1">+IFERROR(IF(ISNUMBER(OFFSET('EDP Proyectado'!AQ128,0,-'Ingreso Proyectado_Edu'!$P128))&lt;&gt;0,IF(OFFSET('EDP Proyectado'!AQ128,0,-'Ingreso Proyectado_Edu'!$P128)+0&lt;=1,0,OFFSET('EDP Proyectado'!AQ128,0,-'Ingreso Proyectado_Edu'!$P128)+0)),0)</f>
        <v>0</v>
      </c>
    </row>
    <row r="129" spans="3:42" x14ac:dyDescent="0.2">
      <c r="C129" s="110">
        <f>+'Gantt Proyectos'!C197</f>
        <v>0</v>
      </c>
      <c r="D129" s="110" t="str">
        <f>+'Gantt Proyectos'!D146</f>
        <v>Ingeniería perfil Clavelinas</v>
      </c>
      <c r="E129" s="110" t="str">
        <f>+'Gantt Proyectos'!E146</f>
        <v>Minsur</v>
      </c>
      <c r="F129" s="148" t="str">
        <f>+'Gantt Proyectos'!F146</f>
        <v>Perú</v>
      </c>
      <c r="G129" s="110" t="str">
        <f>+'Gantt Proyectos'!G146</f>
        <v>Perú</v>
      </c>
      <c r="H129" s="110">
        <f>+'Gantt Proyectos'!H197</f>
        <v>0</v>
      </c>
      <c r="I129" s="189">
        <v>1</v>
      </c>
      <c r="J129" s="189">
        <f t="shared" si="12"/>
        <v>0</v>
      </c>
      <c r="K129" s="110">
        <f>+'Gantt Proyectos'!I197</f>
        <v>0</v>
      </c>
      <c r="L129" s="110">
        <f>+'Gantt Proyectos'!J197</f>
        <v>0</v>
      </c>
      <c r="M129" s="110">
        <f>+'Gantt Proyectos'!K197</f>
        <v>0</v>
      </c>
      <c r="N129" s="110">
        <f>+'Gantt Proyectos'!L197</f>
        <v>0</v>
      </c>
      <c r="O129" s="110">
        <f>+'Gantt Proyectos'!M197</f>
        <v>0</v>
      </c>
      <c r="P129" s="110">
        <f>+'Gantt Proyectos'!N197</f>
        <v>0</v>
      </c>
      <c r="Q129" s="110">
        <f>+'Gantt Proyectos'!O197</f>
        <v>0</v>
      </c>
      <c r="R129" s="110">
        <f>+'Gantt Proyectos'!P197</f>
        <v>0</v>
      </c>
      <c r="S129" s="110">
        <f>+'Gantt Proyectos'!R197</f>
        <v>0</v>
      </c>
      <c r="T129" s="118">
        <f>+'Gantt Proyectos'!S197</f>
        <v>0</v>
      </c>
      <c r="U129" s="157">
        <f>+'Gantt Proyectos'!T197</f>
        <v>0</v>
      </c>
      <c r="V129" s="157">
        <f>+'Gantt Proyectos'!U197</f>
        <v>0</v>
      </c>
      <c r="W129" s="201">
        <f t="shared" si="13"/>
        <v>0</v>
      </c>
      <c r="X129" s="110">
        <f>+'Gantt Proyectos'!W197</f>
        <v>0</v>
      </c>
      <c r="Y129" s="110">
        <f>+'Gantt Proyectos'!X197</f>
        <v>0</v>
      </c>
      <c r="Z129" s="110">
        <f>+'Gantt Proyectos'!Y197</f>
        <v>0</v>
      </c>
      <c r="AA129" s="110">
        <f>+'Gantt Proyectos'!Z197</f>
        <v>0</v>
      </c>
      <c r="AB129" s="110">
        <f>+'Gantt Proyectos'!AA197</f>
        <v>0</v>
      </c>
      <c r="AC129" s="110">
        <f>+'Gantt Proyectos'!AB197</f>
        <v>0</v>
      </c>
      <c r="AD129" s="110">
        <f>+'Gantt Proyectos'!AC197</f>
        <v>0</v>
      </c>
      <c r="AE129" s="110">
        <f>+'Gantt Proyectos'!AD197</f>
        <v>0</v>
      </c>
      <c r="AF129" s="110">
        <f>+'Gantt Proyectos'!AE197</f>
        <v>0</v>
      </c>
      <c r="AG129" s="172">
        <v>1</v>
      </c>
      <c r="AH129" s="169">
        <f ca="1">+IFERROR(IF(ISNUMBER(OFFSET('EDP Proyectado'!AI129,0,-'Ingreso Proyectado_Edu'!$P129))&lt;&gt;0,IF(OFFSET('EDP Proyectado'!AI129,0,-'Ingreso Proyectado_Edu'!$P129)+0&lt;=1,0,OFFSET('EDP Proyectado'!AI129,0,-'Ingreso Proyectado_Edu'!$P129)+0)),0)</f>
        <v>0</v>
      </c>
      <c r="AI129" s="169">
        <f ca="1">+IFERROR(IF(ISNUMBER(OFFSET('EDP Proyectado'!AJ129,0,-'Ingreso Proyectado_Edu'!$P129))&lt;&gt;0,IF(OFFSET('EDP Proyectado'!AJ129,0,-'Ingreso Proyectado_Edu'!$P129)+0&lt;=1,0,OFFSET('EDP Proyectado'!AJ129,0,-'Ingreso Proyectado_Edu'!$P129)+0)),0)</f>
        <v>0</v>
      </c>
      <c r="AJ129" s="169">
        <f ca="1">+IFERROR(IF(ISNUMBER(OFFSET('EDP Proyectado'!AK129,0,-'Ingreso Proyectado_Edu'!$P129))&lt;&gt;0,IF(OFFSET('EDP Proyectado'!AK129,0,-'Ingreso Proyectado_Edu'!$P129)+0&lt;=1,0,OFFSET('EDP Proyectado'!AK129,0,-'Ingreso Proyectado_Edu'!$P129)+0)),0)</f>
        <v>0</v>
      </c>
      <c r="AK129" s="169">
        <f ca="1">+IFERROR(IF(ISNUMBER(OFFSET('EDP Proyectado'!AL129,0,-'Ingreso Proyectado_Edu'!$P129))&lt;&gt;0,IF(OFFSET('EDP Proyectado'!AL129,0,-'Ingreso Proyectado_Edu'!$P129)+0&lt;=1,0,OFFSET('EDP Proyectado'!AL129,0,-'Ingreso Proyectado_Edu'!$P129)+0)),0)</f>
        <v>0</v>
      </c>
      <c r="AL129" s="169">
        <f ca="1">+IFERROR(IF(ISNUMBER(OFFSET('EDP Proyectado'!AM129,0,-'Ingreso Proyectado_Edu'!$P129))&lt;&gt;0,IF(OFFSET('EDP Proyectado'!AM129,0,-'Ingreso Proyectado_Edu'!$P129)+0&lt;=1,0,OFFSET('EDP Proyectado'!AM129,0,-'Ingreso Proyectado_Edu'!$P129)+0)),0)</f>
        <v>0</v>
      </c>
      <c r="AM129" s="169">
        <f ca="1">+IFERROR(IF(ISNUMBER(OFFSET('EDP Proyectado'!AN129,0,-'Ingreso Proyectado_Edu'!$P129))&lt;&gt;0,IF(OFFSET('EDP Proyectado'!AN129,0,-'Ingreso Proyectado_Edu'!$P129)+0&lt;=1,0,OFFSET('EDP Proyectado'!AN129,0,-'Ingreso Proyectado_Edu'!$P129)+0)),0)</f>
        <v>0</v>
      </c>
      <c r="AN129" s="169">
        <f ca="1">+IFERROR(IF(ISNUMBER(OFFSET('EDP Proyectado'!AO129,0,-'Ingreso Proyectado_Edu'!$P129))&lt;&gt;0,IF(OFFSET('EDP Proyectado'!AO129,0,-'Ingreso Proyectado_Edu'!$P129)+0&lt;=1,0,OFFSET('EDP Proyectado'!AO129,0,-'Ingreso Proyectado_Edu'!$P129)+0)),0)</f>
        <v>0</v>
      </c>
      <c r="AO129" s="169">
        <f ca="1">+IFERROR(IF(ISNUMBER(OFFSET('EDP Proyectado'!AP129,0,-'Ingreso Proyectado_Edu'!$P129))&lt;&gt;0,IF(OFFSET('EDP Proyectado'!AP129,0,-'Ingreso Proyectado_Edu'!$P129)+0&lt;=1,0,OFFSET('EDP Proyectado'!AP129,0,-'Ingreso Proyectado_Edu'!$P129)+0)),0)</f>
        <v>0</v>
      </c>
      <c r="AP129" s="170">
        <f ca="1">+IFERROR(IF(ISNUMBER(OFFSET('EDP Proyectado'!AQ129,0,-'Ingreso Proyectado_Edu'!$P129))&lt;&gt;0,IF(OFFSET('EDP Proyectado'!AQ129,0,-'Ingreso Proyectado_Edu'!$P129)+0&lt;=1,0,OFFSET('EDP Proyectado'!AQ129,0,-'Ingreso Proyectado_Edu'!$P129)+0)),0)</f>
        <v>0</v>
      </c>
    </row>
    <row r="130" spans="3:42" x14ac:dyDescent="0.2">
      <c r="C130" s="110">
        <f>+'Gantt Proyectos'!C198</f>
        <v>0</v>
      </c>
      <c r="D130" s="110" t="str">
        <f>+'Gantt Proyectos'!D147</f>
        <v>Ingeniería de factibilidad Cristina</v>
      </c>
      <c r="E130" s="110" t="str">
        <f>+'Gantt Proyectos'!E147</f>
        <v>Insideo</v>
      </c>
      <c r="F130" s="148" t="str">
        <f>+'Gantt Proyectos'!F147</f>
        <v>Perú</v>
      </c>
      <c r="G130" s="110" t="str">
        <f>+'Gantt Proyectos'!G147</f>
        <v>Chile</v>
      </c>
      <c r="H130" s="110">
        <f>+'Gantt Proyectos'!H198</f>
        <v>0</v>
      </c>
      <c r="I130" s="189">
        <v>1</v>
      </c>
      <c r="J130" s="189">
        <f t="shared" si="12"/>
        <v>0</v>
      </c>
      <c r="K130" s="110">
        <f>+'Gantt Proyectos'!I198</f>
        <v>0</v>
      </c>
      <c r="L130" s="110">
        <f>+'Gantt Proyectos'!J198</f>
        <v>0</v>
      </c>
      <c r="M130" s="110">
        <f>+'Gantt Proyectos'!K198</f>
        <v>0</v>
      </c>
      <c r="N130" s="110">
        <f>+'Gantt Proyectos'!L198</f>
        <v>0</v>
      </c>
      <c r="O130" s="110">
        <f>+'Gantt Proyectos'!M198</f>
        <v>0</v>
      </c>
      <c r="P130" s="110">
        <f>+'Gantt Proyectos'!N198</f>
        <v>0</v>
      </c>
      <c r="Q130" s="110">
        <f>+'Gantt Proyectos'!O198</f>
        <v>0</v>
      </c>
      <c r="R130" s="110">
        <f>+'Gantt Proyectos'!P198</f>
        <v>0</v>
      </c>
      <c r="S130" s="110">
        <f>+'Gantt Proyectos'!R198</f>
        <v>0</v>
      </c>
      <c r="T130" s="118">
        <f>+'Gantt Proyectos'!S198</f>
        <v>0</v>
      </c>
      <c r="U130" s="157">
        <f>+'Gantt Proyectos'!T198</f>
        <v>0</v>
      </c>
      <c r="V130" s="157">
        <f>+'Gantt Proyectos'!U198</f>
        <v>0</v>
      </c>
      <c r="W130" s="201">
        <f t="shared" si="13"/>
        <v>0</v>
      </c>
      <c r="X130" s="110">
        <f>+'Gantt Proyectos'!W198</f>
        <v>0</v>
      </c>
      <c r="Y130" s="110">
        <f>+'Gantt Proyectos'!X198</f>
        <v>0</v>
      </c>
      <c r="Z130" s="110">
        <f>+'Gantt Proyectos'!Y198</f>
        <v>0</v>
      </c>
      <c r="AA130" s="110">
        <f>+'Gantt Proyectos'!Z198</f>
        <v>0</v>
      </c>
      <c r="AB130" s="110">
        <f>+'Gantt Proyectos'!AA198</f>
        <v>0</v>
      </c>
      <c r="AC130" s="110">
        <f>+'Gantt Proyectos'!AB198</f>
        <v>0</v>
      </c>
      <c r="AD130" s="110">
        <f>+'Gantt Proyectos'!AC198</f>
        <v>0</v>
      </c>
      <c r="AE130" s="110">
        <f>+'Gantt Proyectos'!AD198</f>
        <v>0</v>
      </c>
      <c r="AF130" s="110">
        <f>+'Gantt Proyectos'!AE198</f>
        <v>0</v>
      </c>
      <c r="AG130" s="172">
        <v>1</v>
      </c>
      <c r="AH130" s="169">
        <f ca="1">+IFERROR(IF(ISNUMBER(OFFSET('EDP Proyectado'!AI130,0,-'Ingreso Proyectado_Edu'!$P130))&lt;&gt;0,IF(OFFSET('EDP Proyectado'!AI130,0,-'Ingreso Proyectado_Edu'!$P130)+0&lt;=1,0,OFFSET('EDP Proyectado'!AI130,0,-'Ingreso Proyectado_Edu'!$P130)+0)),0)</f>
        <v>0</v>
      </c>
      <c r="AI130" s="169">
        <f ca="1">+IFERROR(IF(ISNUMBER(OFFSET('EDP Proyectado'!AJ130,0,-'Ingreso Proyectado_Edu'!$P130))&lt;&gt;0,IF(OFFSET('EDP Proyectado'!AJ130,0,-'Ingreso Proyectado_Edu'!$P130)+0&lt;=1,0,OFFSET('EDP Proyectado'!AJ130,0,-'Ingreso Proyectado_Edu'!$P130)+0)),0)</f>
        <v>0</v>
      </c>
      <c r="AJ130" s="169">
        <f ca="1">+IFERROR(IF(ISNUMBER(OFFSET('EDP Proyectado'!AK130,0,-'Ingreso Proyectado_Edu'!$P130))&lt;&gt;0,IF(OFFSET('EDP Proyectado'!AK130,0,-'Ingreso Proyectado_Edu'!$P130)+0&lt;=1,0,OFFSET('EDP Proyectado'!AK130,0,-'Ingreso Proyectado_Edu'!$P130)+0)),0)</f>
        <v>0</v>
      </c>
      <c r="AK130" s="169">
        <f ca="1">+IFERROR(IF(ISNUMBER(OFFSET('EDP Proyectado'!AL130,0,-'Ingreso Proyectado_Edu'!$P130))&lt;&gt;0,IF(OFFSET('EDP Proyectado'!AL130,0,-'Ingreso Proyectado_Edu'!$P130)+0&lt;=1,0,OFFSET('EDP Proyectado'!AL130,0,-'Ingreso Proyectado_Edu'!$P130)+0)),0)</f>
        <v>0</v>
      </c>
      <c r="AL130" s="169">
        <f ca="1">+IFERROR(IF(ISNUMBER(OFFSET('EDP Proyectado'!AM130,0,-'Ingreso Proyectado_Edu'!$P130))&lt;&gt;0,IF(OFFSET('EDP Proyectado'!AM130,0,-'Ingreso Proyectado_Edu'!$P130)+0&lt;=1,0,OFFSET('EDP Proyectado'!AM130,0,-'Ingreso Proyectado_Edu'!$P130)+0)),0)</f>
        <v>0</v>
      </c>
      <c r="AM130" s="169">
        <f ca="1">+IFERROR(IF(ISNUMBER(OFFSET('EDP Proyectado'!AN130,0,-'Ingreso Proyectado_Edu'!$P130))&lt;&gt;0,IF(OFFSET('EDP Proyectado'!AN130,0,-'Ingreso Proyectado_Edu'!$P130)+0&lt;=1,0,OFFSET('EDP Proyectado'!AN130,0,-'Ingreso Proyectado_Edu'!$P130)+0)),0)</f>
        <v>0</v>
      </c>
      <c r="AN130" s="169">
        <f ca="1">+IFERROR(IF(ISNUMBER(OFFSET('EDP Proyectado'!AO130,0,-'Ingreso Proyectado_Edu'!$P130))&lt;&gt;0,IF(OFFSET('EDP Proyectado'!AO130,0,-'Ingreso Proyectado_Edu'!$P130)+0&lt;=1,0,OFFSET('EDP Proyectado'!AO130,0,-'Ingreso Proyectado_Edu'!$P130)+0)),0)</f>
        <v>0</v>
      </c>
      <c r="AO130" s="169">
        <f ca="1">+IFERROR(IF(ISNUMBER(OFFSET('EDP Proyectado'!AP130,0,-'Ingreso Proyectado_Edu'!$P130))&lt;&gt;0,IF(OFFSET('EDP Proyectado'!AP130,0,-'Ingreso Proyectado_Edu'!$P130)+0&lt;=1,0,OFFSET('EDP Proyectado'!AP130,0,-'Ingreso Proyectado_Edu'!$P130)+0)),0)</f>
        <v>0</v>
      </c>
      <c r="AP130" s="170">
        <f ca="1">+IFERROR(IF(ISNUMBER(OFFSET('EDP Proyectado'!AQ130,0,-'Ingreso Proyectado_Edu'!$P130))&lt;&gt;0,IF(OFFSET('EDP Proyectado'!AQ130,0,-'Ingreso Proyectado_Edu'!$P130)+0&lt;=1,0,OFFSET('EDP Proyectado'!AQ130,0,-'Ingreso Proyectado_Edu'!$P130)+0)),0)</f>
        <v>0</v>
      </c>
    </row>
    <row r="131" spans="3:42" x14ac:dyDescent="0.2">
      <c r="C131" s="110">
        <f>+'Gantt Proyectos'!C199</f>
        <v>0</v>
      </c>
      <c r="D131" s="110" t="str">
        <f>+'Gantt Proyectos'!D148</f>
        <v>Conceptual Chalcobamba UG</v>
      </c>
      <c r="E131" s="110" t="str">
        <f>+'Gantt Proyectos'!E148</f>
        <v>Las Bambas</v>
      </c>
      <c r="F131" s="148" t="str">
        <f>+'Gantt Proyectos'!F148</f>
        <v>Perú</v>
      </c>
      <c r="G131" s="110" t="str">
        <f>+'Gantt Proyectos'!G148</f>
        <v>Chile</v>
      </c>
      <c r="H131" s="110">
        <f>+'Gantt Proyectos'!H199</f>
        <v>0</v>
      </c>
      <c r="I131" s="189">
        <v>1</v>
      </c>
      <c r="J131" s="189">
        <f t="shared" si="12"/>
        <v>0</v>
      </c>
      <c r="K131" s="110">
        <f>+'Gantt Proyectos'!I199</f>
        <v>0</v>
      </c>
      <c r="L131" s="110">
        <f>+'Gantt Proyectos'!J199</f>
        <v>0</v>
      </c>
      <c r="M131" s="110">
        <f>+'Gantt Proyectos'!K199</f>
        <v>0</v>
      </c>
      <c r="N131" s="110">
        <f>+'Gantt Proyectos'!L199</f>
        <v>0</v>
      </c>
      <c r="O131" s="110">
        <f>+'Gantt Proyectos'!M199</f>
        <v>0</v>
      </c>
      <c r="P131" s="110">
        <f>+'Gantt Proyectos'!N199</f>
        <v>0</v>
      </c>
      <c r="Q131" s="110">
        <f>+'Gantt Proyectos'!O199</f>
        <v>0</v>
      </c>
      <c r="R131" s="110">
        <f>+'Gantt Proyectos'!P199</f>
        <v>0</v>
      </c>
      <c r="S131" s="110">
        <f>+'Gantt Proyectos'!R199</f>
        <v>0</v>
      </c>
      <c r="T131" s="118">
        <f>+'Gantt Proyectos'!S199</f>
        <v>0</v>
      </c>
      <c r="U131" s="157">
        <f>+'Gantt Proyectos'!T199</f>
        <v>0</v>
      </c>
      <c r="V131" s="157">
        <f>+'Gantt Proyectos'!U199</f>
        <v>0</v>
      </c>
      <c r="W131" s="201">
        <f t="shared" si="13"/>
        <v>0</v>
      </c>
      <c r="X131" s="110">
        <f>+'Gantt Proyectos'!W199</f>
        <v>0</v>
      </c>
      <c r="Y131" s="110">
        <f>+'Gantt Proyectos'!X199</f>
        <v>0</v>
      </c>
      <c r="Z131" s="110">
        <f>+'Gantt Proyectos'!Y199</f>
        <v>0</v>
      </c>
      <c r="AA131" s="110">
        <f>+'Gantt Proyectos'!Z199</f>
        <v>0</v>
      </c>
      <c r="AB131" s="110">
        <f>+'Gantt Proyectos'!AA199</f>
        <v>0</v>
      </c>
      <c r="AC131" s="110">
        <f>+'Gantt Proyectos'!AB199</f>
        <v>0</v>
      </c>
      <c r="AD131" s="110">
        <f>+'Gantt Proyectos'!AC199</f>
        <v>0</v>
      </c>
      <c r="AE131" s="110">
        <f>+'Gantt Proyectos'!AD199</f>
        <v>0</v>
      </c>
      <c r="AF131" s="110">
        <f>+'Gantt Proyectos'!AE199</f>
        <v>0</v>
      </c>
      <c r="AG131" s="172">
        <v>1</v>
      </c>
      <c r="AH131" s="169">
        <f ca="1">+IFERROR(IF(ISNUMBER(OFFSET('EDP Proyectado'!AI131,0,-'Ingreso Proyectado_Edu'!$P131))&lt;&gt;0,IF(OFFSET('EDP Proyectado'!AI131,0,-'Ingreso Proyectado_Edu'!$P131)+0&lt;=1,0,OFFSET('EDP Proyectado'!AI131,0,-'Ingreso Proyectado_Edu'!$P131)+0)),0)</f>
        <v>0</v>
      </c>
      <c r="AI131" s="169">
        <f ca="1">+IFERROR(IF(ISNUMBER(OFFSET('EDP Proyectado'!AJ131,0,-'Ingreso Proyectado_Edu'!$P131))&lt;&gt;0,IF(OFFSET('EDP Proyectado'!AJ131,0,-'Ingreso Proyectado_Edu'!$P131)+0&lt;=1,0,OFFSET('EDP Proyectado'!AJ131,0,-'Ingreso Proyectado_Edu'!$P131)+0)),0)</f>
        <v>0</v>
      </c>
      <c r="AJ131" s="169">
        <f ca="1">+IFERROR(IF(ISNUMBER(OFFSET('EDP Proyectado'!AK131,0,-'Ingreso Proyectado_Edu'!$P131))&lt;&gt;0,IF(OFFSET('EDP Proyectado'!AK131,0,-'Ingreso Proyectado_Edu'!$P131)+0&lt;=1,0,OFFSET('EDP Proyectado'!AK131,0,-'Ingreso Proyectado_Edu'!$P131)+0)),0)</f>
        <v>0</v>
      </c>
      <c r="AK131" s="169">
        <f ca="1">+IFERROR(IF(ISNUMBER(OFFSET('EDP Proyectado'!AL131,0,-'Ingreso Proyectado_Edu'!$P131))&lt;&gt;0,IF(OFFSET('EDP Proyectado'!AL131,0,-'Ingreso Proyectado_Edu'!$P131)+0&lt;=1,0,OFFSET('EDP Proyectado'!AL131,0,-'Ingreso Proyectado_Edu'!$P131)+0)),0)</f>
        <v>0</v>
      </c>
      <c r="AL131" s="169">
        <f ca="1">+IFERROR(IF(ISNUMBER(OFFSET('EDP Proyectado'!AM131,0,-'Ingreso Proyectado_Edu'!$P131))&lt;&gt;0,IF(OFFSET('EDP Proyectado'!AM131,0,-'Ingreso Proyectado_Edu'!$P131)+0&lt;=1,0,OFFSET('EDP Proyectado'!AM131,0,-'Ingreso Proyectado_Edu'!$P131)+0)),0)</f>
        <v>0</v>
      </c>
      <c r="AM131" s="169">
        <f ca="1">+IFERROR(IF(ISNUMBER(OFFSET('EDP Proyectado'!AN131,0,-'Ingreso Proyectado_Edu'!$P131))&lt;&gt;0,IF(OFFSET('EDP Proyectado'!AN131,0,-'Ingreso Proyectado_Edu'!$P131)+0&lt;=1,0,OFFSET('EDP Proyectado'!AN131,0,-'Ingreso Proyectado_Edu'!$P131)+0)),0)</f>
        <v>0</v>
      </c>
      <c r="AN131" s="169">
        <f ca="1">+IFERROR(IF(ISNUMBER(OFFSET('EDP Proyectado'!AO131,0,-'Ingreso Proyectado_Edu'!$P131))&lt;&gt;0,IF(OFFSET('EDP Proyectado'!AO131,0,-'Ingreso Proyectado_Edu'!$P131)+0&lt;=1,0,OFFSET('EDP Proyectado'!AO131,0,-'Ingreso Proyectado_Edu'!$P131)+0)),0)</f>
        <v>0</v>
      </c>
      <c r="AO131" s="169">
        <f ca="1">+IFERROR(IF(ISNUMBER(OFFSET('EDP Proyectado'!AP131,0,-'Ingreso Proyectado_Edu'!$P131))&lt;&gt;0,IF(OFFSET('EDP Proyectado'!AP131,0,-'Ingreso Proyectado_Edu'!$P131)+0&lt;=1,0,OFFSET('EDP Proyectado'!AP131,0,-'Ingreso Proyectado_Edu'!$P131)+0)),0)</f>
        <v>0</v>
      </c>
      <c r="AP131" s="170">
        <f ca="1">+IFERROR(IF(ISNUMBER(OFFSET('EDP Proyectado'!AQ131,0,-'Ingreso Proyectado_Edu'!$P131))&lt;&gt;0,IF(OFFSET('EDP Proyectado'!AQ131,0,-'Ingreso Proyectado_Edu'!$P131)+0&lt;=1,0,OFFSET('EDP Proyectado'!AQ131,0,-'Ingreso Proyectado_Edu'!$P131)+0)),0)</f>
        <v>0</v>
      </c>
    </row>
    <row r="132" spans="3:42" x14ac:dyDescent="0.2">
      <c r="C132" s="110">
        <f>+'Gantt Proyectos'!C200</f>
        <v>0</v>
      </c>
      <c r="D132" s="110" t="str">
        <f>+'Gantt Proyectos'!D149</f>
        <v>Ingeniería a nivel factibilidad de desarrollo y profundización de labores subterráneas segunda meiad</v>
      </c>
      <c r="E132" s="110" t="str">
        <f>+'Gantt Proyectos'!E149</f>
        <v>Cerro Pasco</v>
      </c>
      <c r="F132" s="148" t="str">
        <f>+'Gantt Proyectos'!F149</f>
        <v>Perú</v>
      </c>
      <c r="G132" s="110" t="str">
        <f>+'Gantt Proyectos'!G149</f>
        <v>Chile</v>
      </c>
      <c r="H132" s="110">
        <f>+'Gantt Proyectos'!H200</f>
        <v>0</v>
      </c>
      <c r="I132" s="189">
        <v>1</v>
      </c>
      <c r="J132" s="189">
        <f t="shared" si="12"/>
        <v>0</v>
      </c>
      <c r="K132" s="110">
        <f>+'Gantt Proyectos'!I200</f>
        <v>0</v>
      </c>
      <c r="L132" s="110">
        <f>+'Gantt Proyectos'!J200</f>
        <v>0</v>
      </c>
      <c r="M132" s="110">
        <f>+'Gantt Proyectos'!K200</f>
        <v>0</v>
      </c>
      <c r="N132" s="110">
        <f>+'Gantt Proyectos'!L200</f>
        <v>0</v>
      </c>
      <c r="O132" s="110">
        <f>+'Gantt Proyectos'!M200</f>
        <v>0</v>
      </c>
      <c r="P132" s="110">
        <f>+'Gantt Proyectos'!N200</f>
        <v>0</v>
      </c>
      <c r="Q132" s="110">
        <f>+'Gantt Proyectos'!O200</f>
        <v>0</v>
      </c>
      <c r="R132" s="110">
        <f>+'Gantt Proyectos'!P200</f>
        <v>0</v>
      </c>
      <c r="S132" s="110">
        <f>+'Gantt Proyectos'!R200</f>
        <v>0</v>
      </c>
      <c r="T132" s="118">
        <f>+'Gantt Proyectos'!S200</f>
        <v>0</v>
      </c>
      <c r="U132" s="157">
        <f>+'Gantt Proyectos'!T200</f>
        <v>0</v>
      </c>
      <c r="V132" s="157">
        <f>+'Gantt Proyectos'!U200</f>
        <v>0</v>
      </c>
      <c r="W132" s="201">
        <f t="shared" si="13"/>
        <v>0</v>
      </c>
      <c r="X132" s="110">
        <f>+'Gantt Proyectos'!W200</f>
        <v>0</v>
      </c>
      <c r="Y132" s="110">
        <f>+'Gantt Proyectos'!X200</f>
        <v>0</v>
      </c>
      <c r="Z132" s="110">
        <f>+'Gantt Proyectos'!Y200</f>
        <v>0</v>
      </c>
      <c r="AA132" s="110">
        <f>+'Gantt Proyectos'!Z200</f>
        <v>0</v>
      </c>
      <c r="AB132" s="110">
        <f>+'Gantt Proyectos'!AA200</f>
        <v>0</v>
      </c>
      <c r="AC132" s="110">
        <f>+'Gantt Proyectos'!AB200</f>
        <v>0</v>
      </c>
      <c r="AD132" s="110">
        <f>+'Gantt Proyectos'!AC200</f>
        <v>0</v>
      </c>
      <c r="AE132" s="110">
        <f>+'Gantt Proyectos'!AD200</f>
        <v>0</v>
      </c>
      <c r="AF132" s="110">
        <f>+'Gantt Proyectos'!AE200</f>
        <v>0</v>
      </c>
      <c r="AG132" s="172">
        <v>1</v>
      </c>
      <c r="AH132" s="169">
        <f ca="1">+IFERROR(IF(ISNUMBER(OFFSET('EDP Proyectado'!AI132,0,-'Ingreso Proyectado_Edu'!$P132))&lt;&gt;0,IF(OFFSET('EDP Proyectado'!AI132,0,-'Ingreso Proyectado_Edu'!$P132)+0&lt;=1,0,OFFSET('EDP Proyectado'!AI132,0,-'Ingreso Proyectado_Edu'!$P132)+0)),0)</f>
        <v>0</v>
      </c>
      <c r="AI132" s="169">
        <f ca="1">+IFERROR(IF(ISNUMBER(OFFSET('EDP Proyectado'!AJ132,0,-'Ingreso Proyectado_Edu'!$P132))&lt;&gt;0,IF(OFFSET('EDP Proyectado'!AJ132,0,-'Ingreso Proyectado_Edu'!$P132)+0&lt;=1,0,OFFSET('EDP Proyectado'!AJ132,0,-'Ingreso Proyectado_Edu'!$P132)+0)),0)</f>
        <v>0</v>
      </c>
      <c r="AJ132" s="169">
        <f ca="1">+IFERROR(IF(ISNUMBER(OFFSET('EDP Proyectado'!AK132,0,-'Ingreso Proyectado_Edu'!$P132))&lt;&gt;0,IF(OFFSET('EDP Proyectado'!AK132,0,-'Ingreso Proyectado_Edu'!$P132)+0&lt;=1,0,OFFSET('EDP Proyectado'!AK132,0,-'Ingreso Proyectado_Edu'!$P132)+0)),0)</f>
        <v>0</v>
      </c>
      <c r="AK132" s="169">
        <f ca="1">+IFERROR(IF(ISNUMBER(OFFSET('EDP Proyectado'!AL132,0,-'Ingreso Proyectado_Edu'!$P132))&lt;&gt;0,IF(OFFSET('EDP Proyectado'!AL132,0,-'Ingreso Proyectado_Edu'!$P132)+0&lt;=1,0,OFFSET('EDP Proyectado'!AL132,0,-'Ingreso Proyectado_Edu'!$P132)+0)),0)</f>
        <v>0</v>
      </c>
      <c r="AL132" s="169">
        <f ca="1">+IFERROR(IF(ISNUMBER(OFFSET('EDP Proyectado'!AM132,0,-'Ingreso Proyectado_Edu'!$P132))&lt;&gt;0,IF(OFFSET('EDP Proyectado'!AM132,0,-'Ingreso Proyectado_Edu'!$P132)+0&lt;=1,0,OFFSET('EDP Proyectado'!AM132,0,-'Ingreso Proyectado_Edu'!$P132)+0)),0)</f>
        <v>0</v>
      </c>
      <c r="AM132" s="169">
        <f ca="1">+IFERROR(IF(ISNUMBER(OFFSET('EDP Proyectado'!AN132,0,-'Ingreso Proyectado_Edu'!$P132))&lt;&gt;0,IF(OFFSET('EDP Proyectado'!AN132,0,-'Ingreso Proyectado_Edu'!$P132)+0&lt;=1,0,OFFSET('EDP Proyectado'!AN132,0,-'Ingreso Proyectado_Edu'!$P132)+0)),0)</f>
        <v>0</v>
      </c>
      <c r="AN132" s="169">
        <f ca="1">+IFERROR(IF(ISNUMBER(OFFSET('EDP Proyectado'!AO132,0,-'Ingreso Proyectado_Edu'!$P132))&lt;&gt;0,IF(OFFSET('EDP Proyectado'!AO132,0,-'Ingreso Proyectado_Edu'!$P132)+0&lt;=1,0,OFFSET('EDP Proyectado'!AO132,0,-'Ingreso Proyectado_Edu'!$P132)+0)),0)</f>
        <v>0</v>
      </c>
      <c r="AO132" s="169">
        <f ca="1">+IFERROR(IF(ISNUMBER(OFFSET('EDP Proyectado'!AP132,0,-'Ingreso Proyectado_Edu'!$P132))&lt;&gt;0,IF(OFFSET('EDP Proyectado'!AP132,0,-'Ingreso Proyectado_Edu'!$P132)+0&lt;=1,0,OFFSET('EDP Proyectado'!AP132,0,-'Ingreso Proyectado_Edu'!$P132)+0)),0)</f>
        <v>0</v>
      </c>
      <c r="AP132" s="170">
        <f ca="1">+IFERROR(IF(ISNUMBER(OFFSET('EDP Proyectado'!AQ132,0,-'Ingreso Proyectado_Edu'!$P132))&lt;&gt;0,IF(OFFSET('EDP Proyectado'!AQ132,0,-'Ingreso Proyectado_Edu'!$P132)+0&lt;=1,0,OFFSET('EDP Proyectado'!AQ132,0,-'Ingreso Proyectado_Edu'!$P132)+0)),0)</f>
        <v>0</v>
      </c>
    </row>
    <row r="133" spans="3:42" x14ac:dyDescent="0.2">
      <c r="C133" s="110">
        <f>+'Gantt Proyectos'!C201</f>
        <v>0</v>
      </c>
      <c r="D133" s="110">
        <f>+'Gantt Proyectos'!D201</f>
        <v>0</v>
      </c>
      <c r="E133" s="110">
        <f>+'Gantt Proyectos'!E201</f>
        <v>0</v>
      </c>
      <c r="F133" s="148">
        <f>+'Gantt Proyectos'!F201</f>
        <v>0</v>
      </c>
      <c r="G133" s="110">
        <f>+'Gantt Proyectos'!G201</f>
        <v>0</v>
      </c>
      <c r="H133" s="110">
        <f>+'Gantt Proyectos'!H201</f>
        <v>0</v>
      </c>
      <c r="I133" s="189">
        <v>1</v>
      </c>
      <c r="J133" s="189">
        <f t="shared" si="12"/>
        <v>0</v>
      </c>
      <c r="K133" s="110">
        <f>+'Gantt Proyectos'!I201</f>
        <v>0</v>
      </c>
      <c r="L133" s="110">
        <f>+'Gantt Proyectos'!J201</f>
        <v>0</v>
      </c>
      <c r="M133" s="110">
        <f>+'Gantt Proyectos'!K201</f>
        <v>0</v>
      </c>
      <c r="N133" s="110">
        <f>+'Gantt Proyectos'!L201</f>
        <v>0</v>
      </c>
      <c r="O133" s="110">
        <f>+'Gantt Proyectos'!M201</f>
        <v>0</v>
      </c>
      <c r="P133" s="110">
        <f>+'Gantt Proyectos'!N201</f>
        <v>0</v>
      </c>
      <c r="Q133" s="110">
        <f>+'Gantt Proyectos'!O201</f>
        <v>0</v>
      </c>
      <c r="R133" s="110">
        <f>+'Gantt Proyectos'!P201</f>
        <v>0</v>
      </c>
      <c r="S133" s="110">
        <f>+'Gantt Proyectos'!R201</f>
        <v>0</v>
      </c>
      <c r="T133" s="118">
        <f>+'Gantt Proyectos'!S201</f>
        <v>0</v>
      </c>
      <c r="U133" s="157">
        <f>+'Gantt Proyectos'!T201</f>
        <v>0</v>
      </c>
      <c r="V133" s="157">
        <f>+'Gantt Proyectos'!U201</f>
        <v>0</v>
      </c>
      <c r="W133" s="201">
        <f t="shared" si="13"/>
        <v>0</v>
      </c>
      <c r="X133" s="110">
        <f>+'Gantt Proyectos'!W201</f>
        <v>0</v>
      </c>
      <c r="Y133" s="110">
        <f>+'Gantt Proyectos'!X201</f>
        <v>0</v>
      </c>
      <c r="Z133" s="110">
        <f>+'Gantt Proyectos'!Y201</f>
        <v>0</v>
      </c>
      <c r="AA133" s="110">
        <f>+'Gantt Proyectos'!Z201</f>
        <v>0</v>
      </c>
      <c r="AB133" s="110">
        <f>+'Gantt Proyectos'!AA201</f>
        <v>0</v>
      </c>
      <c r="AC133" s="110">
        <f>+'Gantt Proyectos'!AB201</f>
        <v>0</v>
      </c>
      <c r="AD133" s="110">
        <f>+'Gantt Proyectos'!AC201</f>
        <v>0</v>
      </c>
      <c r="AE133" s="110">
        <f>+'Gantt Proyectos'!AD201</f>
        <v>0</v>
      </c>
      <c r="AF133" s="110">
        <f>+'Gantt Proyectos'!AE201</f>
        <v>0</v>
      </c>
      <c r="AG133" s="172">
        <v>1</v>
      </c>
      <c r="AH133" s="169">
        <f ca="1">+IFERROR(IF(ISNUMBER(OFFSET('EDP Proyectado'!AI133,0,-'Ingreso Proyectado_Edu'!$P133))&lt;&gt;0,IF(OFFSET('EDP Proyectado'!AI133,0,-'Ingreso Proyectado_Edu'!$P133)+0&lt;=1,0,OFFSET('EDP Proyectado'!AI133,0,-'Ingreso Proyectado_Edu'!$P133)+0)),0)</f>
        <v>0</v>
      </c>
      <c r="AI133" s="169">
        <f ca="1">+IFERROR(IF(ISNUMBER(OFFSET('EDP Proyectado'!AJ133,0,-'Ingreso Proyectado_Edu'!$P133))&lt;&gt;0,IF(OFFSET('EDP Proyectado'!AJ133,0,-'Ingreso Proyectado_Edu'!$P133)+0&lt;=1,0,OFFSET('EDP Proyectado'!AJ133,0,-'Ingreso Proyectado_Edu'!$P133)+0)),0)</f>
        <v>0</v>
      </c>
      <c r="AJ133" s="169">
        <f ca="1">+IFERROR(IF(ISNUMBER(OFFSET('EDP Proyectado'!AK133,0,-'Ingreso Proyectado_Edu'!$P133))&lt;&gt;0,IF(OFFSET('EDP Proyectado'!AK133,0,-'Ingreso Proyectado_Edu'!$P133)+0&lt;=1,0,OFFSET('EDP Proyectado'!AK133,0,-'Ingreso Proyectado_Edu'!$P133)+0)),0)</f>
        <v>0</v>
      </c>
      <c r="AK133" s="169">
        <f ca="1">+IFERROR(IF(ISNUMBER(OFFSET('EDP Proyectado'!AL133,0,-'Ingreso Proyectado_Edu'!$P133))&lt;&gt;0,IF(OFFSET('EDP Proyectado'!AL133,0,-'Ingreso Proyectado_Edu'!$P133)+0&lt;=1,0,OFFSET('EDP Proyectado'!AL133,0,-'Ingreso Proyectado_Edu'!$P133)+0)),0)</f>
        <v>0</v>
      </c>
      <c r="AL133" s="169">
        <f ca="1">+IFERROR(IF(ISNUMBER(OFFSET('EDP Proyectado'!AM133,0,-'Ingreso Proyectado_Edu'!$P133))&lt;&gt;0,IF(OFFSET('EDP Proyectado'!AM133,0,-'Ingreso Proyectado_Edu'!$P133)+0&lt;=1,0,OFFSET('EDP Proyectado'!AM133,0,-'Ingreso Proyectado_Edu'!$P133)+0)),0)</f>
        <v>0</v>
      </c>
      <c r="AM133" s="169">
        <f ca="1">+IFERROR(IF(ISNUMBER(OFFSET('EDP Proyectado'!AN133,0,-'Ingreso Proyectado_Edu'!$P133))&lt;&gt;0,IF(OFFSET('EDP Proyectado'!AN133,0,-'Ingreso Proyectado_Edu'!$P133)+0&lt;=1,0,OFFSET('EDP Proyectado'!AN133,0,-'Ingreso Proyectado_Edu'!$P133)+0)),0)</f>
        <v>0</v>
      </c>
      <c r="AN133" s="169">
        <f ca="1">+IFERROR(IF(ISNUMBER(OFFSET('EDP Proyectado'!AO133,0,-'Ingreso Proyectado_Edu'!$P133))&lt;&gt;0,IF(OFFSET('EDP Proyectado'!AO133,0,-'Ingreso Proyectado_Edu'!$P133)+0&lt;=1,0,OFFSET('EDP Proyectado'!AO133,0,-'Ingreso Proyectado_Edu'!$P133)+0)),0)</f>
        <v>0</v>
      </c>
      <c r="AO133" s="169">
        <f ca="1">+IFERROR(IF(ISNUMBER(OFFSET('EDP Proyectado'!AP133,0,-'Ingreso Proyectado_Edu'!$P133))&lt;&gt;0,IF(OFFSET('EDP Proyectado'!AP133,0,-'Ingreso Proyectado_Edu'!$P133)+0&lt;=1,0,OFFSET('EDP Proyectado'!AP133,0,-'Ingreso Proyectado_Edu'!$P133)+0)),0)</f>
        <v>0</v>
      </c>
      <c r="AP133" s="170">
        <f ca="1">+IFERROR(IF(ISNUMBER(OFFSET('EDP Proyectado'!AQ133,0,-'Ingreso Proyectado_Edu'!$P133))&lt;&gt;0,IF(OFFSET('EDP Proyectado'!AQ133,0,-'Ingreso Proyectado_Edu'!$P133)+0&lt;=1,0,OFFSET('EDP Proyectado'!AQ133,0,-'Ingreso Proyectado_Edu'!$P133)+0)),0)</f>
        <v>0</v>
      </c>
    </row>
    <row r="134" spans="3:42" x14ac:dyDescent="0.2">
      <c r="C134" s="110">
        <f>+'Gantt Proyectos'!C202</f>
        <v>0</v>
      </c>
      <c r="D134" s="110">
        <f>+'Gantt Proyectos'!D202</f>
        <v>0</v>
      </c>
      <c r="E134" s="110">
        <f>+'Gantt Proyectos'!E202</f>
        <v>0</v>
      </c>
      <c r="F134" s="148">
        <f>+'Gantt Proyectos'!F202</f>
        <v>0</v>
      </c>
      <c r="G134" s="110">
        <f>+'Gantt Proyectos'!G202</f>
        <v>0</v>
      </c>
      <c r="H134" s="110">
        <f>+'Gantt Proyectos'!H202</f>
        <v>0</v>
      </c>
      <c r="I134" s="189">
        <v>1</v>
      </c>
      <c r="J134" s="189">
        <f t="shared" si="12"/>
        <v>0</v>
      </c>
      <c r="K134" s="110">
        <f>+'Gantt Proyectos'!I202</f>
        <v>0</v>
      </c>
      <c r="L134" s="110">
        <f>+'Gantt Proyectos'!J202</f>
        <v>0</v>
      </c>
      <c r="M134" s="110">
        <f>+'Gantt Proyectos'!K202</f>
        <v>0</v>
      </c>
      <c r="N134" s="110">
        <f>+'Gantt Proyectos'!L202</f>
        <v>0</v>
      </c>
      <c r="O134" s="110">
        <f>+'Gantt Proyectos'!M202</f>
        <v>0</v>
      </c>
      <c r="P134" s="110">
        <f>+'Gantt Proyectos'!N202</f>
        <v>0</v>
      </c>
      <c r="Q134" s="110">
        <f>+'Gantt Proyectos'!O202</f>
        <v>0</v>
      </c>
      <c r="R134" s="110">
        <f>+'Gantt Proyectos'!P202</f>
        <v>0</v>
      </c>
      <c r="S134" s="110">
        <f>+'Gantt Proyectos'!R202</f>
        <v>0</v>
      </c>
      <c r="T134" s="118">
        <f>+'Gantt Proyectos'!S202</f>
        <v>0</v>
      </c>
      <c r="U134" s="157">
        <f>+'Gantt Proyectos'!T202</f>
        <v>0</v>
      </c>
      <c r="V134" s="157">
        <f>+'Gantt Proyectos'!U202</f>
        <v>0</v>
      </c>
      <c r="W134" s="201">
        <f t="shared" si="13"/>
        <v>0</v>
      </c>
      <c r="X134" s="110">
        <f>+'Gantt Proyectos'!W202</f>
        <v>0</v>
      </c>
      <c r="Y134" s="110">
        <f>+'Gantt Proyectos'!X202</f>
        <v>0</v>
      </c>
      <c r="Z134" s="110">
        <f>+'Gantt Proyectos'!Y202</f>
        <v>0</v>
      </c>
      <c r="AA134" s="110">
        <f>+'Gantt Proyectos'!Z202</f>
        <v>0</v>
      </c>
      <c r="AB134" s="110">
        <f>+'Gantt Proyectos'!AA202</f>
        <v>0</v>
      </c>
      <c r="AC134" s="110">
        <f>+'Gantt Proyectos'!AB202</f>
        <v>0</v>
      </c>
      <c r="AD134" s="110">
        <f>+'Gantt Proyectos'!AC202</f>
        <v>0</v>
      </c>
      <c r="AE134" s="110">
        <f>+'Gantt Proyectos'!AD202</f>
        <v>0</v>
      </c>
      <c r="AF134" s="110">
        <f>+'Gantt Proyectos'!AE202</f>
        <v>0</v>
      </c>
      <c r="AG134" s="172">
        <v>1</v>
      </c>
      <c r="AH134" s="169">
        <f ca="1">+IFERROR(IF(ISNUMBER(OFFSET('EDP Proyectado'!AI134,0,-'Ingreso Proyectado_Edu'!$P134))&lt;&gt;0,IF(OFFSET('EDP Proyectado'!AI134,0,-'Ingreso Proyectado_Edu'!$P134)+0&lt;=1,0,OFFSET('EDP Proyectado'!AI134,0,-'Ingreso Proyectado_Edu'!$P134)+0)),0)</f>
        <v>0</v>
      </c>
      <c r="AI134" s="169">
        <f ca="1">+IFERROR(IF(ISNUMBER(OFFSET('EDP Proyectado'!AJ134,0,-'Ingreso Proyectado_Edu'!$P134))&lt;&gt;0,IF(OFFSET('EDP Proyectado'!AJ134,0,-'Ingreso Proyectado_Edu'!$P134)+0&lt;=1,0,OFFSET('EDP Proyectado'!AJ134,0,-'Ingreso Proyectado_Edu'!$P134)+0)),0)</f>
        <v>0</v>
      </c>
      <c r="AJ134" s="169">
        <f ca="1">+IFERROR(IF(ISNUMBER(OFFSET('EDP Proyectado'!AK134,0,-'Ingreso Proyectado_Edu'!$P134))&lt;&gt;0,IF(OFFSET('EDP Proyectado'!AK134,0,-'Ingreso Proyectado_Edu'!$P134)+0&lt;=1,0,OFFSET('EDP Proyectado'!AK134,0,-'Ingreso Proyectado_Edu'!$P134)+0)),0)</f>
        <v>0</v>
      </c>
      <c r="AK134" s="169">
        <f ca="1">+IFERROR(IF(ISNUMBER(OFFSET('EDP Proyectado'!AL134,0,-'Ingreso Proyectado_Edu'!$P134))&lt;&gt;0,IF(OFFSET('EDP Proyectado'!AL134,0,-'Ingreso Proyectado_Edu'!$P134)+0&lt;=1,0,OFFSET('EDP Proyectado'!AL134,0,-'Ingreso Proyectado_Edu'!$P134)+0)),0)</f>
        <v>0</v>
      </c>
      <c r="AL134" s="169">
        <f ca="1">+IFERROR(IF(ISNUMBER(OFFSET('EDP Proyectado'!AM134,0,-'Ingreso Proyectado_Edu'!$P134))&lt;&gt;0,IF(OFFSET('EDP Proyectado'!AM134,0,-'Ingreso Proyectado_Edu'!$P134)+0&lt;=1,0,OFFSET('EDP Proyectado'!AM134,0,-'Ingreso Proyectado_Edu'!$P134)+0)),0)</f>
        <v>0</v>
      </c>
      <c r="AM134" s="169">
        <f ca="1">+IFERROR(IF(ISNUMBER(OFFSET('EDP Proyectado'!AN134,0,-'Ingreso Proyectado_Edu'!$P134))&lt;&gt;0,IF(OFFSET('EDP Proyectado'!AN134,0,-'Ingreso Proyectado_Edu'!$P134)+0&lt;=1,0,OFFSET('EDP Proyectado'!AN134,0,-'Ingreso Proyectado_Edu'!$P134)+0)),0)</f>
        <v>0</v>
      </c>
      <c r="AN134" s="169">
        <f ca="1">+IFERROR(IF(ISNUMBER(OFFSET('EDP Proyectado'!AO134,0,-'Ingreso Proyectado_Edu'!$P134))&lt;&gt;0,IF(OFFSET('EDP Proyectado'!AO134,0,-'Ingreso Proyectado_Edu'!$P134)+0&lt;=1,0,OFFSET('EDP Proyectado'!AO134,0,-'Ingreso Proyectado_Edu'!$P134)+0)),0)</f>
        <v>0</v>
      </c>
      <c r="AO134" s="169">
        <f ca="1">+IFERROR(IF(ISNUMBER(OFFSET('EDP Proyectado'!AP134,0,-'Ingreso Proyectado_Edu'!$P134))&lt;&gt;0,IF(OFFSET('EDP Proyectado'!AP134,0,-'Ingreso Proyectado_Edu'!$P134)+0&lt;=1,0,OFFSET('EDP Proyectado'!AP134,0,-'Ingreso Proyectado_Edu'!$P134)+0)),0)</f>
        <v>0</v>
      </c>
      <c r="AP134" s="170">
        <f ca="1">+IFERROR(IF(ISNUMBER(OFFSET('EDP Proyectado'!AQ134,0,-'Ingreso Proyectado_Edu'!$P134))&lt;&gt;0,IF(OFFSET('EDP Proyectado'!AQ134,0,-'Ingreso Proyectado_Edu'!$P134)+0&lt;=1,0,OFFSET('EDP Proyectado'!AQ134,0,-'Ingreso Proyectado_Edu'!$P134)+0)),0)</f>
        <v>0</v>
      </c>
    </row>
    <row r="135" spans="3:42" x14ac:dyDescent="0.2">
      <c r="C135" s="110">
        <f>+'Gantt Proyectos'!C203</f>
        <v>0</v>
      </c>
      <c r="D135" s="110">
        <f>+'Gantt Proyectos'!D203</f>
        <v>0</v>
      </c>
      <c r="E135" s="110">
        <f>+'Gantt Proyectos'!E203</f>
        <v>0</v>
      </c>
      <c r="F135" s="148">
        <f>+'Gantt Proyectos'!F203</f>
        <v>0</v>
      </c>
      <c r="G135" s="110">
        <f>+'Gantt Proyectos'!G203</f>
        <v>0</v>
      </c>
      <c r="H135" s="110">
        <f>+'Gantt Proyectos'!H203</f>
        <v>0</v>
      </c>
      <c r="I135" s="189">
        <v>1</v>
      </c>
      <c r="J135" s="189">
        <f t="shared" si="12"/>
        <v>0</v>
      </c>
      <c r="K135" s="110">
        <f>+'Gantt Proyectos'!I203</f>
        <v>0</v>
      </c>
      <c r="L135" s="110">
        <f>+'Gantt Proyectos'!J203</f>
        <v>0</v>
      </c>
      <c r="M135" s="110">
        <f>+'Gantt Proyectos'!K203</f>
        <v>0</v>
      </c>
      <c r="N135" s="110">
        <f>+'Gantt Proyectos'!L203</f>
        <v>0</v>
      </c>
      <c r="O135" s="110">
        <f>+'Gantt Proyectos'!M203</f>
        <v>0</v>
      </c>
      <c r="P135" s="110">
        <f>+'Gantt Proyectos'!N203</f>
        <v>0</v>
      </c>
      <c r="Q135" s="110">
        <f>+'Gantt Proyectos'!O203</f>
        <v>0</v>
      </c>
      <c r="R135" s="110">
        <f>+'Gantt Proyectos'!P203</f>
        <v>0</v>
      </c>
      <c r="S135" s="110">
        <f>+'Gantt Proyectos'!R203</f>
        <v>0</v>
      </c>
      <c r="T135" s="118">
        <f>+'Gantt Proyectos'!S203</f>
        <v>0</v>
      </c>
      <c r="U135" s="157">
        <f>+'Gantt Proyectos'!T203</f>
        <v>0</v>
      </c>
      <c r="V135" s="157">
        <f>+'Gantt Proyectos'!U203</f>
        <v>0</v>
      </c>
      <c r="W135" s="201">
        <f t="shared" si="13"/>
        <v>0</v>
      </c>
      <c r="X135" s="110">
        <f>+'Gantt Proyectos'!W203</f>
        <v>0</v>
      </c>
      <c r="Y135" s="110">
        <f>+'Gantt Proyectos'!X203</f>
        <v>0</v>
      </c>
      <c r="Z135" s="110">
        <f>+'Gantt Proyectos'!Y203</f>
        <v>0</v>
      </c>
      <c r="AA135" s="110">
        <f>+'Gantt Proyectos'!Z203</f>
        <v>0</v>
      </c>
      <c r="AB135" s="110">
        <f>+'Gantt Proyectos'!AA203</f>
        <v>0</v>
      </c>
      <c r="AC135" s="110">
        <f>+'Gantt Proyectos'!AB203</f>
        <v>0</v>
      </c>
      <c r="AD135" s="110">
        <f>+'Gantt Proyectos'!AC203</f>
        <v>0</v>
      </c>
      <c r="AE135" s="110">
        <f>+'Gantt Proyectos'!AD203</f>
        <v>0</v>
      </c>
      <c r="AF135" s="110">
        <f>+'Gantt Proyectos'!AE203</f>
        <v>0</v>
      </c>
      <c r="AG135" s="172">
        <v>1</v>
      </c>
      <c r="AH135" s="169">
        <f ca="1">+IFERROR(IF(ISNUMBER(OFFSET('EDP Proyectado'!AI135,0,-'Ingreso Proyectado_Edu'!$P135))&lt;&gt;0,IF(OFFSET('EDP Proyectado'!AI135,0,-'Ingreso Proyectado_Edu'!$P135)+0&lt;=1,0,OFFSET('EDP Proyectado'!AI135,0,-'Ingreso Proyectado_Edu'!$P135)+0)),0)</f>
        <v>0</v>
      </c>
      <c r="AI135" s="169">
        <f ca="1">+IFERROR(IF(ISNUMBER(OFFSET('EDP Proyectado'!AJ135,0,-'Ingreso Proyectado_Edu'!$P135))&lt;&gt;0,IF(OFFSET('EDP Proyectado'!AJ135,0,-'Ingreso Proyectado_Edu'!$P135)+0&lt;=1,0,OFFSET('EDP Proyectado'!AJ135,0,-'Ingreso Proyectado_Edu'!$P135)+0)),0)</f>
        <v>0</v>
      </c>
      <c r="AJ135" s="169">
        <f ca="1">+IFERROR(IF(ISNUMBER(OFFSET('EDP Proyectado'!AK135,0,-'Ingreso Proyectado_Edu'!$P135))&lt;&gt;0,IF(OFFSET('EDP Proyectado'!AK135,0,-'Ingreso Proyectado_Edu'!$P135)+0&lt;=1,0,OFFSET('EDP Proyectado'!AK135,0,-'Ingreso Proyectado_Edu'!$P135)+0)),0)</f>
        <v>0</v>
      </c>
      <c r="AK135" s="169">
        <f ca="1">+IFERROR(IF(ISNUMBER(OFFSET('EDP Proyectado'!AL135,0,-'Ingreso Proyectado_Edu'!$P135))&lt;&gt;0,IF(OFFSET('EDP Proyectado'!AL135,0,-'Ingreso Proyectado_Edu'!$P135)+0&lt;=1,0,OFFSET('EDP Proyectado'!AL135,0,-'Ingreso Proyectado_Edu'!$P135)+0)),0)</f>
        <v>0</v>
      </c>
      <c r="AL135" s="169">
        <f ca="1">+IFERROR(IF(ISNUMBER(OFFSET('EDP Proyectado'!AM135,0,-'Ingreso Proyectado_Edu'!$P135))&lt;&gt;0,IF(OFFSET('EDP Proyectado'!AM135,0,-'Ingreso Proyectado_Edu'!$P135)+0&lt;=1,0,OFFSET('EDP Proyectado'!AM135,0,-'Ingreso Proyectado_Edu'!$P135)+0)),0)</f>
        <v>0</v>
      </c>
      <c r="AM135" s="169">
        <f ca="1">+IFERROR(IF(ISNUMBER(OFFSET('EDP Proyectado'!AN135,0,-'Ingreso Proyectado_Edu'!$P135))&lt;&gt;0,IF(OFFSET('EDP Proyectado'!AN135,0,-'Ingreso Proyectado_Edu'!$P135)+0&lt;=1,0,OFFSET('EDP Proyectado'!AN135,0,-'Ingreso Proyectado_Edu'!$P135)+0)),0)</f>
        <v>0</v>
      </c>
      <c r="AN135" s="169">
        <f ca="1">+IFERROR(IF(ISNUMBER(OFFSET('EDP Proyectado'!AO135,0,-'Ingreso Proyectado_Edu'!$P135))&lt;&gt;0,IF(OFFSET('EDP Proyectado'!AO135,0,-'Ingreso Proyectado_Edu'!$P135)+0&lt;=1,0,OFFSET('EDP Proyectado'!AO135,0,-'Ingreso Proyectado_Edu'!$P135)+0)),0)</f>
        <v>0</v>
      </c>
      <c r="AO135" s="169">
        <f ca="1">+IFERROR(IF(ISNUMBER(OFFSET('EDP Proyectado'!AP135,0,-'Ingreso Proyectado_Edu'!$P135))&lt;&gt;0,IF(OFFSET('EDP Proyectado'!AP135,0,-'Ingreso Proyectado_Edu'!$P135)+0&lt;=1,0,OFFSET('EDP Proyectado'!AP135,0,-'Ingreso Proyectado_Edu'!$P135)+0)),0)</f>
        <v>0</v>
      </c>
      <c r="AP135" s="170">
        <f ca="1">+IFERROR(IF(ISNUMBER(OFFSET('EDP Proyectado'!AQ135,0,-'Ingreso Proyectado_Edu'!$P135))&lt;&gt;0,IF(OFFSET('EDP Proyectado'!AQ135,0,-'Ingreso Proyectado_Edu'!$P135)+0&lt;=1,0,OFFSET('EDP Proyectado'!AQ135,0,-'Ingreso Proyectado_Edu'!$P135)+0)),0)</f>
        <v>0</v>
      </c>
    </row>
    <row r="136" spans="3:42" x14ac:dyDescent="0.2">
      <c r="C136" s="110">
        <f>+'Gantt Proyectos'!C204</f>
        <v>0</v>
      </c>
      <c r="D136" s="110">
        <f>+'Gantt Proyectos'!D204</f>
        <v>0</v>
      </c>
      <c r="E136" s="110">
        <f>+'Gantt Proyectos'!E204</f>
        <v>0</v>
      </c>
      <c r="F136" s="148">
        <f>+'Gantt Proyectos'!F204</f>
        <v>0</v>
      </c>
      <c r="G136" s="110">
        <f>+'Gantt Proyectos'!G204</f>
        <v>0</v>
      </c>
      <c r="H136" s="110">
        <f>+'Gantt Proyectos'!H204</f>
        <v>0</v>
      </c>
      <c r="I136" s="189">
        <v>1</v>
      </c>
      <c r="J136" s="189">
        <f t="shared" si="12"/>
        <v>0</v>
      </c>
      <c r="K136" s="110">
        <f>+'Gantt Proyectos'!I204</f>
        <v>0</v>
      </c>
      <c r="L136" s="110">
        <f>+'Gantt Proyectos'!J204</f>
        <v>0</v>
      </c>
      <c r="M136" s="110">
        <f>+'Gantt Proyectos'!K204</f>
        <v>0</v>
      </c>
      <c r="N136" s="110">
        <f>+'Gantt Proyectos'!L204</f>
        <v>0</v>
      </c>
      <c r="O136" s="110">
        <f>+'Gantt Proyectos'!M204</f>
        <v>0</v>
      </c>
      <c r="P136" s="110">
        <f>+'Gantt Proyectos'!N204</f>
        <v>0</v>
      </c>
      <c r="Q136" s="110">
        <f>+'Gantt Proyectos'!O204</f>
        <v>0</v>
      </c>
      <c r="R136" s="110">
        <f>+'Gantt Proyectos'!P204</f>
        <v>0</v>
      </c>
      <c r="S136" s="110">
        <f>+'Gantt Proyectos'!R204</f>
        <v>0</v>
      </c>
      <c r="T136" s="118">
        <f>+'Gantt Proyectos'!S204</f>
        <v>0</v>
      </c>
      <c r="U136" s="157">
        <f>+'Gantt Proyectos'!T204</f>
        <v>0</v>
      </c>
      <c r="V136" s="157">
        <f>+'Gantt Proyectos'!U204</f>
        <v>0</v>
      </c>
      <c r="W136" s="201">
        <f t="shared" si="13"/>
        <v>0</v>
      </c>
      <c r="X136" s="110">
        <f>+'Gantt Proyectos'!W204</f>
        <v>0</v>
      </c>
      <c r="Y136" s="110">
        <f>+'Gantt Proyectos'!X204</f>
        <v>0</v>
      </c>
      <c r="Z136" s="110">
        <f>+'Gantt Proyectos'!Y204</f>
        <v>0</v>
      </c>
      <c r="AA136" s="110">
        <f>+'Gantt Proyectos'!Z204</f>
        <v>0</v>
      </c>
      <c r="AB136" s="110">
        <f>+'Gantt Proyectos'!AA204</f>
        <v>0</v>
      </c>
      <c r="AC136" s="110">
        <f>+'Gantt Proyectos'!AB204</f>
        <v>0</v>
      </c>
      <c r="AD136" s="110">
        <f>+'Gantt Proyectos'!AC204</f>
        <v>0</v>
      </c>
      <c r="AE136" s="110">
        <f>+'Gantt Proyectos'!AD204</f>
        <v>0</v>
      </c>
      <c r="AF136" s="110">
        <f>+'Gantt Proyectos'!AE204</f>
        <v>0</v>
      </c>
      <c r="AG136" s="172">
        <v>1</v>
      </c>
      <c r="AH136" s="169">
        <f ca="1">+IFERROR(IF(ISNUMBER(OFFSET('EDP Proyectado'!AI136,0,-'Ingreso Proyectado_Edu'!$P136))&lt;&gt;0,IF(OFFSET('EDP Proyectado'!AI136,0,-'Ingreso Proyectado_Edu'!$P136)+0&lt;=1,0,OFFSET('EDP Proyectado'!AI136,0,-'Ingreso Proyectado_Edu'!$P136)+0)),0)</f>
        <v>0</v>
      </c>
      <c r="AI136" s="169">
        <f ca="1">+IFERROR(IF(ISNUMBER(OFFSET('EDP Proyectado'!AJ136,0,-'Ingreso Proyectado_Edu'!$P136))&lt;&gt;0,IF(OFFSET('EDP Proyectado'!AJ136,0,-'Ingreso Proyectado_Edu'!$P136)+0&lt;=1,0,OFFSET('EDP Proyectado'!AJ136,0,-'Ingreso Proyectado_Edu'!$P136)+0)),0)</f>
        <v>0</v>
      </c>
      <c r="AJ136" s="169">
        <f ca="1">+IFERROR(IF(ISNUMBER(OFFSET('EDP Proyectado'!AK136,0,-'Ingreso Proyectado_Edu'!$P136))&lt;&gt;0,IF(OFFSET('EDP Proyectado'!AK136,0,-'Ingreso Proyectado_Edu'!$P136)+0&lt;=1,0,OFFSET('EDP Proyectado'!AK136,0,-'Ingreso Proyectado_Edu'!$P136)+0)),0)</f>
        <v>0</v>
      </c>
      <c r="AK136" s="169">
        <f ca="1">+IFERROR(IF(ISNUMBER(OFFSET('EDP Proyectado'!AL136,0,-'Ingreso Proyectado_Edu'!$P136))&lt;&gt;0,IF(OFFSET('EDP Proyectado'!AL136,0,-'Ingreso Proyectado_Edu'!$P136)+0&lt;=1,0,OFFSET('EDP Proyectado'!AL136,0,-'Ingreso Proyectado_Edu'!$P136)+0)),0)</f>
        <v>0</v>
      </c>
      <c r="AL136" s="169">
        <f ca="1">+IFERROR(IF(ISNUMBER(OFFSET('EDP Proyectado'!AM136,0,-'Ingreso Proyectado_Edu'!$P136))&lt;&gt;0,IF(OFFSET('EDP Proyectado'!AM136,0,-'Ingreso Proyectado_Edu'!$P136)+0&lt;=1,0,OFFSET('EDP Proyectado'!AM136,0,-'Ingreso Proyectado_Edu'!$P136)+0)),0)</f>
        <v>0</v>
      </c>
      <c r="AM136" s="169">
        <f ca="1">+IFERROR(IF(ISNUMBER(OFFSET('EDP Proyectado'!AN136,0,-'Ingreso Proyectado_Edu'!$P136))&lt;&gt;0,IF(OFFSET('EDP Proyectado'!AN136,0,-'Ingreso Proyectado_Edu'!$P136)+0&lt;=1,0,OFFSET('EDP Proyectado'!AN136,0,-'Ingreso Proyectado_Edu'!$P136)+0)),0)</f>
        <v>0</v>
      </c>
      <c r="AN136" s="169">
        <f ca="1">+IFERROR(IF(ISNUMBER(OFFSET('EDP Proyectado'!AO136,0,-'Ingreso Proyectado_Edu'!$P136))&lt;&gt;0,IF(OFFSET('EDP Proyectado'!AO136,0,-'Ingreso Proyectado_Edu'!$P136)+0&lt;=1,0,OFFSET('EDP Proyectado'!AO136,0,-'Ingreso Proyectado_Edu'!$P136)+0)),0)</f>
        <v>0</v>
      </c>
      <c r="AO136" s="169">
        <f ca="1">+IFERROR(IF(ISNUMBER(OFFSET('EDP Proyectado'!AP136,0,-'Ingreso Proyectado_Edu'!$P136))&lt;&gt;0,IF(OFFSET('EDP Proyectado'!AP136,0,-'Ingreso Proyectado_Edu'!$P136)+0&lt;=1,0,OFFSET('EDP Proyectado'!AP136,0,-'Ingreso Proyectado_Edu'!$P136)+0)),0)</f>
        <v>0</v>
      </c>
      <c r="AP136" s="170">
        <f ca="1">+IFERROR(IF(ISNUMBER(OFFSET('EDP Proyectado'!AQ136,0,-'Ingreso Proyectado_Edu'!$P136))&lt;&gt;0,IF(OFFSET('EDP Proyectado'!AQ136,0,-'Ingreso Proyectado_Edu'!$P136)+0&lt;=1,0,OFFSET('EDP Proyectado'!AQ136,0,-'Ingreso Proyectado_Edu'!$P136)+0)),0)</f>
        <v>0</v>
      </c>
    </row>
    <row r="137" spans="3:42" x14ac:dyDescent="0.2">
      <c r="C137" s="110">
        <f>+'Gantt Proyectos'!C205</f>
        <v>0</v>
      </c>
      <c r="D137" s="110">
        <f>+'Gantt Proyectos'!D205</f>
        <v>0</v>
      </c>
      <c r="E137" s="110">
        <f>+'Gantt Proyectos'!E205</f>
        <v>0</v>
      </c>
      <c r="F137" s="148">
        <f>+'Gantt Proyectos'!F205</f>
        <v>0</v>
      </c>
      <c r="G137" s="110">
        <f>+'Gantt Proyectos'!G205</f>
        <v>0</v>
      </c>
      <c r="H137" s="110">
        <f>+'Gantt Proyectos'!H205</f>
        <v>0</v>
      </c>
      <c r="I137" s="189">
        <v>1</v>
      </c>
      <c r="J137" s="189">
        <f t="shared" si="12"/>
        <v>0</v>
      </c>
      <c r="K137" s="110">
        <f>+'Gantt Proyectos'!I205</f>
        <v>0</v>
      </c>
      <c r="L137" s="110">
        <f>+'Gantt Proyectos'!J205</f>
        <v>0</v>
      </c>
      <c r="M137" s="110">
        <f>+'Gantt Proyectos'!K205</f>
        <v>0</v>
      </c>
      <c r="N137" s="110">
        <f>+'Gantt Proyectos'!L205</f>
        <v>0</v>
      </c>
      <c r="O137" s="110">
        <f>+'Gantt Proyectos'!M205</f>
        <v>0</v>
      </c>
      <c r="P137" s="110">
        <f>+'Gantt Proyectos'!N205</f>
        <v>0</v>
      </c>
      <c r="Q137" s="110">
        <f>+'Gantt Proyectos'!O205</f>
        <v>0</v>
      </c>
      <c r="R137" s="110">
        <f>+'Gantt Proyectos'!P205</f>
        <v>0</v>
      </c>
      <c r="S137" s="110">
        <f>+'Gantt Proyectos'!R205</f>
        <v>0</v>
      </c>
      <c r="T137" s="118">
        <f>+'Gantt Proyectos'!S205</f>
        <v>0</v>
      </c>
      <c r="U137" s="157">
        <f>+'Gantt Proyectos'!T205</f>
        <v>0</v>
      </c>
      <c r="V137" s="157">
        <f>+'Gantt Proyectos'!U205</f>
        <v>0</v>
      </c>
      <c r="W137" s="201">
        <f t="shared" si="13"/>
        <v>0</v>
      </c>
      <c r="X137" s="110">
        <f>+'Gantt Proyectos'!W205</f>
        <v>0</v>
      </c>
      <c r="Y137" s="110">
        <f>+'Gantt Proyectos'!X205</f>
        <v>0</v>
      </c>
      <c r="Z137" s="110">
        <f>+'Gantt Proyectos'!Y205</f>
        <v>0</v>
      </c>
      <c r="AA137" s="110">
        <f>+'Gantt Proyectos'!Z205</f>
        <v>0</v>
      </c>
      <c r="AB137" s="110">
        <f>+'Gantt Proyectos'!AA205</f>
        <v>0</v>
      </c>
      <c r="AC137" s="110">
        <f>+'Gantt Proyectos'!AB205</f>
        <v>0</v>
      </c>
      <c r="AD137" s="110">
        <f>+'Gantt Proyectos'!AC205</f>
        <v>0</v>
      </c>
      <c r="AE137" s="110">
        <f>+'Gantt Proyectos'!AD205</f>
        <v>0</v>
      </c>
      <c r="AF137" s="110">
        <f>+'Gantt Proyectos'!AE205</f>
        <v>0</v>
      </c>
      <c r="AG137" s="172">
        <v>1</v>
      </c>
      <c r="AH137" s="169">
        <f ca="1">+IFERROR(IF(ISNUMBER(OFFSET('EDP Proyectado'!AI137,0,-'Ingreso Proyectado_Edu'!$P137))&lt;&gt;0,IF(OFFSET('EDP Proyectado'!AI137,0,-'Ingreso Proyectado_Edu'!$P137)+0&lt;=1,0,OFFSET('EDP Proyectado'!AI137,0,-'Ingreso Proyectado_Edu'!$P137)+0)),0)</f>
        <v>0</v>
      </c>
      <c r="AI137" s="169">
        <f ca="1">+IFERROR(IF(ISNUMBER(OFFSET('EDP Proyectado'!AJ137,0,-'Ingreso Proyectado_Edu'!$P137))&lt;&gt;0,IF(OFFSET('EDP Proyectado'!AJ137,0,-'Ingreso Proyectado_Edu'!$P137)+0&lt;=1,0,OFFSET('EDP Proyectado'!AJ137,0,-'Ingreso Proyectado_Edu'!$P137)+0)),0)</f>
        <v>0</v>
      </c>
      <c r="AJ137" s="169">
        <f ca="1">+IFERROR(IF(ISNUMBER(OFFSET('EDP Proyectado'!AK137,0,-'Ingreso Proyectado_Edu'!$P137))&lt;&gt;0,IF(OFFSET('EDP Proyectado'!AK137,0,-'Ingreso Proyectado_Edu'!$P137)+0&lt;=1,0,OFFSET('EDP Proyectado'!AK137,0,-'Ingreso Proyectado_Edu'!$P137)+0)),0)</f>
        <v>0</v>
      </c>
      <c r="AK137" s="169">
        <f ca="1">+IFERROR(IF(ISNUMBER(OFFSET('EDP Proyectado'!AL137,0,-'Ingreso Proyectado_Edu'!$P137))&lt;&gt;0,IF(OFFSET('EDP Proyectado'!AL137,0,-'Ingreso Proyectado_Edu'!$P137)+0&lt;=1,0,OFFSET('EDP Proyectado'!AL137,0,-'Ingreso Proyectado_Edu'!$P137)+0)),0)</f>
        <v>0</v>
      </c>
      <c r="AL137" s="169">
        <f ca="1">+IFERROR(IF(ISNUMBER(OFFSET('EDP Proyectado'!AM137,0,-'Ingreso Proyectado_Edu'!$P137))&lt;&gt;0,IF(OFFSET('EDP Proyectado'!AM137,0,-'Ingreso Proyectado_Edu'!$P137)+0&lt;=1,0,OFFSET('EDP Proyectado'!AM137,0,-'Ingreso Proyectado_Edu'!$P137)+0)),0)</f>
        <v>0</v>
      </c>
      <c r="AM137" s="169">
        <f ca="1">+IFERROR(IF(ISNUMBER(OFFSET('EDP Proyectado'!AN137,0,-'Ingreso Proyectado_Edu'!$P137))&lt;&gt;0,IF(OFFSET('EDP Proyectado'!AN137,0,-'Ingreso Proyectado_Edu'!$P137)+0&lt;=1,0,OFFSET('EDP Proyectado'!AN137,0,-'Ingreso Proyectado_Edu'!$P137)+0)),0)</f>
        <v>0</v>
      </c>
      <c r="AN137" s="169">
        <f ca="1">+IFERROR(IF(ISNUMBER(OFFSET('EDP Proyectado'!AO137,0,-'Ingreso Proyectado_Edu'!$P137))&lt;&gt;0,IF(OFFSET('EDP Proyectado'!AO137,0,-'Ingreso Proyectado_Edu'!$P137)+0&lt;=1,0,OFFSET('EDP Proyectado'!AO137,0,-'Ingreso Proyectado_Edu'!$P137)+0)),0)</f>
        <v>0</v>
      </c>
      <c r="AO137" s="169">
        <f ca="1">+IFERROR(IF(ISNUMBER(OFFSET('EDP Proyectado'!AP137,0,-'Ingreso Proyectado_Edu'!$P137))&lt;&gt;0,IF(OFFSET('EDP Proyectado'!AP137,0,-'Ingreso Proyectado_Edu'!$P137)+0&lt;=1,0,OFFSET('EDP Proyectado'!AP137,0,-'Ingreso Proyectado_Edu'!$P137)+0)),0)</f>
        <v>0</v>
      </c>
      <c r="AP137" s="170">
        <f ca="1">+IFERROR(IF(ISNUMBER(OFFSET('EDP Proyectado'!AQ137,0,-'Ingreso Proyectado_Edu'!$P137))&lt;&gt;0,IF(OFFSET('EDP Proyectado'!AQ137,0,-'Ingreso Proyectado_Edu'!$P137)+0&lt;=1,0,OFFSET('EDP Proyectado'!AQ137,0,-'Ingreso Proyectado_Edu'!$P137)+0)),0)</f>
        <v>0</v>
      </c>
    </row>
    <row r="138" spans="3:42" x14ac:dyDescent="0.2">
      <c r="C138" s="110">
        <f>+'Gantt Proyectos'!C206</f>
        <v>0</v>
      </c>
      <c r="D138" s="110">
        <f>+'Gantt Proyectos'!D206</f>
        <v>0</v>
      </c>
      <c r="E138" s="110">
        <f>+'Gantt Proyectos'!E206</f>
        <v>0</v>
      </c>
      <c r="F138" s="148">
        <f>+'Gantt Proyectos'!F206</f>
        <v>0</v>
      </c>
      <c r="G138" s="110">
        <f>+'Gantt Proyectos'!G206</f>
        <v>0</v>
      </c>
      <c r="H138" s="110">
        <f>+'Gantt Proyectos'!H206</f>
        <v>0</v>
      </c>
      <c r="I138" s="189">
        <v>1</v>
      </c>
      <c r="J138" s="189">
        <f t="shared" si="12"/>
        <v>0</v>
      </c>
      <c r="K138" s="110">
        <f>+'Gantt Proyectos'!I206</f>
        <v>0</v>
      </c>
      <c r="L138" s="110">
        <f>+'Gantt Proyectos'!J206</f>
        <v>0</v>
      </c>
      <c r="M138" s="110">
        <f>+'Gantt Proyectos'!K206</f>
        <v>0</v>
      </c>
      <c r="N138" s="110">
        <f>+'Gantt Proyectos'!L206</f>
        <v>0</v>
      </c>
      <c r="O138" s="110">
        <f>+'Gantt Proyectos'!M206</f>
        <v>0</v>
      </c>
      <c r="P138" s="110">
        <f>+'Gantt Proyectos'!N206</f>
        <v>0</v>
      </c>
      <c r="Q138" s="110">
        <f>+'Gantt Proyectos'!O206</f>
        <v>0</v>
      </c>
      <c r="R138" s="110">
        <f>+'Gantt Proyectos'!P206</f>
        <v>0</v>
      </c>
      <c r="S138" s="110">
        <f>+'Gantt Proyectos'!R206</f>
        <v>0</v>
      </c>
      <c r="T138" s="118">
        <f>+'Gantt Proyectos'!S206</f>
        <v>0</v>
      </c>
      <c r="U138" s="157">
        <f>+'Gantt Proyectos'!T206</f>
        <v>0</v>
      </c>
      <c r="V138" s="157">
        <f>+'Gantt Proyectos'!U206</f>
        <v>0</v>
      </c>
      <c r="W138" s="201">
        <f t="shared" si="13"/>
        <v>0</v>
      </c>
      <c r="X138" s="110">
        <f>+'Gantt Proyectos'!W206</f>
        <v>0</v>
      </c>
      <c r="Y138" s="110">
        <f>+'Gantt Proyectos'!X206</f>
        <v>0</v>
      </c>
      <c r="Z138" s="110">
        <f>+'Gantt Proyectos'!Y206</f>
        <v>0</v>
      </c>
      <c r="AA138" s="110">
        <f>+'Gantt Proyectos'!Z206</f>
        <v>0</v>
      </c>
      <c r="AB138" s="110">
        <f>+'Gantt Proyectos'!AA206</f>
        <v>0</v>
      </c>
      <c r="AC138" s="110">
        <f>+'Gantt Proyectos'!AB206</f>
        <v>0</v>
      </c>
      <c r="AD138" s="110">
        <f>+'Gantt Proyectos'!AC206</f>
        <v>0</v>
      </c>
      <c r="AE138" s="110">
        <f>+'Gantt Proyectos'!AD206</f>
        <v>0</v>
      </c>
      <c r="AF138" s="110">
        <f>+'Gantt Proyectos'!AE206</f>
        <v>0</v>
      </c>
      <c r="AG138" s="172">
        <v>1</v>
      </c>
      <c r="AH138" s="169">
        <f ca="1">+IFERROR(IF(ISNUMBER(OFFSET('EDP Proyectado'!AI138,0,-'Ingreso Proyectado_Edu'!$P138))&lt;&gt;0,IF(OFFSET('EDP Proyectado'!AI138,0,-'Ingreso Proyectado_Edu'!$P138)+0&lt;=1,0,OFFSET('EDP Proyectado'!AI138,0,-'Ingreso Proyectado_Edu'!$P138)+0)),0)</f>
        <v>0</v>
      </c>
      <c r="AI138" s="169">
        <f ca="1">+IFERROR(IF(ISNUMBER(OFFSET('EDP Proyectado'!AJ138,0,-'Ingreso Proyectado_Edu'!$P138))&lt;&gt;0,IF(OFFSET('EDP Proyectado'!AJ138,0,-'Ingreso Proyectado_Edu'!$P138)+0&lt;=1,0,OFFSET('EDP Proyectado'!AJ138,0,-'Ingreso Proyectado_Edu'!$P138)+0)),0)</f>
        <v>0</v>
      </c>
      <c r="AJ138" s="169">
        <f ca="1">+IFERROR(IF(ISNUMBER(OFFSET('EDP Proyectado'!AK138,0,-'Ingreso Proyectado_Edu'!$P138))&lt;&gt;0,IF(OFFSET('EDP Proyectado'!AK138,0,-'Ingreso Proyectado_Edu'!$P138)+0&lt;=1,0,OFFSET('EDP Proyectado'!AK138,0,-'Ingreso Proyectado_Edu'!$P138)+0)),0)</f>
        <v>0</v>
      </c>
      <c r="AK138" s="169">
        <f ca="1">+IFERROR(IF(ISNUMBER(OFFSET('EDP Proyectado'!AL138,0,-'Ingreso Proyectado_Edu'!$P138))&lt;&gt;0,IF(OFFSET('EDP Proyectado'!AL138,0,-'Ingreso Proyectado_Edu'!$P138)+0&lt;=1,0,OFFSET('EDP Proyectado'!AL138,0,-'Ingreso Proyectado_Edu'!$P138)+0)),0)</f>
        <v>0</v>
      </c>
      <c r="AL138" s="169">
        <f ca="1">+IFERROR(IF(ISNUMBER(OFFSET('EDP Proyectado'!AM138,0,-'Ingreso Proyectado_Edu'!$P138))&lt;&gt;0,IF(OFFSET('EDP Proyectado'!AM138,0,-'Ingreso Proyectado_Edu'!$P138)+0&lt;=1,0,OFFSET('EDP Proyectado'!AM138,0,-'Ingreso Proyectado_Edu'!$P138)+0)),0)</f>
        <v>0</v>
      </c>
      <c r="AM138" s="169">
        <f ca="1">+IFERROR(IF(ISNUMBER(OFFSET('EDP Proyectado'!AN138,0,-'Ingreso Proyectado_Edu'!$P138))&lt;&gt;0,IF(OFFSET('EDP Proyectado'!AN138,0,-'Ingreso Proyectado_Edu'!$P138)+0&lt;=1,0,OFFSET('EDP Proyectado'!AN138,0,-'Ingreso Proyectado_Edu'!$P138)+0)),0)</f>
        <v>0</v>
      </c>
      <c r="AN138" s="169">
        <f ca="1">+IFERROR(IF(ISNUMBER(OFFSET('EDP Proyectado'!AO138,0,-'Ingreso Proyectado_Edu'!$P138))&lt;&gt;0,IF(OFFSET('EDP Proyectado'!AO138,0,-'Ingreso Proyectado_Edu'!$P138)+0&lt;=1,0,OFFSET('EDP Proyectado'!AO138,0,-'Ingreso Proyectado_Edu'!$P138)+0)),0)</f>
        <v>0</v>
      </c>
      <c r="AO138" s="169">
        <f ca="1">+IFERROR(IF(ISNUMBER(OFFSET('EDP Proyectado'!AP138,0,-'Ingreso Proyectado_Edu'!$P138))&lt;&gt;0,IF(OFFSET('EDP Proyectado'!AP138,0,-'Ingreso Proyectado_Edu'!$P138)+0&lt;=1,0,OFFSET('EDP Proyectado'!AP138,0,-'Ingreso Proyectado_Edu'!$P138)+0)),0)</f>
        <v>0</v>
      </c>
      <c r="AP138" s="170">
        <f ca="1">+IFERROR(IF(ISNUMBER(OFFSET('EDP Proyectado'!AQ138,0,-'Ingreso Proyectado_Edu'!$P138))&lt;&gt;0,IF(OFFSET('EDP Proyectado'!AQ138,0,-'Ingreso Proyectado_Edu'!$P138)+0&lt;=1,0,OFFSET('EDP Proyectado'!AQ138,0,-'Ingreso Proyectado_Edu'!$P138)+0)),0)</f>
        <v>0</v>
      </c>
    </row>
    <row r="139" spans="3:42" x14ac:dyDescent="0.2">
      <c r="C139" s="110">
        <f>+'Gantt Proyectos'!C207</f>
        <v>0</v>
      </c>
      <c r="D139" s="110">
        <f>+'Gantt Proyectos'!D207</f>
        <v>0</v>
      </c>
      <c r="E139" s="110">
        <f>+'Gantt Proyectos'!E207</f>
        <v>0</v>
      </c>
      <c r="F139" s="148">
        <f>+'Gantt Proyectos'!F207</f>
        <v>0</v>
      </c>
      <c r="G139" s="110">
        <f>+'Gantt Proyectos'!G207</f>
        <v>0</v>
      </c>
      <c r="H139" s="110">
        <f>+'Gantt Proyectos'!H207</f>
        <v>0</v>
      </c>
      <c r="I139" s="189">
        <v>1</v>
      </c>
      <c r="J139" s="189">
        <f t="shared" si="12"/>
        <v>0</v>
      </c>
      <c r="K139" s="110">
        <f>+'Gantt Proyectos'!I207</f>
        <v>0</v>
      </c>
      <c r="L139" s="110">
        <f>+'Gantt Proyectos'!J207</f>
        <v>0</v>
      </c>
      <c r="M139" s="110">
        <f>+'Gantt Proyectos'!K207</f>
        <v>0</v>
      </c>
      <c r="N139" s="110">
        <f>+'Gantt Proyectos'!L207</f>
        <v>0</v>
      </c>
      <c r="O139" s="110">
        <f>+'Gantt Proyectos'!M207</f>
        <v>0</v>
      </c>
      <c r="P139" s="110">
        <f>+'Gantt Proyectos'!N207</f>
        <v>0</v>
      </c>
      <c r="Q139" s="110">
        <f>+'Gantt Proyectos'!O207</f>
        <v>0</v>
      </c>
      <c r="R139" s="110">
        <f>+'Gantt Proyectos'!P207</f>
        <v>0</v>
      </c>
      <c r="S139" s="110">
        <f>+'Gantt Proyectos'!R207</f>
        <v>0</v>
      </c>
      <c r="T139" s="118">
        <f>+'Gantt Proyectos'!S207</f>
        <v>0</v>
      </c>
      <c r="U139" s="157">
        <f>+'Gantt Proyectos'!T207</f>
        <v>0</v>
      </c>
      <c r="V139" s="157">
        <f>+'Gantt Proyectos'!U207</f>
        <v>0</v>
      </c>
      <c r="W139" s="201">
        <f t="shared" si="13"/>
        <v>0</v>
      </c>
      <c r="X139" s="110">
        <f>+'Gantt Proyectos'!W207</f>
        <v>0</v>
      </c>
      <c r="Y139" s="110">
        <f>+'Gantt Proyectos'!X207</f>
        <v>0</v>
      </c>
      <c r="Z139" s="110">
        <f>+'Gantt Proyectos'!Y207</f>
        <v>0</v>
      </c>
      <c r="AA139" s="110">
        <f>+'Gantt Proyectos'!Z207</f>
        <v>0</v>
      </c>
      <c r="AB139" s="110">
        <f>+'Gantt Proyectos'!AA207</f>
        <v>0</v>
      </c>
      <c r="AC139" s="110">
        <f>+'Gantt Proyectos'!AB207</f>
        <v>0</v>
      </c>
      <c r="AD139" s="110">
        <f>+'Gantt Proyectos'!AC207</f>
        <v>0</v>
      </c>
      <c r="AE139" s="110">
        <f>+'Gantt Proyectos'!AD207</f>
        <v>0</v>
      </c>
      <c r="AF139" s="110">
        <f>+'Gantt Proyectos'!AE207</f>
        <v>0</v>
      </c>
      <c r="AG139" s="172">
        <v>1</v>
      </c>
      <c r="AH139" s="169">
        <f ca="1">+IFERROR(IF(ISNUMBER(OFFSET('EDP Proyectado'!AI139,0,-'Ingreso Proyectado_Edu'!$P139))&lt;&gt;0,IF(OFFSET('EDP Proyectado'!AI139,0,-'Ingreso Proyectado_Edu'!$P139)+0&lt;=1,0,OFFSET('EDP Proyectado'!AI139,0,-'Ingreso Proyectado_Edu'!$P139)+0)),0)</f>
        <v>0</v>
      </c>
      <c r="AI139" s="169">
        <f ca="1">+IFERROR(IF(ISNUMBER(OFFSET('EDP Proyectado'!AJ139,0,-'Ingreso Proyectado_Edu'!$P139))&lt;&gt;0,IF(OFFSET('EDP Proyectado'!AJ139,0,-'Ingreso Proyectado_Edu'!$P139)+0&lt;=1,0,OFFSET('EDP Proyectado'!AJ139,0,-'Ingreso Proyectado_Edu'!$P139)+0)),0)</f>
        <v>0</v>
      </c>
      <c r="AJ139" s="169">
        <f ca="1">+IFERROR(IF(ISNUMBER(OFFSET('EDP Proyectado'!AK139,0,-'Ingreso Proyectado_Edu'!$P139))&lt;&gt;0,IF(OFFSET('EDP Proyectado'!AK139,0,-'Ingreso Proyectado_Edu'!$P139)+0&lt;=1,0,OFFSET('EDP Proyectado'!AK139,0,-'Ingreso Proyectado_Edu'!$P139)+0)),0)</f>
        <v>0</v>
      </c>
      <c r="AK139" s="169">
        <f ca="1">+IFERROR(IF(ISNUMBER(OFFSET('EDP Proyectado'!AL139,0,-'Ingreso Proyectado_Edu'!$P139))&lt;&gt;0,IF(OFFSET('EDP Proyectado'!AL139,0,-'Ingreso Proyectado_Edu'!$P139)+0&lt;=1,0,OFFSET('EDP Proyectado'!AL139,0,-'Ingreso Proyectado_Edu'!$P139)+0)),0)</f>
        <v>0</v>
      </c>
      <c r="AL139" s="169">
        <f ca="1">+IFERROR(IF(ISNUMBER(OFFSET('EDP Proyectado'!AM139,0,-'Ingreso Proyectado_Edu'!$P139))&lt;&gt;0,IF(OFFSET('EDP Proyectado'!AM139,0,-'Ingreso Proyectado_Edu'!$P139)+0&lt;=1,0,OFFSET('EDP Proyectado'!AM139,0,-'Ingreso Proyectado_Edu'!$P139)+0)),0)</f>
        <v>0</v>
      </c>
      <c r="AM139" s="169">
        <f ca="1">+IFERROR(IF(ISNUMBER(OFFSET('EDP Proyectado'!AN139,0,-'Ingreso Proyectado_Edu'!$P139))&lt;&gt;0,IF(OFFSET('EDP Proyectado'!AN139,0,-'Ingreso Proyectado_Edu'!$P139)+0&lt;=1,0,OFFSET('EDP Proyectado'!AN139,0,-'Ingreso Proyectado_Edu'!$P139)+0)),0)</f>
        <v>0</v>
      </c>
      <c r="AN139" s="169">
        <f ca="1">+IFERROR(IF(ISNUMBER(OFFSET('EDP Proyectado'!AO139,0,-'Ingreso Proyectado_Edu'!$P139))&lt;&gt;0,IF(OFFSET('EDP Proyectado'!AO139,0,-'Ingreso Proyectado_Edu'!$P139)+0&lt;=1,0,OFFSET('EDP Proyectado'!AO139,0,-'Ingreso Proyectado_Edu'!$P139)+0)),0)</f>
        <v>0</v>
      </c>
      <c r="AO139" s="169">
        <f ca="1">+IFERROR(IF(ISNUMBER(OFFSET('EDP Proyectado'!AP139,0,-'Ingreso Proyectado_Edu'!$P139))&lt;&gt;0,IF(OFFSET('EDP Proyectado'!AP139,0,-'Ingreso Proyectado_Edu'!$P139)+0&lt;=1,0,OFFSET('EDP Proyectado'!AP139,0,-'Ingreso Proyectado_Edu'!$P139)+0)),0)</f>
        <v>0</v>
      </c>
      <c r="AP139" s="170">
        <f ca="1">+IFERROR(IF(ISNUMBER(OFFSET('EDP Proyectado'!AQ139,0,-'Ingreso Proyectado_Edu'!$P139))&lt;&gt;0,IF(OFFSET('EDP Proyectado'!AQ139,0,-'Ingreso Proyectado_Edu'!$P139)+0&lt;=1,0,OFFSET('EDP Proyectado'!AQ139,0,-'Ingreso Proyectado_Edu'!$P139)+0)),0)</f>
        <v>0</v>
      </c>
    </row>
    <row r="140" spans="3:42" x14ac:dyDescent="0.2">
      <c r="C140" s="110">
        <f>+'Gantt Proyectos'!C208</f>
        <v>0</v>
      </c>
      <c r="D140" s="110">
        <f>+'Gantt Proyectos'!D208</f>
        <v>0</v>
      </c>
      <c r="E140" s="110">
        <f>+'Gantt Proyectos'!E208</f>
        <v>0</v>
      </c>
      <c r="F140" s="148">
        <f>+'Gantt Proyectos'!F208</f>
        <v>0</v>
      </c>
      <c r="G140" s="110">
        <f>+'Gantt Proyectos'!G208</f>
        <v>0</v>
      </c>
      <c r="H140" s="110">
        <f>+'Gantt Proyectos'!H208</f>
        <v>0</v>
      </c>
      <c r="I140" s="189">
        <v>1</v>
      </c>
      <c r="J140" s="189">
        <f t="shared" si="12"/>
        <v>0</v>
      </c>
      <c r="K140" s="110">
        <f>+'Gantt Proyectos'!I208</f>
        <v>0</v>
      </c>
      <c r="L140" s="110">
        <f>+'Gantt Proyectos'!J208</f>
        <v>0</v>
      </c>
      <c r="M140" s="110">
        <f>+'Gantt Proyectos'!K208</f>
        <v>0</v>
      </c>
      <c r="N140" s="110">
        <f>+'Gantt Proyectos'!L208</f>
        <v>0</v>
      </c>
      <c r="O140" s="110">
        <f>+'Gantt Proyectos'!M208</f>
        <v>0</v>
      </c>
      <c r="P140" s="110">
        <f>+'Gantt Proyectos'!N208</f>
        <v>0</v>
      </c>
      <c r="Q140" s="110">
        <f>+'Gantt Proyectos'!O208</f>
        <v>0</v>
      </c>
      <c r="R140" s="110">
        <f>+'Gantt Proyectos'!P208</f>
        <v>0</v>
      </c>
      <c r="S140" s="110">
        <f>+'Gantt Proyectos'!R208</f>
        <v>0</v>
      </c>
      <c r="T140" s="118">
        <f>+'Gantt Proyectos'!S208</f>
        <v>0</v>
      </c>
      <c r="U140" s="157">
        <f>+'Gantt Proyectos'!T208</f>
        <v>0</v>
      </c>
      <c r="V140" s="157">
        <f>+'Gantt Proyectos'!U208</f>
        <v>0</v>
      </c>
      <c r="W140" s="201">
        <f t="shared" si="13"/>
        <v>0</v>
      </c>
      <c r="X140" s="110">
        <f>+'Gantt Proyectos'!W208</f>
        <v>0</v>
      </c>
      <c r="Y140" s="110">
        <f>+'Gantt Proyectos'!X208</f>
        <v>0</v>
      </c>
      <c r="Z140" s="110">
        <f>+'Gantt Proyectos'!Y208</f>
        <v>0</v>
      </c>
      <c r="AA140" s="110">
        <f>+'Gantt Proyectos'!Z208</f>
        <v>0</v>
      </c>
      <c r="AB140" s="110">
        <f>+'Gantt Proyectos'!AA208</f>
        <v>0</v>
      </c>
      <c r="AC140" s="110">
        <f>+'Gantt Proyectos'!AB208</f>
        <v>0</v>
      </c>
      <c r="AD140" s="110">
        <f>+'Gantt Proyectos'!AC208</f>
        <v>0</v>
      </c>
      <c r="AE140" s="110">
        <f>+'Gantt Proyectos'!AD208</f>
        <v>0</v>
      </c>
      <c r="AF140" s="110">
        <f>+'Gantt Proyectos'!AE208</f>
        <v>0</v>
      </c>
      <c r="AG140" s="172">
        <v>1</v>
      </c>
      <c r="AH140" s="169">
        <f ca="1">+IFERROR(IF(ISNUMBER(OFFSET('EDP Proyectado'!AI140,0,-'Ingreso Proyectado_Edu'!$P140))&lt;&gt;0,IF(OFFSET('EDP Proyectado'!AI140,0,-'Ingreso Proyectado_Edu'!$P140)+0&lt;=1,0,OFFSET('EDP Proyectado'!AI140,0,-'Ingreso Proyectado_Edu'!$P140)+0)),0)</f>
        <v>0</v>
      </c>
      <c r="AI140" s="169">
        <f ca="1">+IFERROR(IF(ISNUMBER(OFFSET('EDP Proyectado'!AJ140,0,-'Ingreso Proyectado_Edu'!$P140))&lt;&gt;0,IF(OFFSET('EDP Proyectado'!AJ140,0,-'Ingreso Proyectado_Edu'!$P140)+0&lt;=1,0,OFFSET('EDP Proyectado'!AJ140,0,-'Ingreso Proyectado_Edu'!$P140)+0)),0)</f>
        <v>0</v>
      </c>
      <c r="AJ140" s="169">
        <f ca="1">+IFERROR(IF(ISNUMBER(OFFSET('EDP Proyectado'!AK140,0,-'Ingreso Proyectado_Edu'!$P140))&lt;&gt;0,IF(OFFSET('EDP Proyectado'!AK140,0,-'Ingreso Proyectado_Edu'!$P140)+0&lt;=1,0,OFFSET('EDP Proyectado'!AK140,0,-'Ingreso Proyectado_Edu'!$P140)+0)),0)</f>
        <v>0</v>
      </c>
      <c r="AK140" s="169">
        <f ca="1">+IFERROR(IF(ISNUMBER(OFFSET('EDP Proyectado'!AL140,0,-'Ingreso Proyectado_Edu'!$P140))&lt;&gt;0,IF(OFFSET('EDP Proyectado'!AL140,0,-'Ingreso Proyectado_Edu'!$P140)+0&lt;=1,0,OFFSET('EDP Proyectado'!AL140,0,-'Ingreso Proyectado_Edu'!$P140)+0)),0)</f>
        <v>0</v>
      </c>
      <c r="AL140" s="169">
        <f ca="1">+IFERROR(IF(ISNUMBER(OFFSET('EDP Proyectado'!AM140,0,-'Ingreso Proyectado_Edu'!$P140))&lt;&gt;0,IF(OFFSET('EDP Proyectado'!AM140,0,-'Ingreso Proyectado_Edu'!$P140)+0&lt;=1,0,OFFSET('EDP Proyectado'!AM140,0,-'Ingreso Proyectado_Edu'!$P140)+0)),0)</f>
        <v>0</v>
      </c>
      <c r="AM140" s="169">
        <f ca="1">+IFERROR(IF(ISNUMBER(OFFSET('EDP Proyectado'!AN140,0,-'Ingreso Proyectado_Edu'!$P140))&lt;&gt;0,IF(OFFSET('EDP Proyectado'!AN140,0,-'Ingreso Proyectado_Edu'!$P140)+0&lt;=1,0,OFFSET('EDP Proyectado'!AN140,0,-'Ingreso Proyectado_Edu'!$P140)+0)),0)</f>
        <v>0</v>
      </c>
      <c r="AN140" s="169">
        <f ca="1">+IFERROR(IF(ISNUMBER(OFFSET('EDP Proyectado'!AO140,0,-'Ingreso Proyectado_Edu'!$P140))&lt;&gt;0,IF(OFFSET('EDP Proyectado'!AO140,0,-'Ingreso Proyectado_Edu'!$P140)+0&lt;=1,0,OFFSET('EDP Proyectado'!AO140,0,-'Ingreso Proyectado_Edu'!$P140)+0)),0)</f>
        <v>0</v>
      </c>
      <c r="AO140" s="169">
        <f ca="1">+IFERROR(IF(ISNUMBER(OFFSET('EDP Proyectado'!AP140,0,-'Ingreso Proyectado_Edu'!$P140))&lt;&gt;0,IF(OFFSET('EDP Proyectado'!AP140,0,-'Ingreso Proyectado_Edu'!$P140)+0&lt;=1,0,OFFSET('EDP Proyectado'!AP140,0,-'Ingreso Proyectado_Edu'!$P140)+0)),0)</f>
        <v>0</v>
      </c>
      <c r="AP140" s="170">
        <f ca="1">+IFERROR(IF(ISNUMBER(OFFSET('EDP Proyectado'!AQ140,0,-'Ingreso Proyectado_Edu'!$P140))&lt;&gt;0,IF(OFFSET('EDP Proyectado'!AQ140,0,-'Ingreso Proyectado_Edu'!$P140)+0&lt;=1,0,OFFSET('EDP Proyectado'!AQ140,0,-'Ingreso Proyectado_Edu'!$P140)+0)),0)</f>
        <v>0</v>
      </c>
    </row>
    <row r="141" spans="3:42" x14ac:dyDescent="0.2">
      <c r="C141" s="110">
        <f>+'Gantt Proyectos'!C209</f>
        <v>0</v>
      </c>
      <c r="D141" s="110">
        <f>+'Gantt Proyectos'!D209</f>
        <v>0</v>
      </c>
      <c r="E141" s="110">
        <f>+'Gantt Proyectos'!E209</f>
        <v>0</v>
      </c>
      <c r="F141" s="148">
        <f>+'Gantt Proyectos'!F209</f>
        <v>0</v>
      </c>
      <c r="G141" s="110">
        <f>+'Gantt Proyectos'!G209</f>
        <v>0</v>
      </c>
      <c r="H141" s="110">
        <f>+'Gantt Proyectos'!H209</f>
        <v>0</v>
      </c>
      <c r="I141" s="189">
        <v>1</v>
      </c>
      <c r="J141" s="189">
        <f t="shared" si="12"/>
        <v>0</v>
      </c>
      <c r="K141" s="110">
        <f>+'Gantt Proyectos'!I209</f>
        <v>0</v>
      </c>
      <c r="L141" s="110">
        <f>+'Gantt Proyectos'!J209</f>
        <v>0</v>
      </c>
      <c r="M141" s="110">
        <f>+'Gantt Proyectos'!K209</f>
        <v>0</v>
      </c>
      <c r="N141" s="110">
        <f>+'Gantt Proyectos'!L209</f>
        <v>0</v>
      </c>
      <c r="O141" s="110">
        <f>+'Gantt Proyectos'!M209</f>
        <v>0</v>
      </c>
      <c r="P141" s="110">
        <f>+'Gantt Proyectos'!N209</f>
        <v>0</v>
      </c>
      <c r="Q141" s="110">
        <f>+'Gantt Proyectos'!O209</f>
        <v>0</v>
      </c>
      <c r="R141" s="110">
        <f>+'Gantt Proyectos'!P209</f>
        <v>0</v>
      </c>
      <c r="S141" s="110">
        <f>+'Gantt Proyectos'!R209</f>
        <v>0</v>
      </c>
      <c r="T141" s="118">
        <f>+'Gantt Proyectos'!S209</f>
        <v>0</v>
      </c>
      <c r="U141" s="157">
        <f>+'Gantt Proyectos'!T209</f>
        <v>0</v>
      </c>
      <c r="V141" s="157">
        <f>+'Gantt Proyectos'!U209</f>
        <v>0</v>
      </c>
      <c r="W141" s="201">
        <f t="shared" si="13"/>
        <v>0</v>
      </c>
      <c r="X141" s="110">
        <f>+'Gantt Proyectos'!W209</f>
        <v>0</v>
      </c>
      <c r="Y141" s="110">
        <f>+'Gantt Proyectos'!X209</f>
        <v>0</v>
      </c>
      <c r="Z141" s="110">
        <f>+'Gantt Proyectos'!Y209</f>
        <v>0</v>
      </c>
      <c r="AA141" s="110">
        <f>+'Gantt Proyectos'!Z209</f>
        <v>0</v>
      </c>
      <c r="AB141" s="110">
        <f>+'Gantt Proyectos'!AA209</f>
        <v>0</v>
      </c>
      <c r="AC141" s="110">
        <f>+'Gantt Proyectos'!AB209</f>
        <v>0</v>
      </c>
      <c r="AD141" s="110">
        <f>+'Gantt Proyectos'!AC209</f>
        <v>0</v>
      </c>
      <c r="AE141" s="110">
        <f>+'Gantt Proyectos'!AD209</f>
        <v>0</v>
      </c>
      <c r="AF141" s="110">
        <f>+'Gantt Proyectos'!AE209</f>
        <v>0</v>
      </c>
      <c r="AG141" s="172">
        <v>1</v>
      </c>
      <c r="AH141" s="169">
        <f ca="1">+IFERROR(IF(ISNUMBER(OFFSET('EDP Proyectado'!AI141,0,-'Ingreso Proyectado_Edu'!$P141))&lt;&gt;0,IF(OFFSET('EDP Proyectado'!AI141,0,-'Ingreso Proyectado_Edu'!$P141)+0&lt;=1,0,OFFSET('EDP Proyectado'!AI141,0,-'Ingreso Proyectado_Edu'!$P141)+0)),0)</f>
        <v>0</v>
      </c>
      <c r="AI141" s="169">
        <f ca="1">+IFERROR(IF(ISNUMBER(OFFSET('EDP Proyectado'!AJ141,0,-'Ingreso Proyectado_Edu'!$P141))&lt;&gt;0,IF(OFFSET('EDP Proyectado'!AJ141,0,-'Ingreso Proyectado_Edu'!$P141)+0&lt;=1,0,OFFSET('EDP Proyectado'!AJ141,0,-'Ingreso Proyectado_Edu'!$P141)+0)),0)</f>
        <v>0</v>
      </c>
      <c r="AJ141" s="169">
        <f ca="1">+IFERROR(IF(ISNUMBER(OFFSET('EDP Proyectado'!AK141,0,-'Ingreso Proyectado_Edu'!$P141))&lt;&gt;0,IF(OFFSET('EDP Proyectado'!AK141,0,-'Ingreso Proyectado_Edu'!$P141)+0&lt;=1,0,OFFSET('EDP Proyectado'!AK141,0,-'Ingreso Proyectado_Edu'!$P141)+0)),0)</f>
        <v>0</v>
      </c>
      <c r="AK141" s="169">
        <f ca="1">+IFERROR(IF(ISNUMBER(OFFSET('EDP Proyectado'!AL141,0,-'Ingreso Proyectado_Edu'!$P141))&lt;&gt;0,IF(OFFSET('EDP Proyectado'!AL141,0,-'Ingreso Proyectado_Edu'!$P141)+0&lt;=1,0,OFFSET('EDP Proyectado'!AL141,0,-'Ingreso Proyectado_Edu'!$P141)+0)),0)</f>
        <v>0</v>
      </c>
      <c r="AL141" s="169">
        <f ca="1">+IFERROR(IF(ISNUMBER(OFFSET('EDP Proyectado'!AM141,0,-'Ingreso Proyectado_Edu'!$P141))&lt;&gt;0,IF(OFFSET('EDP Proyectado'!AM141,0,-'Ingreso Proyectado_Edu'!$P141)+0&lt;=1,0,OFFSET('EDP Proyectado'!AM141,0,-'Ingreso Proyectado_Edu'!$P141)+0)),0)</f>
        <v>0</v>
      </c>
      <c r="AM141" s="169">
        <f ca="1">+IFERROR(IF(ISNUMBER(OFFSET('EDP Proyectado'!AN141,0,-'Ingreso Proyectado_Edu'!$P141))&lt;&gt;0,IF(OFFSET('EDP Proyectado'!AN141,0,-'Ingreso Proyectado_Edu'!$P141)+0&lt;=1,0,OFFSET('EDP Proyectado'!AN141,0,-'Ingreso Proyectado_Edu'!$P141)+0)),0)</f>
        <v>0</v>
      </c>
      <c r="AN141" s="169">
        <f ca="1">+IFERROR(IF(ISNUMBER(OFFSET('EDP Proyectado'!AO141,0,-'Ingreso Proyectado_Edu'!$P141))&lt;&gt;0,IF(OFFSET('EDP Proyectado'!AO141,0,-'Ingreso Proyectado_Edu'!$P141)+0&lt;=1,0,OFFSET('EDP Proyectado'!AO141,0,-'Ingreso Proyectado_Edu'!$P141)+0)),0)</f>
        <v>0</v>
      </c>
      <c r="AO141" s="169">
        <f ca="1">+IFERROR(IF(ISNUMBER(OFFSET('EDP Proyectado'!AP141,0,-'Ingreso Proyectado_Edu'!$P141))&lt;&gt;0,IF(OFFSET('EDP Proyectado'!AP141,0,-'Ingreso Proyectado_Edu'!$P141)+0&lt;=1,0,OFFSET('EDP Proyectado'!AP141,0,-'Ingreso Proyectado_Edu'!$P141)+0)),0)</f>
        <v>0</v>
      </c>
      <c r="AP141" s="170">
        <f ca="1">+IFERROR(IF(ISNUMBER(OFFSET('EDP Proyectado'!AQ141,0,-'Ingreso Proyectado_Edu'!$P141))&lt;&gt;0,IF(OFFSET('EDP Proyectado'!AQ141,0,-'Ingreso Proyectado_Edu'!$P141)+0&lt;=1,0,OFFSET('EDP Proyectado'!AQ141,0,-'Ingreso Proyectado_Edu'!$P141)+0)),0)</f>
        <v>0</v>
      </c>
    </row>
    <row r="142" spans="3:42" x14ac:dyDescent="0.2">
      <c r="C142" s="110">
        <f>+'Gantt Proyectos'!C210</f>
        <v>0</v>
      </c>
      <c r="D142" s="110">
        <f>+'Gantt Proyectos'!D210</f>
        <v>0</v>
      </c>
      <c r="E142" s="110">
        <f>+'Gantt Proyectos'!E210</f>
        <v>0</v>
      </c>
      <c r="F142" s="148">
        <f>+'Gantt Proyectos'!F210</f>
        <v>0</v>
      </c>
      <c r="G142" s="110">
        <f>+'Gantt Proyectos'!G210</f>
        <v>0</v>
      </c>
      <c r="H142" s="110">
        <f>+'Gantt Proyectos'!H210</f>
        <v>0</v>
      </c>
      <c r="I142" s="189">
        <v>1</v>
      </c>
      <c r="J142" s="189">
        <f t="shared" si="12"/>
        <v>0</v>
      </c>
      <c r="K142" s="110">
        <f>+'Gantt Proyectos'!I210</f>
        <v>0</v>
      </c>
      <c r="L142" s="110">
        <f>+'Gantt Proyectos'!J210</f>
        <v>0</v>
      </c>
      <c r="M142" s="110">
        <f>+'Gantt Proyectos'!K210</f>
        <v>0</v>
      </c>
      <c r="N142" s="110">
        <f>+'Gantt Proyectos'!L210</f>
        <v>0</v>
      </c>
      <c r="O142" s="110">
        <f>+'Gantt Proyectos'!M210</f>
        <v>0</v>
      </c>
      <c r="P142" s="110">
        <f>+'Gantt Proyectos'!N210</f>
        <v>0</v>
      </c>
      <c r="Q142" s="110">
        <f>+'Gantt Proyectos'!O210</f>
        <v>0</v>
      </c>
      <c r="R142" s="110">
        <f>+'Gantt Proyectos'!P210</f>
        <v>0</v>
      </c>
      <c r="S142" s="110">
        <f>+'Gantt Proyectos'!R210</f>
        <v>0</v>
      </c>
      <c r="T142" s="118">
        <f>+'Gantt Proyectos'!S210</f>
        <v>0</v>
      </c>
      <c r="U142" s="157">
        <f>+'Gantt Proyectos'!T210</f>
        <v>0</v>
      </c>
      <c r="V142" s="157">
        <f>+'Gantt Proyectos'!U210</f>
        <v>0</v>
      </c>
      <c r="W142" s="201">
        <f t="shared" si="13"/>
        <v>0</v>
      </c>
      <c r="X142" s="110">
        <f>+'Gantt Proyectos'!W210</f>
        <v>0</v>
      </c>
      <c r="Y142" s="110">
        <f>+'Gantt Proyectos'!X210</f>
        <v>0</v>
      </c>
      <c r="Z142" s="110">
        <f>+'Gantt Proyectos'!Y210</f>
        <v>0</v>
      </c>
      <c r="AA142" s="110">
        <f>+'Gantt Proyectos'!Z210</f>
        <v>0</v>
      </c>
      <c r="AB142" s="110">
        <f>+'Gantt Proyectos'!AA210</f>
        <v>0</v>
      </c>
      <c r="AC142" s="110">
        <f>+'Gantt Proyectos'!AB210</f>
        <v>0</v>
      </c>
      <c r="AD142" s="110">
        <f>+'Gantt Proyectos'!AC210</f>
        <v>0</v>
      </c>
      <c r="AE142" s="110">
        <f>+'Gantt Proyectos'!AD210</f>
        <v>0</v>
      </c>
      <c r="AF142" s="110">
        <f>+'Gantt Proyectos'!AE210</f>
        <v>0</v>
      </c>
      <c r="AG142" s="172">
        <v>1</v>
      </c>
      <c r="AH142" s="169">
        <f ca="1">+IFERROR(IF(ISNUMBER(OFFSET('EDP Proyectado'!AI142,0,-'Ingreso Proyectado_Edu'!$P142))&lt;&gt;0,IF(OFFSET('EDP Proyectado'!AI142,0,-'Ingreso Proyectado_Edu'!$P142)+0&lt;=1,0,OFFSET('EDP Proyectado'!AI142,0,-'Ingreso Proyectado_Edu'!$P142)+0)),0)</f>
        <v>0</v>
      </c>
      <c r="AI142" s="169">
        <f ca="1">+IFERROR(IF(ISNUMBER(OFFSET('EDP Proyectado'!AJ142,0,-'Ingreso Proyectado_Edu'!$P142))&lt;&gt;0,IF(OFFSET('EDP Proyectado'!AJ142,0,-'Ingreso Proyectado_Edu'!$P142)+0&lt;=1,0,OFFSET('EDP Proyectado'!AJ142,0,-'Ingreso Proyectado_Edu'!$P142)+0)),0)</f>
        <v>0</v>
      </c>
      <c r="AJ142" s="169">
        <f ca="1">+IFERROR(IF(ISNUMBER(OFFSET('EDP Proyectado'!AK142,0,-'Ingreso Proyectado_Edu'!$P142))&lt;&gt;0,IF(OFFSET('EDP Proyectado'!AK142,0,-'Ingreso Proyectado_Edu'!$P142)+0&lt;=1,0,OFFSET('EDP Proyectado'!AK142,0,-'Ingreso Proyectado_Edu'!$P142)+0)),0)</f>
        <v>0</v>
      </c>
      <c r="AK142" s="169">
        <f ca="1">+IFERROR(IF(ISNUMBER(OFFSET('EDP Proyectado'!AL142,0,-'Ingreso Proyectado_Edu'!$P142))&lt;&gt;0,IF(OFFSET('EDP Proyectado'!AL142,0,-'Ingreso Proyectado_Edu'!$P142)+0&lt;=1,0,OFFSET('EDP Proyectado'!AL142,0,-'Ingreso Proyectado_Edu'!$P142)+0)),0)</f>
        <v>0</v>
      </c>
      <c r="AL142" s="169">
        <f ca="1">+IFERROR(IF(ISNUMBER(OFFSET('EDP Proyectado'!AM142,0,-'Ingreso Proyectado_Edu'!$P142))&lt;&gt;0,IF(OFFSET('EDP Proyectado'!AM142,0,-'Ingreso Proyectado_Edu'!$P142)+0&lt;=1,0,OFFSET('EDP Proyectado'!AM142,0,-'Ingreso Proyectado_Edu'!$P142)+0)),0)</f>
        <v>0</v>
      </c>
      <c r="AM142" s="169">
        <f ca="1">+IFERROR(IF(ISNUMBER(OFFSET('EDP Proyectado'!AN142,0,-'Ingreso Proyectado_Edu'!$P142))&lt;&gt;0,IF(OFFSET('EDP Proyectado'!AN142,0,-'Ingreso Proyectado_Edu'!$P142)+0&lt;=1,0,OFFSET('EDP Proyectado'!AN142,0,-'Ingreso Proyectado_Edu'!$P142)+0)),0)</f>
        <v>0</v>
      </c>
      <c r="AN142" s="169">
        <f ca="1">+IFERROR(IF(ISNUMBER(OFFSET('EDP Proyectado'!AO142,0,-'Ingreso Proyectado_Edu'!$P142))&lt;&gt;0,IF(OFFSET('EDP Proyectado'!AO142,0,-'Ingreso Proyectado_Edu'!$P142)+0&lt;=1,0,OFFSET('EDP Proyectado'!AO142,0,-'Ingreso Proyectado_Edu'!$P142)+0)),0)</f>
        <v>0</v>
      </c>
      <c r="AO142" s="169">
        <f ca="1">+IFERROR(IF(ISNUMBER(OFFSET('EDP Proyectado'!AP142,0,-'Ingreso Proyectado_Edu'!$P142))&lt;&gt;0,IF(OFFSET('EDP Proyectado'!AP142,0,-'Ingreso Proyectado_Edu'!$P142)+0&lt;=1,0,OFFSET('EDP Proyectado'!AP142,0,-'Ingreso Proyectado_Edu'!$P142)+0)),0)</f>
        <v>0</v>
      </c>
      <c r="AP142" s="170">
        <f ca="1">+IFERROR(IF(ISNUMBER(OFFSET('EDP Proyectado'!AQ142,0,-'Ingreso Proyectado_Edu'!$P142))&lt;&gt;0,IF(OFFSET('EDP Proyectado'!AQ142,0,-'Ingreso Proyectado_Edu'!$P142)+0&lt;=1,0,OFFSET('EDP Proyectado'!AQ142,0,-'Ingreso Proyectado_Edu'!$P142)+0)),0)</f>
        <v>0</v>
      </c>
    </row>
    <row r="143" spans="3:42" x14ac:dyDescent="0.2">
      <c r="C143" s="110">
        <f>+'Gantt Proyectos'!C211</f>
        <v>0</v>
      </c>
      <c r="D143" s="110">
        <f>+'Gantt Proyectos'!D211</f>
        <v>0</v>
      </c>
      <c r="E143" s="110">
        <f>+'Gantt Proyectos'!E211</f>
        <v>0</v>
      </c>
      <c r="F143" s="148">
        <f>+'Gantt Proyectos'!F211</f>
        <v>0</v>
      </c>
      <c r="G143" s="110">
        <f>+'Gantt Proyectos'!G211</f>
        <v>0</v>
      </c>
      <c r="H143" s="110">
        <f>+'Gantt Proyectos'!H211</f>
        <v>0</v>
      </c>
      <c r="I143" s="189">
        <v>1</v>
      </c>
      <c r="J143" s="189">
        <f t="shared" si="12"/>
        <v>0</v>
      </c>
      <c r="K143" s="110">
        <f>+'Gantt Proyectos'!I211</f>
        <v>0</v>
      </c>
      <c r="L143" s="110">
        <f>+'Gantt Proyectos'!J211</f>
        <v>0</v>
      </c>
      <c r="M143" s="110">
        <f>+'Gantt Proyectos'!K211</f>
        <v>0</v>
      </c>
      <c r="N143" s="110">
        <f>+'Gantt Proyectos'!L211</f>
        <v>0</v>
      </c>
      <c r="O143" s="110">
        <f>+'Gantt Proyectos'!M211</f>
        <v>0</v>
      </c>
      <c r="P143" s="110">
        <f>+'Gantt Proyectos'!N211</f>
        <v>0</v>
      </c>
      <c r="Q143" s="110">
        <f>+'Gantt Proyectos'!O211</f>
        <v>0</v>
      </c>
      <c r="R143" s="110">
        <f>+'Gantt Proyectos'!P211</f>
        <v>0</v>
      </c>
      <c r="S143" s="110">
        <f>+'Gantt Proyectos'!R211</f>
        <v>0</v>
      </c>
      <c r="T143" s="118">
        <f>+'Gantt Proyectos'!S211</f>
        <v>0</v>
      </c>
      <c r="U143" s="157">
        <f>+'Gantt Proyectos'!T211</f>
        <v>0</v>
      </c>
      <c r="V143" s="157">
        <f>+'Gantt Proyectos'!U211</f>
        <v>0</v>
      </c>
      <c r="W143" s="201">
        <f t="shared" si="13"/>
        <v>0</v>
      </c>
      <c r="X143" s="110">
        <f>+'Gantt Proyectos'!W211</f>
        <v>0</v>
      </c>
      <c r="Y143" s="110">
        <f>+'Gantt Proyectos'!X211</f>
        <v>0</v>
      </c>
      <c r="Z143" s="110">
        <f>+'Gantt Proyectos'!Y211</f>
        <v>0</v>
      </c>
      <c r="AA143" s="110">
        <f>+'Gantt Proyectos'!Z211</f>
        <v>0</v>
      </c>
      <c r="AB143" s="110">
        <f>+'Gantt Proyectos'!AA211</f>
        <v>0</v>
      </c>
      <c r="AC143" s="110">
        <f>+'Gantt Proyectos'!AB211</f>
        <v>0</v>
      </c>
      <c r="AD143" s="110">
        <f>+'Gantt Proyectos'!AC211</f>
        <v>0</v>
      </c>
      <c r="AE143" s="110">
        <f>+'Gantt Proyectos'!AD211</f>
        <v>0</v>
      </c>
      <c r="AF143" s="110">
        <f>+'Gantt Proyectos'!AE211</f>
        <v>0</v>
      </c>
      <c r="AG143" s="172">
        <v>1</v>
      </c>
      <c r="AH143" s="169">
        <f ca="1">+IFERROR(IF(ISNUMBER(OFFSET('EDP Proyectado'!AI143,0,-'Ingreso Proyectado_Edu'!$P143))&lt;&gt;0,IF(OFFSET('EDP Proyectado'!AI143,0,-'Ingreso Proyectado_Edu'!$P143)+0&lt;=1,0,OFFSET('EDP Proyectado'!AI143,0,-'Ingreso Proyectado_Edu'!$P143)+0)),0)</f>
        <v>0</v>
      </c>
      <c r="AI143" s="169">
        <f ca="1">+IFERROR(IF(ISNUMBER(OFFSET('EDP Proyectado'!AJ143,0,-'Ingreso Proyectado_Edu'!$P143))&lt;&gt;0,IF(OFFSET('EDP Proyectado'!AJ143,0,-'Ingreso Proyectado_Edu'!$P143)+0&lt;=1,0,OFFSET('EDP Proyectado'!AJ143,0,-'Ingreso Proyectado_Edu'!$P143)+0)),0)</f>
        <v>0</v>
      </c>
      <c r="AJ143" s="169">
        <f ca="1">+IFERROR(IF(ISNUMBER(OFFSET('EDP Proyectado'!AK143,0,-'Ingreso Proyectado_Edu'!$P143))&lt;&gt;0,IF(OFFSET('EDP Proyectado'!AK143,0,-'Ingreso Proyectado_Edu'!$P143)+0&lt;=1,0,OFFSET('EDP Proyectado'!AK143,0,-'Ingreso Proyectado_Edu'!$P143)+0)),0)</f>
        <v>0</v>
      </c>
      <c r="AK143" s="169">
        <f ca="1">+IFERROR(IF(ISNUMBER(OFFSET('EDP Proyectado'!AL143,0,-'Ingreso Proyectado_Edu'!$P143))&lt;&gt;0,IF(OFFSET('EDP Proyectado'!AL143,0,-'Ingreso Proyectado_Edu'!$P143)+0&lt;=1,0,OFFSET('EDP Proyectado'!AL143,0,-'Ingreso Proyectado_Edu'!$P143)+0)),0)</f>
        <v>0</v>
      </c>
      <c r="AL143" s="169">
        <f ca="1">+IFERROR(IF(ISNUMBER(OFFSET('EDP Proyectado'!AM143,0,-'Ingreso Proyectado_Edu'!$P143))&lt;&gt;0,IF(OFFSET('EDP Proyectado'!AM143,0,-'Ingreso Proyectado_Edu'!$P143)+0&lt;=1,0,OFFSET('EDP Proyectado'!AM143,0,-'Ingreso Proyectado_Edu'!$P143)+0)),0)</f>
        <v>0</v>
      </c>
      <c r="AM143" s="169">
        <f ca="1">+IFERROR(IF(ISNUMBER(OFFSET('EDP Proyectado'!AN143,0,-'Ingreso Proyectado_Edu'!$P143))&lt;&gt;0,IF(OFFSET('EDP Proyectado'!AN143,0,-'Ingreso Proyectado_Edu'!$P143)+0&lt;=1,0,OFFSET('EDP Proyectado'!AN143,0,-'Ingreso Proyectado_Edu'!$P143)+0)),0)</f>
        <v>0</v>
      </c>
      <c r="AN143" s="169">
        <f ca="1">+IFERROR(IF(ISNUMBER(OFFSET('EDP Proyectado'!AO143,0,-'Ingreso Proyectado_Edu'!$P143))&lt;&gt;0,IF(OFFSET('EDP Proyectado'!AO143,0,-'Ingreso Proyectado_Edu'!$P143)+0&lt;=1,0,OFFSET('EDP Proyectado'!AO143,0,-'Ingreso Proyectado_Edu'!$P143)+0)),0)</f>
        <v>0</v>
      </c>
      <c r="AO143" s="169">
        <f ca="1">+IFERROR(IF(ISNUMBER(OFFSET('EDP Proyectado'!AP143,0,-'Ingreso Proyectado_Edu'!$P143))&lt;&gt;0,IF(OFFSET('EDP Proyectado'!AP143,0,-'Ingreso Proyectado_Edu'!$P143)+0&lt;=1,0,OFFSET('EDP Proyectado'!AP143,0,-'Ingreso Proyectado_Edu'!$P143)+0)),0)</f>
        <v>0</v>
      </c>
      <c r="AP143" s="170">
        <f ca="1">+IFERROR(IF(ISNUMBER(OFFSET('EDP Proyectado'!AQ143,0,-'Ingreso Proyectado_Edu'!$P143))&lt;&gt;0,IF(OFFSET('EDP Proyectado'!AQ143,0,-'Ingreso Proyectado_Edu'!$P143)+0&lt;=1,0,OFFSET('EDP Proyectado'!AQ143,0,-'Ingreso Proyectado_Edu'!$P143)+0)),0)</f>
        <v>0</v>
      </c>
    </row>
    <row r="144" spans="3:42" x14ac:dyDescent="0.2">
      <c r="C144" s="110">
        <f>+'Gantt Proyectos'!C212</f>
        <v>0</v>
      </c>
      <c r="D144" s="110">
        <f>+'Gantt Proyectos'!D212</f>
        <v>0</v>
      </c>
      <c r="E144" s="110">
        <f>+'Gantt Proyectos'!E212</f>
        <v>0</v>
      </c>
      <c r="F144" s="148">
        <f>+'Gantt Proyectos'!F212</f>
        <v>0</v>
      </c>
      <c r="G144" s="110">
        <f>+'Gantt Proyectos'!G212</f>
        <v>0</v>
      </c>
      <c r="H144" s="110">
        <f>+'Gantt Proyectos'!H212</f>
        <v>0</v>
      </c>
      <c r="I144" s="189">
        <v>1</v>
      </c>
      <c r="J144" s="189">
        <f t="shared" si="12"/>
        <v>0</v>
      </c>
      <c r="K144" s="110">
        <f>+'Gantt Proyectos'!I212</f>
        <v>0</v>
      </c>
      <c r="L144" s="110">
        <f>+'Gantt Proyectos'!J212</f>
        <v>0</v>
      </c>
      <c r="M144" s="110">
        <f>+'Gantt Proyectos'!K212</f>
        <v>0</v>
      </c>
      <c r="N144" s="110">
        <f>+'Gantt Proyectos'!L212</f>
        <v>0</v>
      </c>
      <c r="O144" s="110">
        <f>+'Gantt Proyectos'!M212</f>
        <v>0</v>
      </c>
      <c r="P144" s="110">
        <f>+'Gantt Proyectos'!N212</f>
        <v>0</v>
      </c>
      <c r="Q144" s="110">
        <f>+'Gantt Proyectos'!O212</f>
        <v>0</v>
      </c>
      <c r="R144" s="110">
        <f>+'Gantt Proyectos'!P212</f>
        <v>0</v>
      </c>
      <c r="S144" s="110">
        <f>+'Gantt Proyectos'!R212</f>
        <v>0</v>
      </c>
      <c r="T144" s="118">
        <f>+'Gantt Proyectos'!S212</f>
        <v>0</v>
      </c>
      <c r="U144" s="157">
        <f>+'Gantt Proyectos'!T212</f>
        <v>0</v>
      </c>
      <c r="V144" s="157">
        <f>+'Gantt Proyectos'!U212</f>
        <v>0</v>
      </c>
      <c r="W144" s="201">
        <f t="shared" si="13"/>
        <v>0</v>
      </c>
      <c r="X144" s="110">
        <f>+'Gantt Proyectos'!W212</f>
        <v>0</v>
      </c>
      <c r="Y144" s="110">
        <f>+'Gantt Proyectos'!X212</f>
        <v>0</v>
      </c>
      <c r="Z144" s="110">
        <f>+'Gantt Proyectos'!Y212</f>
        <v>0</v>
      </c>
      <c r="AA144" s="110">
        <f>+'Gantt Proyectos'!Z212</f>
        <v>0</v>
      </c>
      <c r="AB144" s="110">
        <f>+'Gantt Proyectos'!AA212</f>
        <v>0</v>
      </c>
      <c r="AC144" s="110">
        <f>+'Gantt Proyectos'!AB212</f>
        <v>0</v>
      </c>
      <c r="AD144" s="110">
        <f>+'Gantt Proyectos'!AC212</f>
        <v>0</v>
      </c>
      <c r="AE144" s="110">
        <f>+'Gantt Proyectos'!AD212</f>
        <v>0</v>
      </c>
      <c r="AF144" s="110">
        <f>+'Gantt Proyectos'!AE212</f>
        <v>0</v>
      </c>
      <c r="AG144" s="172">
        <v>1</v>
      </c>
      <c r="AH144" s="169">
        <f ca="1">+IFERROR(IF(ISNUMBER(OFFSET('EDP Proyectado'!AI144,0,-'Ingreso Proyectado_Edu'!$P144))&lt;&gt;0,IF(OFFSET('EDP Proyectado'!AI144,0,-'Ingreso Proyectado_Edu'!$P144)+0&lt;=1,0,OFFSET('EDP Proyectado'!AI144,0,-'Ingreso Proyectado_Edu'!$P144)+0)),0)</f>
        <v>0</v>
      </c>
      <c r="AI144" s="169">
        <f ca="1">+IFERROR(IF(ISNUMBER(OFFSET('EDP Proyectado'!AJ144,0,-'Ingreso Proyectado_Edu'!$P144))&lt;&gt;0,IF(OFFSET('EDP Proyectado'!AJ144,0,-'Ingreso Proyectado_Edu'!$P144)+0&lt;=1,0,OFFSET('EDP Proyectado'!AJ144,0,-'Ingreso Proyectado_Edu'!$P144)+0)),0)</f>
        <v>0</v>
      </c>
      <c r="AJ144" s="169">
        <f ca="1">+IFERROR(IF(ISNUMBER(OFFSET('EDP Proyectado'!AK144,0,-'Ingreso Proyectado_Edu'!$P144))&lt;&gt;0,IF(OFFSET('EDP Proyectado'!AK144,0,-'Ingreso Proyectado_Edu'!$P144)+0&lt;=1,0,OFFSET('EDP Proyectado'!AK144,0,-'Ingreso Proyectado_Edu'!$P144)+0)),0)</f>
        <v>0</v>
      </c>
      <c r="AK144" s="169">
        <f ca="1">+IFERROR(IF(ISNUMBER(OFFSET('EDP Proyectado'!AL144,0,-'Ingreso Proyectado_Edu'!$P144))&lt;&gt;0,IF(OFFSET('EDP Proyectado'!AL144,0,-'Ingreso Proyectado_Edu'!$P144)+0&lt;=1,0,OFFSET('EDP Proyectado'!AL144,0,-'Ingreso Proyectado_Edu'!$P144)+0)),0)</f>
        <v>0</v>
      </c>
      <c r="AL144" s="169">
        <f ca="1">+IFERROR(IF(ISNUMBER(OFFSET('EDP Proyectado'!AM144,0,-'Ingreso Proyectado_Edu'!$P144))&lt;&gt;0,IF(OFFSET('EDP Proyectado'!AM144,0,-'Ingreso Proyectado_Edu'!$P144)+0&lt;=1,0,OFFSET('EDP Proyectado'!AM144,0,-'Ingreso Proyectado_Edu'!$P144)+0)),0)</f>
        <v>0</v>
      </c>
      <c r="AM144" s="169">
        <f ca="1">+IFERROR(IF(ISNUMBER(OFFSET('EDP Proyectado'!AN144,0,-'Ingreso Proyectado_Edu'!$P144))&lt;&gt;0,IF(OFFSET('EDP Proyectado'!AN144,0,-'Ingreso Proyectado_Edu'!$P144)+0&lt;=1,0,OFFSET('EDP Proyectado'!AN144,0,-'Ingreso Proyectado_Edu'!$P144)+0)),0)</f>
        <v>0</v>
      </c>
      <c r="AN144" s="169">
        <f ca="1">+IFERROR(IF(ISNUMBER(OFFSET('EDP Proyectado'!AO144,0,-'Ingreso Proyectado_Edu'!$P144))&lt;&gt;0,IF(OFFSET('EDP Proyectado'!AO144,0,-'Ingreso Proyectado_Edu'!$P144)+0&lt;=1,0,OFFSET('EDP Proyectado'!AO144,0,-'Ingreso Proyectado_Edu'!$P144)+0)),0)</f>
        <v>0</v>
      </c>
      <c r="AO144" s="169">
        <f ca="1">+IFERROR(IF(ISNUMBER(OFFSET('EDP Proyectado'!AP144,0,-'Ingreso Proyectado_Edu'!$P144))&lt;&gt;0,IF(OFFSET('EDP Proyectado'!AP144,0,-'Ingreso Proyectado_Edu'!$P144)+0&lt;=1,0,OFFSET('EDP Proyectado'!AP144,0,-'Ingreso Proyectado_Edu'!$P144)+0)),0)</f>
        <v>0</v>
      </c>
      <c r="AP144" s="170">
        <f ca="1">+IFERROR(IF(ISNUMBER(OFFSET('EDP Proyectado'!AQ144,0,-'Ingreso Proyectado_Edu'!$P144))&lt;&gt;0,IF(OFFSET('EDP Proyectado'!AQ144,0,-'Ingreso Proyectado_Edu'!$P144)+0&lt;=1,0,OFFSET('EDP Proyectado'!AQ144,0,-'Ingreso Proyectado_Edu'!$P144)+0)),0)</f>
        <v>0</v>
      </c>
    </row>
    <row r="145" spans="3:42" x14ac:dyDescent="0.2">
      <c r="C145" s="110">
        <f>+'Gantt Proyectos'!C213</f>
        <v>0</v>
      </c>
      <c r="D145" s="110">
        <f>+'Gantt Proyectos'!D213</f>
        <v>0</v>
      </c>
      <c r="E145" s="110">
        <f>+'Gantt Proyectos'!E213</f>
        <v>0</v>
      </c>
      <c r="F145" s="148">
        <f>+'Gantt Proyectos'!F213</f>
        <v>0</v>
      </c>
      <c r="G145" s="110">
        <f>+'Gantt Proyectos'!G213</f>
        <v>0</v>
      </c>
      <c r="H145" s="110">
        <f>+'Gantt Proyectos'!H213</f>
        <v>0</v>
      </c>
      <c r="I145" s="189">
        <v>1</v>
      </c>
      <c r="J145" s="189">
        <f t="shared" si="12"/>
        <v>0</v>
      </c>
      <c r="K145" s="110">
        <f>+'Gantt Proyectos'!I213</f>
        <v>0</v>
      </c>
      <c r="L145" s="110">
        <f>+'Gantt Proyectos'!J213</f>
        <v>0</v>
      </c>
      <c r="M145" s="110">
        <f>+'Gantt Proyectos'!K213</f>
        <v>0</v>
      </c>
      <c r="N145" s="110">
        <f>+'Gantt Proyectos'!L213</f>
        <v>0</v>
      </c>
      <c r="O145" s="110">
        <f>+'Gantt Proyectos'!M213</f>
        <v>0</v>
      </c>
      <c r="P145" s="110">
        <f>+'Gantt Proyectos'!N213</f>
        <v>0</v>
      </c>
      <c r="Q145" s="110">
        <f>+'Gantt Proyectos'!O213</f>
        <v>0</v>
      </c>
      <c r="R145" s="110">
        <f>+'Gantt Proyectos'!P213</f>
        <v>0</v>
      </c>
      <c r="S145" s="110">
        <f>+'Gantt Proyectos'!R213</f>
        <v>0</v>
      </c>
      <c r="T145" s="118">
        <f>+'Gantt Proyectos'!S213</f>
        <v>0</v>
      </c>
      <c r="U145" s="157">
        <f>+'Gantt Proyectos'!T213</f>
        <v>0</v>
      </c>
      <c r="V145" s="157">
        <f>+'Gantt Proyectos'!U213</f>
        <v>0</v>
      </c>
      <c r="W145" s="201">
        <f t="shared" si="13"/>
        <v>0</v>
      </c>
      <c r="X145" s="110">
        <f>+'Gantt Proyectos'!W213</f>
        <v>0</v>
      </c>
      <c r="Y145" s="110">
        <f>+'Gantt Proyectos'!X213</f>
        <v>0</v>
      </c>
      <c r="Z145" s="110">
        <f>+'Gantt Proyectos'!Y213</f>
        <v>0</v>
      </c>
      <c r="AA145" s="110">
        <f>+'Gantt Proyectos'!Z213</f>
        <v>0</v>
      </c>
      <c r="AB145" s="110">
        <f>+'Gantt Proyectos'!AA213</f>
        <v>0</v>
      </c>
      <c r="AC145" s="110">
        <f>+'Gantt Proyectos'!AB213</f>
        <v>0</v>
      </c>
      <c r="AD145" s="110">
        <f>+'Gantt Proyectos'!AC213</f>
        <v>0</v>
      </c>
      <c r="AE145" s="110">
        <f>+'Gantt Proyectos'!AD213</f>
        <v>0</v>
      </c>
      <c r="AF145" s="110">
        <f>+'Gantt Proyectos'!AE213</f>
        <v>0</v>
      </c>
      <c r="AG145" s="172">
        <v>1</v>
      </c>
      <c r="AH145" s="169">
        <f ca="1">+IFERROR(IF(ISNUMBER(OFFSET('EDP Proyectado'!AI145,0,-'Ingreso Proyectado_Edu'!$P145))&lt;&gt;0,IF(OFFSET('EDP Proyectado'!AI145,0,-'Ingreso Proyectado_Edu'!$P145)+0&lt;=1,0,OFFSET('EDP Proyectado'!AI145,0,-'Ingreso Proyectado_Edu'!$P145)+0)),0)</f>
        <v>0</v>
      </c>
      <c r="AI145" s="169">
        <f ca="1">+IFERROR(IF(ISNUMBER(OFFSET('EDP Proyectado'!AJ145,0,-'Ingreso Proyectado_Edu'!$P145))&lt;&gt;0,IF(OFFSET('EDP Proyectado'!AJ145,0,-'Ingreso Proyectado_Edu'!$P145)+0&lt;=1,0,OFFSET('EDP Proyectado'!AJ145,0,-'Ingreso Proyectado_Edu'!$P145)+0)),0)</f>
        <v>0</v>
      </c>
      <c r="AJ145" s="169">
        <f ca="1">+IFERROR(IF(ISNUMBER(OFFSET('EDP Proyectado'!AK145,0,-'Ingreso Proyectado_Edu'!$P145))&lt;&gt;0,IF(OFFSET('EDP Proyectado'!AK145,0,-'Ingreso Proyectado_Edu'!$P145)+0&lt;=1,0,OFFSET('EDP Proyectado'!AK145,0,-'Ingreso Proyectado_Edu'!$P145)+0)),0)</f>
        <v>0</v>
      </c>
      <c r="AK145" s="169">
        <f ca="1">+IFERROR(IF(ISNUMBER(OFFSET('EDP Proyectado'!AL145,0,-'Ingreso Proyectado_Edu'!$P145))&lt;&gt;0,IF(OFFSET('EDP Proyectado'!AL145,0,-'Ingreso Proyectado_Edu'!$P145)+0&lt;=1,0,OFFSET('EDP Proyectado'!AL145,0,-'Ingreso Proyectado_Edu'!$P145)+0)),0)</f>
        <v>0</v>
      </c>
      <c r="AL145" s="169">
        <f ca="1">+IFERROR(IF(ISNUMBER(OFFSET('EDP Proyectado'!AM145,0,-'Ingreso Proyectado_Edu'!$P145))&lt;&gt;0,IF(OFFSET('EDP Proyectado'!AM145,0,-'Ingreso Proyectado_Edu'!$P145)+0&lt;=1,0,OFFSET('EDP Proyectado'!AM145,0,-'Ingreso Proyectado_Edu'!$P145)+0)),0)</f>
        <v>0</v>
      </c>
      <c r="AM145" s="169">
        <f ca="1">+IFERROR(IF(ISNUMBER(OFFSET('EDP Proyectado'!AN145,0,-'Ingreso Proyectado_Edu'!$P145))&lt;&gt;0,IF(OFFSET('EDP Proyectado'!AN145,0,-'Ingreso Proyectado_Edu'!$P145)+0&lt;=1,0,OFFSET('EDP Proyectado'!AN145,0,-'Ingreso Proyectado_Edu'!$P145)+0)),0)</f>
        <v>0</v>
      </c>
      <c r="AN145" s="169">
        <f ca="1">+IFERROR(IF(ISNUMBER(OFFSET('EDP Proyectado'!AO145,0,-'Ingreso Proyectado_Edu'!$P145))&lt;&gt;0,IF(OFFSET('EDP Proyectado'!AO145,0,-'Ingreso Proyectado_Edu'!$P145)+0&lt;=1,0,OFFSET('EDP Proyectado'!AO145,0,-'Ingreso Proyectado_Edu'!$P145)+0)),0)</f>
        <v>0</v>
      </c>
      <c r="AO145" s="169">
        <f ca="1">+IFERROR(IF(ISNUMBER(OFFSET('EDP Proyectado'!AP145,0,-'Ingreso Proyectado_Edu'!$P145))&lt;&gt;0,IF(OFFSET('EDP Proyectado'!AP145,0,-'Ingreso Proyectado_Edu'!$P145)+0&lt;=1,0,OFFSET('EDP Proyectado'!AP145,0,-'Ingreso Proyectado_Edu'!$P145)+0)),0)</f>
        <v>0</v>
      </c>
      <c r="AP145" s="170">
        <f ca="1">+IFERROR(IF(ISNUMBER(OFFSET('EDP Proyectado'!AQ145,0,-'Ingreso Proyectado_Edu'!$P145))&lt;&gt;0,IF(OFFSET('EDP Proyectado'!AQ145,0,-'Ingreso Proyectado_Edu'!$P145)+0&lt;=1,0,OFFSET('EDP Proyectado'!AQ145,0,-'Ingreso Proyectado_Edu'!$P145)+0)),0)</f>
        <v>0</v>
      </c>
    </row>
    <row r="146" spans="3:42" x14ac:dyDescent="0.2">
      <c r="C146" s="110">
        <f>+'Gantt Proyectos'!C214</f>
        <v>0</v>
      </c>
      <c r="D146" s="110">
        <f>+'Gantt Proyectos'!D214</f>
        <v>0</v>
      </c>
      <c r="E146" s="110">
        <f>+'Gantt Proyectos'!E214</f>
        <v>0</v>
      </c>
      <c r="F146" s="148">
        <f>+'Gantt Proyectos'!F214</f>
        <v>0</v>
      </c>
      <c r="G146" s="110">
        <f>+'Gantt Proyectos'!G214</f>
        <v>0</v>
      </c>
      <c r="H146" s="110">
        <f>+'Gantt Proyectos'!H214</f>
        <v>0</v>
      </c>
      <c r="I146" s="189">
        <v>1</v>
      </c>
      <c r="J146" s="189">
        <f t="shared" si="12"/>
        <v>0</v>
      </c>
      <c r="K146" s="110">
        <f>+'Gantt Proyectos'!I214</f>
        <v>0</v>
      </c>
      <c r="L146" s="110">
        <f>+'Gantt Proyectos'!J214</f>
        <v>0</v>
      </c>
      <c r="M146" s="110">
        <f>+'Gantt Proyectos'!K214</f>
        <v>0</v>
      </c>
      <c r="N146" s="110">
        <f>+'Gantt Proyectos'!L214</f>
        <v>0</v>
      </c>
      <c r="O146" s="110">
        <f>+'Gantt Proyectos'!M214</f>
        <v>0</v>
      </c>
      <c r="P146" s="110">
        <f>+'Gantt Proyectos'!N214</f>
        <v>0</v>
      </c>
      <c r="Q146" s="110">
        <f>+'Gantt Proyectos'!O214</f>
        <v>0</v>
      </c>
      <c r="R146" s="110">
        <f>+'Gantt Proyectos'!P214</f>
        <v>0</v>
      </c>
      <c r="S146" s="110">
        <f>+'Gantt Proyectos'!R214</f>
        <v>0</v>
      </c>
      <c r="T146" s="118">
        <f>+'Gantt Proyectos'!S214</f>
        <v>0</v>
      </c>
      <c r="U146" s="157">
        <f>+'Gantt Proyectos'!T214</f>
        <v>0</v>
      </c>
      <c r="V146" s="157">
        <f>+'Gantt Proyectos'!U214</f>
        <v>0</v>
      </c>
      <c r="W146" s="201">
        <f t="shared" si="13"/>
        <v>0</v>
      </c>
      <c r="X146" s="110">
        <f>+'Gantt Proyectos'!W214</f>
        <v>0</v>
      </c>
      <c r="Y146" s="110">
        <f>+'Gantt Proyectos'!X214</f>
        <v>0</v>
      </c>
      <c r="Z146" s="110">
        <f>+'Gantt Proyectos'!Y214</f>
        <v>0</v>
      </c>
      <c r="AA146" s="110">
        <f>+'Gantt Proyectos'!Z214</f>
        <v>0</v>
      </c>
      <c r="AB146" s="110">
        <f>+'Gantt Proyectos'!AA214</f>
        <v>0</v>
      </c>
      <c r="AC146" s="110">
        <f>+'Gantt Proyectos'!AB214</f>
        <v>0</v>
      </c>
      <c r="AD146" s="110">
        <f>+'Gantt Proyectos'!AC214</f>
        <v>0</v>
      </c>
      <c r="AE146" s="110">
        <f>+'Gantt Proyectos'!AD214</f>
        <v>0</v>
      </c>
      <c r="AF146" s="110">
        <f>+'Gantt Proyectos'!AE214</f>
        <v>0</v>
      </c>
      <c r="AG146" s="172">
        <v>1</v>
      </c>
      <c r="AH146" s="169">
        <f ca="1">+IFERROR(IF(ISNUMBER(OFFSET('EDP Proyectado'!AI146,0,-'Ingreso Proyectado_Edu'!$P146))&lt;&gt;0,IF(OFFSET('EDP Proyectado'!AI146,0,-'Ingreso Proyectado_Edu'!$P146)+0&lt;=1,0,OFFSET('EDP Proyectado'!AI146,0,-'Ingreso Proyectado_Edu'!$P146)+0)),0)</f>
        <v>0</v>
      </c>
      <c r="AI146" s="169">
        <f ca="1">+IFERROR(IF(ISNUMBER(OFFSET('EDP Proyectado'!AJ146,0,-'Ingreso Proyectado_Edu'!$P146))&lt;&gt;0,IF(OFFSET('EDP Proyectado'!AJ146,0,-'Ingreso Proyectado_Edu'!$P146)+0&lt;=1,0,OFFSET('EDP Proyectado'!AJ146,0,-'Ingreso Proyectado_Edu'!$P146)+0)),0)</f>
        <v>0</v>
      </c>
      <c r="AJ146" s="169">
        <f ca="1">+IFERROR(IF(ISNUMBER(OFFSET('EDP Proyectado'!AK146,0,-'Ingreso Proyectado_Edu'!$P146))&lt;&gt;0,IF(OFFSET('EDP Proyectado'!AK146,0,-'Ingreso Proyectado_Edu'!$P146)+0&lt;=1,0,OFFSET('EDP Proyectado'!AK146,0,-'Ingreso Proyectado_Edu'!$P146)+0)),0)</f>
        <v>0</v>
      </c>
      <c r="AK146" s="169">
        <f ca="1">+IFERROR(IF(ISNUMBER(OFFSET('EDP Proyectado'!AL146,0,-'Ingreso Proyectado_Edu'!$P146))&lt;&gt;0,IF(OFFSET('EDP Proyectado'!AL146,0,-'Ingreso Proyectado_Edu'!$P146)+0&lt;=1,0,OFFSET('EDP Proyectado'!AL146,0,-'Ingreso Proyectado_Edu'!$P146)+0)),0)</f>
        <v>0</v>
      </c>
      <c r="AL146" s="169">
        <f ca="1">+IFERROR(IF(ISNUMBER(OFFSET('EDP Proyectado'!AM146,0,-'Ingreso Proyectado_Edu'!$P146))&lt;&gt;0,IF(OFFSET('EDP Proyectado'!AM146,0,-'Ingreso Proyectado_Edu'!$P146)+0&lt;=1,0,OFFSET('EDP Proyectado'!AM146,0,-'Ingreso Proyectado_Edu'!$P146)+0)),0)</f>
        <v>0</v>
      </c>
      <c r="AM146" s="169">
        <f ca="1">+IFERROR(IF(ISNUMBER(OFFSET('EDP Proyectado'!AN146,0,-'Ingreso Proyectado_Edu'!$P146))&lt;&gt;0,IF(OFFSET('EDP Proyectado'!AN146,0,-'Ingreso Proyectado_Edu'!$P146)+0&lt;=1,0,OFFSET('EDP Proyectado'!AN146,0,-'Ingreso Proyectado_Edu'!$P146)+0)),0)</f>
        <v>0</v>
      </c>
      <c r="AN146" s="169">
        <f ca="1">+IFERROR(IF(ISNUMBER(OFFSET('EDP Proyectado'!AO146,0,-'Ingreso Proyectado_Edu'!$P146))&lt;&gt;0,IF(OFFSET('EDP Proyectado'!AO146,0,-'Ingreso Proyectado_Edu'!$P146)+0&lt;=1,0,OFFSET('EDP Proyectado'!AO146,0,-'Ingreso Proyectado_Edu'!$P146)+0)),0)</f>
        <v>0</v>
      </c>
      <c r="AO146" s="169">
        <f ca="1">+IFERROR(IF(ISNUMBER(OFFSET('EDP Proyectado'!AP146,0,-'Ingreso Proyectado_Edu'!$P146))&lt;&gt;0,IF(OFFSET('EDP Proyectado'!AP146,0,-'Ingreso Proyectado_Edu'!$P146)+0&lt;=1,0,OFFSET('EDP Proyectado'!AP146,0,-'Ingreso Proyectado_Edu'!$P146)+0)),0)</f>
        <v>0</v>
      </c>
      <c r="AP146" s="170">
        <f ca="1">+IFERROR(IF(ISNUMBER(OFFSET('EDP Proyectado'!AQ146,0,-'Ingreso Proyectado_Edu'!$P146))&lt;&gt;0,IF(OFFSET('EDP Proyectado'!AQ146,0,-'Ingreso Proyectado_Edu'!$P146)+0&lt;=1,0,OFFSET('EDP Proyectado'!AQ146,0,-'Ingreso Proyectado_Edu'!$P146)+0)),0)</f>
        <v>0</v>
      </c>
    </row>
    <row r="147" spans="3:42" x14ac:dyDescent="0.2">
      <c r="C147" s="110">
        <f>+'Gantt Proyectos'!C215</f>
        <v>0</v>
      </c>
      <c r="D147" s="110">
        <f>+'Gantt Proyectos'!D215</f>
        <v>0</v>
      </c>
      <c r="E147" s="110">
        <f>+'Gantt Proyectos'!E215</f>
        <v>0</v>
      </c>
      <c r="F147" s="148">
        <f>+'Gantt Proyectos'!F215</f>
        <v>0</v>
      </c>
      <c r="G147" s="110">
        <f>+'Gantt Proyectos'!G215</f>
        <v>0</v>
      </c>
      <c r="H147" s="110">
        <f>+'Gantt Proyectos'!H215</f>
        <v>0</v>
      </c>
      <c r="I147" s="189">
        <v>1</v>
      </c>
      <c r="J147" s="189">
        <f t="shared" si="12"/>
        <v>0</v>
      </c>
      <c r="K147" s="110">
        <f>+'Gantt Proyectos'!I215</f>
        <v>0</v>
      </c>
      <c r="L147" s="110">
        <f>+'Gantt Proyectos'!J215</f>
        <v>0</v>
      </c>
      <c r="M147" s="110">
        <f>+'Gantt Proyectos'!K215</f>
        <v>0</v>
      </c>
      <c r="N147" s="110">
        <f>+'Gantt Proyectos'!L215</f>
        <v>0</v>
      </c>
      <c r="O147" s="110">
        <f>+'Gantt Proyectos'!M215</f>
        <v>0</v>
      </c>
      <c r="P147" s="110">
        <f>+'Gantt Proyectos'!N215</f>
        <v>0</v>
      </c>
      <c r="Q147" s="110">
        <f>+'Gantt Proyectos'!O215</f>
        <v>0</v>
      </c>
      <c r="R147" s="110">
        <f>+'Gantt Proyectos'!P215</f>
        <v>0</v>
      </c>
      <c r="S147" s="110">
        <f>+'Gantt Proyectos'!R215</f>
        <v>0</v>
      </c>
      <c r="T147" s="118">
        <f>+'Gantt Proyectos'!S215</f>
        <v>0</v>
      </c>
      <c r="U147" s="157">
        <f>+'Gantt Proyectos'!T215</f>
        <v>0</v>
      </c>
      <c r="V147" s="157">
        <f>+'Gantt Proyectos'!U215</f>
        <v>0</v>
      </c>
      <c r="W147" s="201">
        <f t="shared" si="13"/>
        <v>0</v>
      </c>
      <c r="X147" s="110">
        <f>+'Gantt Proyectos'!W215</f>
        <v>0</v>
      </c>
      <c r="Y147" s="110">
        <f>+'Gantt Proyectos'!X215</f>
        <v>0</v>
      </c>
      <c r="Z147" s="110">
        <f>+'Gantt Proyectos'!Y215</f>
        <v>0</v>
      </c>
      <c r="AA147" s="110">
        <f>+'Gantt Proyectos'!Z215</f>
        <v>0</v>
      </c>
      <c r="AB147" s="110">
        <f>+'Gantt Proyectos'!AA215</f>
        <v>0</v>
      </c>
      <c r="AC147" s="110">
        <f>+'Gantt Proyectos'!AB215</f>
        <v>0</v>
      </c>
      <c r="AD147" s="110">
        <f>+'Gantt Proyectos'!AC215</f>
        <v>0</v>
      </c>
      <c r="AE147" s="110">
        <f>+'Gantt Proyectos'!AD215</f>
        <v>0</v>
      </c>
      <c r="AF147" s="110">
        <f>+'Gantt Proyectos'!AE215</f>
        <v>0</v>
      </c>
      <c r="AG147" s="172">
        <v>1</v>
      </c>
      <c r="AH147" s="169">
        <f ca="1">+IFERROR(IF(ISNUMBER(OFFSET('EDP Proyectado'!AI147,0,-'Ingreso Proyectado_Edu'!$P147))&lt;&gt;0,IF(OFFSET('EDP Proyectado'!AI147,0,-'Ingreso Proyectado_Edu'!$P147)+0&lt;=1,0,OFFSET('EDP Proyectado'!AI147,0,-'Ingreso Proyectado_Edu'!$P147)+0)),0)</f>
        <v>0</v>
      </c>
      <c r="AI147" s="169">
        <f ca="1">+IFERROR(IF(ISNUMBER(OFFSET('EDP Proyectado'!AJ147,0,-'Ingreso Proyectado_Edu'!$P147))&lt;&gt;0,IF(OFFSET('EDP Proyectado'!AJ147,0,-'Ingreso Proyectado_Edu'!$P147)+0&lt;=1,0,OFFSET('EDP Proyectado'!AJ147,0,-'Ingreso Proyectado_Edu'!$P147)+0)),0)</f>
        <v>0</v>
      </c>
      <c r="AJ147" s="169">
        <f ca="1">+IFERROR(IF(ISNUMBER(OFFSET('EDP Proyectado'!AK147,0,-'Ingreso Proyectado_Edu'!$P147))&lt;&gt;0,IF(OFFSET('EDP Proyectado'!AK147,0,-'Ingreso Proyectado_Edu'!$P147)+0&lt;=1,0,OFFSET('EDP Proyectado'!AK147,0,-'Ingreso Proyectado_Edu'!$P147)+0)),0)</f>
        <v>0</v>
      </c>
      <c r="AK147" s="169">
        <f ca="1">+IFERROR(IF(ISNUMBER(OFFSET('EDP Proyectado'!AL147,0,-'Ingreso Proyectado_Edu'!$P147))&lt;&gt;0,IF(OFFSET('EDP Proyectado'!AL147,0,-'Ingreso Proyectado_Edu'!$P147)+0&lt;=1,0,OFFSET('EDP Proyectado'!AL147,0,-'Ingreso Proyectado_Edu'!$P147)+0)),0)</f>
        <v>0</v>
      </c>
      <c r="AL147" s="169">
        <f ca="1">+IFERROR(IF(ISNUMBER(OFFSET('EDP Proyectado'!AM147,0,-'Ingreso Proyectado_Edu'!$P147))&lt;&gt;0,IF(OFFSET('EDP Proyectado'!AM147,0,-'Ingreso Proyectado_Edu'!$P147)+0&lt;=1,0,OFFSET('EDP Proyectado'!AM147,0,-'Ingreso Proyectado_Edu'!$P147)+0)),0)</f>
        <v>0</v>
      </c>
      <c r="AM147" s="169">
        <f ca="1">+IFERROR(IF(ISNUMBER(OFFSET('EDP Proyectado'!AN147,0,-'Ingreso Proyectado_Edu'!$P147))&lt;&gt;0,IF(OFFSET('EDP Proyectado'!AN147,0,-'Ingreso Proyectado_Edu'!$P147)+0&lt;=1,0,OFFSET('EDP Proyectado'!AN147,0,-'Ingreso Proyectado_Edu'!$P147)+0)),0)</f>
        <v>0</v>
      </c>
      <c r="AN147" s="169">
        <f ca="1">+IFERROR(IF(ISNUMBER(OFFSET('EDP Proyectado'!AO147,0,-'Ingreso Proyectado_Edu'!$P147))&lt;&gt;0,IF(OFFSET('EDP Proyectado'!AO147,0,-'Ingreso Proyectado_Edu'!$P147)+0&lt;=1,0,OFFSET('EDP Proyectado'!AO147,0,-'Ingreso Proyectado_Edu'!$P147)+0)),0)</f>
        <v>0</v>
      </c>
      <c r="AO147" s="169">
        <f ca="1">+IFERROR(IF(ISNUMBER(OFFSET('EDP Proyectado'!AP147,0,-'Ingreso Proyectado_Edu'!$P147))&lt;&gt;0,IF(OFFSET('EDP Proyectado'!AP147,0,-'Ingreso Proyectado_Edu'!$P147)+0&lt;=1,0,OFFSET('EDP Proyectado'!AP147,0,-'Ingreso Proyectado_Edu'!$P147)+0)),0)</f>
        <v>0</v>
      </c>
      <c r="AP147" s="170">
        <f ca="1">+IFERROR(IF(ISNUMBER(OFFSET('EDP Proyectado'!AQ147,0,-'Ingreso Proyectado_Edu'!$P147))&lt;&gt;0,IF(OFFSET('EDP Proyectado'!AQ147,0,-'Ingreso Proyectado_Edu'!$P147)+0&lt;=1,0,OFFSET('EDP Proyectado'!AQ147,0,-'Ingreso Proyectado_Edu'!$P147)+0)),0)</f>
        <v>0</v>
      </c>
    </row>
    <row r="148" spans="3:42" x14ac:dyDescent="0.2">
      <c r="C148" s="110">
        <f>+'Gantt Proyectos'!C216</f>
        <v>0</v>
      </c>
      <c r="D148" s="110">
        <f>+'Gantt Proyectos'!D216</f>
        <v>0</v>
      </c>
      <c r="E148" s="110">
        <f>+'Gantt Proyectos'!E216</f>
        <v>0</v>
      </c>
      <c r="F148" s="148">
        <f>+'Gantt Proyectos'!F216</f>
        <v>0</v>
      </c>
      <c r="G148" s="110">
        <f>+'Gantt Proyectos'!G216</f>
        <v>0</v>
      </c>
      <c r="H148" s="110">
        <f>+'Gantt Proyectos'!H216</f>
        <v>0</v>
      </c>
      <c r="I148" s="189">
        <v>1</v>
      </c>
      <c r="J148" s="189">
        <f t="shared" si="12"/>
        <v>0</v>
      </c>
      <c r="K148" s="110">
        <f>+'Gantt Proyectos'!I216</f>
        <v>0</v>
      </c>
      <c r="L148" s="110">
        <f>+'Gantt Proyectos'!J216</f>
        <v>0</v>
      </c>
      <c r="M148" s="110">
        <f>+'Gantt Proyectos'!K216</f>
        <v>0</v>
      </c>
      <c r="N148" s="110">
        <f>+'Gantt Proyectos'!L216</f>
        <v>0</v>
      </c>
      <c r="O148" s="110">
        <f>+'Gantt Proyectos'!M216</f>
        <v>0</v>
      </c>
      <c r="P148" s="110">
        <f>+'Gantt Proyectos'!N216</f>
        <v>0</v>
      </c>
      <c r="Q148" s="110">
        <f>+'Gantt Proyectos'!O216</f>
        <v>0</v>
      </c>
      <c r="R148" s="110">
        <f>+'Gantt Proyectos'!P216</f>
        <v>0</v>
      </c>
      <c r="S148" s="110">
        <f>+'Gantt Proyectos'!R216</f>
        <v>0</v>
      </c>
      <c r="T148" s="118">
        <f>+'Gantt Proyectos'!S216</f>
        <v>0</v>
      </c>
      <c r="U148" s="157">
        <f>+'Gantt Proyectos'!T216</f>
        <v>0</v>
      </c>
      <c r="V148" s="157">
        <f>+'Gantt Proyectos'!U216</f>
        <v>0</v>
      </c>
      <c r="W148" s="201">
        <f t="shared" si="13"/>
        <v>0</v>
      </c>
      <c r="X148" s="110">
        <f>+'Gantt Proyectos'!W216</f>
        <v>0</v>
      </c>
      <c r="Y148" s="110">
        <f>+'Gantt Proyectos'!X216</f>
        <v>0</v>
      </c>
      <c r="Z148" s="110">
        <f>+'Gantt Proyectos'!Y216</f>
        <v>0</v>
      </c>
      <c r="AA148" s="110">
        <f>+'Gantt Proyectos'!Z216</f>
        <v>0</v>
      </c>
      <c r="AB148" s="110">
        <f>+'Gantt Proyectos'!AA216</f>
        <v>0</v>
      </c>
      <c r="AC148" s="110">
        <f>+'Gantt Proyectos'!AB216</f>
        <v>0</v>
      </c>
      <c r="AD148" s="110">
        <f>+'Gantt Proyectos'!AC216</f>
        <v>0</v>
      </c>
      <c r="AE148" s="110">
        <f>+'Gantt Proyectos'!AD216</f>
        <v>0</v>
      </c>
      <c r="AF148" s="110">
        <f>+'Gantt Proyectos'!AE216</f>
        <v>0</v>
      </c>
      <c r="AG148" s="172">
        <v>1</v>
      </c>
      <c r="AH148" s="169">
        <f ca="1">+IFERROR(IF(ISNUMBER(OFFSET('EDP Proyectado'!AI148,0,-'Ingreso Proyectado_Edu'!$P148))&lt;&gt;0,IF(OFFSET('EDP Proyectado'!AI148,0,-'Ingreso Proyectado_Edu'!$P148)+0&lt;=1,0,OFFSET('EDP Proyectado'!AI148,0,-'Ingreso Proyectado_Edu'!$P148)+0)),0)</f>
        <v>0</v>
      </c>
      <c r="AI148" s="169">
        <f ca="1">+IFERROR(IF(ISNUMBER(OFFSET('EDP Proyectado'!AJ148,0,-'Ingreso Proyectado_Edu'!$P148))&lt;&gt;0,IF(OFFSET('EDP Proyectado'!AJ148,0,-'Ingreso Proyectado_Edu'!$P148)+0&lt;=1,0,OFFSET('EDP Proyectado'!AJ148,0,-'Ingreso Proyectado_Edu'!$P148)+0)),0)</f>
        <v>0</v>
      </c>
      <c r="AJ148" s="169">
        <f ca="1">+IFERROR(IF(ISNUMBER(OFFSET('EDP Proyectado'!AK148,0,-'Ingreso Proyectado_Edu'!$P148))&lt;&gt;0,IF(OFFSET('EDP Proyectado'!AK148,0,-'Ingreso Proyectado_Edu'!$P148)+0&lt;=1,0,OFFSET('EDP Proyectado'!AK148,0,-'Ingreso Proyectado_Edu'!$P148)+0)),0)</f>
        <v>0</v>
      </c>
      <c r="AK148" s="169">
        <f ca="1">+IFERROR(IF(ISNUMBER(OFFSET('EDP Proyectado'!AL148,0,-'Ingreso Proyectado_Edu'!$P148))&lt;&gt;0,IF(OFFSET('EDP Proyectado'!AL148,0,-'Ingreso Proyectado_Edu'!$P148)+0&lt;=1,0,OFFSET('EDP Proyectado'!AL148,0,-'Ingreso Proyectado_Edu'!$P148)+0)),0)</f>
        <v>0</v>
      </c>
      <c r="AL148" s="169">
        <f ca="1">+IFERROR(IF(ISNUMBER(OFFSET('EDP Proyectado'!AM148,0,-'Ingreso Proyectado_Edu'!$P148))&lt;&gt;0,IF(OFFSET('EDP Proyectado'!AM148,0,-'Ingreso Proyectado_Edu'!$P148)+0&lt;=1,0,OFFSET('EDP Proyectado'!AM148,0,-'Ingreso Proyectado_Edu'!$P148)+0)),0)</f>
        <v>0</v>
      </c>
      <c r="AM148" s="169">
        <f ca="1">+IFERROR(IF(ISNUMBER(OFFSET('EDP Proyectado'!AN148,0,-'Ingreso Proyectado_Edu'!$P148))&lt;&gt;0,IF(OFFSET('EDP Proyectado'!AN148,0,-'Ingreso Proyectado_Edu'!$P148)+0&lt;=1,0,OFFSET('EDP Proyectado'!AN148,0,-'Ingreso Proyectado_Edu'!$P148)+0)),0)</f>
        <v>0</v>
      </c>
      <c r="AN148" s="169">
        <f ca="1">+IFERROR(IF(ISNUMBER(OFFSET('EDP Proyectado'!AO148,0,-'Ingreso Proyectado_Edu'!$P148))&lt;&gt;0,IF(OFFSET('EDP Proyectado'!AO148,0,-'Ingreso Proyectado_Edu'!$P148)+0&lt;=1,0,OFFSET('EDP Proyectado'!AO148,0,-'Ingreso Proyectado_Edu'!$P148)+0)),0)</f>
        <v>0</v>
      </c>
      <c r="AO148" s="169">
        <f ca="1">+IFERROR(IF(ISNUMBER(OFFSET('EDP Proyectado'!AP148,0,-'Ingreso Proyectado_Edu'!$P148))&lt;&gt;0,IF(OFFSET('EDP Proyectado'!AP148,0,-'Ingreso Proyectado_Edu'!$P148)+0&lt;=1,0,OFFSET('EDP Proyectado'!AP148,0,-'Ingreso Proyectado_Edu'!$P148)+0)),0)</f>
        <v>0</v>
      </c>
      <c r="AP148" s="170">
        <f ca="1">+IFERROR(IF(ISNUMBER(OFFSET('EDP Proyectado'!AQ148,0,-'Ingreso Proyectado_Edu'!$P148))&lt;&gt;0,IF(OFFSET('EDP Proyectado'!AQ148,0,-'Ingreso Proyectado_Edu'!$P148)+0&lt;=1,0,OFFSET('EDP Proyectado'!AQ148,0,-'Ingreso Proyectado_Edu'!$P148)+0)),0)</f>
        <v>0</v>
      </c>
    </row>
    <row r="149" spans="3:42" x14ac:dyDescent="0.2">
      <c r="C149" s="110">
        <f>+'Gantt Proyectos'!C217</f>
        <v>0</v>
      </c>
      <c r="D149" s="110">
        <f>+'Gantt Proyectos'!D217</f>
        <v>0</v>
      </c>
      <c r="E149" s="110">
        <f>+'Gantt Proyectos'!E217</f>
        <v>0</v>
      </c>
      <c r="F149" s="148">
        <f>+'Gantt Proyectos'!F217</f>
        <v>0</v>
      </c>
      <c r="G149" s="110">
        <f>+'Gantt Proyectos'!G217</f>
        <v>0</v>
      </c>
      <c r="H149" s="110">
        <f>+'Gantt Proyectos'!H217</f>
        <v>0</v>
      </c>
      <c r="I149" s="189">
        <v>1</v>
      </c>
      <c r="J149" s="189">
        <f t="shared" si="12"/>
        <v>0</v>
      </c>
      <c r="K149" s="110">
        <f>+'Gantt Proyectos'!I217</f>
        <v>0</v>
      </c>
      <c r="L149" s="110">
        <f>+'Gantt Proyectos'!J217</f>
        <v>0</v>
      </c>
      <c r="M149" s="110">
        <f>+'Gantt Proyectos'!K217</f>
        <v>0</v>
      </c>
      <c r="N149" s="110">
        <f>+'Gantt Proyectos'!L217</f>
        <v>0</v>
      </c>
      <c r="O149" s="110">
        <f>+'Gantt Proyectos'!M217</f>
        <v>0</v>
      </c>
      <c r="P149" s="110">
        <f>+'Gantt Proyectos'!N217</f>
        <v>0</v>
      </c>
      <c r="Q149" s="110">
        <f>+'Gantt Proyectos'!O217</f>
        <v>0</v>
      </c>
      <c r="R149" s="110">
        <f>+'Gantt Proyectos'!P217</f>
        <v>0</v>
      </c>
      <c r="S149" s="110">
        <f>+'Gantt Proyectos'!R217</f>
        <v>0</v>
      </c>
      <c r="T149" s="118">
        <f>+'Gantt Proyectos'!S217</f>
        <v>0</v>
      </c>
      <c r="U149" s="157">
        <f>+'Gantt Proyectos'!T217</f>
        <v>0</v>
      </c>
      <c r="V149" s="157">
        <f>+'Gantt Proyectos'!U217</f>
        <v>0</v>
      </c>
      <c r="W149" s="201">
        <f t="shared" si="13"/>
        <v>0</v>
      </c>
      <c r="X149" s="110">
        <f>+'Gantt Proyectos'!W217</f>
        <v>0</v>
      </c>
      <c r="Y149" s="110">
        <f>+'Gantt Proyectos'!X217</f>
        <v>0</v>
      </c>
      <c r="Z149" s="110">
        <f>+'Gantt Proyectos'!Y217</f>
        <v>0</v>
      </c>
      <c r="AA149" s="110">
        <f>+'Gantt Proyectos'!Z217</f>
        <v>0</v>
      </c>
      <c r="AB149" s="110">
        <f>+'Gantt Proyectos'!AA217</f>
        <v>0</v>
      </c>
      <c r="AC149" s="110">
        <f>+'Gantt Proyectos'!AB217</f>
        <v>0</v>
      </c>
      <c r="AD149" s="110">
        <f>+'Gantt Proyectos'!AC217</f>
        <v>0</v>
      </c>
      <c r="AE149" s="110">
        <f>+'Gantt Proyectos'!AD217</f>
        <v>0</v>
      </c>
      <c r="AF149" s="110">
        <f>+'Gantt Proyectos'!AE217</f>
        <v>0</v>
      </c>
      <c r="AG149" s="172">
        <v>1</v>
      </c>
      <c r="AH149" s="169">
        <f ca="1">+IFERROR(IF(ISNUMBER(OFFSET('EDP Proyectado'!AI149,0,-'Ingreso Proyectado_Edu'!$P149))&lt;&gt;0,IF(OFFSET('EDP Proyectado'!AI149,0,-'Ingreso Proyectado_Edu'!$P149)+0&lt;=1,0,OFFSET('EDP Proyectado'!AI149,0,-'Ingreso Proyectado_Edu'!$P149)+0)),0)</f>
        <v>0</v>
      </c>
      <c r="AI149" s="169">
        <f ca="1">+IFERROR(IF(ISNUMBER(OFFSET('EDP Proyectado'!AJ149,0,-'Ingreso Proyectado_Edu'!$P149))&lt;&gt;0,IF(OFFSET('EDP Proyectado'!AJ149,0,-'Ingreso Proyectado_Edu'!$P149)+0&lt;=1,0,OFFSET('EDP Proyectado'!AJ149,0,-'Ingreso Proyectado_Edu'!$P149)+0)),0)</f>
        <v>0</v>
      </c>
      <c r="AJ149" s="169">
        <f ca="1">+IFERROR(IF(ISNUMBER(OFFSET('EDP Proyectado'!AK149,0,-'Ingreso Proyectado_Edu'!$P149))&lt;&gt;0,IF(OFFSET('EDP Proyectado'!AK149,0,-'Ingreso Proyectado_Edu'!$P149)+0&lt;=1,0,OFFSET('EDP Proyectado'!AK149,0,-'Ingreso Proyectado_Edu'!$P149)+0)),0)</f>
        <v>0</v>
      </c>
      <c r="AK149" s="169">
        <f ca="1">+IFERROR(IF(ISNUMBER(OFFSET('EDP Proyectado'!AL149,0,-'Ingreso Proyectado_Edu'!$P149))&lt;&gt;0,IF(OFFSET('EDP Proyectado'!AL149,0,-'Ingreso Proyectado_Edu'!$P149)+0&lt;=1,0,OFFSET('EDP Proyectado'!AL149,0,-'Ingreso Proyectado_Edu'!$P149)+0)),0)</f>
        <v>0</v>
      </c>
      <c r="AL149" s="169">
        <f ca="1">+IFERROR(IF(ISNUMBER(OFFSET('EDP Proyectado'!AM149,0,-'Ingreso Proyectado_Edu'!$P149))&lt;&gt;0,IF(OFFSET('EDP Proyectado'!AM149,0,-'Ingreso Proyectado_Edu'!$P149)+0&lt;=1,0,OFFSET('EDP Proyectado'!AM149,0,-'Ingreso Proyectado_Edu'!$P149)+0)),0)</f>
        <v>0</v>
      </c>
      <c r="AM149" s="169">
        <f ca="1">+IFERROR(IF(ISNUMBER(OFFSET('EDP Proyectado'!AN149,0,-'Ingreso Proyectado_Edu'!$P149))&lt;&gt;0,IF(OFFSET('EDP Proyectado'!AN149,0,-'Ingreso Proyectado_Edu'!$P149)+0&lt;=1,0,OFFSET('EDP Proyectado'!AN149,0,-'Ingreso Proyectado_Edu'!$P149)+0)),0)</f>
        <v>0</v>
      </c>
      <c r="AN149" s="169">
        <f ca="1">+IFERROR(IF(ISNUMBER(OFFSET('EDP Proyectado'!AO149,0,-'Ingreso Proyectado_Edu'!$P149))&lt;&gt;0,IF(OFFSET('EDP Proyectado'!AO149,0,-'Ingreso Proyectado_Edu'!$P149)+0&lt;=1,0,OFFSET('EDP Proyectado'!AO149,0,-'Ingreso Proyectado_Edu'!$P149)+0)),0)</f>
        <v>0</v>
      </c>
      <c r="AO149" s="169">
        <f ca="1">+IFERROR(IF(ISNUMBER(OFFSET('EDP Proyectado'!AP149,0,-'Ingreso Proyectado_Edu'!$P149))&lt;&gt;0,IF(OFFSET('EDP Proyectado'!AP149,0,-'Ingreso Proyectado_Edu'!$P149)+0&lt;=1,0,OFFSET('EDP Proyectado'!AP149,0,-'Ingreso Proyectado_Edu'!$P149)+0)),0)</f>
        <v>0</v>
      </c>
      <c r="AP149" s="170">
        <f ca="1">+IFERROR(IF(ISNUMBER(OFFSET('EDP Proyectado'!AQ149,0,-'Ingreso Proyectado_Edu'!$P149))&lt;&gt;0,IF(OFFSET('EDP Proyectado'!AQ149,0,-'Ingreso Proyectado_Edu'!$P149)+0&lt;=1,0,OFFSET('EDP Proyectado'!AQ149,0,-'Ingreso Proyectado_Edu'!$P149)+0)),0)</f>
        <v>0</v>
      </c>
    </row>
    <row r="150" spans="3:42" x14ac:dyDescent="0.2">
      <c r="C150" s="110">
        <f>+'Gantt Proyectos'!C218</f>
        <v>0</v>
      </c>
      <c r="D150" s="110">
        <f>+'Gantt Proyectos'!D218</f>
        <v>0</v>
      </c>
      <c r="E150" s="110">
        <f>+'Gantt Proyectos'!E218</f>
        <v>0</v>
      </c>
      <c r="F150" s="148">
        <f>+'Gantt Proyectos'!F218</f>
        <v>0</v>
      </c>
      <c r="G150" s="110">
        <f>+'Gantt Proyectos'!G218</f>
        <v>0</v>
      </c>
      <c r="H150" s="110">
        <f>+'Gantt Proyectos'!H218</f>
        <v>0</v>
      </c>
      <c r="I150" s="189">
        <v>1</v>
      </c>
      <c r="J150" s="189">
        <f t="shared" si="12"/>
        <v>0</v>
      </c>
      <c r="K150" s="110">
        <f>+'Gantt Proyectos'!I218</f>
        <v>0</v>
      </c>
      <c r="L150" s="110">
        <f>+'Gantt Proyectos'!J218</f>
        <v>0</v>
      </c>
      <c r="M150" s="110">
        <f>+'Gantt Proyectos'!K218</f>
        <v>0</v>
      </c>
      <c r="N150" s="110">
        <f>+'Gantt Proyectos'!L218</f>
        <v>0</v>
      </c>
      <c r="O150" s="110">
        <f>+'Gantt Proyectos'!M218</f>
        <v>0</v>
      </c>
      <c r="P150" s="110">
        <f>+'Gantt Proyectos'!N218</f>
        <v>0</v>
      </c>
      <c r="Q150" s="110">
        <f>+'Gantt Proyectos'!O218</f>
        <v>0</v>
      </c>
      <c r="R150" s="110">
        <f>+'Gantt Proyectos'!P218</f>
        <v>0</v>
      </c>
      <c r="S150" s="110">
        <f>+'Gantt Proyectos'!R218</f>
        <v>0</v>
      </c>
      <c r="T150" s="118">
        <f>+'Gantt Proyectos'!S218</f>
        <v>0</v>
      </c>
      <c r="U150" s="157">
        <f>+'Gantt Proyectos'!T218</f>
        <v>0</v>
      </c>
      <c r="V150" s="157">
        <f>+'Gantt Proyectos'!U218</f>
        <v>0</v>
      </c>
      <c r="W150" s="201">
        <f t="shared" si="13"/>
        <v>0</v>
      </c>
      <c r="X150" s="110">
        <f>+'Gantt Proyectos'!W218</f>
        <v>0</v>
      </c>
      <c r="Y150" s="110">
        <f>+'Gantt Proyectos'!X218</f>
        <v>0</v>
      </c>
      <c r="Z150" s="110">
        <f>+'Gantt Proyectos'!Y218</f>
        <v>0</v>
      </c>
      <c r="AA150" s="110">
        <f>+'Gantt Proyectos'!Z218</f>
        <v>0</v>
      </c>
      <c r="AB150" s="110">
        <f>+'Gantt Proyectos'!AA218</f>
        <v>0</v>
      </c>
      <c r="AC150" s="110">
        <f>+'Gantt Proyectos'!AB218</f>
        <v>0</v>
      </c>
      <c r="AD150" s="110">
        <f>+'Gantt Proyectos'!AC218</f>
        <v>0</v>
      </c>
      <c r="AE150" s="110">
        <f>+'Gantt Proyectos'!AD218</f>
        <v>0</v>
      </c>
      <c r="AF150" s="110">
        <f>+'Gantt Proyectos'!AE218</f>
        <v>0</v>
      </c>
      <c r="AG150" s="172">
        <v>1</v>
      </c>
      <c r="AH150" s="169">
        <f ca="1">+IFERROR(IF(ISNUMBER(OFFSET('EDP Proyectado'!AI150,0,-'Ingreso Proyectado_Edu'!$P150))&lt;&gt;0,IF(OFFSET('EDP Proyectado'!AI150,0,-'Ingreso Proyectado_Edu'!$P150)+0&lt;=1,0,OFFSET('EDP Proyectado'!AI150,0,-'Ingreso Proyectado_Edu'!$P150)+0)),0)</f>
        <v>0</v>
      </c>
      <c r="AI150" s="169">
        <f ca="1">+IFERROR(IF(ISNUMBER(OFFSET('EDP Proyectado'!AJ150,0,-'Ingreso Proyectado_Edu'!$P150))&lt;&gt;0,IF(OFFSET('EDP Proyectado'!AJ150,0,-'Ingreso Proyectado_Edu'!$P150)+0&lt;=1,0,OFFSET('EDP Proyectado'!AJ150,0,-'Ingreso Proyectado_Edu'!$P150)+0)),0)</f>
        <v>0</v>
      </c>
      <c r="AJ150" s="169">
        <f ca="1">+IFERROR(IF(ISNUMBER(OFFSET('EDP Proyectado'!AK150,0,-'Ingreso Proyectado_Edu'!$P150))&lt;&gt;0,IF(OFFSET('EDP Proyectado'!AK150,0,-'Ingreso Proyectado_Edu'!$P150)+0&lt;=1,0,OFFSET('EDP Proyectado'!AK150,0,-'Ingreso Proyectado_Edu'!$P150)+0)),0)</f>
        <v>0</v>
      </c>
      <c r="AK150" s="169">
        <f ca="1">+IFERROR(IF(ISNUMBER(OFFSET('EDP Proyectado'!AL150,0,-'Ingreso Proyectado_Edu'!$P150))&lt;&gt;0,IF(OFFSET('EDP Proyectado'!AL150,0,-'Ingreso Proyectado_Edu'!$P150)+0&lt;=1,0,OFFSET('EDP Proyectado'!AL150,0,-'Ingreso Proyectado_Edu'!$P150)+0)),0)</f>
        <v>0</v>
      </c>
      <c r="AL150" s="169">
        <f ca="1">+IFERROR(IF(ISNUMBER(OFFSET('EDP Proyectado'!AM150,0,-'Ingreso Proyectado_Edu'!$P150))&lt;&gt;0,IF(OFFSET('EDP Proyectado'!AM150,0,-'Ingreso Proyectado_Edu'!$P150)+0&lt;=1,0,OFFSET('EDP Proyectado'!AM150,0,-'Ingreso Proyectado_Edu'!$P150)+0)),0)</f>
        <v>0</v>
      </c>
      <c r="AM150" s="169">
        <f ca="1">+IFERROR(IF(ISNUMBER(OFFSET('EDP Proyectado'!AN150,0,-'Ingreso Proyectado_Edu'!$P150))&lt;&gt;0,IF(OFFSET('EDP Proyectado'!AN150,0,-'Ingreso Proyectado_Edu'!$P150)+0&lt;=1,0,OFFSET('EDP Proyectado'!AN150,0,-'Ingreso Proyectado_Edu'!$P150)+0)),0)</f>
        <v>0</v>
      </c>
      <c r="AN150" s="169">
        <f ca="1">+IFERROR(IF(ISNUMBER(OFFSET('EDP Proyectado'!AO150,0,-'Ingreso Proyectado_Edu'!$P150))&lt;&gt;0,IF(OFFSET('EDP Proyectado'!AO150,0,-'Ingreso Proyectado_Edu'!$P150)+0&lt;=1,0,OFFSET('EDP Proyectado'!AO150,0,-'Ingreso Proyectado_Edu'!$P150)+0)),0)</f>
        <v>0</v>
      </c>
      <c r="AO150" s="169">
        <f ca="1">+IFERROR(IF(ISNUMBER(OFFSET('EDP Proyectado'!AP150,0,-'Ingreso Proyectado_Edu'!$P150))&lt;&gt;0,IF(OFFSET('EDP Proyectado'!AP150,0,-'Ingreso Proyectado_Edu'!$P150)+0&lt;=1,0,OFFSET('EDP Proyectado'!AP150,0,-'Ingreso Proyectado_Edu'!$P150)+0)),0)</f>
        <v>0</v>
      </c>
      <c r="AP150" s="170">
        <f ca="1">+IFERROR(IF(ISNUMBER(OFFSET('EDP Proyectado'!AQ150,0,-'Ingreso Proyectado_Edu'!$P150))&lt;&gt;0,IF(OFFSET('EDP Proyectado'!AQ150,0,-'Ingreso Proyectado_Edu'!$P150)+0&lt;=1,0,OFFSET('EDP Proyectado'!AQ150,0,-'Ingreso Proyectado_Edu'!$P150)+0)),0)</f>
        <v>0</v>
      </c>
    </row>
    <row r="151" spans="3:42" x14ac:dyDescent="0.2">
      <c r="C151" s="110">
        <f>+'Gantt Proyectos'!C219</f>
        <v>0</v>
      </c>
      <c r="D151" s="110">
        <f>+'Gantt Proyectos'!D219</f>
        <v>0</v>
      </c>
      <c r="E151" s="110">
        <f>+'Gantt Proyectos'!E219</f>
        <v>0</v>
      </c>
      <c r="F151" s="148">
        <f>+'Gantt Proyectos'!F219</f>
        <v>0</v>
      </c>
      <c r="G151" s="110">
        <f>+'Gantt Proyectos'!G219</f>
        <v>0</v>
      </c>
      <c r="H151" s="110">
        <f>+'Gantt Proyectos'!H219</f>
        <v>0</v>
      </c>
      <c r="I151" s="189">
        <v>1</v>
      </c>
      <c r="J151" s="189">
        <f t="shared" si="12"/>
        <v>0</v>
      </c>
      <c r="K151" s="110">
        <f>+'Gantt Proyectos'!I219</f>
        <v>0</v>
      </c>
      <c r="L151" s="110">
        <f>+'Gantt Proyectos'!J219</f>
        <v>0</v>
      </c>
      <c r="M151" s="110">
        <f>+'Gantt Proyectos'!K219</f>
        <v>0</v>
      </c>
      <c r="N151" s="110">
        <f>+'Gantt Proyectos'!L219</f>
        <v>0</v>
      </c>
      <c r="O151" s="110">
        <f>+'Gantt Proyectos'!M219</f>
        <v>0</v>
      </c>
      <c r="P151" s="110">
        <f>+'Gantt Proyectos'!N219</f>
        <v>0</v>
      </c>
      <c r="Q151" s="110">
        <f>+'Gantt Proyectos'!O219</f>
        <v>0</v>
      </c>
      <c r="R151" s="110">
        <f>+'Gantt Proyectos'!P219</f>
        <v>0</v>
      </c>
      <c r="S151" s="110">
        <f>+'Gantt Proyectos'!R219</f>
        <v>0</v>
      </c>
      <c r="T151" s="118">
        <f>+'Gantt Proyectos'!S219</f>
        <v>0</v>
      </c>
      <c r="U151" s="157">
        <f>+'Gantt Proyectos'!T219</f>
        <v>0</v>
      </c>
      <c r="V151" s="157">
        <f>+'Gantt Proyectos'!U219</f>
        <v>0</v>
      </c>
      <c r="W151" s="201">
        <f t="shared" si="13"/>
        <v>0</v>
      </c>
      <c r="X151" s="110">
        <f>+'Gantt Proyectos'!W219</f>
        <v>0</v>
      </c>
      <c r="Y151" s="110">
        <f>+'Gantt Proyectos'!X219</f>
        <v>0</v>
      </c>
      <c r="Z151" s="110">
        <f>+'Gantt Proyectos'!Y219</f>
        <v>0</v>
      </c>
      <c r="AA151" s="110">
        <f>+'Gantt Proyectos'!Z219</f>
        <v>0</v>
      </c>
      <c r="AB151" s="110">
        <f>+'Gantt Proyectos'!AA219</f>
        <v>0</v>
      </c>
      <c r="AC151" s="110">
        <f>+'Gantt Proyectos'!AB219</f>
        <v>0</v>
      </c>
      <c r="AD151" s="110">
        <f>+'Gantt Proyectos'!AC219</f>
        <v>0</v>
      </c>
      <c r="AE151" s="110">
        <f>+'Gantt Proyectos'!AD219</f>
        <v>0</v>
      </c>
      <c r="AF151" s="110">
        <f>+'Gantt Proyectos'!AE219</f>
        <v>0</v>
      </c>
      <c r="AG151" s="172">
        <v>1</v>
      </c>
      <c r="AH151" s="169">
        <f ca="1">+IFERROR(IF(ISNUMBER(OFFSET('EDP Proyectado'!AI151,0,-'Ingreso Proyectado_Edu'!$P151))&lt;&gt;0,IF(OFFSET('EDP Proyectado'!AI151,0,-'Ingreso Proyectado_Edu'!$P151)+0&lt;=1,0,OFFSET('EDP Proyectado'!AI151,0,-'Ingreso Proyectado_Edu'!$P151)+0)),0)</f>
        <v>0</v>
      </c>
      <c r="AI151" s="169">
        <f ca="1">+IFERROR(IF(ISNUMBER(OFFSET('EDP Proyectado'!AJ151,0,-'Ingreso Proyectado_Edu'!$P151))&lt;&gt;0,IF(OFFSET('EDP Proyectado'!AJ151,0,-'Ingreso Proyectado_Edu'!$P151)+0&lt;=1,0,OFFSET('EDP Proyectado'!AJ151,0,-'Ingreso Proyectado_Edu'!$P151)+0)),0)</f>
        <v>0</v>
      </c>
      <c r="AJ151" s="169">
        <f ca="1">+IFERROR(IF(ISNUMBER(OFFSET('EDP Proyectado'!AK151,0,-'Ingreso Proyectado_Edu'!$P151))&lt;&gt;0,IF(OFFSET('EDP Proyectado'!AK151,0,-'Ingreso Proyectado_Edu'!$P151)+0&lt;=1,0,OFFSET('EDP Proyectado'!AK151,0,-'Ingreso Proyectado_Edu'!$P151)+0)),0)</f>
        <v>0</v>
      </c>
      <c r="AK151" s="169">
        <f ca="1">+IFERROR(IF(ISNUMBER(OFFSET('EDP Proyectado'!AL151,0,-'Ingreso Proyectado_Edu'!$P151))&lt;&gt;0,IF(OFFSET('EDP Proyectado'!AL151,0,-'Ingreso Proyectado_Edu'!$P151)+0&lt;=1,0,OFFSET('EDP Proyectado'!AL151,0,-'Ingreso Proyectado_Edu'!$P151)+0)),0)</f>
        <v>0</v>
      </c>
      <c r="AL151" s="169">
        <f ca="1">+IFERROR(IF(ISNUMBER(OFFSET('EDP Proyectado'!AM151,0,-'Ingreso Proyectado_Edu'!$P151))&lt;&gt;0,IF(OFFSET('EDP Proyectado'!AM151,0,-'Ingreso Proyectado_Edu'!$P151)+0&lt;=1,0,OFFSET('EDP Proyectado'!AM151,0,-'Ingreso Proyectado_Edu'!$P151)+0)),0)</f>
        <v>0</v>
      </c>
      <c r="AM151" s="169">
        <f ca="1">+IFERROR(IF(ISNUMBER(OFFSET('EDP Proyectado'!AN151,0,-'Ingreso Proyectado_Edu'!$P151))&lt;&gt;0,IF(OFFSET('EDP Proyectado'!AN151,0,-'Ingreso Proyectado_Edu'!$P151)+0&lt;=1,0,OFFSET('EDP Proyectado'!AN151,0,-'Ingreso Proyectado_Edu'!$P151)+0)),0)</f>
        <v>0</v>
      </c>
      <c r="AN151" s="169">
        <f ca="1">+IFERROR(IF(ISNUMBER(OFFSET('EDP Proyectado'!AO151,0,-'Ingreso Proyectado_Edu'!$P151))&lt;&gt;0,IF(OFFSET('EDP Proyectado'!AO151,0,-'Ingreso Proyectado_Edu'!$P151)+0&lt;=1,0,OFFSET('EDP Proyectado'!AO151,0,-'Ingreso Proyectado_Edu'!$P151)+0)),0)</f>
        <v>0</v>
      </c>
      <c r="AO151" s="169">
        <f ca="1">+IFERROR(IF(ISNUMBER(OFFSET('EDP Proyectado'!AP151,0,-'Ingreso Proyectado_Edu'!$P151))&lt;&gt;0,IF(OFFSET('EDP Proyectado'!AP151,0,-'Ingreso Proyectado_Edu'!$P151)+0&lt;=1,0,OFFSET('EDP Proyectado'!AP151,0,-'Ingreso Proyectado_Edu'!$P151)+0)),0)</f>
        <v>0</v>
      </c>
      <c r="AP151" s="170">
        <f ca="1">+IFERROR(IF(ISNUMBER(OFFSET('EDP Proyectado'!AQ151,0,-'Ingreso Proyectado_Edu'!$P151))&lt;&gt;0,IF(OFFSET('EDP Proyectado'!AQ151,0,-'Ingreso Proyectado_Edu'!$P151)+0&lt;=1,0,OFFSET('EDP Proyectado'!AQ151,0,-'Ingreso Proyectado_Edu'!$P151)+0)),0)</f>
        <v>0</v>
      </c>
    </row>
    <row r="152" spans="3:42" x14ac:dyDescent="0.2">
      <c r="C152" s="110">
        <f>+'Gantt Proyectos'!C220</f>
        <v>0</v>
      </c>
      <c r="D152" s="110">
        <f>+'Gantt Proyectos'!D220</f>
        <v>0</v>
      </c>
      <c r="E152" s="110">
        <f>+'Gantt Proyectos'!E220</f>
        <v>0</v>
      </c>
      <c r="F152" s="148">
        <f>+'Gantt Proyectos'!F220</f>
        <v>0</v>
      </c>
      <c r="G152" s="110">
        <f>+'Gantt Proyectos'!G220</f>
        <v>0</v>
      </c>
      <c r="H152" s="110">
        <f>+'Gantt Proyectos'!H220</f>
        <v>0</v>
      </c>
      <c r="I152" s="189">
        <v>1</v>
      </c>
      <c r="J152" s="189">
        <f t="shared" si="12"/>
        <v>0</v>
      </c>
      <c r="K152" s="110">
        <f>+'Gantt Proyectos'!I220</f>
        <v>0</v>
      </c>
      <c r="L152" s="110">
        <f>+'Gantt Proyectos'!J220</f>
        <v>0</v>
      </c>
      <c r="M152" s="110">
        <f>+'Gantt Proyectos'!K220</f>
        <v>0</v>
      </c>
      <c r="N152" s="110">
        <f>+'Gantt Proyectos'!L220</f>
        <v>0</v>
      </c>
      <c r="O152" s="110">
        <f>+'Gantt Proyectos'!M220</f>
        <v>0</v>
      </c>
      <c r="P152" s="110">
        <f>+'Gantt Proyectos'!N220</f>
        <v>0</v>
      </c>
      <c r="Q152" s="110">
        <f>+'Gantt Proyectos'!O220</f>
        <v>0</v>
      </c>
      <c r="R152" s="110">
        <f>+'Gantt Proyectos'!P220</f>
        <v>0</v>
      </c>
      <c r="S152" s="110">
        <f>+'Gantt Proyectos'!R220</f>
        <v>0</v>
      </c>
      <c r="T152" s="118">
        <f>+'Gantt Proyectos'!S220</f>
        <v>0</v>
      </c>
      <c r="U152" s="157">
        <f>+'Gantt Proyectos'!T220</f>
        <v>0</v>
      </c>
      <c r="V152" s="157">
        <f>+'Gantt Proyectos'!U220</f>
        <v>0</v>
      </c>
      <c r="W152" s="201">
        <f t="shared" si="13"/>
        <v>0</v>
      </c>
      <c r="X152" s="110">
        <f>+'Gantt Proyectos'!W220</f>
        <v>0</v>
      </c>
      <c r="Y152" s="110">
        <f>+'Gantt Proyectos'!X220</f>
        <v>0</v>
      </c>
      <c r="Z152" s="110">
        <f>+'Gantt Proyectos'!Y220</f>
        <v>0</v>
      </c>
      <c r="AA152" s="110">
        <f>+'Gantt Proyectos'!Z220</f>
        <v>0</v>
      </c>
      <c r="AB152" s="110">
        <f>+'Gantt Proyectos'!AA220</f>
        <v>0</v>
      </c>
      <c r="AC152" s="110">
        <f>+'Gantt Proyectos'!AB220</f>
        <v>0</v>
      </c>
      <c r="AD152" s="110">
        <f>+'Gantt Proyectos'!AC220</f>
        <v>0</v>
      </c>
      <c r="AE152" s="110">
        <f>+'Gantt Proyectos'!AD220</f>
        <v>0</v>
      </c>
      <c r="AF152" s="110">
        <f>+'Gantt Proyectos'!AE220</f>
        <v>0</v>
      </c>
      <c r="AG152" s="172">
        <v>1</v>
      </c>
      <c r="AH152" s="169">
        <f ca="1">+IFERROR(IF(ISNUMBER(OFFSET('EDP Proyectado'!AI152,0,-'Ingreso Proyectado_Edu'!$P152))&lt;&gt;0,IF(OFFSET('EDP Proyectado'!AI152,0,-'Ingreso Proyectado_Edu'!$P152)+0&lt;=1,0,OFFSET('EDP Proyectado'!AI152,0,-'Ingreso Proyectado_Edu'!$P152)+0)),0)</f>
        <v>0</v>
      </c>
      <c r="AI152" s="169">
        <f ca="1">+IFERROR(IF(ISNUMBER(OFFSET('EDP Proyectado'!AJ152,0,-'Ingreso Proyectado_Edu'!$P152))&lt;&gt;0,IF(OFFSET('EDP Proyectado'!AJ152,0,-'Ingreso Proyectado_Edu'!$P152)+0&lt;=1,0,OFFSET('EDP Proyectado'!AJ152,0,-'Ingreso Proyectado_Edu'!$P152)+0)),0)</f>
        <v>0</v>
      </c>
      <c r="AJ152" s="169">
        <f ca="1">+IFERROR(IF(ISNUMBER(OFFSET('EDP Proyectado'!AK152,0,-'Ingreso Proyectado_Edu'!$P152))&lt;&gt;0,IF(OFFSET('EDP Proyectado'!AK152,0,-'Ingreso Proyectado_Edu'!$P152)+0&lt;=1,0,OFFSET('EDP Proyectado'!AK152,0,-'Ingreso Proyectado_Edu'!$P152)+0)),0)</f>
        <v>0</v>
      </c>
      <c r="AK152" s="169">
        <f ca="1">+IFERROR(IF(ISNUMBER(OFFSET('EDP Proyectado'!AL152,0,-'Ingreso Proyectado_Edu'!$P152))&lt;&gt;0,IF(OFFSET('EDP Proyectado'!AL152,0,-'Ingreso Proyectado_Edu'!$P152)+0&lt;=1,0,OFFSET('EDP Proyectado'!AL152,0,-'Ingreso Proyectado_Edu'!$P152)+0)),0)</f>
        <v>0</v>
      </c>
      <c r="AL152" s="169">
        <f ca="1">+IFERROR(IF(ISNUMBER(OFFSET('EDP Proyectado'!AM152,0,-'Ingreso Proyectado_Edu'!$P152))&lt;&gt;0,IF(OFFSET('EDP Proyectado'!AM152,0,-'Ingreso Proyectado_Edu'!$P152)+0&lt;=1,0,OFFSET('EDP Proyectado'!AM152,0,-'Ingreso Proyectado_Edu'!$P152)+0)),0)</f>
        <v>0</v>
      </c>
      <c r="AM152" s="169">
        <f ca="1">+IFERROR(IF(ISNUMBER(OFFSET('EDP Proyectado'!AN152,0,-'Ingreso Proyectado_Edu'!$P152))&lt;&gt;0,IF(OFFSET('EDP Proyectado'!AN152,0,-'Ingreso Proyectado_Edu'!$P152)+0&lt;=1,0,OFFSET('EDP Proyectado'!AN152,0,-'Ingreso Proyectado_Edu'!$P152)+0)),0)</f>
        <v>0</v>
      </c>
      <c r="AN152" s="169">
        <f ca="1">+IFERROR(IF(ISNUMBER(OFFSET('EDP Proyectado'!AO152,0,-'Ingreso Proyectado_Edu'!$P152))&lt;&gt;0,IF(OFFSET('EDP Proyectado'!AO152,0,-'Ingreso Proyectado_Edu'!$P152)+0&lt;=1,0,OFFSET('EDP Proyectado'!AO152,0,-'Ingreso Proyectado_Edu'!$P152)+0)),0)</f>
        <v>0</v>
      </c>
      <c r="AO152" s="169">
        <f ca="1">+IFERROR(IF(ISNUMBER(OFFSET('EDP Proyectado'!AP152,0,-'Ingreso Proyectado_Edu'!$P152))&lt;&gt;0,IF(OFFSET('EDP Proyectado'!AP152,0,-'Ingreso Proyectado_Edu'!$P152)+0&lt;=1,0,OFFSET('EDP Proyectado'!AP152,0,-'Ingreso Proyectado_Edu'!$P152)+0)),0)</f>
        <v>0</v>
      </c>
      <c r="AP152" s="170">
        <f ca="1">+IFERROR(IF(ISNUMBER(OFFSET('EDP Proyectado'!AQ152,0,-'Ingreso Proyectado_Edu'!$P152))&lt;&gt;0,IF(OFFSET('EDP Proyectado'!AQ152,0,-'Ingreso Proyectado_Edu'!$P152)+0&lt;=1,0,OFFSET('EDP Proyectado'!AQ152,0,-'Ingreso Proyectado_Edu'!$P152)+0)),0)</f>
        <v>0</v>
      </c>
    </row>
    <row r="153" spans="3:42" x14ac:dyDescent="0.2">
      <c r="C153" s="110">
        <f>+'Gantt Proyectos'!C221</f>
        <v>0</v>
      </c>
      <c r="D153" s="110">
        <f>+'Gantt Proyectos'!D221</f>
        <v>0</v>
      </c>
      <c r="E153" s="110">
        <f>+'Gantt Proyectos'!E221</f>
        <v>0</v>
      </c>
      <c r="F153" s="148">
        <f>+'Gantt Proyectos'!F221</f>
        <v>0</v>
      </c>
      <c r="G153" s="110">
        <f>+'Gantt Proyectos'!G221</f>
        <v>0</v>
      </c>
      <c r="H153" s="110">
        <f>+'Gantt Proyectos'!H221</f>
        <v>0</v>
      </c>
      <c r="I153" s="189">
        <v>1</v>
      </c>
      <c r="J153" s="189">
        <f t="shared" si="12"/>
        <v>0</v>
      </c>
      <c r="K153" s="110">
        <f>+'Gantt Proyectos'!I221</f>
        <v>0</v>
      </c>
      <c r="L153" s="110">
        <f>+'Gantt Proyectos'!J221</f>
        <v>0</v>
      </c>
      <c r="M153" s="110">
        <f>+'Gantt Proyectos'!K221</f>
        <v>0</v>
      </c>
      <c r="N153" s="110">
        <f>+'Gantt Proyectos'!L221</f>
        <v>0</v>
      </c>
      <c r="O153" s="110">
        <f>+'Gantt Proyectos'!M221</f>
        <v>0</v>
      </c>
      <c r="P153" s="110">
        <f>+'Gantt Proyectos'!N221</f>
        <v>0</v>
      </c>
      <c r="Q153" s="110">
        <f>+'Gantt Proyectos'!O221</f>
        <v>0</v>
      </c>
      <c r="R153" s="110">
        <f>+'Gantt Proyectos'!P221</f>
        <v>0</v>
      </c>
      <c r="S153" s="110">
        <f>+'Gantt Proyectos'!R221</f>
        <v>0</v>
      </c>
      <c r="T153" s="118">
        <f>+'Gantt Proyectos'!S221</f>
        <v>0</v>
      </c>
      <c r="U153" s="157">
        <f>+'Gantt Proyectos'!T221</f>
        <v>0</v>
      </c>
      <c r="V153" s="157">
        <f>+'Gantt Proyectos'!U221</f>
        <v>0</v>
      </c>
      <c r="W153" s="201">
        <f t="shared" si="13"/>
        <v>0</v>
      </c>
      <c r="X153" s="110">
        <f>+'Gantt Proyectos'!W221</f>
        <v>0</v>
      </c>
      <c r="Y153" s="110">
        <f>+'Gantt Proyectos'!X221</f>
        <v>0</v>
      </c>
      <c r="Z153" s="110">
        <f>+'Gantt Proyectos'!Y221</f>
        <v>0</v>
      </c>
      <c r="AA153" s="110">
        <f>+'Gantt Proyectos'!Z221</f>
        <v>0</v>
      </c>
      <c r="AB153" s="110">
        <f>+'Gantt Proyectos'!AA221</f>
        <v>0</v>
      </c>
      <c r="AC153" s="110">
        <f>+'Gantt Proyectos'!AB221</f>
        <v>0</v>
      </c>
      <c r="AD153" s="110">
        <f>+'Gantt Proyectos'!AC221</f>
        <v>0</v>
      </c>
      <c r="AE153" s="110">
        <f>+'Gantt Proyectos'!AD221</f>
        <v>0</v>
      </c>
      <c r="AF153" s="110">
        <f>+'Gantt Proyectos'!AE221</f>
        <v>0</v>
      </c>
      <c r="AG153" s="172">
        <v>1</v>
      </c>
      <c r="AH153" s="169">
        <f ca="1">+IFERROR(IF(ISNUMBER(OFFSET('EDP Proyectado'!AI153,0,-'Ingreso Proyectado_Edu'!$P153))&lt;&gt;0,IF(OFFSET('EDP Proyectado'!AI153,0,-'Ingreso Proyectado_Edu'!$P153)+0&lt;=1,0,OFFSET('EDP Proyectado'!AI153,0,-'Ingreso Proyectado_Edu'!$P153)+0)),0)</f>
        <v>0</v>
      </c>
      <c r="AI153" s="169">
        <f ca="1">+IFERROR(IF(ISNUMBER(OFFSET('EDP Proyectado'!AJ153,0,-'Ingreso Proyectado_Edu'!$P153))&lt;&gt;0,IF(OFFSET('EDP Proyectado'!AJ153,0,-'Ingreso Proyectado_Edu'!$P153)+0&lt;=1,0,OFFSET('EDP Proyectado'!AJ153,0,-'Ingreso Proyectado_Edu'!$P153)+0)),0)</f>
        <v>0</v>
      </c>
      <c r="AJ153" s="169">
        <f ca="1">+IFERROR(IF(ISNUMBER(OFFSET('EDP Proyectado'!AK153,0,-'Ingreso Proyectado_Edu'!$P153))&lt;&gt;0,IF(OFFSET('EDP Proyectado'!AK153,0,-'Ingreso Proyectado_Edu'!$P153)+0&lt;=1,0,OFFSET('EDP Proyectado'!AK153,0,-'Ingreso Proyectado_Edu'!$P153)+0)),0)</f>
        <v>0</v>
      </c>
      <c r="AK153" s="169">
        <f ca="1">+IFERROR(IF(ISNUMBER(OFFSET('EDP Proyectado'!AL153,0,-'Ingreso Proyectado_Edu'!$P153))&lt;&gt;0,IF(OFFSET('EDP Proyectado'!AL153,0,-'Ingreso Proyectado_Edu'!$P153)+0&lt;=1,0,OFFSET('EDP Proyectado'!AL153,0,-'Ingreso Proyectado_Edu'!$P153)+0)),0)</f>
        <v>0</v>
      </c>
      <c r="AL153" s="169">
        <f ca="1">+IFERROR(IF(ISNUMBER(OFFSET('EDP Proyectado'!AM153,0,-'Ingreso Proyectado_Edu'!$P153))&lt;&gt;0,IF(OFFSET('EDP Proyectado'!AM153,0,-'Ingreso Proyectado_Edu'!$P153)+0&lt;=1,0,OFFSET('EDP Proyectado'!AM153,0,-'Ingreso Proyectado_Edu'!$P153)+0)),0)</f>
        <v>0</v>
      </c>
      <c r="AM153" s="169">
        <f ca="1">+IFERROR(IF(ISNUMBER(OFFSET('EDP Proyectado'!AN153,0,-'Ingreso Proyectado_Edu'!$P153))&lt;&gt;0,IF(OFFSET('EDP Proyectado'!AN153,0,-'Ingreso Proyectado_Edu'!$P153)+0&lt;=1,0,OFFSET('EDP Proyectado'!AN153,0,-'Ingreso Proyectado_Edu'!$P153)+0)),0)</f>
        <v>0</v>
      </c>
      <c r="AN153" s="169">
        <f ca="1">+IFERROR(IF(ISNUMBER(OFFSET('EDP Proyectado'!AO153,0,-'Ingreso Proyectado_Edu'!$P153))&lt;&gt;0,IF(OFFSET('EDP Proyectado'!AO153,0,-'Ingreso Proyectado_Edu'!$P153)+0&lt;=1,0,OFFSET('EDP Proyectado'!AO153,0,-'Ingreso Proyectado_Edu'!$P153)+0)),0)</f>
        <v>0</v>
      </c>
      <c r="AO153" s="169">
        <f ca="1">+IFERROR(IF(ISNUMBER(OFFSET('EDP Proyectado'!AP153,0,-'Ingreso Proyectado_Edu'!$P153))&lt;&gt;0,IF(OFFSET('EDP Proyectado'!AP153,0,-'Ingreso Proyectado_Edu'!$P153)+0&lt;=1,0,OFFSET('EDP Proyectado'!AP153,0,-'Ingreso Proyectado_Edu'!$P153)+0)),0)</f>
        <v>0</v>
      </c>
      <c r="AP153" s="170">
        <f ca="1">+IFERROR(IF(ISNUMBER(OFFSET('EDP Proyectado'!AQ153,0,-'Ingreso Proyectado_Edu'!$P153))&lt;&gt;0,IF(OFFSET('EDP Proyectado'!AQ153,0,-'Ingreso Proyectado_Edu'!$P153)+0&lt;=1,0,OFFSET('EDP Proyectado'!AQ153,0,-'Ingreso Proyectado_Edu'!$P153)+0)),0)</f>
        <v>0</v>
      </c>
    </row>
    <row r="154" spans="3:42" x14ac:dyDescent="0.2">
      <c r="C154" s="110">
        <f>+'Gantt Proyectos'!C222</f>
        <v>0</v>
      </c>
      <c r="D154" s="110">
        <f>+'Gantt Proyectos'!D222</f>
        <v>0</v>
      </c>
      <c r="E154" s="110">
        <f>+'Gantt Proyectos'!E222</f>
        <v>0</v>
      </c>
      <c r="F154" s="148">
        <f>+'Gantt Proyectos'!F222</f>
        <v>0</v>
      </c>
      <c r="G154" s="110">
        <f>+'Gantt Proyectos'!G222</f>
        <v>0</v>
      </c>
      <c r="H154" s="110">
        <f>+'Gantt Proyectos'!H222</f>
        <v>0</v>
      </c>
      <c r="I154" s="189">
        <v>1</v>
      </c>
      <c r="J154" s="189">
        <f t="shared" si="12"/>
        <v>0</v>
      </c>
      <c r="K154" s="110">
        <f>+'Gantt Proyectos'!I222</f>
        <v>0</v>
      </c>
      <c r="L154" s="110">
        <f>+'Gantt Proyectos'!J222</f>
        <v>0</v>
      </c>
      <c r="M154" s="110">
        <f>+'Gantt Proyectos'!K222</f>
        <v>0</v>
      </c>
      <c r="N154" s="110">
        <f>+'Gantt Proyectos'!L222</f>
        <v>0</v>
      </c>
      <c r="O154" s="110">
        <f>+'Gantt Proyectos'!M222</f>
        <v>0</v>
      </c>
      <c r="P154" s="110">
        <f>+'Gantt Proyectos'!N222</f>
        <v>0</v>
      </c>
      <c r="Q154" s="110">
        <f>+'Gantt Proyectos'!O222</f>
        <v>0</v>
      </c>
      <c r="R154" s="110">
        <f>+'Gantt Proyectos'!P222</f>
        <v>0</v>
      </c>
      <c r="S154" s="110">
        <f>+'Gantt Proyectos'!R222</f>
        <v>0</v>
      </c>
      <c r="T154" s="118">
        <f>+'Gantt Proyectos'!S222</f>
        <v>0</v>
      </c>
      <c r="U154" s="157">
        <f>+'Gantt Proyectos'!T222</f>
        <v>0</v>
      </c>
      <c r="V154" s="157">
        <f>+'Gantt Proyectos'!U222</f>
        <v>0</v>
      </c>
      <c r="W154" s="201">
        <f t="shared" si="13"/>
        <v>0</v>
      </c>
      <c r="X154" s="110">
        <f>+'Gantt Proyectos'!W222</f>
        <v>0</v>
      </c>
      <c r="Y154" s="110">
        <f>+'Gantt Proyectos'!X222</f>
        <v>0</v>
      </c>
      <c r="Z154" s="110">
        <f>+'Gantt Proyectos'!Y222</f>
        <v>0</v>
      </c>
      <c r="AA154" s="110">
        <f>+'Gantt Proyectos'!Z222</f>
        <v>0</v>
      </c>
      <c r="AB154" s="110">
        <f>+'Gantt Proyectos'!AA222</f>
        <v>0</v>
      </c>
      <c r="AC154" s="110">
        <f>+'Gantt Proyectos'!AB222</f>
        <v>0</v>
      </c>
      <c r="AD154" s="110">
        <f>+'Gantt Proyectos'!AC222</f>
        <v>0</v>
      </c>
      <c r="AE154" s="110">
        <f>+'Gantt Proyectos'!AD222</f>
        <v>0</v>
      </c>
      <c r="AF154" s="110">
        <f>+'Gantt Proyectos'!AE222</f>
        <v>0</v>
      </c>
      <c r="AG154" s="172">
        <v>1</v>
      </c>
      <c r="AH154" s="169">
        <f ca="1">+IFERROR(IF(ISNUMBER(OFFSET('EDP Proyectado'!AI154,0,-'Ingreso Proyectado_Edu'!$P154))&lt;&gt;0,IF(OFFSET('EDP Proyectado'!AI154,0,-'Ingreso Proyectado_Edu'!$P154)+0&lt;=1,0,OFFSET('EDP Proyectado'!AI154,0,-'Ingreso Proyectado_Edu'!$P154)+0)),0)</f>
        <v>0</v>
      </c>
      <c r="AI154" s="169">
        <f ca="1">+IFERROR(IF(ISNUMBER(OFFSET('EDP Proyectado'!AJ154,0,-'Ingreso Proyectado_Edu'!$P154))&lt;&gt;0,IF(OFFSET('EDP Proyectado'!AJ154,0,-'Ingreso Proyectado_Edu'!$P154)+0&lt;=1,0,OFFSET('EDP Proyectado'!AJ154,0,-'Ingreso Proyectado_Edu'!$P154)+0)),0)</f>
        <v>0</v>
      </c>
      <c r="AJ154" s="169">
        <f ca="1">+IFERROR(IF(ISNUMBER(OFFSET('EDP Proyectado'!AK154,0,-'Ingreso Proyectado_Edu'!$P154))&lt;&gt;0,IF(OFFSET('EDP Proyectado'!AK154,0,-'Ingreso Proyectado_Edu'!$P154)+0&lt;=1,0,OFFSET('EDP Proyectado'!AK154,0,-'Ingreso Proyectado_Edu'!$P154)+0)),0)</f>
        <v>0</v>
      </c>
      <c r="AK154" s="169">
        <f ca="1">+IFERROR(IF(ISNUMBER(OFFSET('EDP Proyectado'!AL154,0,-'Ingreso Proyectado_Edu'!$P154))&lt;&gt;0,IF(OFFSET('EDP Proyectado'!AL154,0,-'Ingreso Proyectado_Edu'!$P154)+0&lt;=1,0,OFFSET('EDP Proyectado'!AL154,0,-'Ingreso Proyectado_Edu'!$P154)+0)),0)</f>
        <v>0</v>
      </c>
      <c r="AL154" s="169">
        <f ca="1">+IFERROR(IF(ISNUMBER(OFFSET('EDP Proyectado'!AM154,0,-'Ingreso Proyectado_Edu'!$P154))&lt;&gt;0,IF(OFFSET('EDP Proyectado'!AM154,0,-'Ingreso Proyectado_Edu'!$P154)+0&lt;=1,0,OFFSET('EDP Proyectado'!AM154,0,-'Ingreso Proyectado_Edu'!$P154)+0)),0)</f>
        <v>0</v>
      </c>
      <c r="AM154" s="169">
        <f ca="1">+IFERROR(IF(ISNUMBER(OFFSET('EDP Proyectado'!AN154,0,-'Ingreso Proyectado_Edu'!$P154))&lt;&gt;0,IF(OFFSET('EDP Proyectado'!AN154,0,-'Ingreso Proyectado_Edu'!$P154)+0&lt;=1,0,OFFSET('EDP Proyectado'!AN154,0,-'Ingreso Proyectado_Edu'!$P154)+0)),0)</f>
        <v>0</v>
      </c>
      <c r="AN154" s="169">
        <f ca="1">+IFERROR(IF(ISNUMBER(OFFSET('EDP Proyectado'!AO154,0,-'Ingreso Proyectado_Edu'!$P154))&lt;&gt;0,IF(OFFSET('EDP Proyectado'!AO154,0,-'Ingreso Proyectado_Edu'!$P154)+0&lt;=1,0,OFFSET('EDP Proyectado'!AO154,0,-'Ingreso Proyectado_Edu'!$P154)+0)),0)</f>
        <v>0</v>
      </c>
      <c r="AO154" s="169">
        <f ca="1">+IFERROR(IF(ISNUMBER(OFFSET('EDP Proyectado'!AP154,0,-'Ingreso Proyectado_Edu'!$P154))&lt;&gt;0,IF(OFFSET('EDP Proyectado'!AP154,0,-'Ingreso Proyectado_Edu'!$P154)+0&lt;=1,0,OFFSET('EDP Proyectado'!AP154,0,-'Ingreso Proyectado_Edu'!$P154)+0)),0)</f>
        <v>0</v>
      </c>
      <c r="AP154" s="170">
        <f ca="1">+IFERROR(IF(ISNUMBER(OFFSET('EDP Proyectado'!AQ154,0,-'Ingreso Proyectado_Edu'!$P154))&lt;&gt;0,IF(OFFSET('EDP Proyectado'!AQ154,0,-'Ingreso Proyectado_Edu'!$P154)+0&lt;=1,0,OFFSET('EDP Proyectado'!AQ154,0,-'Ingreso Proyectado_Edu'!$P154)+0)),0)</f>
        <v>0</v>
      </c>
    </row>
    <row r="155" spans="3:42" x14ac:dyDescent="0.2">
      <c r="C155" s="110">
        <f>+'Gantt Proyectos'!C223</f>
        <v>0</v>
      </c>
      <c r="D155" s="110">
        <f>+'Gantt Proyectos'!D223</f>
        <v>0</v>
      </c>
      <c r="E155" s="110">
        <f>+'Gantt Proyectos'!E223</f>
        <v>0</v>
      </c>
      <c r="F155" s="148">
        <f>+'Gantt Proyectos'!F223</f>
        <v>0</v>
      </c>
      <c r="G155" s="110">
        <f>+'Gantt Proyectos'!G223</f>
        <v>0</v>
      </c>
      <c r="H155" s="110">
        <f>+'Gantt Proyectos'!H223</f>
        <v>0</v>
      </c>
      <c r="I155" s="189">
        <v>1</v>
      </c>
      <c r="J155" s="189">
        <f t="shared" si="12"/>
        <v>0</v>
      </c>
      <c r="K155" s="110">
        <f>+'Gantt Proyectos'!I223</f>
        <v>0</v>
      </c>
      <c r="L155" s="110">
        <f>+'Gantt Proyectos'!J223</f>
        <v>0</v>
      </c>
      <c r="M155" s="110">
        <f>+'Gantt Proyectos'!K223</f>
        <v>0</v>
      </c>
      <c r="N155" s="110">
        <f>+'Gantt Proyectos'!L223</f>
        <v>0</v>
      </c>
      <c r="O155" s="110">
        <f>+'Gantt Proyectos'!M223</f>
        <v>0</v>
      </c>
      <c r="P155" s="110">
        <f>+'Gantt Proyectos'!N223</f>
        <v>0</v>
      </c>
      <c r="Q155" s="110">
        <f>+'Gantt Proyectos'!O223</f>
        <v>0</v>
      </c>
      <c r="R155" s="110">
        <f>+'Gantt Proyectos'!P223</f>
        <v>0</v>
      </c>
      <c r="S155" s="110">
        <f>+'Gantt Proyectos'!R223</f>
        <v>0</v>
      </c>
      <c r="T155" s="118">
        <f>+'Gantt Proyectos'!S223</f>
        <v>0</v>
      </c>
      <c r="U155" s="157">
        <f>+'Gantt Proyectos'!T223</f>
        <v>0</v>
      </c>
      <c r="V155" s="157">
        <f>+'Gantt Proyectos'!U223</f>
        <v>0</v>
      </c>
      <c r="W155" s="201">
        <f t="shared" si="13"/>
        <v>0</v>
      </c>
      <c r="X155" s="110">
        <f>+'Gantt Proyectos'!W223</f>
        <v>0</v>
      </c>
      <c r="Y155" s="110">
        <f>+'Gantt Proyectos'!X223</f>
        <v>0</v>
      </c>
      <c r="Z155" s="110">
        <f>+'Gantt Proyectos'!Y223</f>
        <v>0</v>
      </c>
      <c r="AA155" s="110">
        <f>+'Gantt Proyectos'!Z223</f>
        <v>0</v>
      </c>
      <c r="AB155" s="110">
        <f>+'Gantt Proyectos'!AA223</f>
        <v>0</v>
      </c>
      <c r="AC155" s="110">
        <f>+'Gantt Proyectos'!AB223</f>
        <v>0</v>
      </c>
      <c r="AD155" s="110">
        <f>+'Gantt Proyectos'!AC223</f>
        <v>0</v>
      </c>
      <c r="AE155" s="110">
        <f>+'Gantt Proyectos'!AD223</f>
        <v>0</v>
      </c>
      <c r="AF155" s="110">
        <f>+'Gantt Proyectos'!AE223</f>
        <v>0</v>
      </c>
      <c r="AG155" s="172">
        <v>1</v>
      </c>
      <c r="AH155" s="169">
        <f ca="1">+IFERROR(IF(ISNUMBER(OFFSET('EDP Proyectado'!AI155,0,-'Ingreso Proyectado_Edu'!$P155))&lt;&gt;0,IF(OFFSET('EDP Proyectado'!AI155,0,-'Ingreso Proyectado_Edu'!$P155)+0&lt;=1,0,OFFSET('EDP Proyectado'!AI155,0,-'Ingreso Proyectado_Edu'!$P155)+0)),0)</f>
        <v>0</v>
      </c>
      <c r="AI155" s="169">
        <f ca="1">+IFERROR(IF(ISNUMBER(OFFSET('EDP Proyectado'!AJ155,0,-'Ingreso Proyectado_Edu'!$P155))&lt;&gt;0,IF(OFFSET('EDP Proyectado'!AJ155,0,-'Ingreso Proyectado_Edu'!$P155)+0&lt;=1,0,OFFSET('EDP Proyectado'!AJ155,0,-'Ingreso Proyectado_Edu'!$P155)+0)),0)</f>
        <v>0</v>
      </c>
      <c r="AJ155" s="169">
        <f ca="1">+IFERROR(IF(ISNUMBER(OFFSET('EDP Proyectado'!AK155,0,-'Ingreso Proyectado_Edu'!$P155))&lt;&gt;0,IF(OFFSET('EDP Proyectado'!AK155,0,-'Ingreso Proyectado_Edu'!$P155)+0&lt;=1,0,OFFSET('EDP Proyectado'!AK155,0,-'Ingreso Proyectado_Edu'!$P155)+0)),0)</f>
        <v>0</v>
      </c>
      <c r="AK155" s="169">
        <f ca="1">+IFERROR(IF(ISNUMBER(OFFSET('EDP Proyectado'!AL155,0,-'Ingreso Proyectado_Edu'!$P155))&lt;&gt;0,IF(OFFSET('EDP Proyectado'!AL155,0,-'Ingreso Proyectado_Edu'!$P155)+0&lt;=1,0,OFFSET('EDP Proyectado'!AL155,0,-'Ingreso Proyectado_Edu'!$P155)+0)),0)</f>
        <v>0</v>
      </c>
      <c r="AL155" s="169">
        <f ca="1">+IFERROR(IF(ISNUMBER(OFFSET('EDP Proyectado'!AM155,0,-'Ingreso Proyectado_Edu'!$P155))&lt;&gt;0,IF(OFFSET('EDP Proyectado'!AM155,0,-'Ingreso Proyectado_Edu'!$P155)+0&lt;=1,0,OFFSET('EDP Proyectado'!AM155,0,-'Ingreso Proyectado_Edu'!$P155)+0)),0)</f>
        <v>0</v>
      </c>
      <c r="AM155" s="169">
        <f ca="1">+IFERROR(IF(ISNUMBER(OFFSET('EDP Proyectado'!AN155,0,-'Ingreso Proyectado_Edu'!$P155))&lt;&gt;0,IF(OFFSET('EDP Proyectado'!AN155,0,-'Ingreso Proyectado_Edu'!$P155)+0&lt;=1,0,OFFSET('EDP Proyectado'!AN155,0,-'Ingreso Proyectado_Edu'!$P155)+0)),0)</f>
        <v>0</v>
      </c>
      <c r="AN155" s="169">
        <f ca="1">+IFERROR(IF(ISNUMBER(OFFSET('EDP Proyectado'!AO155,0,-'Ingreso Proyectado_Edu'!$P155))&lt;&gt;0,IF(OFFSET('EDP Proyectado'!AO155,0,-'Ingreso Proyectado_Edu'!$P155)+0&lt;=1,0,OFFSET('EDP Proyectado'!AO155,0,-'Ingreso Proyectado_Edu'!$P155)+0)),0)</f>
        <v>0</v>
      </c>
      <c r="AO155" s="169">
        <f ca="1">+IFERROR(IF(ISNUMBER(OFFSET('EDP Proyectado'!AP155,0,-'Ingreso Proyectado_Edu'!$P155))&lt;&gt;0,IF(OFFSET('EDP Proyectado'!AP155,0,-'Ingreso Proyectado_Edu'!$P155)+0&lt;=1,0,OFFSET('EDP Proyectado'!AP155,0,-'Ingreso Proyectado_Edu'!$P155)+0)),0)</f>
        <v>0</v>
      </c>
      <c r="AP155" s="170">
        <f ca="1">+IFERROR(IF(ISNUMBER(OFFSET('EDP Proyectado'!AQ155,0,-'Ingreso Proyectado_Edu'!$P155))&lt;&gt;0,IF(OFFSET('EDP Proyectado'!AQ155,0,-'Ingreso Proyectado_Edu'!$P155)+0&lt;=1,0,OFFSET('EDP Proyectado'!AQ155,0,-'Ingreso Proyectado_Edu'!$P155)+0)),0)</f>
        <v>0</v>
      </c>
    </row>
    <row r="156" spans="3:42" x14ac:dyDescent="0.2">
      <c r="C156" s="110">
        <f>+'Gantt Proyectos'!C224</f>
        <v>0</v>
      </c>
      <c r="D156" s="110">
        <f>+'Gantt Proyectos'!D224</f>
        <v>0</v>
      </c>
      <c r="E156" s="110">
        <f>+'Gantt Proyectos'!E224</f>
        <v>0</v>
      </c>
      <c r="F156" s="148">
        <f>+'Gantt Proyectos'!F224</f>
        <v>0</v>
      </c>
      <c r="G156" s="110">
        <f>+'Gantt Proyectos'!G224</f>
        <v>0</v>
      </c>
      <c r="H156" s="110">
        <f>+'Gantt Proyectos'!H224</f>
        <v>0</v>
      </c>
      <c r="I156" s="189">
        <v>1</v>
      </c>
      <c r="J156" s="189">
        <f t="shared" si="12"/>
        <v>0</v>
      </c>
      <c r="K156" s="110">
        <f>+'Gantt Proyectos'!I224</f>
        <v>0</v>
      </c>
      <c r="L156" s="110">
        <f>+'Gantt Proyectos'!J224</f>
        <v>0</v>
      </c>
      <c r="M156" s="110">
        <f>+'Gantt Proyectos'!K224</f>
        <v>0</v>
      </c>
      <c r="N156" s="110">
        <f>+'Gantt Proyectos'!L224</f>
        <v>0</v>
      </c>
      <c r="O156" s="110">
        <f>+'Gantt Proyectos'!M224</f>
        <v>0</v>
      </c>
      <c r="P156" s="110">
        <f>+'Gantt Proyectos'!N224</f>
        <v>0</v>
      </c>
      <c r="Q156" s="110">
        <f>+'Gantt Proyectos'!O224</f>
        <v>0</v>
      </c>
      <c r="R156" s="110">
        <f>+'Gantt Proyectos'!P224</f>
        <v>0</v>
      </c>
      <c r="S156" s="110">
        <f>+'Gantt Proyectos'!R224</f>
        <v>0</v>
      </c>
      <c r="T156" s="118">
        <f>+'Gantt Proyectos'!S224</f>
        <v>0</v>
      </c>
      <c r="U156" s="157">
        <f>+'Gantt Proyectos'!T224</f>
        <v>0</v>
      </c>
      <c r="V156" s="157">
        <f>+'Gantt Proyectos'!U224</f>
        <v>0</v>
      </c>
      <c r="W156" s="201">
        <f t="shared" si="13"/>
        <v>0</v>
      </c>
      <c r="X156" s="110">
        <f>+'Gantt Proyectos'!W224</f>
        <v>0</v>
      </c>
      <c r="Y156" s="110">
        <f>+'Gantt Proyectos'!X224</f>
        <v>0</v>
      </c>
      <c r="Z156" s="110">
        <f>+'Gantt Proyectos'!Y224</f>
        <v>0</v>
      </c>
      <c r="AA156" s="110">
        <f>+'Gantt Proyectos'!Z224</f>
        <v>0</v>
      </c>
      <c r="AB156" s="110">
        <f>+'Gantt Proyectos'!AA224</f>
        <v>0</v>
      </c>
      <c r="AC156" s="110">
        <f>+'Gantt Proyectos'!AB224</f>
        <v>0</v>
      </c>
      <c r="AD156" s="110">
        <f>+'Gantt Proyectos'!AC224</f>
        <v>0</v>
      </c>
      <c r="AE156" s="110">
        <f>+'Gantt Proyectos'!AD224</f>
        <v>0</v>
      </c>
      <c r="AF156" s="110">
        <f>+'Gantt Proyectos'!AE224</f>
        <v>0</v>
      </c>
      <c r="AG156" s="172">
        <v>1</v>
      </c>
      <c r="AH156" s="169">
        <f ca="1">+IFERROR(IF(ISNUMBER(OFFSET('EDP Proyectado'!AI156,0,-'Ingreso Proyectado_Edu'!$P156))&lt;&gt;0,IF(OFFSET('EDP Proyectado'!AI156,0,-'Ingreso Proyectado_Edu'!$P156)+0&lt;=1,0,OFFSET('EDP Proyectado'!AI156,0,-'Ingreso Proyectado_Edu'!$P156)+0)),0)</f>
        <v>0</v>
      </c>
      <c r="AI156" s="169">
        <f ca="1">+IFERROR(IF(ISNUMBER(OFFSET('EDP Proyectado'!AJ156,0,-'Ingreso Proyectado_Edu'!$P156))&lt;&gt;0,IF(OFFSET('EDP Proyectado'!AJ156,0,-'Ingreso Proyectado_Edu'!$P156)+0&lt;=1,0,OFFSET('EDP Proyectado'!AJ156,0,-'Ingreso Proyectado_Edu'!$P156)+0)),0)</f>
        <v>0</v>
      </c>
      <c r="AJ156" s="169">
        <f ca="1">+IFERROR(IF(ISNUMBER(OFFSET('EDP Proyectado'!AK156,0,-'Ingreso Proyectado_Edu'!$P156))&lt;&gt;0,IF(OFFSET('EDP Proyectado'!AK156,0,-'Ingreso Proyectado_Edu'!$P156)+0&lt;=1,0,OFFSET('EDP Proyectado'!AK156,0,-'Ingreso Proyectado_Edu'!$P156)+0)),0)</f>
        <v>0</v>
      </c>
      <c r="AK156" s="169">
        <f ca="1">+IFERROR(IF(ISNUMBER(OFFSET('EDP Proyectado'!AL156,0,-'Ingreso Proyectado_Edu'!$P156))&lt;&gt;0,IF(OFFSET('EDP Proyectado'!AL156,0,-'Ingreso Proyectado_Edu'!$P156)+0&lt;=1,0,OFFSET('EDP Proyectado'!AL156,0,-'Ingreso Proyectado_Edu'!$P156)+0)),0)</f>
        <v>0</v>
      </c>
      <c r="AL156" s="169">
        <f ca="1">+IFERROR(IF(ISNUMBER(OFFSET('EDP Proyectado'!AM156,0,-'Ingreso Proyectado_Edu'!$P156))&lt;&gt;0,IF(OFFSET('EDP Proyectado'!AM156,0,-'Ingreso Proyectado_Edu'!$P156)+0&lt;=1,0,OFFSET('EDP Proyectado'!AM156,0,-'Ingreso Proyectado_Edu'!$P156)+0)),0)</f>
        <v>0</v>
      </c>
      <c r="AM156" s="169">
        <f ca="1">+IFERROR(IF(ISNUMBER(OFFSET('EDP Proyectado'!AN156,0,-'Ingreso Proyectado_Edu'!$P156))&lt;&gt;0,IF(OFFSET('EDP Proyectado'!AN156,0,-'Ingreso Proyectado_Edu'!$P156)+0&lt;=1,0,OFFSET('EDP Proyectado'!AN156,0,-'Ingreso Proyectado_Edu'!$P156)+0)),0)</f>
        <v>0</v>
      </c>
      <c r="AN156" s="169">
        <f ca="1">+IFERROR(IF(ISNUMBER(OFFSET('EDP Proyectado'!AO156,0,-'Ingreso Proyectado_Edu'!$P156))&lt;&gt;0,IF(OFFSET('EDP Proyectado'!AO156,0,-'Ingreso Proyectado_Edu'!$P156)+0&lt;=1,0,OFFSET('EDP Proyectado'!AO156,0,-'Ingreso Proyectado_Edu'!$P156)+0)),0)</f>
        <v>0</v>
      </c>
      <c r="AO156" s="169">
        <f ca="1">+IFERROR(IF(ISNUMBER(OFFSET('EDP Proyectado'!AP156,0,-'Ingreso Proyectado_Edu'!$P156))&lt;&gt;0,IF(OFFSET('EDP Proyectado'!AP156,0,-'Ingreso Proyectado_Edu'!$P156)+0&lt;=1,0,OFFSET('EDP Proyectado'!AP156,0,-'Ingreso Proyectado_Edu'!$P156)+0)),0)</f>
        <v>0</v>
      </c>
      <c r="AP156" s="170">
        <f ca="1">+IFERROR(IF(ISNUMBER(OFFSET('EDP Proyectado'!AQ156,0,-'Ingreso Proyectado_Edu'!$P156))&lt;&gt;0,IF(OFFSET('EDP Proyectado'!AQ156,0,-'Ingreso Proyectado_Edu'!$P156)+0&lt;=1,0,OFFSET('EDP Proyectado'!AQ156,0,-'Ingreso Proyectado_Edu'!$P156)+0)),0)</f>
        <v>0</v>
      </c>
    </row>
    <row r="157" spans="3:42" x14ac:dyDescent="0.2">
      <c r="C157" s="110">
        <f>+'Gantt Proyectos'!C225</f>
        <v>0</v>
      </c>
      <c r="D157" s="110">
        <f>+'Gantt Proyectos'!D225</f>
        <v>0</v>
      </c>
      <c r="E157" s="110">
        <f>+'Gantt Proyectos'!E225</f>
        <v>0</v>
      </c>
      <c r="F157" s="148">
        <f>+'Gantt Proyectos'!F225</f>
        <v>0</v>
      </c>
      <c r="G157" s="110">
        <f>+'Gantt Proyectos'!G225</f>
        <v>0</v>
      </c>
      <c r="H157" s="110">
        <f>+'Gantt Proyectos'!H225</f>
        <v>0</v>
      </c>
      <c r="I157" s="189">
        <v>1</v>
      </c>
      <c r="J157" s="189">
        <f t="shared" ref="J157:J188" si="14">1-I157</f>
        <v>0</v>
      </c>
      <c r="K157" s="110">
        <f>+'Gantt Proyectos'!I225</f>
        <v>0</v>
      </c>
      <c r="L157" s="110">
        <f>+'Gantt Proyectos'!J225</f>
        <v>0</v>
      </c>
      <c r="M157" s="110">
        <f>+'Gantt Proyectos'!K225</f>
        <v>0</v>
      </c>
      <c r="N157" s="110">
        <f>+'Gantt Proyectos'!L225</f>
        <v>0</v>
      </c>
      <c r="O157" s="110">
        <f>+'Gantt Proyectos'!M225</f>
        <v>0</v>
      </c>
      <c r="P157" s="110">
        <f>+'Gantt Proyectos'!N225</f>
        <v>0</v>
      </c>
      <c r="Q157" s="110">
        <f>+'Gantt Proyectos'!O225</f>
        <v>0</v>
      </c>
      <c r="R157" s="110">
        <f>+'Gantt Proyectos'!P225</f>
        <v>0</v>
      </c>
      <c r="S157" s="110">
        <f>+'Gantt Proyectos'!R225</f>
        <v>0</v>
      </c>
      <c r="T157" s="118">
        <f>+'Gantt Proyectos'!S225</f>
        <v>0</v>
      </c>
      <c r="U157" s="157">
        <f>+'Gantt Proyectos'!T225</f>
        <v>0</v>
      </c>
      <c r="V157" s="157">
        <f>+'Gantt Proyectos'!U225</f>
        <v>0</v>
      </c>
      <c r="W157" s="201">
        <f t="shared" ref="W157:W188" si="15">+ROUNDUP(_xlfn.DAYS(V157,U157)/30.5,0)</f>
        <v>0</v>
      </c>
      <c r="X157" s="110">
        <f>+'Gantt Proyectos'!W225</f>
        <v>0</v>
      </c>
      <c r="Y157" s="110">
        <f>+'Gantt Proyectos'!X225</f>
        <v>0</v>
      </c>
      <c r="Z157" s="110">
        <f>+'Gantt Proyectos'!Y225</f>
        <v>0</v>
      </c>
      <c r="AA157" s="110">
        <f>+'Gantt Proyectos'!Z225</f>
        <v>0</v>
      </c>
      <c r="AB157" s="110">
        <f>+'Gantt Proyectos'!AA225</f>
        <v>0</v>
      </c>
      <c r="AC157" s="110">
        <f>+'Gantt Proyectos'!AB225</f>
        <v>0</v>
      </c>
      <c r="AD157" s="110">
        <f>+'Gantt Proyectos'!AC225</f>
        <v>0</v>
      </c>
      <c r="AE157" s="110">
        <f>+'Gantt Proyectos'!AD225</f>
        <v>0</v>
      </c>
      <c r="AF157" s="110">
        <f>+'Gantt Proyectos'!AE225</f>
        <v>0</v>
      </c>
      <c r="AG157" s="172">
        <v>1</v>
      </c>
      <c r="AH157" s="169">
        <f ca="1">+IFERROR(IF(ISNUMBER(OFFSET('EDP Proyectado'!AI157,0,-'Ingreso Proyectado_Edu'!$P157))&lt;&gt;0,IF(OFFSET('EDP Proyectado'!AI157,0,-'Ingreso Proyectado_Edu'!$P157)+0&lt;=1,0,OFFSET('EDP Proyectado'!AI157,0,-'Ingreso Proyectado_Edu'!$P157)+0)),0)</f>
        <v>0</v>
      </c>
      <c r="AI157" s="169">
        <f ca="1">+IFERROR(IF(ISNUMBER(OFFSET('EDP Proyectado'!AJ157,0,-'Ingreso Proyectado_Edu'!$P157))&lt;&gt;0,IF(OFFSET('EDP Proyectado'!AJ157,0,-'Ingreso Proyectado_Edu'!$P157)+0&lt;=1,0,OFFSET('EDP Proyectado'!AJ157,0,-'Ingreso Proyectado_Edu'!$P157)+0)),0)</f>
        <v>0</v>
      </c>
      <c r="AJ157" s="169">
        <f ca="1">+IFERROR(IF(ISNUMBER(OFFSET('EDP Proyectado'!AK157,0,-'Ingreso Proyectado_Edu'!$P157))&lt;&gt;0,IF(OFFSET('EDP Proyectado'!AK157,0,-'Ingreso Proyectado_Edu'!$P157)+0&lt;=1,0,OFFSET('EDP Proyectado'!AK157,0,-'Ingreso Proyectado_Edu'!$P157)+0)),0)</f>
        <v>0</v>
      </c>
      <c r="AK157" s="169">
        <f ca="1">+IFERROR(IF(ISNUMBER(OFFSET('EDP Proyectado'!AL157,0,-'Ingreso Proyectado_Edu'!$P157))&lt;&gt;0,IF(OFFSET('EDP Proyectado'!AL157,0,-'Ingreso Proyectado_Edu'!$P157)+0&lt;=1,0,OFFSET('EDP Proyectado'!AL157,0,-'Ingreso Proyectado_Edu'!$P157)+0)),0)</f>
        <v>0</v>
      </c>
      <c r="AL157" s="169">
        <f ca="1">+IFERROR(IF(ISNUMBER(OFFSET('EDP Proyectado'!AM157,0,-'Ingreso Proyectado_Edu'!$P157))&lt;&gt;0,IF(OFFSET('EDP Proyectado'!AM157,0,-'Ingreso Proyectado_Edu'!$P157)+0&lt;=1,0,OFFSET('EDP Proyectado'!AM157,0,-'Ingreso Proyectado_Edu'!$P157)+0)),0)</f>
        <v>0</v>
      </c>
      <c r="AM157" s="169">
        <f ca="1">+IFERROR(IF(ISNUMBER(OFFSET('EDP Proyectado'!AN157,0,-'Ingreso Proyectado_Edu'!$P157))&lt;&gt;0,IF(OFFSET('EDP Proyectado'!AN157,0,-'Ingreso Proyectado_Edu'!$P157)+0&lt;=1,0,OFFSET('EDP Proyectado'!AN157,0,-'Ingreso Proyectado_Edu'!$P157)+0)),0)</f>
        <v>0</v>
      </c>
      <c r="AN157" s="169">
        <f ca="1">+IFERROR(IF(ISNUMBER(OFFSET('EDP Proyectado'!AO157,0,-'Ingreso Proyectado_Edu'!$P157))&lt;&gt;0,IF(OFFSET('EDP Proyectado'!AO157,0,-'Ingreso Proyectado_Edu'!$P157)+0&lt;=1,0,OFFSET('EDP Proyectado'!AO157,0,-'Ingreso Proyectado_Edu'!$P157)+0)),0)</f>
        <v>0</v>
      </c>
      <c r="AO157" s="169">
        <f ca="1">+IFERROR(IF(ISNUMBER(OFFSET('EDP Proyectado'!AP157,0,-'Ingreso Proyectado_Edu'!$P157))&lt;&gt;0,IF(OFFSET('EDP Proyectado'!AP157,0,-'Ingreso Proyectado_Edu'!$P157)+0&lt;=1,0,OFFSET('EDP Proyectado'!AP157,0,-'Ingreso Proyectado_Edu'!$P157)+0)),0)</f>
        <v>0</v>
      </c>
      <c r="AP157" s="170">
        <f ca="1">+IFERROR(IF(ISNUMBER(OFFSET('EDP Proyectado'!AQ157,0,-'Ingreso Proyectado_Edu'!$P157))&lt;&gt;0,IF(OFFSET('EDP Proyectado'!AQ157,0,-'Ingreso Proyectado_Edu'!$P157)+0&lt;=1,0,OFFSET('EDP Proyectado'!AQ157,0,-'Ingreso Proyectado_Edu'!$P157)+0)),0)</f>
        <v>0</v>
      </c>
    </row>
    <row r="158" spans="3:42" x14ac:dyDescent="0.2">
      <c r="C158" s="110">
        <f>+'Gantt Proyectos'!C226</f>
        <v>0</v>
      </c>
      <c r="D158" s="110">
        <f>+'Gantt Proyectos'!D226</f>
        <v>0</v>
      </c>
      <c r="E158" s="110">
        <f>+'Gantt Proyectos'!E226</f>
        <v>0</v>
      </c>
      <c r="F158" s="148">
        <f>+'Gantt Proyectos'!F226</f>
        <v>0</v>
      </c>
      <c r="G158" s="110">
        <f>+'Gantt Proyectos'!G226</f>
        <v>0</v>
      </c>
      <c r="H158" s="110">
        <f>+'Gantt Proyectos'!H226</f>
        <v>0</v>
      </c>
      <c r="I158" s="189">
        <v>1</v>
      </c>
      <c r="J158" s="189">
        <f t="shared" si="14"/>
        <v>0</v>
      </c>
      <c r="K158" s="110">
        <f>+'Gantt Proyectos'!I226</f>
        <v>0</v>
      </c>
      <c r="L158" s="110">
        <f>+'Gantt Proyectos'!J226</f>
        <v>0</v>
      </c>
      <c r="M158" s="110">
        <f>+'Gantt Proyectos'!K226</f>
        <v>0</v>
      </c>
      <c r="N158" s="110">
        <f>+'Gantt Proyectos'!L226</f>
        <v>0</v>
      </c>
      <c r="O158" s="110">
        <f>+'Gantt Proyectos'!M226</f>
        <v>0</v>
      </c>
      <c r="P158" s="110">
        <f>+'Gantt Proyectos'!N226</f>
        <v>0</v>
      </c>
      <c r="Q158" s="110">
        <f>+'Gantt Proyectos'!O226</f>
        <v>0</v>
      </c>
      <c r="R158" s="110">
        <f>+'Gantt Proyectos'!P226</f>
        <v>0</v>
      </c>
      <c r="S158" s="110">
        <f>+'Gantt Proyectos'!R226</f>
        <v>0</v>
      </c>
      <c r="T158" s="118">
        <f>+'Gantt Proyectos'!S226</f>
        <v>0</v>
      </c>
      <c r="U158" s="157">
        <f>+'Gantt Proyectos'!T226</f>
        <v>0</v>
      </c>
      <c r="V158" s="157">
        <f>+'Gantt Proyectos'!U226</f>
        <v>0</v>
      </c>
      <c r="W158" s="201">
        <f t="shared" si="15"/>
        <v>0</v>
      </c>
      <c r="X158" s="110">
        <f>+'Gantt Proyectos'!W226</f>
        <v>0</v>
      </c>
      <c r="Y158" s="110">
        <f>+'Gantt Proyectos'!X226</f>
        <v>0</v>
      </c>
      <c r="Z158" s="110">
        <f>+'Gantt Proyectos'!Y226</f>
        <v>0</v>
      </c>
      <c r="AA158" s="110">
        <f>+'Gantt Proyectos'!Z226</f>
        <v>0</v>
      </c>
      <c r="AB158" s="110">
        <f>+'Gantt Proyectos'!AA226</f>
        <v>0</v>
      </c>
      <c r="AC158" s="110">
        <f>+'Gantt Proyectos'!AB226</f>
        <v>0</v>
      </c>
      <c r="AD158" s="110">
        <f>+'Gantt Proyectos'!AC226</f>
        <v>0</v>
      </c>
      <c r="AE158" s="110">
        <f>+'Gantt Proyectos'!AD226</f>
        <v>0</v>
      </c>
      <c r="AF158" s="110">
        <f>+'Gantt Proyectos'!AE226</f>
        <v>0</v>
      </c>
      <c r="AG158" s="172">
        <v>1</v>
      </c>
      <c r="AH158" s="169">
        <f ca="1">+IFERROR(IF(ISNUMBER(OFFSET('EDP Proyectado'!AI158,0,-'Ingreso Proyectado_Edu'!$P158))&lt;&gt;0,IF(OFFSET('EDP Proyectado'!AI158,0,-'Ingreso Proyectado_Edu'!$P158)+0&lt;=1,0,OFFSET('EDP Proyectado'!AI158,0,-'Ingreso Proyectado_Edu'!$P158)+0)),0)</f>
        <v>0</v>
      </c>
      <c r="AI158" s="169">
        <f ca="1">+IFERROR(IF(ISNUMBER(OFFSET('EDP Proyectado'!AJ158,0,-'Ingreso Proyectado_Edu'!$P158))&lt;&gt;0,IF(OFFSET('EDP Proyectado'!AJ158,0,-'Ingreso Proyectado_Edu'!$P158)+0&lt;=1,0,OFFSET('EDP Proyectado'!AJ158,0,-'Ingreso Proyectado_Edu'!$P158)+0)),0)</f>
        <v>0</v>
      </c>
      <c r="AJ158" s="169">
        <f ca="1">+IFERROR(IF(ISNUMBER(OFFSET('EDP Proyectado'!AK158,0,-'Ingreso Proyectado_Edu'!$P158))&lt;&gt;0,IF(OFFSET('EDP Proyectado'!AK158,0,-'Ingreso Proyectado_Edu'!$P158)+0&lt;=1,0,OFFSET('EDP Proyectado'!AK158,0,-'Ingreso Proyectado_Edu'!$P158)+0)),0)</f>
        <v>0</v>
      </c>
      <c r="AK158" s="169">
        <f ca="1">+IFERROR(IF(ISNUMBER(OFFSET('EDP Proyectado'!AL158,0,-'Ingreso Proyectado_Edu'!$P158))&lt;&gt;0,IF(OFFSET('EDP Proyectado'!AL158,0,-'Ingreso Proyectado_Edu'!$P158)+0&lt;=1,0,OFFSET('EDP Proyectado'!AL158,0,-'Ingreso Proyectado_Edu'!$P158)+0)),0)</f>
        <v>0</v>
      </c>
      <c r="AL158" s="169">
        <f ca="1">+IFERROR(IF(ISNUMBER(OFFSET('EDP Proyectado'!AM158,0,-'Ingreso Proyectado_Edu'!$P158))&lt;&gt;0,IF(OFFSET('EDP Proyectado'!AM158,0,-'Ingreso Proyectado_Edu'!$P158)+0&lt;=1,0,OFFSET('EDP Proyectado'!AM158,0,-'Ingreso Proyectado_Edu'!$P158)+0)),0)</f>
        <v>0</v>
      </c>
      <c r="AM158" s="169">
        <f ca="1">+IFERROR(IF(ISNUMBER(OFFSET('EDP Proyectado'!AN158,0,-'Ingreso Proyectado_Edu'!$P158))&lt;&gt;0,IF(OFFSET('EDP Proyectado'!AN158,0,-'Ingreso Proyectado_Edu'!$P158)+0&lt;=1,0,OFFSET('EDP Proyectado'!AN158,0,-'Ingreso Proyectado_Edu'!$P158)+0)),0)</f>
        <v>0</v>
      </c>
      <c r="AN158" s="169">
        <f ca="1">+IFERROR(IF(ISNUMBER(OFFSET('EDP Proyectado'!AO158,0,-'Ingreso Proyectado_Edu'!$P158))&lt;&gt;0,IF(OFFSET('EDP Proyectado'!AO158,0,-'Ingreso Proyectado_Edu'!$P158)+0&lt;=1,0,OFFSET('EDP Proyectado'!AO158,0,-'Ingreso Proyectado_Edu'!$P158)+0)),0)</f>
        <v>0</v>
      </c>
      <c r="AO158" s="169">
        <f ca="1">+IFERROR(IF(ISNUMBER(OFFSET('EDP Proyectado'!AP158,0,-'Ingreso Proyectado_Edu'!$P158))&lt;&gt;0,IF(OFFSET('EDP Proyectado'!AP158,0,-'Ingreso Proyectado_Edu'!$P158)+0&lt;=1,0,OFFSET('EDP Proyectado'!AP158,0,-'Ingreso Proyectado_Edu'!$P158)+0)),0)</f>
        <v>0</v>
      </c>
      <c r="AP158" s="170">
        <f ca="1">+IFERROR(IF(ISNUMBER(OFFSET('EDP Proyectado'!AQ158,0,-'Ingreso Proyectado_Edu'!$P158))&lt;&gt;0,IF(OFFSET('EDP Proyectado'!AQ158,0,-'Ingreso Proyectado_Edu'!$P158)+0&lt;=1,0,OFFSET('EDP Proyectado'!AQ158,0,-'Ingreso Proyectado_Edu'!$P158)+0)),0)</f>
        <v>0</v>
      </c>
    </row>
    <row r="159" spans="3:42" x14ac:dyDescent="0.2">
      <c r="C159" s="110">
        <f>+'Gantt Proyectos'!C227</f>
        <v>0</v>
      </c>
      <c r="D159" s="110">
        <f>+'Gantt Proyectos'!D227</f>
        <v>0</v>
      </c>
      <c r="E159" s="110">
        <f>+'Gantt Proyectos'!E227</f>
        <v>0</v>
      </c>
      <c r="F159" s="148">
        <f>+'Gantt Proyectos'!F227</f>
        <v>0</v>
      </c>
      <c r="G159" s="110">
        <f>+'Gantt Proyectos'!G227</f>
        <v>0</v>
      </c>
      <c r="H159" s="110">
        <f>+'Gantt Proyectos'!H227</f>
        <v>0</v>
      </c>
      <c r="I159" s="189">
        <v>1</v>
      </c>
      <c r="J159" s="189">
        <f t="shared" si="14"/>
        <v>0</v>
      </c>
      <c r="K159" s="110">
        <f>+'Gantt Proyectos'!I227</f>
        <v>0</v>
      </c>
      <c r="L159" s="110">
        <f>+'Gantt Proyectos'!J227</f>
        <v>0</v>
      </c>
      <c r="M159" s="110">
        <f>+'Gantt Proyectos'!K227</f>
        <v>0</v>
      </c>
      <c r="N159" s="110">
        <f>+'Gantt Proyectos'!L227</f>
        <v>0</v>
      </c>
      <c r="O159" s="110">
        <f>+'Gantt Proyectos'!M227</f>
        <v>0</v>
      </c>
      <c r="P159" s="110">
        <f>+'Gantt Proyectos'!N227</f>
        <v>0</v>
      </c>
      <c r="Q159" s="110">
        <f>+'Gantt Proyectos'!O227</f>
        <v>0</v>
      </c>
      <c r="R159" s="110">
        <f>+'Gantt Proyectos'!P227</f>
        <v>0</v>
      </c>
      <c r="S159" s="110">
        <f>+'Gantt Proyectos'!R227</f>
        <v>0</v>
      </c>
      <c r="T159" s="118">
        <f>+'Gantt Proyectos'!S227</f>
        <v>0</v>
      </c>
      <c r="U159" s="157">
        <f>+'Gantt Proyectos'!T227</f>
        <v>0</v>
      </c>
      <c r="V159" s="157">
        <f>+'Gantt Proyectos'!U227</f>
        <v>0</v>
      </c>
      <c r="W159" s="201">
        <f t="shared" si="15"/>
        <v>0</v>
      </c>
      <c r="X159" s="110">
        <f>+'Gantt Proyectos'!W227</f>
        <v>0</v>
      </c>
      <c r="Y159" s="110">
        <f>+'Gantt Proyectos'!X227</f>
        <v>0</v>
      </c>
      <c r="Z159" s="110">
        <f>+'Gantt Proyectos'!Y227</f>
        <v>0</v>
      </c>
      <c r="AA159" s="110">
        <f>+'Gantt Proyectos'!Z227</f>
        <v>0</v>
      </c>
      <c r="AB159" s="110">
        <f>+'Gantt Proyectos'!AA227</f>
        <v>0</v>
      </c>
      <c r="AC159" s="110">
        <f>+'Gantt Proyectos'!AB227</f>
        <v>0</v>
      </c>
      <c r="AD159" s="110">
        <f>+'Gantt Proyectos'!AC227</f>
        <v>0</v>
      </c>
      <c r="AE159" s="110">
        <f>+'Gantt Proyectos'!AD227</f>
        <v>0</v>
      </c>
      <c r="AF159" s="110">
        <f>+'Gantt Proyectos'!AE227</f>
        <v>0</v>
      </c>
      <c r="AG159" s="172">
        <v>1</v>
      </c>
      <c r="AH159" s="169">
        <f ca="1">+IFERROR(IF(ISNUMBER(OFFSET('EDP Proyectado'!AI159,0,-'Ingreso Proyectado_Edu'!$P159))&lt;&gt;0,IF(OFFSET('EDP Proyectado'!AI159,0,-'Ingreso Proyectado_Edu'!$P159)+0&lt;=1,0,OFFSET('EDP Proyectado'!AI159,0,-'Ingreso Proyectado_Edu'!$P159)+0)),0)</f>
        <v>0</v>
      </c>
      <c r="AI159" s="169">
        <f ca="1">+IFERROR(IF(ISNUMBER(OFFSET('EDP Proyectado'!AJ159,0,-'Ingreso Proyectado_Edu'!$P159))&lt;&gt;0,IF(OFFSET('EDP Proyectado'!AJ159,0,-'Ingreso Proyectado_Edu'!$P159)+0&lt;=1,0,OFFSET('EDP Proyectado'!AJ159,0,-'Ingreso Proyectado_Edu'!$P159)+0)),0)</f>
        <v>0</v>
      </c>
      <c r="AJ159" s="169">
        <f ca="1">+IFERROR(IF(ISNUMBER(OFFSET('EDP Proyectado'!AK159,0,-'Ingreso Proyectado_Edu'!$P159))&lt;&gt;0,IF(OFFSET('EDP Proyectado'!AK159,0,-'Ingreso Proyectado_Edu'!$P159)+0&lt;=1,0,OFFSET('EDP Proyectado'!AK159,0,-'Ingreso Proyectado_Edu'!$P159)+0)),0)</f>
        <v>0</v>
      </c>
      <c r="AK159" s="169">
        <f ca="1">+IFERROR(IF(ISNUMBER(OFFSET('EDP Proyectado'!AL159,0,-'Ingreso Proyectado_Edu'!$P159))&lt;&gt;0,IF(OFFSET('EDP Proyectado'!AL159,0,-'Ingreso Proyectado_Edu'!$P159)+0&lt;=1,0,OFFSET('EDP Proyectado'!AL159,0,-'Ingreso Proyectado_Edu'!$P159)+0)),0)</f>
        <v>0</v>
      </c>
      <c r="AL159" s="169">
        <f ca="1">+IFERROR(IF(ISNUMBER(OFFSET('EDP Proyectado'!AM159,0,-'Ingreso Proyectado_Edu'!$P159))&lt;&gt;0,IF(OFFSET('EDP Proyectado'!AM159,0,-'Ingreso Proyectado_Edu'!$P159)+0&lt;=1,0,OFFSET('EDP Proyectado'!AM159,0,-'Ingreso Proyectado_Edu'!$P159)+0)),0)</f>
        <v>0</v>
      </c>
      <c r="AM159" s="169">
        <f ca="1">+IFERROR(IF(ISNUMBER(OFFSET('EDP Proyectado'!AN159,0,-'Ingreso Proyectado_Edu'!$P159))&lt;&gt;0,IF(OFFSET('EDP Proyectado'!AN159,0,-'Ingreso Proyectado_Edu'!$P159)+0&lt;=1,0,OFFSET('EDP Proyectado'!AN159,0,-'Ingreso Proyectado_Edu'!$P159)+0)),0)</f>
        <v>0</v>
      </c>
      <c r="AN159" s="169">
        <f ca="1">+IFERROR(IF(ISNUMBER(OFFSET('EDP Proyectado'!AO159,0,-'Ingreso Proyectado_Edu'!$P159))&lt;&gt;0,IF(OFFSET('EDP Proyectado'!AO159,0,-'Ingreso Proyectado_Edu'!$P159)+0&lt;=1,0,OFFSET('EDP Proyectado'!AO159,0,-'Ingreso Proyectado_Edu'!$P159)+0)),0)</f>
        <v>0</v>
      </c>
      <c r="AO159" s="169">
        <f ca="1">+IFERROR(IF(ISNUMBER(OFFSET('EDP Proyectado'!AP159,0,-'Ingreso Proyectado_Edu'!$P159))&lt;&gt;0,IF(OFFSET('EDP Proyectado'!AP159,0,-'Ingreso Proyectado_Edu'!$P159)+0&lt;=1,0,OFFSET('EDP Proyectado'!AP159,0,-'Ingreso Proyectado_Edu'!$P159)+0)),0)</f>
        <v>0</v>
      </c>
      <c r="AP159" s="170">
        <f ca="1">+IFERROR(IF(ISNUMBER(OFFSET('EDP Proyectado'!AQ159,0,-'Ingreso Proyectado_Edu'!$P159))&lt;&gt;0,IF(OFFSET('EDP Proyectado'!AQ159,0,-'Ingreso Proyectado_Edu'!$P159)+0&lt;=1,0,OFFSET('EDP Proyectado'!AQ159,0,-'Ingreso Proyectado_Edu'!$P159)+0)),0)</f>
        <v>0</v>
      </c>
    </row>
    <row r="160" spans="3:42" x14ac:dyDescent="0.2">
      <c r="C160" s="110">
        <f>+'Gantt Proyectos'!C228</f>
        <v>0</v>
      </c>
      <c r="D160" s="110">
        <f>+'Gantt Proyectos'!D228</f>
        <v>0</v>
      </c>
      <c r="E160" s="110">
        <f>+'Gantt Proyectos'!E228</f>
        <v>0</v>
      </c>
      <c r="F160" s="148">
        <f>+'Gantt Proyectos'!F228</f>
        <v>0</v>
      </c>
      <c r="G160" s="110">
        <f>+'Gantt Proyectos'!G228</f>
        <v>0</v>
      </c>
      <c r="H160" s="110">
        <f>+'Gantt Proyectos'!H228</f>
        <v>0</v>
      </c>
      <c r="I160" s="189">
        <v>1</v>
      </c>
      <c r="J160" s="189">
        <f t="shared" si="14"/>
        <v>0</v>
      </c>
      <c r="K160" s="110">
        <f>+'Gantt Proyectos'!I228</f>
        <v>0</v>
      </c>
      <c r="L160" s="110">
        <f>+'Gantt Proyectos'!J228</f>
        <v>0</v>
      </c>
      <c r="M160" s="110">
        <f>+'Gantt Proyectos'!K228</f>
        <v>0</v>
      </c>
      <c r="N160" s="110">
        <f>+'Gantt Proyectos'!L228</f>
        <v>0</v>
      </c>
      <c r="O160" s="110">
        <f>+'Gantt Proyectos'!M228</f>
        <v>0</v>
      </c>
      <c r="P160" s="110">
        <f>+'Gantt Proyectos'!N228</f>
        <v>0</v>
      </c>
      <c r="Q160" s="110">
        <f>+'Gantt Proyectos'!O228</f>
        <v>0</v>
      </c>
      <c r="R160" s="110">
        <f>+'Gantt Proyectos'!P228</f>
        <v>0</v>
      </c>
      <c r="S160" s="110">
        <f>+'Gantt Proyectos'!R228</f>
        <v>0</v>
      </c>
      <c r="T160" s="118">
        <f>+'Gantt Proyectos'!S228</f>
        <v>0</v>
      </c>
      <c r="U160" s="157">
        <f>+'Gantt Proyectos'!T228</f>
        <v>0</v>
      </c>
      <c r="V160" s="157">
        <f>+'Gantt Proyectos'!U228</f>
        <v>0</v>
      </c>
      <c r="W160" s="201">
        <f t="shared" si="15"/>
        <v>0</v>
      </c>
      <c r="X160" s="110">
        <f>+'Gantt Proyectos'!W228</f>
        <v>0</v>
      </c>
      <c r="Y160" s="110">
        <f>+'Gantt Proyectos'!X228</f>
        <v>0</v>
      </c>
      <c r="Z160" s="110">
        <f>+'Gantt Proyectos'!Y228</f>
        <v>0</v>
      </c>
      <c r="AA160" s="110">
        <f>+'Gantt Proyectos'!Z228</f>
        <v>0</v>
      </c>
      <c r="AB160" s="110">
        <f>+'Gantt Proyectos'!AA228</f>
        <v>0</v>
      </c>
      <c r="AC160" s="110">
        <f>+'Gantt Proyectos'!AB228</f>
        <v>0</v>
      </c>
      <c r="AD160" s="110">
        <f>+'Gantt Proyectos'!AC228</f>
        <v>0</v>
      </c>
      <c r="AE160" s="110">
        <f>+'Gantt Proyectos'!AD228</f>
        <v>0</v>
      </c>
      <c r="AF160" s="110">
        <f>+'Gantt Proyectos'!AE228</f>
        <v>0</v>
      </c>
      <c r="AG160" s="172">
        <v>1</v>
      </c>
      <c r="AH160" s="169">
        <f ca="1">+IFERROR(IF(ISNUMBER(OFFSET('EDP Proyectado'!AI160,0,-'Ingreso Proyectado_Edu'!$P160))&lt;&gt;0,IF(OFFSET('EDP Proyectado'!AI160,0,-'Ingreso Proyectado_Edu'!$P160)+0&lt;=1,0,OFFSET('EDP Proyectado'!AI160,0,-'Ingreso Proyectado_Edu'!$P160)+0)),0)</f>
        <v>0</v>
      </c>
      <c r="AI160" s="169">
        <f ca="1">+IFERROR(IF(ISNUMBER(OFFSET('EDP Proyectado'!AJ160,0,-'Ingreso Proyectado_Edu'!$P160))&lt;&gt;0,IF(OFFSET('EDP Proyectado'!AJ160,0,-'Ingreso Proyectado_Edu'!$P160)+0&lt;=1,0,OFFSET('EDP Proyectado'!AJ160,0,-'Ingreso Proyectado_Edu'!$P160)+0)),0)</f>
        <v>0</v>
      </c>
      <c r="AJ160" s="169">
        <f ca="1">+IFERROR(IF(ISNUMBER(OFFSET('EDP Proyectado'!AK160,0,-'Ingreso Proyectado_Edu'!$P160))&lt;&gt;0,IF(OFFSET('EDP Proyectado'!AK160,0,-'Ingreso Proyectado_Edu'!$P160)+0&lt;=1,0,OFFSET('EDP Proyectado'!AK160,0,-'Ingreso Proyectado_Edu'!$P160)+0)),0)</f>
        <v>0</v>
      </c>
      <c r="AK160" s="169">
        <f ca="1">+IFERROR(IF(ISNUMBER(OFFSET('EDP Proyectado'!AL160,0,-'Ingreso Proyectado_Edu'!$P160))&lt;&gt;0,IF(OFFSET('EDP Proyectado'!AL160,0,-'Ingreso Proyectado_Edu'!$P160)+0&lt;=1,0,OFFSET('EDP Proyectado'!AL160,0,-'Ingreso Proyectado_Edu'!$P160)+0)),0)</f>
        <v>0</v>
      </c>
      <c r="AL160" s="169">
        <f ca="1">+IFERROR(IF(ISNUMBER(OFFSET('EDP Proyectado'!AM160,0,-'Ingreso Proyectado_Edu'!$P160))&lt;&gt;0,IF(OFFSET('EDP Proyectado'!AM160,0,-'Ingreso Proyectado_Edu'!$P160)+0&lt;=1,0,OFFSET('EDP Proyectado'!AM160,0,-'Ingreso Proyectado_Edu'!$P160)+0)),0)</f>
        <v>0</v>
      </c>
      <c r="AM160" s="169">
        <f ca="1">+IFERROR(IF(ISNUMBER(OFFSET('EDP Proyectado'!AN160,0,-'Ingreso Proyectado_Edu'!$P160))&lt;&gt;0,IF(OFFSET('EDP Proyectado'!AN160,0,-'Ingreso Proyectado_Edu'!$P160)+0&lt;=1,0,OFFSET('EDP Proyectado'!AN160,0,-'Ingreso Proyectado_Edu'!$P160)+0)),0)</f>
        <v>0</v>
      </c>
      <c r="AN160" s="169">
        <f ca="1">+IFERROR(IF(ISNUMBER(OFFSET('EDP Proyectado'!AO160,0,-'Ingreso Proyectado_Edu'!$P160))&lt;&gt;0,IF(OFFSET('EDP Proyectado'!AO160,0,-'Ingreso Proyectado_Edu'!$P160)+0&lt;=1,0,OFFSET('EDP Proyectado'!AO160,0,-'Ingreso Proyectado_Edu'!$P160)+0)),0)</f>
        <v>0</v>
      </c>
      <c r="AO160" s="169">
        <f ca="1">+IFERROR(IF(ISNUMBER(OFFSET('EDP Proyectado'!AP160,0,-'Ingreso Proyectado_Edu'!$P160))&lt;&gt;0,IF(OFFSET('EDP Proyectado'!AP160,0,-'Ingreso Proyectado_Edu'!$P160)+0&lt;=1,0,OFFSET('EDP Proyectado'!AP160,0,-'Ingreso Proyectado_Edu'!$P160)+0)),0)</f>
        <v>0</v>
      </c>
      <c r="AP160" s="170">
        <f ca="1">+IFERROR(IF(ISNUMBER(OFFSET('EDP Proyectado'!AQ160,0,-'Ingreso Proyectado_Edu'!$P160))&lt;&gt;0,IF(OFFSET('EDP Proyectado'!AQ160,0,-'Ingreso Proyectado_Edu'!$P160)+0&lt;=1,0,OFFSET('EDP Proyectado'!AQ160,0,-'Ingreso Proyectado_Edu'!$P160)+0)),0)</f>
        <v>0</v>
      </c>
    </row>
    <row r="161" spans="3:42" x14ac:dyDescent="0.2">
      <c r="C161" s="110">
        <f>+'Gantt Proyectos'!C229</f>
        <v>0</v>
      </c>
      <c r="D161" s="110">
        <f>+'Gantt Proyectos'!D229</f>
        <v>0</v>
      </c>
      <c r="E161" s="110">
        <f>+'Gantt Proyectos'!E229</f>
        <v>0</v>
      </c>
      <c r="F161" s="148">
        <f>+'Gantt Proyectos'!F229</f>
        <v>0</v>
      </c>
      <c r="G161" s="110">
        <f>+'Gantt Proyectos'!G229</f>
        <v>0</v>
      </c>
      <c r="H161" s="110">
        <f>+'Gantt Proyectos'!H229</f>
        <v>0</v>
      </c>
      <c r="I161" s="189">
        <v>1</v>
      </c>
      <c r="J161" s="189">
        <f t="shared" si="14"/>
        <v>0</v>
      </c>
      <c r="K161" s="110">
        <f>+'Gantt Proyectos'!I229</f>
        <v>0</v>
      </c>
      <c r="L161" s="110">
        <f>+'Gantt Proyectos'!J229</f>
        <v>0</v>
      </c>
      <c r="M161" s="110">
        <f>+'Gantt Proyectos'!K229</f>
        <v>0</v>
      </c>
      <c r="N161" s="110">
        <f>+'Gantt Proyectos'!L229</f>
        <v>0</v>
      </c>
      <c r="O161" s="110">
        <f>+'Gantt Proyectos'!M229</f>
        <v>0</v>
      </c>
      <c r="P161" s="110">
        <f>+'Gantt Proyectos'!N229</f>
        <v>0</v>
      </c>
      <c r="Q161" s="110">
        <f>+'Gantt Proyectos'!O229</f>
        <v>0</v>
      </c>
      <c r="R161" s="110">
        <f>+'Gantt Proyectos'!P229</f>
        <v>0</v>
      </c>
      <c r="S161" s="110">
        <f>+'Gantt Proyectos'!R229</f>
        <v>0</v>
      </c>
      <c r="T161" s="118">
        <f>+'Gantt Proyectos'!S229</f>
        <v>0</v>
      </c>
      <c r="U161" s="157">
        <f>+'Gantt Proyectos'!T229</f>
        <v>0</v>
      </c>
      <c r="V161" s="157">
        <f>+'Gantt Proyectos'!U229</f>
        <v>0</v>
      </c>
      <c r="W161" s="201">
        <f t="shared" si="15"/>
        <v>0</v>
      </c>
      <c r="X161" s="110">
        <f>+'Gantt Proyectos'!W229</f>
        <v>0</v>
      </c>
      <c r="Y161" s="110">
        <f>+'Gantt Proyectos'!X229</f>
        <v>0</v>
      </c>
      <c r="Z161" s="110">
        <f>+'Gantt Proyectos'!Y229</f>
        <v>0</v>
      </c>
      <c r="AA161" s="110">
        <f>+'Gantt Proyectos'!Z229</f>
        <v>0</v>
      </c>
      <c r="AB161" s="110">
        <f>+'Gantt Proyectos'!AA229</f>
        <v>0</v>
      </c>
      <c r="AC161" s="110">
        <f>+'Gantt Proyectos'!AB229</f>
        <v>0</v>
      </c>
      <c r="AD161" s="110">
        <f>+'Gantt Proyectos'!AC229</f>
        <v>0</v>
      </c>
      <c r="AE161" s="110">
        <f>+'Gantt Proyectos'!AD229</f>
        <v>0</v>
      </c>
      <c r="AF161" s="110">
        <f>+'Gantt Proyectos'!AE229</f>
        <v>0</v>
      </c>
      <c r="AG161" s="172">
        <v>1</v>
      </c>
      <c r="AH161" s="169">
        <f ca="1">+IFERROR(IF(ISNUMBER(OFFSET('EDP Proyectado'!AI161,0,-'Ingreso Proyectado_Edu'!$P161))&lt;&gt;0,IF(OFFSET('EDP Proyectado'!AI161,0,-'Ingreso Proyectado_Edu'!$P161)+0&lt;=1,0,OFFSET('EDP Proyectado'!AI161,0,-'Ingreso Proyectado_Edu'!$P161)+0)),0)</f>
        <v>0</v>
      </c>
      <c r="AI161" s="169">
        <f ca="1">+IFERROR(IF(ISNUMBER(OFFSET('EDP Proyectado'!AJ161,0,-'Ingreso Proyectado_Edu'!$P161))&lt;&gt;0,IF(OFFSET('EDP Proyectado'!AJ161,0,-'Ingreso Proyectado_Edu'!$P161)+0&lt;=1,0,OFFSET('EDP Proyectado'!AJ161,0,-'Ingreso Proyectado_Edu'!$P161)+0)),0)</f>
        <v>0</v>
      </c>
      <c r="AJ161" s="169">
        <f ca="1">+IFERROR(IF(ISNUMBER(OFFSET('EDP Proyectado'!AK161,0,-'Ingreso Proyectado_Edu'!$P161))&lt;&gt;0,IF(OFFSET('EDP Proyectado'!AK161,0,-'Ingreso Proyectado_Edu'!$P161)+0&lt;=1,0,OFFSET('EDP Proyectado'!AK161,0,-'Ingreso Proyectado_Edu'!$P161)+0)),0)</f>
        <v>0</v>
      </c>
      <c r="AK161" s="169">
        <f ca="1">+IFERROR(IF(ISNUMBER(OFFSET('EDP Proyectado'!AL161,0,-'Ingreso Proyectado_Edu'!$P161))&lt;&gt;0,IF(OFFSET('EDP Proyectado'!AL161,0,-'Ingreso Proyectado_Edu'!$P161)+0&lt;=1,0,OFFSET('EDP Proyectado'!AL161,0,-'Ingreso Proyectado_Edu'!$P161)+0)),0)</f>
        <v>0</v>
      </c>
      <c r="AL161" s="169">
        <f ca="1">+IFERROR(IF(ISNUMBER(OFFSET('EDP Proyectado'!AM161,0,-'Ingreso Proyectado_Edu'!$P161))&lt;&gt;0,IF(OFFSET('EDP Proyectado'!AM161,0,-'Ingreso Proyectado_Edu'!$P161)+0&lt;=1,0,OFFSET('EDP Proyectado'!AM161,0,-'Ingreso Proyectado_Edu'!$P161)+0)),0)</f>
        <v>0</v>
      </c>
      <c r="AM161" s="169">
        <f ca="1">+IFERROR(IF(ISNUMBER(OFFSET('EDP Proyectado'!AN161,0,-'Ingreso Proyectado_Edu'!$P161))&lt;&gt;0,IF(OFFSET('EDP Proyectado'!AN161,0,-'Ingreso Proyectado_Edu'!$P161)+0&lt;=1,0,OFFSET('EDP Proyectado'!AN161,0,-'Ingreso Proyectado_Edu'!$P161)+0)),0)</f>
        <v>0</v>
      </c>
      <c r="AN161" s="169">
        <f ca="1">+IFERROR(IF(ISNUMBER(OFFSET('EDP Proyectado'!AO161,0,-'Ingreso Proyectado_Edu'!$P161))&lt;&gt;0,IF(OFFSET('EDP Proyectado'!AO161,0,-'Ingreso Proyectado_Edu'!$P161)+0&lt;=1,0,OFFSET('EDP Proyectado'!AO161,0,-'Ingreso Proyectado_Edu'!$P161)+0)),0)</f>
        <v>0</v>
      </c>
      <c r="AO161" s="169">
        <f ca="1">+IFERROR(IF(ISNUMBER(OFFSET('EDP Proyectado'!AP161,0,-'Ingreso Proyectado_Edu'!$P161))&lt;&gt;0,IF(OFFSET('EDP Proyectado'!AP161,0,-'Ingreso Proyectado_Edu'!$P161)+0&lt;=1,0,OFFSET('EDP Proyectado'!AP161,0,-'Ingreso Proyectado_Edu'!$P161)+0)),0)</f>
        <v>0</v>
      </c>
      <c r="AP161" s="170">
        <f ca="1">+IFERROR(IF(ISNUMBER(OFFSET('EDP Proyectado'!AQ161,0,-'Ingreso Proyectado_Edu'!$P161))&lt;&gt;0,IF(OFFSET('EDP Proyectado'!AQ161,0,-'Ingreso Proyectado_Edu'!$P161)+0&lt;=1,0,OFFSET('EDP Proyectado'!AQ161,0,-'Ingreso Proyectado_Edu'!$P161)+0)),0)</f>
        <v>0</v>
      </c>
    </row>
    <row r="162" spans="3:42" x14ac:dyDescent="0.2">
      <c r="C162" s="110">
        <f>+'Gantt Proyectos'!C230</f>
        <v>0</v>
      </c>
      <c r="D162" s="110">
        <f>+'Gantt Proyectos'!D230</f>
        <v>0</v>
      </c>
      <c r="E162" s="110">
        <f>+'Gantt Proyectos'!E230</f>
        <v>0</v>
      </c>
      <c r="F162" s="148">
        <f>+'Gantt Proyectos'!F230</f>
        <v>0</v>
      </c>
      <c r="G162" s="110">
        <f>+'Gantt Proyectos'!G230</f>
        <v>0</v>
      </c>
      <c r="H162" s="110">
        <f>+'Gantt Proyectos'!H230</f>
        <v>0</v>
      </c>
      <c r="I162" s="189">
        <v>1</v>
      </c>
      <c r="J162" s="189">
        <f t="shared" si="14"/>
        <v>0</v>
      </c>
      <c r="K162" s="110">
        <f>+'Gantt Proyectos'!I230</f>
        <v>0</v>
      </c>
      <c r="L162" s="110">
        <f>+'Gantt Proyectos'!J230</f>
        <v>0</v>
      </c>
      <c r="M162" s="110">
        <f>+'Gantt Proyectos'!K230</f>
        <v>0</v>
      </c>
      <c r="N162" s="110">
        <f>+'Gantt Proyectos'!L230</f>
        <v>0</v>
      </c>
      <c r="O162" s="110">
        <f>+'Gantt Proyectos'!M230</f>
        <v>0</v>
      </c>
      <c r="P162" s="110">
        <f>+'Gantt Proyectos'!N230</f>
        <v>0</v>
      </c>
      <c r="Q162" s="110">
        <f>+'Gantt Proyectos'!O230</f>
        <v>0</v>
      </c>
      <c r="R162" s="110">
        <f>+'Gantt Proyectos'!P230</f>
        <v>0</v>
      </c>
      <c r="S162" s="110">
        <f>+'Gantt Proyectos'!R230</f>
        <v>0</v>
      </c>
      <c r="T162" s="118">
        <f>+'Gantt Proyectos'!S230</f>
        <v>0</v>
      </c>
      <c r="U162" s="157">
        <f>+'Gantt Proyectos'!T230</f>
        <v>0</v>
      </c>
      <c r="V162" s="157">
        <f>+'Gantt Proyectos'!U230</f>
        <v>0</v>
      </c>
      <c r="W162" s="201">
        <f t="shared" si="15"/>
        <v>0</v>
      </c>
      <c r="X162" s="110">
        <f>+'Gantt Proyectos'!W230</f>
        <v>0</v>
      </c>
      <c r="Y162" s="110">
        <f>+'Gantt Proyectos'!X230</f>
        <v>0</v>
      </c>
      <c r="Z162" s="110">
        <f>+'Gantt Proyectos'!Y230</f>
        <v>0</v>
      </c>
      <c r="AA162" s="110">
        <f>+'Gantt Proyectos'!Z230</f>
        <v>0</v>
      </c>
      <c r="AB162" s="110">
        <f>+'Gantt Proyectos'!AA230</f>
        <v>0</v>
      </c>
      <c r="AC162" s="110">
        <f>+'Gantt Proyectos'!AB230</f>
        <v>0</v>
      </c>
      <c r="AD162" s="110">
        <f>+'Gantt Proyectos'!AC230</f>
        <v>0</v>
      </c>
      <c r="AE162" s="110">
        <f>+'Gantt Proyectos'!AD230</f>
        <v>0</v>
      </c>
      <c r="AF162" s="110">
        <f>+'Gantt Proyectos'!AE230</f>
        <v>0</v>
      </c>
      <c r="AG162" s="172">
        <v>1</v>
      </c>
      <c r="AH162" s="169">
        <f ca="1">+IFERROR(IF(ISNUMBER(OFFSET('EDP Proyectado'!AI162,0,-'Ingreso Proyectado_Edu'!$P162))&lt;&gt;0,IF(OFFSET('EDP Proyectado'!AI162,0,-'Ingreso Proyectado_Edu'!$P162)+0&lt;=1,0,OFFSET('EDP Proyectado'!AI162,0,-'Ingreso Proyectado_Edu'!$P162)+0)),0)</f>
        <v>0</v>
      </c>
      <c r="AI162" s="169">
        <f ca="1">+IFERROR(IF(ISNUMBER(OFFSET('EDP Proyectado'!AJ162,0,-'Ingreso Proyectado_Edu'!$P162))&lt;&gt;0,IF(OFFSET('EDP Proyectado'!AJ162,0,-'Ingreso Proyectado_Edu'!$P162)+0&lt;=1,0,OFFSET('EDP Proyectado'!AJ162,0,-'Ingreso Proyectado_Edu'!$P162)+0)),0)</f>
        <v>0</v>
      </c>
      <c r="AJ162" s="169">
        <f ca="1">+IFERROR(IF(ISNUMBER(OFFSET('EDP Proyectado'!AK162,0,-'Ingreso Proyectado_Edu'!$P162))&lt;&gt;0,IF(OFFSET('EDP Proyectado'!AK162,0,-'Ingreso Proyectado_Edu'!$P162)+0&lt;=1,0,OFFSET('EDP Proyectado'!AK162,0,-'Ingreso Proyectado_Edu'!$P162)+0)),0)</f>
        <v>0</v>
      </c>
      <c r="AK162" s="169">
        <f ca="1">+IFERROR(IF(ISNUMBER(OFFSET('EDP Proyectado'!AL162,0,-'Ingreso Proyectado_Edu'!$P162))&lt;&gt;0,IF(OFFSET('EDP Proyectado'!AL162,0,-'Ingreso Proyectado_Edu'!$P162)+0&lt;=1,0,OFFSET('EDP Proyectado'!AL162,0,-'Ingreso Proyectado_Edu'!$P162)+0)),0)</f>
        <v>0</v>
      </c>
      <c r="AL162" s="169">
        <f ca="1">+IFERROR(IF(ISNUMBER(OFFSET('EDP Proyectado'!AM162,0,-'Ingreso Proyectado_Edu'!$P162))&lt;&gt;0,IF(OFFSET('EDP Proyectado'!AM162,0,-'Ingreso Proyectado_Edu'!$P162)+0&lt;=1,0,OFFSET('EDP Proyectado'!AM162,0,-'Ingreso Proyectado_Edu'!$P162)+0)),0)</f>
        <v>0</v>
      </c>
      <c r="AM162" s="169">
        <f ca="1">+IFERROR(IF(ISNUMBER(OFFSET('EDP Proyectado'!AN162,0,-'Ingreso Proyectado_Edu'!$P162))&lt;&gt;0,IF(OFFSET('EDP Proyectado'!AN162,0,-'Ingreso Proyectado_Edu'!$P162)+0&lt;=1,0,OFFSET('EDP Proyectado'!AN162,0,-'Ingreso Proyectado_Edu'!$P162)+0)),0)</f>
        <v>0</v>
      </c>
      <c r="AN162" s="169">
        <f ca="1">+IFERROR(IF(ISNUMBER(OFFSET('EDP Proyectado'!AO162,0,-'Ingreso Proyectado_Edu'!$P162))&lt;&gt;0,IF(OFFSET('EDP Proyectado'!AO162,0,-'Ingreso Proyectado_Edu'!$P162)+0&lt;=1,0,OFFSET('EDP Proyectado'!AO162,0,-'Ingreso Proyectado_Edu'!$P162)+0)),0)</f>
        <v>0</v>
      </c>
      <c r="AO162" s="169">
        <f ca="1">+IFERROR(IF(ISNUMBER(OFFSET('EDP Proyectado'!AP162,0,-'Ingreso Proyectado_Edu'!$P162))&lt;&gt;0,IF(OFFSET('EDP Proyectado'!AP162,0,-'Ingreso Proyectado_Edu'!$P162)+0&lt;=1,0,OFFSET('EDP Proyectado'!AP162,0,-'Ingreso Proyectado_Edu'!$P162)+0)),0)</f>
        <v>0</v>
      </c>
      <c r="AP162" s="170">
        <f ca="1">+IFERROR(IF(ISNUMBER(OFFSET('EDP Proyectado'!AQ162,0,-'Ingreso Proyectado_Edu'!$P162))&lt;&gt;0,IF(OFFSET('EDP Proyectado'!AQ162,0,-'Ingreso Proyectado_Edu'!$P162)+0&lt;=1,0,OFFSET('EDP Proyectado'!AQ162,0,-'Ingreso Proyectado_Edu'!$P162)+0)),0)</f>
        <v>0</v>
      </c>
    </row>
    <row r="163" spans="3:42" x14ac:dyDescent="0.2">
      <c r="C163" s="110">
        <f>+'Gantt Proyectos'!C231</f>
        <v>0</v>
      </c>
      <c r="D163" s="110">
        <f>+'Gantt Proyectos'!D231</f>
        <v>0</v>
      </c>
      <c r="E163" s="110">
        <f>+'Gantt Proyectos'!E231</f>
        <v>0</v>
      </c>
      <c r="F163" s="148">
        <f>+'Gantt Proyectos'!F231</f>
        <v>0</v>
      </c>
      <c r="G163" s="110">
        <f>+'Gantt Proyectos'!G231</f>
        <v>0</v>
      </c>
      <c r="H163" s="110">
        <f>+'Gantt Proyectos'!H231</f>
        <v>0</v>
      </c>
      <c r="I163" s="189">
        <v>1</v>
      </c>
      <c r="J163" s="189">
        <f t="shared" si="14"/>
        <v>0</v>
      </c>
      <c r="K163" s="110">
        <f>+'Gantt Proyectos'!I231</f>
        <v>0</v>
      </c>
      <c r="L163" s="110">
        <f>+'Gantt Proyectos'!J231</f>
        <v>0</v>
      </c>
      <c r="M163" s="110">
        <f>+'Gantt Proyectos'!K231</f>
        <v>0</v>
      </c>
      <c r="N163" s="110">
        <f>+'Gantt Proyectos'!L231</f>
        <v>0</v>
      </c>
      <c r="O163" s="110">
        <f>+'Gantt Proyectos'!M231</f>
        <v>0</v>
      </c>
      <c r="P163" s="110">
        <f>+'Gantt Proyectos'!N231</f>
        <v>0</v>
      </c>
      <c r="Q163" s="110">
        <f>+'Gantt Proyectos'!O231</f>
        <v>0</v>
      </c>
      <c r="R163" s="110">
        <f>+'Gantt Proyectos'!P231</f>
        <v>0</v>
      </c>
      <c r="S163" s="110">
        <f>+'Gantt Proyectos'!R231</f>
        <v>0</v>
      </c>
      <c r="T163" s="118">
        <f>+'Gantt Proyectos'!S231</f>
        <v>0</v>
      </c>
      <c r="U163" s="157">
        <f>+'Gantt Proyectos'!T231</f>
        <v>0</v>
      </c>
      <c r="V163" s="157">
        <f>+'Gantt Proyectos'!U231</f>
        <v>0</v>
      </c>
      <c r="W163" s="201">
        <f t="shared" si="15"/>
        <v>0</v>
      </c>
      <c r="X163" s="110">
        <f>+'Gantt Proyectos'!W231</f>
        <v>0</v>
      </c>
      <c r="Y163" s="110">
        <f>+'Gantt Proyectos'!X231</f>
        <v>0</v>
      </c>
      <c r="Z163" s="110">
        <f>+'Gantt Proyectos'!Y231</f>
        <v>0</v>
      </c>
      <c r="AA163" s="110">
        <f>+'Gantt Proyectos'!Z231</f>
        <v>0</v>
      </c>
      <c r="AB163" s="110">
        <f>+'Gantt Proyectos'!AA231</f>
        <v>0</v>
      </c>
      <c r="AC163" s="110">
        <f>+'Gantt Proyectos'!AB231</f>
        <v>0</v>
      </c>
      <c r="AD163" s="110">
        <f>+'Gantt Proyectos'!AC231</f>
        <v>0</v>
      </c>
      <c r="AE163" s="110">
        <f>+'Gantt Proyectos'!AD231</f>
        <v>0</v>
      </c>
      <c r="AF163" s="110">
        <f>+'Gantt Proyectos'!AE231</f>
        <v>0</v>
      </c>
      <c r="AG163" s="172">
        <v>1</v>
      </c>
      <c r="AH163" s="169">
        <f ca="1">+IFERROR(IF(ISNUMBER(OFFSET('EDP Proyectado'!AI163,0,-'Ingreso Proyectado_Edu'!$P163))&lt;&gt;0,IF(OFFSET('EDP Proyectado'!AI163,0,-'Ingreso Proyectado_Edu'!$P163)+0&lt;=1,0,OFFSET('EDP Proyectado'!AI163,0,-'Ingreso Proyectado_Edu'!$P163)+0)),0)</f>
        <v>0</v>
      </c>
      <c r="AI163" s="169">
        <f ca="1">+IFERROR(IF(ISNUMBER(OFFSET('EDP Proyectado'!AJ163,0,-'Ingreso Proyectado_Edu'!$P163))&lt;&gt;0,IF(OFFSET('EDP Proyectado'!AJ163,0,-'Ingreso Proyectado_Edu'!$P163)+0&lt;=1,0,OFFSET('EDP Proyectado'!AJ163,0,-'Ingreso Proyectado_Edu'!$P163)+0)),0)</f>
        <v>0</v>
      </c>
      <c r="AJ163" s="169">
        <f ca="1">+IFERROR(IF(ISNUMBER(OFFSET('EDP Proyectado'!AK163,0,-'Ingreso Proyectado_Edu'!$P163))&lt;&gt;0,IF(OFFSET('EDP Proyectado'!AK163,0,-'Ingreso Proyectado_Edu'!$P163)+0&lt;=1,0,OFFSET('EDP Proyectado'!AK163,0,-'Ingreso Proyectado_Edu'!$P163)+0)),0)</f>
        <v>0</v>
      </c>
      <c r="AK163" s="169">
        <f ca="1">+IFERROR(IF(ISNUMBER(OFFSET('EDP Proyectado'!AL163,0,-'Ingreso Proyectado_Edu'!$P163))&lt;&gt;0,IF(OFFSET('EDP Proyectado'!AL163,0,-'Ingreso Proyectado_Edu'!$P163)+0&lt;=1,0,OFFSET('EDP Proyectado'!AL163,0,-'Ingreso Proyectado_Edu'!$P163)+0)),0)</f>
        <v>0</v>
      </c>
      <c r="AL163" s="169">
        <f ca="1">+IFERROR(IF(ISNUMBER(OFFSET('EDP Proyectado'!AM163,0,-'Ingreso Proyectado_Edu'!$P163))&lt;&gt;0,IF(OFFSET('EDP Proyectado'!AM163,0,-'Ingreso Proyectado_Edu'!$P163)+0&lt;=1,0,OFFSET('EDP Proyectado'!AM163,0,-'Ingreso Proyectado_Edu'!$P163)+0)),0)</f>
        <v>0</v>
      </c>
      <c r="AM163" s="169">
        <f ca="1">+IFERROR(IF(ISNUMBER(OFFSET('EDP Proyectado'!AN163,0,-'Ingreso Proyectado_Edu'!$P163))&lt;&gt;0,IF(OFFSET('EDP Proyectado'!AN163,0,-'Ingreso Proyectado_Edu'!$P163)+0&lt;=1,0,OFFSET('EDP Proyectado'!AN163,0,-'Ingreso Proyectado_Edu'!$P163)+0)),0)</f>
        <v>0</v>
      </c>
      <c r="AN163" s="169">
        <f ca="1">+IFERROR(IF(ISNUMBER(OFFSET('EDP Proyectado'!AO163,0,-'Ingreso Proyectado_Edu'!$P163))&lt;&gt;0,IF(OFFSET('EDP Proyectado'!AO163,0,-'Ingreso Proyectado_Edu'!$P163)+0&lt;=1,0,OFFSET('EDP Proyectado'!AO163,0,-'Ingreso Proyectado_Edu'!$P163)+0)),0)</f>
        <v>0</v>
      </c>
      <c r="AO163" s="169">
        <f ca="1">+IFERROR(IF(ISNUMBER(OFFSET('EDP Proyectado'!AP163,0,-'Ingreso Proyectado_Edu'!$P163))&lt;&gt;0,IF(OFFSET('EDP Proyectado'!AP163,0,-'Ingreso Proyectado_Edu'!$P163)+0&lt;=1,0,OFFSET('EDP Proyectado'!AP163,0,-'Ingreso Proyectado_Edu'!$P163)+0)),0)</f>
        <v>0</v>
      </c>
      <c r="AP163" s="170">
        <f ca="1">+IFERROR(IF(ISNUMBER(OFFSET('EDP Proyectado'!AQ163,0,-'Ingreso Proyectado_Edu'!$P163))&lt;&gt;0,IF(OFFSET('EDP Proyectado'!AQ163,0,-'Ingreso Proyectado_Edu'!$P163)+0&lt;=1,0,OFFSET('EDP Proyectado'!AQ163,0,-'Ingreso Proyectado_Edu'!$P163)+0)),0)</f>
        <v>0</v>
      </c>
    </row>
    <row r="164" spans="3:42" x14ac:dyDescent="0.2">
      <c r="C164" s="110">
        <f>+'Gantt Proyectos'!C232</f>
        <v>0</v>
      </c>
      <c r="D164" s="110">
        <f>+'Gantt Proyectos'!D232</f>
        <v>0</v>
      </c>
      <c r="E164" s="110">
        <f>+'Gantt Proyectos'!E232</f>
        <v>0</v>
      </c>
      <c r="F164" s="148">
        <f>+'Gantt Proyectos'!F232</f>
        <v>0</v>
      </c>
      <c r="G164" s="110">
        <f>+'Gantt Proyectos'!G232</f>
        <v>0</v>
      </c>
      <c r="H164" s="110">
        <f>+'Gantt Proyectos'!H232</f>
        <v>0</v>
      </c>
      <c r="I164" s="189">
        <v>1</v>
      </c>
      <c r="J164" s="189">
        <f t="shared" si="14"/>
        <v>0</v>
      </c>
      <c r="K164" s="110">
        <f>+'Gantt Proyectos'!I232</f>
        <v>0</v>
      </c>
      <c r="L164" s="110">
        <f>+'Gantt Proyectos'!J232</f>
        <v>0</v>
      </c>
      <c r="M164" s="110">
        <f>+'Gantt Proyectos'!K232</f>
        <v>0</v>
      </c>
      <c r="N164" s="110">
        <f>+'Gantt Proyectos'!L232</f>
        <v>0</v>
      </c>
      <c r="O164" s="110">
        <f>+'Gantt Proyectos'!M232</f>
        <v>0</v>
      </c>
      <c r="P164" s="110">
        <f>+'Gantt Proyectos'!N232</f>
        <v>0</v>
      </c>
      <c r="Q164" s="110">
        <f>+'Gantt Proyectos'!O232</f>
        <v>0</v>
      </c>
      <c r="R164" s="110">
        <f>+'Gantt Proyectos'!P232</f>
        <v>0</v>
      </c>
      <c r="S164" s="110">
        <f>+'Gantt Proyectos'!R232</f>
        <v>0</v>
      </c>
      <c r="T164" s="118">
        <f>+'Gantt Proyectos'!S232</f>
        <v>0</v>
      </c>
      <c r="U164" s="157">
        <f>+'Gantt Proyectos'!T232</f>
        <v>0</v>
      </c>
      <c r="V164" s="157">
        <f>+'Gantt Proyectos'!U232</f>
        <v>0</v>
      </c>
      <c r="W164" s="201">
        <f t="shared" si="15"/>
        <v>0</v>
      </c>
      <c r="X164" s="110">
        <f>+'Gantt Proyectos'!W232</f>
        <v>0</v>
      </c>
      <c r="Y164" s="110">
        <f>+'Gantt Proyectos'!X232</f>
        <v>0</v>
      </c>
      <c r="Z164" s="110">
        <f>+'Gantt Proyectos'!Y232</f>
        <v>0</v>
      </c>
      <c r="AA164" s="110">
        <f>+'Gantt Proyectos'!Z232</f>
        <v>0</v>
      </c>
      <c r="AB164" s="110">
        <f>+'Gantt Proyectos'!AA232</f>
        <v>0</v>
      </c>
      <c r="AC164" s="110">
        <f>+'Gantt Proyectos'!AB232</f>
        <v>0</v>
      </c>
      <c r="AD164" s="110">
        <f>+'Gantt Proyectos'!AC232</f>
        <v>0</v>
      </c>
      <c r="AE164" s="110">
        <f>+'Gantt Proyectos'!AD232</f>
        <v>0</v>
      </c>
      <c r="AF164" s="110">
        <f>+'Gantt Proyectos'!AE232</f>
        <v>0</v>
      </c>
      <c r="AG164" s="172">
        <v>1</v>
      </c>
      <c r="AH164" s="169">
        <f ca="1">+IFERROR(IF(ISNUMBER(OFFSET('EDP Proyectado'!AI164,0,-'Ingreso Proyectado_Edu'!$P164))&lt;&gt;0,IF(OFFSET('EDP Proyectado'!AI164,0,-'Ingreso Proyectado_Edu'!$P164)+0&lt;=1,0,OFFSET('EDP Proyectado'!AI164,0,-'Ingreso Proyectado_Edu'!$P164)+0)),0)</f>
        <v>0</v>
      </c>
      <c r="AI164" s="169">
        <f ca="1">+IFERROR(IF(ISNUMBER(OFFSET('EDP Proyectado'!AJ164,0,-'Ingreso Proyectado_Edu'!$P164))&lt;&gt;0,IF(OFFSET('EDP Proyectado'!AJ164,0,-'Ingreso Proyectado_Edu'!$P164)+0&lt;=1,0,OFFSET('EDP Proyectado'!AJ164,0,-'Ingreso Proyectado_Edu'!$P164)+0)),0)</f>
        <v>0</v>
      </c>
      <c r="AJ164" s="169">
        <f ca="1">+IFERROR(IF(ISNUMBER(OFFSET('EDP Proyectado'!AK164,0,-'Ingreso Proyectado_Edu'!$P164))&lt;&gt;0,IF(OFFSET('EDP Proyectado'!AK164,0,-'Ingreso Proyectado_Edu'!$P164)+0&lt;=1,0,OFFSET('EDP Proyectado'!AK164,0,-'Ingreso Proyectado_Edu'!$P164)+0)),0)</f>
        <v>0</v>
      </c>
      <c r="AK164" s="169">
        <f ca="1">+IFERROR(IF(ISNUMBER(OFFSET('EDP Proyectado'!AL164,0,-'Ingreso Proyectado_Edu'!$P164))&lt;&gt;0,IF(OFFSET('EDP Proyectado'!AL164,0,-'Ingreso Proyectado_Edu'!$P164)+0&lt;=1,0,OFFSET('EDP Proyectado'!AL164,0,-'Ingreso Proyectado_Edu'!$P164)+0)),0)</f>
        <v>0</v>
      </c>
      <c r="AL164" s="169">
        <f ca="1">+IFERROR(IF(ISNUMBER(OFFSET('EDP Proyectado'!AM164,0,-'Ingreso Proyectado_Edu'!$P164))&lt;&gt;0,IF(OFFSET('EDP Proyectado'!AM164,0,-'Ingreso Proyectado_Edu'!$P164)+0&lt;=1,0,OFFSET('EDP Proyectado'!AM164,0,-'Ingreso Proyectado_Edu'!$P164)+0)),0)</f>
        <v>0</v>
      </c>
      <c r="AM164" s="169">
        <f ca="1">+IFERROR(IF(ISNUMBER(OFFSET('EDP Proyectado'!AN164,0,-'Ingreso Proyectado_Edu'!$P164))&lt;&gt;0,IF(OFFSET('EDP Proyectado'!AN164,0,-'Ingreso Proyectado_Edu'!$P164)+0&lt;=1,0,OFFSET('EDP Proyectado'!AN164,0,-'Ingreso Proyectado_Edu'!$P164)+0)),0)</f>
        <v>0</v>
      </c>
      <c r="AN164" s="169">
        <f ca="1">+IFERROR(IF(ISNUMBER(OFFSET('EDP Proyectado'!AO164,0,-'Ingreso Proyectado_Edu'!$P164))&lt;&gt;0,IF(OFFSET('EDP Proyectado'!AO164,0,-'Ingreso Proyectado_Edu'!$P164)+0&lt;=1,0,OFFSET('EDP Proyectado'!AO164,0,-'Ingreso Proyectado_Edu'!$P164)+0)),0)</f>
        <v>0</v>
      </c>
      <c r="AO164" s="169">
        <f ca="1">+IFERROR(IF(ISNUMBER(OFFSET('EDP Proyectado'!AP164,0,-'Ingreso Proyectado_Edu'!$P164))&lt;&gt;0,IF(OFFSET('EDP Proyectado'!AP164,0,-'Ingreso Proyectado_Edu'!$P164)+0&lt;=1,0,OFFSET('EDP Proyectado'!AP164,0,-'Ingreso Proyectado_Edu'!$P164)+0)),0)</f>
        <v>0</v>
      </c>
      <c r="AP164" s="170">
        <f ca="1">+IFERROR(IF(ISNUMBER(OFFSET('EDP Proyectado'!AQ164,0,-'Ingreso Proyectado_Edu'!$P164))&lt;&gt;0,IF(OFFSET('EDP Proyectado'!AQ164,0,-'Ingreso Proyectado_Edu'!$P164)+0&lt;=1,0,OFFSET('EDP Proyectado'!AQ164,0,-'Ingreso Proyectado_Edu'!$P164)+0)),0)</f>
        <v>0</v>
      </c>
    </row>
    <row r="165" spans="3:42" x14ac:dyDescent="0.2">
      <c r="C165" s="110">
        <f>+'Gantt Proyectos'!C233</f>
        <v>0</v>
      </c>
      <c r="D165" s="110">
        <f>+'Gantt Proyectos'!D233</f>
        <v>0</v>
      </c>
      <c r="E165" s="110">
        <f>+'Gantt Proyectos'!E233</f>
        <v>0</v>
      </c>
      <c r="F165" s="148">
        <f>+'Gantt Proyectos'!F233</f>
        <v>0</v>
      </c>
      <c r="G165" s="110">
        <f>+'Gantt Proyectos'!G233</f>
        <v>0</v>
      </c>
      <c r="H165" s="110">
        <f>+'Gantt Proyectos'!H233</f>
        <v>0</v>
      </c>
      <c r="I165" s="189">
        <v>1</v>
      </c>
      <c r="J165" s="189">
        <f t="shared" si="14"/>
        <v>0</v>
      </c>
      <c r="K165" s="110">
        <f>+'Gantt Proyectos'!I233</f>
        <v>0</v>
      </c>
      <c r="L165" s="110">
        <f>+'Gantt Proyectos'!J233</f>
        <v>0</v>
      </c>
      <c r="M165" s="110">
        <f>+'Gantt Proyectos'!K233</f>
        <v>0</v>
      </c>
      <c r="N165" s="110">
        <f>+'Gantt Proyectos'!L233</f>
        <v>0</v>
      </c>
      <c r="O165" s="110">
        <f>+'Gantt Proyectos'!M233</f>
        <v>0</v>
      </c>
      <c r="P165" s="110">
        <f>+'Gantt Proyectos'!N233</f>
        <v>0</v>
      </c>
      <c r="Q165" s="110">
        <f>+'Gantt Proyectos'!O233</f>
        <v>0</v>
      </c>
      <c r="R165" s="110">
        <f>+'Gantt Proyectos'!P233</f>
        <v>0</v>
      </c>
      <c r="S165" s="110">
        <f>+'Gantt Proyectos'!R233</f>
        <v>0</v>
      </c>
      <c r="T165" s="118">
        <f>+'Gantt Proyectos'!S233</f>
        <v>0</v>
      </c>
      <c r="U165" s="157">
        <f>+'Gantt Proyectos'!T233</f>
        <v>0</v>
      </c>
      <c r="V165" s="157">
        <f>+'Gantt Proyectos'!U233</f>
        <v>0</v>
      </c>
      <c r="W165" s="201">
        <f t="shared" si="15"/>
        <v>0</v>
      </c>
      <c r="X165" s="110">
        <f>+'Gantt Proyectos'!W233</f>
        <v>0</v>
      </c>
      <c r="Y165" s="110">
        <f>+'Gantt Proyectos'!X233</f>
        <v>0</v>
      </c>
      <c r="Z165" s="110">
        <f>+'Gantt Proyectos'!Y233</f>
        <v>0</v>
      </c>
      <c r="AA165" s="110">
        <f>+'Gantt Proyectos'!Z233</f>
        <v>0</v>
      </c>
      <c r="AB165" s="110">
        <f>+'Gantt Proyectos'!AA233</f>
        <v>0</v>
      </c>
      <c r="AC165" s="110">
        <f>+'Gantt Proyectos'!AB233</f>
        <v>0</v>
      </c>
      <c r="AD165" s="110">
        <f>+'Gantt Proyectos'!AC233</f>
        <v>0</v>
      </c>
      <c r="AE165" s="110">
        <f>+'Gantt Proyectos'!AD233</f>
        <v>0</v>
      </c>
      <c r="AF165" s="110">
        <f>+'Gantt Proyectos'!AE233</f>
        <v>0</v>
      </c>
      <c r="AG165" s="172">
        <v>1</v>
      </c>
      <c r="AH165" s="169">
        <f ca="1">+IFERROR(IF(ISNUMBER(OFFSET('EDP Proyectado'!AI165,0,-'Ingreso Proyectado_Edu'!$P165))&lt;&gt;0,IF(OFFSET('EDP Proyectado'!AI165,0,-'Ingreso Proyectado_Edu'!$P165)+0&lt;=1,0,OFFSET('EDP Proyectado'!AI165,0,-'Ingreso Proyectado_Edu'!$P165)+0)),0)</f>
        <v>0</v>
      </c>
      <c r="AI165" s="169">
        <f ca="1">+IFERROR(IF(ISNUMBER(OFFSET('EDP Proyectado'!AJ165,0,-'Ingreso Proyectado_Edu'!$P165))&lt;&gt;0,IF(OFFSET('EDP Proyectado'!AJ165,0,-'Ingreso Proyectado_Edu'!$P165)+0&lt;=1,0,OFFSET('EDP Proyectado'!AJ165,0,-'Ingreso Proyectado_Edu'!$P165)+0)),0)</f>
        <v>0</v>
      </c>
      <c r="AJ165" s="169">
        <f ca="1">+IFERROR(IF(ISNUMBER(OFFSET('EDP Proyectado'!AK165,0,-'Ingreso Proyectado_Edu'!$P165))&lt;&gt;0,IF(OFFSET('EDP Proyectado'!AK165,0,-'Ingreso Proyectado_Edu'!$P165)+0&lt;=1,0,OFFSET('EDP Proyectado'!AK165,0,-'Ingreso Proyectado_Edu'!$P165)+0)),0)</f>
        <v>0</v>
      </c>
      <c r="AK165" s="169">
        <f ca="1">+IFERROR(IF(ISNUMBER(OFFSET('EDP Proyectado'!AL165,0,-'Ingreso Proyectado_Edu'!$P165))&lt;&gt;0,IF(OFFSET('EDP Proyectado'!AL165,0,-'Ingreso Proyectado_Edu'!$P165)+0&lt;=1,0,OFFSET('EDP Proyectado'!AL165,0,-'Ingreso Proyectado_Edu'!$P165)+0)),0)</f>
        <v>0</v>
      </c>
      <c r="AL165" s="169">
        <f ca="1">+IFERROR(IF(ISNUMBER(OFFSET('EDP Proyectado'!AM165,0,-'Ingreso Proyectado_Edu'!$P165))&lt;&gt;0,IF(OFFSET('EDP Proyectado'!AM165,0,-'Ingreso Proyectado_Edu'!$P165)+0&lt;=1,0,OFFSET('EDP Proyectado'!AM165,0,-'Ingreso Proyectado_Edu'!$P165)+0)),0)</f>
        <v>0</v>
      </c>
      <c r="AM165" s="169">
        <f ca="1">+IFERROR(IF(ISNUMBER(OFFSET('EDP Proyectado'!AN165,0,-'Ingreso Proyectado_Edu'!$P165))&lt;&gt;0,IF(OFFSET('EDP Proyectado'!AN165,0,-'Ingreso Proyectado_Edu'!$P165)+0&lt;=1,0,OFFSET('EDP Proyectado'!AN165,0,-'Ingreso Proyectado_Edu'!$P165)+0)),0)</f>
        <v>0</v>
      </c>
      <c r="AN165" s="169">
        <f ca="1">+IFERROR(IF(ISNUMBER(OFFSET('EDP Proyectado'!AO165,0,-'Ingreso Proyectado_Edu'!$P165))&lt;&gt;0,IF(OFFSET('EDP Proyectado'!AO165,0,-'Ingreso Proyectado_Edu'!$P165)+0&lt;=1,0,OFFSET('EDP Proyectado'!AO165,0,-'Ingreso Proyectado_Edu'!$P165)+0)),0)</f>
        <v>0</v>
      </c>
      <c r="AO165" s="169">
        <f ca="1">+IFERROR(IF(ISNUMBER(OFFSET('EDP Proyectado'!AP165,0,-'Ingreso Proyectado_Edu'!$P165))&lt;&gt;0,IF(OFFSET('EDP Proyectado'!AP165,0,-'Ingreso Proyectado_Edu'!$P165)+0&lt;=1,0,OFFSET('EDP Proyectado'!AP165,0,-'Ingreso Proyectado_Edu'!$P165)+0)),0)</f>
        <v>0</v>
      </c>
      <c r="AP165" s="170">
        <f ca="1">+IFERROR(IF(ISNUMBER(OFFSET('EDP Proyectado'!AQ165,0,-'Ingreso Proyectado_Edu'!$P165))&lt;&gt;0,IF(OFFSET('EDP Proyectado'!AQ165,0,-'Ingreso Proyectado_Edu'!$P165)+0&lt;=1,0,OFFSET('EDP Proyectado'!AQ165,0,-'Ingreso Proyectado_Edu'!$P165)+0)),0)</f>
        <v>0</v>
      </c>
    </row>
    <row r="166" spans="3:42" x14ac:dyDescent="0.2">
      <c r="C166" s="110">
        <f>+'Gantt Proyectos'!C234</f>
        <v>0</v>
      </c>
      <c r="D166" s="110">
        <f>+'Gantt Proyectos'!D234</f>
        <v>0</v>
      </c>
      <c r="E166" s="110">
        <f>+'Gantt Proyectos'!E234</f>
        <v>0</v>
      </c>
      <c r="F166" s="148">
        <f>+'Gantt Proyectos'!F234</f>
        <v>0</v>
      </c>
      <c r="G166" s="110">
        <f>+'Gantt Proyectos'!G234</f>
        <v>0</v>
      </c>
      <c r="H166" s="110">
        <f>+'Gantt Proyectos'!H234</f>
        <v>0</v>
      </c>
      <c r="I166" s="189">
        <v>1</v>
      </c>
      <c r="J166" s="189">
        <f t="shared" si="14"/>
        <v>0</v>
      </c>
      <c r="K166" s="110">
        <f>+'Gantt Proyectos'!I234</f>
        <v>0</v>
      </c>
      <c r="L166" s="110">
        <f>+'Gantt Proyectos'!J234</f>
        <v>0</v>
      </c>
      <c r="M166" s="110">
        <f>+'Gantt Proyectos'!K234</f>
        <v>0</v>
      </c>
      <c r="N166" s="110">
        <f>+'Gantt Proyectos'!L234</f>
        <v>0</v>
      </c>
      <c r="O166" s="110">
        <f>+'Gantt Proyectos'!M234</f>
        <v>0</v>
      </c>
      <c r="P166" s="110">
        <f>+'Gantt Proyectos'!N234</f>
        <v>0</v>
      </c>
      <c r="Q166" s="110">
        <f>+'Gantt Proyectos'!O234</f>
        <v>0</v>
      </c>
      <c r="R166" s="110">
        <f>+'Gantt Proyectos'!P234</f>
        <v>0</v>
      </c>
      <c r="S166" s="110">
        <f>+'Gantt Proyectos'!R234</f>
        <v>0</v>
      </c>
      <c r="T166" s="118">
        <f>+'Gantt Proyectos'!S234</f>
        <v>0</v>
      </c>
      <c r="U166" s="157">
        <f>+'Gantt Proyectos'!T234</f>
        <v>0</v>
      </c>
      <c r="V166" s="157">
        <f>+'Gantt Proyectos'!U234</f>
        <v>0</v>
      </c>
      <c r="W166" s="201">
        <f t="shared" si="15"/>
        <v>0</v>
      </c>
      <c r="X166" s="110">
        <f>+'Gantt Proyectos'!W234</f>
        <v>0</v>
      </c>
      <c r="Y166" s="110">
        <f>+'Gantt Proyectos'!X234</f>
        <v>0</v>
      </c>
      <c r="Z166" s="110">
        <f>+'Gantt Proyectos'!Y234</f>
        <v>0</v>
      </c>
      <c r="AA166" s="110">
        <f>+'Gantt Proyectos'!Z234</f>
        <v>0</v>
      </c>
      <c r="AB166" s="110">
        <f>+'Gantt Proyectos'!AA234</f>
        <v>0</v>
      </c>
      <c r="AC166" s="110">
        <f>+'Gantt Proyectos'!AB234</f>
        <v>0</v>
      </c>
      <c r="AD166" s="110">
        <f>+'Gantt Proyectos'!AC234</f>
        <v>0</v>
      </c>
      <c r="AE166" s="110">
        <f>+'Gantt Proyectos'!AD234</f>
        <v>0</v>
      </c>
      <c r="AF166" s="110">
        <f>+'Gantt Proyectos'!AE234</f>
        <v>0</v>
      </c>
      <c r="AG166" s="172">
        <v>1</v>
      </c>
      <c r="AH166" s="169">
        <f ca="1">+IFERROR(IF(ISNUMBER(OFFSET('EDP Proyectado'!AI166,0,-'Ingreso Proyectado_Edu'!$P166))&lt;&gt;0,IF(OFFSET('EDP Proyectado'!AI166,0,-'Ingreso Proyectado_Edu'!$P166)+0&lt;=1,0,OFFSET('EDP Proyectado'!AI166,0,-'Ingreso Proyectado_Edu'!$P166)+0)),0)</f>
        <v>0</v>
      </c>
      <c r="AI166" s="169">
        <f ca="1">+IFERROR(IF(ISNUMBER(OFFSET('EDP Proyectado'!AJ166,0,-'Ingreso Proyectado_Edu'!$P166))&lt;&gt;0,IF(OFFSET('EDP Proyectado'!AJ166,0,-'Ingreso Proyectado_Edu'!$P166)+0&lt;=1,0,OFFSET('EDP Proyectado'!AJ166,0,-'Ingreso Proyectado_Edu'!$P166)+0)),0)</f>
        <v>0</v>
      </c>
      <c r="AJ166" s="169">
        <f ca="1">+IFERROR(IF(ISNUMBER(OFFSET('EDP Proyectado'!AK166,0,-'Ingreso Proyectado_Edu'!$P166))&lt;&gt;0,IF(OFFSET('EDP Proyectado'!AK166,0,-'Ingreso Proyectado_Edu'!$P166)+0&lt;=1,0,OFFSET('EDP Proyectado'!AK166,0,-'Ingreso Proyectado_Edu'!$P166)+0)),0)</f>
        <v>0</v>
      </c>
      <c r="AK166" s="169">
        <f ca="1">+IFERROR(IF(ISNUMBER(OFFSET('EDP Proyectado'!AL166,0,-'Ingreso Proyectado_Edu'!$P166))&lt;&gt;0,IF(OFFSET('EDP Proyectado'!AL166,0,-'Ingreso Proyectado_Edu'!$P166)+0&lt;=1,0,OFFSET('EDP Proyectado'!AL166,0,-'Ingreso Proyectado_Edu'!$P166)+0)),0)</f>
        <v>0</v>
      </c>
      <c r="AL166" s="169">
        <f ca="1">+IFERROR(IF(ISNUMBER(OFFSET('EDP Proyectado'!AM166,0,-'Ingreso Proyectado_Edu'!$P166))&lt;&gt;0,IF(OFFSET('EDP Proyectado'!AM166,0,-'Ingreso Proyectado_Edu'!$P166)+0&lt;=1,0,OFFSET('EDP Proyectado'!AM166,0,-'Ingreso Proyectado_Edu'!$P166)+0)),0)</f>
        <v>0</v>
      </c>
      <c r="AM166" s="169">
        <f ca="1">+IFERROR(IF(ISNUMBER(OFFSET('EDP Proyectado'!AN166,0,-'Ingreso Proyectado_Edu'!$P166))&lt;&gt;0,IF(OFFSET('EDP Proyectado'!AN166,0,-'Ingreso Proyectado_Edu'!$P166)+0&lt;=1,0,OFFSET('EDP Proyectado'!AN166,0,-'Ingreso Proyectado_Edu'!$P166)+0)),0)</f>
        <v>0</v>
      </c>
      <c r="AN166" s="169">
        <f ca="1">+IFERROR(IF(ISNUMBER(OFFSET('EDP Proyectado'!AO166,0,-'Ingreso Proyectado_Edu'!$P166))&lt;&gt;0,IF(OFFSET('EDP Proyectado'!AO166,0,-'Ingreso Proyectado_Edu'!$P166)+0&lt;=1,0,OFFSET('EDP Proyectado'!AO166,0,-'Ingreso Proyectado_Edu'!$P166)+0)),0)</f>
        <v>0</v>
      </c>
      <c r="AO166" s="169">
        <f ca="1">+IFERROR(IF(ISNUMBER(OFFSET('EDP Proyectado'!AP166,0,-'Ingreso Proyectado_Edu'!$P166))&lt;&gt;0,IF(OFFSET('EDP Proyectado'!AP166,0,-'Ingreso Proyectado_Edu'!$P166)+0&lt;=1,0,OFFSET('EDP Proyectado'!AP166,0,-'Ingreso Proyectado_Edu'!$P166)+0)),0)</f>
        <v>0</v>
      </c>
      <c r="AP166" s="170">
        <f ca="1">+IFERROR(IF(ISNUMBER(OFFSET('EDP Proyectado'!AQ166,0,-'Ingreso Proyectado_Edu'!$P166))&lt;&gt;0,IF(OFFSET('EDP Proyectado'!AQ166,0,-'Ingreso Proyectado_Edu'!$P166)+0&lt;=1,0,OFFSET('EDP Proyectado'!AQ166,0,-'Ingreso Proyectado_Edu'!$P166)+0)),0)</f>
        <v>0</v>
      </c>
    </row>
    <row r="167" spans="3:42" x14ac:dyDescent="0.2">
      <c r="C167" s="110">
        <f>+'Gantt Proyectos'!C235</f>
        <v>0</v>
      </c>
      <c r="D167" s="110">
        <f>+'Gantt Proyectos'!D235</f>
        <v>0</v>
      </c>
      <c r="E167" s="110">
        <f>+'Gantt Proyectos'!E235</f>
        <v>0</v>
      </c>
      <c r="F167" s="148">
        <f>+'Gantt Proyectos'!F235</f>
        <v>0</v>
      </c>
      <c r="G167" s="110">
        <f>+'Gantt Proyectos'!G235</f>
        <v>0</v>
      </c>
      <c r="H167" s="110">
        <f>+'Gantt Proyectos'!H235</f>
        <v>0</v>
      </c>
      <c r="I167" s="189">
        <v>1</v>
      </c>
      <c r="J167" s="189">
        <f t="shared" si="14"/>
        <v>0</v>
      </c>
      <c r="K167" s="110">
        <f>+'Gantt Proyectos'!I235</f>
        <v>0</v>
      </c>
      <c r="L167" s="110">
        <f>+'Gantt Proyectos'!J235</f>
        <v>0</v>
      </c>
      <c r="M167" s="110">
        <f>+'Gantt Proyectos'!K235</f>
        <v>0</v>
      </c>
      <c r="N167" s="110">
        <f>+'Gantt Proyectos'!L235</f>
        <v>0</v>
      </c>
      <c r="O167" s="110">
        <f>+'Gantt Proyectos'!M235</f>
        <v>0</v>
      </c>
      <c r="P167" s="110">
        <f>+'Gantt Proyectos'!N235</f>
        <v>0</v>
      </c>
      <c r="Q167" s="110">
        <f>+'Gantt Proyectos'!O235</f>
        <v>0</v>
      </c>
      <c r="R167" s="110">
        <f>+'Gantt Proyectos'!P235</f>
        <v>0</v>
      </c>
      <c r="S167" s="110">
        <f>+'Gantt Proyectos'!R235</f>
        <v>0</v>
      </c>
      <c r="T167" s="118">
        <f>+'Gantt Proyectos'!S235</f>
        <v>0</v>
      </c>
      <c r="U167" s="157">
        <f>+'Gantt Proyectos'!T235</f>
        <v>0</v>
      </c>
      <c r="V167" s="157">
        <f>+'Gantt Proyectos'!U235</f>
        <v>0</v>
      </c>
      <c r="W167" s="201">
        <f t="shared" si="15"/>
        <v>0</v>
      </c>
      <c r="X167" s="110">
        <f>+'Gantt Proyectos'!W235</f>
        <v>0</v>
      </c>
      <c r="Y167" s="110">
        <f>+'Gantt Proyectos'!X235</f>
        <v>0</v>
      </c>
      <c r="Z167" s="110">
        <f>+'Gantt Proyectos'!Y235</f>
        <v>0</v>
      </c>
      <c r="AA167" s="110">
        <f>+'Gantt Proyectos'!Z235</f>
        <v>0</v>
      </c>
      <c r="AB167" s="110">
        <f>+'Gantt Proyectos'!AA235</f>
        <v>0</v>
      </c>
      <c r="AC167" s="110">
        <f>+'Gantt Proyectos'!AB235</f>
        <v>0</v>
      </c>
      <c r="AD167" s="110">
        <f>+'Gantt Proyectos'!AC235</f>
        <v>0</v>
      </c>
      <c r="AE167" s="110">
        <f>+'Gantt Proyectos'!AD235</f>
        <v>0</v>
      </c>
      <c r="AF167" s="110">
        <f>+'Gantt Proyectos'!AE235</f>
        <v>0</v>
      </c>
      <c r="AG167" s="172">
        <v>1</v>
      </c>
      <c r="AH167" s="169">
        <f ca="1">+IFERROR(IF(ISNUMBER(OFFSET('EDP Proyectado'!AI167,0,-'Ingreso Proyectado_Edu'!$P167))&lt;&gt;0,IF(OFFSET('EDP Proyectado'!AI167,0,-'Ingreso Proyectado_Edu'!$P167)+0&lt;=1,0,OFFSET('EDP Proyectado'!AI167,0,-'Ingreso Proyectado_Edu'!$P167)+0)),0)</f>
        <v>0</v>
      </c>
      <c r="AI167" s="169">
        <f ca="1">+IFERROR(IF(ISNUMBER(OFFSET('EDP Proyectado'!AJ167,0,-'Ingreso Proyectado_Edu'!$P167))&lt;&gt;0,IF(OFFSET('EDP Proyectado'!AJ167,0,-'Ingreso Proyectado_Edu'!$P167)+0&lt;=1,0,OFFSET('EDP Proyectado'!AJ167,0,-'Ingreso Proyectado_Edu'!$P167)+0)),0)</f>
        <v>0</v>
      </c>
      <c r="AJ167" s="169">
        <f ca="1">+IFERROR(IF(ISNUMBER(OFFSET('EDP Proyectado'!AK167,0,-'Ingreso Proyectado_Edu'!$P167))&lt;&gt;0,IF(OFFSET('EDP Proyectado'!AK167,0,-'Ingreso Proyectado_Edu'!$P167)+0&lt;=1,0,OFFSET('EDP Proyectado'!AK167,0,-'Ingreso Proyectado_Edu'!$P167)+0)),0)</f>
        <v>0</v>
      </c>
      <c r="AK167" s="169">
        <f ca="1">+IFERROR(IF(ISNUMBER(OFFSET('EDP Proyectado'!AL167,0,-'Ingreso Proyectado_Edu'!$P167))&lt;&gt;0,IF(OFFSET('EDP Proyectado'!AL167,0,-'Ingreso Proyectado_Edu'!$P167)+0&lt;=1,0,OFFSET('EDP Proyectado'!AL167,0,-'Ingreso Proyectado_Edu'!$P167)+0)),0)</f>
        <v>0</v>
      </c>
      <c r="AL167" s="169">
        <f ca="1">+IFERROR(IF(ISNUMBER(OFFSET('EDP Proyectado'!AM167,0,-'Ingreso Proyectado_Edu'!$P167))&lt;&gt;0,IF(OFFSET('EDP Proyectado'!AM167,0,-'Ingreso Proyectado_Edu'!$P167)+0&lt;=1,0,OFFSET('EDP Proyectado'!AM167,0,-'Ingreso Proyectado_Edu'!$P167)+0)),0)</f>
        <v>0</v>
      </c>
      <c r="AM167" s="169">
        <f ca="1">+IFERROR(IF(ISNUMBER(OFFSET('EDP Proyectado'!AN167,0,-'Ingreso Proyectado_Edu'!$P167))&lt;&gt;0,IF(OFFSET('EDP Proyectado'!AN167,0,-'Ingreso Proyectado_Edu'!$P167)+0&lt;=1,0,OFFSET('EDP Proyectado'!AN167,0,-'Ingreso Proyectado_Edu'!$P167)+0)),0)</f>
        <v>0</v>
      </c>
      <c r="AN167" s="169">
        <f ca="1">+IFERROR(IF(ISNUMBER(OFFSET('EDP Proyectado'!AO167,0,-'Ingreso Proyectado_Edu'!$P167))&lt;&gt;0,IF(OFFSET('EDP Proyectado'!AO167,0,-'Ingreso Proyectado_Edu'!$P167)+0&lt;=1,0,OFFSET('EDP Proyectado'!AO167,0,-'Ingreso Proyectado_Edu'!$P167)+0)),0)</f>
        <v>0</v>
      </c>
      <c r="AO167" s="169">
        <f ca="1">+IFERROR(IF(ISNUMBER(OFFSET('EDP Proyectado'!AP167,0,-'Ingreso Proyectado_Edu'!$P167))&lt;&gt;0,IF(OFFSET('EDP Proyectado'!AP167,0,-'Ingreso Proyectado_Edu'!$P167)+0&lt;=1,0,OFFSET('EDP Proyectado'!AP167,0,-'Ingreso Proyectado_Edu'!$P167)+0)),0)</f>
        <v>0</v>
      </c>
      <c r="AP167" s="170">
        <f ca="1">+IFERROR(IF(ISNUMBER(OFFSET('EDP Proyectado'!AQ167,0,-'Ingreso Proyectado_Edu'!$P167))&lt;&gt;0,IF(OFFSET('EDP Proyectado'!AQ167,0,-'Ingreso Proyectado_Edu'!$P167)+0&lt;=1,0,OFFSET('EDP Proyectado'!AQ167,0,-'Ingreso Proyectado_Edu'!$P167)+0)),0)</f>
        <v>0</v>
      </c>
    </row>
    <row r="168" spans="3:42" x14ac:dyDescent="0.2">
      <c r="C168" s="110">
        <f>+'Gantt Proyectos'!C236</f>
        <v>0</v>
      </c>
      <c r="D168" s="110">
        <f>+'Gantt Proyectos'!D236</f>
        <v>0</v>
      </c>
      <c r="E168" s="110">
        <f>+'Gantt Proyectos'!E236</f>
        <v>0</v>
      </c>
      <c r="F168" s="148">
        <f>+'Gantt Proyectos'!F236</f>
        <v>0</v>
      </c>
      <c r="G168" s="110">
        <f>+'Gantt Proyectos'!G236</f>
        <v>0</v>
      </c>
      <c r="H168" s="110">
        <f>+'Gantt Proyectos'!H236</f>
        <v>0</v>
      </c>
      <c r="I168" s="189">
        <v>1</v>
      </c>
      <c r="J168" s="189">
        <f t="shared" si="14"/>
        <v>0</v>
      </c>
      <c r="K168" s="110">
        <f>+'Gantt Proyectos'!I236</f>
        <v>0</v>
      </c>
      <c r="L168" s="110">
        <f>+'Gantt Proyectos'!J236</f>
        <v>0</v>
      </c>
      <c r="M168" s="110">
        <f>+'Gantt Proyectos'!K236</f>
        <v>0</v>
      </c>
      <c r="N168" s="110">
        <f>+'Gantt Proyectos'!L236</f>
        <v>0</v>
      </c>
      <c r="O168" s="110">
        <f>+'Gantt Proyectos'!M236</f>
        <v>0</v>
      </c>
      <c r="P168" s="110">
        <f>+'Gantt Proyectos'!N236</f>
        <v>0</v>
      </c>
      <c r="Q168" s="110">
        <f>+'Gantt Proyectos'!O236</f>
        <v>0</v>
      </c>
      <c r="R168" s="110">
        <f>+'Gantt Proyectos'!P236</f>
        <v>0</v>
      </c>
      <c r="S168" s="110">
        <f>+'Gantt Proyectos'!R236</f>
        <v>0</v>
      </c>
      <c r="T168" s="118">
        <f>+'Gantt Proyectos'!S236</f>
        <v>0</v>
      </c>
      <c r="U168" s="157">
        <f>+'Gantt Proyectos'!T236</f>
        <v>0</v>
      </c>
      <c r="V168" s="157">
        <f>+'Gantt Proyectos'!U236</f>
        <v>0</v>
      </c>
      <c r="W168" s="201">
        <f t="shared" si="15"/>
        <v>0</v>
      </c>
      <c r="X168" s="110">
        <f>+'Gantt Proyectos'!W236</f>
        <v>0</v>
      </c>
      <c r="Y168" s="110">
        <f>+'Gantt Proyectos'!X236</f>
        <v>0</v>
      </c>
      <c r="Z168" s="110">
        <f>+'Gantt Proyectos'!Y236</f>
        <v>0</v>
      </c>
      <c r="AA168" s="110">
        <f>+'Gantt Proyectos'!Z236</f>
        <v>0</v>
      </c>
      <c r="AB168" s="110">
        <f>+'Gantt Proyectos'!AA236</f>
        <v>0</v>
      </c>
      <c r="AC168" s="110">
        <f>+'Gantt Proyectos'!AB236</f>
        <v>0</v>
      </c>
      <c r="AD168" s="110">
        <f>+'Gantt Proyectos'!AC236</f>
        <v>0</v>
      </c>
      <c r="AE168" s="110">
        <f>+'Gantt Proyectos'!AD236</f>
        <v>0</v>
      </c>
      <c r="AF168" s="110">
        <f>+'Gantt Proyectos'!AE236</f>
        <v>0</v>
      </c>
      <c r="AG168" s="172">
        <v>1</v>
      </c>
      <c r="AH168" s="169">
        <f ca="1">+IFERROR(IF(ISNUMBER(OFFSET('EDP Proyectado'!AI168,0,-'Ingreso Proyectado_Edu'!$P168))&lt;&gt;0,IF(OFFSET('EDP Proyectado'!AI168,0,-'Ingreso Proyectado_Edu'!$P168)+0&lt;=1,0,OFFSET('EDP Proyectado'!AI168,0,-'Ingreso Proyectado_Edu'!$P168)+0)),0)</f>
        <v>0</v>
      </c>
      <c r="AI168" s="169">
        <f ca="1">+IFERROR(IF(ISNUMBER(OFFSET('EDP Proyectado'!AJ168,0,-'Ingreso Proyectado_Edu'!$P168))&lt;&gt;0,IF(OFFSET('EDP Proyectado'!AJ168,0,-'Ingreso Proyectado_Edu'!$P168)+0&lt;=1,0,OFFSET('EDP Proyectado'!AJ168,0,-'Ingreso Proyectado_Edu'!$P168)+0)),0)</f>
        <v>0</v>
      </c>
      <c r="AJ168" s="169">
        <f ca="1">+IFERROR(IF(ISNUMBER(OFFSET('EDP Proyectado'!AK168,0,-'Ingreso Proyectado_Edu'!$P168))&lt;&gt;0,IF(OFFSET('EDP Proyectado'!AK168,0,-'Ingreso Proyectado_Edu'!$P168)+0&lt;=1,0,OFFSET('EDP Proyectado'!AK168,0,-'Ingreso Proyectado_Edu'!$P168)+0)),0)</f>
        <v>0</v>
      </c>
      <c r="AK168" s="169">
        <f ca="1">+IFERROR(IF(ISNUMBER(OFFSET('EDP Proyectado'!AL168,0,-'Ingreso Proyectado_Edu'!$P168))&lt;&gt;0,IF(OFFSET('EDP Proyectado'!AL168,0,-'Ingreso Proyectado_Edu'!$P168)+0&lt;=1,0,OFFSET('EDP Proyectado'!AL168,0,-'Ingreso Proyectado_Edu'!$P168)+0)),0)</f>
        <v>0</v>
      </c>
      <c r="AL168" s="169">
        <f ca="1">+IFERROR(IF(ISNUMBER(OFFSET('EDP Proyectado'!AM168,0,-'Ingreso Proyectado_Edu'!$P168))&lt;&gt;0,IF(OFFSET('EDP Proyectado'!AM168,0,-'Ingreso Proyectado_Edu'!$P168)+0&lt;=1,0,OFFSET('EDP Proyectado'!AM168,0,-'Ingreso Proyectado_Edu'!$P168)+0)),0)</f>
        <v>0</v>
      </c>
      <c r="AM168" s="169">
        <f ca="1">+IFERROR(IF(ISNUMBER(OFFSET('EDP Proyectado'!AN168,0,-'Ingreso Proyectado_Edu'!$P168))&lt;&gt;0,IF(OFFSET('EDP Proyectado'!AN168,0,-'Ingreso Proyectado_Edu'!$P168)+0&lt;=1,0,OFFSET('EDP Proyectado'!AN168,0,-'Ingreso Proyectado_Edu'!$P168)+0)),0)</f>
        <v>0</v>
      </c>
      <c r="AN168" s="169">
        <f ca="1">+IFERROR(IF(ISNUMBER(OFFSET('EDP Proyectado'!AO168,0,-'Ingreso Proyectado_Edu'!$P168))&lt;&gt;0,IF(OFFSET('EDP Proyectado'!AO168,0,-'Ingreso Proyectado_Edu'!$P168)+0&lt;=1,0,OFFSET('EDP Proyectado'!AO168,0,-'Ingreso Proyectado_Edu'!$P168)+0)),0)</f>
        <v>0</v>
      </c>
      <c r="AO168" s="169">
        <f ca="1">+IFERROR(IF(ISNUMBER(OFFSET('EDP Proyectado'!AP168,0,-'Ingreso Proyectado_Edu'!$P168))&lt;&gt;0,IF(OFFSET('EDP Proyectado'!AP168,0,-'Ingreso Proyectado_Edu'!$P168)+0&lt;=1,0,OFFSET('EDP Proyectado'!AP168,0,-'Ingreso Proyectado_Edu'!$P168)+0)),0)</f>
        <v>0</v>
      </c>
      <c r="AP168" s="170">
        <f ca="1">+IFERROR(IF(ISNUMBER(OFFSET('EDP Proyectado'!AQ168,0,-'Ingreso Proyectado_Edu'!$P168))&lt;&gt;0,IF(OFFSET('EDP Proyectado'!AQ168,0,-'Ingreso Proyectado_Edu'!$P168)+0&lt;=1,0,OFFSET('EDP Proyectado'!AQ168,0,-'Ingreso Proyectado_Edu'!$P168)+0)),0)</f>
        <v>0</v>
      </c>
    </row>
    <row r="169" spans="3:42" x14ac:dyDescent="0.2">
      <c r="C169" s="110">
        <f>+'Gantt Proyectos'!C237</f>
        <v>0</v>
      </c>
      <c r="D169" s="110">
        <f>+'Gantt Proyectos'!D237</f>
        <v>0</v>
      </c>
      <c r="E169" s="110">
        <f>+'Gantt Proyectos'!E237</f>
        <v>0</v>
      </c>
      <c r="F169" s="148">
        <f>+'Gantt Proyectos'!F237</f>
        <v>0</v>
      </c>
      <c r="G169" s="110">
        <f>+'Gantt Proyectos'!G237</f>
        <v>0</v>
      </c>
      <c r="H169" s="110">
        <f>+'Gantt Proyectos'!H237</f>
        <v>0</v>
      </c>
      <c r="I169" s="189">
        <v>1</v>
      </c>
      <c r="J169" s="189">
        <f t="shared" si="14"/>
        <v>0</v>
      </c>
      <c r="K169" s="110">
        <f>+'Gantt Proyectos'!I237</f>
        <v>0</v>
      </c>
      <c r="L169" s="110">
        <f>+'Gantt Proyectos'!J237</f>
        <v>0</v>
      </c>
      <c r="M169" s="110">
        <f>+'Gantt Proyectos'!K237</f>
        <v>0</v>
      </c>
      <c r="N169" s="110">
        <f>+'Gantt Proyectos'!L237</f>
        <v>0</v>
      </c>
      <c r="O169" s="110">
        <f>+'Gantt Proyectos'!M237</f>
        <v>0</v>
      </c>
      <c r="P169" s="110">
        <f>+'Gantt Proyectos'!N237</f>
        <v>0</v>
      </c>
      <c r="Q169" s="110">
        <f>+'Gantt Proyectos'!O237</f>
        <v>0</v>
      </c>
      <c r="R169" s="110">
        <f>+'Gantt Proyectos'!P237</f>
        <v>0</v>
      </c>
      <c r="S169" s="110">
        <f>+'Gantt Proyectos'!R237</f>
        <v>0</v>
      </c>
      <c r="T169" s="118">
        <f>+'Gantt Proyectos'!S237</f>
        <v>0</v>
      </c>
      <c r="U169" s="157">
        <f>+'Gantt Proyectos'!T237</f>
        <v>0</v>
      </c>
      <c r="V169" s="157">
        <f>+'Gantt Proyectos'!U237</f>
        <v>0</v>
      </c>
      <c r="W169" s="201">
        <f t="shared" si="15"/>
        <v>0</v>
      </c>
      <c r="X169" s="110">
        <f>+'Gantt Proyectos'!W237</f>
        <v>0</v>
      </c>
      <c r="Y169" s="110">
        <f>+'Gantt Proyectos'!X237</f>
        <v>0</v>
      </c>
      <c r="Z169" s="110">
        <f>+'Gantt Proyectos'!Y237</f>
        <v>0</v>
      </c>
      <c r="AA169" s="110">
        <f>+'Gantt Proyectos'!Z237</f>
        <v>0</v>
      </c>
      <c r="AB169" s="110">
        <f>+'Gantt Proyectos'!AA237</f>
        <v>0</v>
      </c>
      <c r="AC169" s="110">
        <f>+'Gantt Proyectos'!AB237</f>
        <v>0</v>
      </c>
      <c r="AD169" s="110">
        <f>+'Gantt Proyectos'!AC237</f>
        <v>0</v>
      </c>
      <c r="AE169" s="110">
        <f>+'Gantt Proyectos'!AD237</f>
        <v>0</v>
      </c>
      <c r="AF169" s="110">
        <f>+'Gantt Proyectos'!AE237</f>
        <v>0</v>
      </c>
      <c r="AG169" s="172">
        <v>1</v>
      </c>
      <c r="AH169" s="169">
        <f ca="1">+IFERROR(IF(ISNUMBER(OFFSET('EDP Proyectado'!AI169,0,-'Ingreso Proyectado_Edu'!$P169))&lt;&gt;0,IF(OFFSET('EDP Proyectado'!AI169,0,-'Ingreso Proyectado_Edu'!$P169)+0&lt;=1,0,OFFSET('EDP Proyectado'!AI169,0,-'Ingreso Proyectado_Edu'!$P169)+0)),0)</f>
        <v>0</v>
      </c>
      <c r="AI169" s="169">
        <f ca="1">+IFERROR(IF(ISNUMBER(OFFSET('EDP Proyectado'!AJ169,0,-'Ingreso Proyectado_Edu'!$P169))&lt;&gt;0,IF(OFFSET('EDP Proyectado'!AJ169,0,-'Ingreso Proyectado_Edu'!$P169)+0&lt;=1,0,OFFSET('EDP Proyectado'!AJ169,0,-'Ingreso Proyectado_Edu'!$P169)+0)),0)</f>
        <v>0</v>
      </c>
      <c r="AJ169" s="169">
        <f ca="1">+IFERROR(IF(ISNUMBER(OFFSET('EDP Proyectado'!AK169,0,-'Ingreso Proyectado_Edu'!$P169))&lt;&gt;0,IF(OFFSET('EDP Proyectado'!AK169,0,-'Ingreso Proyectado_Edu'!$P169)+0&lt;=1,0,OFFSET('EDP Proyectado'!AK169,0,-'Ingreso Proyectado_Edu'!$P169)+0)),0)</f>
        <v>0</v>
      </c>
      <c r="AK169" s="169">
        <f ca="1">+IFERROR(IF(ISNUMBER(OFFSET('EDP Proyectado'!AL169,0,-'Ingreso Proyectado_Edu'!$P169))&lt;&gt;0,IF(OFFSET('EDP Proyectado'!AL169,0,-'Ingreso Proyectado_Edu'!$P169)+0&lt;=1,0,OFFSET('EDP Proyectado'!AL169,0,-'Ingreso Proyectado_Edu'!$P169)+0)),0)</f>
        <v>0</v>
      </c>
      <c r="AL169" s="169">
        <f ca="1">+IFERROR(IF(ISNUMBER(OFFSET('EDP Proyectado'!AM169,0,-'Ingreso Proyectado_Edu'!$P169))&lt;&gt;0,IF(OFFSET('EDP Proyectado'!AM169,0,-'Ingreso Proyectado_Edu'!$P169)+0&lt;=1,0,OFFSET('EDP Proyectado'!AM169,0,-'Ingreso Proyectado_Edu'!$P169)+0)),0)</f>
        <v>0</v>
      </c>
      <c r="AM169" s="169">
        <f ca="1">+IFERROR(IF(ISNUMBER(OFFSET('EDP Proyectado'!AN169,0,-'Ingreso Proyectado_Edu'!$P169))&lt;&gt;0,IF(OFFSET('EDP Proyectado'!AN169,0,-'Ingreso Proyectado_Edu'!$P169)+0&lt;=1,0,OFFSET('EDP Proyectado'!AN169,0,-'Ingreso Proyectado_Edu'!$P169)+0)),0)</f>
        <v>0</v>
      </c>
      <c r="AN169" s="169">
        <f ca="1">+IFERROR(IF(ISNUMBER(OFFSET('EDP Proyectado'!AO169,0,-'Ingreso Proyectado_Edu'!$P169))&lt;&gt;0,IF(OFFSET('EDP Proyectado'!AO169,0,-'Ingreso Proyectado_Edu'!$P169)+0&lt;=1,0,OFFSET('EDP Proyectado'!AO169,0,-'Ingreso Proyectado_Edu'!$P169)+0)),0)</f>
        <v>0</v>
      </c>
      <c r="AO169" s="169">
        <f ca="1">+IFERROR(IF(ISNUMBER(OFFSET('EDP Proyectado'!AP169,0,-'Ingreso Proyectado_Edu'!$P169))&lt;&gt;0,IF(OFFSET('EDP Proyectado'!AP169,0,-'Ingreso Proyectado_Edu'!$P169)+0&lt;=1,0,OFFSET('EDP Proyectado'!AP169,0,-'Ingreso Proyectado_Edu'!$P169)+0)),0)</f>
        <v>0</v>
      </c>
      <c r="AP169" s="170">
        <f ca="1">+IFERROR(IF(ISNUMBER(OFFSET('EDP Proyectado'!AQ169,0,-'Ingreso Proyectado_Edu'!$P169))&lt;&gt;0,IF(OFFSET('EDP Proyectado'!AQ169,0,-'Ingreso Proyectado_Edu'!$P169)+0&lt;=1,0,OFFSET('EDP Proyectado'!AQ169,0,-'Ingreso Proyectado_Edu'!$P169)+0)),0)</f>
        <v>0</v>
      </c>
    </row>
    <row r="170" spans="3:42" x14ac:dyDescent="0.2">
      <c r="C170" s="110">
        <f>+'Gantt Proyectos'!C238</f>
        <v>0</v>
      </c>
      <c r="D170" s="110">
        <f>+'Gantt Proyectos'!D238</f>
        <v>0</v>
      </c>
      <c r="E170" s="110">
        <f>+'Gantt Proyectos'!E238</f>
        <v>0</v>
      </c>
      <c r="F170" s="148">
        <f>+'Gantt Proyectos'!F238</f>
        <v>0</v>
      </c>
      <c r="G170" s="110">
        <f>+'Gantt Proyectos'!G238</f>
        <v>0</v>
      </c>
      <c r="H170" s="110">
        <f>+'Gantt Proyectos'!H238</f>
        <v>0</v>
      </c>
      <c r="I170" s="189">
        <v>1</v>
      </c>
      <c r="J170" s="189">
        <f t="shared" si="14"/>
        <v>0</v>
      </c>
      <c r="K170" s="110">
        <f>+'Gantt Proyectos'!I238</f>
        <v>0</v>
      </c>
      <c r="L170" s="110">
        <f>+'Gantt Proyectos'!J238</f>
        <v>0</v>
      </c>
      <c r="M170" s="110">
        <f>+'Gantt Proyectos'!K238</f>
        <v>0</v>
      </c>
      <c r="N170" s="110">
        <f>+'Gantt Proyectos'!L238</f>
        <v>0</v>
      </c>
      <c r="O170" s="110">
        <f>+'Gantt Proyectos'!M238</f>
        <v>0</v>
      </c>
      <c r="P170" s="110">
        <f>+'Gantt Proyectos'!N238</f>
        <v>0</v>
      </c>
      <c r="Q170" s="110">
        <f>+'Gantt Proyectos'!O238</f>
        <v>0</v>
      </c>
      <c r="R170" s="110">
        <f>+'Gantt Proyectos'!P238</f>
        <v>0</v>
      </c>
      <c r="S170" s="110">
        <f>+'Gantt Proyectos'!R238</f>
        <v>0</v>
      </c>
      <c r="T170" s="118">
        <f>+'Gantt Proyectos'!S238</f>
        <v>0</v>
      </c>
      <c r="U170" s="157">
        <f>+'Gantt Proyectos'!T238</f>
        <v>0</v>
      </c>
      <c r="V170" s="157">
        <f>+'Gantt Proyectos'!U238</f>
        <v>0</v>
      </c>
      <c r="W170" s="201">
        <f t="shared" si="15"/>
        <v>0</v>
      </c>
      <c r="X170" s="110">
        <f>+'Gantt Proyectos'!W238</f>
        <v>0</v>
      </c>
      <c r="Y170" s="110">
        <f>+'Gantt Proyectos'!X238</f>
        <v>0</v>
      </c>
      <c r="Z170" s="110">
        <f>+'Gantt Proyectos'!Y238</f>
        <v>0</v>
      </c>
      <c r="AA170" s="110">
        <f>+'Gantt Proyectos'!Z238</f>
        <v>0</v>
      </c>
      <c r="AB170" s="110">
        <f>+'Gantt Proyectos'!AA238</f>
        <v>0</v>
      </c>
      <c r="AC170" s="110">
        <f>+'Gantt Proyectos'!AB238</f>
        <v>0</v>
      </c>
      <c r="AD170" s="110">
        <f>+'Gantt Proyectos'!AC238</f>
        <v>0</v>
      </c>
      <c r="AE170" s="110">
        <f>+'Gantt Proyectos'!AD238</f>
        <v>0</v>
      </c>
      <c r="AF170" s="110">
        <f>+'Gantt Proyectos'!AE238</f>
        <v>0</v>
      </c>
      <c r="AG170" s="172">
        <v>1</v>
      </c>
      <c r="AH170" s="169">
        <f ca="1">+IFERROR(IF(ISNUMBER(OFFSET('EDP Proyectado'!AI170,0,-'Ingreso Proyectado_Edu'!$P170))&lt;&gt;0,IF(OFFSET('EDP Proyectado'!AI170,0,-'Ingreso Proyectado_Edu'!$P170)+0&lt;=1,0,OFFSET('EDP Proyectado'!AI170,0,-'Ingreso Proyectado_Edu'!$P170)+0)),0)</f>
        <v>0</v>
      </c>
      <c r="AI170" s="169">
        <f ca="1">+IFERROR(IF(ISNUMBER(OFFSET('EDP Proyectado'!AJ170,0,-'Ingreso Proyectado_Edu'!$P170))&lt;&gt;0,IF(OFFSET('EDP Proyectado'!AJ170,0,-'Ingreso Proyectado_Edu'!$P170)+0&lt;=1,0,OFFSET('EDP Proyectado'!AJ170,0,-'Ingreso Proyectado_Edu'!$P170)+0)),0)</f>
        <v>0</v>
      </c>
      <c r="AJ170" s="169">
        <f ca="1">+IFERROR(IF(ISNUMBER(OFFSET('EDP Proyectado'!AK170,0,-'Ingreso Proyectado_Edu'!$P170))&lt;&gt;0,IF(OFFSET('EDP Proyectado'!AK170,0,-'Ingreso Proyectado_Edu'!$P170)+0&lt;=1,0,OFFSET('EDP Proyectado'!AK170,0,-'Ingreso Proyectado_Edu'!$P170)+0)),0)</f>
        <v>0</v>
      </c>
      <c r="AK170" s="169">
        <f ca="1">+IFERROR(IF(ISNUMBER(OFFSET('EDP Proyectado'!AL170,0,-'Ingreso Proyectado_Edu'!$P170))&lt;&gt;0,IF(OFFSET('EDP Proyectado'!AL170,0,-'Ingreso Proyectado_Edu'!$P170)+0&lt;=1,0,OFFSET('EDP Proyectado'!AL170,0,-'Ingreso Proyectado_Edu'!$P170)+0)),0)</f>
        <v>0</v>
      </c>
      <c r="AL170" s="169">
        <f ca="1">+IFERROR(IF(ISNUMBER(OFFSET('EDP Proyectado'!AM170,0,-'Ingreso Proyectado_Edu'!$P170))&lt;&gt;0,IF(OFFSET('EDP Proyectado'!AM170,0,-'Ingreso Proyectado_Edu'!$P170)+0&lt;=1,0,OFFSET('EDP Proyectado'!AM170,0,-'Ingreso Proyectado_Edu'!$P170)+0)),0)</f>
        <v>0</v>
      </c>
      <c r="AM170" s="169">
        <f ca="1">+IFERROR(IF(ISNUMBER(OFFSET('EDP Proyectado'!AN170,0,-'Ingreso Proyectado_Edu'!$P170))&lt;&gt;0,IF(OFFSET('EDP Proyectado'!AN170,0,-'Ingreso Proyectado_Edu'!$P170)+0&lt;=1,0,OFFSET('EDP Proyectado'!AN170,0,-'Ingreso Proyectado_Edu'!$P170)+0)),0)</f>
        <v>0</v>
      </c>
      <c r="AN170" s="169">
        <f ca="1">+IFERROR(IF(ISNUMBER(OFFSET('EDP Proyectado'!AO170,0,-'Ingreso Proyectado_Edu'!$P170))&lt;&gt;0,IF(OFFSET('EDP Proyectado'!AO170,0,-'Ingreso Proyectado_Edu'!$P170)+0&lt;=1,0,OFFSET('EDP Proyectado'!AO170,0,-'Ingreso Proyectado_Edu'!$P170)+0)),0)</f>
        <v>0</v>
      </c>
      <c r="AO170" s="169">
        <f ca="1">+IFERROR(IF(ISNUMBER(OFFSET('EDP Proyectado'!AP170,0,-'Ingreso Proyectado_Edu'!$P170))&lt;&gt;0,IF(OFFSET('EDP Proyectado'!AP170,0,-'Ingreso Proyectado_Edu'!$P170)+0&lt;=1,0,OFFSET('EDP Proyectado'!AP170,0,-'Ingreso Proyectado_Edu'!$P170)+0)),0)</f>
        <v>0</v>
      </c>
      <c r="AP170" s="170">
        <f ca="1">+IFERROR(IF(ISNUMBER(OFFSET('EDP Proyectado'!AQ170,0,-'Ingreso Proyectado_Edu'!$P170))&lt;&gt;0,IF(OFFSET('EDP Proyectado'!AQ170,0,-'Ingreso Proyectado_Edu'!$P170)+0&lt;=1,0,OFFSET('EDP Proyectado'!AQ170,0,-'Ingreso Proyectado_Edu'!$P170)+0)),0)</f>
        <v>0</v>
      </c>
    </row>
    <row r="171" spans="3:42" x14ac:dyDescent="0.2">
      <c r="C171" s="110">
        <f>+'Gantt Proyectos'!C239</f>
        <v>0</v>
      </c>
      <c r="D171" s="110">
        <f>+'Gantt Proyectos'!D239</f>
        <v>0</v>
      </c>
      <c r="E171" s="110">
        <f>+'Gantt Proyectos'!E239</f>
        <v>0</v>
      </c>
      <c r="F171" s="148">
        <f>+'Gantt Proyectos'!F239</f>
        <v>0</v>
      </c>
      <c r="G171" s="110">
        <f>+'Gantt Proyectos'!G239</f>
        <v>0</v>
      </c>
      <c r="H171" s="110">
        <f>+'Gantt Proyectos'!H239</f>
        <v>0</v>
      </c>
      <c r="I171" s="189">
        <v>1</v>
      </c>
      <c r="J171" s="189">
        <f t="shared" si="14"/>
        <v>0</v>
      </c>
      <c r="K171" s="110">
        <f>+'Gantt Proyectos'!I239</f>
        <v>0</v>
      </c>
      <c r="L171" s="110">
        <f>+'Gantt Proyectos'!J239</f>
        <v>0</v>
      </c>
      <c r="M171" s="110">
        <f>+'Gantt Proyectos'!K239</f>
        <v>0</v>
      </c>
      <c r="N171" s="110">
        <f>+'Gantt Proyectos'!L239</f>
        <v>0</v>
      </c>
      <c r="O171" s="110">
        <f>+'Gantt Proyectos'!M239</f>
        <v>0</v>
      </c>
      <c r="P171" s="110">
        <f>+'Gantt Proyectos'!N239</f>
        <v>0</v>
      </c>
      <c r="Q171" s="110">
        <f>+'Gantt Proyectos'!O239</f>
        <v>0</v>
      </c>
      <c r="R171" s="110">
        <f>+'Gantt Proyectos'!P239</f>
        <v>0</v>
      </c>
      <c r="S171" s="110">
        <f>+'Gantt Proyectos'!R239</f>
        <v>0</v>
      </c>
      <c r="T171" s="118">
        <f>+'Gantt Proyectos'!S239</f>
        <v>0</v>
      </c>
      <c r="U171" s="157">
        <f>+'Gantt Proyectos'!T239</f>
        <v>0</v>
      </c>
      <c r="V171" s="157">
        <f>+'Gantt Proyectos'!U239</f>
        <v>0</v>
      </c>
      <c r="W171" s="201">
        <f t="shared" si="15"/>
        <v>0</v>
      </c>
      <c r="X171" s="110">
        <f>+'Gantt Proyectos'!W239</f>
        <v>0</v>
      </c>
      <c r="Y171" s="110">
        <f>+'Gantt Proyectos'!X239</f>
        <v>0</v>
      </c>
      <c r="Z171" s="110">
        <f>+'Gantt Proyectos'!Y239</f>
        <v>0</v>
      </c>
      <c r="AA171" s="110">
        <f>+'Gantt Proyectos'!Z239</f>
        <v>0</v>
      </c>
      <c r="AB171" s="110">
        <f>+'Gantt Proyectos'!AA239</f>
        <v>0</v>
      </c>
      <c r="AC171" s="110">
        <f>+'Gantt Proyectos'!AB239</f>
        <v>0</v>
      </c>
      <c r="AD171" s="110">
        <f>+'Gantt Proyectos'!AC239</f>
        <v>0</v>
      </c>
      <c r="AE171" s="110">
        <f>+'Gantt Proyectos'!AD239</f>
        <v>0</v>
      </c>
      <c r="AF171" s="110">
        <f>+'Gantt Proyectos'!AE239</f>
        <v>0</v>
      </c>
      <c r="AG171" s="172">
        <v>1</v>
      </c>
      <c r="AH171" s="169">
        <f ca="1">+IFERROR(IF(ISNUMBER(OFFSET('EDP Proyectado'!AI171,0,-'Ingreso Proyectado_Edu'!$P171))&lt;&gt;0,IF(OFFSET('EDP Proyectado'!AI171,0,-'Ingreso Proyectado_Edu'!$P171)+0&lt;=1,0,OFFSET('EDP Proyectado'!AI171,0,-'Ingreso Proyectado_Edu'!$P171)+0)),0)</f>
        <v>0</v>
      </c>
      <c r="AI171" s="169">
        <f ca="1">+IFERROR(IF(ISNUMBER(OFFSET('EDP Proyectado'!AJ171,0,-'Ingreso Proyectado_Edu'!$P171))&lt;&gt;0,IF(OFFSET('EDP Proyectado'!AJ171,0,-'Ingreso Proyectado_Edu'!$P171)+0&lt;=1,0,OFFSET('EDP Proyectado'!AJ171,0,-'Ingreso Proyectado_Edu'!$P171)+0)),0)</f>
        <v>0</v>
      </c>
      <c r="AJ171" s="169">
        <f ca="1">+IFERROR(IF(ISNUMBER(OFFSET('EDP Proyectado'!AK171,0,-'Ingreso Proyectado_Edu'!$P171))&lt;&gt;0,IF(OFFSET('EDP Proyectado'!AK171,0,-'Ingreso Proyectado_Edu'!$P171)+0&lt;=1,0,OFFSET('EDP Proyectado'!AK171,0,-'Ingreso Proyectado_Edu'!$P171)+0)),0)</f>
        <v>0</v>
      </c>
      <c r="AK171" s="169">
        <f ca="1">+IFERROR(IF(ISNUMBER(OFFSET('EDP Proyectado'!AL171,0,-'Ingreso Proyectado_Edu'!$P171))&lt;&gt;0,IF(OFFSET('EDP Proyectado'!AL171,0,-'Ingreso Proyectado_Edu'!$P171)+0&lt;=1,0,OFFSET('EDP Proyectado'!AL171,0,-'Ingreso Proyectado_Edu'!$P171)+0)),0)</f>
        <v>0</v>
      </c>
      <c r="AL171" s="169">
        <f ca="1">+IFERROR(IF(ISNUMBER(OFFSET('EDP Proyectado'!AM171,0,-'Ingreso Proyectado_Edu'!$P171))&lt;&gt;0,IF(OFFSET('EDP Proyectado'!AM171,0,-'Ingreso Proyectado_Edu'!$P171)+0&lt;=1,0,OFFSET('EDP Proyectado'!AM171,0,-'Ingreso Proyectado_Edu'!$P171)+0)),0)</f>
        <v>0</v>
      </c>
      <c r="AM171" s="169">
        <f ca="1">+IFERROR(IF(ISNUMBER(OFFSET('EDP Proyectado'!AN171,0,-'Ingreso Proyectado_Edu'!$P171))&lt;&gt;0,IF(OFFSET('EDP Proyectado'!AN171,0,-'Ingreso Proyectado_Edu'!$P171)+0&lt;=1,0,OFFSET('EDP Proyectado'!AN171,0,-'Ingreso Proyectado_Edu'!$P171)+0)),0)</f>
        <v>0</v>
      </c>
      <c r="AN171" s="169">
        <f ca="1">+IFERROR(IF(ISNUMBER(OFFSET('EDP Proyectado'!AO171,0,-'Ingreso Proyectado_Edu'!$P171))&lt;&gt;0,IF(OFFSET('EDP Proyectado'!AO171,0,-'Ingreso Proyectado_Edu'!$P171)+0&lt;=1,0,OFFSET('EDP Proyectado'!AO171,0,-'Ingreso Proyectado_Edu'!$P171)+0)),0)</f>
        <v>0</v>
      </c>
      <c r="AO171" s="169">
        <f ca="1">+IFERROR(IF(ISNUMBER(OFFSET('EDP Proyectado'!AP171,0,-'Ingreso Proyectado_Edu'!$P171))&lt;&gt;0,IF(OFFSET('EDP Proyectado'!AP171,0,-'Ingreso Proyectado_Edu'!$P171)+0&lt;=1,0,OFFSET('EDP Proyectado'!AP171,0,-'Ingreso Proyectado_Edu'!$P171)+0)),0)</f>
        <v>0</v>
      </c>
      <c r="AP171" s="170">
        <f ca="1">+IFERROR(IF(ISNUMBER(OFFSET('EDP Proyectado'!AQ171,0,-'Ingreso Proyectado_Edu'!$P171))&lt;&gt;0,IF(OFFSET('EDP Proyectado'!AQ171,0,-'Ingreso Proyectado_Edu'!$P171)+0&lt;=1,0,OFFSET('EDP Proyectado'!AQ171,0,-'Ingreso Proyectado_Edu'!$P171)+0)),0)</f>
        <v>0</v>
      </c>
    </row>
    <row r="172" spans="3:42" x14ac:dyDescent="0.2">
      <c r="C172" s="110">
        <f>+'Gantt Proyectos'!C240</f>
        <v>0</v>
      </c>
      <c r="D172" s="110">
        <f>+'Gantt Proyectos'!D240</f>
        <v>0</v>
      </c>
      <c r="E172" s="110">
        <f>+'Gantt Proyectos'!E240</f>
        <v>0</v>
      </c>
      <c r="F172" s="148">
        <f>+'Gantt Proyectos'!F240</f>
        <v>0</v>
      </c>
      <c r="G172" s="110">
        <f>+'Gantt Proyectos'!G240</f>
        <v>0</v>
      </c>
      <c r="H172" s="110">
        <f>+'Gantt Proyectos'!H240</f>
        <v>0</v>
      </c>
      <c r="I172" s="189">
        <v>1</v>
      </c>
      <c r="J172" s="189">
        <f t="shared" si="14"/>
        <v>0</v>
      </c>
      <c r="K172" s="110">
        <f>+'Gantt Proyectos'!I240</f>
        <v>0</v>
      </c>
      <c r="L172" s="110">
        <f>+'Gantt Proyectos'!J240</f>
        <v>0</v>
      </c>
      <c r="M172" s="110">
        <f>+'Gantt Proyectos'!K240</f>
        <v>0</v>
      </c>
      <c r="N172" s="110">
        <f>+'Gantt Proyectos'!L240</f>
        <v>0</v>
      </c>
      <c r="O172" s="110">
        <f>+'Gantt Proyectos'!M240</f>
        <v>0</v>
      </c>
      <c r="P172" s="110">
        <f>+'Gantt Proyectos'!N240</f>
        <v>0</v>
      </c>
      <c r="Q172" s="110">
        <f>+'Gantt Proyectos'!O240</f>
        <v>0</v>
      </c>
      <c r="R172" s="110">
        <f>+'Gantt Proyectos'!P240</f>
        <v>0</v>
      </c>
      <c r="S172" s="110">
        <f>+'Gantt Proyectos'!R240</f>
        <v>0</v>
      </c>
      <c r="T172" s="118">
        <f>+'Gantt Proyectos'!S240</f>
        <v>0</v>
      </c>
      <c r="U172" s="157">
        <f>+'Gantt Proyectos'!T240</f>
        <v>0</v>
      </c>
      <c r="V172" s="157">
        <f>+'Gantt Proyectos'!U240</f>
        <v>0</v>
      </c>
      <c r="W172" s="201">
        <f t="shared" si="15"/>
        <v>0</v>
      </c>
      <c r="X172" s="110">
        <f>+'Gantt Proyectos'!W240</f>
        <v>0</v>
      </c>
      <c r="Y172" s="110">
        <f>+'Gantt Proyectos'!X240</f>
        <v>0</v>
      </c>
      <c r="Z172" s="110">
        <f>+'Gantt Proyectos'!Y240</f>
        <v>0</v>
      </c>
      <c r="AA172" s="110">
        <f>+'Gantt Proyectos'!Z240</f>
        <v>0</v>
      </c>
      <c r="AB172" s="110">
        <f>+'Gantt Proyectos'!AA240</f>
        <v>0</v>
      </c>
      <c r="AC172" s="110">
        <f>+'Gantt Proyectos'!AB240</f>
        <v>0</v>
      </c>
      <c r="AD172" s="110">
        <f>+'Gantt Proyectos'!AC240</f>
        <v>0</v>
      </c>
      <c r="AE172" s="110">
        <f>+'Gantt Proyectos'!AD240</f>
        <v>0</v>
      </c>
      <c r="AF172" s="110">
        <f>+'Gantt Proyectos'!AE240</f>
        <v>0</v>
      </c>
      <c r="AG172" s="172">
        <v>1</v>
      </c>
      <c r="AH172" s="169">
        <f ca="1">+IFERROR(IF(ISNUMBER(OFFSET('EDP Proyectado'!AI172,0,-'Ingreso Proyectado_Edu'!$P172))&lt;&gt;0,IF(OFFSET('EDP Proyectado'!AI172,0,-'Ingreso Proyectado_Edu'!$P172)+0&lt;=1,0,OFFSET('EDP Proyectado'!AI172,0,-'Ingreso Proyectado_Edu'!$P172)+0)),0)</f>
        <v>0</v>
      </c>
      <c r="AI172" s="169">
        <f ca="1">+IFERROR(IF(ISNUMBER(OFFSET('EDP Proyectado'!AJ172,0,-'Ingreso Proyectado_Edu'!$P172))&lt;&gt;0,IF(OFFSET('EDP Proyectado'!AJ172,0,-'Ingreso Proyectado_Edu'!$P172)+0&lt;=1,0,OFFSET('EDP Proyectado'!AJ172,0,-'Ingreso Proyectado_Edu'!$P172)+0)),0)</f>
        <v>0</v>
      </c>
      <c r="AJ172" s="169">
        <f ca="1">+IFERROR(IF(ISNUMBER(OFFSET('EDP Proyectado'!AK172,0,-'Ingreso Proyectado_Edu'!$P172))&lt;&gt;0,IF(OFFSET('EDP Proyectado'!AK172,0,-'Ingreso Proyectado_Edu'!$P172)+0&lt;=1,0,OFFSET('EDP Proyectado'!AK172,0,-'Ingreso Proyectado_Edu'!$P172)+0)),0)</f>
        <v>0</v>
      </c>
      <c r="AK172" s="169">
        <f ca="1">+IFERROR(IF(ISNUMBER(OFFSET('EDP Proyectado'!AL172,0,-'Ingreso Proyectado_Edu'!$P172))&lt;&gt;0,IF(OFFSET('EDP Proyectado'!AL172,0,-'Ingreso Proyectado_Edu'!$P172)+0&lt;=1,0,OFFSET('EDP Proyectado'!AL172,0,-'Ingreso Proyectado_Edu'!$P172)+0)),0)</f>
        <v>0</v>
      </c>
      <c r="AL172" s="169">
        <f ca="1">+IFERROR(IF(ISNUMBER(OFFSET('EDP Proyectado'!AM172,0,-'Ingreso Proyectado_Edu'!$P172))&lt;&gt;0,IF(OFFSET('EDP Proyectado'!AM172,0,-'Ingreso Proyectado_Edu'!$P172)+0&lt;=1,0,OFFSET('EDP Proyectado'!AM172,0,-'Ingreso Proyectado_Edu'!$P172)+0)),0)</f>
        <v>0</v>
      </c>
      <c r="AM172" s="169">
        <f ca="1">+IFERROR(IF(ISNUMBER(OFFSET('EDP Proyectado'!AN172,0,-'Ingreso Proyectado_Edu'!$P172))&lt;&gt;0,IF(OFFSET('EDP Proyectado'!AN172,0,-'Ingreso Proyectado_Edu'!$P172)+0&lt;=1,0,OFFSET('EDP Proyectado'!AN172,0,-'Ingreso Proyectado_Edu'!$P172)+0)),0)</f>
        <v>0</v>
      </c>
      <c r="AN172" s="169">
        <f ca="1">+IFERROR(IF(ISNUMBER(OFFSET('EDP Proyectado'!AO172,0,-'Ingreso Proyectado_Edu'!$P172))&lt;&gt;0,IF(OFFSET('EDP Proyectado'!AO172,0,-'Ingreso Proyectado_Edu'!$P172)+0&lt;=1,0,OFFSET('EDP Proyectado'!AO172,0,-'Ingreso Proyectado_Edu'!$P172)+0)),0)</f>
        <v>0</v>
      </c>
      <c r="AO172" s="169">
        <f ca="1">+IFERROR(IF(ISNUMBER(OFFSET('EDP Proyectado'!AP172,0,-'Ingreso Proyectado_Edu'!$P172))&lt;&gt;0,IF(OFFSET('EDP Proyectado'!AP172,0,-'Ingreso Proyectado_Edu'!$P172)+0&lt;=1,0,OFFSET('EDP Proyectado'!AP172,0,-'Ingreso Proyectado_Edu'!$P172)+0)),0)</f>
        <v>0</v>
      </c>
      <c r="AP172" s="170">
        <f ca="1">+IFERROR(IF(ISNUMBER(OFFSET('EDP Proyectado'!AQ172,0,-'Ingreso Proyectado_Edu'!$P172))&lt;&gt;0,IF(OFFSET('EDP Proyectado'!AQ172,0,-'Ingreso Proyectado_Edu'!$P172)+0&lt;=1,0,OFFSET('EDP Proyectado'!AQ172,0,-'Ingreso Proyectado_Edu'!$P172)+0)),0)</f>
        <v>0</v>
      </c>
    </row>
    <row r="173" spans="3:42" x14ac:dyDescent="0.2">
      <c r="C173" s="110">
        <f>+'Gantt Proyectos'!C241</f>
        <v>0</v>
      </c>
      <c r="D173" s="110">
        <f>+'Gantt Proyectos'!D241</f>
        <v>0</v>
      </c>
      <c r="E173" s="110">
        <f>+'Gantt Proyectos'!E241</f>
        <v>0</v>
      </c>
      <c r="F173" s="148">
        <f>+'Gantt Proyectos'!F241</f>
        <v>0</v>
      </c>
      <c r="G173" s="110">
        <f>+'Gantt Proyectos'!G241</f>
        <v>0</v>
      </c>
      <c r="H173" s="110">
        <f>+'Gantt Proyectos'!H241</f>
        <v>0</v>
      </c>
      <c r="I173" s="189">
        <v>1</v>
      </c>
      <c r="J173" s="189">
        <f t="shared" si="14"/>
        <v>0</v>
      </c>
      <c r="K173" s="110">
        <f>+'Gantt Proyectos'!I241</f>
        <v>0</v>
      </c>
      <c r="L173" s="110">
        <f>+'Gantt Proyectos'!J241</f>
        <v>0</v>
      </c>
      <c r="M173" s="110">
        <f>+'Gantt Proyectos'!K241</f>
        <v>0</v>
      </c>
      <c r="N173" s="110">
        <f>+'Gantt Proyectos'!L241</f>
        <v>0</v>
      </c>
      <c r="O173" s="110">
        <f>+'Gantt Proyectos'!M241</f>
        <v>0</v>
      </c>
      <c r="P173" s="110">
        <f>+'Gantt Proyectos'!N241</f>
        <v>0</v>
      </c>
      <c r="Q173" s="110">
        <f>+'Gantt Proyectos'!O241</f>
        <v>0</v>
      </c>
      <c r="R173" s="110">
        <f>+'Gantt Proyectos'!P241</f>
        <v>0</v>
      </c>
      <c r="S173" s="110">
        <f>+'Gantt Proyectos'!R241</f>
        <v>0</v>
      </c>
      <c r="T173" s="118">
        <f>+'Gantt Proyectos'!S241</f>
        <v>0</v>
      </c>
      <c r="U173" s="157">
        <f>+'Gantt Proyectos'!T241</f>
        <v>0</v>
      </c>
      <c r="V173" s="157">
        <f>+'Gantt Proyectos'!U241</f>
        <v>0</v>
      </c>
      <c r="W173" s="201">
        <f t="shared" si="15"/>
        <v>0</v>
      </c>
      <c r="X173" s="110">
        <f>+'Gantt Proyectos'!W241</f>
        <v>0</v>
      </c>
      <c r="Y173" s="110">
        <f>+'Gantt Proyectos'!X241</f>
        <v>0</v>
      </c>
      <c r="Z173" s="110">
        <f>+'Gantt Proyectos'!Y241</f>
        <v>0</v>
      </c>
      <c r="AA173" s="110">
        <f>+'Gantt Proyectos'!Z241</f>
        <v>0</v>
      </c>
      <c r="AB173" s="110">
        <f>+'Gantt Proyectos'!AA241</f>
        <v>0</v>
      </c>
      <c r="AC173" s="110">
        <f>+'Gantt Proyectos'!AB241</f>
        <v>0</v>
      </c>
      <c r="AD173" s="110">
        <f>+'Gantt Proyectos'!AC241</f>
        <v>0</v>
      </c>
      <c r="AE173" s="110">
        <f>+'Gantt Proyectos'!AD241</f>
        <v>0</v>
      </c>
      <c r="AF173" s="110">
        <f>+'Gantt Proyectos'!AE241</f>
        <v>0</v>
      </c>
      <c r="AG173" s="172">
        <v>1</v>
      </c>
      <c r="AH173" s="169">
        <f ca="1">+IFERROR(IF(ISNUMBER(OFFSET('EDP Proyectado'!AI173,0,-'Ingreso Proyectado_Edu'!$P173))&lt;&gt;0,IF(OFFSET('EDP Proyectado'!AI173,0,-'Ingreso Proyectado_Edu'!$P173)+0&lt;=1,0,OFFSET('EDP Proyectado'!AI173,0,-'Ingreso Proyectado_Edu'!$P173)+0)),0)</f>
        <v>0</v>
      </c>
      <c r="AI173" s="169">
        <f ca="1">+IFERROR(IF(ISNUMBER(OFFSET('EDP Proyectado'!AJ173,0,-'Ingreso Proyectado_Edu'!$P173))&lt;&gt;0,IF(OFFSET('EDP Proyectado'!AJ173,0,-'Ingreso Proyectado_Edu'!$P173)+0&lt;=1,0,OFFSET('EDP Proyectado'!AJ173,0,-'Ingreso Proyectado_Edu'!$P173)+0)),0)</f>
        <v>0</v>
      </c>
      <c r="AJ173" s="169">
        <f ca="1">+IFERROR(IF(ISNUMBER(OFFSET('EDP Proyectado'!AK173,0,-'Ingreso Proyectado_Edu'!$P173))&lt;&gt;0,IF(OFFSET('EDP Proyectado'!AK173,0,-'Ingreso Proyectado_Edu'!$P173)+0&lt;=1,0,OFFSET('EDP Proyectado'!AK173,0,-'Ingreso Proyectado_Edu'!$P173)+0)),0)</f>
        <v>0</v>
      </c>
      <c r="AK173" s="169">
        <f ca="1">+IFERROR(IF(ISNUMBER(OFFSET('EDP Proyectado'!AL173,0,-'Ingreso Proyectado_Edu'!$P173))&lt;&gt;0,IF(OFFSET('EDP Proyectado'!AL173,0,-'Ingreso Proyectado_Edu'!$P173)+0&lt;=1,0,OFFSET('EDP Proyectado'!AL173,0,-'Ingreso Proyectado_Edu'!$P173)+0)),0)</f>
        <v>0</v>
      </c>
      <c r="AL173" s="169">
        <f ca="1">+IFERROR(IF(ISNUMBER(OFFSET('EDP Proyectado'!AM173,0,-'Ingreso Proyectado_Edu'!$P173))&lt;&gt;0,IF(OFFSET('EDP Proyectado'!AM173,0,-'Ingreso Proyectado_Edu'!$P173)+0&lt;=1,0,OFFSET('EDP Proyectado'!AM173,0,-'Ingreso Proyectado_Edu'!$P173)+0)),0)</f>
        <v>0</v>
      </c>
      <c r="AM173" s="169">
        <f ca="1">+IFERROR(IF(ISNUMBER(OFFSET('EDP Proyectado'!AN173,0,-'Ingreso Proyectado_Edu'!$P173))&lt;&gt;0,IF(OFFSET('EDP Proyectado'!AN173,0,-'Ingreso Proyectado_Edu'!$P173)+0&lt;=1,0,OFFSET('EDP Proyectado'!AN173,0,-'Ingreso Proyectado_Edu'!$P173)+0)),0)</f>
        <v>0</v>
      </c>
      <c r="AN173" s="169">
        <f ca="1">+IFERROR(IF(ISNUMBER(OFFSET('EDP Proyectado'!AO173,0,-'Ingreso Proyectado_Edu'!$P173))&lt;&gt;0,IF(OFFSET('EDP Proyectado'!AO173,0,-'Ingreso Proyectado_Edu'!$P173)+0&lt;=1,0,OFFSET('EDP Proyectado'!AO173,0,-'Ingreso Proyectado_Edu'!$P173)+0)),0)</f>
        <v>0</v>
      </c>
      <c r="AO173" s="169">
        <f ca="1">+IFERROR(IF(ISNUMBER(OFFSET('EDP Proyectado'!AP173,0,-'Ingreso Proyectado_Edu'!$P173))&lt;&gt;0,IF(OFFSET('EDP Proyectado'!AP173,0,-'Ingreso Proyectado_Edu'!$P173)+0&lt;=1,0,OFFSET('EDP Proyectado'!AP173,0,-'Ingreso Proyectado_Edu'!$P173)+0)),0)</f>
        <v>0</v>
      </c>
      <c r="AP173" s="170">
        <f ca="1">+IFERROR(IF(ISNUMBER(OFFSET('EDP Proyectado'!AQ173,0,-'Ingreso Proyectado_Edu'!$P173))&lt;&gt;0,IF(OFFSET('EDP Proyectado'!AQ173,0,-'Ingreso Proyectado_Edu'!$P173)+0&lt;=1,0,OFFSET('EDP Proyectado'!AQ173,0,-'Ingreso Proyectado_Edu'!$P173)+0)),0)</f>
        <v>0</v>
      </c>
    </row>
    <row r="174" spans="3:42" x14ac:dyDescent="0.2">
      <c r="C174" s="110">
        <f>+'Gantt Proyectos'!C242</f>
        <v>0</v>
      </c>
      <c r="D174" s="110">
        <f>+'Gantt Proyectos'!D242</f>
        <v>0</v>
      </c>
      <c r="E174" s="110">
        <f>+'Gantt Proyectos'!E242</f>
        <v>0</v>
      </c>
      <c r="F174" s="148">
        <f>+'Gantt Proyectos'!F242</f>
        <v>0</v>
      </c>
      <c r="G174" s="110">
        <f>+'Gantt Proyectos'!G242</f>
        <v>0</v>
      </c>
      <c r="H174" s="110">
        <f>+'Gantt Proyectos'!H242</f>
        <v>0</v>
      </c>
      <c r="I174" s="189">
        <v>1</v>
      </c>
      <c r="J174" s="189">
        <f t="shared" si="14"/>
        <v>0</v>
      </c>
      <c r="K174" s="110">
        <f>+'Gantt Proyectos'!I242</f>
        <v>0</v>
      </c>
      <c r="L174" s="110">
        <f>+'Gantt Proyectos'!J242</f>
        <v>0</v>
      </c>
      <c r="M174" s="110">
        <f>+'Gantt Proyectos'!K242</f>
        <v>0</v>
      </c>
      <c r="N174" s="110">
        <f>+'Gantt Proyectos'!L242</f>
        <v>0</v>
      </c>
      <c r="O174" s="110">
        <f>+'Gantt Proyectos'!M242</f>
        <v>0</v>
      </c>
      <c r="P174" s="110">
        <f>+'Gantt Proyectos'!N242</f>
        <v>0</v>
      </c>
      <c r="Q174" s="110">
        <f>+'Gantt Proyectos'!O242</f>
        <v>0</v>
      </c>
      <c r="R174" s="110">
        <f>+'Gantt Proyectos'!P242</f>
        <v>0</v>
      </c>
      <c r="S174" s="110">
        <f>+'Gantt Proyectos'!R242</f>
        <v>0</v>
      </c>
      <c r="T174" s="118">
        <f>+'Gantt Proyectos'!S242</f>
        <v>0</v>
      </c>
      <c r="U174" s="157">
        <f>+'Gantt Proyectos'!T242</f>
        <v>0</v>
      </c>
      <c r="V174" s="157">
        <f>+'Gantt Proyectos'!U242</f>
        <v>0</v>
      </c>
      <c r="W174" s="201">
        <f t="shared" si="15"/>
        <v>0</v>
      </c>
      <c r="X174" s="110">
        <f>+'Gantt Proyectos'!W242</f>
        <v>0</v>
      </c>
      <c r="Y174" s="110">
        <f>+'Gantt Proyectos'!X242</f>
        <v>0</v>
      </c>
      <c r="Z174" s="110">
        <f>+'Gantt Proyectos'!Y242</f>
        <v>0</v>
      </c>
      <c r="AA174" s="110">
        <f>+'Gantt Proyectos'!Z242</f>
        <v>0</v>
      </c>
      <c r="AB174" s="110">
        <f>+'Gantt Proyectos'!AA242</f>
        <v>0</v>
      </c>
      <c r="AC174" s="110">
        <f>+'Gantt Proyectos'!AB242</f>
        <v>0</v>
      </c>
      <c r="AD174" s="110">
        <f>+'Gantt Proyectos'!AC242</f>
        <v>0</v>
      </c>
      <c r="AE174" s="110">
        <f>+'Gantt Proyectos'!AD242</f>
        <v>0</v>
      </c>
      <c r="AF174" s="110">
        <f>+'Gantt Proyectos'!AE242</f>
        <v>0</v>
      </c>
      <c r="AG174" s="172">
        <v>1</v>
      </c>
      <c r="AH174" s="169">
        <f ca="1">+IFERROR(IF(ISNUMBER(OFFSET('EDP Proyectado'!AI174,0,-'Ingreso Proyectado_Edu'!$P174))&lt;&gt;0,IF(OFFSET('EDP Proyectado'!AI174,0,-'Ingreso Proyectado_Edu'!$P174)+0&lt;=1,0,OFFSET('EDP Proyectado'!AI174,0,-'Ingreso Proyectado_Edu'!$P174)+0)),0)</f>
        <v>0</v>
      </c>
      <c r="AI174" s="169">
        <f ca="1">+IFERROR(IF(ISNUMBER(OFFSET('EDP Proyectado'!AJ174,0,-'Ingreso Proyectado_Edu'!$P174))&lt;&gt;0,IF(OFFSET('EDP Proyectado'!AJ174,0,-'Ingreso Proyectado_Edu'!$P174)+0&lt;=1,0,OFFSET('EDP Proyectado'!AJ174,0,-'Ingreso Proyectado_Edu'!$P174)+0)),0)</f>
        <v>0</v>
      </c>
      <c r="AJ174" s="169">
        <f ca="1">+IFERROR(IF(ISNUMBER(OFFSET('EDP Proyectado'!AK174,0,-'Ingreso Proyectado_Edu'!$P174))&lt;&gt;0,IF(OFFSET('EDP Proyectado'!AK174,0,-'Ingreso Proyectado_Edu'!$P174)+0&lt;=1,0,OFFSET('EDP Proyectado'!AK174,0,-'Ingreso Proyectado_Edu'!$P174)+0)),0)</f>
        <v>0</v>
      </c>
      <c r="AK174" s="169">
        <f ca="1">+IFERROR(IF(ISNUMBER(OFFSET('EDP Proyectado'!AL174,0,-'Ingreso Proyectado_Edu'!$P174))&lt;&gt;0,IF(OFFSET('EDP Proyectado'!AL174,0,-'Ingreso Proyectado_Edu'!$P174)+0&lt;=1,0,OFFSET('EDP Proyectado'!AL174,0,-'Ingreso Proyectado_Edu'!$P174)+0)),0)</f>
        <v>0</v>
      </c>
      <c r="AL174" s="169">
        <f ca="1">+IFERROR(IF(ISNUMBER(OFFSET('EDP Proyectado'!AM174,0,-'Ingreso Proyectado_Edu'!$P174))&lt;&gt;0,IF(OFFSET('EDP Proyectado'!AM174,0,-'Ingreso Proyectado_Edu'!$P174)+0&lt;=1,0,OFFSET('EDP Proyectado'!AM174,0,-'Ingreso Proyectado_Edu'!$P174)+0)),0)</f>
        <v>0</v>
      </c>
      <c r="AM174" s="169">
        <f ca="1">+IFERROR(IF(ISNUMBER(OFFSET('EDP Proyectado'!AN174,0,-'Ingreso Proyectado_Edu'!$P174))&lt;&gt;0,IF(OFFSET('EDP Proyectado'!AN174,0,-'Ingreso Proyectado_Edu'!$P174)+0&lt;=1,0,OFFSET('EDP Proyectado'!AN174,0,-'Ingreso Proyectado_Edu'!$P174)+0)),0)</f>
        <v>0</v>
      </c>
      <c r="AN174" s="169">
        <f ca="1">+IFERROR(IF(ISNUMBER(OFFSET('EDP Proyectado'!AO174,0,-'Ingreso Proyectado_Edu'!$P174))&lt;&gt;0,IF(OFFSET('EDP Proyectado'!AO174,0,-'Ingreso Proyectado_Edu'!$P174)+0&lt;=1,0,OFFSET('EDP Proyectado'!AO174,0,-'Ingreso Proyectado_Edu'!$P174)+0)),0)</f>
        <v>0</v>
      </c>
      <c r="AO174" s="169">
        <f ca="1">+IFERROR(IF(ISNUMBER(OFFSET('EDP Proyectado'!AP174,0,-'Ingreso Proyectado_Edu'!$P174))&lt;&gt;0,IF(OFFSET('EDP Proyectado'!AP174,0,-'Ingreso Proyectado_Edu'!$P174)+0&lt;=1,0,OFFSET('EDP Proyectado'!AP174,0,-'Ingreso Proyectado_Edu'!$P174)+0)),0)</f>
        <v>0</v>
      </c>
      <c r="AP174" s="170">
        <f ca="1">+IFERROR(IF(ISNUMBER(OFFSET('EDP Proyectado'!AQ174,0,-'Ingreso Proyectado_Edu'!$P174))&lt;&gt;0,IF(OFFSET('EDP Proyectado'!AQ174,0,-'Ingreso Proyectado_Edu'!$P174)+0&lt;=1,0,OFFSET('EDP Proyectado'!AQ174,0,-'Ingreso Proyectado_Edu'!$P174)+0)),0)</f>
        <v>0</v>
      </c>
    </row>
    <row r="175" spans="3:42" x14ac:dyDescent="0.2">
      <c r="C175" s="110">
        <f>+'Gantt Proyectos'!C243</f>
        <v>0</v>
      </c>
      <c r="D175" s="110">
        <f>+'Gantt Proyectos'!D243</f>
        <v>0</v>
      </c>
      <c r="E175" s="110">
        <f>+'Gantt Proyectos'!E243</f>
        <v>0</v>
      </c>
      <c r="F175" s="148">
        <f>+'Gantt Proyectos'!F243</f>
        <v>0</v>
      </c>
      <c r="G175" s="110">
        <f>+'Gantt Proyectos'!G243</f>
        <v>0</v>
      </c>
      <c r="H175" s="110">
        <f>+'Gantt Proyectos'!H243</f>
        <v>0</v>
      </c>
      <c r="I175" s="189">
        <v>1</v>
      </c>
      <c r="J175" s="189">
        <f t="shared" si="14"/>
        <v>0</v>
      </c>
      <c r="K175" s="110">
        <f>+'Gantt Proyectos'!I243</f>
        <v>0</v>
      </c>
      <c r="L175" s="110">
        <f>+'Gantt Proyectos'!J243</f>
        <v>0</v>
      </c>
      <c r="M175" s="110">
        <f>+'Gantt Proyectos'!K243</f>
        <v>0</v>
      </c>
      <c r="N175" s="110">
        <f>+'Gantt Proyectos'!L243</f>
        <v>0</v>
      </c>
      <c r="O175" s="110">
        <f>+'Gantt Proyectos'!M243</f>
        <v>0</v>
      </c>
      <c r="P175" s="110">
        <f>+'Gantt Proyectos'!N243</f>
        <v>0</v>
      </c>
      <c r="Q175" s="110">
        <f>+'Gantt Proyectos'!O243</f>
        <v>0</v>
      </c>
      <c r="R175" s="110">
        <f>+'Gantt Proyectos'!P243</f>
        <v>0</v>
      </c>
      <c r="S175" s="110">
        <f>+'Gantt Proyectos'!R243</f>
        <v>0</v>
      </c>
      <c r="T175" s="118">
        <f>+'Gantt Proyectos'!S243</f>
        <v>0</v>
      </c>
      <c r="U175" s="157">
        <f>+'Gantt Proyectos'!T243</f>
        <v>0</v>
      </c>
      <c r="V175" s="157">
        <f>+'Gantt Proyectos'!U243</f>
        <v>0</v>
      </c>
      <c r="W175" s="201">
        <f t="shared" si="15"/>
        <v>0</v>
      </c>
      <c r="X175" s="110">
        <f>+'Gantt Proyectos'!W243</f>
        <v>0</v>
      </c>
      <c r="Y175" s="110">
        <f>+'Gantt Proyectos'!X243</f>
        <v>0</v>
      </c>
      <c r="Z175" s="110">
        <f>+'Gantt Proyectos'!Y243</f>
        <v>0</v>
      </c>
      <c r="AA175" s="110">
        <f>+'Gantt Proyectos'!Z243</f>
        <v>0</v>
      </c>
      <c r="AB175" s="110">
        <f>+'Gantt Proyectos'!AA243</f>
        <v>0</v>
      </c>
      <c r="AC175" s="110">
        <f>+'Gantt Proyectos'!AB243</f>
        <v>0</v>
      </c>
      <c r="AD175" s="110">
        <f>+'Gantt Proyectos'!AC243</f>
        <v>0</v>
      </c>
      <c r="AE175" s="110">
        <f>+'Gantt Proyectos'!AD243</f>
        <v>0</v>
      </c>
      <c r="AF175" s="110">
        <f>+'Gantt Proyectos'!AE243</f>
        <v>0</v>
      </c>
      <c r="AG175" s="172">
        <v>1</v>
      </c>
      <c r="AH175" s="169">
        <f ca="1">+IFERROR(IF(ISNUMBER(OFFSET('EDP Proyectado'!AI175,0,-'Ingreso Proyectado_Edu'!$P175))&lt;&gt;0,IF(OFFSET('EDP Proyectado'!AI175,0,-'Ingreso Proyectado_Edu'!$P175)+0&lt;=1,0,OFFSET('EDP Proyectado'!AI175,0,-'Ingreso Proyectado_Edu'!$P175)+0)),0)</f>
        <v>0</v>
      </c>
      <c r="AI175" s="169">
        <f ca="1">+IFERROR(IF(ISNUMBER(OFFSET('EDP Proyectado'!AJ175,0,-'Ingreso Proyectado_Edu'!$P175))&lt;&gt;0,IF(OFFSET('EDP Proyectado'!AJ175,0,-'Ingreso Proyectado_Edu'!$P175)+0&lt;=1,0,OFFSET('EDP Proyectado'!AJ175,0,-'Ingreso Proyectado_Edu'!$P175)+0)),0)</f>
        <v>0</v>
      </c>
      <c r="AJ175" s="169">
        <f ca="1">+IFERROR(IF(ISNUMBER(OFFSET('EDP Proyectado'!AK175,0,-'Ingreso Proyectado_Edu'!$P175))&lt;&gt;0,IF(OFFSET('EDP Proyectado'!AK175,0,-'Ingreso Proyectado_Edu'!$P175)+0&lt;=1,0,OFFSET('EDP Proyectado'!AK175,0,-'Ingreso Proyectado_Edu'!$P175)+0)),0)</f>
        <v>0</v>
      </c>
      <c r="AK175" s="169">
        <f ca="1">+IFERROR(IF(ISNUMBER(OFFSET('EDP Proyectado'!AL175,0,-'Ingreso Proyectado_Edu'!$P175))&lt;&gt;0,IF(OFFSET('EDP Proyectado'!AL175,0,-'Ingreso Proyectado_Edu'!$P175)+0&lt;=1,0,OFFSET('EDP Proyectado'!AL175,0,-'Ingreso Proyectado_Edu'!$P175)+0)),0)</f>
        <v>0</v>
      </c>
      <c r="AL175" s="169">
        <f ca="1">+IFERROR(IF(ISNUMBER(OFFSET('EDP Proyectado'!AM175,0,-'Ingreso Proyectado_Edu'!$P175))&lt;&gt;0,IF(OFFSET('EDP Proyectado'!AM175,0,-'Ingreso Proyectado_Edu'!$P175)+0&lt;=1,0,OFFSET('EDP Proyectado'!AM175,0,-'Ingreso Proyectado_Edu'!$P175)+0)),0)</f>
        <v>0</v>
      </c>
      <c r="AM175" s="169">
        <f ca="1">+IFERROR(IF(ISNUMBER(OFFSET('EDP Proyectado'!AN175,0,-'Ingreso Proyectado_Edu'!$P175))&lt;&gt;0,IF(OFFSET('EDP Proyectado'!AN175,0,-'Ingreso Proyectado_Edu'!$P175)+0&lt;=1,0,OFFSET('EDP Proyectado'!AN175,0,-'Ingreso Proyectado_Edu'!$P175)+0)),0)</f>
        <v>0</v>
      </c>
      <c r="AN175" s="169">
        <f ca="1">+IFERROR(IF(ISNUMBER(OFFSET('EDP Proyectado'!AO175,0,-'Ingreso Proyectado_Edu'!$P175))&lt;&gt;0,IF(OFFSET('EDP Proyectado'!AO175,0,-'Ingreso Proyectado_Edu'!$P175)+0&lt;=1,0,OFFSET('EDP Proyectado'!AO175,0,-'Ingreso Proyectado_Edu'!$P175)+0)),0)</f>
        <v>0</v>
      </c>
      <c r="AO175" s="169">
        <f ca="1">+IFERROR(IF(ISNUMBER(OFFSET('EDP Proyectado'!AP175,0,-'Ingreso Proyectado_Edu'!$P175))&lt;&gt;0,IF(OFFSET('EDP Proyectado'!AP175,0,-'Ingreso Proyectado_Edu'!$P175)+0&lt;=1,0,OFFSET('EDP Proyectado'!AP175,0,-'Ingreso Proyectado_Edu'!$P175)+0)),0)</f>
        <v>0</v>
      </c>
      <c r="AP175" s="170">
        <f ca="1">+IFERROR(IF(ISNUMBER(OFFSET('EDP Proyectado'!AQ175,0,-'Ingreso Proyectado_Edu'!$P175))&lt;&gt;0,IF(OFFSET('EDP Proyectado'!AQ175,0,-'Ingreso Proyectado_Edu'!$P175)+0&lt;=1,0,OFFSET('EDP Proyectado'!AQ175,0,-'Ingreso Proyectado_Edu'!$P175)+0)),0)</f>
        <v>0</v>
      </c>
    </row>
    <row r="176" spans="3:42" x14ac:dyDescent="0.2">
      <c r="C176" s="110">
        <f>+'Gantt Proyectos'!C244</f>
        <v>0</v>
      </c>
      <c r="D176" s="110">
        <f>+'Gantt Proyectos'!D244</f>
        <v>0</v>
      </c>
      <c r="E176" s="110">
        <f>+'Gantt Proyectos'!E244</f>
        <v>0</v>
      </c>
      <c r="F176" s="148">
        <f>+'Gantt Proyectos'!F244</f>
        <v>0</v>
      </c>
      <c r="G176" s="110">
        <f>+'Gantt Proyectos'!G244</f>
        <v>0</v>
      </c>
      <c r="H176" s="110">
        <f>+'Gantt Proyectos'!H244</f>
        <v>0</v>
      </c>
      <c r="I176" s="189">
        <v>1</v>
      </c>
      <c r="J176" s="189">
        <f t="shared" si="14"/>
        <v>0</v>
      </c>
      <c r="K176" s="110">
        <f>+'Gantt Proyectos'!I244</f>
        <v>0</v>
      </c>
      <c r="L176" s="110">
        <f>+'Gantt Proyectos'!J244</f>
        <v>0</v>
      </c>
      <c r="M176" s="110">
        <f>+'Gantt Proyectos'!K244</f>
        <v>0</v>
      </c>
      <c r="N176" s="110">
        <f>+'Gantt Proyectos'!L244</f>
        <v>0</v>
      </c>
      <c r="O176" s="110">
        <f>+'Gantt Proyectos'!M244</f>
        <v>0</v>
      </c>
      <c r="P176" s="110">
        <f>+'Gantt Proyectos'!N244</f>
        <v>0</v>
      </c>
      <c r="Q176" s="110">
        <f>+'Gantt Proyectos'!O244</f>
        <v>0</v>
      </c>
      <c r="R176" s="110">
        <f>+'Gantt Proyectos'!P244</f>
        <v>0</v>
      </c>
      <c r="S176" s="110">
        <f>+'Gantt Proyectos'!R244</f>
        <v>0</v>
      </c>
      <c r="T176" s="118">
        <f>+'Gantt Proyectos'!S244</f>
        <v>0</v>
      </c>
      <c r="U176" s="157">
        <f>+'Gantt Proyectos'!T244</f>
        <v>0</v>
      </c>
      <c r="V176" s="157">
        <f>+'Gantt Proyectos'!U244</f>
        <v>0</v>
      </c>
      <c r="W176" s="201">
        <f t="shared" si="15"/>
        <v>0</v>
      </c>
      <c r="X176" s="110">
        <f>+'Gantt Proyectos'!W244</f>
        <v>0</v>
      </c>
      <c r="Y176" s="110">
        <f>+'Gantt Proyectos'!X244</f>
        <v>0</v>
      </c>
      <c r="Z176" s="110">
        <f>+'Gantt Proyectos'!Y244</f>
        <v>0</v>
      </c>
      <c r="AA176" s="110">
        <f>+'Gantt Proyectos'!Z244</f>
        <v>0</v>
      </c>
      <c r="AB176" s="110">
        <f>+'Gantt Proyectos'!AA244</f>
        <v>0</v>
      </c>
      <c r="AC176" s="110">
        <f>+'Gantt Proyectos'!AB244</f>
        <v>0</v>
      </c>
      <c r="AD176" s="110">
        <f>+'Gantt Proyectos'!AC244</f>
        <v>0</v>
      </c>
      <c r="AE176" s="110">
        <f>+'Gantt Proyectos'!AD244</f>
        <v>0</v>
      </c>
      <c r="AF176" s="110">
        <f>+'Gantt Proyectos'!AE244</f>
        <v>0</v>
      </c>
      <c r="AG176" s="172">
        <v>1</v>
      </c>
      <c r="AH176" s="169">
        <f ca="1">+IFERROR(IF(ISNUMBER(OFFSET('EDP Proyectado'!AI176,0,-'Ingreso Proyectado_Edu'!$P176))&lt;&gt;0,IF(OFFSET('EDP Proyectado'!AI176,0,-'Ingreso Proyectado_Edu'!$P176)+0&lt;=1,0,OFFSET('EDP Proyectado'!AI176,0,-'Ingreso Proyectado_Edu'!$P176)+0)),0)</f>
        <v>0</v>
      </c>
      <c r="AI176" s="169">
        <f ca="1">+IFERROR(IF(ISNUMBER(OFFSET('EDP Proyectado'!AJ176,0,-'Ingreso Proyectado_Edu'!$P176))&lt;&gt;0,IF(OFFSET('EDP Proyectado'!AJ176,0,-'Ingreso Proyectado_Edu'!$P176)+0&lt;=1,0,OFFSET('EDP Proyectado'!AJ176,0,-'Ingreso Proyectado_Edu'!$P176)+0)),0)</f>
        <v>0</v>
      </c>
      <c r="AJ176" s="169">
        <f ca="1">+IFERROR(IF(ISNUMBER(OFFSET('EDP Proyectado'!AK176,0,-'Ingreso Proyectado_Edu'!$P176))&lt;&gt;0,IF(OFFSET('EDP Proyectado'!AK176,0,-'Ingreso Proyectado_Edu'!$P176)+0&lt;=1,0,OFFSET('EDP Proyectado'!AK176,0,-'Ingreso Proyectado_Edu'!$P176)+0)),0)</f>
        <v>0</v>
      </c>
      <c r="AK176" s="169">
        <f ca="1">+IFERROR(IF(ISNUMBER(OFFSET('EDP Proyectado'!AL176,0,-'Ingreso Proyectado_Edu'!$P176))&lt;&gt;0,IF(OFFSET('EDP Proyectado'!AL176,0,-'Ingreso Proyectado_Edu'!$P176)+0&lt;=1,0,OFFSET('EDP Proyectado'!AL176,0,-'Ingreso Proyectado_Edu'!$P176)+0)),0)</f>
        <v>0</v>
      </c>
      <c r="AL176" s="169">
        <f ca="1">+IFERROR(IF(ISNUMBER(OFFSET('EDP Proyectado'!AM176,0,-'Ingreso Proyectado_Edu'!$P176))&lt;&gt;0,IF(OFFSET('EDP Proyectado'!AM176,0,-'Ingreso Proyectado_Edu'!$P176)+0&lt;=1,0,OFFSET('EDP Proyectado'!AM176,0,-'Ingreso Proyectado_Edu'!$P176)+0)),0)</f>
        <v>0</v>
      </c>
      <c r="AM176" s="169">
        <f ca="1">+IFERROR(IF(ISNUMBER(OFFSET('EDP Proyectado'!AN176,0,-'Ingreso Proyectado_Edu'!$P176))&lt;&gt;0,IF(OFFSET('EDP Proyectado'!AN176,0,-'Ingreso Proyectado_Edu'!$P176)+0&lt;=1,0,OFFSET('EDP Proyectado'!AN176,0,-'Ingreso Proyectado_Edu'!$P176)+0)),0)</f>
        <v>0</v>
      </c>
      <c r="AN176" s="169">
        <f ca="1">+IFERROR(IF(ISNUMBER(OFFSET('EDP Proyectado'!AO176,0,-'Ingreso Proyectado_Edu'!$P176))&lt;&gt;0,IF(OFFSET('EDP Proyectado'!AO176,0,-'Ingreso Proyectado_Edu'!$P176)+0&lt;=1,0,OFFSET('EDP Proyectado'!AO176,0,-'Ingreso Proyectado_Edu'!$P176)+0)),0)</f>
        <v>0</v>
      </c>
      <c r="AO176" s="169">
        <f ca="1">+IFERROR(IF(ISNUMBER(OFFSET('EDP Proyectado'!AP176,0,-'Ingreso Proyectado_Edu'!$P176))&lt;&gt;0,IF(OFFSET('EDP Proyectado'!AP176,0,-'Ingreso Proyectado_Edu'!$P176)+0&lt;=1,0,OFFSET('EDP Proyectado'!AP176,0,-'Ingreso Proyectado_Edu'!$P176)+0)),0)</f>
        <v>0</v>
      </c>
      <c r="AP176" s="170">
        <f ca="1">+IFERROR(IF(ISNUMBER(OFFSET('EDP Proyectado'!AQ176,0,-'Ingreso Proyectado_Edu'!$P176))&lt;&gt;0,IF(OFFSET('EDP Proyectado'!AQ176,0,-'Ingreso Proyectado_Edu'!$P176)+0&lt;=1,0,OFFSET('EDP Proyectado'!AQ176,0,-'Ingreso Proyectado_Edu'!$P176)+0)),0)</f>
        <v>0</v>
      </c>
    </row>
    <row r="177" spans="3:42" x14ac:dyDescent="0.2">
      <c r="C177" s="110">
        <f>+'Gantt Proyectos'!C245</f>
        <v>0</v>
      </c>
      <c r="D177" s="110">
        <f>+'Gantt Proyectos'!D245</f>
        <v>0</v>
      </c>
      <c r="E177" s="110">
        <f>+'Gantt Proyectos'!E245</f>
        <v>0</v>
      </c>
      <c r="F177" s="148">
        <f>+'Gantt Proyectos'!F245</f>
        <v>0</v>
      </c>
      <c r="G177" s="110">
        <f>+'Gantt Proyectos'!G245</f>
        <v>0</v>
      </c>
      <c r="H177" s="110">
        <f>+'Gantt Proyectos'!H245</f>
        <v>0</v>
      </c>
      <c r="I177" s="189">
        <v>1</v>
      </c>
      <c r="J177" s="189">
        <f t="shared" si="14"/>
        <v>0</v>
      </c>
      <c r="K177" s="110">
        <f>+'Gantt Proyectos'!I245</f>
        <v>0</v>
      </c>
      <c r="L177" s="110">
        <f>+'Gantt Proyectos'!J245</f>
        <v>0</v>
      </c>
      <c r="M177" s="110">
        <f>+'Gantt Proyectos'!K245</f>
        <v>0</v>
      </c>
      <c r="N177" s="110">
        <f>+'Gantt Proyectos'!L245</f>
        <v>0</v>
      </c>
      <c r="O177" s="110">
        <f>+'Gantt Proyectos'!M245</f>
        <v>0</v>
      </c>
      <c r="P177" s="110">
        <f>+'Gantt Proyectos'!N245</f>
        <v>0</v>
      </c>
      <c r="Q177" s="110">
        <f>+'Gantt Proyectos'!O245</f>
        <v>0</v>
      </c>
      <c r="R177" s="110">
        <f>+'Gantt Proyectos'!P245</f>
        <v>0</v>
      </c>
      <c r="S177" s="110">
        <f>+'Gantt Proyectos'!R245</f>
        <v>0</v>
      </c>
      <c r="T177" s="118">
        <f>+'Gantt Proyectos'!S245</f>
        <v>0</v>
      </c>
      <c r="U177" s="157">
        <f>+'Gantt Proyectos'!T245</f>
        <v>0</v>
      </c>
      <c r="V177" s="157">
        <f>+'Gantt Proyectos'!U245</f>
        <v>0</v>
      </c>
      <c r="W177" s="201">
        <f t="shared" si="15"/>
        <v>0</v>
      </c>
      <c r="X177" s="110">
        <f>+'Gantt Proyectos'!W245</f>
        <v>0</v>
      </c>
      <c r="Y177" s="110">
        <f>+'Gantt Proyectos'!X245</f>
        <v>0</v>
      </c>
      <c r="Z177" s="110">
        <f>+'Gantt Proyectos'!Y245</f>
        <v>0</v>
      </c>
      <c r="AA177" s="110">
        <f>+'Gantt Proyectos'!Z245</f>
        <v>0</v>
      </c>
      <c r="AB177" s="110">
        <f>+'Gantt Proyectos'!AA245</f>
        <v>0</v>
      </c>
      <c r="AC177" s="110">
        <f>+'Gantt Proyectos'!AB245</f>
        <v>0</v>
      </c>
      <c r="AD177" s="110">
        <f>+'Gantt Proyectos'!AC245</f>
        <v>0</v>
      </c>
      <c r="AE177" s="110">
        <f>+'Gantt Proyectos'!AD245</f>
        <v>0</v>
      </c>
      <c r="AF177" s="110">
        <f>+'Gantt Proyectos'!AE245</f>
        <v>0</v>
      </c>
      <c r="AG177" s="172">
        <v>1</v>
      </c>
      <c r="AH177" s="169">
        <f ca="1">+IFERROR(IF(ISNUMBER(OFFSET('EDP Proyectado'!AI177,0,-'Ingreso Proyectado_Edu'!$P177))&lt;&gt;0,IF(OFFSET('EDP Proyectado'!AI177,0,-'Ingreso Proyectado_Edu'!$P177)+0&lt;=1,0,OFFSET('EDP Proyectado'!AI177,0,-'Ingreso Proyectado_Edu'!$P177)+0)),0)</f>
        <v>0</v>
      </c>
      <c r="AI177" s="169">
        <f ca="1">+IFERROR(IF(ISNUMBER(OFFSET('EDP Proyectado'!AJ177,0,-'Ingreso Proyectado_Edu'!$P177))&lt;&gt;0,IF(OFFSET('EDP Proyectado'!AJ177,0,-'Ingreso Proyectado_Edu'!$P177)+0&lt;=1,0,OFFSET('EDP Proyectado'!AJ177,0,-'Ingreso Proyectado_Edu'!$P177)+0)),0)</f>
        <v>0</v>
      </c>
      <c r="AJ177" s="169">
        <f ca="1">+IFERROR(IF(ISNUMBER(OFFSET('EDP Proyectado'!AK177,0,-'Ingreso Proyectado_Edu'!$P177))&lt;&gt;0,IF(OFFSET('EDP Proyectado'!AK177,0,-'Ingreso Proyectado_Edu'!$P177)+0&lt;=1,0,OFFSET('EDP Proyectado'!AK177,0,-'Ingreso Proyectado_Edu'!$P177)+0)),0)</f>
        <v>0</v>
      </c>
      <c r="AK177" s="169">
        <f ca="1">+IFERROR(IF(ISNUMBER(OFFSET('EDP Proyectado'!AL177,0,-'Ingreso Proyectado_Edu'!$P177))&lt;&gt;0,IF(OFFSET('EDP Proyectado'!AL177,0,-'Ingreso Proyectado_Edu'!$P177)+0&lt;=1,0,OFFSET('EDP Proyectado'!AL177,0,-'Ingreso Proyectado_Edu'!$P177)+0)),0)</f>
        <v>0</v>
      </c>
      <c r="AL177" s="169">
        <f ca="1">+IFERROR(IF(ISNUMBER(OFFSET('EDP Proyectado'!AM177,0,-'Ingreso Proyectado_Edu'!$P177))&lt;&gt;0,IF(OFFSET('EDP Proyectado'!AM177,0,-'Ingreso Proyectado_Edu'!$P177)+0&lt;=1,0,OFFSET('EDP Proyectado'!AM177,0,-'Ingreso Proyectado_Edu'!$P177)+0)),0)</f>
        <v>0</v>
      </c>
      <c r="AM177" s="169">
        <f ca="1">+IFERROR(IF(ISNUMBER(OFFSET('EDP Proyectado'!AN177,0,-'Ingreso Proyectado_Edu'!$P177))&lt;&gt;0,IF(OFFSET('EDP Proyectado'!AN177,0,-'Ingreso Proyectado_Edu'!$P177)+0&lt;=1,0,OFFSET('EDP Proyectado'!AN177,0,-'Ingreso Proyectado_Edu'!$P177)+0)),0)</f>
        <v>0</v>
      </c>
      <c r="AN177" s="169">
        <f ca="1">+IFERROR(IF(ISNUMBER(OFFSET('EDP Proyectado'!AO177,0,-'Ingreso Proyectado_Edu'!$P177))&lt;&gt;0,IF(OFFSET('EDP Proyectado'!AO177,0,-'Ingreso Proyectado_Edu'!$P177)+0&lt;=1,0,OFFSET('EDP Proyectado'!AO177,0,-'Ingreso Proyectado_Edu'!$P177)+0)),0)</f>
        <v>0</v>
      </c>
      <c r="AO177" s="169">
        <f ca="1">+IFERROR(IF(ISNUMBER(OFFSET('EDP Proyectado'!AP177,0,-'Ingreso Proyectado_Edu'!$P177))&lt;&gt;0,IF(OFFSET('EDP Proyectado'!AP177,0,-'Ingreso Proyectado_Edu'!$P177)+0&lt;=1,0,OFFSET('EDP Proyectado'!AP177,0,-'Ingreso Proyectado_Edu'!$P177)+0)),0)</f>
        <v>0</v>
      </c>
      <c r="AP177" s="170">
        <f ca="1">+IFERROR(IF(ISNUMBER(OFFSET('EDP Proyectado'!AQ177,0,-'Ingreso Proyectado_Edu'!$P177))&lt;&gt;0,IF(OFFSET('EDP Proyectado'!AQ177,0,-'Ingreso Proyectado_Edu'!$P177)+0&lt;=1,0,OFFSET('EDP Proyectado'!AQ177,0,-'Ingreso Proyectado_Edu'!$P177)+0)),0)</f>
        <v>0</v>
      </c>
    </row>
    <row r="178" spans="3:42" x14ac:dyDescent="0.2">
      <c r="C178" s="110">
        <f>+'Gantt Proyectos'!C246</f>
        <v>0</v>
      </c>
      <c r="D178" s="110">
        <f>+'Gantt Proyectos'!D246</f>
        <v>0</v>
      </c>
      <c r="E178" s="110">
        <f>+'Gantt Proyectos'!E246</f>
        <v>0</v>
      </c>
      <c r="F178" s="148">
        <f>+'Gantt Proyectos'!F246</f>
        <v>0</v>
      </c>
      <c r="G178" s="110">
        <f>+'Gantt Proyectos'!G246</f>
        <v>0</v>
      </c>
      <c r="H178" s="110">
        <f>+'Gantt Proyectos'!H246</f>
        <v>0</v>
      </c>
      <c r="I178" s="189">
        <v>1</v>
      </c>
      <c r="J178" s="189">
        <f t="shared" si="14"/>
        <v>0</v>
      </c>
      <c r="K178" s="110">
        <f>+'Gantt Proyectos'!I246</f>
        <v>0</v>
      </c>
      <c r="L178" s="110">
        <f>+'Gantt Proyectos'!J246</f>
        <v>0</v>
      </c>
      <c r="M178" s="110">
        <f>+'Gantt Proyectos'!K246</f>
        <v>0</v>
      </c>
      <c r="N178" s="110">
        <f>+'Gantt Proyectos'!L246</f>
        <v>0</v>
      </c>
      <c r="O178" s="110">
        <f>+'Gantt Proyectos'!M246</f>
        <v>0</v>
      </c>
      <c r="P178" s="110">
        <f>+'Gantt Proyectos'!N246</f>
        <v>0</v>
      </c>
      <c r="Q178" s="110">
        <f>+'Gantt Proyectos'!O246</f>
        <v>0</v>
      </c>
      <c r="R178" s="110">
        <f>+'Gantt Proyectos'!P246</f>
        <v>0</v>
      </c>
      <c r="S178" s="110">
        <f>+'Gantt Proyectos'!R246</f>
        <v>0</v>
      </c>
      <c r="T178" s="118">
        <f>+'Gantt Proyectos'!S246</f>
        <v>0</v>
      </c>
      <c r="U178" s="157">
        <f>+'Gantt Proyectos'!T246</f>
        <v>0</v>
      </c>
      <c r="V178" s="157">
        <f>+'Gantt Proyectos'!U246</f>
        <v>0</v>
      </c>
      <c r="W178" s="201">
        <f t="shared" si="15"/>
        <v>0</v>
      </c>
      <c r="X178" s="110">
        <f>+'Gantt Proyectos'!W246</f>
        <v>0</v>
      </c>
      <c r="Y178" s="110">
        <f>+'Gantt Proyectos'!X246</f>
        <v>0</v>
      </c>
      <c r="Z178" s="110">
        <f>+'Gantt Proyectos'!Y246</f>
        <v>0</v>
      </c>
      <c r="AA178" s="110">
        <f>+'Gantt Proyectos'!Z246</f>
        <v>0</v>
      </c>
      <c r="AB178" s="110">
        <f>+'Gantt Proyectos'!AA246</f>
        <v>0</v>
      </c>
      <c r="AC178" s="110">
        <f>+'Gantt Proyectos'!AB246</f>
        <v>0</v>
      </c>
      <c r="AD178" s="110">
        <f>+'Gantt Proyectos'!AC246</f>
        <v>0</v>
      </c>
      <c r="AE178" s="110">
        <f>+'Gantt Proyectos'!AD246</f>
        <v>0</v>
      </c>
      <c r="AF178" s="110">
        <f>+'Gantt Proyectos'!AE246</f>
        <v>0</v>
      </c>
      <c r="AG178" s="172">
        <v>1</v>
      </c>
      <c r="AH178" s="169">
        <f ca="1">+IFERROR(IF(ISNUMBER(OFFSET('EDP Proyectado'!AI178,0,-'Ingreso Proyectado_Edu'!$P178))&lt;&gt;0,IF(OFFSET('EDP Proyectado'!AI178,0,-'Ingreso Proyectado_Edu'!$P178)+0&lt;=1,0,OFFSET('EDP Proyectado'!AI178,0,-'Ingreso Proyectado_Edu'!$P178)+0)),0)</f>
        <v>0</v>
      </c>
      <c r="AI178" s="169">
        <f ca="1">+IFERROR(IF(ISNUMBER(OFFSET('EDP Proyectado'!AJ178,0,-'Ingreso Proyectado_Edu'!$P178))&lt;&gt;0,IF(OFFSET('EDP Proyectado'!AJ178,0,-'Ingreso Proyectado_Edu'!$P178)+0&lt;=1,0,OFFSET('EDP Proyectado'!AJ178,0,-'Ingreso Proyectado_Edu'!$P178)+0)),0)</f>
        <v>0</v>
      </c>
      <c r="AJ178" s="169">
        <f ca="1">+IFERROR(IF(ISNUMBER(OFFSET('EDP Proyectado'!AK178,0,-'Ingreso Proyectado_Edu'!$P178))&lt;&gt;0,IF(OFFSET('EDP Proyectado'!AK178,0,-'Ingreso Proyectado_Edu'!$P178)+0&lt;=1,0,OFFSET('EDP Proyectado'!AK178,0,-'Ingreso Proyectado_Edu'!$P178)+0)),0)</f>
        <v>0</v>
      </c>
      <c r="AK178" s="169">
        <f ca="1">+IFERROR(IF(ISNUMBER(OFFSET('EDP Proyectado'!AL178,0,-'Ingreso Proyectado_Edu'!$P178))&lt;&gt;0,IF(OFFSET('EDP Proyectado'!AL178,0,-'Ingreso Proyectado_Edu'!$P178)+0&lt;=1,0,OFFSET('EDP Proyectado'!AL178,0,-'Ingreso Proyectado_Edu'!$P178)+0)),0)</f>
        <v>0</v>
      </c>
      <c r="AL178" s="169">
        <f ca="1">+IFERROR(IF(ISNUMBER(OFFSET('EDP Proyectado'!AM178,0,-'Ingreso Proyectado_Edu'!$P178))&lt;&gt;0,IF(OFFSET('EDP Proyectado'!AM178,0,-'Ingreso Proyectado_Edu'!$P178)+0&lt;=1,0,OFFSET('EDP Proyectado'!AM178,0,-'Ingreso Proyectado_Edu'!$P178)+0)),0)</f>
        <v>0</v>
      </c>
      <c r="AM178" s="169">
        <f ca="1">+IFERROR(IF(ISNUMBER(OFFSET('EDP Proyectado'!AN178,0,-'Ingreso Proyectado_Edu'!$P178))&lt;&gt;0,IF(OFFSET('EDP Proyectado'!AN178,0,-'Ingreso Proyectado_Edu'!$P178)+0&lt;=1,0,OFFSET('EDP Proyectado'!AN178,0,-'Ingreso Proyectado_Edu'!$P178)+0)),0)</f>
        <v>0</v>
      </c>
      <c r="AN178" s="169">
        <f ca="1">+IFERROR(IF(ISNUMBER(OFFSET('EDP Proyectado'!AO178,0,-'Ingreso Proyectado_Edu'!$P178))&lt;&gt;0,IF(OFFSET('EDP Proyectado'!AO178,0,-'Ingreso Proyectado_Edu'!$P178)+0&lt;=1,0,OFFSET('EDP Proyectado'!AO178,0,-'Ingreso Proyectado_Edu'!$P178)+0)),0)</f>
        <v>0</v>
      </c>
      <c r="AO178" s="169">
        <f ca="1">+IFERROR(IF(ISNUMBER(OFFSET('EDP Proyectado'!AP178,0,-'Ingreso Proyectado_Edu'!$P178))&lt;&gt;0,IF(OFFSET('EDP Proyectado'!AP178,0,-'Ingreso Proyectado_Edu'!$P178)+0&lt;=1,0,OFFSET('EDP Proyectado'!AP178,0,-'Ingreso Proyectado_Edu'!$P178)+0)),0)</f>
        <v>0</v>
      </c>
      <c r="AP178" s="170">
        <f ca="1">+IFERROR(IF(ISNUMBER(OFFSET('EDP Proyectado'!AQ178,0,-'Ingreso Proyectado_Edu'!$P178))&lt;&gt;0,IF(OFFSET('EDP Proyectado'!AQ178,0,-'Ingreso Proyectado_Edu'!$P178)+0&lt;=1,0,OFFSET('EDP Proyectado'!AQ178,0,-'Ingreso Proyectado_Edu'!$P178)+0)),0)</f>
        <v>0</v>
      </c>
    </row>
    <row r="179" spans="3:42" x14ac:dyDescent="0.2">
      <c r="C179" s="110">
        <f>+'Gantt Proyectos'!C247</f>
        <v>0</v>
      </c>
      <c r="D179" s="110">
        <f>+'Gantt Proyectos'!D247</f>
        <v>0</v>
      </c>
      <c r="E179" s="110">
        <f>+'Gantt Proyectos'!E247</f>
        <v>0</v>
      </c>
      <c r="F179" s="148">
        <f>+'Gantt Proyectos'!F247</f>
        <v>0</v>
      </c>
      <c r="G179" s="110">
        <f>+'Gantt Proyectos'!G247</f>
        <v>0</v>
      </c>
      <c r="H179" s="110">
        <f>+'Gantt Proyectos'!H247</f>
        <v>0</v>
      </c>
      <c r="I179" s="189">
        <v>1</v>
      </c>
      <c r="J179" s="189">
        <f t="shared" si="14"/>
        <v>0</v>
      </c>
      <c r="K179" s="110">
        <f>+'Gantt Proyectos'!I247</f>
        <v>0</v>
      </c>
      <c r="L179" s="110">
        <f>+'Gantt Proyectos'!J247</f>
        <v>0</v>
      </c>
      <c r="M179" s="110">
        <f>+'Gantt Proyectos'!K247</f>
        <v>0</v>
      </c>
      <c r="N179" s="110">
        <f>+'Gantt Proyectos'!L247</f>
        <v>0</v>
      </c>
      <c r="O179" s="110">
        <f>+'Gantt Proyectos'!M247</f>
        <v>0</v>
      </c>
      <c r="P179" s="110">
        <f>+'Gantt Proyectos'!N247</f>
        <v>0</v>
      </c>
      <c r="Q179" s="110">
        <f>+'Gantt Proyectos'!O247</f>
        <v>0</v>
      </c>
      <c r="R179" s="110">
        <f>+'Gantt Proyectos'!P247</f>
        <v>0</v>
      </c>
      <c r="S179" s="110">
        <f>+'Gantt Proyectos'!R247</f>
        <v>0</v>
      </c>
      <c r="T179" s="118">
        <f>+'Gantt Proyectos'!S247</f>
        <v>0</v>
      </c>
      <c r="U179" s="157">
        <f>+'Gantt Proyectos'!T247</f>
        <v>0</v>
      </c>
      <c r="V179" s="157">
        <f>+'Gantt Proyectos'!U247</f>
        <v>0</v>
      </c>
      <c r="W179" s="201">
        <f t="shared" si="15"/>
        <v>0</v>
      </c>
      <c r="X179" s="110">
        <f>+'Gantt Proyectos'!W247</f>
        <v>0</v>
      </c>
      <c r="Y179" s="110">
        <f>+'Gantt Proyectos'!X247</f>
        <v>0</v>
      </c>
      <c r="Z179" s="110">
        <f>+'Gantt Proyectos'!Y247</f>
        <v>0</v>
      </c>
      <c r="AA179" s="110">
        <f>+'Gantt Proyectos'!Z247</f>
        <v>0</v>
      </c>
      <c r="AB179" s="110">
        <f>+'Gantt Proyectos'!AA247</f>
        <v>0</v>
      </c>
      <c r="AC179" s="110">
        <f>+'Gantt Proyectos'!AB247</f>
        <v>0</v>
      </c>
      <c r="AD179" s="110">
        <f>+'Gantt Proyectos'!AC247</f>
        <v>0</v>
      </c>
      <c r="AE179" s="110">
        <f>+'Gantt Proyectos'!AD247</f>
        <v>0</v>
      </c>
      <c r="AF179" s="110">
        <f>+'Gantt Proyectos'!AE247</f>
        <v>0</v>
      </c>
      <c r="AG179" s="172">
        <v>1</v>
      </c>
      <c r="AH179" s="169">
        <f ca="1">+IFERROR(IF(ISNUMBER(OFFSET('EDP Proyectado'!AI179,0,-'Ingreso Proyectado_Edu'!$P179))&lt;&gt;0,IF(OFFSET('EDP Proyectado'!AI179,0,-'Ingreso Proyectado_Edu'!$P179)+0&lt;=1,0,OFFSET('EDP Proyectado'!AI179,0,-'Ingreso Proyectado_Edu'!$P179)+0)),0)</f>
        <v>0</v>
      </c>
      <c r="AI179" s="169">
        <f ca="1">+IFERROR(IF(ISNUMBER(OFFSET('EDP Proyectado'!AJ179,0,-'Ingreso Proyectado_Edu'!$P179))&lt;&gt;0,IF(OFFSET('EDP Proyectado'!AJ179,0,-'Ingreso Proyectado_Edu'!$P179)+0&lt;=1,0,OFFSET('EDP Proyectado'!AJ179,0,-'Ingreso Proyectado_Edu'!$P179)+0)),0)</f>
        <v>0</v>
      </c>
      <c r="AJ179" s="169">
        <f ca="1">+IFERROR(IF(ISNUMBER(OFFSET('EDP Proyectado'!AK179,0,-'Ingreso Proyectado_Edu'!$P179))&lt;&gt;0,IF(OFFSET('EDP Proyectado'!AK179,0,-'Ingreso Proyectado_Edu'!$P179)+0&lt;=1,0,OFFSET('EDP Proyectado'!AK179,0,-'Ingreso Proyectado_Edu'!$P179)+0)),0)</f>
        <v>0</v>
      </c>
      <c r="AK179" s="169">
        <f ca="1">+IFERROR(IF(ISNUMBER(OFFSET('EDP Proyectado'!AL179,0,-'Ingreso Proyectado_Edu'!$P179))&lt;&gt;0,IF(OFFSET('EDP Proyectado'!AL179,0,-'Ingreso Proyectado_Edu'!$P179)+0&lt;=1,0,OFFSET('EDP Proyectado'!AL179,0,-'Ingreso Proyectado_Edu'!$P179)+0)),0)</f>
        <v>0</v>
      </c>
      <c r="AL179" s="169">
        <f ca="1">+IFERROR(IF(ISNUMBER(OFFSET('EDP Proyectado'!AM179,0,-'Ingreso Proyectado_Edu'!$P179))&lt;&gt;0,IF(OFFSET('EDP Proyectado'!AM179,0,-'Ingreso Proyectado_Edu'!$P179)+0&lt;=1,0,OFFSET('EDP Proyectado'!AM179,0,-'Ingreso Proyectado_Edu'!$P179)+0)),0)</f>
        <v>0</v>
      </c>
      <c r="AM179" s="169">
        <f ca="1">+IFERROR(IF(ISNUMBER(OFFSET('EDP Proyectado'!AN179,0,-'Ingreso Proyectado_Edu'!$P179))&lt;&gt;0,IF(OFFSET('EDP Proyectado'!AN179,0,-'Ingreso Proyectado_Edu'!$P179)+0&lt;=1,0,OFFSET('EDP Proyectado'!AN179,0,-'Ingreso Proyectado_Edu'!$P179)+0)),0)</f>
        <v>0</v>
      </c>
      <c r="AN179" s="169">
        <f ca="1">+IFERROR(IF(ISNUMBER(OFFSET('EDP Proyectado'!AO179,0,-'Ingreso Proyectado_Edu'!$P179))&lt;&gt;0,IF(OFFSET('EDP Proyectado'!AO179,0,-'Ingreso Proyectado_Edu'!$P179)+0&lt;=1,0,OFFSET('EDP Proyectado'!AO179,0,-'Ingreso Proyectado_Edu'!$P179)+0)),0)</f>
        <v>0</v>
      </c>
      <c r="AO179" s="169">
        <f ca="1">+IFERROR(IF(ISNUMBER(OFFSET('EDP Proyectado'!AP179,0,-'Ingreso Proyectado_Edu'!$P179))&lt;&gt;0,IF(OFFSET('EDP Proyectado'!AP179,0,-'Ingreso Proyectado_Edu'!$P179)+0&lt;=1,0,OFFSET('EDP Proyectado'!AP179,0,-'Ingreso Proyectado_Edu'!$P179)+0)),0)</f>
        <v>0</v>
      </c>
      <c r="AP179" s="170">
        <f ca="1">+IFERROR(IF(ISNUMBER(OFFSET('EDP Proyectado'!AQ179,0,-'Ingreso Proyectado_Edu'!$P179))&lt;&gt;0,IF(OFFSET('EDP Proyectado'!AQ179,0,-'Ingreso Proyectado_Edu'!$P179)+0&lt;=1,0,OFFSET('EDP Proyectado'!AQ179,0,-'Ingreso Proyectado_Edu'!$P179)+0)),0)</f>
        <v>0</v>
      </c>
    </row>
    <row r="180" spans="3:42" x14ac:dyDescent="0.2">
      <c r="C180" s="110">
        <f>+'Gantt Proyectos'!C248</f>
        <v>0</v>
      </c>
      <c r="D180" s="110">
        <f>+'Gantt Proyectos'!D248</f>
        <v>0</v>
      </c>
      <c r="E180" s="110">
        <f>+'Gantt Proyectos'!E248</f>
        <v>0</v>
      </c>
      <c r="F180" s="148">
        <f>+'Gantt Proyectos'!F248</f>
        <v>0</v>
      </c>
      <c r="G180" s="110">
        <f>+'Gantt Proyectos'!G248</f>
        <v>0</v>
      </c>
      <c r="H180" s="110">
        <f>+'Gantt Proyectos'!H248</f>
        <v>0</v>
      </c>
      <c r="I180" s="189">
        <v>1</v>
      </c>
      <c r="J180" s="189">
        <f t="shared" si="14"/>
        <v>0</v>
      </c>
      <c r="K180" s="110">
        <f>+'Gantt Proyectos'!I248</f>
        <v>0</v>
      </c>
      <c r="L180" s="110">
        <f>+'Gantt Proyectos'!J248</f>
        <v>0</v>
      </c>
      <c r="M180" s="110">
        <f>+'Gantt Proyectos'!K248</f>
        <v>0</v>
      </c>
      <c r="N180" s="110">
        <f>+'Gantt Proyectos'!L248</f>
        <v>0</v>
      </c>
      <c r="O180" s="110">
        <f>+'Gantt Proyectos'!M248</f>
        <v>0</v>
      </c>
      <c r="P180" s="110">
        <f>+'Gantt Proyectos'!N248</f>
        <v>0</v>
      </c>
      <c r="Q180" s="110">
        <f>+'Gantt Proyectos'!O248</f>
        <v>0</v>
      </c>
      <c r="R180" s="110">
        <f>+'Gantt Proyectos'!P248</f>
        <v>0</v>
      </c>
      <c r="S180" s="110">
        <f>+'Gantt Proyectos'!R248</f>
        <v>0</v>
      </c>
      <c r="T180" s="118">
        <f>+'Gantt Proyectos'!S248</f>
        <v>0</v>
      </c>
      <c r="U180" s="157">
        <f>+'Gantt Proyectos'!T248</f>
        <v>0</v>
      </c>
      <c r="V180" s="157">
        <f>+'Gantt Proyectos'!U248</f>
        <v>0</v>
      </c>
      <c r="W180" s="201">
        <f t="shared" si="15"/>
        <v>0</v>
      </c>
      <c r="X180" s="110">
        <f>+'Gantt Proyectos'!W248</f>
        <v>0</v>
      </c>
      <c r="Y180" s="110">
        <f>+'Gantt Proyectos'!X248</f>
        <v>0</v>
      </c>
      <c r="Z180" s="110">
        <f>+'Gantt Proyectos'!Y248</f>
        <v>0</v>
      </c>
      <c r="AA180" s="110">
        <f>+'Gantt Proyectos'!Z248</f>
        <v>0</v>
      </c>
      <c r="AB180" s="110">
        <f>+'Gantt Proyectos'!AA248</f>
        <v>0</v>
      </c>
      <c r="AC180" s="110">
        <f>+'Gantt Proyectos'!AB248</f>
        <v>0</v>
      </c>
      <c r="AD180" s="110">
        <f>+'Gantt Proyectos'!AC248</f>
        <v>0</v>
      </c>
      <c r="AE180" s="110">
        <f>+'Gantt Proyectos'!AD248</f>
        <v>0</v>
      </c>
      <c r="AF180" s="110">
        <f>+'Gantt Proyectos'!AE248</f>
        <v>0</v>
      </c>
      <c r="AG180" s="172">
        <v>1</v>
      </c>
      <c r="AH180" s="169">
        <f ca="1">+IFERROR(IF(ISNUMBER(OFFSET('EDP Proyectado'!AI180,0,-'Ingreso Proyectado_Edu'!$P180))&lt;&gt;0,IF(OFFSET('EDP Proyectado'!AI180,0,-'Ingreso Proyectado_Edu'!$P180)+0&lt;=1,0,OFFSET('EDP Proyectado'!AI180,0,-'Ingreso Proyectado_Edu'!$P180)+0)),0)</f>
        <v>0</v>
      </c>
      <c r="AI180" s="169">
        <f ca="1">+IFERROR(IF(ISNUMBER(OFFSET('EDP Proyectado'!AJ180,0,-'Ingreso Proyectado_Edu'!$P180))&lt;&gt;0,IF(OFFSET('EDP Proyectado'!AJ180,0,-'Ingreso Proyectado_Edu'!$P180)+0&lt;=1,0,OFFSET('EDP Proyectado'!AJ180,0,-'Ingreso Proyectado_Edu'!$P180)+0)),0)</f>
        <v>0</v>
      </c>
      <c r="AJ180" s="169">
        <f ca="1">+IFERROR(IF(ISNUMBER(OFFSET('EDP Proyectado'!AK180,0,-'Ingreso Proyectado_Edu'!$P180))&lt;&gt;0,IF(OFFSET('EDP Proyectado'!AK180,0,-'Ingreso Proyectado_Edu'!$P180)+0&lt;=1,0,OFFSET('EDP Proyectado'!AK180,0,-'Ingreso Proyectado_Edu'!$P180)+0)),0)</f>
        <v>0</v>
      </c>
      <c r="AK180" s="169">
        <f ca="1">+IFERROR(IF(ISNUMBER(OFFSET('EDP Proyectado'!AL180,0,-'Ingreso Proyectado_Edu'!$P180))&lt;&gt;0,IF(OFFSET('EDP Proyectado'!AL180,0,-'Ingreso Proyectado_Edu'!$P180)+0&lt;=1,0,OFFSET('EDP Proyectado'!AL180,0,-'Ingreso Proyectado_Edu'!$P180)+0)),0)</f>
        <v>0</v>
      </c>
      <c r="AL180" s="169">
        <f ca="1">+IFERROR(IF(ISNUMBER(OFFSET('EDP Proyectado'!AM180,0,-'Ingreso Proyectado_Edu'!$P180))&lt;&gt;0,IF(OFFSET('EDP Proyectado'!AM180,0,-'Ingreso Proyectado_Edu'!$P180)+0&lt;=1,0,OFFSET('EDP Proyectado'!AM180,0,-'Ingreso Proyectado_Edu'!$P180)+0)),0)</f>
        <v>0</v>
      </c>
      <c r="AM180" s="169">
        <f ca="1">+IFERROR(IF(ISNUMBER(OFFSET('EDP Proyectado'!AN180,0,-'Ingreso Proyectado_Edu'!$P180))&lt;&gt;0,IF(OFFSET('EDP Proyectado'!AN180,0,-'Ingreso Proyectado_Edu'!$P180)+0&lt;=1,0,OFFSET('EDP Proyectado'!AN180,0,-'Ingreso Proyectado_Edu'!$P180)+0)),0)</f>
        <v>0</v>
      </c>
      <c r="AN180" s="169">
        <f ca="1">+IFERROR(IF(ISNUMBER(OFFSET('EDP Proyectado'!AO180,0,-'Ingreso Proyectado_Edu'!$P180))&lt;&gt;0,IF(OFFSET('EDP Proyectado'!AO180,0,-'Ingreso Proyectado_Edu'!$P180)+0&lt;=1,0,OFFSET('EDP Proyectado'!AO180,0,-'Ingreso Proyectado_Edu'!$P180)+0)),0)</f>
        <v>0</v>
      </c>
      <c r="AO180" s="169">
        <f ca="1">+IFERROR(IF(ISNUMBER(OFFSET('EDP Proyectado'!AP180,0,-'Ingreso Proyectado_Edu'!$P180))&lt;&gt;0,IF(OFFSET('EDP Proyectado'!AP180,0,-'Ingreso Proyectado_Edu'!$P180)+0&lt;=1,0,OFFSET('EDP Proyectado'!AP180,0,-'Ingreso Proyectado_Edu'!$P180)+0)),0)</f>
        <v>0</v>
      </c>
      <c r="AP180" s="170">
        <f ca="1">+IFERROR(IF(ISNUMBER(OFFSET('EDP Proyectado'!AQ180,0,-'Ingreso Proyectado_Edu'!$P180))&lt;&gt;0,IF(OFFSET('EDP Proyectado'!AQ180,0,-'Ingreso Proyectado_Edu'!$P180)+0&lt;=1,0,OFFSET('EDP Proyectado'!AQ180,0,-'Ingreso Proyectado_Edu'!$P180)+0)),0)</f>
        <v>0</v>
      </c>
    </row>
    <row r="181" spans="3:42" x14ac:dyDescent="0.2">
      <c r="C181" s="110">
        <f>+'Gantt Proyectos'!C249</f>
        <v>0</v>
      </c>
      <c r="D181" s="110">
        <f>+'Gantt Proyectos'!D249</f>
        <v>0</v>
      </c>
      <c r="E181" s="110">
        <f>+'Gantt Proyectos'!E249</f>
        <v>0</v>
      </c>
      <c r="F181" s="148">
        <f>+'Gantt Proyectos'!F249</f>
        <v>0</v>
      </c>
      <c r="G181" s="110">
        <f>+'Gantt Proyectos'!G249</f>
        <v>0</v>
      </c>
      <c r="H181" s="110">
        <f>+'Gantt Proyectos'!H249</f>
        <v>0</v>
      </c>
      <c r="I181" s="189">
        <v>1</v>
      </c>
      <c r="J181" s="189">
        <f t="shared" si="14"/>
        <v>0</v>
      </c>
      <c r="K181" s="110">
        <f>+'Gantt Proyectos'!I249</f>
        <v>0</v>
      </c>
      <c r="L181" s="110">
        <f>+'Gantt Proyectos'!J249</f>
        <v>0</v>
      </c>
      <c r="M181" s="110">
        <f>+'Gantt Proyectos'!K249</f>
        <v>0</v>
      </c>
      <c r="N181" s="110">
        <f>+'Gantt Proyectos'!L249</f>
        <v>0</v>
      </c>
      <c r="O181" s="110">
        <f>+'Gantt Proyectos'!M249</f>
        <v>0</v>
      </c>
      <c r="P181" s="110">
        <f>+'Gantt Proyectos'!N249</f>
        <v>0</v>
      </c>
      <c r="Q181" s="110">
        <f>+'Gantt Proyectos'!O249</f>
        <v>0</v>
      </c>
      <c r="R181" s="110">
        <f>+'Gantt Proyectos'!P249</f>
        <v>0</v>
      </c>
      <c r="S181" s="110">
        <f>+'Gantt Proyectos'!R249</f>
        <v>0</v>
      </c>
      <c r="T181" s="118">
        <f>+'Gantt Proyectos'!S249</f>
        <v>0</v>
      </c>
      <c r="U181" s="157">
        <f>+'Gantt Proyectos'!T249</f>
        <v>0</v>
      </c>
      <c r="V181" s="157">
        <f>+'Gantt Proyectos'!U249</f>
        <v>0</v>
      </c>
      <c r="W181" s="201">
        <f t="shared" si="15"/>
        <v>0</v>
      </c>
      <c r="X181" s="110">
        <f>+'Gantt Proyectos'!W249</f>
        <v>0</v>
      </c>
      <c r="Y181" s="110">
        <f>+'Gantt Proyectos'!X249</f>
        <v>0</v>
      </c>
      <c r="Z181" s="110">
        <f>+'Gantt Proyectos'!Y249</f>
        <v>0</v>
      </c>
      <c r="AA181" s="110">
        <f>+'Gantt Proyectos'!Z249</f>
        <v>0</v>
      </c>
      <c r="AB181" s="110">
        <f>+'Gantt Proyectos'!AA249</f>
        <v>0</v>
      </c>
      <c r="AC181" s="110">
        <f>+'Gantt Proyectos'!AB249</f>
        <v>0</v>
      </c>
      <c r="AD181" s="110">
        <f>+'Gantt Proyectos'!AC249</f>
        <v>0</v>
      </c>
      <c r="AE181" s="110">
        <f>+'Gantt Proyectos'!AD249</f>
        <v>0</v>
      </c>
      <c r="AF181" s="110">
        <f>+'Gantt Proyectos'!AE249</f>
        <v>0</v>
      </c>
      <c r="AG181" s="172">
        <v>1</v>
      </c>
      <c r="AH181" s="169">
        <f ca="1">+IFERROR(IF(ISNUMBER(OFFSET('EDP Proyectado'!AI181,0,-'Ingreso Proyectado_Edu'!$P181))&lt;&gt;0,IF(OFFSET('EDP Proyectado'!AI181,0,-'Ingreso Proyectado_Edu'!$P181)+0&lt;=1,0,OFFSET('EDP Proyectado'!AI181,0,-'Ingreso Proyectado_Edu'!$P181)+0)),0)</f>
        <v>0</v>
      </c>
      <c r="AI181" s="169">
        <f ca="1">+IFERROR(IF(ISNUMBER(OFFSET('EDP Proyectado'!AJ181,0,-'Ingreso Proyectado_Edu'!$P181))&lt;&gt;0,IF(OFFSET('EDP Proyectado'!AJ181,0,-'Ingreso Proyectado_Edu'!$P181)+0&lt;=1,0,OFFSET('EDP Proyectado'!AJ181,0,-'Ingreso Proyectado_Edu'!$P181)+0)),0)</f>
        <v>0</v>
      </c>
      <c r="AJ181" s="169">
        <f ca="1">+IFERROR(IF(ISNUMBER(OFFSET('EDP Proyectado'!AK181,0,-'Ingreso Proyectado_Edu'!$P181))&lt;&gt;0,IF(OFFSET('EDP Proyectado'!AK181,0,-'Ingreso Proyectado_Edu'!$P181)+0&lt;=1,0,OFFSET('EDP Proyectado'!AK181,0,-'Ingreso Proyectado_Edu'!$P181)+0)),0)</f>
        <v>0</v>
      </c>
      <c r="AK181" s="169">
        <f ca="1">+IFERROR(IF(ISNUMBER(OFFSET('EDP Proyectado'!AL181,0,-'Ingreso Proyectado_Edu'!$P181))&lt;&gt;0,IF(OFFSET('EDP Proyectado'!AL181,0,-'Ingreso Proyectado_Edu'!$P181)+0&lt;=1,0,OFFSET('EDP Proyectado'!AL181,0,-'Ingreso Proyectado_Edu'!$P181)+0)),0)</f>
        <v>0</v>
      </c>
      <c r="AL181" s="169">
        <f ca="1">+IFERROR(IF(ISNUMBER(OFFSET('EDP Proyectado'!AM181,0,-'Ingreso Proyectado_Edu'!$P181))&lt;&gt;0,IF(OFFSET('EDP Proyectado'!AM181,0,-'Ingreso Proyectado_Edu'!$P181)+0&lt;=1,0,OFFSET('EDP Proyectado'!AM181,0,-'Ingreso Proyectado_Edu'!$P181)+0)),0)</f>
        <v>0</v>
      </c>
      <c r="AM181" s="169">
        <f ca="1">+IFERROR(IF(ISNUMBER(OFFSET('EDP Proyectado'!AN181,0,-'Ingreso Proyectado_Edu'!$P181))&lt;&gt;0,IF(OFFSET('EDP Proyectado'!AN181,0,-'Ingreso Proyectado_Edu'!$P181)+0&lt;=1,0,OFFSET('EDP Proyectado'!AN181,0,-'Ingreso Proyectado_Edu'!$P181)+0)),0)</f>
        <v>0</v>
      </c>
      <c r="AN181" s="169">
        <f ca="1">+IFERROR(IF(ISNUMBER(OFFSET('EDP Proyectado'!AO181,0,-'Ingreso Proyectado_Edu'!$P181))&lt;&gt;0,IF(OFFSET('EDP Proyectado'!AO181,0,-'Ingreso Proyectado_Edu'!$P181)+0&lt;=1,0,OFFSET('EDP Proyectado'!AO181,0,-'Ingreso Proyectado_Edu'!$P181)+0)),0)</f>
        <v>0</v>
      </c>
      <c r="AO181" s="169">
        <f ca="1">+IFERROR(IF(ISNUMBER(OFFSET('EDP Proyectado'!AP181,0,-'Ingreso Proyectado_Edu'!$P181))&lt;&gt;0,IF(OFFSET('EDP Proyectado'!AP181,0,-'Ingreso Proyectado_Edu'!$P181)+0&lt;=1,0,OFFSET('EDP Proyectado'!AP181,0,-'Ingreso Proyectado_Edu'!$P181)+0)),0)</f>
        <v>0</v>
      </c>
      <c r="AP181" s="170">
        <f ca="1">+IFERROR(IF(ISNUMBER(OFFSET('EDP Proyectado'!AQ181,0,-'Ingreso Proyectado_Edu'!$P181))&lt;&gt;0,IF(OFFSET('EDP Proyectado'!AQ181,0,-'Ingreso Proyectado_Edu'!$P181)+0&lt;=1,0,OFFSET('EDP Proyectado'!AQ181,0,-'Ingreso Proyectado_Edu'!$P181)+0)),0)</f>
        <v>0</v>
      </c>
    </row>
    <row r="182" spans="3:42" x14ac:dyDescent="0.2">
      <c r="C182" s="110">
        <f>+'Gantt Proyectos'!C250</f>
        <v>0</v>
      </c>
      <c r="D182" s="110">
        <f>+'Gantt Proyectos'!D250</f>
        <v>0</v>
      </c>
      <c r="E182" s="110">
        <f>+'Gantt Proyectos'!E250</f>
        <v>0</v>
      </c>
      <c r="F182" s="148">
        <f>+'Gantt Proyectos'!F250</f>
        <v>0</v>
      </c>
      <c r="G182" s="110">
        <f>+'Gantt Proyectos'!G250</f>
        <v>0</v>
      </c>
      <c r="H182" s="110">
        <f>+'Gantt Proyectos'!H250</f>
        <v>0</v>
      </c>
      <c r="I182" s="189">
        <v>1</v>
      </c>
      <c r="J182" s="189">
        <f t="shared" si="14"/>
        <v>0</v>
      </c>
      <c r="K182" s="110">
        <f>+'Gantt Proyectos'!I250</f>
        <v>0</v>
      </c>
      <c r="L182" s="110">
        <f>+'Gantt Proyectos'!J250</f>
        <v>0</v>
      </c>
      <c r="M182" s="110">
        <f>+'Gantt Proyectos'!K250</f>
        <v>0</v>
      </c>
      <c r="N182" s="110">
        <f>+'Gantt Proyectos'!L250</f>
        <v>0</v>
      </c>
      <c r="O182" s="110">
        <f>+'Gantt Proyectos'!M250</f>
        <v>0</v>
      </c>
      <c r="P182" s="110">
        <f>+'Gantt Proyectos'!N250</f>
        <v>0</v>
      </c>
      <c r="Q182" s="110">
        <f>+'Gantt Proyectos'!O250</f>
        <v>0</v>
      </c>
      <c r="R182" s="110">
        <f>+'Gantt Proyectos'!P250</f>
        <v>0</v>
      </c>
      <c r="S182" s="110">
        <f>+'Gantt Proyectos'!R250</f>
        <v>0</v>
      </c>
      <c r="T182" s="118">
        <f>+'Gantt Proyectos'!S250</f>
        <v>0</v>
      </c>
      <c r="U182" s="157">
        <f>+'Gantt Proyectos'!T250</f>
        <v>0</v>
      </c>
      <c r="V182" s="157">
        <f>+'Gantt Proyectos'!U250</f>
        <v>0</v>
      </c>
      <c r="W182" s="201">
        <f t="shared" si="15"/>
        <v>0</v>
      </c>
      <c r="X182" s="110">
        <f>+'Gantt Proyectos'!W250</f>
        <v>0</v>
      </c>
      <c r="Y182" s="110">
        <f>+'Gantt Proyectos'!X250</f>
        <v>0</v>
      </c>
      <c r="Z182" s="110">
        <f>+'Gantt Proyectos'!Y250</f>
        <v>0</v>
      </c>
      <c r="AA182" s="110">
        <f>+'Gantt Proyectos'!Z250</f>
        <v>0</v>
      </c>
      <c r="AB182" s="110">
        <f>+'Gantt Proyectos'!AA250</f>
        <v>0</v>
      </c>
      <c r="AC182" s="110">
        <f>+'Gantt Proyectos'!AB250</f>
        <v>0</v>
      </c>
      <c r="AD182" s="110">
        <f>+'Gantt Proyectos'!AC250</f>
        <v>0</v>
      </c>
      <c r="AE182" s="110">
        <f>+'Gantt Proyectos'!AD250</f>
        <v>0</v>
      </c>
      <c r="AF182" s="110">
        <f>+'Gantt Proyectos'!AE250</f>
        <v>0</v>
      </c>
      <c r="AG182" s="172">
        <v>1</v>
      </c>
      <c r="AH182" s="169">
        <f ca="1">+IFERROR(IF(ISNUMBER(OFFSET('EDP Proyectado'!AI182,0,-'Ingreso Proyectado_Edu'!$P182))&lt;&gt;0,IF(OFFSET('EDP Proyectado'!AI182,0,-'Ingreso Proyectado_Edu'!$P182)+0&lt;=1,0,OFFSET('EDP Proyectado'!AI182,0,-'Ingreso Proyectado_Edu'!$P182)+0)),0)</f>
        <v>0</v>
      </c>
      <c r="AI182" s="169">
        <f ca="1">+IFERROR(IF(ISNUMBER(OFFSET('EDP Proyectado'!AJ182,0,-'Ingreso Proyectado_Edu'!$P182))&lt;&gt;0,IF(OFFSET('EDP Proyectado'!AJ182,0,-'Ingreso Proyectado_Edu'!$P182)+0&lt;=1,0,OFFSET('EDP Proyectado'!AJ182,0,-'Ingreso Proyectado_Edu'!$P182)+0)),0)</f>
        <v>0</v>
      </c>
      <c r="AJ182" s="169">
        <f ca="1">+IFERROR(IF(ISNUMBER(OFFSET('EDP Proyectado'!AK182,0,-'Ingreso Proyectado_Edu'!$P182))&lt;&gt;0,IF(OFFSET('EDP Proyectado'!AK182,0,-'Ingreso Proyectado_Edu'!$P182)+0&lt;=1,0,OFFSET('EDP Proyectado'!AK182,0,-'Ingreso Proyectado_Edu'!$P182)+0)),0)</f>
        <v>0</v>
      </c>
      <c r="AK182" s="169">
        <f ca="1">+IFERROR(IF(ISNUMBER(OFFSET('EDP Proyectado'!AL182,0,-'Ingreso Proyectado_Edu'!$P182))&lt;&gt;0,IF(OFFSET('EDP Proyectado'!AL182,0,-'Ingreso Proyectado_Edu'!$P182)+0&lt;=1,0,OFFSET('EDP Proyectado'!AL182,0,-'Ingreso Proyectado_Edu'!$P182)+0)),0)</f>
        <v>0</v>
      </c>
      <c r="AL182" s="169">
        <f ca="1">+IFERROR(IF(ISNUMBER(OFFSET('EDP Proyectado'!AM182,0,-'Ingreso Proyectado_Edu'!$P182))&lt;&gt;0,IF(OFFSET('EDP Proyectado'!AM182,0,-'Ingreso Proyectado_Edu'!$P182)+0&lt;=1,0,OFFSET('EDP Proyectado'!AM182,0,-'Ingreso Proyectado_Edu'!$P182)+0)),0)</f>
        <v>0</v>
      </c>
      <c r="AM182" s="169">
        <f ca="1">+IFERROR(IF(ISNUMBER(OFFSET('EDP Proyectado'!AN182,0,-'Ingreso Proyectado_Edu'!$P182))&lt;&gt;0,IF(OFFSET('EDP Proyectado'!AN182,0,-'Ingreso Proyectado_Edu'!$P182)+0&lt;=1,0,OFFSET('EDP Proyectado'!AN182,0,-'Ingreso Proyectado_Edu'!$P182)+0)),0)</f>
        <v>0</v>
      </c>
      <c r="AN182" s="169">
        <f ca="1">+IFERROR(IF(ISNUMBER(OFFSET('EDP Proyectado'!AO182,0,-'Ingreso Proyectado_Edu'!$P182))&lt;&gt;0,IF(OFFSET('EDP Proyectado'!AO182,0,-'Ingreso Proyectado_Edu'!$P182)+0&lt;=1,0,OFFSET('EDP Proyectado'!AO182,0,-'Ingreso Proyectado_Edu'!$P182)+0)),0)</f>
        <v>0</v>
      </c>
      <c r="AO182" s="169">
        <f ca="1">+IFERROR(IF(ISNUMBER(OFFSET('EDP Proyectado'!AP182,0,-'Ingreso Proyectado_Edu'!$P182))&lt;&gt;0,IF(OFFSET('EDP Proyectado'!AP182,0,-'Ingreso Proyectado_Edu'!$P182)+0&lt;=1,0,OFFSET('EDP Proyectado'!AP182,0,-'Ingreso Proyectado_Edu'!$P182)+0)),0)</f>
        <v>0</v>
      </c>
      <c r="AP182" s="170">
        <f ca="1">+IFERROR(IF(ISNUMBER(OFFSET('EDP Proyectado'!AQ182,0,-'Ingreso Proyectado_Edu'!$P182))&lt;&gt;0,IF(OFFSET('EDP Proyectado'!AQ182,0,-'Ingreso Proyectado_Edu'!$P182)+0&lt;=1,0,OFFSET('EDP Proyectado'!AQ182,0,-'Ingreso Proyectado_Edu'!$P182)+0)),0)</f>
        <v>0</v>
      </c>
    </row>
    <row r="183" spans="3:42" x14ac:dyDescent="0.2">
      <c r="C183" s="110">
        <f>+'Gantt Proyectos'!C251</f>
        <v>0</v>
      </c>
      <c r="D183" s="110">
        <f>+'Gantt Proyectos'!D251</f>
        <v>0</v>
      </c>
      <c r="E183" s="110">
        <f>+'Gantt Proyectos'!E251</f>
        <v>0</v>
      </c>
      <c r="F183" s="148">
        <f>+'Gantt Proyectos'!F251</f>
        <v>0</v>
      </c>
      <c r="G183" s="110">
        <f>+'Gantt Proyectos'!G251</f>
        <v>0</v>
      </c>
      <c r="H183" s="110">
        <f>+'Gantt Proyectos'!H251</f>
        <v>0</v>
      </c>
      <c r="I183" s="189">
        <v>1</v>
      </c>
      <c r="J183" s="189">
        <f t="shared" si="14"/>
        <v>0</v>
      </c>
      <c r="K183" s="110">
        <f>+'Gantt Proyectos'!I251</f>
        <v>0</v>
      </c>
      <c r="L183" s="110">
        <f>+'Gantt Proyectos'!J251</f>
        <v>0</v>
      </c>
      <c r="M183" s="110">
        <f>+'Gantt Proyectos'!K251</f>
        <v>0</v>
      </c>
      <c r="N183" s="110">
        <f>+'Gantt Proyectos'!L251</f>
        <v>0</v>
      </c>
      <c r="O183" s="110">
        <f>+'Gantt Proyectos'!M251</f>
        <v>0</v>
      </c>
      <c r="P183" s="110">
        <f>+'Gantt Proyectos'!N251</f>
        <v>0</v>
      </c>
      <c r="Q183" s="110">
        <f>+'Gantt Proyectos'!O251</f>
        <v>0</v>
      </c>
      <c r="R183" s="110">
        <f>+'Gantt Proyectos'!P251</f>
        <v>0</v>
      </c>
      <c r="S183" s="110">
        <f>+'Gantt Proyectos'!R251</f>
        <v>0</v>
      </c>
      <c r="T183" s="118">
        <f>+'Gantt Proyectos'!S251</f>
        <v>0</v>
      </c>
      <c r="U183" s="157">
        <f>+'Gantt Proyectos'!T251</f>
        <v>0</v>
      </c>
      <c r="V183" s="157">
        <f>+'Gantt Proyectos'!U251</f>
        <v>0</v>
      </c>
      <c r="W183" s="201">
        <f t="shared" si="15"/>
        <v>0</v>
      </c>
      <c r="X183" s="110">
        <f>+'Gantt Proyectos'!W251</f>
        <v>0</v>
      </c>
      <c r="Y183" s="110">
        <f>+'Gantt Proyectos'!X251</f>
        <v>0</v>
      </c>
      <c r="Z183" s="110">
        <f>+'Gantt Proyectos'!Y251</f>
        <v>0</v>
      </c>
      <c r="AA183" s="110">
        <f>+'Gantt Proyectos'!Z251</f>
        <v>0</v>
      </c>
      <c r="AB183" s="110">
        <f>+'Gantt Proyectos'!AA251</f>
        <v>0</v>
      </c>
      <c r="AC183" s="110">
        <f>+'Gantt Proyectos'!AB251</f>
        <v>0</v>
      </c>
      <c r="AD183" s="110">
        <f>+'Gantt Proyectos'!AC251</f>
        <v>0</v>
      </c>
      <c r="AE183" s="110">
        <f>+'Gantt Proyectos'!AD251</f>
        <v>0</v>
      </c>
      <c r="AF183" s="110">
        <f>+'Gantt Proyectos'!AE251</f>
        <v>0</v>
      </c>
      <c r="AG183" s="172">
        <v>1</v>
      </c>
      <c r="AH183" s="169">
        <f ca="1">+IFERROR(IF(ISNUMBER(OFFSET('EDP Proyectado'!AI183,0,-'Ingreso Proyectado_Edu'!$P183))&lt;&gt;0,IF(OFFSET('EDP Proyectado'!AI183,0,-'Ingreso Proyectado_Edu'!$P183)+0&lt;=1,0,OFFSET('EDP Proyectado'!AI183,0,-'Ingreso Proyectado_Edu'!$P183)+0)),0)</f>
        <v>0</v>
      </c>
      <c r="AI183" s="169">
        <f ca="1">+IFERROR(IF(ISNUMBER(OFFSET('EDP Proyectado'!AJ183,0,-'Ingreso Proyectado_Edu'!$P183))&lt;&gt;0,IF(OFFSET('EDP Proyectado'!AJ183,0,-'Ingreso Proyectado_Edu'!$P183)+0&lt;=1,0,OFFSET('EDP Proyectado'!AJ183,0,-'Ingreso Proyectado_Edu'!$P183)+0)),0)</f>
        <v>0</v>
      </c>
      <c r="AJ183" s="169">
        <f ca="1">+IFERROR(IF(ISNUMBER(OFFSET('EDP Proyectado'!AK183,0,-'Ingreso Proyectado_Edu'!$P183))&lt;&gt;0,IF(OFFSET('EDP Proyectado'!AK183,0,-'Ingreso Proyectado_Edu'!$P183)+0&lt;=1,0,OFFSET('EDP Proyectado'!AK183,0,-'Ingreso Proyectado_Edu'!$P183)+0)),0)</f>
        <v>0</v>
      </c>
      <c r="AK183" s="169">
        <f ca="1">+IFERROR(IF(ISNUMBER(OFFSET('EDP Proyectado'!AL183,0,-'Ingreso Proyectado_Edu'!$P183))&lt;&gt;0,IF(OFFSET('EDP Proyectado'!AL183,0,-'Ingreso Proyectado_Edu'!$P183)+0&lt;=1,0,OFFSET('EDP Proyectado'!AL183,0,-'Ingreso Proyectado_Edu'!$P183)+0)),0)</f>
        <v>0</v>
      </c>
      <c r="AL183" s="169">
        <f ca="1">+IFERROR(IF(ISNUMBER(OFFSET('EDP Proyectado'!AM183,0,-'Ingreso Proyectado_Edu'!$P183))&lt;&gt;0,IF(OFFSET('EDP Proyectado'!AM183,0,-'Ingreso Proyectado_Edu'!$P183)+0&lt;=1,0,OFFSET('EDP Proyectado'!AM183,0,-'Ingreso Proyectado_Edu'!$P183)+0)),0)</f>
        <v>0</v>
      </c>
      <c r="AM183" s="169">
        <f ca="1">+IFERROR(IF(ISNUMBER(OFFSET('EDP Proyectado'!AN183,0,-'Ingreso Proyectado_Edu'!$P183))&lt;&gt;0,IF(OFFSET('EDP Proyectado'!AN183,0,-'Ingreso Proyectado_Edu'!$P183)+0&lt;=1,0,OFFSET('EDP Proyectado'!AN183,0,-'Ingreso Proyectado_Edu'!$P183)+0)),0)</f>
        <v>0</v>
      </c>
      <c r="AN183" s="169">
        <f ca="1">+IFERROR(IF(ISNUMBER(OFFSET('EDP Proyectado'!AO183,0,-'Ingreso Proyectado_Edu'!$P183))&lt;&gt;0,IF(OFFSET('EDP Proyectado'!AO183,0,-'Ingreso Proyectado_Edu'!$P183)+0&lt;=1,0,OFFSET('EDP Proyectado'!AO183,0,-'Ingreso Proyectado_Edu'!$P183)+0)),0)</f>
        <v>0</v>
      </c>
      <c r="AO183" s="169">
        <f ca="1">+IFERROR(IF(ISNUMBER(OFFSET('EDP Proyectado'!AP183,0,-'Ingreso Proyectado_Edu'!$P183))&lt;&gt;0,IF(OFFSET('EDP Proyectado'!AP183,0,-'Ingreso Proyectado_Edu'!$P183)+0&lt;=1,0,OFFSET('EDP Proyectado'!AP183,0,-'Ingreso Proyectado_Edu'!$P183)+0)),0)</f>
        <v>0</v>
      </c>
      <c r="AP183" s="170">
        <f ca="1">+IFERROR(IF(ISNUMBER(OFFSET('EDP Proyectado'!AQ183,0,-'Ingreso Proyectado_Edu'!$P183))&lt;&gt;0,IF(OFFSET('EDP Proyectado'!AQ183,0,-'Ingreso Proyectado_Edu'!$P183)+0&lt;=1,0,OFFSET('EDP Proyectado'!AQ183,0,-'Ingreso Proyectado_Edu'!$P183)+0)),0)</f>
        <v>0</v>
      </c>
    </row>
    <row r="184" spans="3:42" x14ac:dyDescent="0.2">
      <c r="C184" s="110">
        <f>+'Gantt Proyectos'!C252</f>
        <v>0</v>
      </c>
      <c r="D184" s="110">
        <f>+'Gantt Proyectos'!D252</f>
        <v>0</v>
      </c>
      <c r="E184" s="110">
        <f>+'Gantt Proyectos'!E252</f>
        <v>0</v>
      </c>
      <c r="F184" s="148">
        <f>+'Gantt Proyectos'!F252</f>
        <v>0</v>
      </c>
      <c r="G184" s="110">
        <f>+'Gantt Proyectos'!G252</f>
        <v>0</v>
      </c>
      <c r="H184" s="110">
        <f>+'Gantt Proyectos'!H252</f>
        <v>0</v>
      </c>
      <c r="I184" s="189">
        <v>1</v>
      </c>
      <c r="J184" s="189">
        <f t="shared" si="14"/>
        <v>0</v>
      </c>
      <c r="K184" s="110">
        <f>+'Gantt Proyectos'!I252</f>
        <v>0</v>
      </c>
      <c r="L184" s="110">
        <f>+'Gantt Proyectos'!J252</f>
        <v>0</v>
      </c>
      <c r="M184" s="110">
        <f>+'Gantt Proyectos'!K252</f>
        <v>0</v>
      </c>
      <c r="N184" s="110">
        <f>+'Gantt Proyectos'!L252</f>
        <v>0</v>
      </c>
      <c r="O184" s="110">
        <f>+'Gantt Proyectos'!M252</f>
        <v>0</v>
      </c>
      <c r="P184" s="110">
        <f>+'Gantt Proyectos'!N252</f>
        <v>0</v>
      </c>
      <c r="Q184" s="110">
        <f>+'Gantt Proyectos'!O252</f>
        <v>0</v>
      </c>
      <c r="R184" s="110">
        <f>+'Gantt Proyectos'!P252</f>
        <v>0</v>
      </c>
      <c r="S184" s="110">
        <f>+'Gantt Proyectos'!R252</f>
        <v>0</v>
      </c>
      <c r="T184" s="118">
        <f>+'Gantt Proyectos'!S252</f>
        <v>0</v>
      </c>
      <c r="U184" s="157">
        <f>+'Gantt Proyectos'!T252</f>
        <v>0</v>
      </c>
      <c r="V184" s="157">
        <f>+'Gantt Proyectos'!U252</f>
        <v>0</v>
      </c>
      <c r="W184" s="201">
        <f t="shared" si="15"/>
        <v>0</v>
      </c>
      <c r="X184" s="110">
        <f>+'Gantt Proyectos'!W252</f>
        <v>0</v>
      </c>
      <c r="Y184" s="110">
        <f>+'Gantt Proyectos'!X252</f>
        <v>0</v>
      </c>
      <c r="Z184" s="110">
        <f>+'Gantt Proyectos'!Y252</f>
        <v>0</v>
      </c>
      <c r="AA184" s="110">
        <f>+'Gantt Proyectos'!Z252</f>
        <v>0</v>
      </c>
      <c r="AB184" s="110">
        <f>+'Gantt Proyectos'!AA252</f>
        <v>0</v>
      </c>
      <c r="AC184" s="110">
        <f>+'Gantt Proyectos'!AB252</f>
        <v>0</v>
      </c>
      <c r="AD184" s="110">
        <f>+'Gantt Proyectos'!AC252</f>
        <v>0</v>
      </c>
      <c r="AE184" s="110">
        <f>+'Gantt Proyectos'!AD252</f>
        <v>0</v>
      </c>
      <c r="AF184" s="110">
        <f>+'Gantt Proyectos'!AE252</f>
        <v>0</v>
      </c>
      <c r="AG184" s="172">
        <v>1</v>
      </c>
      <c r="AH184" s="169">
        <f ca="1">+IFERROR(IF(ISNUMBER(OFFSET('EDP Proyectado'!AI184,0,-'Ingreso Proyectado_Edu'!$P184))&lt;&gt;0,IF(OFFSET('EDP Proyectado'!AI184,0,-'Ingreso Proyectado_Edu'!$P184)+0&lt;=1,0,OFFSET('EDP Proyectado'!AI184,0,-'Ingreso Proyectado_Edu'!$P184)+0)),0)</f>
        <v>0</v>
      </c>
      <c r="AI184" s="169">
        <f ca="1">+IFERROR(IF(ISNUMBER(OFFSET('EDP Proyectado'!AJ184,0,-'Ingreso Proyectado_Edu'!$P184))&lt;&gt;0,IF(OFFSET('EDP Proyectado'!AJ184,0,-'Ingreso Proyectado_Edu'!$P184)+0&lt;=1,0,OFFSET('EDP Proyectado'!AJ184,0,-'Ingreso Proyectado_Edu'!$P184)+0)),0)</f>
        <v>0</v>
      </c>
      <c r="AJ184" s="169">
        <f ca="1">+IFERROR(IF(ISNUMBER(OFFSET('EDP Proyectado'!AK184,0,-'Ingreso Proyectado_Edu'!$P184))&lt;&gt;0,IF(OFFSET('EDP Proyectado'!AK184,0,-'Ingreso Proyectado_Edu'!$P184)+0&lt;=1,0,OFFSET('EDP Proyectado'!AK184,0,-'Ingreso Proyectado_Edu'!$P184)+0)),0)</f>
        <v>0</v>
      </c>
      <c r="AK184" s="169">
        <f ca="1">+IFERROR(IF(ISNUMBER(OFFSET('EDP Proyectado'!AL184,0,-'Ingreso Proyectado_Edu'!$P184))&lt;&gt;0,IF(OFFSET('EDP Proyectado'!AL184,0,-'Ingreso Proyectado_Edu'!$P184)+0&lt;=1,0,OFFSET('EDP Proyectado'!AL184,0,-'Ingreso Proyectado_Edu'!$P184)+0)),0)</f>
        <v>0</v>
      </c>
      <c r="AL184" s="169">
        <f ca="1">+IFERROR(IF(ISNUMBER(OFFSET('EDP Proyectado'!AM184,0,-'Ingreso Proyectado_Edu'!$P184))&lt;&gt;0,IF(OFFSET('EDP Proyectado'!AM184,0,-'Ingreso Proyectado_Edu'!$P184)+0&lt;=1,0,OFFSET('EDP Proyectado'!AM184,0,-'Ingreso Proyectado_Edu'!$P184)+0)),0)</f>
        <v>0</v>
      </c>
      <c r="AM184" s="169">
        <f ca="1">+IFERROR(IF(ISNUMBER(OFFSET('EDP Proyectado'!AN184,0,-'Ingreso Proyectado_Edu'!$P184))&lt;&gt;0,IF(OFFSET('EDP Proyectado'!AN184,0,-'Ingreso Proyectado_Edu'!$P184)+0&lt;=1,0,OFFSET('EDP Proyectado'!AN184,0,-'Ingreso Proyectado_Edu'!$P184)+0)),0)</f>
        <v>0</v>
      </c>
      <c r="AN184" s="169">
        <f ca="1">+IFERROR(IF(ISNUMBER(OFFSET('EDP Proyectado'!AO184,0,-'Ingreso Proyectado_Edu'!$P184))&lt;&gt;0,IF(OFFSET('EDP Proyectado'!AO184,0,-'Ingreso Proyectado_Edu'!$P184)+0&lt;=1,0,OFFSET('EDP Proyectado'!AO184,0,-'Ingreso Proyectado_Edu'!$P184)+0)),0)</f>
        <v>0</v>
      </c>
      <c r="AO184" s="169">
        <f ca="1">+IFERROR(IF(ISNUMBER(OFFSET('EDP Proyectado'!AP184,0,-'Ingreso Proyectado_Edu'!$P184))&lt;&gt;0,IF(OFFSET('EDP Proyectado'!AP184,0,-'Ingreso Proyectado_Edu'!$P184)+0&lt;=1,0,OFFSET('EDP Proyectado'!AP184,0,-'Ingreso Proyectado_Edu'!$P184)+0)),0)</f>
        <v>0</v>
      </c>
      <c r="AP184" s="170">
        <f ca="1">+IFERROR(IF(ISNUMBER(OFFSET('EDP Proyectado'!AQ184,0,-'Ingreso Proyectado_Edu'!$P184))&lt;&gt;0,IF(OFFSET('EDP Proyectado'!AQ184,0,-'Ingreso Proyectado_Edu'!$P184)+0&lt;=1,0,OFFSET('EDP Proyectado'!AQ184,0,-'Ingreso Proyectado_Edu'!$P184)+0)),0)</f>
        <v>0</v>
      </c>
    </row>
    <row r="185" spans="3:42" x14ac:dyDescent="0.2">
      <c r="C185" s="110">
        <f>+'Gantt Proyectos'!C253</f>
        <v>0</v>
      </c>
      <c r="D185" s="110">
        <f>+'Gantt Proyectos'!D253</f>
        <v>0</v>
      </c>
      <c r="E185" s="110">
        <f>+'Gantt Proyectos'!E253</f>
        <v>0</v>
      </c>
      <c r="F185" s="148">
        <f>+'Gantt Proyectos'!F253</f>
        <v>0</v>
      </c>
      <c r="G185" s="110">
        <f>+'Gantt Proyectos'!G253</f>
        <v>0</v>
      </c>
      <c r="H185" s="110">
        <f>+'Gantt Proyectos'!H253</f>
        <v>0</v>
      </c>
      <c r="I185" s="189">
        <v>1</v>
      </c>
      <c r="J185" s="189">
        <f t="shared" si="14"/>
        <v>0</v>
      </c>
      <c r="K185" s="110">
        <f>+'Gantt Proyectos'!I253</f>
        <v>0</v>
      </c>
      <c r="L185" s="110">
        <f>+'Gantt Proyectos'!J253</f>
        <v>0</v>
      </c>
      <c r="M185" s="110">
        <f>+'Gantt Proyectos'!K253</f>
        <v>0</v>
      </c>
      <c r="N185" s="110">
        <f>+'Gantt Proyectos'!L253</f>
        <v>0</v>
      </c>
      <c r="O185" s="110">
        <f>+'Gantt Proyectos'!M253</f>
        <v>0</v>
      </c>
      <c r="P185" s="110">
        <f>+'Gantt Proyectos'!N253</f>
        <v>0</v>
      </c>
      <c r="Q185" s="110">
        <f>+'Gantt Proyectos'!O253</f>
        <v>0</v>
      </c>
      <c r="R185" s="110">
        <f>+'Gantt Proyectos'!P253</f>
        <v>0</v>
      </c>
      <c r="S185" s="110">
        <f>+'Gantt Proyectos'!R253</f>
        <v>0</v>
      </c>
      <c r="T185" s="118">
        <f>+'Gantt Proyectos'!S253</f>
        <v>0</v>
      </c>
      <c r="U185" s="157">
        <f>+'Gantt Proyectos'!T253</f>
        <v>0</v>
      </c>
      <c r="V185" s="157">
        <f>+'Gantt Proyectos'!U253</f>
        <v>0</v>
      </c>
      <c r="W185" s="201">
        <f t="shared" si="15"/>
        <v>0</v>
      </c>
      <c r="X185" s="110">
        <f>+'Gantt Proyectos'!W253</f>
        <v>0</v>
      </c>
      <c r="Y185" s="110">
        <f>+'Gantt Proyectos'!X253</f>
        <v>0</v>
      </c>
      <c r="Z185" s="110">
        <f>+'Gantt Proyectos'!Y253</f>
        <v>0</v>
      </c>
      <c r="AA185" s="110">
        <f>+'Gantt Proyectos'!Z253</f>
        <v>0</v>
      </c>
      <c r="AB185" s="110">
        <f>+'Gantt Proyectos'!AA253</f>
        <v>0</v>
      </c>
      <c r="AC185" s="110">
        <f>+'Gantt Proyectos'!AB253</f>
        <v>0</v>
      </c>
      <c r="AD185" s="110">
        <f>+'Gantt Proyectos'!AC253</f>
        <v>0</v>
      </c>
      <c r="AE185" s="110">
        <f>+'Gantt Proyectos'!AD253</f>
        <v>0</v>
      </c>
      <c r="AF185" s="110">
        <f>+'Gantt Proyectos'!AE253</f>
        <v>0</v>
      </c>
      <c r="AG185" s="172">
        <v>1</v>
      </c>
      <c r="AH185" s="169">
        <f ca="1">+IFERROR(IF(ISNUMBER(OFFSET('EDP Proyectado'!AI185,0,-'Ingreso Proyectado_Edu'!$P185))&lt;&gt;0,IF(OFFSET('EDP Proyectado'!AI185,0,-'Ingreso Proyectado_Edu'!$P185)+0&lt;=1,0,OFFSET('EDP Proyectado'!AI185,0,-'Ingreso Proyectado_Edu'!$P185)+0)),0)</f>
        <v>0</v>
      </c>
      <c r="AI185" s="169">
        <f ca="1">+IFERROR(IF(ISNUMBER(OFFSET('EDP Proyectado'!AJ185,0,-'Ingreso Proyectado_Edu'!$P185))&lt;&gt;0,IF(OFFSET('EDP Proyectado'!AJ185,0,-'Ingreso Proyectado_Edu'!$P185)+0&lt;=1,0,OFFSET('EDP Proyectado'!AJ185,0,-'Ingreso Proyectado_Edu'!$P185)+0)),0)</f>
        <v>0</v>
      </c>
      <c r="AJ185" s="169">
        <f ca="1">+IFERROR(IF(ISNUMBER(OFFSET('EDP Proyectado'!AK185,0,-'Ingreso Proyectado_Edu'!$P185))&lt;&gt;0,IF(OFFSET('EDP Proyectado'!AK185,0,-'Ingreso Proyectado_Edu'!$P185)+0&lt;=1,0,OFFSET('EDP Proyectado'!AK185,0,-'Ingreso Proyectado_Edu'!$P185)+0)),0)</f>
        <v>0</v>
      </c>
      <c r="AK185" s="169">
        <f ca="1">+IFERROR(IF(ISNUMBER(OFFSET('EDP Proyectado'!AL185,0,-'Ingreso Proyectado_Edu'!$P185))&lt;&gt;0,IF(OFFSET('EDP Proyectado'!AL185,0,-'Ingreso Proyectado_Edu'!$P185)+0&lt;=1,0,OFFSET('EDP Proyectado'!AL185,0,-'Ingreso Proyectado_Edu'!$P185)+0)),0)</f>
        <v>0</v>
      </c>
      <c r="AL185" s="169">
        <f ca="1">+IFERROR(IF(ISNUMBER(OFFSET('EDP Proyectado'!AM185,0,-'Ingreso Proyectado_Edu'!$P185))&lt;&gt;0,IF(OFFSET('EDP Proyectado'!AM185,0,-'Ingreso Proyectado_Edu'!$P185)+0&lt;=1,0,OFFSET('EDP Proyectado'!AM185,0,-'Ingreso Proyectado_Edu'!$P185)+0)),0)</f>
        <v>0</v>
      </c>
      <c r="AM185" s="169">
        <f ca="1">+IFERROR(IF(ISNUMBER(OFFSET('EDP Proyectado'!AN185,0,-'Ingreso Proyectado_Edu'!$P185))&lt;&gt;0,IF(OFFSET('EDP Proyectado'!AN185,0,-'Ingreso Proyectado_Edu'!$P185)+0&lt;=1,0,OFFSET('EDP Proyectado'!AN185,0,-'Ingreso Proyectado_Edu'!$P185)+0)),0)</f>
        <v>0</v>
      </c>
      <c r="AN185" s="169">
        <f ca="1">+IFERROR(IF(ISNUMBER(OFFSET('EDP Proyectado'!AO185,0,-'Ingreso Proyectado_Edu'!$P185))&lt;&gt;0,IF(OFFSET('EDP Proyectado'!AO185,0,-'Ingreso Proyectado_Edu'!$P185)+0&lt;=1,0,OFFSET('EDP Proyectado'!AO185,0,-'Ingreso Proyectado_Edu'!$P185)+0)),0)</f>
        <v>0</v>
      </c>
      <c r="AO185" s="169">
        <f ca="1">+IFERROR(IF(ISNUMBER(OFFSET('EDP Proyectado'!AP185,0,-'Ingreso Proyectado_Edu'!$P185))&lt;&gt;0,IF(OFFSET('EDP Proyectado'!AP185,0,-'Ingreso Proyectado_Edu'!$P185)+0&lt;=1,0,OFFSET('EDP Proyectado'!AP185,0,-'Ingreso Proyectado_Edu'!$P185)+0)),0)</f>
        <v>0</v>
      </c>
      <c r="AP185" s="170">
        <f ca="1">+IFERROR(IF(ISNUMBER(OFFSET('EDP Proyectado'!AQ185,0,-'Ingreso Proyectado_Edu'!$P185))&lt;&gt;0,IF(OFFSET('EDP Proyectado'!AQ185,0,-'Ingreso Proyectado_Edu'!$P185)+0&lt;=1,0,OFFSET('EDP Proyectado'!AQ185,0,-'Ingreso Proyectado_Edu'!$P185)+0)),0)</f>
        <v>0</v>
      </c>
    </row>
    <row r="186" spans="3:42" x14ac:dyDescent="0.2">
      <c r="C186" s="110">
        <f>+'Gantt Proyectos'!C254</f>
        <v>0</v>
      </c>
      <c r="D186" s="110">
        <f>+'Gantt Proyectos'!D254</f>
        <v>0</v>
      </c>
      <c r="E186" s="110">
        <f>+'Gantt Proyectos'!E254</f>
        <v>0</v>
      </c>
      <c r="F186" s="148">
        <f>+'Gantt Proyectos'!F254</f>
        <v>0</v>
      </c>
      <c r="G186" s="110">
        <f>+'Gantt Proyectos'!G254</f>
        <v>0</v>
      </c>
      <c r="H186" s="110">
        <f>+'Gantt Proyectos'!H254</f>
        <v>0</v>
      </c>
      <c r="I186" s="189">
        <v>1</v>
      </c>
      <c r="J186" s="189">
        <f t="shared" si="14"/>
        <v>0</v>
      </c>
      <c r="K186" s="110">
        <f>+'Gantt Proyectos'!I254</f>
        <v>0</v>
      </c>
      <c r="L186" s="110">
        <f>+'Gantt Proyectos'!J254</f>
        <v>0</v>
      </c>
      <c r="M186" s="110">
        <f>+'Gantt Proyectos'!K254</f>
        <v>0</v>
      </c>
      <c r="N186" s="110">
        <f>+'Gantt Proyectos'!L254</f>
        <v>0</v>
      </c>
      <c r="O186" s="110">
        <f>+'Gantt Proyectos'!M254</f>
        <v>0</v>
      </c>
      <c r="P186" s="110">
        <f>+'Gantt Proyectos'!N254</f>
        <v>0</v>
      </c>
      <c r="Q186" s="110">
        <f>+'Gantt Proyectos'!O254</f>
        <v>0</v>
      </c>
      <c r="R186" s="110">
        <f>+'Gantt Proyectos'!P254</f>
        <v>0</v>
      </c>
      <c r="S186" s="110">
        <f>+'Gantt Proyectos'!R254</f>
        <v>0</v>
      </c>
      <c r="T186" s="118">
        <f>+'Gantt Proyectos'!S254</f>
        <v>0</v>
      </c>
      <c r="U186" s="157">
        <f>+'Gantt Proyectos'!T254</f>
        <v>0</v>
      </c>
      <c r="V186" s="157">
        <f>+'Gantt Proyectos'!U254</f>
        <v>0</v>
      </c>
      <c r="W186" s="201">
        <f t="shared" si="15"/>
        <v>0</v>
      </c>
      <c r="X186" s="110">
        <f>+'Gantt Proyectos'!W254</f>
        <v>0</v>
      </c>
      <c r="Y186" s="110">
        <f>+'Gantt Proyectos'!X254</f>
        <v>0</v>
      </c>
      <c r="Z186" s="110">
        <f>+'Gantt Proyectos'!Y254</f>
        <v>0</v>
      </c>
      <c r="AA186" s="110">
        <f>+'Gantt Proyectos'!Z254</f>
        <v>0</v>
      </c>
      <c r="AB186" s="110">
        <f>+'Gantt Proyectos'!AA254</f>
        <v>0</v>
      </c>
      <c r="AC186" s="110">
        <f>+'Gantt Proyectos'!AB254</f>
        <v>0</v>
      </c>
      <c r="AD186" s="110">
        <f>+'Gantt Proyectos'!AC254</f>
        <v>0</v>
      </c>
      <c r="AE186" s="110">
        <f>+'Gantt Proyectos'!AD254</f>
        <v>0</v>
      </c>
      <c r="AF186" s="110">
        <f>+'Gantt Proyectos'!AE254</f>
        <v>0</v>
      </c>
      <c r="AG186" s="172">
        <v>1</v>
      </c>
      <c r="AH186" s="169">
        <f ca="1">+IFERROR(IF(ISNUMBER(OFFSET('EDP Proyectado'!AI186,0,-'Ingreso Proyectado_Edu'!$P186))&lt;&gt;0,IF(OFFSET('EDP Proyectado'!AI186,0,-'Ingreso Proyectado_Edu'!$P186)+0&lt;=1,0,OFFSET('EDP Proyectado'!AI186,0,-'Ingreso Proyectado_Edu'!$P186)+0)),0)</f>
        <v>0</v>
      </c>
      <c r="AI186" s="169">
        <f ca="1">+IFERROR(IF(ISNUMBER(OFFSET('EDP Proyectado'!AJ186,0,-'Ingreso Proyectado_Edu'!$P186))&lt;&gt;0,IF(OFFSET('EDP Proyectado'!AJ186,0,-'Ingreso Proyectado_Edu'!$P186)+0&lt;=1,0,OFFSET('EDP Proyectado'!AJ186,0,-'Ingreso Proyectado_Edu'!$P186)+0)),0)</f>
        <v>0</v>
      </c>
      <c r="AJ186" s="169">
        <f ca="1">+IFERROR(IF(ISNUMBER(OFFSET('EDP Proyectado'!AK186,0,-'Ingreso Proyectado_Edu'!$P186))&lt;&gt;0,IF(OFFSET('EDP Proyectado'!AK186,0,-'Ingreso Proyectado_Edu'!$P186)+0&lt;=1,0,OFFSET('EDP Proyectado'!AK186,0,-'Ingreso Proyectado_Edu'!$P186)+0)),0)</f>
        <v>0</v>
      </c>
      <c r="AK186" s="169">
        <f ca="1">+IFERROR(IF(ISNUMBER(OFFSET('EDP Proyectado'!AL186,0,-'Ingreso Proyectado_Edu'!$P186))&lt;&gt;0,IF(OFFSET('EDP Proyectado'!AL186,0,-'Ingreso Proyectado_Edu'!$P186)+0&lt;=1,0,OFFSET('EDP Proyectado'!AL186,0,-'Ingreso Proyectado_Edu'!$P186)+0)),0)</f>
        <v>0</v>
      </c>
      <c r="AL186" s="169">
        <f ca="1">+IFERROR(IF(ISNUMBER(OFFSET('EDP Proyectado'!AM186,0,-'Ingreso Proyectado_Edu'!$P186))&lt;&gt;0,IF(OFFSET('EDP Proyectado'!AM186,0,-'Ingreso Proyectado_Edu'!$P186)+0&lt;=1,0,OFFSET('EDP Proyectado'!AM186,0,-'Ingreso Proyectado_Edu'!$P186)+0)),0)</f>
        <v>0</v>
      </c>
      <c r="AM186" s="169">
        <f ca="1">+IFERROR(IF(ISNUMBER(OFFSET('EDP Proyectado'!AN186,0,-'Ingreso Proyectado_Edu'!$P186))&lt;&gt;0,IF(OFFSET('EDP Proyectado'!AN186,0,-'Ingreso Proyectado_Edu'!$P186)+0&lt;=1,0,OFFSET('EDP Proyectado'!AN186,0,-'Ingreso Proyectado_Edu'!$P186)+0)),0)</f>
        <v>0</v>
      </c>
      <c r="AN186" s="169">
        <f ca="1">+IFERROR(IF(ISNUMBER(OFFSET('EDP Proyectado'!AO186,0,-'Ingreso Proyectado_Edu'!$P186))&lt;&gt;0,IF(OFFSET('EDP Proyectado'!AO186,0,-'Ingreso Proyectado_Edu'!$P186)+0&lt;=1,0,OFFSET('EDP Proyectado'!AO186,0,-'Ingreso Proyectado_Edu'!$P186)+0)),0)</f>
        <v>0</v>
      </c>
      <c r="AO186" s="169">
        <f ca="1">+IFERROR(IF(ISNUMBER(OFFSET('EDP Proyectado'!AP186,0,-'Ingreso Proyectado_Edu'!$P186))&lt;&gt;0,IF(OFFSET('EDP Proyectado'!AP186,0,-'Ingreso Proyectado_Edu'!$P186)+0&lt;=1,0,OFFSET('EDP Proyectado'!AP186,0,-'Ingreso Proyectado_Edu'!$P186)+0)),0)</f>
        <v>0</v>
      </c>
      <c r="AP186" s="170">
        <f ca="1">+IFERROR(IF(ISNUMBER(OFFSET('EDP Proyectado'!AQ186,0,-'Ingreso Proyectado_Edu'!$P186))&lt;&gt;0,IF(OFFSET('EDP Proyectado'!AQ186,0,-'Ingreso Proyectado_Edu'!$P186)+0&lt;=1,0,OFFSET('EDP Proyectado'!AQ186,0,-'Ingreso Proyectado_Edu'!$P186)+0)),0)</f>
        <v>0</v>
      </c>
    </row>
    <row r="187" spans="3:42" x14ac:dyDescent="0.2">
      <c r="C187" s="110">
        <f>+'Gantt Proyectos'!C255</f>
        <v>0</v>
      </c>
      <c r="D187" s="110">
        <f>+'Gantt Proyectos'!D255</f>
        <v>0</v>
      </c>
      <c r="E187" s="110">
        <f>+'Gantt Proyectos'!E255</f>
        <v>0</v>
      </c>
      <c r="F187" s="148">
        <f>+'Gantt Proyectos'!F255</f>
        <v>0</v>
      </c>
      <c r="G187" s="110">
        <f>+'Gantt Proyectos'!G255</f>
        <v>0</v>
      </c>
      <c r="H187" s="110">
        <f>+'Gantt Proyectos'!H255</f>
        <v>0</v>
      </c>
      <c r="I187" s="189">
        <v>1</v>
      </c>
      <c r="J187" s="189">
        <f t="shared" si="14"/>
        <v>0</v>
      </c>
      <c r="K187" s="110">
        <f>+'Gantt Proyectos'!I255</f>
        <v>0</v>
      </c>
      <c r="L187" s="110">
        <f>+'Gantt Proyectos'!J255</f>
        <v>0</v>
      </c>
      <c r="M187" s="110">
        <f>+'Gantt Proyectos'!K255</f>
        <v>0</v>
      </c>
      <c r="N187" s="110">
        <f>+'Gantt Proyectos'!L255</f>
        <v>0</v>
      </c>
      <c r="O187" s="110">
        <f>+'Gantt Proyectos'!M255</f>
        <v>0</v>
      </c>
      <c r="P187" s="110">
        <f>+'Gantt Proyectos'!N255</f>
        <v>0</v>
      </c>
      <c r="Q187" s="110">
        <f>+'Gantt Proyectos'!O255</f>
        <v>0</v>
      </c>
      <c r="R187" s="110">
        <f>+'Gantt Proyectos'!P255</f>
        <v>0</v>
      </c>
      <c r="S187" s="110">
        <f>+'Gantt Proyectos'!R255</f>
        <v>0</v>
      </c>
      <c r="T187" s="118">
        <f>+'Gantt Proyectos'!S255</f>
        <v>0</v>
      </c>
      <c r="U187" s="157">
        <f>+'Gantt Proyectos'!T255</f>
        <v>0</v>
      </c>
      <c r="V187" s="157">
        <f>+'Gantt Proyectos'!U255</f>
        <v>0</v>
      </c>
      <c r="W187" s="201">
        <f t="shared" si="15"/>
        <v>0</v>
      </c>
      <c r="X187" s="110">
        <f>+'Gantt Proyectos'!W255</f>
        <v>0</v>
      </c>
      <c r="Y187" s="110">
        <f>+'Gantt Proyectos'!X255</f>
        <v>0</v>
      </c>
      <c r="Z187" s="110">
        <f>+'Gantt Proyectos'!Y255</f>
        <v>0</v>
      </c>
      <c r="AA187" s="110">
        <f>+'Gantt Proyectos'!Z255</f>
        <v>0</v>
      </c>
      <c r="AB187" s="110">
        <f>+'Gantt Proyectos'!AA255</f>
        <v>0</v>
      </c>
      <c r="AC187" s="110">
        <f>+'Gantt Proyectos'!AB255</f>
        <v>0</v>
      </c>
      <c r="AD187" s="110">
        <f>+'Gantt Proyectos'!AC255</f>
        <v>0</v>
      </c>
      <c r="AE187" s="110">
        <f>+'Gantt Proyectos'!AD255</f>
        <v>0</v>
      </c>
      <c r="AF187" s="110">
        <f>+'Gantt Proyectos'!AE255</f>
        <v>0</v>
      </c>
      <c r="AG187" s="172">
        <v>1</v>
      </c>
      <c r="AH187" s="169">
        <f ca="1">+IFERROR(IF(ISNUMBER(OFFSET('EDP Proyectado'!AI187,0,-'Ingreso Proyectado_Edu'!$P187))&lt;&gt;0,IF(OFFSET('EDP Proyectado'!AI187,0,-'Ingreso Proyectado_Edu'!$P187)+0&lt;=1,0,OFFSET('EDP Proyectado'!AI187,0,-'Ingreso Proyectado_Edu'!$P187)+0)),0)</f>
        <v>0</v>
      </c>
      <c r="AI187" s="169">
        <f ca="1">+IFERROR(IF(ISNUMBER(OFFSET('EDP Proyectado'!AJ187,0,-'Ingreso Proyectado_Edu'!$P187))&lt;&gt;0,IF(OFFSET('EDP Proyectado'!AJ187,0,-'Ingreso Proyectado_Edu'!$P187)+0&lt;=1,0,OFFSET('EDP Proyectado'!AJ187,0,-'Ingreso Proyectado_Edu'!$P187)+0)),0)</f>
        <v>0</v>
      </c>
      <c r="AJ187" s="169">
        <f ca="1">+IFERROR(IF(ISNUMBER(OFFSET('EDP Proyectado'!AK187,0,-'Ingreso Proyectado_Edu'!$P187))&lt;&gt;0,IF(OFFSET('EDP Proyectado'!AK187,0,-'Ingreso Proyectado_Edu'!$P187)+0&lt;=1,0,OFFSET('EDP Proyectado'!AK187,0,-'Ingreso Proyectado_Edu'!$P187)+0)),0)</f>
        <v>0</v>
      </c>
      <c r="AK187" s="169">
        <f ca="1">+IFERROR(IF(ISNUMBER(OFFSET('EDP Proyectado'!AL187,0,-'Ingreso Proyectado_Edu'!$P187))&lt;&gt;0,IF(OFFSET('EDP Proyectado'!AL187,0,-'Ingreso Proyectado_Edu'!$P187)+0&lt;=1,0,OFFSET('EDP Proyectado'!AL187,0,-'Ingreso Proyectado_Edu'!$P187)+0)),0)</f>
        <v>0</v>
      </c>
      <c r="AL187" s="169">
        <f ca="1">+IFERROR(IF(ISNUMBER(OFFSET('EDP Proyectado'!AM187,0,-'Ingreso Proyectado_Edu'!$P187))&lt;&gt;0,IF(OFFSET('EDP Proyectado'!AM187,0,-'Ingreso Proyectado_Edu'!$P187)+0&lt;=1,0,OFFSET('EDP Proyectado'!AM187,0,-'Ingreso Proyectado_Edu'!$P187)+0)),0)</f>
        <v>0</v>
      </c>
      <c r="AM187" s="169">
        <f ca="1">+IFERROR(IF(ISNUMBER(OFFSET('EDP Proyectado'!AN187,0,-'Ingreso Proyectado_Edu'!$P187))&lt;&gt;0,IF(OFFSET('EDP Proyectado'!AN187,0,-'Ingreso Proyectado_Edu'!$P187)+0&lt;=1,0,OFFSET('EDP Proyectado'!AN187,0,-'Ingreso Proyectado_Edu'!$P187)+0)),0)</f>
        <v>0</v>
      </c>
      <c r="AN187" s="169">
        <f ca="1">+IFERROR(IF(ISNUMBER(OFFSET('EDP Proyectado'!AO187,0,-'Ingreso Proyectado_Edu'!$P187))&lt;&gt;0,IF(OFFSET('EDP Proyectado'!AO187,0,-'Ingreso Proyectado_Edu'!$P187)+0&lt;=1,0,OFFSET('EDP Proyectado'!AO187,0,-'Ingreso Proyectado_Edu'!$P187)+0)),0)</f>
        <v>0</v>
      </c>
      <c r="AO187" s="169">
        <f ca="1">+IFERROR(IF(ISNUMBER(OFFSET('EDP Proyectado'!AP187,0,-'Ingreso Proyectado_Edu'!$P187))&lt;&gt;0,IF(OFFSET('EDP Proyectado'!AP187,0,-'Ingreso Proyectado_Edu'!$P187)+0&lt;=1,0,OFFSET('EDP Proyectado'!AP187,0,-'Ingreso Proyectado_Edu'!$P187)+0)),0)</f>
        <v>0</v>
      </c>
      <c r="AP187" s="170">
        <f ca="1">+IFERROR(IF(ISNUMBER(OFFSET('EDP Proyectado'!AQ187,0,-'Ingreso Proyectado_Edu'!$P187))&lt;&gt;0,IF(OFFSET('EDP Proyectado'!AQ187,0,-'Ingreso Proyectado_Edu'!$P187)+0&lt;=1,0,OFFSET('EDP Proyectado'!AQ187,0,-'Ingreso Proyectado_Edu'!$P187)+0)),0)</f>
        <v>0</v>
      </c>
    </row>
    <row r="188" spans="3:42" x14ac:dyDescent="0.2">
      <c r="C188" s="110">
        <f>+'Gantt Proyectos'!C256</f>
        <v>0</v>
      </c>
      <c r="D188" s="110">
        <f>+'Gantt Proyectos'!D256</f>
        <v>0</v>
      </c>
      <c r="E188" s="110">
        <f>+'Gantt Proyectos'!E256</f>
        <v>0</v>
      </c>
      <c r="F188" s="148">
        <f>+'Gantt Proyectos'!F256</f>
        <v>0</v>
      </c>
      <c r="G188" s="110">
        <f>+'Gantt Proyectos'!G256</f>
        <v>0</v>
      </c>
      <c r="H188" s="110">
        <f>+'Gantt Proyectos'!H256</f>
        <v>0</v>
      </c>
      <c r="I188" s="189">
        <v>1</v>
      </c>
      <c r="J188" s="189">
        <f t="shared" si="14"/>
        <v>0</v>
      </c>
      <c r="K188" s="110">
        <f>+'Gantt Proyectos'!I256</f>
        <v>0</v>
      </c>
      <c r="L188" s="110">
        <f>+'Gantt Proyectos'!J256</f>
        <v>0</v>
      </c>
      <c r="M188" s="110">
        <f>+'Gantt Proyectos'!K256</f>
        <v>0</v>
      </c>
      <c r="N188" s="110">
        <f>+'Gantt Proyectos'!L256</f>
        <v>0</v>
      </c>
      <c r="O188" s="110">
        <f>+'Gantt Proyectos'!M256</f>
        <v>0</v>
      </c>
      <c r="P188" s="110">
        <f>+'Gantt Proyectos'!N256</f>
        <v>0</v>
      </c>
      <c r="Q188" s="110">
        <f>+'Gantt Proyectos'!O256</f>
        <v>0</v>
      </c>
      <c r="R188" s="110">
        <f>+'Gantt Proyectos'!P256</f>
        <v>0</v>
      </c>
      <c r="S188" s="110">
        <f>+'Gantt Proyectos'!R256</f>
        <v>0</v>
      </c>
      <c r="T188" s="118">
        <f>+'Gantt Proyectos'!S256</f>
        <v>0</v>
      </c>
      <c r="U188" s="157">
        <f>+'Gantt Proyectos'!T256</f>
        <v>0</v>
      </c>
      <c r="V188" s="157">
        <f>+'Gantt Proyectos'!U256</f>
        <v>0</v>
      </c>
      <c r="W188" s="201">
        <f t="shared" si="15"/>
        <v>0</v>
      </c>
      <c r="X188" s="110">
        <f>+'Gantt Proyectos'!W256</f>
        <v>0</v>
      </c>
      <c r="Y188" s="110">
        <f>+'Gantt Proyectos'!X256</f>
        <v>0</v>
      </c>
      <c r="Z188" s="110">
        <f>+'Gantt Proyectos'!Y256</f>
        <v>0</v>
      </c>
      <c r="AA188" s="110">
        <f>+'Gantt Proyectos'!Z256</f>
        <v>0</v>
      </c>
      <c r="AB188" s="110">
        <f>+'Gantt Proyectos'!AA256</f>
        <v>0</v>
      </c>
      <c r="AC188" s="110">
        <f>+'Gantt Proyectos'!AB256</f>
        <v>0</v>
      </c>
      <c r="AD188" s="110">
        <f>+'Gantt Proyectos'!AC256</f>
        <v>0</v>
      </c>
      <c r="AE188" s="110">
        <f>+'Gantt Proyectos'!AD256</f>
        <v>0</v>
      </c>
      <c r="AF188" s="110">
        <f>+'Gantt Proyectos'!AE256</f>
        <v>0</v>
      </c>
      <c r="AG188" s="172">
        <v>1</v>
      </c>
      <c r="AH188" s="169">
        <f ca="1">+IFERROR(IF(ISNUMBER(OFFSET('EDP Proyectado'!AI188,0,-'Ingreso Proyectado_Edu'!$P188))&lt;&gt;0,IF(OFFSET('EDP Proyectado'!AI188,0,-'Ingreso Proyectado_Edu'!$P188)+0&lt;=1,0,OFFSET('EDP Proyectado'!AI188,0,-'Ingreso Proyectado_Edu'!$P188)+0)),0)</f>
        <v>0</v>
      </c>
      <c r="AI188" s="169">
        <f ca="1">+IFERROR(IF(ISNUMBER(OFFSET('EDP Proyectado'!AJ188,0,-'Ingreso Proyectado_Edu'!$P188))&lt;&gt;0,IF(OFFSET('EDP Proyectado'!AJ188,0,-'Ingreso Proyectado_Edu'!$P188)+0&lt;=1,0,OFFSET('EDP Proyectado'!AJ188,0,-'Ingreso Proyectado_Edu'!$P188)+0)),0)</f>
        <v>0</v>
      </c>
      <c r="AJ188" s="169">
        <f ca="1">+IFERROR(IF(ISNUMBER(OFFSET('EDP Proyectado'!AK188,0,-'Ingreso Proyectado_Edu'!$P188))&lt;&gt;0,IF(OFFSET('EDP Proyectado'!AK188,0,-'Ingreso Proyectado_Edu'!$P188)+0&lt;=1,0,OFFSET('EDP Proyectado'!AK188,0,-'Ingreso Proyectado_Edu'!$P188)+0)),0)</f>
        <v>0</v>
      </c>
      <c r="AK188" s="169">
        <f ca="1">+IFERROR(IF(ISNUMBER(OFFSET('EDP Proyectado'!AL188,0,-'Ingreso Proyectado_Edu'!$P188))&lt;&gt;0,IF(OFFSET('EDP Proyectado'!AL188,0,-'Ingreso Proyectado_Edu'!$P188)+0&lt;=1,0,OFFSET('EDP Proyectado'!AL188,0,-'Ingreso Proyectado_Edu'!$P188)+0)),0)</f>
        <v>0</v>
      </c>
      <c r="AL188" s="169">
        <f ca="1">+IFERROR(IF(ISNUMBER(OFFSET('EDP Proyectado'!AM188,0,-'Ingreso Proyectado_Edu'!$P188))&lt;&gt;0,IF(OFFSET('EDP Proyectado'!AM188,0,-'Ingreso Proyectado_Edu'!$P188)+0&lt;=1,0,OFFSET('EDP Proyectado'!AM188,0,-'Ingreso Proyectado_Edu'!$P188)+0)),0)</f>
        <v>0</v>
      </c>
      <c r="AM188" s="169">
        <f ca="1">+IFERROR(IF(ISNUMBER(OFFSET('EDP Proyectado'!AN188,0,-'Ingreso Proyectado_Edu'!$P188))&lt;&gt;0,IF(OFFSET('EDP Proyectado'!AN188,0,-'Ingreso Proyectado_Edu'!$P188)+0&lt;=1,0,OFFSET('EDP Proyectado'!AN188,0,-'Ingreso Proyectado_Edu'!$P188)+0)),0)</f>
        <v>0</v>
      </c>
      <c r="AN188" s="169">
        <f ca="1">+IFERROR(IF(ISNUMBER(OFFSET('EDP Proyectado'!AO188,0,-'Ingreso Proyectado_Edu'!$P188))&lt;&gt;0,IF(OFFSET('EDP Proyectado'!AO188,0,-'Ingreso Proyectado_Edu'!$P188)+0&lt;=1,0,OFFSET('EDP Proyectado'!AO188,0,-'Ingreso Proyectado_Edu'!$P188)+0)),0)</f>
        <v>0</v>
      </c>
      <c r="AO188" s="169">
        <f ca="1">+IFERROR(IF(ISNUMBER(OFFSET('EDP Proyectado'!AP188,0,-'Ingreso Proyectado_Edu'!$P188))&lt;&gt;0,IF(OFFSET('EDP Proyectado'!AP188,0,-'Ingreso Proyectado_Edu'!$P188)+0&lt;=1,0,OFFSET('EDP Proyectado'!AP188,0,-'Ingreso Proyectado_Edu'!$P188)+0)),0)</f>
        <v>0</v>
      </c>
      <c r="AP188" s="170">
        <f ca="1">+IFERROR(IF(ISNUMBER(OFFSET('EDP Proyectado'!AQ188,0,-'Ingreso Proyectado_Edu'!$P188))&lt;&gt;0,IF(OFFSET('EDP Proyectado'!AQ188,0,-'Ingreso Proyectado_Edu'!$P188)+0&lt;=1,0,OFFSET('EDP Proyectado'!AQ188,0,-'Ingreso Proyectado_Edu'!$P188)+0)),0)</f>
        <v>0</v>
      </c>
    </row>
    <row r="189" spans="3:42" x14ac:dyDescent="0.2">
      <c r="C189" s="110">
        <f>+'Gantt Proyectos'!C257</f>
        <v>0</v>
      </c>
      <c r="D189" s="110">
        <f>+'Gantt Proyectos'!D257</f>
        <v>0</v>
      </c>
      <c r="E189" s="110">
        <f>+'Gantt Proyectos'!E257</f>
        <v>0</v>
      </c>
      <c r="F189" s="148">
        <f>+'Gantt Proyectos'!F257</f>
        <v>0</v>
      </c>
      <c r="G189" s="110">
        <f>+'Gantt Proyectos'!G257</f>
        <v>0</v>
      </c>
      <c r="H189" s="110">
        <f>+'Gantt Proyectos'!H257</f>
        <v>0</v>
      </c>
      <c r="I189" s="189">
        <v>1</v>
      </c>
      <c r="J189" s="189">
        <f t="shared" ref="J189:J194" si="16">1-I189</f>
        <v>0</v>
      </c>
      <c r="K189" s="110">
        <f>+'Gantt Proyectos'!I257</f>
        <v>0</v>
      </c>
      <c r="L189" s="110">
        <f>+'Gantt Proyectos'!J257</f>
        <v>0</v>
      </c>
      <c r="M189" s="110">
        <f>+'Gantt Proyectos'!K257</f>
        <v>0</v>
      </c>
      <c r="N189" s="110">
        <f>+'Gantt Proyectos'!L257</f>
        <v>0</v>
      </c>
      <c r="O189" s="110">
        <f>+'Gantt Proyectos'!M257</f>
        <v>0</v>
      </c>
      <c r="P189" s="110">
        <f>+'Gantt Proyectos'!N257</f>
        <v>0</v>
      </c>
      <c r="Q189" s="110">
        <f>+'Gantt Proyectos'!O257</f>
        <v>0</v>
      </c>
      <c r="R189" s="110">
        <f>+'Gantt Proyectos'!P257</f>
        <v>0</v>
      </c>
      <c r="S189" s="110">
        <f>+'Gantt Proyectos'!R257</f>
        <v>0</v>
      </c>
      <c r="T189" s="118">
        <f>+'Gantt Proyectos'!S257</f>
        <v>0</v>
      </c>
      <c r="U189" s="157">
        <f>+'Gantt Proyectos'!T257</f>
        <v>0</v>
      </c>
      <c r="V189" s="157">
        <f>+'Gantt Proyectos'!U257</f>
        <v>0</v>
      </c>
      <c r="W189" s="201">
        <f t="shared" ref="W189:W194" si="17">+ROUNDUP(_xlfn.DAYS(V189,U189)/30.5,0)</f>
        <v>0</v>
      </c>
      <c r="X189" s="110">
        <f>+'Gantt Proyectos'!W257</f>
        <v>0</v>
      </c>
      <c r="Y189" s="110">
        <f>+'Gantt Proyectos'!X257</f>
        <v>0</v>
      </c>
      <c r="Z189" s="110">
        <f>+'Gantt Proyectos'!Y257</f>
        <v>0</v>
      </c>
      <c r="AA189" s="110">
        <f>+'Gantt Proyectos'!Z257</f>
        <v>0</v>
      </c>
      <c r="AB189" s="110">
        <f>+'Gantt Proyectos'!AA257</f>
        <v>0</v>
      </c>
      <c r="AC189" s="110">
        <f>+'Gantt Proyectos'!AB257</f>
        <v>0</v>
      </c>
      <c r="AD189" s="110">
        <f>+'Gantt Proyectos'!AC257</f>
        <v>0</v>
      </c>
      <c r="AE189" s="110">
        <f>+'Gantt Proyectos'!AD257</f>
        <v>0</v>
      </c>
      <c r="AF189" s="110">
        <f>+'Gantt Proyectos'!AE257</f>
        <v>0</v>
      </c>
      <c r="AG189" s="172">
        <v>1</v>
      </c>
      <c r="AH189" s="169">
        <f ca="1">+IFERROR(IF(ISNUMBER(OFFSET('EDP Proyectado'!AI189,0,-'Ingreso Proyectado_Edu'!$P189))&lt;&gt;0,IF(OFFSET('EDP Proyectado'!AI189,0,-'Ingreso Proyectado_Edu'!$P189)+0&lt;=1,0,OFFSET('EDP Proyectado'!AI189,0,-'Ingreso Proyectado_Edu'!$P189)+0)),0)</f>
        <v>0</v>
      </c>
      <c r="AI189" s="169">
        <f ca="1">+IFERROR(IF(ISNUMBER(OFFSET('EDP Proyectado'!AJ189,0,-'Ingreso Proyectado_Edu'!$P189))&lt;&gt;0,IF(OFFSET('EDP Proyectado'!AJ189,0,-'Ingreso Proyectado_Edu'!$P189)+0&lt;=1,0,OFFSET('EDP Proyectado'!AJ189,0,-'Ingreso Proyectado_Edu'!$P189)+0)),0)</f>
        <v>0</v>
      </c>
      <c r="AJ189" s="169">
        <f ca="1">+IFERROR(IF(ISNUMBER(OFFSET('EDP Proyectado'!AK189,0,-'Ingreso Proyectado_Edu'!$P189))&lt;&gt;0,IF(OFFSET('EDP Proyectado'!AK189,0,-'Ingreso Proyectado_Edu'!$P189)+0&lt;=1,0,OFFSET('EDP Proyectado'!AK189,0,-'Ingreso Proyectado_Edu'!$P189)+0)),0)</f>
        <v>0</v>
      </c>
      <c r="AK189" s="169">
        <f ca="1">+IFERROR(IF(ISNUMBER(OFFSET('EDP Proyectado'!AL189,0,-'Ingreso Proyectado_Edu'!$P189))&lt;&gt;0,IF(OFFSET('EDP Proyectado'!AL189,0,-'Ingreso Proyectado_Edu'!$P189)+0&lt;=1,0,OFFSET('EDP Proyectado'!AL189,0,-'Ingreso Proyectado_Edu'!$P189)+0)),0)</f>
        <v>0</v>
      </c>
      <c r="AL189" s="169">
        <f ca="1">+IFERROR(IF(ISNUMBER(OFFSET('EDP Proyectado'!AM189,0,-'Ingreso Proyectado_Edu'!$P189))&lt;&gt;0,IF(OFFSET('EDP Proyectado'!AM189,0,-'Ingreso Proyectado_Edu'!$P189)+0&lt;=1,0,OFFSET('EDP Proyectado'!AM189,0,-'Ingreso Proyectado_Edu'!$P189)+0)),0)</f>
        <v>0</v>
      </c>
      <c r="AM189" s="169">
        <f ca="1">+IFERROR(IF(ISNUMBER(OFFSET('EDP Proyectado'!AN189,0,-'Ingreso Proyectado_Edu'!$P189))&lt;&gt;0,IF(OFFSET('EDP Proyectado'!AN189,0,-'Ingreso Proyectado_Edu'!$P189)+0&lt;=1,0,OFFSET('EDP Proyectado'!AN189,0,-'Ingreso Proyectado_Edu'!$P189)+0)),0)</f>
        <v>0</v>
      </c>
      <c r="AN189" s="169">
        <f ca="1">+IFERROR(IF(ISNUMBER(OFFSET('EDP Proyectado'!AO189,0,-'Ingreso Proyectado_Edu'!$P189))&lt;&gt;0,IF(OFFSET('EDP Proyectado'!AO189,0,-'Ingreso Proyectado_Edu'!$P189)+0&lt;=1,0,OFFSET('EDP Proyectado'!AO189,0,-'Ingreso Proyectado_Edu'!$P189)+0)),0)</f>
        <v>0</v>
      </c>
      <c r="AO189" s="169">
        <f ca="1">+IFERROR(IF(ISNUMBER(OFFSET('EDP Proyectado'!AP189,0,-'Ingreso Proyectado_Edu'!$P189))&lt;&gt;0,IF(OFFSET('EDP Proyectado'!AP189,0,-'Ingreso Proyectado_Edu'!$P189)+0&lt;=1,0,OFFSET('EDP Proyectado'!AP189,0,-'Ingreso Proyectado_Edu'!$P189)+0)),0)</f>
        <v>0</v>
      </c>
      <c r="AP189" s="170">
        <f ca="1">+IFERROR(IF(ISNUMBER(OFFSET('EDP Proyectado'!AQ189,0,-'Ingreso Proyectado_Edu'!$P189))&lt;&gt;0,IF(OFFSET('EDP Proyectado'!AQ189,0,-'Ingreso Proyectado_Edu'!$P189)+0&lt;=1,0,OFFSET('EDP Proyectado'!AQ189,0,-'Ingreso Proyectado_Edu'!$P189)+0)),0)</f>
        <v>0</v>
      </c>
    </row>
    <row r="190" spans="3:42" x14ac:dyDescent="0.2">
      <c r="C190" s="110">
        <f>+'Gantt Proyectos'!C258</f>
        <v>0</v>
      </c>
      <c r="D190" s="110">
        <f>+'Gantt Proyectos'!D258</f>
        <v>0</v>
      </c>
      <c r="E190" s="110">
        <f>+'Gantt Proyectos'!E258</f>
        <v>0</v>
      </c>
      <c r="F190" s="148">
        <f>+'Gantt Proyectos'!F258</f>
        <v>0</v>
      </c>
      <c r="G190" s="110">
        <f>+'Gantt Proyectos'!G258</f>
        <v>0</v>
      </c>
      <c r="H190" s="110">
        <f>+'Gantt Proyectos'!H258</f>
        <v>0</v>
      </c>
      <c r="I190" s="189">
        <v>1</v>
      </c>
      <c r="J190" s="189">
        <f t="shared" si="16"/>
        <v>0</v>
      </c>
      <c r="K190" s="110">
        <f>+'Gantt Proyectos'!I258</f>
        <v>0</v>
      </c>
      <c r="L190" s="110">
        <f>+'Gantt Proyectos'!J258</f>
        <v>0</v>
      </c>
      <c r="M190" s="110">
        <f>+'Gantt Proyectos'!K258</f>
        <v>0</v>
      </c>
      <c r="N190" s="110">
        <f>+'Gantt Proyectos'!L258</f>
        <v>0</v>
      </c>
      <c r="O190" s="110">
        <f>+'Gantt Proyectos'!M258</f>
        <v>0</v>
      </c>
      <c r="P190" s="110">
        <f>+'Gantt Proyectos'!N258</f>
        <v>0</v>
      </c>
      <c r="Q190" s="110">
        <f>+'Gantt Proyectos'!O258</f>
        <v>0</v>
      </c>
      <c r="R190" s="110">
        <f>+'Gantt Proyectos'!P258</f>
        <v>0</v>
      </c>
      <c r="S190" s="110">
        <f>+'Gantt Proyectos'!R258</f>
        <v>0</v>
      </c>
      <c r="T190" s="118">
        <f>+'Gantt Proyectos'!S258</f>
        <v>0</v>
      </c>
      <c r="U190" s="157">
        <f>+'Gantt Proyectos'!T258</f>
        <v>0</v>
      </c>
      <c r="V190" s="157">
        <f>+'Gantt Proyectos'!U258</f>
        <v>0</v>
      </c>
      <c r="W190" s="201">
        <f t="shared" si="17"/>
        <v>0</v>
      </c>
      <c r="X190" s="110">
        <f>+'Gantt Proyectos'!W258</f>
        <v>0</v>
      </c>
      <c r="Y190" s="110">
        <f>+'Gantt Proyectos'!X258</f>
        <v>0</v>
      </c>
      <c r="Z190" s="110">
        <f>+'Gantt Proyectos'!Y258</f>
        <v>0</v>
      </c>
      <c r="AA190" s="110">
        <f>+'Gantt Proyectos'!Z258</f>
        <v>0</v>
      </c>
      <c r="AB190" s="110">
        <f>+'Gantt Proyectos'!AA258</f>
        <v>0</v>
      </c>
      <c r="AC190" s="110">
        <f>+'Gantt Proyectos'!AB258</f>
        <v>0</v>
      </c>
      <c r="AD190" s="110">
        <f>+'Gantt Proyectos'!AC258</f>
        <v>0</v>
      </c>
      <c r="AE190" s="110">
        <f>+'Gantt Proyectos'!AD258</f>
        <v>0</v>
      </c>
      <c r="AF190" s="110">
        <f>+'Gantt Proyectos'!AE258</f>
        <v>0</v>
      </c>
      <c r="AG190" s="172">
        <v>1</v>
      </c>
      <c r="AH190" s="169">
        <f ca="1">+IFERROR(IF(ISNUMBER(OFFSET('EDP Proyectado'!AI190,0,-'Ingreso Proyectado_Edu'!$P190))&lt;&gt;0,IF(OFFSET('EDP Proyectado'!AI190,0,-'Ingreso Proyectado_Edu'!$P190)+0&lt;=1,0,OFFSET('EDP Proyectado'!AI190,0,-'Ingreso Proyectado_Edu'!$P190)+0)),0)</f>
        <v>0</v>
      </c>
      <c r="AI190" s="169">
        <f ca="1">+IFERROR(IF(ISNUMBER(OFFSET('EDP Proyectado'!AJ190,0,-'Ingreso Proyectado_Edu'!$P190))&lt;&gt;0,IF(OFFSET('EDP Proyectado'!AJ190,0,-'Ingreso Proyectado_Edu'!$P190)+0&lt;=1,0,OFFSET('EDP Proyectado'!AJ190,0,-'Ingreso Proyectado_Edu'!$P190)+0)),0)</f>
        <v>0</v>
      </c>
      <c r="AJ190" s="169">
        <f ca="1">+IFERROR(IF(ISNUMBER(OFFSET('EDP Proyectado'!AK190,0,-'Ingreso Proyectado_Edu'!$P190))&lt;&gt;0,IF(OFFSET('EDP Proyectado'!AK190,0,-'Ingreso Proyectado_Edu'!$P190)+0&lt;=1,0,OFFSET('EDP Proyectado'!AK190,0,-'Ingreso Proyectado_Edu'!$P190)+0)),0)</f>
        <v>0</v>
      </c>
      <c r="AK190" s="169">
        <f ca="1">+IFERROR(IF(ISNUMBER(OFFSET('EDP Proyectado'!AL190,0,-'Ingreso Proyectado_Edu'!$P190))&lt;&gt;0,IF(OFFSET('EDP Proyectado'!AL190,0,-'Ingreso Proyectado_Edu'!$P190)+0&lt;=1,0,OFFSET('EDP Proyectado'!AL190,0,-'Ingreso Proyectado_Edu'!$P190)+0)),0)</f>
        <v>0</v>
      </c>
      <c r="AL190" s="169">
        <f ca="1">+IFERROR(IF(ISNUMBER(OFFSET('EDP Proyectado'!AM190,0,-'Ingreso Proyectado_Edu'!$P190))&lt;&gt;0,IF(OFFSET('EDP Proyectado'!AM190,0,-'Ingreso Proyectado_Edu'!$P190)+0&lt;=1,0,OFFSET('EDP Proyectado'!AM190,0,-'Ingreso Proyectado_Edu'!$P190)+0)),0)</f>
        <v>0</v>
      </c>
      <c r="AM190" s="169">
        <f ca="1">+IFERROR(IF(ISNUMBER(OFFSET('EDP Proyectado'!AN190,0,-'Ingreso Proyectado_Edu'!$P190))&lt;&gt;0,IF(OFFSET('EDP Proyectado'!AN190,0,-'Ingreso Proyectado_Edu'!$P190)+0&lt;=1,0,OFFSET('EDP Proyectado'!AN190,0,-'Ingreso Proyectado_Edu'!$P190)+0)),0)</f>
        <v>0</v>
      </c>
      <c r="AN190" s="169">
        <f ca="1">+IFERROR(IF(ISNUMBER(OFFSET('EDP Proyectado'!AO190,0,-'Ingreso Proyectado_Edu'!$P190))&lt;&gt;0,IF(OFFSET('EDP Proyectado'!AO190,0,-'Ingreso Proyectado_Edu'!$P190)+0&lt;=1,0,OFFSET('EDP Proyectado'!AO190,0,-'Ingreso Proyectado_Edu'!$P190)+0)),0)</f>
        <v>0</v>
      </c>
      <c r="AO190" s="169">
        <f ca="1">+IFERROR(IF(ISNUMBER(OFFSET('EDP Proyectado'!AP190,0,-'Ingreso Proyectado_Edu'!$P190))&lt;&gt;0,IF(OFFSET('EDP Proyectado'!AP190,0,-'Ingreso Proyectado_Edu'!$P190)+0&lt;=1,0,OFFSET('EDP Proyectado'!AP190,0,-'Ingreso Proyectado_Edu'!$P190)+0)),0)</f>
        <v>0</v>
      </c>
      <c r="AP190" s="170">
        <f ca="1">+IFERROR(IF(ISNUMBER(OFFSET('EDP Proyectado'!AQ190,0,-'Ingreso Proyectado_Edu'!$P190))&lt;&gt;0,IF(OFFSET('EDP Proyectado'!AQ190,0,-'Ingreso Proyectado_Edu'!$P190)+0&lt;=1,0,OFFSET('EDP Proyectado'!AQ190,0,-'Ingreso Proyectado_Edu'!$P190)+0)),0)</f>
        <v>0</v>
      </c>
    </row>
    <row r="191" spans="3:42" x14ac:dyDescent="0.2">
      <c r="C191" s="110">
        <f>+'Gantt Proyectos'!C259</f>
        <v>0</v>
      </c>
      <c r="D191" s="110">
        <f>+'Gantt Proyectos'!D259</f>
        <v>0</v>
      </c>
      <c r="E191" s="110">
        <f>+'Gantt Proyectos'!E259</f>
        <v>0</v>
      </c>
      <c r="F191" s="148">
        <f>+'Gantt Proyectos'!F259</f>
        <v>0</v>
      </c>
      <c r="G191" s="110">
        <f>+'Gantt Proyectos'!G259</f>
        <v>0</v>
      </c>
      <c r="H191" s="110">
        <f>+'Gantt Proyectos'!H259</f>
        <v>0</v>
      </c>
      <c r="I191" s="189">
        <v>1</v>
      </c>
      <c r="J191" s="189">
        <f t="shared" si="16"/>
        <v>0</v>
      </c>
      <c r="K191" s="110">
        <f>+'Gantt Proyectos'!I259</f>
        <v>0</v>
      </c>
      <c r="L191" s="110">
        <f>+'Gantt Proyectos'!J259</f>
        <v>0</v>
      </c>
      <c r="M191" s="110">
        <f>+'Gantt Proyectos'!K259</f>
        <v>0</v>
      </c>
      <c r="N191" s="110">
        <f>+'Gantt Proyectos'!L259</f>
        <v>0</v>
      </c>
      <c r="O191" s="110">
        <f>+'Gantt Proyectos'!M259</f>
        <v>0</v>
      </c>
      <c r="P191" s="110">
        <f>+'Gantt Proyectos'!N259</f>
        <v>0</v>
      </c>
      <c r="Q191" s="110">
        <f>+'Gantt Proyectos'!O259</f>
        <v>0</v>
      </c>
      <c r="R191" s="110">
        <f>+'Gantt Proyectos'!P259</f>
        <v>0</v>
      </c>
      <c r="S191" s="110">
        <f>+'Gantt Proyectos'!R259</f>
        <v>0</v>
      </c>
      <c r="T191" s="118">
        <f>+'Gantt Proyectos'!S259</f>
        <v>0</v>
      </c>
      <c r="U191" s="157">
        <f>+'Gantt Proyectos'!T259</f>
        <v>0</v>
      </c>
      <c r="V191" s="157">
        <f>+'Gantt Proyectos'!U259</f>
        <v>0</v>
      </c>
      <c r="W191" s="201">
        <f t="shared" si="17"/>
        <v>0</v>
      </c>
      <c r="X191" s="110">
        <f>+'Gantt Proyectos'!W259</f>
        <v>0</v>
      </c>
      <c r="Y191" s="110">
        <f>+'Gantt Proyectos'!X259</f>
        <v>0</v>
      </c>
      <c r="Z191" s="110">
        <f>+'Gantt Proyectos'!Y259</f>
        <v>0</v>
      </c>
      <c r="AA191" s="110">
        <f>+'Gantt Proyectos'!Z259</f>
        <v>0</v>
      </c>
      <c r="AB191" s="110">
        <f>+'Gantt Proyectos'!AA259</f>
        <v>0</v>
      </c>
      <c r="AC191" s="110">
        <f>+'Gantt Proyectos'!AB259</f>
        <v>0</v>
      </c>
      <c r="AD191" s="110">
        <f>+'Gantt Proyectos'!AC259</f>
        <v>0</v>
      </c>
      <c r="AE191" s="110">
        <f>+'Gantt Proyectos'!AD259</f>
        <v>0</v>
      </c>
      <c r="AF191" s="110">
        <f>+'Gantt Proyectos'!AE259</f>
        <v>0</v>
      </c>
      <c r="AG191" s="172">
        <v>1</v>
      </c>
      <c r="AH191" s="169">
        <f ca="1">+IFERROR(IF(ISNUMBER(OFFSET('EDP Proyectado'!AI191,0,-'Ingreso Proyectado_Edu'!$P191))&lt;&gt;0,IF(OFFSET('EDP Proyectado'!AI191,0,-'Ingreso Proyectado_Edu'!$P191)+0&lt;=1,0,OFFSET('EDP Proyectado'!AI191,0,-'Ingreso Proyectado_Edu'!$P191)+0)),0)</f>
        <v>0</v>
      </c>
      <c r="AI191" s="169">
        <f ca="1">+IFERROR(IF(ISNUMBER(OFFSET('EDP Proyectado'!AJ191,0,-'Ingreso Proyectado_Edu'!$P191))&lt;&gt;0,IF(OFFSET('EDP Proyectado'!AJ191,0,-'Ingreso Proyectado_Edu'!$P191)+0&lt;=1,0,OFFSET('EDP Proyectado'!AJ191,0,-'Ingreso Proyectado_Edu'!$P191)+0)),0)</f>
        <v>0</v>
      </c>
      <c r="AJ191" s="169">
        <f ca="1">+IFERROR(IF(ISNUMBER(OFFSET('EDP Proyectado'!AK191,0,-'Ingreso Proyectado_Edu'!$P191))&lt;&gt;0,IF(OFFSET('EDP Proyectado'!AK191,0,-'Ingreso Proyectado_Edu'!$P191)+0&lt;=1,0,OFFSET('EDP Proyectado'!AK191,0,-'Ingreso Proyectado_Edu'!$P191)+0)),0)</f>
        <v>0</v>
      </c>
      <c r="AK191" s="169">
        <f ca="1">+IFERROR(IF(ISNUMBER(OFFSET('EDP Proyectado'!AL191,0,-'Ingreso Proyectado_Edu'!$P191))&lt;&gt;0,IF(OFFSET('EDP Proyectado'!AL191,0,-'Ingreso Proyectado_Edu'!$P191)+0&lt;=1,0,OFFSET('EDP Proyectado'!AL191,0,-'Ingreso Proyectado_Edu'!$P191)+0)),0)</f>
        <v>0</v>
      </c>
      <c r="AL191" s="169">
        <f ca="1">+IFERROR(IF(ISNUMBER(OFFSET('EDP Proyectado'!AM191,0,-'Ingreso Proyectado_Edu'!$P191))&lt;&gt;0,IF(OFFSET('EDP Proyectado'!AM191,0,-'Ingreso Proyectado_Edu'!$P191)+0&lt;=1,0,OFFSET('EDP Proyectado'!AM191,0,-'Ingreso Proyectado_Edu'!$P191)+0)),0)</f>
        <v>0</v>
      </c>
      <c r="AM191" s="169">
        <f ca="1">+IFERROR(IF(ISNUMBER(OFFSET('EDP Proyectado'!AN191,0,-'Ingreso Proyectado_Edu'!$P191))&lt;&gt;0,IF(OFFSET('EDP Proyectado'!AN191,0,-'Ingreso Proyectado_Edu'!$P191)+0&lt;=1,0,OFFSET('EDP Proyectado'!AN191,0,-'Ingreso Proyectado_Edu'!$P191)+0)),0)</f>
        <v>0</v>
      </c>
      <c r="AN191" s="169">
        <f ca="1">+IFERROR(IF(ISNUMBER(OFFSET('EDP Proyectado'!AO191,0,-'Ingreso Proyectado_Edu'!$P191))&lt;&gt;0,IF(OFFSET('EDP Proyectado'!AO191,0,-'Ingreso Proyectado_Edu'!$P191)+0&lt;=1,0,OFFSET('EDP Proyectado'!AO191,0,-'Ingreso Proyectado_Edu'!$P191)+0)),0)</f>
        <v>0</v>
      </c>
      <c r="AO191" s="169">
        <f ca="1">+IFERROR(IF(ISNUMBER(OFFSET('EDP Proyectado'!AP191,0,-'Ingreso Proyectado_Edu'!$P191))&lt;&gt;0,IF(OFFSET('EDP Proyectado'!AP191,0,-'Ingreso Proyectado_Edu'!$P191)+0&lt;=1,0,OFFSET('EDP Proyectado'!AP191,0,-'Ingreso Proyectado_Edu'!$P191)+0)),0)</f>
        <v>0</v>
      </c>
      <c r="AP191" s="170">
        <f ca="1">+IFERROR(IF(ISNUMBER(OFFSET('EDP Proyectado'!AQ191,0,-'Ingreso Proyectado_Edu'!$P191))&lt;&gt;0,IF(OFFSET('EDP Proyectado'!AQ191,0,-'Ingreso Proyectado_Edu'!$P191)+0&lt;=1,0,OFFSET('EDP Proyectado'!AQ191,0,-'Ingreso Proyectado_Edu'!$P191)+0)),0)</f>
        <v>0</v>
      </c>
    </row>
    <row r="192" spans="3:42" x14ac:dyDescent="0.2">
      <c r="C192" s="110">
        <f>+'Gantt Proyectos'!C260</f>
        <v>0</v>
      </c>
      <c r="D192" s="110">
        <f>+'Gantt Proyectos'!D260</f>
        <v>0</v>
      </c>
      <c r="E192" s="110">
        <f>+'Gantt Proyectos'!E260</f>
        <v>0</v>
      </c>
      <c r="F192" s="148">
        <f>+'Gantt Proyectos'!F260</f>
        <v>0</v>
      </c>
      <c r="G192" s="110">
        <f>+'Gantt Proyectos'!G260</f>
        <v>0</v>
      </c>
      <c r="H192" s="110">
        <f>+'Gantt Proyectos'!H260</f>
        <v>0</v>
      </c>
      <c r="I192" s="189">
        <v>1</v>
      </c>
      <c r="J192" s="189">
        <f t="shared" si="16"/>
        <v>0</v>
      </c>
      <c r="K192" s="110">
        <f>+'Gantt Proyectos'!I260</f>
        <v>0</v>
      </c>
      <c r="L192" s="110">
        <f>+'Gantt Proyectos'!J260</f>
        <v>0</v>
      </c>
      <c r="M192" s="110">
        <f>+'Gantt Proyectos'!K260</f>
        <v>0</v>
      </c>
      <c r="N192" s="110">
        <f>+'Gantt Proyectos'!L260</f>
        <v>0</v>
      </c>
      <c r="O192" s="110">
        <f>+'Gantt Proyectos'!M260</f>
        <v>0</v>
      </c>
      <c r="P192" s="110">
        <f>+'Gantt Proyectos'!N260</f>
        <v>0</v>
      </c>
      <c r="Q192" s="110">
        <f>+'Gantt Proyectos'!O260</f>
        <v>0</v>
      </c>
      <c r="R192" s="110">
        <f>+'Gantt Proyectos'!P260</f>
        <v>0</v>
      </c>
      <c r="S192" s="110">
        <f>+'Gantt Proyectos'!R260</f>
        <v>0</v>
      </c>
      <c r="T192" s="118">
        <f>+'Gantt Proyectos'!S260</f>
        <v>0</v>
      </c>
      <c r="U192" s="157">
        <f>+'Gantt Proyectos'!T260</f>
        <v>0</v>
      </c>
      <c r="V192" s="157">
        <f>+'Gantt Proyectos'!U260</f>
        <v>0</v>
      </c>
      <c r="W192" s="201">
        <f t="shared" si="17"/>
        <v>0</v>
      </c>
      <c r="X192" s="110">
        <f>+'Gantt Proyectos'!W260</f>
        <v>0</v>
      </c>
      <c r="Y192" s="110">
        <f>+'Gantt Proyectos'!X260</f>
        <v>0</v>
      </c>
      <c r="Z192" s="110">
        <f>+'Gantt Proyectos'!Y260</f>
        <v>0</v>
      </c>
      <c r="AA192" s="110">
        <f>+'Gantt Proyectos'!Z260</f>
        <v>0</v>
      </c>
      <c r="AB192" s="110">
        <f>+'Gantt Proyectos'!AA260</f>
        <v>0</v>
      </c>
      <c r="AC192" s="110">
        <f>+'Gantt Proyectos'!AB260</f>
        <v>0</v>
      </c>
      <c r="AD192" s="110">
        <f>+'Gantt Proyectos'!AC260</f>
        <v>0</v>
      </c>
      <c r="AE192" s="110">
        <f>+'Gantt Proyectos'!AD260</f>
        <v>0</v>
      </c>
      <c r="AF192" s="110">
        <f>+'Gantt Proyectos'!AE260</f>
        <v>0</v>
      </c>
      <c r="AG192" s="172">
        <v>1</v>
      </c>
      <c r="AH192" s="169">
        <f ca="1">+IFERROR(IF(ISNUMBER(OFFSET('EDP Proyectado'!AI192,0,-'Ingreso Proyectado_Edu'!$P192))&lt;&gt;0,IF(OFFSET('EDP Proyectado'!AI192,0,-'Ingreso Proyectado_Edu'!$P192)+0&lt;=1,0,OFFSET('EDP Proyectado'!AI192,0,-'Ingreso Proyectado_Edu'!$P192)+0)),0)</f>
        <v>0</v>
      </c>
      <c r="AI192" s="169">
        <f ca="1">+IFERROR(IF(ISNUMBER(OFFSET('EDP Proyectado'!AJ192,0,-'Ingreso Proyectado_Edu'!$P192))&lt;&gt;0,IF(OFFSET('EDP Proyectado'!AJ192,0,-'Ingreso Proyectado_Edu'!$P192)+0&lt;=1,0,OFFSET('EDP Proyectado'!AJ192,0,-'Ingreso Proyectado_Edu'!$P192)+0)),0)</f>
        <v>0</v>
      </c>
      <c r="AJ192" s="169">
        <f ca="1">+IFERROR(IF(ISNUMBER(OFFSET('EDP Proyectado'!AK192,0,-'Ingreso Proyectado_Edu'!$P192))&lt;&gt;0,IF(OFFSET('EDP Proyectado'!AK192,0,-'Ingreso Proyectado_Edu'!$P192)+0&lt;=1,0,OFFSET('EDP Proyectado'!AK192,0,-'Ingreso Proyectado_Edu'!$P192)+0)),0)</f>
        <v>0</v>
      </c>
      <c r="AK192" s="169">
        <f ca="1">+IFERROR(IF(ISNUMBER(OFFSET('EDP Proyectado'!AL192,0,-'Ingreso Proyectado_Edu'!$P192))&lt;&gt;0,IF(OFFSET('EDP Proyectado'!AL192,0,-'Ingreso Proyectado_Edu'!$P192)+0&lt;=1,0,OFFSET('EDP Proyectado'!AL192,0,-'Ingreso Proyectado_Edu'!$P192)+0)),0)</f>
        <v>0</v>
      </c>
      <c r="AL192" s="169">
        <f ca="1">+IFERROR(IF(ISNUMBER(OFFSET('EDP Proyectado'!AM192,0,-'Ingreso Proyectado_Edu'!$P192))&lt;&gt;0,IF(OFFSET('EDP Proyectado'!AM192,0,-'Ingreso Proyectado_Edu'!$P192)+0&lt;=1,0,OFFSET('EDP Proyectado'!AM192,0,-'Ingreso Proyectado_Edu'!$P192)+0)),0)</f>
        <v>0</v>
      </c>
      <c r="AM192" s="169">
        <f ca="1">+IFERROR(IF(ISNUMBER(OFFSET('EDP Proyectado'!AN192,0,-'Ingreso Proyectado_Edu'!$P192))&lt;&gt;0,IF(OFFSET('EDP Proyectado'!AN192,0,-'Ingreso Proyectado_Edu'!$P192)+0&lt;=1,0,OFFSET('EDP Proyectado'!AN192,0,-'Ingreso Proyectado_Edu'!$P192)+0)),0)</f>
        <v>0</v>
      </c>
      <c r="AN192" s="169">
        <f ca="1">+IFERROR(IF(ISNUMBER(OFFSET('EDP Proyectado'!AO192,0,-'Ingreso Proyectado_Edu'!$P192))&lt;&gt;0,IF(OFFSET('EDP Proyectado'!AO192,0,-'Ingreso Proyectado_Edu'!$P192)+0&lt;=1,0,OFFSET('EDP Proyectado'!AO192,0,-'Ingreso Proyectado_Edu'!$P192)+0)),0)</f>
        <v>0</v>
      </c>
      <c r="AO192" s="169">
        <f ca="1">+IFERROR(IF(ISNUMBER(OFFSET('EDP Proyectado'!AP192,0,-'Ingreso Proyectado_Edu'!$P192))&lt;&gt;0,IF(OFFSET('EDP Proyectado'!AP192,0,-'Ingreso Proyectado_Edu'!$P192)+0&lt;=1,0,OFFSET('EDP Proyectado'!AP192,0,-'Ingreso Proyectado_Edu'!$P192)+0)),0)</f>
        <v>0</v>
      </c>
      <c r="AP192" s="170">
        <f ca="1">+IFERROR(IF(ISNUMBER(OFFSET('EDP Proyectado'!AQ192,0,-'Ingreso Proyectado_Edu'!$P192))&lt;&gt;0,IF(OFFSET('EDP Proyectado'!AQ192,0,-'Ingreso Proyectado_Edu'!$P192)+0&lt;=1,0,OFFSET('EDP Proyectado'!AQ192,0,-'Ingreso Proyectado_Edu'!$P192)+0)),0)</f>
        <v>0</v>
      </c>
    </row>
    <row r="193" spans="3:42" x14ac:dyDescent="0.2">
      <c r="C193" s="110">
        <f>+'Gantt Proyectos'!C261</f>
        <v>0</v>
      </c>
      <c r="D193" s="110">
        <f>+'Gantt Proyectos'!D261</f>
        <v>0</v>
      </c>
      <c r="E193" s="110">
        <f>+'Gantt Proyectos'!E261</f>
        <v>0</v>
      </c>
      <c r="F193" s="148">
        <f>+'Gantt Proyectos'!F261</f>
        <v>0</v>
      </c>
      <c r="G193" s="110">
        <f>+'Gantt Proyectos'!G261</f>
        <v>0</v>
      </c>
      <c r="H193" s="110">
        <f>+'Gantt Proyectos'!H261</f>
        <v>0</v>
      </c>
      <c r="I193" s="189">
        <v>1</v>
      </c>
      <c r="J193" s="189">
        <f t="shared" si="16"/>
        <v>0</v>
      </c>
      <c r="K193" s="110">
        <f>+'Gantt Proyectos'!I261</f>
        <v>0</v>
      </c>
      <c r="L193" s="110">
        <f>+'Gantt Proyectos'!J261</f>
        <v>0</v>
      </c>
      <c r="M193" s="110">
        <f>+'Gantt Proyectos'!K261</f>
        <v>0</v>
      </c>
      <c r="N193" s="110">
        <f>+'Gantt Proyectos'!L261</f>
        <v>0</v>
      </c>
      <c r="O193" s="110">
        <f>+'Gantt Proyectos'!M261</f>
        <v>0</v>
      </c>
      <c r="P193" s="110">
        <f>+'Gantt Proyectos'!N261</f>
        <v>0</v>
      </c>
      <c r="Q193" s="110">
        <f>+'Gantt Proyectos'!O261</f>
        <v>0</v>
      </c>
      <c r="R193" s="110">
        <f>+'Gantt Proyectos'!P261</f>
        <v>0</v>
      </c>
      <c r="S193" s="110">
        <f>+'Gantt Proyectos'!R261</f>
        <v>0</v>
      </c>
      <c r="T193" s="118">
        <f>+'Gantt Proyectos'!S261</f>
        <v>0</v>
      </c>
      <c r="U193" s="157">
        <f>+'Gantt Proyectos'!T261</f>
        <v>0</v>
      </c>
      <c r="V193" s="157">
        <f>+'Gantt Proyectos'!U261</f>
        <v>0</v>
      </c>
      <c r="W193" s="201">
        <f t="shared" si="17"/>
        <v>0</v>
      </c>
      <c r="X193" s="110">
        <f>+'Gantt Proyectos'!W261</f>
        <v>0</v>
      </c>
      <c r="Y193" s="110">
        <f>+'Gantt Proyectos'!X261</f>
        <v>0</v>
      </c>
      <c r="Z193" s="110">
        <f>+'Gantt Proyectos'!Y261</f>
        <v>0</v>
      </c>
      <c r="AA193" s="110">
        <f>+'Gantt Proyectos'!Z261</f>
        <v>0</v>
      </c>
      <c r="AB193" s="110">
        <f>+'Gantt Proyectos'!AA261</f>
        <v>0</v>
      </c>
      <c r="AC193" s="110">
        <f>+'Gantt Proyectos'!AB261</f>
        <v>0</v>
      </c>
      <c r="AD193" s="110">
        <f>+'Gantt Proyectos'!AC261</f>
        <v>0</v>
      </c>
      <c r="AE193" s="110">
        <f>+'Gantt Proyectos'!AD261</f>
        <v>0</v>
      </c>
      <c r="AF193" s="110">
        <f>+'Gantt Proyectos'!AE261</f>
        <v>0</v>
      </c>
      <c r="AG193" s="172">
        <v>1</v>
      </c>
      <c r="AH193" s="169">
        <f ca="1">+IFERROR(IF(ISNUMBER(OFFSET('EDP Proyectado'!AI193,0,-'Ingreso Proyectado_Edu'!$P193))&lt;&gt;0,IF(OFFSET('EDP Proyectado'!AI193,0,-'Ingreso Proyectado_Edu'!$P193)+0&lt;=1,0,OFFSET('EDP Proyectado'!AI193,0,-'Ingreso Proyectado_Edu'!$P193)+0)),0)</f>
        <v>0</v>
      </c>
      <c r="AI193" s="169">
        <f ca="1">+IFERROR(IF(ISNUMBER(OFFSET('EDP Proyectado'!AJ193,0,-'Ingreso Proyectado_Edu'!$P193))&lt;&gt;0,IF(OFFSET('EDP Proyectado'!AJ193,0,-'Ingreso Proyectado_Edu'!$P193)+0&lt;=1,0,OFFSET('EDP Proyectado'!AJ193,0,-'Ingreso Proyectado_Edu'!$P193)+0)),0)</f>
        <v>0</v>
      </c>
      <c r="AJ193" s="169">
        <f ca="1">+IFERROR(IF(ISNUMBER(OFFSET('EDP Proyectado'!AK193,0,-'Ingreso Proyectado_Edu'!$P193))&lt;&gt;0,IF(OFFSET('EDP Proyectado'!AK193,0,-'Ingreso Proyectado_Edu'!$P193)+0&lt;=1,0,OFFSET('EDP Proyectado'!AK193,0,-'Ingreso Proyectado_Edu'!$P193)+0)),0)</f>
        <v>0</v>
      </c>
      <c r="AK193" s="169">
        <f ca="1">+IFERROR(IF(ISNUMBER(OFFSET('EDP Proyectado'!AL193,0,-'Ingreso Proyectado_Edu'!$P193))&lt;&gt;0,IF(OFFSET('EDP Proyectado'!AL193,0,-'Ingreso Proyectado_Edu'!$P193)+0&lt;=1,0,OFFSET('EDP Proyectado'!AL193,0,-'Ingreso Proyectado_Edu'!$P193)+0)),0)</f>
        <v>0</v>
      </c>
      <c r="AL193" s="169">
        <f ca="1">+IFERROR(IF(ISNUMBER(OFFSET('EDP Proyectado'!AM193,0,-'Ingreso Proyectado_Edu'!$P193))&lt;&gt;0,IF(OFFSET('EDP Proyectado'!AM193,0,-'Ingreso Proyectado_Edu'!$P193)+0&lt;=1,0,OFFSET('EDP Proyectado'!AM193,0,-'Ingreso Proyectado_Edu'!$P193)+0)),0)</f>
        <v>0</v>
      </c>
      <c r="AM193" s="169">
        <f ca="1">+IFERROR(IF(ISNUMBER(OFFSET('EDP Proyectado'!AN193,0,-'Ingreso Proyectado_Edu'!$P193))&lt;&gt;0,IF(OFFSET('EDP Proyectado'!AN193,0,-'Ingreso Proyectado_Edu'!$P193)+0&lt;=1,0,OFFSET('EDP Proyectado'!AN193,0,-'Ingreso Proyectado_Edu'!$P193)+0)),0)</f>
        <v>0</v>
      </c>
      <c r="AN193" s="169">
        <f ca="1">+IFERROR(IF(ISNUMBER(OFFSET('EDP Proyectado'!AO193,0,-'Ingreso Proyectado_Edu'!$P193))&lt;&gt;0,IF(OFFSET('EDP Proyectado'!AO193,0,-'Ingreso Proyectado_Edu'!$P193)+0&lt;=1,0,OFFSET('EDP Proyectado'!AO193,0,-'Ingreso Proyectado_Edu'!$P193)+0)),0)</f>
        <v>0</v>
      </c>
      <c r="AO193" s="169">
        <f ca="1">+IFERROR(IF(ISNUMBER(OFFSET('EDP Proyectado'!AP193,0,-'Ingreso Proyectado_Edu'!$P193))&lt;&gt;0,IF(OFFSET('EDP Proyectado'!AP193,0,-'Ingreso Proyectado_Edu'!$P193)+0&lt;=1,0,OFFSET('EDP Proyectado'!AP193,0,-'Ingreso Proyectado_Edu'!$P193)+0)),0)</f>
        <v>0</v>
      </c>
      <c r="AP193" s="170">
        <f ca="1">+IFERROR(IF(ISNUMBER(OFFSET('EDP Proyectado'!AQ193,0,-'Ingreso Proyectado_Edu'!$P193))&lt;&gt;0,IF(OFFSET('EDP Proyectado'!AQ193,0,-'Ingreso Proyectado_Edu'!$P193)+0&lt;=1,0,OFFSET('EDP Proyectado'!AQ193,0,-'Ingreso Proyectado_Edu'!$P193)+0)),0)</f>
        <v>0</v>
      </c>
    </row>
    <row r="194" spans="3:42" x14ac:dyDescent="0.2">
      <c r="C194" s="110">
        <f>+'Gantt Proyectos'!C262</f>
        <v>0</v>
      </c>
      <c r="D194" s="110">
        <f>+'Gantt Proyectos'!D262</f>
        <v>0</v>
      </c>
      <c r="E194" s="110">
        <f>+'Gantt Proyectos'!E262</f>
        <v>0</v>
      </c>
      <c r="F194" s="148">
        <f>+'Gantt Proyectos'!F262</f>
        <v>0</v>
      </c>
      <c r="G194" s="110">
        <f>+'Gantt Proyectos'!G262</f>
        <v>0</v>
      </c>
      <c r="H194" s="110">
        <f>+'Gantt Proyectos'!H262</f>
        <v>0</v>
      </c>
      <c r="I194" s="189">
        <v>1</v>
      </c>
      <c r="J194" s="189">
        <f t="shared" si="16"/>
        <v>0</v>
      </c>
      <c r="K194" s="110">
        <f>+'Gantt Proyectos'!I262</f>
        <v>0</v>
      </c>
      <c r="L194" s="110">
        <f>+'Gantt Proyectos'!J262</f>
        <v>0</v>
      </c>
      <c r="M194" s="110">
        <f>+'Gantt Proyectos'!K262</f>
        <v>0</v>
      </c>
      <c r="N194" s="110">
        <f>+'Gantt Proyectos'!L262</f>
        <v>0</v>
      </c>
      <c r="O194" s="110">
        <f>+'Gantt Proyectos'!M262</f>
        <v>0</v>
      </c>
      <c r="P194" s="110">
        <f>+'Gantt Proyectos'!N262</f>
        <v>0</v>
      </c>
      <c r="Q194" s="110">
        <f>+'Gantt Proyectos'!O262</f>
        <v>0</v>
      </c>
      <c r="R194" s="110">
        <f>+'Gantt Proyectos'!P262</f>
        <v>0</v>
      </c>
      <c r="S194" s="110">
        <f>+'Gantt Proyectos'!R262</f>
        <v>0</v>
      </c>
      <c r="T194" s="118">
        <f>+'Gantt Proyectos'!S262</f>
        <v>0</v>
      </c>
      <c r="U194" s="157">
        <f>+'Gantt Proyectos'!T262</f>
        <v>0</v>
      </c>
      <c r="V194" s="157">
        <f>+'Gantt Proyectos'!U262</f>
        <v>0</v>
      </c>
      <c r="W194" s="201">
        <f t="shared" si="17"/>
        <v>0</v>
      </c>
      <c r="X194" s="110">
        <f>+'Gantt Proyectos'!W262</f>
        <v>0</v>
      </c>
      <c r="Y194" s="110">
        <f>+'Gantt Proyectos'!X262</f>
        <v>0</v>
      </c>
      <c r="Z194" s="110">
        <f>+'Gantt Proyectos'!Y262</f>
        <v>0</v>
      </c>
      <c r="AA194" s="110">
        <f>+'Gantt Proyectos'!Z262</f>
        <v>0</v>
      </c>
      <c r="AB194" s="110">
        <f>+'Gantt Proyectos'!AA262</f>
        <v>0</v>
      </c>
      <c r="AC194" s="110">
        <f>+'Gantt Proyectos'!AB262</f>
        <v>0</v>
      </c>
      <c r="AD194" s="110">
        <f>+'Gantt Proyectos'!AC262</f>
        <v>0</v>
      </c>
      <c r="AE194" s="110">
        <f>+'Gantt Proyectos'!AD262</f>
        <v>0</v>
      </c>
      <c r="AF194" s="110">
        <f>+'Gantt Proyectos'!AE262</f>
        <v>0</v>
      </c>
      <c r="AG194" s="172">
        <v>1</v>
      </c>
      <c r="AH194" s="169">
        <f ca="1">+IFERROR(IF(ISNUMBER(OFFSET('EDP Proyectado'!AI194,0,-'Ingreso Proyectado_Edu'!$P194))&lt;&gt;0,IF(OFFSET('EDP Proyectado'!AI194,0,-'Ingreso Proyectado_Edu'!$P194)+0&lt;=1,0,OFFSET('EDP Proyectado'!AI194,0,-'Ingreso Proyectado_Edu'!$P194)+0)),0)</f>
        <v>0</v>
      </c>
      <c r="AI194" s="169">
        <f ca="1">+IFERROR(IF(ISNUMBER(OFFSET('EDP Proyectado'!AJ194,0,-'Ingreso Proyectado_Edu'!$P194))&lt;&gt;0,IF(OFFSET('EDP Proyectado'!AJ194,0,-'Ingreso Proyectado_Edu'!$P194)+0&lt;=1,0,OFFSET('EDP Proyectado'!AJ194,0,-'Ingreso Proyectado_Edu'!$P194)+0)),0)</f>
        <v>0</v>
      </c>
      <c r="AJ194" s="169">
        <f ca="1">+IFERROR(IF(ISNUMBER(OFFSET('EDP Proyectado'!AK194,0,-'Ingreso Proyectado_Edu'!$P194))&lt;&gt;0,IF(OFFSET('EDP Proyectado'!AK194,0,-'Ingreso Proyectado_Edu'!$P194)+0&lt;=1,0,OFFSET('EDP Proyectado'!AK194,0,-'Ingreso Proyectado_Edu'!$P194)+0)),0)</f>
        <v>0</v>
      </c>
      <c r="AK194" s="169">
        <f ca="1">+IFERROR(IF(ISNUMBER(OFFSET('EDP Proyectado'!AL194,0,-'Ingreso Proyectado_Edu'!$P194))&lt;&gt;0,IF(OFFSET('EDP Proyectado'!AL194,0,-'Ingreso Proyectado_Edu'!$P194)+0&lt;=1,0,OFFSET('EDP Proyectado'!AL194,0,-'Ingreso Proyectado_Edu'!$P194)+0)),0)</f>
        <v>0</v>
      </c>
      <c r="AL194" s="169">
        <f ca="1">+IFERROR(IF(ISNUMBER(OFFSET('EDP Proyectado'!AM194,0,-'Ingreso Proyectado_Edu'!$P194))&lt;&gt;0,IF(OFFSET('EDP Proyectado'!AM194,0,-'Ingreso Proyectado_Edu'!$P194)+0&lt;=1,0,OFFSET('EDP Proyectado'!AM194,0,-'Ingreso Proyectado_Edu'!$P194)+0)),0)</f>
        <v>0</v>
      </c>
      <c r="AM194" s="169">
        <f ca="1">+IFERROR(IF(ISNUMBER(OFFSET('EDP Proyectado'!AN194,0,-'Ingreso Proyectado_Edu'!$P194))&lt;&gt;0,IF(OFFSET('EDP Proyectado'!AN194,0,-'Ingreso Proyectado_Edu'!$P194)+0&lt;=1,0,OFFSET('EDP Proyectado'!AN194,0,-'Ingreso Proyectado_Edu'!$P194)+0)),0)</f>
        <v>0</v>
      </c>
      <c r="AN194" s="169">
        <f ca="1">+IFERROR(IF(ISNUMBER(OFFSET('EDP Proyectado'!AO194,0,-'Ingreso Proyectado_Edu'!$P194))&lt;&gt;0,IF(OFFSET('EDP Proyectado'!AO194,0,-'Ingreso Proyectado_Edu'!$P194)+0&lt;=1,0,OFFSET('EDP Proyectado'!AO194,0,-'Ingreso Proyectado_Edu'!$P194)+0)),0)</f>
        <v>0</v>
      </c>
      <c r="AO194" s="169">
        <f ca="1">+IFERROR(IF(ISNUMBER(OFFSET('EDP Proyectado'!AP194,0,-'Ingreso Proyectado_Edu'!$P194))&lt;&gt;0,IF(OFFSET('EDP Proyectado'!AP194,0,-'Ingreso Proyectado_Edu'!$P194)+0&lt;=1,0,OFFSET('EDP Proyectado'!AP194,0,-'Ingreso Proyectado_Edu'!$P194)+0)),0)</f>
        <v>0</v>
      </c>
      <c r="AP194" s="170">
        <f ca="1">+IFERROR(IF(ISNUMBER(OFFSET('EDP Proyectado'!AQ194,0,-'Ingreso Proyectado_Edu'!$P194))&lt;&gt;0,IF(OFFSET('EDP Proyectado'!AQ194,0,-'Ingreso Proyectado_Edu'!$P194)+0&lt;=1,0,OFFSET('EDP Proyectado'!AQ194,0,-'Ingreso Proyectado_Edu'!$P194)+0)),0)</f>
        <v>0</v>
      </c>
    </row>
    <row r="195" spans="3:42" x14ac:dyDescent="0.2">
      <c r="F195" s="148"/>
    </row>
    <row r="196" spans="3:42" x14ac:dyDescent="0.2">
      <c r="F196" s="148"/>
    </row>
    <row r="197" spans="3:42" x14ac:dyDescent="0.2">
      <c r="F197" s="148"/>
    </row>
    <row r="198" spans="3:42" x14ac:dyDescent="0.2">
      <c r="F198" s="148"/>
    </row>
    <row r="199" spans="3:42" x14ac:dyDescent="0.2">
      <c r="F199" s="148"/>
    </row>
    <row r="200" spans="3:42" x14ac:dyDescent="0.2">
      <c r="F200" s="148"/>
    </row>
    <row r="201" spans="3:42" x14ac:dyDescent="0.2">
      <c r="F201" s="148"/>
    </row>
    <row r="202" spans="3:42" x14ac:dyDescent="0.2">
      <c r="F202" s="148"/>
    </row>
    <row r="203" spans="3:42" x14ac:dyDescent="0.2">
      <c r="F203" s="148"/>
    </row>
    <row r="204" spans="3:42" x14ac:dyDescent="0.2">
      <c r="F204" s="148"/>
    </row>
    <row r="205" spans="3:42" x14ac:dyDescent="0.2">
      <c r="F205" s="148"/>
    </row>
    <row r="206" spans="3:42" x14ac:dyDescent="0.2">
      <c r="F206" s="148"/>
    </row>
    <row r="207" spans="3:42" x14ac:dyDescent="0.2">
      <c r="F207" s="148"/>
    </row>
    <row r="208" spans="3:42" x14ac:dyDescent="0.2">
      <c r="F208" s="148"/>
    </row>
    <row r="209" spans="6:6" x14ac:dyDescent="0.2">
      <c r="F209" s="148"/>
    </row>
    <row r="210" spans="6:6" x14ac:dyDescent="0.2">
      <c r="F210" s="148"/>
    </row>
    <row r="211" spans="6:6" x14ac:dyDescent="0.2">
      <c r="F211" s="148"/>
    </row>
  </sheetData>
  <mergeCells count="1">
    <mergeCell ref="I27:J27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09AD-A39C-4B30-817F-766477480824}">
  <sheetPr codeName="Hoja3">
    <tabColor rgb="FFFFFF00"/>
  </sheetPr>
  <dimension ref="A4:M93"/>
  <sheetViews>
    <sheetView showGridLines="0" workbookViewId="0">
      <selection activeCell="L94" sqref="L94"/>
    </sheetView>
  </sheetViews>
  <sheetFormatPr baseColWidth="10" defaultColWidth="11.5" defaultRowHeight="15" x14ac:dyDescent="0.2"/>
  <cols>
    <col min="1" max="1" width="6.5" customWidth="1"/>
    <col min="2" max="2" width="20" bestFit="1" customWidth="1"/>
    <col min="3" max="3" width="29.5" style="64" bestFit="1" customWidth="1"/>
    <col min="4" max="4" width="9.1640625" style="2" bestFit="1" customWidth="1"/>
    <col min="6" max="6" width="15.83203125" bestFit="1" customWidth="1"/>
    <col min="7" max="8" width="15.83203125" customWidth="1"/>
    <col min="9" max="9" width="17.5" customWidth="1"/>
    <col min="12" max="12" width="22.83203125" customWidth="1"/>
  </cols>
  <sheetData>
    <row r="4" spans="1:13" ht="19" x14ac:dyDescent="0.25">
      <c r="B4" s="62" t="s">
        <v>456</v>
      </c>
      <c r="C4" s="62"/>
      <c r="D4" s="63"/>
    </row>
    <row r="5" spans="1:13" ht="16" thickBot="1" x14ac:dyDescent="0.25"/>
    <row r="6" spans="1:13" s="68" customFormat="1" ht="16" x14ac:dyDescent="0.2">
      <c r="A6" s="65" t="s">
        <v>114</v>
      </c>
      <c r="B6" s="66" t="s">
        <v>115</v>
      </c>
      <c r="C6" s="66" t="s">
        <v>116</v>
      </c>
      <c r="D6" s="65" t="s">
        <v>117</v>
      </c>
      <c r="E6" s="67" t="s">
        <v>118</v>
      </c>
      <c r="F6" s="67" t="s">
        <v>119</v>
      </c>
      <c r="G6" s="67" t="s">
        <v>457</v>
      </c>
      <c r="H6" s="67" t="s">
        <v>458</v>
      </c>
      <c r="I6" s="67" t="s">
        <v>459</v>
      </c>
    </row>
    <row r="7" spans="1:13" x14ac:dyDescent="0.2">
      <c r="A7" s="69">
        <v>1</v>
      </c>
      <c r="B7" s="70" t="s">
        <v>124</v>
      </c>
      <c r="C7" s="70" t="s">
        <v>125</v>
      </c>
      <c r="D7" s="71" t="s">
        <v>126</v>
      </c>
      <c r="E7" s="72" t="s">
        <v>45</v>
      </c>
      <c r="F7" s="72" t="s">
        <v>127</v>
      </c>
      <c r="G7" s="72"/>
      <c r="H7" s="72"/>
      <c r="I7" s="72"/>
    </row>
    <row r="8" spans="1:13" x14ac:dyDescent="0.2">
      <c r="A8" s="69">
        <v>2</v>
      </c>
      <c r="B8" s="70" t="s">
        <v>128</v>
      </c>
      <c r="C8" s="70" t="s">
        <v>129</v>
      </c>
      <c r="D8" s="71" t="s">
        <v>126</v>
      </c>
      <c r="E8" s="72" t="s">
        <v>45</v>
      </c>
      <c r="F8" s="72" t="s">
        <v>127</v>
      </c>
      <c r="G8" s="72"/>
      <c r="H8" s="72"/>
      <c r="I8" s="72"/>
    </row>
    <row r="9" spans="1:13" x14ac:dyDescent="0.2">
      <c r="A9" s="69">
        <v>3</v>
      </c>
      <c r="B9" s="70" t="s">
        <v>130</v>
      </c>
      <c r="C9" s="70" t="s">
        <v>25</v>
      </c>
      <c r="D9" s="71" t="s">
        <v>126</v>
      </c>
      <c r="E9" s="72" t="s">
        <v>45</v>
      </c>
      <c r="F9" s="72" t="s">
        <v>127</v>
      </c>
      <c r="G9" s="72"/>
      <c r="H9" s="72"/>
      <c r="I9" s="72"/>
      <c r="L9" s="88" t="s">
        <v>71</v>
      </c>
    </row>
    <row r="10" spans="1:13" x14ac:dyDescent="0.2">
      <c r="A10" s="69">
        <v>4</v>
      </c>
      <c r="B10" s="70" t="s">
        <v>131</v>
      </c>
      <c r="C10" s="70" t="s">
        <v>132</v>
      </c>
      <c r="D10" s="71" t="s">
        <v>126</v>
      </c>
      <c r="E10" s="72" t="s">
        <v>45</v>
      </c>
      <c r="F10" s="72" t="s">
        <v>133</v>
      </c>
      <c r="G10" s="72"/>
      <c r="H10" s="72"/>
      <c r="I10" s="72"/>
      <c r="L10" s="88" t="s">
        <v>75</v>
      </c>
    </row>
    <row r="11" spans="1:13" x14ac:dyDescent="0.2">
      <c r="A11" s="73">
        <v>5</v>
      </c>
      <c r="B11" s="74" t="s">
        <v>135</v>
      </c>
      <c r="C11" s="74" t="s">
        <v>136</v>
      </c>
      <c r="D11" s="75" t="s">
        <v>126</v>
      </c>
      <c r="E11" s="73" t="s">
        <v>41</v>
      </c>
      <c r="F11" s="73" t="s">
        <v>127</v>
      </c>
      <c r="G11" s="73"/>
      <c r="H11" s="73"/>
      <c r="I11" s="73"/>
      <c r="L11" s="88" t="s">
        <v>79</v>
      </c>
    </row>
    <row r="12" spans="1:13" x14ac:dyDescent="0.2">
      <c r="A12" s="73">
        <v>6</v>
      </c>
      <c r="B12" s="74" t="s">
        <v>137</v>
      </c>
      <c r="C12" s="74" t="s">
        <v>138</v>
      </c>
      <c r="D12" s="75" t="s">
        <v>126</v>
      </c>
      <c r="E12" s="73" t="s">
        <v>41</v>
      </c>
      <c r="F12" s="73" t="s">
        <v>127</v>
      </c>
      <c r="G12" s="73"/>
      <c r="H12" s="73"/>
      <c r="I12" s="73"/>
    </row>
    <row r="13" spans="1:13" ht="16" thickBot="1" x14ac:dyDescent="0.25">
      <c r="A13" s="73">
        <v>7</v>
      </c>
      <c r="B13" s="74" t="s">
        <v>139</v>
      </c>
      <c r="C13" s="74" t="s">
        <v>460</v>
      </c>
      <c r="D13" s="75" t="s">
        <v>126</v>
      </c>
      <c r="E13" s="73" t="s">
        <v>41</v>
      </c>
      <c r="F13" s="73" t="s">
        <v>140</v>
      </c>
      <c r="G13" s="73"/>
      <c r="H13" s="73"/>
      <c r="I13" s="73"/>
    </row>
    <row r="14" spans="1:13" ht="16" thickBot="1" x14ac:dyDescent="0.25">
      <c r="A14" s="73">
        <v>8</v>
      </c>
      <c r="B14" s="74" t="s">
        <v>141</v>
      </c>
      <c r="C14" s="74" t="s">
        <v>142</v>
      </c>
      <c r="D14" s="75" t="s">
        <v>126</v>
      </c>
      <c r="E14" s="73" t="s">
        <v>41</v>
      </c>
      <c r="F14" s="73" t="s">
        <v>127</v>
      </c>
      <c r="G14" s="73"/>
      <c r="H14" s="73"/>
      <c r="I14" s="73"/>
      <c r="L14" s="87" t="s">
        <v>116</v>
      </c>
      <c r="M14" s="86" t="s">
        <v>114</v>
      </c>
    </row>
    <row r="15" spans="1:13" x14ac:dyDescent="0.2">
      <c r="A15" s="73">
        <v>9</v>
      </c>
      <c r="B15" s="74" t="s">
        <v>143</v>
      </c>
      <c r="C15" s="74" t="s">
        <v>25</v>
      </c>
      <c r="D15" s="75" t="s">
        <v>126</v>
      </c>
      <c r="E15" s="73" t="s">
        <v>41</v>
      </c>
      <c r="F15" s="73" t="s">
        <v>127</v>
      </c>
      <c r="G15" s="73"/>
      <c r="H15" s="73"/>
      <c r="I15" s="73"/>
      <c r="L15" s="89" t="s">
        <v>25</v>
      </c>
      <c r="M15" s="83">
        <f>+COUNTIFS(C:C,L15)+2</f>
        <v>8</v>
      </c>
    </row>
    <row r="16" spans="1:13" x14ac:dyDescent="0.2">
      <c r="A16" s="73">
        <v>10</v>
      </c>
      <c r="B16" s="74" t="s">
        <v>144</v>
      </c>
      <c r="C16" s="74" t="s">
        <v>25</v>
      </c>
      <c r="D16" s="75" t="s">
        <v>126</v>
      </c>
      <c r="E16" s="73" t="s">
        <v>41</v>
      </c>
      <c r="F16" s="73" t="s">
        <v>127</v>
      </c>
      <c r="G16" s="73"/>
      <c r="H16" s="73"/>
      <c r="I16" s="73"/>
      <c r="L16" s="89" t="s">
        <v>26</v>
      </c>
      <c r="M16" s="83">
        <f>+COUNTIFS(C:C,L16)</f>
        <v>10</v>
      </c>
    </row>
    <row r="17" spans="1:13" x14ac:dyDescent="0.2">
      <c r="A17" s="73">
        <v>11</v>
      </c>
      <c r="B17" s="74" t="s">
        <v>145</v>
      </c>
      <c r="C17" s="74" t="s">
        <v>25</v>
      </c>
      <c r="D17" s="75" t="s">
        <v>126</v>
      </c>
      <c r="E17" s="73" t="s">
        <v>41</v>
      </c>
      <c r="F17" s="73" t="s">
        <v>127</v>
      </c>
      <c r="G17" s="73"/>
      <c r="H17" s="73"/>
      <c r="I17" s="73"/>
      <c r="L17" s="89" t="s">
        <v>27</v>
      </c>
      <c r="M17" s="83">
        <f>+COUNTIFS(C:C,L17)</f>
        <v>10</v>
      </c>
    </row>
    <row r="18" spans="1:13" x14ac:dyDescent="0.2">
      <c r="A18" s="73">
        <v>12</v>
      </c>
      <c r="B18" s="74" t="s">
        <v>146</v>
      </c>
      <c r="C18" s="74" t="s">
        <v>25</v>
      </c>
      <c r="D18" s="75" t="s">
        <v>126</v>
      </c>
      <c r="E18" s="73" t="s">
        <v>41</v>
      </c>
      <c r="F18" s="73" t="s">
        <v>127</v>
      </c>
      <c r="G18" s="73"/>
      <c r="H18" s="73"/>
      <c r="I18" s="73"/>
      <c r="L18" s="89" t="s">
        <v>28</v>
      </c>
      <c r="M18" s="83">
        <f>+COUNTIFS(C:C,L18)</f>
        <v>22</v>
      </c>
    </row>
    <row r="19" spans="1:13" ht="16" thickBot="1" x14ac:dyDescent="0.25">
      <c r="A19" s="73">
        <v>13</v>
      </c>
      <c r="B19" s="74" t="s">
        <v>148</v>
      </c>
      <c r="C19" s="74" t="s">
        <v>25</v>
      </c>
      <c r="D19" s="75" t="s">
        <v>126</v>
      </c>
      <c r="E19" s="73" t="s">
        <v>41</v>
      </c>
      <c r="F19" s="73" t="s">
        <v>140</v>
      </c>
      <c r="G19" s="73"/>
      <c r="H19" s="73"/>
      <c r="I19" s="73"/>
      <c r="L19" s="89" t="s">
        <v>29</v>
      </c>
      <c r="M19" s="83">
        <f>+COUNTIFS(C:C,L19)</f>
        <v>13</v>
      </c>
    </row>
    <row r="20" spans="1:13" ht="16" thickBot="1" x14ac:dyDescent="0.25">
      <c r="A20" s="73">
        <v>14</v>
      </c>
      <c r="B20" s="74" t="s">
        <v>149</v>
      </c>
      <c r="C20" s="74" t="s">
        <v>150</v>
      </c>
      <c r="D20" s="75" t="s">
        <v>126</v>
      </c>
      <c r="E20" s="73" t="s">
        <v>41</v>
      </c>
      <c r="F20" s="73" t="s">
        <v>127</v>
      </c>
      <c r="G20" s="73"/>
      <c r="H20" s="73"/>
      <c r="I20" s="73"/>
      <c r="L20" s="85" t="s">
        <v>32</v>
      </c>
      <c r="M20" s="84">
        <f>+SUM(M15:M19)</f>
        <v>63</v>
      </c>
    </row>
    <row r="21" spans="1:13" x14ac:dyDescent="0.2">
      <c r="A21" s="73">
        <v>15</v>
      </c>
      <c r="B21" s="74" t="s">
        <v>151</v>
      </c>
      <c r="C21" s="74" t="s">
        <v>461</v>
      </c>
      <c r="D21" s="75" t="s">
        <v>126</v>
      </c>
      <c r="E21" s="73" t="s">
        <v>41</v>
      </c>
      <c r="F21" s="73" t="s">
        <v>127</v>
      </c>
      <c r="G21" s="73"/>
      <c r="H21" s="73"/>
      <c r="I21" s="73"/>
    </row>
    <row r="22" spans="1:13" x14ac:dyDescent="0.2">
      <c r="A22" s="73">
        <v>16</v>
      </c>
      <c r="B22" s="74" t="s">
        <v>152</v>
      </c>
      <c r="C22" s="74" t="s">
        <v>462</v>
      </c>
      <c r="D22" s="75" t="s">
        <v>126</v>
      </c>
      <c r="E22" s="73" t="s">
        <v>41</v>
      </c>
      <c r="F22" s="73" t="s">
        <v>127</v>
      </c>
      <c r="G22" s="73"/>
      <c r="H22" s="73"/>
      <c r="I22" s="73"/>
    </row>
    <row r="23" spans="1:13" x14ac:dyDescent="0.2">
      <c r="A23" s="73">
        <v>17</v>
      </c>
      <c r="B23" s="74" t="s">
        <v>153</v>
      </c>
      <c r="C23" s="74" t="s">
        <v>29</v>
      </c>
      <c r="D23" s="75" t="s">
        <v>126</v>
      </c>
      <c r="E23" s="73" t="s">
        <v>41</v>
      </c>
      <c r="F23" s="73" t="s">
        <v>154</v>
      </c>
      <c r="G23" s="73"/>
      <c r="H23" s="73"/>
      <c r="I23" s="73"/>
    </row>
    <row r="24" spans="1:13" x14ac:dyDescent="0.2">
      <c r="A24" s="73">
        <v>18</v>
      </c>
      <c r="B24" s="74" t="s">
        <v>155</v>
      </c>
      <c r="C24" s="74" t="s">
        <v>28</v>
      </c>
      <c r="D24" s="75" t="s">
        <v>126</v>
      </c>
      <c r="E24" s="73" t="s">
        <v>41</v>
      </c>
      <c r="F24" s="73" t="s">
        <v>127</v>
      </c>
      <c r="G24" s="73"/>
      <c r="H24" s="73"/>
      <c r="I24" s="73"/>
    </row>
    <row r="25" spans="1:13" x14ac:dyDescent="0.2">
      <c r="A25" s="73">
        <v>19</v>
      </c>
      <c r="B25" s="74" t="s">
        <v>156</v>
      </c>
      <c r="C25" s="74" t="s">
        <v>28</v>
      </c>
      <c r="D25" s="75" t="s">
        <v>126</v>
      </c>
      <c r="E25" s="73" t="s">
        <v>41</v>
      </c>
      <c r="F25" s="73" t="s">
        <v>127</v>
      </c>
      <c r="G25" s="73"/>
      <c r="H25" s="73"/>
      <c r="I25" s="73"/>
    </row>
    <row r="26" spans="1:13" x14ac:dyDescent="0.2">
      <c r="A26" s="73">
        <v>20</v>
      </c>
      <c r="B26" s="74" t="s">
        <v>157</v>
      </c>
      <c r="C26" s="74" t="s">
        <v>28</v>
      </c>
      <c r="D26" s="75" t="s">
        <v>126</v>
      </c>
      <c r="E26" s="73" t="s">
        <v>41</v>
      </c>
      <c r="F26" s="73" t="s">
        <v>127</v>
      </c>
      <c r="G26" s="73"/>
      <c r="H26" s="73"/>
      <c r="I26" s="73"/>
    </row>
    <row r="27" spans="1:13" x14ac:dyDescent="0.2">
      <c r="A27" s="73">
        <v>21</v>
      </c>
      <c r="B27" s="74" t="s">
        <v>158</v>
      </c>
      <c r="C27" s="74" t="s">
        <v>29</v>
      </c>
      <c r="D27" s="75" t="s">
        <v>126</v>
      </c>
      <c r="E27" s="73" t="s">
        <v>41</v>
      </c>
      <c r="F27" s="73" t="s">
        <v>154</v>
      </c>
      <c r="G27" s="73"/>
      <c r="H27" s="73"/>
      <c r="I27" s="73"/>
    </row>
    <row r="28" spans="1:13" x14ac:dyDescent="0.2">
      <c r="A28" s="73">
        <v>22</v>
      </c>
      <c r="B28" s="74" t="s">
        <v>159</v>
      </c>
      <c r="C28" s="74" t="s">
        <v>28</v>
      </c>
      <c r="D28" s="75" t="s">
        <v>126</v>
      </c>
      <c r="E28" s="73" t="s">
        <v>41</v>
      </c>
      <c r="F28" s="73" t="s">
        <v>127</v>
      </c>
      <c r="G28" s="73"/>
      <c r="H28" s="73"/>
      <c r="I28" s="73"/>
    </row>
    <row r="29" spans="1:13" x14ac:dyDescent="0.2">
      <c r="A29" s="73">
        <v>23</v>
      </c>
      <c r="B29" s="74" t="s">
        <v>160</v>
      </c>
      <c r="C29" s="74" t="s">
        <v>28</v>
      </c>
      <c r="D29" s="75" t="s">
        <v>126</v>
      </c>
      <c r="E29" s="73" t="s">
        <v>41</v>
      </c>
      <c r="F29" s="73" t="s">
        <v>154</v>
      </c>
      <c r="G29" s="73"/>
      <c r="H29" s="73"/>
      <c r="I29" s="73"/>
    </row>
    <row r="30" spans="1:13" x14ac:dyDescent="0.2">
      <c r="A30" s="73">
        <v>24</v>
      </c>
      <c r="B30" s="74" t="s">
        <v>161</v>
      </c>
      <c r="C30" s="74" t="s">
        <v>28</v>
      </c>
      <c r="D30" s="75" t="s">
        <v>126</v>
      </c>
      <c r="E30" s="73" t="s">
        <v>41</v>
      </c>
      <c r="F30" s="73" t="s">
        <v>127</v>
      </c>
      <c r="G30" s="73"/>
      <c r="H30" s="73"/>
      <c r="I30" s="73"/>
    </row>
    <row r="31" spans="1:13" x14ac:dyDescent="0.2">
      <c r="A31" s="73">
        <v>25</v>
      </c>
      <c r="B31" s="74" t="s">
        <v>162</v>
      </c>
      <c r="C31" s="74" t="s">
        <v>28</v>
      </c>
      <c r="D31" s="75" t="s">
        <v>126</v>
      </c>
      <c r="E31" s="73" t="s">
        <v>41</v>
      </c>
      <c r="F31" s="73" t="s">
        <v>127</v>
      </c>
      <c r="G31" s="73"/>
      <c r="H31" s="73"/>
      <c r="I31" s="73"/>
    </row>
    <row r="32" spans="1:13" x14ac:dyDescent="0.2">
      <c r="A32" s="73">
        <v>26</v>
      </c>
      <c r="B32" s="74" t="s">
        <v>163</v>
      </c>
      <c r="C32" s="74" t="s">
        <v>28</v>
      </c>
      <c r="D32" s="75" t="s">
        <v>126</v>
      </c>
      <c r="E32" s="73" t="s">
        <v>41</v>
      </c>
      <c r="F32" s="73" t="s">
        <v>127</v>
      </c>
      <c r="G32" s="73"/>
      <c r="H32" s="73"/>
      <c r="I32" s="73"/>
    </row>
    <row r="33" spans="1:9" x14ac:dyDescent="0.2">
      <c r="A33" s="73">
        <v>27</v>
      </c>
      <c r="B33" s="74" t="s">
        <v>164</v>
      </c>
      <c r="C33" s="74" t="s">
        <v>26</v>
      </c>
      <c r="D33" s="75" t="s">
        <v>126</v>
      </c>
      <c r="E33" s="73" t="s">
        <v>41</v>
      </c>
      <c r="F33" s="73" t="s">
        <v>127</v>
      </c>
      <c r="G33" s="73"/>
      <c r="H33" s="73"/>
      <c r="I33" s="73"/>
    </row>
    <row r="34" spans="1:9" x14ac:dyDescent="0.2">
      <c r="A34" s="73">
        <v>28</v>
      </c>
      <c r="B34" s="74" t="s">
        <v>165</v>
      </c>
      <c r="C34" s="74" t="s">
        <v>30</v>
      </c>
      <c r="D34" s="75" t="s">
        <v>126</v>
      </c>
      <c r="E34" s="73" t="s">
        <v>41</v>
      </c>
      <c r="F34" s="73" t="s">
        <v>127</v>
      </c>
      <c r="G34" s="73"/>
      <c r="H34" s="73"/>
      <c r="I34" s="73"/>
    </row>
    <row r="35" spans="1:9" x14ac:dyDescent="0.2">
      <c r="A35" s="73">
        <v>29</v>
      </c>
      <c r="B35" s="74" t="s">
        <v>167</v>
      </c>
      <c r="C35" s="74" t="s">
        <v>30</v>
      </c>
      <c r="D35" s="75" t="s">
        <v>126</v>
      </c>
      <c r="E35" s="73" t="s">
        <v>41</v>
      </c>
      <c r="F35" s="73" t="s">
        <v>127</v>
      </c>
      <c r="G35" s="73"/>
      <c r="H35" s="73"/>
      <c r="I35" s="73"/>
    </row>
    <row r="36" spans="1:9" x14ac:dyDescent="0.2">
      <c r="A36" s="73">
        <v>30</v>
      </c>
      <c r="B36" s="74" t="s">
        <v>168</v>
      </c>
      <c r="C36" s="74" t="s">
        <v>26</v>
      </c>
      <c r="D36" s="75" t="s">
        <v>126</v>
      </c>
      <c r="E36" s="73" t="s">
        <v>41</v>
      </c>
      <c r="F36" s="73" t="s">
        <v>127</v>
      </c>
      <c r="G36" s="73"/>
      <c r="H36" s="73"/>
      <c r="I36" s="73"/>
    </row>
    <row r="37" spans="1:9" x14ac:dyDescent="0.2">
      <c r="A37" s="73">
        <v>31</v>
      </c>
      <c r="B37" s="74" t="s">
        <v>169</v>
      </c>
      <c r="C37" s="74" t="s">
        <v>26</v>
      </c>
      <c r="D37" s="75" t="s">
        <v>126</v>
      </c>
      <c r="E37" s="73" t="s">
        <v>41</v>
      </c>
      <c r="F37" s="73" t="s">
        <v>127</v>
      </c>
      <c r="G37" s="73"/>
      <c r="H37" s="73"/>
      <c r="I37" s="73"/>
    </row>
    <row r="38" spans="1:9" x14ac:dyDescent="0.2">
      <c r="A38" s="73">
        <v>32</v>
      </c>
      <c r="B38" s="74" t="s">
        <v>170</v>
      </c>
      <c r="C38" s="74" t="s">
        <v>27</v>
      </c>
      <c r="D38" s="75" t="s">
        <v>126</v>
      </c>
      <c r="E38" s="73" t="s">
        <v>41</v>
      </c>
      <c r="F38" s="73" t="s">
        <v>127</v>
      </c>
      <c r="G38" s="73"/>
      <c r="H38" s="73"/>
      <c r="I38" s="73"/>
    </row>
    <row r="39" spans="1:9" x14ac:dyDescent="0.2">
      <c r="A39" s="73">
        <v>33</v>
      </c>
      <c r="B39" s="74" t="s">
        <v>171</v>
      </c>
      <c r="C39" s="74" t="s">
        <v>26</v>
      </c>
      <c r="D39" s="75" t="s">
        <v>126</v>
      </c>
      <c r="E39" s="73" t="s">
        <v>41</v>
      </c>
      <c r="F39" s="73" t="s">
        <v>127</v>
      </c>
      <c r="G39" s="73"/>
      <c r="H39" s="73"/>
      <c r="I39" s="73"/>
    </row>
    <row r="40" spans="1:9" x14ac:dyDescent="0.2">
      <c r="A40" s="73">
        <v>34</v>
      </c>
      <c r="B40" s="74" t="s">
        <v>172</v>
      </c>
      <c r="C40" s="74" t="s">
        <v>27</v>
      </c>
      <c r="D40" s="75" t="s">
        <v>126</v>
      </c>
      <c r="E40" s="73" t="s">
        <v>41</v>
      </c>
      <c r="F40" s="73" t="s">
        <v>140</v>
      </c>
      <c r="G40" s="73"/>
      <c r="H40" s="73"/>
      <c r="I40" s="73"/>
    </row>
    <row r="41" spans="1:9" x14ac:dyDescent="0.2">
      <c r="A41" s="73">
        <v>35</v>
      </c>
      <c r="B41" s="74" t="s">
        <v>173</v>
      </c>
      <c r="C41" s="74" t="s">
        <v>463</v>
      </c>
      <c r="D41" s="75" t="s">
        <v>126</v>
      </c>
      <c r="E41" s="73" t="s">
        <v>41</v>
      </c>
      <c r="F41" s="73" t="s">
        <v>127</v>
      </c>
      <c r="G41" s="73"/>
      <c r="H41" s="73"/>
      <c r="I41" s="73"/>
    </row>
    <row r="42" spans="1:9" x14ac:dyDescent="0.2">
      <c r="A42" s="73">
        <v>36</v>
      </c>
      <c r="B42" s="74" t="s">
        <v>174</v>
      </c>
      <c r="C42" s="74" t="s">
        <v>175</v>
      </c>
      <c r="D42" s="75" t="s">
        <v>126</v>
      </c>
      <c r="E42" s="73" t="s">
        <v>41</v>
      </c>
      <c r="F42" s="73" t="s">
        <v>127</v>
      </c>
      <c r="G42" s="73"/>
      <c r="H42" s="73"/>
      <c r="I42" s="73"/>
    </row>
    <row r="43" spans="1:9" x14ac:dyDescent="0.2">
      <c r="A43" s="73">
        <v>37</v>
      </c>
      <c r="B43" s="74" t="s">
        <v>176</v>
      </c>
      <c r="C43" s="74" t="s">
        <v>177</v>
      </c>
      <c r="D43" s="75" t="s">
        <v>178</v>
      </c>
      <c r="E43" s="73" t="s">
        <v>41</v>
      </c>
      <c r="F43" s="73" t="s">
        <v>127</v>
      </c>
      <c r="G43" s="73"/>
      <c r="H43" s="73"/>
      <c r="I43" s="73"/>
    </row>
    <row r="44" spans="1:9" x14ac:dyDescent="0.2">
      <c r="A44" s="73">
        <v>38</v>
      </c>
      <c r="B44" s="74" t="s">
        <v>179</v>
      </c>
      <c r="C44" s="74" t="s">
        <v>464</v>
      </c>
      <c r="D44" s="75" t="s">
        <v>178</v>
      </c>
      <c r="E44" s="73" t="s">
        <v>41</v>
      </c>
      <c r="F44" s="73" t="s">
        <v>127</v>
      </c>
      <c r="G44" s="73"/>
      <c r="H44" s="73"/>
      <c r="I44" s="73"/>
    </row>
    <row r="45" spans="1:9" x14ac:dyDescent="0.2">
      <c r="A45" s="73">
        <v>39</v>
      </c>
      <c r="B45" s="74" t="s">
        <v>180</v>
      </c>
      <c r="C45" s="74" t="s">
        <v>29</v>
      </c>
      <c r="D45" s="75" t="s">
        <v>178</v>
      </c>
      <c r="E45" s="73" t="s">
        <v>41</v>
      </c>
      <c r="F45" s="73" t="s">
        <v>154</v>
      </c>
      <c r="G45" s="73"/>
      <c r="H45" s="73"/>
      <c r="I45" s="73"/>
    </row>
    <row r="46" spans="1:9" x14ac:dyDescent="0.2">
      <c r="A46" s="73">
        <v>40</v>
      </c>
      <c r="B46" s="74" t="s">
        <v>181</v>
      </c>
      <c r="C46" s="74" t="s">
        <v>29</v>
      </c>
      <c r="D46" s="75" t="s">
        <v>178</v>
      </c>
      <c r="E46" s="73" t="s">
        <v>41</v>
      </c>
      <c r="F46" s="73" t="s">
        <v>154</v>
      </c>
      <c r="G46" s="73"/>
      <c r="H46" s="73"/>
      <c r="I46" s="73"/>
    </row>
    <row r="47" spans="1:9" x14ac:dyDescent="0.2">
      <c r="A47" s="73">
        <v>41</v>
      </c>
      <c r="B47" s="74" t="s">
        <v>182</v>
      </c>
      <c r="C47" s="74" t="s">
        <v>28</v>
      </c>
      <c r="D47" s="75" t="s">
        <v>178</v>
      </c>
      <c r="E47" s="73" t="s">
        <v>41</v>
      </c>
      <c r="F47" s="73" t="s">
        <v>127</v>
      </c>
      <c r="G47" s="73"/>
      <c r="H47" s="73"/>
      <c r="I47" s="73"/>
    </row>
    <row r="48" spans="1:9" x14ac:dyDescent="0.2">
      <c r="A48" s="73">
        <v>42</v>
      </c>
      <c r="B48" s="74" t="s">
        <v>183</v>
      </c>
      <c r="C48" s="74" t="s">
        <v>28</v>
      </c>
      <c r="D48" s="75" t="s">
        <v>178</v>
      </c>
      <c r="E48" s="73" t="s">
        <v>41</v>
      </c>
      <c r="F48" s="73" t="s">
        <v>154</v>
      </c>
      <c r="G48" s="73"/>
      <c r="H48" s="73"/>
      <c r="I48" s="73"/>
    </row>
    <row r="49" spans="1:9" x14ac:dyDescent="0.2">
      <c r="A49" s="73">
        <v>43</v>
      </c>
      <c r="B49" s="74" t="s">
        <v>184</v>
      </c>
      <c r="C49" s="74" t="s">
        <v>28</v>
      </c>
      <c r="D49" s="75" t="s">
        <v>178</v>
      </c>
      <c r="E49" s="73" t="s">
        <v>41</v>
      </c>
      <c r="F49" s="73" t="s">
        <v>127</v>
      </c>
      <c r="G49" s="73"/>
      <c r="H49" s="73"/>
      <c r="I49" s="73"/>
    </row>
    <row r="50" spans="1:9" x14ac:dyDescent="0.2">
      <c r="A50" s="73">
        <v>44</v>
      </c>
      <c r="B50" s="74" t="s">
        <v>185</v>
      </c>
      <c r="C50" s="74" t="s">
        <v>28</v>
      </c>
      <c r="D50" s="75" t="s">
        <v>178</v>
      </c>
      <c r="E50" s="73" t="s">
        <v>41</v>
      </c>
      <c r="F50" s="73" t="s">
        <v>154</v>
      </c>
      <c r="G50" s="73"/>
      <c r="H50" s="73"/>
      <c r="I50" s="73"/>
    </row>
    <row r="51" spans="1:9" x14ac:dyDescent="0.2">
      <c r="A51" s="73">
        <v>45</v>
      </c>
      <c r="B51" s="74" t="s">
        <v>186</v>
      </c>
      <c r="C51" s="74" t="s">
        <v>26</v>
      </c>
      <c r="D51" s="75" t="s">
        <v>178</v>
      </c>
      <c r="E51" s="73" t="s">
        <v>41</v>
      </c>
      <c r="F51" s="73" t="s">
        <v>127</v>
      </c>
      <c r="G51" s="73"/>
      <c r="H51" s="73"/>
      <c r="I51" s="73"/>
    </row>
    <row r="52" spans="1:9" x14ac:dyDescent="0.2">
      <c r="A52" s="73">
        <v>46</v>
      </c>
      <c r="B52" s="74" t="s">
        <v>187</v>
      </c>
      <c r="C52" s="74" t="s">
        <v>28</v>
      </c>
      <c r="D52" s="75" t="s">
        <v>178</v>
      </c>
      <c r="E52" s="73" t="s">
        <v>41</v>
      </c>
      <c r="F52" s="73" t="s">
        <v>127</v>
      </c>
      <c r="G52" s="73"/>
      <c r="H52" s="73"/>
      <c r="I52" s="73"/>
    </row>
    <row r="53" spans="1:9" x14ac:dyDescent="0.2">
      <c r="A53" s="73">
        <v>47</v>
      </c>
      <c r="B53" s="74" t="s">
        <v>188</v>
      </c>
      <c r="C53" s="74" t="s">
        <v>27</v>
      </c>
      <c r="D53" s="75" t="s">
        <v>178</v>
      </c>
      <c r="E53" s="73" t="s">
        <v>41</v>
      </c>
      <c r="F53" s="73" t="s">
        <v>154</v>
      </c>
      <c r="G53" s="73"/>
      <c r="H53" s="73"/>
      <c r="I53" s="73"/>
    </row>
    <row r="54" spans="1:9" x14ac:dyDescent="0.2">
      <c r="A54" s="73">
        <v>48</v>
      </c>
      <c r="B54" s="74" t="s">
        <v>189</v>
      </c>
      <c r="C54" s="74" t="s">
        <v>26</v>
      </c>
      <c r="D54" s="75" t="s">
        <v>178</v>
      </c>
      <c r="E54" s="73" t="s">
        <v>41</v>
      </c>
      <c r="F54" s="73" t="s">
        <v>127</v>
      </c>
      <c r="G54" s="73"/>
      <c r="H54" s="73"/>
      <c r="I54" s="73"/>
    </row>
    <row r="55" spans="1:9" x14ac:dyDescent="0.2">
      <c r="A55" s="73">
        <v>49</v>
      </c>
      <c r="B55" s="74" t="s">
        <v>190</v>
      </c>
      <c r="C55" s="74" t="s">
        <v>29</v>
      </c>
      <c r="D55" s="75" t="s">
        <v>178</v>
      </c>
      <c r="E55" s="73" t="s">
        <v>41</v>
      </c>
      <c r="F55" s="73" t="s">
        <v>154</v>
      </c>
      <c r="G55" s="73"/>
      <c r="H55" s="73"/>
      <c r="I55" s="73"/>
    </row>
    <row r="56" spans="1:9" x14ac:dyDescent="0.2">
      <c r="A56" s="73">
        <v>50</v>
      </c>
      <c r="B56" s="74" t="s">
        <v>191</v>
      </c>
      <c r="C56" s="74" t="s">
        <v>29</v>
      </c>
      <c r="D56" s="75" t="s">
        <v>178</v>
      </c>
      <c r="E56" s="73" t="s">
        <v>41</v>
      </c>
      <c r="F56" s="73" t="s">
        <v>154</v>
      </c>
      <c r="G56" s="73"/>
      <c r="H56" s="73"/>
      <c r="I56" s="73"/>
    </row>
    <row r="57" spans="1:9" x14ac:dyDescent="0.2">
      <c r="A57" s="73">
        <v>51</v>
      </c>
      <c r="B57" s="74" t="s">
        <v>192</v>
      </c>
      <c r="C57" s="74" t="s">
        <v>27</v>
      </c>
      <c r="D57" s="75" t="s">
        <v>178</v>
      </c>
      <c r="E57" s="73" t="s">
        <v>41</v>
      </c>
      <c r="F57" s="73" t="s">
        <v>140</v>
      </c>
      <c r="G57" s="73"/>
      <c r="H57" s="73"/>
      <c r="I57" s="73"/>
    </row>
    <row r="58" spans="1:9" x14ac:dyDescent="0.2">
      <c r="A58" s="73">
        <v>52</v>
      </c>
      <c r="B58" s="74" t="s">
        <v>193</v>
      </c>
      <c r="C58" s="74" t="s">
        <v>29</v>
      </c>
      <c r="D58" s="75" t="s">
        <v>178</v>
      </c>
      <c r="E58" s="73" t="s">
        <v>41</v>
      </c>
      <c r="F58" s="73" t="s">
        <v>154</v>
      </c>
      <c r="G58" s="73"/>
      <c r="H58" s="73"/>
      <c r="I58" s="73"/>
    </row>
    <row r="59" spans="1:9" x14ac:dyDescent="0.2">
      <c r="A59" s="73">
        <v>53</v>
      </c>
      <c r="B59" s="74" t="s">
        <v>194</v>
      </c>
      <c r="C59" s="74" t="s">
        <v>29</v>
      </c>
      <c r="D59" s="75" t="s">
        <v>178</v>
      </c>
      <c r="E59" s="73" t="s">
        <v>41</v>
      </c>
      <c r="F59" s="73" t="s">
        <v>154</v>
      </c>
      <c r="G59" s="73"/>
      <c r="H59" s="73"/>
      <c r="I59" s="73"/>
    </row>
    <row r="60" spans="1:9" x14ac:dyDescent="0.2">
      <c r="A60" s="73">
        <v>54</v>
      </c>
      <c r="B60" s="74" t="s">
        <v>195</v>
      </c>
      <c r="C60" s="74" t="s">
        <v>27</v>
      </c>
      <c r="D60" s="75" t="s">
        <v>178</v>
      </c>
      <c r="E60" s="73" t="s">
        <v>41</v>
      </c>
      <c r="F60" s="73" t="s">
        <v>154</v>
      </c>
      <c r="G60" s="73"/>
      <c r="H60" s="73"/>
      <c r="I60" s="73"/>
    </row>
    <row r="61" spans="1:9" x14ac:dyDescent="0.2">
      <c r="A61" s="73">
        <v>55</v>
      </c>
      <c r="B61" s="74" t="s">
        <v>196</v>
      </c>
      <c r="C61" s="74" t="s">
        <v>27</v>
      </c>
      <c r="D61" s="75" t="s">
        <v>178</v>
      </c>
      <c r="E61" s="73" t="s">
        <v>41</v>
      </c>
      <c r="F61" s="73" t="s">
        <v>127</v>
      </c>
      <c r="G61" s="73"/>
      <c r="H61" s="73"/>
      <c r="I61" s="73"/>
    </row>
    <row r="62" spans="1:9" x14ac:dyDescent="0.2">
      <c r="A62" s="73">
        <v>56</v>
      </c>
      <c r="B62" s="74" t="s">
        <v>465</v>
      </c>
      <c r="C62" s="74" t="s">
        <v>27</v>
      </c>
      <c r="D62" s="75" t="s">
        <v>178</v>
      </c>
      <c r="E62" s="73" t="s">
        <v>41</v>
      </c>
      <c r="F62" s="73" t="s">
        <v>154</v>
      </c>
      <c r="G62" s="73"/>
      <c r="H62" s="73"/>
      <c r="I62" s="73"/>
    </row>
    <row r="63" spans="1:9" x14ac:dyDescent="0.2">
      <c r="A63" s="73">
        <v>57</v>
      </c>
      <c r="B63" s="74" t="s">
        <v>197</v>
      </c>
      <c r="C63" s="74" t="s">
        <v>27</v>
      </c>
      <c r="D63" s="75" t="s">
        <v>178</v>
      </c>
      <c r="E63" s="73" t="s">
        <v>41</v>
      </c>
      <c r="F63" s="73" t="s">
        <v>154</v>
      </c>
      <c r="G63" s="73"/>
      <c r="H63" s="73"/>
      <c r="I63" s="73"/>
    </row>
    <row r="64" spans="1:9" x14ac:dyDescent="0.2">
      <c r="A64" s="73">
        <v>58</v>
      </c>
      <c r="B64" s="74" t="s">
        <v>466</v>
      </c>
      <c r="C64" s="74" t="s">
        <v>467</v>
      </c>
      <c r="D64" s="75" t="s">
        <v>126</v>
      </c>
      <c r="E64" s="73" t="s">
        <v>41</v>
      </c>
      <c r="F64" s="73" t="s">
        <v>140</v>
      </c>
      <c r="G64" s="73"/>
      <c r="H64" s="73"/>
      <c r="I64" s="73"/>
    </row>
    <row r="65" spans="1:9" x14ac:dyDescent="0.2">
      <c r="A65" s="73">
        <v>59</v>
      </c>
      <c r="B65" s="74" t="s">
        <v>198</v>
      </c>
      <c r="C65" s="74" t="s">
        <v>199</v>
      </c>
      <c r="D65" s="75" t="s">
        <v>126</v>
      </c>
      <c r="E65" s="73" t="s">
        <v>41</v>
      </c>
      <c r="F65" s="73" t="s">
        <v>140</v>
      </c>
      <c r="G65" s="73"/>
      <c r="H65" s="73"/>
      <c r="I65" s="73"/>
    </row>
    <row r="66" spans="1:9" x14ac:dyDescent="0.2">
      <c r="A66" s="73">
        <v>60</v>
      </c>
      <c r="B66" s="74" t="s">
        <v>202</v>
      </c>
      <c r="C66" s="74" t="s">
        <v>203</v>
      </c>
      <c r="D66" s="75" t="s">
        <v>126</v>
      </c>
      <c r="E66" s="73" t="s">
        <v>41</v>
      </c>
      <c r="F66" s="73" t="s">
        <v>154</v>
      </c>
      <c r="G66" s="73"/>
      <c r="H66" s="73"/>
      <c r="I66" s="73"/>
    </row>
    <row r="67" spans="1:9" x14ac:dyDescent="0.2">
      <c r="A67" s="76">
        <v>61</v>
      </c>
      <c r="B67" s="77" t="s">
        <v>204</v>
      </c>
      <c r="C67" s="77" t="s">
        <v>29</v>
      </c>
      <c r="D67" s="76" t="s">
        <v>205</v>
      </c>
      <c r="E67" s="78" t="s">
        <v>44</v>
      </c>
      <c r="F67" s="78" t="s">
        <v>140</v>
      </c>
      <c r="G67" s="78"/>
      <c r="H67" s="78"/>
      <c r="I67" s="78"/>
    </row>
    <row r="68" spans="1:9" x14ac:dyDescent="0.2">
      <c r="A68" s="76">
        <v>62</v>
      </c>
      <c r="B68" s="77" t="s">
        <v>206</v>
      </c>
      <c r="C68" s="77" t="s">
        <v>207</v>
      </c>
      <c r="D68" s="76" t="s">
        <v>126</v>
      </c>
      <c r="E68" s="78" t="s">
        <v>44</v>
      </c>
      <c r="F68" s="78" t="s">
        <v>154</v>
      </c>
      <c r="G68" s="78"/>
      <c r="H68" s="78"/>
      <c r="I68" s="78"/>
    </row>
    <row r="69" spans="1:9" x14ac:dyDescent="0.2">
      <c r="A69" s="76">
        <v>63</v>
      </c>
      <c r="B69" s="77" t="s">
        <v>208</v>
      </c>
      <c r="C69" s="77" t="s">
        <v>28</v>
      </c>
      <c r="D69" s="76" t="s">
        <v>126</v>
      </c>
      <c r="E69" s="78" t="s">
        <v>44</v>
      </c>
      <c r="F69" s="78" t="s">
        <v>154</v>
      </c>
      <c r="G69" s="78"/>
      <c r="H69" s="78"/>
      <c r="I69" s="78"/>
    </row>
    <row r="70" spans="1:9" x14ac:dyDescent="0.2">
      <c r="A70" s="76">
        <v>64</v>
      </c>
      <c r="B70" s="79" t="s">
        <v>209</v>
      </c>
      <c r="C70" s="79" t="s">
        <v>28</v>
      </c>
      <c r="D70" s="76" t="s">
        <v>126</v>
      </c>
      <c r="E70" s="78" t="s">
        <v>44</v>
      </c>
      <c r="F70" s="78" t="s">
        <v>154</v>
      </c>
      <c r="G70" s="78"/>
      <c r="H70" s="78"/>
      <c r="I70" s="78"/>
    </row>
    <row r="71" spans="1:9" x14ac:dyDescent="0.2">
      <c r="A71" s="76">
        <v>65</v>
      </c>
      <c r="B71" s="79" t="s">
        <v>210</v>
      </c>
      <c r="C71" s="79" t="s">
        <v>28</v>
      </c>
      <c r="D71" s="76" t="s">
        <v>126</v>
      </c>
      <c r="E71" s="78" t="s">
        <v>44</v>
      </c>
      <c r="F71" s="78" t="s">
        <v>154</v>
      </c>
      <c r="G71" s="78"/>
      <c r="H71" s="78"/>
      <c r="I71" s="78"/>
    </row>
    <row r="72" spans="1:9" x14ac:dyDescent="0.2">
      <c r="A72" s="76">
        <v>66</v>
      </c>
      <c r="B72" s="77" t="s">
        <v>211</v>
      </c>
      <c r="C72" s="77" t="s">
        <v>28</v>
      </c>
      <c r="D72" s="76" t="s">
        <v>126</v>
      </c>
      <c r="E72" s="78" t="s">
        <v>44</v>
      </c>
      <c r="F72" s="78" t="s">
        <v>154</v>
      </c>
      <c r="G72" s="78"/>
      <c r="H72" s="78"/>
      <c r="I72" s="78"/>
    </row>
    <row r="73" spans="1:9" x14ac:dyDescent="0.2">
      <c r="A73" s="76">
        <v>67</v>
      </c>
      <c r="B73" s="77" t="s">
        <v>212</v>
      </c>
      <c r="C73" s="77" t="s">
        <v>28</v>
      </c>
      <c r="D73" s="76" t="s">
        <v>126</v>
      </c>
      <c r="E73" s="78" t="s">
        <v>44</v>
      </c>
      <c r="F73" s="78" t="s">
        <v>154</v>
      </c>
      <c r="G73" s="78"/>
      <c r="H73" s="78"/>
      <c r="I73" s="78"/>
    </row>
    <row r="74" spans="1:9" x14ac:dyDescent="0.2">
      <c r="A74" s="76">
        <v>68</v>
      </c>
      <c r="B74" s="77" t="s">
        <v>468</v>
      </c>
      <c r="C74" s="77" t="s">
        <v>28</v>
      </c>
      <c r="D74" s="76" t="s">
        <v>126</v>
      </c>
      <c r="E74" s="78" t="s">
        <v>44</v>
      </c>
      <c r="F74" s="78" t="s">
        <v>154</v>
      </c>
      <c r="G74" s="78"/>
      <c r="H74" s="78"/>
      <c r="I74" s="78"/>
    </row>
    <row r="75" spans="1:9" x14ac:dyDescent="0.2">
      <c r="A75" s="76">
        <v>69</v>
      </c>
      <c r="B75" s="77" t="s">
        <v>213</v>
      </c>
      <c r="C75" s="77" t="s">
        <v>29</v>
      </c>
      <c r="D75" s="76" t="s">
        <v>126</v>
      </c>
      <c r="E75" s="78" t="s">
        <v>44</v>
      </c>
      <c r="F75" s="78" t="s">
        <v>154</v>
      </c>
      <c r="G75" s="78"/>
      <c r="H75" s="78"/>
      <c r="I75" s="78"/>
    </row>
    <row r="76" spans="1:9" x14ac:dyDescent="0.2">
      <c r="A76" s="76">
        <v>70</v>
      </c>
      <c r="B76" s="79" t="s">
        <v>214</v>
      </c>
      <c r="C76" s="79" t="s">
        <v>26</v>
      </c>
      <c r="D76" s="76" t="s">
        <v>126</v>
      </c>
      <c r="E76" s="78" t="s">
        <v>44</v>
      </c>
      <c r="F76" s="78" t="s">
        <v>127</v>
      </c>
      <c r="G76" s="78"/>
      <c r="H76" s="78"/>
      <c r="I76" s="78"/>
    </row>
    <row r="77" spans="1:9" x14ac:dyDescent="0.2">
      <c r="A77" s="76">
        <v>71</v>
      </c>
      <c r="B77" s="77" t="s">
        <v>215</v>
      </c>
      <c r="C77" s="77" t="s">
        <v>28</v>
      </c>
      <c r="D77" s="76" t="s">
        <v>126</v>
      </c>
      <c r="E77" s="78" t="s">
        <v>44</v>
      </c>
      <c r="F77" s="78" t="s">
        <v>154</v>
      </c>
      <c r="G77" s="78"/>
      <c r="H77" s="78"/>
      <c r="I77" s="78"/>
    </row>
    <row r="78" spans="1:9" x14ac:dyDescent="0.2">
      <c r="A78" s="76">
        <v>72</v>
      </c>
      <c r="B78" s="77" t="s">
        <v>216</v>
      </c>
      <c r="C78" s="77" t="s">
        <v>29</v>
      </c>
      <c r="D78" s="76" t="s">
        <v>126</v>
      </c>
      <c r="E78" s="78" t="s">
        <v>44</v>
      </c>
      <c r="F78" s="78" t="s">
        <v>140</v>
      </c>
      <c r="G78" s="78"/>
      <c r="H78" s="78"/>
      <c r="I78" s="78"/>
    </row>
    <row r="79" spans="1:9" x14ac:dyDescent="0.2">
      <c r="A79" s="76">
        <v>73</v>
      </c>
      <c r="B79" s="77" t="s">
        <v>217</v>
      </c>
      <c r="C79" s="77" t="s">
        <v>28</v>
      </c>
      <c r="D79" s="76" t="s">
        <v>126</v>
      </c>
      <c r="E79" s="78" t="s">
        <v>44</v>
      </c>
      <c r="F79" s="78" t="s">
        <v>154</v>
      </c>
      <c r="G79" s="78"/>
      <c r="H79" s="78"/>
      <c r="I79" s="78"/>
    </row>
    <row r="80" spans="1:9" x14ac:dyDescent="0.2">
      <c r="A80" s="76">
        <v>74</v>
      </c>
      <c r="B80" s="77" t="s">
        <v>218</v>
      </c>
      <c r="C80" s="77" t="s">
        <v>28</v>
      </c>
      <c r="D80" s="76" t="s">
        <v>126</v>
      </c>
      <c r="E80" s="78" t="s">
        <v>44</v>
      </c>
      <c r="F80" s="78" t="s">
        <v>154</v>
      </c>
      <c r="G80" s="78"/>
      <c r="H80" s="78"/>
      <c r="I80" s="78"/>
    </row>
    <row r="81" spans="1:9" x14ac:dyDescent="0.2">
      <c r="A81" s="76">
        <v>75</v>
      </c>
      <c r="B81" s="77" t="s">
        <v>219</v>
      </c>
      <c r="C81" s="77" t="s">
        <v>30</v>
      </c>
      <c r="D81" s="76" t="s">
        <v>126</v>
      </c>
      <c r="E81" s="78" t="s">
        <v>44</v>
      </c>
      <c r="F81" s="78" t="s">
        <v>154</v>
      </c>
      <c r="G81" s="78"/>
      <c r="H81" s="78"/>
      <c r="I81" s="78"/>
    </row>
    <row r="82" spans="1:9" x14ac:dyDescent="0.2">
      <c r="A82" s="76">
        <v>76</v>
      </c>
      <c r="B82" s="77" t="s">
        <v>469</v>
      </c>
      <c r="C82" s="77" t="s">
        <v>26</v>
      </c>
      <c r="D82" s="76" t="s">
        <v>126</v>
      </c>
      <c r="E82" s="78" t="s">
        <v>44</v>
      </c>
      <c r="F82" s="78" t="s">
        <v>154</v>
      </c>
      <c r="G82" s="78"/>
      <c r="H82" s="78"/>
      <c r="I82" s="78"/>
    </row>
    <row r="83" spans="1:9" x14ac:dyDescent="0.2">
      <c r="A83" s="76">
        <v>77</v>
      </c>
      <c r="B83" s="77" t="s">
        <v>220</v>
      </c>
      <c r="C83" s="77" t="s">
        <v>26</v>
      </c>
      <c r="D83" s="76" t="s">
        <v>126</v>
      </c>
      <c r="E83" s="78" t="s">
        <v>44</v>
      </c>
      <c r="F83" s="78" t="s">
        <v>127</v>
      </c>
      <c r="G83" s="78"/>
      <c r="H83" s="78"/>
      <c r="I83" s="78"/>
    </row>
    <row r="84" spans="1:9" x14ac:dyDescent="0.2">
      <c r="A84" s="76">
        <v>78</v>
      </c>
      <c r="B84" s="79" t="s">
        <v>221</v>
      </c>
      <c r="C84" s="79" t="s">
        <v>26</v>
      </c>
      <c r="D84" s="76" t="s">
        <v>126</v>
      </c>
      <c r="E84" s="78" t="s">
        <v>44</v>
      </c>
      <c r="F84" s="78" t="s">
        <v>127</v>
      </c>
      <c r="G84" s="78"/>
      <c r="H84" s="78"/>
      <c r="I84" s="78"/>
    </row>
    <row r="85" spans="1:9" x14ac:dyDescent="0.2">
      <c r="A85" s="76">
        <v>79</v>
      </c>
      <c r="B85" s="77" t="s">
        <v>222</v>
      </c>
      <c r="C85" s="77" t="s">
        <v>27</v>
      </c>
      <c r="D85" s="76" t="s">
        <v>126</v>
      </c>
      <c r="E85" s="78" t="s">
        <v>44</v>
      </c>
      <c r="F85" s="78" t="s">
        <v>127</v>
      </c>
      <c r="G85" s="78"/>
      <c r="H85" s="78"/>
      <c r="I85" s="78"/>
    </row>
    <row r="86" spans="1:9" x14ac:dyDescent="0.2">
      <c r="A86" s="76">
        <v>80</v>
      </c>
      <c r="B86" s="77" t="s">
        <v>223</v>
      </c>
      <c r="C86" s="77" t="s">
        <v>27</v>
      </c>
      <c r="D86" s="76" t="s">
        <v>126</v>
      </c>
      <c r="E86" s="78" t="s">
        <v>44</v>
      </c>
      <c r="F86" s="78" t="s">
        <v>154</v>
      </c>
      <c r="G86" s="78"/>
      <c r="H86" s="78"/>
      <c r="I86" s="78"/>
    </row>
    <row r="87" spans="1:9" x14ac:dyDescent="0.2">
      <c r="A87" s="76">
        <v>81</v>
      </c>
      <c r="B87" s="77" t="s">
        <v>224</v>
      </c>
      <c r="C87" s="77" t="s">
        <v>203</v>
      </c>
      <c r="D87" s="76" t="s">
        <v>126</v>
      </c>
      <c r="E87" s="78" t="s">
        <v>44</v>
      </c>
      <c r="F87" s="78" t="s">
        <v>140</v>
      </c>
      <c r="G87" s="78"/>
      <c r="H87" s="78"/>
      <c r="I87" s="78"/>
    </row>
    <row r="88" spans="1:9" x14ac:dyDescent="0.2">
      <c r="A88" s="76">
        <v>82</v>
      </c>
      <c r="B88" s="77" t="s">
        <v>470</v>
      </c>
      <c r="C88" s="77" t="s">
        <v>471</v>
      </c>
      <c r="D88" s="76" t="s">
        <v>472</v>
      </c>
      <c r="E88" s="78" t="s">
        <v>44</v>
      </c>
      <c r="F88" s="78" t="s">
        <v>154</v>
      </c>
      <c r="G88" s="78"/>
      <c r="H88" s="78"/>
      <c r="I88" s="78"/>
    </row>
    <row r="89" spans="1:9" x14ac:dyDescent="0.2">
      <c r="A89" s="76">
        <v>83</v>
      </c>
      <c r="B89" s="77" t="s">
        <v>473</v>
      </c>
      <c r="C89" s="77" t="s">
        <v>474</v>
      </c>
      <c r="D89" s="76" t="s">
        <v>472</v>
      </c>
      <c r="E89" s="78" t="s">
        <v>44</v>
      </c>
      <c r="F89" s="78" t="s">
        <v>154</v>
      </c>
      <c r="G89" s="78"/>
      <c r="H89" s="78"/>
      <c r="I89" s="78"/>
    </row>
    <row r="90" spans="1:9" x14ac:dyDescent="0.2">
      <c r="A90" s="76">
        <v>84</v>
      </c>
      <c r="B90" s="77" t="s">
        <v>475</v>
      </c>
      <c r="C90" s="77" t="s">
        <v>476</v>
      </c>
      <c r="D90" s="76" t="s">
        <v>472</v>
      </c>
      <c r="E90" s="78" t="s">
        <v>44</v>
      </c>
      <c r="F90" s="78" t="s">
        <v>154</v>
      </c>
      <c r="G90" s="78"/>
      <c r="H90" s="78"/>
      <c r="I90" s="78"/>
    </row>
    <row r="91" spans="1:9" x14ac:dyDescent="0.2">
      <c r="A91" s="76">
        <v>85</v>
      </c>
      <c r="B91" s="77" t="s">
        <v>225</v>
      </c>
      <c r="C91" s="77" t="s">
        <v>29</v>
      </c>
      <c r="D91" s="76" t="s">
        <v>126</v>
      </c>
      <c r="E91" s="78" t="s">
        <v>44</v>
      </c>
      <c r="F91" s="78" t="s">
        <v>140</v>
      </c>
      <c r="G91" s="78"/>
      <c r="H91" s="78"/>
      <c r="I91" s="78"/>
    </row>
    <row r="92" spans="1:9" x14ac:dyDescent="0.2">
      <c r="A92" s="76">
        <v>86</v>
      </c>
      <c r="B92" s="77" t="s">
        <v>226</v>
      </c>
      <c r="C92" s="77" t="s">
        <v>29</v>
      </c>
      <c r="D92" s="76" t="s">
        <v>126</v>
      </c>
      <c r="E92" s="78" t="s">
        <v>44</v>
      </c>
      <c r="F92" s="78" t="s">
        <v>140</v>
      </c>
      <c r="G92" s="78"/>
      <c r="H92" s="78"/>
      <c r="I92" s="78"/>
    </row>
    <row r="93" spans="1:9" x14ac:dyDescent="0.2">
      <c r="A93" s="80">
        <v>87</v>
      </c>
      <c r="B93" s="81" t="s">
        <v>227</v>
      </c>
      <c r="C93" s="81" t="s">
        <v>228</v>
      </c>
      <c r="D93" s="80" t="s">
        <v>126</v>
      </c>
      <c r="E93" s="82" t="s">
        <v>46</v>
      </c>
      <c r="F93" s="82" t="s">
        <v>133</v>
      </c>
      <c r="G93" s="82"/>
      <c r="H93" s="82"/>
      <c r="I93" s="82"/>
    </row>
  </sheetData>
  <autoFilter ref="A6:I6" xr:uid="{4D4A09AD-A39C-4B30-817F-766477480824}"/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5B92ACAE07D34EBD9C6E2622D0FB90" ma:contentTypeVersion="12" ma:contentTypeDescription="Crear nuevo documento." ma:contentTypeScope="" ma:versionID="b444f2bab3c9385280f09a934f960e9b">
  <xsd:schema xmlns:xsd="http://www.w3.org/2001/XMLSchema" xmlns:xs="http://www.w3.org/2001/XMLSchema" xmlns:p="http://schemas.microsoft.com/office/2006/metadata/properties" xmlns:ns2="0aaa94c6-a08a-4f31-80d4-9ed0227976f0" xmlns:ns3="379e1408-2888-4c35-8838-6acad26c5d63" targetNamespace="http://schemas.microsoft.com/office/2006/metadata/properties" ma:root="true" ma:fieldsID="52edec5c946cc200efe2e61d224a5ae1" ns2:_="" ns3:_="">
    <xsd:import namespace="0aaa94c6-a08a-4f31-80d4-9ed0227976f0"/>
    <xsd:import namespace="379e1408-2888-4c35-8838-6acad26c5d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a94c6-a08a-4f31-80d4-9ed022797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90e85e79-d9a7-4c0e-b556-3753633e16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9e1408-2888-4c35-8838-6acad26c5d6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83b9dc9-1702-4a21-9e9b-ae6102858314}" ma:internalName="TaxCatchAll" ma:showField="CatchAllData" ma:web="379e1408-2888-4c35-8838-6acad26c5d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9e1408-2888-4c35-8838-6acad26c5d63" xsi:nil="true"/>
    <lcf76f155ced4ddcb4097134ff3c332f xmlns="0aaa94c6-a08a-4f31-80d4-9ed0227976f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576667-355E-441B-8885-94043252FF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515854-E7A5-40E6-8CDF-ECBEB2F04F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aa94c6-a08a-4f31-80d4-9ed0227976f0"/>
    <ds:schemaRef ds:uri="379e1408-2888-4c35-8838-6acad26c5d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E984F5-AFA2-49F0-8F5D-40E47F2C28B1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0aaa94c6-a08a-4f31-80d4-9ed0227976f0"/>
    <ds:schemaRef ds:uri="http://purl.org/dc/terms/"/>
    <ds:schemaRef ds:uri="http://schemas.microsoft.com/office/infopath/2007/PartnerControls"/>
    <ds:schemaRef ds:uri="379e1408-2888-4c35-8838-6acad26c5d6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Resumen Forecast 25´</vt:lpstr>
      <vt:lpstr>Resumen Budget 25´</vt:lpstr>
      <vt:lpstr>Resumen</vt:lpstr>
      <vt:lpstr>Dashboard</vt:lpstr>
      <vt:lpstr>Calculos -&gt;</vt:lpstr>
      <vt:lpstr>Hoja2</vt:lpstr>
      <vt:lpstr>Listas y Parametros</vt:lpstr>
      <vt:lpstr>Gantt Proyectos</vt:lpstr>
      <vt:lpstr>Hoja1</vt:lpstr>
      <vt:lpstr>Costo Directo Proyectos</vt:lpstr>
      <vt:lpstr>EDP Proyectado</vt:lpstr>
      <vt:lpstr>Hoja4</vt:lpstr>
      <vt:lpstr>Ingreso Proyectado</vt:lpstr>
      <vt:lpstr>Costos Proyectados por Unidad</vt:lpstr>
      <vt:lpstr>Flujo Caja</vt:lpstr>
      <vt:lpstr>Ingreso Proyectado_Edu</vt:lpstr>
      <vt:lpstr>Personal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Matías Fuentes</dc:creator>
  <cp:keywords/>
  <dc:description/>
  <cp:lastModifiedBy>Daniel Cuero</cp:lastModifiedBy>
  <cp:revision/>
  <dcterms:created xsi:type="dcterms:W3CDTF">2025-04-21T15:53:38Z</dcterms:created>
  <dcterms:modified xsi:type="dcterms:W3CDTF">2026-07-07T11:28:05Z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0x0101000E5B92ACAE07D34EBD9C6E2622D0FB90</vt:lpwstr>
  </property>
  <property fmtid="{D5CDD505-2E9C-101B-9397-08002B2CF9AE}" pid="3" name="MediaServiceImageTags">
    <vt:lpwstr/>
  </property>
</Properties>
</file>