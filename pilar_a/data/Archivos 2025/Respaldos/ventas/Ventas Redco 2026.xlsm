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comments4.xml" ContentType="application/vnd.openxmlformats-officedocument.spreadsheetml.comments+xml"/>
  <Override PartName="/xl/threadedComments/threadedComment2.xml" ContentType="application/vnd.ms-excel.threadedcomments+xml"/>
  <Override PartName="/xl/tables/table1.xml" ContentType="application/vnd.openxmlformats-officedocument.spreadsheetml.tab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threadedComments/threadedComment3.xml" ContentType="application/vnd.ms-excel.threadedcomments+xml"/>
  <Override PartName="/xl/comments7.xml" ContentType="application/vnd.openxmlformats-officedocument.spreadsheetml.comments+xml"/>
  <Override PartName="/xl/threadedComments/threadedComment4.xml" ContentType="application/vnd.ms-excel.threadedcomments+xml"/>
  <Override PartName="/xl/comments8.xml" ContentType="application/vnd.openxmlformats-officedocument.spreadsheetml.comments+xml"/>
  <Override PartName="/xl/threadedComments/threadedComment5.xml" ContentType="application/vnd.ms-excel.threadedcomments+xml"/>
  <Override PartName="/xl/comments9.xml" ContentType="application/vnd.openxmlformats-officedocument.spreadsheetml.comments+xml"/>
  <Override PartName="/xl/threadedComments/threadedComment6.xml" ContentType="application/vnd.ms-excel.threadedcomments+xml"/>
  <Override PartName="/xl/comments10.xml" ContentType="application/vnd.openxmlformats-officedocument.spreadsheetml.comments+xml"/>
  <Override PartName="/xl/threadedComments/threadedComment7.xml" ContentType="application/vnd.ms-excel.threadedcomments+xml"/>
  <Override PartName="/xl/comments11.xml" ContentType="application/vnd.openxmlformats-officedocument.spreadsheetml.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3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cm/udd/redco_proyect/pilar_a/data/Archivos 2025/Respaldos/ventas/"/>
    </mc:Choice>
  </mc:AlternateContent>
  <xr:revisionPtr revIDLastSave="0" documentId="13_ncr:1_{1D89D98A-E4BB-1046-AD90-7EF0F273952F}" xr6:coauthVersionLast="47" xr6:coauthVersionMax="47" xr10:uidLastSave="{00000000-0000-0000-0000-000000000000}"/>
  <bookViews>
    <workbookView xWindow="4320" yWindow="600" windowWidth="24480" windowHeight="17400" activeTab="2" xr2:uid="{244550DB-BE6E-4396-A429-8AC690CC6AA0}"/>
  </bookViews>
  <sheets>
    <sheet name="Criterios GoGet" sheetId="14" state="hidden" r:id="rId1"/>
    <sheet name="Códigos_Propuestas" sheetId="5" r:id="rId2"/>
    <sheet name="CRM" sheetId="2" r:id="rId3"/>
    <sheet name="Parámetros" sheetId="19" state="hidden" r:id="rId4"/>
    <sheet name="Proyeccion Ventas" sheetId="11" state="hidden" r:id="rId5"/>
    <sheet name="Ejes Estratégicos" sheetId="12" state="hidden" r:id="rId6"/>
    <sheet name="Target por Pais" sheetId="9" state="hidden" r:id="rId7"/>
    <sheet name="Backlog" sheetId="16" state="hidden" r:id="rId8"/>
    <sheet name="Short list" sheetId="23" state="hidden" r:id="rId9"/>
    <sheet name="Adjudicadas al 24-03" sheetId="24" state="hidden" r:id="rId10"/>
    <sheet name="Proyeccion Ventas_BACKUP" sheetId="17" state="hidden" r:id="rId11"/>
    <sheet name="Forecast Abril" sheetId="25" state="hidden" r:id="rId12"/>
    <sheet name="Hoja1" sheetId="18" state="hidden" r:id="rId13"/>
    <sheet name="REV" sheetId="15" state="hidden" r:id="rId14"/>
    <sheet name="Proyección old" sheetId="8" state="hidden" r:id="rId15"/>
  </sheets>
  <functionGroups builtInGroupCount="19"/>
  <externalReferences>
    <externalReference r:id="rId16"/>
  </externalReferences>
  <definedNames>
    <definedName name="_xlnm._FilterDatabase" localSheetId="1" hidden="1">Códigos_Propuestas!$E$3:$G$113</definedName>
    <definedName name="_xlnm._FilterDatabase" localSheetId="2" hidden="1">CRM!$B$2:$AT$151</definedName>
    <definedName name="_xlnm._FilterDatabase" localSheetId="11" hidden="1">'Forecast Abril'!$A$1:$K$38</definedName>
    <definedName name="_xlnm._FilterDatabase" localSheetId="8" hidden="1">'Short list'!$A$1:$K$36</definedName>
    <definedName name="_xleta.TODAY" hidden="1" xlm="1">#NAME?</definedName>
    <definedName name="Meses_de_caducidad_de_Propuesta">Parámetros!$B$3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151" i="2" l="1"/>
  <c r="B151" i="2"/>
  <c r="A151" i="2" s="1"/>
  <c r="AM149" i="2"/>
  <c r="AM141" i="2" l="1"/>
  <c r="B141" i="2"/>
  <c r="A141" i="2" s="1"/>
  <c r="AM140" i="2"/>
  <c r="B140" i="2"/>
  <c r="A140" i="2" s="1"/>
  <c r="B139" i="2" l="1"/>
  <c r="A139" i="2" s="1"/>
  <c r="AM139" i="2"/>
  <c r="B142" i="2"/>
  <c r="A142" i="2" s="1"/>
  <c r="AM142" i="2"/>
  <c r="B143" i="2"/>
  <c r="A143" i="2" s="1"/>
  <c r="AM143" i="2"/>
  <c r="B144" i="2"/>
  <c r="A144" i="2" s="1"/>
  <c r="AM144" i="2"/>
  <c r="B145" i="2"/>
  <c r="A145" i="2" s="1"/>
  <c r="AM145" i="2"/>
  <c r="B146" i="2"/>
  <c r="A146" i="2" s="1"/>
  <c r="AM146" i="2"/>
  <c r="B147" i="2"/>
  <c r="A147" i="2" s="1"/>
  <c r="AM147" i="2"/>
  <c r="B148" i="2"/>
  <c r="A148" i="2" s="1"/>
  <c r="AM148" i="2"/>
  <c r="B149" i="2"/>
  <c r="A149" i="2" s="1"/>
  <c r="B150" i="2"/>
  <c r="A150" i="2" s="1"/>
  <c r="AM150" i="2"/>
  <c r="B130" i="2" l="1"/>
  <c r="B131" i="2"/>
  <c r="B116" i="2"/>
  <c r="B117" i="2"/>
  <c r="AM110" i="2"/>
  <c r="B109" i="2" l="1"/>
  <c r="AB2" i="2" l="1"/>
  <c r="AM97" i="2" l="1"/>
  <c r="B97" i="2"/>
  <c r="A97" i="2" s="1"/>
  <c r="B138" i="2" l="1"/>
  <c r="B137" i="2"/>
  <c r="B136" i="2"/>
  <c r="B135" i="2"/>
  <c r="B134" i="2"/>
  <c r="B133" i="2"/>
  <c r="B132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5" i="2"/>
  <c r="B114" i="2"/>
  <c r="B113" i="2"/>
  <c r="B112" i="2"/>
  <c r="B111" i="2"/>
  <c r="B110" i="2"/>
  <c r="B108" i="2"/>
  <c r="B107" i="2"/>
  <c r="B106" i="2"/>
  <c r="B105" i="2"/>
  <c r="B104" i="2"/>
  <c r="B103" i="2"/>
  <c r="B102" i="2"/>
  <c r="B101" i="2"/>
  <c r="B100" i="2"/>
  <c r="B99" i="2"/>
  <c r="B98" i="2"/>
  <c r="B96" i="2"/>
  <c r="B95" i="2"/>
  <c r="B94" i="2"/>
  <c r="B93" i="2"/>
  <c r="B92" i="2"/>
  <c r="B27" i="2"/>
  <c r="B90" i="2"/>
  <c r="B13" i="2"/>
  <c r="B88" i="2"/>
  <c r="B87" i="2"/>
  <c r="B86" i="2"/>
  <c r="B85" i="2"/>
  <c r="B44" i="2"/>
  <c r="B24" i="2"/>
  <c r="B83" i="2"/>
  <c r="B39" i="2"/>
  <c r="B43" i="2"/>
  <c r="B82" i="2"/>
  <c r="B81" i="2"/>
  <c r="B17" i="2"/>
  <c r="B80" i="2"/>
  <c r="B79" i="2"/>
  <c r="B78" i="2"/>
  <c r="B7" i="2"/>
  <c r="B11" i="2"/>
  <c r="B77" i="2"/>
  <c r="B23" i="2"/>
  <c r="B42" i="2"/>
  <c r="B91" i="2"/>
  <c r="B37" i="2"/>
  <c r="B76" i="2"/>
  <c r="B75" i="2"/>
  <c r="B18" i="2"/>
  <c r="B15" i="2"/>
  <c r="B22" i="2"/>
  <c r="B74" i="2"/>
  <c r="B84" i="2"/>
  <c r="B36" i="2"/>
  <c r="B33" i="2"/>
  <c r="B31" i="2"/>
  <c r="B26" i="2"/>
  <c r="B6" i="2"/>
  <c r="B73" i="2"/>
  <c r="B29" i="2"/>
  <c r="B19" i="2"/>
  <c r="B72" i="2"/>
  <c r="B71" i="2"/>
  <c r="B70" i="2"/>
  <c r="B69" i="2"/>
  <c r="B5" i="2"/>
  <c r="B68" i="2"/>
  <c r="B28" i="2"/>
  <c r="B67" i="2"/>
  <c r="B66" i="2"/>
  <c r="B65" i="2"/>
  <c r="B25" i="2"/>
  <c r="B64" i="2"/>
  <c r="B34" i="2"/>
  <c r="B63" i="2"/>
  <c r="B62" i="2"/>
  <c r="B51" i="2"/>
  <c r="B45" i="2"/>
  <c r="B60" i="2"/>
  <c r="B8" i="2"/>
  <c r="B59" i="2"/>
  <c r="B58" i="2"/>
  <c r="B32" i="2"/>
  <c r="B57" i="2"/>
  <c r="B56" i="2"/>
  <c r="B10" i="2"/>
  <c r="B46" i="2"/>
  <c r="B55" i="2"/>
  <c r="B54" i="2"/>
  <c r="B53" i="2"/>
  <c r="B52" i="2"/>
  <c r="B35" i="2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3" i="18"/>
  <c r="B10" i="18"/>
  <c r="B4" i="18"/>
  <c r="BK18" i="17" l="1"/>
  <c r="BL18" i="17" s="1"/>
  <c r="BN18" i="17" s="1"/>
  <c r="BK19" i="17"/>
  <c r="BL19" i="17" s="1"/>
  <c r="BN19" i="17" s="1"/>
  <c r="BK20" i="17"/>
  <c r="BL20" i="17" s="1"/>
  <c r="BN20" i="17" s="1"/>
  <c r="BK21" i="17"/>
  <c r="BL21" i="17" s="1"/>
  <c r="BN21" i="17" s="1"/>
  <c r="BK22" i="17"/>
  <c r="BL22" i="17" s="1"/>
  <c r="BN22" i="17" s="1"/>
  <c r="BK23" i="17"/>
  <c r="BL23" i="17" s="1"/>
  <c r="BN23" i="17" s="1"/>
  <c r="A85" i="2"/>
  <c r="AM85" i="2"/>
  <c r="A82" i="2"/>
  <c r="AM82" i="2"/>
  <c r="BM22" i="17" l="1"/>
  <c r="BM21" i="17"/>
  <c r="BM20" i="17"/>
  <c r="BM19" i="17"/>
  <c r="BM23" i="17"/>
  <c r="BM18" i="17"/>
  <c r="A66" i="2" l="1"/>
  <c r="AM66" i="2"/>
  <c r="AM11" i="2" l="1"/>
  <c r="AB1" i="2" l="1"/>
  <c r="AK2" i="2"/>
  <c r="AH2" i="2"/>
  <c r="O9" i="2"/>
  <c r="O20" i="2"/>
  <c r="AM76" i="2"/>
  <c r="AM25" i="2" l="1"/>
  <c r="A25" i="2"/>
  <c r="O24" i="2" l="1"/>
  <c r="AM59" i="2" l="1"/>
  <c r="A59" i="2"/>
  <c r="AM29" i="2" l="1"/>
  <c r="A15" i="2" l="1"/>
  <c r="A28" i="2"/>
  <c r="A57" i="2"/>
  <c r="A58" i="2"/>
  <c r="AT51" i="2"/>
  <c r="AT50" i="2"/>
  <c r="AT47" i="2"/>
  <c r="AT49" i="2"/>
  <c r="AM36" i="2"/>
  <c r="AT4" i="2"/>
  <c r="AM19" i="2"/>
  <c r="A73" i="2"/>
  <c r="A78" i="2"/>
  <c r="A76" i="2"/>
  <c r="A23" i="2"/>
  <c r="A91" i="2"/>
  <c r="A54" i="2"/>
  <c r="A6" i="2"/>
  <c r="A26" i="2"/>
  <c r="A27" i="2"/>
  <c r="A92" i="2"/>
  <c r="A86" i="2"/>
  <c r="A18" i="2"/>
  <c r="A75" i="2"/>
  <c r="A79" i="2"/>
  <c r="A87" i="2"/>
  <c r="A90" i="2"/>
  <c r="A11" i="2"/>
  <c r="A80" i="2"/>
  <c r="A77" i="2"/>
  <c r="A8" i="2"/>
  <c r="A17" i="2"/>
  <c r="A55" i="2"/>
  <c r="A81" i="2"/>
  <c r="A67" i="2"/>
  <c r="A68" i="2"/>
  <c r="A93" i="2"/>
  <c r="A94" i="2"/>
  <c r="A95" i="2"/>
  <c r="A96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M102" i="2"/>
  <c r="AM103" i="2"/>
  <c r="AM104" i="2"/>
  <c r="AM105" i="2"/>
  <c r="AM106" i="2"/>
  <c r="AM107" i="2"/>
  <c r="AM108" i="2"/>
  <c r="AM109" i="2"/>
  <c r="AM111" i="2"/>
  <c r="AM112" i="2"/>
  <c r="AM113" i="2"/>
  <c r="AM114" i="2"/>
  <c r="AM115" i="2"/>
  <c r="AM116" i="2"/>
  <c r="AM117" i="2"/>
  <c r="AM118" i="2"/>
  <c r="AM119" i="2"/>
  <c r="AM120" i="2"/>
  <c r="AM121" i="2"/>
  <c r="AM122" i="2"/>
  <c r="AM123" i="2"/>
  <c r="AM124" i="2"/>
  <c r="AM125" i="2"/>
  <c r="AM126" i="2"/>
  <c r="AM127" i="2"/>
  <c r="AM128" i="2"/>
  <c r="AM129" i="2"/>
  <c r="AM130" i="2"/>
  <c r="AM131" i="2"/>
  <c r="AM132" i="2"/>
  <c r="AM133" i="2"/>
  <c r="AM134" i="2"/>
  <c r="AM135" i="2"/>
  <c r="AM136" i="2"/>
  <c r="AM137" i="2"/>
  <c r="AM138" i="2"/>
  <c r="AM73" i="2"/>
  <c r="AM78" i="2"/>
  <c r="AM23" i="2"/>
  <c r="AM91" i="2"/>
  <c r="AM15" i="2"/>
  <c r="AM28" i="2"/>
  <c r="AM57" i="2"/>
  <c r="AM58" i="2"/>
  <c r="AM54" i="2"/>
  <c r="AM6" i="2"/>
  <c r="AM26" i="2"/>
  <c r="AM27" i="2"/>
  <c r="AM92" i="2"/>
  <c r="AM86" i="2"/>
  <c r="AM18" i="2"/>
  <c r="AM75" i="2"/>
  <c r="AM79" i="2"/>
  <c r="AM87" i="2"/>
  <c r="AM80" i="2"/>
  <c r="AM77" i="2"/>
  <c r="AM8" i="2"/>
  <c r="AM17" i="2"/>
  <c r="AM55" i="2"/>
  <c r="AM81" i="2"/>
  <c r="AM67" i="2"/>
  <c r="AM68" i="2"/>
  <c r="AM93" i="2"/>
  <c r="AM94" i="2"/>
  <c r="AM95" i="2"/>
  <c r="AM96" i="2"/>
  <c r="AM98" i="2"/>
  <c r="AM99" i="2"/>
  <c r="AM100" i="2"/>
  <c r="AM101" i="2"/>
  <c r="AM65" i="2" l="1"/>
  <c r="A65" i="2"/>
  <c r="O62" i="2" l="1"/>
  <c r="O44" i="2"/>
  <c r="O69" i="2"/>
  <c r="O45" i="2"/>
  <c r="O42" i="2"/>
  <c r="O29" i="2"/>
  <c r="O83" i="2"/>
  <c r="O39" i="2"/>
  <c r="O10" i="2"/>
  <c r="O37" i="2"/>
  <c r="AM9" i="2" l="1"/>
  <c r="AM32" i="2"/>
  <c r="AM71" i="2"/>
  <c r="AM70" i="2"/>
  <c r="AM5" i="2"/>
  <c r="AM53" i="2"/>
  <c r="AM31" i="2"/>
  <c r="AM60" i="2"/>
  <c r="AM88" i="2"/>
  <c r="AM64" i="2"/>
  <c r="AM84" i="2"/>
  <c r="AM33" i="2"/>
  <c r="AM34" i="2"/>
  <c r="AM13" i="2"/>
  <c r="AM52" i="2"/>
  <c r="AM35" i="2"/>
  <c r="AM83" i="2"/>
  <c r="AM39" i="2"/>
  <c r="AM22" i="2"/>
  <c r="AM10" i="2"/>
  <c r="AM56" i="2"/>
  <c r="AM43" i="2"/>
  <c r="AM7" i="2"/>
  <c r="AM69" i="2"/>
  <c r="AM45" i="2"/>
  <c r="AM74" i="2"/>
  <c r="AM46" i="2"/>
  <c r="AM51" i="2"/>
  <c r="AM63" i="2"/>
  <c r="AM72" i="2"/>
  <c r="AM44" i="2"/>
  <c r="AM12" i="2"/>
  <c r="AM3" i="2"/>
  <c r="AM62" i="2"/>
  <c r="AM50" i="2"/>
  <c r="AM47" i="2"/>
  <c r="AM30" i="2"/>
  <c r="AM89" i="2"/>
  <c r="AM49" i="2"/>
  <c r="AM61" i="2"/>
  <c r="AM14" i="2"/>
  <c r="AM4" i="2"/>
  <c r="AM24" i="2"/>
  <c r="AM48" i="2"/>
  <c r="AM16" i="2"/>
  <c r="AM21" i="2"/>
  <c r="AM20" i="2"/>
  <c r="A19" i="2"/>
  <c r="A36" i="2"/>
  <c r="A34" i="2"/>
  <c r="A33" i="2"/>
  <c r="A84" i="2"/>
  <c r="A64" i="2"/>
  <c r="A88" i="2"/>
  <c r="A60" i="2"/>
  <c r="A31" i="2"/>
  <c r="A53" i="2"/>
  <c r="A5" i="2"/>
  <c r="A70" i="2"/>
  <c r="A71" i="2"/>
  <c r="A32" i="2"/>
  <c r="A47" i="18"/>
  <c r="C47" i="18"/>
  <c r="N47" i="18"/>
  <c r="BF47" i="18"/>
  <c r="BH47" i="18" s="1"/>
  <c r="BN47" i="18"/>
  <c r="BO47" i="18" s="1"/>
  <c r="BQ47" i="18" s="1"/>
  <c r="A48" i="18"/>
  <c r="C48" i="18"/>
  <c r="N48" i="18"/>
  <c r="BF48" i="18"/>
  <c r="BH48" i="18" s="1"/>
  <c r="BN48" i="18"/>
  <c r="BO48" i="18" s="1"/>
  <c r="BQ48" i="18" s="1"/>
  <c r="A49" i="18"/>
  <c r="C49" i="18"/>
  <c r="N49" i="18"/>
  <c r="BF49" i="18"/>
  <c r="BH49" i="18" s="1"/>
  <c r="BN49" i="18"/>
  <c r="BO49" i="18" s="1"/>
  <c r="BQ49" i="18" s="1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3" i="18"/>
  <c r="BN46" i="18"/>
  <c r="BP46" i="18" s="1"/>
  <c r="BF46" i="18"/>
  <c r="BH46" i="18" s="1"/>
  <c r="N46" i="18"/>
  <c r="A46" i="18"/>
  <c r="BN45" i="18"/>
  <c r="BP45" i="18" s="1"/>
  <c r="BF45" i="18"/>
  <c r="BH45" i="18" s="1"/>
  <c r="N45" i="18"/>
  <c r="A45" i="18"/>
  <c r="BN44" i="18"/>
  <c r="BP44" i="18" s="1"/>
  <c r="BF44" i="18"/>
  <c r="BH44" i="18" s="1"/>
  <c r="N44" i="18"/>
  <c r="A44" i="18"/>
  <c r="BN43" i="18"/>
  <c r="BP43" i="18" s="1"/>
  <c r="BF43" i="18"/>
  <c r="BH43" i="18" s="1"/>
  <c r="N43" i="18"/>
  <c r="A43" i="18"/>
  <c r="BN42" i="18"/>
  <c r="BP42" i="18" s="1"/>
  <c r="BF42" i="18"/>
  <c r="BH42" i="18" s="1"/>
  <c r="X42" i="18"/>
  <c r="Y42" i="18" s="1"/>
  <c r="N42" i="18"/>
  <c r="A42" i="18"/>
  <c r="BN41" i="18"/>
  <c r="BO41" i="18" s="1"/>
  <c r="BQ41" i="18" s="1"/>
  <c r="BF41" i="18"/>
  <c r="BH41" i="18" s="1"/>
  <c r="BM41" i="18" s="1"/>
  <c r="X41" i="18"/>
  <c r="Y41" i="18" s="1"/>
  <c r="N41" i="18"/>
  <c r="A41" i="18"/>
  <c r="BN40" i="18"/>
  <c r="BF40" i="18"/>
  <c r="BH40" i="18" s="1"/>
  <c r="X40" i="18"/>
  <c r="Y40" i="18" s="1"/>
  <c r="N40" i="18"/>
  <c r="A40" i="18"/>
  <c r="BN39" i="18"/>
  <c r="BO39" i="18" s="1"/>
  <c r="BQ39" i="18" s="1"/>
  <c r="BF39" i="18"/>
  <c r="BH39" i="18" s="1"/>
  <c r="BM39" i="18" s="1"/>
  <c r="X39" i="18"/>
  <c r="Y39" i="18" s="1"/>
  <c r="N39" i="18"/>
  <c r="A39" i="18"/>
  <c r="BN38" i="18"/>
  <c r="BO38" i="18" s="1"/>
  <c r="BQ38" i="18" s="1"/>
  <c r="BF38" i="18"/>
  <c r="BH38" i="18" s="1"/>
  <c r="BD38" i="18"/>
  <c r="X38" i="18"/>
  <c r="Y38" i="18" s="1"/>
  <c r="N38" i="18"/>
  <c r="A38" i="18"/>
  <c r="BN37" i="18"/>
  <c r="BO37" i="18" s="1"/>
  <c r="BQ37" i="18" s="1"/>
  <c r="BF37" i="18"/>
  <c r="BH37" i="18" s="1"/>
  <c r="X37" i="18"/>
  <c r="Y37" i="18" s="1"/>
  <c r="N37" i="18"/>
  <c r="A37" i="18"/>
  <c r="BN36" i="18"/>
  <c r="BO36" i="18" s="1"/>
  <c r="BQ36" i="18" s="1"/>
  <c r="BF36" i="18"/>
  <c r="BH36" i="18" s="1"/>
  <c r="BM36" i="18" s="1"/>
  <c r="X36" i="18"/>
  <c r="Y36" i="18" s="1"/>
  <c r="N36" i="18"/>
  <c r="A36" i="18"/>
  <c r="BN35" i="18"/>
  <c r="BO35" i="18" s="1"/>
  <c r="BQ35" i="18" s="1"/>
  <c r="BF35" i="18"/>
  <c r="BH35" i="18" s="1"/>
  <c r="X35" i="18"/>
  <c r="Y35" i="18" s="1"/>
  <c r="N35" i="18"/>
  <c r="A35" i="18"/>
  <c r="BN34" i="18"/>
  <c r="BP34" i="18" s="1"/>
  <c r="BF34" i="18"/>
  <c r="BH34" i="18" s="1"/>
  <c r="X34" i="18"/>
  <c r="Y34" i="18" s="1"/>
  <c r="N34" i="18"/>
  <c r="A34" i="18"/>
  <c r="BN33" i="18"/>
  <c r="BP33" i="18" s="1"/>
  <c r="CO33" i="18" s="1"/>
  <c r="BF33" i="18"/>
  <c r="BH33" i="18" s="1"/>
  <c r="X33" i="18"/>
  <c r="Y33" i="18" s="1"/>
  <c r="N33" i="18"/>
  <c r="A33" i="18"/>
  <c r="BN32" i="18"/>
  <c r="BF32" i="18"/>
  <c r="BH32" i="18" s="1"/>
  <c r="BM32" i="18" s="1"/>
  <c r="X32" i="18"/>
  <c r="Y32" i="18" s="1"/>
  <c r="N32" i="18"/>
  <c r="A32" i="18"/>
  <c r="BN31" i="18"/>
  <c r="BO31" i="18" s="1"/>
  <c r="BQ31" i="18" s="1"/>
  <c r="BF31" i="18"/>
  <c r="BH31" i="18" s="1"/>
  <c r="BL31" i="18" s="1"/>
  <c r="X31" i="18"/>
  <c r="Y31" i="18" s="1"/>
  <c r="N31" i="18"/>
  <c r="A31" i="18"/>
  <c r="BN30" i="18"/>
  <c r="BF30" i="18"/>
  <c r="BH30" i="18" s="1"/>
  <c r="X30" i="18"/>
  <c r="Y30" i="18" s="1"/>
  <c r="N30" i="18"/>
  <c r="A30" i="18"/>
  <c r="BN29" i="18"/>
  <c r="BO29" i="18" s="1"/>
  <c r="BQ29" i="18" s="1"/>
  <c r="BF29" i="18"/>
  <c r="BH29" i="18" s="1"/>
  <c r="X29" i="18"/>
  <c r="Y29" i="18" s="1"/>
  <c r="N29" i="18"/>
  <c r="A29" i="18"/>
  <c r="BN28" i="18"/>
  <c r="BF28" i="18"/>
  <c r="BH28" i="18" s="1"/>
  <c r="BM28" i="18" s="1"/>
  <c r="X28" i="18"/>
  <c r="Y28" i="18" s="1"/>
  <c r="N28" i="18"/>
  <c r="A28" i="18"/>
  <c r="BN27" i="18"/>
  <c r="BO27" i="18" s="1"/>
  <c r="BQ27" i="18" s="1"/>
  <c r="BF27" i="18"/>
  <c r="BH27" i="18" s="1"/>
  <c r="X27" i="18"/>
  <c r="Y27" i="18" s="1"/>
  <c r="N27" i="18"/>
  <c r="A27" i="18"/>
  <c r="BN26" i="18"/>
  <c r="BO26" i="18" s="1"/>
  <c r="BQ26" i="18" s="1"/>
  <c r="BF26" i="18"/>
  <c r="BH26" i="18" s="1"/>
  <c r="BL26" i="18" s="1"/>
  <c r="BD26" i="18"/>
  <c r="X26" i="18"/>
  <c r="Y26" i="18" s="1"/>
  <c r="N26" i="18"/>
  <c r="BN25" i="18"/>
  <c r="BF25" i="18"/>
  <c r="BH25" i="18" s="1"/>
  <c r="X25" i="18"/>
  <c r="Y25" i="18" s="1"/>
  <c r="N25" i="18"/>
  <c r="BN24" i="18"/>
  <c r="BF24" i="18"/>
  <c r="BH24" i="18" s="1"/>
  <c r="BM24" i="18" s="1"/>
  <c r="X24" i="18"/>
  <c r="Y24" i="18" s="1"/>
  <c r="N24" i="18"/>
  <c r="BN23" i="18"/>
  <c r="BP23" i="18" s="1"/>
  <c r="BF23" i="18"/>
  <c r="BH23" i="18" s="1"/>
  <c r="X23" i="18"/>
  <c r="Y23" i="18" s="1"/>
  <c r="N23" i="18"/>
  <c r="A23" i="18"/>
  <c r="BN22" i="18"/>
  <c r="BO22" i="18" s="1"/>
  <c r="BQ22" i="18" s="1"/>
  <c r="BF22" i="18"/>
  <c r="BH22" i="18" s="1"/>
  <c r="X22" i="18"/>
  <c r="Y22" i="18" s="1"/>
  <c r="N22" i="18"/>
  <c r="BN21" i="18"/>
  <c r="BP21" i="18" s="1"/>
  <c r="BF21" i="18"/>
  <c r="BH21" i="18" s="1"/>
  <c r="BL21" i="18" s="1"/>
  <c r="X21" i="18"/>
  <c r="Y21" i="18" s="1"/>
  <c r="N21" i="18"/>
  <c r="BN20" i="18"/>
  <c r="BO20" i="18" s="1"/>
  <c r="BQ20" i="18" s="1"/>
  <c r="BF20" i="18"/>
  <c r="BH20" i="18" s="1"/>
  <c r="BM20" i="18" s="1"/>
  <c r="X20" i="18"/>
  <c r="Y20" i="18" s="1"/>
  <c r="N20" i="18"/>
  <c r="BN19" i="18"/>
  <c r="BP19" i="18" s="1"/>
  <c r="BF19" i="18"/>
  <c r="BH19" i="18" s="1"/>
  <c r="X19" i="18"/>
  <c r="Y19" i="18" s="1"/>
  <c r="N19" i="18"/>
  <c r="BN18" i="18"/>
  <c r="BO18" i="18" s="1"/>
  <c r="BQ18" i="18" s="1"/>
  <c r="BF18" i="18"/>
  <c r="BH18" i="18" s="1"/>
  <c r="X18" i="18"/>
  <c r="Y18" i="18" s="1"/>
  <c r="N18" i="18"/>
  <c r="BN17" i="18"/>
  <c r="BF17" i="18"/>
  <c r="BH17" i="18" s="1"/>
  <c r="X17" i="18"/>
  <c r="Y17" i="18" s="1"/>
  <c r="N17" i="18"/>
  <c r="BN16" i="18"/>
  <c r="BP16" i="18" s="1"/>
  <c r="BF16" i="18"/>
  <c r="BH16" i="18" s="1"/>
  <c r="X16" i="18"/>
  <c r="Y16" i="18" s="1"/>
  <c r="N16" i="18"/>
  <c r="BN15" i="18"/>
  <c r="BO15" i="18" s="1"/>
  <c r="BQ15" i="18" s="1"/>
  <c r="BF15" i="18"/>
  <c r="BH15" i="18" s="1"/>
  <c r="X15" i="18"/>
  <c r="Y15" i="18" s="1"/>
  <c r="N15" i="18"/>
  <c r="BN14" i="18"/>
  <c r="BP14" i="18" s="1"/>
  <c r="CX14" i="18" s="1"/>
  <c r="BF14" i="18"/>
  <c r="BH14" i="18" s="1"/>
  <c r="X14" i="18"/>
  <c r="Y14" i="18" s="1"/>
  <c r="N14" i="18"/>
  <c r="BN13" i="18"/>
  <c r="BP13" i="18" s="1"/>
  <c r="BF13" i="18"/>
  <c r="BH13" i="18" s="1"/>
  <c r="BM13" i="18" s="1"/>
  <c r="X13" i="18"/>
  <c r="Y13" i="18" s="1"/>
  <c r="N13" i="18"/>
  <c r="BN12" i="18"/>
  <c r="BO12" i="18" s="1"/>
  <c r="BQ12" i="18" s="1"/>
  <c r="BF12" i="18"/>
  <c r="BH12" i="18" s="1"/>
  <c r="X12" i="18"/>
  <c r="Y12" i="18" s="1"/>
  <c r="N12" i="18"/>
  <c r="BN11" i="18"/>
  <c r="BF11" i="18"/>
  <c r="BH11" i="18" s="1"/>
  <c r="X11" i="18"/>
  <c r="Y11" i="18" s="1"/>
  <c r="N11" i="18"/>
  <c r="BN10" i="18"/>
  <c r="BP10" i="18" s="1"/>
  <c r="BF10" i="18"/>
  <c r="BH10" i="18" s="1"/>
  <c r="X10" i="18"/>
  <c r="Y10" i="18" s="1"/>
  <c r="N10" i="18"/>
  <c r="A10" i="18"/>
  <c r="BN9" i="18"/>
  <c r="BP9" i="18" s="1"/>
  <c r="BF9" i="18"/>
  <c r="BH9" i="18" s="1"/>
  <c r="BL9" i="18" s="1"/>
  <c r="X9" i="18"/>
  <c r="Y9" i="18" s="1"/>
  <c r="N9" i="18"/>
  <c r="BN8" i="18"/>
  <c r="BO8" i="18" s="1"/>
  <c r="BQ8" i="18" s="1"/>
  <c r="BF8" i="18"/>
  <c r="BH8" i="18" s="1"/>
  <c r="BM8" i="18" s="1"/>
  <c r="X8" i="18"/>
  <c r="Y8" i="18" s="1"/>
  <c r="N8" i="18"/>
  <c r="BN7" i="18"/>
  <c r="BO7" i="18" s="1"/>
  <c r="BQ7" i="18" s="1"/>
  <c r="BF7" i="18"/>
  <c r="BH7" i="18" s="1"/>
  <c r="BL7" i="18" s="1"/>
  <c r="BD7" i="18"/>
  <c r="X7" i="18"/>
  <c r="Y7" i="18" s="1"/>
  <c r="N7" i="18"/>
  <c r="BN6" i="18"/>
  <c r="BF6" i="18"/>
  <c r="BH6" i="18" s="1"/>
  <c r="BM6" i="18" s="1"/>
  <c r="X6" i="18"/>
  <c r="Y6" i="18" s="1"/>
  <c r="N6" i="18"/>
  <c r="BN5" i="18"/>
  <c r="BO5" i="18" s="1"/>
  <c r="BQ5" i="18" s="1"/>
  <c r="BF5" i="18"/>
  <c r="BH5" i="18" s="1"/>
  <c r="X5" i="18"/>
  <c r="Y5" i="18" s="1"/>
  <c r="N5" i="18"/>
  <c r="BN4" i="18"/>
  <c r="BP4" i="18" s="1"/>
  <c r="BF4" i="18"/>
  <c r="BH4" i="18" s="1"/>
  <c r="BL4" i="18" s="1"/>
  <c r="BD4" i="18"/>
  <c r="X4" i="18"/>
  <c r="Y4" i="18" s="1"/>
  <c r="N4" i="18"/>
  <c r="D4" i="18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42" i="18" s="1"/>
  <c r="D43" i="18" s="1"/>
  <c r="D44" i="18" s="1"/>
  <c r="D45" i="18" s="1"/>
  <c r="D46" i="18" s="1"/>
  <c r="D47" i="18" s="1"/>
  <c r="D48" i="18" s="1"/>
  <c r="D49" i="18" s="1"/>
  <c r="A4" i="18"/>
  <c r="BN3" i="18"/>
  <c r="BP3" i="18" s="1"/>
  <c r="BF3" i="18"/>
  <c r="BH3" i="18" s="1"/>
  <c r="X3" i="18"/>
  <c r="Y3" i="18" s="1"/>
  <c r="N3" i="18"/>
  <c r="BP48" i="18" l="1"/>
  <c r="CG48" i="18" s="1"/>
  <c r="BP18" i="18"/>
  <c r="DE18" i="18" s="1"/>
  <c r="BO9" i="18"/>
  <c r="BQ9" i="18" s="1"/>
  <c r="CI9" i="18" s="1"/>
  <c r="BP27" i="18"/>
  <c r="CA27" i="18" s="1"/>
  <c r="DI14" i="18"/>
  <c r="DB14" i="18"/>
  <c r="BP20" i="18"/>
  <c r="DP20" i="18" s="1"/>
  <c r="BP26" i="18"/>
  <c r="DP26" i="18" s="1"/>
  <c r="BP29" i="18"/>
  <c r="DE29" i="18" s="1"/>
  <c r="DJ14" i="18"/>
  <c r="CC33" i="18"/>
  <c r="CD33" i="18"/>
  <c r="DK14" i="18"/>
  <c r="BU14" i="18"/>
  <c r="DO14" i="18"/>
  <c r="CP33" i="18"/>
  <c r="DR14" i="18"/>
  <c r="BW14" i="18"/>
  <c r="DS14" i="18"/>
  <c r="CA14" i="18"/>
  <c r="CB14" i="18"/>
  <c r="CC14" i="18"/>
  <c r="BO34" i="18"/>
  <c r="BQ34" i="18" s="1"/>
  <c r="CY34" i="18" s="1"/>
  <c r="BP41" i="18"/>
  <c r="DE41" i="18" s="1"/>
  <c r="CG14" i="18"/>
  <c r="CD14" i="18"/>
  <c r="CK14" i="18"/>
  <c r="BV14" i="18"/>
  <c r="CM14" i="18"/>
  <c r="BP47" i="18"/>
  <c r="CZ47" i="18" s="1"/>
  <c r="CQ14" i="18"/>
  <c r="BP8" i="18"/>
  <c r="CM8" i="18" s="1"/>
  <c r="CU14" i="18"/>
  <c r="BP49" i="18"/>
  <c r="BT49" i="18" s="1"/>
  <c r="CR14" i="18"/>
  <c r="DA14" i="18"/>
  <c r="BP35" i="18"/>
  <c r="DT35" i="18" s="1"/>
  <c r="DD14" i="18"/>
  <c r="DF14" i="18"/>
  <c r="BM7" i="18"/>
  <c r="BM48" i="18"/>
  <c r="BL48" i="18"/>
  <c r="BL49" i="18"/>
  <c r="BM49" i="18"/>
  <c r="BL47" i="18"/>
  <c r="BM47" i="18"/>
  <c r="CJ48" i="18"/>
  <c r="DN48" i="18"/>
  <c r="CW48" i="18"/>
  <c r="CB48" i="18"/>
  <c r="BZ48" i="18"/>
  <c r="BY48" i="18"/>
  <c r="DF48" i="18"/>
  <c r="DC48" i="18"/>
  <c r="BM14" i="18"/>
  <c r="BL14" i="18"/>
  <c r="BX18" i="18"/>
  <c r="BL38" i="18"/>
  <c r="BM38" i="18"/>
  <c r="BM11" i="18"/>
  <c r="BL11" i="18"/>
  <c r="BL22" i="18"/>
  <c r="BM22" i="18"/>
  <c r="BM10" i="18"/>
  <c r="BL10" i="18"/>
  <c r="BP12" i="18"/>
  <c r="CQ12" i="18" s="1"/>
  <c r="BP15" i="18"/>
  <c r="DS15" i="18" s="1"/>
  <c r="BP22" i="18"/>
  <c r="DE22" i="18" s="1"/>
  <c r="CQ33" i="18"/>
  <c r="BM4" i="18"/>
  <c r="BL32" i="18"/>
  <c r="CV33" i="18"/>
  <c r="DF33" i="18"/>
  <c r="BL39" i="18"/>
  <c r="CN14" i="18"/>
  <c r="DL14" i="18"/>
  <c r="DI33" i="18"/>
  <c r="BO14" i="18"/>
  <c r="BQ14" i="18" s="1"/>
  <c r="CO14" i="18"/>
  <c r="DM14" i="18"/>
  <c r="BO21" i="18"/>
  <c r="BQ21" i="18" s="1"/>
  <c r="CN21" i="18" s="1"/>
  <c r="DJ33" i="18"/>
  <c r="BT14" i="18"/>
  <c r="CP14" i="18"/>
  <c r="DN14" i="18"/>
  <c r="DL33" i="18"/>
  <c r="BP37" i="18"/>
  <c r="BZ37" i="18" s="1"/>
  <c r="BL36" i="18"/>
  <c r="BO10" i="18"/>
  <c r="BQ10" i="18" s="1"/>
  <c r="DC10" i="18" s="1"/>
  <c r="BP7" i="18"/>
  <c r="BS7" i="18" s="1"/>
  <c r="BX14" i="18"/>
  <c r="CV14" i="18"/>
  <c r="DT14" i="18"/>
  <c r="BS18" i="18"/>
  <c r="BO23" i="18"/>
  <c r="BQ23" i="18" s="1"/>
  <c r="BS23" i="18" s="1"/>
  <c r="BP31" i="18"/>
  <c r="BX31" i="18" s="1"/>
  <c r="BO33" i="18"/>
  <c r="BQ33" i="18" s="1"/>
  <c r="BP36" i="18"/>
  <c r="DF36" i="18" s="1"/>
  <c r="BY14" i="18"/>
  <c r="CW14" i="18"/>
  <c r="BT18" i="18"/>
  <c r="BX33" i="18"/>
  <c r="BP5" i="18"/>
  <c r="DJ5" i="18" s="1"/>
  <c r="BM9" i="18"/>
  <c r="BZ14" i="18"/>
  <c r="BY33" i="18"/>
  <c r="BL41" i="18"/>
  <c r="CA33" i="18"/>
  <c r="BM5" i="18"/>
  <c r="BL5" i="18"/>
  <c r="BM3" i="18"/>
  <c r="BL3" i="18"/>
  <c r="DF9" i="18"/>
  <c r="BO3" i="18"/>
  <c r="BQ3" i="18" s="1"/>
  <c r="CK3" i="18" s="1"/>
  <c r="DI9" i="18"/>
  <c r="BM21" i="18"/>
  <c r="CW18" i="18"/>
  <c r="CY18" i="18"/>
  <c r="CG18" i="18"/>
  <c r="CZ18" i="18"/>
  <c r="CH18" i="18"/>
  <c r="DB18" i="18"/>
  <c r="CD18" i="18"/>
  <c r="DA18" i="18"/>
  <c r="CC18" i="18"/>
  <c r="CX18" i="18"/>
  <c r="CB18" i="18"/>
  <c r="CV18" i="18"/>
  <c r="CA18" i="18"/>
  <c r="BV18" i="18"/>
  <c r="DJ18" i="18"/>
  <c r="DI18" i="18"/>
  <c r="BZ18" i="18"/>
  <c r="DD18" i="18"/>
  <c r="BW18" i="18"/>
  <c r="DC18" i="18"/>
  <c r="BU18" i="18"/>
  <c r="BL24" i="18"/>
  <c r="BZ9" i="18"/>
  <c r="DM9" i="18"/>
  <c r="BM23" i="18"/>
  <c r="BL23" i="18"/>
  <c r="BO4" i="18"/>
  <c r="BQ4" i="18" s="1"/>
  <c r="CG4" i="18" s="1"/>
  <c r="CR9" i="18"/>
  <c r="DS9" i="18"/>
  <c r="DB9" i="18"/>
  <c r="CK9" i="18"/>
  <c r="BT9" i="18"/>
  <c r="CJ9" i="18"/>
  <c r="DD9" i="18"/>
  <c r="DO9" i="18"/>
  <c r="BX9" i="18"/>
  <c r="CQ9" i="18"/>
  <c r="BW9" i="18"/>
  <c r="BM12" i="18"/>
  <c r="BL12" i="18"/>
  <c r="CH9" i="18"/>
  <c r="CM9" i="18"/>
  <c r="BL8" i="18"/>
  <c r="BL13" i="18"/>
  <c r="BM27" i="18"/>
  <c r="BL27" i="18"/>
  <c r="CL9" i="18"/>
  <c r="BO16" i="18"/>
  <c r="BQ16" i="18" s="1"/>
  <c r="CX16" i="18" s="1"/>
  <c r="BO19" i="18"/>
  <c r="BQ19" i="18" s="1"/>
  <c r="CQ19" i="18" s="1"/>
  <c r="BL6" i="18"/>
  <c r="CV9" i="18"/>
  <c r="BP6" i="18"/>
  <c r="BO6" i="18"/>
  <c r="BQ6" i="18" s="1"/>
  <c r="CW9" i="18"/>
  <c r="BO11" i="18"/>
  <c r="BQ11" i="18" s="1"/>
  <c r="BP11" i="18"/>
  <c r="BM15" i="18"/>
  <c r="BL15" i="18"/>
  <c r="BL17" i="18"/>
  <c r="BM17" i="18"/>
  <c r="CU18" i="18"/>
  <c r="BP17" i="18"/>
  <c r="BO17" i="18"/>
  <c r="BQ17" i="18" s="1"/>
  <c r="CX9" i="18"/>
  <c r="BM25" i="18"/>
  <c r="BL25" i="18"/>
  <c r="BP25" i="18"/>
  <c r="BO25" i="18"/>
  <c r="BQ25" i="18" s="1"/>
  <c r="BL19" i="18"/>
  <c r="BM19" i="18"/>
  <c r="BP24" i="18"/>
  <c r="BO24" i="18"/>
  <c r="BQ24" i="18" s="1"/>
  <c r="BO13" i="18"/>
  <c r="BQ13" i="18" s="1"/>
  <c r="CK13" i="18" s="1"/>
  <c r="BM18" i="18"/>
  <c r="DL18" i="18" s="1"/>
  <c r="BL18" i="18"/>
  <c r="CO18" i="18" s="1"/>
  <c r="BL30" i="18"/>
  <c r="BM30" i="18"/>
  <c r="BM29" i="18"/>
  <c r="BL29" i="18"/>
  <c r="BP30" i="18"/>
  <c r="BO30" i="18"/>
  <c r="BQ30" i="18" s="1"/>
  <c r="BL34" i="18"/>
  <c r="BM34" i="18"/>
  <c r="BM40" i="18"/>
  <c r="BL40" i="18"/>
  <c r="BP40" i="18"/>
  <c r="BO40" i="18"/>
  <c r="BQ40" i="18" s="1"/>
  <c r="DP14" i="18"/>
  <c r="CY14" i="18"/>
  <c r="CH14" i="18"/>
  <c r="DQ14" i="18"/>
  <c r="CZ14" i="18"/>
  <c r="CI14" i="18"/>
  <c r="CJ14" i="18"/>
  <c r="DC14" i="18"/>
  <c r="BL20" i="18"/>
  <c r="DN27" i="18"/>
  <c r="BT27" i="18"/>
  <c r="CU27" i="18"/>
  <c r="BL28" i="18"/>
  <c r="BS14" i="18"/>
  <c r="CL14" i="18"/>
  <c r="DE14" i="18"/>
  <c r="BL16" i="18"/>
  <c r="BM16" i="18"/>
  <c r="BP28" i="18"/>
  <c r="BO28" i="18"/>
  <c r="BQ28" i="18" s="1"/>
  <c r="BM37" i="18"/>
  <c r="BL37" i="18"/>
  <c r="BM26" i="18"/>
  <c r="BM33" i="18"/>
  <c r="DK33" i="18" s="1"/>
  <c r="BL33" i="18"/>
  <c r="CI33" i="18" s="1"/>
  <c r="BM31" i="18"/>
  <c r="CJ33" i="18"/>
  <c r="DO33" i="18"/>
  <c r="DA27" i="18"/>
  <c r="CL33" i="18"/>
  <c r="DT33" i="18"/>
  <c r="DT34" i="18"/>
  <c r="BP38" i="18"/>
  <c r="DD33" i="18"/>
  <c r="CM33" i="18"/>
  <c r="BV33" i="18"/>
  <c r="DS33" i="18"/>
  <c r="DB33" i="18"/>
  <c r="CK33" i="18"/>
  <c r="BT33" i="18"/>
  <c r="DQ33" i="18"/>
  <c r="CZ33" i="18"/>
  <c r="DP33" i="18"/>
  <c r="CY33" i="18"/>
  <c r="CH33" i="18"/>
  <c r="DN33" i="18"/>
  <c r="CW33" i="18"/>
  <c r="CN33" i="18"/>
  <c r="DC33" i="18"/>
  <c r="CB33" i="18"/>
  <c r="CX33" i="18"/>
  <c r="BZ33" i="18"/>
  <c r="DR33" i="18"/>
  <c r="CR33" i="18"/>
  <c r="BU33" i="18"/>
  <c r="CU33" i="18"/>
  <c r="BS33" i="18"/>
  <c r="DA33" i="18"/>
  <c r="BW33" i="18"/>
  <c r="DE33" i="18"/>
  <c r="BM43" i="18"/>
  <c r="BL43" i="18"/>
  <c r="BM35" i="18"/>
  <c r="BL35" i="18"/>
  <c r="BP39" i="18"/>
  <c r="DL34" i="18"/>
  <c r="CD34" i="18"/>
  <c r="CV34" i="18"/>
  <c r="BM42" i="18"/>
  <c r="BL42" i="18"/>
  <c r="BP32" i="18"/>
  <c r="BO32" i="18"/>
  <c r="BQ32" i="18" s="1"/>
  <c r="CG33" i="18"/>
  <c r="DM33" i="18"/>
  <c r="BM45" i="18"/>
  <c r="BL45" i="18"/>
  <c r="BM46" i="18"/>
  <c r="BL46" i="18"/>
  <c r="BM44" i="18"/>
  <c r="BL44" i="18"/>
  <c r="BO42" i="18"/>
  <c r="BQ42" i="18" s="1"/>
  <c r="DA42" i="18" s="1"/>
  <c r="BO43" i="18"/>
  <c r="BQ43" i="18" s="1"/>
  <c r="DC43" i="18" s="1"/>
  <c r="BO44" i="18"/>
  <c r="BQ44" i="18" s="1"/>
  <c r="DQ44" i="18" s="1"/>
  <c r="BO45" i="18"/>
  <c r="BQ45" i="18" s="1"/>
  <c r="BS45" i="18" s="1"/>
  <c r="BO46" i="18"/>
  <c r="BQ46" i="18" s="1"/>
  <c r="DD46" i="18" s="1"/>
  <c r="C8" i="9"/>
  <c r="O72" i="2"/>
  <c r="O63" i="2"/>
  <c r="O51" i="2"/>
  <c r="O46" i="2"/>
  <c r="O7" i="2"/>
  <c r="O56" i="2"/>
  <c r="O52" i="2"/>
  <c r="O12" i="2"/>
  <c r="O47" i="2"/>
  <c r="O61" i="2"/>
  <c r="O14" i="2"/>
  <c r="O4" i="2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3" i="11"/>
  <c r="DQ50" i="17"/>
  <c r="DP50" i="17"/>
  <c r="DO50" i="17"/>
  <c r="DN50" i="17"/>
  <c r="DM50" i="17"/>
  <c r="DL50" i="17"/>
  <c r="DK50" i="17"/>
  <c r="DJ50" i="17"/>
  <c r="DI50" i="17"/>
  <c r="DH50" i="17"/>
  <c r="DG50" i="17"/>
  <c r="DF50" i="17"/>
  <c r="DC50" i="17"/>
  <c r="DB50" i="17"/>
  <c r="DA50" i="17"/>
  <c r="CZ50" i="17"/>
  <c r="CY50" i="17"/>
  <c r="CX50" i="17"/>
  <c r="CW50" i="17"/>
  <c r="CV50" i="17"/>
  <c r="CU50" i="17"/>
  <c r="CT50" i="17"/>
  <c r="CS50" i="17"/>
  <c r="CR50" i="17"/>
  <c r="CO50" i="17"/>
  <c r="CN50" i="17"/>
  <c r="CM50" i="17"/>
  <c r="CL50" i="17"/>
  <c r="CK50" i="17"/>
  <c r="CJ50" i="17"/>
  <c r="CI50" i="17"/>
  <c r="CH50" i="17"/>
  <c r="CG50" i="17"/>
  <c r="CF50" i="17"/>
  <c r="CE50" i="17"/>
  <c r="CD50" i="17"/>
  <c r="CA50" i="17"/>
  <c r="BZ50" i="17"/>
  <c r="BY50" i="17"/>
  <c r="BX50" i="17"/>
  <c r="BW50" i="17"/>
  <c r="BV50" i="17"/>
  <c r="BU50" i="17"/>
  <c r="BT50" i="17"/>
  <c r="BS50" i="17"/>
  <c r="BR50" i="17"/>
  <c r="BQ50" i="17"/>
  <c r="BP50" i="17"/>
  <c r="U50" i="17"/>
  <c r="V50" i="17" s="1"/>
  <c r="A50" i="17"/>
  <c r="DQ49" i="17"/>
  <c r="DP49" i="17"/>
  <c r="DO49" i="17"/>
  <c r="DN49" i="17"/>
  <c r="DM49" i="17"/>
  <c r="DL49" i="17"/>
  <c r="DK49" i="17"/>
  <c r="DJ49" i="17"/>
  <c r="DI49" i="17"/>
  <c r="DH49" i="17"/>
  <c r="DG49" i="17"/>
  <c r="DF49" i="17"/>
  <c r="DC49" i="17"/>
  <c r="DB49" i="17"/>
  <c r="DA49" i="17"/>
  <c r="CZ49" i="17"/>
  <c r="CY49" i="17"/>
  <c r="CX49" i="17"/>
  <c r="CW49" i="17"/>
  <c r="CV49" i="17"/>
  <c r="CU49" i="17"/>
  <c r="CT49" i="17"/>
  <c r="CS49" i="17"/>
  <c r="CR49" i="17"/>
  <c r="CO49" i="17"/>
  <c r="CN49" i="17"/>
  <c r="CM49" i="17"/>
  <c r="CL49" i="17"/>
  <c r="CK49" i="17"/>
  <c r="CJ49" i="17"/>
  <c r="CI49" i="17"/>
  <c r="CH49" i="17"/>
  <c r="CG49" i="17"/>
  <c r="CF49" i="17"/>
  <c r="CE49" i="17"/>
  <c r="CD49" i="17"/>
  <c r="CA49" i="17"/>
  <c r="BZ49" i="17"/>
  <c r="BY49" i="17"/>
  <c r="BX49" i="17"/>
  <c r="BW49" i="17"/>
  <c r="BV49" i="17"/>
  <c r="BU49" i="17"/>
  <c r="BT49" i="17"/>
  <c r="BS49" i="17"/>
  <c r="BR49" i="17"/>
  <c r="BQ49" i="17"/>
  <c r="BP49" i="17"/>
  <c r="U49" i="17"/>
  <c r="V49" i="17" s="1"/>
  <c r="A49" i="17"/>
  <c r="DQ48" i="17"/>
  <c r="DP48" i="17"/>
  <c r="DO48" i="17"/>
  <c r="DN48" i="17"/>
  <c r="DM48" i="17"/>
  <c r="DL48" i="17"/>
  <c r="DK48" i="17"/>
  <c r="DJ48" i="17"/>
  <c r="DI48" i="17"/>
  <c r="DH48" i="17"/>
  <c r="DG48" i="17"/>
  <c r="DF48" i="17"/>
  <c r="DC48" i="17"/>
  <c r="DB48" i="17"/>
  <c r="DA48" i="17"/>
  <c r="CZ48" i="17"/>
  <c r="CY48" i="17"/>
  <c r="CX48" i="17"/>
  <c r="CW48" i="17"/>
  <c r="CV48" i="17"/>
  <c r="CU48" i="17"/>
  <c r="CT48" i="17"/>
  <c r="CS48" i="17"/>
  <c r="CR48" i="17"/>
  <c r="CO48" i="17"/>
  <c r="CN48" i="17"/>
  <c r="CM48" i="17"/>
  <c r="CL48" i="17"/>
  <c r="CK48" i="17"/>
  <c r="CJ48" i="17"/>
  <c r="CI48" i="17"/>
  <c r="CH48" i="17"/>
  <c r="CG48" i="17"/>
  <c r="CF48" i="17"/>
  <c r="CE48" i="17"/>
  <c r="CD48" i="17"/>
  <c r="CA48" i="17"/>
  <c r="BZ48" i="17"/>
  <c r="BY48" i="17"/>
  <c r="BX48" i="17"/>
  <c r="BW48" i="17"/>
  <c r="BV48" i="17"/>
  <c r="BU48" i="17"/>
  <c r="BT48" i="17"/>
  <c r="BS48" i="17"/>
  <c r="BR48" i="17"/>
  <c r="BQ48" i="17"/>
  <c r="BP48" i="17"/>
  <c r="U48" i="17"/>
  <c r="V48" i="17" s="1"/>
  <c r="A48" i="17"/>
  <c r="DQ47" i="17"/>
  <c r="DP47" i="17"/>
  <c r="DO47" i="17"/>
  <c r="DN47" i="17"/>
  <c r="DM47" i="17"/>
  <c r="DL47" i="17"/>
  <c r="DK47" i="17"/>
  <c r="DJ47" i="17"/>
  <c r="DI47" i="17"/>
  <c r="DH47" i="17"/>
  <c r="DG47" i="17"/>
  <c r="DF47" i="17"/>
  <c r="DC47" i="17"/>
  <c r="DB47" i="17"/>
  <c r="DA47" i="17"/>
  <c r="CZ47" i="17"/>
  <c r="CY47" i="17"/>
  <c r="CX47" i="17"/>
  <c r="CW47" i="17"/>
  <c r="CV47" i="17"/>
  <c r="CU47" i="17"/>
  <c r="CT47" i="17"/>
  <c r="CS47" i="17"/>
  <c r="CR47" i="17"/>
  <c r="CO47" i="17"/>
  <c r="CN47" i="17"/>
  <c r="CM47" i="17"/>
  <c r="CL47" i="17"/>
  <c r="CK47" i="17"/>
  <c r="CJ47" i="17"/>
  <c r="CI47" i="17"/>
  <c r="CH47" i="17"/>
  <c r="CG47" i="17"/>
  <c r="CF47" i="17"/>
  <c r="CE47" i="17"/>
  <c r="CD47" i="17"/>
  <c r="CA47" i="17"/>
  <c r="BZ47" i="17"/>
  <c r="BY47" i="17"/>
  <c r="BX47" i="17"/>
  <c r="BW47" i="17"/>
  <c r="BV47" i="17"/>
  <c r="BU47" i="17"/>
  <c r="BT47" i="17"/>
  <c r="BS47" i="17"/>
  <c r="BR47" i="17"/>
  <c r="BQ47" i="17"/>
  <c r="BP47" i="17"/>
  <c r="U47" i="17"/>
  <c r="V47" i="17" s="1"/>
  <c r="A47" i="17"/>
  <c r="DQ46" i="17"/>
  <c r="DP46" i="17"/>
  <c r="DO46" i="17"/>
  <c r="DN46" i="17"/>
  <c r="DM46" i="17"/>
  <c r="DL46" i="17"/>
  <c r="DK46" i="17"/>
  <c r="DJ46" i="17"/>
  <c r="DI46" i="17"/>
  <c r="DH46" i="17"/>
  <c r="DG46" i="17"/>
  <c r="DF46" i="17"/>
  <c r="DC46" i="17"/>
  <c r="DB46" i="17"/>
  <c r="DA46" i="17"/>
  <c r="CZ46" i="17"/>
  <c r="CY46" i="17"/>
  <c r="CX46" i="17"/>
  <c r="CW46" i="17"/>
  <c r="CV46" i="17"/>
  <c r="CU46" i="17"/>
  <c r="CT46" i="17"/>
  <c r="CS46" i="17"/>
  <c r="CR46" i="17"/>
  <c r="CO46" i="17"/>
  <c r="CN46" i="17"/>
  <c r="CM46" i="17"/>
  <c r="CL46" i="17"/>
  <c r="CK46" i="17"/>
  <c r="CJ46" i="17"/>
  <c r="CI46" i="17"/>
  <c r="CH46" i="17"/>
  <c r="CG46" i="17"/>
  <c r="CF46" i="17"/>
  <c r="CE46" i="17"/>
  <c r="CD46" i="17"/>
  <c r="CA46" i="17"/>
  <c r="BZ46" i="17"/>
  <c r="BY46" i="17"/>
  <c r="BX46" i="17"/>
  <c r="BW46" i="17"/>
  <c r="BV46" i="17"/>
  <c r="BU46" i="17"/>
  <c r="BT46" i="17"/>
  <c r="BS46" i="17"/>
  <c r="BR46" i="17"/>
  <c r="BQ46" i="17"/>
  <c r="BP46" i="17"/>
  <c r="U46" i="17"/>
  <c r="V46" i="17" s="1"/>
  <c r="A46" i="17"/>
  <c r="DQ45" i="17"/>
  <c r="DP45" i="17"/>
  <c r="DO45" i="17"/>
  <c r="DN45" i="17"/>
  <c r="DM45" i="17"/>
  <c r="DL45" i="17"/>
  <c r="DK45" i="17"/>
  <c r="DJ45" i="17"/>
  <c r="DI45" i="17"/>
  <c r="DH45" i="17"/>
  <c r="DG45" i="17"/>
  <c r="DF45" i="17"/>
  <c r="DC45" i="17"/>
  <c r="DB45" i="17"/>
  <c r="DA45" i="17"/>
  <c r="CZ45" i="17"/>
  <c r="CY45" i="17"/>
  <c r="CX45" i="17"/>
  <c r="CW45" i="17"/>
  <c r="CV45" i="17"/>
  <c r="CU45" i="17"/>
  <c r="CT45" i="17"/>
  <c r="CS45" i="17"/>
  <c r="CR45" i="17"/>
  <c r="CO45" i="17"/>
  <c r="CN45" i="17"/>
  <c r="CM45" i="17"/>
  <c r="CL45" i="17"/>
  <c r="CK45" i="17"/>
  <c r="CJ45" i="17"/>
  <c r="CI45" i="17"/>
  <c r="CH45" i="17"/>
  <c r="CG45" i="17"/>
  <c r="CF45" i="17"/>
  <c r="CE45" i="17"/>
  <c r="CD45" i="17"/>
  <c r="CA45" i="17"/>
  <c r="BZ45" i="17"/>
  <c r="BY45" i="17"/>
  <c r="BX45" i="17"/>
  <c r="BW45" i="17"/>
  <c r="BV45" i="17"/>
  <c r="BU45" i="17"/>
  <c r="BT45" i="17"/>
  <c r="BS45" i="17"/>
  <c r="BR45" i="17"/>
  <c r="BQ45" i="17"/>
  <c r="BP45" i="17"/>
  <c r="U45" i="17"/>
  <c r="V45" i="17" s="1"/>
  <c r="A45" i="17"/>
  <c r="DQ44" i="17"/>
  <c r="DP44" i="17"/>
  <c r="DO44" i="17"/>
  <c r="DN44" i="17"/>
  <c r="DM44" i="17"/>
  <c r="DL44" i="17"/>
  <c r="DK44" i="17"/>
  <c r="DJ44" i="17"/>
  <c r="DI44" i="17"/>
  <c r="DH44" i="17"/>
  <c r="DG44" i="17"/>
  <c r="DF44" i="17"/>
  <c r="DC44" i="17"/>
  <c r="DB44" i="17"/>
  <c r="DA44" i="17"/>
  <c r="CZ44" i="17"/>
  <c r="CY44" i="17"/>
  <c r="CX44" i="17"/>
  <c r="CW44" i="17"/>
  <c r="CV44" i="17"/>
  <c r="CU44" i="17"/>
  <c r="CT44" i="17"/>
  <c r="CS44" i="17"/>
  <c r="CR44" i="17"/>
  <c r="CO44" i="17"/>
  <c r="CN44" i="17"/>
  <c r="CM44" i="17"/>
  <c r="CL44" i="17"/>
  <c r="CK44" i="17"/>
  <c r="CJ44" i="17"/>
  <c r="CI44" i="17"/>
  <c r="CH44" i="17"/>
  <c r="CG44" i="17"/>
  <c r="CF44" i="17"/>
  <c r="CE44" i="17"/>
  <c r="CD44" i="17"/>
  <c r="CA44" i="17"/>
  <c r="BZ44" i="17"/>
  <c r="BY44" i="17"/>
  <c r="BX44" i="17"/>
  <c r="BW44" i="17"/>
  <c r="BV44" i="17"/>
  <c r="BU44" i="17"/>
  <c r="BT44" i="17"/>
  <c r="BS44" i="17"/>
  <c r="BR44" i="17"/>
  <c r="BQ44" i="17"/>
  <c r="BP44" i="17"/>
  <c r="U44" i="17"/>
  <c r="V44" i="17" s="1"/>
  <c r="A44" i="17"/>
  <c r="DQ43" i="17"/>
  <c r="DP43" i="17"/>
  <c r="DO43" i="17"/>
  <c r="DN43" i="17"/>
  <c r="DM43" i="17"/>
  <c r="DL43" i="17"/>
  <c r="DK43" i="17"/>
  <c r="DJ43" i="17"/>
  <c r="DI43" i="17"/>
  <c r="DH43" i="17"/>
  <c r="DG43" i="17"/>
  <c r="DF43" i="17"/>
  <c r="DC43" i="17"/>
  <c r="DB43" i="17"/>
  <c r="DA43" i="17"/>
  <c r="CZ43" i="17"/>
  <c r="CY43" i="17"/>
  <c r="CX43" i="17"/>
  <c r="CW43" i="17"/>
  <c r="CV43" i="17"/>
  <c r="CU43" i="17"/>
  <c r="CT43" i="17"/>
  <c r="CS43" i="17"/>
  <c r="CR43" i="17"/>
  <c r="CO43" i="17"/>
  <c r="CN43" i="17"/>
  <c r="CM43" i="17"/>
  <c r="CL43" i="17"/>
  <c r="CK43" i="17"/>
  <c r="CJ43" i="17"/>
  <c r="CI43" i="17"/>
  <c r="CH43" i="17"/>
  <c r="CG43" i="17"/>
  <c r="CF43" i="17"/>
  <c r="CE43" i="17"/>
  <c r="CD43" i="17"/>
  <c r="CA43" i="17"/>
  <c r="BZ43" i="17"/>
  <c r="BY43" i="17"/>
  <c r="BX43" i="17"/>
  <c r="BW43" i="17"/>
  <c r="BV43" i="17"/>
  <c r="BU43" i="17"/>
  <c r="BT43" i="17"/>
  <c r="BS43" i="17"/>
  <c r="BR43" i="17"/>
  <c r="BQ43" i="17"/>
  <c r="BP43" i="17"/>
  <c r="U43" i="17"/>
  <c r="V43" i="17" s="1"/>
  <c r="A43" i="17"/>
  <c r="DQ42" i="17"/>
  <c r="DP42" i="17"/>
  <c r="DO42" i="17"/>
  <c r="DN42" i="17"/>
  <c r="DM42" i="17"/>
  <c r="DL42" i="17"/>
  <c r="DK42" i="17"/>
  <c r="DJ42" i="17"/>
  <c r="DI42" i="17"/>
  <c r="DH42" i="17"/>
  <c r="DG42" i="17"/>
  <c r="DF42" i="17"/>
  <c r="DC42" i="17"/>
  <c r="DB42" i="17"/>
  <c r="DA42" i="17"/>
  <c r="CZ42" i="17"/>
  <c r="CY42" i="17"/>
  <c r="CX42" i="17"/>
  <c r="CW42" i="17"/>
  <c r="CV42" i="17"/>
  <c r="CU42" i="17"/>
  <c r="CT42" i="17"/>
  <c r="CS42" i="17"/>
  <c r="CR42" i="17"/>
  <c r="CO42" i="17"/>
  <c r="CN42" i="17"/>
  <c r="CM42" i="17"/>
  <c r="CL42" i="17"/>
  <c r="CK42" i="17"/>
  <c r="CJ42" i="17"/>
  <c r="CI42" i="17"/>
  <c r="CH42" i="17"/>
  <c r="CG42" i="17"/>
  <c r="CF42" i="17"/>
  <c r="CE42" i="17"/>
  <c r="CD42" i="17"/>
  <c r="CA42" i="17"/>
  <c r="BZ42" i="17"/>
  <c r="BY42" i="17"/>
  <c r="BX42" i="17"/>
  <c r="BW42" i="17"/>
  <c r="BV42" i="17"/>
  <c r="BU42" i="17"/>
  <c r="BT42" i="17"/>
  <c r="BS42" i="17"/>
  <c r="BR42" i="17"/>
  <c r="BQ42" i="17"/>
  <c r="BP42" i="17"/>
  <c r="U42" i="17"/>
  <c r="V42" i="17" s="1"/>
  <c r="A42" i="17"/>
  <c r="DQ41" i="17"/>
  <c r="DP41" i="17"/>
  <c r="DO41" i="17"/>
  <c r="DN41" i="17"/>
  <c r="DM41" i="17"/>
  <c r="DL41" i="17"/>
  <c r="DK41" i="17"/>
  <c r="DJ41" i="17"/>
  <c r="DI41" i="17"/>
  <c r="DH41" i="17"/>
  <c r="DG41" i="17"/>
  <c r="DF41" i="17"/>
  <c r="DC41" i="17"/>
  <c r="DB41" i="17"/>
  <c r="DA41" i="17"/>
  <c r="CZ41" i="17"/>
  <c r="CY41" i="17"/>
  <c r="CX41" i="17"/>
  <c r="CW41" i="17"/>
  <c r="CV41" i="17"/>
  <c r="CU41" i="17"/>
  <c r="CT41" i="17"/>
  <c r="CS41" i="17"/>
  <c r="CR41" i="17"/>
  <c r="CO41" i="17"/>
  <c r="CN41" i="17"/>
  <c r="CM41" i="17"/>
  <c r="CL41" i="17"/>
  <c r="CK41" i="17"/>
  <c r="CJ41" i="17"/>
  <c r="CI41" i="17"/>
  <c r="CH41" i="17"/>
  <c r="CG41" i="17"/>
  <c r="CF41" i="17"/>
  <c r="CE41" i="17"/>
  <c r="CD41" i="17"/>
  <c r="CA41" i="17"/>
  <c r="BZ41" i="17"/>
  <c r="BY41" i="17"/>
  <c r="BX41" i="17"/>
  <c r="BW41" i="17"/>
  <c r="BV41" i="17"/>
  <c r="BU41" i="17"/>
  <c r="BT41" i="17"/>
  <c r="BS41" i="17"/>
  <c r="BR41" i="17"/>
  <c r="BQ41" i="17"/>
  <c r="BP41" i="17"/>
  <c r="U41" i="17"/>
  <c r="V41" i="17" s="1"/>
  <c r="A41" i="17"/>
  <c r="DQ40" i="17"/>
  <c r="DP40" i="17"/>
  <c r="DO40" i="17"/>
  <c r="DN40" i="17"/>
  <c r="DM40" i="17"/>
  <c r="DL40" i="17"/>
  <c r="DK40" i="17"/>
  <c r="DJ40" i="17"/>
  <c r="DI40" i="17"/>
  <c r="DH40" i="17"/>
  <c r="DG40" i="17"/>
  <c r="DF40" i="17"/>
  <c r="DC40" i="17"/>
  <c r="DB40" i="17"/>
  <c r="DA40" i="17"/>
  <c r="CZ40" i="17"/>
  <c r="CY40" i="17"/>
  <c r="CX40" i="17"/>
  <c r="CW40" i="17"/>
  <c r="CV40" i="17"/>
  <c r="CU40" i="17"/>
  <c r="CT40" i="17"/>
  <c r="CS40" i="17"/>
  <c r="CR40" i="17"/>
  <c r="CO40" i="17"/>
  <c r="CN40" i="17"/>
  <c r="CM40" i="17"/>
  <c r="CL40" i="17"/>
  <c r="CK40" i="17"/>
  <c r="CJ40" i="17"/>
  <c r="CI40" i="17"/>
  <c r="CH40" i="17"/>
  <c r="CG40" i="17"/>
  <c r="CF40" i="17"/>
  <c r="CE40" i="17"/>
  <c r="CD40" i="17"/>
  <c r="CA40" i="17"/>
  <c r="BZ40" i="17"/>
  <c r="BY40" i="17"/>
  <c r="BX40" i="17"/>
  <c r="BW40" i="17"/>
  <c r="BV40" i="17"/>
  <c r="BU40" i="17"/>
  <c r="BT40" i="17"/>
  <c r="BS40" i="17"/>
  <c r="BR40" i="17"/>
  <c r="BQ40" i="17"/>
  <c r="BP40" i="17"/>
  <c r="U40" i="17"/>
  <c r="V40" i="17" s="1"/>
  <c r="A40" i="17"/>
  <c r="DQ39" i="17"/>
  <c r="DP39" i="17"/>
  <c r="DO39" i="17"/>
  <c r="DN39" i="17"/>
  <c r="DM39" i="17"/>
  <c r="DL39" i="17"/>
  <c r="DK39" i="17"/>
  <c r="DJ39" i="17"/>
  <c r="DI39" i="17"/>
  <c r="DH39" i="17"/>
  <c r="DG39" i="17"/>
  <c r="DF39" i="17"/>
  <c r="DC39" i="17"/>
  <c r="DB39" i="17"/>
  <c r="DA39" i="17"/>
  <c r="CZ39" i="17"/>
  <c r="CY39" i="17"/>
  <c r="CX39" i="17"/>
  <c r="CW39" i="17"/>
  <c r="CV39" i="17"/>
  <c r="CU39" i="17"/>
  <c r="CT39" i="17"/>
  <c r="CS39" i="17"/>
  <c r="CR39" i="17"/>
  <c r="CO39" i="17"/>
  <c r="CN39" i="17"/>
  <c r="CM39" i="17"/>
  <c r="CL39" i="17"/>
  <c r="CK39" i="17"/>
  <c r="CJ39" i="17"/>
  <c r="CI39" i="17"/>
  <c r="CH39" i="17"/>
  <c r="CG39" i="17"/>
  <c r="CF39" i="17"/>
  <c r="CE39" i="17"/>
  <c r="CD39" i="17"/>
  <c r="CA39" i="17"/>
  <c r="BZ39" i="17"/>
  <c r="BY39" i="17"/>
  <c r="BX39" i="17"/>
  <c r="BW39" i="17"/>
  <c r="BV39" i="17"/>
  <c r="BU39" i="17"/>
  <c r="BT39" i="17"/>
  <c r="BS39" i="17"/>
  <c r="BR39" i="17"/>
  <c r="BQ39" i="17"/>
  <c r="BP39" i="17"/>
  <c r="U39" i="17"/>
  <c r="V39" i="17" s="1"/>
  <c r="A39" i="17"/>
  <c r="DQ38" i="17"/>
  <c r="DP38" i="17"/>
  <c r="DO38" i="17"/>
  <c r="DN38" i="17"/>
  <c r="DM38" i="17"/>
  <c r="DL38" i="17"/>
  <c r="DK38" i="17"/>
  <c r="DJ38" i="17"/>
  <c r="DI38" i="17"/>
  <c r="DH38" i="17"/>
  <c r="DG38" i="17"/>
  <c r="DF38" i="17"/>
  <c r="DC38" i="17"/>
  <c r="DB38" i="17"/>
  <c r="DA38" i="17"/>
  <c r="CZ38" i="17"/>
  <c r="CY38" i="17"/>
  <c r="CX38" i="17"/>
  <c r="CW38" i="17"/>
  <c r="CV38" i="17"/>
  <c r="CU38" i="17"/>
  <c r="CT38" i="17"/>
  <c r="CS38" i="17"/>
  <c r="CR38" i="17"/>
  <c r="CO38" i="17"/>
  <c r="CN38" i="17"/>
  <c r="CM38" i="17"/>
  <c r="CL38" i="17"/>
  <c r="CK38" i="17"/>
  <c r="CJ38" i="17"/>
  <c r="CI38" i="17"/>
  <c r="CH38" i="17"/>
  <c r="CG38" i="17"/>
  <c r="CF38" i="17"/>
  <c r="CE38" i="17"/>
  <c r="CD38" i="17"/>
  <c r="CA38" i="17"/>
  <c r="BZ38" i="17"/>
  <c r="BY38" i="17"/>
  <c r="BX38" i="17"/>
  <c r="BW38" i="17"/>
  <c r="BV38" i="17"/>
  <c r="BU38" i="17"/>
  <c r="BT38" i="17"/>
  <c r="BS38" i="17"/>
  <c r="BR38" i="17"/>
  <c r="BQ38" i="17"/>
  <c r="BP38" i="17"/>
  <c r="U38" i="17"/>
  <c r="V38" i="17" s="1"/>
  <c r="A38" i="17"/>
  <c r="DQ37" i="17"/>
  <c r="DP37" i="17"/>
  <c r="DO37" i="17"/>
  <c r="DN37" i="17"/>
  <c r="DM37" i="17"/>
  <c r="DL37" i="17"/>
  <c r="DK37" i="17"/>
  <c r="DJ37" i="17"/>
  <c r="DI37" i="17"/>
  <c r="DH37" i="17"/>
  <c r="DG37" i="17"/>
  <c r="DF37" i="17"/>
  <c r="DC37" i="17"/>
  <c r="DB37" i="17"/>
  <c r="DA37" i="17"/>
  <c r="CZ37" i="17"/>
  <c r="CY37" i="17"/>
  <c r="CX37" i="17"/>
  <c r="CW37" i="17"/>
  <c r="CV37" i="17"/>
  <c r="CU37" i="17"/>
  <c r="CT37" i="17"/>
  <c r="CS37" i="17"/>
  <c r="CR37" i="17"/>
  <c r="CO37" i="17"/>
  <c r="CN37" i="17"/>
  <c r="CM37" i="17"/>
  <c r="CL37" i="17"/>
  <c r="CK37" i="17"/>
  <c r="CJ37" i="17"/>
  <c r="CI37" i="17"/>
  <c r="CH37" i="17"/>
  <c r="CG37" i="17"/>
  <c r="CF37" i="17"/>
  <c r="CE37" i="17"/>
  <c r="CD37" i="17"/>
  <c r="CA37" i="17"/>
  <c r="BZ37" i="17"/>
  <c r="BY37" i="17"/>
  <c r="BX37" i="17"/>
  <c r="BW37" i="17"/>
  <c r="BV37" i="17"/>
  <c r="BU37" i="17"/>
  <c r="BT37" i="17"/>
  <c r="BS37" i="17"/>
  <c r="BR37" i="17"/>
  <c r="BQ37" i="17"/>
  <c r="BP37" i="17"/>
  <c r="U37" i="17"/>
  <c r="V37" i="17" s="1"/>
  <c r="A37" i="17"/>
  <c r="DQ36" i="17"/>
  <c r="DP36" i="17"/>
  <c r="DO36" i="17"/>
  <c r="DN36" i="17"/>
  <c r="DM36" i="17"/>
  <c r="DL36" i="17"/>
  <c r="DK36" i="17"/>
  <c r="DJ36" i="17"/>
  <c r="DI36" i="17"/>
  <c r="DH36" i="17"/>
  <c r="DG36" i="17"/>
  <c r="DF36" i="17"/>
  <c r="DC36" i="17"/>
  <c r="DB36" i="17"/>
  <c r="DA36" i="17"/>
  <c r="CZ36" i="17"/>
  <c r="CY36" i="17"/>
  <c r="CX36" i="17"/>
  <c r="CW36" i="17"/>
  <c r="CV36" i="17"/>
  <c r="CU36" i="17"/>
  <c r="CT36" i="17"/>
  <c r="CS36" i="17"/>
  <c r="CR36" i="17"/>
  <c r="CO36" i="17"/>
  <c r="CN36" i="17"/>
  <c r="CM36" i="17"/>
  <c r="CL36" i="17"/>
  <c r="CK36" i="17"/>
  <c r="CJ36" i="17"/>
  <c r="CI36" i="17"/>
  <c r="CH36" i="17"/>
  <c r="CG36" i="17"/>
  <c r="CF36" i="17"/>
  <c r="CE36" i="17"/>
  <c r="CD36" i="17"/>
  <c r="CA36" i="17"/>
  <c r="BZ36" i="17"/>
  <c r="BY36" i="17"/>
  <c r="BX36" i="17"/>
  <c r="BW36" i="17"/>
  <c r="BV36" i="17"/>
  <c r="BU36" i="17"/>
  <c r="BT36" i="17"/>
  <c r="BS36" i="17"/>
  <c r="BR36" i="17"/>
  <c r="BQ36" i="17"/>
  <c r="BP36" i="17"/>
  <c r="U36" i="17"/>
  <c r="V36" i="17" s="1"/>
  <c r="A36" i="17"/>
  <c r="DQ35" i="17"/>
  <c r="DP35" i="17"/>
  <c r="DO35" i="17"/>
  <c r="DN35" i="17"/>
  <c r="DM35" i="17"/>
  <c r="DL35" i="17"/>
  <c r="DK35" i="17"/>
  <c r="DJ35" i="17"/>
  <c r="DI35" i="17"/>
  <c r="DH35" i="17"/>
  <c r="DG35" i="17"/>
  <c r="DF35" i="17"/>
  <c r="DC35" i="17"/>
  <c r="DB35" i="17"/>
  <c r="DA35" i="17"/>
  <c r="CZ35" i="17"/>
  <c r="CY35" i="17"/>
  <c r="CX35" i="17"/>
  <c r="CW35" i="17"/>
  <c r="CV35" i="17"/>
  <c r="CU35" i="17"/>
  <c r="CT35" i="17"/>
  <c r="CS35" i="17"/>
  <c r="CR35" i="17"/>
  <c r="CO35" i="17"/>
  <c r="CN35" i="17"/>
  <c r="CM35" i="17"/>
  <c r="CL35" i="17"/>
  <c r="CK35" i="17"/>
  <c r="CJ35" i="17"/>
  <c r="CI35" i="17"/>
  <c r="CH35" i="17"/>
  <c r="CG35" i="17"/>
  <c r="CF35" i="17"/>
  <c r="CE35" i="17"/>
  <c r="CD35" i="17"/>
  <c r="CA35" i="17"/>
  <c r="BZ35" i="17"/>
  <c r="BY35" i="17"/>
  <c r="BX35" i="17"/>
  <c r="BW35" i="17"/>
  <c r="BV35" i="17"/>
  <c r="BU35" i="17"/>
  <c r="BT35" i="17"/>
  <c r="BS35" i="17"/>
  <c r="BR35" i="17"/>
  <c r="BQ35" i="17"/>
  <c r="BP35" i="17"/>
  <c r="U35" i="17"/>
  <c r="V35" i="17" s="1"/>
  <c r="A35" i="17"/>
  <c r="DQ34" i="17"/>
  <c r="DP34" i="17"/>
  <c r="DO34" i="17"/>
  <c r="DN34" i="17"/>
  <c r="DM34" i="17"/>
  <c r="DL34" i="17"/>
  <c r="DK34" i="17"/>
  <c r="DJ34" i="17"/>
  <c r="DI34" i="17"/>
  <c r="DH34" i="17"/>
  <c r="DG34" i="17"/>
  <c r="DF34" i="17"/>
  <c r="DC34" i="17"/>
  <c r="DB34" i="17"/>
  <c r="DA34" i="17"/>
  <c r="CZ34" i="17"/>
  <c r="CY34" i="17"/>
  <c r="CX34" i="17"/>
  <c r="CW34" i="17"/>
  <c r="CV34" i="17"/>
  <c r="CU34" i="17"/>
  <c r="CT34" i="17"/>
  <c r="CS34" i="17"/>
  <c r="CR34" i="17"/>
  <c r="CO34" i="17"/>
  <c r="CN34" i="17"/>
  <c r="CM34" i="17"/>
  <c r="CL34" i="17"/>
  <c r="CK34" i="17"/>
  <c r="CJ34" i="17"/>
  <c r="CI34" i="17"/>
  <c r="CH34" i="17"/>
  <c r="CG34" i="17"/>
  <c r="CF34" i="17"/>
  <c r="CE34" i="17"/>
  <c r="CD34" i="17"/>
  <c r="CA34" i="17"/>
  <c r="BZ34" i="17"/>
  <c r="BY34" i="17"/>
  <c r="BX34" i="17"/>
  <c r="BW34" i="17"/>
  <c r="BV34" i="17"/>
  <c r="BU34" i="17"/>
  <c r="BT34" i="17"/>
  <c r="BS34" i="17"/>
  <c r="BR34" i="17"/>
  <c r="BQ34" i="17"/>
  <c r="BP34" i="17"/>
  <c r="U34" i="17"/>
  <c r="V34" i="17" s="1"/>
  <c r="A34" i="17"/>
  <c r="DQ33" i="17"/>
  <c r="DP33" i="17"/>
  <c r="DO33" i="17"/>
  <c r="DN33" i="17"/>
  <c r="DM33" i="17"/>
  <c r="DL33" i="17"/>
  <c r="DK33" i="17"/>
  <c r="DJ33" i="17"/>
  <c r="DI33" i="17"/>
  <c r="DH33" i="17"/>
  <c r="DG33" i="17"/>
  <c r="DF33" i="17"/>
  <c r="DC33" i="17"/>
  <c r="DB33" i="17"/>
  <c r="DA33" i="17"/>
  <c r="CZ33" i="17"/>
  <c r="CY33" i="17"/>
  <c r="CX33" i="17"/>
  <c r="CW33" i="17"/>
  <c r="CV33" i="17"/>
  <c r="CU33" i="17"/>
  <c r="CT33" i="17"/>
  <c r="CS33" i="17"/>
  <c r="CR33" i="17"/>
  <c r="CO33" i="17"/>
  <c r="CN33" i="17"/>
  <c r="CM33" i="17"/>
  <c r="CL33" i="17"/>
  <c r="CK33" i="17"/>
  <c r="CJ33" i="17"/>
  <c r="CI33" i="17"/>
  <c r="CH33" i="17"/>
  <c r="CG33" i="17"/>
  <c r="CF33" i="17"/>
  <c r="CE33" i="17"/>
  <c r="CD33" i="17"/>
  <c r="CA33" i="17"/>
  <c r="BZ33" i="17"/>
  <c r="BY33" i="17"/>
  <c r="BX33" i="17"/>
  <c r="BW33" i="17"/>
  <c r="BV33" i="17"/>
  <c r="BU33" i="17"/>
  <c r="BT33" i="17"/>
  <c r="BS33" i="17"/>
  <c r="BR33" i="17"/>
  <c r="BQ33" i="17"/>
  <c r="BP33" i="17"/>
  <c r="U33" i="17"/>
  <c r="V33" i="17" s="1"/>
  <c r="A33" i="17"/>
  <c r="DQ32" i="17"/>
  <c r="DP32" i="17"/>
  <c r="DO32" i="17"/>
  <c r="DN32" i="17"/>
  <c r="DM32" i="17"/>
  <c r="DL32" i="17"/>
  <c r="DK32" i="17"/>
  <c r="DJ32" i="17"/>
  <c r="DI32" i="17"/>
  <c r="DH32" i="17"/>
  <c r="DG32" i="17"/>
  <c r="DF32" i="17"/>
  <c r="DC32" i="17"/>
  <c r="DB32" i="17"/>
  <c r="DA32" i="17"/>
  <c r="CZ32" i="17"/>
  <c r="CY32" i="17"/>
  <c r="CX32" i="17"/>
  <c r="CW32" i="17"/>
  <c r="CV32" i="17"/>
  <c r="CU32" i="17"/>
  <c r="CT32" i="17"/>
  <c r="CS32" i="17"/>
  <c r="CR32" i="17"/>
  <c r="CO32" i="17"/>
  <c r="CN32" i="17"/>
  <c r="CM32" i="17"/>
  <c r="CL32" i="17"/>
  <c r="CK32" i="17"/>
  <c r="CJ32" i="17"/>
  <c r="CI32" i="17"/>
  <c r="CH32" i="17"/>
  <c r="CG32" i="17"/>
  <c r="CF32" i="17"/>
  <c r="CE32" i="17"/>
  <c r="CD32" i="17"/>
  <c r="CA32" i="17"/>
  <c r="BZ32" i="17"/>
  <c r="BY32" i="17"/>
  <c r="BX32" i="17"/>
  <c r="BW32" i="17"/>
  <c r="BV32" i="17"/>
  <c r="BU32" i="17"/>
  <c r="BT32" i="17"/>
  <c r="BS32" i="17"/>
  <c r="BR32" i="17"/>
  <c r="BQ32" i="17"/>
  <c r="BP32" i="17"/>
  <c r="U32" i="17"/>
  <c r="V32" i="17" s="1"/>
  <c r="A32" i="17"/>
  <c r="DQ31" i="17"/>
  <c r="DP31" i="17"/>
  <c r="DO31" i="17"/>
  <c r="DN31" i="17"/>
  <c r="DM31" i="17"/>
  <c r="DL31" i="17"/>
  <c r="DK31" i="17"/>
  <c r="DJ31" i="17"/>
  <c r="DI31" i="17"/>
  <c r="DH31" i="17"/>
  <c r="DG31" i="17"/>
  <c r="DF31" i="17"/>
  <c r="DC31" i="17"/>
  <c r="DB31" i="17"/>
  <c r="DA31" i="17"/>
  <c r="CZ31" i="17"/>
  <c r="CY31" i="17"/>
  <c r="CX31" i="17"/>
  <c r="CW31" i="17"/>
  <c r="CV31" i="17"/>
  <c r="CU31" i="17"/>
  <c r="CT31" i="17"/>
  <c r="CS31" i="17"/>
  <c r="CR31" i="17"/>
  <c r="CO31" i="17"/>
  <c r="CN31" i="17"/>
  <c r="CM31" i="17"/>
  <c r="CL31" i="17"/>
  <c r="CK31" i="17"/>
  <c r="CJ31" i="17"/>
  <c r="CI31" i="17"/>
  <c r="CH31" i="17"/>
  <c r="CG31" i="17"/>
  <c r="CF31" i="17"/>
  <c r="CE31" i="17"/>
  <c r="CD31" i="17"/>
  <c r="CA31" i="17"/>
  <c r="BZ31" i="17"/>
  <c r="BY31" i="17"/>
  <c r="BX31" i="17"/>
  <c r="BW31" i="17"/>
  <c r="BV31" i="17"/>
  <c r="BU31" i="17"/>
  <c r="BT31" i="17"/>
  <c r="BS31" i="17"/>
  <c r="BR31" i="17"/>
  <c r="BQ31" i="17"/>
  <c r="BP31" i="17"/>
  <c r="U31" i="17"/>
  <c r="V31" i="17" s="1"/>
  <c r="A31" i="17"/>
  <c r="DQ30" i="17"/>
  <c r="DP30" i="17"/>
  <c r="DO30" i="17"/>
  <c r="DN30" i="17"/>
  <c r="DM30" i="17"/>
  <c r="DL30" i="17"/>
  <c r="DK30" i="17"/>
  <c r="DJ30" i="17"/>
  <c r="DI30" i="17"/>
  <c r="DH30" i="17"/>
  <c r="DG30" i="17"/>
  <c r="DF30" i="17"/>
  <c r="DC30" i="17"/>
  <c r="DB30" i="17"/>
  <c r="DA30" i="17"/>
  <c r="CZ30" i="17"/>
  <c r="CY30" i="17"/>
  <c r="CX30" i="17"/>
  <c r="CW30" i="17"/>
  <c r="CV30" i="17"/>
  <c r="CU30" i="17"/>
  <c r="CT30" i="17"/>
  <c r="CS30" i="17"/>
  <c r="CR30" i="17"/>
  <c r="CO30" i="17"/>
  <c r="CN30" i="17"/>
  <c r="CM30" i="17"/>
  <c r="CL30" i="17"/>
  <c r="CK30" i="17"/>
  <c r="CJ30" i="17"/>
  <c r="CI30" i="17"/>
  <c r="CH30" i="17"/>
  <c r="CG30" i="17"/>
  <c r="CF30" i="17"/>
  <c r="CE30" i="17"/>
  <c r="CD30" i="17"/>
  <c r="CA30" i="17"/>
  <c r="BZ30" i="17"/>
  <c r="BY30" i="17"/>
  <c r="BX30" i="17"/>
  <c r="BW30" i="17"/>
  <c r="BV30" i="17"/>
  <c r="BU30" i="17"/>
  <c r="BT30" i="17"/>
  <c r="BS30" i="17"/>
  <c r="BR30" i="17"/>
  <c r="BQ30" i="17"/>
  <c r="BP30" i="17"/>
  <c r="U30" i="17"/>
  <c r="V30" i="17" s="1"/>
  <c r="A30" i="17"/>
  <c r="DQ29" i="17"/>
  <c r="DP29" i="17"/>
  <c r="DO29" i="17"/>
  <c r="DN29" i="17"/>
  <c r="DM29" i="17"/>
  <c r="DL29" i="17"/>
  <c r="DK29" i="17"/>
  <c r="DJ29" i="17"/>
  <c r="DI29" i="17"/>
  <c r="DH29" i="17"/>
  <c r="DG29" i="17"/>
  <c r="DF29" i="17"/>
  <c r="DC29" i="17"/>
  <c r="DB29" i="17"/>
  <c r="DA29" i="17"/>
  <c r="CZ29" i="17"/>
  <c r="CY29" i="17"/>
  <c r="CX29" i="17"/>
  <c r="CW29" i="17"/>
  <c r="CV29" i="17"/>
  <c r="CU29" i="17"/>
  <c r="CT29" i="17"/>
  <c r="CS29" i="17"/>
  <c r="CR29" i="17"/>
  <c r="CO29" i="17"/>
  <c r="CN29" i="17"/>
  <c r="CM29" i="17"/>
  <c r="CL29" i="17"/>
  <c r="CK29" i="17"/>
  <c r="CJ29" i="17"/>
  <c r="CI29" i="17"/>
  <c r="CH29" i="17"/>
  <c r="CG29" i="17"/>
  <c r="CF29" i="17"/>
  <c r="CE29" i="17"/>
  <c r="CD29" i="17"/>
  <c r="CA29" i="17"/>
  <c r="BZ29" i="17"/>
  <c r="BY29" i="17"/>
  <c r="BX29" i="17"/>
  <c r="BW29" i="17"/>
  <c r="BV29" i="17"/>
  <c r="BU29" i="17"/>
  <c r="BT29" i="17"/>
  <c r="BS29" i="17"/>
  <c r="BR29" i="17"/>
  <c r="BQ29" i="17"/>
  <c r="BP29" i="17"/>
  <c r="U29" i="17"/>
  <c r="V29" i="17" s="1"/>
  <c r="A29" i="17"/>
  <c r="DQ28" i="17"/>
  <c r="DP28" i="17"/>
  <c r="DO28" i="17"/>
  <c r="DN28" i="17"/>
  <c r="DM28" i="17"/>
  <c r="DL28" i="17"/>
  <c r="DK28" i="17"/>
  <c r="DJ28" i="17"/>
  <c r="DI28" i="17"/>
  <c r="DH28" i="17"/>
  <c r="DG28" i="17"/>
  <c r="DF28" i="17"/>
  <c r="DC28" i="17"/>
  <c r="DB28" i="17"/>
  <c r="DA28" i="17"/>
  <c r="CZ28" i="17"/>
  <c r="CY28" i="17"/>
  <c r="CX28" i="17"/>
  <c r="CW28" i="17"/>
  <c r="CV28" i="17"/>
  <c r="CU28" i="17"/>
  <c r="CT28" i="17"/>
  <c r="CS28" i="17"/>
  <c r="CR28" i="17"/>
  <c r="CO28" i="17"/>
  <c r="CN28" i="17"/>
  <c r="CM28" i="17"/>
  <c r="CL28" i="17"/>
  <c r="CK28" i="17"/>
  <c r="CJ28" i="17"/>
  <c r="CI28" i="17"/>
  <c r="CH28" i="17"/>
  <c r="CG28" i="17"/>
  <c r="CF28" i="17"/>
  <c r="CE28" i="17"/>
  <c r="CD28" i="17"/>
  <c r="CA28" i="17"/>
  <c r="BZ28" i="17"/>
  <c r="BY28" i="17"/>
  <c r="BX28" i="17"/>
  <c r="BW28" i="17"/>
  <c r="BV28" i="17"/>
  <c r="BU28" i="17"/>
  <c r="BT28" i="17"/>
  <c r="BS28" i="17"/>
  <c r="BR28" i="17"/>
  <c r="BQ28" i="17"/>
  <c r="BP28" i="17"/>
  <c r="U28" i="17"/>
  <c r="V28" i="17" s="1"/>
  <c r="A28" i="17"/>
  <c r="DQ27" i="17"/>
  <c r="DP27" i="17"/>
  <c r="DO27" i="17"/>
  <c r="DN27" i="17"/>
  <c r="DM27" i="17"/>
  <c r="DL27" i="17"/>
  <c r="DK27" i="17"/>
  <c r="DJ27" i="17"/>
  <c r="DI27" i="17"/>
  <c r="DH27" i="17"/>
  <c r="DG27" i="17"/>
  <c r="DF27" i="17"/>
  <c r="DC27" i="17"/>
  <c r="DB27" i="17"/>
  <c r="DA27" i="17"/>
  <c r="CZ27" i="17"/>
  <c r="CY27" i="17"/>
  <c r="CX27" i="17"/>
  <c r="CW27" i="17"/>
  <c r="CV27" i="17"/>
  <c r="CU27" i="17"/>
  <c r="CT27" i="17"/>
  <c r="CS27" i="17"/>
  <c r="CR27" i="17"/>
  <c r="CO27" i="17"/>
  <c r="CN27" i="17"/>
  <c r="CM27" i="17"/>
  <c r="CL27" i="17"/>
  <c r="CK27" i="17"/>
  <c r="CJ27" i="17"/>
  <c r="CI27" i="17"/>
  <c r="CH27" i="17"/>
  <c r="CG27" i="17"/>
  <c r="CF27" i="17"/>
  <c r="CE27" i="17"/>
  <c r="CD27" i="17"/>
  <c r="CA27" i="17"/>
  <c r="BZ27" i="17"/>
  <c r="BY27" i="17"/>
  <c r="BX27" i="17"/>
  <c r="BW27" i="17"/>
  <c r="BV27" i="17"/>
  <c r="BU27" i="17"/>
  <c r="BT27" i="17"/>
  <c r="BS27" i="17"/>
  <c r="BR27" i="17"/>
  <c r="BQ27" i="17"/>
  <c r="BP27" i="17"/>
  <c r="U27" i="17"/>
  <c r="V27" i="17" s="1"/>
  <c r="A27" i="17"/>
  <c r="DQ26" i="17"/>
  <c r="DP26" i="17"/>
  <c r="DO26" i="17"/>
  <c r="DN26" i="17"/>
  <c r="DM26" i="17"/>
  <c r="DL26" i="17"/>
  <c r="DK26" i="17"/>
  <c r="DJ26" i="17"/>
  <c r="DI26" i="17"/>
  <c r="DH26" i="17"/>
  <c r="DG26" i="17"/>
  <c r="DF26" i="17"/>
  <c r="DC26" i="17"/>
  <c r="DB26" i="17"/>
  <c r="DA26" i="17"/>
  <c r="CZ26" i="17"/>
  <c r="CY26" i="17"/>
  <c r="CX26" i="17"/>
  <c r="CW26" i="17"/>
  <c r="CV26" i="17"/>
  <c r="CU26" i="17"/>
  <c r="CT26" i="17"/>
  <c r="CS26" i="17"/>
  <c r="CR26" i="17"/>
  <c r="CO26" i="17"/>
  <c r="CN26" i="17"/>
  <c r="CM26" i="17"/>
  <c r="CL26" i="17"/>
  <c r="CK26" i="17"/>
  <c r="CJ26" i="17"/>
  <c r="CI26" i="17"/>
  <c r="CH26" i="17"/>
  <c r="CG26" i="17"/>
  <c r="CF26" i="17"/>
  <c r="CE26" i="17"/>
  <c r="CD26" i="17"/>
  <c r="CA26" i="17"/>
  <c r="BZ26" i="17"/>
  <c r="BY26" i="17"/>
  <c r="BX26" i="17"/>
  <c r="BW26" i="17"/>
  <c r="BV26" i="17"/>
  <c r="BU26" i="17"/>
  <c r="BT26" i="17"/>
  <c r="BS26" i="17"/>
  <c r="BR26" i="17"/>
  <c r="BQ26" i="17"/>
  <c r="BP26" i="17"/>
  <c r="U26" i="17"/>
  <c r="V26" i="17" s="1"/>
  <c r="A26" i="17"/>
  <c r="DQ25" i="17"/>
  <c r="DP25" i="17"/>
  <c r="DO25" i="17"/>
  <c r="DN25" i="17"/>
  <c r="DM25" i="17"/>
  <c r="DL25" i="17"/>
  <c r="DK25" i="17"/>
  <c r="DJ25" i="17"/>
  <c r="DI25" i="17"/>
  <c r="DH25" i="17"/>
  <c r="DG25" i="17"/>
  <c r="DF25" i="17"/>
  <c r="DC25" i="17"/>
  <c r="DB25" i="17"/>
  <c r="DA25" i="17"/>
  <c r="CZ25" i="17"/>
  <c r="CY25" i="17"/>
  <c r="CX25" i="17"/>
  <c r="CW25" i="17"/>
  <c r="CV25" i="17"/>
  <c r="CU25" i="17"/>
  <c r="CT25" i="17"/>
  <c r="CS25" i="17"/>
  <c r="CR25" i="17"/>
  <c r="CO25" i="17"/>
  <c r="CN25" i="17"/>
  <c r="CM25" i="17"/>
  <c r="CL25" i="17"/>
  <c r="CK25" i="17"/>
  <c r="CJ25" i="17"/>
  <c r="CI25" i="17"/>
  <c r="CH25" i="17"/>
  <c r="CG25" i="17"/>
  <c r="CF25" i="17"/>
  <c r="CE25" i="17"/>
  <c r="CD25" i="17"/>
  <c r="CA25" i="17"/>
  <c r="BZ25" i="17"/>
  <c r="BY25" i="17"/>
  <c r="BX25" i="17"/>
  <c r="BW25" i="17"/>
  <c r="BV25" i="17"/>
  <c r="BU25" i="17"/>
  <c r="BT25" i="17"/>
  <c r="BS25" i="17"/>
  <c r="BR25" i="17"/>
  <c r="BQ25" i="17"/>
  <c r="BP25" i="17"/>
  <c r="U25" i="17"/>
  <c r="V25" i="17" s="1"/>
  <c r="A25" i="17"/>
  <c r="DQ24" i="17"/>
  <c r="DP24" i="17"/>
  <c r="DO24" i="17"/>
  <c r="DN24" i="17"/>
  <c r="DM24" i="17"/>
  <c r="DL24" i="17"/>
  <c r="DK24" i="17"/>
  <c r="DJ24" i="17"/>
  <c r="DI24" i="17"/>
  <c r="DH24" i="17"/>
  <c r="DG24" i="17"/>
  <c r="DF24" i="17"/>
  <c r="DC24" i="17"/>
  <c r="DB24" i="17"/>
  <c r="DA24" i="17"/>
  <c r="CZ24" i="17"/>
  <c r="CY24" i="17"/>
  <c r="CX24" i="17"/>
  <c r="CW24" i="17"/>
  <c r="CV24" i="17"/>
  <c r="CU24" i="17"/>
  <c r="CT24" i="17"/>
  <c r="CS24" i="17"/>
  <c r="CR24" i="17"/>
  <c r="CO24" i="17"/>
  <c r="CN24" i="17"/>
  <c r="CM24" i="17"/>
  <c r="CL24" i="17"/>
  <c r="CK24" i="17"/>
  <c r="CJ24" i="17"/>
  <c r="CI24" i="17"/>
  <c r="CH24" i="17"/>
  <c r="CG24" i="17"/>
  <c r="CF24" i="17"/>
  <c r="CE24" i="17"/>
  <c r="CD24" i="17"/>
  <c r="CA24" i="17"/>
  <c r="BZ24" i="17"/>
  <c r="BY24" i="17"/>
  <c r="BX24" i="17"/>
  <c r="BW24" i="17"/>
  <c r="BV24" i="17"/>
  <c r="BU24" i="17"/>
  <c r="BT24" i="17"/>
  <c r="BS24" i="17"/>
  <c r="BR24" i="17"/>
  <c r="BQ24" i="17"/>
  <c r="BP24" i="17"/>
  <c r="U24" i="17"/>
  <c r="V24" i="17" s="1"/>
  <c r="A24" i="17"/>
  <c r="DQ23" i="17"/>
  <c r="DP23" i="17"/>
  <c r="DO23" i="17"/>
  <c r="DN23" i="17"/>
  <c r="DM23" i="17"/>
  <c r="DL23" i="17"/>
  <c r="DK23" i="17"/>
  <c r="DJ23" i="17"/>
  <c r="DI23" i="17"/>
  <c r="DH23" i="17"/>
  <c r="DG23" i="17"/>
  <c r="DF23" i="17"/>
  <c r="DC23" i="17"/>
  <c r="DB23" i="17"/>
  <c r="DA23" i="17"/>
  <c r="CZ23" i="17"/>
  <c r="CY23" i="17"/>
  <c r="CX23" i="17"/>
  <c r="CW23" i="17"/>
  <c r="CV23" i="17"/>
  <c r="CU23" i="17"/>
  <c r="CT23" i="17"/>
  <c r="CS23" i="17"/>
  <c r="CR23" i="17"/>
  <c r="CO23" i="17"/>
  <c r="CN23" i="17"/>
  <c r="CM23" i="17"/>
  <c r="CL23" i="17"/>
  <c r="CK23" i="17"/>
  <c r="CJ23" i="17"/>
  <c r="CI23" i="17"/>
  <c r="CH23" i="17"/>
  <c r="CG23" i="17"/>
  <c r="CF23" i="17"/>
  <c r="CE23" i="17"/>
  <c r="CD23" i="17"/>
  <c r="CA23" i="17"/>
  <c r="BZ23" i="17"/>
  <c r="BY23" i="17"/>
  <c r="BX23" i="17"/>
  <c r="BW23" i="17"/>
  <c r="BV23" i="17"/>
  <c r="BU23" i="17"/>
  <c r="BT23" i="17"/>
  <c r="BS23" i="17"/>
  <c r="BR23" i="17"/>
  <c r="BQ23" i="17"/>
  <c r="BP23" i="17"/>
  <c r="BE23" i="17"/>
  <c r="BI23" i="17" s="1"/>
  <c r="U23" i="17"/>
  <c r="V23" i="17" s="1"/>
  <c r="A23" i="17"/>
  <c r="DC22" i="17"/>
  <c r="DB22" i="17"/>
  <c r="DA22" i="17"/>
  <c r="CZ22" i="17"/>
  <c r="CY22" i="17"/>
  <c r="CX22" i="17"/>
  <c r="CW22" i="17"/>
  <c r="CV22" i="17"/>
  <c r="CU22" i="17"/>
  <c r="CT22" i="17"/>
  <c r="CS22" i="17"/>
  <c r="CR22" i="17"/>
  <c r="CA22" i="17"/>
  <c r="BZ22" i="17"/>
  <c r="BY22" i="17"/>
  <c r="BX22" i="17"/>
  <c r="BW22" i="17"/>
  <c r="BV22" i="17"/>
  <c r="BU22" i="17"/>
  <c r="BT22" i="17"/>
  <c r="BS22" i="17"/>
  <c r="BR22" i="17"/>
  <c r="BQ22" i="17"/>
  <c r="BP22" i="17"/>
  <c r="BE22" i="17"/>
  <c r="BI22" i="17" s="1"/>
  <c r="CK22" i="17" s="1"/>
  <c r="U22" i="17"/>
  <c r="V22" i="17" s="1"/>
  <c r="A22" i="17"/>
  <c r="DQ21" i="17"/>
  <c r="DP21" i="17"/>
  <c r="DO21" i="17"/>
  <c r="DN21" i="17"/>
  <c r="DM21" i="17"/>
  <c r="DL21" i="17"/>
  <c r="DK21" i="17"/>
  <c r="DJ21" i="17"/>
  <c r="DI21" i="17"/>
  <c r="DH21" i="17"/>
  <c r="DG21" i="17"/>
  <c r="DF21" i="17"/>
  <c r="DC21" i="17"/>
  <c r="DB21" i="17"/>
  <c r="DA21" i="17"/>
  <c r="CZ21" i="17"/>
  <c r="CY21" i="17"/>
  <c r="CX21" i="17"/>
  <c r="CW21" i="17"/>
  <c r="CV21" i="17"/>
  <c r="CU21" i="17"/>
  <c r="CT21" i="17"/>
  <c r="CS21" i="17"/>
  <c r="CR21" i="17"/>
  <c r="CO21" i="17"/>
  <c r="CN21" i="17"/>
  <c r="CM21" i="17"/>
  <c r="CL21" i="17"/>
  <c r="CK21" i="17"/>
  <c r="CJ21" i="17"/>
  <c r="CI21" i="17"/>
  <c r="CH21" i="17"/>
  <c r="CG21" i="17"/>
  <c r="CF21" i="17"/>
  <c r="CE21" i="17"/>
  <c r="CD21" i="17"/>
  <c r="CA21" i="17"/>
  <c r="BZ21" i="17"/>
  <c r="BY21" i="17"/>
  <c r="BX21" i="17"/>
  <c r="BW21" i="17"/>
  <c r="BV21" i="17"/>
  <c r="BU21" i="17"/>
  <c r="BT21" i="17"/>
  <c r="BS21" i="17"/>
  <c r="BR21" i="17"/>
  <c r="BQ21" i="17"/>
  <c r="BP21" i="17"/>
  <c r="BE21" i="17"/>
  <c r="BJ21" i="17" s="1"/>
  <c r="U21" i="17"/>
  <c r="V21" i="17" s="1"/>
  <c r="A21" i="17"/>
  <c r="DQ20" i="17"/>
  <c r="DP20" i="17"/>
  <c r="DO20" i="17"/>
  <c r="DN20" i="17"/>
  <c r="DM20" i="17"/>
  <c r="DL20" i="17"/>
  <c r="DK20" i="17"/>
  <c r="DJ20" i="17"/>
  <c r="DI20" i="17"/>
  <c r="DH20" i="17"/>
  <c r="DG20" i="17"/>
  <c r="DF20" i="17"/>
  <c r="DC20" i="17"/>
  <c r="DB20" i="17"/>
  <c r="DA20" i="17"/>
  <c r="CZ20" i="17"/>
  <c r="CY20" i="17"/>
  <c r="CX20" i="17"/>
  <c r="CW20" i="17"/>
  <c r="CV20" i="17"/>
  <c r="CU20" i="17"/>
  <c r="CT20" i="17"/>
  <c r="CS20" i="17"/>
  <c r="CR20" i="17"/>
  <c r="CO20" i="17"/>
  <c r="CN20" i="17"/>
  <c r="CM20" i="17"/>
  <c r="CL20" i="17"/>
  <c r="CK20" i="17"/>
  <c r="CJ20" i="17"/>
  <c r="CI20" i="17"/>
  <c r="CH20" i="17"/>
  <c r="CG20" i="17"/>
  <c r="CF20" i="17"/>
  <c r="CE20" i="17"/>
  <c r="CD20" i="17"/>
  <c r="CA20" i="17"/>
  <c r="BZ20" i="17"/>
  <c r="BY20" i="17"/>
  <c r="BX20" i="17"/>
  <c r="BW20" i="17"/>
  <c r="BV20" i="17"/>
  <c r="BU20" i="17"/>
  <c r="BT20" i="17"/>
  <c r="BS20" i="17"/>
  <c r="BR20" i="17"/>
  <c r="BQ20" i="17"/>
  <c r="BP20" i="17"/>
  <c r="BE20" i="17"/>
  <c r="BI20" i="17" s="1"/>
  <c r="U20" i="17"/>
  <c r="V20" i="17" s="1"/>
  <c r="A20" i="17"/>
  <c r="DQ19" i="17"/>
  <c r="DP19" i="17"/>
  <c r="DO19" i="17"/>
  <c r="DN19" i="17"/>
  <c r="DM19" i="17"/>
  <c r="DL19" i="17"/>
  <c r="DK19" i="17"/>
  <c r="DJ19" i="17"/>
  <c r="DI19" i="17"/>
  <c r="DH19" i="17"/>
  <c r="DG19" i="17"/>
  <c r="DF19" i="17"/>
  <c r="DC19" i="17"/>
  <c r="DB19" i="17"/>
  <c r="DA19" i="17"/>
  <c r="CZ19" i="17"/>
  <c r="CY19" i="17"/>
  <c r="CX19" i="17"/>
  <c r="CW19" i="17"/>
  <c r="CV19" i="17"/>
  <c r="CU19" i="17"/>
  <c r="CT19" i="17"/>
  <c r="CS19" i="17"/>
  <c r="CR19" i="17"/>
  <c r="CO19" i="17"/>
  <c r="CN19" i="17"/>
  <c r="CM19" i="17"/>
  <c r="CL19" i="17"/>
  <c r="CK19" i="17"/>
  <c r="CJ19" i="17"/>
  <c r="CI19" i="17"/>
  <c r="CH19" i="17"/>
  <c r="CG19" i="17"/>
  <c r="CF19" i="17"/>
  <c r="CE19" i="17"/>
  <c r="CD19" i="17"/>
  <c r="CA19" i="17"/>
  <c r="BZ19" i="17"/>
  <c r="BY19" i="17"/>
  <c r="BX19" i="17"/>
  <c r="BW19" i="17"/>
  <c r="BV19" i="17"/>
  <c r="BU19" i="17"/>
  <c r="BT19" i="17"/>
  <c r="BS19" i="17"/>
  <c r="BR19" i="17"/>
  <c r="BQ19" i="17"/>
  <c r="BP19" i="17"/>
  <c r="BE19" i="17"/>
  <c r="BJ19" i="17" s="1"/>
  <c r="U19" i="17"/>
  <c r="V19" i="17" s="1"/>
  <c r="A19" i="17"/>
  <c r="DK18" i="17"/>
  <c r="DJ18" i="17"/>
  <c r="DI18" i="17"/>
  <c r="DH18" i="17"/>
  <c r="DG18" i="17"/>
  <c r="DF18" i="17"/>
  <c r="DC18" i="17"/>
  <c r="DB18" i="17"/>
  <c r="DA18" i="17"/>
  <c r="CZ18" i="17"/>
  <c r="CY18" i="17"/>
  <c r="CX18" i="17"/>
  <c r="CW18" i="17"/>
  <c r="CV18" i="17"/>
  <c r="CU18" i="17"/>
  <c r="CT18" i="17"/>
  <c r="CS18" i="17"/>
  <c r="CR18" i="17"/>
  <c r="CI18" i="17"/>
  <c r="CH18" i="17"/>
  <c r="CG18" i="17"/>
  <c r="CF18" i="17"/>
  <c r="CE18" i="17"/>
  <c r="CD18" i="17"/>
  <c r="CA18" i="17"/>
  <c r="BZ18" i="17"/>
  <c r="BY18" i="17"/>
  <c r="BX18" i="17"/>
  <c r="BW18" i="17"/>
  <c r="BV18" i="17"/>
  <c r="BU18" i="17"/>
  <c r="BT18" i="17"/>
  <c r="BS18" i="17"/>
  <c r="BR18" i="17"/>
  <c r="BQ18" i="17"/>
  <c r="BP18" i="17"/>
  <c r="BE18" i="17"/>
  <c r="BJ18" i="17" s="1"/>
  <c r="DQ18" i="17" s="1"/>
  <c r="U18" i="17"/>
  <c r="V18" i="17" s="1"/>
  <c r="A18" i="17"/>
  <c r="BK17" i="17"/>
  <c r="BL17" i="17" s="1"/>
  <c r="BN17" i="17" s="1"/>
  <c r="BE17" i="17"/>
  <c r="BJ17" i="17" s="1"/>
  <c r="U17" i="17"/>
  <c r="V17" i="17" s="1"/>
  <c r="A17" i="17"/>
  <c r="BK16" i="17"/>
  <c r="BL16" i="17" s="1"/>
  <c r="BN16" i="17" s="1"/>
  <c r="BE16" i="17"/>
  <c r="BI16" i="17" s="1"/>
  <c r="U16" i="17"/>
  <c r="V16" i="17" s="1"/>
  <c r="A16" i="17"/>
  <c r="BK15" i="17"/>
  <c r="BL15" i="17" s="1"/>
  <c r="BN15" i="17" s="1"/>
  <c r="BE15" i="17"/>
  <c r="BI15" i="17" s="1"/>
  <c r="U15" i="17"/>
  <c r="V15" i="17" s="1"/>
  <c r="A15" i="17"/>
  <c r="BK14" i="17"/>
  <c r="BL14" i="17" s="1"/>
  <c r="BN14" i="17" s="1"/>
  <c r="BE14" i="17"/>
  <c r="BI14" i="17" s="1"/>
  <c r="U14" i="17"/>
  <c r="V14" i="17" s="1"/>
  <c r="A14" i="17"/>
  <c r="BK13" i="17"/>
  <c r="BM13" i="17" s="1"/>
  <c r="BE13" i="17"/>
  <c r="BJ13" i="17" s="1"/>
  <c r="U13" i="17"/>
  <c r="V13" i="17" s="1"/>
  <c r="A13" i="17"/>
  <c r="BK12" i="17"/>
  <c r="BM12" i="17" s="1"/>
  <c r="BE12" i="17"/>
  <c r="BJ12" i="17" s="1"/>
  <c r="U12" i="17"/>
  <c r="V12" i="17" s="1"/>
  <c r="A12" i="17"/>
  <c r="BK11" i="17"/>
  <c r="BL11" i="17" s="1"/>
  <c r="BN11" i="17" s="1"/>
  <c r="BE11" i="17"/>
  <c r="BJ11" i="17" s="1"/>
  <c r="U11" i="17"/>
  <c r="V11" i="17" s="1"/>
  <c r="A11" i="17"/>
  <c r="BK10" i="17"/>
  <c r="BL10" i="17" s="1"/>
  <c r="BN10" i="17" s="1"/>
  <c r="BE10" i="17"/>
  <c r="BJ10" i="17" s="1"/>
  <c r="U10" i="17"/>
  <c r="V10" i="17" s="1"/>
  <c r="A10" i="17"/>
  <c r="BK9" i="17"/>
  <c r="BM9" i="17" s="1"/>
  <c r="BE9" i="17"/>
  <c r="BJ9" i="17" s="1"/>
  <c r="U9" i="17"/>
  <c r="V9" i="17" s="1"/>
  <c r="A9" i="17"/>
  <c r="BK8" i="17"/>
  <c r="BL8" i="17" s="1"/>
  <c r="BN8" i="17" s="1"/>
  <c r="BE8" i="17"/>
  <c r="BI8" i="17" s="1"/>
  <c r="U8" i="17"/>
  <c r="V8" i="17" s="1"/>
  <c r="A8" i="17"/>
  <c r="BK7" i="17"/>
  <c r="BM7" i="17" s="1"/>
  <c r="BE7" i="17"/>
  <c r="BJ7" i="17" s="1"/>
  <c r="U7" i="17"/>
  <c r="V7" i="17" s="1"/>
  <c r="A7" i="17"/>
  <c r="BK6" i="17"/>
  <c r="BL6" i="17" s="1"/>
  <c r="BN6" i="17" s="1"/>
  <c r="BE6" i="17"/>
  <c r="BJ6" i="17" s="1"/>
  <c r="U6" i="17"/>
  <c r="V6" i="17" s="1"/>
  <c r="A6" i="17"/>
  <c r="BK5" i="17"/>
  <c r="BL5" i="17" s="1"/>
  <c r="BN5" i="17" s="1"/>
  <c r="BE5" i="17"/>
  <c r="BJ5" i="17" s="1"/>
  <c r="U5" i="17"/>
  <c r="V5" i="17" s="1"/>
  <c r="A5" i="17"/>
  <c r="BK4" i="17"/>
  <c r="BL4" i="17" s="1"/>
  <c r="BN4" i="17" s="1"/>
  <c r="BE4" i="17"/>
  <c r="BI4" i="17" s="1"/>
  <c r="U4" i="17"/>
  <c r="V4" i="17" s="1"/>
  <c r="C4" i="17"/>
  <c r="C5" i="17" s="1"/>
  <c r="C6" i="17" s="1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A4" i="17"/>
  <c r="BK3" i="17"/>
  <c r="BL3" i="17" s="1"/>
  <c r="BN3" i="17" s="1"/>
  <c r="BE3" i="17"/>
  <c r="BJ3" i="17" s="1"/>
  <c r="U3" i="17"/>
  <c r="V3" i="17" s="1"/>
  <c r="A3" i="17"/>
  <c r="G26" i="16"/>
  <c r="G25" i="16"/>
  <c r="G29" i="16"/>
  <c r="G24" i="16"/>
  <c r="G23" i="16"/>
  <c r="G22" i="16"/>
  <c r="G21" i="16"/>
  <c r="G20" i="16"/>
  <c r="G19" i="16"/>
  <c r="G18" i="16"/>
  <c r="G17" i="16"/>
  <c r="G16" i="16"/>
  <c r="G15" i="16"/>
  <c r="G14" i="16"/>
  <c r="G13" i="16"/>
  <c r="G12" i="16"/>
  <c r="G28" i="16"/>
  <c r="G11" i="16"/>
  <c r="G10" i="16"/>
  <c r="G9" i="16"/>
  <c r="G8" i="16"/>
  <c r="G27" i="16"/>
  <c r="I7" i="16"/>
  <c r="I4" i="16" s="1"/>
  <c r="S4" i="16"/>
  <c r="R4" i="16"/>
  <c r="Q4" i="16"/>
  <c r="P4" i="16"/>
  <c r="O4" i="16"/>
  <c r="N4" i="16"/>
  <c r="M4" i="16"/>
  <c r="L4" i="16"/>
  <c r="K4" i="16"/>
  <c r="J4" i="16"/>
  <c r="H4" i="16"/>
  <c r="E3" i="9"/>
  <c r="E4" i="9"/>
  <c r="E5" i="9"/>
  <c r="E6" i="9"/>
  <c r="E7" i="9"/>
  <c r="BM15" i="11"/>
  <c r="BO15" i="11" s="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13" i="2"/>
  <c r="A52" i="2"/>
  <c r="A35" i="2"/>
  <c r="A29" i="2"/>
  <c r="A83" i="2"/>
  <c r="A39" i="2"/>
  <c r="A22" i="2"/>
  <c r="A10" i="2"/>
  <c r="A37" i="2"/>
  <c r="A56" i="2"/>
  <c r="A42" i="2"/>
  <c r="A43" i="2"/>
  <c r="A7" i="2"/>
  <c r="A69" i="2"/>
  <c r="A45" i="2"/>
  <c r="A74" i="2"/>
  <c r="A46" i="2"/>
  <c r="A51" i="2"/>
  <c r="A44" i="2"/>
  <c r="A24" i="2"/>
  <c r="AM37" i="2"/>
  <c r="AM38" i="2"/>
  <c r="AM40" i="2"/>
  <c r="BM17" i="11"/>
  <c r="BO17" i="11" s="1"/>
  <c r="BG18" i="11"/>
  <c r="BL18" i="11" s="1"/>
  <c r="BG19" i="11"/>
  <c r="BK19" i="11" s="1"/>
  <c r="BG20" i="11"/>
  <c r="BL20" i="11" s="1"/>
  <c r="BG21" i="11"/>
  <c r="BL21" i="11" s="1"/>
  <c r="BG22" i="11"/>
  <c r="BL22" i="11" s="1"/>
  <c r="BG23" i="11"/>
  <c r="BL23" i="11" s="1"/>
  <c r="BG24" i="11"/>
  <c r="BG25" i="11"/>
  <c r="BL25" i="11" s="1"/>
  <c r="BG17" i="11"/>
  <c r="BM16" i="11"/>
  <c r="BN16" i="11" s="1"/>
  <c r="BP16" i="11" s="1"/>
  <c r="BG16" i="11"/>
  <c r="BM3" i="11"/>
  <c r="BN3" i="11" s="1"/>
  <c r="BP3" i="11" s="1"/>
  <c r="C4" i="11"/>
  <c r="C5" i="11" s="1"/>
  <c r="C6" i="11" s="1"/>
  <c r="C7" i="11" s="1"/>
  <c r="C8" i="11" s="1"/>
  <c r="C9" i="11" s="1"/>
  <c r="C10" i="11" s="1"/>
  <c r="C11" i="11" s="1"/>
  <c r="C12" i="11" s="1"/>
  <c r="C13" i="11" s="1"/>
  <c r="C14" i="11" s="1"/>
  <c r="C15" i="11" s="1"/>
  <c r="C16" i="11" s="1"/>
  <c r="C17" i="11" s="1"/>
  <c r="C18" i="11" s="1"/>
  <c r="C19" i="11" s="1"/>
  <c r="C20" i="11" s="1"/>
  <c r="C21" i="11" s="1"/>
  <c r="C22" i="11" s="1"/>
  <c r="C23" i="11" s="1"/>
  <c r="W19" i="11"/>
  <c r="X19" i="11" s="1"/>
  <c r="W20" i="11"/>
  <c r="X20" i="11" s="1"/>
  <c r="W21" i="11"/>
  <c r="X21" i="11" s="1"/>
  <c r="W22" i="11"/>
  <c r="X22" i="11" s="1"/>
  <c r="W23" i="11"/>
  <c r="X23" i="11" s="1"/>
  <c r="W24" i="11"/>
  <c r="X24" i="11" s="1"/>
  <c r="W25" i="11"/>
  <c r="X25" i="11" s="1"/>
  <c r="W26" i="11"/>
  <c r="X26" i="11" s="1"/>
  <c r="W27" i="11"/>
  <c r="X27" i="11" s="1"/>
  <c r="W28" i="11"/>
  <c r="X28" i="11" s="1"/>
  <c r="W29" i="11"/>
  <c r="X29" i="11" s="1"/>
  <c r="W30" i="11"/>
  <c r="X30" i="11" s="1"/>
  <c r="W31" i="11"/>
  <c r="X31" i="11" s="1"/>
  <c r="W32" i="11"/>
  <c r="X32" i="11" s="1"/>
  <c r="W33" i="11"/>
  <c r="X33" i="11" s="1"/>
  <c r="W34" i="11"/>
  <c r="X34" i="11" s="1"/>
  <c r="W35" i="11"/>
  <c r="X35" i="11" s="1"/>
  <c r="W36" i="11"/>
  <c r="X36" i="11" s="1"/>
  <c r="W37" i="11"/>
  <c r="X37" i="11" s="1"/>
  <c r="W38" i="11"/>
  <c r="X38" i="11" s="1"/>
  <c r="W39" i="11"/>
  <c r="X39" i="11" s="1"/>
  <c r="W40" i="11"/>
  <c r="X40" i="11" s="1"/>
  <c r="W41" i="11"/>
  <c r="X41" i="11" s="1"/>
  <c r="W42" i="11"/>
  <c r="X42" i="11" s="1"/>
  <c r="W43" i="11"/>
  <c r="X43" i="11" s="1"/>
  <c r="W44" i="11"/>
  <c r="X44" i="11" s="1"/>
  <c r="W45" i="11"/>
  <c r="X45" i="11" s="1"/>
  <c r="W46" i="11"/>
  <c r="X46" i="11" s="1"/>
  <c r="W47" i="11"/>
  <c r="X47" i="11" s="1"/>
  <c r="W48" i="11"/>
  <c r="X48" i="11" s="1"/>
  <c r="W49" i="11"/>
  <c r="X49" i="11" s="1"/>
  <c r="W50" i="11"/>
  <c r="X50" i="11" s="1"/>
  <c r="W4" i="11"/>
  <c r="X4" i="11" s="1"/>
  <c r="W5" i="11"/>
  <c r="X5" i="11" s="1"/>
  <c r="W6" i="11"/>
  <c r="X6" i="11" s="1"/>
  <c r="W7" i="11"/>
  <c r="X7" i="11" s="1"/>
  <c r="W8" i="11"/>
  <c r="X8" i="11" s="1"/>
  <c r="W9" i="11"/>
  <c r="X9" i="11" s="1"/>
  <c r="W10" i="11"/>
  <c r="X10" i="11" s="1"/>
  <c r="W11" i="11"/>
  <c r="X11" i="11" s="1"/>
  <c r="W12" i="11"/>
  <c r="X12" i="11" s="1"/>
  <c r="W13" i="11"/>
  <c r="X13" i="11" s="1"/>
  <c r="W14" i="11"/>
  <c r="X14" i="11" s="1"/>
  <c r="W15" i="11"/>
  <c r="X15" i="11" s="1"/>
  <c r="W16" i="11"/>
  <c r="X16" i="11" s="1"/>
  <c r="W17" i="11"/>
  <c r="X17" i="11" s="1"/>
  <c r="W18" i="11"/>
  <c r="X18" i="11" s="1"/>
  <c r="W3" i="11"/>
  <c r="X3" i="11" s="1"/>
  <c r="DE50" i="11"/>
  <c r="DD50" i="11"/>
  <c r="DC50" i="11"/>
  <c r="DB50" i="11"/>
  <c r="DA50" i="11"/>
  <c r="CZ50" i="11"/>
  <c r="CY50" i="11"/>
  <c r="CX50" i="11"/>
  <c r="CW50" i="11"/>
  <c r="CV50" i="11"/>
  <c r="CU50" i="11"/>
  <c r="CT50" i="11"/>
  <c r="DE49" i="11"/>
  <c r="DD49" i="11"/>
  <c r="DC49" i="11"/>
  <c r="DB49" i="11"/>
  <c r="DA49" i="11"/>
  <c r="CZ49" i="11"/>
  <c r="CY49" i="11"/>
  <c r="CX49" i="11"/>
  <c r="CW49" i="11"/>
  <c r="CV49" i="11"/>
  <c r="CU49" i="11"/>
  <c r="CT49" i="11"/>
  <c r="DE48" i="11"/>
  <c r="DD48" i="11"/>
  <c r="DC48" i="11"/>
  <c r="DB48" i="11"/>
  <c r="DA48" i="11"/>
  <c r="CZ48" i="11"/>
  <c r="CY48" i="11"/>
  <c r="CX48" i="11"/>
  <c r="CW48" i="11"/>
  <c r="CV48" i="11"/>
  <c r="CU48" i="11"/>
  <c r="CT48" i="11"/>
  <c r="DE47" i="11"/>
  <c r="DD47" i="11"/>
  <c r="DC47" i="11"/>
  <c r="DB47" i="11"/>
  <c r="DA47" i="11"/>
  <c r="CZ47" i="11"/>
  <c r="CY47" i="11"/>
  <c r="CX47" i="11"/>
  <c r="CW47" i="11"/>
  <c r="CV47" i="11"/>
  <c r="CU47" i="11"/>
  <c r="CT47" i="11"/>
  <c r="DE46" i="11"/>
  <c r="DD46" i="11"/>
  <c r="DC46" i="11"/>
  <c r="DB46" i="11"/>
  <c r="DA46" i="11"/>
  <c r="CZ46" i="11"/>
  <c r="CY46" i="11"/>
  <c r="CX46" i="11"/>
  <c r="CW46" i="11"/>
  <c r="CV46" i="11"/>
  <c r="CU46" i="11"/>
  <c r="CT46" i="11"/>
  <c r="DE45" i="11"/>
  <c r="DD45" i="11"/>
  <c r="DC45" i="11"/>
  <c r="DB45" i="11"/>
  <c r="DA45" i="11"/>
  <c r="CZ45" i="11"/>
  <c r="CY45" i="11"/>
  <c r="CX45" i="11"/>
  <c r="CW45" i="11"/>
  <c r="CV45" i="11"/>
  <c r="CU45" i="11"/>
  <c r="CT45" i="11"/>
  <c r="DE44" i="11"/>
  <c r="DD44" i="11"/>
  <c r="DC44" i="11"/>
  <c r="DB44" i="11"/>
  <c r="DA44" i="11"/>
  <c r="CZ44" i="11"/>
  <c r="CY44" i="11"/>
  <c r="CX44" i="11"/>
  <c r="CW44" i="11"/>
  <c r="CV44" i="11"/>
  <c r="CU44" i="11"/>
  <c r="CT44" i="11"/>
  <c r="DE43" i="11"/>
  <c r="DD43" i="11"/>
  <c r="DC43" i="11"/>
  <c r="DB43" i="11"/>
  <c r="DA43" i="11"/>
  <c r="CZ43" i="11"/>
  <c r="CY43" i="11"/>
  <c r="CX43" i="11"/>
  <c r="CW43" i="11"/>
  <c r="CV43" i="11"/>
  <c r="CU43" i="11"/>
  <c r="CT43" i="11"/>
  <c r="DE42" i="11"/>
  <c r="DD42" i="11"/>
  <c r="DC42" i="11"/>
  <c r="DB42" i="11"/>
  <c r="DA42" i="11"/>
  <c r="CZ42" i="11"/>
  <c r="CY42" i="11"/>
  <c r="CX42" i="11"/>
  <c r="CW42" i="11"/>
  <c r="CV42" i="11"/>
  <c r="CU42" i="11"/>
  <c r="CT42" i="11"/>
  <c r="DE41" i="11"/>
  <c r="DD41" i="11"/>
  <c r="DC41" i="11"/>
  <c r="DB41" i="11"/>
  <c r="DA41" i="11"/>
  <c r="CZ41" i="11"/>
  <c r="CY41" i="11"/>
  <c r="CX41" i="11"/>
  <c r="CW41" i="11"/>
  <c r="CV41" i="11"/>
  <c r="CU41" i="11"/>
  <c r="CT41" i="11"/>
  <c r="DE40" i="11"/>
  <c r="DD40" i="11"/>
  <c r="DC40" i="11"/>
  <c r="DB40" i="11"/>
  <c r="DA40" i="11"/>
  <c r="CZ40" i="11"/>
  <c r="CY40" i="11"/>
  <c r="CX40" i="11"/>
  <c r="CW40" i="11"/>
  <c r="CV40" i="11"/>
  <c r="CU40" i="11"/>
  <c r="CT40" i="11"/>
  <c r="DE39" i="11"/>
  <c r="DD39" i="11"/>
  <c r="DC39" i="11"/>
  <c r="DB39" i="11"/>
  <c r="DA39" i="11"/>
  <c r="CZ39" i="11"/>
  <c r="CY39" i="11"/>
  <c r="CX39" i="11"/>
  <c r="CW39" i="11"/>
  <c r="CV39" i="11"/>
  <c r="CU39" i="11"/>
  <c r="CT39" i="11"/>
  <c r="DE38" i="11"/>
  <c r="DD38" i="11"/>
  <c r="DC38" i="11"/>
  <c r="DB38" i="11"/>
  <c r="DA38" i="11"/>
  <c r="CZ38" i="11"/>
  <c r="CY38" i="11"/>
  <c r="CX38" i="11"/>
  <c r="CW38" i="11"/>
  <c r="CV38" i="11"/>
  <c r="CU38" i="11"/>
  <c r="CT38" i="11"/>
  <c r="DE37" i="11"/>
  <c r="DD37" i="11"/>
  <c r="DC37" i="11"/>
  <c r="DB37" i="11"/>
  <c r="DA37" i="11"/>
  <c r="CZ37" i="11"/>
  <c r="CY37" i="11"/>
  <c r="CX37" i="11"/>
  <c r="CW37" i="11"/>
  <c r="CV37" i="11"/>
  <c r="CU37" i="11"/>
  <c r="CT37" i="11"/>
  <c r="DE36" i="11"/>
  <c r="DD36" i="11"/>
  <c r="DC36" i="11"/>
  <c r="DB36" i="11"/>
  <c r="DA36" i="11"/>
  <c r="CZ36" i="11"/>
  <c r="CY36" i="11"/>
  <c r="CX36" i="11"/>
  <c r="CW36" i="11"/>
  <c r="CV36" i="11"/>
  <c r="CU36" i="11"/>
  <c r="CT36" i="11"/>
  <c r="DE35" i="11"/>
  <c r="DD35" i="11"/>
  <c r="DC35" i="11"/>
  <c r="DB35" i="11"/>
  <c r="DA35" i="11"/>
  <c r="CZ35" i="11"/>
  <c r="CY35" i="11"/>
  <c r="CX35" i="11"/>
  <c r="CW35" i="11"/>
  <c r="CV35" i="11"/>
  <c r="CU35" i="11"/>
  <c r="CT35" i="11"/>
  <c r="DE34" i="11"/>
  <c r="DD34" i="11"/>
  <c r="DC34" i="11"/>
  <c r="DB34" i="11"/>
  <c r="DA34" i="11"/>
  <c r="CZ34" i="11"/>
  <c r="CY34" i="11"/>
  <c r="CX34" i="11"/>
  <c r="CW34" i="11"/>
  <c r="CV34" i="11"/>
  <c r="CU34" i="11"/>
  <c r="CT34" i="11"/>
  <c r="DE33" i="11"/>
  <c r="DD33" i="11"/>
  <c r="DC33" i="11"/>
  <c r="DB33" i="11"/>
  <c r="DA33" i="11"/>
  <c r="CZ33" i="11"/>
  <c r="CY33" i="11"/>
  <c r="CX33" i="11"/>
  <c r="CW33" i="11"/>
  <c r="CV33" i="11"/>
  <c r="CU33" i="11"/>
  <c r="CT33" i="11"/>
  <c r="DE32" i="11"/>
  <c r="DD32" i="11"/>
  <c r="DC32" i="11"/>
  <c r="DB32" i="11"/>
  <c r="DA32" i="11"/>
  <c r="CZ32" i="11"/>
  <c r="CY32" i="11"/>
  <c r="CX32" i="11"/>
  <c r="CW32" i="11"/>
  <c r="CV32" i="11"/>
  <c r="CU32" i="11"/>
  <c r="CT32" i="11"/>
  <c r="DE31" i="11"/>
  <c r="DD31" i="11"/>
  <c r="DC31" i="11"/>
  <c r="DB31" i="11"/>
  <c r="DA31" i="11"/>
  <c r="CZ31" i="11"/>
  <c r="CY31" i="11"/>
  <c r="CX31" i="11"/>
  <c r="CW31" i="11"/>
  <c r="CV31" i="11"/>
  <c r="CU31" i="11"/>
  <c r="CT31" i="11"/>
  <c r="DE30" i="11"/>
  <c r="DD30" i="11"/>
  <c r="DC30" i="11"/>
  <c r="DB30" i="11"/>
  <c r="DA30" i="11"/>
  <c r="CZ30" i="11"/>
  <c r="CY30" i="11"/>
  <c r="CX30" i="11"/>
  <c r="CW30" i="11"/>
  <c r="CV30" i="11"/>
  <c r="CU30" i="11"/>
  <c r="CT30" i="11"/>
  <c r="DE29" i="11"/>
  <c r="DD29" i="11"/>
  <c r="DC29" i="11"/>
  <c r="DB29" i="11"/>
  <c r="DA29" i="11"/>
  <c r="CZ29" i="11"/>
  <c r="CY29" i="11"/>
  <c r="CX29" i="11"/>
  <c r="CW29" i="11"/>
  <c r="CV29" i="11"/>
  <c r="CU29" i="11"/>
  <c r="CT29" i="11"/>
  <c r="DE28" i="11"/>
  <c r="DD28" i="11"/>
  <c r="DC28" i="11"/>
  <c r="DB28" i="11"/>
  <c r="DA28" i="11"/>
  <c r="CZ28" i="11"/>
  <c r="CY28" i="11"/>
  <c r="CX28" i="11"/>
  <c r="CW28" i="11"/>
  <c r="CV28" i="11"/>
  <c r="CU28" i="11"/>
  <c r="CT28" i="11"/>
  <c r="DE27" i="11"/>
  <c r="DD27" i="11"/>
  <c r="DC27" i="11"/>
  <c r="DB27" i="11"/>
  <c r="DA27" i="11"/>
  <c r="CZ27" i="11"/>
  <c r="CY27" i="11"/>
  <c r="CX27" i="11"/>
  <c r="CW27" i="11"/>
  <c r="CV27" i="11"/>
  <c r="CU27" i="11"/>
  <c r="CT27" i="11"/>
  <c r="DE26" i="11"/>
  <c r="DD26" i="11"/>
  <c r="DC26" i="11"/>
  <c r="DB26" i="11"/>
  <c r="DA26" i="11"/>
  <c r="CZ26" i="11"/>
  <c r="CY26" i="11"/>
  <c r="CX26" i="11"/>
  <c r="CW26" i="11"/>
  <c r="CV26" i="11"/>
  <c r="CU26" i="11"/>
  <c r="CT26" i="11"/>
  <c r="DE25" i="11"/>
  <c r="DD25" i="11"/>
  <c r="DC25" i="11"/>
  <c r="DB25" i="11"/>
  <c r="DA25" i="11"/>
  <c r="CZ25" i="11"/>
  <c r="CY25" i="11"/>
  <c r="CX25" i="11"/>
  <c r="CW25" i="11"/>
  <c r="CV25" i="11"/>
  <c r="CU25" i="11"/>
  <c r="CT25" i="11"/>
  <c r="DE24" i="11"/>
  <c r="DD24" i="11"/>
  <c r="DC24" i="11"/>
  <c r="DB24" i="11"/>
  <c r="DA24" i="11"/>
  <c r="CZ24" i="11"/>
  <c r="CY24" i="11"/>
  <c r="CX24" i="11"/>
  <c r="CW24" i="11"/>
  <c r="CV24" i="11"/>
  <c r="CU24" i="11"/>
  <c r="CT24" i="11"/>
  <c r="DE23" i="11"/>
  <c r="DD23" i="11"/>
  <c r="DC23" i="11"/>
  <c r="DB23" i="11"/>
  <c r="DA23" i="11"/>
  <c r="CZ23" i="11"/>
  <c r="CY23" i="11"/>
  <c r="CX23" i="11"/>
  <c r="CW23" i="11"/>
  <c r="CV23" i="11"/>
  <c r="CU23" i="11"/>
  <c r="CT23" i="11"/>
  <c r="DE22" i="11"/>
  <c r="DD22" i="11"/>
  <c r="DC22" i="11"/>
  <c r="DB22" i="11"/>
  <c r="DA22" i="11"/>
  <c r="CZ22" i="11"/>
  <c r="CY22" i="11"/>
  <c r="CX22" i="11"/>
  <c r="CW22" i="11"/>
  <c r="CV22" i="11"/>
  <c r="CU22" i="11"/>
  <c r="CT22" i="11"/>
  <c r="DE21" i="11"/>
  <c r="DD21" i="11"/>
  <c r="DC21" i="11"/>
  <c r="DB21" i="11"/>
  <c r="DA21" i="11"/>
  <c r="CZ21" i="11"/>
  <c r="CY21" i="11"/>
  <c r="CX21" i="11"/>
  <c r="CW21" i="11"/>
  <c r="CV21" i="11"/>
  <c r="CU21" i="11"/>
  <c r="CT21" i="11"/>
  <c r="DE20" i="11"/>
  <c r="DD20" i="11"/>
  <c r="DC20" i="11"/>
  <c r="DB20" i="11"/>
  <c r="DA20" i="11"/>
  <c r="CZ20" i="11"/>
  <c r="CY20" i="11"/>
  <c r="CX20" i="11"/>
  <c r="CW20" i="11"/>
  <c r="CV20" i="11"/>
  <c r="CU20" i="11"/>
  <c r="CT20" i="11"/>
  <c r="DE19" i="11"/>
  <c r="DD19" i="11"/>
  <c r="DC19" i="11"/>
  <c r="DB19" i="11"/>
  <c r="DA19" i="11"/>
  <c r="CZ19" i="11"/>
  <c r="CY19" i="11"/>
  <c r="CX19" i="11"/>
  <c r="CW19" i="11"/>
  <c r="CV19" i="11"/>
  <c r="CU19" i="11"/>
  <c r="CT19" i="11"/>
  <c r="DE18" i="11"/>
  <c r="DD18" i="11"/>
  <c r="DC18" i="11"/>
  <c r="DB18" i="11"/>
  <c r="DA18" i="11"/>
  <c r="CZ18" i="11"/>
  <c r="CY18" i="11"/>
  <c r="CX18" i="11"/>
  <c r="CW18" i="11"/>
  <c r="CV18" i="11"/>
  <c r="CU18" i="11"/>
  <c r="CT18" i="11"/>
  <c r="CQ50" i="11"/>
  <c r="CP50" i="11"/>
  <c r="CO50" i="11"/>
  <c r="CN50" i="11"/>
  <c r="CM50" i="11"/>
  <c r="CL50" i="11"/>
  <c r="CK50" i="11"/>
  <c r="CJ50" i="11"/>
  <c r="CI50" i="11"/>
  <c r="CH50" i="11"/>
  <c r="CG50" i="11"/>
  <c r="CF50" i="11"/>
  <c r="CQ49" i="11"/>
  <c r="CP49" i="11"/>
  <c r="CO49" i="11"/>
  <c r="CN49" i="11"/>
  <c r="CM49" i="11"/>
  <c r="CL49" i="11"/>
  <c r="CK49" i="11"/>
  <c r="CJ49" i="11"/>
  <c r="CI49" i="11"/>
  <c r="CH49" i="11"/>
  <c r="CG49" i="11"/>
  <c r="CF49" i="11"/>
  <c r="CQ48" i="11"/>
  <c r="CP48" i="11"/>
  <c r="CO48" i="11"/>
  <c r="CN48" i="11"/>
  <c r="CM48" i="11"/>
  <c r="CL48" i="11"/>
  <c r="CK48" i="11"/>
  <c r="CJ48" i="11"/>
  <c r="CI48" i="11"/>
  <c r="CH48" i="11"/>
  <c r="CG48" i="11"/>
  <c r="CF48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Q46" i="11"/>
  <c r="CP46" i="11"/>
  <c r="CO46" i="11"/>
  <c r="CN46" i="11"/>
  <c r="CM46" i="11"/>
  <c r="CL46" i="11"/>
  <c r="CK46" i="11"/>
  <c r="CJ46" i="11"/>
  <c r="CI46" i="11"/>
  <c r="CH46" i="11"/>
  <c r="CG46" i="11"/>
  <c r="CF46" i="11"/>
  <c r="CQ45" i="11"/>
  <c r="CP45" i="11"/>
  <c r="CO45" i="11"/>
  <c r="CN45" i="11"/>
  <c r="CM45" i="11"/>
  <c r="CL45" i="11"/>
  <c r="CK45" i="11"/>
  <c r="CJ45" i="11"/>
  <c r="CI45" i="11"/>
  <c r="CH45" i="11"/>
  <c r="CG45" i="11"/>
  <c r="CF45" i="11"/>
  <c r="CQ44" i="11"/>
  <c r="CP44" i="11"/>
  <c r="CO44" i="11"/>
  <c r="CN44" i="11"/>
  <c r="CM44" i="11"/>
  <c r="CL44" i="11"/>
  <c r="CK44" i="11"/>
  <c r="CJ44" i="11"/>
  <c r="CI44" i="11"/>
  <c r="CH44" i="11"/>
  <c r="CG44" i="11"/>
  <c r="CF44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Q42" i="11"/>
  <c r="CP42" i="11"/>
  <c r="CO42" i="11"/>
  <c r="CN42" i="11"/>
  <c r="CM42" i="11"/>
  <c r="CL42" i="11"/>
  <c r="CK42" i="11"/>
  <c r="CJ42" i="11"/>
  <c r="CI42" i="11"/>
  <c r="CH42" i="11"/>
  <c r="CG42" i="11"/>
  <c r="CF42" i="11"/>
  <c r="CQ41" i="11"/>
  <c r="CP41" i="11"/>
  <c r="CO41" i="11"/>
  <c r="CN41" i="11"/>
  <c r="CM41" i="11"/>
  <c r="CL41" i="11"/>
  <c r="CK41" i="11"/>
  <c r="CJ41" i="11"/>
  <c r="CI41" i="11"/>
  <c r="CH41" i="11"/>
  <c r="CG41" i="11"/>
  <c r="CF41" i="11"/>
  <c r="CQ40" i="11"/>
  <c r="CP40" i="11"/>
  <c r="CO40" i="11"/>
  <c r="CN40" i="11"/>
  <c r="CM40" i="11"/>
  <c r="CL40" i="11"/>
  <c r="CK40" i="11"/>
  <c r="CJ40" i="11"/>
  <c r="CI40" i="11"/>
  <c r="CH40" i="11"/>
  <c r="CG40" i="11"/>
  <c r="CF40" i="11"/>
  <c r="CQ39" i="11"/>
  <c r="CP39" i="11"/>
  <c r="CO39" i="11"/>
  <c r="CN39" i="11"/>
  <c r="CM39" i="11"/>
  <c r="CL39" i="11"/>
  <c r="CK39" i="11"/>
  <c r="CJ39" i="11"/>
  <c r="CI39" i="11"/>
  <c r="CH39" i="11"/>
  <c r="CG39" i="11"/>
  <c r="CF39" i="11"/>
  <c r="CQ38" i="11"/>
  <c r="CP38" i="11"/>
  <c r="CO38" i="11"/>
  <c r="CN38" i="11"/>
  <c r="CM38" i="11"/>
  <c r="CL38" i="11"/>
  <c r="CK38" i="11"/>
  <c r="CJ38" i="11"/>
  <c r="CI38" i="11"/>
  <c r="CH38" i="11"/>
  <c r="CG38" i="11"/>
  <c r="CF38" i="11"/>
  <c r="CQ37" i="11"/>
  <c r="CP37" i="11"/>
  <c r="CO37" i="11"/>
  <c r="CN37" i="11"/>
  <c r="CM37" i="11"/>
  <c r="CL37" i="11"/>
  <c r="CK37" i="11"/>
  <c r="CJ37" i="11"/>
  <c r="CI37" i="11"/>
  <c r="CH37" i="11"/>
  <c r="CG37" i="11"/>
  <c r="CF37" i="11"/>
  <c r="CQ36" i="11"/>
  <c r="CP36" i="11"/>
  <c r="CO36" i="11"/>
  <c r="CN36" i="11"/>
  <c r="CM36" i="11"/>
  <c r="CL36" i="11"/>
  <c r="CK36" i="11"/>
  <c r="CJ36" i="11"/>
  <c r="CI36" i="11"/>
  <c r="CH36" i="11"/>
  <c r="CG36" i="11"/>
  <c r="CF36" i="11"/>
  <c r="CQ35" i="11"/>
  <c r="CP35" i="11"/>
  <c r="CO35" i="11"/>
  <c r="CN35" i="11"/>
  <c r="CM35" i="11"/>
  <c r="CL35" i="11"/>
  <c r="CK35" i="11"/>
  <c r="CJ35" i="11"/>
  <c r="CI35" i="11"/>
  <c r="CH35" i="11"/>
  <c r="CG35" i="11"/>
  <c r="CF35" i="11"/>
  <c r="CQ34" i="11"/>
  <c r="CP34" i="11"/>
  <c r="CO34" i="11"/>
  <c r="CN34" i="11"/>
  <c r="CM34" i="11"/>
  <c r="CL34" i="11"/>
  <c r="CK34" i="11"/>
  <c r="CJ34" i="11"/>
  <c r="CI34" i="11"/>
  <c r="CH34" i="11"/>
  <c r="CG34" i="11"/>
  <c r="CF34" i="11"/>
  <c r="CQ33" i="11"/>
  <c r="CP33" i="11"/>
  <c r="CO33" i="11"/>
  <c r="CN33" i="11"/>
  <c r="CM33" i="11"/>
  <c r="CL33" i="11"/>
  <c r="CK33" i="11"/>
  <c r="CJ33" i="11"/>
  <c r="CI33" i="11"/>
  <c r="CH33" i="11"/>
  <c r="CG33" i="11"/>
  <c r="CF33" i="11"/>
  <c r="CQ32" i="11"/>
  <c r="CP32" i="11"/>
  <c r="CO32" i="11"/>
  <c r="CN32" i="11"/>
  <c r="CM32" i="11"/>
  <c r="CL32" i="11"/>
  <c r="CK32" i="11"/>
  <c r="CJ32" i="11"/>
  <c r="CI32" i="11"/>
  <c r="CH32" i="11"/>
  <c r="CG32" i="11"/>
  <c r="CF32" i="11"/>
  <c r="CQ31" i="11"/>
  <c r="CP31" i="11"/>
  <c r="CO31" i="11"/>
  <c r="CN31" i="11"/>
  <c r="CM31" i="11"/>
  <c r="CL31" i="11"/>
  <c r="CK31" i="11"/>
  <c r="CJ31" i="11"/>
  <c r="CI31" i="11"/>
  <c r="CH31" i="11"/>
  <c r="CG31" i="11"/>
  <c r="CF31" i="11"/>
  <c r="CQ30" i="11"/>
  <c r="CP30" i="11"/>
  <c r="CO30" i="11"/>
  <c r="CN30" i="11"/>
  <c r="CM30" i="11"/>
  <c r="CL30" i="11"/>
  <c r="CK30" i="11"/>
  <c r="CJ30" i="11"/>
  <c r="CI30" i="11"/>
  <c r="CH30" i="11"/>
  <c r="CG30" i="11"/>
  <c r="CF30" i="11"/>
  <c r="CQ29" i="11"/>
  <c r="CP29" i="11"/>
  <c r="CO29" i="11"/>
  <c r="CN29" i="11"/>
  <c r="CM29" i="11"/>
  <c r="CL29" i="11"/>
  <c r="CK29" i="11"/>
  <c r="CJ29" i="11"/>
  <c r="CI29" i="11"/>
  <c r="CH29" i="11"/>
  <c r="CG29" i="11"/>
  <c r="CF29" i="11"/>
  <c r="CQ28" i="11"/>
  <c r="CP28" i="11"/>
  <c r="CO28" i="11"/>
  <c r="CN28" i="11"/>
  <c r="CM28" i="11"/>
  <c r="CL28" i="11"/>
  <c r="CK28" i="11"/>
  <c r="CJ28" i="11"/>
  <c r="CI28" i="11"/>
  <c r="CH28" i="11"/>
  <c r="CG28" i="11"/>
  <c r="CF28" i="11"/>
  <c r="CQ27" i="11"/>
  <c r="CP27" i="11"/>
  <c r="CO27" i="11"/>
  <c r="CN27" i="11"/>
  <c r="CM27" i="11"/>
  <c r="CL27" i="11"/>
  <c r="CK27" i="11"/>
  <c r="CJ27" i="11"/>
  <c r="CI27" i="11"/>
  <c r="CH27" i="11"/>
  <c r="CG27" i="11"/>
  <c r="CF27" i="11"/>
  <c r="CQ26" i="11"/>
  <c r="CP26" i="11"/>
  <c r="CO26" i="11"/>
  <c r="CN26" i="11"/>
  <c r="CM26" i="11"/>
  <c r="CL26" i="11"/>
  <c r="CK26" i="11"/>
  <c r="CJ26" i="11"/>
  <c r="CI26" i="11"/>
  <c r="CH26" i="11"/>
  <c r="CG26" i="11"/>
  <c r="CF26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Q24" i="11"/>
  <c r="CP24" i="11"/>
  <c r="CO24" i="11"/>
  <c r="CN24" i="11"/>
  <c r="CM24" i="11"/>
  <c r="CL24" i="11"/>
  <c r="CK24" i="11"/>
  <c r="CJ24" i="11"/>
  <c r="CI24" i="11"/>
  <c r="CH24" i="11"/>
  <c r="CG24" i="11"/>
  <c r="CF24" i="11"/>
  <c r="CQ23" i="11"/>
  <c r="CP23" i="11"/>
  <c r="CO23" i="11"/>
  <c r="CN23" i="11"/>
  <c r="CM23" i="11"/>
  <c r="CL23" i="11"/>
  <c r="CK23" i="11"/>
  <c r="CJ23" i="11"/>
  <c r="CI23" i="11"/>
  <c r="CH23" i="11"/>
  <c r="CG23" i="11"/>
  <c r="CF23" i="11"/>
  <c r="CQ22" i="11"/>
  <c r="CP22" i="11"/>
  <c r="CO22" i="11"/>
  <c r="CN22" i="11"/>
  <c r="CM22" i="11"/>
  <c r="CL22" i="11"/>
  <c r="CK22" i="11"/>
  <c r="CJ22" i="11"/>
  <c r="CI22" i="11"/>
  <c r="CH22" i="11"/>
  <c r="CG22" i="11"/>
  <c r="CF22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Q20" i="11"/>
  <c r="CP20" i="11"/>
  <c r="CO20" i="11"/>
  <c r="CN20" i="11"/>
  <c r="CM20" i="11"/>
  <c r="CL20" i="11"/>
  <c r="CK20" i="11"/>
  <c r="CJ20" i="11"/>
  <c r="CI20" i="11"/>
  <c r="CH20" i="11"/>
  <c r="CG20" i="11"/>
  <c r="CF20" i="11"/>
  <c r="CQ19" i="11"/>
  <c r="CP19" i="11"/>
  <c r="CO19" i="11"/>
  <c r="CN19" i="11"/>
  <c r="CM19" i="11"/>
  <c r="CL19" i="11"/>
  <c r="CK19" i="11"/>
  <c r="CJ19" i="11"/>
  <c r="CI19" i="11"/>
  <c r="CH19" i="11"/>
  <c r="CG19" i="11"/>
  <c r="CF19" i="11"/>
  <c r="CQ18" i="11"/>
  <c r="CP18" i="11"/>
  <c r="CO18" i="11"/>
  <c r="CN18" i="11"/>
  <c r="CM18" i="11"/>
  <c r="CL18" i="11"/>
  <c r="CK18" i="11"/>
  <c r="CJ18" i="11"/>
  <c r="CI18" i="11"/>
  <c r="CH18" i="11"/>
  <c r="CG18" i="11"/>
  <c r="CF18" i="11"/>
  <c r="BG4" i="11"/>
  <c r="BK4" i="11" s="1"/>
  <c r="BM4" i="11"/>
  <c r="BN4" i="11" s="1"/>
  <c r="BP4" i="11" s="1"/>
  <c r="BG5" i="11"/>
  <c r="BK5" i="11" s="1"/>
  <c r="BM5" i="11"/>
  <c r="BO5" i="11" s="1"/>
  <c r="BG6" i="11"/>
  <c r="BK6" i="11" s="1"/>
  <c r="BM6" i="11"/>
  <c r="BN6" i="11" s="1"/>
  <c r="BP6" i="11" s="1"/>
  <c r="BG7" i="11"/>
  <c r="BM7" i="11"/>
  <c r="BO7" i="11" s="1"/>
  <c r="BG8" i="11"/>
  <c r="BK8" i="11" s="1"/>
  <c r="BM8" i="11"/>
  <c r="BN8" i="11" s="1"/>
  <c r="BP8" i="11" s="1"/>
  <c r="BG9" i="11"/>
  <c r="BM9" i="11"/>
  <c r="BG10" i="11"/>
  <c r="BL10" i="11" s="1"/>
  <c r="BM10" i="11"/>
  <c r="BN10" i="11" s="1"/>
  <c r="BP10" i="11" s="1"/>
  <c r="BG11" i="11"/>
  <c r="BM11" i="11"/>
  <c r="BO11" i="11" s="1"/>
  <c r="BG12" i="11"/>
  <c r="BK12" i="11" s="1"/>
  <c r="BM12" i="11"/>
  <c r="BG13" i="11"/>
  <c r="BK13" i="11" s="1"/>
  <c r="BM13" i="11"/>
  <c r="BN13" i="11" s="1"/>
  <c r="BP13" i="11" s="1"/>
  <c r="BG14" i="11"/>
  <c r="BK14" i="11" s="1"/>
  <c r="BM14" i="11"/>
  <c r="BO14" i="11" s="1"/>
  <c r="BG15" i="11"/>
  <c r="BK15" i="11" s="1"/>
  <c r="BG3" i="11"/>
  <c r="BK3" i="11" s="1"/>
  <c r="DH45" i="11"/>
  <c r="CB45" i="11"/>
  <c r="BW45" i="11"/>
  <c r="BT45" i="11"/>
  <c r="DS45" i="11"/>
  <c r="DN45" i="11"/>
  <c r="DS44" i="11"/>
  <c r="BX40" i="11"/>
  <c r="DR37" i="11"/>
  <c r="DK37" i="11"/>
  <c r="DH37" i="11"/>
  <c r="CB37" i="11"/>
  <c r="CB33" i="11"/>
  <c r="BX33" i="11"/>
  <c r="BT33" i="11"/>
  <c r="BW32" i="11"/>
  <c r="A32" i="11"/>
  <c r="DP30" i="11"/>
  <c r="BY29" i="11"/>
  <c r="BV29" i="11"/>
  <c r="DO21" i="11"/>
  <c r="DL21" i="11"/>
  <c r="DL20" i="11"/>
  <c r="DH20" i="11"/>
  <c r="CA20" i="11"/>
  <c r="BZ20" i="11"/>
  <c r="BW20" i="11"/>
  <c r="DO20" i="11"/>
  <c r="DR23" i="11"/>
  <c r="DQ23" i="11"/>
  <c r="CB29" i="11"/>
  <c r="BW33" i="11"/>
  <c r="CC33" i="11"/>
  <c r="DN20" i="11"/>
  <c r="DH40" i="11"/>
  <c r="BV45" i="11"/>
  <c r="DQ40" i="11"/>
  <c r="BX45" i="11"/>
  <c r="DO46" i="11"/>
  <c r="BY45" i="11"/>
  <c r="DP23" i="11"/>
  <c r="BT20" i="11"/>
  <c r="DK33" i="11"/>
  <c r="DL33" i="11"/>
  <c r="BY20" i="11"/>
  <c r="BR33" i="11"/>
  <c r="DN33" i="11"/>
  <c r="BS33" i="11"/>
  <c r="DP38" i="11"/>
  <c r="BW46" i="11"/>
  <c r="CB20" i="11"/>
  <c r="BW38" i="11"/>
  <c r="CC20" i="11"/>
  <c r="BX38" i="11"/>
  <c r="DH44" i="11"/>
  <c r="CB38" i="11"/>
  <c r="DJ44" i="11"/>
  <c r="DN41" i="11"/>
  <c r="DL46" i="11"/>
  <c r="DN46" i="11"/>
  <c r="BR18" i="11"/>
  <c r="DK20" i="11"/>
  <c r="CB41" i="11"/>
  <c r="BS21" i="11"/>
  <c r="BU23" i="11"/>
  <c r="BR24" i="11"/>
  <c r="BT18" i="11"/>
  <c r="BX23" i="11"/>
  <c r="BW24" i="11"/>
  <c r="BY23" i="11"/>
  <c r="BW18" i="11"/>
  <c r="CA23" i="11"/>
  <c r="DJ23" i="11"/>
  <c r="BU20" i="11"/>
  <c r="DN21" i="11"/>
  <c r="CB23" i="11"/>
  <c r="DK23" i="11"/>
  <c r="DJ38" i="11"/>
  <c r="BZ18" i="11"/>
  <c r="BV20" i="11"/>
  <c r="CC23" i="11"/>
  <c r="DM23" i="11"/>
  <c r="DK38" i="11"/>
  <c r="DN38" i="11"/>
  <c r="DP46" i="11"/>
  <c r="CC30" i="11"/>
  <c r="BW30" i="11"/>
  <c r="DO30" i="11"/>
  <c r="DN30" i="11"/>
  <c r="DI30" i="11"/>
  <c r="BS30" i="11"/>
  <c r="DS48" i="11"/>
  <c r="BW48" i="11"/>
  <c r="DP21" i="11"/>
  <c r="DI24" i="11"/>
  <c r="DP36" i="11"/>
  <c r="DL36" i="11"/>
  <c r="CC36" i="11"/>
  <c r="DK36" i="11"/>
  <c r="CB36" i="11"/>
  <c r="DI36" i="11"/>
  <c r="BZ36" i="11"/>
  <c r="BV36" i="11"/>
  <c r="DJ36" i="11"/>
  <c r="CA36" i="11"/>
  <c r="DS36" i="11"/>
  <c r="BU36" i="11"/>
  <c r="DR36" i="11"/>
  <c r="DQ36" i="11"/>
  <c r="DO36" i="11"/>
  <c r="BT36" i="11"/>
  <c r="BY36" i="11"/>
  <c r="BX36" i="11"/>
  <c r="BW36" i="11"/>
  <c r="BS36" i="11"/>
  <c r="BR36" i="11"/>
  <c r="DN36" i="11"/>
  <c r="DQ25" i="11"/>
  <c r="BR25" i="11"/>
  <c r="DK25" i="11"/>
  <c r="CB25" i="11"/>
  <c r="DM25" i="11"/>
  <c r="BY25" i="11"/>
  <c r="DI25" i="11"/>
  <c r="BV25" i="11"/>
  <c r="DH25" i="11"/>
  <c r="BU25" i="11"/>
  <c r="CC25" i="11"/>
  <c r="BZ25" i="11"/>
  <c r="DR25" i="11"/>
  <c r="BT25" i="11"/>
  <c r="DP25" i="11"/>
  <c r="BS25" i="11"/>
  <c r="DS21" i="11"/>
  <c r="BW25" i="11"/>
  <c r="DJ25" i="11"/>
  <c r="BZ42" i="11"/>
  <c r="DO42" i="11"/>
  <c r="DL42" i="11"/>
  <c r="DK42" i="11"/>
  <c r="DN42" i="11"/>
  <c r="DJ42" i="11"/>
  <c r="DI42" i="11"/>
  <c r="CC42" i="11"/>
  <c r="DP42" i="11"/>
  <c r="CB42" i="11"/>
  <c r="DQ21" i="11"/>
  <c r="BR21" i="11"/>
  <c r="DK21" i="11"/>
  <c r="CB21" i="11"/>
  <c r="DR21" i="11"/>
  <c r="DM21" i="11"/>
  <c r="BY21" i="11"/>
  <c r="DI21" i="11"/>
  <c r="DH21" i="11"/>
  <c r="BT24" i="11"/>
  <c r="BX25" i="11"/>
  <c r="DL25" i="11"/>
  <c r="DQ27" i="11"/>
  <c r="DP32" i="11"/>
  <c r="DL32" i="11"/>
  <c r="CC32" i="11"/>
  <c r="DK32" i="11"/>
  <c r="CB32" i="11"/>
  <c r="DI32" i="11"/>
  <c r="BZ32" i="11"/>
  <c r="BV32" i="11"/>
  <c r="CA32" i="11"/>
  <c r="DQ32" i="11"/>
  <c r="BS32" i="11"/>
  <c r="DJ32" i="11"/>
  <c r="BU32" i="11"/>
  <c r="BT32" i="11"/>
  <c r="BR32" i="11"/>
  <c r="DS32" i="11"/>
  <c r="DM32" i="11"/>
  <c r="BY32" i="11"/>
  <c r="CA25" i="11"/>
  <c r="DN25" i="11"/>
  <c r="DL35" i="11"/>
  <c r="CC35" i="11"/>
  <c r="DH35" i="11"/>
  <c r="BY35" i="11"/>
  <c r="BX35" i="11"/>
  <c r="BV35" i="11"/>
  <c r="DQ35" i="11"/>
  <c r="BR35" i="11"/>
  <c r="CA35" i="11"/>
  <c r="DR35" i="11"/>
  <c r="BT35" i="11"/>
  <c r="DM35" i="11"/>
  <c r="DS35" i="11"/>
  <c r="DP35" i="11"/>
  <c r="DO35" i="11"/>
  <c r="DI35" i="11"/>
  <c r="BZ35" i="11"/>
  <c r="BU35" i="11"/>
  <c r="BS35" i="11"/>
  <c r="BY24" i="11"/>
  <c r="DO25" i="11"/>
  <c r="BX32" i="11"/>
  <c r="BT21" i="11"/>
  <c r="BZ24" i="11"/>
  <c r="DH24" i="11"/>
  <c r="DS25" i="11"/>
  <c r="BW35" i="11"/>
  <c r="DH36" i="11"/>
  <c r="BU21" i="11"/>
  <c r="CC24" i="11"/>
  <c r="DK24" i="11"/>
  <c r="CB35" i="11"/>
  <c r="DM36" i="11"/>
  <c r="DL43" i="11"/>
  <c r="CC43" i="11"/>
  <c r="DI43" i="11"/>
  <c r="BZ43" i="11"/>
  <c r="DH43" i="11"/>
  <c r="BY43" i="11"/>
  <c r="BX43" i="11"/>
  <c r="BV43" i="11"/>
  <c r="DQ43" i="11"/>
  <c r="BR43" i="11"/>
  <c r="DR43" i="11"/>
  <c r="DP43" i="11"/>
  <c r="DO43" i="11"/>
  <c r="DN43" i="11"/>
  <c r="DM43" i="11"/>
  <c r="DK43" i="11"/>
  <c r="DJ43" i="11"/>
  <c r="CA43" i="11"/>
  <c r="BW43" i="11"/>
  <c r="CB43" i="11"/>
  <c r="BU43" i="11"/>
  <c r="BT43" i="11"/>
  <c r="DS43" i="11"/>
  <c r="BS43" i="11"/>
  <c r="BV21" i="11"/>
  <c r="DL24" i="11"/>
  <c r="DH34" i="11"/>
  <c r="BY34" i="11"/>
  <c r="BU34" i="11"/>
  <c r="DS34" i="11"/>
  <c r="BT34" i="11"/>
  <c r="DQ34" i="11"/>
  <c r="BR34" i="11"/>
  <c r="DM34" i="11"/>
  <c r="DR34" i="11"/>
  <c r="BV34" i="11"/>
  <c r="DO34" i="11"/>
  <c r="DJ34" i="11"/>
  <c r="CC34" i="11"/>
  <c r="DP34" i="11"/>
  <c r="DN34" i="11"/>
  <c r="BZ34" i="11"/>
  <c r="DL34" i="11"/>
  <c r="DK34" i="11"/>
  <c r="DI34" i="11"/>
  <c r="BW21" i="11"/>
  <c r="DQ24" i="11"/>
  <c r="DH32" i="11"/>
  <c r="BS34" i="11"/>
  <c r="DJ35" i="11"/>
  <c r="BX21" i="11"/>
  <c r="DN32" i="11"/>
  <c r="BW34" i="11"/>
  <c r="DK35" i="11"/>
  <c r="DJ20" i="11"/>
  <c r="DP20" i="11"/>
  <c r="BZ21" i="11"/>
  <c r="DO32" i="11"/>
  <c r="BX34" i="11"/>
  <c r="DN35" i="11"/>
  <c r="DQ20" i="11"/>
  <c r="CA21" i="11"/>
  <c r="DI23" i="11"/>
  <c r="BZ23" i="11"/>
  <c r="DS23" i="11"/>
  <c r="BT23" i="11"/>
  <c r="BS23" i="11"/>
  <c r="DO23" i="11"/>
  <c r="BW23" i="11"/>
  <c r="DN23" i="11"/>
  <c r="BV23" i="11"/>
  <c r="DL23" i="11"/>
  <c r="BR23" i="11"/>
  <c r="DH23" i="11"/>
  <c r="DR32" i="11"/>
  <c r="CA34" i="11"/>
  <c r="DR18" i="11"/>
  <c r="BS20" i="11"/>
  <c r="DR20" i="11"/>
  <c r="CC21" i="11"/>
  <c r="DJ21" i="11"/>
  <c r="CB34" i="11"/>
  <c r="DM24" i="11"/>
  <c r="BX24" i="11"/>
  <c r="DS24" i="11"/>
  <c r="DP24" i="11"/>
  <c r="CB24" i="11"/>
  <c r="DO24" i="11"/>
  <c r="CA24" i="11"/>
  <c r="DJ24" i="11"/>
  <c r="BS24" i="11"/>
  <c r="DN24" i="11"/>
  <c r="BU29" i="11"/>
  <c r="DP29" i="11"/>
  <c r="DO29" i="11"/>
  <c r="DM29" i="11"/>
  <c r="DI29" i="11"/>
  <c r="BZ29" i="11"/>
  <c r="CA29" i="11"/>
  <c r="DQ29" i="11"/>
  <c r="BS29" i="11"/>
  <c r="DJ29" i="11"/>
  <c r="DS29" i="11"/>
  <c r="DR29" i="11"/>
  <c r="DL29" i="11"/>
  <c r="DK29" i="11"/>
  <c r="DH29" i="11"/>
  <c r="CC29" i="11"/>
  <c r="BW29" i="11"/>
  <c r="BU37" i="11"/>
  <c r="DP37" i="11"/>
  <c r="DO37" i="11"/>
  <c r="DM37" i="11"/>
  <c r="DI37" i="11"/>
  <c r="BZ37" i="11"/>
  <c r="DS37" i="11"/>
  <c r="BV37" i="11"/>
  <c r="DQ37" i="11"/>
  <c r="BS37" i="11"/>
  <c r="DN37" i="11"/>
  <c r="BR37" i="11"/>
  <c r="DJ37" i="11"/>
  <c r="CC37" i="11"/>
  <c r="DL37" i="11"/>
  <c r="BY37" i="11"/>
  <c r="DM20" i="11"/>
  <c r="BX20" i="11"/>
  <c r="BR20" i="11"/>
  <c r="DS20" i="11"/>
  <c r="DI20" i="11"/>
  <c r="BU24" i="11"/>
  <c r="DR24" i="11"/>
  <c r="BR29" i="11"/>
  <c r="DN29" i="11"/>
  <c r="BT37" i="11"/>
  <c r="DQ18" i="11"/>
  <c r="BV24" i="11"/>
  <c r="BT29" i="11"/>
  <c r="BW37" i="11"/>
  <c r="DO40" i="11"/>
  <c r="DJ40" i="11"/>
  <c r="CA40" i="11"/>
  <c r="BY40" i="11"/>
  <c r="DN40" i="11"/>
  <c r="BT40" i="11"/>
  <c r="BX37" i="11"/>
  <c r="BX29" i="11"/>
  <c r="CA37" i="11"/>
  <c r="BW40" i="11"/>
  <c r="DH30" i="11"/>
  <c r="BY30" i="11"/>
  <c r="BU30" i="11"/>
  <c r="DS30" i="11"/>
  <c r="BT30" i="11"/>
  <c r="DQ30" i="11"/>
  <c r="BR30" i="11"/>
  <c r="DM30" i="11"/>
  <c r="DJ30" i="11"/>
  <c r="CA30" i="11"/>
  <c r="DR30" i="11"/>
  <c r="BV30" i="11"/>
  <c r="BY33" i="11"/>
  <c r="DH33" i="11"/>
  <c r="BY44" i="11"/>
  <c r="BT44" i="11"/>
  <c r="DQ44" i="11"/>
  <c r="DO44" i="11"/>
  <c r="DN44" i="11"/>
  <c r="DR48" i="11"/>
  <c r="BX30" i="11"/>
  <c r="DQ33" i="11"/>
  <c r="BZ30" i="11"/>
  <c r="DR33" i="11"/>
  <c r="BU41" i="11"/>
  <c r="DQ41" i="11"/>
  <c r="BR41" i="11"/>
  <c r="DP41" i="11"/>
  <c r="DO41" i="11"/>
  <c r="DM41" i="11"/>
  <c r="DI41" i="11"/>
  <c r="BZ41" i="11"/>
  <c r="DL41" i="11"/>
  <c r="DK41" i="11"/>
  <c r="DJ41" i="11"/>
  <c r="DH41" i="11"/>
  <c r="CC41" i="11"/>
  <c r="CA41" i="11"/>
  <c r="BX41" i="11"/>
  <c r="BV41" i="11"/>
  <c r="DR41" i="11"/>
  <c r="BR44" i="11"/>
  <c r="CB30" i="11"/>
  <c r="DS41" i="11"/>
  <c r="BS41" i="11"/>
  <c r="DK30" i="11"/>
  <c r="DH38" i="11"/>
  <c r="BY38" i="11"/>
  <c r="BU38" i="11"/>
  <c r="DS38" i="11"/>
  <c r="BT38" i="11"/>
  <c r="DQ38" i="11"/>
  <c r="BR38" i="11"/>
  <c r="DM38" i="11"/>
  <c r="CC38" i="11"/>
  <c r="CA38" i="11"/>
  <c r="BZ38" i="11"/>
  <c r="DR38" i="11"/>
  <c r="BV38" i="11"/>
  <c r="DO38" i="11"/>
  <c r="DL38" i="11"/>
  <c r="BT41" i="11"/>
  <c r="DL30" i="11"/>
  <c r="BU33" i="11"/>
  <c r="DP33" i="11"/>
  <c r="DO33" i="11"/>
  <c r="DM33" i="11"/>
  <c r="DI33" i="11"/>
  <c r="BZ33" i="11"/>
  <c r="DJ33" i="11"/>
  <c r="CA33" i="11"/>
  <c r="DS33" i="11"/>
  <c r="BV33" i="11"/>
  <c r="BS38" i="11"/>
  <c r="DI38" i="11"/>
  <c r="BW41" i="11"/>
  <c r="BY41" i="11"/>
  <c r="DK46" i="11"/>
  <c r="DP48" i="11"/>
  <c r="DM48" i="11"/>
  <c r="DL48" i="11"/>
  <c r="CC48" i="11"/>
  <c r="DK48" i="11"/>
  <c r="CB48" i="11"/>
  <c r="DJ48" i="11"/>
  <c r="CA48" i="11"/>
  <c r="DI48" i="11"/>
  <c r="BZ48" i="11"/>
  <c r="BV48" i="11"/>
  <c r="BR48" i="11"/>
  <c r="CA45" i="11"/>
  <c r="DH46" i="11"/>
  <c r="BY46" i="11"/>
  <c r="BV46" i="11"/>
  <c r="BU46" i="11"/>
  <c r="DS46" i="11"/>
  <c r="BT46" i="11"/>
  <c r="DQ46" i="11"/>
  <c r="BR46" i="11"/>
  <c r="DM46" i="11"/>
  <c r="DR46" i="11"/>
  <c r="BS48" i="11"/>
  <c r="BT48" i="11"/>
  <c r="CA49" i="11"/>
  <c r="DP44" i="11"/>
  <c r="DM44" i="11"/>
  <c r="DL44" i="11"/>
  <c r="CC44" i="11"/>
  <c r="DK44" i="11"/>
  <c r="CB44" i="11"/>
  <c r="DI44" i="11"/>
  <c r="BZ44" i="11"/>
  <c r="BV44" i="11"/>
  <c r="DR44" i="11"/>
  <c r="CC45" i="11"/>
  <c r="BS46" i="11"/>
  <c r="BU48" i="11"/>
  <c r="DH50" i="11"/>
  <c r="BY50" i="11"/>
  <c r="BV50" i="11"/>
  <c r="BU50" i="11"/>
  <c r="DS50" i="11"/>
  <c r="BT50" i="11"/>
  <c r="DR50" i="11"/>
  <c r="BS50" i="11"/>
  <c r="DQ50" i="11"/>
  <c r="BR50" i="11"/>
  <c r="DN50" i="11"/>
  <c r="DM50" i="11"/>
  <c r="DJ50" i="11"/>
  <c r="CA50" i="11"/>
  <c r="DH42" i="11"/>
  <c r="BY42" i="11"/>
  <c r="BV42" i="11"/>
  <c r="BU42" i="11"/>
  <c r="DS42" i="11"/>
  <c r="BT42" i="11"/>
  <c r="DQ42" i="11"/>
  <c r="BR42" i="11"/>
  <c r="DM42" i="11"/>
  <c r="DR42" i="11"/>
  <c r="BS44" i="11"/>
  <c r="DJ45" i="11"/>
  <c r="BX46" i="11"/>
  <c r="BX48" i="11"/>
  <c r="BW50" i="11"/>
  <c r="DI50" i="11"/>
  <c r="DK45" i="11"/>
  <c r="BZ46" i="11"/>
  <c r="BX47" i="11"/>
  <c r="BY48" i="11"/>
  <c r="BX50" i="11"/>
  <c r="DK50" i="11"/>
  <c r="DP40" i="11"/>
  <c r="DM40" i="11"/>
  <c r="DL40" i="11"/>
  <c r="CC40" i="11"/>
  <c r="DK40" i="11"/>
  <c r="CB40" i="11"/>
  <c r="DI40" i="11"/>
  <c r="BZ40" i="11"/>
  <c r="BV40" i="11"/>
  <c r="DR40" i="11"/>
  <c r="BS42" i="11"/>
  <c r="BU44" i="11"/>
  <c r="DL45" i="11"/>
  <c r="CA46" i="11"/>
  <c r="BZ50" i="11"/>
  <c r="DL50" i="11"/>
  <c r="BR40" i="11"/>
  <c r="DS40" i="11"/>
  <c r="BW42" i="11"/>
  <c r="BW44" i="11"/>
  <c r="CB46" i="11"/>
  <c r="DH48" i="11"/>
  <c r="CB50" i="11"/>
  <c r="DO50" i="11"/>
  <c r="BS40" i="11"/>
  <c r="BX42" i="11"/>
  <c r="BX44" i="11"/>
  <c r="BU45" i="11"/>
  <c r="DQ45" i="11"/>
  <c r="BR45" i="11"/>
  <c r="DP45" i="11"/>
  <c r="DO45" i="11"/>
  <c r="DM45" i="11"/>
  <c r="DI45" i="11"/>
  <c r="BZ45" i="11"/>
  <c r="DR45" i="11"/>
  <c r="CC46" i="11"/>
  <c r="DN48" i="11"/>
  <c r="CC50" i="11"/>
  <c r="DP50" i="11"/>
  <c r="DI46" i="11"/>
  <c r="DO48" i="11"/>
  <c r="BU40" i="11"/>
  <c r="CA42" i="11"/>
  <c r="CA44" i="11"/>
  <c r="BS45" i="11"/>
  <c r="DJ46" i="11"/>
  <c r="DQ48" i="11"/>
  <c r="U4" i="8"/>
  <c r="DK18" i="11"/>
  <c r="CA18" i="11"/>
  <c r="BU18" i="11"/>
  <c r="DL18" i="11"/>
  <c r="BY18" i="11"/>
  <c r="CC18" i="11"/>
  <c r="DH18" i="11"/>
  <c r="DN18" i="11"/>
  <c r="CB18" i="11"/>
  <c r="DP18" i="11"/>
  <c r="DS18" i="11"/>
  <c r="DO18" i="11"/>
  <c r="DI18" i="11"/>
  <c r="BS18" i="11"/>
  <c r="BX18" i="11"/>
  <c r="BV18" i="11"/>
  <c r="DM18" i="11"/>
  <c r="DJ18" i="11"/>
  <c r="BY49" i="11"/>
  <c r="CB49" i="11"/>
  <c r="CC49" i="11"/>
  <c r="DM49" i="11"/>
  <c r="CB27" i="11"/>
  <c r="DQ49" i="11"/>
  <c r="BR27" i="11"/>
  <c r="DL39" i="11"/>
  <c r="CC39" i="11"/>
  <c r="DH39" i="11"/>
  <c r="BY39" i="11"/>
  <c r="BX39" i="11"/>
  <c r="BV39" i="11"/>
  <c r="DQ39" i="11"/>
  <c r="BR39" i="11"/>
  <c r="DM39" i="11"/>
  <c r="DJ39" i="11"/>
  <c r="DI39" i="11"/>
  <c r="CA39" i="11"/>
  <c r="BW39" i="11"/>
  <c r="DS39" i="11"/>
  <c r="CB39" i="11"/>
  <c r="DR39" i="11"/>
  <c r="BZ39" i="11"/>
  <c r="DP39" i="11"/>
  <c r="BU39" i="11"/>
  <c r="DO39" i="11"/>
  <c r="BT39" i="11"/>
  <c r="DN39" i="11"/>
  <c r="BS39" i="11"/>
  <c r="DK39" i="11"/>
  <c r="BW28" i="11"/>
  <c r="DS28" i="11"/>
  <c r="DK28" i="11"/>
  <c r="DL31" i="11"/>
  <c r="CC31" i="11"/>
  <c r="DH31" i="11"/>
  <c r="BY31" i="11"/>
  <c r="BX31" i="11"/>
  <c r="BV31" i="11"/>
  <c r="DQ31" i="11"/>
  <c r="BR31" i="11"/>
  <c r="DR31" i="11"/>
  <c r="BT31" i="11"/>
  <c r="DJ31" i="11"/>
  <c r="CA31" i="11"/>
  <c r="BZ31" i="11"/>
  <c r="BU31" i="11"/>
  <c r="BS31" i="11"/>
  <c r="DS31" i="11"/>
  <c r="CB31" i="11"/>
  <c r="DP31" i="11"/>
  <c r="BW31" i="11"/>
  <c r="DO31" i="11"/>
  <c r="DN31" i="11"/>
  <c r="DI31" i="11"/>
  <c r="DM31" i="11"/>
  <c r="DK31" i="11"/>
  <c r="DP47" i="11"/>
  <c r="CC28" i="11"/>
  <c r="BV47" i="11"/>
  <c r="DN27" i="11"/>
  <c r="BZ27" i="11"/>
  <c r="BS49" i="11"/>
  <c r="DS49" i="11"/>
  <c r="BT49" i="11"/>
  <c r="DL49" i="11"/>
  <c r="DN49" i="11"/>
  <c r="DR47" i="11"/>
  <c r="CA28" i="11"/>
  <c r="DO27" i="11"/>
  <c r="BV27" i="11"/>
  <c r="DN47" i="11"/>
  <c r="BW47" i="11"/>
  <c r="DS47" i="11"/>
  <c r="BY47" i="11"/>
  <c r="BX28" i="11"/>
  <c r="BT28" i="11"/>
  <c r="DO49" i="11"/>
  <c r="BS47" i="11"/>
  <c r="BY28" i="11"/>
  <c r="BS28" i="11"/>
  <c r="BW27" i="11"/>
  <c r="BX27" i="11"/>
  <c r="DJ28" i="11"/>
  <c r="BR28" i="11"/>
  <c r="DN28" i="11"/>
  <c r="DM28" i="11"/>
  <c r="BV49" i="11"/>
  <c r="DH47" i="11"/>
  <c r="BV22" i="11"/>
  <c r="DO22" i="11"/>
  <c r="DL22" i="11"/>
  <c r="BY22" i="11"/>
  <c r="DH22" i="11"/>
  <c r="BT22" i="11"/>
  <c r="DM22" i="11"/>
  <c r="BS22" i="11"/>
  <c r="DK22" i="11"/>
  <c r="BR22" i="11"/>
  <c r="DI22" i="11"/>
  <c r="CA22" i="11"/>
  <c r="BZ22" i="11"/>
  <c r="BX22" i="11"/>
  <c r="BW22" i="11"/>
  <c r="BU22" i="11"/>
  <c r="DS22" i="11"/>
  <c r="DR22" i="11"/>
  <c r="DQ22" i="11"/>
  <c r="DP22" i="11"/>
  <c r="DN22" i="11"/>
  <c r="CC22" i="11"/>
  <c r="DJ22" i="11"/>
  <c r="CB22" i="11"/>
  <c r="DP28" i="11"/>
  <c r="BT47" i="11"/>
  <c r="BZ47" i="11"/>
  <c r="DQ28" i="11"/>
  <c r="BS27" i="11"/>
  <c r="BT27" i="11"/>
  <c r="BY27" i="11"/>
  <c r="DS26" i="11"/>
  <c r="DQ26" i="11"/>
  <c r="BV26" i="11"/>
  <c r="DO26" i="11"/>
  <c r="DK26" i="11"/>
  <c r="CB26" i="11"/>
  <c r="DJ26" i="11"/>
  <c r="BT26" i="11"/>
  <c r="DR26" i="11"/>
  <c r="BR26" i="11"/>
  <c r="DN26" i="11"/>
  <c r="DM26" i="11"/>
  <c r="DL26" i="11"/>
  <c r="DI26" i="11"/>
  <c r="CC26" i="11"/>
  <c r="CA26" i="11"/>
  <c r="BW26" i="11"/>
  <c r="DP26" i="11"/>
  <c r="BU26" i="11"/>
  <c r="DH26" i="11"/>
  <c r="BS26" i="11"/>
  <c r="BY26" i="11"/>
  <c r="BZ26" i="11"/>
  <c r="BX26" i="11"/>
  <c r="BV28" i="11"/>
  <c r="DI27" i="11"/>
  <c r="CA47" i="11"/>
  <c r="DP49" i="11"/>
  <c r="BZ49" i="11"/>
  <c r="BR49" i="11"/>
  <c r="DJ47" i="11"/>
  <c r="BU47" i="11"/>
  <c r="DI47" i="11"/>
  <c r="DI19" i="11"/>
  <c r="BZ19" i="11"/>
  <c r="DS19" i="11"/>
  <c r="BT19" i="11"/>
  <c r="DL19" i="11"/>
  <c r="BX19" i="11"/>
  <c r="BS19" i="11"/>
  <c r="DJ19" i="11"/>
  <c r="DH19" i="11"/>
  <c r="DK19" i="11"/>
  <c r="CC19" i="11"/>
  <c r="CB19" i="11"/>
  <c r="CA19" i="11"/>
  <c r="BY19" i="11"/>
  <c r="BW19" i="11"/>
  <c r="BV19" i="11"/>
  <c r="BU19" i="11"/>
  <c r="BR19" i="11"/>
  <c r="DR19" i="11"/>
  <c r="DQ19" i="11"/>
  <c r="DP19" i="11"/>
  <c r="DO19" i="11"/>
  <c r="DN19" i="11"/>
  <c r="DM19" i="11"/>
  <c r="BU27" i="11"/>
  <c r="DR27" i="11"/>
  <c r="DH27" i="11"/>
  <c r="CB28" i="11"/>
  <c r="DL28" i="11"/>
  <c r="DR49" i="11"/>
  <c r="CC47" i="11"/>
  <c r="DM27" i="11"/>
  <c r="DH28" i="11"/>
  <c r="DK27" i="11"/>
  <c r="CA27" i="11"/>
  <c r="CC27" i="11"/>
  <c r="DR28" i="11"/>
  <c r="DK49" i="11"/>
  <c r="DH49" i="11"/>
  <c r="BX49" i="11"/>
  <c r="BW49" i="11"/>
  <c r="DI49" i="11"/>
  <c r="DK47" i="11"/>
  <c r="BR47" i="11"/>
  <c r="BZ28" i="11"/>
  <c r="DP27" i="11"/>
  <c r="BU28" i="11"/>
  <c r="CB47" i="11"/>
  <c r="DL47" i="11"/>
  <c r="DL27" i="11"/>
  <c r="DQ47" i="11"/>
  <c r="DO47" i="11"/>
  <c r="DO28" i="11"/>
  <c r="DJ49" i="11"/>
  <c r="BU49" i="11"/>
  <c r="DM47" i="11"/>
  <c r="DI28" i="11"/>
  <c r="DS27" i="11"/>
  <c r="DJ27" i="11"/>
  <c r="AA4" i="8"/>
  <c r="F4" i="8"/>
  <c r="G4" i="8"/>
  <c r="H4" i="8"/>
  <c r="I4" i="8"/>
  <c r="J4" i="8"/>
  <c r="K4" i="8"/>
  <c r="L4" i="8"/>
  <c r="M4" i="8"/>
  <c r="N4" i="8"/>
  <c r="O4" i="8"/>
  <c r="P4" i="8"/>
  <c r="Q4" i="8"/>
  <c r="U14" i="8"/>
  <c r="W14" i="8" s="1"/>
  <c r="V14" i="8"/>
  <c r="AA3" i="8"/>
  <c r="AA5" i="8"/>
  <c r="AA6" i="8"/>
  <c r="AA7" i="8"/>
  <c r="AA8" i="8"/>
  <c r="AA9" i="8"/>
  <c r="AA10" i="8"/>
  <c r="AA11" i="8"/>
  <c r="AA12" i="8"/>
  <c r="AA13" i="8"/>
  <c r="AA2" i="8"/>
  <c r="U30" i="8"/>
  <c r="V29" i="8"/>
  <c r="U29" i="8"/>
  <c r="W29" i="8" s="1"/>
  <c r="V28" i="8"/>
  <c r="U28" i="8"/>
  <c r="W28" i="8" s="1"/>
  <c r="V27" i="8"/>
  <c r="U27" i="8"/>
  <c r="W27" i="8" s="1"/>
  <c r="V26" i="8"/>
  <c r="U26" i="8"/>
  <c r="W26" i="8" s="1"/>
  <c r="V3" i="8"/>
  <c r="V5" i="8"/>
  <c r="V6" i="8"/>
  <c r="V7" i="8"/>
  <c r="V8" i="8"/>
  <c r="V9" i="8"/>
  <c r="V10" i="8"/>
  <c r="V11" i="8"/>
  <c r="V12" i="8"/>
  <c r="V13" i="8"/>
  <c r="V2" i="8"/>
  <c r="U3" i="8"/>
  <c r="W3" i="8" s="1"/>
  <c r="U5" i="8"/>
  <c r="W5" i="8" s="1"/>
  <c r="U6" i="8"/>
  <c r="W6" i="8" s="1"/>
  <c r="U7" i="8"/>
  <c r="W7" i="8" s="1"/>
  <c r="U8" i="8"/>
  <c r="W8" i="8" s="1"/>
  <c r="U9" i="8"/>
  <c r="W9" i="8" s="1"/>
  <c r="U10" i="8"/>
  <c r="W10" i="8" s="1"/>
  <c r="U11" i="8"/>
  <c r="W11" i="8" s="1"/>
  <c r="U12" i="8"/>
  <c r="W12" i="8" s="1"/>
  <c r="U13" i="8"/>
  <c r="W13" i="8" s="1"/>
  <c r="U2" i="8"/>
  <c r="W2" i="8" s="1"/>
  <c r="E33" i="8"/>
  <c r="E15" i="8"/>
  <c r="E24" i="8"/>
  <c r="F54" i="8"/>
  <c r="BH2" i="5"/>
  <c r="BG3" i="5"/>
  <c r="BH3" i="5" s="1"/>
  <c r="CZ9" i="18" l="1"/>
  <c r="BV9" i="18"/>
  <c r="CN9" i="18"/>
  <c r="CY9" i="18"/>
  <c r="DL9" i="18"/>
  <c r="BS9" i="18"/>
  <c r="CG9" i="18"/>
  <c r="BY9" i="18"/>
  <c r="DC9" i="18"/>
  <c r="DA9" i="18"/>
  <c r="CZ34" i="18"/>
  <c r="DR9" i="18"/>
  <c r="DJ9" i="18"/>
  <c r="DU9" i="18" s="1"/>
  <c r="CZ27" i="18"/>
  <c r="CB9" i="18"/>
  <c r="CI34" i="18"/>
  <c r="DE48" i="18"/>
  <c r="DQ9" i="18"/>
  <c r="CD9" i="18"/>
  <c r="BU9" i="18"/>
  <c r="CP9" i="18"/>
  <c r="DT9" i="18"/>
  <c r="CP48" i="18"/>
  <c r="CY48" i="18"/>
  <c r="CV48" i="18"/>
  <c r="BS48" i="18"/>
  <c r="DQ48" i="18"/>
  <c r="CQ48" i="18"/>
  <c r="DA48" i="18"/>
  <c r="DI48" i="18"/>
  <c r="DR48" i="18"/>
  <c r="CA48" i="18"/>
  <c r="BT48" i="18"/>
  <c r="CR48" i="18"/>
  <c r="CK48" i="18"/>
  <c r="DJ48" i="18"/>
  <c r="DB48" i="18"/>
  <c r="DP48" i="18"/>
  <c r="DS48" i="18"/>
  <c r="CL48" i="18"/>
  <c r="CI48" i="18"/>
  <c r="CN48" i="18"/>
  <c r="DT48" i="18"/>
  <c r="DK48" i="18"/>
  <c r="BU48" i="18"/>
  <c r="BV48" i="18"/>
  <c r="DM48" i="18"/>
  <c r="CM48" i="18"/>
  <c r="DO48" i="18"/>
  <c r="DD48" i="18"/>
  <c r="CZ48" i="18"/>
  <c r="BW48" i="18"/>
  <c r="CC48" i="18"/>
  <c r="BX48" i="18"/>
  <c r="CU48" i="18"/>
  <c r="CO48" i="18"/>
  <c r="DL48" i="18"/>
  <c r="CA9" i="18"/>
  <c r="DN9" i="18"/>
  <c r="DK9" i="18"/>
  <c r="DP9" i="18"/>
  <c r="CC9" i="18"/>
  <c r="CU9" i="18"/>
  <c r="CX48" i="18"/>
  <c r="CD48" i="18"/>
  <c r="DK20" i="18"/>
  <c r="CH48" i="18"/>
  <c r="DF18" i="18"/>
  <c r="CA20" i="18"/>
  <c r="CH20" i="18"/>
  <c r="DE20" i="18"/>
  <c r="CJ20" i="18"/>
  <c r="DJ34" i="18"/>
  <c r="CW20" i="18"/>
  <c r="DR20" i="18"/>
  <c r="DO27" i="18"/>
  <c r="DL27" i="18"/>
  <c r="BX27" i="18"/>
  <c r="CP20" i="18"/>
  <c r="CO9" i="18"/>
  <c r="DE9" i="18"/>
  <c r="BY18" i="18"/>
  <c r="CE18" i="18" s="1"/>
  <c r="BL19" i="11"/>
  <c r="DP34" i="18"/>
  <c r="DL26" i="18"/>
  <c r="CO20" i="18"/>
  <c r="DD34" i="18"/>
  <c r="BZ34" i="18"/>
  <c r="DF34" i="18"/>
  <c r="CA34" i="18"/>
  <c r="BY34" i="18"/>
  <c r="DE34" i="18"/>
  <c r="CW34" i="18"/>
  <c r="DN34" i="18"/>
  <c r="CN34" i="18"/>
  <c r="CG34" i="18"/>
  <c r="CX34" i="18"/>
  <c r="DO34" i="18"/>
  <c r="BT34" i="18"/>
  <c r="CJ34" i="18"/>
  <c r="DS34" i="18"/>
  <c r="DM34" i="18"/>
  <c r="BV34" i="18"/>
  <c r="CB34" i="18"/>
  <c r="CM34" i="18"/>
  <c r="DK34" i="18"/>
  <c r="CW27" i="18"/>
  <c r="CG20" i="18"/>
  <c r="BU27" i="18"/>
  <c r="DR27" i="18"/>
  <c r="DD20" i="18"/>
  <c r="DS20" i="18"/>
  <c r="CH27" i="18"/>
  <c r="CL27" i="18"/>
  <c r="CI20" i="18"/>
  <c r="CO27" i="18"/>
  <c r="CK27" i="18"/>
  <c r="DQ27" i="18"/>
  <c r="DD27" i="18"/>
  <c r="DF20" i="18"/>
  <c r="CN20" i="18"/>
  <c r="CY27" i="18"/>
  <c r="DT27" i="18"/>
  <c r="BY27" i="18"/>
  <c r="CL20" i="18"/>
  <c r="CB20" i="18"/>
  <c r="BW20" i="18"/>
  <c r="CG27" i="18"/>
  <c r="DB27" i="18"/>
  <c r="CQ27" i="18"/>
  <c r="DC20" i="18"/>
  <c r="CJ27" i="18"/>
  <c r="DJ27" i="18"/>
  <c r="CC20" i="18"/>
  <c r="CC27" i="18"/>
  <c r="CV20" i="18"/>
  <c r="BW27" i="18"/>
  <c r="BT20" i="18"/>
  <c r="CV27" i="18"/>
  <c r="DN20" i="18"/>
  <c r="CX20" i="18"/>
  <c r="DC27" i="18"/>
  <c r="CX27" i="18"/>
  <c r="DB20" i="18"/>
  <c r="BZ20" i="18"/>
  <c r="DS27" i="18"/>
  <c r="BS27" i="18"/>
  <c r="DP27" i="18"/>
  <c r="DT20" i="18"/>
  <c r="DM27" i="18"/>
  <c r="CI27" i="18"/>
  <c r="CR20" i="18"/>
  <c r="DF27" i="18"/>
  <c r="CB27" i="18"/>
  <c r="CU20" i="18"/>
  <c r="DJ20" i="18"/>
  <c r="BV27" i="18"/>
  <c r="DK27" i="18"/>
  <c r="BY20" i="18"/>
  <c r="BZ27" i="18"/>
  <c r="DI35" i="18"/>
  <c r="CM35" i="18"/>
  <c r="CU23" i="18"/>
  <c r="DI20" i="18"/>
  <c r="CN35" i="18"/>
  <c r="BZ35" i="18"/>
  <c r="DE27" i="18"/>
  <c r="CN23" i="18"/>
  <c r="CC23" i="18"/>
  <c r="BY23" i="18"/>
  <c r="BL6" i="11"/>
  <c r="DL23" i="18"/>
  <c r="CI23" i="18"/>
  <c r="DA23" i="18"/>
  <c r="DS23" i="18"/>
  <c r="DN35" i="18"/>
  <c r="CA26" i="18"/>
  <c r="CM20" i="18"/>
  <c r="CA36" i="18"/>
  <c r="CP23" i="18"/>
  <c r="DR35" i="18"/>
  <c r="CC26" i="18"/>
  <c r="BU23" i="18"/>
  <c r="CB35" i="18"/>
  <c r="CK20" i="18"/>
  <c r="DL20" i="18"/>
  <c r="CN27" i="18"/>
  <c r="DI37" i="18"/>
  <c r="DK37" i="18"/>
  <c r="CK37" i="18"/>
  <c r="BX23" i="18"/>
  <c r="DI23" i="18"/>
  <c r="CL23" i="18"/>
  <c r="DE35" i="18"/>
  <c r="DB36" i="18"/>
  <c r="CH23" i="18"/>
  <c r="DK31" i="18"/>
  <c r="DQ31" i="18"/>
  <c r="DC23" i="18"/>
  <c r="BV20" i="18"/>
  <c r="DT23" i="18"/>
  <c r="CX23" i="18"/>
  <c r="CO23" i="18"/>
  <c r="CD23" i="18"/>
  <c r="CV23" i="18"/>
  <c r="CZ23" i="18"/>
  <c r="CQ23" i="18"/>
  <c r="BT35" i="18"/>
  <c r="CQ21" i="18"/>
  <c r="DD23" i="18"/>
  <c r="DO20" i="18"/>
  <c r="DA20" i="18"/>
  <c r="G7" i="16"/>
  <c r="G4" i="16" s="1"/>
  <c r="DJ23" i="18"/>
  <c r="CK35" i="18"/>
  <c r="CK21" i="18"/>
  <c r="DN23" i="18"/>
  <c r="CD20" i="18"/>
  <c r="CR23" i="18"/>
  <c r="DS35" i="18"/>
  <c r="CD27" i="18"/>
  <c r="DK23" i="18"/>
  <c r="CZ26" i="18"/>
  <c r="CA23" i="18"/>
  <c r="CM23" i="18"/>
  <c r="BS20" i="18"/>
  <c r="DQ20" i="18"/>
  <c r="DT26" i="18"/>
  <c r="CR27" i="18"/>
  <c r="F11" i="8"/>
  <c r="BX37" i="18"/>
  <c r="BW29" i="18"/>
  <c r="BV26" i="18"/>
  <c r="DD26" i="18"/>
  <c r="BO6" i="11"/>
  <c r="BT6" i="11" s="1"/>
  <c r="CI37" i="18"/>
  <c r="CV37" i="18"/>
  <c r="CB26" i="18"/>
  <c r="CI26" i="18"/>
  <c r="CG26" i="18"/>
  <c r="DK21" i="18"/>
  <c r="CO26" i="18"/>
  <c r="CM26" i="18"/>
  <c r="DN26" i="18"/>
  <c r="CZ20" i="18"/>
  <c r="BU8" i="18"/>
  <c r="CJ29" i="18"/>
  <c r="DI29" i="18"/>
  <c r="DT29" i="18"/>
  <c r="BL15" i="11"/>
  <c r="DN41" i="18"/>
  <c r="CO37" i="18"/>
  <c r="CY20" i="18"/>
  <c r="CL29" i="18"/>
  <c r="CY5" i="18"/>
  <c r="DN37" i="18"/>
  <c r="CO29" i="18"/>
  <c r="DB26" i="18"/>
  <c r="CQ20" i="18"/>
  <c r="DT37" i="18"/>
  <c r="DK29" i="18"/>
  <c r="CQ26" i="18"/>
  <c r="DM20" i="18"/>
  <c r="BX20" i="18"/>
  <c r="CL41" i="18"/>
  <c r="DT32" i="11"/>
  <c r="BU41" i="18"/>
  <c r="BM17" i="17"/>
  <c r="DP17" i="17" s="1"/>
  <c r="DS41" i="18"/>
  <c r="CR21" i="18"/>
  <c r="CM21" i="18"/>
  <c r="BK21" i="11"/>
  <c r="BM8" i="17"/>
  <c r="DA8" i="17" s="1"/>
  <c r="BI19" i="17"/>
  <c r="BO4" i="11"/>
  <c r="DB4" i="11" s="1"/>
  <c r="BI5" i="17"/>
  <c r="BZ21" i="18"/>
  <c r="CO21" i="18"/>
  <c r="H7" i="8"/>
  <c r="DP41" i="18"/>
  <c r="DL21" i="18"/>
  <c r="CH41" i="18"/>
  <c r="CA21" i="18"/>
  <c r="CX41" i="18"/>
  <c r="DM21" i="18"/>
  <c r="CV5" i="18"/>
  <c r="BW49" i="18"/>
  <c r="H12" i="8"/>
  <c r="CG41" i="18"/>
  <c r="CJ21" i="18"/>
  <c r="CG21" i="18"/>
  <c r="CU16" i="18"/>
  <c r="DE21" i="18"/>
  <c r="CH21" i="18"/>
  <c r="BT21" i="18"/>
  <c r="BV41" i="18"/>
  <c r="DC7" i="18"/>
  <c r="CL21" i="18"/>
  <c r="DI27" i="18"/>
  <c r="CP27" i="18"/>
  <c r="DD41" i="18"/>
  <c r="BV21" i="18"/>
  <c r="DL10" i="18"/>
  <c r="DT41" i="18"/>
  <c r="BS21" i="18"/>
  <c r="DL41" i="18"/>
  <c r="DC26" i="18"/>
  <c r="CY26" i="18"/>
  <c r="CQ41" i="18"/>
  <c r="BZ41" i="18"/>
  <c r="CB41" i="18"/>
  <c r="BT26" i="18"/>
  <c r="DQ26" i="18"/>
  <c r="CZ41" i="18"/>
  <c r="DK41" i="18"/>
  <c r="BS26" i="18"/>
  <c r="CH26" i="18"/>
  <c r="BI13" i="17"/>
  <c r="CN41" i="18"/>
  <c r="CY41" i="18"/>
  <c r="CM41" i="18"/>
  <c r="BU26" i="18"/>
  <c r="DR26" i="18"/>
  <c r="DC41" i="18"/>
  <c r="DO41" i="18"/>
  <c r="DF41" i="18"/>
  <c r="CY12" i="18"/>
  <c r="CU26" i="18"/>
  <c r="BW26" i="18"/>
  <c r="BX41" i="18"/>
  <c r="DF47" i="18"/>
  <c r="DR49" i="18"/>
  <c r="N10" i="8"/>
  <c r="BI6" i="17"/>
  <c r="DM47" i="18"/>
  <c r="I14" i="8"/>
  <c r="DB41" i="18"/>
  <c r="CW41" i="18"/>
  <c r="CJ31" i="18"/>
  <c r="DE26" i="18"/>
  <c r="CW26" i="18"/>
  <c r="CK23" i="18"/>
  <c r="CP41" i="18"/>
  <c r="CY47" i="18"/>
  <c r="M8" i="8"/>
  <c r="BT41" i="18"/>
  <c r="CV41" i="18"/>
  <c r="BX26" i="18"/>
  <c r="DF26" i="18"/>
  <c r="CD26" i="18"/>
  <c r="DL8" i="18"/>
  <c r="DR41" i="18"/>
  <c r="CD41" i="18"/>
  <c r="BW31" i="18"/>
  <c r="BY26" i="18"/>
  <c r="CJ26" i="18"/>
  <c r="CV26" i="18"/>
  <c r="CD8" i="18"/>
  <c r="CM27" i="18"/>
  <c r="BK10" i="11"/>
  <c r="DA41" i="18"/>
  <c r="CU41" i="18"/>
  <c r="BY31" i="18"/>
  <c r="BZ26" i="18"/>
  <c r="DI26" i="18"/>
  <c r="CI22" i="17"/>
  <c r="CJ41" i="18"/>
  <c r="BZ45" i="18"/>
  <c r="DB31" i="18"/>
  <c r="CN26" i="18"/>
  <c r="CK26" i="18"/>
  <c r="DM41" i="18"/>
  <c r="CN22" i="17"/>
  <c r="BS41" i="18"/>
  <c r="CP26" i="18"/>
  <c r="DJ26" i="18"/>
  <c r="DQ8" i="18"/>
  <c r="DN47" i="18"/>
  <c r="CK41" i="18"/>
  <c r="DD41" i="17"/>
  <c r="CR26" i="18"/>
  <c r="CX26" i="18"/>
  <c r="CB8" i="18"/>
  <c r="DO26" i="18"/>
  <c r="BZ23" i="18"/>
  <c r="DF31" i="18"/>
  <c r="DB23" i="18"/>
  <c r="DA26" i="18"/>
  <c r="CL8" i="18"/>
  <c r="N13" i="8"/>
  <c r="K13" i="8"/>
  <c r="L13" i="8"/>
  <c r="CW29" i="18"/>
  <c r="DM29" i="18"/>
  <c r="DK22" i="18"/>
  <c r="DL29" i="18"/>
  <c r="CP36" i="17"/>
  <c r="CP47" i="18"/>
  <c r="DF23" i="11"/>
  <c r="BI21" i="17"/>
  <c r="BJ20" i="17"/>
  <c r="CJ22" i="17"/>
  <c r="DR29" i="18"/>
  <c r="CG29" i="18"/>
  <c r="CI22" i="18"/>
  <c r="BV29" i="18"/>
  <c r="DI5" i="18"/>
  <c r="CL10" i="18"/>
  <c r="BW47" i="18"/>
  <c r="CG22" i="18"/>
  <c r="DD29" i="17"/>
  <c r="CY29" i="18"/>
  <c r="DL22" i="18"/>
  <c r="P2" i="8"/>
  <c r="CO22" i="17"/>
  <c r="CP30" i="17"/>
  <c r="CP42" i="17"/>
  <c r="CP50" i="17"/>
  <c r="CX29" i="18"/>
  <c r="DQ29" i="18"/>
  <c r="BZ22" i="18"/>
  <c r="BV22" i="18"/>
  <c r="DO10" i="18"/>
  <c r="CC22" i="18"/>
  <c r="DE47" i="18"/>
  <c r="CR47" i="18"/>
  <c r="CD47" i="18"/>
  <c r="CC29" i="18"/>
  <c r="DN22" i="18"/>
  <c r="CD29" i="18"/>
  <c r="CN47" i="18"/>
  <c r="Q9" i="8"/>
  <c r="BL14" i="11"/>
  <c r="BM3" i="17"/>
  <c r="DA3" i="17" s="1"/>
  <c r="BL7" i="17"/>
  <c r="BN7" i="17" s="1"/>
  <c r="CZ7" i="17" s="1"/>
  <c r="BJ22" i="17"/>
  <c r="DP22" i="17" s="1"/>
  <c r="DS29" i="18"/>
  <c r="BY29" i="18"/>
  <c r="CO22" i="18"/>
  <c r="CH8" i="18"/>
  <c r="DJ47" i="18"/>
  <c r="CV47" i="18"/>
  <c r="BY47" i="18"/>
  <c r="BV10" i="18"/>
  <c r="BK20" i="11"/>
  <c r="DA29" i="18"/>
  <c r="CP29" i="18"/>
  <c r="BX22" i="18"/>
  <c r="DC8" i="18"/>
  <c r="DA8" i="18"/>
  <c r="CH29" i="18"/>
  <c r="CP22" i="18"/>
  <c r="DT22" i="18"/>
  <c r="CN10" i="18"/>
  <c r="J6" i="8"/>
  <c r="BO10" i="11"/>
  <c r="DH10" i="11" s="1"/>
  <c r="BJ8" i="17"/>
  <c r="DB29" i="18"/>
  <c r="DM22" i="18"/>
  <c r="DI22" i="18"/>
  <c r="DD8" i="18"/>
  <c r="CG8" i="18"/>
  <c r="DD29" i="18"/>
  <c r="BS22" i="18"/>
  <c r="BY22" i="18"/>
  <c r="CB22" i="18"/>
  <c r="BT29" i="18"/>
  <c r="DF29" i="18"/>
  <c r="DB22" i="18"/>
  <c r="CQ22" i="18"/>
  <c r="BX47" i="18"/>
  <c r="CH47" i="18"/>
  <c r="P14" i="8"/>
  <c r="DT35" i="11"/>
  <c r="DF25" i="11"/>
  <c r="BM4" i="17"/>
  <c r="DN4" i="17" s="1"/>
  <c r="BU29" i="18"/>
  <c r="DJ22" i="18"/>
  <c r="DD15" i="18"/>
  <c r="CL22" i="18"/>
  <c r="DI21" i="18"/>
  <c r="CV8" i="18"/>
  <c r="CI29" i="18"/>
  <c r="CO47" i="18"/>
  <c r="CP48" i="17"/>
  <c r="DQ22" i="18"/>
  <c r="CR29" i="18"/>
  <c r="BT22" i="18"/>
  <c r="BU22" i="18"/>
  <c r="CM29" i="18"/>
  <c r="CZ22" i="18"/>
  <c r="CP28" i="17"/>
  <c r="DD35" i="17"/>
  <c r="DD37" i="17"/>
  <c r="DA22" i="18"/>
  <c r="CM10" i="18"/>
  <c r="CX22" i="18"/>
  <c r="BL3" i="11"/>
  <c r="DJ29" i="18"/>
  <c r="DN29" i="18"/>
  <c r="CW22" i="18"/>
  <c r="CM22" i="18"/>
  <c r="CN29" i="18"/>
  <c r="CU22" i="18"/>
  <c r="CA22" i="18"/>
  <c r="CC47" i="18"/>
  <c r="BZ29" i="18"/>
  <c r="BX29" i="18"/>
  <c r="CD22" i="18"/>
  <c r="DF22" i="18"/>
  <c r="CQ29" i="18"/>
  <c r="DS21" i="18"/>
  <c r="DO22" i="18"/>
  <c r="BY41" i="18"/>
  <c r="CM47" i="18"/>
  <c r="CU47" i="18"/>
  <c r="CY22" i="18"/>
  <c r="DT41" i="11"/>
  <c r="DT33" i="11"/>
  <c r="BK18" i="11"/>
  <c r="CV29" i="18"/>
  <c r="DO29" i="18"/>
  <c r="DC22" i="18"/>
  <c r="BW22" i="18"/>
  <c r="CZ29" i="18"/>
  <c r="BU21" i="18"/>
  <c r="CK22" i="18"/>
  <c r="CJ22" i="18"/>
  <c r="DR8" i="18"/>
  <c r="CK29" i="18"/>
  <c r="DD47" i="18"/>
  <c r="BZ47" i="18"/>
  <c r="BT47" i="18"/>
  <c r="BV47" i="18"/>
  <c r="L5" i="8"/>
  <c r="DO47" i="18"/>
  <c r="CG22" i="17"/>
  <c r="DD26" i="17"/>
  <c r="DR39" i="17"/>
  <c r="DR41" i="17"/>
  <c r="DR43" i="17"/>
  <c r="CP47" i="17"/>
  <c r="DP29" i="18"/>
  <c r="CB29" i="18"/>
  <c r="DD22" i="18"/>
  <c r="CN22" i="18"/>
  <c r="DC29" i="18"/>
  <c r="DJ21" i="18"/>
  <c r="DS22" i="18"/>
  <c r="CJ8" i="18"/>
  <c r="CQ47" i="18"/>
  <c r="DB47" i="18"/>
  <c r="CD29" i="11"/>
  <c r="CH22" i="17"/>
  <c r="CA29" i="18"/>
  <c r="CU29" i="18"/>
  <c r="BV35" i="18"/>
  <c r="CH22" i="18"/>
  <c r="BS29" i="18"/>
  <c r="BX21" i="18"/>
  <c r="DP7" i="18"/>
  <c r="BS34" i="18"/>
  <c r="BU20" i="18"/>
  <c r="DI47" i="18"/>
  <c r="CW47" i="18"/>
  <c r="DS47" i="18"/>
  <c r="CG36" i="18"/>
  <c r="DR49" i="17"/>
  <c r="O6" i="8"/>
  <c r="CJ36" i="18"/>
  <c r="BL5" i="11"/>
  <c r="DF27" i="11"/>
  <c r="BI3" i="17"/>
  <c r="CF22" i="17"/>
  <c r="CB28" i="17"/>
  <c r="CB38" i="17"/>
  <c r="CP36" i="18"/>
  <c r="CQ37" i="18"/>
  <c r="DC31" i="18"/>
  <c r="DF35" i="18"/>
  <c r="DQ35" i="18"/>
  <c r="CB15" i="18"/>
  <c r="CV19" i="18"/>
  <c r="CO5" i="18"/>
  <c r="BS8" i="18"/>
  <c r="DN8" i="18"/>
  <c r="CI8" i="18"/>
  <c r="CM49" i="18"/>
  <c r="CR47" i="11"/>
  <c r="CP27" i="17"/>
  <c r="CB36" i="18"/>
  <c r="CE14" i="18"/>
  <c r="BU15" i="18"/>
  <c r="DF15" i="18"/>
  <c r="DE49" i="18"/>
  <c r="DK36" i="18"/>
  <c r="CD37" i="18"/>
  <c r="BW36" i="18"/>
  <c r="CO35" i="18"/>
  <c r="DB35" i="18"/>
  <c r="BW12" i="18"/>
  <c r="CN15" i="18"/>
  <c r="DM15" i="18"/>
  <c r="DO49" i="18"/>
  <c r="BL12" i="11"/>
  <c r="DF29" i="11"/>
  <c r="CD36" i="18"/>
  <c r="BV15" i="18"/>
  <c r="DP15" i="18"/>
  <c r="CH15" i="18"/>
  <c r="CA49" i="18"/>
  <c r="BS49" i="18"/>
  <c r="DF34" i="11"/>
  <c r="DF39" i="11"/>
  <c r="DF42" i="11"/>
  <c r="DF49" i="11"/>
  <c r="BI17" i="17"/>
  <c r="CL22" i="17"/>
  <c r="CV36" i="18"/>
  <c r="BS37" i="18"/>
  <c r="CX37" i="18"/>
  <c r="CM31" i="18"/>
  <c r="BX35" i="18"/>
  <c r="CO15" i="18"/>
  <c r="DB8" i="18"/>
  <c r="DC5" i="18"/>
  <c r="DM8" i="18"/>
  <c r="CQ8" i="18"/>
  <c r="CY8" i="18"/>
  <c r="BY49" i="18"/>
  <c r="DJ49" i="18"/>
  <c r="CJ49" i="18"/>
  <c r="DF47" i="11"/>
  <c r="BM5" i="17"/>
  <c r="CT5" i="17" s="1"/>
  <c r="DN18" i="17"/>
  <c r="CM22" i="17"/>
  <c r="CP29" i="17"/>
  <c r="DR37" i="17"/>
  <c r="DM36" i="18"/>
  <c r="CU37" i="18"/>
  <c r="DO37" i="18"/>
  <c r="CR31" i="18"/>
  <c r="DA35" i="18"/>
  <c r="DI15" i="18"/>
  <c r="BX8" i="18"/>
  <c r="DT5" i="18"/>
  <c r="CX8" i="18"/>
  <c r="DT8" i="18"/>
  <c r="CP49" i="18"/>
  <c r="DA49" i="18"/>
  <c r="BL13" i="17"/>
  <c r="BN13" i="17" s="1"/>
  <c r="DQ13" i="17" s="1"/>
  <c r="DD34" i="17"/>
  <c r="BI9" i="17"/>
  <c r="BJ23" i="17"/>
  <c r="DD30" i="17"/>
  <c r="DR31" i="17"/>
  <c r="CP33" i="17"/>
  <c r="DR33" i="17"/>
  <c r="CP35" i="17"/>
  <c r="DR35" i="17"/>
  <c r="DD36" i="17"/>
  <c r="CP37" i="17"/>
  <c r="CL36" i="18"/>
  <c r="CZ36" i="18"/>
  <c r="DA37" i="18"/>
  <c r="CM37" i="18"/>
  <c r="BW35" i="18"/>
  <c r="CA35" i="18"/>
  <c r="CK12" i="18"/>
  <c r="CQ15" i="18"/>
  <c r="BT5" i="18"/>
  <c r="CK49" i="18"/>
  <c r="CW49" i="18"/>
  <c r="CP31" i="17"/>
  <c r="DI36" i="18"/>
  <c r="BX15" i="18"/>
  <c r="DE15" i="18"/>
  <c r="DF21" i="11"/>
  <c r="DF26" i="11"/>
  <c r="CB18" i="17"/>
  <c r="CB23" i="17"/>
  <c r="CB24" i="17"/>
  <c r="CB27" i="17"/>
  <c r="DR27" i="17"/>
  <c r="CB33" i="17"/>
  <c r="CB35" i="17"/>
  <c r="DR36" i="18"/>
  <c r="DQ36" i="18"/>
  <c r="CC37" i="18"/>
  <c r="DS36" i="18"/>
  <c r="DA31" i="18"/>
  <c r="DK35" i="18"/>
  <c r="CR35" i="18"/>
  <c r="CM15" i="18"/>
  <c r="DK15" i="18"/>
  <c r="BT8" i="18"/>
  <c r="CD15" i="18"/>
  <c r="BW5" i="18"/>
  <c r="DC35" i="18"/>
  <c r="DB49" i="18"/>
  <c r="CG49" i="18"/>
  <c r="CH49" i="18"/>
  <c r="BV49" i="18"/>
  <c r="M5" i="8"/>
  <c r="CR31" i="11"/>
  <c r="BO16" i="11"/>
  <c r="DI16" i="11" s="1"/>
  <c r="BM6" i="17"/>
  <c r="CT6" i="17" s="1"/>
  <c r="BJ14" i="17"/>
  <c r="BS36" i="18"/>
  <c r="DC37" i="18"/>
  <c r="BV36" i="18"/>
  <c r="CD31" i="18"/>
  <c r="BY35" i="18"/>
  <c r="DJ35" i="18"/>
  <c r="DR15" i="18"/>
  <c r="CG15" i="18"/>
  <c r="CA8" i="18"/>
  <c r="CN8" i="18"/>
  <c r="CY23" i="18"/>
  <c r="BX5" i="18"/>
  <c r="DS49" i="18"/>
  <c r="DD49" i="18"/>
  <c r="CU36" i="18"/>
  <c r="DR29" i="17"/>
  <c r="DR47" i="17"/>
  <c r="I6" i="8"/>
  <c r="CD32" i="11"/>
  <c r="CP40" i="17"/>
  <c r="CQ36" i="18"/>
  <c r="DP35" i="18"/>
  <c r="CB12" i="18"/>
  <c r="E8" i="9"/>
  <c r="CP32" i="17"/>
  <c r="CP34" i="17"/>
  <c r="DT36" i="18"/>
  <c r="DL37" i="18"/>
  <c r="CI31" i="18"/>
  <c r="CH35" i="18"/>
  <c r="CU35" i="18"/>
  <c r="BT15" i="18"/>
  <c r="DO15" i="18"/>
  <c r="CP19" i="18"/>
  <c r="DI8" i="18"/>
  <c r="CA5" i="18"/>
  <c r="BW15" i="18"/>
  <c r="DM7" i="18"/>
  <c r="F14" i="8"/>
  <c r="BI10" i="17"/>
  <c r="DD25" i="17"/>
  <c r="CP26" i="17"/>
  <c r="DD27" i="17"/>
  <c r="BU36" i="18"/>
  <c r="CR37" i="18"/>
  <c r="DO31" i="18"/>
  <c r="DJ31" i="18"/>
  <c r="CJ35" i="18"/>
  <c r="DL35" i="18"/>
  <c r="CY15" i="18"/>
  <c r="BT7" i="18"/>
  <c r="DM19" i="18"/>
  <c r="CO8" i="18"/>
  <c r="BT23" i="18"/>
  <c r="CJ15" i="18"/>
  <c r="CU10" i="18"/>
  <c r="CI5" i="18"/>
  <c r="BZ49" i="18"/>
  <c r="CJ47" i="18"/>
  <c r="DD38" i="17"/>
  <c r="P6" i="8"/>
  <c r="CP44" i="17"/>
  <c r="CC35" i="18"/>
  <c r="BS15" i="18"/>
  <c r="CN49" i="18"/>
  <c r="DT40" i="11"/>
  <c r="DT23" i="11"/>
  <c r="BN14" i="11"/>
  <c r="BP14" i="11" s="1"/>
  <c r="CV14" i="11" s="1"/>
  <c r="DF18" i="11"/>
  <c r="DF38" i="11"/>
  <c r="CW36" i="18"/>
  <c r="DS37" i="18"/>
  <c r="CG31" i="18"/>
  <c r="CL35" i="18"/>
  <c r="CD35" i="18"/>
  <c r="CV15" i="18"/>
  <c r="CL7" i="18"/>
  <c r="CK15" i="18"/>
  <c r="BW8" i="18"/>
  <c r="DE23" i="18"/>
  <c r="CP5" i="18"/>
  <c r="CQ49" i="18"/>
  <c r="DR45" i="17"/>
  <c r="CR27" i="11"/>
  <c r="DF46" i="11"/>
  <c r="CP46" i="17"/>
  <c r="CX19" i="18"/>
  <c r="M13" i="8"/>
  <c r="I12" i="8"/>
  <c r="DT47" i="11"/>
  <c r="CD45" i="11"/>
  <c r="BO8" i="11"/>
  <c r="DL8" i="11" s="1"/>
  <c r="DE36" i="18"/>
  <c r="BW37" i="18"/>
  <c r="CY31" i="18"/>
  <c r="CP35" i="18"/>
  <c r="CG35" i="18"/>
  <c r="BZ15" i="18"/>
  <c r="DD7" i="18"/>
  <c r="CP8" i="18"/>
  <c r="DQ23" i="18"/>
  <c r="DO5" i="18"/>
  <c r="DF49" i="18"/>
  <c r="DI49" i="18"/>
  <c r="CB49" i="18"/>
  <c r="CP39" i="17"/>
  <c r="CP41" i="17"/>
  <c r="DD42" i="17"/>
  <c r="CP43" i="17"/>
  <c r="CP45" i="17"/>
  <c r="CP49" i="17"/>
  <c r="G3" i="8"/>
  <c r="DT36" i="11"/>
  <c r="DT18" i="11"/>
  <c r="DR38" i="17"/>
  <c r="DD45" i="17"/>
  <c r="DD49" i="17"/>
  <c r="CK36" i="18"/>
  <c r="CN37" i="18"/>
  <c r="DS31" i="18"/>
  <c r="CQ35" i="18"/>
  <c r="DO35" i="18"/>
  <c r="DA15" i="18"/>
  <c r="CX7" i="18"/>
  <c r="DJ8" i="18"/>
  <c r="CG23" i="18"/>
  <c r="DS8" i="18"/>
  <c r="CU5" i="18"/>
  <c r="CC49" i="18"/>
  <c r="DK49" i="18"/>
  <c r="CZ49" i="18"/>
  <c r="BS47" i="18"/>
  <c r="DS26" i="18"/>
  <c r="CL26" i="18"/>
  <c r="DT15" i="18"/>
  <c r="DD46" i="17"/>
  <c r="CI36" i="18"/>
  <c r="CP38" i="17"/>
  <c r="CJ37" i="18"/>
  <c r="K11" i="8"/>
  <c r="BN7" i="11"/>
  <c r="BP7" i="11" s="1"/>
  <c r="BZ7" i="11" s="1"/>
  <c r="CD22" i="17"/>
  <c r="DR30" i="17"/>
  <c r="DD31" i="17"/>
  <c r="DD33" i="17"/>
  <c r="DR34" i="17"/>
  <c r="DR36" i="17"/>
  <c r="DL36" i="18"/>
  <c r="DE37" i="18"/>
  <c r="CU31" i="18"/>
  <c r="CW35" i="18"/>
  <c r="CI35" i="18"/>
  <c r="CA15" i="18"/>
  <c r="BY8" i="18"/>
  <c r="CR15" i="18"/>
  <c r="CJ23" i="18"/>
  <c r="CK8" i="18"/>
  <c r="DK8" i="18"/>
  <c r="BY5" i="18"/>
  <c r="DT49" i="18"/>
  <c r="CV49" i="18"/>
  <c r="DL49" i="18"/>
  <c r="DQ49" i="18"/>
  <c r="DF41" i="11"/>
  <c r="CX15" i="18"/>
  <c r="M10" i="8"/>
  <c r="BN15" i="11"/>
  <c r="BP15" i="11" s="1"/>
  <c r="BR15" i="11" s="1"/>
  <c r="DR20" i="17"/>
  <c r="CE22" i="17"/>
  <c r="DR26" i="17"/>
  <c r="BY36" i="18"/>
  <c r="BY37" i="18"/>
  <c r="DB37" i="18"/>
  <c r="DN31" i="18"/>
  <c r="DD35" i="18"/>
  <c r="CZ35" i="18"/>
  <c r="DC15" i="18"/>
  <c r="CZ8" i="18"/>
  <c r="CR8" i="18"/>
  <c r="DM23" i="18"/>
  <c r="CC15" i="18"/>
  <c r="DP8" i="18"/>
  <c r="CA47" i="18"/>
  <c r="DM49" i="18"/>
  <c r="BU47" i="18"/>
  <c r="DT43" i="11"/>
  <c r="F2" i="8"/>
  <c r="N2" i="8"/>
  <c r="I2" i="8"/>
  <c r="J2" i="8"/>
  <c r="CD21" i="11"/>
  <c r="CD42" i="11"/>
  <c r="CD38" i="11"/>
  <c r="CD20" i="11"/>
  <c r="BK9" i="11"/>
  <c r="BL9" i="11"/>
  <c r="CD24" i="11"/>
  <c r="DF22" i="11"/>
  <c r="DD28" i="17"/>
  <c r="CB42" i="17"/>
  <c r="BZ10" i="18"/>
  <c r="J7" i="8"/>
  <c r="O5" i="8"/>
  <c r="M12" i="8"/>
  <c r="DF19" i="11"/>
  <c r="BK23" i="11"/>
  <c r="DR40" i="17"/>
  <c r="DK10" i="18"/>
  <c r="CQ10" i="18"/>
  <c r="CD40" i="11"/>
  <c r="DT44" i="11"/>
  <c r="CR36" i="11"/>
  <c r="CR42" i="11"/>
  <c r="CR49" i="11"/>
  <c r="BK22" i="11"/>
  <c r="DD21" i="17"/>
  <c r="BL8" i="11"/>
  <c r="DF31" i="11"/>
  <c r="BO3" i="11"/>
  <c r="DL18" i="17"/>
  <c r="CP24" i="17"/>
  <c r="CB31" i="17"/>
  <c r="CB37" i="17"/>
  <c r="CB41" i="17"/>
  <c r="CB43" i="17"/>
  <c r="CB45" i="17"/>
  <c r="DP12" i="18"/>
  <c r="DB12" i="18"/>
  <c r="BV7" i="18"/>
  <c r="CP7" i="18"/>
  <c r="BW10" i="18"/>
  <c r="CW5" i="18"/>
  <c r="CR41" i="18"/>
  <c r="CR34" i="18"/>
  <c r="H11" i="8"/>
  <c r="L6" i="8"/>
  <c r="Q10" i="8"/>
  <c r="K2" i="8"/>
  <c r="CD47" i="11"/>
  <c r="H6" i="8"/>
  <c r="G10" i="8"/>
  <c r="CD43" i="11"/>
  <c r="CR21" i="11"/>
  <c r="CR28" i="11"/>
  <c r="CR34" i="11"/>
  <c r="CR41" i="11"/>
  <c r="CR48" i="11"/>
  <c r="BI12" i="17"/>
  <c r="BJ4" i="17"/>
  <c r="DM18" i="17"/>
  <c r="CB25" i="17"/>
  <c r="CB39" i="17"/>
  <c r="CB47" i="17"/>
  <c r="CB49" i="17"/>
  <c r="CR12" i="18"/>
  <c r="CC12" i="18"/>
  <c r="CN7" i="18"/>
  <c r="DD21" i="18"/>
  <c r="CJ10" i="18"/>
  <c r="CV10" i="18"/>
  <c r="DS5" i="18"/>
  <c r="DJ41" i="18"/>
  <c r="CC41" i="18"/>
  <c r="CP19" i="17"/>
  <c r="CB20" i="17"/>
  <c r="DD23" i="17"/>
  <c r="DR10" i="18"/>
  <c r="BV5" i="18"/>
  <c r="G12" i="8"/>
  <c r="H9" i="8"/>
  <c r="L11" i="8"/>
  <c r="DO18" i="17"/>
  <c r="CB29" i="17"/>
  <c r="CN45" i="18"/>
  <c r="BU34" i="18"/>
  <c r="DQ34" i="18"/>
  <c r="CQ34" i="18"/>
  <c r="DL31" i="18"/>
  <c r="BS31" i="18"/>
  <c r="DR12" i="18"/>
  <c r="DO7" i="18"/>
  <c r="CZ19" i="18"/>
  <c r="CB21" i="18"/>
  <c r="DF21" i="18"/>
  <c r="CM5" i="18"/>
  <c r="CA10" i="18"/>
  <c r="CQ5" i="18"/>
  <c r="DK7" i="18"/>
  <c r="CO34" i="18"/>
  <c r="CR43" i="11"/>
  <c r="CD49" i="11"/>
  <c r="K6" i="8"/>
  <c r="J10" i="8"/>
  <c r="CD35" i="11"/>
  <c r="BN11" i="11"/>
  <c r="BP11" i="11" s="1"/>
  <c r="CW11" i="11" s="1"/>
  <c r="BL13" i="11"/>
  <c r="BO13" i="11"/>
  <c r="CY13" i="11" s="1"/>
  <c r="BI11" i="17"/>
  <c r="DP18" i="17"/>
  <c r="DR24" i="17"/>
  <c r="CO31" i="18"/>
  <c r="BV31" i="18"/>
  <c r="BU12" i="18"/>
  <c r="DE19" i="18"/>
  <c r="DN21" i="18"/>
  <c r="CD21" i="18"/>
  <c r="BZ5" i="18"/>
  <c r="DN10" i="18"/>
  <c r="CW10" i="18"/>
  <c r="DM5" i="18"/>
  <c r="DL7" i="18"/>
  <c r="DT31" i="11"/>
  <c r="Q11" i="8"/>
  <c r="DT38" i="11"/>
  <c r="F12" i="8"/>
  <c r="O12" i="8"/>
  <c r="CR40" i="11"/>
  <c r="DR32" i="17"/>
  <c r="DD39" i="17"/>
  <c r="DD47" i="17"/>
  <c r="DA34" i="18"/>
  <c r="CK34" i="18"/>
  <c r="DM31" i="18"/>
  <c r="CN31" i="18"/>
  <c r="CO12" i="18"/>
  <c r="CK19" i="18"/>
  <c r="CI21" i="18"/>
  <c r="CW21" i="18"/>
  <c r="CR5" i="18"/>
  <c r="CX10" i="18"/>
  <c r="CU8" i="18"/>
  <c r="DN5" i="18"/>
  <c r="DI41" i="18"/>
  <c r="CO41" i="18"/>
  <c r="R4" i="8"/>
  <c r="DT34" i="11"/>
  <c r="DT25" i="11"/>
  <c r="CR20" i="11"/>
  <c r="DF33" i="11"/>
  <c r="DT49" i="11"/>
  <c r="CR35" i="11"/>
  <c r="BN17" i="11"/>
  <c r="BP17" i="11" s="1"/>
  <c r="CM17" i="11" s="1"/>
  <c r="DR28" i="17"/>
  <c r="DR42" i="17"/>
  <c r="DR44" i="17"/>
  <c r="DR46" i="17"/>
  <c r="DR50" i="17"/>
  <c r="BW34" i="18"/>
  <c r="DB34" i="18"/>
  <c r="CV31" i="18"/>
  <c r="BT31" i="18"/>
  <c r="CB31" i="18"/>
  <c r="DI12" i="18"/>
  <c r="DA12" i="18"/>
  <c r="DB10" i="18"/>
  <c r="DL5" i="18"/>
  <c r="BU19" i="18"/>
  <c r="DP21" i="18"/>
  <c r="DO21" i="18"/>
  <c r="DK5" i="18"/>
  <c r="DT10" i="18"/>
  <c r="DE8" i="18"/>
  <c r="DA5" i="18"/>
  <c r="DC34" i="18"/>
  <c r="CR49" i="18"/>
  <c r="CI49" i="18"/>
  <c r="CY49" i="18"/>
  <c r="CC10" i="18"/>
  <c r="CD5" i="18"/>
  <c r="DT30" i="11"/>
  <c r="DF35" i="11"/>
  <c r="DR48" i="17"/>
  <c r="CC45" i="18"/>
  <c r="CP12" i="18"/>
  <c r="BS5" i="18"/>
  <c r="DP5" i="18"/>
  <c r="CY10" i="18"/>
  <c r="DD5" i="18"/>
  <c r="CR25" i="11"/>
  <c r="CR32" i="11"/>
  <c r="CR45" i="11"/>
  <c r="DF45" i="11"/>
  <c r="CB26" i="17"/>
  <c r="CB30" i="17"/>
  <c r="CB36" i="17"/>
  <c r="DD43" i="17"/>
  <c r="CG45" i="18"/>
  <c r="DR31" i="18"/>
  <c r="DJ12" i="18"/>
  <c r="DT21" i="18"/>
  <c r="CJ19" i="18"/>
  <c r="BW21" i="18"/>
  <c r="DC21" i="18"/>
  <c r="CG5" i="18"/>
  <c r="CI10" i="18"/>
  <c r="DE5" i="18"/>
  <c r="CH34" i="18"/>
  <c r="N7" i="8"/>
  <c r="M11" i="8"/>
  <c r="BI7" i="17"/>
  <c r="BL12" i="17"/>
  <c r="BN12" i="17" s="1"/>
  <c r="DN12" i="17" s="1"/>
  <c r="CB32" i="17"/>
  <c r="CB44" i="17"/>
  <c r="CB46" i="17"/>
  <c r="CB50" i="17"/>
  <c r="DQ45" i="18"/>
  <c r="DD12" i="18"/>
  <c r="DM12" i="18"/>
  <c r="CC7" i="18"/>
  <c r="DA19" i="18"/>
  <c r="CU21" i="18"/>
  <c r="BY21" i="18"/>
  <c r="DQ5" i="18"/>
  <c r="CZ10" i="18"/>
  <c r="CW8" i="18"/>
  <c r="DF5" i="18"/>
  <c r="DP49" i="18"/>
  <c r="CU49" i="18"/>
  <c r="CL47" i="18"/>
  <c r="Q3" i="8"/>
  <c r="CD41" i="11"/>
  <c r="Q12" i="8"/>
  <c r="M14" i="8"/>
  <c r="N9" i="8"/>
  <c r="L14" i="8"/>
  <c r="DF30" i="11"/>
  <c r="DF50" i="11"/>
  <c r="CB34" i="17"/>
  <c r="CB40" i="17"/>
  <c r="CB48" i="17"/>
  <c r="DS45" i="18"/>
  <c r="DI34" i="18"/>
  <c r="CP34" i="18"/>
  <c r="CW31" i="18"/>
  <c r="DT31" i="18"/>
  <c r="CY35" i="18"/>
  <c r="CV35" i="18"/>
  <c r="CL12" i="18"/>
  <c r="CJ12" i="18"/>
  <c r="CV7" i="18"/>
  <c r="CZ21" i="18"/>
  <c r="DL19" i="18"/>
  <c r="DR21" i="18"/>
  <c r="CP21" i="18"/>
  <c r="CZ5" i="18"/>
  <c r="BZ8" i="18"/>
  <c r="BV23" i="18"/>
  <c r="BS10" i="18"/>
  <c r="CO10" i="18"/>
  <c r="DF8" i="18"/>
  <c r="CK5" i="18"/>
  <c r="CB47" i="18"/>
  <c r="CD49" i="18"/>
  <c r="DN49" i="18"/>
  <c r="DC47" i="18"/>
  <c r="DQ47" i="18"/>
  <c r="CD19" i="11"/>
  <c r="BI18" i="17"/>
  <c r="DD24" i="17"/>
  <c r="DQ41" i="18"/>
  <c r="BX34" i="18"/>
  <c r="DR34" i="18"/>
  <c r="CA31" i="18"/>
  <c r="DD31" i="18"/>
  <c r="BS35" i="18"/>
  <c r="DM35" i="18"/>
  <c r="DC12" i="18"/>
  <c r="DN7" i="18"/>
  <c r="CC21" i="18"/>
  <c r="DR5" i="18"/>
  <c r="DO8" i="18"/>
  <c r="DF23" i="18"/>
  <c r="DF10" i="18"/>
  <c r="CC8" i="18"/>
  <c r="CJ5" i="18"/>
  <c r="BU49" i="18"/>
  <c r="DP47" i="18"/>
  <c r="CX49" i="18"/>
  <c r="DT47" i="18"/>
  <c r="DR47" i="18"/>
  <c r="P7" i="8"/>
  <c r="I11" i="8"/>
  <c r="CD33" i="11"/>
  <c r="CR24" i="11"/>
  <c r="CR30" i="11"/>
  <c r="CR37" i="11"/>
  <c r="CR44" i="11"/>
  <c r="CR50" i="11"/>
  <c r="DF37" i="11"/>
  <c r="DD32" i="17"/>
  <c r="CC34" i="18"/>
  <c r="CZ31" i="18"/>
  <c r="DT12" i="18"/>
  <c r="DB7" i="18"/>
  <c r="DA10" i="18"/>
  <c r="CV21" i="18"/>
  <c r="DA21" i="18"/>
  <c r="BU5" i="18"/>
  <c r="BV8" i="18"/>
  <c r="BW23" i="18"/>
  <c r="CK10" i="18"/>
  <c r="BY10" i="18"/>
  <c r="CC5" i="18"/>
  <c r="CL49" i="18"/>
  <c r="BX49" i="18"/>
  <c r="CG47" i="18"/>
  <c r="DA47" i="18"/>
  <c r="P12" i="8"/>
  <c r="P5" i="8"/>
  <c r="O14" i="8"/>
  <c r="J14" i="8"/>
  <c r="CD50" i="11"/>
  <c r="CR19" i="11"/>
  <c r="CB19" i="17"/>
  <c r="CP20" i="17"/>
  <c r="CB21" i="17"/>
  <c r="DR21" i="17"/>
  <c r="DR23" i="17"/>
  <c r="CP25" i="17"/>
  <c r="DR25" i="17"/>
  <c r="DD40" i="17"/>
  <c r="DD44" i="17"/>
  <c r="DD48" i="17"/>
  <c r="DD50" i="17"/>
  <c r="BW41" i="18"/>
  <c r="CI41" i="18"/>
  <c r="DQ43" i="18"/>
  <c r="CU34" i="18"/>
  <c r="CB37" i="18"/>
  <c r="CL34" i="18"/>
  <c r="DP23" i="18"/>
  <c r="CC31" i="18"/>
  <c r="BU35" i="18"/>
  <c r="CX35" i="18"/>
  <c r="DR23" i="18"/>
  <c r="CK7" i="18"/>
  <c r="CX21" i="18"/>
  <c r="DB21" i="18"/>
  <c r="CW23" i="18"/>
  <c r="CL5" i="18"/>
  <c r="CB23" i="18"/>
  <c r="DJ10" i="18"/>
  <c r="CP10" i="18"/>
  <c r="DB5" i="18"/>
  <c r="CA41" i="18"/>
  <c r="CY21" i="18"/>
  <c r="DC49" i="18"/>
  <c r="CO49" i="18"/>
  <c r="CX47" i="18"/>
  <c r="B3" i="18"/>
  <c r="A3" i="18" s="1"/>
  <c r="B9" i="2"/>
  <c r="A9" i="2" s="1"/>
  <c r="B41" i="2"/>
  <c r="A41" i="2" s="1"/>
  <c r="B18" i="18"/>
  <c r="A18" i="18" s="1"/>
  <c r="CP21" i="17"/>
  <c r="DD20" i="17"/>
  <c r="CB22" i="17"/>
  <c r="DD22" i="17"/>
  <c r="CP23" i="17"/>
  <c r="DD18" i="17"/>
  <c r="DD19" i="17"/>
  <c r="DR19" i="17"/>
  <c r="DK47" i="18"/>
  <c r="DL47" i="18"/>
  <c r="CK47" i="18"/>
  <c r="CI47" i="18"/>
  <c r="DN36" i="18"/>
  <c r="CR36" i="18"/>
  <c r="BU37" i="18"/>
  <c r="CP37" i="18"/>
  <c r="CO36" i="18"/>
  <c r="DP36" i="18"/>
  <c r="CQ31" i="18"/>
  <c r="CH31" i="18"/>
  <c r="BU31" i="18"/>
  <c r="BT12" i="18"/>
  <c r="DO12" i="18"/>
  <c r="BY15" i="18"/>
  <c r="CP15" i="18"/>
  <c r="CJ7" i="18"/>
  <c r="CP18" i="18"/>
  <c r="BT10" i="18"/>
  <c r="DP10" i="18"/>
  <c r="DQ10" i="18"/>
  <c r="CR16" i="18"/>
  <c r="DR22" i="18"/>
  <c r="DP22" i="18"/>
  <c r="CV22" i="18"/>
  <c r="CN36" i="18"/>
  <c r="DJ36" i="18"/>
  <c r="CY37" i="18"/>
  <c r="BT36" i="18"/>
  <c r="DP31" i="18"/>
  <c r="DI31" i="18"/>
  <c r="CL31" i="18"/>
  <c r="CN12" i="18"/>
  <c r="DM10" i="18"/>
  <c r="CZ15" i="18"/>
  <c r="DJ15" i="18"/>
  <c r="DT7" i="18"/>
  <c r="CY13" i="18"/>
  <c r="CU15" i="18"/>
  <c r="BU10" i="18"/>
  <c r="BX10" i="18"/>
  <c r="CO16" i="18"/>
  <c r="CC43" i="18"/>
  <c r="DB13" i="18"/>
  <c r="CG43" i="18"/>
  <c r="DN12" i="18"/>
  <c r="CV12" i="18"/>
  <c r="CA12" i="18"/>
  <c r="CX12" i="18"/>
  <c r="CU12" i="18"/>
  <c r="CI12" i="18"/>
  <c r="CH12" i="18"/>
  <c r="CG12" i="18"/>
  <c r="CD12" i="18"/>
  <c r="BZ12" i="18"/>
  <c r="CW12" i="18"/>
  <c r="DS12" i="18"/>
  <c r="BY12" i="18"/>
  <c r="DL12" i="18"/>
  <c r="BX12" i="18"/>
  <c r="DK12" i="18"/>
  <c r="BS12" i="18"/>
  <c r="CZ12" i="18"/>
  <c r="DF12" i="18"/>
  <c r="DE12" i="18"/>
  <c r="DJ37" i="18"/>
  <c r="DD37" i="18"/>
  <c r="CZ37" i="18"/>
  <c r="CW37" i="18"/>
  <c r="CA37" i="18"/>
  <c r="CH37" i="18"/>
  <c r="BV37" i="18"/>
  <c r="BT37" i="18"/>
  <c r="DQ37" i="18"/>
  <c r="DR37" i="18"/>
  <c r="DF37" i="18"/>
  <c r="DS43" i="18"/>
  <c r="BX42" i="18"/>
  <c r="CS14" i="18"/>
  <c r="DK26" i="18"/>
  <c r="DQ7" i="18"/>
  <c r="DJ7" i="18"/>
  <c r="BX7" i="18"/>
  <c r="CW7" i="18"/>
  <c r="CA7" i="18"/>
  <c r="BZ7" i="18"/>
  <c r="DI7" i="18"/>
  <c r="BW7" i="18"/>
  <c r="DE7" i="18"/>
  <c r="BU7" i="18"/>
  <c r="DA7" i="18"/>
  <c r="CZ7" i="18"/>
  <c r="CY7" i="18"/>
  <c r="CU7" i="18"/>
  <c r="DS7" i="18"/>
  <c r="BY7" i="18"/>
  <c r="CO7" i="18"/>
  <c r="CM7" i="18"/>
  <c r="CH7" i="18"/>
  <c r="CB7" i="18"/>
  <c r="CD7" i="18"/>
  <c r="CR18" i="18"/>
  <c r="CI18" i="18"/>
  <c r="BZ36" i="18"/>
  <c r="CX36" i="18"/>
  <c r="CL37" i="18"/>
  <c r="DM37" i="18"/>
  <c r="DU14" i="18"/>
  <c r="BZ31" i="18"/>
  <c r="CK31" i="18"/>
  <c r="BV12" i="18"/>
  <c r="CL15" i="18"/>
  <c r="CI15" i="18"/>
  <c r="CW15" i="18"/>
  <c r="DR7" i="18"/>
  <c r="DF7" i="18"/>
  <c r="DL15" i="18"/>
  <c r="DF13" i="18"/>
  <c r="DS10" i="18"/>
  <c r="DI10" i="18"/>
  <c r="CB5" i="18"/>
  <c r="CN5" i="18"/>
  <c r="DO23" i="18"/>
  <c r="DK42" i="18"/>
  <c r="DC36" i="18"/>
  <c r="DO36" i="18"/>
  <c r="DP37" i="18"/>
  <c r="CG37" i="18"/>
  <c r="CC36" i="18"/>
  <c r="CP31" i="18"/>
  <c r="CX31" i="18"/>
  <c r="DE31" i="18"/>
  <c r="CM12" i="18"/>
  <c r="DQ15" i="18"/>
  <c r="DB15" i="18"/>
  <c r="DN15" i="18"/>
  <c r="CR7" i="18"/>
  <c r="CG7" i="18"/>
  <c r="CQ7" i="18"/>
  <c r="DQ21" i="18"/>
  <c r="CR10" i="18"/>
  <c r="CH5" i="18"/>
  <c r="CR22" i="18"/>
  <c r="CD10" i="18"/>
  <c r="CJ18" i="18"/>
  <c r="DC13" i="18"/>
  <c r="CB10" i="18"/>
  <c r="CI4" i="18"/>
  <c r="CX5" i="18"/>
  <c r="DN42" i="18"/>
  <c r="DJ4" i="18"/>
  <c r="DQ12" i="18"/>
  <c r="CZ42" i="18"/>
  <c r="CQ18" i="18"/>
  <c r="CK18" i="18"/>
  <c r="BU4" i="18"/>
  <c r="CH36" i="18"/>
  <c r="CY36" i="18"/>
  <c r="CM36" i="18"/>
  <c r="BX36" i="18"/>
  <c r="DD36" i="18"/>
  <c r="DA36" i="18"/>
  <c r="CI7" i="18"/>
  <c r="DD10" i="18"/>
  <c r="DB42" i="18"/>
  <c r="DF42" i="18"/>
  <c r="CL18" i="18"/>
  <c r="CU4" i="18"/>
  <c r="CG10" i="18"/>
  <c r="DD42" i="18"/>
  <c r="CM18" i="18"/>
  <c r="CP4" i="18"/>
  <c r="CH10" i="18"/>
  <c r="CN18" i="18"/>
  <c r="CN4" i="18"/>
  <c r="DE10" i="18"/>
  <c r="DU33" i="18"/>
  <c r="CN42" i="18"/>
  <c r="DN45" i="18"/>
  <c r="DB45" i="18"/>
  <c r="DK43" i="18"/>
  <c r="CZ43" i="18"/>
  <c r="DD43" i="18"/>
  <c r="CW42" i="18"/>
  <c r="CK42" i="18"/>
  <c r="BY46" i="18"/>
  <c r="CW46" i="18"/>
  <c r="CK46" i="18"/>
  <c r="CU44" i="18"/>
  <c r="BS44" i="18"/>
  <c r="CP40" i="18"/>
  <c r="BY40" i="18"/>
  <c r="DE40" i="18"/>
  <c r="CN40" i="18"/>
  <c r="BW40" i="18"/>
  <c r="DD40" i="18"/>
  <c r="CM40" i="18"/>
  <c r="BV40" i="18"/>
  <c r="DT40" i="18"/>
  <c r="DC40" i="18"/>
  <c r="CL40" i="18"/>
  <c r="BU40" i="18"/>
  <c r="DS40" i="18"/>
  <c r="DB40" i="18"/>
  <c r="CK40" i="18"/>
  <c r="BT40" i="18"/>
  <c r="DR40" i="18"/>
  <c r="DA40" i="18"/>
  <c r="CJ40" i="18"/>
  <c r="BS40" i="18"/>
  <c r="DQ40" i="18"/>
  <c r="CZ40" i="18"/>
  <c r="CI40" i="18"/>
  <c r="DP40" i="18"/>
  <c r="CY40" i="18"/>
  <c r="CH40" i="18"/>
  <c r="DO40" i="18"/>
  <c r="CX40" i="18"/>
  <c r="CG40" i="18"/>
  <c r="DM40" i="18"/>
  <c r="CV40" i="18"/>
  <c r="CD40" i="18"/>
  <c r="CB40" i="18"/>
  <c r="DL40" i="18"/>
  <c r="BX40" i="18"/>
  <c r="DJ40" i="18"/>
  <c r="CU40" i="18"/>
  <c r="CR40" i="18"/>
  <c r="CO40" i="18"/>
  <c r="CC40" i="18"/>
  <c r="CA40" i="18"/>
  <c r="BZ40" i="18"/>
  <c r="DK40" i="18"/>
  <c r="DI40" i="18"/>
  <c r="DF40" i="18"/>
  <c r="CQ40" i="18"/>
  <c r="DN40" i="18"/>
  <c r="CW40" i="18"/>
  <c r="DM26" i="18"/>
  <c r="BY19" i="18"/>
  <c r="BV19" i="18"/>
  <c r="CU19" i="18"/>
  <c r="CH13" i="18"/>
  <c r="DN13" i="18"/>
  <c r="BW13" i="18"/>
  <c r="DM18" i="18"/>
  <c r="DC4" i="18"/>
  <c r="BS4" i="18"/>
  <c r="BX4" i="18"/>
  <c r="CL3" i="18"/>
  <c r="CG3" i="18"/>
  <c r="DJ3" i="18"/>
  <c r="DE16" i="18"/>
  <c r="CI16" i="18"/>
  <c r="DS16" i="18"/>
  <c r="CP46" i="18"/>
  <c r="DN46" i="18"/>
  <c r="DB46" i="18"/>
  <c r="DL44" i="18"/>
  <c r="CJ44" i="18"/>
  <c r="DG33" i="18"/>
  <c r="DJ13" i="18"/>
  <c r="CB13" i="18"/>
  <c r="BS3" i="18"/>
  <c r="DQ3" i="18"/>
  <c r="BW3" i="18"/>
  <c r="DP16" i="18"/>
  <c r="DI16" i="18"/>
  <c r="CY16" i="18"/>
  <c r="CQ45" i="18"/>
  <c r="CX45" i="18"/>
  <c r="BU45" i="18"/>
  <c r="CU43" i="18"/>
  <c r="BS43" i="18"/>
  <c r="CG42" i="18"/>
  <c r="DS42" i="18"/>
  <c r="CA43" i="18"/>
  <c r="BZ46" i="18"/>
  <c r="CG46" i="18"/>
  <c r="DS46" i="18"/>
  <c r="BW44" i="18"/>
  <c r="CD44" i="18"/>
  <c r="DA44" i="18"/>
  <c r="DE30" i="18"/>
  <c r="CN30" i="18"/>
  <c r="BW30" i="18"/>
  <c r="DK30" i="18"/>
  <c r="CR30" i="18"/>
  <c r="BZ30" i="18"/>
  <c r="DS30" i="18"/>
  <c r="DA30" i="18"/>
  <c r="CI30" i="18"/>
  <c r="DO30" i="18"/>
  <c r="CW30" i="18"/>
  <c r="CD30" i="18"/>
  <c r="DJ30" i="18"/>
  <c r="CM30" i="18"/>
  <c r="DI30" i="18"/>
  <c r="CL30" i="18"/>
  <c r="DF30" i="18"/>
  <c r="CJ30" i="18"/>
  <c r="DD30" i="18"/>
  <c r="CH30" i="18"/>
  <c r="DB30" i="18"/>
  <c r="DT30" i="18"/>
  <c r="CX30" i="18"/>
  <c r="CA30" i="18"/>
  <c r="DR30" i="18"/>
  <c r="CV30" i="18"/>
  <c r="BY30" i="18"/>
  <c r="DQ30" i="18"/>
  <c r="CU30" i="18"/>
  <c r="BX30" i="18"/>
  <c r="DN30" i="18"/>
  <c r="CQ30" i="18"/>
  <c r="BU30" i="18"/>
  <c r="DM30" i="18"/>
  <c r="CP30" i="18"/>
  <c r="BT30" i="18"/>
  <c r="DL30" i="18"/>
  <c r="CO30" i="18"/>
  <c r="BS30" i="18"/>
  <c r="DP30" i="18"/>
  <c r="DC30" i="18"/>
  <c r="CZ30" i="18"/>
  <c r="CG30" i="18"/>
  <c r="CC30" i="18"/>
  <c r="CB30" i="18"/>
  <c r="BV30" i="18"/>
  <c r="CK30" i="18"/>
  <c r="CY30" i="18"/>
  <c r="BZ19" i="18"/>
  <c r="DK19" i="18"/>
  <c r="DQ13" i="18"/>
  <c r="CO13" i="18"/>
  <c r="CV13" i="18"/>
  <c r="DO18" i="18"/>
  <c r="DD4" i="18"/>
  <c r="CR4" i="18"/>
  <c r="DI4" i="18"/>
  <c r="CN3" i="18"/>
  <c r="BY3" i="18"/>
  <c r="CO3" i="18"/>
  <c r="BS16" i="18"/>
  <c r="CJ16" i="18"/>
  <c r="DT16" i="18"/>
  <c r="DI45" i="18"/>
  <c r="DO45" i="18"/>
  <c r="CL45" i="18"/>
  <c r="DL43" i="18"/>
  <c r="CJ43" i="18"/>
  <c r="CX42" i="18"/>
  <c r="BU42" i="18"/>
  <c r="CO42" i="18"/>
  <c r="CQ46" i="18"/>
  <c r="CX46" i="18"/>
  <c r="BU46" i="18"/>
  <c r="CE33" i="18"/>
  <c r="BY44" i="18"/>
  <c r="CV44" i="18"/>
  <c r="DR44" i="18"/>
  <c r="DF45" i="18"/>
  <c r="DC19" i="18"/>
  <c r="BW19" i="18"/>
  <c r="CP13" i="18"/>
  <c r="DO13" i="18"/>
  <c r="DR19" i="18"/>
  <c r="CJ4" i="18"/>
  <c r="DN4" i="18"/>
  <c r="CD4" i="18"/>
  <c r="DL3" i="18"/>
  <c r="CB3" i="18"/>
  <c r="CD3" i="18"/>
  <c r="BW16" i="18"/>
  <c r="DK16" i="18"/>
  <c r="CG16" i="18"/>
  <c r="CA45" i="18"/>
  <c r="CH45" i="18"/>
  <c r="DC45" i="18"/>
  <c r="CD43" i="18"/>
  <c r="DA43" i="18"/>
  <c r="DO42" i="18"/>
  <c r="CL42" i="18"/>
  <c r="DI46" i="18"/>
  <c r="DO46" i="18"/>
  <c r="CL46" i="18"/>
  <c r="CO44" i="18"/>
  <c r="DM44" i="18"/>
  <c r="BT44" i="18"/>
  <c r="DP17" i="18"/>
  <c r="CY17" i="18"/>
  <c r="CH17" i="18"/>
  <c r="DO17" i="18"/>
  <c r="CW17" i="18"/>
  <c r="CD17" i="18"/>
  <c r="DQ17" i="18"/>
  <c r="CX17" i="18"/>
  <c r="DL17" i="18"/>
  <c r="CQ17" i="18"/>
  <c r="BW17" i="18"/>
  <c r="DK17" i="18"/>
  <c r="CP17" i="18"/>
  <c r="BV17" i="18"/>
  <c r="DJ17" i="18"/>
  <c r="CO17" i="18"/>
  <c r="BU17" i="18"/>
  <c r="DI17" i="18"/>
  <c r="CN17" i="18"/>
  <c r="BT17" i="18"/>
  <c r="DC17" i="18"/>
  <c r="CI17" i="18"/>
  <c r="DE17" i="18"/>
  <c r="CA17" i="18"/>
  <c r="DD17" i="18"/>
  <c r="BZ17" i="18"/>
  <c r="DB17" i="18"/>
  <c r="BY17" i="18"/>
  <c r="DA17" i="18"/>
  <c r="BX17" i="18"/>
  <c r="CZ17" i="18"/>
  <c r="BS17" i="18"/>
  <c r="CV17" i="18"/>
  <c r="CU17" i="18"/>
  <c r="DT17" i="18"/>
  <c r="CM17" i="18"/>
  <c r="DS17" i="18"/>
  <c r="CL17" i="18"/>
  <c r="DM17" i="18"/>
  <c r="DR17" i="18"/>
  <c r="DN17" i="18"/>
  <c r="DF17" i="18"/>
  <c r="CR17" i="18"/>
  <c r="CK17" i="18"/>
  <c r="CJ17" i="18"/>
  <c r="CG17" i="18"/>
  <c r="CC17" i="18"/>
  <c r="CB17" i="18"/>
  <c r="CA19" i="18"/>
  <c r="CD13" i="18"/>
  <c r="DT13" i="18"/>
  <c r="CC13" i="18"/>
  <c r="DP18" i="18"/>
  <c r="DR18" i="18"/>
  <c r="DF4" i="18"/>
  <c r="CV4" i="18"/>
  <c r="CW4" i="18"/>
  <c r="CH3" i="18"/>
  <c r="CZ3" i="18"/>
  <c r="CW3" i="18"/>
  <c r="BX16" i="18"/>
  <c r="CK16" i="18"/>
  <c r="CZ16" i="18"/>
  <c r="CR45" i="18"/>
  <c r="CY45" i="18"/>
  <c r="DT45" i="18"/>
  <c r="CV43" i="18"/>
  <c r="DR43" i="18"/>
  <c r="BZ42" i="18"/>
  <c r="CH42" i="18"/>
  <c r="DC42" i="18"/>
  <c r="CA46" i="18"/>
  <c r="CH46" i="18"/>
  <c r="DC46" i="18"/>
  <c r="DE44" i="18"/>
  <c r="CW44" i="18"/>
  <c r="CK44" i="18"/>
  <c r="DJ28" i="18"/>
  <c r="CR28" i="18"/>
  <c r="CA28" i="18"/>
  <c r="DP28" i="18"/>
  <c r="CX28" i="18"/>
  <c r="DL28" i="18"/>
  <c r="BZ28" i="18"/>
  <c r="DE28" i="18"/>
  <c r="CK28" i="18"/>
  <c r="DD28" i="18"/>
  <c r="CJ28" i="18"/>
  <c r="DB28" i="18"/>
  <c r="CH28" i="18"/>
  <c r="DS28" i="18"/>
  <c r="CY28" i="18"/>
  <c r="CC28" i="18"/>
  <c r="DN28" i="18"/>
  <c r="CQ28" i="18"/>
  <c r="BW28" i="18"/>
  <c r="DM28" i="18"/>
  <c r="CP28" i="18"/>
  <c r="BV28" i="18"/>
  <c r="DI28" i="18"/>
  <c r="CN28" i="18"/>
  <c r="BT28" i="18"/>
  <c r="CM28" i="18"/>
  <c r="BS28" i="18"/>
  <c r="DF28" i="18"/>
  <c r="CL28" i="18"/>
  <c r="DQ28" i="18"/>
  <c r="BU28" i="18"/>
  <c r="DO28" i="18"/>
  <c r="DK28" i="18"/>
  <c r="DC28" i="18"/>
  <c r="DA28" i="18"/>
  <c r="CU28" i="18"/>
  <c r="CO28" i="18"/>
  <c r="CI28" i="18"/>
  <c r="CG28" i="18"/>
  <c r="BX28" i="18"/>
  <c r="DT28" i="18"/>
  <c r="DR28" i="18"/>
  <c r="CZ28" i="18"/>
  <c r="CD28" i="18"/>
  <c r="CB28" i="18"/>
  <c r="BY28" i="18"/>
  <c r="CW28" i="18"/>
  <c r="CV28" i="18"/>
  <c r="DG18" i="18"/>
  <c r="DO19" i="18"/>
  <c r="DI19" i="18"/>
  <c r="CW19" i="18"/>
  <c r="CQ13" i="18"/>
  <c r="CW13" i="18"/>
  <c r="DD13" i="18"/>
  <c r="CA4" i="18"/>
  <c r="CO4" i="18"/>
  <c r="DO4" i="18"/>
  <c r="CI3" i="18"/>
  <c r="DD3" i="18"/>
  <c r="DO3" i="18"/>
  <c r="BY16" i="18"/>
  <c r="DL16" i="18"/>
  <c r="CD16" i="18"/>
  <c r="DJ45" i="18"/>
  <c r="DP45" i="18"/>
  <c r="BV45" i="18"/>
  <c r="DM43" i="18"/>
  <c r="BT43" i="18"/>
  <c r="CQ42" i="18"/>
  <c r="CY42" i="18"/>
  <c r="DT42" i="18"/>
  <c r="CR43" i="18"/>
  <c r="CR46" i="18"/>
  <c r="CY46" i="18"/>
  <c r="DT46" i="18"/>
  <c r="BX44" i="18"/>
  <c r="DN44" i="18"/>
  <c r="DB44" i="18"/>
  <c r="CB19" i="18"/>
  <c r="BX19" i="18"/>
  <c r="CR13" i="18"/>
  <c r="DP13" i="18"/>
  <c r="CL4" i="18"/>
  <c r="BV4" i="18"/>
  <c r="CX4" i="18"/>
  <c r="CP3" i="18"/>
  <c r="DM3" i="18"/>
  <c r="CX3" i="18"/>
  <c r="CM16" i="18"/>
  <c r="CL16" i="18"/>
  <c r="CV16" i="18"/>
  <c r="CB45" i="18"/>
  <c r="CI45" i="18"/>
  <c r="CM45" i="18"/>
  <c r="CW43" i="18"/>
  <c r="CK43" i="18"/>
  <c r="DI42" i="18"/>
  <c r="DP42" i="18"/>
  <c r="BV42" i="18"/>
  <c r="DJ39" i="18"/>
  <c r="CR39" i="18"/>
  <c r="CA39" i="18"/>
  <c r="CP39" i="18"/>
  <c r="BY39" i="18"/>
  <c r="DE39" i="18"/>
  <c r="CN39" i="18"/>
  <c r="BW39" i="18"/>
  <c r="DD39" i="18"/>
  <c r="CM39" i="18"/>
  <c r="BV39" i="18"/>
  <c r="DT39" i="18"/>
  <c r="DC39" i="18"/>
  <c r="CL39" i="18"/>
  <c r="BU39" i="18"/>
  <c r="DS39" i="18"/>
  <c r="DB39" i="18"/>
  <c r="CK39" i="18"/>
  <c r="BT39" i="18"/>
  <c r="DR39" i="18"/>
  <c r="DA39" i="18"/>
  <c r="CJ39" i="18"/>
  <c r="BS39" i="18"/>
  <c r="DQ39" i="18"/>
  <c r="CZ39" i="18"/>
  <c r="CI39" i="18"/>
  <c r="DO39" i="18"/>
  <c r="CX39" i="18"/>
  <c r="CG39" i="18"/>
  <c r="DK39" i="18"/>
  <c r="BX39" i="18"/>
  <c r="CY39" i="18"/>
  <c r="CV39" i="18"/>
  <c r="CO39" i="18"/>
  <c r="DN39" i="18"/>
  <c r="CC39" i="18"/>
  <c r="DL39" i="18"/>
  <c r="BZ39" i="18"/>
  <c r="CQ39" i="18"/>
  <c r="CH39" i="18"/>
  <c r="CB39" i="18"/>
  <c r="DP39" i="18"/>
  <c r="DM39" i="18"/>
  <c r="DI39" i="18"/>
  <c r="CW39" i="18"/>
  <c r="CU39" i="18"/>
  <c r="DF39" i="18"/>
  <c r="CD39" i="18"/>
  <c r="DJ46" i="18"/>
  <c r="DP46" i="18"/>
  <c r="BV46" i="18"/>
  <c r="BZ44" i="18"/>
  <c r="CG44" i="18"/>
  <c r="DS44" i="18"/>
  <c r="DP25" i="18"/>
  <c r="CY25" i="18"/>
  <c r="CH25" i="18"/>
  <c r="DM25" i="18"/>
  <c r="CU25" i="18"/>
  <c r="CB25" i="18"/>
  <c r="DF25" i="18"/>
  <c r="CN25" i="18"/>
  <c r="BV25" i="18"/>
  <c r="DQ25" i="18"/>
  <c r="CX25" i="18"/>
  <c r="DO25" i="18"/>
  <c r="CW25" i="18"/>
  <c r="CD25" i="18"/>
  <c r="DN25" i="18"/>
  <c r="CV25" i="18"/>
  <c r="CC25" i="18"/>
  <c r="DD25" i="18"/>
  <c r="CA25" i="18"/>
  <c r="DC25" i="18"/>
  <c r="BZ25" i="18"/>
  <c r="DB25" i="18"/>
  <c r="BY25" i="18"/>
  <c r="DA25" i="18"/>
  <c r="BX25" i="18"/>
  <c r="CZ25" i="18"/>
  <c r="BW25" i="18"/>
  <c r="DS25" i="18"/>
  <c r="CP25" i="18"/>
  <c r="DR25" i="18"/>
  <c r="CO25" i="18"/>
  <c r="DK25" i="18"/>
  <c r="DE25" i="18"/>
  <c r="CQ25" i="18"/>
  <c r="CM25" i="18"/>
  <c r="CL25" i="18"/>
  <c r="CK25" i="18"/>
  <c r="CJ25" i="18"/>
  <c r="CI25" i="18"/>
  <c r="CG25" i="18"/>
  <c r="DL25" i="18"/>
  <c r="BS25" i="18"/>
  <c r="DJ25" i="18"/>
  <c r="DI25" i="18"/>
  <c r="BU25" i="18"/>
  <c r="BT25" i="18"/>
  <c r="CR25" i="18"/>
  <c r="DT25" i="18"/>
  <c r="DR6" i="18"/>
  <c r="DA6" i="18"/>
  <c r="CJ6" i="18"/>
  <c r="BS6" i="18"/>
  <c r="DC6" i="18"/>
  <c r="CK6" i="18"/>
  <c r="DB6" i="18"/>
  <c r="DS6" i="18"/>
  <c r="CH6" i="18"/>
  <c r="DT6" i="18"/>
  <c r="CI6" i="18"/>
  <c r="CZ6" i="18"/>
  <c r="DM6" i="18"/>
  <c r="CU6" i="18"/>
  <c r="CB6" i="18"/>
  <c r="CR6" i="18"/>
  <c r="BU6" i="18"/>
  <c r="CP6" i="18"/>
  <c r="DL6" i="18"/>
  <c r="CO6" i="18"/>
  <c r="DK6" i="18"/>
  <c r="CN6" i="18"/>
  <c r="DI6" i="18"/>
  <c r="CA6" i="18"/>
  <c r="BT6" i="18"/>
  <c r="DJ6" i="18"/>
  <c r="CM6" i="18"/>
  <c r="CC6" i="18"/>
  <c r="DN6" i="18"/>
  <c r="CL6" i="18"/>
  <c r="CG6" i="18"/>
  <c r="DF6" i="18"/>
  <c r="CD6" i="18"/>
  <c r="DD6" i="18"/>
  <c r="CY6" i="18"/>
  <c r="DO6" i="18"/>
  <c r="DE6" i="18"/>
  <c r="CQ6" i="18"/>
  <c r="CX6" i="18"/>
  <c r="BZ6" i="18"/>
  <c r="CW6" i="18"/>
  <c r="BY6" i="18"/>
  <c r="CV6" i="18"/>
  <c r="BX6" i="18"/>
  <c r="DQ6" i="18"/>
  <c r="BW6" i="18"/>
  <c r="DP6" i="18"/>
  <c r="BV6" i="18"/>
  <c r="BX13" i="18"/>
  <c r="DF19" i="18"/>
  <c r="CR19" i="18"/>
  <c r="CX13" i="18"/>
  <c r="BT13" i="18"/>
  <c r="DK18" i="18"/>
  <c r="DQ18" i="18"/>
  <c r="DK4" i="18"/>
  <c r="DQ4" i="18"/>
  <c r="DP4" i="18"/>
  <c r="BT3" i="18"/>
  <c r="DN3" i="18"/>
  <c r="DP3" i="18"/>
  <c r="CN16" i="18"/>
  <c r="DO16" i="18"/>
  <c r="DN16" i="18"/>
  <c r="DK45" i="18"/>
  <c r="CZ45" i="18"/>
  <c r="DD45" i="18"/>
  <c r="DN43" i="18"/>
  <c r="DB43" i="18"/>
  <c r="CB42" i="18"/>
  <c r="CI42" i="18"/>
  <c r="CM42" i="18"/>
  <c r="CB46" i="18"/>
  <c r="CI46" i="18"/>
  <c r="CM46" i="18"/>
  <c r="CQ44" i="18"/>
  <c r="CX44" i="18"/>
  <c r="BU44" i="18"/>
  <c r="CD19" i="18"/>
  <c r="DN19" i="18"/>
  <c r="BV13" i="18"/>
  <c r="CG19" i="18"/>
  <c r="DQ19" i="18"/>
  <c r="CK4" i="18"/>
  <c r="BY4" i="18"/>
  <c r="BW4" i="18"/>
  <c r="BU3" i="18"/>
  <c r="BX3" i="18"/>
  <c r="BZ3" i="18"/>
  <c r="CP16" i="18"/>
  <c r="BV16" i="18"/>
  <c r="CC16" i="18"/>
  <c r="DK46" i="18"/>
  <c r="CZ46" i="18"/>
  <c r="DI44" i="18"/>
  <c r="DO44" i="18"/>
  <c r="CL44" i="18"/>
  <c r="DN18" i="18"/>
  <c r="BV3" i="18"/>
  <c r="DS3" i="18"/>
  <c r="CQ3" i="18"/>
  <c r="DF46" i="18"/>
  <c r="CN46" i="18"/>
  <c r="BX46" i="18"/>
  <c r="CU45" i="18"/>
  <c r="CX43" i="18"/>
  <c r="BU43" i="18"/>
  <c r="CC42" i="18"/>
  <c r="DQ42" i="18"/>
  <c r="DF44" i="18"/>
  <c r="CC46" i="18"/>
  <c r="DQ46" i="18"/>
  <c r="CP44" i="18"/>
  <c r="CA44" i="18"/>
  <c r="CH44" i="18"/>
  <c r="DC44" i="18"/>
  <c r="DL38" i="18"/>
  <c r="CU38" i="18"/>
  <c r="CC38" i="18"/>
  <c r="DJ38" i="18"/>
  <c r="CR38" i="18"/>
  <c r="CA38" i="18"/>
  <c r="CP38" i="18"/>
  <c r="BY38" i="18"/>
  <c r="DE38" i="18"/>
  <c r="CN38" i="18"/>
  <c r="BW38" i="18"/>
  <c r="DD38" i="18"/>
  <c r="CM38" i="18"/>
  <c r="BV38" i="18"/>
  <c r="DT38" i="18"/>
  <c r="DC38" i="18"/>
  <c r="CL38" i="18"/>
  <c r="BU38" i="18"/>
  <c r="DS38" i="18"/>
  <c r="DB38" i="18"/>
  <c r="CK38" i="18"/>
  <c r="BT38" i="18"/>
  <c r="DQ38" i="18"/>
  <c r="CZ38" i="18"/>
  <c r="CI38" i="18"/>
  <c r="DK38" i="18"/>
  <c r="CB38" i="18"/>
  <c r="DA38" i="18"/>
  <c r="BS38" i="18"/>
  <c r="CX38" i="18"/>
  <c r="CQ38" i="18"/>
  <c r="DR38" i="18"/>
  <c r="CJ38" i="18"/>
  <c r="DO38" i="18"/>
  <c r="CG38" i="18"/>
  <c r="DM38" i="18"/>
  <c r="CD38" i="18"/>
  <c r="DF38" i="18"/>
  <c r="CY38" i="18"/>
  <c r="CV38" i="18"/>
  <c r="CO38" i="18"/>
  <c r="CH38" i="18"/>
  <c r="BX38" i="18"/>
  <c r="DP38" i="18"/>
  <c r="DN38" i="18"/>
  <c r="DI38" i="18"/>
  <c r="CW38" i="18"/>
  <c r="BZ38" i="18"/>
  <c r="CL13" i="18"/>
  <c r="DL13" i="18"/>
  <c r="DK13" i="18"/>
  <c r="CZ13" i="18"/>
  <c r="CM13" i="18"/>
  <c r="DP19" i="18"/>
  <c r="DB19" i="18"/>
  <c r="BU13" i="18"/>
  <c r="DS13" i="18"/>
  <c r="DS18" i="18"/>
  <c r="CL19" i="18"/>
  <c r="CM4" i="18"/>
  <c r="DR4" i="18"/>
  <c r="DE4" i="18"/>
  <c r="CR3" i="18"/>
  <c r="DT3" i="18"/>
  <c r="DI3" i="18"/>
  <c r="BT16" i="18"/>
  <c r="DJ16" i="18"/>
  <c r="DM16" i="18"/>
  <c r="DE45" i="18"/>
  <c r="CO45" i="18"/>
  <c r="BX45" i="18"/>
  <c r="BW45" i="18"/>
  <c r="DL45" i="18"/>
  <c r="CJ45" i="18"/>
  <c r="BZ43" i="18"/>
  <c r="DO43" i="18"/>
  <c r="CL43" i="18"/>
  <c r="CU42" i="18"/>
  <c r="BS42" i="18"/>
  <c r="CU46" i="18"/>
  <c r="BS46" i="18"/>
  <c r="CR44" i="18"/>
  <c r="CY44" i="18"/>
  <c r="DT44" i="18"/>
  <c r="CI13" i="18"/>
  <c r="CN19" i="18"/>
  <c r="CH19" i="18"/>
  <c r="DT19" i="18"/>
  <c r="CN13" i="18"/>
  <c r="BS13" i="18"/>
  <c r="DE13" i="18"/>
  <c r="DT4" i="18"/>
  <c r="DL4" i="18"/>
  <c r="DS4" i="18"/>
  <c r="DB3" i="18"/>
  <c r="CU3" i="18"/>
  <c r="CC3" i="18"/>
  <c r="BY13" i="18"/>
  <c r="BU16" i="18"/>
  <c r="CA16" i="18"/>
  <c r="DA16" i="18"/>
  <c r="CD45" i="18"/>
  <c r="DA45" i="18"/>
  <c r="CQ43" i="18"/>
  <c r="CH43" i="18"/>
  <c r="DL42" i="18"/>
  <c r="CJ42" i="18"/>
  <c r="CP45" i="18"/>
  <c r="DL46" i="18"/>
  <c r="CJ46" i="18"/>
  <c r="DJ44" i="18"/>
  <c r="DP44" i="18"/>
  <c r="BV44" i="18"/>
  <c r="DG14" i="18"/>
  <c r="CE9" i="18"/>
  <c r="DF11" i="18"/>
  <c r="CO11" i="18"/>
  <c r="BX11" i="18"/>
  <c r="DE11" i="18"/>
  <c r="CN11" i="18"/>
  <c r="BW11" i="18"/>
  <c r="DD11" i="18"/>
  <c r="CM11" i="18"/>
  <c r="BV11" i="18"/>
  <c r="DO11" i="18"/>
  <c r="CX11" i="18"/>
  <c r="CG11" i="18"/>
  <c r="DQ11" i="18"/>
  <c r="CU11" i="18"/>
  <c r="BY11" i="18"/>
  <c r="DP11" i="18"/>
  <c r="BU11" i="18"/>
  <c r="DN11" i="18"/>
  <c r="CR11" i="18"/>
  <c r="BT11" i="18"/>
  <c r="DM11" i="18"/>
  <c r="CQ11" i="18"/>
  <c r="BS11" i="18"/>
  <c r="CL11" i="18"/>
  <c r="DL11" i="18"/>
  <c r="CP11" i="18"/>
  <c r="DK11" i="18"/>
  <c r="DC11" i="18"/>
  <c r="CH11" i="18"/>
  <c r="DB11" i="18"/>
  <c r="DS11" i="18"/>
  <c r="DT11" i="18"/>
  <c r="DR11" i="18"/>
  <c r="BZ11" i="18"/>
  <c r="DJ11" i="18"/>
  <c r="DI11" i="18"/>
  <c r="CZ11" i="18"/>
  <c r="CK11" i="18"/>
  <c r="DA11" i="18"/>
  <c r="CY11" i="18"/>
  <c r="CV11" i="18"/>
  <c r="CW11" i="18"/>
  <c r="CJ11" i="18"/>
  <c r="CI11" i="18"/>
  <c r="CD11" i="18"/>
  <c r="CC11" i="18"/>
  <c r="CB11" i="18"/>
  <c r="CA11" i="18"/>
  <c r="BS19" i="18"/>
  <c r="DD19" i="18"/>
  <c r="CI19" i="18"/>
  <c r="BZ13" i="18"/>
  <c r="CJ13" i="18"/>
  <c r="CZ4" i="18"/>
  <c r="BT4" i="18"/>
  <c r="CY4" i="18"/>
  <c r="DE3" i="18"/>
  <c r="DR3" i="18"/>
  <c r="DA3" i="18"/>
  <c r="DB16" i="18"/>
  <c r="CW16" i="18"/>
  <c r="DR16" i="18"/>
  <c r="DF43" i="18"/>
  <c r="CP43" i="18"/>
  <c r="CN43" i="18"/>
  <c r="BW43" i="18"/>
  <c r="DE43" i="18"/>
  <c r="BX43" i="18"/>
  <c r="CV45" i="18"/>
  <c r="DR45" i="18"/>
  <c r="DI43" i="18"/>
  <c r="CY43" i="18"/>
  <c r="DT43" i="18"/>
  <c r="CD42" i="18"/>
  <c r="CO43" i="18"/>
  <c r="CS33" i="18"/>
  <c r="DE46" i="18"/>
  <c r="CD46" i="18"/>
  <c r="DA46" i="18"/>
  <c r="CB44" i="18"/>
  <c r="CI44" i="18"/>
  <c r="CM44" i="18"/>
  <c r="DR24" i="18"/>
  <c r="DA24" i="18"/>
  <c r="CJ24" i="18"/>
  <c r="BS24" i="18"/>
  <c r="DK24" i="18"/>
  <c r="CR24" i="18"/>
  <c r="BZ24" i="18"/>
  <c r="DD24" i="18"/>
  <c r="CL24" i="18"/>
  <c r="BT24" i="18"/>
  <c r="DN24" i="18"/>
  <c r="CV24" i="18"/>
  <c r="CC24" i="18"/>
  <c r="DM24" i="18"/>
  <c r="CU24" i="18"/>
  <c r="CB24" i="18"/>
  <c r="DL24" i="18"/>
  <c r="CA24" i="18"/>
  <c r="CW24" i="18"/>
  <c r="BU24" i="18"/>
  <c r="DT24" i="18"/>
  <c r="CQ24" i="18"/>
  <c r="DS24" i="18"/>
  <c r="CP24" i="18"/>
  <c r="DQ24" i="18"/>
  <c r="CO24" i="18"/>
  <c r="DI24" i="18"/>
  <c r="CI24" i="18"/>
  <c r="CH24" i="18"/>
  <c r="CM24" i="18"/>
  <c r="CK24" i="18"/>
  <c r="CD24" i="18"/>
  <c r="DP24" i="18"/>
  <c r="BY24" i="18"/>
  <c r="DO24" i="18"/>
  <c r="BX24" i="18"/>
  <c r="DJ24" i="18"/>
  <c r="BW24" i="18"/>
  <c r="DF24" i="18"/>
  <c r="BV24" i="18"/>
  <c r="DE24" i="18"/>
  <c r="DC24" i="18"/>
  <c r="CY24" i="18"/>
  <c r="CX24" i="18"/>
  <c r="CN24" i="18"/>
  <c r="CZ24" i="18"/>
  <c r="DB24" i="18"/>
  <c r="CG24" i="18"/>
  <c r="DM13" i="18"/>
  <c r="DA13" i="18"/>
  <c r="DT18" i="18"/>
  <c r="CC4" i="18"/>
  <c r="CQ4" i="18"/>
  <c r="CB4" i="18"/>
  <c r="DF3" i="18"/>
  <c r="CV3" i="18"/>
  <c r="DC3" i="18"/>
  <c r="DC16" i="18"/>
  <c r="BZ16" i="18"/>
  <c r="DQ16" i="18"/>
  <c r="DJ42" i="18"/>
  <c r="DE42" i="18"/>
  <c r="CA42" i="18"/>
  <c r="BY42" i="18"/>
  <c r="BW42" i="18"/>
  <c r="CP42" i="18"/>
  <c r="BY45" i="18"/>
  <c r="DM45" i="18"/>
  <c r="BT45" i="18"/>
  <c r="DJ43" i="18"/>
  <c r="DP43" i="18"/>
  <c r="BV43" i="18"/>
  <c r="CV42" i="18"/>
  <c r="DR42" i="18"/>
  <c r="CR42" i="18"/>
  <c r="BW46" i="18"/>
  <c r="CV46" i="18"/>
  <c r="DR46" i="18"/>
  <c r="DK44" i="18"/>
  <c r="CZ44" i="18"/>
  <c r="DD44" i="18"/>
  <c r="CM19" i="18"/>
  <c r="BT19" i="18"/>
  <c r="CO19" i="18"/>
  <c r="DS19" i="18"/>
  <c r="CG13" i="18"/>
  <c r="CA13" i="18"/>
  <c r="DR13" i="18"/>
  <c r="DB4" i="18"/>
  <c r="DM4" i="18"/>
  <c r="DA4" i="18"/>
  <c r="CM3" i="18"/>
  <c r="CA3" i="18"/>
  <c r="CJ3" i="18"/>
  <c r="CQ16" i="18"/>
  <c r="DF16" i="18"/>
  <c r="CB16" i="18"/>
  <c r="BY43" i="18"/>
  <c r="CW45" i="18"/>
  <c r="CK45" i="18"/>
  <c r="CB43" i="18"/>
  <c r="CI43" i="18"/>
  <c r="CM43" i="18"/>
  <c r="DM42" i="18"/>
  <c r="BT42" i="18"/>
  <c r="DD32" i="18"/>
  <c r="CM32" i="18"/>
  <c r="BV32" i="18"/>
  <c r="DS32" i="18"/>
  <c r="DB32" i="18"/>
  <c r="CK32" i="18"/>
  <c r="BT32" i="18"/>
  <c r="DR32" i="18"/>
  <c r="DA32" i="18"/>
  <c r="CJ32" i="18"/>
  <c r="BS32" i="18"/>
  <c r="DP32" i="18"/>
  <c r="CY32" i="18"/>
  <c r="CH32" i="18"/>
  <c r="DK32" i="18"/>
  <c r="CO32" i="18"/>
  <c r="DC32" i="18"/>
  <c r="CD32" i="18"/>
  <c r="CX32" i="18"/>
  <c r="CB32" i="18"/>
  <c r="DO32" i="18"/>
  <c r="BX32" i="18"/>
  <c r="CU32" i="18"/>
  <c r="CR32" i="18"/>
  <c r="DT32" i="18"/>
  <c r="CP32" i="18"/>
  <c r="DQ32" i="18"/>
  <c r="CN32" i="18"/>
  <c r="DN32" i="18"/>
  <c r="CL32" i="18"/>
  <c r="DM32" i="18"/>
  <c r="CI32" i="18"/>
  <c r="DL32" i="18"/>
  <c r="CG32" i="18"/>
  <c r="DI32" i="18"/>
  <c r="CC32" i="18"/>
  <c r="CA32" i="18"/>
  <c r="DF32" i="18"/>
  <c r="BZ32" i="18"/>
  <c r="CZ32" i="18"/>
  <c r="BW32" i="18"/>
  <c r="CW32" i="18"/>
  <c r="BU32" i="18"/>
  <c r="CV32" i="18"/>
  <c r="BY32" i="18"/>
  <c r="DJ32" i="18"/>
  <c r="CQ32" i="18"/>
  <c r="DE32" i="18"/>
  <c r="CO46" i="18"/>
  <c r="DM46" i="18"/>
  <c r="BT46" i="18"/>
  <c r="CN44" i="18"/>
  <c r="CC44" i="18"/>
  <c r="CY19" i="18"/>
  <c r="DJ19" i="18"/>
  <c r="CC19" i="18"/>
  <c r="DI13" i="18"/>
  <c r="CU13" i="18"/>
  <c r="CH4" i="18"/>
  <c r="BZ4" i="18"/>
  <c r="DK3" i="18"/>
  <c r="CY3" i="18"/>
  <c r="DD16" i="18"/>
  <c r="CH16" i="18"/>
  <c r="I9" i="8"/>
  <c r="L7" i="8"/>
  <c r="I7" i="8"/>
  <c r="K7" i="8"/>
  <c r="G7" i="8"/>
  <c r="O7" i="8"/>
  <c r="M7" i="8"/>
  <c r="DT28" i="11"/>
  <c r="DT27" i="11"/>
  <c r="CD27" i="11"/>
  <c r="CD37" i="11"/>
  <c r="CD34" i="11"/>
  <c r="DT42" i="11"/>
  <c r="CD25" i="11"/>
  <c r="CD36" i="11"/>
  <c r="DT24" i="11"/>
  <c r="G11" i="8"/>
  <c r="Q8" i="8"/>
  <c r="M6" i="8"/>
  <c r="N6" i="8"/>
  <c r="Q6" i="8"/>
  <c r="G6" i="8"/>
  <c r="DT45" i="11"/>
  <c r="J9" i="8"/>
  <c r="F7" i="8"/>
  <c r="O13" i="8"/>
  <c r="F5" i="8"/>
  <c r="DT19" i="11"/>
  <c r="DT48" i="11"/>
  <c r="CD30" i="11"/>
  <c r="Q13" i="8"/>
  <c r="I10" i="8"/>
  <c r="F10" i="8"/>
  <c r="G5" i="8"/>
  <c r="H5" i="8"/>
  <c r="I5" i="8"/>
  <c r="J5" i="8"/>
  <c r="N5" i="8"/>
  <c r="CD48" i="11"/>
  <c r="DT29" i="11"/>
  <c r="DT20" i="11"/>
  <c r="L3" i="8"/>
  <c r="K3" i="8"/>
  <c r="I3" i="8"/>
  <c r="H3" i="8"/>
  <c r="N3" i="8"/>
  <c r="BO12" i="11"/>
  <c r="BN12" i="11"/>
  <c r="BP12" i="11" s="1"/>
  <c r="H8" i="8"/>
  <c r="I13" i="8"/>
  <c r="P13" i="8"/>
  <c r="G13" i="8"/>
  <c r="F13" i="8"/>
  <c r="H13" i="8"/>
  <c r="J13" i="8"/>
  <c r="M2" i="8"/>
  <c r="H2" i="8"/>
  <c r="G2" i="8"/>
  <c r="E25" i="8"/>
  <c r="E26" i="8" s="1"/>
  <c r="P8" i="8"/>
  <c r="F3" i="8"/>
  <c r="F6" i="8"/>
  <c r="K5" i="8"/>
  <c r="L2" i="8"/>
  <c r="DT26" i="11"/>
  <c r="DT21" i="11"/>
  <c r="DF20" i="11"/>
  <c r="DF24" i="11"/>
  <c r="DF44" i="11"/>
  <c r="J3" i="8"/>
  <c r="CD39" i="11"/>
  <c r="CD46" i="11"/>
  <c r="F8" i="8"/>
  <c r="M3" i="8"/>
  <c r="Q5" i="8"/>
  <c r="O3" i="8"/>
  <c r="CD22" i="11"/>
  <c r="CD31" i="11"/>
  <c r="DF28" i="11"/>
  <c r="DF36" i="11"/>
  <c r="DF48" i="11"/>
  <c r="N11" i="8"/>
  <c r="J11" i="8"/>
  <c r="O11" i="8"/>
  <c r="P11" i="8"/>
  <c r="DT22" i="11"/>
  <c r="DF43" i="11"/>
  <c r="P3" i="8"/>
  <c r="L10" i="8"/>
  <c r="BG4" i="5"/>
  <c r="L9" i="8"/>
  <c r="K9" i="8"/>
  <c r="M9" i="8"/>
  <c r="P9" i="8"/>
  <c r="G9" i="8"/>
  <c r="O9" i="8"/>
  <c r="H14" i="8"/>
  <c r="G14" i="8"/>
  <c r="Q14" i="8"/>
  <c r="N14" i="8"/>
  <c r="K14" i="8"/>
  <c r="DT39" i="11"/>
  <c r="DT46" i="11"/>
  <c r="CR18" i="11"/>
  <c r="CR22" i="11"/>
  <c r="CR26" i="11"/>
  <c r="CR38" i="11"/>
  <c r="CR46" i="11"/>
  <c r="Q7" i="8"/>
  <c r="K8" i="8"/>
  <c r="L8" i="8"/>
  <c r="G8" i="8"/>
  <c r="I8" i="8"/>
  <c r="N8" i="8"/>
  <c r="O8" i="8"/>
  <c r="J8" i="8"/>
  <c r="CD28" i="11"/>
  <c r="CD23" i="11"/>
  <c r="BO9" i="11"/>
  <c r="BN9" i="11"/>
  <c r="BP9" i="11" s="1"/>
  <c r="DT37" i="11"/>
  <c r="CR23" i="11"/>
  <c r="CR39" i="11"/>
  <c r="DF32" i="11"/>
  <c r="DF40" i="11"/>
  <c r="BK16" i="11"/>
  <c r="BL16" i="11"/>
  <c r="O2" i="8"/>
  <c r="CD26" i="11"/>
  <c r="DT50" i="11"/>
  <c r="BK24" i="11"/>
  <c r="BL24" i="11"/>
  <c r="K12" i="8"/>
  <c r="K10" i="8"/>
  <c r="Q2" i="8"/>
  <c r="CD18" i="11"/>
  <c r="J12" i="8"/>
  <c r="F9" i="8"/>
  <c r="BN5" i="11"/>
  <c r="BP5" i="11" s="1"/>
  <c r="CB5" i="11" s="1"/>
  <c r="BK7" i="11"/>
  <c r="BL7" i="11"/>
  <c r="CR29" i="11"/>
  <c r="CR33" i="11"/>
  <c r="P10" i="8"/>
  <c r="H10" i="8"/>
  <c r="BL11" i="11"/>
  <c r="BK11" i="11"/>
  <c r="CD44" i="11"/>
  <c r="L12" i="8"/>
  <c r="O10" i="8"/>
  <c r="N12" i="8"/>
  <c r="BL17" i="11"/>
  <c r="BK17" i="11"/>
  <c r="BL4" i="11"/>
  <c r="BL9" i="17"/>
  <c r="BN9" i="17" s="1"/>
  <c r="DL9" i="17" s="1"/>
  <c r="BJ15" i="17"/>
  <c r="BJ16" i="17"/>
  <c r="BM11" i="17"/>
  <c r="BM14" i="17"/>
  <c r="BM15" i="17"/>
  <c r="BM16" i="17"/>
  <c r="BM10" i="17"/>
  <c r="CS9" i="18" l="1"/>
  <c r="CE48" i="18"/>
  <c r="DU48" i="18"/>
  <c r="CS48" i="18"/>
  <c r="DG48" i="18"/>
  <c r="DG9" i="18"/>
  <c r="CI6" i="11"/>
  <c r="BR6" i="11"/>
  <c r="DC6" i="11"/>
  <c r="BW6" i="11"/>
  <c r="CZ4" i="11"/>
  <c r="CM4" i="11"/>
  <c r="BX4" i="11"/>
  <c r="DR4" i="11"/>
  <c r="DC4" i="11"/>
  <c r="CK4" i="11"/>
  <c r="CY4" i="11"/>
  <c r="CL4" i="11"/>
  <c r="CH4" i="11"/>
  <c r="CO8" i="17"/>
  <c r="DL4" i="11"/>
  <c r="DJ4" i="11"/>
  <c r="CJ4" i="11"/>
  <c r="DA6" i="11"/>
  <c r="BZ6" i="11"/>
  <c r="DJ6" i="11"/>
  <c r="CT6" i="11"/>
  <c r="CV6" i="11"/>
  <c r="DD4" i="11"/>
  <c r="BZ4" i="11"/>
  <c r="BU4" i="11"/>
  <c r="CO6" i="11"/>
  <c r="CK6" i="11"/>
  <c r="CO4" i="11"/>
  <c r="BS4" i="11"/>
  <c r="DQ4" i="11"/>
  <c r="DN6" i="11"/>
  <c r="DK6" i="11"/>
  <c r="BY4" i="11"/>
  <c r="CF6" i="11"/>
  <c r="DE4" i="11"/>
  <c r="DP6" i="11"/>
  <c r="CJ6" i="11"/>
  <c r="BR4" i="11"/>
  <c r="CX4" i="11"/>
  <c r="BS6" i="11"/>
  <c r="CP6" i="11"/>
  <c r="BV4" i="11"/>
  <c r="CT4" i="11"/>
  <c r="DO6" i="11"/>
  <c r="CI4" i="11"/>
  <c r="BR7" i="17"/>
  <c r="CH6" i="11"/>
  <c r="BV6" i="11"/>
  <c r="DH4" i="11"/>
  <c r="CY6" i="11"/>
  <c r="CL6" i="11"/>
  <c r="DS6" i="11"/>
  <c r="DH6" i="11"/>
  <c r="DR6" i="11"/>
  <c r="CF4" i="11"/>
  <c r="CG4" i="11"/>
  <c r="DA4" i="11"/>
  <c r="BY6" i="11"/>
  <c r="CZ6" i="11"/>
  <c r="DI4" i="11"/>
  <c r="BU6" i="11"/>
  <c r="BX6" i="11"/>
  <c r="CB4" i="11"/>
  <c r="CU4" i="11"/>
  <c r="DK4" i="11"/>
  <c r="DD6" i="11"/>
  <c r="CC4" i="11"/>
  <c r="DL6" i="11"/>
  <c r="BX14" i="11"/>
  <c r="DE6" i="11"/>
  <c r="DO4" i="11"/>
  <c r="CV4" i="11"/>
  <c r="CN6" i="11"/>
  <c r="DP4" i="11"/>
  <c r="CG6" i="11"/>
  <c r="DM6" i="11"/>
  <c r="CM6" i="11"/>
  <c r="CW4" i="11"/>
  <c r="CP4" i="11"/>
  <c r="CQ6" i="11"/>
  <c r="CW6" i="11"/>
  <c r="DS4" i="11"/>
  <c r="CN4" i="11"/>
  <c r="CA7" i="17"/>
  <c r="CO7" i="17"/>
  <c r="CY14" i="11"/>
  <c r="CT10" i="11"/>
  <c r="BW4" i="17"/>
  <c r="CT4" i="17"/>
  <c r="BT4" i="11"/>
  <c r="DI7" i="17"/>
  <c r="DO4" i="17"/>
  <c r="BY4" i="17"/>
  <c r="DH4" i="17"/>
  <c r="DC4" i="17"/>
  <c r="BT8" i="17"/>
  <c r="CU8" i="17"/>
  <c r="CZ8" i="17"/>
  <c r="CX6" i="11"/>
  <c r="CR17" i="17"/>
  <c r="CH17" i="17"/>
  <c r="BQ4" i="17"/>
  <c r="BW4" i="11"/>
  <c r="CM14" i="11"/>
  <c r="CB6" i="11"/>
  <c r="DB6" i="11"/>
  <c r="CZ15" i="11"/>
  <c r="DA15" i="11"/>
  <c r="CK4" i="17"/>
  <c r="CK14" i="11"/>
  <c r="CA4" i="17"/>
  <c r="CC14" i="11"/>
  <c r="CV4" i="17"/>
  <c r="CE4" i="17"/>
  <c r="CX4" i="17"/>
  <c r="CT14" i="11"/>
  <c r="CE27" i="18"/>
  <c r="CW4" i="17"/>
  <c r="DF4" i="17"/>
  <c r="BT14" i="11"/>
  <c r="DU27" i="18"/>
  <c r="BS4" i="17"/>
  <c r="DA14" i="11"/>
  <c r="CV10" i="11"/>
  <c r="CB14" i="11"/>
  <c r="CL4" i="17"/>
  <c r="DQ4" i="17"/>
  <c r="DB4" i="17"/>
  <c r="CF8" i="17"/>
  <c r="DG27" i="18"/>
  <c r="DE15" i="11"/>
  <c r="DH15" i="11"/>
  <c r="CS20" i="18"/>
  <c r="DP14" i="11"/>
  <c r="CG15" i="11"/>
  <c r="CO15" i="11"/>
  <c r="CL15" i="11"/>
  <c r="BX15" i="11"/>
  <c r="CP15" i="11"/>
  <c r="CI15" i="11"/>
  <c r="DL8" i="17"/>
  <c r="CM4" i="17"/>
  <c r="CE20" i="18"/>
  <c r="BT13" i="11"/>
  <c r="DP4" i="17"/>
  <c r="DL13" i="11"/>
  <c r="DJ4" i="17"/>
  <c r="DL13" i="17"/>
  <c r="BR8" i="17"/>
  <c r="DG4" i="17"/>
  <c r="BX8" i="17"/>
  <c r="DE10" i="11"/>
  <c r="DG8" i="17"/>
  <c r="DP3" i="11"/>
  <c r="CD8" i="17"/>
  <c r="CH13" i="17"/>
  <c r="CH4" i="17"/>
  <c r="BR4" i="17"/>
  <c r="CR13" i="17"/>
  <c r="BU4" i="17"/>
  <c r="DH22" i="17"/>
  <c r="CI4" i="17"/>
  <c r="BW13" i="17"/>
  <c r="CO6" i="17"/>
  <c r="CD4" i="17"/>
  <c r="CA4" i="11"/>
  <c r="BZ4" i="17"/>
  <c r="BR13" i="11"/>
  <c r="BU8" i="17"/>
  <c r="CR4" i="17"/>
  <c r="DS16" i="11"/>
  <c r="CJ10" i="11"/>
  <c r="DR13" i="11"/>
  <c r="DF22" i="17"/>
  <c r="CF4" i="17"/>
  <c r="CZ17" i="11"/>
  <c r="CN4" i="17"/>
  <c r="CB11" i="11"/>
  <c r="BY8" i="17"/>
  <c r="DI4" i="17"/>
  <c r="CN8" i="17"/>
  <c r="CH3" i="11"/>
  <c r="CW8" i="17"/>
  <c r="CO4" i="17"/>
  <c r="DM8" i="17"/>
  <c r="CG3" i="11"/>
  <c r="CU3" i="11"/>
  <c r="DJ8" i="17"/>
  <c r="DP8" i="17"/>
  <c r="DO3" i="11"/>
  <c r="CE8" i="17"/>
  <c r="CR8" i="17"/>
  <c r="DE3" i="11"/>
  <c r="DB8" i="17"/>
  <c r="BW8" i="17"/>
  <c r="CK8" i="17"/>
  <c r="CT8" i="17"/>
  <c r="CI8" i="17"/>
  <c r="BT7" i="11"/>
  <c r="CV8" i="17"/>
  <c r="DF8" i="17"/>
  <c r="DH8" i="17"/>
  <c r="CY8" i="17"/>
  <c r="DE14" i="11"/>
  <c r="BP13" i="17"/>
  <c r="DI14" i="11"/>
  <c r="BZ14" i="11"/>
  <c r="CG4" i="17"/>
  <c r="DM4" i="17"/>
  <c r="CA14" i="11"/>
  <c r="DK15" i="11"/>
  <c r="DN8" i="17"/>
  <c r="DA4" i="17"/>
  <c r="DO8" i="17"/>
  <c r="CW14" i="11"/>
  <c r="CU13" i="17"/>
  <c r="DJ14" i="11"/>
  <c r="BS14" i="11"/>
  <c r="DI13" i="17"/>
  <c r="CX14" i="11"/>
  <c r="CN14" i="11"/>
  <c r="DF13" i="17"/>
  <c r="DR14" i="11"/>
  <c r="DG20" i="18"/>
  <c r="CZ4" i="17"/>
  <c r="DU20" i="18"/>
  <c r="DQ15" i="11"/>
  <c r="CG13" i="17"/>
  <c r="CQ4" i="11"/>
  <c r="CN8" i="11"/>
  <c r="DC17" i="17"/>
  <c r="CS23" i="18"/>
  <c r="DH13" i="17"/>
  <c r="DN13" i="17"/>
  <c r="CM13" i="17"/>
  <c r="BQ17" i="17"/>
  <c r="CZ13" i="17"/>
  <c r="CW13" i="17"/>
  <c r="CU11" i="11"/>
  <c r="CF13" i="17"/>
  <c r="BY15" i="11"/>
  <c r="BV13" i="17"/>
  <c r="CA17" i="17"/>
  <c r="DS8" i="11"/>
  <c r="CU5" i="17"/>
  <c r="BY8" i="11"/>
  <c r="CN13" i="17"/>
  <c r="DL4" i="17"/>
  <c r="CZ8" i="11"/>
  <c r="BR17" i="11"/>
  <c r="CS27" i="18"/>
  <c r="CQ8" i="11"/>
  <c r="CX8" i="11"/>
  <c r="CG17" i="17"/>
  <c r="CK13" i="17"/>
  <c r="DP15" i="11"/>
  <c r="DC13" i="17"/>
  <c r="DO15" i="11"/>
  <c r="BR13" i="17"/>
  <c r="DN15" i="11"/>
  <c r="BU13" i="17"/>
  <c r="CK8" i="11"/>
  <c r="DG13" i="17"/>
  <c r="DJ17" i="17"/>
  <c r="DI6" i="11"/>
  <c r="CC6" i="11"/>
  <c r="DE11" i="11"/>
  <c r="CY5" i="17"/>
  <c r="BP7" i="17"/>
  <c r="CU10" i="11"/>
  <c r="DB3" i="11"/>
  <c r="CM11" i="11"/>
  <c r="BT17" i="17"/>
  <c r="BV5" i="17"/>
  <c r="CW10" i="11"/>
  <c r="DK17" i="11"/>
  <c r="CT3" i="11"/>
  <c r="DR11" i="11"/>
  <c r="CS7" i="17"/>
  <c r="BP17" i="17"/>
  <c r="DP7" i="17"/>
  <c r="CT16" i="11"/>
  <c r="CO10" i="11"/>
  <c r="BS17" i="11"/>
  <c r="BW3" i="11"/>
  <c r="DM3" i="11"/>
  <c r="DN11" i="11"/>
  <c r="CS8" i="17"/>
  <c r="CG8" i="17"/>
  <c r="DK8" i="17"/>
  <c r="DG17" i="17"/>
  <c r="BX17" i="17"/>
  <c r="BY17" i="17"/>
  <c r="BR17" i="17"/>
  <c r="BQ5" i="17"/>
  <c r="CH17" i="11"/>
  <c r="CK17" i="11"/>
  <c r="BU3" i="11"/>
  <c r="CN3" i="11"/>
  <c r="CG7" i="17"/>
  <c r="BX7" i="17"/>
  <c r="CJ8" i="17"/>
  <c r="DF6" i="17"/>
  <c r="CX17" i="17"/>
  <c r="CT17" i="17"/>
  <c r="BZ17" i="17"/>
  <c r="CJ17" i="17"/>
  <c r="CW3" i="11"/>
  <c r="CI17" i="11"/>
  <c r="DI3" i="11"/>
  <c r="CY7" i="17"/>
  <c r="DN17" i="17"/>
  <c r="CW5" i="17"/>
  <c r="DJ10" i="11"/>
  <c r="BX17" i="11"/>
  <c r="DQ3" i="11"/>
  <c r="CM8" i="17"/>
  <c r="CX8" i="17"/>
  <c r="CJ13" i="17"/>
  <c r="CW17" i="17"/>
  <c r="BP6" i="17"/>
  <c r="CJ5" i="17"/>
  <c r="BW17" i="17"/>
  <c r="DQ17" i="17"/>
  <c r="DB5" i="17"/>
  <c r="DE17" i="11"/>
  <c r="DA3" i="11"/>
  <c r="BR3" i="11"/>
  <c r="BV12" i="17"/>
  <c r="CR6" i="17"/>
  <c r="CY17" i="17"/>
  <c r="BU17" i="17"/>
  <c r="CF6" i="17"/>
  <c r="DI8" i="17"/>
  <c r="DH17" i="17"/>
  <c r="CA5" i="17"/>
  <c r="CL17" i="11"/>
  <c r="DJ11" i="11"/>
  <c r="CO3" i="11"/>
  <c r="BZ8" i="17"/>
  <c r="BS17" i="17"/>
  <c r="DJ7" i="17"/>
  <c r="CV17" i="17"/>
  <c r="CU17" i="17"/>
  <c r="CU6" i="17"/>
  <c r="DH7" i="17"/>
  <c r="CS5" i="17"/>
  <c r="CK17" i="17"/>
  <c r="CQ3" i="11"/>
  <c r="CI17" i="17"/>
  <c r="CR7" i="17"/>
  <c r="DR3" i="11"/>
  <c r="DC8" i="17"/>
  <c r="BP8" i="17"/>
  <c r="CS29" i="18"/>
  <c r="BV17" i="17"/>
  <c r="BV7" i="17"/>
  <c r="CL17" i="17"/>
  <c r="CL8" i="17"/>
  <c r="CD13" i="17"/>
  <c r="CE26" i="18"/>
  <c r="CB17" i="11"/>
  <c r="BX12" i="17"/>
  <c r="BU5" i="17"/>
  <c r="BU10" i="11"/>
  <c r="CX3" i="11"/>
  <c r="BQ8" i="17"/>
  <c r="CI11" i="11"/>
  <c r="CM17" i="17"/>
  <c r="DK17" i="17"/>
  <c r="DM17" i="17"/>
  <c r="CZ17" i="17"/>
  <c r="CT7" i="17"/>
  <c r="DL7" i="17"/>
  <c r="DJ17" i="11"/>
  <c r="CV3" i="11"/>
  <c r="CH5" i="17"/>
  <c r="BS3" i="11"/>
  <c r="BY7" i="17"/>
  <c r="DP17" i="11"/>
  <c r="CM3" i="11"/>
  <c r="BV8" i="17"/>
  <c r="BS8" i="17"/>
  <c r="DJ6" i="17"/>
  <c r="DO17" i="17"/>
  <c r="CU6" i="11"/>
  <c r="CE12" i="17"/>
  <c r="DI17" i="17"/>
  <c r="CI5" i="17"/>
  <c r="DC7" i="17"/>
  <c r="CF5" i="17"/>
  <c r="CD17" i="17"/>
  <c r="BT16" i="11"/>
  <c r="CA10" i="11"/>
  <c r="DH14" i="11"/>
  <c r="CV17" i="11"/>
  <c r="CK3" i="11"/>
  <c r="BT11" i="11"/>
  <c r="DQ14" i="11"/>
  <c r="DQ8" i="17"/>
  <c r="CZ5" i="17"/>
  <c r="DO7" i="17"/>
  <c r="DI22" i="17"/>
  <c r="CH8" i="17"/>
  <c r="CA13" i="17"/>
  <c r="CW7" i="17"/>
  <c r="CF7" i="17"/>
  <c r="CL5" i="17"/>
  <c r="DF17" i="17"/>
  <c r="CO16" i="11"/>
  <c r="DM10" i="11"/>
  <c r="BU17" i="11"/>
  <c r="DD3" i="11"/>
  <c r="CC3" i="11"/>
  <c r="CJ3" i="11"/>
  <c r="BW11" i="11"/>
  <c r="CO14" i="11"/>
  <c r="CA8" i="17"/>
  <c r="DC14" i="11"/>
  <c r="DP12" i="17"/>
  <c r="BW7" i="17"/>
  <c r="CA6" i="11"/>
  <c r="DQ6" i="11"/>
  <c r="CS17" i="17"/>
  <c r="DH7" i="11"/>
  <c r="CL3" i="17"/>
  <c r="CA7" i="11"/>
  <c r="CV3" i="17"/>
  <c r="DM22" i="17"/>
  <c r="DL3" i="17"/>
  <c r="CE29" i="18"/>
  <c r="DG29" i="18"/>
  <c r="CS26" i="18"/>
  <c r="DG41" i="18"/>
  <c r="DG26" i="18"/>
  <c r="CE34" i="18"/>
  <c r="BQ13" i="17"/>
  <c r="CS3" i="17"/>
  <c r="CP10" i="11"/>
  <c r="DJ22" i="17"/>
  <c r="DR18" i="17"/>
  <c r="CY3" i="17"/>
  <c r="DN22" i="17"/>
  <c r="CS13" i="17"/>
  <c r="DB7" i="11"/>
  <c r="DA13" i="17"/>
  <c r="CJ4" i="17"/>
  <c r="BX4" i="17"/>
  <c r="BT4" i="17"/>
  <c r="BT10" i="11"/>
  <c r="DG22" i="18"/>
  <c r="BV4" i="17"/>
  <c r="DB13" i="17"/>
  <c r="DO13" i="17"/>
  <c r="DK22" i="17"/>
  <c r="BT13" i="17"/>
  <c r="BX13" i="17"/>
  <c r="CU7" i="11"/>
  <c r="CO3" i="17"/>
  <c r="BW7" i="11"/>
  <c r="CT13" i="17"/>
  <c r="CI3" i="17"/>
  <c r="CO13" i="17"/>
  <c r="BP4" i="17"/>
  <c r="DO22" i="17"/>
  <c r="DA17" i="17"/>
  <c r="DB17" i="17"/>
  <c r="CF17" i="17"/>
  <c r="DL17" i="17"/>
  <c r="CN3" i="17"/>
  <c r="CV7" i="11"/>
  <c r="CC7" i="11"/>
  <c r="CE21" i="18"/>
  <c r="CY4" i="17"/>
  <c r="CX13" i="17"/>
  <c r="DP13" i="17"/>
  <c r="DC10" i="11"/>
  <c r="CN10" i="11"/>
  <c r="DM13" i="17"/>
  <c r="CI13" i="17"/>
  <c r="CE17" i="17"/>
  <c r="DC11" i="11"/>
  <c r="CU14" i="11"/>
  <c r="CE22" i="18"/>
  <c r="CT11" i="11"/>
  <c r="BT15" i="11"/>
  <c r="CJ14" i="11"/>
  <c r="CI10" i="11"/>
  <c r="CC10" i="11"/>
  <c r="DS15" i="11"/>
  <c r="CZ3" i="11"/>
  <c r="CL3" i="11"/>
  <c r="BY11" i="11"/>
  <c r="DU26" i="18"/>
  <c r="CJ8" i="11"/>
  <c r="BU14" i="11"/>
  <c r="CX15" i="11"/>
  <c r="CF15" i="11"/>
  <c r="DO11" i="11"/>
  <c r="BX11" i="11"/>
  <c r="BS15" i="11"/>
  <c r="CZ14" i="11"/>
  <c r="CQ14" i="11"/>
  <c r="CK15" i="11"/>
  <c r="BW15" i="11"/>
  <c r="CF14" i="11"/>
  <c r="BV10" i="11"/>
  <c r="CK13" i="11"/>
  <c r="DS3" i="11"/>
  <c r="BV3" i="11"/>
  <c r="CF11" i="11"/>
  <c r="DQ11" i="11"/>
  <c r="CP11" i="11"/>
  <c r="DK14" i="11"/>
  <c r="DR15" i="11"/>
  <c r="CA15" i="11"/>
  <c r="CJ15" i="11"/>
  <c r="DL14" i="11"/>
  <c r="BU11" i="11"/>
  <c r="DB14" i="11"/>
  <c r="CC15" i="11"/>
  <c r="CH12" i="17"/>
  <c r="CV5" i="17"/>
  <c r="DD14" i="11"/>
  <c r="BR14" i="11"/>
  <c r="DD15" i="11"/>
  <c r="CL11" i="11"/>
  <c r="DD11" i="11"/>
  <c r="CX11" i="11"/>
  <c r="CP14" i="11"/>
  <c r="CG14" i="11"/>
  <c r="DM11" i="11"/>
  <c r="CZ11" i="11"/>
  <c r="CN11" i="11"/>
  <c r="CL14" i="11"/>
  <c r="DL11" i="11"/>
  <c r="BS11" i="11"/>
  <c r="DN14" i="11"/>
  <c r="CP8" i="11"/>
  <c r="CE41" i="18"/>
  <c r="CS21" i="18"/>
  <c r="DB15" i="11"/>
  <c r="DK13" i="17"/>
  <c r="DK11" i="11"/>
  <c r="BV11" i="11"/>
  <c r="BV14" i="11"/>
  <c r="CH14" i="11"/>
  <c r="DH11" i="11"/>
  <c r="DB11" i="11"/>
  <c r="CH11" i="11"/>
  <c r="BW10" i="11"/>
  <c r="DA11" i="11"/>
  <c r="CE7" i="18"/>
  <c r="BW14" i="11"/>
  <c r="CZ10" i="11"/>
  <c r="CW15" i="11"/>
  <c r="CY3" i="11"/>
  <c r="CQ11" i="11"/>
  <c r="CJ11" i="11"/>
  <c r="DM14" i="11"/>
  <c r="DG12" i="18"/>
  <c r="DS14" i="11"/>
  <c r="CV15" i="11"/>
  <c r="CI14" i="11"/>
  <c r="DG21" i="18"/>
  <c r="CC11" i="11"/>
  <c r="CB15" i="11"/>
  <c r="DU29" i="18"/>
  <c r="CA11" i="11"/>
  <c r="BR11" i="11"/>
  <c r="DM15" i="11"/>
  <c r="CV11" i="11"/>
  <c r="CY15" i="11"/>
  <c r="CS35" i="18"/>
  <c r="CG11" i="11"/>
  <c r="DO14" i="11"/>
  <c r="BU15" i="11"/>
  <c r="CT15" i="11"/>
  <c r="DS11" i="11"/>
  <c r="CN15" i="11"/>
  <c r="CT17" i="11"/>
  <c r="BT7" i="17"/>
  <c r="DM7" i="17"/>
  <c r="CJ16" i="11"/>
  <c r="CP22" i="17"/>
  <c r="CK10" i="11"/>
  <c r="BU7" i="17"/>
  <c r="DF7" i="17"/>
  <c r="DK4" i="17"/>
  <c r="DK7" i="17"/>
  <c r="DO10" i="11"/>
  <c r="BZ10" i="11"/>
  <c r="CG17" i="11"/>
  <c r="CO11" i="11"/>
  <c r="DP11" i="11"/>
  <c r="CM12" i="17"/>
  <c r="CI16" i="11"/>
  <c r="DQ7" i="17"/>
  <c r="BR16" i="11"/>
  <c r="CH3" i="17"/>
  <c r="CV7" i="17"/>
  <c r="DG7" i="17"/>
  <c r="DB7" i="17"/>
  <c r="DN7" i="17"/>
  <c r="DS10" i="11"/>
  <c r="DR10" i="11"/>
  <c r="CY17" i="11"/>
  <c r="DL17" i="11"/>
  <c r="BY12" i="17"/>
  <c r="CU7" i="17"/>
  <c r="DN16" i="11"/>
  <c r="DK3" i="17"/>
  <c r="DN3" i="17"/>
  <c r="DA7" i="17"/>
  <c r="CM3" i="17"/>
  <c r="BR10" i="11"/>
  <c r="DU8" i="18"/>
  <c r="CE35" i="18"/>
  <c r="DO3" i="17"/>
  <c r="DB13" i="11"/>
  <c r="BZ7" i="17"/>
  <c r="DG34" i="18"/>
  <c r="DN10" i="11"/>
  <c r="CS8" i="18"/>
  <c r="DU35" i="18"/>
  <c r="BU3" i="17"/>
  <c r="DJ3" i="17"/>
  <c r="CL13" i="11"/>
  <c r="DA10" i="11"/>
  <c r="DB17" i="11"/>
  <c r="CN17" i="11"/>
  <c r="DO13" i="11"/>
  <c r="DM16" i="11"/>
  <c r="DQ12" i="17"/>
  <c r="DL12" i="17"/>
  <c r="CJ3" i="17"/>
  <c r="DL10" i="11"/>
  <c r="CE15" i="18"/>
  <c r="DQ3" i="17"/>
  <c r="CQ13" i="11"/>
  <c r="DG3" i="17"/>
  <c r="DM3" i="17"/>
  <c r="CE7" i="17"/>
  <c r="CQ17" i="11"/>
  <c r="CL10" i="11"/>
  <c r="DH17" i="11"/>
  <c r="BV13" i="11"/>
  <c r="DG47" i="18"/>
  <c r="CS49" i="18"/>
  <c r="DM6" i="17"/>
  <c r="CZ6" i="17"/>
  <c r="DC15" i="11"/>
  <c r="DP3" i="17"/>
  <c r="CU4" i="17"/>
  <c r="CS4" i="17"/>
  <c r="DD10" i="11"/>
  <c r="DK10" i="11"/>
  <c r="DP10" i="11"/>
  <c r="CM10" i="11"/>
  <c r="CH10" i="11"/>
  <c r="CG10" i="11"/>
  <c r="CF10" i="11"/>
  <c r="DQ10" i="11"/>
  <c r="DI10" i="11"/>
  <c r="CX10" i="11"/>
  <c r="BS10" i="11"/>
  <c r="CQ10" i="11"/>
  <c r="DQ22" i="17"/>
  <c r="DL22" i="17"/>
  <c r="DG22" i="17"/>
  <c r="DI3" i="17"/>
  <c r="BY3" i="17"/>
  <c r="BZ3" i="17"/>
  <c r="BX3" i="17"/>
  <c r="CR3" i="17"/>
  <c r="CT3" i="17"/>
  <c r="CU3" i="17"/>
  <c r="BV3" i="17"/>
  <c r="DB3" i="17"/>
  <c r="BT3" i="17"/>
  <c r="BS3" i="17"/>
  <c r="CX3" i="17"/>
  <c r="CG3" i="17"/>
  <c r="BR3" i="17"/>
  <c r="BP3" i="17"/>
  <c r="DF3" i="17"/>
  <c r="CW3" i="17"/>
  <c r="BQ3" i="17"/>
  <c r="CD3" i="17"/>
  <c r="CF3" i="17"/>
  <c r="DC3" i="17"/>
  <c r="CA3" i="17"/>
  <c r="CZ3" i="17"/>
  <c r="CE3" i="17"/>
  <c r="BW3" i="17"/>
  <c r="CC16" i="11"/>
  <c r="BQ7" i="17"/>
  <c r="DK16" i="11"/>
  <c r="BY10" i="11"/>
  <c r="DC17" i="11"/>
  <c r="BS7" i="17"/>
  <c r="DU34" i="18"/>
  <c r="CX17" i="11"/>
  <c r="CY10" i="11"/>
  <c r="CK16" i="11"/>
  <c r="DG36" i="18"/>
  <c r="CS22" i="18"/>
  <c r="DU23" i="18"/>
  <c r="CK3" i="17"/>
  <c r="DH3" i="17"/>
  <c r="BX10" i="11"/>
  <c r="CE49" i="18"/>
  <c r="BZ16" i="11"/>
  <c r="DG8" i="18"/>
  <c r="BZ15" i="11"/>
  <c r="CX7" i="17"/>
  <c r="BY14" i="11"/>
  <c r="CE47" i="18"/>
  <c r="DB10" i="11"/>
  <c r="CB10" i="11"/>
  <c r="CD7" i="17"/>
  <c r="BU6" i="17"/>
  <c r="DP5" i="17"/>
  <c r="CL8" i="11"/>
  <c r="CW8" i="11"/>
  <c r="DG5" i="18"/>
  <c r="DG49" i="18"/>
  <c r="CW7" i="11"/>
  <c r="CG7" i="11"/>
  <c r="CB7" i="11"/>
  <c r="CX7" i="11"/>
  <c r="DS7" i="11"/>
  <c r="CS6" i="17"/>
  <c r="BS6" i="17"/>
  <c r="CA6" i="17"/>
  <c r="DG6" i="17"/>
  <c r="DP6" i="17"/>
  <c r="CW6" i="17"/>
  <c r="CM6" i="17"/>
  <c r="CE6" i="17"/>
  <c r="CK6" i="17"/>
  <c r="CI6" i="17"/>
  <c r="DA6" i="17"/>
  <c r="CJ6" i="17"/>
  <c r="BQ6" i="17"/>
  <c r="DO6" i="17"/>
  <c r="DQ6" i="17"/>
  <c r="CG6" i="17"/>
  <c r="DN6" i="17"/>
  <c r="CY6" i="17"/>
  <c r="DL6" i="17"/>
  <c r="BR6" i="17"/>
  <c r="DK6" i="17"/>
  <c r="DI6" i="17"/>
  <c r="DH6" i="17"/>
  <c r="CZ7" i="11"/>
  <c r="DI7" i="11"/>
  <c r="BS8" i="11"/>
  <c r="DG23" i="18"/>
  <c r="CD6" i="17"/>
  <c r="DQ8" i="11"/>
  <c r="CV6" i="17"/>
  <c r="CB8" i="11"/>
  <c r="BV6" i="17"/>
  <c r="CU9" i="17"/>
  <c r="DL5" i="17"/>
  <c r="BP5" i="17"/>
  <c r="DN5" i="17"/>
  <c r="DP16" i="11"/>
  <c r="DO7" i="11"/>
  <c r="BR7" i="11"/>
  <c r="CW13" i="11"/>
  <c r="O15" i="8"/>
  <c r="CF7" i="11"/>
  <c r="CY11" i="11"/>
  <c r="CU8" i="11"/>
  <c r="CN6" i="17"/>
  <c r="BS16" i="11"/>
  <c r="DJ8" i="11"/>
  <c r="BV15" i="11"/>
  <c r="CE36" i="18"/>
  <c r="BX5" i="17"/>
  <c r="CR9" i="17"/>
  <c r="DA8" i="11"/>
  <c r="BT8" i="11"/>
  <c r="DQ9" i="17"/>
  <c r="BX16" i="11"/>
  <c r="BY16" i="11"/>
  <c r="CQ7" i="11"/>
  <c r="CX13" i="11"/>
  <c r="BU8" i="11"/>
  <c r="DU21" i="18"/>
  <c r="DB6" i="17"/>
  <c r="BX8" i="11"/>
  <c r="DP8" i="11"/>
  <c r="CE5" i="17"/>
  <c r="CU15" i="11"/>
  <c r="BW8" i="11"/>
  <c r="BY13" i="17"/>
  <c r="BZ13" i="17"/>
  <c r="CV13" i="17"/>
  <c r="DJ13" i="17"/>
  <c r="CH8" i="11"/>
  <c r="CO5" i="17"/>
  <c r="DM8" i="11"/>
  <c r="CE31" i="18"/>
  <c r="DG35" i="18"/>
  <c r="DG31" i="18"/>
  <c r="BQ9" i="17"/>
  <c r="CT7" i="11"/>
  <c r="BW5" i="17"/>
  <c r="CA12" i="17"/>
  <c r="CL12" i="17"/>
  <c r="CL13" i="17"/>
  <c r="DG10" i="18"/>
  <c r="CV8" i="11"/>
  <c r="DG7" i="18"/>
  <c r="DU49" i="18"/>
  <c r="DR8" i="11"/>
  <c r="CG16" i="11"/>
  <c r="DB16" i="11"/>
  <c r="CL16" i="11"/>
  <c r="BU16" i="11"/>
  <c r="BV16" i="11"/>
  <c r="CN16" i="11"/>
  <c r="CU16" i="11"/>
  <c r="CB16" i="11"/>
  <c r="CP16" i="11"/>
  <c r="CY16" i="11"/>
  <c r="CF16" i="11"/>
  <c r="CH16" i="11"/>
  <c r="CV16" i="11"/>
  <c r="DL16" i="11"/>
  <c r="BW16" i="11"/>
  <c r="DH16" i="11"/>
  <c r="DQ16" i="11"/>
  <c r="DE16" i="11"/>
  <c r="BV7" i="11"/>
  <c r="DD13" i="11"/>
  <c r="CF8" i="11"/>
  <c r="BY9" i="17"/>
  <c r="DR16" i="11"/>
  <c r="DA7" i="11"/>
  <c r="DA13" i="11"/>
  <c r="CH7" i="11"/>
  <c r="E29" i="8"/>
  <c r="I29" i="8" s="1"/>
  <c r="BV8" i="11"/>
  <c r="DO8" i="11"/>
  <c r="DG15" i="18"/>
  <c r="BY6" i="17"/>
  <c r="DI15" i="11"/>
  <c r="CE13" i="17"/>
  <c r="DI5" i="17"/>
  <c r="CY7" i="11"/>
  <c r="CI8" i="11"/>
  <c r="CO8" i="11"/>
  <c r="CS34" i="18"/>
  <c r="CS12" i="17"/>
  <c r="BZ6" i="17"/>
  <c r="DU5" i="18"/>
  <c r="CX6" i="17"/>
  <c r="DD8" i="11"/>
  <c r="DD7" i="11"/>
  <c r="DB8" i="11"/>
  <c r="DJ16" i="11"/>
  <c r="CH6" i="17"/>
  <c r="CM15" i="11"/>
  <c r="CH15" i="11"/>
  <c r="CO17" i="17"/>
  <c r="CN17" i="17"/>
  <c r="DC7" i="11"/>
  <c r="CI7" i="11"/>
  <c r="DC6" i="17"/>
  <c r="CR5" i="17"/>
  <c r="DI8" i="11"/>
  <c r="DC9" i="17"/>
  <c r="CD5" i="17"/>
  <c r="DA16" i="11"/>
  <c r="BU7" i="11"/>
  <c r="DJ13" i="11"/>
  <c r="DF9" i="17"/>
  <c r="DD16" i="11"/>
  <c r="BY13" i="11"/>
  <c r="DC8" i="11"/>
  <c r="DH8" i="11"/>
  <c r="DF5" i="17"/>
  <c r="CL6" i="17"/>
  <c r="DU41" i="18"/>
  <c r="DH12" i="17"/>
  <c r="CX5" i="17"/>
  <c r="DJ5" i="17"/>
  <c r="DL15" i="11"/>
  <c r="CQ15" i="11"/>
  <c r="CY13" i="17"/>
  <c r="DE7" i="11"/>
  <c r="CQ16" i="11"/>
  <c r="DM13" i="11"/>
  <c r="BR9" i="17"/>
  <c r="BT5" i="17"/>
  <c r="CM16" i="11"/>
  <c r="CZ13" i="11"/>
  <c r="BZ8" i="11"/>
  <c r="DE8" i="11"/>
  <c r="CS15" i="18"/>
  <c r="DH5" i="17"/>
  <c r="CE23" i="18"/>
  <c r="BT6" i="17"/>
  <c r="CT8" i="11"/>
  <c r="BY5" i="17"/>
  <c r="CY8" i="11"/>
  <c r="BR8" i="11"/>
  <c r="CC8" i="11"/>
  <c r="DQ5" i="17"/>
  <c r="CE8" i="18"/>
  <c r="CK5" i="17"/>
  <c r="BX7" i="11"/>
  <c r="BW6" i="17"/>
  <c r="BX6" i="17"/>
  <c r="BS13" i="17"/>
  <c r="BS7" i="11"/>
  <c r="DJ7" i="11"/>
  <c r="CZ16" i="11"/>
  <c r="BS13" i="11"/>
  <c r="DO16" i="11"/>
  <c r="R14" i="8"/>
  <c r="CM8" i="11"/>
  <c r="DK8" i="11"/>
  <c r="CS41" i="18"/>
  <c r="BU12" i="17"/>
  <c r="DA5" i="17"/>
  <c r="DJ15" i="11"/>
  <c r="DG5" i="17"/>
  <c r="BR5" i="17"/>
  <c r="DC5" i="17"/>
  <c r="DK5" i="17"/>
  <c r="CN5" i="17"/>
  <c r="BS5" i="17"/>
  <c r="DO5" i="17"/>
  <c r="DM5" i="17"/>
  <c r="BZ5" i="17"/>
  <c r="CA16" i="11"/>
  <c r="DC16" i="11"/>
  <c r="CX16" i="11"/>
  <c r="CG5" i="17"/>
  <c r="CW16" i="11"/>
  <c r="CF13" i="11"/>
  <c r="DP13" i="11"/>
  <c r="BY7" i="11"/>
  <c r="CA8" i="11"/>
  <c r="CG8" i="11"/>
  <c r="CE37" i="18"/>
  <c r="CM5" i="17"/>
  <c r="CO12" i="17"/>
  <c r="DI12" i="17"/>
  <c r="DN8" i="11"/>
  <c r="DR7" i="11"/>
  <c r="BQ12" i="17"/>
  <c r="CV12" i="17"/>
  <c r="CD9" i="17"/>
  <c r="DK7" i="11"/>
  <c r="E27" i="8"/>
  <c r="Q27" i="8" s="1"/>
  <c r="CH9" i="17"/>
  <c r="CJ17" i="11"/>
  <c r="DM17" i="11"/>
  <c r="DQ17" i="11"/>
  <c r="BZ17" i="11"/>
  <c r="DI17" i="11"/>
  <c r="DA17" i="11"/>
  <c r="DD17" i="11"/>
  <c r="BT17" i="11"/>
  <c r="CC17" i="11"/>
  <c r="CU17" i="11"/>
  <c r="CF17" i="11"/>
  <c r="CA17" i="11"/>
  <c r="BW17" i="11"/>
  <c r="DO17" i="11"/>
  <c r="BV17" i="11"/>
  <c r="BY17" i="11"/>
  <c r="DI11" i="11"/>
  <c r="CK11" i="11"/>
  <c r="BZ11" i="11"/>
  <c r="CL18" i="17"/>
  <c r="CO18" i="17"/>
  <c r="CN18" i="17"/>
  <c r="CM18" i="17"/>
  <c r="CK18" i="17"/>
  <c r="CJ18" i="17"/>
  <c r="DU31" i="18"/>
  <c r="DG12" i="17"/>
  <c r="DB12" i="17"/>
  <c r="BT12" i="17"/>
  <c r="CR12" i="17"/>
  <c r="CF12" i="17"/>
  <c r="CZ12" i="17"/>
  <c r="BS12" i="17"/>
  <c r="DC12" i="17"/>
  <c r="CG12" i="17"/>
  <c r="CX12" i="17"/>
  <c r="CU12" i="17"/>
  <c r="CJ12" i="17"/>
  <c r="BW12" i="17"/>
  <c r="CW12" i="17"/>
  <c r="CD12" i="17"/>
  <c r="CN12" i="17"/>
  <c r="DK12" i="17"/>
  <c r="DM12" i="17"/>
  <c r="DF12" i="17"/>
  <c r="DJ12" i="17"/>
  <c r="CY12" i="17"/>
  <c r="CH7" i="17"/>
  <c r="DU47" i="18"/>
  <c r="CK12" i="17"/>
  <c r="DG37" i="18"/>
  <c r="DN3" i="11"/>
  <c r="DK3" i="11"/>
  <c r="BY3" i="11"/>
  <c r="BX3" i="11"/>
  <c r="BZ3" i="11"/>
  <c r="DJ3" i="11"/>
  <c r="DC3" i="11"/>
  <c r="DH3" i="11"/>
  <c r="CI3" i="11"/>
  <c r="CF3" i="11"/>
  <c r="BT3" i="11"/>
  <c r="CB3" i="11"/>
  <c r="CA3" i="11"/>
  <c r="DL3" i="11"/>
  <c r="CQ5" i="11"/>
  <c r="DM7" i="11"/>
  <c r="DU37" i="18"/>
  <c r="CW17" i="11"/>
  <c r="CN7" i="17"/>
  <c r="CJ7" i="17"/>
  <c r="CO17" i="11"/>
  <c r="DA12" i="17"/>
  <c r="K15" i="8"/>
  <c r="CS5" i="18"/>
  <c r="CK7" i="17"/>
  <c r="R6" i="8"/>
  <c r="CE5" i="18"/>
  <c r="DO12" i="17"/>
  <c r="R12" i="8"/>
  <c r="DU10" i="18"/>
  <c r="R5" i="8"/>
  <c r="DQ7" i="11"/>
  <c r="I15" i="8"/>
  <c r="CM7" i="17"/>
  <c r="BP12" i="17"/>
  <c r="BR12" i="17"/>
  <c r="E28" i="8"/>
  <c r="Q28" i="8" s="1"/>
  <c r="CE10" i="18"/>
  <c r="BZ12" i="17"/>
  <c r="CL7" i="17"/>
  <c r="DN17" i="11"/>
  <c r="CI7" i="17"/>
  <c r="CI12" i="17"/>
  <c r="CP3" i="11"/>
  <c r="DH13" i="11"/>
  <c r="CG13" i="11"/>
  <c r="DQ13" i="11"/>
  <c r="BW13" i="11"/>
  <c r="CO13" i="11"/>
  <c r="CC13" i="11"/>
  <c r="DK13" i="11"/>
  <c r="CP13" i="11"/>
  <c r="BU13" i="11"/>
  <c r="CB13" i="11"/>
  <c r="CT13" i="11"/>
  <c r="BZ13" i="11"/>
  <c r="DI13" i="11"/>
  <c r="CV13" i="11"/>
  <c r="CA13" i="11"/>
  <c r="CU13" i="11"/>
  <c r="DE13" i="11"/>
  <c r="CN13" i="11"/>
  <c r="DN13" i="11"/>
  <c r="CM13" i="11"/>
  <c r="BX13" i="11"/>
  <c r="DS13" i="11"/>
  <c r="CJ13" i="11"/>
  <c r="CI13" i="11"/>
  <c r="CH13" i="11"/>
  <c r="DC13" i="11"/>
  <c r="CT12" i="17"/>
  <c r="DU22" i="18"/>
  <c r="CS12" i="18"/>
  <c r="CS37" i="18"/>
  <c r="CS10" i="18"/>
  <c r="DU36" i="18"/>
  <c r="CS18" i="18"/>
  <c r="DU7" i="18"/>
  <c r="CS7" i="18"/>
  <c r="DU15" i="18"/>
  <c r="CS36" i="18"/>
  <c r="DU12" i="18"/>
  <c r="CS47" i="18"/>
  <c r="CS31" i="18"/>
  <c r="CS16" i="18"/>
  <c r="DG4" i="18"/>
  <c r="CE12" i="18"/>
  <c r="CS45" i="18"/>
  <c r="CS43" i="18"/>
  <c r="CS38" i="18"/>
  <c r="CE45" i="18"/>
  <c r="CS32" i="18"/>
  <c r="DG11" i="18"/>
  <c r="CE42" i="18"/>
  <c r="DG38" i="18"/>
  <c r="DG16" i="18"/>
  <c r="CS4" i="18"/>
  <c r="DU18" i="18"/>
  <c r="DG39" i="18"/>
  <c r="CE13" i="18"/>
  <c r="DU3" i="18"/>
  <c r="CS39" i="18"/>
  <c r="CS30" i="18"/>
  <c r="DU16" i="18"/>
  <c r="DU32" i="18"/>
  <c r="DU39" i="18"/>
  <c r="DU42" i="18"/>
  <c r="CE28" i="18"/>
  <c r="CS17" i="18"/>
  <c r="CS46" i="18"/>
  <c r="CE24" i="18"/>
  <c r="DG42" i="18"/>
  <c r="DU44" i="18"/>
  <c r="CS6" i="18"/>
  <c r="CS11" i="18"/>
  <c r="DG6" i="18"/>
  <c r="CE30" i="18"/>
  <c r="CE3" i="18"/>
  <c r="DG19" i="18"/>
  <c r="DG40" i="18"/>
  <c r="DG45" i="18"/>
  <c r="CS28" i="18"/>
  <c r="DU28" i="18"/>
  <c r="DU46" i="18"/>
  <c r="CE40" i="18"/>
  <c r="DU25" i="18"/>
  <c r="CE39" i="18"/>
  <c r="CS24" i="18"/>
  <c r="DU43" i="18"/>
  <c r="DU38" i="18"/>
  <c r="CS19" i="18"/>
  <c r="DG13" i="18"/>
  <c r="DG24" i="18"/>
  <c r="CE38" i="18"/>
  <c r="CE25" i="18"/>
  <c r="CS44" i="18"/>
  <c r="DU19" i="18"/>
  <c r="DG28" i="18"/>
  <c r="DU45" i="18"/>
  <c r="CS42" i="18"/>
  <c r="DU13" i="18"/>
  <c r="CE32" i="18"/>
  <c r="CE11" i="18"/>
  <c r="CE44" i="18"/>
  <c r="CS13" i="18"/>
  <c r="DG3" i="18"/>
  <c r="CS25" i="18"/>
  <c r="CE43" i="18"/>
  <c r="CS3" i="18"/>
  <c r="DG44" i="18"/>
  <c r="DU6" i="18"/>
  <c r="CE16" i="18"/>
  <c r="DG43" i="18"/>
  <c r="DU24" i="18"/>
  <c r="DU11" i="18"/>
  <c r="CE46" i="18"/>
  <c r="DU30" i="18"/>
  <c r="CS40" i="18"/>
  <c r="DG32" i="18"/>
  <c r="DG46" i="18"/>
  <c r="DG25" i="18"/>
  <c r="DG17" i="18"/>
  <c r="DU17" i="18"/>
  <c r="CE4" i="18"/>
  <c r="DU40" i="18"/>
  <c r="CE19" i="18"/>
  <c r="CE6" i="18"/>
  <c r="DG30" i="18"/>
  <c r="CE17" i="18"/>
  <c r="DU4" i="18"/>
  <c r="L26" i="8"/>
  <c r="F26" i="8"/>
  <c r="I26" i="8"/>
  <c r="K26" i="8"/>
  <c r="O26" i="8"/>
  <c r="H26" i="8"/>
  <c r="J26" i="8"/>
  <c r="Q26" i="8"/>
  <c r="M26" i="8"/>
  <c r="G26" i="8"/>
  <c r="P26" i="8"/>
  <c r="N26" i="8"/>
  <c r="DN7" i="11"/>
  <c r="BS5" i="11"/>
  <c r="CH5" i="11"/>
  <c r="CU5" i="11"/>
  <c r="DP5" i="11"/>
  <c r="BT5" i="11"/>
  <c r="J15" i="8"/>
  <c r="CM5" i="11"/>
  <c r="CO7" i="11"/>
  <c r="CL7" i="11"/>
  <c r="R9" i="8"/>
  <c r="CF5" i="11"/>
  <c r="R3" i="8"/>
  <c r="F15" i="8"/>
  <c r="R11" i="8"/>
  <c r="CN5" i="11"/>
  <c r="CH10" i="17"/>
  <c r="CU10" i="17"/>
  <c r="CI10" i="17"/>
  <c r="CR10" i="17"/>
  <c r="DB10" i="17"/>
  <c r="CE10" i="17"/>
  <c r="CK10" i="17"/>
  <c r="CY10" i="17"/>
  <c r="BQ10" i="17"/>
  <c r="DQ10" i="17"/>
  <c r="DK10" i="17"/>
  <c r="DO10" i="17"/>
  <c r="DL10" i="17"/>
  <c r="CO10" i="17"/>
  <c r="CV10" i="17"/>
  <c r="BX10" i="17"/>
  <c r="CL10" i="17"/>
  <c r="CM10" i="17"/>
  <c r="BT10" i="17"/>
  <c r="BW10" i="17"/>
  <c r="BY10" i="17"/>
  <c r="CN10" i="17"/>
  <c r="BS10" i="17"/>
  <c r="DC10" i="17"/>
  <c r="BP10" i="17"/>
  <c r="DG10" i="17"/>
  <c r="DM10" i="17"/>
  <c r="DJ10" i="17"/>
  <c r="CS10" i="17"/>
  <c r="CA10" i="17"/>
  <c r="BV10" i="17"/>
  <c r="CJ10" i="17"/>
  <c r="CZ10" i="17"/>
  <c r="CX10" i="17"/>
  <c r="CD10" i="17"/>
  <c r="CG10" i="17"/>
  <c r="DN10" i="17"/>
  <c r="BZ10" i="17"/>
  <c r="CW10" i="17"/>
  <c r="DP10" i="17"/>
  <c r="DF10" i="17"/>
  <c r="BU10" i="17"/>
  <c r="DI10" i="17"/>
  <c r="CT10" i="17"/>
  <c r="DH10" i="17"/>
  <c r="DA10" i="17"/>
  <c r="CF10" i="17"/>
  <c r="BR10" i="17"/>
  <c r="CK7" i="11"/>
  <c r="DP7" i="11"/>
  <c r="R13" i="8"/>
  <c r="DS17" i="11"/>
  <c r="DR17" i="11"/>
  <c r="DM5" i="11"/>
  <c r="CL5" i="11"/>
  <c r="DN5" i="11"/>
  <c r="DS5" i="11"/>
  <c r="DJ5" i="11"/>
  <c r="BU5" i="11"/>
  <c r="DL5" i="11"/>
  <c r="DI5" i="11"/>
  <c r="DK5" i="11"/>
  <c r="DA5" i="11"/>
  <c r="CG5" i="11"/>
  <c r="CY5" i="11"/>
  <c r="CC5" i="11"/>
  <c r="CO5" i="11"/>
  <c r="CV5" i="11"/>
  <c r="CT5" i="11"/>
  <c r="BR5" i="11"/>
  <c r="BZ5" i="11"/>
  <c r="BX5" i="11"/>
  <c r="BV5" i="11"/>
  <c r="DD5" i="11"/>
  <c r="DK9" i="17"/>
  <c r="BS9" i="17"/>
  <c r="CT9" i="17"/>
  <c r="DO9" i="17"/>
  <c r="CI9" i="17"/>
  <c r="DG9" i="17"/>
  <c r="DN9" i="17"/>
  <c r="CJ9" i="17"/>
  <c r="CX9" i="17"/>
  <c r="CG9" i="17"/>
  <c r="DJ9" i="17"/>
  <c r="CA9" i="17"/>
  <c r="DM9" i="17"/>
  <c r="CM9" i="17"/>
  <c r="CY9" i="17"/>
  <c r="BU9" i="17"/>
  <c r="DA9" i="17"/>
  <c r="CS9" i="17"/>
  <c r="CO9" i="17"/>
  <c r="BX9" i="17"/>
  <c r="CL9" i="17"/>
  <c r="DB9" i="17"/>
  <c r="DI9" i="17"/>
  <c r="CK9" i="17"/>
  <c r="BT9" i="17"/>
  <c r="DH9" i="17"/>
  <c r="CW9" i="17"/>
  <c r="CF9" i="17"/>
  <c r="CN9" i="17"/>
  <c r="BV9" i="17"/>
  <c r="BP9" i="17"/>
  <c r="CE9" i="17"/>
  <c r="CZ9" i="17"/>
  <c r="CV9" i="17"/>
  <c r="BW9" i="17"/>
  <c r="CI5" i="11"/>
  <c r="CP17" i="11"/>
  <c r="CP5" i="11"/>
  <c r="DB9" i="11"/>
  <c r="CN9" i="11"/>
  <c r="CO9" i="11"/>
  <c r="CV9" i="11"/>
  <c r="BU9" i="11"/>
  <c r="CP9" i="11"/>
  <c r="DD9" i="11"/>
  <c r="DS9" i="11"/>
  <c r="CZ9" i="11"/>
  <c r="BS9" i="11"/>
  <c r="DQ9" i="11"/>
  <c r="CW9" i="11"/>
  <c r="DC9" i="11"/>
  <c r="BZ9" i="11"/>
  <c r="CJ9" i="11"/>
  <c r="DL9" i="11"/>
  <c r="DA9" i="11"/>
  <c r="CG9" i="11"/>
  <c r="CB9" i="11"/>
  <c r="CC9" i="11"/>
  <c r="CY9" i="11"/>
  <c r="BW9" i="11"/>
  <c r="CF9" i="11"/>
  <c r="DP9" i="11"/>
  <c r="CU9" i="11"/>
  <c r="DO9" i="11"/>
  <c r="DI9" i="11"/>
  <c r="CK9" i="11"/>
  <c r="BT9" i="11"/>
  <c r="CI9" i="11"/>
  <c r="DH9" i="11"/>
  <c r="CH9" i="11"/>
  <c r="DK9" i="11"/>
  <c r="CX9" i="11"/>
  <c r="BY9" i="11"/>
  <c r="CT9" i="11"/>
  <c r="DJ9" i="11"/>
  <c r="CQ9" i="11"/>
  <c r="DR9" i="11"/>
  <c r="DN9" i="11"/>
  <c r="DE9" i="11"/>
  <c r="BR9" i="11"/>
  <c r="CL9" i="11"/>
  <c r="CA9" i="11"/>
  <c r="BV9" i="11"/>
  <c r="BX9" i="11"/>
  <c r="DM9" i="11"/>
  <c r="CM9" i="11"/>
  <c r="CJ7" i="11"/>
  <c r="R7" i="8"/>
  <c r="BG5" i="5"/>
  <c r="BH4" i="5"/>
  <c r="CA5" i="11"/>
  <c r="DB5" i="11"/>
  <c r="DH5" i="11"/>
  <c r="L15" i="8"/>
  <c r="CP12" i="11"/>
  <c r="DR12" i="11"/>
  <c r="DQ12" i="11"/>
  <c r="DD12" i="11"/>
  <c r="CK12" i="11"/>
  <c r="BV12" i="11"/>
  <c r="DI12" i="11"/>
  <c r="CF12" i="11"/>
  <c r="DA12" i="11"/>
  <c r="DK12" i="11"/>
  <c r="CW12" i="11"/>
  <c r="CG12" i="11"/>
  <c r="BX12" i="11"/>
  <c r="BW12" i="11"/>
  <c r="DE12" i="11"/>
  <c r="DL12" i="11"/>
  <c r="DS12" i="11"/>
  <c r="BR12" i="11"/>
  <c r="BS12" i="11"/>
  <c r="CH12" i="11"/>
  <c r="BY12" i="11"/>
  <c r="CZ12" i="11"/>
  <c r="BT12" i="11"/>
  <c r="CI12" i="11"/>
  <c r="CX12" i="11"/>
  <c r="CL12" i="11"/>
  <c r="CV12" i="11"/>
  <c r="BZ12" i="11"/>
  <c r="CT12" i="11"/>
  <c r="DP12" i="11"/>
  <c r="DM12" i="11"/>
  <c r="DC12" i="11"/>
  <c r="DO12" i="11"/>
  <c r="CB12" i="11"/>
  <c r="DN12" i="11"/>
  <c r="DH12" i="11"/>
  <c r="CY12" i="11"/>
  <c r="CA12" i="11"/>
  <c r="CU12" i="11"/>
  <c r="CQ12" i="11"/>
  <c r="CO12" i="11"/>
  <c r="CN12" i="11"/>
  <c r="BU12" i="11"/>
  <c r="CM12" i="11"/>
  <c r="DJ12" i="11"/>
  <c r="CJ12" i="11"/>
  <c r="CC12" i="11"/>
  <c r="DB12" i="11"/>
  <c r="DM4" i="11"/>
  <c r="G15" i="8"/>
  <c r="R2" i="8"/>
  <c r="DH16" i="17"/>
  <c r="DF16" i="17"/>
  <c r="CZ16" i="17"/>
  <c r="CN16" i="17"/>
  <c r="DK16" i="17"/>
  <c r="DO16" i="17"/>
  <c r="BW16" i="17"/>
  <c r="DG16" i="17"/>
  <c r="DN16" i="17"/>
  <c r="CH16" i="17"/>
  <c r="CA16" i="17"/>
  <c r="CF16" i="17"/>
  <c r="BQ16" i="17"/>
  <c r="CO16" i="17"/>
  <c r="CU16" i="17"/>
  <c r="CR16" i="17"/>
  <c r="BX16" i="17"/>
  <c r="CD16" i="17"/>
  <c r="BV16" i="17"/>
  <c r="DM16" i="17"/>
  <c r="BT16" i="17"/>
  <c r="DC16" i="17"/>
  <c r="BS16" i="17"/>
  <c r="DL16" i="17"/>
  <c r="CL16" i="17"/>
  <c r="CS16" i="17"/>
  <c r="CW16" i="17"/>
  <c r="CE16" i="17"/>
  <c r="BZ16" i="17"/>
  <c r="CT16" i="17"/>
  <c r="CM16" i="17"/>
  <c r="BR16" i="17"/>
  <c r="DB16" i="17"/>
  <c r="DI16" i="17"/>
  <c r="CY16" i="17"/>
  <c r="CK16" i="17"/>
  <c r="CI16" i="17"/>
  <c r="CJ16" i="17"/>
  <c r="CX16" i="17"/>
  <c r="BY16" i="17"/>
  <c r="BU16" i="17"/>
  <c r="DQ16" i="17"/>
  <c r="CV16" i="17"/>
  <c r="DJ16" i="17"/>
  <c r="DA16" i="17"/>
  <c r="CG16" i="17"/>
  <c r="BP16" i="17"/>
  <c r="DP16" i="17"/>
  <c r="BW5" i="11"/>
  <c r="CZ5" i="11"/>
  <c r="CJ5" i="11"/>
  <c r="DN4" i="11"/>
  <c r="H15" i="8"/>
  <c r="N15" i="8"/>
  <c r="R10" i="8"/>
  <c r="CR15" i="17"/>
  <c r="BY15" i="17"/>
  <c r="BZ15" i="17"/>
  <c r="CO15" i="17"/>
  <c r="CZ15" i="17"/>
  <c r="DJ15" i="17"/>
  <c r="BP15" i="17"/>
  <c r="CS15" i="17"/>
  <c r="DN15" i="17"/>
  <c r="BQ15" i="17"/>
  <c r="CN15" i="17"/>
  <c r="CY15" i="17"/>
  <c r="BV15" i="17"/>
  <c r="CE15" i="17"/>
  <c r="DI15" i="17"/>
  <c r="CA15" i="17"/>
  <c r="CV15" i="17"/>
  <c r="DG15" i="17"/>
  <c r="DL15" i="17"/>
  <c r="BX15" i="17"/>
  <c r="CU15" i="17"/>
  <c r="DB15" i="17"/>
  <c r="DC15" i="17"/>
  <c r="DA15" i="17"/>
  <c r="DO15" i="17"/>
  <c r="DF15" i="17"/>
  <c r="BR15" i="17"/>
  <c r="BW15" i="17"/>
  <c r="CT15" i="17"/>
  <c r="DM15" i="17"/>
  <c r="DH15" i="17"/>
  <c r="CL15" i="17"/>
  <c r="DK15" i="17"/>
  <c r="CK15" i="17"/>
  <c r="BT15" i="17"/>
  <c r="CH15" i="17"/>
  <c r="CJ15" i="17"/>
  <c r="CX15" i="17"/>
  <c r="CI15" i="17"/>
  <c r="CG15" i="17"/>
  <c r="DQ15" i="17"/>
  <c r="CM15" i="17"/>
  <c r="BS15" i="17"/>
  <c r="CW15" i="17"/>
  <c r="BU15" i="17"/>
  <c r="CF15" i="17"/>
  <c r="DP15" i="17"/>
  <c r="CD15" i="17"/>
  <c r="DQ5" i="11"/>
  <c r="BY5" i="11"/>
  <c r="CM7" i="11"/>
  <c r="CN7" i="11"/>
  <c r="M15" i="8"/>
  <c r="DE5" i="11"/>
  <c r="DR5" i="11"/>
  <c r="CW5" i="11"/>
  <c r="CP7" i="11"/>
  <c r="DC5" i="11"/>
  <c r="DQ14" i="17"/>
  <c r="BY14" i="17"/>
  <c r="DP14" i="17"/>
  <c r="CD14" i="17"/>
  <c r="BZ14" i="17"/>
  <c r="CY14" i="17"/>
  <c r="BS14" i="17"/>
  <c r="CA14" i="17"/>
  <c r="DN14" i="17"/>
  <c r="DI14" i="17"/>
  <c r="DK14" i="17"/>
  <c r="CG14" i="17"/>
  <c r="BQ14" i="17"/>
  <c r="CT14" i="17"/>
  <c r="BP14" i="17"/>
  <c r="DF14" i="17"/>
  <c r="DJ14" i="17"/>
  <c r="CW14" i="17"/>
  <c r="BU14" i="17"/>
  <c r="DG14" i="17"/>
  <c r="DM14" i="17"/>
  <c r="CM14" i="17"/>
  <c r="DL14" i="17"/>
  <c r="CK14" i="17"/>
  <c r="BR14" i="17"/>
  <c r="CX14" i="17"/>
  <c r="CN14" i="17"/>
  <c r="CS14" i="17"/>
  <c r="BW14" i="17"/>
  <c r="CL14" i="17"/>
  <c r="CO14" i="17"/>
  <c r="BX14" i="17"/>
  <c r="DB14" i="17"/>
  <c r="DH14" i="17"/>
  <c r="BT14" i="17"/>
  <c r="DA14" i="17"/>
  <c r="DO14" i="17"/>
  <c r="CI14" i="17"/>
  <c r="CF14" i="17"/>
  <c r="CH14" i="17"/>
  <c r="CZ14" i="17"/>
  <c r="DC14" i="17"/>
  <c r="CE14" i="17"/>
  <c r="CR14" i="17"/>
  <c r="CU14" i="17"/>
  <c r="BV14" i="17"/>
  <c r="CJ14" i="17"/>
  <c r="CV14" i="17"/>
  <c r="DQ11" i="17"/>
  <c r="BW11" i="17"/>
  <c r="DP11" i="17"/>
  <c r="BU11" i="17"/>
  <c r="DI11" i="17"/>
  <c r="BQ11" i="17"/>
  <c r="DH11" i="17"/>
  <c r="DF11" i="17"/>
  <c r="DC11" i="17"/>
  <c r="CZ11" i="17"/>
  <c r="CU11" i="17"/>
  <c r="DG11" i="17"/>
  <c r="CW11" i="17"/>
  <c r="CR11" i="17"/>
  <c r="CL11" i="17"/>
  <c r="CI11" i="17"/>
  <c r="CH11" i="17"/>
  <c r="CD11" i="17"/>
  <c r="CN11" i="17"/>
  <c r="BZ11" i="17"/>
  <c r="BY11" i="17"/>
  <c r="BR11" i="17"/>
  <c r="DB11" i="17"/>
  <c r="CK11" i="17"/>
  <c r="DL11" i="17"/>
  <c r="DO11" i="17"/>
  <c r="CX11" i="17"/>
  <c r="CG11" i="17"/>
  <c r="BP11" i="17"/>
  <c r="CT11" i="17"/>
  <c r="CF11" i="17"/>
  <c r="CA11" i="17"/>
  <c r="CE11" i="17"/>
  <c r="CM11" i="17"/>
  <c r="BS11" i="17"/>
  <c r="CO11" i="17"/>
  <c r="BX11" i="17"/>
  <c r="BV11" i="17"/>
  <c r="BT11" i="17"/>
  <c r="CJ11" i="17"/>
  <c r="DN11" i="17"/>
  <c r="DM11" i="17"/>
  <c r="CY11" i="17"/>
  <c r="DJ11" i="17"/>
  <c r="CS11" i="17"/>
  <c r="DK11" i="17"/>
  <c r="DA11" i="17"/>
  <c r="CV11" i="17"/>
  <c r="DP9" i="17"/>
  <c r="BZ9" i="17"/>
  <c r="DO5" i="11"/>
  <c r="Q15" i="8"/>
  <c r="CX5" i="11"/>
  <c r="P15" i="8"/>
  <c r="R8" i="8"/>
  <c r="CK5" i="11"/>
  <c r="DL7" i="11"/>
  <c r="CR4" i="11" l="1"/>
  <c r="DF4" i="11"/>
  <c r="CR6" i="11"/>
  <c r="DF6" i="11"/>
  <c r="CD4" i="11"/>
  <c r="DR4" i="17"/>
  <c r="DT6" i="11"/>
  <c r="DR8" i="17"/>
  <c r="CP4" i="17"/>
  <c r="DR13" i="17"/>
  <c r="DD8" i="17"/>
  <c r="DR17" i="17"/>
  <c r="DF11" i="11"/>
  <c r="DD17" i="17"/>
  <c r="CB17" i="17"/>
  <c r="CR14" i="11"/>
  <c r="CB4" i="17"/>
  <c r="CB8" i="17"/>
  <c r="DF14" i="11"/>
  <c r="CD6" i="11"/>
  <c r="CP8" i="17"/>
  <c r="F29" i="8"/>
  <c r="CR8" i="11"/>
  <c r="J29" i="8"/>
  <c r="K27" i="8"/>
  <c r="DF3" i="11"/>
  <c r="N29" i="8"/>
  <c r="K29" i="8"/>
  <c r="CB13" i="17"/>
  <c r="CR10" i="11"/>
  <c r="Q29" i="8"/>
  <c r="Q34" i="8" s="1"/>
  <c r="DF8" i="11"/>
  <c r="CB7" i="17"/>
  <c r="DT14" i="11"/>
  <c r="CR15" i="11"/>
  <c r="DR5" i="17"/>
  <c r="L29" i="8"/>
  <c r="DD13" i="17"/>
  <c r="DD4" i="17"/>
  <c r="CD14" i="11"/>
  <c r="P29" i="8"/>
  <c r="DR22" i="17"/>
  <c r="DD7" i="17"/>
  <c r="CD11" i="11"/>
  <c r="CD7" i="11"/>
  <c r="CR17" i="11"/>
  <c r="DF10" i="11"/>
  <c r="DF15" i="11"/>
  <c r="DT8" i="11"/>
  <c r="CD10" i="11"/>
  <c r="DF17" i="11"/>
  <c r="DD3" i="17"/>
  <c r="CP3" i="17"/>
  <c r="DD6" i="17"/>
  <c r="DT16" i="11"/>
  <c r="DT7" i="11"/>
  <c r="DT15" i="11"/>
  <c r="CR3" i="11"/>
  <c r="DR7" i="17"/>
  <c r="DT10" i="11"/>
  <c r="CP17" i="17"/>
  <c r="CR11" i="11"/>
  <c r="DT11" i="11"/>
  <c r="G29" i="8"/>
  <c r="DD5" i="17"/>
  <c r="CD16" i="11"/>
  <c r="CP13" i="17"/>
  <c r="CB5" i="17"/>
  <c r="DF13" i="11"/>
  <c r="CD3" i="11"/>
  <c r="CR16" i="11"/>
  <c r="DT4" i="11"/>
  <c r="DF7" i="11"/>
  <c r="O29" i="8"/>
  <c r="CB6" i="17"/>
  <c r="CB12" i="17"/>
  <c r="DF16" i="11"/>
  <c r="DR3" i="17"/>
  <c r="CB3" i="17"/>
  <c r="DR12" i="17"/>
  <c r="H29" i="8"/>
  <c r="CD15" i="11"/>
  <c r="CP6" i="17"/>
  <c r="M29" i="8"/>
  <c r="CP5" i="17"/>
  <c r="CD8" i="11"/>
  <c r="N27" i="8"/>
  <c r="CR7" i="11"/>
  <c r="M27" i="8"/>
  <c r="H27" i="8"/>
  <c r="M28" i="8"/>
  <c r="DR6" i="17"/>
  <c r="I27" i="8"/>
  <c r="O27" i="8"/>
  <c r="F28" i="8"/>
  <c r="L28" i="8"/>
  <c r="G28" i="8"/>
  <c r="J27" i="8"/>
  <c r="G27" i="8"/>
  <c r="N28" i="8"/>
  <c r="CP12" i="17"/>
  <c r="CR13" i="11"/>
  <c r="DT13" i="11"/>
  <c r="CD17" i="11"/>
  <c r="P27" i="8"/>
  <c r="DD9" i="17"/>
  <c r="P28" i="8"/>
  <c r="DR9" i="17"/>
  <c r="CP7" i="17"/>
  <c r="DT3" i="11"/>
  <c r="CD13" i="11"/>
  <c r="L27" i="8"/>
  <c r="F27" i="8"/>
  <c r="CP18" i="17"/>
  <c r="CP9" i="17"/>
  <c r="CB15" i="17"/>
  <c r="CB11" i="17"/>
  <c r="DT17" i="11"/>
  <c r="DD12" i="17"/>
  <c r="H28" i="8"/>
  <c r="O28" i="8"/>
  <c r="I28" i="8"/>
  <c r="K28" i="8"/>
  <c r="DD16" i="17"/>
  <c r="DF12" i="11"/>
  <c r="J28" i="8"/>
  <c r="CD12" i="11"/>
  <c r="DF9" i="11"/>
  <c r="R15" i="8"/>
  <c r="DD11" i="17"/>
  <c r="CP11" i="17"/>
  <c r="CP14" i="17"/>
  <c r="CB9" i="17"/>
  <c r="DF5" i="11"/>
  <c r="DR15" i="17"/>
  <c r="CP16" i="17"/>
  <c r="DR16" i="17"/>
  <c r="DR10" i="17"/>
  <c r="CB10" i="17"/>
  <c r="DR14" i="17"/>
  <c r="CB16" i="17"/>
  <c r="DT5" i="11"/>
  <c r="DT9" i="11"/>
  <c r="CB14" i="17"/>
  <c r="CR12" i="11"/>
  <c r="DD10" i="17"/>
  <c r="DR11" i="17"/>
  <c r="DD14" i="17"/>
  <c r="CP10" i="17"/>
  <c r="DD15" i="17"/>
  <c r="CP15" i="17"/>
  <c r="CD9" i="11"/>
  <c r="BH5" i="5"/>
  <c r="BG6" i="5"/>
  <c r="R26" i="8"/>
  <c r="DT12" i="11"/>
  <c r="CR5" i="11"/>
  <c r="CR9" i="11"/>
  <c r="CD5" i="11"/>
  <c r="K34" i="8" l="1"/>
  <c r="N34" i="8"/>
  <c r="P34" i="8"/>
  <c r="G34" i="8"/>
  <c r="H34" i="8"/>
  <c r="R29" i="8"/>
  <c r="M34" i="8"/>
  <c r="R27" i="8"/>
  <c r="L34" i="8"/>
  <c r="F34" i="8"/>
  <c r="I34" i="8"/>
  <c r="CR51" i="11"/>
  <c r="O34" i="8"/>
  <c r="J34" i="8"/>
  <c r="CD51" i="11"/>
  <c r="R28" i="8"/>
  <c r="CB51" i="17"/>
  <c r="DD51" i="17"/>
  <c r="DR51" i="17"/>
  <c r="DT51" i="11"/>
  <c r="DF51" i="11"/>
  <c r="CP51" i="17"/>
  <c r="BG7" i="5"/>
  <c r="BH6" i="5"/>
  <c r="B14" i="2" l="1"/>
  <c r="A14" i="2" s="1"/>
  <c r="B12" i="18"/>
  <c r="A12" i="18" s="1"/>
  <c r="BG8" i="5"/>
  <c r="BH7" i="5"/>
  <c r="B19" i="18" l="1"/>
  <c r="A19" i="18" s="1"/>
  <c r="B50" i="2"/>
  <c r="A50" i="2" s="1"/>
  <c r="BG9" i="5"/>
  <c r="BH8" i="5"/>
  <c r="B14" i="18" l="1"/>
  <c r="A14" i="18" s="1"/>
  <c r="B49" i="2"/>
  <c r="A49" i="2" s="1"/>
  <c r="BG10" i="5"/>
  <c r="BH9" i="5"/>
  <c r="B20" i="18" s="1"/>
  <c r="A62" i="2" l="1"/>
  <c r="A20" i="18"/>
  <c r="BH10" i="5"/>
  <c r="BG11" i="5"/>
  <c r="B3" i="2" l="1"/>
  <c r="A3" i="2" s="1"/>
  <c r="B21" i="18"/>
  <c r="A21" i="18" s="1"/>
  <c r="BG12" i="5"/>
  <c r="BH11" i="5"/>
  <c r="B5" i="18" l="1"/>
  <c r="A5" i="18" s="1"/>
  <c r="B20" i="2"/>
  <c r="A20" i="2" s="1"/>
  <c r="BG13" i="5"/>
  <c r="BH12" i="5"/>
  <c r="B21" i="2" l="1"/>
  <c r="A21" i="2" s="1"/>
  <c r="B6" i="18"/>
  <c r="A6" i="18" s="1"/>
  <c r="BG14" i="5"/>
  <c r="BH13" i="5"/>
  <c r="B16" i="2" l="1"/>
  <c r="A16" i="2" s="1"/>
  <c r="B8" i="18"/>
  <c r="A8" i="18" s="1"/>
  <c r="BG15" i="5"/>
  <c r="BH14" i="5"/>
  <c r="B89" i="2" l="1"/>
  <c r="A89" i="2" s="1"/>
  <c r="B15" i="18"/>
  <c r="A15" i="18" s="1"/>
  <c r="BH15" i="5"/>
  <c r="BG16" i="5"/>
  <c r="B9" i="18" l="1"/>
  <c r="A9" i="18" s="1"/>
  <c r="B48" i="2"/>
  <c r="A48" i="2" s="1"/>
  <c r="BG17" i="5"/>
  <c r="BH16" i="5"/>
  <c r="BH17" i="5" l="1"/>
  <c r="BG18" i="5"/>
  <c r="BG19" i="5" l="1"/>
  <c r="BH18" i="5"/>
  <c r="BG20" i="5" l="1"/>
  <c r="BH19" i="5"/>
  <c r="B11" i="18" l="1"/>
  <c r="A11" i="18" s="1"/>
  <c r="B4" i="2"/>
  <c r="A4" i="2" s="1"/>
  <c r="BG21" i="5"/>
  <c r="BH20" i="5"/>
  <c r="BH21" i="5" l="1"/>
  <c r="BG22" i="5"/>
  <c r="B30" i="2" l="1"/>
  <c r="A30" i="2" s="1"/>
  <c r="B16" i="18"/>
  <c r="A16" i="18" s="1"/>
  <c r="BH22" i="5"/>
  <c r="BG23" i="5"/>
  <c r="B47" i="2" l="1"/>
  <c r="A47" i="2" s="1"/>
  <c r="B17" i="18"/>
  <c r="A17" i="18" s="1"/>
  <c r="BG24" i="5"/>
  <c r="BH23" i="5"/>
  <c r="B22" i="18" l="1"/>
  <c r="A22" i="18" s="1"/>
  <c r="B12" i="2"/>
  <c r="A12" i="2" s="1"/>
  <c r="BG25" i="5"/>
  <c r="BH24" i="5"/>
  <c r="B24" i="18" s="1"/>
  <c r="A72" i="2" l="1"/>
  <c r="A24" i="18"/>
  <c r="BG26" i="5"/>
  <c r="BH25" i="5"/>
  <c r="B25" i="18" s="1"/>
  <c r="A63" i="2" l="1"/>
  <c r="A25" i="18"/>
  <c r="BG27" i="5"/>
  <c r="BH26" i="5"/>
  <c r="BG28" i="5" l="1"/>
  <c r="BH27" i="5"/>
  <c r="B38" i="2" l="1"/>
  <c r="A38" i="2" s="1"/>
  <c r="B26" i="18"/>
  <c r="A26" i="18" s="1"/>
  <c r="BG29" i="5"/>
  <c r="BH28" i="5"/>
  <c r="B7" i="18" l="1"/>
  <c r="A7" i="18" s="1"/>
  <c r="B40" i="2"/>
  <c r="A40" i="2" s="1"/>
  <c r="BG30" i="5"/>
  <c r="BH29" i="5"/>
  <c r="BG31" i="5" l="1"/>
  <c r="BH30" i="5"/>
  <c r="BG32" i="5" l="1"/>
  <c r="BH31" i="5"/>
  <c r="BG33" i="5" l="1"/>
  <c r="BH32" i="5"/>
  <c r="BG34" i="5" l="1"/>
  <c r="BH33" i="5"/>
  <c r="BG35" i="5" l="1"/>
  <c r="BH34" i="5"/>
  <c r="BH35" i="5" l="1"/>
  <c r="BG36" i="5"/>
  <c r="B61" i="2" l="1"/>
  <c r="A61" i="2" s="1"/>
  <c r="B13" i="18"/>
  <c r="A13" i="18" s="1"/>
  <c r="BG37" i="5"/>
  <c r="BH36" i="5"/>
  <c r="BH37" i="5" l="1"/>
  <c r="BG38" i="5"/>
  <c r="BG39" i="5" l="1"/>
  <c r="BH38" i="5"/>
  <c r="BG40" i="5" l="1"/>
  <c r="BH39" i="5"/>
  <c r="BG41" i="5" l="1"/>
  <c r="BH41" i="5" s="1"/>
  <c r="BH40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 Alarcon</author>
  </authors>
  <commentList>
    <comment ref="C2" authorId="0" shapeId="0" xr:uid="{CC7D0050-7666-476A-830B-23C9A37F2DC7}">
      <text>
        <r>
          <rPr>
            <b/>
            <sz val="9"/>
            <color indexed="81"/>
            <rFont val="Tahoma"/>
            <family val="2"/>
          </rPr>
          <t>Cristian Alarcon:</t>
        </r>
        <r>
          <rPr>
            <sz val="9"/>
            <color indexed="81"/>
            <rFont val="Tahoma"/>
            <family val="2"/>
          </rPr>
          <t xml:space="preserve">
Depende del dueño --&gt; Medida del riesgo</t>
        </r>
      </text>
    </comment>
    <comment ref="D2" authorId="0" shapeId="0" xr:uid="{A6C7715D-9C10-4E00-B2AC-AABEF4620588}">
      <text>
        <r>
          <rPr>
            <b/>
            <sz val="9"/>
            <color indexed="81"/>
            <rFont val="Tahoma"/>
            <family val="2"/>
          </rPr>
          <t>Cristian Alarcon:</t>
        </r>
        <r>
          <rPr>
            <sz val="9"/>
            <color indexed="81"/>
            <rFont val="Tahoma"/>
            <family val="2"/>
          </rPr>
          <t xml:space="preserve">
Propio de posibilidades de Redco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 Alarcon</author>
  </authors>
  <commentList>
    <comment ref="G3" authorId="0" shapeId="0" xr:uid="{0BD9E6F9-0D10-45BA-ADA2-F4624EFD0499}">
      <text>
        <r>
          <rPr>
            <b/>
            <sz val="9"/>
            <color indexed="81"/>
            <rFont val="Tahoma"/>
            <family val="2"/>
          </rPr>
          <t>Cristian Alarcon:</t>
        </r>
        <r>
          <rPr>
            <sz val="9"/>
            <color indexed="81"/>
            <rFont val="Tahoma"/>
            <family val="2"/>
          </rPr>
          <t xml:space="preserve">
A partir desde la emisión de la factura 
Adjudicación + 30 = Emisión EDP
Adjudicación + 60 = Factura
Adjudicación + Valor Celda = Ingreso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tc={3E4C623C-1F05-477E-890E-E95D24396D2C}</author>
    <author>Cristian Alarcon</author>
    <author>tc={382F9F8E-A7FE-4C92-85E0-291DE3793199}</author>
    <author>tc={86C0860B-F00F-48EE-AB30-B29748E9D2BB}</author>
    <author>tc={2A7A850E-08D3-486A-B7A3-61EF9F9185EA}</author>
    <author>tc={A6089DA6-9085-4F0C-92F7-1ED3B1F9C6D4}</author>
    <author>tc={54EBA741-4E99-411E-8943-F3C6DAC1ED94}</author>
    <author>tc={E6316B23-5B71-4742-9CD9-54E595A94E01}</author>
    <author>tc={2C8AD5CA-F140-47DD-B903-725F2550577D}</author>
    <author>tc={8083E835-4C1B-4943-B2FA-0810ACAF394B}</author>
    <author>tc={8922B08A-114D-41AE-85B8-84A9054D830A}</author>
    <author>tc={6491B3F7-81BF-4EBA-8B75-B80A8B728786}</author>
    <author>tc={B68511CB-5FB3-4831-BAAD-7F0A1B32DBF0}</author>
    <author>tc={11D7E4AB-3CB1-4CE3-8B10-38B568D486DB}</author>
    <author>tc={19E203FB-EB89-4CA3-B571-82F3C958A967}</author>
    <author>Alvaro Soto</author>
  </authors>
  <commentList>
    <comment ref="A2" authorId="0" shapeId="0" xr:uid="{3E4C623C-1F05-477E-890E-E95D24396D2C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Si no es igual a 22, falta información</t>
      </text>
    </comment>
    <comment ref="J2" authorId="1" shapeId="0" xr:uid="{D80BEC1D-37A1-4DDE-95B3-AC4A2AA9F5D2}">
      <text>
        <r>
          <rPr>
            <b/>
            <sz val="9"/>
            <color indexed="81"/>
            <rFont val="Tahoma"/>
            <family val="2"/>
          </rPr>
          <t>Cristian Alarcon:</t>
        </r>
        <r>
          <rPr>
            <sz val="9"/>
            <color indexed="81"/>
            <rFont val="Tahoma"/>
            <family val="2"/>
          </rPr>
          <t xml:space="preserve">
ACTUALIZAR</t>
        </r>
      </text>
    </comment>
    <comment ref="P2" authorId="2" shapeId="0" xr:uid="{382F9F8E-A7FE-4C92-85E0-291DE379319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Sponsor Tecnico
Respuesta:
    Gerente Técnico</t>
      </text>
    </comment>
    <comment ref="Q2" authorId="3" shapeId="0" xr:uid="{86C0860B-F00F-48EE-AB30-B29748E9D2BB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Conversar a las 18:00 hrs
</t>
      </text>
    </comment>
    <comment ref="AC2" authorId="4" shapeId="0" xr:uid="{2A7A850E-08D3-486A-B7A3-61EF9F9185E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Desarrollar estudios que nos permitan crear valor y que se refleje en cambios relevantes en las operaciones, proyectos y negocios mineros.</t>
      </text>
    </comment>
    <comment ref="AD2" authorId="5" shapeId="0" xr:uid="{A6089DA6-9085-4F0C-92F7-1ED3B1F9C6D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Asesoría y consultoría con conexión al más alto nivel (gerencias, vice presidencias, directorios) con una fuerte componente de conexión con el cliente.</t>
      </text>
    </comment>
    <comment ref="AE2" authorId="6" shapeId="0" xr:uid="{54EBA741-4E99-411E-8943-F3C6DAC1ED9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Incorporación de tecnologías y metodologías innovativas que permitan incorporar una visión diferente de desarrollo a las operaciones, proyectos y negocios mineros.</t>
      </text>
    </comment>
    <comment ref="AF2" authorId="7" shapeId="0" xr:uid="{E6316B23-5B71-4742-9CD9-54E595A94E01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Propuesta de Valor y oferta diferenciadora, alta cercanía con clientes clave</t>
      </text>
    </comment>
    <comment ref="AG2" authorId="8" shapeId="0" xr:uid="{2C8AD5CA-F140-47DD-B903-725F2550577D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Enfoque en operaciones con problemas para entregar estudios de alto nivel como solución.
Respuesta:
    @Alan Fraser que quieren decir con este eje?</t>
      </text>
    </comment>
    <comment ref="AI2" authorId="9" shapeId="0" xr:uid="{8083E835-4C1B-4943-B2FA-0810ACAF394B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Contrato / Contrato Marco / ODC</t>
      </text>
    </comment>
    <comment ref="AJ2" authorId="10" shapeId="0" xr:uid="{8922B08A-114D-41AE-85B8-84A9054D830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Firmada  / Pendiente
Respuesta:
    Pendiente --&gt; en rojo
Respuesta:
    STATUS --&gt; 
Contrato Marco --&gt; ODS Firmada
Contrato --&gt; Contrato Firmado
ODC --&gt; ODC Firmada</t>
      </text>
    </comment>
    <comment ref="AM2" authorId="1" shapeId="0" xr:uid="{5854DBCE-A687-4485-B1D3-1C7763E4144F}">
      <text>
        <r>
          <rPr>
            <b/>
            <sz val="9"/>
            <color indexed="81"/>
            <rFont val="Tahoma"/>
            <family val="2"/>
          </rPr>
          <t>Cristian Alarcon:</t>
        </r>
        <r>
          <rPr>
            <sz val="9"/>
            <color indexed="81"/>
            <rFont val="Tahoma"/>
            <family val="2"/>
          </rPr>
          <t xml:space="preserve">
INPUT MANUAL
Criterio de 20% para proyectos de monto menor a 100k, en otro caso 40%</t>
        </r>
      </text>
    </comment>
    <comment ref="AT26" authorId="1" shapeId="0" xr:uid="{0BE29A78-C510-488D-89D5-75EC4B3A5AA5}">
      <text>
        <r>
          <rPr>
            <b/>
            <sz val="9"/>
            <color indexed="81"/>
            <rFont val="Tahoma"/>
            <family val="2"/>
          </rPr>
          <t>Cristian Alarcon:</t>
        </r>
        <r>
          <rPr>
            <sz val="9"/>
            <color indexed="81"/>
            <rFont val="Tahoma"/>
            <family val="2"/>
          </rPr>
          <t xml:space="preserve">
si se pone la misma fecha de envío en la fecha de adjudicación se generan ciertos efectos en el PBI, favor de poner al menos 1 día de diferencia
</t>
        </r>
      </text>
    </comment>
    <comment ref="AT38" authorId="11" shapeId="0" xr:uid="{6491B3F7-81BF-4EBA-8B75-B80A8B72878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@Alvaro Soto Adjudicada sin fecha, ayuda porfa</t>
      </text>
    </comment>
    <comment ref="AL41" authorId="12" shapeId="0" xr:uid="{B68511CB-5FB3-4831-BAAD-7F0A1B32DBF0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@Alvaro Soto el monto es 0 en el pipieline también
Respuesta:
    Esta bien porque es un contrato Marco, que tiene un monto posible de adjudicar</t>
      </text>
    </comment>
    <comment ref="AN41" authorId="1" shapeId="0" xr:uid="{EC96938D-B03C-4AFB-B8FC-7194C30B0F41}">
      <text>
        <r>
          <rPr>
            <b/>
            <sz val="9"/>
            <color indexed="81"/>
            <rFont val="Tahoma"/>
            <family val="2"/>
          </rPr>
          <t>Cristian Alarcon:</t>
        </r>
        <r>
          <rPr>
            <sz val="9"/>
            <color indexed="81"/>
            <rFont val="Tahoma"/>
            <family val="2"/>
          </rPr>
          <t xml:space="preserve">
24 antes</t>
        </r>
      </text>
    </comment>
    <comment ref="AT49" authorId="13" shapeId="0" xr:uid="{11D7E4AB-3CB1-4CE3-8B10-38B568D486DB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No Adjudicadas con fecha placeholder</t>
      </text>
    </comment>
    <comment ref="AT52" authorId="14" shapeId="0" xr:uid="{19E203FB-EB89-4CA3-B571-82F3C958A967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Revisar dejar dos fechas, una de vencimiento de propuesta y otra de fecha de posible adjudicacion @Cristian Alarcón  @Alan Fraser </t>
      </text>
    </comment>
    <comment ref="AT80" authorId="15" shapeId="0" xr:uid="{EECEEB3F-02A4-4288-80FD-658183702F54}">
      <text>
        <r>
          <rPr>
            <b/>
            <sz val="9"/>
            <color indexed="81"/>
            <rFont val="Tahoma"/>
            <family val="2"/>
          </rPr>
          <t>Alvaro Soto:</t>
        </r>
        <r>
          <rPr>
            <sz val="9"/>
            <color indexed="81"/>
            <rFont val="Tahoma"/>
            <family val="2"/>
          </rPr>
          <t xml:space="preserve">
fecha estimada adjudicación agosto 2026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tc={D9DC2C20-65DD-4D61-BBEE-864AFD51CC79}</author>
    <author>Cristian Alarcon</author>
    <author>tc={FCB2A64B-DB6B-4C64-9A23-651D3C78AA75}</author>
    <author>tc={0DDBD12F-3F0D-4E08-8123-7B4669E9FB08}</author>
    <author>tc={333DB04F-9FE3-4F5D-B3BC-D097994353AD}</author>
    <author>tc={10578099-292C-469B-ACD3-0EEDA2AA73F6}</author>
    <author>tc={5AFBF4DF-1ABF-4164-89AF-AC7F7AF53509}</author>
    <author>tc={E373CA6A-F875-4E80-BE4A-EBD747CB5EC6}</author>
    <author>tc={621261F6-3479-463A-9AF1-9A58DB571311}</author>
    <author>tc={A1CD0077-EC03-44C7-BEB4-7A4D3E5671FD}</author>
    <author>tc={A19D592E-A8F6-42D3-9039-4B942E3CC3BD}</author>
  </authors>
  <commentList>
    <comment ref="A2" authorId="0" shapeId="0" xr:uid="{D9DC2C20-65DD-4D61-BBEE-864AFD51CC7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Si no es igual a 22, falta información</t>
      </text>
    </comment>
    <comment ref="L2" authorId="1" shapeId="0" xr:uid="{90CEBEC7-6DA4-4E90-B420-E8949E0AC902}">
      <text>
        <r>
          <rPr>
            <b/>
            <sz val="9"/>
            <color indexed="81"/>
            <rFont val="Tahoma"/>
            <family val="2"/>
          </rPr>
          <t>Cristian Alarcon:</t>
        </r>
        <r>
          <rPr>
            <sz val="9"/>
            <color indexed="81"/>
            <rFont val="Tahoma"/>
            <family val="2"/>
          </rPr>
          <t xml:space="preserve">
Favor actualizar, datos anteriores en hoja BACKUP</t>
        </r>
      </text>
    </comment>
    <comment ref="AQ2" authorId="2" shapeId="0" xr:uid="{FCB2A64B-DB6B-4C64-9A23-651D3C78AA7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Desarrollar estudios que nos permitan crear valor y que se refleje en cambios relevantes en las operaciones, proyectos y negocios mineros.</t>
      </text>
    </comment>
    <comment ref="AR2" authorId="3" shapeId="0" xr:uid="{0DDBD12F-3F0D-4E08-8123-7B4669E9FB0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Asesoría y consultoría con conexión al más alto nivel (gerencias, vice presidencias, directorios) con una fuerte componente de conexión con el cliente.</t>
      </text>
    </comment>
    <comment ref="AS2" authorId="4" shapeId="0" xr:uid="{333DB04F-9FE3-4F5D-B3BC-D097994353AD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Incorporación de tecnologías y metodologías innovativas que permitan incorporar una visión diferente de desarrollo a las operaciones, proyectos y negocios mineros.</t>
      </text>
    </comment>
    <comment ref="AT2" authorId="5" shapeId="0" xr:uid="{10578099-292C-469B-ACD3-0EEDA2AA73F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Propuesta de Valor y oferta diferenciadora, alta cercanía con clientes clave</t>
      </text>
    </comment>
    <comment ref="AU2" authorId="6" shapeId="0" xr:uid="{5AFBF4DF-1ABF-4164-89AF-AC7F7AF5350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Enfoque en operaciones con problemas para entregar estudios de alto nivel como solución.</t>
      </text>
    </comment>
    <comment ref="AW2" authorId="7" shapeId="0" xr:uid="{E373CA6A-F875-4E80-BE4A-EBD747CB5EC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Contrato / Contrato Marco / ODC</t>
      </text>
    </comment>
    <comment ref="AY2" authorId="8" shapeId="0" xr:uid="{621261F6-3479-463A-9AF1-9A58DB571311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Si / No 
Si en rojo</t>
      </text>
    </comment>
    <comment ref="AZ2" authorId="9" shapeId="0" xr:uid="{A1CD0077-EC03-44C7-BEB4-7A4D3E5671FD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Firmada  / Pendiente
Respuesta:
    Pendiente --&gt; en rojo
Respuesta:
    STATUS --&gt; 
Contrato Marco --&gt; ODS Firmada
Contrato --&gt; Contrato Firmado
ODC --&gt; ODC Firmada</t>
      </text>
    </comment>
    <comment ref="BM2" authorId="10" shapeId="0" xr:uid="{A19D592E-A8F6-42D3-9039-4B942E3CC3BD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Adjudicación +2 meses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 Alarcon</author>
  </authors>
  <commentList>
    <comment ref="H7" authorId="0" shapeId="0" xr:uid="{D61D9487-0954-4556-8E7F-301A4A6BB0B2}">
      <text>
        <r>
          <rPr>
            <b/>
            <sz val="9"/>
            <color indexed="81"/>
            <rFont val="Tahoma"/>
            <family val="2"/>
          </rPr>
          <t>Cristian Alarcon:</t>
        </r>
        <r>
          <rPr>
            <sz val="9"/>
            <color indexed="81"/>
            <rFont val="Tahoma"/>
            <family val="2"/>
          </rPr>
          <t xml:space="preserve">
1217640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 Alarcon</author>
    <author>tc={3CD0C75F-8BF1-4A32-BC50-3FCC6C8702DC}</author>
    <author>tc={46BCC8E3-8FDE-4979-B022-7B51473D7E19}</author>
  </authors>
  <commentList>
    <comment ref="J1" authorId="0" shapeId="0" xr:uid="{220ABAC4-F6D1-4BF5-AB7B-BC4303B6C7A2}">
      <text>
        <r>
          <rPr>
            <b/>
            <sz val="9"/>
            <color indexed="81"/>
            <rFont val="Tahoma"/>
            <family val="2"/>
          </rPr>
          <t>Cristian Alarcon:</t>
        </r>
        <r>
          <rPr>
            <sz val="9"/>
            <color indexed="81"/>
            <rFont val="Tahoma"/>
            <family val="2"/>
          </rPr>
          <t xml:space="preserve">
INPUT MANUAL
Criterio de 20% para proyectos de monto menor a 100k, en otro caso 40%</t>
        </r>
      </text>
    </comment>
    <comment ref="L1" authorId="1" shapeId="0" xr:uid="{3CD0C75F-8BF1-4A32-BC50-3FCC6C8702DC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Conversar a las 18:00 hrs
</t>
      </text>
    </comment>
    <comment ref="M1" authorId="2" shapeId="0" xr:uid="{46BCC8E3-8FDE-4979-B022-7B51473D7E1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Sponsor Tecnico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 Alarcon</author>
    <author>tc={90485B2A-4732-42DB-99A4-BED02FE23516}</author>
    <author>tc={FD0B86CE-4BA0-42B1-9305-100D457DFB8F}</author>
  </authors>
  <commentList>
    <comment ref="G2" authorId="0" shapeId="0" xr:uid="{E46A5AEA-EB57-4D8E-903D-ED101A32D71C}">
      <text>
        <r>
          <rPr>
            <b/>
            <sz val="9"/>
            <color indexed="81"/>
            <rFont val="Tahoma"/>
            <family val="2"/>
          </rPr>
          <t>Cristian Alarcon:</t>
        </r>
        <r>
          <rPr>
            <sz val="9"/>
            <color indexed="81"/>
            <rFont val="Tahoma"/>
            <family val="2"/>
          </rPr>
          <t xml:space="preserve">
ACTUALIZAR</t>
        </r>
      </text>
    </comment>
    <comment ref="H2" authorId="1" shapeId="0" xr:uid="{90485B2A-4732-42DB-99A4-BED02FE2351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Contrato / Contrato Marco / ODC</t>
      </text>
    </comment>
    <comment ref="J2" authorId="2" shapeId="0" xr:uid="{FD0B86CE-4BA0-42B1-9305-100D457DFB8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Si / No 
Si en rojo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tc={3A5C0061-EA10-4F44-A85B-38F9076569DF}</author>
    <author>tc={3BF47D41-6776-4998-9944-CE440D26F46D}</author>
    <author>tc={6A849A68-F569-4995-8EB8-62D1641CD71D}</author>
    <author>tc={3E8D563E-DC3B-466A-903F-AEDDABE8CE82}</author>
    <author>tc={7025552E-23EF-45CE-B6AC-9345941EE3C8}</author>
    <author>tc={898A79B7-4F5B-488E-AAA0-F8230B2705B0}</author>
    <author>tc={5DCAAFB3-F4EE-45D3-AB29-3D1D0F64A2C4}</author>
    <author>tc={C445243F-438F-4371-9F7E-689A34A05166}</author>
    <author>tc={E73F1DAE-390B-4ECF-8391-1BB2F20B8F34}</author>
    <author>tc={9B95BBF2-6219-4C55-BE06-B008ED6BBA4F}</author>
  </authors>
  <commentList>
    <comment ref="A2" authorId="0" shapeId="0" xr:uid="{3A5C0061-EA10-4F44-A85B-38F9076569D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Si no es igual a 22, falta información</t>
      </text>
    </comment>
    <comment ref="AO2" authorId="1" shapeId="0" xr:uid="{3BF47D41-6776-4998-9944-CE440D26F46D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Desarrollar estudios que nos permitan crear valor y que se refleje en cambios relevantes en las operaciones, proyectos y negocios mineros.</t>
      </text>
    </comment>
    <comment ref="AP2" authorId="2" shapeId="0" xr:uid="{6A849A68-F569-4995-8EB8-62D1641CD71D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Asesoría y consultoría con conexión al más alto nivel (gerencias, vice presidencias, directorios) con una fuerte componente de conexión con el cliente.</t>
      </text>
    </comment>
    <comment ref="AQ2" authorId="3" shapeId="0" xr:uid="{3E8D563E-DC3B-466A-903F-AEDDABE8CE8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Incorporación de tecnologías y metodologías innovativas que permitan incorporar una visión diferente de desarrollo a las operaciones, proyectos y negocios mineros.</t>
      </text>
    </comment>
    <comment ref="AR2" authorId="4" shapeId="0" xr:uid="{7025552E-23EF-45CE-B6AC-9345941EE3C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Propuesta de Valor y oferta diferenciadora, alta cercanía con clientes clave</t>
      </text>
    </comment>
    <comment ref="AS2" authorId="5" shapeId="0" xr:uid="{898A79B7-4F5B-488E-AAA0-F8230B2705B0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Enfoque en operaciones con problemas para entregar estudios de alto nivel como solución.</t>
      </text>
    </comment>
    <comment ref="AU2" authorId="6" shapeId="0" xr:uid="{5DCAAFB3-F4EE-45D3-AB29-3D1D0F64A2C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Contrato / Contrato Marco / ODC</t>
      </text>
    </comment>
    <comment ref="AW2" authorId="7" shapeId="0" xr:uid="{C445243F-438F-4371-9F7E-689A34A0516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Si / No 
Si en rojo</t>
      </text>
    </comment>
    <comment ref="AX2" authorId="8" shapeId="0" xr:uid="{E73F1DAE-390B-4ECF-8391-1BB2F20B8F3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Firmada  / Pendiente
Respuesta:
    Pendiente --&gt; en rojo
Respuesta:
    STATUS --&gt; 
Contrato Marco --&gt; ODS Firmada
Contrato --&gt; Contrato Firmado
ODC --&gt; ODC Firmada</t>
      </text>
    </comment>
    <comment ref="BK2" authorId="9" shapeId="0" xr:uid="{9B95BBF2-6219-4C55-BE06-B008ED6BBA4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Adjudicación +2 meses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 Alarcon</author>
    <author>tc={7E71DA1E-5402-4B2C-B8C7-C5F61B8F36F3}</author>
    <author>tc={20F2942D-4E90-4195-A9C1-2E7C3C61E503}</author>
  </authors>
  <commentList>
    <comment ref="G1" authorId="0" shapeId="0" xr:uid="{F1F06334-183E-46B4-BD9B-3DACFAD32A1B}">
      <text>
        <r>
          <rPr>
            <b/>
            <sz val="9"/>
            <color indexed="81"/>
            <rFont val="Tahoma"/>
            <family val="2"/>
          </rPr>
          <t>Cristian Alarcon:</t>
        </r>
        <r>
          <rPr>
            <sz val="9"/>
            <color indexed="81"/>
            <rFont val="Tahoma"/>
            <family val="2"/>
          </rPr>
          <t xml:space="preserve">
ACTUALIZAR</t>
        </r>
      </text>
    </comment>
    <comment ref="H1" authorId="1" shapeId="0" xr:uid="{7E71DA1E-5402-4B2C-B8C7-C5F61B8F36F3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Conversar a las 18:00 hrs
</t>
      </text>
    </comment>
    <comment ref="K1" authorId="2" shapeId="0" xr:uid="{20F2942D-4E90-4195-A9C1-2E7C3C61E503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REVISAR VALORES
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tc={E5573AA6-B147-4C76-96B5-93986963D9AB}</author>
    <author>Cristian Alarcon</author>
    <author>tc={1E855949-E172-4AD1-AE8E-8892FE38EE6E}</author>
    <author>tc={AA6C0CD4-12C8-43EA-A1C1-C7425F119204}</author>
    <author>tc={A2A5FBBF-EDCC-4C2C-A86C-697082DDE5B5}</author>
    <author>tc={715C76F1-8186-4A17-BCFB-DD821ECD6948}</author>
    <author>tc={DEAFC5B1-26FD-430D-9266-E19F8390893F}</author>
    <author>tc={08ECB1E5-ED85-4C9E-B07A-B9BF942DEF7B}</author>
    <author>tc={20635C7C-F744-46FE-8BB2-9952FFE2B335}</author>
    <author>tc={24339F9A-73BD-4E77-A997-F2F8FB6AFC1B}</author>
    <author>tc={506979FC-3E3A-4172-BBDF-75502D7213D7}</author>
    <author>tc={4B085D65-73D8-4F13-A1B3-B94EAD46E631}</author>
  </authors>
  <commentList>
    <comment ref="A2" authorId="0" shapeId="0" xr:uid="{E5573AA6-B147-4C76-96B5-93986963D9AB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Si no es igual a 22, falta información</t>
      </text>
    </comment>
    <comment ref="J2" authorId="1" shapeId="0" xr:uid="{228A3BBB-B3A5-405F-8E09-D8C72FF8D6CE}">
      <text>
        <r>
          <rPr>
            <b/>
            <sz val="9"/>
            <color indexed="81"/>
            <rFont val="Tahoma"/>
            <family val="2"/>
          </rPr>
          <t>Cristian Alarcon:</t>
        </r>
        <r>
          <rPr>
            <sz val="9"/>
            <color indexed="81"/>
            <rFont val="Tahoma"/>
            <family val="2"/>
          </rPr>
          <t xml:space="preserve">
ACTUALIZAR</t>
        </r>
      </text>
    </comment>
    <comment ref="AR2" authorId="2" shapeId="0" xr:uid="{1E855949-E172-4AD1-AE8E-8892FE38EE6E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Desarrollar estudios que nos permitan crear valor y que se refleje en cambios relevantes en las operaciones, proyectos y negocios mineros.</t>
      </text>
    </comment>
    <comment ref="AS2" authorId="3" shapeId="0" xr:uid="{AA6C0CD4-12C8-43EA-A1C1-C7425F11920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Asesoría y consultoría con conexión al más alto nivel (gerencias, vice presidencias, directorios) con una fuerte componente de conexión con el cliente.</t>
      </text>
    </comment>
    <comment ref="AT2" authorId="4" shapeId="0" xr:uid="{A2A5FBBF-EDCC-4C2C-A86C-697082DDE5B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Incorporación de tecnologías y metodologías innovativas que permitan incorporar una visión diferente de desarrollo a las operaciones, proyectos y negocios mineros.</t>
      </text>
    </comment>
    <comment ref="AU2" authorId="5" shapeId="0" xr:uid="{715C76F1-8186-4A17-BCFB-DD821ECD694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Propuesta de Valor y oferta diferenciadora, alta cercanía con clientes clave</t>
      </text>
    </comment>
    <comment ref="AV2" authorId="6" shapeId="0" xr:uid="{DEAFC5B1-26FD-430D-9266-E19F8390893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Enfoque en operaciones con problemas para entregar estudios de alto nivel como solución.</t>
      </text>
    </comment>
    <comment ref="AX2" authorId="7" shapeId="0" xr:uid="{08ECB1E5-ED85-4C9E-B07A-B9BF942DEF7B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Contrato / Contrato Marco / ODC</t>
      </text>
    </comment>
    <comment ref="AZ2" authorId="8" shapeId="0" xr:uid="{20635C7C-F744-46FE-8BB2-9952FFE2B33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Si / No 
Si en rojo</t>
      </text>
    </comment>
    <comment ref="BA2" authorId="9" shapeId="0" xr:uid="{24339F9A-73BD-4E77-A997-F2F8FB6AFC1B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Firmada  / Pendiente
Respuesta:
    Pendiente --&gt; en rojo
Respuesta:
    STATUS --&gt; 
Contrato Marco --&gt; ODS Firmada
Contrato --&gt; Contrato Firmado
ODC --&gt; ODC Firmada</t>
      </text>
    </comment>
    <comment ref="BD2" authorId="1" shapeId="0" xr:uid="{D155FE36-4CB2-490B-A68F-08BE56F19FC3}">
      <text>
        <r>
          <rPr>
            <b/>
            <sz val="9"/>
            <color indexed="81"/>
            <rFont val="Tahoma"/>
            <family val="2"/>
          </rPr>
          <t>Cristian Alarcon:</t>
        </r>
        <r>
          <rPr>
            <sz val="9"/>
            <color indexed="81"/>
            <rFont val="Tahoma"/>
            <family val="2"/>
          </rPr>
          <t xml:space="preserve">
INPUT MANUAL</t>
        </r>
      </text>
    </comment>
    <comment ref="BG2" authorId="1" shapeId="0" xr:uid="{E3F70D7D-70EB-4DBE-A396-34A00A0C263F}">
      <text>
        <r>
          <rPr>
            <b/>
            <sz val="9"/>
            <color indexed="81"/>
            <rFont val="Tahoma"/>
            <family val="2"/>
          </rPr>
          <t>Cristian Alarcon:</t>
        </r>
        <r>
          <rPr>
            <sz val="9"/>
            <color indexed="81"/>
            <rFont val="Tahoma"/>
            <family val="2"/>
          </rPr>
          <t xml:space="preserve">
INPUT MANUAL</t>
        </r>
      </text>
    </comment>
    <comment ref="BJ2" authorId="10" shapeId="0" xr:uid="{506979FC-3E3A-4172-BBDF-75502D7213D7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REVISAR VALORES
</t>
      </text>
    </comment>
    <comment ref="BN2" authorId="11" shapeId="0" xr:uid="{4B085D65-73D8-4F13-A1B3-B94EAD46E631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Adjudicación +2 meses</t>
      </text>
    </comment>
    <comment ref="F4" authorId="1" shapeId="0" xr:uid="{22040A3F-E570-4C9D-91B1-7C14FB2D3386}">
      <text>
        <r>
          <rPr>
            <b/>
            <sz val="9"/>
            <color indexed="81"/>
            <rFont val="Tahoma"/>
            <family val="2"/>
          </rPr>
          <t>Cristian Alarcon:</t>
        </r>
        <r>
          <rPr>
            <sz val="9"/>
            <color indexed="81"/>
            <rFont val="Tahoma"/>
            <family val="2"/>
          </rPr>
          <t xml:space="preserve">
grassberg</t>
        </r>
      </text>
    </comment>
    <comment ref="BK4" authorId="1" shapeId="0" xr:uid="{BE4EA295-F896-48AA-8E8F-DE48DF6C23CE}">
      <text>
        <r>
          <rPr>
            <b/>
            <sz val="9"/>
            <color indexed="81"/>
            <rFont val="Tahoma"/>
            <family val="2"/>
          </rPr>
          <t>Cristian Alarcon:</t>
        </r>
        <r>
          <rPr>
            <sz val="9"/>
            <color indexed="81"/>
            <rFont val="Tahoma"/>
            <family val="2"/>
          </rPr>
          <t xml:space="preserve">
"Fecha de Inicio"</t>
        </r>
      </text>
    </comment>
    <comment ref="BK7" authorId="1" shapeId="0" xr:uid="{5C6E6DB4-2476-4DD5-B63D-47C72F662573}">
      <text>
        <r>
          <rPr>
            <b/>
            <sz val="9"/>
            <color indexed="81"/>
            <rFont val="Tahoma"/>
            <family val="2"/>
          </rPr>
          <t>Cristian Alarcon:</t>
        </r>
        <r>
          <rPr>
            <sz val="9"/>
            <color indexed="81"/>
            <rFont val="Tahoma"/>
            <family val="2"/>
          </rPr>
          <t xml:space="preserve">
FECHA DE INICIO = TBD</t>
        </r>
      </text>
    </comment>
    <comment ref="BK18" authorId="1" shapeId="0" xr:uid="{4099897F-7C10-4027-8880-15AA4AB78745}">
      <text>
        <r>
          <rPr>
            <b/>
            <sz val="9"/>
            <color indexed="81"/>
            <rFont val="Tahoma"/>
            <family val="2"/>
          </rPr>
          <t>Cristian Alarcon:</t>
        </r>
        <r>
          <rPr>
            <sz val="9"/>
            <color indexed="81"/>
            <rFont val="Tahoma"/>
            <family val="2"/>
          </rPr>
          <t xml:space="preserve">
FECHA DE INICIO = TBD</t>
        </r>
      </text>
    </comment>
    <comment ref="F26" authorId="1" shapeId="0" xr:uid="{9BD102CF-BB5F-4C95-8D1B-39B568014931}">
      <text>
        <r>
          <rPr>
            <b/>
            <sz val="9"/>
            <color indexed="81"/>
            <rFont val="Tahoma"/>
            <family val="2"/>
          </rPr>
          <t>Cristian Alarcon:</t>
        </r>
        <r>
          <rPr>
            <sz val="9"/>
            <color indexed="81"/>
            <rFont val="Tahoma"/>
            <family val="2"/>
          </rPr>
          <t xml:space="preserve">
collahuasi</t>
        </r>
      </text>
    </comment>
    <comment ref="BK26" authorId="1" shapeId="0" xr:uid="{DFE473A8-C6B0-4D58-AC35-6D6519C5ECF1}">
      <text>
        <r>
          <rPr>
            <b/>
            <sz val="9"/>
            <color indexed="81"/>
            <rFont val="Tahoma"/>
            <family val="2"/>
          </rPr>
          <t>Cristian Alarcon:</t>
        </r>
        <r>
          <rPr>
            <sz val="9"/>
            <color indexed="81"/>
            <rFont val="Tahoma"/>
            <family val="2"/>
          </rPr>
          <t xml:space="preserve">
"Fecha de Inicio"</t>
        </r>
      </text>
    </comment>
    <comment ref="F38" authorId="1" shapeId="0" xr:uid="{044F0A1E-1A7F-4C09-9FAC-461D04A6C464}">
      <text>
        <r>
          <rPr>
            <b/>
            <sz val="9"/>
            <color indexed="81"/>
            <rFont val="Tahoma"/>
            <family val="2"/>
          </rPr>
          <t>Cristian Alarcon:</t>
        </r>
        <r>
          <rPr>
            <sz val="9"/>
            <color indexed="81"/>
            <rFont val="Tahoma"/>
            <family val="2"/>
          </rPr>
          <t xml:space="preserve">
emincar</t>
        </r>
      </text>
    </comment>
    <comment ref="BK38" authorId="1" shapeId="0" xr:uid="{2FD11009-2FB8-4480-86D3-53C37AA6B0EE}">
      <text>
        <r>
          <rPr>
            <b/>
            <sz val="9"/>
            <color indexed="81"/>
            <rFont val="Tahoma"/>
            <family val="2"/>
          </rPr>
          <t>Cristian Alarcon:</t>
        </r>
        <r>
          <rPr>
            <sz val="9"/>
            <color indexed="81"/>
            <rFont val="Tahoma"/>
            <family val="2"/>
          </rPr>
          <t xml:space="preserve">
FECHA DE INICIO = TBD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 Alarcon</author>
  </authors>
  <commentList>
    <comment ref="B4" authorId="0" shapeId="0" xr:uid="{00281B5E-23B5-4084-802E-990A85604001}">
      <text>
        <r>
          <rPr>
            <b/>
            <sz val="9"/>
            <color indexed="81"/>
            <rFont val="Tahoma"/>
            <family val="2"/>
          </rPr>
          <t>Cristian Alarcon:</t>
        </r>
        <r>
          <rPr>
            <sz val="9"/>
            <color indexed="81"/>
            <rFont val="Tahoma"/>
            <family val="2"/>
          </rPr>
          <t xml:space="preserve">
a veces confirman por correo, en espera a formalizar</t>
        </r>
      </text>
    </comment>
  </commentList>
</comments>
</file>

<file path=xl/sharedStrings.xml><?xml version="1.0" encoding="utf-8"?>
<sst xmlns="http://schemas.openxmlformats.org/spreadsheetml/2006/main" count="4467" uniqueCount="911">
  <si>
    <t>Descripción Oportunidad</t>
  </si>
  <si>
    <t>Índice</t>
  </si>
  <si>
    <t>Num_ID</t>
  </si>
  <si>
    <t>Opportunity framing: Desarrollo Integral GS</t>
  </si>
  <si>
    <t>País</t>
  </si>
  <si>
    <t>Código</t>
  </si>
  <si>
    <t>Cliente</t>
  </si>
  <si>
    <t>Estimación Desfase de pago (días)</t>
  </si>
  <si>
    <t>Área</t>
  </si>
  <si>
    <t>Commodity</t>
  </si>
  <si>
    <t>Codigo</t>
  </si>
  <si>
    <t>Tipo de Estudio</t>
  </si>
  <si>
    <t>Area</t>
  </si>
  <si>
    <t>Año inicio Contrato</t>
  </si>
  <si>
    <t>Estado Ventas</t>
  </si>
  <si>
    <t>Estado Propuesta</t>
  </si>
  <si>
    <t>Tipo Cliente</t>
  </si>
  <si>
    <t>Marco Contractual</t>
  </si>
  <si>
    <t>Sigla</t>
  </si>
  <si>
    <t>Tipo de Contrato</t>
  </si>
  <si>
    <t>Boleta de Garatía</t>
  </si>
  <si>
    <t>Estatus Contractual</t>
  </si>
  <si>
    <t>Forma de Venta</t>
  </si>
  <si>
    <t>Motivo de No Adjudicación</t>
  </si>
  <si>
    <t>Sponsor de contrato</t>
  </si>
  <si>
    <t>Número de proyecto (SDC)</t>
  </si>
  <si>
    <t>N°</t>
  </si>
  <si>
    <t>Director</t>
  </si>
  <si>
    <t>Estatus</t>
  </si>
  <si>
    <t>Nivel de Ingeniería</t>
  </si>
  <si>
    <t>Tabla Bid</t>
  </si>
  <si>
    <t>Estimación de recursos y reservas (Contrato Marco)</t>
  </si>
  <si>
    <t>Chile</t>
  </si>
  <si>
    <t>CH</t>
  </si>
  <si>
    <t>CMP</t>
  </si>
  <si>
    <t>Otros</t>
  </si>
  <si>
    <t>OT</t>
  </si>
  <si>
    <t>Cobre</t>
  </si>
  <si>
    <t>Cu</t>
  </si>
  <si>
    <t>Scoping Study /PEA</t>
  </si>
  <si>
    <t>REDCO</t>
  </si>
  <si>
    <t>PEA</t>
  </si>
  <si>
    <t>Proyección</t>
  </si>
  <si>
    <t>Preparación</t>
  </si>
  <si>
    <t>Target</t>
  </si>
  <si>
    <t>Contrato</t>
  </si>
  <si>
    <t>CTO</t>
  </si>
  <si>
    <t>Suma Alzada</t>
  </si>
  <si>
    <t>LS</t>
  </si>
  <si>
    <t>Si</t>
  </si>
  <si>
    <t>Firmada</t>
  </si>
  <si>
    <t>Búsqueda Activa</t>
  </si>
  <si>
    <t>Estrategia no Adecuada</t>
  </si>
  <si>
    <t>Enrique Rubio</t>
  </si>
  <si>
    <t>Sin SDC</t>
  </si>
  <si>
    <t>A</t>
  </si>
  <si>
    <t>Ricardo Miranda</t>
  </si>
  <si>
    <t>Vigente</t>
  </si>
  <si>
    <t>Otro</t>
  </si>
  <si>
    <t>OTR00</t>
  </si>
  <si>
    <t>Bid</t>
  </si>
  <si>
    <t xml:space="preserve">REVISORES INDEPENDIENTES DE PROYECTOS DE INVERSIÓN </t>
  </si>
  <si>
    <t>Perú</t>
  </si>
  <si>
    <t>PE</t>
  </si>
  <si>
    <t>BHP</t>
  </si>
  <si>
    <t>UG</t>
  </si>
  <si>
    <t>Oro</t>
  </si>
  <si>
    <t>Au</t>
  </si>
  <si>
    <t>RPD / Blue Sky Analysis</t>
  </si>
  <si>
    <t>RPD</t>
  </si>
  <si>
    <t>Propuesta</t>
  </si>
  <si>
    <t>Enviada</t>
  </si>
  <si>
    <t>Regular</t>
  </si>
  <si>
    <t>Contrato Marco</t>
  </si>
  <si>
    <t>COM</t>
  </si>
  <si>
    <t>Costo Reembolsable</t>
  </si>
  <si>
    <t>RE</t>
  </si>
  <si>
    <t>No</t>
  </si>
  <si>
    <t>Pendiente</t>
  </si>
  <si>
    <t>Costos muy altos</t>
  </si>
  <si>
    <t>Matías Fuentes</t>
  </si>
  <si>
    <t>1 SDC</t>
  </si>
  <si>
    <t>B</t>
  </si>
  <si>
    <t>Matias Fuentes</t>
  </si>
  <si>
    <t>Ingeniería conceptual</t>
  </si>
  <si>
    <t>FEL00</t>
  </si>
  <si>
    <t>No bid</t>
  </si>
  <si>
    <t>Contrato Marco Estudios GRMD</t>
  </si>
  <si>
    <t>Brasil</t>
  </si>
  <si>
    <t>BR</t>
  </si>
  <si>
    <t>Lundin</t>
  </si>
  <si>
    <t>LUN</t>
  </si>
  <si>
    <t>OP</t>
  </si>
  <si>
    <t>Plata</t>
  </si>
  <si>
    <t>Ag</t>
  </si>
  <si>
    <t>Due Dilligence / Auditorías / Revisión</t>
  </si>
  <si>
    <t>DAR</t>
  </si>
  <si>
    <t>En Seguimiento</t>
  </si>
  <si>
    <t>Premium</t>
  </si>
  <si>
    <t>Orden de Compra</t>
  </si>
  <si>
    <t>ODC</t>
  </si>
  <si>
    <t>Tarifa Unitaria</t>
  </si>
  <si>
    <t>UR</t>
  </si>
  <si>
    <t>Solicitud Directa</t>
  </si>
  <si>
    <t>Declarada Desierta</t>
  </si>
  <si>
    <t>Juan Fransico San Martín</t>
  </si>
  <si>
    <t>2 SDC</t>
  </si>
  <si>
    <t>C</t>
  </si>
  <si>
    <t>Alex Figueroa</t>
  </si>
  <si>
    <t>Ingeniería de perfil</t>
  </si>
  <si>
    <t>FEL01</t>
  </si>
  <si>
    <t>Scoping study PEA (mina a puerto) proyecto Cerro Iman</t>
  </si>
  <si>
    <t>Rusia</t>
  </si>
  <si>
    <t>RU</t>
  </si>
  <si>
    <t>Minsur</t>
  </si>
  <si>
    <t>MSR</t>
  </si>
  <si>
    <t>OP/UG</t>
  </si>
  <si>
    <t>OU</t>
  </si>
  <si>
    <t>Molibdeno</t>
  </si>
  <si>
    <t>Mo</t>
  </si>
  <si>
    <t>PFS/FS (Minería)</t>
  </si>
  <si>
    <t>MIN</t>
  </si>
  <si>
    <t>Adjudicada</t>
  </si>
  <si>
    <t>Orden de Servicio</t>
  </si>
  <si>
    <t>ODS</t>
  </si>
  <si>
    <t>Tarifa + (OH+U=LS)</t>
  </si>
  <si>
    <t>URLS</t>
  </si>
  <si>
    <t>Licitación Pública</t>
  </si>
  <si>
    <t>No cumple técnicamente</t>
  </si>
  <si>
    <t>Claudio Hernández</t>
  </si>
  <si>
    <t>3 SDC</t>
  </si>
  <si>
    <t>D</t>
  </si>
  <si>
    <t>Claudio Hernandez</t>
  </si>
  <si>
    <t>Ingeniería de prefactibilidad</t>
  </si>
  <si>
    <t>FEL2A</t>
  </si>
  <si>
    <t>Actualización Modelo Geotecnico Inmaculada</t>
  </si>
  <si>
    <t>EEUU</t>
  </si>
  <si>
    <t>Glencore</t>
  </si>
  <si>
    <t>GLE</t>
  </si>
  <si>
    <t>Hierro</t>
  </si>
  <si>
    <t>Fe</t>
  </si>
  <si>
    <t>Mejoras Operacionales</t>
  </si>
  <si>
    <t>MOP</t>
  </si>
  <si>
    <t>No Adjudicada</t>
  </si>
  <si>
    <t>Licitación Privada</t>
  </si>
  <si>
    <t>4 SDC</t>
  </si>
  <si>
    <t>E</t>
  </si>
  <si>
    <t>FEL2B</t>
  </si>
  <si>
    <t>Apoyo en ingeria FEL2 planta (Permisos y infraestructura minera)</t>
  </si>
  <si>
    <t>Fluor</t>
  </si>
  <si>
    <t>FLU</t>
  </si>
  <si>
    <t>Zinc</t>
  </si>
  <si>
    <t>Zn</t>
  </si>
  <si>
    <t>Modelamiento Geotécnico / Estructural</t>
  </si>
  <si>
    <t>Geotecnia</t>
  </si>
  <si>
    <t>MGE</t>
  </si>
  <si>
    <t>5 SDC</t>
  </si>
  <si>
    <t>F</t>
  </si>
  <si>
    <t>Carolina Arcos</t>
  </si>
  <si>
    <t>Ingeniería de factibilidad</t>
  </si>
  <si>
    <t>FEL03</t>
  </si>
  <si>
    <t xml:space="preserve">Análisis de estabilidad 3D </t>
  </si>
  <si>
    <t>AMSA</t>
  </si>
  <si>
    <t>AMS</t>
  </si>
  <si>
    <t>Manganeso</t>
  </si>
  <si>
    <t>Mn</t>
  </si>
  <si>
    <t>Modelamiento Numérico 2D (Análisis Estabilidad)</t>
  </si>
  <si>
    <t>MN2</t>
  </si>
  <si>
    <t>6 SDC</t>
  </si>
  <si>
    <t>G</t>
  </si>
  <si>
    <t>Ingeniería de detalle</t>
  </si>
  <si>
    <t>FEL04</t>
  </si>
  <si>
    <t>Apoyo consultivo OCP</t>
  </si>
  <si>
    <t>OTR</t>
  </si>
  <si>
    <t>Plomo</t>
  </si>
  <si>
    <t>Pb</t>
  </si>
  <si>
    <t>Modelamiento Numérico 3D (Análisis Estabilidad)</t>
  </si>
  <si>
    <t>MN3</t>
  </si>
  <si>
    <t>En Pipeline si definición</t>
  </si>
  <si>
    <t>PIPEL</t>
  </si>
  <si>
    <t>Estudios complementaris PFS Furnas</t>
  </si>
  <si>
    <t>Codelco</t>
  </si>
  <si>
    <t>COD</t>
  </si>
  <si>
    <t>Litio</t>
  </si>
  <si>
    <t>Li</t>
  </si>
  <si>
    <t>Análisis Sísmico</t>
  </si>
  <si>
    <t>ASI</t>
  </si>
  <si>
    <t>Plan Integrado de Control Geomecánico y Sísmico para el Desarrollo del Pique y la Explotación Subterránea</t>
  </si>
  <si>
    <t>El Brocal</t>
  </si>
  <si>
    <t>BRO</t>
  </si>
  <si>
    <t>Fosfato</t>
  </si>
  <si>
    <t>PO4</t>
  </si>
  <si>
    <t>Evaluación estocástica de escenarios con herramienta SIMPLAN (mina puerto)</t>
  </si>
  <si>
    <t>Sierra metals</t>
  </si>
  <si>
    <t>SME</t>
  </si>
  <si>
    <t>Nickel</t>
  </si>
  <si>
    <t>Ni</t>
  </si>
  <si>
    <t>Gonzalo Diaz</t>
  </si>
  <si>
    <t>Reorganización Estratégica de Infraestructura de Facilidades Mina</t>
  </si>
  <si>
    <t>Mosaic</t>
  </si>
  <si>
    <t>MOS</t>
  </si>
  <si>
    <t>Estudio de diagnóstico (monitoreo + Sistema ventilación)</t>
  </si>
  <si>
    <t>Nexa</t>
  </si>
  <si>
    <t>NEX</t>
  </si>
  <si>
    <t>Servicio de optimización Minera</t>
  </si>
  <si>
    <t>CSH</t>
  </si>
  <si>
    <t xml:space="preserve">Servicio Spot Soporte ICSARA Proyecto Parcas </t>
  </si>
  <si>
    <t>CD Capital</t>
  </si>
  <si>
    <t>CSC</t>
  </si>
  <si>
    <t>Diagnóstico y mejoramiento proceso de planificación corto plazo</t>
  </si>
  <si>
    <t>Coripuno</t>
  </si>
  <si>
    <t>COR</t>
  </si>
  <si>
    <t>Estudio Conceptual (FEL-1)</t>
  </si>
  <si>
    <t>MMG Las Bambas</t>
  </si>
  <si>
    <t>MMG</t>
  </si>
  <si>
    <t>Ground Control Management</t>
  </si>
  <si>
    <t>J&amp;F</t>
  </si>
  <si>
    <t>Estudio conceptual túnel de transporte de mineral</t>
  </si>
  <si>
    <t>Vale</t>
  </si>
  <si>
    <t>VAL</t>
  </si>
  <si>
    <t>Riino Antucoya - Proyecto Cachorro Centinela</t>
  </si>
  <si>
    <t>Miski Mayo</t>
  </si>
  <si>
    <t>MMA</t>
  </si>
  <si>
    <t>Implementación de norma y estandar de planificación minera</t>
  </si>
  <si>
    <t>Alrosa</t>
  </si>
  <si>
    <t>ALR</t>
  </si>
  <si>
    <t xml:space="preserve">Modelo de ventilación y requerimientos adicionales </t>
  </si>
  <si>
    <t>Evraz</t>
  </si>
  <si>
    <t>EVR</t>
  </si>
  <si>
    <t>Estudio geomecanico y sismico Veta 1204 (addenda)</t>
  </si>
  <si>
    <t>Ivanhoe Electric</t>
  </si>
  <si>
    <t>IEL</t>
  </si>
  <si>
    <t>Resource Development Plan (RDP)</t>
  </si>
  <si>
    <t>AESA</t>
  </si>
  <si>
    <t>AES</t>
  </si>
  <si>
    <t>Mine compliance 2026</t>
  </si>
  <si>
    <t>Antamina</t>
  </si>
  <si>
    <t>ANT</t>
  </si>
  <si>
    <t xml:space="preserve">Ev. capacidad de extracción y producción en riesgo </t>
  </si>
  <si>
    <t>Zublin</t>
  </si>
  <si>
    <t>ZUB</t>
  </si>
  <si>
    <t>Ingenieria PFS + Modelos geocientificos</t>
  </si>
  <si>
    <t>MEL</t>
  </si>
  <si>
    <t>Ing. Factibilidad cierre de botaderos</t>
  </si>
  <si>
    <t>Seligdar</t>
  </si>
  <si>
    <t>SEL</t>
  </si>
  <si>
    <t>Desarrollo negocio minero</t>
  </si>
  <si>
    <t>Boston Consulting</t>
  </si>
  <si>
    <t>BSC</t>
  </si>
  <si>
    <t>Estrategia crecimiento valle elqui</t>
  </si>
  <si>
    <t>Capstone Copper</t>
  </si>
  <si>
    <t>CCO</t>
  </si>
  <si>
    <t>Implementación Enoteca para evaluación de planes</t>
  </si>
  <si>
    <t>Banco Santander</t>
  </si>
  <si>
    <t>BSA</t>
  </si>
  <si>
    <t>Estrategia de desarrollo distrital Caserones 300 ktpa Cu</t>
  </si>
  <si>
    <t>McCarthy</t>
  </si>
  <si>
    <t>MCA</t>
  </si>
  <si>
    <t>Elaboración de Estudio Sísmico El Porvenir</t>
  </si>
  <si>
    <t>Eurochem</t>
  </si>
  <si>
    <t>ECH</t>
  </si>
  <si>
    <t>Desarrollo Plan de ejecución</t>
  </si>
  <si>
    <t>EMX Royalty</t>
  </si>
  <si>
    <t>EMX</t>
  </si>
  <si>
    <t>Gestión Geomecánica corporativa</t>
  </si>
  <si>
    <t>Mitsubichi</t>
  </si>
  <si>
    <t>MCI</t>
  </si>
  <si>
    <t>Estudio De Tratamiento a 4000 Tmpd En La Planta Concentradora Untuca</t>
  </si>
  <si>
    <t>RED</t>
  </si>
  <si>
    <t>Ing. FS Cajati UG</t>
  </si>
  <si>
    <t>Hudbay</t>
  </si>
  <si>
    <t>HUD</t>
  </si>
  <si>
    <t>Ing. Expansión</t>
  </si>
  <si>
    <t>Marcobre</t>
  </si>
  <si>
    <t>MAR</t>
  </si>
  <si>
    <t>Extras San Rafel MIA</t>
  </si>
  <si>
    <t>Minera Coimolache</t>
  </si>
  <si>
    <t>CMC</t>
  </si>
  <si>
    <t>Twin Metals</t>
  </si>
  <si>
    <t>TWM</t>
  </si>
  <si>
    <t>ThreeCrowns</t>
  </si>
  <si>
    <t>THC</t>
  </si>
  <si>
    <t>AngloAmerican</t>
  </si>
  <si>
    <t>AAM</t>
  </si>
  <si>
    <t>Volcan</t>
  </si>
  <si>
    <t>VLC</t>
  </si>
  <si>
    <t>AuraMinerals</t>
  </si>
  <si>
    <t>AUM</t>
  </si>
  <si>
    <t>Resolution</t>
  </si>
  <si>
    <t>RES</t>
  </si>
  <si>
    <t>Debevoise&amp;Plimpton</t>
  </si>
  <si>
    <t>D&amp;P</t>
  </si>
  <si>
    <t>OCP</t>
  </si>
  <si>
    <t>Atlas Mining</t>
  </si>
  <si>
    <t>ATL</t>
  </si>
  <si>
    <t>Polyus</t>
  </si>
  <si>
    <t>POL</t>
  </si>
  <si>
    <t>EroCopper</t>
  </si>
  <si>
    <t>ERC</t>
  </si>
  <si>
    <t>Alpayana</t>
  </si>
  <si>
    <t>ALP</t>
  </si>
  <si>
    <t>Taboca</t>
  </si>
  <si>
    <t>TAB</t>
  </si>
  <si>
    <t>Santander Peruvian Mine</t>
  </si>
  <si>
    <t>SPM</t>
  </si>
  <si>
    <t>Lhg Mining</t>
  </si>
  <si>
    <t>LHG</t>
  </si>
  <si>
    <t>CBMM</t>
  </si>
  <si>
    <t>CBM</t>
  </si>
  <si>
    <t>CORFO</t>
  </si>
  <si>
    <t>CRF</t>
  </si>
  <si>
    <t>PUCOBRE</t>
  </si>
  <si>
    <t>PUC</t>
  </si>
  <si>
    <t>Equinox Gold</t>
  </si>
  <si>
    <t>EQG</t>
  </si>
  <si>
    <t>Collahuasi</t>
  </si>
  <si>
    <t>COL</t>
  </si>
  <si>
    <t>Franco Nevada</t>
  </si>
  <si>
    <t>FNE</t>
  </si>
  <si>
    <t>CAP</t>
  </si>
  <si>
    <t>ERG</t>
  </si>
  <si>
    <t>Emincar</t>
  </si>
  <si>
    <t>ECR</t>
  </si>
  <si>
    <t>Hochschild</t>
  </si>
  <si>
    <t>HCS</t>
  </si>
  <si>
    <t>Barrick</t>
  </si>
  <si>
    <t>BRR</t>
  </si>
  <si>
    <t>Mineria Activa</t>
  </si>
  <si>
    <t>MIA</t>
  </si>
  <si>
    <t>Jaguar Mining</t>
  </si>
  <si>
    <t>JAG</t>
  </si>
  <si>
    <t>C. Minero Horizonte</t>
  </si>
  <si>
    <t>CMH</t>
  </si>
  <si>
    <t>BCG</t>
  </si>
  <si>
    <t>Zijin Mining</t>
  </si>
  <si>
    <t>ZJM</t>
  </si>
  <si>
    <t>Minera Altair</t>
  </si>
  <si>
    <t>MAL</t>
  </si>
  <si>
    <t>VOL</t>
  </si>
  <si>
    <t>EMET</t>
  </si>
  <si>
    <t>EME</t>
  </si>
  <si>
    <t>Abogados</t>
  </si>
  <si>
    <t>ABO</t>
  </si>
  <si>
    <t>FMI</t>
  </si>
  <si>
    <t>South32</t>
  </si>
  <si>
    <t>S32</t>
  </si>
  <si>
    <t>Newmont</t>
  </si>
  <si>
    <t>NEW</t>
  </si>
  <si>
    <t>TBD</t>
  </si>
  <si>
    <t>Chinalco</t>
  </si>
  <si>
    <t>CHN</t>
  </si>
  <si>
    <t>Rio Tinto</t>
  </si>
  <si>
    <t>RTZ</t>
  </si>
  <si>
    <t>Freeport-McMoran Inc.</t>
  </si>
  <si>
    <t>FPM</t>
  </si>
  <si>
    <t>MAC</t>
  </si>
  <si>
    <t>Quilla Resources</t>
  </si>
  <si>
    <t>QRE</t>
  </si>
  <si>
    <t>Minera Santa Lucia</t>
  </si>
  <si>
    <t>MSL</t>
  </si>
  <si>
    <t>Trafigura</t>
  </si>
  <si>
    <t>TFG</t>
  </si>
  <si>
    <t>UCC Holding</t>
  </si>
  <si>
    <t>UCC</t>
  </si>
  <si>
    <t>Minera Los Pelambres</t>
  </si>
  <si>
    <t>MLP</t>
  </si>
  <si>
    <t>Desarrollo Minera Centinela</t>
  </si>
  <si>
    <t>CEN</t>
  </si>
  <si>
    <t>i-80</t>
  </si>
  <si>
    <t>I80</t>
  </si>
  <si>
    <t>Fortuna Mining</t>
  </si>
  <si>
    <t>FOR</t>
  </si>
  <si>
    <t>Arcadis</t>
  </si>
  <si>
    <t>ARC</t>
  </si>
  <si>
    <t>Hecla</t>
  </si>
  <si>
    <t>HEC</t>
  </si>
  <si>
    <t>Parámetro</t>
  </si>
  <si>
    <t>Valor</t>
  </si>
  <si>
    <t>Meses de caducidad de Propuesta</t>
  </si>
  <si>
    <t>Etapa</t>
  </si>
  <si>
    <t>Go</t>
  </si>
  <si>
    <t>Get</t>
  </si>
  <si>
    <t>#</t>
  </si>
  <si>
    <t>Eje Estratégico</t>
  </si>
  <si>
    <t>Desarrollar estudios que nos permitan crear valor y que se refleje en cambios relevantes en las operaciones, proyectos y negocios mineros.</t>
  </si>
  <si>
    <t>Asesoría y consultoría con conexión al más alto nivel (gerencias, vice presidencias, directorios) con una fuerte componente de conexión con el cliente.</t>
  </si>
  <si>
    <t>Incorporación de tecnologías y metodologías innovativas que permitan incorporar una visión diferente de desarrollo a las operaciones, proyectos y negocios mineros.</t>
  </si>
  <si>
    <t>Propuesta de Valor y oferta diferenciadora, alta cercanía con clientes clave</t>
  </si>
  <si>
    <t>Enfoque en operaciones con problemas para entregar estudios de alto nivel como solución.</t>
  </si>
  <si>
    <t>Mensual</t>
  </si>
  <si>
    <t>PRESUPUESTO 2026</t>
  </si>
  <si>
    <t>AREA</t>
  </si>
  <si>
    <t>Ingresos USD</t>
  </si>
  <si>
    <t>Responsable</t>
  </si>
  <si>
    <t>Proceso</t>
  </si>
  <si>
    <t>Categoria</t>
  </si>
  <si>
    <t>Concepto</t>
  </si>
  <si>
    <t>01-01-2026</t>
  </si>
  <si>
    <t>01-02-2026</t>
  </si>
  <si>
    <t>01-03-2026</t>
  </si>
  <si>
    <t>01-04-2026</t>
  </si>
  <si>
    <t>01-05-2026</t>
  </si>
  <si>
    <t>01-06-2026</t>
  </si>
  <si>
    <t>01-07-2026</t>
  </si>
  <si>
    <t>01-08-2026</t>
  </si>
  <si>
    <t>01-09-2026</t>
  </si>
  <si>
    <t>01-10-2026</t>
  </si>
  <si>
    <t>01-11-2026</t>
  </si>
  <si>
    <t>01-12-2026</t>
  </si>
  <si>
    <t>Ingresos</t>
  </si>
  <si>
    <t>Backlog</t>
  </si>
  <si>
    <t>Ingreso_Operacional</t>
  </si>
  <si>
    <t>Seligdar_Kyuchus</t>
  </si>
  <si>
    <t>Codelco_Auditoria Recursos y Reservas</t>
  </si>
  <si>
    <t/>
  </si>
  <si>
    <t>ERG_Parámetros estabilidad taludes</t>
  </si>
  <si>
    <t>ElBrocal_Estudio Geomecanico Estabilidad</t>
  </si>
  <si>
    <t>Polyus_Olimpiada Cutback 5&amp;6</t>
  </si>
  <si>
    <t>Polyus_Evaluacion talud mina Blagodatny</t>
  </si>
  <si>
    <t>AuraMinerals_Proyecto Paiol PFS UG</t>
  </si>
  <si>
    <t>EroCopper_Scoping Proyecto Furnas</t>
  </si>
  <si>
    <t>Hochschild_FS Metodos de Minado Tesoro</t>
  </si>
  <si>
    <t>Miskimayo_Evaluación Transporte en Mina</t>
  </si>
  <si>
    <t>ERG_Structural Model Update</t>
  </si>
  <si>
    <t>Los Calatos_Resource Development Plan</t>
  </si>
  <si>
    <t>Alpayana_Estudio de Sismicidad</t>
  </si>
  <si>
    <t>AtlasMining_Ley de corte optima Malomyr</t>
  </si>
  <si>
    <t>EQUINOX_Actualización Ing. Básica UG</t>
  </si>
  <si>
    <t>Collahuasi_Valor Incorporación Chx.03</t>
  </si>
  <si>
    <t>Resolution_General Review</t>
  </si>
  <si>
    <t>Codelco_Formulación caso de negocio TBM</t>
  </si>
  <si>
    <t>AMSA_RIINO BC - Centinela</t>
  </si>
  <si>
    <t>SPM_FS Labores Subterraneas 2da MEIA</t>
  </si>
  <si>
    <t>Grasberg</t>
  </si>
  <si>
    <t>Emincar_Los Castellanos_UG</t>
  </si>
  <si>
    <t>Mine compliance Collahuasi 2026</t>
  </si>
  <si>
    <t>Información Oportunidad</t>
  </si>
  <si>
    <t>Mineral</t>
  </si>
  <si>
    <t>Check Oportunidad</t>
  </si>
  <si>
    <t>Status de Ventas</t>
  </si>
  <si>
    <t>Modelo Operativo</t>
  </si>
  <si>
    <t>Ejes Estratégicos</t>
  </si>
  <si>
    <t>Parámetros para flujo de caja</t>
  </si>
  <si>
    <t xml:space="preserve">Flujo de Caja </t>
  </si>
  <si>
    <t>Flujo de Caja Ponderado</t>
  </si>
  <si>
    <t>Flujo de Margen</t>
  </si>
  <si>
    <t>Flujo de Margen Ponderado</t>
  </si>
  <si>
    <t>Verificador de Código</t>
  </si>
  <si>
    <t>CÓDIGO PROPUESTA</t>
  </si>
  <si>
    <t>ID</t>
  </si>
  <si>
    <t>Nombre Original</t>
  </si>
  <si>
    <t>Empresa</t>
  </si>
  <si>
    <t>Mina</t>
  </si>
  <si>
    <t>Tipo de 
Minería</t>
  </si>
  <si>
    <t>Subproducto 1</t>
  </si>
  <si>
    <t>Subproducto 2</t>
  </si>
  <si>
    <t>Subproducto 3</t>
  </si>
  <si>
    <t>Fecha de Input</t>
  </si>
  <si>
    <t>Número de días</t>
  </si>
  <si>
    <t>Warning</t>
  </si>
  <si>
    <t>Fecha Presentación</t>
  </si>
  <si>
    <t>Presentación</t>
  </si>
  <si>
    <t>Fecha Brochure</t>
  </si>
  <si>
    <t>Brochure</t>
  </si>
  <si>
    <t>Fecha Reunión</t>
  </si>
  <si>
    <t>Reunión</t>
  </si>
  <si>
    <t>Fecha MO 1</t>
  </si>
  <si>
    <t>Modelo Operativo 
1</t>
  </si>
  <si>
    <t>Fecha MO 2</t>
  </si>
  <si>
    <t>Modelo Operativo 
2</t>
  </si>
  <si>
    <t>Fecha MO 3</t>
  </si>
  <si>
    <t>Modelo Operativo 
3</t>
  </si>
  <si>
    <t>Fecha MO 4</t>
  </si>
  <si>
    <t>Modelo Operativo 
4</t>
  </si>
  <si>
    <t>Bid / No Bid</t>
  </si>
  <si>
    <t>Eje 1</t>
  </si>
  <si>
    <t>Eje 2</t>
  </si>
  <si>
    <t>Eje 3</t>
  </si>
  <si>
    <t>Eje 4</t>
  </si>
  <si>
    <t>Eje 5</t>
  </si>
  <si>
    <t>Boleta de Garantía</t>
  </si>
  <si>
    <t>Estatus Contractutal</t>
  </si>
  <si>
    <t>Monto (USD)</t>
  </si>
  <si>
    <t>Margen (USD)</t>
  </si>
  <si>
    <t>Duracion (meses)</t>
  </si>
  <si>
    <t>Probabilidad (%)</t>
  </si>
  <si>
    <t>Fecha de Recepción de RFP</t>
  </si>
  <si>
    <t>Fecha de Envío</t>
  </si>
  <si>
    <t>Fecha de Adjudicación</t>
  </si>
  <si>
    <t>Monto ponderado (USD)</t>
  </si>
  <si>
    <t>Margen Ponderado (USD)</t>
  </si>
  <si>
    <t>Fecha Inico Ingreso</t>
  </si>
  <si>
    <t>Fecha fin de pago</t>
  </si>
  <si>
    <t>Fecha Inicio Ingreso_Filtro</t>
  </si>
  <si>
    <t>Fecha Fin_Filtro</t>
  </si>
  <si>
    <t>Total 2026</t>
  </si>
  <si>
    <t>Caserones</t>
  </si>
  <si>
    <t>La Farola</t>
  </si>
  <si>
    <t>Confidencial</t>
  </si>
  <si>
    <t>Las Bambas - Ferrobamba Block Caving PFS</t>
  </si>
  <si>
    <t>Ferrobamba</t>
  </si>
  <si>
    <t>Grassberg</t>
  </si>
  <si>
    <t>Hermosa</t>
  </si>
  <si>
    <t>Nevada</t>
  </si>
  <si>
    <t>Underground targets in Nevada</t>
  </si>
  <si>
    <t>Antamina UG Transition CS</t>
  </si>
  <si>
    <t>Chinalco Transicion OP a UG PFS</t>
  </si>
  <si>
    <t xml:space="preserve">La Granja </t>
  </si>
  <si>
    <t>La Granja</t>
  </si>
  <si>
    <t>Antamina UG Transition PFS</t>
  </si>
  <si>
    <t>Las Bambas - Ferrobamba Block Caving FS</t>
  </si>
  <si>
    <t>Chinalco Transicion OP a UG FS</t>
  </si>
  <si>
    <t>Archimedes UG</t>
  </si>
  <si>
    <t>Archimedes</t>
  </si>
  <si>
    <t>Cachorro UG</t>
  </si>
  <si>
    <t>Cachorro</t>
  </si>
  <si>
    <t>Gongo Soco</t>
  </si>
  <si>
    <t>GBC Restart Plan</t>
  </si>
  <si>
    <t>GBC</t>
  </si>
  <si>
    <t>Furnas</t>
  </si>
  <si>
    <t>Pilar</t>
  </si>
  <si>
    <t>Veladero</t>
  </si>
  <si>
    <t>Due diligence y optimización PFS proyecto costa del fuego</t>
  </si>
  <si>
    <t>Costa del Fuego</t>
  </si>
  <si>
    <t>Vazante</t>
  </si>
  <si>
    <t>Cerro Iman</t>
  </si>
  <si>
    <t>Porvenir</t>
  </si>
  <si>
    <t>CNN</t>
  </si>
  <si>
    <t>Inmaculada</t>
  </si>
  <si>
    <t>Análisis de estabilidad 3D Open pit Atacocha</t>
  </si>
  <si>
    <t>Cobriza</t>
  </si>
  <si>
    <t>Servicio Estudio De Tratamiento a 4000 Tmpd En La Planta Concentradora Untuca</t>
  </si>
  <si>
    <t>Cori Puno</t>
  </si>
  <si>
    <t>Revisión del plan de minado 2026</t>
  </si>
  <si>
    <t>Urucum</t>
  </si>
  <si>
    <t>Estudio geomecanico y sismico Veta 1204 (adenda)</t>
  </si>
  <si>
    <t>Rosario</t>
  </si>
  <si>
    <t>Due Diligence Polyus Open Pit Mine</t>
  </si>
  <si>
    <t>Contrato marco: Elaboración de proyectos, estudios y asistencia técnica Planificación minera</t>
  </si>
  <si>
    <t>Servicio Análisis Integral de Expansión Mina Subterránea</t>
  </si>
  <si>
    <t>Xavantina</t>
  </si>
  <si>
    <t>Servicio PEA Proyecto Chapi</t>
  </si>
  <si>
    <t>Chapi</t>
  </si>
  <si>
    <t>Servicio Estudio de Relleno Cementado y Estudio de Puentes Artificiales</t>
  </si>
  <si>
    <t>Huanzala</t>
  </si>
  <si>
    <t>Caso de Negocio Proyecto Expansión Rajo Sur (ODS Contrato GRMD Codelco DET)</t>
  </si>
  <si>
    <t>DET</t>
  </si>
  <si>
    <t>Apoyo en terreno con inversionistas</t>
  </si>
  <si>
    <t>Los Calatos</t>
  </si>
  <si>
    <t>Internalización del proceso de desarrollo mina</t>
  </si>
  <si>
    <t>Candelaria</t>
  </si>
  <si>
    <t xml:space="preserve">Iniciativa </t>
  </si>
  <si>
    <t>Due Diligence FS Proyecto confidencial</t>
  </si>
  <si>
    <t>Los Azules</t>
  </si>
  <si>
    <t>Elaboración de Estudio Sísmico</t>
  </si>
  <si>
    <t>Catalina Huanca</t>
  </si>
  <si>
    <t>Apoyo con el Project Initiation para Escondida East Deep</t>
  </si>
  <si>
    <t>Servicio Soporte Técnico Ingeniería Mina UG Castellanos</t>
  </si>
  <si>
    <t>Castellanos</t>
  </si>
  <si>
    <t>Due diligence de operación OP de Fe</t>
  </si>
  <si>
    <t>-</t>
  </si>
  <si>
    <t>Estrategia de control y mitigación</t>
  </si>
  <si>
    <t>Caraiba</t>
  </si>
  <si>
    <t>Análisis de ingeniería de MV subterráneo</t>
  </si>
  <si>
    <t>Mantoverde</t>
  </si>
  <si>
    <t>LOM Minera Cozamin</t>
  </si>
  <si>
    <t>Cozamin</t>
  </si>
  <si>
    <t>Actualización del estudio de  peligro sísmico</t>
  </si>
  <si>
    <t>Constancia</t>
  </si>
  <si>
    <t>Ingeniería de construcción para la disposición de relaves en el tajo abierto sur</t>
  </si>
  <si>
    <t>Alpamarca</t>
  </si>
  <si>
    <t>Estudio de identificacion de negocio &amp; tecnical report</t>
  </si>
  <si>
    <t>Santa Barbara</t>
  </si>
  <si>
    <t>Ev. Caso de negocio centrifugadora CMZ</t>
  </si>
  <si>
    <t>Zaldivar</t>
  </si>
  <si>
    <t>Engineering Consultancy Planning Cycle Support</t>
  </si>
  <si>
    <t>Cajati</t>
  </si>
  <si>
    <t>Simulación sistema mina proyecto MARA</t>
  </si>
  <si>
    <t>Mara</t>
  </si>
  <si>
    <t>Estudio de Sismicidad Inducida</t>
  </si>
  <si>
    <t>Bateas</t>
  </si>
  <si>
    <t>Ing. FS Cajati P1 (estandar SK 1300)</t>
  </si>
  <si>
    <t>Feasibility Study (NI 43-101) Supporting Pre-Feasibility-Level Disclosure under SEC Regulation S-K 1300</t>
  </si>
  <si>
    <t>INGENIERÍA DE ESTUDIOS COMPLEMENTARIOS PARA EL DESARROLLO DEL NEGOCIO DE ANDINA POST RAMSAY</t>
  </si>
  <si>
    <t>Andina</t>
  </si>
  <si>
    <t>Adenda MEIA Mina Santader</t>
  </si>
  <si>
    <t>Mine Planning Technical Support Services</t>
  </si>
  <si>
    <t>Estudio global geomecanico - entrenamiento y analisis numero 3D</t>
  </si>
  <si>
    <t>Plan LOM integrado (Nazareth, Santo Domingo)</t>
  </si>
  <si>
    <t>San Rafael</t>
  </si>
  <si>
    <t>Análisis territorial minero y opciones de procesamiento</t>
  </si>
  <si>
    <t>Elaboración LOM 2027 Mina Candelaria y Mina Santos</t>
  </si>
  <si>
    <t xml:space="preserve">Mine Planning Scenario Evaluations </t>
  </si>
  <si>
    <t>!</t>
  </si>
  <si>
    <t>Servicio Revisión Proceso Metalurgico Ampliación Planta 61</t>
  </si>
  <si>
    <t>Bambas</t>
  </si>
  <si>
    <t>Fecha de Presentación</t>
  </si>
  <si>
    <t>Due Diligence</t>
  </si>
  <si>
    <t>Estudio Conceptual</t>
  </si>
  <si>
    <t>Consultoría minera</t>
  </si>
  <si>
    <t>Estudio de Prefactibilidad</t>
  </si>
  <si>
    <t>Estudio de Factibilidad</t>
  </si>
  <si>
    <t>Construcción Propuesta</t>
  </si>
  <si>
    <t>Original</t>
  </si>
  <si>
    <t>Nueva</t>
  </si>
  <si>
    <t>Proyecto</t>
  </si>
  <si>
    <t>Compañía</t>
  </si>
  <si>
    <t>Ingresos Totales</t>
  </si>
  <si>
    <t>Monto (CHECK)</t>
  </si>
  <si>
    <t>Fecha Inicio EDP</t>
  </si>
  <si>
    <t>Duracion</t>
  </si>
  <si>
    <t>Fecha Fin</t>
  </si>
  <si>
    <t>Fecha Inicio EDP_Filtro</t>
  </si>
  <si>
    <t>Status</t>
  </si>
  <si>
    <t>Ponderado</t>
  </si>
  <si>
    <t>Proyeccion</t>
  </si>
  <si>
    <t>Adjudicado</t>
  </si>
  <si>
    <t>Total Proyección</t>
  </si>
  <si>
    <t>Objetivo</t>
  </si>
  <si>
    <t>Total Actual</t>
  </si>
  <si>
    <t>Diferencia</t>
  </si>
  <si>
    <t>Monto</t>
  </si>
  <si>
    <t>Blue Sky</t>
  </si>
  <si>
    <t>Peru</t>
  </si>
  <si>
    <t>Cuba</t>
  </si>
  <si>
    <t>País de desarrollo del proyecto</t>
  </si>
  <si>
    <t>País de Contrato</t>
  </si>
  <si>
    <t>Descripción</t>
  </si>
  <si>
    <t>Creación de valor</t>
  </si>
  <si>
    <t>Conexión de alto nivel</t>
  </si>
  <si>
    <t>Innovación</t>
  </si>
  <si>
    <t>Oferta diferenciadora</t>
  </si>
  <si>
    <t>Solución estratégica a operaciones</t>
  </si>
  <si>
    <t>INGENIERÍA DE FACTIBILIDAD PROYECTO REPOSICIÓN PALLANCATA</t>
  </si>
  <si>
    <t>CONTRATO MARCO DE SERVICIOS POR ESPECIALIDAD PARA DIRECCIÓN PLANIFICACIÓN DE LARGO PLAZO</t>
  </si>
  <si>
    <t>Diseño de Mina UG de Mina Frontier</t>
  </si>
  <si>
    <t>PLAN DE MINADO TORREMANI</t>
  </si>
  <si>
    <t>Addenda Emincar - Servicio de Ensayos Laboratorio</t>
  </si>
  <si>
    <t>Estudio Hill of Value</t>
  </si>
  <si>
    <t>Africa</t>
  </si>
  <si>
    <t>DRT</t>
  </si>
  <si>
    <t>Torremani</t>
  </si>
  <si>
    <t>Frontier</t>
  </si>
  <si>
    <t>Grassber Restart Strategy</t>
  </si>
  <si>
    <t>LOM</t>
  </si>
  <si>
    <t>R+</t>
  </si>
  <si>
    <t>Argentina</t>
  </si>
  <si>
    <t>Minera Andina del Sol</t>
  </si>
  <si>
    <t>MAS</t>
  </si>
  <si>
    <t>Servicio Actualización de recursos y reservas Mina Fosfatos (por medio contrato marco)</t>
  </si>
  <si>
    <t>Tucuma</t>
  </si>
  <si>
    <t>Sovetsky</t>
  </si>
  <si>
    <t>SOV</t>
  </si>
  <si>
    <t>El Dorado</t>
  </si>
  <si>
    <t>Sol de los Andres</t>
  </si>
  <si>
    <t>SLA</t>
  </si>
  <si>
    <t>Ing Conceptual Mina UG (Fel 1) (Proyecto Invicta)</t>
  </si>
  <si>
    <t>Due Diligence Completo Mina de Oro (Op)</t>
  </si>
  <si>
    <t>Simulación Sistema de Transporte de Material</t>
  </si>
  <si>
    <t>Romina</t>
  </si>
  <si>
    <t>Simulación</t>
  </si>
  <si>
    <t>SIM</t>
  </si>
  <si>
    <t>LOM San José</t>
  </si>
  <si>
    <t>San José</t>
  </si>
  <si>
    <t>Pallancata</t>
  </si>
  <si>
    <t xml:space="preserve">Estudio de Planificación y Evaluación de Escenarios para la Construcción de Rampas </t>
  </si>
  <si>
    <t xml:space="preserve">Evaluación de Caso de Negocio Distrital e Impletanción Nueva Planta </t>
  </si>
  <si>
    <t>Servicio de apoyo  tecnico DCH</t>
  </si>
  <si>
    <t>DCH</t>
  </si>
  <si>
    <t>Surubim</t>
  </si>
  <si>
    <t>Mina Pilar</t>
  </si>
  <si>
    <t>Reglamento Tecnológico para el procesamiento de mineral</t>
  </si>
  <si>
    <t>Urupinskoye</t>
  </si>
  <si>
    <t>Evaluación caso de negocio para zonas en un Open Pit</t>
  </si>
  <si>
    <t>Licitación</t>
  </si>
  <si>
    <t>USA</t>
  </si>
  <si>
    <t>Desarrollo</t>
  </si>
  <si>
    <t>LOM Pallancata-Royropata</t>
  </si>
  <si>
    <t>Servicio Consultoria Geomecanica</t>
  </si>
  <si>
    <t>Open Pit Stability Analysis</t>
  </si>
  <si>
    <t>Canada</t>
  </si>
  <si>
    <t>CA</t>
  </si>
  <si>
    <t>North America</t>
  </si>
  <si>
    <t>Chiquililla geo</t>
  </si>
  <si>
    <t>Jorman</t>
  </si>
  <si>
    <t>…</t>
  </si>
  <si>
    <t>Nombre Cliente</t>
  </si>
  <si>
    <t>Redtec</t>
  </si>
  <si>
    <t>Fecha de Adjudicación y NO Adj</t>
  </si>
  <si>
    <t>Reventa (SDC)</t>
  </si>
  <si>
    <t>Solicitud Directa / Invitación</t>
  </si>
  <si>
    <t>Revision independiente Modelo numerico de profundización</t>
  </si>
  <si>
    <t xml:space="preserve">Excusada </t>
  </si>
  <si>
    <t>Antucoya</t>
  </si>
  <si>
    <t>Estudios complementarios para el desarrollo del negocio post Ramsay</t>
  </si>
  <si>
    <t>Adenda: Mine compliance semanal Collahuasi</t>
  </si>
  <si>
    <t>Evaluación tecnología Rinno Antucoya</t>
  </si>
  <si>
    <t>Alejandro Verengela</t>
  </si>
  <si>
    <t>Nicolas</t>
  </si>
  <si>
    <t>Ciro Duran - Plenio de la Cruz - Gabriel Flores</t>
  </si>
  <si>
    <t>Hector Alva - Luciano Santome</t>
  </si>
  <si>
    <t>Christian Guerra - Valeria Ñañez</t>
  </si>
  <si>
    <t xml:space="preserve">Soporte Técnico en campaña de muestreo Ozhidaemoe </t>
  </si>
  <si>
    <t>Gilmer Espinoza - Victor Tipe</t>
  </si>
  <si>
    <t>CONTRATO MARCO SERVICIOS DE INGENIERÍA DE APOYO GCEM 2026-2029</t>
  </si>
  <si>
    <t>Casa Matriz</t>
  </si>
  <si>
    <t>Si o NO</t>
  </si>
  <si>
    <t>tbd</t>
  </si>
  <si>
    <t>Sponsor Tecnico</t>
  </si>
  <si>
    <t>Patricio Vergara Sotelo - Yerko Araya</t>
  </si>
  <si>
    <t xml:space="preserve"> </t>
  </si>
  <si>
    <t>firmada por ambas partes, este servicio se pagara por medio del contrato marco.</t>
  </si>
  <si>
    <t>firmada.</t>
  </si>
  <si>
    <t>ok.</t>
  </si>
  <si>
    <t>ok, recepcionada, no requiere firma.</t>
  </si>
  <si>
    <t>OC recepcionada, no requiere firma. Propuesta no esta firmada</t>
  </si>
  <si>
    <t>firmado por Patricio Vergara, no hay mas información</t>
  </si>
  <si>
    <t>Comentarios area comercial</t>
  </si>
  <si>
    <t>es OC no requiere firma.</t>
  </si>
  <si>
    <t>ok, contrato firmado</t>
  </si>
  <si>
    <t>adjudicada. Sin respaldo en carpeta de OC.</t>
  </si>
  <si>
    <t>Análisis Local Recuperacion Puente Hadas</t>
  </si>
  <si>
    <t>NFC</t>
  </si>
  <si>
    <t>Compañía Raura</t>
  </si>
  <si>
    <t>Hadas</t>
  </si>
  <si>
    <t>esto es de R+, Consultar a ELama para ver si tiene respaldo del OC</t>
  </si>
  <si>
    <t>sin información. Consultar a ELama.</t>
  </si>
  <si>
    <t>area comercial sin feedback de OC. Consultar a ELama.</t>
  </si>
  <si>
    <t>Elama solicitara confirmacion de aceptacion de addenda.</t>
  </si>
  <si>
    <t>por medio de contrato marco.</t>
  </si>
  <si>
    <t>ELama solicitará información</t>
  </si>
  <si>
    <t>Servicio de Ingeniería de Apoyo a Proyectos y Seguimiento de Pruebas para la Automatización de Procesos</t>
  </si>
  <si>
    <t>firmado por Patricio Vergara, no hay mas información. Falta documento doble tributación.</t>
  </si>
  <si>
    <t>Raura</t>
  </si>
  <si>
    <t>ok contrato firmado</t>
  </si>
  <si>
    <t>Seabridge Gold</t>
  </si>
  <si>
    <t>KSM</t>
  </si>
  <si>
    <t>HoV analysis for the KSM open pit mining project</t>
  </si>
  <si>
    <t>SEA</t>
  </si>
  <si>
    <t>Nicole</t>
  </si>
  <si>
    <t>Mirasol</t>
  </si>
  <si>
    <t>Ferrobambas</t>
  </si>
  <si>
    <t>Plan de trabajo para actualizar modelo geotécnico de Open pit Ferrobambas y Chalcobambas</t>
  </si>
  <si>
    <t>Servicio apoyo tecnico especializado y elaboración de informe pericial</t>
  </si>
  <si>
    <t>Asesoría Geomecánica y Desarrollo de Ingeniería de Detalle para la Definición del Método de Explotación del Cuerpo Mineralizado Marisol</t>
  </si>
  <si>
    <t>Estudio Conceptual Pre-scoping  Chalcobamba Underground.</t>
  </si>
  <si>
    <t>Chalcobamba</t>
  </si>
  <si>
    <t>Rodolfo Flores</t>
  </si>
  <si>
    <t>Miguel Lizarraga</t>
  </si>
  <si>
    <t>Juan Francisco San Martín</t>
  </si>
  <si>
    <t>Revisión metalúrgica y actualización de modelos predictivos (por medio contrato marco)</t>
  </si>
  <si>
    <t>Donny Laurente</t>
  </si>
  <si>
    <t>wherex</t>
  </si>
  <si>
    <t>Due Diligence Santander &amp; Gramercy</t>
  </si>
  <si>
    <t xml:space="preserve">Mijael Benzaquen </t>
  </si>
  <si>
    <t>Estudio de cambio en la metodologia de estimación de modelo de dilución  (Contrato Margo GRMD)</t>
  </si>
  <si>
    <t>Maximiliano Alarcon Ureta</t>
  </si>
  <si>
    <t>Adjudicación proxima</t>
  </si>
  <si>
    <t>Los Pelambres</t>
  </si>
  <si>
    <t>Buenaventura</t>
  </si>
  <si>
    <t>Servicio de apoyo de consultoría minera en área de excelencia operacional</t>
  </si>
  <si>
    <t>Ramon Bilbao</t>
  </si>
  <si>
    <t>BVN</t>
  </si>
  <si>
    <t>Fast Track Mining Simulation Service Mine Collahuasi</t>
  </si>
  <si>
    <t>Pedro Carbonell</t>
  </si>
  <si>
    <t>Auditoría al GCMP (ground control managment plan)</t>
  </si>
  <si>
    <t>Sinchi Wayra</t>
  </si>
  <si>
    <t>Bolivia</t>
  </si>
  <si>
    <t>SCW</t>
  </si>
  <si>
    <t>Abel Heredia</t>
  </si>
  <si>
    <t>Worley</t>
  </si>
  <si>
    <t>DAND</t>
  </si>
  <si>
    <t>Modelación 3D y análisis de elementos finitos (FEM) para Cavernas</t>
  </si>
  <si>
    <t>Andres Latorre</t>
  </si>
  <si>
    <t>Stand By</t>
  </si>
  <si>
    <t>Actualización Caso Negocio DMH Subterráneo</t>
  </si>
  <si>
    <t>DMH</t>
  </si>
  <si>
    <t>Wood</t>
  </si>
  <si>
    <t>Integrated Mininig Strategy &amp; Value Optimization Study</t>
  </si>
  <si>
    <t>POD Estado</t>
  </si>
  <si>
    <t>Revisión Interna</t>
  </si>
  <si>
    <t>Revisión Proceso de Adherencia, Cumplimiento y Reconciliación 2025-2026</t>
  </si>
  <si>
    <t>WLY</t>
  </si>
  <si>
    <t xml:space="preserve">Pavezalvear, Solange </t>
  </si>
  <si>
    <t>Lissette Goldman</t>
  </si>
  <si>
    <t>WOD</t>
  </si>
  <si>
    <t>ESTUDIO DE PRE-FACTIBILIDAD DE CRECIMIENTO MARGINAL MLP CON ENFOQUE EN GESTIÓN DE RIESGOS / PROPUESTA DE SERVICIO -GEOCIENCIAS (Hidrogeologia-Geologia-Geotecnia)</t>
  </si>
  <si>
    <t>ESTUDIO DE PRE-FACTIBILIDAD DE CRECIMIENTO MARGINAL MLP CON ENFOQUE EN GESTIÓN DE RIESGOS / 2da PROPUESTA DE SERVICIO - ITEMS Mina</t>
  </si>
  <si>
    <t>Galería sometida a altas deformaciones (Squeezing)</t>
  </si>
  <si>
    <t>Revisión y Consolidación de Información Geomecánica con Aplicaciones IA Ferrobamba y Chalcobamba</t>
  </si>
  <si>
    <t>Servicio IPR Sismicidad Inducida</t>
  </si>
  <si>
    <t>Tania Merino Espejo</t>
  </si>
  <si>
    <t>Pelambres</t>
  </si>
  <si>
    <t>Servicio Soporte Técnico Planificación Minera 2026</t>
  </si>
  <si>
    <t>Rodrigo Benavides Castro</t>
  </si>
  <si>
    <t>Minera Santa Luisa</t>
  </si>
  <si>
    <t>Cancelada por cliente</t>
  </si>
  <si>
    <t>Contrato Marco Servicio de Soporte en Planificación Estratégica ABP y DSP</t>
  </si>
  <si>
    <t>Rodolfo Florez</t>
  </si>
  <si>
    <t>Borborema</t>
  </si>
  <si>
    <t>Corporativo</t>
  </si>
  <si>
    <t>Dennis Cuba</t>
  </si>
  <si>
    <t xml:space="preserve">TRANSFERENCIA TECNICA, METODOLÓGICA GEOMECÁNICA CORPORATIVA (SGIG) </t>
  </si>
  <si>
    <t>Fecha de Envío Final</t>
  </si>
  <si>
    <t>Número de Revisiones</t>
  </si>
  <si>
    <t>Montos (USD) y Temporalidad</t>
  </si>
  <si>
    <t>Highlander Silver</t>
  </si>
  <si>
    <t>Mercedes</t>
  </si>
  <si>
    <t>HS</t>
  </si>
  <si>
    <t>orlando chumpitaz</t>
  </si>
  <si>
    <t>ANÁLISIS GEOMECÁNICO MEDIANTE MODELAMIENTO NUMÉRICO 3D – UTILIZANDO EL SOFTWARE FLAC 3D / 270</t>
  </si>
  <si>
    <t>AUDITORIA DE RIESGO CRÍTICO FALLA DE MACIZO ROCOSO / 269</t>
  </si>
  <si>
    <t>Ingeniería Conceptual 5,500tpd / 255</t>
  </si>
  <si>
    <t>VALIDACIÓN DE LA VIABILIDAD DEL MINADO POR TALADROS LARGOS EN VETAS ANCHAS</t>
  </si>
  <si>
    <t>con OC</t>
  </si>
  <si>
    <t>Con OC</t>
  </si>
  <si>
    <t>Diagnóstico Geomecánico Operacional y Plan de Acción Inmediato</t>
  </si>
  <si>
    <t>PEA Update Project - Pre PFS Furnas</t>
  </si>
  <si>
    <t>Levantamiento de Observaciones Informe PAD Santander - Actualización Plan Minerio</t>
  </si>
  <si>
    <t>Ricardo Rosales</t>
  </si>
  <si>
    <t>Mexico</t>
  </si>
  <si>
    <t>Servicio capacitacion corporativa Revision Tecnica y Auditoria Geomecanica</t>
  </si>
  <si>
    <t>Servicios de ingeniería minera para la preparación de diseños de ingeniería básica y detallada para la mina subterránea MASA</t>
  </si>
  <si>
    <t>Asesoria geomecanica Magistral Norte</t>
  </si>
  <si>
    <t>Magistral Norte</t>
  </si>
  <si>
    <t>Carlos Saldana</t>
  </si>
  <si>
    <t>Estudio Técnico de Minado por Hundimiento En la UM Cerro Lindo.</t>
  </si>
  <si>
    <t>Cerro Lindo</t>
  </si>
  <si>
    <t>Estudios geomecánicos e hidrogeológicos en la zona mineralizada Shirokaya del yacimiento Pioner</t>
  </si>
  <si>
    <t>Pioner</t>
  </si>
  <si>
    <t>SMO</t>
  </si>
  <si>
    <t>MASA - Aurizona</t>
  </si>
  <si>
    <t xml:space="preserve">Richard Cahuana </t>
  </si>
  <si>
    <t xml:space="preserve">Adriana Amorim De Carvalho </t>
  </si>
  <si>
    <t>Steven Tapia</t>
  </si>
  <si>
    <t>Siberia Polymetal</t>
  </si>
  <si>
    <t>SB</t>
  </si>
  <si>
    <t>Talovskoye</t>
  </si>
  <si>
    <t xml:space="preserve">Estudio de Condiciones Permanentes de Exploración e Informe con Estimación de Reservas </t>
  </si>
  <si>
    <t>Gonzalo Díaz</t>
  </si>
  <si>
    <t>SERVICIO DE BUSINESS INTELLIGENCE PARA LA PLANIFICACIÓN MINERA CORPORATIVA</t>
  </si>
  <si>
    <t xml:space="preserve">Kommunarsky </t>
  </si>
  <si>
    <t>JSC Vismut</t>
  </si>
  <si>
    <t>JSC</t>
  </si>
  <si>
    <t>Zhelezny Kryazh</t>
  </si>
  <si>
    <t>YUGK</t>
  </si>
  <si>
    <t>YUG</t>
  </si>
  <si>
    <t xml:space="preserve">Estudio tecnico ecomomico para la determinación de la variante optima de desarrollo </t>
  </si>
  <si>
    <t>Justificación geomecánica de los parámetros de los taludes de los rajos del yacimiento Zhelezny Kryazh</t>
  </si>
  <si>
    <t>Bystrinskaya</t>
  </si>
  <si>
    <t>Kumroch</t>
  </si>
  <si>
    <t>BTK</t>
  </si>
  <si>
    <t>Eugenio Santander</t>
  </si>
  <si>
    <t>Servicio de Descripción Geomecánica de Testigos, Modelamiento Lito-Estructural y Geomecánico de Bloques</t>
  </si>
  <si>
    <t>NOC N°1: Estudio geomecanico Global</t>
  </si>
  <si>
    <t>Bunker Hill – Expansion Scenario</t>
  </si>
  <si>
    <t>Bunker Hill</t>
  </si>
  <si>
    <t>Sarah Bull</t>
  </si>
  <si>
    <t>Sergio Huaicane</t>
  </si>
  <si>
    <t>Patricio Prieto</t>
  </si>
  <si>
    <t>Portfolio Evaluation and De-risking Analysis</t>
  </si>
  <si>
    <t>Ing. FS Cajati P1 (estandar SK 1300) - Etapa 1</t>
  </si>
  <si>
    <t>Integrada como Adenda en otro estudio</t>
  </si>
  <si>
    <t>CONTRATO MARCO PARA EL DESARROLLO DE ESTUDIOS INGENIERÍAS ESPECIALIZADAS</t>
  </si>
  <si>
    <t>CMOC (Ex-equinox)</t>
  </si>
  <si>
    <t>HILL OF VALUE AND OPTIMIZED CUT-OFF GRADE STRATEGY ANALYSIS - Taylor</t>
  </si>
  <si>
    <t>Servicio de Ingeniería de Prefactibilidad para el Desarrollo y Optimización Integral del Proyecto Minero</t>
  </si>
  <si>
    <t>PFS + NI43-101 Proyecto Pachapaqui 5000 tpd</t>
  </si>
  <si>
    <t>ICM Pachapaqui</t>
  </si>
  <si>
    <t>ICM</t>
  </si>
  <si>
    <t>Servicio Estudio de Modelo Operativo y Control de Activos</t>
  </si>
  <si>
    <t>NoC n°1: Mining Simulation Study – Collahuasi Mine</t>
  </si>
  <si>
    <t>Adolfo Esquivia</t>
  </si>
  <si>
    <t>Desarrollo del Sublevel Caving de Diluvio — Fase 2</t>
  </si>
  <si>
    <t>SERVICIO DE INGENIERÍA Y PLANIFICACIÓN MINERA – CONTRATO MARCO</t>
  </si>
  <si>
    <t>finalmente Matias fuentes confirmo que no se prospero esta oportunidad</t>
  </si>
  <si>
    <t>Justa</t>
  </si>
  <si>
    <t>Daniel Huaman</t>
  </si>
  <si>
    <t>Estimación de reservas y actualización de plan de minado LOM - Bajo contrato Marco</t>
  </si>
  <si>
    <t>Orlando Chumpitaz</t>
  </si>
  <si>
    <t>Estudio remanentes Nivel 1 Planificación Minera Nivel 2 Chuquicamata Subterraneo - bajo contrato marco</t>
  </si>
  <si>
    <t>Distrito Norte</t>
  </si>
  <si>
    <t>cliente pidio separar en dos propuestas</t>
  </si>
  <si>
    <t>Incorporacion de Sector Esperanza III Concepctual</t>
  </si>
  <si>
    <t>NOC el Brocal</t>
  </si>
  <si>
    <t>NOC N°1: Ventana 8386 Geomecanica</t>
  </si>
  <si>
    <t>Servicio Orden de Cambio Para 2 MEIA</t>
  </si>
  <si>
    <t>Hat Project Pre-Feasibility Study (PFS)</t>
  </si>
  <si>
    <t>Mineit Consulting Inc</t>
  </si>
  <si>
    <t>HAT Project</t>
  </si>
  <si>
    <t>Servicio De Analisis De La Evaluación Técnica-Economica De Los Escenarios De Negocio Minero Distrito Norte (Bajo Contrato marco)</t>
  </si>
  <si>
    <t>Servicio de Auditoria a recursos y Revisión de Geometalurgia al Proyecto DRT SFII  (Bajo Contrato marco GCEO)</t>
  </si>
  <si>
    <t>Ximena Policroni</t>
  </si>
  <si>
    <t>Pinto Valey</t>
  </si>
  <si>
    <t>BG27 Plan Simulation and Reliability - Pinto Valley</t>
  </si>
  <si>
    <t>Pre-Feasibility Study Project PFS</t>
  </si>
  <si>
    <t xml:space="preserve">GLAUCIA CUNHA BARBOSA PARANHOS </t>
  </si>
  <si>
    <t>Conceptual Trade-Off Study of Site Constraint on Mine Plan, Plant, Infraestructure and Material Flow</t>
  </si>
  <si>
    <t>Simulación Dinamica Mina-Chancado</t>
  </si>
  <si>
    <t>Luis Montececinos</t>
  </si>
  <si>
    <t>Daniel Suman</t>
  </si>
  <si>
    <t>CONTRATO MARCO: Licitacion Contrato Guarda-Chuva</t>
  </si>
  <si>
    <t>BOR</t>
  </si>
  <si>
    <t>Mozart Vaz</t>
  </si>
  <si>
    <t>Servicios de Elaboración de Trade-Off</t>
  </si>
  <si>
    <t>Eliana Nole</t>
  </si>
  <si>
    <t>Blue Sky HoV Scenario Update for the KSM Project</t>
  </si>
  <si>
    <t>addenda de contrato</t>
  </si>
  <si>
    <t>Analysis to Support Production Guidance (pinto valley, Manto Verde y Manto Blanco)</t>
  </si>
  <si>
    <t>Servicio Elaboración del Estudio Geofisico EP</t>
  </si>
  <si>
    <t>Lucia Pinto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</si>
</sst>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 * #,##0_ ;_ * \-#,##0_ ;_ * &quot;-&quot;_ ;_ @_ 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[$-409]mmm/yy;@"/>
    <numFmt numFmtId="167" formatCode="[$-409]mmmm/yy;@"/>
    <numFmt numFmtId="168" formatCode="_(&quot;$&quot;* #,##0_);_(&quot;$&quot;* \(#,##0\);_(&quot;$&quot;* &quot;-&quot;??_);_(@_)"/>
    <numFmt numFmtId="169" formatCode="0.0%"/>
    <numFmt numFmtId="170" formatCode="_ &quot;$&quot;* #,##0_ ;_ &quot;$&quot;* \-#,##0_ ;_ &quot;$&quot;* &quot;-&quot;??_ ;_ @_ "/>
    <numFmt numFmtId="171" formatCode="_(* #,##0_);_(* \(#,##0\);_(* &quot;-&quot;??_);_(@_)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8"/>
      <color rgb="FFFFFFFF"/>
      <name val="Calibri"/>
      <family val="2"/>
    </font>
    <font>
      <sz val="8"/>
      <color theme="1"/>
      <name val="Calibri"/>
      <family val="2"/>
      <scheme val="minor"/>
    </font>
    <font>
      <sz val="8"/>
      <color theme="1"/>
      <name val="Arial"/>
      <family val="2"/>
    </font>
    <font>
      <sz val="10"/>
      <color theme="1"/>
      <name val="Arial"/>
      <family val="2"/>
    </font>
    <font>
      <sz val="8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 tint="9.9978637043366805E-2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8"/>
      <color theme="0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theme="0"/>
      <name val="Aptos"/>
      <family val="2"/>
    </font>
    <font>
      <b/>
      <sz val="8"/>
      <color theme="0"/>
      <name val="Calibri"/>
      <family val="2"/>
      <scheme val="minor"/>
    </font>
    <font>
      <sz val="10"/>
      <color theme="1"/>
      <name val="Arial"/>
      <family val="2"/>
    </font>
    <font>
      <sz val="8"/>
      <color theme="1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theme="3"/>
        <bgColor rgb="FF000000"/>
      </patternFill>
    </fill>
    <fill>
      <patternFill patternType="solid">
        <fgColor theme="4" tint="0.39997558519241921"/>
        <bgColor rgb="FF000000"/>
      </patternFill>
    </fill>
    <fill>
      <patternFill patternType="solid">
        <fgColor theme="3" tint="9.9978637043366805E-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5"/>
        <bgColor rgb="FF000000"/>
      </patternFill>
    </fill>
    <fill>
      <patternFill patternType="solid">
        <fgColor theme="5" tint="0.39997558519241921"/>
        <bgColor rgb="FF000000"/>
      </patternFill>
    </fill>
    <fill>
      <patternFill patternType="solid">
        <fgColor theme="4" tint="-0.249977111117893"/>
        <bgColor rgb="FF000000"/>
      </patternFill>
    </fill>
    <fill>
      <patternFill patternType="solid">
        <fgColor rgb="FF004080"/>
        <bgColor rgb="FF000000"/>
      </patternFill>
    </fill>
    <fill>
      <patternFill patternType="solid">
        <fgColor theme="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70C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249977111117893"/>
        <bgColor rgb="FF000000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273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wrapText="1"/>
    </xf>
    <xf numFmtId="17" fontId="3" fillId="4" borderId="6" xfId="0" applyNumberFormat="1" applyFont="1" applyFill="1" applyBorder="1" applyAlignment="1">
      <alignment horizontal="center" vertical="center" wrapText="1"/>
    </xf>
    <xf numFmtId="17" fontId="3" fillId="4" borderId="7" xfId="0" applyNumberFormat="1" applyFont="1" applyFill="1" applyBorder="1" applyAlignment="1">
      <alignment horizontal="center" vertical="center" wrapText="1"/>
    </xf>
    <xf numFmtId="0" fontId="0" fillId="5" borderId="0" xfId="0" applyFill="1"/>
    <xf numFmtId="17" fontId="3" fillId="4" borderId="8" xfId="0" applyNumberFormat="1" applyFont="1" applyFill="1" applyBorder="1" applyAlignment="1">
      <alignment horizontal="center" vertical="center"/>
    </xf>
    <xf numFmtId="17" fontId="3" fillId="4" borderId="9" xfId="0" applyNumberFormat="1" applyFont="1" applyFill="1" applyBorder="1" applyAlignment="1">
      <alignment horizontal="center" vertical="center"/>
    </xf>
    <xf numFmtId="17" fontId="3" fillId="4" borderId="10" xfId="0" applyNumberFormat="1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/>
    </xf>
    <xf numFmtId="0" fontId="4" fillId="0" borderId="12" xfId="0" applyFont="1" applyBorder="1"/>
    <xf numFmtId="0" fontId="4" fillId="0" borderId="12" xfId="0" applyFont="1" applyBorder="1" applyAlignment="1">
      <alignment horizontal="center"/>
    </xf>
    <xf numFmtId="0" fontId="4" fillId="5" borderId="13" xfId="0" applyFont="1" applyFill="1" applyBorder="1" applyAlignment="1">
      <alignment horizontal="center"/>
    </xf>
    <xf numFmtId="9" fontId="4" fillId="5" borderId="12" xfId="2" applyFont="1" applyFill="1" applyBorder="1" applyAlignment="1">
      <alignment horizontal="center" vertical="center"/>
    </xf>
    <xf numFmtId="14" fontId="4" fillId="5" borderId="14" xfId="0" applyNumberFormat="1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/>
    </xf>
    <xf numFmtId="14" fontId="4" fillId="5" borderId="12" xfId="0" applyNumberFormat="1" applyFont="1" applyFill="1" applyBorder="1" applyAlignment="1">
      <alignment horizontal="center" vertical="center"/>
    </xf>
    <xf numFmtId="3" fontId="4" fillId="5" borderId="12" xfId="1" applyNumberFormat="1" applyFont="1" applyFill="1" applyBorder="1" applyAlignment="1">
      <alignment horizontal="center" vertical="center"/>
    </xf>
    <xf numFmtId="166" fontId="5" fillId="5" borderId="12" xfId="0" applyNumberFormat="1" applyFont="1" applyFill="1" applyBorder="1" applyAlignment="1">
      <alignment horizontal="center" vertical="center"/>
    </xf>
    <xf numFmtId="167" fontId="5" fillId="5" borderId="14" xfId="0" applyNumberFormat="1" applyFont="1" applyFill="1" applyBorder="1" applyAlignment="1">
      <alignment horizontal="center" vertical="center"/>
    </xf>
    <xf numFmtId="3" fontId="6" fillId="5" borderId="16" xfId="1" applyNumberFormat="1" applyFont="1" applyFill="1" applyBorder="1" applyAlignment="1">
      <alignment horizontal="center" vertical="center"/>
    </xf>
    <xf numFmtId="3" fontId="6" fillId="5" borderId="17" xfId="1" applyNumberFormat="1" applyFont="1" applyFill="1" applyBorder="1" applyAlignment="1">
      <alignment horizontal="center" vertical="center"/>
    </xf>
    <xf numFmtId="3" fontId="6" fillId="5" borderId="18" xfId="1" applyNumberFormat="1" applyFont="1" applyFill="1" applyBorder="1" applyAlignment="1">
      <alignment horizontal="center" vertical="center"/>
    </xf>
    <xf numFmtId="3" fontId="6" fillId="5" borderId="19" xfId="1" applyNumberFormat="1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left" vertical="center"/>
    </xf>
    <xf numFmtId="3" fontId="6" fillId="5" borderId="11" xfId="1" applyNumberFormat="1" applyFont="1" applyFill="1" applyBorder="1" applyAlignment="1">
      <alignment horizontal="center" vertical="center"/>
    </xf>
    <xf numFmtId="3" fontId="6" fillId="5" borderId="12" xfId="1" applyNumberFormat="1" applyFont="1" applyFill="1" applyBorder="1" applyAlignment="1">
      <alignment horizontal="center" vertical="center"/>
    </xf>
    <xf numFmtId="3" fontId="6" fillId="5" borderId="14" xfId="1" applyNumberFormat="1" applyFont="1" applyFill="1" applyBorder="1" applyAlignment="1">
      <alignment horizontal="center" vertical="center"/>
    </xf>
    <xf numFmtId="3" fontId="6" fillId="5" borderId="20" xfId="1" applyNumberFormat="1" applyFont="1" applyFill="1" applyBorder="1" applyAlignment="1">
      <alignment horizontal="center" vertical="center"/>
    </xf>
    <xf numFmtId="0" fontId="4" fillId="5" borderId="12" xfId="0" applyFont="1" applyFill="1" applyBorder="1"/>
    <xf numFmtId="0" fontId="4" fillId="5" borderId="12" xfId="0" applyFont="1" applyFill="1" applyBorder="1" applyAlignment="1">
      <alignment horizontal="center" vertical="center"/>
    </xf>
    <xf numFmtId="0" fontId="0" fillId="0" borderId="12" xfId="0" applyBorder="1"/>
    <xf numFmtId="3" fontId="6" fillId="5" borderId="24" xfId="1" applyNumberFormat="1" applyFont="1" applyFill="1" applyBorder="1" applyAlignment="1">
      <alignment horizontal="center" vertical="center"/>
    </xf>
    <xf numFmtId="3" fontId="6" fillId="5" borderId="25" xfId="1" applyNumberFormat="1" applyFont="1" applyFill="1" applyBorder="1" applyAlignment="1">
      <alignment horizontal="center" vertical="center"/>
    </xf>
    <xf numFmtId="3" fontId="6" fillId="5" borderId="26" xfId="1" applyNumberFormat="1" applyFont="1" applyFill="1" applyBorder="1" applyAlignment="1">
      <alignment horizontal="center" vertical="center"/>
    </xf>
    <xf numFmtId="3" fontId="6" fillId="5" borderId="27" xfId="1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0" fillId="0" borderId="0" xfId="0" applyNumberFormat="1"/>
    <xf numFmtId="0" fontId="8" fillId="6" borderId="12" xfId="0" applyFont="1" applyFill="1" applyBorder="1" applyAlignment="1">
      <alignment vertical="center"/>
    </xf>
    <xf numFmtId="0" fontId="8" fillId="6" borderId="28" xfId="0" applyFont="1" applyFill="1" applyBorder="1" applyAlignment="1">
      <alignment vertical="center"/>
    </xf>
    <xf numFmtId="0" fontId="0" fillId="0" borderId="12" xfId="0" applyBorder="1" applyAlignment="1">
      <alignment vertical="center"/>
    </xf>
    <xf numFmtId="0" fontId="9" fillId="0" borderId="0" xfId="0" applyFont="1"/>
    <xf numFmtId="0" fontId="0" fillId="7" borderId="0" xfId="0" applyFill="1"/>
    <xf numFmtId="0" fontId="10" fillId="7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0" fillId="0" borderId="29" xfId="0" applyBorder="1"/>
    <xf numFmtId="168" fontId="0" fillId="0" borderId="0" xfId="5" applyNumberFormat="1" applyFont="1"/>
    <xf numFmtId="168" fontId="0" fillId="0" borderId="0" xfId="0" applyNumberFormat="1"/>
    <xf numFmtId="9" fontId="0" fillId="0" borderId="0" xfId="2" applyFont="1"/>
    <xf numFmtId="169" fontId="0" fillId="0" borderId="0" xfId="2" applyNumberFormat="1" applyFont="1"/>
    <xf numFmtId="0" fontId="2" fillId="2" borderId="12" xfId="0" applyFont="1" applyFill="1" applyBorder="1" applyAlignment="1">
      <alignment horizontal="center" vertical="center" wrapText="1"/>
    </xf>
    <xf numFmtId="168" fontId="0" fillId="0" borderId="12" xfId="5" applyNumberFormat="1" applyFont="1" applyBorder="1"/>
    <xf numFmtId="0" fontId="0" fillId="0" borderId="31" xfId="0" applyBorder="1"/>
    <xf numFmtId="168" fontId="0" fillId="0" borderId="0" xfId="5" applyNumberFormat="1" applyFont="1" applyBorder="1"/>
    <xf numFmtId="14" fontId="0" fillId="0" borderId="0" xfId="0" applyNumberFormat="1"/>
    <xf numFmtId="0" fontId="0" fillId="0" borderId="32" xfId="0" applyBorder="1"/>
    <xf numFmtId="0" fontId="11" fillId="0" borderId="33" xfId="0" applyFont="1" applyBorder="1"/>
    <xf numFmtId="0" fontId="11" fillId="0" borderId="34" xfId="0" applyFont="1" applyBorder="1"/>
    <xf numFmtId="168" fontId="11" fillId="0" borderId="34" xfId="5" applyNumberFormat="1" applyFont="1" applyBorder="1"/>
    <xf numFmtId="14" fontId="0" fillId="0" borderId="34" xfId="0" applyNumberFormat="1" applyBorder="1"/>
    <xf numFmtId="0" fontId="0" fillId="0" borderId="35" xfId="0" applyBorder="1"/>
    <xf numFmtId="0" fontId="2" fillId="2" borderId="13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168" fontId="0" fillId="0" borderId="31" xfId="5" applyNumberFormat="1" applyFont="1" applyBorder="1"/>
    <xf numFmtId="168" fontId="0" fillId="0" borderId="32" xfId="5" applyNumberFormat="1" applyFont="1" applyBorder="1"/>
    <xf numFmtId="168" fontId="11" fillId="0" borderId="33" xfId="5" applyNumberFormat="1" applyFont="1" applyBorder="1"/>
    <xf numFmtId="168" fontId="11" fillId="0" borderId="35" xfId="5" applyNumberFormat="1" applyFont="1" applyBorder="1"/>
    <xf numFmtId="17" fontId="0" fillId="9" borderId="13" xfId="0" applyNumberFormat="1" applyFill="1" applyBorder="1"/>
    <xf numFmtId="17" fontId="0" fillId="9" borderId="38" xfId="0" applyNumberFormat="1" applyFill="1" applyBorder="1"/>
    <xf numFmtId="17" fontId="0" fillId="9" borderId="15" xfId="0" applyNumberFormat="1" applyFill="1" applyBorder="1"/>
    <xf numFmtId="0" fontId="0" fillId="0" borderId="30" xfId="0" applyBorder="1"/>
    <xf numFmtId="168" fontId="0" fillId="0" borderId="36" xfId="5" applyNumberFormat="1" applyFont="1" applyBorder="1"/>
    <xf numFmtId="14" fontId="0" fillId="0" borderId="30" xfId="0" applyNumberFormat="1" applyBorder="1"/>
    <xf numFmtId="0" fontId="0" fillId="0" borderId="37" xfId="0" applyBorder="1"/>
    <xf numFmtId="170" fontId="0" fillId="0" borderId="0" xfId="0" applyNumberFormat="1"/>
    <xf numFmtId="0" fontId="0" fillId="0" borderId="33" xfId="0" applyBorder="1"/>
    <xf numFmtId="0" fontId="0" fillId="0" borderId="34" xfId="0" applyBorder="1"/>
    <xf numFmtId="170" fontId="0" fillId="0" borderId="34" xfId="0" applyNumberFormat="1" applyBorder="1"/>
    <xf numFmtId="168" fontId="0" fillId="0" borderId="33" xfId="5" applyNumberFormat="1" applyFont="1" applyBorder="1"/>
    <xf numFmtId="0" fontId="8" fillId="6" borderId="12" xfId="0" applyFont="1" applyFill="1" applyBorder="1"/>
    <xf numFmtId="0" fontId="12" fillId="8" borderId="12" xfId="0" applyFont="1" applyFill="1" applyBorder="1"/>
    <xf numFmtId="0" fontId="10" fillId="9" borderId="12" xfId="0" applyFont="1" applyFill="1" applyBorder="1"/>
    <xf numFmtId="168" fontId="0" fillId="0" borderId="12" xfId="0" applyNumberFormat="1" applyBorder="1"/>
    <xf numFmtId="0" fontId="8" fillId="6" borderId="30" xfId="0" applyFont="1" applyFill="1" applyBorder="1"/>
    <xf numFmtId="0" fontId="12" fillId="8" borderId="0" xfId="0" applyFont="1" applyFill="1"/>
    <xf numFmtId="0" fontId="10" fillId="9" borderId="34" xfId="0" applyFont="1" applyFill="1" applyBorder="1"/>
    <xf numFmtId="168" fontId="0" fillId="0" borderId="34" xfId="5" applyNumberFormat="1" applyFont="1" applyBorder="1"/>
    <xf numFmtId="14" fontId="0" fillId="0" borderId="21" xfId="0" applyNumberFormat="1" applyBorder="1"/>
    <xf numFmtId="14" fontId="0" fillId="0" borderId="17" xfId="0" applyNumberFormat="1" applyBorder="1"/>
    <xf numFmtId="168" fontId="0" fillId="0" borderId="35" xfId="5" applyNumberFormat="1" applyFont="1" applyBorder="1"/>
    <xf numFmtId="3" fontId="6" fillId="5" borderId="0" xfId="1" applyNumberFormat="1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 wrapText="1"/>
    </xf>
    <xf numFmtId="0" fontId="12" fillId="6" borderId="12" xfId="0" applyFont="1" applyFill="1" applyBorder="1"/>
    <xf numFmtId="3" fontId="4" fillId="5" borderId="15" xfId="1" applyNumberFormat="1" applyFont="1" applyFill="1" applyBorder="1" applyAlignment="1">
      <alignment horizontal="center" vertical="center"/>
    </xf>
    <xf numFmtId="3" fontId="7" fillId="5" borderId="15" xfId="1" applyNumberFormat="1" applyFont="1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 wrapText="1"/>
    </xf>
    <xf numFmtId="41" fontId="4" fillId="11" borderId="5" xfId="1" applyFont="1" applyFill="1" applyBorder="1" applyAlignment="1">
      <alignment horizontal="center" vertical="center" wrapText="1"/>
    </xf>
    <xf numFmtId="0" fontId="4" fillId="11" borderId="39" xfId="0" applyFont="1" applyFill="1" applyBorder="1" applyAlignment="1">
      <alignment horizontal="center" vertical="center" wrapText="1"/>
    </xf>
    <xf numFmtId="0" fontId="2" fillId="15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41" fontId="4" fillId="3" borderId="5" xfId="1" applyFont="1" applyFill="1" applyBorder="1" applyAlignment="1">
      <alignment horizontal="center" vertical="center" wrapText="1"/>
    </xf>
    <xf numFmtId="0" fontId="2" fillId="14" borderId="1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/>
    </xf>
    <xf numFmtId="9" fontId="4" fillId="0" borderId="12" xfId="0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14" fontId="0" fillId="0" borderId="22" xfId="0" applyNumberFormat="1" applyBorder="1"/>
    <xf numFmtId="14" fontId="0" fillId="0" borderId="23" xfId="0" applyNumberFormat="1" applyBorder="1"/>
    <xf numFmtId="171" fontId="0" fillId="0" borderId="12" xfId="6" applyNumberFormat="1" applyFont="1" applyBorder="1"/>
    <xf numFmtId="0" fontId="14" fillId="20" borderId="3" xfId="0" applyFont="1" applyFill="1" applyBorder="1" applyAlignment="1">
      <alignment horizontal="center" vertical="center"/>
    </xf>
    <xf numFmtId="14" fontId="4" fillId="0" borderId="12" xfId="0" applyNumberFormat="1" applyFont="1" applyBorder="1" applyAlignment="1">
      <alignment horizontal="center"/>
    </xf>
    <xf numFmtId="1" fontId="4" fillId="0" borderId="12" xfId="0" applyNumberFormat="1" applyFont="1" applyBorder="1" applyAlignment="1">
      <alignment horizontal="center"/>
    </xf>
    <xf numFmtId="0" fontId="0" fillId="0" borderId="12" xfId="0" applyBorder="1" applyAlignment="1">
      <alignment vertical="center" wrapText="1"/>
    </xf>
    <xf numFmtId="0" fontId="15" fillId="6" borderId="12" xfId="0" applyFont="1" applyFill="1" applyBorder="1" applyAlignment="1">
      <alignment vertical="center" wrapText="1"/>
    </xf>
    <xf numFmtId="0" fontId="2" fillId="23" borderId="12" xfId="0" applyFont="1" applyFill="1" applyBorder="1" applyAlignment="1">
      <alignment horizontal="center" vertical="center"/>
    </xf>
    <xf numFmtId="0" fontId="15" fillId="10" borderId="12" xfId="0" applyFont="1" applyFill="1" applyBorder="1" applyAlignment="1">
      <alignment horizontal="center" vertical="center"/>
    </xf>
    <xf numFmtId="0" fontId="15" fillId="17" borderId="12" xfId="0" applyFont="1" applyFill="1" applyBorder="1" applyAlignment="1">
      <alignment horizontal="center" vertical="center"/>
    </xf>
    <xf numFmtId="0" fontId="15" fillId="18" borderId="12" xfId="0" applyFont="1" applyFill="1" applyBorder="1" applyAlignment="1">
      <alignment horizontal="center" vertical="center"/>
    </xf>
    <xf numFmtId="0" fontId="14" fillId="23" borderId="12" xfId="0" applyFont="1" applyFill="1" applyBorder="1" applyAlignment="1">
      <alignment horizontal="center" vertical="center"/>
    </xf>
    <xf numFmtId="0" fontId="2" fillId="22" borderId="12" xfId="0" applyFont="1" applyFill="1" applyBorder="1" applyAlignment="1">
      <alignment horizontal="center" vertical="center"/>
    </xf>
    <xf numFmtId="0" fontId="4" fillId="13" borderId="12" xfId="0" applyFont="1" applyFill="1" applyBorder="1" applyAlignment="1">
      <alignment horizontal="center" vertical="center" wrapText="1"/>
    </xf>
    <xf numFmtId="0" fontId="2" fillId="12" borderId="12" xfId="0" applyFont="1" applyFill="1" applyBorder="1" applyAlignment="1">
      <alignment horizontal="center" vertical="center"/>
    </xf>
    <xf numFmtId="0" fontId="15" fillId="21" borderId="12" xfId="0" applyFont="1" applyFill="1" applyBorder="1" applyAlignment="1">
      <alignment horizontal="center" vertical="center"/>
    </xf>
    <xf numFmtId="0" fontId="15" fillId="17" borderId="12" xfId="0" applyFont="1" applyFill="1" applyBorder="1" applyAlignment="1">
      <alignment vertical="center"/>
    </xf>
    <xf numFmtId="0" fontId="14" fillId="20" borderId="12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/>
    <xf numFmtId="9" fontId="0" fillId="0" borderId="12" xfId="0" applyNumberFormat="1" applyBorder="1"/>
    <xf numFmtId="9" fontId="0" fillId="7" borderId="12" xfId="0" applyNumberFormat="1" applyFill="1" applyBorder="1"/>
    <xf numFmtId="9" fontId="4" fillId="0" borderId="12" xfId="2" applyFont="1" applyBorder="1" applyAlignment="1">
      <alignment horizontal="center"/>
    </xf>
    <xf numFmtId="0" fontId="2" fillId="2" borderId="43" xfId="0" applyFont="1" applyFill="1" applyBorder="1" applyAlignment="1">
      <alignment horizontal="center" vertical="center" wrapText="1"/>
    </xf>
    <xf numFmtId="0" fontId="2" fillId="10" borderId="12" xfId="0" applyFont="1" applyFill="1" applyBorder="1" applyAlignment="1">
      <alignment horizontal="center"/>
    </xf>
    <xf numFmtId="0" fontId="2" fillId="23" borderId="2" xfId="0" applyFont="1" applyFill="1" applyBorder="1" applyAlignment="1">
      <alignment horizontal="center" vertical="center" wrapText="1"/>
    </xf>
    <xf numFmtId="0" fontId="4" fillId="24" borderId="12" xfId="0" applyFont="1" applyFill="1" applyBorder="1" applyAlignment="1">
      <alignment horizontal="center" vertical="center"/>
    </xf>
    <xf numFmtId="0" fontId="4" fillId="25" borderId="12" xfId="0" applyFont="1" applyFill="1" applyBorder="1" applyAlignment="1">
      <alignment horizontal="center" vertical="center"/>
    </xf>
    <xf numFmtId="14" fontId="4" fillId="7" borderId="14" xfId="0" applyNumberFormat="1" applyFont="1" applyFill="1" applyBorder="1" applyAlignment="1">
      <alignment horizontal="center" vertical="center"/>
    </xf>
    <xf numFmtId="0" fontId="2" fillId="2" borderId="44" xfId="0" applyFont="1" applyFill="1" applyBorder="1" applyAlignment="1">
      <alignment horizontal="center" vertical="center" wrapText="1"/>
    </xf>
    <xf numFmtId="0" fontId="0" fillId="0" borderId="28" xfId="0" applyBorder="1"/>
    <xf numFmtId="0" fontId="15" fillId="26" borderId="28" xfId="0" applyFont="1" applyFill="1" applyBorder="1" applyAlignment="1">
      <alignment horizontal="center" vertical="center"/>
    </xf>
    <xf numFmtId="0" fontId="14" fillId="27" borderId="12" xfId="0" applyFont="1" applyFill="1" applyBorder="1" applyAlignment="1">
      <alignment horizontal="center" vertical="center"/>
    </xf>
    <xf numFmtId="0" fontId="0" fillId="0" borderId="28" xfId="0" applyBorder="1" applyAlignment="1">
      <alignment vertical="center"/>
    </xf>
    <xf numFmtId="0" fontId="4" fillId="10" borderId="12" xfId="0" applyFont="1" applyFill="1" applyBorder="1" applyAlignment="1">
      <alignment horizontal="center"/>
    </xf>
    <xf numFmtId="171" fontId="0" fillId="0" borderId="0" xfId="0" applyNumberFormat="1"/>
    <xf numFmtId="41" fontId="0" fillId="0" borderId="0" xfId="1" applyFont="1"/>
    <xf numFmtId="41" fontId="0" fillId="0" borderId="0" xfId="0" applyNumberFormat="1"/>
    <xf numFmtId="0" fontId="19" fillId="0" borderId="0" xfId="0" applyFont="1"/>
    <xf numFmtId="0" fontId="20" fillId="29" borderId="0" xfId="0" applyFont="1" applyFill="1" applyAlignment="1">
      <alignment horizontal="center"/>
    </xf>
    <xf numFmtId="0" fontId="20" fillId="30" borderId="0" xfId="0" applyFont="1" applyFill="1"/>
    <xf numFmtId="17" fontId="20" fillId="30" borderId="0" xfId="0" applyNumberFormat="1" applyFont="1" applyFill="1"/>
    <xf numFmtId="3" fontId="20" fillId="0" borderId="0" xfId="0" applyNumberFormat="1" applyFont="1"/>
    <xf numFmtId="3" fontId="19" fillId="0" borderId="0" xfId="0" applyNumberFormat="1" applyFont="1"/>
    <xf numFmtId="0" fontId="20" fillId="0" borderId="0" xfId="0" applyFont="1"/>
    <xf numFmtId="0" fontId="19" fillId="29" borderId="0" xfId="0" applyFont="1" applyFill="1"/>
    <xf numFmtId="3" fontId="19" fillId="29" borderId="0" xfId="0" applyNumberFormat="1" applyFont="1" applyFill="1"/>
    <xf numFmtId="3" fontId="19" fillId="7" borderId="0" xfId="0" applyNumberFormat="1" applyFont="1" applyFill="1"/>
    <xf numFmtId="0" fontId="19" fillId="7" borderId="0" xfId="0" applyFont="1" applyFill="1"/>
    <xf numFmtId="14" fontId="20" fillId="30" borderId="0" xfId="0" applyNumberFormat="1" applyFont="1" applyFill="1"/>
    <xf numFmtId="3" fontId="21" fillId="10" borderId="0" xfId="0" applyNumberFormat="1" applyFont="1" applyFill="1"/>
    <xf numFmtId="0" fontId="4" fillId="7" borderId="12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 wrapText="1"/>
    </xf>
    <xf numFmtId="0" fontId="2" fillId="12" borderId="3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 wrapText="1"/>
    </xf>
    <xf numFmtId="3" fontId="4" fillId="10" borderId="15" xfId="1" applyNumberFormat="1" applyFont="1" applyFill="1" applyBorder="1" applyAlignment="1">
      <alignment horizontal="center" vertical="center"/>
    </xf>
    <xf numFmtId="3" fontId="4" fillId="31" borderId="15" xfId="1" applyNumberFormat="1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 wrapText="1"/>
    </xf>
    <xf numFmtId="41" fontId="2" fillId="12" borderId="5" xfId="1" applyFont="1" applyFill="1" applyBorder="1" applyAlignment="1">
      <alignment horizontal="center" vertical="center" wrapText="1"/>
    </xf>
    <xf numFmtId="0" fontId="4" fillId="11" borderId="5" xfId="0" applyFont="1" applyFill="1" applyBorder="1" applyAlignment="1">
      <alignment horizontal="center" vertical="center" wrapText="1"/>
    </xf>
    <xf numFmtId="0" fontId="4" fillId="32" borderId="12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14" fontId="4" fillId="10" borderId="12" xfId="0" applyNumberFormat="1" applyFont="1" applyFill="1" applyBorder="1" applyAlignment="1">
      <alignment horizontal="center" vertical="center"/>
    </xf>
    <xf numFmtId="14" fontId="4" fillId="10" borderId="14" xfId="0" applyNumberFormat="1" applyFont="1" applyFill="1" applyBorder="1" applyAlignment="1">
      <alignment horizontal="center" vertical="center"/>
    </xf>
    <xf numFmtId="3" fontId="4" fillId="7" borderId="15" xfId="1" applyNumberFormat="1" applyFont="1" applyFill="1" applyBorder="1" applyAlignment="1">
      <alignment horizontal="center" vertical="center"/>
    </xf>
    <xf numFmtId="0" fontId="0" fillId="0" borderId="21" xfId="0" applyBorder="1"/>
    <xf numFmtId="0" fontId="0" fillId="0" borderId="21" xfId="0" applyBorder="1" applyAlignment="1">
      <alignment vertical="center"/>
    </xf>
    <xf numFmtId="0" fontId="4" fillId="5" borderId="13" xfId="0" applyFont="1" applyFill="1" applyBorder="1" applyAlignment="1">
      <alignment horizontal="center" vertical="center"/>
    </xf>
    <xf numFmtId="14" fontId="4" fillId="0" borderId="12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7" borderId="13" xfId="0" applyFont="1" applyFill="1" applyBorder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0" fontId="4" fillId="5" borderId="13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2" borderId="19" xfId="0" applyFont="1" applyFill="1" applyBorder="1" applyAlignment="1">
      <alignment horizontal="left" vertical="center" wrapText="1"/>
    </xf>
    <xf numFmtId="0" fontId="0" fillId="0" borderId="29" xfId="0" applyBorder="1" applyAlignment="1">
      <alignment horizontal="left" vertical="center"/>
    </xf>
    <xf numFmtId="41" fontId="2" fillId="3" borderId="5" xfId="1" applyFont="1" applyFill="1" applyBorder="1" applyAlignment="1">
      <alignment horizontal="center" vertical="center" wrapText="1"/>
    </xf>
    <xf numFmtId="0" fontId="0" fillId="0" borderId="21" xfId="0" applyBorder="1" applyAlignment="1">
      <alignment vertical="center" wrapText="1"/>
    </xf>
    <xf numFmtId="0" fontId="4" fillId="0" borderId="12" xfId="0" applyFont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4" fillId="0" borderId="12" xfId="0" applyFont="1" applyBorder="1" applyAlignment="1">
      <alignment horizontal="left" vertical="center" wrapText="1"/>
    </xf>
    <xf numFmtId="0" fontId="0" fillId="7" borderId="12" xfId="0" applyFill="1" applyBorder="1"/>
    <xf numFmtId="0" fontId="4" fillId="0" borderId="15" xfId="0" applyFont="1" applyBorder="1" applyAlignment="1">
      <alignment horizontal="left" vertical="center" wrapText="1"/>
    </xf>
    <xf numFmtId="0" fontId="2" fillId="12" borderId="3" xfId="0" applyFont="1" applyFill="1" applyBorder="1" applyAlignment="1">
      <alignment horizontal="center" vertical="center" wrapText="1"/>
    </xf>
    <xf numFmtId="14" fontId="4" fillId="5" borderId="13" xfId="0" applyNumberFormat="1" applyFont="1" applyFill="1" applyBorder="1" applyAlignment="1">
      <alignment horizontal="center" vertical="center"/>
    </xf>
    <xf numFmtId="0" fontId="8" fillId="7" borderId="12" xfId="0" applyFont="1" applyFill="1" applyBorder="1" applyAlignment="1">
      <alignment vertical="center"/>
    </xf>
    <xf numFmtId="0" fontId="0" fillId="7" borderId="12" xfId="0" applyFill="1" applyBorder="1" applyAlignment="1">
      <alignment vertical="center"/>
    </xf>
    <xf numFmtId="0" fontId="8" fillId="7" borderId="28" xfId="0" applyFont="1" applyFill="1" applyBorder="1" applyAlignment="1">
      <alignment vertical="center"/>
    </xf>
    <xf numFmtId="0" fontId="0" fillId="16" borderId="12" xfId="0" applyFill="1" applyBorder="1"/>
    <xf numFmtId="0" fontId="8" fillId="33" borderId="12" xfId="0" applyFont="1" applyFill="1" applyBorder="1" applyAlignment="1">
      <alignment vertical="center"/>
    </xf>
    <xf numFmtId="0" fontId="4" fillId="11" borderId="3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horizontal="left" vertical="center"/>
    </xf>
    <xf numFmtId="0" fontId="2" fillId="2" borderId="48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left" vertical="center"/>
    </xf>
    <xf numFmtId="0" fontId="4" fillId="7" borderId="12" xfId="0" applyFont="1" applyFill="1" applyBorder="1" applyAlignment="1">
      <alignment horizontal="left" vertical="center"/>
    </xf>
    <xf numFmtId="0" fontId="4" fillId="34" borderId="12" xfId="0" applyFont="1" applyFill="1" applyBorder="1" applyAlignment="1">
      <alignment horizontal="center" vertical="center"/>
    </xf>
    <xf numFmtId="0" fontId="4" fillId="34" borderId="12" xfId="0" applyFont="1" applyFill="1" applyBorder="1" applyAlignment="1">
      <alignment horizontal="left" vertical="center"/>
    </xf>
    <xf numFmtId="0" fontId="4" fillId="34" borderId="15" xfId="0" applyFont="1" applyFill="1" applyBorder="1" applyAlignment="1">
      <alignment horizontal="center" vertical="center"/>
    </xf>
    <xf numFmtId="3" fontId="4" fillId="34" borderId="12" xfId="1" applyNumberFormat="1" applyFont="1" applyFill="1" applyBorder="1" applyAlignment="1">
      <alignment horizontal="center" vertical="center"/>
    </xf>
    <xf numFmtId="0" fontId="4" fillId="34" borderId="12" xfId="0" applyFont="1" applyFill="1" applyBorder="1" applyAlignment="1">
      <alignment horizontal="left" vertical="center" wrapText="1"/>
    </xf>
    <xf numFmtId="0" fontId="4" fillId="5" borderId="15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4" fillId="35" borderId="12" xfId="0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left" vertical="center" wrapText="1"/>
    </xf>
    <xf numFmtId="3" fontId="23" fillId="5" borderId="12" xfId="1" applyNumberFormat="1" applyFont="1" applyFill="1" applyBorder="1" applyAlignment="1">
      <alignment horizontal="center" vertical="center"/>
    </xf>
    <xf numFmtId="166" fontId="24" fillId="5" borderId="12" xfId="0" applyNumberFormat="1" applyFont="1" applyFill="1" applyBorder="1" applyAlignment="1">
      <alignment horizontal="center" vertical="center"/>
    </xf>
    <xf numFmtId="0" fontId="4" fillId="0" borderId="12" xfId="0" applyFont="1" applyBorder="1" applyAlignment="1">
      <alignment horizontal="center" vertical="center" wrapText="1"/>
    </xf>
    <xf numFmtId="0" fontId="4" fillId="5" borderId="12" xfId="0" applyFont="1" applyFill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/>
    </xf>
    <xf numFmtId="167" fontId="24" fillId="5" borderId="12" xfId="0" applyNumberFormat="1" applyFont="1" applyFill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14" fontId="0" fillId="0" borderId="12" xfId="0" applyNumberForma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14" fontId="4" fillId="5" borderId="14" xfId="1" applyNumberFormat="1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left" vertical="center"/>
    </xf>
    <xf numFmtId="14" fontId="4" fillId="7" borderId="12" xfId="0" applyNumberFormat="1" applyFont="1" applyFill="1" applyBorder="1" applyAlignment="1">
      <alignment horizontal="center" vertical="center"/>
    </xf>
    <xf numFmtId="0" fontId="14" fillId="0" borderId="12" xfId="0" applyFont="1" applyBorder="1" applyAlignment="1">
      <alignment horizontal="left" vertical="center"/>
    </xf>
    <xf numFmtId="1" fontId="4" fillId="5" borderId="12" xfId="0" applyNumberFormat="1" applyFont="1" applyFill="1" applyBorder="1" applyAlignment="1">
      <alignment horizontal="center" vertical="center"/>
    </xf>
    <xf numFmtId="1" fontId="4" fillId="5" borderId="13" xfId="0" applyNumberFormat="1" applyFont="1" applyFill="1" applyBorder="1" applyAlignment="1">
      <alignment horizontal="center" vertical="center"/>
    </xf>
    <xf numFmtId="1" fontId="4" fillId="0" borderId="12" xfId="0" applyNumberFormat="1" applyFont="1" applyBorder="1" applyAlignment="1">
      <alignment horizontal="center" vertical="center"/>
    </xf>
    <xf numFmtId="1" fontId="4" fillId="7" borderId="12" xfId="0" applyNumberFormat="1" applyFont="1" applyFill="1" applyBorder="1" applyAlignment="1">
      <alignment horizontal="center" vertical="center"/>
    </xf>
    <xf numFmtId="0" fontId="0" fillId="5" borderId="29" xfId="0" applyFill="1" applyBorder="1" applyAlignment="1">
      <alignment horizontal="left" vertical="center"/>
    </xf>
    <xf numFmtId="0" fontId="4" fillId="5" borderId="12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3" fontId="5" fillId="5" borderId="12" xfId="1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5" fillId="17" borderId="12" xfId="0" applyFont="1" applyFill="1" applyBorder="1" applyAlignment="1">
      <alignment horizontal="center" vertical="center"/>
    </xf>
    <xf numFmtId="0" fontId="15" fillId="18" borderId="12" xfId="0" applyFont="1" applyFill="1" applyBorder="1" applyAlignment="1">
      <alignment horizontal="center" vertical="center"/>
    </xf>
    <xf numFmtId="0" fontId="15" fillId="6" borderId="49" xfId="0" applyFont="1" applyFill="1" applyBorder="1" applyAlignment="1">
      <alignment horizontal="center" vertical="center"/>
    </xf>
    <xf numFmtId="0" fontId="15" fillId="6" borderId="50" xfId="0" applyFont="1" applyFill="1" applyBorder="1" applyAlignment="1">
      <alignment horizontal="center" vertical="center"/>
    </xf>
    <xf numFmtId="0" fontId="22" fillId="16" borderId="13" xfId="0" applyFont="1" applyFill="1" applyBorder="1" applyAlignment="1">
      <alignment horizontal="center" vertical="center" wrapText="1"/>
    </xf>
    <xf numFmtId="0" fontId="22" fillId="16" borderId="38" xfId="0" applyFont="1" applyFill="1" applyBorder="1" applyAlignment="1">
      <alignment horizontal="center" vertical="center" wrapText="1"/>
    </xf>
    <xf numFmtId="0" fontId="22" fillId="16" borderId="15" xfId="0" applyFont="1" applyFill="1" applyBorder="1" applyAlignment="1">
      <alignment horizontal="center" vertical="center" wrapText="1"/>
    </xf>
    <xf numFmtId="0" fontId="15" fillId="6" borderId="40" xfId="0" applyFont="1" applyFill="1" applyBorder="1" applyAlignment="1">
      <alignment horizontal="left" vertical="center"/>
    </xf>
    <xf numFmtId="0" fontId="15" fillId="6" borderId="41" xfId="0" applyFont="1" applyFill="1" applyBorder="1" applyAlignment="1">
      <alignment horizontal="center" vertical="center"/>
    </xf>
    <xf numFmtId="0" fontId="15" fillId="6" borderId="42" xfId="0" applyFont="1" applyFill="1" applyBorder="1" applyAlignment="1">
      <alignment horizontal="center" vertical="center"/>
    </xf>
    <xf numFmtId="0" fontId="16" fillId="19" borderId="40" xfId="0" applyFont="1" applyFill="1" applyBorder="1" applyAlignment="1">
      <alignment horizontal="center" vertical="center"/>
    </xf>
    <xf numFmtId="0" fontId="16" fillId="19" borderId="41" xfId="0" applyFont="1" applyFill="1" applyBorder="1" applyAlignment="1">
      <alignment horizontal="center" vertical="center"/>
    </xf>
    <xf numFmtId="0" fontId="16" fillId="19" borderId="42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5" fillId="21" borderId="40" xfId="0" applyFont="1" applyFill="1" applyBorder="1" applyAlignment="1">
      <alignment horizontal="center" vertical="center"/>
    </xf>
    <xf numFmtId="0" fontId="15" fillId="21" borderId="41" xfId="0" applyFont="1" applyFill="1" applyBorder="1" applyAlignment="1">
      <alignment horizontal="center" vertical="center"/>
    </xf>
    <xf numFmtId="0" fontId="15" fillId="6" borderId="40" xfId="0" applyFont="1" applyFill="1" applyBorder="1" applyAlignment="1">
      <alignment horizontal="center" vertical="center"/>
    </xf>
    <xf numFmtId="0" fontId="15" fillId="17" borderId="13" xfId="0" applyFont="1" applyFill="1" applyBorder="1" applyAlignment="1">
      <alignment horizontal="center" vertical="center"/>
    </xf>
    <xf numFmtId="0" fontId="15" fillId="17" borderId="38" xfId="0" applyFont="1" applyFill="1" applyBorder="1" applyAlignment="1">
      <alignment horizontal="center" vertical="center"/>
    </xf>
    <xf numFmtId="0" fontId="15" fillId="17" borderId="15" xfId="0" applyFont="1" applyFill="1" applyBorder="1" applyAlignment="1">
      <alignment horizontal="center" vertical="center"/>
    </xf>
    <xf numFmtId="0" fontId="15" fillId="16" borderId="13" xfId="0" applyFont="1" applyFill="1" applyBorder="1" applyAlignment="1">
      <alignment horizontal="center" vertical="center" wrapText="1"/>
    </xf>
    <xf numFmtId="0" fontId="15" fillId="16" borderId="38" xfId="0" applyFont="1" applyFill="1" applyBorder="1" applyAlignment="1">
      <alignment horizontal="center" vertical="center" wrapText="1"/>
    </xf>
    <xf numFmtId="0" fontId="15" fillId="16" borderId="15" xfId="0" applyFont="1" applyFill="1" applyBorder="1" applyAlignment="1">
      <alignment horizontal="center" vertical="center" wrapText="1"/>
    </xf>
    <xf numFmtId="0" fontId="15" fillId="26" borderId="45" xfId="0" applyFont="1" applyFill="1" applyBorder="1" applyAlignment="1">
      <alignment horizontal="center" vertical="center"/>
    </xf>
    <xf numFmtId="0" fontId="15" fillId="26" borderId="39" xfId="0" applyFont="1" applyFill="1" applyBorder="1" applyAlignment="1">
      <alignment horizontal="center" vertical="center"/>
    </xf>
    <xf numFmtId="0" fontId="15" fillId="26" borderId="46" xfId="0" applyFont="1" applyFill="1" applyBorder="1" applyAlignment="1">
      <alignment horizontal="center" vertical="center"/>
    </xf>
    <xf numFmtId="0" fontId="18" fillId="28" borderId="0" xfId="0" applyFont="1" applyFill="1" applyAlignment="1">
      <alignment horizontal="center"/>
    </xf>
    <xf numFmtId="0" fontId="19" fillId="0" borderId="0" xfId="0" applyFont="1" applyAlignment="1">
      <alignment horizontal="center"/>
    </xf>
    <xf numFmtId="0" fontId="20" fillId="29" borderId="0" xfId="0" applyFont="1" applyFill="1" applyAlignment="1">
      <alignment horizontal="center"/>
    </xf>
  </cellXfs>
  <cellStyles count="7">
    <cellStyle name="Millares" xfId="6" builtinId="3"/>
    <cellStyle name="Millares [0]" xfId="1" builtinId="6"/>
    <cellStyle name="Millares [0] 2" xfId="4" xr:uid="{F20FD9CB-A2B9-48FF-B274-8885BEAECABB}"/>
    <cellStyle name="Moneda 2" xfId="5" xr:uid="{9929656E-C0A9-4B73-961E-F8A9A07E9C98}"/>
    <cellStyle name="Normal" xfId="0" builtinId="0"/>
    <cellStyle name="Porcentaje" xfId="2" builtinId="5"/>
    <cellStyle name="Porcentaje 2" xfId="3" xr:uid="{3C598CA2-C14B-4C1E-9E48-D201A47B02FF}"/>
  </cellStyles>
  <dxfs count="122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19A6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19A6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theme="0" tint="-0.14999847407452621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22" formatCode="mmm/yy"/>
      <fill>
        <patternFill patternType="solid">
          <fgColor indexed="64"/>
          <bgColor theme="3" tint="0.89999084444715716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B482DA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B482DA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B482DA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B482DA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B482DA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B482DA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B482DA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B482DA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B482DA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B482DA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B482DA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B482DA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B482DA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B482DA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B482DA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19A6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19A65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4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microsoft.com/office/2022/11/relationships/FeaturePropertyBag" Target="featurePropertyBag/feature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redcoglobalcl-my.sharepoint.com/personal/paguiluz_redcoglobal_com/Documents/Archivos%20de%20chat%20de%20Microsoft%20Teams/REDCO_Pipeline_2026%20-%20copia.xlsx" TargetMode="External"/><Relationship Id="rId1" Type="http://schemas.openxmlformats.org/officeDocument/2006/relationships/externalLinkPath" Target="https://redcoglobalcl-my.sharepoint.com/personal/paguiluz_redcoglobal_com/Documents/Archivos%20de%20chat%20de%20Microsoft%20Teams/REDCO_Pipeline_2026%20-%20copi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oyección (2)"/>
      <sheetName val="CRM"/>
      <sheetName val="Seguimiento corto plazo"/>
      <sheetName val="Cronograma propuestas"/>
      <sheetName val="Ventas"/>
      <sheetName val="Consolidado mensual"/>
      <sheetName val="Proyección"/>
      <sheetName val="Budget 2026"/>
      <sheetName val="Forecast"/>
      <sheetName val="Do vs At"/>
      <sheetName val="Perú"/>
      <sheetName val="Chile"/>
      <sheetName val="Brasil"/>
      <sheetName val="EEUU"/>
      <sheetName val="CRM (v1)"/>
      <sheetName val="Resumen cantidades"/>
      <sheetName val="Tabla Budget"/>
      <sheetName val="Modelo Recursos"/>
      <sheetName val="Contactos"/>
      <sheetName val="Resumen"/>
      <sheetName val="Categorias"/>
      <sheetName val="Gestión"/>
      <sheetName val="Go-No Go Propuestas"/>
    </sheetNames>
    <sheetDataSet>
      <sheetData sheetId="0"/>
      <sheetData sheetId="1">
        <row r="2">
          <cell r="C2" t="str">
            <v>Opportunity framing: Desarrollo Integral GS</v>
          </cell>
        </row>
        <row r="3">
          <cell r="C3" t="str">
            <v>GBC Restart Plan</v>
          </cell>
        </row>
        <row r="4">
          <cell r="C4" t="str">
            <v>Estudios complementaris PFS Furnas</v>
          </cell>
        </row>
        <row r="5">
          <cell r="C5" t="str">
            <v>Plan Integrado de Control Geomecánico y Sísmico para el Desarrollo del Pique y la Explotación Subterránea</v>
          </cell>
        </row>
        <row r="6">
          <cell r="C6" t="str">
            <v xml:space="preserve">Ev. capacidad de extracción y producción en riesgo </v>
          </cell>
        </row>
        <row r="7">
          <cell r="C7" t="str">
            <v>Evaluación estocástica de escenarios con herramienta SIMPLAN (mina puerto)</v>
          </cell>
        </row>
        <row r="8">
          <cell r="C8" t="str">
            <v>Estudio de diagnóstico (monitoreo + Sistema ventilación)</v>
          </cell>
        </row>
        <row r="9">
          <cell r="C9" t="str">
            <v>Due diligence y optimización PFS proyecto costa del fuego</v>
          </cell>
        </row>
        <row r="10">
          <cell r="C10" t="str">
            <v>Estudio Conceptual (FEL-1)</v>
          </cell>
        </row>
        <row r="11">
          <cell r="C11" t="str">
            <v>Scoping study PEA (mina a puerto) proyecto Cerro Iman</v>
          </cell>
        </row>
        <row r="12">
          <cell r="C12" t="str">
            <v>Elaboración de Estudio Sísmico El Porvenir</v>
          </cell>
        </row>
        <row r="13">
          <cell r="C13" t="str">
            <v>Apoyo en ingeria FEL2 planta (Permisos y infraestructura minera)</v>
          </cell>
        </row>
        <row r="14">
          <cell r="C14" t="str">
            <v>Reorganización Estratégica de Infraestructura de Facilidades Mina</v>
          </cell>
        </row>
        <row r="15">
          <cell r="C15" t="str">
            <v>Estudio conceptual túnel de transporte de mineral</v>
          </cell>
        </row>
        <row r="16">
          <cell r="C16" t="str">
            <v>Riino Antucoya - Proyecto Cachorro Centinela</v>
          </cell>
        </row>
        <row r="17">
          <cell r="C17" t="str">
            <v>Estimación de recursos y reservas (Contrato Marco)</v>
          </cell>
        </row>
        <row r="18">
          <cell r="C18" t="str">
            <v>Actualización Modelo Geotecnico Inmaculada</v>
          </cell>
        </row>
        <row r="19">
          <cell r="C19" t="str">
            <v>Análisis de estabilidad 3D Open pit Atacocha</v>
          </cell>
        </row>
        <row r="20">
          <cell r="C20" t="str">
            <v>Apoyo consultivo OCP</v>
          </cell>
        </row>
        <row r="21">
          <cell r="C21" t="str">
            <v>Implementación de norma y estandar de planificación minera</v>
          </cell>
        </row>
        <row r="22">
          <cell r="C22" t="str">
            <v>Servicio Estudio De Tratamiento a 4000 Tmpd En La Planta Concentradora Untuca</v>
          </cell>
        </row>
        <row r="23">
          <cell r="C23" t="str">
            <v>Revisión del plan de minado 2026</v>
          </cell>
        </row>
        <row r="24">
          <cell r="C24" t="str">
            <v>Estudio geomecanico y sismico Veta 1204 (adenda)</v>
          </cell>
        </row>
        <row r="25">
          <cell r="C25" t="str">
            <v>Mine compliance 2026</v>
          </cell>
        </row>
        <row r="26">
          <cell r="C26" t="str">
            <v>Due Diligence Polyus Open Pit Mine</v>
          </cell>
        </row>
        <row r="27">
          <cell r="C27" t="str">
            <v>Contrato marco: Elaboración de proyectos, estudios y asistencia técnica Planificación minera</v>
          </cell>
        </row>
        <row r="28">
          <cell r="C28" t="str">
            <v>Servicio Análisis Integral de Expansión Mina Subterránea</v>
          </cell>
        </row>
        <row r="29">
          <cell r="C29" t="str">
            <v>Servicio PEA Proyecto Chapi</v>
          </cell>
        </row>
        <row r="30">
          <cell r="C30" t="str">
            <v>Servicio Estudio de Relleno Cementado y Estudio de Puentes Artificiales</v>
          </cell>
        </row>
        <row r="31">
          <cell r="C31" t="str">
            <v>Caso de Negocio Proyecto Expansión Rajo Sur (ODS Contrato GRMD Codelco DET)</v>
          </cell>
        </row>
        <row r="32">
          <cell r="C32" t="str">
            <v>Apoyo en terreno con inversionistas</v>
          </cell>
        </row>
        <row r="33">
          <cell r="C33" t="str">
            <v>Internalización del proceso de desarrollo mina</v>
          </cell>
        </row>
        <row r="34">
          <cell r="C34" t="str">
            <v>Due Diligence FS Proyecto confidencial</v>
          </cell>
        </row>
        <row r="35">
          <cell r="C35" t="str">
            <v>Elaboración de Estudio Sísmico</v>
          </cell>
        </row>
        <row r="36">
          <cell r="C36" t="str">
            <v>Apoyo con el Project Initiation para Escondida East Deep</v>
          </cell>
        </row>
        <row r="37">
          <cell r="C37" t="str">
            <v>Servicio Soporte Técnico Ingeniería Mina UG Castellanos</v>
          </cell>
        </row>
        <row r="38">
          <cell r="C38" t="str">
            <v>Due diligence de operación OP de Fe</v>
          </cell>
        </row>
        <row r="39">
          <cell r="C39" t="str">
            <v>Estrategia de control y mitigación</v>
          </cell>
        </row>
        <row r="40">
          <cell r="C40" t="str">
            <v>Análisis de ingeniería de MV subterráneo</v>
          </cell>
        </row>
        <row r="41">
          <cell r="C41" t="str">
            <v>LOM Minera Cozamin</v>
          </cell>
        </row>
        <row r="42">
          <cell r="C42" t="str">
            <v>Actualización del estudio de  peligro sísmico</v>
          </cell>
        </row>
        <row r="43">
          <cell r="C43" t="str">
            <v>Ingeniería de construcción para la disposición de relaves en el tajo abierto sur</v>
          </cell>
        </row>
        <row r="44">
          <cell r="C44" t="str">
            <v>Estudio de identificacion de negocio &amp; tecnical report</v>
          </cell>
        </row>
        <row r="45">
          <cell r="C45" t="str">
            <v>Ev. Caso de negocio centrifugadora CMZ</v>
          </cell>
        </row>
        <row r="46">
          <cell r="C46" t="str">
            <v>Engineering Consultancy Planning Cycle Support</v>
          </cell>
        </row>
        <row r="47">
          <cell r="C47" t="str">
            <v>Simulación sistema mina proyecto MARA</v>
          </cell>
        </row>
        <row r="48">
          <cell r="C48" t="str">
            <v>Estudio de Sismicidad Inducida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Alvaro Soto" id="{6F2180EC-F7DC-481E-91A2-3E2E3E89BED8}" userId="asoto@redcoglobal.com" providerId="PeoplePicker"/>
  <person displayName="Alan Fraser" id="{75687FCA-B5C2-49E6-99F6-FEBEB5815D9F}" userId="afraser@redcoglobal.com" providerId="PeoplePicker"/>
  <person displayName="Cristian Alarcón" id="{35130577-40B7-479E-8A8C-28B6B18D0680}" userId="calarcon@redcoglobal.com" providerId="PeoplePicker"/>
  <person displayName="Alvaro Soto" id="{129DE47F-C564-4107-BEEF-98E636B80BC4}" userId="S::asoto@redcoglobal.com::fc827523-6e1e-46c3-873a-d4e45f6a394f" providerId="AD"/>
  <person displayName="Cristian Alarcón" id="{7CC90715-7313-4F9D-8DF3-7C2DBBA66DF6}" userId="S::calarcon@redcoglobal.com::216dec6e-a2f6-4625-8aaf-a180df81ea31" providerId="AD"/>
  <person displayName="Pedro Aguiluz" id="{58A351A7-FBDC-4481-9AE8-5C875610C4D8}" userId="S::paguiluz@redcoglobal.com::86d19a04-0507-4d06-bd77-f95e1bb8ebd2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B0EF87-2F91-446C-9384-BB5D2710C6A9}" name="Tabla31" displayName="Tabla31" ref="A6:S29" totalsRowShown="0" headerRowDxfId="46" dataDxfId="45">
  <autoFilter ref="A6:S29" xr:uid="{2AB0EF87-2F91-446C-9384-BB5D2710C6A9}"/>
  <sortState xmlns:xlrd2="http://schemas.microsoft.com/office/spreadsheetml/2017/richdata2" ref="A7:S29">
    <sortCondition sortBy="cellColor" ref="F6:F29" dxfId="44"/>
  </sortState>
  <tableColumns count="19">
    <tableColumn id="1" xr3:uid="{02B9DAB8-F118-4B24-96E2-711E34F4D499}" name="#" dataDxfId="43"/>
    <tableColumn id="2" xr3:uid="{B7EDC0EC-59E0-49F7-A803-5D91D6547652}" name="País" dataDxfId="42"/>
    <tableColumn id="3" xr3:uid="{0B7FAE2E-C0D9-40BA-A811-19E04F2EE5B2}" name="Proceso" dataDxfId="41"/>
    <tableColumn id="4" xr3:uid="{46CC7ED1-059C-430A-8545-048CF0AF63B8}" name="Categoria" dataDxfId="40"/>
    <tableColumn id="5" xr3:uid="{7E5EE6AD-F1E3-49E4-A662-08436650F53C}" name="Concepto" dataDxfId="39"/>
    <tableColumn id="6" xr3:uid="{020A95B9-5152-4876-A325-3521A5A7FC72}" name="Descripción Oportunidad" dataDxfId="38"/>
    <tableColumn id="7" xr3:uid="{F946A5B5-03EE-411F-9B49-13AC2B84259E}" name="Ingresos USD" dataDxfId="37">
      <calculatedColumnFormula>+SUM(H7:S7)</calculatedColumnFormula>
    </tableColumn>
    <tableColumn id="8" xr3:uid="{89FA55C8-1538-42AD-AD0F-20DF692B9A8D}" name="01-01-2026" dataDxfId="36"/>
    <tableColumn id="9" xr3:uid="{8FEC4CBA-77E2-489B-997E-45C144ED2004}" name="01-02-2026" dataDxfId="35"/>
    <tableColumn id="10" xr3:uid="{CB4512D9-A26E-46EF-8124-CEA27D3D22C3}" name="01-03-2026" dataDxfId="34"/>
    <tableColumn id="11" xr3:uid="{B9DD1DFA-E6A5-44A9-BBB3-2E68180773BA}" name="01-04-2026" dataDxfId="33"/>
    <tableColumn id="12" xr3:uid="{8C26FF82-7333-4172-B250-30E446591CE6}" name="01-05-2026" dataDxfId="32"/>
    <tableColumn id="13" xr3:uid="{AD0E35FB-CA2A-4785-9791-207FE099808A}" name="01-06-2026" dataDxfId="31"/>
    <tableColumn id="14" xr3:uid="{3C6E0BF6-3A7C-472A-8D0F-34A801ED8E3D}" name="01-07-2026" dataDxfId="30"/>
    <tableColumn id="15" xr3:uid="{5D4A2239-8D29-4BA7-9B0C-23DB72666070}" name="01-08-2026" dataDxfId="29"/>
    <tableColumn id="16" xr3:uid="{958E4D78-BB37-4565-8CE8-D6E07CECA638}" name="01-09-2026" dataDxfId="28"/>
    <tableColumn id="17" xr3:uid="{E54CB68F-3204-4742-9913-B1CF3599608F}" name="01-10-2026" dataDxfId="27"/>
    <tableColumn id="18" xr3:uid="{7F254573-7BFF-48F8-A497-9E73EBD930DE}" name="01-11-2026" dataDxfId="26"/>
    <tableColumn id="19" xr3:uid="{13FD6A9B-80A5-4AAA-B554-1E16CD5A80B4}" name="01-12-2026" dataDxfId="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6-01-20T13:13:49.78" personId="{7CC90715-7313-4F9D-8DF3-7C2DBBA66DF6}" id="{3E4C623C-1F05-477E-890E-E95D24396D2C}">
    <text>Si no es igual a 22, falta información</text>
  </threadedComment>
  <threadedComment ref="P2" dT="2026-03-16T14:58:34.09" personId="{58A351A7-FBDC-4481-9AE8-5C875610C4D8}" id="{382F9F8E-A7FE-4C92-85E0-291DE3793199}">
    <text>Sponsor Tecnico</text>
  </threadedComment>
  <threadedComment ref="P2" dT="2026-06-08T21:23:50.25" personId="{129DE47F-C564-4107-BEEF-98E636B80BC4}" id="{6715B639-9CB3-4687-8095-6803D4E7A25D}" parentId="{382F9F8E-A7FE-4C92-85E0-291DE3793199}">
    <text>Gerente Técnico</text>
  </threadedComment>
  <threadedComment ref="Q2" dT="2026-03-16T14:58:51.34" personId="{58A351A7-FBDC-4481-9AE8-5C875610C4D8}" id="{86C0860B-F00F-48EE-AB30-B29748E9D2BB}">
    <text xml:space="preserve">Conversar a las 18:00 hrs
</text>
  </threadedComment>
  <threadedComment ref="AC2" dT="2026-02-04T20:30:34.78" personId="{7CC90715-7313-4F9D-8DF3-7C2DBBA66DF6}" id="{2A7A850E-08D3-486A-B7A3-61EF9F9185EA}">
    <text>Desarrollar estudios que nos permitan crear valor y que se refleje en cambios relevantes en las operaciones, proyectos y negocios mineros.</text>
  </threadedComment>
  <threadedComment ref="AD2" dT="2026-02-04T20:30:49.58" personId="{7CC90715-7313-4F9D-8DF3-7C2DBBA66DF6}" id="{A6089DA6-9085-4F0C-92F7-1ED3B1F9C6D4}">
    <text>Asesoría y consultoría con conexión al más alto nivel (gerencias, vice presidencias, directorios) con una fuerte componente de conexión con el cliente.</text>
  </threadedComment>
  <threadedComment ref="AE2" dT="2026-02-04T20:31:10.97" personId="{7CC90715-7313-4F9D-8DF3-7C2DBBA66DF6}" id="{54EBA741-4E99-411E-8943-F3C6DAC1ED94}">
    <text>Incorporación de tecnologías y metodologías innovativas que permitan incorporar una visión diferente de desarrollo a las operaciones, proyectos y negocios mineros.</text>
  </threadedComment>
  <threadedComment ref="AF2" dT="2026-02-04T20:31:21.29" personId="{7CC90715-7313-4F9D-8DF3-7C2DBBA66DF6}" id="{E6316B23-5B71-4742-9CD9-54E595A94E01}">
    <text>Propuesta de Valor y oferta diferenciadora, alta cercanía con clientes clave</text>
  </threadedComment>
  <threadedComment ref="AG2" dT="2026-02-04T20:31:32.05" personId="{7CC90715-7313-4F9D-8DF3-7C2DBBA66DF6}" id="{2C8AD5CA-F140-47DD-B903-725F2550577D}">
    <text>Enfoque en operaciones con problemas para entregar estudios de alto nivel como solución.</text>
  </threadedComment>
  <threadedComment ref="AG2" dT="2026-02-26T16:40:19.16" personId="{129DE47F-C564-4107-BEEF-98E636B80BC4}" id="{6A858559-4FB1-41DA-B86F-7D9F8F5D0517}" parentId="{2C8AD5CA-F140-47DD-B903-725F2550577D}">
    <text>@Alan Fraser que quieren decir con este eje?</text>
    <mentions>
      <mention mentionpersonId="{75687FCA-B5C2-49E6-99F6-FEBEB5815D9F}" mentionId="{9E56415A-1312-462E-8B12-8927941430C0}" startIndex="0" length="12"/>
    </mentions>
  </threadedComment>
  <threadedComment ref="AI2" dT="2026-01-20T13:24:06.93" personId="{7CC90715-7313-4F9D-8DF3-7C2DBBA66DF6}" id="{8083E835-4C1B-4943-B2FA-0810ACAF394B}">
    <text>Contrato / Contrato Marco / ODC</text>
  </threadedComment>
  <threadedComment ref="AJ2" dT="2026-01-20T13:24:31.44" personId="{7CC90715-7313-4F9D-8DF3-7C2DBBA66DF6}" id="{8922B08A-114D-41AE-85B8-84A9054D830A}">
    <text>Firmada  / Pendiente</text>
  </threadedComment>
  <threadedComment ref="AJ2" dT="2026-01-20T13:24:51.24" personId="{7CC90715-7313-4F9D-8DF3-7C2DBBA66DF6}" id="{20FB9BC6-1A38-4353-8FC4-4471ABA07BF2}" parentId="{8922B08A-114D-41AE-85B8-84A9054D830A}">
    <text>Pendiente --&gt; en rojo</text>
  </threadedComment>
  <threadedComment ref="AJ2" dT="2026-01-27T20:13:49.39" personId="{7CC90715-7313-4F9D-8DF3-7C2DBBA66DF6}" id="{9C0340F5-09ED-4766-9BD3-2B7783D6D3A6}" parentId="{8922B08A-114D-41AE-85B8-84A9054D830A}">
    <text>STATUS --&gt; 
Contrato Marco --&gt; ODS Firmada
Contrato --&gt; Contrato Firmado
ODC --&gt; ODC Firmada</text>
  </threadedComment>
  <threadedComment ref="AT38" dT="2026-03-05T20:43:08.22" personId="{7CC90715-7313-4F9D-8DF3-7C2DBBA66DF6}" id="{6491B3F7-81BF-4EBA-8B75-B80A8B728786}">
    <text>@Alvaro Soto Adjudicada sin fecha, ayuda porfa</text>
    <mentions>
      <mention mentionpersonId="{6F2180EC-F7DC-481E-91A2-3E2E3E89BED8}" mentionId="{AF142BE9-8C01-42E1-8503-114363174E22}" startIndex="0" length="12"/>
    </mentions>
  </threadedComment>
  <threadedComment ref="AL41" dT="2026-03-06T14:46:20.97" personId="{7CC90715-7313-4F9D-8DF3-7C2DBBA66DF6}" id="{B68511CB-5FB3-4831-BAAD-7F0A1B32DBF0}">
    <text>@Alvaro Soto el monto es 0 en el pipieline también</text>
    <mentions>
      <mention mentionpersonId="{6F2180EC-F7DC-481E-91A2-3E2E3E89BED8}" mentionId="{7163B891-89D1-4E69-986B-47B04777D6BE}" startIndex="0" length="12"/>
    </mentions>
  </threadedComment>
  <threadedComment ref="AL41" dT="2026-03-06T15:31:55.24" personId="{129DE47F-C564-4107-BEEF-98E636B80BC4}" id="{FCE5601B-3AC2-4A63-8899-CF4699FBFA78}" parentId="{B68511CB-5FB3-4831-BAAD-7F0A1B32DBF0}">
    <text>Esta bien porque es un contrato Marco, que tiene un monto posible de adjudicar</text>
  </threadedComment>
  <threadedComment ref="AT49" dT="2026-03-05T19:33:10.02" personId="{7CC90715-7313-4F9D-8DF3-7C2DBBA66DF6}" id="{11D7E4AB-3CB1-4CE3-8B10-38B568D486DB}">
    <text>No Adjudicadas con fecha placeholder</text>
  </threadedComment>
  <threadedComment ref="AT52" dT="2026-02-26T16:36:22.26" personId="{129DE47F-C564-4107-BEEF-98E636B80BC4}" id="{19E203FB-EB89-4CA3-B571-82F3C958A967}">
    <text xml:space="preserve">Revisar dejar dos fechas, una de vencimiento de propuesta y otra de fecha de posible adjudicacion @Cristian Alarcón  @Alan Fraser </text>
    <mentions>
      <mention mentionpersonId="{35130577-40B7-479E-8A8C-28B6B18D0680}" mentionId="{B23B6EF4-3B3E-4FB5-92ED-C7761C5A650C}" startIndex="98" length="17"/>
      <mention mentionpersonId="{75687FCA-B5C2-49E6-99F6-FEBEB5815D9F}" mentionId="{2E6992FD-66FE-4B41-A32D-262FFB245AE2}" startIndex="117" length="12"/>
    </mentions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2" dT="2026-01-20T13:13:49.78" personId="{7CC90715-7313-4F9D-8DF3-7C2DBBA66DF6}" id="{D9DC2C20-65DD-4D61-BBEE-864AFD51CC79}">
    <text>Si no es igual a 22, falta información</text>
  </threadedComment>
  <threadedComment ref="AQ2" dT="2026-02-04T20:30:34.78" personId="{7CC90715-7313-4F9D-8DF3-7C2DBBA66DF6}" id="{FCB2A64B-DB6B-4C64-9A23-651D3C78AA75}">
    <text>Desarrollar estudios que nos permitan crear valor y que se refleje en cambios relevantes en las operaciones, proyectos y negocios mineros.</text>
  </threadedComment>
  <threadedComment ref="AR2" dT="2026-02-04T20:30:49.58" personId="{7CC90715-7313-4F9D-8DF3-7C2DBBA66DF6}" id="{0DDBD12F-3F0D-4E08-8123-7B4669E9FB08}">
    <text>Asesoría y consultoría con conexión al más alto nivel (gerencias, vice presidencias, directorios) con una fuerte componente de conexión con el cliente.</text>
  </threadedComment>
  <threadedComment ref="AS2" dT="2026-02-04T20:31:10.97" personId="{7CC90715-7313-4F9D-8DF3-7C2DBBA66DF6}" id="{333DB04F-9FE3-4F5D-B3BC-D097994353AD}">
    <text>Incorporación de tecnologías y metodologías innovativas que permitan incorporar una visión diferente de desarrollo a las operaciones, proyectos y negocios mineros.</text>
  </threadedComment>
  <threadedComment ref="AT2" dT="2026-02-04T20:31:21.29" personId="{7CC90715-7313-4F9D-8DF3-7C2DBBA66DF6}" id="{10578099-292C-469B-ACD3-0EEDA2AA73F6}">
    <text>Propuesta de Valor y oferta diferenciadora, alta cercanía con clientes clave</text>
  </threadedComment>
  <threadedComment ref="AU2" dT="2026-02-04T20:31:32.05" personId="{7CC90715-7313-4F9D-8DF3-7C2DBBA66DF6}" id="{5AFBF4DF-1ABF-4164-89AF-AC7F7AF53509}">
    <text>Enfoque en operaciones con problemas para entregar estudios de alto nivel como solución.</text>
  </threadedComment>
  <threadedComment ref="AW2" dT="2026-01-20T13:24:06.93" personId="{7CC90715-7313-4F9D-8DF3-7C2DBBA66DF6}" id="{E373CA6A-F875-4E80-BE4A-EBD747CB5EC6}">
    <text>Contrato / Contrato Marco / ODC</text>
  </threadedComment>
  <threadedComment ref="AY2" dT="2026-01-20T13:24:06.93" personId="{7CC90715-7313-4F9D-8DF3-7C2DBBA66DF6}" id="{621261F6-3479-463A-9AF1-9A58DB571311}">
    <text>Si / No 
Si en rojo</text>
  </threadedComment>
  <threadedComment ref="AZ2" dT="2026-01-20T13:24:31.44" personId="{7CC90715-7313-4F9D-8DF3-7C2DBBA66DF6}" id="{A1CD0077-EC03-44C7-BEB4-7A4D3E5671FD}">
    <text>Firmada  / Pendiente</text>
  </threadedComment>
  <threadedComment ref="AZ2" dT="2026-01-20T13:24:51.24" personId="{7CC90715-7313-4F9D-8DF3-7C2DBBA66DF6}" id="{29E5FC29-CDB1-48BC-83B2-4F889F37E12F}" parentId="{A1CD0077-EC03-44C7-BEB4-7A4D3E5671FD}">
    <text>Pendiente --&gt; en rojo</text>
  </threadedComment>
  <threadedComment ref="AZ2" dT="2026-01-27T20:13:49.39" personId="{7CC90715-7313-4F9D-8DF3-7C2DBBA66DF6}" id="{1EA61A03-2505-4B27-9AB8-1EAC7640B6F1}" parentId="{A1CD0077-EC03-44C7-BEB4-7A4D3E5671FD}">
    <text>STATUS --&gt; 
Contrato Marco --&gt; ODS Firmada
Contrato --&gt; Contrato Firmado
ODC --&gt; ODC Firmada</text>
  </threadedComment>
  <threadedComment ref="BM2" dT="2026-01-20T14:03:01.40" personId="{7CC90715-7313-4F9D-8DF3-7C2DBBA66DF6}" id="{A19D592E-A8F6-42D3-9039-4B942E3CC3BD}">
    <text>Adjudicación +2 meses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L1" dT="2026-03-16T14:58:51.34" personId="{58A351A7-FBDC-4481-9AE8-5C875610C4D8}" id="{3CD0C75F-8BF1-4A32-BC50-3FCC6C8702DC}">
    <text xml:space="preserve">Conversar a las 18:00 hrs
</text>
  </threadedComment>
  <threadedComment ref="M1" dT="2026-03-16T14:58:34.09" personId="{58A351A7-FBDC-4481-9AE8-5C875610C4D8}" id="{46BCC8E3-8FDE-4979-B022-7B51473D7E19}">
    <text>Sponsor Tecnico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H2" dT="2026-01-20T13:24:06.93" personId="{7CC90715-7313-4F9D-8DF3-7C2DBBA66DF6}" id="{90485B2A-4732-42DB-99A4-BED02FE23516}">
    <text>Contrato / Contrato Marco / ODC</text>
  </threadedComment>
  <threadedComment ref="J2" dT="2026-01-20T13:24:06.93" personId="{7CC90715-7313-4F9D-8DF3-7C2DBBA66DF6}" id="{FD0B86CE-4BA0-42B1-9305-100D457DFB8F}">
    <text>Si / No 
Si en rojo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2" dT="2026-01-20T13:13:49.78" personId="{7CC90715-7313-4F9D-8DF3-7C2DBBA66DF6}" id="{3A5C0061-EA10-4F44-A85B-38F9076569DF}">
    <text>Si no es igual a 22, falta información</text>
  </threadedComment>
  <threadedComment ref="AO2" dT="2026-02-04T20:30:34.78" personId="{7CC90715-7313-4F9D-8DF3-7C2DBBA66DF6}" id="{3BF47D41-6776-4998-9944-CE440D26F46D}">
    <text>Desarrollar estudios que nos permitan crear valor y que se refleje en cambios relevantes en las operaciones, proyectos y negocios mineros.</text>
  </threadedComment>
  <threadedComment ref="AP2" dT="2026-02-04T20:30:49.58" personId="{7CC90715-7313-4F9D-8DF3-7C2DBBA66DF6}" id="{6A849A68-F569-4995-8EB8-62D1641CD71D}">
    <text>Asesoría y consultoría con conexión al más alto nivel (gerencias, vice presidencias, directorios) con una fuerte componente de conexión con el cliente.</text>
  </threadedComment>
  <threadedComment ref="AQ2" dT="2026-02-04T20:31:10.97" personId="{7CC90715-7313-4F9D-8DF3-7C2DBBA66DF6}" id="{3E8D563E-DC3B-466A-903F-AEDDABE8CE82}">
    <text>Incorporación de tecnologías y metodologías innovativas que permitan incorporar una visión diferente de desarrollo a las operaciones, proyectos y negocios mineros.</text>
  </threadedComment>
  <threadedComment ref="AR2" dT="2026-02-04T20:31:21.29" personId="{7CC90715-7313-4F9D-8DF3-7C2DBBA66DF6}" id="{7025552E-23EF-45CE-B6AC-9345941EE3C8}">
    <text>Propuesta de Valor y oferta diferenciadora, alta cercanía con clientes clave</text>
  </threadedComment>
  <threadedComment ref="AS2" dT="2026-02-04T20:31:32.05" personId="{7CC90715-7313-4F9D-8DF3-7C2DBBA66DF6}" id="{898A79B7-4F5B-488E-AAA0-F8230B2705B0}">
    <text>Enfoque en operaciones con problemas para entregar estudios de alto nivel como solución.</text>
  </threadedComment>
  <threadedComment ref="AU2" dT="2026-01-20T13:24:06.93" personId="{7CC90715-7313-4F9D-8DF3-7C2DBBA66DF6}" id="{5DCAAFB3-F4EE-45D3-AB29-3D1D0F64A2C4}">
    <text>Contrato / Contrato Marco / ODC</text>
  </threadedComment>
  <threadedComment ref="AW2" dT="2026-01-20T13:24:06.93" personId="{7CC90715-7313-4F9D-8DF3-7C2DBBA66DF6}" id="{C445243F-438F-4371-9F7E-689A34A05166}">
    <text>Si / No 
Si en rojo</text>
  </threadedComment>
  <threadedComment ref="AX2" dT="2026-01-20T13:24:31.44" personId="{7CC90715-7313-4F9D-8DF3-7C2DBBA66DF6}" id="{E73F1DAE-390B-4ECF-8391-1BB2F20B8F34}">
    <text>Firmada  / Pendiente</text>
  </threadedComment>
  <threadedComment ref="AX2" dT="2026-01-20T13:24:51.24" personId="{7CC90715-7313-4F9D-8DF3-7C2DBBA66DF6}" id="{5A5707C3-9C69-450A-BA5A-DFAD53CAD4C6}" parentId="{E73F1DAE-390B-4ECF-8391-1BB2F20B8F34}">
    <text>Pendiente --&gt; en rojo</text>
  </threadedComment>
  <threadedComment ref="AX2" dT="2026-01-27T20:13:49.39" personId="{7CC90715-7313-4F9D-8DF3-7C2DBBA66DF6}" id="{F72163DC-12DA-40E0-879C-AF71A12102B0}" parentId="{E73F1DAE-390B-4ECF-8391-1BB2F20B8F34}">
    <text>STATUS --&gt; 
Contrato Marco --&gt; ODS Firmada
Contrato --&gt; Contrato Firmado
ODC --&gt; ODC Firmada</text>
  </threadedComment>
  <threadedComment ref="BK2" dT="2026-01-20T14:03:01.40" personId="{7CC90715-7313-4F9D-8DF3-7C2DBBA66DF6}" id="{9B95BBF2-6219-4C55-BE06-B008ED6BBA4F}">
    <text>Adjudicación +2 meses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H1" dT="2026-03-16T14:58:51.34" personId="{58A351A7-FBDC-4481-9AE8-5C875610C4D8}" id="{7E71DA1E-5402-4B2C-B8C7-C5F61B8F36F3}">
    <text xml:space="preserve">Conversar a las 18:00 hrs
</text>
  </threadedComment>
  <threadedComment ref="K1" dT="2026-01-20T19:35:29.54" personId="{7CC90715-7313-4F9D-8DF3-7C2DBBA66DF6}" id="{20F2942D-4E90-4195-A9C1-2E7C3C61E503}">
    <text xml:space="preserve">REVISAR VALORES
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2" dT="2026-01-20T13:13:49.78" personId="{7CC90715-7313-4F9D-8DF3-7C2DBBA66DF6}" id="{E5573AA6-B147-4C76-96B5-93986963D9AB}">
    <text>Si no es igual a 22, falta información</text>
  </threadedComment>
  <threadedComment ref="AR2" dT="2026-02-04T20:30:34.78" personId="{7CC90715-7313-4F9D-8DF3-7C2DBBA66DF6}" id="{1E855949-E172-4AD1-AE8E-8892FE38EE6E}">
    <text>Desarrollar estudios que nos permitan crear valor y que se refleje en cambios relevantes en las operaciones, proyectos y negocios mineros.</text>
  </threadedComment>
  <threadedComment ref="AS2" dT="2026-02-04T20:30:49.58" personId="{7CC90715-7313-4F9D-8DF3-7C2DBBA66DF6}" id="{AA6C0CD4-12C8-43EA-A1C1-C7425F119204}">
    <text>Asesoría y consultoría con conexión al más alto nivel (gerencias, vice presidencias, directorios) con una fuerte componente de conexión con el cliente.</text>
  </threadedComment>
  <threadedComment ref="AT2" dT="2026-02-04T20:31:10.97" personId="{7CC90715-7313-4F9D-8DF3-7C2DBBA66DF6}" id="{A2A5FBBF-EDCC-4C2C-A86C-697082DDE5B5}">
    <text>Incorporación de tecnologías y metodologías innovativas que permitan incorporar una visión diferente de desarrollo a las operaciones, proyectos y negocios mineros.</text>
  </threadedComment>
  <threadedComment ref="AU2" dT="2026-02-04T20:31:21.29" personId="{7CC90715-7313-4F9D-8DF3-7C2DBBA66DF6}" id="{715C76F1-8186-4A17-BCFB-DD821ECD6948}">
    <text>Propuesta de Valor y oferta diferenciadora, alta cercanía con clientes clave</text>
  </threadedComment>
  <threadedComment ref="AV2" dT="2026-02-04T20:31:32.05" personId="{7CC90715-7313-4F9D-8DF3-7C2DBBA66DF6}" id="{DEAFC5B1-26FD-430D-9266-E19F8390893F}">
    <text>Enfoque en operaciones con problemas para entregar estudios de alto nivel como solución.</text>
  </threadedComment>
  <threadedComment ref="AX2" dT="2026-01-20T13:24:06.93" personId="{7CC90715-7313-4F9D-8DF3-7C2DBBA66DF6}" id="{08ECB1E5-ED85-4C9E-B07A-B9BF942DEF7B}">
    <text>Contrato / Contrato Marco / ODC</text>
  </threadedComment>
  <threadedComment ref="AZ2" dT="2026-01-20T13:24:06.93" personId="{7CC90715-7313-4F9D-8DF3-7C2DBBA66DF6}" id="{20635C7C-F744-46FE-8BB2-9952FFE2B335}">
    <text>Si / No 
Si en rojo</text>
  </threadedComment>
  <threadedComment ref="BA2" dT="2026-01-20T13:24:31.44" personId="{7CC90715-7313-4F9D-8DF3-7C2DBBA66DF6}" id="{24339F9A-73BD-4E77-A997-F2F8FB6AFC1B}">
    <text>Firmada  / Pendiente</text>
  </threadedComment>
  <threadedComment ref="BA2" dT="2026-01-20T13:24:51.24" personId="{7CC90715-7313-4F9D-8DF3-7C2DBBA66DF6}" id="{7FAD81BB-B9E2-4687-825B-04C0C4D909C4}" parentId="{24339F9A-73BD-4E77-A997-F2F8FB6AFC1B}">
    <text>Pendiente --&gt; en rojo</text>
  </threadedComment>
  <threadedComment ref="BA2" dT="2026-01-27T20:13:49.39" personId="{7CC90715-7313-4F9D-8DF3-7C2DBBA66DF6}" id="{AC1D84BF-BB1D-4266-8F2F-141A61F06EDB}" parentId="{24339F9A-73BD-4E77-A997-F2F8FB6AFC1B}">
    <text>STATUS --&gt; 
Contrato Marco --&gt; ODS Firmada
Contrato --&gt; Contrato Firmado
ODC --&gt; ODC Firmada</text>
  </threadedComment>
  <threadedComment ref="BJ2" dT="2026-01-20T19:35:29.54" personId="{7CC90715-7313-4F9D-8DF3-7C2DBBA66DF6}" id="{506979FC-3E3A-4172-BBDF-75502D7213D7}">
    <text xml:space="preserve">REVISAR VALORES
</text>
  </threadedComment>
  <threadedComment ref="BN2" dT="2026-01-20T14:03:01.40" personId="{7CC90715-7313-4F9D-8DF3-7C2DBBA66DF6}" id="{4B085D65-73D8-4F13-A1B3-B94EAD46E631}">
    <text>Adjudicación +2 meses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5.xml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6.xml"/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7.xml"/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1EACB-595F-4C57-9F33-7325D236C5C3}">
  <sheetPr codeName="Hoja8">
    <tabColor theme="5" tint="0.79998168889431442"/>
  </sheetPr>
  <dimension ref="B2:D8"/>
  <sheetViews>
    <sheetView zoomScale="130" zoomScaleNormal="130" workbookViewId="0">
      <selection activeCell="D8" sqref="D8"/>
    </sheetView>
  </sheetViews>
  <sheetFormatPr baseColWidth="10" defaultColWidth="11.5" defaultRowHeight="15" x14ac:dyDescent="0.2"/>
  <cols>
    <col min="2" max="2" width="16.5" bestFit="1" customWidth="1"/>
    <col min="4" max="4" width="13.33203125" bestFit="1" customWidth="1"/>
  </cols>
  <sheetData>
    <row r="2" spans="2:4" x14ac:dyDescent="0.2">
      <c r="B2" s="83" t="s">
        <v>379</v>
      </c>
      <c r="C2" s="83" t="s">
        <v>380</v>
      </c>
      <c r="D2" s="83" t="s">
        <v>381</v>
      </c>
    </row>
    <row r="3" spans="2:4" x14ac:dyDescent="0.2">
      <c r="B3" s="42" t="s">
        <v>43</v>
      </c>
      <c r="C3" s="133">
        <v>0.8</v>
      </c>
      <c r="D3" s="33"/>
    </row>
    <row r="4" spans="2:4" x14ac:dyDescent="0.2">
      <c r="B4" s="42" t="s">
        <v>71</v>
      </c>
      <c r="C4" s="133">
        <v>0.8</v>
      </c>
      <c r="D4" s="33"/>
    </row>
    <row r="5" spans="2:4" x14ac:dyDescent="0.2">
      <c r="B5" s="42" t="s">
        <v>97</v>
      </c>
      <c r="C5" s="133">
        <v>0.8</v>
      </c>
      <c r="D5" s="33"/>
    </row>
    <row r="6" spans="2:4" x14ac:dyDescent="0.2">
      <c r="B6" s="42" t="s">
        <v>122</v>
      </c>
      <c r="C6" s="133">
        <v>1</v>
      </c>
      <c r="D6" s="132">
        <v>1</v>
      </c>
    </row>
    <row r="7" spans="2:4" x14ac:dyDescent="0.2">
      <c r="B7" s="42" t="s">
        <v>143</v>
      </c>
      <c r="C7" s="133">
        <v>1</v>
      </c>
      <c r="D7" s="132">
        <v>0</v>
      </c>
    </row>
    <row r="8" spans="2:4" x14ac:dyDescent="0.2">
      <c r="B8" s="42" t="s">
        <v>104</v>
      </c>
      <c r="C8" s="133">
        <v>0</v>
      </c>
      <c r="D8" s="132"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1719E-4A92-462E-A80D-D12E7C37E8CA}">
  <sheetPr codeName="Hoja1">
    <tabColor theme="8"/>
  </sheetPr>
  <dimension ref="B1:BL113"/>
  <sheetViews>
    <sheetView topLeftCell="O1" zoomScale="85" zoomScaleNormal="85" workbookViewId="0">
      <selection activeCell="L107" sqref="L107"/>
    </sheetView>
  </sheetViews>
  <sheetFormatPr baseColWidth="10" defaultColWidth="11.5" defaultRowHeight="15" x14ac:dyDescent="0.2"/>
  <cols>
    <col min="2" max="2" width="13.83203125" customWidth="1"/>
    <col min="3" max="3" width="6.83203125" bestFit="1" customWidth="1"/>
    <col min="5" max="5" width="21.5" bestFit="1" customWidth="1"/>
    <col min="6" max="6" width="6.83203125" bestFit="1" customWidth="1"/>
    <col min="7" max="7" width="30.5" bestFit="1" customWidth="1"/>
    <col min="9" max="9" width="27.83203125" bestFit="1" customWidth="1"/>
    <col min="10" max="10" width="13.33203125" customWidth="1"/>
    <col min="11" max="11" width="7.1640625" customWidth="1"/>
    <col min="12" max="12" width="27.83203125" bestFit="1" customWidth="1"/>
    <col min="13" max="13" width="13.33203125" customWidth="1"/>
    <col min="15" max="15" width="62.5" customWidth="1"/>
    <col min="16" max="16" width="29.5" customWidth="1"/>
    <col min="17" max="17" width="6.83203125" bestFit="1" customWidth="1"/>
    <col min="18" max="18" width="6.83203125" customWidth="1"/>
    <col min="19" max="19" width="17.33203125" bestFit="1" customWidth="1"/>
    <col min="20" max="20" width="6.83203125" customWidth="1"/>
    <col min="21" max="21" width="5.83203125" customWidth="1"/>
    <col min="22" max="22" width="13" bestFit="1" customWidth="1"/>
    <col min="23" max="23" width="3" customWidth="1"/>
    <col min="24" max="24" width="17.33203125" bestFit="1" customWidth="1"/>
    <col min="25" max="25" width="3.5" customWidth="1"/>
    <col min="26" max="26" width="14.5" bestFit="1" customWidth="1"/>
    <col min="27" max="27" width="3.5" customWidth="1"/>
    <col min="28" max="28" width="18.33203125" bestFit="1" customWidth="1"/>
    <col min="29" max="29" width="5" bestFit="1" customWidth="1"/>
    <col min="30" max="30" width="5" customWidth="1"/>
    <col min="31" max="31" width="18.33203125" bestFit="1" customWidth="1"/>
    <col min="32" max="32" width="5" customWidth="1"/>
    <col min="33" max="33" width="3.5" customWidth="1"/>
    <col min="34" max="34" width="15.33203125" bestFit="1" customWidth="1"/>
    <col min="35" max="35" width="3.5" customWidth="1"/>
    <col min="36" max="36" width="16.5" bestFit="1" customWidth="1"/>
    <col min="37" max="37" width="3.5" customWidth="1"/>
    <col min="38" max="38" width="24.1640625" bestFit="1" customWidth="1"/>
    <col min="39" max="39" width="3.83203125" customWidth="1"/>
    <col min="40" max="40" width="24.1640625" customWidth="1"/>
    <col min="41" max="41" width="3.5" customWidth="1"/>
    <col min="42" max="42" width="32.1640625" bestFit="1" customWidth="1"/>
    <col min="43" max="43" width="3.5" customWidth="1"/>
    <col min="44" max="44" width="24.33203125" customWidth="1"/>
    <col min="45" max="45" width="3.5" customWidth="1"/>
    <col min="46" max="46" width="23.5" bestFit="1" customWidth="1"/>
    <col min="47" max="47" width="3" bestFit="1" customWidth="1"/>
    <col min="48" max="48" width="6.83203125" bestFit="1" customWidth="1"/>
    <col min="49" max="49" width="2.83203125" customWidth="1"/>
    <col min="50" max="50" width="17.33203125" bestFit="1" customWidth="1"/>
    <col min="51" max="51" width="9.5" bestFit="1" customWidth="1"/>
    <col min="52" max="52" width="3.33203125" customWidth="1"/>
    <col min="53" max="53" width="25.5" bestFit="1" customWidth="1"/>
    <col min="54" max="54" width="6.83203125" bestFit="1" customWidth="1"/>
    <col min="55" max="55" width="2.83203125" customWidth="1"/>
    <col min="57" max="57" width="4.1640625" customWidth="1"/>
    <col min="58" max="58" width="99.33203125" bestFit="1" customWidth="1"/>
    <col min="64" max="64" width="11.5" style="44"/>
  </cols>
  <sheetData>
    <row r="1" spans="2:62" x14ac:dyDescent="0.2">
      <c r="BF1" s="41" t="s">
        <v>0</v>
      </c>
      <c r="BG1" s="41" t="s">
        <v>1</v>
      </c>
      <c r="BH1" s="41" t="s">
        <v>2</v>
      </c>
    </row>
    <row r="2" spans="2:62" x14ac:dyDescent="0.2">
      <c r="BF2" s="42" t="s">
        <v>3</v>
      </c>
      <c r="BG2" s="42">
        <v>1</v>
      </c>
      <c r="BH2" s="42" t="str">
        <f>IF(BG2&lt;10,"00"&amp;BG2,IF(BG2&lt;100,"0"&amp;BG2,BG2))</f>
        <v>001</v>
      </c>
    </row>
    <row r="3" spans="2:62" x14ac:dyDescent="0.2">
      <c r="B3" s="40" t="s">
        <v>4</v>
      </c>
      <c r="C3" s="40" t="s">
        <v>5</v>
      </c>
      <c r="E3" s="40" t="s">
        <v>6</v>
      </c>
      <c r="F3" s="201" t="s">
        <v>5</v>
      </c>
      <c r="G3" s="201" t="s">
        <v>7</v>
      </c>
      <c r="I3" s="40" t="s">
        <v>8</v>
      </c>
      <c r="J3" s="40" t="s">
        <v>5</v>
      </c>
      <c r="L3" s="40" t="s">
        <v>9</v>
      </c>
      <c r="M3" s="40" t="s">
        <v>10</v>
      </c>
      <c r="O3" s="40" t="s">
        <v>11</v>
      </c>
      <c r="P3" s="40" t="s">
        <v>12</v>
      </c>
      <c r="Q3" s="40" t="s">
        <v>5</v>
      </c>
      <c r="S3" s="40" t="s">
        <v>13</v>
      </c>
      <c r="T3" s="40" t="s">
        <v>5</v>
      </c>
      <c r="V3" s="40" t="s">
        <v>14</v>
      </c>
      <c r="X3" s="41" t="s">
        <v>15</v>
      </c>
      <c r="Z3" s="40" t="s">
        <v>16</v>
      </c>
      <c r="AB3" s="40" t="s">
        <v>17</v>
      </c>
      <c r="AC3" s="40" t="s">
        <v>18</v>
      </c>
      <c r="AE3" s="40" t="s">
        <v>19</v>
      </c>
      <c r="AF3" s="40"/>
      <c r="AH3" s="40" t="s">
        <v>20</v>
      </c>
      <c r="AJ3" s="40" t="s">
        <v>21</v>
      </c>
      <c r="AL3" s="40" t="s">
        <v>22</v>
      </c>
      <c r="AN3" s="205" t="s">
        <v>22</v>
      </c>
      <c r="AP3" s="40" t="s">
        <v>23</v>
      </c>
      <c r="AR3" s="40" t="s">
        <v>24</v>
      </c>
      <c r="AT3" s="40" t="s">
        <v>25</v>
      </c>
      <c r="AU3" s="40" t="s">
        <v>26</v>
      </c>
      <c r="AV3" s="40" t="s">
        <v>5</v>
      </c>
      <c r="AX3" s="40" t="s">
        <v>27</v>
      </c>
      <c r="AY3" s="40" t="s">
        <v>28</v>
      </c>
      <c r="BA3" s="203" t="s">
        <v>29</v>
      </c>
      <c r="BB3" s="203" t="s">
        <v>5</v>
      </c>
      <c r="BD3" s="41" t="s">
        <v>30</v>
      </c>
      <c r="BF3" s="42" t="s">
        <v>31</v>
      </c>
      <c r="BG3" s="42">
        <f>+BG2+1</f>
        <v>2</v>
      </c>
      <c r="BH3" s="42" t="str">
        <f t="shared" ref="BH3:BH41" si="0">IF(BG3&lt;10,"00"&amp;BG3,IF(BG3&lt;100,"0"&amp;BG3,BG3))</f>
        <v>002</v>
      </c>
      <c r="BJ3" s="40" t="s">
        <v>779</v>
      </c>
    </row>
    <row r="4" spans="2:62" ht="16" x14ac:dyDescent="0.2">
      <c r="B4" s="42" t="s">
        <v>32</v>
      </c>
      <c r="C4" s="42" t="s">
        <v>33</v>
      </c>
      <c r="E4" s="42" t="s">
        <v>34</v>
      </c>
      <c r="F4" s="202" t="s">
        <v>34</v>
      </c>
      <c r="G4" s="197">
        <v>30</v>
      </c>
      <c r="I4" s="42" t="s">
        <v>35</v>
      </c>
      <c r="J4" s="42" t="s">
        <v>36</v>
      </c>
      <c r="L4" s="33" t="s">
        <v>37</v>
      </c>
      <c r="M4" s="33" t="s">
        <v>38</v>
      </c>
      <c r="O4" s="117" t="s">
        <v>39</v>
      </c>
      <c r="P4" s="117" t="s">
        <v>40</v>
      </c>
      <c r="Q4" s="42" t="s">
        <v>41</v>
      </c>
      <c r="S4" s="42">
        <v>2022</v>
      </c>
      <c r="T4" s="42">
        <v>22</v>
      </c>
      <c r="V4" s="42" t="s">
        <v>42</v>
      </c>
      <c r="X4" s="42" t="s">
        <v>43</v>
      </c>
      <c r="Z4" s="42" t="s">
        <v>44</v>
      </c>
      <c r="AB4" s="42" t="s">
        <v>45</v>
      </c>
      <c r="AC4" s="42" t="s">
        <v>46</v>
      </c>
      <c r="AE4" s="42" t="s">
        <v>47</v>
      </c>
      <c r="AF4" s="42" t="s">
        <v>48</v>
      </c>
      <c r="AH4" s="42" t="s">
        <v>49</v>
      </c>
      <c r="AJ4" s="42" t="s">
        <v>50</v>
      </c>
      <c r="AL4" s="33" t="s">
        <v>51</v>
      </c>
      <c r="AN4" s="204" t="s">
        <v>127</v>
      </c>
      <c r="AP4" s="33" t="s">
        <v>52</v>
      </c>
      <c r="AR4" s="33" t="s">
        <v>53</v>
      </c>
      <c r="AT4" s="42" t="s">
        <v>54</v>
      </c>
      <c r="AU4" s="42">
        <v>1</v>
      </c>
      <c r="AV4" s="42" t="s">
        <v>55</v>
      </c>
      <c r="AX4" s="202" t="s">
        <v>56</v>
      </c>
      <c r="AY4" s="202" t="s">
        <v>57</v>
      </c>
      <c r="BA4" s="202" t="s">
        <v>58</v>
      </c>
      <c r="BB4" s="202" t="s">
        <v>59</v>
      </c>
      <c r="BD4" s="42" t="s">
        <v>60</v>
      </c>
      <c r="BF4" s="42" t="s">
        <v>61</v>
      </c>
      <c r="BG4" s="42">
        <f t="shared" ref="BG4:BG41" si="1">+BG3+1</f>
        <v>3</v>
      </c>
      <c r="BH4" s="42" t="str">
        <f t="shared" si="0"/>
        <v>003</v>
      </c>
      <c r="BJ4" s="33" t="s">
        <v>71</v>
      </c>
    </row>
    <row r="5" spans="2:62" ht="16" x14ac:dyDescent="0.2">
      <c r="B5" s="42" t="s">
        <v>62</v>
      </c>
      <c r="C5" s="42" t="s">
        <v>63</v>
      </c>
      <c r="E5" s="42" t="s">
        <v>64</v>
      </c>
      <c r="F5" s="202" t="s">
        <v>64</v>
      </c>
      <c r="G5" s="197">
        <v>30</v>
      </c>
      <c r="I5" s="42" t="s">
        <v>65</v>
      </c>
      <c r="J5" s="42" t="s">
        <v>65</v>
      </c>
      <c r="L5" s="33" t="s">
        <v>66</v>
      </c>
      <c r="M5" s="33" t="s">
        <v>67</v>
      </c>
      <c r="O5" s="117" t="s">
        <v>68</v>
      </c>
      <c r="P5" s="117" t="s">
        <v>40</v>
      </c>
      <c r="Q5" s="42" t="s">
        <v>69</v>
      </c>
      <c r="S5" s="42">
        <v>2023</v>
      </c>
      <c r="T5" s="42">
        <v>23</v>
      </c>
      <c r="V5" s="42" t="s">
        <v>70</v>
      </c>
      <c r="X5" s="42" t="s">
        <v>97</v>
      </c>
      <c r="Z5" s="42" t="s">
        <v>72</v>
      </c>
      <c r="AB5" s="42" t="s">
        <v>73</v>
      </c>
      <c r="AC5" s="42" t="s">
        <v>74</v>
      </c>
      <c r="AE5" s="42" t="s">
        <v>75</v>
      </c>
      <c r="AF5" s="42" t="s">
        <v>76</v>
      </c>
      <c r="AH5" s="42" t="s">
        <v>77</v>
      </c>
      <c r="AJ5" s="42" t="s">
        <v>78</v>
      </c>
      <c r="AL5" s="33" t="s">
        <v>689</v>
      </c>
      <c r="AN5" s="204" t="s">
        <v>144</v>
      </c>
      <c r="AP5" s="33" t="s">
        <v>79</v>
      </c>
      <c r="AR5" s="33" t="s">
        <v>80</v>
      </c>
      <c r="AT5" s="42" t="s">
        <v>81</v>
      </c>
      <c r="AU5" s="42">
        <v>2</v>
      </c>
      <c r="AV5" s="42" t="s">
        <v>82</v>
      </c>
      <c r="AX5" s="202" t="s">
        <v>83</v>
      </c>
      <c r="AY5" s="202" t="s">
        <v>57</v>
      </c>
      <c r="BA5" s="202" t="s">
        <v>84</v>
      </c>
      <c r="BB5" s="202" t="s">
        <v>85</v>
      </c>
      <c r="BD5" s="42" t="s">
        <v>86</v>
      </c>
      <c r="BF5" s="42" t="s">
        <v>87</v>
      </c>
      <c r="BG5" s="42">
        <f t="shared" si="1"/>
        <v>4</v>
      </c>
      <c r="BH5" s="42" t="str">
        <f t="shared" si="0"/>
        <v>004</v>
      </c>
      <c r="BJ5" s="33" t="s">
        <v>676</v>
      </c>
    </row>
    <row r="6" spans="2:62" ht="16" x14ac:dyDescent="0.2">
      <c r="B6" s="42" t="s">
        <v>88</v>
      </c>
      <c r="C6" s="42" t="s">
        <v>89</v>
      </c>
      <c r="E6" s="42" t="s">
        <v>90</v>
      </c>
      <c r="F6" s="202" t="s">
        <v>91</v>
      </c>
      <c r="G6" s="197">
        <v>30</v>
      </c>
      <c r="I6" s="42" t="s">
        <v>92</v>
      </c>
      <c r="J6" s="42" t="s">
        <v>92</v>
      </c>
      <c r="L6" s="33" t="s">
        <v>93</v>
      </c>
      <c r="M6" s="33" t="s">
        <v>94</v>
      </c>
      <c r="O6" s="117" t="s">
        <v>95</v>
      </c>
      <c r="P6" s="117" t="s">
        <v>40</v>
      </c>
      <c r="Q6" s="42" t="s">
        <v>96</v>
      </c>
      <c r="S6" s="42">
        <v>2024</v>
      </c>
      <c r="T6" s="42">
        <v>24</v>
      </c>
      <c r="X6" s="42" t="s">
        <v>122</v>
      </c>
      <c r="Z6" s="42" t="s">
        <v>98</v>
      </c>
      <c r="AB6" s="42" t="s">
        <v>99</v>
      </c>
      <c r="AC6" s="42" t="s">
        <v>100</v>
      </c>
      <c r="AE6" s="145" t="s">
        <v>101</v>
      </c>
      <c r="AF6" s="145" t="s">
        <v>102</v>
      </c>
      <c r="AL6" s="33" t="s">
        <v>690</v>
      </c>
      <c r="AN6" s="204" t="s">
        <v>103</v>
      </c>
      <c r="AP6" t="s">
        <v>862</v>
      </c>
      <c r="AR6" s="33" t="s">
        <v>56</v>
      </c>
      <c r="AT6" s="42" t="s">
        <v>106</v>
      </c>
      <c r="AU6" s="42">
        <v>3</v>
      </c>
      <c r="AV6" s="42" t="s">
        <v>107</v>
      </c>
      <c r="AX6" s="42" t="s">
        <v>108</v>
      </c>
      <c r="AY6" s="42" t="s">
        <v>57</v>
      </c>
      <c r="BA6" s="202" t="s">
        <v>109</v>
      </c>
      <c r="BB6" s="202" t="s">
        <v>110</v>
      </c>
      <c r="BF6" s="42" t="s">
        <v>111</v>
      </c>
      <c r="BG6" s="42">
        <f t="shared" si="1"/>
        <v>5</v>
      </c>
      <c r="BH6" s="42" t="str">
        <f t="shared" si="0"/>
        <v>005</v>
      </c>
      <c r="BJ6" s="33" t="s">
        <v>780</v>
      </c>
    </row>
    <row r="7" spans="2:62" ht="16" x14ac:dyDescent="0.2">
      <c r="B7" s="42" t="s">
        <v>112</v>
      </c>
      <c r="C7" s="42" t="s">
        <v>113</v>
      </c>
      <c r="E7" s="42" t="s">
        <v>114</v>
      </c>
      <c r="F7" s="202" t="s">
        <v>115</v>
      </c>
      <c r="G7" s="197">
        <v>30</v>
      </c>
      <c r="I7" s="42" t="s">
        <v>116</v>
      </c>
      <c r="J7" s="42" t="s">
        <v>117</v>
      </c>
      <c r="L7" s="33" t="s">
        <v>118</v>
      </c>
      <c r="M7" s="33" t="s">
        <v>119</v>
      </c>
      <c r="O7" s="193" t="s">
        <v>660</v>
      </c>
      <c r="P7" s="193" t="s">
        <v>40</v>
      </c>
      <c r="Q7" s="180" t="s">
        <v>661</v>
      </c>
      <c r="S7" s="42">
        <v>2025</v>
      </c>
      <c r="T7" s="42">
        <v>25</v>
      </c>
      <c r="X7" s="42" t="s">
        <v>143</v>
      </c>
      <c r="AB7" s="42" t="s">
        <v>123</v>
      </c>
      <c r="AC7" s="42" t="s">
        <v>124</v>
      </c>
      <c r="AE7" s="42" t="s">
        <v>125</v>
      </c>
      <c r="AF7" s="42" t="s">
        <v>126</v>
      </c>
      <c r="AP7" s="42" t="s">
        <v>104</v>
      </c>
      <c r="AR7" s="33" t="s">
        <v>839</v>
      </c>
      <c r="AT7" s="42" t="s">
        <v>130</v>
      </c>
      <c r="AU7" s="42">
        <v>4</v>
      </c>
      <c r="AV7" s="42" t="s">
        <v>131</v>
      </c>
      <c r="AX7" s="202" t="s">
        <v>132</v>
      </c>
      <c r="AY7" s="202" t="s">
        <v>57</v>
      </c>
      <c r="BA7" s="202" t="s">
        <v>133</v>
      </c>
      <c r="BB7" s="202" t="s">
        <v>134</v>
      </c>
      <c r="BF7" s="42" t="s">
        <v>135</v>
      </c>
      <c r="BG7" s="42">
        <f t="shared" si="1"/>
        <v>6</v>
      </c>
      <c r="BH7" s="42" t="str">
        <f t="shared" si="0"/>
        <v>006</v>
      </c>
      <c r="BJ7" s="33" t="s">
        <v>774</v>
      </c>
    </row>
    <row r="8" spans="2:62" ht="16" x14ac:dyDescent="0.2">
      <c r="B8" s="42" t="s">
        <v>136</v>
      </c>
      <c r="C8" s="42" t="s">
        <v>675</v>
      </c>
      <c r="E8" s="42" t="s">
        <v>137</v>
      </c>
      <c r="F8" s="202" t="s">
        <v>138</v>
      </c>
      <c r="G8" s="197">
        <v>30</v>
      </c>
      <c r="L8" s="33" t="s">
        <v>139</v>
      </c>
      <c r="M8" s="33" t="s">
        <v>140</v>
      </c>
      <c r="O8" s="117" t="s">
        <v>120</v>
      </c>
      <c r="P8" s="117" t="s">
        <v>40</v>
      </c>
      <c r="Q8" s="42" t="s">
        <v>121</v>
      </c>
      <c r="S8" s="42">
        <v>2026</v>
      </c>
      <c r="T8" s="42">
        <v>26</v>
      </c>
      <c r="AP8" s="33" t="s">
        <v>128</v>
      </c>
      <c r="AR8" s="33" t="s">
        <v>857</v>
      </c>
      <c r="AT8" s="42" t="s">
        <v>145</v>
      </c>
      <c r="AU8" s="42">
        <v>5</v>
      </c>
      <c r="AV8" s="42" t="s">
        <v>146</v>
      </c>
      <c r="AX8" s="42" t="s">
        <v>158</v>
      </c>
      <c r="AY8" s="42" t="s">
        <v>57</v>
      </c>
      <c r="BA8" s="202" t="s">
        <v>133</v>
      </c>
      <c r="BB8" s="202" t="s">
        <v>147</v>
      </c>
      <c r="BF8" s="42" t="s">
        <v>148</v>
      </c>
      <c r="BG8" s="42">
        <f t="shared" si="1"/>
        <v>7</v>
      </c>
      <c r="BH8" s="42" t="str">
        <f t="shared" si="0"/>
        <v>007</v>
      </c>
      <c r="BJ8" s="179" t="s">
        <v>122</v>
      </c>
    </row>
    <row r="9" spans="2:62" ht="16" x14ac:dyDescent="0.2">
      <c r="B9" s="180" t="s">
        <v>680</v>
      </c>
      <c r="C9" s="180" t="s">
        <v>681</v>
      </c>
      <c r="E9" s="42" t="s">
        <v>149</v>
      </c>
      <c r="F9" s="202" t="s">
        <v>150</v>
      </c>
      <c r="G9" s="197">
        <v>30</v>
      </c>
      <c r="L9" s="33" t="s">
        <v>151</v>
      </c>
      <c r="M9" s="33" t="s">
        <v>152</v>
      </c>
      <c r="O9" s="117" t="s">
        <v>141</v>
      </c>
      <c r="P9" s="117" t="s">
        <v>40</v>
      </c>
      <c r="Q9" s="42" t="s">
        <v>142</v>
      </c>
      <c r="AP9" s="33" t="s">
        <v>692</v>
      </c>
      <c r="AR9" s="33" t="s">
        <v>108</v>
      </c>
      <c r="AT9" s="42" t="s">
        <v>156</v>
      </c>
      <c r="AU9" s="42">
        <v>6</v>
      </c>
      <c r="AV9" s="42" t="s">
        <v>157</v>
      </c>
      <c r="AX9" s="202" t="s">
        <v>197</v>
      </c>
      <c r="AY9" s="202" t="s">
        <v>57</v>
      </c>
      <c r="BA9" s="202" t="s">
        <v>159</v>
      </c>
      <c r="BB9" s="202" t="s">
        <v>160</v>
      </c>
      <c r="BF9" s="42" t="s">
        <v>161</v>
      </c>
      <c r="BG9" s="42">
        <f t="shared" si="1"/>
        <v>8</v>
      </c>
      <c r="BH9" s="42" t="str">
        <f t="shared" si="0"/>
        <v>008</v>
      </c>
    </row>
    <row r="10" spans="2:62" ht="16" x14ac:dyDescent="0.2">
      <c r="B10" s="42" t="s">
        <v>35</v>
      </c>
      <c r="C10" s="42" t="s">
        <v>36</v>
      </c>
      <c r="E10" s="42" t="s">
        <v>162</v>
      </c>
      <c r="F10" s="202" t="s">
        <v>163</v>
      </c>
      <c r="G10" s="197">
        <v>30</v>
      </c>
      <c r="H10" s="43"/>
      <c r="L10" s="33" t="s">
        <v>164</v>
      </c>
      <c r="M10" s="33" t="s">
        <v>165</v>
      </c>
      <c r="O10" s="117" t="s">
        <v>153</v>
      </c>
      <c r="P10" s="117" t="s">
        <v>154</v>
      </c>
      <c r="Q10" s="42" t="s">
        <v>155</v>
      </c>
      <c r="AP10" s="33" t="s">
        <v>796</v>
      </c>
      <c r="AR10" s="33" t="s">
        <v>749</v>
      </c>
      <c r="AT10" s="42" t="s">
        <v>168</v>
      </c>
      <c r="AU10" s="42">
        <v>7</v>
      </c>
      <c r="AV10" s="42" t="s">
        <v>169</v>
      </c>
      <c r="AX10" s="180" t="s">
        <v>683</v>
      </c>
      <c r="BA10" s="202" t="s">
        <v>170</v>
      </c>
      <c r="BB10" s="202" t="s">
        <v>171</v>
      </c>
      <c r="BF10" s="42" t="s">
        <v>172</v>
      </c>
      <c r="BG10" s="42">
        <f t="shared" si="1"/>
        <v>9</v>
      </c>
      <c r="BH10" s="42" t="str">
        <f t="shared" si="0"/>
        <v>009</v>
      </c>
    </row>
    <row r="11" spans="2:62" ht="16" x14ac:dyDescent="0.2">
      <c r="E11" s="42" t="s">
        <v>58</v>
      </c>
      <c r="F11" s="202" t="s">
        <v>173</v>
      </c>
      <c r="G11" s="197">
        <v>30</v>
      </c>
      <c r="H11" s="43"/>
      <c r="L11" s="33" t="s">
        <v>174</v>
      </c>
      <c r="M11" s="33" t="s">
        <v>175</v>
      </c>
      <c r="O11" s="117" t="s">
        <v>166</v>
      </c>
      <c r="P11" s="117" t="s">
        <v>154</v>
      </c>
      <c r="Q11" s="42" t="s">
        <v>167</v>
      </c>
      <c r="AP11" s="33" t="s">
        <v>35</v>
      </c>
      <c r="AR11" s="33" t="s">
        <v>129</v>
      </c>
      <c r="AX11" s="180" t="s">
        <v>684</v>
      </c>
      <c r="BA11" s="202" t="s">
        <v>178</v>
      </c>
      <c r="BB11" s="202" t="s">
        <v>179</v>
      </c>
      <c r="BF11" s="42" t="s">
        <v>180</v>
      </c>
      <c r="BG11" s="42">
        <f t="shared" si="1"/>
        <v>10</v>
      </c>
      <c r="BH11" s="42" t="str">
        <f t="shared" si="0"/>
        <v>010</v>
      </c>
    </row>
    <row r="12" spans="2:62" ht="16" x14ac:dyDescent="0.2">
      <c r="E12" s="42" t="s">
        <v>181</v>
      </c>
      <c r="F12" s="202" t="s">
        <v>182</v>
      </c>
      <c r="G12" s="197">
        <v>30</v>
      </c>
      <c r="H12" s="43"/>
      <c r="L12" s="33" t="s">
        <v>183</v>
      </c>
      <c r="M12" s="33" t="s">
        <v>184</v>
      </c>
      <c r="O12" s="117" t="s">
        <v>176</v>
      </c>
      <c r="P12" s="117" t="s">
        <v>154</v>
      </c>
      <c r="Q12" s="42" t="s">
        <v>177</v>
      </c>
      <c r="AX12" s="180" t="s">
        <v>685</v>
      </c>
      <c r="BF12" s="42" t="s">
        <v>187</v>
      </c>
      <c r="BG12" s="42">
        <f t="shared" si="1"/>
        <v>11</v>
      </c>
      <c r="BH12" s="42" t="str">
        <f t="shared" si="0"/>
        <v>011</v>
      </c>
    </row>
    <row r="13" spans="2:62" ht="16" x14ac:dyDescent="0.2">
      <c r="E13" s="42" t="s">
        <v>188</v>
      </c>
      <c r="F13" s="202" t="s">
        <v>189</v>
      </c>
      <c r="G13" s="197">
        <v>30</v>
      </c>
      <c r="H13" s="43"/>
      <c r="L13" s="142" t="s">
        <v>190</v>
      </c>
      <c r="M13" s="142" t="s">
        <v>191</v>
      </c>
      <c r="O13" s="117" t="s">
        <v>185</v>
      </c>
      <c r="P13" s="117" t="s">
        <v>154</v>
      </c>
      <c r="Q13" s="42" t="s">
        <v>186</v>
      </c>
      <c r="BF13" s="42" t="s">
        <v>192</v>
      </c>
      <c r="BG13" s="42">
        <f t="shared" si="1"/>
        <v>12</v>
      </c>
      <c r="BH13" s="42" t="str">
        <f t="shared" si="0"/>
        <v>012</v>
      </c>
    </row>
    <row r="14" spans="2:62" ht="16" x14ac:dyDescent="0.2">
      <c r="B14" t="s">
        <v>682</v>
      </c>
      <c r="C14" t="s">
        <v>675</v>
      </c>
      <c r="E14" s="42" t="s">
        <v>193</v>
      </c>
      <c r="F14" s="202" t="s">
        <v>194</v>
      </c>
      <c r="G14" s="197">
        <v>30</v>
      </c>
      <c r="H14" s="43"/>
      <c r="L14" s="33" t="s">
        <v>195</v>
      </c>
      <c r="M14" s="33" t="s">
        <v>196</v>
      </c>
      <c r="O14" s="117"/>
      <c r="P14" s="117" t="s">
        <v>645</v>
      </c>
      <c r="Q14" s="33" t="s">
        <v>173</v>
      </c>
      <c r="BF14" s="42" t="s">
        <v>198</v>
      </c>
      <c r="BG14" s="42">
        <f t="shared" si="1"/>
        <v>13</v>
      </c>
      <c r="BH14" s="42" t="str">
        <f t="shared" si="0"/>
        <v>013</v>
      </c>
    </row>
    <row r="15" spans="2:62" ht="16" x14ac:dyDescent="0.2">
      <c r="C15" t="s">
        <v>681</v>
      </c>
      <c r="E15" s="42" t="s">
        <v>199</v>
      </c>
      <c r="F15" s="202" t="s">
        <v>200</v>
      </c>
      <c r="G15" s="197">
        <v>30</v>
      </c>
      <c r="H15" s="43"/>
      <c r="O15" s="117"/>
      <c r="P15" s="117" t="s">
        <v>687</v>
      </c>
      <c r="Q15" s="33" t="s">
        <v>173</v>
      </c>
      <c r="BF15" s="42" t="s">
        <v>201</v>
      </c>
      <c r="BG15" s="42">
        <f t="shared" si="1"/>
        <v>14</v>
      </c>
      <c r="BH15" s="42" t="str">
        <f t="shared" si="0"/>
        <v>014</v>
      </c>
    </row>
    <row r="16" spans="2:62" ht="16" x14ac:dyDescent="0.2">
      <c r="E16" s="42" t="s">
        <v>202</v>
      </c>
      <c r="F16" s="202" t="s">
        <v>203</v>
      </c>
      <c r="G16" s="197">
        <v>30</v>
      </c>
      <c r="H16" s="43"/>
      <c r="O16" s="117" t="s">
        <v>35</v>
      </c>
      <c r="P16" s="117" t="s">
        <v>40</v>
      </c>
      <c r="Q16" s="33" t="s">
        <v>644</v>
      </c>
      <c r="BF16" s="42" t="s">
        <v>204</v>
      </c>
      <c r="BG16" s="42">
        <f t="shared" si="1"/>
        <v>15</v>
      </c>
      <c r="BH16" s="42" t="str">
        <f t="shared" si="0"/>
        <v>015</v>
      </c>
    </row>
    <row r="17" spans="5:60" x14ac:dyDescent="0.2">
      <c r="E17" s="42" t="s">
        <v>205</v>
      </c>
      <c r="F17" s="202" t="s">
        <v>205</v>
      </c>
      <c r="G17" s="197">
        <v>30</v>
      </c>
      <c r="H17" s="43"/>
      <c r="O17" s="165"/>
      <c r="P17" s="165"/>
      <c r="Q17" s="165"/>
      <c r="BF17" s="42" t="s">
        <v>206</v>
      </c>
      <c r="BG17" s="42">
        <f t="shared" si="1"/>
        <v>16</v>
      </c>
      <c r="BH17" s="42" t="str">
        <f t="shared" si="0"/>
        <v>016</v>
      </c>
    </row>
    <row r="18" spans="5:60" x14ac:dyDescent="0.2">
      <c r="E18" s="42" t="s">
        <v>207</v>
      </c>
      <c r="F18" s="202" t="s">
        <v>208</v>
      </c>
      <c r="G18" s="197">
        <v>30</v>
      </c>
      <c r="H18" s="43"/>
      <c r="O18" s="164"/>
      <c r="P18" s="165"/>
      <c r="BF18" s="42" t="s">
        <v>209</v>
      </c>
      <c r="BG18" s="42">
        <f t="shared" si="1"/>
        <v>17</v>
      </c>
      <c r="BH18" s="42" t="str">
        <f t="shared" si="0"/>
        <v>017</v>
      </c>
    </row>
    <row r="19" spans="5:60" x14ac:dyDescent="0.2">
      <c r="E19" s="42" t="s">
        <v>210</v>
      </c>
      <c r="F19" s="202" t="s">
        <v>211</v>
      </c>
      <c r="G19" s="197">
        <v>30</v>
      </c>
      <c r="O19" s="164"/>
      <c r="P19" s="165"/>
      <c r="BF19" s="42" t="s">
        <v>212</v>
      </c>
      <c r="BG19" s="42">
        <f t="shared" si="1"/>
        <v>18</v>
      </c>
      <c r="BH19" s="42" t="str">
        <f t="shared" si="0"/>
        <v>018</v>
      </c>
    </row>
    <row r="20" spans="5:60" x14ac:dyDescent="0.2">
      <c r="E20" s="42" t="s">
        <v>213</v>
      </c>
      <c r="F20" s="202" t="s">
        <v>214</v>
      </c>
      <c r="G20" s="197">
        <v>30</v>
      </c>
      <c r="O20" s="164"/>
      <c r="P20" s="165"/>
      <c r="BF20" s="42" t="s">
        <v>215</v>
      </c>
      <c r="BG20" s="42">
        <f t="shared" si="1"/>
        <v>19</v>
      </c>
      <c r="BH20" s="42" t="str">
        <f t="shared" si="0"/>
        <v>019</v>
      </c>
    </row>
    <row r="21" spans="5:60" x14ac:dyDescent="0.2">
      <c r="E21" s="42" t="s">
        <v>216</v>
      </c>
      <c r="F21" s="202" t="s">
        <v>216</v>
      </c>
      <c r="G21" s="197">
        <v>30</v>
      </c>
      <c r="O21" s="164"/>
      <c r="P21" s="165"/>
      <c r="BF21" s="42" t="s">
        <v>217</v>
      </c>
      <c r="BG21" s="42">
        <f t="shared" si="1"/>
        <v>20</v>
      </c>
      <c r="BH21" s="42" t="str">
        <f t="shared" si="0"/>
        <v>020</v>
      </c>
    </row>
    <row r="22" spans="5:60" x14ac:dyDescent="0.2">
      <c r="E22" s="42" t="s">
        <v>218</v>
      </c>
      <c r="F22" s="202" t="s">
        <v>219</v>
      </c>
      <c r="G22" s="197">
        <v>30</v>
      </c>
      <c r="O22" s="164"/>
      <c r="P22" s="165"/>
      <c r="BF22" s="42" t="s">
        <v>220</v>
      </c>
      <c r="BG22" s="42">
        <f t="shared" si="1"/>
        <v>21</v>
      </c>
      <c r="BH22" s="42" t="str">
        <f t="shared" si="0"/>
        <v>021</v>
      </c>
    </row>
    <row r="23" spans="5:60" x14ac:dyDescent="0.2">
      <c r="E23" s="42" t="s">
        <v>221</v>
      </c>
      <c r="F23" s="202" t="s">
        <v>222</v>
      </c>
      <c r="G23" s="197">
        <v>30</v>
      </c>
      <c r="O23" s="164"/>
      <c r="P23" s="165"/>
      <c r="BF23" s="42" t="s">
        <v>223</v>
      </c>
      <c r="BG23" s="42">
        <f t="shared" si="1"/>
        <v>22</v>
      </c>
      <c r="BH23" s="42" t="str">
        <f t="shared" si="0"/>
        <v>022</v>
      </c>
    </row>
    <row r="24" spans="5:60" x14ac:dyDescent="0.2">
      <c r="E24" s="42" t="s">
        <v>224</v>
      </c>
      <c r="F24" s="202" t="s">
        <v>225</v>
      </c>
      <c r="G24" s="197">
        <v>30</v>
      </c>
      <c r="O24" s="164"/>
      <c r="P24" s="165"/>
      <c r="BF24" s="42" t="s">
        <v>226</v>
      </c>
      <c r="BG24" s="42">
        <f t="shared" si="1"/>
        <v>23</v>
      </c>
      <c r="BH24" s="42" t="str">
        <f t="shared" si="0"/>
        <v>023</v>
      </c>
    </row>
    <row r="25" spans="5:60" x14ac:dyDescent="0.2">
      <c r="E25" s="42" t="s">
        <v>227</v>
      </c>
      <c r="F25" s="202" t="s">
        <v>228</v>
      </c>
      <c r="G25" s="197">
        <v>30</v>
      </c>
      <c r="O25" s="164"/>
      <c r="P25" s="165"/>
      <c r="BF25" s="42" t="s">
        <v>229</v>
      </c>
      <c r="BG25" s="42">
        <f t="shared" si="1"/>
        <v>24</v>
      </c>
      <c r="BH25" s="42" t="str">
        <f t="shared" si="0"/>
        <v>024</v>
      </c>
    </row>
    <row r="26" spans="5:60" x14ac:dyDescent="0.2">
      <c r="E26" s="42" t="s">
        <v>230</v>
      </c>
      <c r="F26" s="202" t="s">
        <v>231</v>
      </c>
      <c r="G26" s="197">
        <v>30</v>
      </c>
      <c r="O26" s="164"/>
      <c r="P26" s="165"/>
      <c r="BF26" s="42" t="s">
        <v>232</v>
      </c>
      <c r="BG26" s="42">
        <f t="shared" si="1"/>
        <v>25</v>
      </c>
      <c r="BH26" s="42" t="str">
        <f t="shared" si="0"/>
        <v>025</v>
      </c>
    </row>
    <row r="27" spans="5:60" x14ac:dyDescent="0.2">
      <c r="E27" s="42" t="s">
        <v>233</v>
      </c>
      <c r="F27" s="202" t="s">
        <v>234</v>
      </c>
      <c r="G27" s="197">
        <v>30</v>
      </c>
      <c r="O27" s="164"/>
      <c r="P27" s="165"/>
      <c r="BF27" s="42" t="s">
        <v>235</v>
      </c>
      <c r="BG27" s="42">
        <f t="shared" si="1"/>
        <v>26</v>
      </c>
      <c r="BH27" s="42" t="str">
        <f t="shared" si="0"/>
        <v>026</v>
      </c>
    </row>
    <row r="28" spans="5:60" x14ac:dyDescent="0.2">
      <c r="E28" s="42" t="s">
        <v>236</v>
      </c>
      <c r="F28" s="202" t="s">
        <v>237</v>
      </c>
      <c r="G28" s="197">
        <v>30</v>
      </c>
      <c r="BF28" s="42" t="s">
        <v>238</v>
      </c>
      <c r="BG28" s="42">
        <f t="shared" si="1"/>
        <v>27</v>
      </c>
      <c r="BH28" s="42" t="str">
        <f t="shared" si="0"/>
        <v>027</v>
      </c>
    </row>
    <row r="29" spans="5:60" x14ac:dyDescent="0.2">
      <c r="E29" s="42" t="s">
        <v>239</v>
      </c>
      <c r="F29" s="202" t="s">
        <v>240</v>
      </c>
      <c r="G29" s="197">
        <v>30</v>
      </c>
      <c r="BF29" s="42" t="s">
        <v>241</v>
      </c>
      <c r="BG29" s="42">
        <f t="shared" si="1"/>
        <v>28</v>
      </c>
      <c r="BH29" s="42" t="str">
        <f t="shared" si="0"/>
        <v>028</v>
      </c>
    </row>
    <row r="30" spans="5:60" x14ac:dyDescent="0.2">
      <c r="E30" s="33" t="s">
        <v>242</v>
      </c>
      <c r="F30" s="202" t="s">
        <v>64</v>
      </c>
      <c r="G30" s="197">
        <v>30</v>
      </c>
      <c r="BF30" s="42" t="s">
        <v>243</v>
      </c>
      <c r="BG30" s="42">
        <f t="shared" si="1"/>
        <v>29</v>
      </c>
      <c r="BH30" s="42" t="str">
        <f t="shared" si="0"/>
        <v>029</v>
      </c>
    </row>
    <row r="31" spans="5:60" x14ac:dyDescent="0.2">
      <c r="E31" s="33" t="s">
        <v>244</v>
      </c>
      <c r="F31" s="202" t="s">
        <v>245</v>
      </c>
      <c r="G31" s="197">
        <v>30</v>
      </c>
      <c r="BF31" s="42" t="s">
        <v>246</v>
      </c>
      <c r="BG31" s="42">
        <f t="shared" si="1"/>
        <v>30</v>
      </c>
      <c r="BH31" s="42" t="str">
        <f t="shared" si="0"/>
        <v>030</v>
      </c>
    </row>
    <row r="32" spans="5:60" x14ac:dyDescent="0.2">
      <c r="E32" s="33" t="s">
        <v>247</v>
      </c>
      <c r="F32" s="202" t="s">
        <v>248</v>
      </c>
      <c r="G32" s="197">
        <v>30</v>
      </c>
      <c r="BF32" s="42" t="s">
        <v>249</v>
      </c>
      <c r="BG32" s="42">
        <f t="shared" si="1"/>
        <v>31</v>
      </c>
      <c r="BH32" s="42" t="str">
        <f t="shared" si="0"/>
        <v>031</v>
      </c>
    </row>
    <row r="33" spans="5:60" x14ac:dyDescent="0.2">
      <c r="E33" s="33" t="s">
        <v>250</v>
      </c>
      <c r="F33" s="202" t="s">
        <v>251</v>
      </c>
      <c r="G33" s="197">
        <v>30</v>
      </c>
      <c r="BF33" s="42" t="s">
        <v>252</v>
      </c>
      <c r="BG33" s="42">
        <f t="shared" si="1"/>
        <v>32</v>
      </c>
      <c r="BH33" s="42" t="str">
        <f t="shared" si="0"/>
        <v>032</v>
      </c>
    </row>
    <row r="34" spans="5:60" x14ac:dyDescent="0.2">
      <c r="E34" s="33" t="s">
        <v>253</v>
      </c>
      <c r="F34" s="202" t="s">
        <v>254</v>
      </c>
      <c r="G34" s="197">
        <v>30</v>
      </c>
      <c r="BF34" s="42" t="s">
        <v>255</v>
      </c>
      <c r="BG34" s="42">
        <f t="shared" si="1"/>
        <v>33</v>
      </c>
      <c r="BH34" s="42" t="str">
        <f t="shared" si="0"/>
        <v>033</v>
      </c>
    </row>
    <row r="35" spans="5:60" x14ac:dyDescent="0.2">
      <c r="E35" s="33" t="s">
        <v>256</v>
      </c>
      <c r="F35" s="42" t="s">
        <v>257</v>
      </c>
      <c r="G35" s="33">
        <v>30</v>
      </c>
      <c r="BF35" s="42" t="s">
        <v>258</v>
      </c>
      <c r="BG35" s="42">
        <f t="shared" si="1"/>
        <v>34</v>
      </c>
      <c r="BH35" s="42" t="str">
        <f t="shared" si="0"/>
        <v>034</v>
      </c>
    </row>
    <row r="36" spans="5:60" x14ac:dyDescent="0.2">
      <c r="E36" s="33" t="s">
        <v>259</v>
      </c>
      <c r="F36" s="42" t="s">
        <v>260</v>
      </c>
      <c r="G36" s="33">
        <v>30</v>
      </c>
      <c r="BF36" s="42" t="s">
        <v>261</v>
      </c>
      <c r="BG36" s="42">
        <f t="shared" si="1"/>
        <v>35</v>
      </c>
      <c r="BH36" s="42" t="str">
        <f t="shared" si="0"/>
        <v>035</v>
      </c>
    </row>
    <row r="37" spans="5:60" x14ac:dyDescent="0.2">
      <c r="E37" s="33" t="s">
        <v>262</v>
      </c>
      <c r="F37" s="42" t="s">
        <v>263</v>
      </c>
      <c r="G37" s="33">
        <v>30</v>
      </c>
      <c r="BF37" s="42" t="s">
        <v>264</v>
      </c>
      <c r="BG37" s="42">
        <f t="shared" si="1"/>
        <v>36</v>
      </c>
      <c r="BH37" s="42" t="str">
        <f t="shared" si="0"/>
        <v>036</v>
      </c>
    </row>
    <row r="38" spans="5:60" x14ac:dyDescent="0.2">
      <c r="E38" s="33" t="s">
        <v>265</v>
      </c>
      <c r="F38" s="42" t="s">
        <v>266</v>
      </c>
      <c r="G38" s="33">
        <v>30</v>
      </c>
      <c r="BF38" s="42" t="s">
        <v>267</v>
      </c>
      <c r="BG38" s="42">
        <f t="shared" si="1"/>
        <v>37</v>
      </c>
      <c r="BH38" s="42" t="str">
        <f t="shared" si="0"/>
        <v>037</v>
      </c>
    </row>
    <row r="39" spans="5:60" x14ac:dyDescent="0.2">
      <c r="E39" s="33" t="s">
        <v>40</v>
      </c>
      <c r="F39" s="42" t="s">
        <v>268</v>
      </c>
      <c r="G39" s="33">
        <v>30</v>
      </c>
      <c r="BF39" s="42" t="s">
        <v>269</v>
      </c>
      <c r="BG39" s="42">
        <f t="shared" si="1"/>
        <v>38</v>
      </c>
      <c r="BH39" s="42" t="str">
        <f t="shared" si="0"/>
        <v>038</v>
      </c>
    </row>
    <row r="40" spans="5:60" x14ac:dyDescent="0.2">
      <c r="E40" s="33" t="s">
        <v>270</v>
      </c>
      <c r="F40" s="42" t="s">
        <v>271</v>
      </c>
      <c r="G40" s="33">
        <v>30</v>
      </c>
      <c r="BF40" s="42" t="s">
        <v>272</v>
      </c>
      <c r="BG40" s="42">
        <f t="shared" si="1"/>
        <v>39</v>
      </c>
      <c r="BH40" s="42" t="str">
        <f t="shared" si="0"/>
        <v>039</v>
      </c>
    </row>
    <row r="41" spans="5:60" x14ac:dyDescent="0.2">
      <c r="E41" s="33" t="s">
        <v>273</v>
      </c>
      <c r="F41" s="42" t="s">
        <v>274</v>
      </c>
      <c r="G41" s="33">
        <v>30</v>
      </c>
      <c r="BF41" s="42" t="s">
        <v>275</v>
      </c>
      <c r="BG41" s="42">
        <f t="shared" si="1"/>
        <v>40</v>
      </c>
      <c r="BH41" s="42" t="str">
        <f t="shared" si="0"/>
        <v>040</v>
      </c>
    </row>
    <row r="42" spans="5:60" x14ac:dyDescent="0.2">
      <c r="E42" s="33" t="s">
        <v>276</v>
      </c>
      <c r="F42" s="42" t="s">
        <v>277</v>
      </c>
      <c r="G42" s="33">
        <v>30</v>
      </c>
    </row>
    <row r="43" spans="5:60" x14ac:dyDescent="0.2">
      <c r="E43" s="33" t="s">
        <v>278</v>
      </c>
      <c r="F43" s="42" t="s">
        <v>279</v>
      </c>
      <c r="G43" s="33">
        <v>30</v>
      </c>
    </row>
    <row r="44" spans="5:60" x14ac:dyDescent="0.2">
      <c r="E44" s="33" t="s">
        <v>280</v>
      </c>
      <c r="F44" s="42" t="s">
        <v>281</v>
      </c>
      <c r="G44" s="33">
        <v>30</v>
      </c>
    </row>
    <row r="45" spans="5:60" x14ac:dyDescent="0.2">
      <c r="E45" s="33" t="s">
        <v>282</v>
      </c>
      <c r="F45" s="42" t="s">
        <v>283</v>
      </c>
      <c r="G45" s="33">
        <v>30</v>
      </c>
    </row>
    <row r="46" spans="5:60" x14ac:dyDescent="0.2">
      <c r="E46" s="33" t="s">
        <v>284</v>
      </c>
      <c r="F46" s="42" t="s">
        <v>285</v>
      </c>
      <c r="G46" s="33">
        <v>60</v>
      </c>
    </row>
    <row r="47" spans="5:60" x14ac:dyDescent="0.2">
      <c r="E47" s="33" t="s">
        <v>286</v>
      </c>
      <c r="F47" s="42" t="s">
        <v>287</v>
      </c>
      <c r="G47" s="33">
        <v>30</v>
      </c>
    </row>
    <row r="48" spans="5:60" x14ac:dyDescent="0.2">
      <c r="E48" s="33" t="s">
        <v>288</v>
      </c>
      <c r="F48" s="42" t="s">
        <v>289</v>
      </c>
      <c r="G48" s="33">
        <v>30</v>
      </c>
    </row>
    <row r="49" spans="5:7" x14ac:dyDescent="0.2">
      <c r="E49" s="33" t="s">
        <v>290</v>
      </c>
      <c r="F49" s="42" t="s">
        <v>291</v>
      </c>
      <c r="G49" s="33">
        <v>30</v>
      </c>
    </row>
    <row r="50" spans="5:7" x14ac:dyDescent="0.2">
      <c r="E50" s="33" t="s">
        <v>292</v>
      </c>
      <c r="F50" s="42" t="s">
        <v>292</v>
      </c>
      <c r="G50" s="33">
        <v>30</v>
      </c>
    </row>
    <row r="51" spans="5:7" x14ac:dyDescent="0.2">
      <c r="E51" s="33" t="s">
        <v>293</v>
      </c>
      <c r="F51" s="42" t="s">
        <v>294</v>
      </c>
      <c r="G51" s="33">
        <v>30</v>
      </c>
    </row>
    <row r="52" spans="5:7" x14ac:dyDescent="0.2">
      <c r="E52" s="33" t="s">
        <v>295</v>
      </c>
      <c r="F52" s="42" t="s">
        <v>296</v>
      </c>
      <c r="G52" s="33">
        <v>30</v>
      </c>
    </row>
    <row r="53" spans="5:7" x14ac:dyDescent="0.2">
      <c r="E53" s="33" t="s">
        <v>297</v>
      </c>
      <c r="F53" s="42" t="s">
        <v>298</v>
      </c>
      <c r="G53" s="33">
        <v>30</v>
      </c>
    </row>
    <row r="54" spans="5:7" x14ac:dyDescent="0.2">
      <c r="E54" s="33" t="s">
        <v>299</v>
      </c>
      <c r="F54" s="42" t="s">
        <v>300</v>
      </c>
      <c r="G54" s="33">
        <v>30</v>
      </c>
    </row>
    <row r="55" spans="5:7" x14ac:dyDescent="0.2">
      <c r="E55" s="33" t="s">
        <v>301</v>
      </c>
      <c r="F55" s="42" t="s">
        <v>302</v>
      </c>
      <c r="G55" s="33">
        <v>30</v>
      </c>
    </row>
    <row r="56" spans="5:7" x14ac:dyDescent="0.2">
      <c r="E56" s="33" t="s">
        <v>303</v>
      </c>
      <c r="F56" s="42" t="s">
        <v>304</v>
      </c>
      <c r="G56" s="33">
        <v>30</v>
      </c>
    </row>
    <row r="57" spans="5:7" x14ac:dyDescent="0.2">
      <c r="E57" s="33" t="s">
        <v>305</v>
      </c>
      <c r="F57" s="42" t="s">
        <v>306</v>
      </c>
      <c r="G57" s="33">
        <v>30</v>
      </c>
    </row>
    <row r="58" spans="5:7" x14ac:dyDescent="0.2">
      <c r="E58" s="33" t="s">
        <v>307</v>
      </c>
      <c r="F58" s="42" t="s">
        <v>308</v>
      </c>
      <c r="G58" s="33">
        <v>30</v>
      </c>
    </row>
    <row r="59" spans="5:7" x14ac:dyDescent="0.2">
      <c r="E59" s="33" t="s">
        <v>309</v>
      </c>
      <c r="F59" s="42" t="s">
        <v>310</v>
      </c>
      <c r="G59" s="33">
        <v>30</v>
      </c>
    </row>
    <row r="60" spans="5:7" x14ac:dyDescent="0.2">
      <c r="E60" s="33" t="s">
        <v>311</v>
      </c>
      <c r="F60" s="42" t="s">
        <v>312</v>
      </c>
      <c r="G60" s="33">
        <v>30</v>
      </c>
    </row>
    <row r="61" spans="5:7" x14ac:dyDescent="0.2">
      <c r="E61" s="33" t="s">
        <v>313</v>
      </c>
      <c r="F61" s="42" t="s">
        <v>314</v>
      </c>
      <c r="G61" s="33">
        <v>30</v>
      </c>
    </row>
    <row r="62" spans="5:7" x14ac:dyDescent="0.2">
      <c r="E62" s="33" t="s">
        <v>735</v>
      </c>
      <c r="F62" s="42" t="s">
        <v>738</v>
      </c>
      <c r="G62" s="33">
        <v>30</v>
      </c>
    </row>
    <row r="63" spans="5:7" x14ac:dyDescent="0.2">
      <c r="E63" s="33" t="s">
        <v>315</v>
      </c>
      <c r="F63" s="42" t="s">
        <v>316</v>
      </c>
      <c r="G63" s="33">
        <v>30</v>
      </c>
    </row>
    <row r="64" spans="5:7" x14ac:dyDescent="0.2">
      <c r="E64" s="33" t="s">
        <v>317</v>
      </c>
      <c r="F64" s="42" t="s">
        <v>318</v>
      </c>
      <c r="G64" s="33">
        <v>30</v>
      </c>
    </row>
    <row r="65" spans="5:7" x14ac:dyDescent="0.2">
      <c r="E65" s="33" t="s">
        <v>319</v>
      </c>
      <c r="F65" s="42" t="s">
        <v>319</v>
      </c>
      <c r="G65" s="33">
        <v>30</v>
      </c>
    </row>
    <row r="66" spans="5:7" x14ac:dyDescent="0.2">
      <c r="E66" s="33" t="s">
        <v>320</v>
      </c>
      <c r="F66" s="42" t="s">
        <v>320</v>
      </c>
      <c r="G66" s="33">
        <v>30</v>
      </c>
    </row>
    <row r="67" spans="5:7" x14ac:dyDescent="0.2">
      <c r="E67" s="33" t="s">
        <v>321</v>
      </c>
      <c r="F67" s="42" t="s">
        <v>322</v>
      </c>
      <c r="G67" s="33">
        <v>30</v>
      </c>
    </row>
    <row r="68" spans="5:7" x14ac:dyDescent="0.2">
      <c r="E68" s="33" t="s">
        <v>323</v>
      </c>
      <c r="F68" s="42" t="s">
        <v>324</v>
      </c>
      <c r="G68" s="33">
        <v>30</v>
      </c>
    </row>
    <row r="69" spans="5:7" x14ac:dyDescent="0.2">
      <c r="E69" s="33" t="s">
        <v>325</v>
      </c>
      <c r="F69" s="42" t="s">
        <v>326</v>
      </c>
      <c r="G69" s="33">
        <v>30</v>
      </c>
    </row>
    <row r="70" spans="5:7" x14ac:dyDescent="0.2">
      <c r="E70" s="33" t="s">
        <v>327</v>
      </c>
      <c r="F70" s="42" t="s">
        <v>328</v>
      </c>
      <c r="G70" s="33">
        <v>30</v>
      </c>
    </row>
    <row r="71" spans="5:7" x14ac:dyDescent="0.2">
      <c r="E71" s="33" t="s">
        <v>329</v>
      </c>
      <c r="F71" s="42" t="s">
        <v>330</v>
      </c>
      <c r="G71" s="33">
        <v>30</v>
      </c>
    </row>
    <row r="72" spans="5:7" x14ac:dyDescent="0.2">
      <c r="E72" s="33" t="s">
        <v>331</v>
      </c>
      <c r="F72" s="42" t="s">
        <v>332</v>
      </c>
      <c r="G72" s="33">
        <v>30</v>
      </c>
    </row>
    <row r="73" spans="5:7" x14ac:dyDescent="0.2">
      <c r="E73" s="33" t="s">
        <v>333</v>
      </c>
      <c r="F73" s="42" t="s">
        <v>333</v>
      </c>
      <c r="G73" s="33">
        <v>30</v>
      </c>
    </row>
    <row r="74" spans="5:7" x14ac:dyDescent="0.2">
      <c r="E74" s="33" t="s">
        <v>334</v>
      </c>
      <c r="F74" s="42" t="s">
        <v>335</v>
      </c>
      <c r="G74" s="33">
        <v>30</v>
      </c>
    </row>
    <row r="75" spans="5:7" x14ac:dyDescent="0.2">
      <c r="E75" s="33" t="s">
        <v>336</v>
      </c>
      <c r="F75" s="42" t="s">
        <v>337</v>
      </c>
      <c r="G75" s="33">
        <v>30</v>
      </c>
    </row>
    <row r="76" spans="5:7" x14ac:dyDescent="0.2">
      <c r="E76" s="33" t="s">
        <v>284</v>
      </c>
      <c r="F76" s="42" t="s">
        <v>338</v>
      </c>
      <c r="G76" s="33">
        <v>30</v>
      </c>
    </row>
    <row r="77" spans="5:7" x14ac:dyDescent="0.2">
      <c r="E77" s="33" t="s">
        <v>339</v>
      </c>
      <c r="F77" s="42" t="s">
        <v>340</v>
      </c>
      <c r="G77" s="33">
        <v>30</v>
      </c>
    </row>
    <row r="78" spans="5:7" x14ac:dyDescent="0.2">
      <c r="E78" s="33" t="s">
        <v>341</v>
      </c>
      <c r="F78" s="42" t="s">
        <v>342</v>
      </c>
      <c r="G78" s="33">
        <v>30</v>
      </c>
    </row>
    <row r="79" spans="5:7" x14ac:dyDescent="0.2">
      <c r="E79" s="33" t="s">
        <v>343</v>
      </c>
      <c r="F79" s="42" t="s">
        <v>343</v>
      </c>
      <c r="G79" s="33">
        <v>30</v>
      </c>
    </row>
    <row r="80" spans="5:7" x14ac:dyDescent="0.2">
      <c r="E80" s="33" t="s">
        <v>344</v>
      </c>
      <c r="F80" s="42" t="s">
        <v>345</v>
      </c>
      <c r="G80" s="33">
        <v>30</v>
      </c>
    </row>
    <row r="81" spans="5:7" x14ac:dyDescent="0.2">
      <c r="E81" s="33" t="s">
        <v>346</v>
      </c>
      <c r="F81" s="42" t="s">
        <v>347</v>
      </c>
      <c r="G81" s="33">
        <v>30</v>
      </c>
    </row>
    <row r="82" spans="5:7" x14ac:dyDescent="0.2">
      <c r="E82" s="33" t="s">
        <v>348</v>
      </c>
      <c r="F82" s="42" t="s">
        <v>348</v>
      </c>
      <c r="G82" s="33">
        <v>30</v>
      </c>
    </row>
    <row r="83" spans="5:7" x14ac:dyDescent="0.2">
      <c r="E83" s="33" t="s">
        <v>349</v>
      </c>
      <c r="F83" s="42" t="s">
        <v>350</v>
      </c>
      <c r="G83" s="33">
        <v>30</v>
      </c>
    </row>
    <row r="84" spans="5:7" x14ac:dyDescent="0.2">
      <c r="E84" s="33" t="s">
        <v>351</v>
      </c>
      <c r="F84" s="42" t="s">
        <v>352</v>
      </c>
      <c r="G84" s="33">
        <v>30</v>
      </c>
    </row>
    <row r="85" spans="5:7" x14ac:dyDescent="0.2">
      <c r="E85" s="33" t="s">
        <v>353</v>
      </c>
      <c r="F85" s="42" t="s">
        <v>354</v>
      </c>
      <c r="G85" s="33">
        <v>30</v>
      </c>
    </row>
    <row r="86" spans="5:7" x14ac:dyDescent="0.2">
      <c r="E86" s="33" t="s">
        <v>327</v>
      </c>
      <c r="F86" s="42" t="s">
        <v>355</v>
      </c>
      <c r="G86" s="33">
        <v>30</v>
      </c>
    </row>
    <row r="87" spans="5:7" x14ac:dyDescent="0.2">
      <c r="E87" s="33" t="s">
        <v>356</v>
      </c>
      <c r="F87" s="42" t="s">
        <v>357</v>
      </c>
      <c r="G87" s="33">
        <v>30</v>
      </c>
    </row>
    <row r="88" spans="5:7" x14ac:dyDescent="0.2">
      <c r="E88" s="33" t="s">
        <v>795</v>
      </c>
      <c r="F88" s="42" t="s">
        <v>359</v>
      </c>
      <c r="G88" s="33">
        <v>30</v>
      </c>
    </row>
    <row r="89" spans="5:7" x14ac:dyDescent="0.2">
      <c r="E89" s="33" t="s">
        <v>360</v>
      </c>
      <c r="F89" s="42" t="s">
        <v>361</v>
      </c>
      <c r="G89" s="33">
        <v>30</v>
      </c>
    </row>
    <row r="90" spans="5:7" x14ac:dyDescent="0.2">
      <c r="E90" s="33" t="s">
        <v>647</v>
      </c>
      <c r="F90" s="42" t="s">
        <v>648</v>
      </c>
      <c r="G90" s="33">
        <v>30</v>
      </c>
    </row>
    <row r="91" spans="5:7" x14ac:dyDescent="0.2">
      <c r="E91" s="33" t="s">
        <v>362</v>
      </c>
      <c r="F91" s="42" t="s">
        <v>363</v>
      </c>
      <c r="G91" s="33">
        <v>30</v>
      </c>
    </row>
    <row r="92" spans="5:7" x14ac:dyDescent="0.2">
      <c r="E92" s="33" t="s">
        <v>364</v>
      </c>
      <c r="F92" s="42" t="s">
        <v>365</v>
      </c>
      <c r="G92" s="33">
        <v>30</v>
      </c>
    </row>
    <row r="93" spans="5:7" x14ac:dyDescent="0.2">
      <c r="E93" s="33" t="s">
        <v>366</v>
      </c>
      <c r="F93" s="42" t="s">
        <v>367</v>
      </c>
      <c r="G93" s="33">
        <v>30</v>
      </c>
    </row>
    <row r="94" spans="5:7" x14ac:dyDescent="0.2">
      <c r="E94" s="33" t="s">
        <v>368</v>
      </c>
      <c r="F94" s="42" t="s">
        <v>369</v>
      </c>
      <c r="G94" s="33">
        <v>30</v>
      </c>
    </row>
    <row r="95" spans="5:7" x14ac:dyDescent="0.2">
      <c r="E95" s="33" t="s">
        <v>370</v>
      </c>
      <c r="F95" s="42" t="s">
        <v>371</v>
      </c>
      <c r="G95" s="33">
        <v>30</v>
      </c>
    </row>
    <row r="96" spans="5:7" x14ac:dyDescent="0.2">
      <c r="E96" s="142" t="s">
        <v>372</v>
      </c>
      <c r="F96" s="145" t="s">
        <v>373</v>
      </c>
      <c r="G96" s="142">
        <v>30</v>
      </c>
    </row>
    <row r="97" spans="5:7" x14ac:dyDescent="0.2">
      <c r="E97" s="33" t="s">
        <v>374</v>
      </c>
      <c r="F97" s="42" t="s">
        <v>375</v>
      </c>
      <c r="G97" s="33">
        <v>30</v>
      </c>
    </row>
    <row r="98" spans="5:7" x14ac:dyDescent="0.2">
      <c r="E98" s="33" t="s">
        <v>651</v>
      </c>
      <c r="F98" s="42" t="s">
        <v>652</v>
      </c>
      <c r="G98" s="33">
        <v>30</v>
      </c>
    </row>
    <row r="99" spans="5:7" x14ac:dyDescent="0.2">
      <c r="E99" s="33" t="s">
        <v>723</v>
      </c>
      <c r="F99" s="42" t="s">
        <v>722</v>
      </c>
      <c r="G99" s="33">
        <v>30</v>
      </c>
    </row>
    <row r="100" spans="5:7" x14ac:dyDescent="0.2">
      <c r="E100" s="33" t="s">
        <v>770</v>
      </c>
      <c r="F100" s="42" t="s">
        <v>782</v>
      </c>
      <c r="G100" s="33">
        <v>30</v>
      </c>
    </row>
    <row r="101" spans="5:7" x14ac:dyDescent="0.2">
      <c r="E101" s="33" t="s">
        <v>654</v>
      </c>
      <c r="F101" s="42" t="s">
        <v>655</v>
      </c>
      <c r="G101" s="33">
        <v>30</v>
      </c>
    </row>
    <row r="102" spans="5:7" x14ac:dyDescent="0.2">
      <c r="E102" s="33" t="s">
        <v>759</v>
      </c>
      <c r="F102" s="42" t="s">
        <v>762</v>
      </c>
      <c r="G102" s="33">
        <v>30</v>
      </c>
    </row>
    <row r="103" spans="5:7" ht="15" customHeight="1" x14ac:dyDescent="0.2">
      <c r="E103" s="33" t="s">
        <v>777</v>
      </c>
      <c r="F103" s="42" t="s">
        <v>785</v>
      </c>
      <c r="G103" s="33">
        <v>30</v>
      </c>
    </row>
    <row r="104" spans="5:7" ht="15" customHeight="1" x14ac:dyDescent="0.2">
      <c r="E104" s="33" t="s">
        <v>835</v>
      </c>
      <c r="F104" s="42" t="s">
        <v>836</v>
      </c>
      <c r="G104" s="33">
        <v>30</v>
      </c>
    </row>
    <row r="105" spans="5:7" x14ac:dyDescent="0.2">
      <c r="E105" s="33" t="s">
        <v>806</v>
      </c>
      <c r="F105" s="42" t="s">
        <v>808</v>
      </c>
      <c r="G105" s="33">
        <v>30</v>
      </c>
    </row>
    <row r="106" spans="5:7" x14ac:dyDescent="0.2">
      <c r="E106" s="33" t="s">
        <v>864</v>
      </c>
      <c r="F106" s="42" t="s">
        <v>830</v>
      </c>
      <c r="G106" s="33">
        <v>30</v>
      </c>
    </row>
    <row r="107" spans="5:7" x14ac:dyDescent="0.2">
      <c r="E107" s="33" t="s">
        <v>849</v>
      </c>
      <c r="F107" s="42" t="s">
        <v>851</v>
      </c>
      <c r="G107" s="33">
        <v>30</v>
      </c>
    </row>
    <row r="108" spans="5:7" x14ac:dyDescent="0.2">
      <c r="E108" s="33" t="s">
        <v>868</v>
      </c>
      <c r="F108" s="42" t="s">
        <v>869</v>
      </c>
      <c r="G108" s="33">
        <v>30</v>
      </c>
    </row>
    <row r="109" spans="5:7" x14ac:dyDescent="0.2">
      <c r="E109" s="33" t="s">
        <v>888</v>
      </c>
      <c r="F109" s="42" t="s">
        <v>266</v>
      </c>
      <c r="G109" s="33">
        <v>30</v>
      </c>
    </row>
    <row r="110" spans="5:7" x14ac:dyDescent="0.2">
      <c r="E110" s="33" t="s">
        <v>845</v>
      </c>
      <c r="F110" s="42" t="s">
        <v>846</v>
      </c>
      <c r="G110" s="33">
        <v>30</v>
      </c>
    </row>
    <row r="111" spans="5:7" x14ac:dyDescent="0.2">
      <c r="E111" s="33" t="s">
        <v>842</v>
      </c>
      <c r="F111" s="42" t="s">
        <v>843</v>
      </c>
      <c r="G111" s="33">
        <v>30</v>
      </c>
    </row>
    <row r="112" spans="5:7" x14ac:dyDescent="0.2">
      <c r="E112" s="33" t="s">
        <v>799</v>
      </c>
      <c r="F112" s="42" t="s">
        <v>902</v>
      </c>
      <c r="G112" s="33">
        <v>30</v>
      </c>
    </row>
    <row r="113" spans="5:7" x14ac:dyDescent="0.2">
      <c r="E113" s="33" t="s">
        <v>766</v>
      </c>
      <c r="F113" s="42" t="s">
        <v>768</v>
      </c>
      <c r="G113" s="33">
        <v>30</v>
      </c>
    </row>
  </sheetData>
  <autoFilter ref="E3:G113" xr:uid="{4AF1719E-4A92-462E-A80D-D12E7C37E8CA}"/>
  <conditionalFormatting sqref="F115:F1048576 F1:F113">
    <cfRule type="duplicateValues" dxfId="121" priority="2"/>
  </conditionalFormatting>
  <conditionalFormatting sqref="AW1:AW2 AY17:AY18 AY3:AY9 AW19:AW1048576">
    <cfRule type="cellIs" dxfId="120" priority="1" operator="equal">
      <formula>"No vigente"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0F91-20B5-4171-9FA3-402D77DD3CED}">
  <sheetPr codeName="Hoja5" filterMode="1">
    <tabColor rgb="FF004080"/>
  </sheetPr>
  <dimension ref="A1:AT164"/>
  <sheetViews>
    <sheetView tabSelected="1" topLeftCell="F1" zoomScale="85" zoomScaleNormal="85" workbookViewId="0">
      <pane ySplit="2" topLeftCell="A5" activePane="bottomLeft" state="frozen"/>
      <selection pane="bottomLeft" activeCell="H29" sqref="H29"/>
    </sheetView>
  </sheetViews>
  <sheetFormatPr baseColWidth="10" defaultColWidth="8.5" defaultRowHeight="15" outlineLevelCol="1" x14ac:dyDescent="0.2"/>
  <cols>
    <col min="1" max="1" width="8.1640625" style="187" customWidth="1"/>
    <col min="2" max="2" width="21.83203125" style="191" customWidth="1"/>
    <col min="3" max="3" width="7.5" style="187" bestFit="1" customWidth="1"/>
    <col min="4" max="4" width="8.5" style="187" customWidth="1"/>
    <col min="5" max="5" width="9.1640625" style="188" customWidth="1"/>
    <col min="6" max="6" width="88.83203125" style="189" customWidth="1"/>
    <col min="7" max="7" width="13.5" style="187" customWidth="1"/>
    <col min="8" max="8" width="17.5" style="187" customWidth="1"/>
    <col min="9" max="9" width="16.5" style="187" customWidth="1"/>
    <col min="10" max="10" width="13.1640625" style="187" customWidth="1"/>
    <col min="11" max="11" width="6.83203125" style="187" customWidth="1"/>
    <col min="12" max="12" width="20.6640625" style="188" customWidth="1"/>
    <col min="13" max="13" width="6.1640625" style="187" customWidth="1"/>
    <col min="14" max="14" width="28.83203125" style="187" customWidth="1"/>
    <col min="15" max="15" width="12" style="187" customWidth="1"/>
    <col min="16" max="16" width="18.1640625" style="187" customWidth="1"/>
    <col min="17" max="17" width="19.5" style="187" customWidth="1"/>
    <col min="18" max="18" width="21.5" style="187" customWidth="1"/>
    <col min="19" max="19" width="8.83203125" style="187" hidden="1" customWidth="1" outlineLevel="1"/>
    <col min="20" max="20" width="12.5" style="187" hidden="1" customWidth="1" outlineLevel="1"/>
    <col min="21" max="21" width="9.1640625" style="187" hidden="1" customWidth="1" outlineLevel="1"/>
    <col min="22" max="22" width="12.5" style="187" hidden="1" customWidth="1" outlineLevel="1"/>
    <col min="23" max="23" width="9.1640625" style="187" hidden="1" customWidth="1" outlineLevel="1"/>
    <col min="24" max="24" width="12.5" style="187" hidden="1" customWidth="1" outlineLevel="1"/>
    <col min="25" max="25" width="9.1640625" style="187" hidden="1" customWidth="1" outlineLevel="1"/>
    <col min="26" max="26" width="12.5" style="187" hidden="1" customWidth="1" outlineLevel="1"/>
    <col min="27" max="27" width="7.5" style="187" hidden="1" customWidth="1" outlineLevel="1"/>
    <col min="28" max="28" width="2.5" style="187" customWidth="1" collapsed="1"/>
    <col min="29" max="29" width="4" style="187" customWidth="1" outlineLevel="1" collapsed="1"/>
    <col min="30" max="33" width="4.33203125" style="187" customWidth="1" outlineLevel="1"/>
    <col min="34" max="34" width="2.5" style="187" customWidth="1"/>
    <col min="35" max="35" width="13.33203125" style="187" customWidth="1" outlineLevel="1" collapsed="1"/>
    <col min="36" max="36" width="14.5" style="187" customWidth="1" outlineLevel="1"/>
    <col min="37" max="37" width="29.83203125" style="187" customWidth="1"/>
    <col min="38" max="38" width="8.5" style="187" customWidth="1" outlineLevel="1"/>
    <col min="39" max="39" width="6.5" style="187" customWidth="1" outlineLevel="1"/>
    <col min="40" max="40" width="7" style="187" customWidth="1" outlineLevel="1"/>
    <col min="41" max="41" width="10.1640625" style="187" customWidth="1" outlineLevel="1"/>
    <col min="42" max="42" width="13.5" style="187" customWidth="1" outlineLevel="1"/>
    <col min="43" max="45" width="11.5" style="187" customWidth="1" outlineLevel="1"/>
    <col min="46" max="46" width="10.5" style="187" customWidth="1" outlineLevel="1"/>
  </cols>
  <sheetData>
    <row r="1" spans="1:46" ht="38.5" customHeight="1" thickBot="1" x14ac:dyDescent="0.25">
      <c r="A1" s="207"/>
      <c r="B1" s="208"/>
      <c r="C1" s="207"/>
      <c r="D1" s="207"/>
      <c r="E1" s="207"/>
      <c r="F1" s="251" t="s">
        <v>436</v>
      </c>
      <c r="G1" s="252"/>
      <c r="H1" s="252"/>
      <c r="I1" s="252"/>
      <c r="J1" s="252"/>
      <c r="K1" s="252"/>
      <c r="L1" s="252"/>
      <c r="M1" s="252"/>
      <c r="N1" s="252"/>
      <c r="O1" s="252"/>
      <c r="P1" s="252"/>
      <c r="Q1" s="252"/>
      <c r="R1" s="253"/>
      <c r="S1" s="248" t="s">
        <v>440</v>
      </c>
      <c r="T1" s="249"/>
      <c r="U1" s="249"/>
      <c r="V1" s="249"/>
      <c r="W1" s="249"/>
      <c r="X1" s="249"/>
      <c r="Y1" s="249"/>
      <c r="Z1" s="249"/>
      <c r="AA1" s="250"/>
      <c r="AB1" s="126" t="str">
        <f>" "</f>
        <v xml:space="preserve"> </v>
      </c>
      <c r="AC1" s="244" t="s">
        <v>441</v>
      </c>
      <c r="AD1" s="244"/>
      <c r="AE1" s="244"/>
      <c r="AF1" s="244"/>
      <c r="AG1" s="244"/>
      <c r="AH1" s="121"/>
      <c r="AI1" s="245" t="s">
        <v>21</v>
      </c>
      <c r="AJ1" s="245"/>
      <c r="AK1" s="122"/>
      <c r="AL1" s="246" t="s">
        <v>805</v>
      </c>
      <c r="AM1" s="247"/>
      <c r="AN1" s="247"/>
      <c r="AO1" s="247"/>
      <c r="AP1" s="247"/>
      <c r="AQ1" s="247"/>
      <c r="AR1" s="247"/>
      <c r="AS1" s="247"/>
      <c r="AT1" s="247"/>
    </row>
    <row r="2" spans="1:46" ht="36" x14ac:dyDescent="0.2">
      <c r="A2" s="45" t="s">
        <v>447</v>
      </c>
      <c r="B2" s="190" t="s">
        <v>448</v>
      </c>
      <c r="C2" s="46" t="s">
        <v>449</v>
      </c>
      <c r="D2" s="2" t="s">
        <v>626</v>
      </c>
      <c r="E2" s="2" t="s">
        <v>625</v>
      </c>
      <c r="F2" s="2" t="s">
        <v>0</v>
      </c>
      <c r="G2" s="2" t="s">
        <v>450</v>
      </c>
      <c r="H2" s="2" t="s">
        <v>451</v>
      </c>
      <c r="I2" s="1" t="s">
        <v>452</v>
      </c>
      <c r="J2" s="1" t="s">
        <v>379</v>
      </c>
      <c r="K2" s="4" t="s">
        <v>16</v>
      </c>
      <c r="L2" s="172" t="s">
        <v>686</v>
      </c>
      <c r="M2" s="2" t="s">
        <v>453</v>
      </c>
      <c r="N2" s="199" t="s">
        <v>11</v>
      </c>
      <c r="O2" s="3" t="s">
        <v>12</v>
      </c>
      <c r="P2" s="206" t="s">
        <v>24</v>
      </c>
      <c r="Q2" s="206" t="s">
        <v>22</v>
      </c>
      <c r="R2" s="141" t="s">
        <v>23</v>
      </c>
      <c r="S2" s="139" t="s">
        <v>466</v>
      </c>
      <c r="T2" s="125" t="s">
        <v>467</v>
      </c>
      <c r="U2" s="139" t="s">
        <v>468</v>
      </c>
      <c r="V2" s="125" t="s">
        <v>469</v>
      </c>
      <c r="W2" s="139" t="s">
        <v>470</v>
      </c>
      <c r="X2" s="125" t="s">
        <v>471</v>
      </c>
      <c r="Y2" s="139" t="s">
        <v>472</v>
      </c>
      <c r="Z2" s="125" t="s">
        <v>473</v>
      </c>
      <c r="AA2" s="126" t="s">
        <v>474</v>
      </c>
      <c r="AB2" s="125" t="str">
        <f>""</f>
        <v/>
      </c>
      <c r="AC2" s="105" t="s">
        <v>475</v>
      </c>
      <c r="AD2" s="105" t="s">
        <v>476</v>
      </c>
      <c r="AE2" s="105" t="s">
        <v>477</v>
      </c>
      <c r="AF2" s="105" t="s">
        <v>478</v>
      </c>
      <c r="AG2" s="105" t="s">
        <v>479</v>
      </c>
      <c r="AH2" s="105" t="str">
        <f>" "</f>
        <v xml:space="preserve"> </v>
      </c>
      <c r="AI2" s="106" t="s">
        <v>17</v>
      </c>
      <c r="AJ2" s="106" t="s">
        <v>481</v>
      </c>
      <c r="AK2" s="106" t="str">
        <f>" "</f>
        <v xml:space="preserve"> </v>
      </c>
      <c r="AL2" s="192" t="s">
        <v>482</v>
      </c>
      <c r="AM2" s="171" t="s">
        <v>483</v>
      </c>
      <c r="AN2" s="170" t="s">
        <v>484</v>
      </c>
      <c r="AO2" s="100" t="s">
        <v>485</v>
      </c>
      <c r="AP2" s="102" t="s">
        <v>486</v>
      </c>
      <c r="AQ2" s="102" t="s">
        <v>487</v>
      </c>
      <c r="AR2" s="102" t="s">
        <v>804</v>
      </c>
      <c r="AS2" s="102" t="s">
        <v>803</v>
      </c>
      <c r="AT2" s="171" t="s">
        <v>688</v>
      </c>
    </row>
    <row r="3" spans="1:46" hidden="1" x14ac:dyDescent="0.2">
      <c r="A3" s="187">
        <f t="shared" ref="A3:A34" si="0">LEN(B3)</f>
        <v>21</v>
      </c>
      <c r="B3" s="191" t="str">
        <f>_xlfn.XLOOKUP(D3,Códigos_Propuestas!$B$4:$B$10,Códigos_Propuestas!$C$4:$C$10,"!",0,1)&amp;"__"&amp;
_xlfn.XLOOKUP(H3,Códigos_Propuestas!$E$4:$E$76,Códigos_Propuestas!$F$4:$F$76,"!",1)&amp;"__"&amp;
_xlfn.XLOOKUP(M3,Códigos_Propuestas!$I$4:$I$7,Códigos_Propuestas!$J$4:$J$7,"!",1)&amp;"__"&amp;
_xlfn.XLOOKUP(N3,Códigos_Propuestas!$O$4:$O$11,Códigos_Propuestas!$Q$4:$Q$11,"!",1)&amp;"__"&amp;
_xlfn.XLOOKUP(F3,Códigos_Propuestas!$BF:$BF,Códigos_Propuestas!$BH:$BH,"!",0,1)</f>
        <v>PE__OCP__UG__MOP__009</v>
      </c>
      <c r="C3" s="47">
        <v>1</v>
      </c>
      <c r="D3" s="174" t="s">
        <v>62</v>
      </c>
      <c r="E3" s="32" t="s">
        <v>62</v>
      </c>
      <c r="F3" s="194" t="s">
        <v>172</v>
      </c>
      <c r="G3" s="174" t="s">
        <v>172</v>
      </c>
      <c r="H3" s="174" t="s">
        <v>292</v>
      </c>
      <c r="I3" s="174" t="s">
        <v>530</v>
      </c>
      <c r="J3" s="174" t="s">
        <v>143</v>
      </c>
      <c r="K3" s="47" t="s">
        <v>72</v>
      </c>
      <c r="L3" s="181"/>
      <c r="M3" s="174" t="s">
        <v>65</v>
      </c>
      <c r="N3" s="181" t="s">
        <v>141</v>
      </c>
      <c r="O3" s="181" t="s">
        <v>40</v>
      </c>
      <c r="P3" s="181" t="s">
        <v>80</v>
      </c>
      <c r="Q3" s="181" t="s">
        <v>103</v>
      </c>
      <c r="R3" s="181" t="s">
        <v>104</v>
      </c>
      <c r="S3" s="174"/>
      <c r="T3" s="183" t="b">
        <v>0</v>
      </c>
      <c r="U3" s="174"/>
      <c r="V3" s="183" t="b">
        <v>0</v>
      </c>
      <c r="W3" s="174"/>
      <c r="X3" s="183" t="b">
        <v>0</v>
      </c>
      <c r="Y3" s="174"/>
      <c r="Z3" s="183" t="b">
        <v>0</v>
      </c>
      <c r="AA3" s="174"/>
      <c r="AB3" s="174"/>
      <c r="AC3" s="183" t="b">
        <v>0</v>
      </c>
      <c r="AD3" s="183" t="b">
        <v>1</v>
      </c>
      <c r="AE3" s="183" t="b">
        <v>0</v>
      </c>
      <c r="AF3" s="183" t="b">
        <v>0</v>
      </c>
      <c r="AG3" s="183" t="b">
        <v>1</v>
      </c>
      <c r="AH3" s="32"/>
      <c r="AI3" s="32"/>
      <c r="AJ3" s="32"/>
      <c r="AK3" s="28"/>
      <c r="AL3" s="97">
        <v>48000</v>
      </c>
      <c r="AM3" s="169">
        <f t="shared" ref="AM3:AM36" si="1">IF(AL3&lt;100000,AL3*0.2,AL3*0.4)</f>
        <v>9600</v>
      </c>
      <c r="AN3" s="174">
        <v>1</v>
      </c>
      <c r="AO3" s="15"/>
      <c r="AP3" s="18"/>
      <c r="AQ3" s="18">
        <v>45975</v>
      </c>
      <c r="AR3" s="236"/>
      <c r="AS3" s="200"/>
      <c r="AT3" s="16">
        <v>46129</v>
      </c>
    </row>
    <row r="4" spans="1:46" hidden="1" x14ac:dyDescent="0.2">
      <c r="A4" s="187">
        <f t="shared" si="0"/>
        <v>21</v>
      </c>
      <c r="B4" s="191" t="str">
        <f>_xlfn.XLOOKUP(D4,Códigos_Propuestas!$B$4:$B$10,Códigos_Propuestas!$C$4:$C$10,"!",0,1)&amp;"__"&amp;
_xlfn.XLOOKUP(H4,Códigos_Propuestas!$E$4:$E$76,Códigos_Propuestas!$F$4:$F$76,"!",1)&amp;"__"&amp;
_xlfn.XLOOKUP(M4,Códigos_Propuestas!$I$4:$I$7,Códigos_Propuestas!$J$4:$J$7,"!",1)&amp;"__"&amp;
_xlfn.XLOOKUP(N4,Códigos_Propuestas!$O$4:$O$11,Códigos_Propuestas!$Q$4:$Q$11,"!",1)&amp;"__"&amp;
_xlfn.XLOOKUP(F4,Códigos_Propuestas!$BF:$BF,Códigos_Propuestas!$BH:$BH,"!",0,1)</f>
        <v>BR__NEX__UG__PEA__018</v>
      </c>
      <c r="C4" s="47">
        <v>2</v>
      </c>
      <c r="D4" s="32" t="s">
        <v>88</v>
      </c>
      <c r="E4" s="32" t="s">
        <v>88</v>
      </c>
      <c r="F4" s="194" t="s">
        <v>212</v>
      </c>
      <c r="G4" s="174" t="s">
        <v>212</v>
      </c>
      <c r="H4" s="174" t="s">
        <v>202</v>
      </c>
      <c r="I4" s="174" t="s">
        <v>524</v>
      </c>
      <c r="J4" s="174" t="s">
        <v>97</v>
      </c>
      <c r="K4" s="47" t="s">
        <v>44</v>
      </c>
      <c r="L4" s="181"/>
      <c r="M4" s="174" t="s">
        <v>65</v>
      </c>
      <c r="N4" s="181" t="s">
        <v>39</v>
      </c>
      <c r="O4" s="181" t="str">
        <f>_xlfn.XLOOKUP(N4,Códigos_Propuestas!$O$4:$O$15,Códigos_Propuestas!$P$4:$P$15,"!",0,1)</f>
        <v>REDCO</v>
      </c>
      <c r="P4" s="181" t="s">
        <v>108</v>
      </c>
      <c r="Q4" s="181" t="s">
        <v>51</v>
      </c>
      <c r="R4" s="181"/>
      <c r="S4" s="174"/>
      <c r="T4" s="183" t="b">
        <v>0</v>
      </c>
      <c r="U4" s="174"/>
      <c r="V4" s="183" t="b">
        <v>0</v>
      </c>
      <c r="W4" s="174"/>
      <c r="X4" s="183" t="b">
        <v>0</v>
      </c>
      <c r="Y4" s="174"/>
      <c r="Z4" s="183" t="b">
        <v>0</v>
      </c>
      <c r="AA4" s="174"/>
      <c r="AB4" s="174"/>
      <c r="AC4" s="183" t="b">
        <v>1</v>
      </c>
      <c r="AD4" s="183" t="b">
        <v>0</v>
      </c>
      <c r="AE4" s="183" t="b">
        <v>0</v>
      </c>
      <c r="AF4" s="183" t="b">
        <v>0</v>
      </c>
      <c r="AG4" s="183" t="b">
        <v>0</v>
      </c>
      <c r="AH4" s="32"/>
      <c r="AI4" s="32"/>
      <c r="AJ4" s="32"/>
      <c r="AK4" s="28"/>
      <c r="AL4" s="97">
        <v>190000</v>
      </c>
      <c r="AM4" s="169">
        <f t="shared" si="1"/>
        <v>76000</v>
      </c>
      <c r="AN4" s="174">
        <v>3</v>
      </c>
      <c r="AO4" s="15"/>
      <c r="AP4" s="18"/>
      <c r="AQ4" s="18">
        <v>45989</v>
      </c>
      <c r="AR4" s="236"/>
      <c r="AS4" s="200"/>
      <c r="AT4" s="16" t="str">
        <f ca="1">IF(DATEDIF(AQ4,TODAY(),"M")&gt;Meses_de_caducidad_de_Propuesta,"",IFERROR(EDATE(TODAY(),1),0))</f>
        <v/>
      </c>
    </row>
    <row r="5" spans="1:46" x14ac:dyDescent="0.2">
      <c r="A5" s="187">
        <f t="shared" si="0"/>
        <v>19</v>
      </c>
      <c r="B5" s="191" t="str">
        <f>_xlfn.XLOOKUP(D5,Códigos_Propuestas!$B$4:$B$10,Códigos_Propuestas!$C$4:$C$10,"!",0,1)&amp;"__"&amp;
_xlfn.XLOOKUP(H5,Códigos_Propuestas!$E$4:$E$76,Códigos_Propuestas!$F$4:$F$76,"!",1)&amp;"__"&amp;
_xlfn.XLOOKUP(M5,Códigos_Propuestas!$I$4:$I$7,Códigos_Propuestas!$J$4:$J$7,"!",1)&amp;"__"&amp;
_xlfn.XLOOKUP(N5,Códigos_Propuestas!$O$4:$O$11,Códigos_Propuestas!$Q$4:$Q$11,"!",1)&amp;"__"&amp;
_xlfn.XLOOKUP(F5,Códigos_Propuestas!$BF:$BF,Códigos_Propuestas!$BH:$BH,"!",0,1)</f>
        <v>PE__MSR__UG__PEA__!</v>
      </c>
      <c r="C5" s="47">
        <v>3</v>
      </c>
      <c r="D5" s="174" t="s">
        <v>62</v>
      </c>
      <c r="E5" s="174" t="s">
        <v>62</v>
      </c>
      <c r="F5" s="194" t="s">
        <v>588</v>
      </c>
      <c r="G5" s="174" t="s">
        <v>588</v>
      </c>
      <c r="H5" s="174" t="s">
        <v>114</v>
      </c>
      <c r="I5" s="174" t="s">
        <v>589</v>
      </c>
      <c r="J5" s="174" t="s">
        <v>122</v>
      </c>
      <c r="K5" s="47" t="s">
        <v>98</v>
      </c>
      <c r="L5" s="181"/>
      <c r="M5" s="174" t="s">
        <v>65</v>
      </c>
      <c r="N5" s="181" t="s">
        <v>39</v>
      </c>
      <c r="O5" s="181" t="s">
        <v>40</v>
      </c>
      <c r="P5" s="181" t="s">
        <v>80</v>
      </c>
      <c r="Q5" s="181" t="s">
        <v>689</v>
      </c>
      <c r="R5" s="181"/>
      <c r="S5" s="174"/>
      <c r="T5" s="183" t="b">
        <v>0</v>
      </c>
      <c r="U5" s="174"/>
      <c r="V5" s="183" t="b">
        <v>0</v>
      </c>
      <c r="W5" s="174"/>
      <c r="X5" s="183" t="b">
        <v>0</v>
      </c>
      <c r="Y5" s="174"/>
      <c r="Z5" s="183" t="b">
        <v>0</v>
      </c>
      <c r="AA5" s="174"/>
      <c r="AB5" s="174"/>
      <c r="AC5" s="183" t="b">
        <v>1</v>
      </c>
      <c r="AD5" s="183" t="b">
        <v>0</v>
      </c>
      <c r="AE5" s="183" t="b">
        <v>0</v>
      </c>
      <c r="AF5" s="183" t="b">
        <v>0</v>
      </c>
      <c r="AG5" s="183" t="b">
        <v>0</v>
      </c>
      <c r="AH5" s="32"/>
      <c r="AI5" s="32" t="s">
        <v>99</v>
      </c>
      <c r="AJ5" s="32" t="s">
        <v>50</v>
      </c>
      <c r="AK5" s="28"/>
      <c r="AL5" s="97">
        <v>149120</v>
      </c>
      <c r="AM5" s="169">
        <f t="shared" si="1"/>
        <v>59648</v>
      </c>
      <c r="AN5" s="174">
        <v>4</v>
      </c>
      <c r="AO5" s="15"/>
      <c r="AP5" s="18">
        <v>46059</v>
      </c>
      <c r="AQ5" s="18">
        <v>46117</v>
      </c>
      <c r="AR5" s="236"/>
      <c r="AS5" s="200"/>
      <c r="AT5" s="16">
        <v>46122</v>
      </c>
    </row>
    <row r="6" spans="1:46" hidden="1" x14ac:dyDescent="0.2">
      <c r="A6" s="187">
        <f t="shared" si="0"/>
        <v>19</v>
      </c>
      <c r="B6" s="191" t="str">
        <f>_xlfn.XLOOKUP(D6,Códigos_Propuestas!$B$4:$B$10,Códigos_Propuestas!$C$4:$C$10,"!",0,1)&amp;"__"&amp;
_xlfn.XLOOKUP(H6,Códigos_Propuestas!$E$4:$E$76,Códigos_Propuestas!$F$4:$F$76,"!",1)&amp;"__"&amp;
_xlfn.XLOOKUP(M6,Códigos_Propuestas!$I$4:$I$7,Códigos_Propuestas!$J$4:$J$7,"!",1)&amp;"__"&amp;
_xlfn.XLOOKUP(N6,Códigos_Propuestas!$O$4:$O$11,Códigos_Propuestas!$Q$4:$Q$11,"!",1)&amp;"__"&amp;
_xlfn.XLOOKUP(F6,Códigos_Propuestas!$BF:$BF,Códigos_Propuestas!$BH:$BH,"!",0,1)</f>
        <v>PE__HCS__UG__PEA__!</v>
      </c>
      <c r="C6" s="47">
        <v>4</v>
      </c>
      <c r="D6" s="174" t="s">
        <v>62</v>
      </c>
      <c r="E6" s="174" t="s">
        <v>62</v>
      </c>
      <c r="F6" s="194" t="s">
        <v>662</v>
      </c>
      <c r="G6" s="174"/>
      <c r="H6" s="174" t="s">
        <v>323</v>
      </c>
      <c r="I6" s="174" t="s">
        <v>663</v>
      </c>
      <c r="J6" s="174" t="s">
        <v>143</v>
      </c>
      <c r="K6" s="47" t="s">
        <v>72</v>
      </c>
      <c r="L6" s="181"/>
      <c r="M6" s="174" t="s">
        <v>65</v>
      </c>
      <c r="N6" s="186" t="s">
        <v>39</v>
      </c>
      <c r="O6" s="181" t="s">
        <v>40</v>
      </c>
      <c r="P6" s="181" t="s">
        <v>80</v>
      </c>
      <c r="Q6" s="181" t="s">
        <v>103</v>
      </c>
      <c r="R6" s="181" t="s">
        <v>35</v>
      </c>
      <c r="S6" s="174"/>
      <c r="T6" s="183" t="b">
        <v>0</v>
      </c>
      <c r="U6" s="174"/>
      <c r="V6" s="183" t="b">
        <v>0</v>
      </c>
      <c r="W6" s="174"/>
      <c r="X6" s="183" t="b">
        <v>0</v>
      </c>
      <c r="Y6" s="174"/>
      <c r="Z6" s="183" t="b">
        <v>0</v>
      </c>
      <c r="AA6" s="174"/>
      <c r="AB6" s="174"/>
      <c r="AC6" s="183" t="b">
        <v>1</v>
      </c>
      <c r="AD6" s="183" t="b">
        <v>0</v>
      </c>
      <c r="AE6" s="183" t="b">
        <v>0</v>
      </c>
      <c r="AF6" s="183" t="b">
        <v>0</v>
      </c>
      <c r="AG6" s="183" t="b">
        <v>0</v>
      </c>
      <c r="AH6" s="32"/>
      <c r="AI6" s="32"/>
      <c r="AJ6" s="32"/>
      <c r="AK6" s="28"/>
      <c r="AL6" s="97">
        <v>40080</v>
      </c>
      <c r="AM6" s="169">
        <f t="shared" si="1"/>
        <v>8016</v>
      </c>
      <c r="AN6" s="174">
        <v>1.5</v>
      </c>
      <c r="AO6" s="15"/>
      <c r="AP6" s="18">
        <v>46087</v>
      </c>
      <c r="AQ6" s="18">
        <v>46093</v>
      </c>
      <c r="AR6" s="236"/>
      <c r="AS6" s="200"/>
      <c r="AT6" s="16">
        <v>46119</v>
      </c>
    </row>
    <row r="7" spans="1:46" x14ac:dyDescent="0.2">
      <c r="A7" s="187">
        <f t="shared" si="0"/>
        <v>19</v>
      </c>
      <c r="B7" s="191" t="str">
        <f>_xlfn.XLOOKUP(D7,Códigos_Propuestas!$B$4:$B$10,Códigos_Propuestas!$C$4:$C$10,"!",0,1)&amp;"__"&amp;
_xlfn.XLOOKUP(H7,Códigos_Propuestas!$E$4:$E$76,Códigos_Propuestas!$F$4:$F$76,"!",1)&amp;"__"&amp;
_xlfn.XLOOKUP(M7,Códigos_Propuestas!$I$4:$I$7,Códigos_Propuestas!$J$4:$J$7,"!",1)&amp;"__"&amp;
_xlfn.XLOOKUP(N7,Códigos_Propuestas!$O$4:$O$11,Códigos_Propuestas!$Q$4:$Q$11,"!",1)&amp;"__"&amp;
_xlfn.XLOOKUP(F7,Códigos_Propuestas!$BF:$BF,Códigos_Propuestas!$BH:$BH,"!",0,1)</f>
        <v>CH__COD__OP__PEA__!</v>
      </c>
      <c r="C7" s="47">
        <v>5</v>
      </c>
      <c r="D7" s="174" t="s">
        <v>32</v>
      </c>
      <c r="E7" s="174" t="s">
        <v>32</v>
      </c>
      <c r="F7" s="194" t="s">
        <v>545</v>
      </c>
      <c r="G7" s="174" t="s">
        <v>545</v>
      </c>
      <c r="H7" s="174" t="s">
        <v>181</v>
      </c>
      <c r="I7" s="174" t="s">
        <v>546</v>
      </c>
      <c r="J7" s="174" t="s">
        <v>122</v>
      </c>
      <c r="K7" s="47" t="s">
        <v>44</v>
      </c>
      <c r="L7" s="181" t="s">
        <v>773</v>
      </c>
      <c r="M7" s="174" t="s">
        <v>92</v>
      </c>
      <c r="N7" s="181" t="s">
        <v>39</v>
      </c>
      <c r="O7" s="181" t="str">
        <f>_xlfn.XLOOKUP(N7,Códigos_Propuestas!$O$4:$O$15,Códigos_Propuestas!$P$4:$P$15,"!",0,1)</f>
        <v>REDCO</v>
      </c>
      <c r="P7" s="181" t="s">
        <v>80</v>
      </c>
      <c r="Q7" s="181" t="s">
        <v>144</v>
      </c>
      <c r="R7" s="181"/>
      <c r="S7" s="174"/>
      <c r="T7" s="183" t="b">
        <v>0</v>
      </c>
      <c r="U7" s="174"/>
      <c r="V7" s="183" t="b">
        <v>0</v>
      </c>
      <c r="W7" s="174"/>
      <c r="X7" s="183" t="b">
        <v>0</v>
      </c>
      <c r="Y7" s="174"/>
      <c r="Z7" s="183" t="b">
        <v>0</v>
      </c>
      <c r="AA7" s="174"/>
      <c r="AB7" s="174"/>
      <c r="AC7" s="183" t="b">
        <v>1</v>
      </c>
      <c r="AD7" s="183" t="b">
        <v>0</v>
      </c>
      <c r="AE7" s="183" t="b">
        <v>1</v>
      </c>
      <c r="AF7" s="183" t="b">
        <v>1</v>
      </c>
      <c r="AG7" s="183" t="b">
        <v>0</v>
      </c>
      <c r="AH7" s="32"/>
      <c r="AI7" s="32" t="s">
        <v>123</v>
      </c>
      <c r="AJ7" s="32" t="s">
        <v>50</v>
      </c>
      <c r="AK7" s="28"/>
      <c r="AL7" s="97">
        <v>235707</v>
      </c>
      <c r="AM7" s="169">
        <f t="shared" si="1"/>
        <v>94282.8</v>
      </c>
      <c r="AN7" s="174">
        <v>6</v>
      </c>
      <c r="AO7" s="15"/>
      <c r="AP7" s="18">
        <v>46034</v>
      </c>
      <c r="AQ7" s="18">
        <v>46057</v>
      </c>
      <c r="AR7" s="236"/>
      <c r="AS7" s="200"/>
      <c r="AT7" s="16">
        <v>46119</v>
      </c>
    </row>
    <row r="8" spans="1:46" x14ac:dyDescent="0.2">
      <c r="A8" s="187">
        <f t="shared" si="0"/>
        <v>20</v>
      </c>
      <c r="B8" s="191" t="str">
        <f>_xlfn.XLOOKUP(D8,Códigos_Propuestas!$B$4:$B$10,Códigos_Propuestas!$C$4:$C$10,"!",0,1)&amp;"__"&amp;
_xlfn.XLOOKUP(H8,Códigos_Propuestas!$E$4:$E$76,Códigos_Propuestas!$F$4:$F$76,"!",1)&amp;"__"&amp;
_xlfn.XLOOKUP(M8,Códigos_Propuestas!$I$4:$I$7,Códigos_Propuestas!$J$4:$J$7,"!",1)&amp;"__"&amp;
_xlfn.XLOOKUP(N8,Códigos_Propuestas!$O$4:$O$11,Códigos_Propuestas!$Q$4:$Q$11,"!",1)&amp;"__"&amp;
_xlfn.XLOOKUP(F8,Códigos_Propuestas!$BF:$BF,Códigos_Propuestas!$BH:$BH,"!",0,1)</f>
        <v>USA__SEA__OP__MIN__!</v>
      </c>
      <c r="C8" s="47">
        <v>6</v>
      </c>
      <c r="D8" s="174" t="s">
        <v>136</v>
      </c>
      <c r="E8" s="174" t="s">
        <v>680</v>
      </c>
      <c r="F8" s="194" t="s">
        <v>737</v>
      </c>
      <c r="G8" s="174"/>
      <c r="H8" s="174" t="s">
        <v>735</v>
      </c>
      <c r="I8" s="174" t="s">
        <v>736</v>
      </c>
      <c r="J8" s="174" t="s">
        <v>122</v>
      </c>
      <c r="K8" s="47" t="s">
        <v>44</v>
      </c>
      <c r="L8" s="181" t="s">
        <v>739</v>
      </c>
      <c r="M8" s="174" t="s">
        <v>92</v>
      </c>
      <c r="N8" s="186" t="s">
        <v>35</v>
      </c>
      <c r="O8" s="181" t="s">
        <v>40</v>
      </c>
      <c r="P8" s="181" t="s">
        <v>53</v>
      </c>
      <c r="Q8" s="181" t="s">
        <v>690</v>
      </c>
      <c r="R8" s="181"/>
      <c r="S8" s="174"/>
      <c r="T8" s="183" t="b">
        <v>0</v>
      </c>
      <c r="U8" s="174"/>
      <c r="V8" s="183" t="b">
        <v>0</v>
      </c>
      <c r="W8" s="174"/>
      <c r="X8" s="183" t="b">
        <v>0</v>
      </c>
      <c r="Y8" s="174"/>
      <c r="Z8" s="183" t="b">
        <v>0</v>
      </c>
      <c r="AA8" s="174"/>
      <c r="AB8" s="174"/>
      <c r="AC8" s="183" t="b">
        <v>1</v>
      </c>
      <c r="AD8" s="183" t="b">
        <v>0</v>
      </c>
      <c r="AE8" s="183" t="b">
        <v>0</v>
      </c>
      <c r="AF8" s="183" t="b">
        <v>0</v>
      </c>
      <c r="AG8" s="183" t="b">
        <v>0</v>
      </c>
      <c r="AH8" s="32"/>
      <c r="AI8" s="32"/>
      <c r="AJ8" s="32" t="s">
        <v>78</v>
      </c>
      <c r="AK8" s="28"/>
      <c r="AL8" s="97">
        <v>133000</v>
      </c>
      <c r="AM8" s="169">
        <f t="shared" si="1"/>
        <v>53200</v>
      </c>
      <c r="AN8" s="174">
        <v>2</v>
      </c>
      <c r="AO8" s="15"/>
      <c r="AP8" s="18">
        <v>46106</v>
      </c>
      <c r="AQ8" s="18">
        <v>46107</v>
      </c>
      <c r="AR8" s="235"/>
      <c r="AS8" s="18"/>
      <c r="AT8" s="18">
        <v>46127</v>
      </c>
    </row>
    <row r="9" spans="1:46" hidden="1" x14ac:dyDescent="0.2">
      <c r="A9" s="187">
        <f t="shared" si="0"/>
        <v>21</v>
      </c>
      <c r="B9" s="191" t="str">
        <f>_xlfn.XLOOKUP(D9,Códigos_Propuestas!$B$4:$B$10,Códigos_Propuestas!$C$4:$C$10,"!",0,1)&amp;"__"&amp;
_xlfn.XLOOKUP(H9,Códigos_Propuestas!$E$4:$E$76,Códigos_Propuestas!$F$4:$F$76,"!",1)&amp;"__"&amp;
_xlfn.XLOOKUP(M9,Códigos_Propuestas!$I$4:$I$7,Códigos_Propuestas!$J$4:$J$7,"!",1)&amp;"__"&amp;
_xlfn.XLOOKUP(N9,Códigos_Propuestas!$O$4:$O$11,Códigos_Propuestas!$Q$4:$Q$11,"!",1)&amp;"__"&amp;
_xlfn.XLOOKUP(F9,Códigos_Propuestas!$BF:$BF,Códigos_Propuestas!$BH:$BH,"!",0,1)</f>
        <v>BR__VAL__UG__PEA__001</v>
      </c>
      <c r="C9" s="47">
        <v>7</v>
      </c>
      <c r="D9" s="174" t="s">
        <v>88</v>
      </c>
      <c r="E9" s="174" t="s">
        <v>88</v>
      </c>
      <c r="F9" s="194" t="s">
        <v>3</v>
      </c>
      <c r="G9" s="174" t="s">
        <v>3</v>
      </c>
      <c r="H9" s="174" t="s">
        <v>218</v>
      </c>
      <c r="I9" s="174" t="s">
        <v>516</v>
      </c>
      <c r="J9" s="174" t="s">
        <v>143</v>
      </c>
      <c r="K9" s="47" t="s">
        <v>44</v>
      </c>
      <c r="L9" s="181"/>
      <c r="M9" s="174" t="s">
        <v>65</v>
      </c>
      <c r="N9" s="181" t="s">
        <v>39</v>
      </c>
      <c r="O9" s="181" t="str">
        <f>_xlfn.XLOOKUP(N9,Códigos_Propuestas!$O$4:$O$15,Códigos_Propuestas!$P$4:$P$15,"!",0,1)</f>
        <v>REDCO</v>
      </c>
      <c r="P9" s="181" t="s">
        <v>108</v>
      </c>
      <c r="Q9" s="181" t="s">
        <v>51</v>
      </c>
      <c r="R9" s="181"/>
      <c r="S9" s="174"/>
      <c r="T9" s="183" t="b">
        <v>0</v>
      </c>
      <c r="U9" s="174"/>
      <c r="V9" s="183" t="b">
        <v>0</v>
      </c>
      <c r="W9" s="174"/>
      <c r="X9" s="183" t="b">
        <v>0</v>
      </c>
      <c r="Y9" s="174"/>
      <c r="Z9" s="183" t="b">
        <v>0</v>
      </c>
      <c r="AA9" s="174"/>
      <c r="AB9" s="174"/>
      <c r="AC9" s="183" t="b">
        <v>1</v>
      </c>
      <c r="AD9" s="183" t="b">
        <v>1</v>
      </c>
      <c r="AE9" s="183" t="b">
        <v>1</v>
      </c>
      <c r="AF9" s="183" t="b">
        <v>1</v>
      </c>
      <c r="AG9" s="183" t="b">
        <v>1</v>
      </c>
      <c r="AH9" s="32"/>
      <c r="AI9" s="32"/>
      <c r="AJ9" s="32"/>
      <c r="AK9" s="28"/>
      <c r="AL9" s="97">
        <v>390000</v>
      </c>
      <c r="AM9" s="169">
        <f t="shared" si="1"/>
        <v>156000</v>
      </c>
      <c r="AN9" s="174">
        <v>5</v>
      </c>
      <c r="AO9" s="15"/>
      <c r="AP9" s="18"/>
      <c r="AQ9" s="18">
        <v>45814</v>
      </c>
      <c r="AR9" s="236"/>
      <c r="AS9" s="200"/>
      <c r="AT9" s="231">
        <v>46113</v>
      </c>
    </row>
    <row r="10" spans="1:46" hidden="1" x14ac:dyDescent="0.2">
      <c r="A10" s="187">
        <f t="shared" si="0"/>
        <v>19</v>
      </c>
      <c r="B10" s="191" t="str">
        <f>_xlfn.XLOOKUP(D10,Códigos_Propuestas!$B$4:$B$10,Códigos_Propuestas!$C$4:$C$10,"!",0,1)&amp;"__"&amp;
_xlfn.XLOOKUP(H10,Códigos_Propuestas!$E$4:$E$76,Códigos_Propuestas!$F$4:$F$76,"!",1)&amp;"__"&amp;
_xlfn.XLOOKUP(M10,Códigos_Propuestas!$I$4:$I$7,Códigos_Propuestas!$J$4:$J$7,"!",1)&amp;"__"&amp;
_xlfn.XLOOKUP(N10,Códigos_Propuestas!$O$4:$O$11,Códigos_Propuestas!$Q$4:$Q$11,"!",1)&amp;"__"&amp;
_xlfn.XLOOKUP(F10,Códigos_Propuestas!$BF:$BF,Códigos_Propuestas!$BH:$BH,"!",0,1)</f>
        <v>BR__VAL__OP__DAR__!</v>
      </c>
      <c r="C10" s="47">
        <v>8</v>
      </c>
      <c r="D10" s="174" t="s">
        <v>88</v>
      </c>
      <c r="E10" s="174" t="s">
        <v>88</v>
      </c>
      <c r="F10" s="194" t="s">
        <v>559</v>
      </c>
      <c r="G10" s="174" t="s">
        <v>559</v>
      </c>
      <c r="H10" s="174" t="s">
        <v>362</v>
      </c>
      <c r="I10" s="174" t="s">
        <v>560</v>
      </c>
      <c r="J10" s="174" t="s">
        <v>143</v>
      </c>
      <c r="K10" s="47" t="s">
        <v>44</v>
      </c>
      <c r="L10" s="181"/>
      <c r="M10" s="174" t="s">
        <v>92</v>
      </c>
      <c r="N10" s="181" t="s">
        <v>95</v>
      </c>
      <c r="O10" s="181" t="str">
        <f>_xlfn.XLOOKUP(N10,Códigos_Propuestas!$O$4:$O$15,Códigos_Propuestas!$P$4:$P$15,"!",0,1)</f>
        <v>REDCO</v>
      </c>
      <c r="P10" s="181" t="s">
        <v>53</v>
      </c>
      <c r="Q10" s="181" t="s">
        <v>103</v>
      </c>
      <c r="R10" s="181"/>
      <c r="S10" s="174"/>
      <c r="T10" s="183" t="b">
        <v>0</v>
      </c>
      <c r="U10" s="174"/>
      <c r="V10" s="183" t="b">
        <v>0</v>
      </c>
      <c r="W10" s="174"/>
      <c r="X10" s="183" t="b">
        <v>0</v>
      </c>
      <c r="Y10" s="174"/>
      <c r="Z10" s="183" t="b">
        <v>0</v>
      </c>
      <c r="AA10" s="174"/>
      <c r="AB10" s="174"/>
      <c r="AC10" s="183" t="b">
        <v>0</v>
      </c>
      <c r="AD10" s="183" t="b">
        <v>0</v>
      </c>
      <c r="AE10" s="183" t="b">
        <v>0</v>
      </c>
      <c r="AF10" s="183" t="b">
        <v>0</v>
      </c>
      <c r="AG10" s="183" t="b">
        <v>1</v>
      </c>
      <c r="AH10" s="32"/>
      <c r="AI10" s="32"/>
      <c r="AJ10" s="32"/>
      <c r="AK10" s="28"/>
      <c r="AL10" s="97">
        <v>194000</v>
      </c>
      <c r="AM10" s="169">
        <f t="shared" si="1"/>
        <v>77600</v>
      </c>
      <c r="AN10" s="174">
        <v>2</v>
      </c>
      <c r="AO10" s="15"/>
      <c r="AP10" s="32"/>
      <c r="AQ10" s="18">
        <v>46045</v>
      </c>
      <c r="AR10" s="236"/>
      <c r="AS10" s="200"/>
      <c r="AT10" s="16">
        <v>46113</v>
      </c>
    </row>
    <row r="11" spans="1:46" x14ac:dyDescent="0.2">
      <c r="A11" s="187">
        <f t="shared" si="0"/>
        <v>19</v>
      </c>
      <c r="B11" s="191" t="str">
        <f>_xlfn.XLOOKUP(D11,Códigos_Propuestas!$B$4:$B$10,Códigos_Propuestas!$C$4:$C$10,"!",0,1)&amp;"__"&amp;
_xlfn.XLOOKUP(H11,Códigos_Propuestas!$E$4:$E$76,Códigos_Propuestas!$F$4:$F$76,"!",1)&amp;"__"&amp;
_xlfn.XLOOKUP(M11,Códigos_Propuestas!$I$4:$I$7,Códigos_Propuestas!$J$4:$J$7,"!",1)&amp;"__"&amp;
_xlfn.XLOOKUP(N11,Códigos_Propuestas!$O$4:$O$11,Códigos_Propuestas!$Q$4:$Q$11,"!",1)&amp;"__"&amp;
_xlfn.XLOOKUP(F11,Códigos_Propuestas!$BF:$BF,Códigos_Propuestas!$BH:$BH,"!",0,1)</f>
        <v>CH__COL__OP__MOP__!</v>
      </c>
      <c r="C11" s="47">
        <v>9</v>
      </c>
      <c r="D11" s="174" t="s">
        <v>32</v>
      </c>
      <c r="E11" s="174" t="s">
        <v>32</v>
      </c>
      <c r="F11" s="26" t="s">
        <v>695</v>
      </c>
      <c r="G11" s="174"/>
      <c r="H11" s="174" t="s">
        <v>315</v>
      </c>
      <c r="I11" s="174" t="s">
        <v>315</v>
      </c>
      <c r="J11" s="174" t="s">
        <v>122</v>
      </c>
      <c r="K11" s="47" t="s">
        <v>44</v>
      </c>
      <c r="L11" s="181"/>
      <c r="M11" s="174" t="s">
        <v>92</v>
      </c>
      <c r="N11" s="186" t="s">
        <v>141</v>
      </c>
      <c r="O11" s="181" t="s">
        <v>40</v>
      </c>
      <c r="P11" s="181" t="s">
        <v>749</v>
      </c>
      <c r="Q11" s="181" t="s">
        <v>689</v>
      </c>
      <c r="R11" s="181"/>
      <c r="S11" s="174"/>
      <c r="T11" s="183" t="b">
        <v>0</v>
      </c>
      <c r="U11" s="174"/>
      <c r="V11" s="183" t="b">
        <v>0</v>
      </c>
      <c r="W11" s="174"/>
      <c r="X11" s="183" t="b">
        <v>0</v>
      </c>
      <c r="Y11" s="174"/>
      <c r="Z11" s="183" t="b">
        <v>0</v>
      </c>
      <c r="AA11" s="174" t="s">
        <v>60</v>
      </c>
      <c r="AB11" s="174"/>
      <c r="AC11" s="183" t="b">
        <v>0</v>
      </c>
      <c r="AD11" s="183" t="b">
        <v>0</v>
      </c>
      <c r="AE11" s="183" t="b">
        <v>0</v>
      </c>
      <c r="AF11" s="183" t="b">
        <v>0</v>
      </c>
      <c r="AG11" s="183" t="b">
        <v>0</v>
      </c>
      <c r="AH11" s="32"/>
      <c r="AI11" s="32" t="s">
        <v>123</v>
      </c>
      <c r="AJ11" s="32" t="s">
        <v>50</v>
      </c>
      <c r="AK11" s="28"/>
      <c r="AL11" s="97">
        <v>44835</v>
      </c>
      <c r="AM11" s="169">
        <f t="shared" si="1"/>
        <v>8967</v>
      </c>
      <c r="AN11" s="174">
        <v>2</v>
      </c>
      <c r="AO11" s="15"/>
      <c r="AP11" s="18">
        <v>46098</v>
      </c>
      <c r="AQ11" s="18">
        <v>46105</v>
      </c>
      <c r="AR11" s="236"/>
      <c r="AS11" s="200"/>
      <c r="AT11" s="16">
        <v>46113</v>
      </c>
    </row>
    <row r="12" spans="1:46" hidden="1" x14ac:dyDescent="0.2">
      <c r="A12" s="187">
        <f t="shared" si="0"/>
        <v>21</v>
      </c>
      <c r="B12" s="191" t="str">
        <f>_xlfn.XLOOKUP(D12,Códigos_Propuestas!$B$4:$B$10,Códigos_Propuestas!$C$4:$C$10,"!",0,1)&amp;"__"&amp;
_xlfn.XLOOKUP(H12,Códigos_Propuestas!$E$4:$E$76,Códigos_Propuestas!$F$4:$F$76,"!",1)&amp;"__"&amp;
_xlfn.XLOOKUP(M12,Códigos_Propuestas!$I$4:$I$7,Códigos_Propuestas!$J$4:$J$7,"!",1)&amp;"__"&amp;
_xlfn.XLOOKUP(N12,Códigos_Propuestas!$O$4:$O$11,Códigos_Propuestas!$Q$4:$Q$11,"!",1)&amp;"__"&amp;
_xlfn.XLOOKUP(F12,Códigos_Propuestas!$BF:$BF,Códigos_Propuestas!$BH:$BH,"!",0,1)</f>
        <v>CH__BCG__OU__DAR__022</v>
      </c>
      <c r="C12" s="47">
        <v>10</v>
      </c>
      <c r="D12" s="174" t="s">
        <v>32</v>
      </c>
      <c r="E12" s="174" t="s">
        <v>32</v>
      </c>
      <c r="F12" s="194" t="s">
        <v>223</v>
      </c>
      <c r="G12" s="174" t="s">
        <v>223</v>
      </c>
      <c r="H12" s="174" t="s">
        <v>333</v>
      </c>
      <c r="I12" s="174" t="s">
        <v>181</v>
      </c>
      <c r="J12" s="174" t="s">
        <v>143</v>
      </c>
      <c r="K12" s="47" t="s">
        <v>72</v>
      </c>
      <c r="L12" s="181"/>
      <c r="M12" s="174" t="s">
        <v>116</v>
      </c>
      <c r="N12" s="181" t="s">
        <v>95</v>
      </c>
      <c r="O12" s="181" t="str">
        <f>_xlfn.XLOOKUP(N12,Códigos_Propuestas!$O$4:$O$15,Códigos_Propuestas!$P$4:$P$15,"!",0,1)</f>
        <v>REDCO</v>
      </c>
      <c r="P12" s="181" t="s">
        <v>80</v>
      </c>
      <c r="Q12" s="181" t="s">
        <v>689</v>
      </c>
      <c r="R12" s="181"/>
      <c r="S12" s="174"/>
      <c r="T12" s="183" t="b">
        <v>0</v>
      </c>
      <c r="U12" s="174"/>
      <c r="V12" s="183" t="b">
        <v>0</v>
      </c>
      <c r="W12" s="174"/>
      <c r="X12" s="183" t="b">
        <v>0</v>
      </c>
      <c r="Y12" s="174"/>
      <c r="Z12" s="183" t="b">
        <v>0</v>
      </c>
      <c r="AA12" s="174"/>
      <c r="AB12" s="174"/>
      <c r="AC12" s="183" t="b">
        <v>1</v>
      </c>
      <c r="AD12" s="183" t="b">
        <v>1</v>
      </c>
      <c r="AE12" s="183" t="b">
        <v>0</v>
      </c>
      <c r="AF12" s="183" t="b">
        <v>0</v>
      </c>
      <c r="AG12" s="183" t="b">
        <v>1</v>
      </c>
      <c r="AH12" s="32"/>
      <c r="AI12" s="32"/>
      <c r="AJ12" s="32"/>
      <c r="AK12" s="28"/>
      <c r="AL12" s="97">
        <v>490000</v>
      </c>
      <c r="AM12" s="169">
        <f t="shared" si="1"/>
        <v>196000</v>
      </c>
      <c r="AN12" s="174">
        <v>6</v>
      </c>
      <c r="AO12" s="15"/>
      <c r="AP12" s="18"/>
      <c r="AQ12" s="18">
        <v>46001</v>
      </c>
      <c r="AR12" s="236"/>
      <c r="AS12" s="200"/>
      <c r="AT12" s="16">
        <v>46113</v>
      </c>
    </row>
    <row r="13" spans="1:46" hidden="1" x14ac:dyDescent="0.2">
      <c r="A13" s="187">
        <f t="shared" si="0"/>
        <v>19</v>
      </c>
      <c r="B13" s="191" t="str">
        <f>_xlfn.XLOOKUP(D13,Códigos_Propuestas!$B$4:$B$10,Códigos_Propuestas!$C$4:$C$10,"!",0,1)&amp;"__"&amp;
_xlfn.XLOOKUP(H13,Códigos_Propuestas!$E$4:$E$76,Códigos_Propuestas!$F$4:$F$76,"!",1)&amp;"__"&amp;
_xlfn.XLOOKUP(M13,Códigos_Propuestas!$I$4:$I$7,Códigos_Propuestas!$J$4:$J$7,"!",1)&amp;"__"&amp;
_xlfn.XLOOKUP(N13,Códigos_Propuestas!$O$4:$O$11,Códigos_Propuestas!$Q$4:$Q$11,"!",1)&amp;"__"&amp;
_xlfn.XLOOKUP(F13,Códigos_Propuestas!$BF:$BF,Códigos_Propuestas!$BH:$BH,"!",0,1)</f>
        <v>CH__AMS__OP__MIN__!</v>
      </c>
      <c r="C13" s="47">
        <v>11</v>
      </c>
      <c r="D13" s="174" t="s">
        <v>32</v>
      </c>
      <c r="E13" s="174" t="s">
        <v>32</v>
      </c>
      <c r="F13" s="194" t="s">
        <v>573</v>
      </c>
      <c r="G13" s="174" t="s">
        <v>573</v>
      </c>
      <c r="H13" s="174" t="s">
        <v>162</v>
      </c>
      <c r="I13" s="174" t="s">
        <v>574</v>
      </c>
      <c r="J13" s="174" t="s">
        <v>143</v>
      </c>
      <c r="K13" s="47" t="s">
        <v>98</v>
      </c>
      <c r="L13" s="181"/>
      <c r="M13" s="174" t="s">
        <v>92</v>
      </c>
      <c r="N13" s="181" t="s">
        <v>35</v>
      </c>
      <c r="O13" s="181"/>
      <c r="P13" s="181" t="s">
        <v>80</v>
      </c>
      <c r="Q13" s="181" t="s">
        <v>103</v>
      </c>
      <c r="R13" s="181"/>
      <c r="S13" s="174"/>
      <c r="T13" s="183" t="b">
        <v>0</v>
      </c>
      <c r="U13" s="174"/>
      <c r="V13" s="183" t="b">
        <v>0</v>
      </c>
      <c r="W13" s="174"/>
      <c r="X13" s="183" t="b">
        <v>0</v>
      </c>
      <c r="Y13" s="174"/>
      <c r="Z13" s="183" t="b">
        <v>0</v>
      </c>
      <c r="AA13" s="174"/>
      <c r="AB13" s="174"/>
      <c r="AC13" s="183" t="b">
        <v>0</v>
      </c>
      <c r="AD13" s="183" t="b">
        <v>0</v>
      </c>
      <c r="AE13" s="183" t="b">
        <v>0</v>
      </c>
      <c r="AF13" s="183" t="b">
        <v>0</v>
      </c>
      <c r="AG13" s="183" t="b">
        <v>1</v>
      </c>
      <c r="AH13" s="32"/>
      <c r="AI13" s="32"/>
      <c r="AJ13" s="32"/>
      <c r="AK13" s="28"/>
      <c r="AL13" s="97">
        <v>50000</v>
      </c>
      <c r="AM13" s="169">
        <f t="shared" si="1"/>
        <v>10000</v>
      </c>
      <c r="AN13" s="174">
        <v>2</v>
      </c>
      <c r="AO13" s="15"/>
      <c r="AP13" s="32"/>
      <c r="AQ13" s="18">
        <v>46059</v>
      </c>
      <c r="AR13" s="235"/>
      <c r="AS13" s="18"/>
      <c r="AT13" s="18">
        <v>46113</v>
      </c>
    </row>
    <row r="14" spans="1:46" x14ac:dyDescent="0.2">
      <c r="A14" s="187">
        <f t="shared" si="0"/>
        <v>21</v>
      </c>
      <c r="B14" s="191" t="str">
        <f>_xlfn.XLOOKUP(D14,Códigos_Propuestas!$B$4:$B$10,Códigos_Propuestas!$C$4:$C$10,"!",0,1)&amp;"__"&amp;
_xlfn.XLOOKUP(H14,Códigos_Propuestas!$E$4:$E$76,Códigos_Propuestas!$F$4:$F$76,"!",1)&amp;"__"&amp;
_xlfn.XLOOKUP(M14,Códigos_Propuestas!$I$4:$I$7,Códigos_Propuestas!$J$4:$J$7,"!",1)&amp;"__"&amp;
_xlfn.XLOOKUP(N14,Códigos_Propuestas!$O$4:$O$11,Códigos_Propuestas!$Q$4:$Q$11,"!",1)&amp;"__"&amp;
_xlfn.XLOOKUP(F14,Códigos_Propuestas!$BF:$BF,Códigos_Propuestas!$BH:$BH,"!",0,1)</f>
        <v>CH__MIA__OU__PEA__005</v>
      </c>
      <c r="C14" s="47">
        <v>12</v>
      </c>
      <c r="D14" s="174" t="s">
        <v>32</v>
      </c>
      <c r="E14" s="174" t="s">
        <v>32</v>
      </c>
      <c r="F14" s="194" t="s">
        <v>111</v>
      </c>
      <c r="G14" s="174" t="s">
        <v>111</v>
      </c>
      <c r="H14" s="174" t="s">
        <v>327</v>
      </c>
      <c r="I14" s="174" t="s">
        <v>525</v>
      </c>
      <c r="J14" s="174" t="s">
        <v>122</v>
      </c>
      <c r="K14" s="47" t="s">
        <v>72</v>
      </c>
      <c r="L14" s="181"/>
      <c r="M14" s="174" t="s">
        <v>116</v>
      </c>
      <c r="N14" s="181" t="s">
        <v>39</v>
      </c>
      <c r="O14" s="181" t="str">
        <f>_xlfn.XLOOKUP(N14,Códigos_Propuestas!$O$4:$O$15,Códigos_Propuestas!$P$4:$P$15,"!",0,1)</f>
        <v>REDCO</v>
      </c>
      <c r="P14" s="181" t="s">
        <v>80</v>
      </c>
      <c r="Q14" s="184" t="s">
        <v>127</v>
      </c>
      <c r="R14" s="181"/>
      <c r="S14" s="174"/>
      <c r="T14" s="183" t="b">
        <v>0</v>
      </c>
      <c r="U14" s="174"/>
      <c r="V14" s="183" t="b">
        <v>0</v>
      </c>
      <c r="W14" s="174"/>
      <c r="X14" s="183" t="b">
        <v>0</v>
      </c>
      <c r="Y14" s="174"/>
      <c r="Z14" s="183" t="b">
        <v>0</v>
      </c>
      <c r="AA14" s="174"/>
      <c r="AB14" s="174"/>
      <c r="AC14" s="183" t="b">
        <v>1</v>
      </c>
      <c r="AD14" s="183" t="b">
        <v>0</v>
      </c>
      <c r="AE14" s="183" t="b">
        <v>0</v>
      </c>
      <c r="AF14" s="183" t="b">
        <v>0</v>
      </c>
      <c r="AG14" s="183" t="b">
        <v>0</v>
      </c>
      <c r="AH14" s="32"/>
      <c r="AI14" s="32" t="s">
        <v>99</v>
      </c>
      <c r="AJ14" s="32" t="s">
        <v>50</v>
      </c>
      <c r="AK14" s="28"/>
      <c r="AL14" s="97">
        <v>180000</v>
      </c>
      <c r="AM14" s="169">
        <f t="shared" si="1"/>
        <v>72000</v>
      </c>
      <c r="AN14" s="174">
        <v>4</v>
      </c>
      <c r="AO14" s="15"/>
      <c r="AP14" s="18"/>
      <c r="AQ14" s="18">
        <v>45923</v>
      </c>
      <c r="AR14" s="236"/>
      <c r="AS14" s="200"/>
      <c r="AT14" s="16">
        <v>46112</v>
      </c>
    </row>
    <row r="15" spans="1:46" hidden="1" x14ac:dyDescent="0.2">
      <c r="A15" s="187">
        <f t="shared" si="0"/>
        <v>19</v>
      </c>
      <c r="B15" s="191" t="str">
        <f>_xlfn.XLOOKUP(D15,Códigos_Propuestas!$B$4:$B$10,Códigos_Propuestas!$C$4:$C$10,"!",0,1)&amp;"__"&amp;
_xlfn.XLOOKUP(H15,Códigos_Propuestas!$E$4:$E$76,Códigos_Propuestas!$F$4:$F$76,"!",1)&amp;"__"&amp;
_xlfn.XLOOKUP(M15,Códigos_Propuestas!$I$4:$I$7,Códigos_Propuestas!$J$4:$J$7,"!",1)&amp;"__"&amp;
_xlfn.XLOOKUP(N16,Códigos_Propuestas!$O$4:$O$11,Códigos_Propuestas!$Q$4:$Q$11,"!",1)&amp;"__"&amp;
_xlfn.XLOOKUP(F15,Códigos_Propuestas!$BF:$BF,Códigos_Propuestas!$BH:$BH,"!",0,1)</f>
        <v>BR__ERC__OU__SIM__!</v>
      </c>
      <c r="C15" s="47">
        <v>13</v>
      </c>
      <c r="D15" s="174" t="s">
        <v>88</v>
      </c>
      <c r="E15" s="174" t="s">
        <v>88</v>
      </c>
      <c r="F15" s="196" t="s">
        <v>638</v>
      </c>
      <c r="G15" s="174"/>
      <c r="H15" s="174" t="s">
        <v>297</v>
      </c>
      <c r="I15" s="174" t="s">
        <v>650</v>
      </c>
      <c r="J15" s="174" t="s">
        <v>143</v>
      </c>
      <c r="K15" s="47" t="s">
        <v>98</v>
      </c>
      <c r="L15" s="181"/>
      <c r="M15" s="174" t="s">
        <v>116</v>
      </c>
      <c r="N15" s="186" t="s">
        <v>35</v>
      </c>
      <c r="O15" s="181" t="s">
        <v>40</v>
      </c>
      <c r="P15" s="181" t="s">
        <v>108</v>
      </c>
      <c r="Q15" s="181" t="s">
        <v>103</v>
      </c>
      <c r="R15" s="181"/>
      <c r="S15" s="174"/>
      <c r="T15" s="183" t="b">
        <v>0</v>
      </c>
      <c r="U15" s="174"/>
      <c r="V15" s="183" t="b">
        <v>0</v>
      </c>
      <c r="W15" s="174"/>
      <c r="X15" s="183" t="b">
        <v>0</v>
      </c>
      <c r="Y15" s="174"/>
      <c r="Z15" s="183" t="b">
        <v>0</v>
      </c>
      <c r="AA15" s="174"/>
      <c r="AB15" s="174"/>
      <c r="AC15" s="183" t="b">
        <v>1</v>
      </c>
      <c r="AD15" s="183" t="b">
        <v>1</v>
      </c>
      <c r="AE15" s="183" t="b">
        <v>1</v>
      </c>
      <c r="AF15" s="183" t="b">
        <v>1</v>
      </c>
      <c r="AG15" s="183" t="b">
        <v>1</v>
      </c>
      <c r="AH15" s="32"/>
      <c r="AI15" s="32"/>
      <c r="AJ15" s="32"/>
      <c r="AK15" s="28"/>
      <c r="AL15" s="97">
        <v>98645.88</v>
      </c>
      <c r="AM15" s="169">
        <f t="shared" si="1"/>
        <v>19729.176000000003</v>
      </c>
      <c r="AN15" s="174">
        <v>3</v>
      </c>
      <c r="AO15" s="15"/>
      <c r="AP15" s="18">
        <v>46084</v>
      </c>
      <c r="AQ15" s="18">
        <v>46087</v>
      </c>
      <c r="AR15" s="235"/>
      <c r="AS15" s="18"/>
      <c r="AT15" s="18">
        <v>46111</v>
      </c>
    </row>
    <row r="16" spans="1:46" hidden="1" x14ac:dyDescent="0.2">
      <c r="A16" s="187">
        <f t="shared" si="0"/>
        <v>21</v>
      </c>
      <c r="B16" s="191" t="str">
        <f>_xlfn.XLOOKUP(D16,Códigos_Propuestas!$B$4:$B$10,Códigos_Propuestas!$C$4:$C$10,"!",0,1)&amp;"__"&amp;
_xlfn.XLOOKUP(H16,Códigos_Propuestas!$E$4:$E$76,Códigos_Propuestas!$F$4:$F$76,"!",1)&amp;"__"&amp;
_xlfn.XLOOKUP(M16,Códigos_Propuestas!$I$4:$I$7,Códigos_Propuestas!$J$4:$J$7,"!",1)&amp;"__"&amp;
_xlfn.XLOOKUP(N16,Códigos_Propuestas!$O$4:$O$11,Códigos_Propuestas!$Q$4:$Q$11,"!",1)&amp;"__"&amp;
_xlfn.XLOOKUP(F16,Códigos_Propuestas!$BF:$BF,Códigos_Propuestas!$BH:$BH,"!",0,1)</f>
        <v>BR__CBM__OP__SIM__012</v>
      </c>
      <c r="C16" s="47">
        <v>14</v>
      </c>
      <c r="D16" s="174" t="s">
        <v>88</v>
      </c>
      <c r="E16" s="174" t="s">
        <v>88</v>
      </c>
      <c r="F16" s="194" t="s">
        <v>192</v>
      </c>
      <c r="G16" s="174" t="s">
        <v>192</v>
      </c>
      <c r="H16" s="174" t="s">
        <v>307</v>
      </c>
      <c r="I16" s="174"/>
      <c r="J16" s="174" t="s">
        <v>143</v>
      </c>
      <c r="K16" s="47" t="s">
        <v>98</v>
      </c>
      <c r="L16" s="181"/>
      <c r="M16" s="174" t="s">
        <v>92</v>
      </c>
      <c r="N16" s="181" t="s">
        <v>660</v>
      </c>
      <c r="O16" s="181"/>
      <c r="P16" s="181" t="s">
        <v>108</v>
      </c>
      <c r="Q16" s="181" t="s">
        <v>689</v>
      </c>
      <c r="R16" s="181" t="s">
        <v>104</v>
      </c>
      <c r="S16" s="174"/>
      <c r="T16" s="183" t="b">
        <v>0</v>
      </c>
      <c r="U16" s="174"/>
      <c r="V16" s="183" t="b">
        <v>0</v>
      </c>
      <c r="W16" s="174"/>
      <c r="X16" s="183" t="b">
        <v>0</v>
      </c>
      <c r="Y16" s="174"/>
      <c r="Z16" s="183" t="b">
        <v>0</v>
      </c>
      <c r="AA16" s="174"/>
      <c r="AB16" s="174"/>
      <c r="AC16" s="183" t="b">
        <v>0</v>
      </c>
      <c r="AD16" s="183" t="b">
        <v>0</v>
      </c>
      <c r="AE16" s="183" t="b">
        <v>1</v>
      </c>
      <c r="AF16" s="183" t="b">
        <v>0</v>
      </c>
      <c r="AG16" s="183" t="b">
        <v>0</v>
      </c>
      <c r="AH16" s="32"/>
      <c r="AI16" s="32"/>
      <c r="AJ16" s="32"/>
      <c r="AK16" s="28"/>
      <c r="AL16" s="97">
        <v>105000</v>
      </c>
      <c r="AM16" s="169">
        <f t="shared" si="1"/>
        <v>42000</v>
      </c>
      <c r="AN16" s="174">
        <v>3</v>
      </c>
      <c r="AO16" s="15"/>
      <c r="AP16" s="18">
        <v>45978</v>
      </c>
      <c r="AQ16" s="18">
        <v>46063</v>
      </c>
      <c r="AR16" s="235"/>
      <c r="AS16" s="18"/>
      <c r="AT16" s="18">
        <v>46111</v>
      </c>
    </row>
    <row r="17" spans="1:46" hidden="1" x14ac:dyDescent="0.2">
      <c r="A17" s="187">
        <f t="shared" si="0"/>
        <v>19</v>
      </c>
      <c r="B17" s="191" t="str">
        <f>_xlfn.XLOOKUP(D17,Códigos_Propuestas!$B$4:$B$10,Códigos_Propuestas!$C$4:$C$10,"!",0,1)&amp;"__"&amp;
_xlfn.XLOOKUP(H17,Códigos_Propuestas!$E$4:$E$76,Códigos_Propuestas!$F$4:$F$76,"!",1)&amp;"__"&amp;
_xlfn.XLOOKUP(M17,Códigos_Propuestas!$I$4:$I$7,Códigos_Propuestas!$J$4:$J$7,"!",1)&amp;"__"&amp;
_xlfn.XLOOKUP(N17,Códigos_Propuestas!$O$4:$O$11,Códigos_Propuestas!$Q$4:$Q$11,"!",1)&amp;"__"&amp;
_xlfn.XLOOKUP(F17,Códigos_Propuestas!$BF:$BF,Códigos_Propuestas!$BH:$BH,"!",0,1)</f>
        <v>CH__COD__OU__RPD__!</v>
      </c>
      <c r="C17" s="47">
        <v>15</v>
      </c>
      <c r="D17" s="174" t="s">
        <v>32</v>
      </c>
      <c r="E17" s="174" t="s">
        <v>32</v>
      </c>
      <c r="F17" s="196" t="s">
        <v>731</v>
      </c>
      <c r="G17" s="174"/>
      <c r="H17" s="174" t="s">
        <v>181</v>
      </c>
      <c r="I17" s="174" t="s">
        <v>705</v>
      </c>
      <c r="J17" s="174" t="s">
        <v>143</v>
      </c>
      <c r="K17" s="47" t="s">
        <v>44</v>
      </c>
      <c r="L17" s="181"/>
      <c r="M17" s="174" t="s">
        <v>116</v>
      </c>
      <c r="N17" s="186" t="s">
        <v>687</v>
      </c>
      <c r="O17" s="181" t="s">
        <v>687</v>
      </c>
      <c r="P17" s="181"/>
      <c r="Q17" s="181"/>
      <c r="R17" s="181" t="s">
        <v>35</v>
      </c>
      <c r="S17" s="174"/>
      <c r="T17" s="183" t="b">
        <v>0</v>
      </c>
      <c r="U17" s="174"/>
      <c r="V17" s="183" t="b">
        <v>0</v>
      </c>
      <c r="W17" s="174"/>
      <c r="X17" s="183" t="b">
        <v>0</v>
      </c>
      <c r="Y17" s="174"/>
      <c r="Z17" s="183" t="b">
        <v>0</v>
      </c>
      <c r="AA17" s="174"/>
      <c r="AB17" s="174"/>
      <c r="AC17" s="183" t="b">
        <v>0</v>
      </c>
      <c r="AD17" s="183" t="b">
        <v>0</v>
      </c>
      <c r="AE17" s="183" t="b">
        <v>0</v>
      </c>
      <c r="AF17" s="183" t="b">
        <v>0</v>
      </c>
      <c r="AG17" s="183" t="b">
        <v>0</v>
      </c>
      <c r="AH17" s="32"/>
      <c r="AI17" s="32"/>
      <c r="AJ17" s="32"/>
      <c r="AK17" s="28"/>
      <c r="AL17" s="97">
        <v>0</v>
      </c>
      <c r="AM17" s="169">
        <f t="shared" si="1"/>
        <v>0</v>
      </c>
      <c r="AN17" s="174">
        <v>60</v>
      </c>
      <c r="AO17" s="15"/>
      <c r="AP17" s="18">
        <v>46105</v>
      </c>
      <c r="AQ17" s="18"/>
      <c r="AR17" s="236"/>
      <c r="AS17" s="200"/>
      <c r="AT17" s="16">
        <v>46107</v>
      </c>
    </row>
    <row r="18" spans="1:46" x14ac:dyDescent="0.2">
      <c r="A18" s="187">
        <f t="shared" si="0"/>
        <v>19</v>
      </c>
      <c r="B18" s="191" t="str">
        <f>_xlfn.XLOOKUP(D18,Códigos_Propuestas!$B$4:$B$10,Códigos_Propuestas!$C$4:$C$10,"!",0,1)&amp;"__"&amp;
_xlfn.XLOOKUP(H18,Códigos_Propuestas!$E$4:$E$76,Códigos_Propuestas!$F$4:$F$76,"!",1)&amp;"__"&amp;
_xlfn.XLOOKUP(M18,Códigos_Propuestas!$I$4:$I$7,Códigos_Propuestas!$J$4:$J$7,"!",1)&amp;"__"&amp;
_xlfn.XLOOKUP(N18,Códigos_Propuestas!$O$4:$O$11,Códigos_Propuestas!$Q$4:$Q$11,"!",1)&amp;"__"&amp;
_xlfn.XLOOKUP(F18,Códigos_Propuestas!$BF:$BF,Códigos_Propuestas!$BH:$BH,"!",0,1)</f>
        <v>BR__ERC__OP__MGE__!</v>
      </c>
      <c r="C18" s="47">
        <v>16</v>
      </c>
      <c r="D18" s="174" t="s">
        <v>88</v>
      </c>
      <c r="E18" s="174" t="s">
        <v>88</v>
      </c>
      <c r="F18" s="194" t="s">
        <v>678</v>
      </c>
      <c r="G18" s="174"/>
      <c r="H18" s="174" t="s">
        <v>297</v>
      </c>
      <c r="I18" s="174" t="s">
        <v>669</v>
      </c>
      <c r="J18" s="174" t="s">
        <v>122</v>
      </c>
      <c r="K18" s="47" t="s">
        <v>44</v>
      </c>
      <c r="L18" s="181"/>
      <c r="M18" s="174" t="s">
        <v>92</v>
      </c>
      <c r="N18" s="186" t="s">
        <v>153</v>
      </c>
      <c r="O18" s="181" t="s">
        <v>40</v>
      </c>
      <c r="P18" s="181" t="s">
        <v>129</v>
      </c>
      <c r="Q18" s="181" t="s">
        <v>690</v>
      </c>
      <c r="R18" s="181"/>
      <c r="S18" s="174"/>
      <c r="T18" s="183" t="b">
        <v>0</v>
      </c>
      <c r="U18" s="174"/>
      <c r="V18" s="183" t="b">
        <v>0</v>
      </c>
      <c r="W18" s="174"/>
      <c r="X18" s="183" t="b">
        <v>0</v>
      </c>
      <c r="Y18" s="174"/>
      <c r="Z18" s="183" t="b">
        <v>0</v>
      </c>
      <c r="AA18" s="174"/>
      <c r="AB18" s="174"/>
      <c r="AC18" s="183" t="b">
        <v>1</v>
      </c>
      <c r="AD18" s="183" t="b">
        <v>1</v>
      </c>
      <c r="AE18" s="183" t="b">
        <v>0</v>
      </c>
      <c r="AF18" s="183" t="b">
        <v>0</v>
      </c>
      <c r="AG18" s="183" t="b">
        <v>1</v>
      </c>
      <c r="AH18" s="32"/>
      <c r="AI18" s="32" t="s">
        <v>45</v>
      </c>
      <c r="AJ18" s="32" t="s">
        <v>50</v>
      </c>
      <c r="AK18" s="28"/>
      <c r="AL18" s="97">
        <v>81117</v>
      </c>
      <c r="AM18" s="169">
        <f t="shared" si="1"/>
        <v>16223.400000000001</v>
      </c>
      <c r="AN18" s="174">
        <v>3</v>
      </c>
      <c r="AO18" s="15"/>
      <c r="AP18" s="18">
        <v>46090</v>
      </c>
      <c r="AQ18" s="18">
        <v>46104</v>
      </c>
      <c r="AR18" s="235"/>
      <c r="AS18" s="18"/>
      <c r="AT18" s="18">
        <v>46106</v>
      </c>
    </row>
    <row r="19" spans="1:46" x14ac:dyDescent="0.2">
      <c r="A19" s="187">
        <f t="shared" si="0"/>
        <v>20</v>
      </c>
      <c r="B19" s="191" t="str">
        <f>_xlfn.XLOOKUP(D19,Códigos_Propuestas!$B$4:$B$10,Códigos_Propuestas!$C$4:$C$10,"!",0,1)&amp;"__"&amp;
_xlfn.XLOOKUP(H19,Códigos_Propuestas!$E$4:$E$76,Códigos_Propuestas!$F$4:$F$76,"!",1)&amp;"__"&amp;
_xlfn.XLOOKUP(M19,Códigos_Propuestas!$I$4:$I$7,Códigos_Propuestas!$J$4:$J$7,"!",1)&amp;"__"&amp;
_xlfn.XLOOKUP(N19,Códigos_Propuestas!$O$4:$O$11,Códigos_Propuestas!$Q$4:$Q$11,"!",1)&amp;"__"&amp;
_xlfn.XLOOKUP(F19,Códigos_Propuestas!$BF:$BF,Códigos_Propuestas!$BH:$BH,"!",0,1)</f>
        <v>USA__IEL__UG__MIN__!</v>
      </c>
      <c r="C19" s="47">
        <v>17</v>
      </c>
      <c r="D19" s="174" t="s">
        <v>136</v>
      </c>
      <c r="E19" s="174" t="s">
        <v>136</v>
      </c>
      <c r="F19" s="194" t="s">
        <v>582</v>
      </c>
      <c r="G19" s="174" t="s">
        <v>512</v>
      </c>
      <c r="H19" s="174" t="s">
        <v>368</v>
      </c>
      <c r="I19" s="174" t="s">
        <v>513</v>
      </c>
      <c r="J19" s="174" t="s">
        <v>122</v>
      </c>
      <c r="K19" s="47" t="s">
        <v>44</v>
      </c>
      <c r="L19" s="181"/>
      <c r="M19" s="174" t="s">
        <v>65</v>
      </c>
      <c r="N19" s="181" t="s">
        <v>120</v>
      </c>
      <c r="O19" s="181" t="s">
        <v>40</v>
      </c>
      <c r="P19" s="181" t="s">
        <v>80</v>
      </c>
      <c r="Q19" s="181" t="s">
        <v>103</v>
      </c>
      <c r="R19" s="181"/>
      <c r="S19" s="174"/>
      <c r="T19" s="183" t="b">
        <v>0</v>
      </c>
      <c r="U19" s="174"/>
      <c r="V19" s="183" t="b">
        <v>0</v>
      </c>
      <c r="W19" s="174"/>
      <c r="X19" s="183" t="b">
        <v>0</v>
      </c>
      <c r="Y19" s="174"/>
      <c r="Z19" s="183" t="b">
        <v>0</v>
      </c>
      <c r="AA19" s="174"/>
      <c r="AB19" s="174"/>
      <c r="AC19" s="183" t="b">
        <v>1</v>
      </c>
      <c r="AD19" s="183" t="b">
        <v>0</v>
      </c>
      <c r="AE19" s="183" t="b">
        <v>0</v>
      </c>
      <c r="AF19" s="183" t="b">
        <v>0</v>
      </c>
      <c r="AG19" s="183" t="b">
        <v>0</v>
      </c>
      <c r="AH19" s="32"/>
      <c r="AI19" s="32" t="s">
        <v>45</v>
      </c>
      <c r="AJ19" s="32" t="s">
        <v>78</v>
      </c>
      <c r="AK19" s="28"/>
      <c r="AL19" s="97">
        <v>746000</v>
      </c>
      <c r="AM19" s="169">
        <f t="shared" si="1"/>
        <v>298400</v>
      </c>
      <c r="AN19" s="174">
        <v>19</v>
      </c>
      <c r="AO19" s="15"/>
      <c r="AP19" s="18">
        <v>46058</v>
      </c>
      <c r="AQ19" s="18">
        <v>46085</v>
      </c>
      <c r="AR19" s="235"/>
      <c r="AS19" s="18"/>
      <c r="AT19" s="18">
        <v>46101</v>
      </c>
    </row>
    <row r="20" spans="1:46" hidden="1" x14ac:dyDescent="0.2">
      <c r="A20" s="187">
        <f t="shared" si="0"/>
        <v>21</v>
      </c>
      <c r="B20" s="191" t="str">
        <f>_xlfn.XLOOKUP(D20,Códigos_Propuestas!$B$4:$B$10,Códigos_Propuestas!$C$4:$C$10,"!",0,1)&amp;"__"&amp;
_xlfn.XLOOKUP(H20,Códigos_Propuestas!$E$4:$E$76,Códigos_Propuestas!$F$4:$F$76,"!",1)&amp;"__"&amp;
_xlfn.XLOOKUP(M20,Códigos_Propuestas!$I$4:$I$7,Códigos_Propuestas!$J$4:$J$7,"!",1)&amp;"__"&amp;
_xlfn.XLOOKUP(N20,Códigos_Propuestas!$O$4:$O$11,Códigos_Propuestas!$Q$4:$Q$11,"!",1)&amp;"__"&amp;
_xlfn.XLOOKUP(F20,Códigos_Propuestas!$BF:$BF,Códigos_Propuestas!$BH:$BH,"!",0,1)</f>
        <v>BR__ERC__OU__PEA__010</v>
      </c>
      <c r="C20" s="47">
        <v>18</v>
      </c>
      <c r="D20" s="174" t="s">
        <v>88</v>
      </c>
      <c r="E20" s="174" t="s">
        <v>88</v>
      </c>
      <c r="F20" s="194" t="s">
        <v>180</v>
      </c>
      <c r="G20" s="174" t="s">
        <v>180</v>
      </c>
      <c r="H20" s="174" t="s">
        <v>297</v>
      </c>
      <c r="I20" s="174" t="s">
        <v>519</v>
      </c>
      <c r="J20" s="174" t="s">
        <v>143</v>
      </c>
      <c r="K20" s="47" t="s">
        <v>98</v>
      </c>
      <c r="L20" s="181"/>
      <c r="M20" s="174" t="s">
        <v>116</v>
      </c>
      <c r="N20" s="181" t="s">
        <v>39</v>
      </c>
      <c r="O20" s="181" t="str">
        <f>_xlfn.XLOOKUP(N20,Códigos_Propuestas!$O$4:$O$15,Códigos_Propuestas!$P$4:$P$15,"!",0,1)</f>
        <v>REDCO</v>
      </c>
      <c r="P20" s="181" t="s">
        <v>108</v>
      </c>
      <c r="Q20" s="181" t="s">
        <v>689</v>
      </c>
      <c r="R20" s="181" t="s">
        <v>52</v>
      </c>
      <c r="S20" s="174"/>
      <c r="T20" s="183" t="b">
        <v>0</v>
      </c>
      <c r="U20" s="174"/>
      <c r="V20" s="183" t="b">
        <v>0</v>
      </c>
      <c r="W20" s="174"/>
      <c r="X20" s="183" t="b">
        <v>0</v>
      </c>
      <c r="Y20" s="174"/>
      <c r="Z20" s="183" t="b">
        <v>0</v>
      </c>
      <c r="AA20" s="174"/>
      <c r="AB20" s="174"/>
      <c r="AC20" s="183" t="b">
        <v>0</v>
      </c>
      <c r="AD20" s="183" t="b">
        <v>0</v>
      </c>
      <c r="AE20" s="183" t="b">
        <v>0</v>
      </c>
      <c r="AF20" s="183" t="b">
        <v>0</v>
      </c>
      <c r="AG20" s="183" t="b">
        <v>0</v>
      </c>
      <c r="AH20" s="32"/>
      <c r="AI20" s="32"/>
      <c r="AJ20" s="32"/>
      <c r="AK20" s="28"/>
      <c r="AL20" s="97">
        <v>120000</v>
      </c>
      <c r="AM20" s="169">
        <f t="shared" si="1"/>
        <v>48000</v>
      </c>
      <c r="AN20" s="174">
        <v>6</v>
      </c>
      <c r="AO20" s="15"/>
      <c r="AP20" s="18"/>
      <c r="AQ20" s="18">
        <v>45986</v>
      </c>
      <c r="AR20" s="236"/>
      <c r="AS20" s="200"/>
      <c r="AT20" s="16">
        <v>46097</v>
      </c>
    </row>
    <row r="21" spans="1:46" hidden="1" x14ac:dyDescent="0.2">
      <c r="A21" s="187">
        <f t="shared" si="0"/>
        <v>21</v>
      </c>
      <c r="B21" s="191" t="str">
        <f>_xlfn.XLOOKUP(D21,Códigos_Propuestas!$B$4:$B$10,Códigos_Propuestas!$C$4:$C$10,"!",0,1)&amp;"__"&amp;
_xlfn.XLOOKUP(H21,Códigos_Propuestas!$E$4:$E$76,Códigos_Propuestas!$F$4:$F$76,"!",1)&amp;"__"&amp;
_xlfn.XLOOKUP(M21,Códigos_Propuestas!$I$4:$I$7,Códigos_Propuestas!$J$4:$J$7,"!",1)&amp;"__"&amp;
_xlfn.XLOOKUP(N21,Códigos_Propuestas!$O$4:$O$11,Códigos_Propuestas!$Q$4:$Q$11,"!",1)&amp;"__"&amp;
_xlfn.XLOOKUP(F21,Códigos_Propuestas!$BF:$BF,Códigos_Propuestas!$BH:$BH,"!",0,1)</f>
        <v>BR__ERC__UG__MGE__011</v>
      </c>
      <c r="C21" s="47">
        <v>19</v>
      </c>
      <c r="D21" s="174" t="s">
        <v>88</v>
      </c>
      <c r="E21" s="174" t="s">
        <v>88</v>
      </c>
      <c r="F21" s="26" t="s">
        <v>187</v>
      </c>
      <c r="G21" s="32" t="s">
        <v>187</v>
      </c>
      <c r="H21" s="174" t="s">
        <v>297</v>
      </c>
      <c r="I21" s="174" t="s">
        <v>520</v>
      </c>
      <c r="J21" s="174" t="s">
        <v>143</v>
      </c>
      <c r="K21" s="47" t="s">
        <v>98</v>
      </c>
      <c r="L21" s="181"/>
      <c r="M21" s="174" t="s">
        <v>65</v>
      </c>
      <c r="N21" s="181" t="s">
        <v>153</v>
      </c>
      <c r="O21" s="181" t="s">
        <v>40</v>
      </c>
      <c r="P21" s="181" t="s">
        <v>129</v>
      </c>
      <c r="Q21" s="181" t="s">
        <v>689</v>
      </c>
      <c r="R21" s="181" t="s">
        <v>52</v>
      </c>
      <c r="S21" s="174"/>
      <c r="T21" s="183" t="b">
        <v>0</v>
      </c>
      <c r="U21" s="174"/>
      <c r="V21" s="183" t="b">
        <v>0</v>
      </c>
      <c r="W21" s="174"/>
      <c r="X21" s="183" t="b">
        <v>0</v>
      </c>
      <c r="Y21" s="174"/>
      <c r="Z21" s="183" t="b">
        <v>0</v>
      </c>
      <c r="AA21" s="174"/>
      <c r="AB21" s="174"/>
      <c r="AC21" s="183" t="b">
        <v>0</v>
      </c>
      <c r="AD21" s="183" t="b">
        <v>0</v>
      </c>
      <c r="AE21" s="183" t="b">
        <v>0</v>
      </c>
      <c r="AF21" s="183" t="b">
        <v>0</v>
      </c>
      <c r="AG21" s="183" t="b">
        <v>0</v>
      </c>
      <c r="AH21" s="32"/>
      <c r="AI21" s="32"/>
      <c r="AJ21" s="32"/>
      <c r="AK21" s="28"/>
      <c r="AL21" s="97">
        <v>254000</v>
      </c>
      <c r="AM21" s="169">
        <f t="shared" si="1"/>
        <v>101600</v>
      </c>
      <c r="AN21" s="174">
        <v>3</v>
      </c>
      <c r="AO21" s="15"/>
      <c r="AP21" s="18"/>
      <c r="AQ21" s="18">
        <v>45986</v>
      </c>
      <c r="AR21" s="236"/>
      <c r="AS21" s="200"/>
      <c r="AT21" s="16">
        <v>46097</v>
      </c>
    </row>
    <row r="22" spans="1:46" hidden="1" x14ac:dyDescent="0.2">
      <c r="A22" s="187">
        <f t="shared" si="0"/>
        <v>19</v>
      </c>
      <c r="B22" s="191" t="str">
        <f>_xlfn.XLOOKUP(D22,Códigos_Propuestas!$B$4:$B$10,Códigos_Propuestas!$C$4:$C$10,"!",0,1)&amp;"__"&amp;
_xlfn.XLOOKUP(H22,Códigos_Propuestas!$E$4:$E$76,Códigos_Propuestas!$F$4:$F$76,"!",1)&amp;"__"&amp;
_xlfn.XLOOKUP(M22,Códigos_Propuestas!$I$4:$I$7,Códigos_Propuestas!$J$4:$J$7,"!",1)&amp;"__"&amp;
_xlfn.XLOOKUP(N22,Códigos_Propuestas!$O$4:$O$11,Códigos_Propuestas!$Q$4:$Q$11,"!",1)&amp;"__"&amp;
_xlfn.XLOOKUP(F22,Códigos_Propuestas!$BF:$BF,Códigos_Propuestas!$BH:$BH,"!",0,1)</f>
        <v>BR__ERC__OP__MOP__!</v>
      </c>
      <c r="C22" s="47">
        <v>20</v>
      </c>
      <c r="D22" s="174" t="s">
        <v>88</v>
      </c>
      <c r="E22" s="174" t="s">
        <v>88</v>
      </c>
      <c r="F22" s="194" t="s">
        <v>561</v>
      </c>
      <c r="G22" s="174" t="s">
        <v>561</v>
      </c>
      <c r="H22" s="174" t="s">
        <v>297</v>
      </c>
      <c r="I22" s="174" t="s">
        <v>562</v>
      </c>
      <c r="J22" s="174" t="s">
        <v>143</v>
      </c>
      <c r="K22" s="47" t="s">
        <v>44</v>
      </c>
      <c r="L22" s="181"/>
      <c r="M22" s="174" t="s">
        <v>92</v>
      </c>
      <c r="N22" s="181" t="s">
        <v>141</v>
      </c>
      <c r="O22" s="181" t="s">
        <v>40</v>
      </c>
      <c r="P22" s="181" t="s">
        <v>129</v>
      </c>
      <c r="Q22" s="181" t="s">
        <v>103</v>
      </c>
      <c r="R22" s="181" t="s">
        <v>52</v>
      </c>
      <c r="S22" s="174"/>
      <c r="T22" s="183" t="b">
        <v>0</v>
      </c>
      <c r="U22" s="174"/>
      <c r="V22" s="183" t="b">
        <v>0</v>
      </c>
      <c r="W22" s="174"/>
      <c r="X22" s="183" t="b">
        <v>0</v>
      </c>
      <c r="Y22" s="174"/>
      <c r="Z22" s="183" t="b">
        <v>0</v>
      </c>
      <c r="AA22" s="174"/>
      <c r="AB22" s="174"/>
      <c r="AC22" s="183" t="b">
        <v>0</v>
      </c>
      <c r="AD22" s="183" t="b">
        <v>0</v>
      </c>
      <c r="AE22" s="183" t="b">
        <v>0</v>
      </c>
      <c r="AF22" s="183" t="b">
        <v>0</v>
      </c>
      <c r="AG22" s="183" t="b">
        <v>0</v>
      </c>
      <c r="AH22" s="32"/>
      <c r="AI22" s="32"/>
      <c r="AJ22" s="32"/>
      <c r="AK22" s="28"/>
      <c r="AL22" s="97">
        <v>208000</v>
      </c>
      <c r="AM22" s="169">
        <f t="shared" si="1"/>
        <v>83200</v>
      </c>
      <c r="AN22" s="174">
        <v>4</v>
      </c>
      <c r="AO22" s="15"/>
      <c r="AP22" s="32"/>
      <c r="AQ22" s="18">
        <v>46052</v>
      </c>
      <c r="AR22" s="235"/>
      <c r="AS22" s="18"/>
      <c r="AT22" s="18">
        <v>46097</v>
      </c>
    </row>
    <row r="23" spans="1:46" hidden="1" x14ac:dyDescent="0.2">
      <c r="A23" s="187">
        <f t="shared" si="0"/>
        <v>19</v>
      </c>
      <c r="B23" s="191" t="str">
        <f>_xlfn.XLOOKUP(D23,Códigos_Propuestas!$B$4:$B$10,Códigos_Propuestas!$C$4:$C$10,"!",0,1)&amp;"__"&amp;
_xlfn.XLOOKUP(H23,Códigos_Propuestas!$E$4:$E$76,Códigos_Propuestas!$F$4:$F$76,"!",1)&amp;"__"&amp;
_xlfn.XLOOKUP(M23,Códigos_Propuestas!$I$4:$I$7,Códigos_Propuestas!$J$4:$J$7,"!",1)&amp;"__"&amp;
_xlfn.XLOOKUP(N23,Códigos_Propuestas!$O$4:$O$11,Códigos_Propuestas!$Q$4:$Q$11,"!",1)&amp;"__"&amp;
_xlfn.XLOOKUP(F23,Códigos_Propuestas!$BF:$BF,Códigos_Propuestas!$BH:$BH,"!",0,1)</f>
        <v>PE__COR__UG__PEA__!</v>
      </c>
      <c r="C23" s="47">
        <v>21</v>
      </c>
      <c r="D23" s="174" t="s">
        <v>62</v>
      </c>
      <c r="E23" s="174" t="s">
        <v>62</v>
      </c>
      <c r="F23" s="196" t="s">
        <v>636</v>
      </c>
      <c r="G23" s="174"/>
      <c r="H23" s="174" t="s">
        <v>210</v>
      </c>
      <c r="I23" s="174" t="s">
        <v>641</v>
      </c>
      <c r="J23" s="174" t="s">
        <v>143</v>
      </c>
      <c r="K23" s="47" t="s">
        <v>72</v>
      </c>
      <c r="L23" s="181"/>
      <c r="M23" s="174" t="s">
        <v>65</v>
      </c>
      <c r="N23" s="186" t="s">
        <v>39</v>
      </c>
      <c r="O23" s="181" t="s">
        <v>40</v>
      </c>
      <c r="P23" s="181" t="s">
        <v>129</v>
      </c>
      <c r="Q23" s="181" t="s">
        <v>144</v>
      </c>
      <c r="R23" s="181" t="s">
        <v>79</v>
      </c>
      <c r="S23" s="174"/>
      <c r="T23" s="183" t="b">
        <v>0</v>
      </c>
      <c r="U23" s="174"/>
      <c r="V23" s="183" t="b">
        <v>0</v>
      </c>
      <c r="W23" s="174"/>
      <c r="X23" s="183" t="b">
        <v>0</v>
      </c>
      <c r="Y23" s="174"/>
      <c r="Z23" s="183" t="b">
        <v>0</v>
      </c>
      <c r="AA23" s="174"/>
      <c r="AB23" s="174"/>
      <c r="AC23" s="183" t="b">
        <v>1</v>
      </c>
      <c r="AD23" s="183" t="b">
        <v>0</v>
      </c>
      <c r="AE23" s="183" t="b">
        <v>0</v>
      </c>
      <c r="AF23" s="183" t="b">
        <v>0</v>
      </c>
      <c r="AG23" s="183" t="b">
        <v>0</v>
      </c>
      <c r="AH23" s="32"/>
      <c r="AI23" s="32"/>
      <c r="AJ23" s="32"/>
      <c r="AK23" s="28"/>
      <c r="AL23" s="97">
        <v>160295</v>
      </c>
      <c r="AM23" s="169">
        <f t="shared" si="1"/>
        <v>64118</v>
      </c>
      <c r="AN23" s="174">
        <v>3</v>
      </c>
      <c r="AO23" s="15"/>
      <c r="AP23" s="18">
        <v>46078</v>
      </c>
      <c r="AQ23" s="18">
        <v>46086</v>
      </c>
      <c r="AR23" s="235"/>
      <c r="AS23" s="18"/>
      <c r="AT23" s="18">
        <v>46097</v>
      </c>
    </row>
    <row r="24" spans="1:46" hidden="1" x14ac:dyDescent="0.2">
      <c r="A24" s="187">
        <f t="shared" si="0"/>
        <v>19</v>
      </c>
      <c r="B24" s="191" t="str">
        <f>_xlfn.XLOOKUP(D24,Códigos_Propuestas!$B$4:$B$10,Códigos_Propuestas!$C$4:$C$10,"!",0,1)&amp;"__"&amp;
_xlfn.XLOOKUP(H24,Códigos_Propuestas!$E$4:$E$76,Códigos_Propuestas!$F$4:$F$76,"!",1)&amp;"__"&amp;
_xlfn.XLOOKUP(M24,Códigos_Propuestas!$I$4:$I$7,Códigos_Propuestas!$J$4:$J$7,"!",1)&amp;"__"&amp;
_xlfn.XLOOKUP(N24,Códigos_Propuestas!$O$4:$O$11,Códigos_Propuestas!$Q$4:$Q$11,"!",1)&amp;"__"&amp;
_xlfn.XLOOKUP(F24,Códigos_Propuestas!$BF:$BF,Códigos_Propuestas!$BH:$BH,"!",0,1)</f>
        <v>CH__CAP__OU__DAR__!</v>
      </c>
      <c r="C24" s="47">
        <v>22</v>
      </c>
      <c r="D24" s="174" t="s">
        <v>32</v>
      </c>
      <c r="E24" s="174" t="s">
        <v>32</v>
      </c>
      <c r="F24" s="194" t="s">
        <v>522</v>
      </c>
      <c r="G24" s="174" t="s">
        <v>522</v>
      </c>
      <c r="H24" s="174" t="s">
        <v>319</v>
      </c>
      <c r="I24" s="174" t="s">
        <v>523</v>
      </c>
      <c r="J24" s="174" t="s">
        <v>143</v>
      </c>
      <c r="K24" s="47" t="s">
        <v>72</v>
      </c>
      <c r="L24" s="181"/>
      <c r="M24" s="174" t="s">
        <v>116</v>
      </c>
      <c r="N24" s="181" t="s">
        <v>95</v>
      </c>
      <c r="O24" s="181" t="str">
        <f>_xlfn.XLOOKUP(N24,Códigos_Propuestas!$O$4:$O$15,Códigos_Propuestas!$P$4:$P$15,"!",0,1)</f>
        <v>REDCO</v>
      </c>
      <c r="P24" s="181" t="s">
        <v>80</v>
      </c>
      <c r="Q24" s="181" t="s">
        <v>103</v>
      </c>
      <c r="R24" s="181" t="s">
        <v>104</v>
      </c>
      <c r="S24" s="174"/>
      <c r="T24" s="183" t="b">
        <v>0</v>
      </c>
      <c r="U24" s="174"/>
      <c r="V24" s="183" t="b">
        <v>0</v>
      </c>
      <c r="W24" s="174"/>
      <c r="X24" s="183" t="b">
        <v>0</v>
      </c>
      <c r="Y24" s="174"/>
      <c r="Z24" s="183" t="b">
        <v>0</v>
      </c>
      <c r="AA24" s="174" t="s">
        <v>60</v>
      </c>
      <c r="AB24" s="174"/>
      <c r="AC24" s="183" t="b">
        <v>0</v>
      </c>
      <c r="AD24" s="183" t="b">
        <v>0</v>
      </c>
      <c r="AE24" s="183" t="b">
        <v>0</v>
      </c>
      <c r="AF24" s="183" t="b">
        <v>0</v>
      </c>
      <c r="AG24" s="183" t="b">
        <v>0</v>
      </c>
      <c r="AH24" s="32"/>
      <c r="AI24" s="32"/>
      <c r="AJ24" s="32"/>
      <c r="AK24" s="28"/>
      <c r="AL24" s="97">
        <v>140000</v>
      </c>
      <c r="AM24" s="169">
        <f t="shared" si="1"/>
        <v>56000</v>
      </c>
      <c r="AN24" s="174">
        <v>2</v>
      </c>
      <c r="AO24" s="15"/>
      <c r="AP24" s="18"/>
      <c r="AQ24" s="18">
        <v>45883</v>
      </c>
      <c r="AR24" s="236"/>
      <c r="AS24" s="200"/>
      <c r="AT24" s="16">
        <v>46097</v>
      </c>
    </row>
    <row r="25" spans="1:46" x14ac:dyDescent="0.2">
      <c r="A25" s="187">
        <f t="shared" si="0"/>
        <v>19</v>
      </c>
      <c r="B25" s="191" t="str">
        <f>_xlfn.XLOOKUP(D25,Códigos_Propuestas!$B$4:$B$10,Códigos_Propuestas!$C$4:$C$10,"!",0,1)&amp;"__"&amp;
_xlfn.XLOOKUP(H25,Códigos_Propuestas!$E$4:$E$76,Códigos_Propuestas!$F$4:$F$76,"!",1)&amp;"__"&amp;
_xlfn.XLOOKUP(M25,Códigos_Propuestas!$I$4:$I$7,Códigos_Propuestas!$J$4:$J$7,"!",1)&amp;"__"&amp;
_xlfn.XLOOKUP(N25,Códigos_Propuestas!$O$4:$O$11,Códigos_Propuestas!$Q$4:$Q$11,"!",1)&amp;"__"&amp;
_xlfn.XLOOKUP(F25,Códigos_Propuestas!$BF:$BF,Códigos_Propuestas!$BH:$BH,"!",0,1)</f>
        <v>BR__MOS__OP__MN2__!</v>
      </c>
      <c r="C25" s="47">
        <v>23</v>
      </c>
      <c r="D25" s="174" t="s">
        <v>88</v>
      </c>
      <c r="E25" s="174" t="s">
        <v>88</v>
      </c>
      <c r="F25" s="194" t="s">
        <v>679</v>
      </c>
      <c r="G25" s="174" t="s">
        <v>581</v>
      </c>
      <c r="H25" s="174" t="s">
        <v>199</v>
      </c>
      <c r="I25" s="174" t="s">
        <v>576</v>
      </c>
      <c r="J25" s="174" t="s">
        <v>122</v>
      </c>
      <c r="K25" s="47" t="s">
        <v>98</v>
      </c>
      <c r="L25" s="181"/>
      <c r="M25" s="174" t="s">
        <v>92</v>
      </c>
      <c r="N25" s="181" t="s">
        <v>166</v>
      </c>
      <c r="O25" s="181" t="s">
        <v>40</v>
      </c>
      <c r="P25" s="181" t="s">
        <v>129</v>
      </c>
      <c r="Q25" s="181" t="s">
        <v>103</v>
      </c>
      <c r="R25" s="181"/>
      <c r="S25" s="174"/>
      <c r="T25" s="183" t="b">
        <v>0</v>
      </c>
      <c r="U25" s="174"/>
      <c r="V25" s="183" t="b">
        <v>0</v>
      </c>
      <c r="W25" s="174"/>
      <c r="X25" s="183" t="b">
        <v>0</v>
      </c>
      <c r="Y25" s="174"/>
      <c r="Z25" s="183" t="b">
        <v>0</v>
      </c>
      <c r="AA25" s="174"/>
      <c r="AB25" s="174"/>
      <c r="AC25" s="183" t="b">
        <v>1</v>
      </c>
      <c r="AD25" s="183" t="b">
        <v>0</v>
      </c>
      <c r="AE25" s="183" t="b">
        <v>0</v>
      </c>
      <c r="AF25" s="183" t="b">
        <v>0</v>
      </c>
      <c r="AG25" s="183" t="b">
        <v>0</v>
      </c>
      <c r="AH25" s="32"/>
      <c r="AI25" s="32" t="s">
        <v>99</v>
      </c>
      <c r="AJ25" s="32" t="s">
        <v>50</v>
      </c>
      <c r="AK25" s="28"/>
      <c r="AL25" s="97">
        <v>28256</v>
      </c>
      <c r="AM25" s="169">
        <f t="shared" si="1"/>
        <v>5651.2000000000007</v>
      </c>
      <c r="AN25" s="174">
        <v>1</v>
      </c>
      <c r="AO25" s="15"/>
      <c r="AP25" s="18">
        <v>46090</v>
      </c>
      <c r="AQ25" s="18">
        <v>46093</v>
      </c>
      <c r="AR25" s="236"/>
      <c r="AS25" s="200"/>
      <c r="AT25" s="16">
        <v>46094</v>
      </c>
    </row>
    <row r="26" spans="1:46" x14ac:dyDescent="0.2">
      <c r="A26" s="187">
        <f t="shared" si="0"/>
        <v>19</v>
      </c>
      <c r="B26" s="191" t="str">
        <f>_xlfn.XLOOKUP(D26,Códigos_Propuestas!$B$4:$B$10,Códigos_Propuestas!$C$4:$C$10,"!",0,1)&amp;"__"&amp;
_xlfn.XLOOKUP(H26,Códigos_Propuestas!$E$4:$E$76,Códigos_Propuestas!$F$4:$F$76,"!",1)&amp;"__"&amp;
_xlfn.XLOOKUP(M26,Códigos_Propuestas!$I$4:$I$7,Códigos_Propuestas!$J$4:$J$7,"!",1)&amp;"__"&amp;
_xlfn.XLOOKUP(N26,Códigos_Propuestas!$O$4:$O$11,Códigos_Propuestas!$Q$4:$Q$11,"!",1)&amp;"__"&amp;
_xlfn.XLOOKUP(F26,Códigos_Propuestas!$BF:$BF,Códigos_Propuestas!$BH:$BH,"!",0,1)</f>
        <v>PE__HCS__UG__PEA__!</v>
      </c>
      <c r="C26" s="47">
        <v>24</v>
      </c>
      <c r="D26" s="174" t="s">
        <v>62</v>
      </c>
      <c r="E26" s="174" t="s">
        <v>62</v>
      </c>
      <c r="F26" s="194" t="s">
        <v>677</v>
      </c>
      <c r="G26" s="174"/>
      <c r="H26" s="174" t="s">
        <v>323</v>
      </c>
      <c r="I26" s="174" t="s">
        <v>664</v>
      </c>
      <c r="J26" s="174" t="s">
        <v>122</v>
      </c>
      <c r="K26" s="47" t="s">
        <v>72</v>
      </c>
      <c r="L26" s="181" t="s">
        <v>701</v>
      </c>
      <c r="M26" s="174" t="s">
        <v>65</v>
      </c>
      <c r="N26" s="186" t="s">
        <v>39</v>
      </c>
      <c r="O26" s="181" t="s">
        <v>40</v>
      </c>
      <c r="P26" s="181" t="s">
        <v>80</v>
      </c>
      <c r="Q26" s="181" t="s">
        <v>103</v>
      </c>
      <c r="R26" s="181"/>
      <c r="S26" s="174"/>
      <c r="T26" s="183" t="b">
        <v>0</v>
      </c>
      <c r="U26" s="174"/>
      <c r="V26" s="183" t="b">
        <v>0</v>
      </c>
      <c r="W26" s="174"/>
      <c r="X26" s="183" t="b">
        <v>0</v>
      </c>
      <c r="Y26" s="174"/>
      <c r="Z26" s="183" t="b">
        <v>0</v>
      </c>
      <c r="AA26" s="174"/>
      <c r="AB26" s="174"/>
      <c r="AC26" s="183" t="b">
        <v>1</v>
      </c>
      <c r="AD26" s="183" t="b">
        <v>0</v>
      </c>
      <c r="AE26" s="183" t="b">
        <v>0</v>
      </c>
      <c r="AF26" s="183" t="b">
        <v>0</v>
      </c>
      <c r="AG26" s="183" t="b">
        <v>0</v>
      </c>
      <c r="AH26" s="32"/>
      <c r="AI26" s="32" t="s">
        <v>99</v>
      </c>
      <c r="AJ26" s="32" t="s">
        <v>50</v>
      </c>
      <c r="AK26" s="28"/>
      <c r="AL26" s="97">
        <v>15900</v>
      </c>
      <c r="AM26" s="169">
        <f t="shared" si="1"/>
        <v>3180</v>
      </c>
      <c r="AN26" s="174">
        <v>0.5</v>
      </c>
      <c r="AO26" s="15"/>
      <c r="AP26" s="18">
        <v>46087</v>
      </c>
      <c r="AQ26" s="18">
        <v>46091</v>
      </c>
      <c r="AR26" s="235"/>
      <c r="AS26" s="18"/>
      <c r="AT26" s="233">
        <v>46092</v>
      </c>
    </row>
    <row r="27" spans="1:46" x14ac:dyDescent="0.2">
      <c r="A27" s="187">
        <f t="shared" si="0"/>
        <v>18</v>
      </c>
      <c r="B27" s="191" t="str">
        <f>_xlfn.XLOOKUP(D27,Códigos_Propuestas!$B$4:$B$10,Códigos_Propuestas!$C$4:$C$10,"!",0,1)&amp;"__"&amp;
_xlfn.XLOOKUP(H27,Códigos_Propuestas!$E$4:$E$76,Códigos_Propuestas!$F$4:$F$76,"!",1)&amp;"__"&amp;
_xlfn.XLOOKUP(M27,Códigos_Propuestas!$I$4:$I$7,Códigos_Propuestas!$J$4:$J$7,"!",1)&amp;"__"&amp;
_xlfn.XLOOKUP(N27,Códigos_Propuestas!$O$4:$O$11,Códigos_Propuestas!$Q$4:$Q$11,"!",1)&amp;"__"&amp;
_xlfn.XLOOKUP(F27,Códigos_Propuestas!$BF:$BF,Códigos_Propuestas!$BH:$BH,"!",0,1)</f>
        <v>PE__AES__!__MIN__!</v>
      </c>
      <c r="C27" s="47">
        <v>25</v>
      </c>
      <c r="D27" s="174" t="s">
        <v>62</v>
      </c>
      <c r="E27" s="174" t="s">
        <v>62</v>
      </c>
      <c r="F27" s="194" t="s">
        <v>665</v>
      </c>
      <c r="G27" s="174"/>
      <c r="H27" s="174" t="s">
        <v>233</v>
      </c>
      <c r="I27" s="174" t="s">
        <v>273</v>
      </c>
      <c r="J27" s="174" t="s">
        <v>122</v>
      </c>
      <c r="K27" s="47" t="s">
        <v>72</v>
      </c>
      <c r="L27" s="181"/>
      <c r="M27" s="174"/>
      <c r="N27" s="186" t="s">
        <v>35</v>
      </c>
      <c r="O27" s="181" t="s">
        <v>40</v>
      </c>
      <c r="P27" s="181" t="s">
        <v>80</v>
      </c>
      <c r="Q27" s="181" t="s">
        <v>103</v>
      </c>
      <c r="R27" s="181"/>
      <c r="S27" s="174"/>
      <c r="T27" s="183" t="b">
        <v>0</v>
      </c>
      <c r="U27" s="174"/>
      <c r="V27" s="183" t="b">
        <v>0</v>
      </c>
      <c r="W27" s="174"/>
      <c r="X27" s="183" t="b">
        <v>0</v>
      </c>
      <c r="Y27" s="174"/>
      <c r="Z27" s="183" t="b">
        <v>0</v>
      </c>
      <c r="AA27" s="174"/>
      <c r="AB27" s="174"/>
      <c r="AC27" s="183" t="b">
        <v>0</v>
      </c>
      <c r="AD27" s="183" t="b">
        <v>0</v>
      </c>
      <c r="AE27" s="183" t="b">
        <v>1</v>
      </c>
      <c r="AF27" s="183" t="b">
        <v>0</v>
      </c>
      <c r="AG27" s="183" t="b">
        <v>0</v>
      </c>
      <c r="AH27" s="32"/>
      <c r="AI27" s="32" t="s">
        <v>99</v>
      </c>
      <c r="AJ27" s="32" t="s">
        <v>50</v>
      </c>
      <c r="AK27" s="28"/>
      <c r="AL27" s="97">
        <v>19302</v>
      </c>
      <c r="AM27" s="169">
        <f t="shared" si="1"/>
        <v>3860.4</v>
      </c>
      <c r="AN27" s="174">
        <v>0.5</v>
      </c>
      <c r="AO27" s="15"/>
      <c r="AP27" s="18">
        <v>46087</v>
      </c>
      <c r="AQ27" s="18">
        <v>46090</v>
      </c>
      <c r="AR27" s="235"/>
      <c r="AS27" s="18"/>
      <c r="AT27" s="18">
        <v>46092</v>
      </c>
    </row>
    <row r="28" spans="1:46" x14ac:dyDescent="0.2">
      <c r="A28" s="187">
        <f t="shared" si="0"/>
        <v>19</v>
      </c>
      <c r="B28" s="191" t="str">
        <f>_xlfn.XLOOKUP(D28,Códigos_Propuestas!$B$4:$B$10,Códigos_Propuestas!$C$4:$C$10,"!",0,1)&amp;"__"&amp;
_xlfn.XLOOKUP(H28,Códigos_Propuestas!$E$4:$E$76,Códigos_Propuestas!$F$4:$F$76,"!",1)&amp;"__"&amp;
_xlfn.XLOOKUP(M28,Códigos_Propuestas!$I$4:$I$7,Códigos_Propuestas!$J$4:$J$7,"!",1)&amp;"__"&amp;
_xlfn.XLOOKUP(N29,Códigos_Propuestas!$O$4:$O$11,Códigos_Propuestas!$Q$4:$Q$11,"!",1)&amp;"__"&amp;
_xlfn.XLOOKUP(F28,Códigos_Propuestas!$BF:$BF,Códigos_Propuestas!$BH:$BH,"!",0,1)</f>
        <v>PE__MMA__UG__DAR__!</v>
      </c>
      <c r="C28" s="47">
        <v>26</v>
      </c>
      <c r="D28" s="174" t="s">
        <v>62</v>
      </c>
      <c r="E28" s="174" t="s">
        <v>62</v>
      </c>
      <c r="F28" s="194" t="s">
        <v>649</v>
      </c>
      <c r="G28" s="174"/>
      <c r="H28" s="174" t="s">
        <v>221</v>
      </c>
      <c r="I28" s="174" t="s">
        <v>221</v>
      </c>
      <c r="J28" s="174" t="s">
        <v>122</v>
      </c>
      <c r="K28" s="47" t="s">
        <v>72</v>
      </c>
      <c r="L28" s="181" t="s">
        <v>748</v>
      </c>
      <c r="M28" s="174" t="s">
        <v>65</v>
      </c>
      <c r="N28" s="186" t="s">
        <v>35</v>
      </c>
      <c r="O28" s="181" t="s">
        <v>40</v>
      </c>
      <c r="P28" s="181" t="s">
        <v>749</v>
      </c>
      <c r="Q28" s="181" t="s">
        <v>674</v>
      </c>
      <c r="R28" s="181"/>
      <c r="S28" s="174"/>
      <c r="T28" s="183" t="b">
        <v>0</v>
      </c>
      <c r="U28" s="174"/>
      <c r="V28" s="183" t="b">
        <v>0</v>
      </c>
      <c r="W28" s="174"/>
      <c r="X28" s="183" t="b">
        <v>0</v>
      </c>
      <c r="Y28" s="174"/>
      <c r="Z28" s="183" t="b">
        <v>0</v>
      </c>
      <c r="AA28" s="174"/>
      <c r="AB28" s="174"/>
      <c r="AC28" s="183" t="b">
        <v>1</v>
      </c>
      <c r="AD28" s="183" t="b">
        <v>0</v>
      </c>
      <c r="AE28" s="183" t="b">
        <v>0</v>
      </c>
      <c r="AF28" s="183" t="b">
        <v>0</v>
      </c>
      <c r="AG28" s="183" t="b">
        <v>0</v>
      </c>
      <c r="AH28" s="32"/>
      <c r="AI28" s="32" t="s">
        <v>123</v>
      </c>
      <c r="AJ28" s="32" t="s">
        <v>50</v>
      </c>
      <c r="AK28" s="28"/>
      <c r="AL28" s="97">
        <v>78715</v>
      </c>
      <c r="AM28" s="169">
        <f t="shared" si="1"/>
        <v>15743</v>
      </c>
      <c r="AN28" s="174">
        <v>2</v>
      </c>
      <c r="AO28" s="15"/>
      <c r="AP28" s="18">
        <v>46070</v>
      </c>
      <c r="AQ28" s="18">
        <v>46079</v>
      </c>
      <c r="AR28" s="235"/>
      <c r="AS28" s="18"/>
      <c r="AT28" s="18">
        <v>46087</v>
      </c>
    </row>
    <row r="29" spans="1:46" x14ac:dyDescent="0.2">
      <c r="A29" s="187">
        <f t="shared" si="0"/>
        <v>19</v>
      </c>
      <c r="B29" s="191" t="str">
        <f>_xlfn.XLOOKUP(D29,Códigos_Propuestas!$B$4:$B$10,Códigos_Propuestas!$C$4:$C$10,"!",0,1)&amp;"__"&amp;
_xlfn.XLOOKUP(H29,Códigos_Propuestas!$E$4:$E$76,Códigos_Propuestas!$F$4:$F$76,"!",1)&amp;"__"&amp;
_xlfn.XLOOKUP(M29,Códigos_Propuestas!$I$4:$I$7,Códigos_Propuestas!$J$4:$J$7,"!",1)&amp;"__"&amp;
_xlfn.XLOOKUP(N29,Códigos_Propuestas!$O$4:$O$11,Códigos_Propuestas!$Q$4:$Q$11,"!",1)&amp;"__"&amp;
_xlfn.XLOOKUP(F29,Códigos_Propuestas!$BF:$BF,Códigos_Propuestas!$BH:$BH,"!",0,1)</f>
        <v>PE__HUD__UG__DAR__!</v>
      </c>
      <c r="C29" s="47">
        <v>27</v>
      </c>
      <c r="D29" s="174" t="s">
        <v>62</v>
      </c>
      <c r="E29" s="174" t="s">
        <v>62</v>
      </c>
      <c r="F29" s="194" t="s">
        <v>567</v>
      </c>
      <c r="G29" s="174" t="s">
        <v>567</v>
      </c>
      <c r="H29" s="174" t="s">
        <v>270</v>
      </c>
      <c r="I29" s="174" t="s">
        <v>568</v>
      </c>
      <c r="J29" s="174" t="s">
        <v>122</v>
      </c>
      <c r="K29" s="47" t="s">
        <v>72</v>
      </c>
      <c r="L29" s="181"/>
      <c r="M29" s="174" t="s">
        <v>65</v>
      </c>
      <c r="N29" s="181" t="s">
        <v>185</v>
      </c>
      <c r="O29" s="181" t="str">
        <f>_xlfn.XLOOKUP(N29,Códigos_Propuestas!$O$4:$O$15,Códigos_Propuestas!$P$4:$P$15,"!",0,1)</f>
        <v>Geotecnia</v>
      </c>
      <c r="P29" s="181" t="s">
        <v>129</v>
      </c>
      <c r="Q29" s="181" t="s">
        <v>103</v>
      </c>
      <c r="R29" s="181"/>
      <c r="S29" s="174"/>
      <c r="T29" s="183" t="b">
        <v>0</v>
      </c>
      <c r="U29" s="174"/>
      <c r="V29" s="183" t="b">
        <v>0</v>
      </c>
      <c r="W29" s="174"/>
      <c r="X29" s="183" t="b">
        <v>0</v>
      </c>
      <c r="Y29" s="174"/>
      <c r="Z29" s="183" t="b">
        <v>0</v>
      </c>
      <c r="AA29" s="174"/>
      <c r="AB29" s="174"/>
      <c r="AC29" s="183" t="b">
        <v>1</v>
      </c>
      <c r="AD29" s="183" t="b">
        <v>0</v>
      </c>
      <c r="AE29" s="183" t="b">
        <v>0</v>
      </c>
      <c r="AF29" s="183" t="b">
        <v>0</v>
      </c>
      <c r="AG29" s="183" t="b">
        <v>0</v>
      </c>
      <c r="AH29" s="32"/>
      <c r="AI29" s="32" t="s">
        <v>99</v>
      </c>
      <c r="AJ29" s="32" t="s">
        <v>50</v>
      </c>
      <c r="AK29" s="28"/>
      <c r="AL29" s="97">
        <v>18420</v>
      </c>
      <c r="AM29" s="169">
        <f t="shared" si="1"/>
        <v>3684</v>
      </c>
      <c r="AN29" s="174">
        <v>1</v>
      </c>
      <c r="AO29" s="15"/>
      <c r="AP29" s="18">
        <v>46056</v>
      </c>
      <c r="AQ29" s="18">
        <v>46071</v>
      </c>
      <c r="AR29" s="235"/>
      <c r="AS29" s="18"/>
      <c r="AT29" s="18">
        <v>46087</v>
      </c>
    </row>
    <row r="30" spans="1:46" x14ac:dyDescent="0.2">
      <c r="A30" s="187">
        <f t="shared" si="0"/>
        <v>21</v>
      </c>
      <c r="B30" s="191" t="str">
        <f>_xlfn.XLOOKUP(D30,Códigos_Propuestas!$B$4:$B$10,Códigos_Propuestas!$C$4:$C$10,"!",0,1)&amp;"__"&amp;
_xlfn.XLOOKUP(H30,Códigos_Propuestas!$E$4:$E$76,Códigos_Propuestas!$F$4:$F$76,"!",1)&amp;"__"&amp;
_xlfn.XLOOKUP(M30,Códigos_Propuestas!$I$4:$I$7,Códigos_Propuestas!$J$4:$J$7,"!",1)&amp;"__"&amp;
_xlfn.XLOOKUP(N30,Códigos_Propuestas!$O$4:$O$11,Códigos_Propuestas!$Q$4:$Q$11,"!",1)&amp;"__"&amp;
_xlfn.XLOOKUP(F30,Códigos_Propuestas!$BF:$BF,Códigos_Propuestas!$BH:$BH,"!",0,1)</f>
        <v>PE__CMH__UG__PEA__020</v>
      </c>
      <c r="C30" s="47">
        <v>28</v>
      </c>
      <c r="D30" s="174" t="s">
        <v>62</v>
      </c>
      <c r="E30" s="174" t="s">
        <v>62</v>
      </c>
      <c r="F30" s="194" t="s">
        <v>217</v>
      </c>
      <c r="G30" s="174" t="s">
        <v>217</v>
      </c>
      <c r="H30" s="174" t="s">
        <v>331</v>
      </c>
      <c r="I30" s="174"/>
      <c r="J30" s="174" t="s">
        <v>122</v>
      </c>
      <c r="K30" s="47" t="s">
        <v>72</v>
      </c>
      <c r="L30" s="181"/>
      <c r="M30" s="174" t="s">
        <v>65</v>
      </c>
      <c r="N30" s="181" t="s">
        <v>39</v>
      </c>
      <c r="O30" s="181" t="s">
        <v>645</v>
      </c>
      <c r="P30" s="181" t="s">
        <v>749</v>
      </c>
      <c r="Q30" s="181" t="s">
        <v>51</v>
      </c>
      <c r="R30" s="181"/>
      <c r="S30" s="174"/>
      <c r="T30" s="183" t="b">
        <v>0</v>
      </c>
      <c r="U30" s="174"/>
      <c r="V30" s="183" t="b">
        <v>0</v>
      </c>
      <c r="W30" s="174"/>
      <c r="X30" s="183" t="b">
        <v>0</v>
      </c>
      <c r="Y30" s="174"/>
      <c r="Z30" s="183" t="b">
        <v>0</v>
      </c>
      <c r="AA30" s="174"/>
      <c r="AB30" s="174"/>
      <c r="AC30" s="183" t="b">
        <v>1</v>
      </c>
      <c r="AD30" s="183" t="b">
        <v>0</v>
      </c>
      <c r="AE30" s="183" t="b">
        <v>0</v>
      </c>
      <c r="AF30" s="183" t="b">
        <v>0</v>
      </c>
      <c r="AG30" s="183" t="b">
        <v>0</v>
      </c>
      <c r="AH30" s="32"/>
      <c r="AI30" s="32" t="s">
        <v>45</v>
      </c>
      <c r="AJ30" s="32" t="s">
        <v>50</v>
      </c>
      <c r="AK30" s="28"/>
      <c r="AL30" s="97">
        <v>80567</v>
      </c>
      <c r="AM30" s="169">
        <f t="shared" si="1"/>
        <v>16113.400000000001</v>
      </c>
      <c r="AN30" s="174">
        <v>2</v>
      </c>
      <c r="AO30" s="15"/>
      <c r="AP30" s="18">
        <v>45982</v>
      </c>
      <c r="AQ30" s="18">
        <v>46003</v>
      </c>
      <c r="AR30" s="236"/>
      <c r="AS30" s="200"/>
      <c r="AT30" s="177">
        <v>46086</v>
      </c>
    </row>
    <row r="31" spans="1:46" x14ac:dyDescent="0.2">
      <c r="A31" s="187">
        <f t="shared" si="0"/>
        <v>20</v>
      </c>
      <c r="B31" s="191" t="str">
        <f>_xlfn.XLOOKUP(D31,Códigos_Propuestas!$B$4:$B$10,Códigos_Propuestas!$C$4:$C$10,"!",0,1)&amp;"__"&amp;
_xlfn.XLOOKUP(H31,Códigos_Propuestas!$E$4:$E$76,Códigos_Propuestas!$F$4:$F$76,"!",1)&amp;"__"&amp;
_xlfn.XLOOKUP(M31,Códigos_Propuestas!$I$4:$I$7,Códigos_Propuestas!$J$4:$J$7,"!",1)&amp;"__"&amp;
_xlfn.XLOOKUP(N31,Códigos_Propuestas!$O$4:$O$11,Códigos_Propuestas!$Q$4:$Q$11,"!",1)&amp;"__"&amp;
_xlfn.XLOOKUP(F31,Códigos_Propuestas!$BF:$BF,Códigos_Propuestas!$BH:$BH,"!",0,1)</f>
        <v>USA__HCS__UG__MIN__!</v>
      </c>
      <c r="C31" s="47">
        <v>29</v>
      </c>
      <c r="D31" s="174" t="s">
        <v>136</v>
      </c>
      <c r="E31" s="174" t="s">
        <v>136</v>
      </c>
      <c r="F31" s="194" t="s">
        <v>586</v>
      </c>
      <c r="G31" s="174" t="s">
        <v>586</v>
      </c>
      <c r="H31" s="174" t="s">
        <v>374</v>
      </c>
      <c r="I31" s="174"/>
      <c r="J31" s="174" t="s">
        <v>122</v>
      </c>
      <c r="K31" s="47" t="s">
        <v>44</v>
      </c>
      <c r="L31" s="181"/>
      <c r="M31" s="174" t="s">
        <v>65</v>
      </c>
      <c r="N31" s="181" t="s">
        <v>35</v>
      </c>
      <c r="O31" s="181" t="s">
        <v>40</v>
      </c>
      <c r="P31" s="181" t="s">
        <v>80</v>
      </c>
      <c r="Q31" s="181" t="s">
        <v>51</v>
      </c>
      <c r="R31" s="181"/>
      <c r="S31" s="174"/>
      <c r="T31" s="183" t="b">
        <v>0</v>
      </c>
      <c r="U31" s="174"/>
      <c r="V31" s="183" t="b">
        <v>0</v>
      </c>
      <c r="W31" s="174"/>
      <c r="X31" s="183" t="b">
        <v>0</v>
      </c>
      <c r="Y31" s="174"/>
      <c r="Z31" s="183" t="b">
        <v>0</v>
      </c>
      <c r="AA31" s="174"/>
      <c r="AB31" s="174"/>
      <c r="AC31" s="183" t="b">
        <v>0</v>
      </c>
      <c r="AD31" s="183" t="b">
        <v>0</v>
      </c>
      <c r="AE31" s="183" t="b">
        <v>0</v>
      </c>
      <c r="AF31" s="183" t="b">
        <v>0</v>
      </c>
      <c r="AG31" s="183" t="b">
        <v>0</v>
      </c>
      <c r="AH31" s="32"/>
      <c r="AI31" s="32" t="s">
        <v>99</v>
      </c>
      <c r="AJ31" s="32" t="s">
        <v>78</v>
      </c>
      <c r="AK31" s="28"/>
      <c r="AL31" s="97">
        <v>47360</v>
      </c>
      <c r="AM31" s="169">
        <f t="shared" si="1"/>
        <v>9472</v>
      </c>
      <c r="AN31" s="174">
        <v>2</v>
      </c>
      <c r="AO31" s="15"/>
      <c r="AP31" s="18">
        <v>46065</v>
      </c>
      <c r="AQ31" s="18">
        <v>46070</v>
      </c>
      <c r="AR31" s="236"/>
      <c r="AS31" s="200"/>
      <c r="AT31" s="16">
        <v>46078</v>
      </c>
    </row>
    <row r="32" spans="1:46" x14ac:dyDescent="0.2">
      <c r="A32" s="187">
        <f t="shared" si="0"/>
        <v>19</v>
      </c>
      <c r="B32" s="191" t="str">
        <f>_xlfn.XLOOKUP(D32,Códigos_Propuestas!$B$4:$B$10,Códigos_Propuestas!$C$4:$C$10,"!",0,1)&amp;"__"&amp;
_xlfn.XLOOKUP(H32,Códigos_Propuestas!$E$4:$E$76,Códigos_Propuestas!$F$4:$F$76,"!",1)&amp;"__"&amp;
_xlfn.XLOOKUP(M32,Códigos_Propuestas!$I$4:$I$7,Códigos_Propuestas!$J$4:$J$7,"!",1)&amp;"__"&amp;
_xlfn.XLOOKUP(N32,Códigos_Propuestas!$O$4:$O$11,Códigos_Propuestas!$Q$4:$Q$11,"!",1)&amp;"__"&amp;
_xlfn.XLOOKUP(F32,Códigos_Propuestas!$BF:$BF,Códigos_Propuestas!$BH:$BH,"!",0,1)</f>
        <v>USA__TAB__!__MIN__!</v>
      </c>
      <c r="C32" s="47">
        <v>30</v>
      </c>
      <c r="D32" s="174" t="s">
        <v>136</v>
      </c>
      <c r="E32" s="174" t="s">
        <v>136</v>
      </c>
      <c r="F32" s="194" t="s">
        <v>592</v>
      </c>
      <c r="G32" s="174" t="s">
        <v>592</v>
      </c>
      <c r="H32" s="174" t="s">
        <v>344</v>
      </c>
      <c r="I32" s="174" t="s">
        <v>502</v>
      </c>
      <c r="J32" s="174" t="s">
        <v>122</v>
      </c>
      <c r="K32" s="47" t="s">
        <v>72</v>
      </c>
      <c r="L32" s="181"/>
      <c r="M32" s="174"/>
      <c r="N32" s="181" t="s">
        <v>35</v>
      </c>
      <c r="O32" s="181" t="s">
        <v>40</v>
      </c>
      <c r="P32" s="181" t="s">
        <v>80</v>
      </c>
      <c r="Q32" s="181" t="s">
        <v>103</v>
      </c>
      <c r="R32" s="181"/>
      <c r="S32" s="174"/>
      <c r="T32" s="183" t="b">
        <v>0</v>
      </c>
      <c r="U32" s="174"/>
      <c r="V32" s="183" t="b">
        <v>0</v>
      </c>
      <c r="W32" s="174"/>
      <c r="X32" s="183" t="b">
        <v>0</v>
      </c>
      <c r="Y32" s="174"/>
      <c r="Z32" s="183" t="b">
        <v>0</v>
      </c>
      <c r="AA32" s="174"/>
      <c r="AB32" s="174"/>
      <c r="AC32" s="183" t="b">
        <v>0</v>
      </c>
      <c r="AD32" s="183" t="b">
        <v>0</v>
      </c>
      <c r="AE32" s="183" t="b">
        <v>1</v>
      </c>
      <c r="AF32" s="183" t="b">
        <v>0</v>
      </c>
      <c r="AG32" s="183" t="b">
        <v>0</v>
      </c>
      <c r="AH32" s="32"/>
      <c r="AI32" s="32" t="s">
        <v>99</v>
      </c>
      <c r="AJ32" s="32" t="s">
        <v>50</v>
      </c>
      <c r="AK32" s="28"/>
      <c r="AL32" s="97">
        <v>165650</v>
      </c>
      <c r="AM32" s="169">
        <f t="shared" si="1"/>
        <v>66260</v>
      </c>
      <c r="AN32" s="174">
        <v>5</v>
      </c>
      <c r="AO32" s="15"/>
      <c r="AP32" s="18">
        <v>46062</v>
      </c>
      <c r="AQ32" s="18">
        <v>46069</v>
      </c>
      <c r="AR32" s="235"/>
      <c r="AS32" s="18"/>
      <c r="AT32" s="18">
        <v>46071</v>
      </c>
    </row>
    <row r="33" spans="1:46" x14ac:dyDescent="0.2">
      <c r="A33" s="187">
        <f t="shared" si="0"/>
        <v>19</v>
      </c>
      <c r="B33" s="191" t="str">
        <f>_xlfn.XLOOKUP(D33,Códigos_Propuestas!$B$4:$B$10,Códigos_Propuestas!$C$4:$C$10,"!",0,1)&amp;"__"&amp;
_xlfn.XLOOKUP(H33,Códigos_Propuestas!$E$4:$E$76,Códigos_Propuestas!$F$4:$F$76,"!",1)&amp;"__"&amp;
_xlfn.XLOOKUP(M33,Códigos_Propuestas!$I$4:$I$7,Códigos_Propuestas!$J$4:$J$7,"!",1)&amp;"__"&amp;
_xlfn.XLOOKUP(N33,Códigos_Propuestas!$O$4:$O$11,Códigos_Propuestas!$Q$4:$Q$11,"!",1)&amp;"__"&amp;
_xlfn.XLOOKUP(F33,Códigos_Propuestas!$BF:$BF,Códigos_Propuestas!$BH:$BH,"!",0,1)</f>
        <v>CH__GLE__OP__SIM__!</v>
      </c>
      <c r="C33" s="47">
        <v>31</v>
      </c>
      <c r="D33" s="174" t="s">
        <v>32</v>
      </c>
      <c r="E33" s="174" t="s">
        <v>646</v>
      </c>
      <c r="F33" s="194" t="s">
        <v>577</v>
      </c>
      <c r="G33" s="174" t="s">
        <v>577</v>
      </c>
      <c r="H33" s="174" t="s">
        <v>137</v>
      </c>
      <c r="I33" s="174" t="s">
        <v>578</v>
      </c>
      <c r="J33" s="174" t="s">
        <v>122</v>
      </c>
      <c r="K33" s="47" t="s">
        <v>98</v>
      </c>
      <c r="L33" s="186" t="s">
        <v>764</v>
      </c>
      <c r="M33" s="174" t="s">
        <v>92</v>
      </c>
      <c r="N33" s="181" t="s">
        <v>660</v>
      </c>
      <c r="O33" s="181" t="s">
        <v>40</v>
      </c>
      <c r="P33" s="181" t="s">
        <v>53</v>
      </c>
      <c r="Q33" s="181" t="s">
        <v>103</v>
      </c>
      <c r="R33" s="181"/>
      <c r="S33" s="174"/>
      <c r="T33" s="183" t="b">
        <v>0</v>
      </c>
      <c r="U33" s="174"/>
      <c r="V33" s="183" t="b">
        <v>0</v>
      </c>
      <c r="W33" s="174"/>
      <c r="X33" s="183" t="b">
        <v>0</v>
      </c>
      <c r="Y33" s="174"/>
      <c r="Z33" s="183" t="b">
        <v>0</v>
      </c>
      <c r="AA33" s="174"/>
      <c r="AB33" s="174"/>
      <c r="AC33" s="183" t="b">
        <v>1</v>
      </c>
      <c r="AD33" s="183" t="b">
        <v>0</v>
      </c>
      <c r="AE33" s="183" t="b">
        <v>1</v>
      </c>
      <c r="AF33" s="183" t="b">
        <v>1</v>
      </c>
      <c r="AG33" s="183" t="b">
        <v>0</v>
      </c>
      <c r="AH33" s="32"/>
      <c r="AI33" s="32" t="s">
        <v>99</v>
      </c>
      <c r="AJ33" s="32" t="s">
        <v>50</v>
      </c>
      <c r="AK33" s="28"/>
      <c r="AL33" s="97">
        <v>80200</v>
      </c>
      <c r="AM33" s="169">
        <f t="shared" si="1"/>
        <v>16040</v>
      </c>
      <c r="AN33" s="174">
        <v>2</v>
      </c>
      <c r="AO33" s="15"/>
      <c r="AP33" s="18">
        <v>46047</v>
      </c>
      <c r="AQ33" s="18">
        <v>46056</v>
      </c>
      <c r="AR33" s="235"/>
      <c r="AS33" s="18"/>
      <c r="AT33" s="18">
        <v>46060</v>
      </c>
    </row>
    <row r="34" spans="1:46" x14ac:dyDescent="0.2">
      <c r="A34" s="187">
        <f t="shared" si="0"/>
        <v>19</v>
      </c>
      <c r="B34" s="191" t="str">
        <f>_xlfn.XLOOKUP(D34,Códigos_Propuestas!$B$4:$B$10,Códigos_Propuestas!$C$4:$C$10,"!",0,1)&amp;"__"&amp;
_xlfn.XLOOKUP(H34,Códigos_Propuestas!$E$4:$E$76,Códigos_Propuestas!$F$4:$F$76,"!",1)&amp;"__"&amp;
_xlfn.XLOOKUP(M34,Códigos_Propuestas!$I$4:$I$7,Códigos_Propuestas!$J$4:$J$7,"!",1)&amp;"__"&amp;
_xlfn.XLOOKUP(N34,Códigos_Propuestas!$O$4:$O$11,Códigos_Propuestas!$Q$4:$Q$11,"!",1)&amp;"__"&amp;
_xlfn.XLOOKUP(F34,Códigos_Propuestas!$BF:$BF,Códigos_Propuestas!$BH:$BH,"!",0,1)</f>
        <v>BR__MOS__OU__MIN__!</v>
      </c>
      <c r="C34" s="47">
        <v>32</v>
      </c>
      <c r="D34" s="174" t="s">
        <v>88</v>
      </c>
      <c r="E34" s="174" t="s">
        <v>88</v>
      </c>
      <c r="F34" s="194" t="s">
        <v>575</v>
      </c>
      <c r="G34" s="174" t="s">
        <v>575</v>
      </c>
      <c r="H34" s="174" t="s">
        <v>199</v>
      </c>
      <c r="I34" s="174" t="s">
        <v>576</v>
      </c>
      <c r="J34" s="174" t="s">
        <v>122</v>
      </c>
      <c r="K34" s="47" t="s">
        <v>98</v>
      </c>
      <c r="L34" s="181"/>
      <c r="M34" s="174" t="s">
        <v>116</v>
      </c>
      <c r="N34" s="181" t="s">
        <v>35</v>
      </c>
      <c r="O34" s="181" t="s">
        <v>40</v>
      </c>
      <c r="P34" s="181" t="s">
        <v>108</v>
      </c>
      <c r="Q34" s="181" t="s">
        <v>103</v>
      </c>
      <c r="R34" s="181"/>
      <c r="S34" s="174"/>
      <c r="T34" s="183" t="b">
        <v>0</v>
      </c>
      <c r="U34" s="174"/>
      <c r="V34" s="183" t="b">
        <v>0</v>
      </c>
      <c r="W34" s="174"/>
      <c r="X34" s="183" t="b">
        <v>0</v>
      </c>
      <c r="Y34" s="174"/>
      <c r="Z34" s="183" t="b">
        <v>0</v>
      </c>
      <c r="AA34" s="174"/>
      <c r="AB34" s="174"/>
      <c r="AC34" s="183" t="b">
        <v>1</v>
      </c>
      <c r="AD34" s="183" t="b">
        <v>0</v>
      </c>
      <c r="AE34" s="183" t="b">
        <v>0</v>
      </c>
      <c r="AF34" s="183" t="b">
        <v>0</v>
      </c>
      <c r="AG34" s="183" t="b">
        <v>0</v>
      </c>
      <c r="AH34" s="32"/>
      <c r="AI34" s="32" t="s">
        <v>45</v>
      </c>
      <c r="AJ34" s="32" t="s">
        <v>50</v>
      </c>
      <c r="AK34" s="28"/>
      <c r="AL34" s="97">
        <v>78117</v>
      </c>
      <c r="AM34" s="169">
        <f t="shared" si="1"/>
        <v>15623.400000000001</v>
      </c>
      <c r="AN34" s="174">
        <v>2</v>
      </c>
      <c r="AO34" s="15"/>
      <c r="AP34" s="18">
        <v>46055</v>
      </c>
      <c r="AQ34" s="18">
        <v>46057</v>
      </c>
      <c r="AR34" s="236"/>
      <c r="AS34" s="200"/>
      <c r="AT34" s="16">
        <v>46058</v>
      </c>
    </row>
    <row r="35" spans="1:46" hidden="1" x14ac:dyDescent="0.2">
      <c r="A35" s="187">
        <f t="shared" ref="A35:A66" si="2">LEN(B35)</f>
        <v>19</v>
      </c>
      <c r="B35" s="191" t="str">
        <f>_xlfn.XLOOKUP(D35,Códigos_Propuestas!$B$4:$B$10,Códigos_Propuestas!$C$4:$C$10,"!",0,1)&amp;"__"&amp;
_xlfn.XLOOKUP(H35,Códigos_Propuestas!$E$4:$E$76,Códigos_Propuestas!$F$4:$F$76,"!",1)&amp;"__"&amp;
_xlfn.XLOOKUP(M35,Códigos_Propuestas!$I$4:$I$7,Códigos_Propuestas!$J$4:$J$7,"!",1)&amp;"__"&amp;
_xlfn.XLOOKUP(N35,Códigos_Propuestas!$O$4:$O$11,Códigos_Propuestas!$Q$4:$Q$11,"!",1)&amp;"__"&amp;
_xlfn.XLOOKUP(F35,Códigos_Propuestas!$BF:$BF,Códigos_Propuestas!$BH:$BH,"!",0,1)</f>
        <v>PE__VLC__UG__MIN__!</v>
      </c>
      <c r="C35" s="47">
        <v>33</v>
      </c>
      <c r="D35" s="174" t="s">
        <v>62</v>
      </c>
      <c r="E35" s="174" t="s">
        <v>62</v>
      </c>
      <c r="F35" s="194" t="s">
        <v>569</v>
      </c>
      <c r="G35" s="174" t="s">
        <v>569</v>
      </c>
      <c r="H35" s="174" t="s">
        <v>284</v>
      </c>
      <c r="I35" s="174" t="s">
        <v>570</v>
      </c>
      <c r="J35" s="174" t="s">
        <v>143</v>
      </c>
      <c r="K35" s="47" t="s">
        <v>44</v>
      </c>
      <c r="L35" s="181"/>
      <c r="M35" s="174" t="s">
        <v>65</v>
      </c>
      <c r="N35" s="181" t="s">
        <v>35</v>
      </c>
      <c r="O35" s="181" t="s">
        <v>40</v>
      </c>
      <c r="P35" s="181" t="s">
        <v>129</v>
      </c>
      <c r="Q35" s="184" t="s">
        <v>127</v>
      </c>
      <c r="R35" s="181" t="s">
        <v>35</v>
      </c>
      <c r="S35" s="174"/>
      <c r="T35" s="183" t="b">
        <v>0</v>
      </c>
      <c r="U35" s="174"/>
      <c r="V35" s="183" t="b">
        <v>0</v>
      </c>
      <c r="W35" s="174"/>
      <c r="X35" s="183" t="b">
        <v>0</v>
      </c>
      <c r="Y35" s="174"/>
      <c r="Z35" s="183" t="b">
        <v>0</v>
      </c>
      <c r="AA35" s="174"/>
      <c r="AB35" s="174"/>
      <c r="AC35" s="183" t="b">
        <v>1</v>
      </c>
      <c r="AD35" s="183" t="b">
        <v>0</v>
      </c>
      <c r="AE35" s="183" t="b">
        <v>0</v>
      </c>
      <c r="AF35" s="183" t="b">
        <v>0</v>
      </c>
      <c r="AG35" s="183" t="b">
        <v>0</v>
      </c>
      <c r="AH35" s="32"/>
      <c r="AI35" s="32"/>
      <c r="AJ35" s="32"/>
      <c r="AK35" s="28"/>
      <c r="AL35" s="97">
        <v>250000</v>
      </c>
      <c r="AM35" s="169">
        <f t="shared" si="1"/>
        <v>100000</v>
      </c>
      <c r="AN35" s="174">
        <v>5</v>
      </c>
      <c r="AO35" s="15"/>
      <c r="AP35" s="32"/>
      <c r="AQ35" s="18">
        <v>46052</v>
      </c>
      <c r="AR35" s="236"/>
      <c r="AS35" s="200"/>
      <c r="AT35" s="177">
        <v>46053</v>
      </c>
    </row>
    <row r="36" spans="1:46" x14ac:dyDescent="0.2">
      <c r="A36" s="187">
        <f t="shared" si="2"/>
        <v>20</v>
      </c>
      <c r="B36" s="191" t="str">
        <f>_xlfn.XLOOKUP(D36,Códigos_Propuestas!$B$4:$B$10,Códigos_Propuestas!$C$4:$C$10,"!",0,1)&amp;"__"&amp;
_xlfn.XLOOKUP(H36,Códigos_Propuestas!$E$4:$E$76,Códigos_Propuestas!$F$4:$F$76,"!",1)&amp;"__"&amp;
_xlfn.XLOOKUP(M36,Códigos_Propuestas!$I$4:$I$7,Códigos_Propuestas!$J$4:$J$7,"!",1)&amp;"__"&amp;
_xlfn.XLOOKUP(N36,Códigos_Propuestas!$O$4:$O$11,Códigos_Propuestas!$Q$4:$Q$11,"!",1)&amp;"__"&amp;
_xlfn.XLOOKUP(F36,Códigos_Propuestas!$BF:$BF,Códigos_Propuestas!$BH:$BH,"!",0,1)</f>
        <v>USA__GLE__UG__DAR__!</v>
      </c>
      <c r="C36" s="47">
        <v>34</v>
      </c>
      <c r="D36" s="174" t="s">
        <v>136</v>
      </c>
      <c r="E36" s="174" t="s">
        <v>136</v>
      </c>
      <c r="F36" s="194" t="s">
        <v>643</v>
      </c>
      <c r="G36" s="174" t="s">
        <v>501</v>
      </c>
      <c r="H36" s="174" t="s">
        <v>353</v>
      </c>
      <c r="I36" s="174" t="s">
        <v>501</v>
      </c>
      <c r="J36" s="174" t="s">
        <v>122</v>
      </c>
      <c r="K36" s="47" t="s">
        <v>44</v>
      </c>
      <c r="L36" s="181"/>
      <c r="M36" s="174" t="s">
        <v>65</v>
      </c>
      <c r="N36" s="181" t="s">
        <v>95</v>
      </c>
      <c r="O36" s="181" t="s">
        <v>40</v>
      </c>
      <c r="P36" s="181" t="s">
        <v>80</v>
      </c>
      <c r="Q36" s="181" t="s">
        <v>51</v>
      </c>
      <c r="R36" s="181"/>
      <c r="S36" s="174"/>
      <c r="T36" s="183" t="b">
        <v>0</v>
      </c>
      <c r="U36" s="174"/>
      <c r="V36" s="183" t="b">
        <v>0</v>
      </c>
      <c r="W36" s="174"/>
      <c r="X36" s="183" t="b">
        <v>0</v>
      </c>
      <c r="Y36" s="174"/>
      <c r="Z36" s="183" t="b">
        <v>0</v>
      </c>
      <c r="AA36" s="174"/>
      <c r="AB36" s="174"/>
      <c r="AC36" s="183" t="b">
        <v>1</v>
      </c>
      <c r="AD36" s="183" t="b">
        <v>1</v>
      </c>
      <c r="AE36" s="183" t="b">
        <v>0</v>
      </c>
      <c r="AF36" s="183" t="b">
        <v>0</v>
      </c>
      <c r="AG36" s="183" t="b">
        <v>1</v>
      </c>
      <c r="AH36" s="32"/>
      <c r="AI36" s="32" t="s">
        <v>45</v>
      </c>
      <c r="AJ36" s="32" t="s">
        <v>50</v>
      </c>
      <c r="AK36" s="28"/>
      <c r="AL36" s="97">
        <v>499350</v>
      </c>
      <c r="AM36" s="169">
        <f t="shared" si="1"/>
        <v>199740</v>
      </c>
      <c r="AN36" s="174">
        <v>5</v>
      </c>
      <c r="AO36" s="15"/>
      <c r="AP36" s="18">
        <v>45979</v>
      </c>
      <c r="AQ36" s="18">
        <v>46020</v>
      </c>
      <c r="AR36" s="236"/>
      <c r="AS36" s="200"/>
      <c r="AT36" s="16">
        <v>46051</v>
      </c>
    </row>
    <row r="37" spans="1:46" x14ac:dyDescent="0.2">
      <c r="A37" s="187">
        <f t="shared" si="2"/>
        <v>19</v>
      </c>
      <c r="B37" s="191" t="str">
        <f>_xlfn.XLOOKUP(D37,Códigos_Propuestas!$B$4:$B$10,Códigos_Propuestas!$C$4:$C$10,"!",0,1)&amp;"__"&amp;
_xlfn.XLOOKUP(H37,Códigos_Propuestas!$E$4:$E$76,Códigos_Propuestas!$F$4:$F$76,"!",1)&amp;"__"&amp;
_xlfn.XLOOKUP(M37,Códigos_Propuestas!$I$4:$I$7,Códigos_Propuestas!$J$4:$J$7,"!",1)&amp;"__"&amp;
_xlfn.XLOOKUP(N37,Códigos_Propuestas!$O$4:$O$11,Códigos_Propuestas!$Q$4:$Q$11,"!",1)&amp;"__"&amp;
_xlfn.XLOOKUP(F37,Códigos_Propuestas!$BF:$BF,Códigos_Propuestas!$BH:$BH,"!",0,1)</f>
        <v>PE__ECR__UG__MIN__!</v>
      </c>
      <c r="C37" s="47">
        <v>35</v>
      </c>
      <c r="D37" s="174" t="s">
        <v>62</v>
      </c>
      <c r="E37" s="174" t="s">
        <v>624</v>
      </c>
      <c r="F37" s="194" t="s">
        <v>557</v>
      </c>
      <c r="G37" s="174" t="s">
        <v>557</v>
      </c>
      <c r="H37" s="174" t="s">
        <v>321</v>
      </c>
      <c r="I37" s="174" t="s">
        <v>558</v>
      </c>
      <c r="J37" s="174" t="s">
        <v>122</v>
      </c>
      <c r="K37" s="47" t="s">
        <v>72</v>
      </c>
      <c r="L37" s="181"/>
      <c r="M37" s="174" t="s">
        <v>65</v>
      </c>
      <c r="N37" s="181" t="s">
        <v>120</v>
      </c>
      <c r="O37" s="181" t="str">
        <f>_xlfn.XLOOKUP(N37,Códigos_Propuestas!$O$4:$O$15,Códigos_Propuestas!$P$4:$P$15,"!",0,1)</f>
        <v>REDCO</v>
      </c>
      <c r="P37" s="181" t="s">
        <v>749</v>
      </c>
      <c r="Q37" s="181" t="s">
        <v>103</v>
      </c>
      <c r="R37" s="181"/>
      <c r="S37" s="174"/>
      <c r="T37" s="183" t="b">
        <v>0</v>
      </c>
      <c r="U37" s="174"/>
      <c r="V37" s="183" t="b">
        <v>0</v>
      </c>
      <c r="W37" s="174"/>
      <c r="X37" s="183" t="b">
        <v>0</v>
      </c>
      <c r="Y37" s="174"/>
      <c r="Z37" s="183" t="b">
        <v>0</v>
      </c>
      <c r="AA37" s="174"/>
      <c r="AB37" s="174"/>
      <c r="AC37" s="183" t="b">
        <v>1</v>
      </c>
      <c r="AD37" s="183" t="b">
        <v>0</v>
      </c>
      <c r="AE37" s="183" t="b">
        <v>0</v>
      </c>
      <c r="AF37" s="183" t="b">
        <v>0</v>
      </c>
      <c r="AG37" s="183" t="b">
        <v>0</v>
      </c>
      <c r="AH37" s="32"/>
      <c r="AI37" s="32" t="s">
        <v>45</v>
      </c>
      <c r="AJ37" s="32" t="s">
        <v>50</v>
      </c>
      <c r="AK37" s="28"/>
      <c r="AL37" s="97">
        <v>168500</v>
      </c>
      <c r="AM37" s="97">
        <f>AL37*0.44</f>
        <v>74140</v>
      </c>
      <c r="AN37" s="174">
        <v>3</v>
      </c>
      <c r="AO37" s="15"/>
      <c r="AP37" s="18">
        <v>46045</v>
      </c>
      <c r="AQ37" s="18">
        <v>46045</v>
      </c>
      <c r="AR37" s="236"/>
      <c r="AS37" s="200"/>
      <c r="AT37" s="140">
        <v>46051</v>
      </c>
    </row>
    <row r="38" spans="1:46" x14ac:dyDescent="0.2">
      <c r="A38" s="187">
        <f t="shared" si="2"/>
        <v>21</v>
      </c>
      <c r="B38" s="191" t="str">
        <f>_xlfn.XLOOKUP(D38,Códigos_Propuestas!$B$4:$B$10,Códigos_Propuestas!$C$4:$C$10,"!",0,1)&amp;"__"&amp;
_xlfn.XLOOKUP(H38,Códigos_Propuestas!$E$4:$E$76,Códigos_Propuestas!$F$4:$F$76,"!",1)&amp;"__"&amp;
_xlfn.XLOOKUP(M38,Códigos_Propuestas!$I$4:$I$7,Códigos_Propuestas!$J$4:$J$7,"!",1)&amp;"__"&amp;
_xlfn.XLOOKUP(N38,Códigos_Propuestas!$O$4:$O$11,Códigos_Propuestas!$Q$4:$Q$11,"!",1)&amp;"__"&amp;
_xlfn.XLOOKUP(F38,Códigos_Propuestas!$BF:$BF,Códigos_Propuestas!$BH:$BH,"!",0,1)</f>
        <v>CH__COL__OP__DAR__026</v>
      </c>
      <c r="C38" s="47">
        <v>36</v>
      </c>
      <c r="D38" s="174" t="s">
        <v>32</v>
      </c>
      <c r="E38" s="174" t="s">
        <v>32</v>
      </c>
      <c r="F38" s="194" t="s">
        <v>235</v>
      </c>
      <c r="G38" s="174" t="s">
        <v>235</v>
      </c>
      <c r="H38" s="174" t="s">
        <v>315</v>
      </c>
      <c r="I38" s="174" t="s">
        <v>536</v>
      </c>
      <c r="J38" s="174" t="s">
        <v>122</v>
      </c>
      <c r="K38" s="47" t="s">
        <v>44</v>
      </c>
      <c r="L38" s="181"/>
      <c r="M38" s="174" t="s">
        <v>92</v>
      </c>
      <c r="N38" s="181" t="s">
        <v>95</v>
      </c>
      <c r="O38" s="181" t="s">
        <v>40</v>
      </c>
      <c r="P38" s="181" t="s">
        <v>749</v>
      </c>
      <c r="Q38" s="181" t="s">
        <v>689</v>
      </c>
      <c r="R38" s="181"/>
      <c r="S38" s="174"/>
      <c r="T38" s="183" t="b">
        <v>0</v>
      </c>
      <c r="U38" s="174"/>
      <c r="V38" s="183" t="b">
        <v>0</v>
      </c>
      <c r="W38" s="174"/>
      <c r="X38" s="183" t="b">
        <v>0</v>
      </c>
      <c r="Y38" s="174"/>
      <c r="Z38" s="183" t="b">
        <v>0</v>
      </c>
      <c r="AA38" s="174"/>
      <c r="AB38" s="174"/>
      <c r="AC38" s="183" t="b">
        <v>1</v>
      </c>
      <c r="AD38" s="183" t="b">
        <v>0</v>
      </c>
      <c r="AE38" s="183" t="b">
        <v>0</v>
      </c>
      <c r="AF38" s="183" t="b">
        <v>0</v>
      </c>
      <c r="AG38" s="183" t="b">
        <v>0</v>
      </c>
      <c r="AH38" s="32"/>
      <c r="AI38" s="32" t="s">
        <v>123</v>
      </c>
      <c r="AJ38" s="32" t="s">
        <v>50</v>
      </c>
      <c r="AK38" s="28"/>
      <c r="AL38" s="97">
        <v>52220</v>
      </c>
      <c r="AM38" s="97">
        <f>AL38*0.5</f>
        <v>26110</v>
      </c>
      <c r="AN38" s="174">
        <v>3</v>
      </c>
      <c r="AO38" s="15"/>
      <c r="AP38" s="18">
        <v>46032</v>
      </c>
      <c r="AQ38" s="18">
        <v>46029</v>
      </c>
      <c r="AR38" s="235"/>
      <c r="AS38" s="18"/>
      <c r="AT38" s="176">
        <v>46051</v>
      </c>
    </row>
    <row r="39" spans="1:46" hidden="1" x14ac:dyDescent="0.2">
      <c r="A39" s="187">
        <f t="shared" si="2"/>
        <v>19</v>
      </c>
      <c r="B39" s="191" t="str">
        <f>_xlfn.XLOOKUP(D39,Códigos_Propuestas!$B$4:$B$10,Códigos_Propuestas!$C$4:$C$10,"!",0,1)&amp;"__"&amp;
_xlfn.XLOOKUP(H39,Códigos_Propuestas!$E$4:$E$76,Códigos_Propuestas!$F$4:$F$76,"!",1)&amp;"__"&amp;
_xlfn.XLOOKUP(M39,Códigos_Propuestas!$I$4:$I$7,Códigos_Propuestas!$J$4:$J$7,"!",1)&amp;"__"&amp;
_xlfn.XLOOKUP(N39,Códigos_Propuestas!$O$4:$O$11,Códigos_Propuestas!$Q$4:$Q$11,"!",1)&amp;"__"&amp;
_xlfn.XLOOKUP(F39,Códigos_Propuestas!$BF:$BF,Códigos_Propuestas!$BH:$BH,"!",0,1)</f>
        <v>CH__CCO__UG__PEA__!</v>
      </c>
      <c r="C39" s="47">
        <v>37</v>
      </c>
      <c r="D39" s="174" t="s">
        <v>32</v>
      </c>
      <c r="E39" s="174" t="s">
        <v>32</v>
      </c>
      <c r="F39" s="194" t="s">
        <v>563</v>
      </c>
      <c r="G39" s="174" t="s">
        <v>563</v>
      </c>
      <c r="H39" s="174" t="s">
        <v>250</v>
      </c>
      <c r="I39" s="174" t="s">
        <v>564</v>
      </c>
      <c r="J39" s="174" t="s">
        <v>143</v>
      </c>
      <c r="K39" s="47" t="s">
        <v>98</v>
      </c>
      <c r="L39" s="181"/>
      <c r="M39" s="174" t="s">
        <v>65</v>
      </c>
      <c r="N39" s="181" t="s">
        <v>39</v>
      </c>
      <c r="O39" s="181" t="str">
        <f>_xlfn.XLOOKUP(N39,Códigos_Propuestas!$O$4:$O$15,Códigos_Propuestas!$P$4:$P$15,"!",0,1)</f>
        <v>REDCO</v>
      </c>
      <c r="P39" s="181" t="s">
        <v>80</v>
      </c>
      <c r="Q39" s="181" t="s">
        <v>103</v>
      </c>
      <c r="R39" s="181" t="s">
        <v>52</v>
      </c>
      <c r="S39" s="174"/>
      <c r="T39" s="183" t="b">
        <v>0</v>
      </c>
      <c r="U39" s="174"/>
      <c r="V39" s="183" t="b">
        <v>0</v>
      </c>
      <c r="W39" s="174"/>
      <c r="X39" s="183" t="b">
        <v>0</v>
      </c>
      <c r="Y39" s="174"/>
      <c r="Z39" s="183" t="b">
        <v>0</v>
      </c>
      <c r="AA39" s="174"/>
      <c r="AB39" s="174"/>
      <c r="AC39" s="183" t="b">
        <v>0</v>
      </c>
      <c r="AD39" s="183" t="b">
        <v>0</v>
      </c>
      <c r="AE39" s="183" t="b">
        <v>0</v>
      </c>
      <c r="AF39" s="183" t="b">
        <v>0</v>
      </c>
      <c r="AG39" s="183" t="b">
        <v>0</v>
      </c>
      <c r="AH39" s="32"/>
      <c r="AI39" s="32"/>
      <c r="AJ39" s="32"/>
      <c r="AK39" s="28"/>
      <c r="AL39" s="97">
        <v>95000</v>
      </c>
      <c r="AM39" s="169">
        <f>IF(AL39&lt;100000,AL39*0.2,AL39*0.4)</f>
        <v>19000</v>
      </c>
      <c r="AN39" s="174">
        <v>4</v>
      </c>
      <c r="AO39" s="15"/>
      <c r="AP39" s="32"/>
      <c r="AQ39" s="18">
        <v>46050</v>
      </c>
      <c r="AR39" s="236"/>
      <c r="AS39" s="200"/>
      <c r="AT39" s="177">
        <v>46051</v>
      </c>
    </row>
    <row r="40" spans="1:46" x14ac:dyDescent="0.2">
      <c r="A40" s="187">
        <f t="shared" si="2"/>
        <v>21</v>
      </c>
      <c r="B40" s="191" t="str">
        <f>_xlfn.XLOOKUP(D40,Códigos_Propuestas!$B$4:$B$10,Códigos_Propuestas!$C$4:$C$10,"!",0,1)&amp;"__"&amp;
_xlfn.XLOOKUP(H40,Códigos_Propuestas!$E$4:$E$76,Códigos_Propuestas!$F$4:$F$76,"!",1)&amp;"__"&amp;
_xlfn.XLOOKUP(M40,Códigos_Propuestas!$I$4:$I$7,Códigos_Propuestas!$J$4:$J$7,"!",1)&amp;"__"&amp;
_xlfn.XLOOKUP(N40,Códigos_Propuestas!$O$4:$O$11,Códigos_Propuestas!$Q$4:$Q$11,"!",1)&amp;"__"&amp;
_xlfn.XLOOKUP(F40,Códigos_Propuestas!$BF:$BF,Códigos_Propuestas!$BH:$BH,"!",0,1)</f>
        <v>CH__CMC__OP__SIM__027</v>
      </c>
      <c r="C40" s="47">
        <v>38</v>
      </c>
      <c r="D40" s="174" t="s">
        <v>32</v>
      </c>
      <c r="E40" s="174" t="s">
        <v>646</v>
      </c>
      <c r="F40" s="194" t="s">
        <v>238</v>
      </c>
      <c r="G40" s="174" t="s">
        <v>238</v>
      </c>
      <c r="H40" s="174" t="s">
        <v>647</v>
      </c>
      <c r="I40" s="174" t="s">
        <v>521</v>
      </c>
      <c r="J40" s="174" t="s">
        <v>122</v>
      </c>
      <c r="K40" s="47" t="s">
        <v>44</v>
      </c>
      <c r="L40" s="181"/>
      <c r="M40" s="174" t="s">
        <v>92</v>
      </c>
      <c r="N40" s="181" t="s">
        <v>660</v>
      </c>
      <c r="O40" s="181" t="s">
        <v>40</v>
      </c>
      <c r="P40" s="181" t="s">
        <v>749</v>
      </c>
      <c r="Q40" s="181" t="s">
        <v>51</v>
      </c>
      <c r="R40" s="181"/>
      <c r="S40" s="174"/>
      <c r="T40" s="183" t="b">
        <v>0</v>
      </c>
      <c r="U40" s="174"/>
      <c r="V40" s="183" t="b">
        <v>0</v>
      </c>
      <c r="W40" s="174"/>
      <c r="X40" s="183" t="b">
        <v>0</v>
      </c>
      <c r="Y40" s="174"/>
      <c r="Z40" s="183" t="b">
        <v>0</v>
      </c>
      <c r="AA40" s="174"/>
      <c r="AB40" s="174"/>
      <c r="AC40" s="183" t="b">
        <v>0</v>
      </c>
      <c r="AD40" s="183" t="b">
        <v>0</v>
      </c>
      <c r="AE40" s="183" t="b">
        <v>1</v>
      </c>
      <c r="AF40" s="183" t="b">
        <v>0</v>
      </c>
      <c r="AG40" s="183" t="b">
        <v>0</v>
      </c>
      <c r="AH40" s="32"/>
      <c r="AI40" s="32" t="s">
        <v>99</v>
      </c>
      <c r="AJ40" s="32" t="s">
        <v>50</v>
      </c>
      <c r="AK40" s="28"/>
      <c r="AL40" s="97">
        <v>74195.899999999994</v>
      </c>
      <c r="AM40" s="97">
        <f>AL40*0.21</f>
        <v>15581.138999999997</v>
      </c>
      <c r="AN40" s="174">
        <v>2</v>
      </c>
      <c r="AO40" s="15"/>
      <c r="AP40" s="18"/>
      <c r="AQ40" s="18">
        <v>46015</v>
      </c>
      <c r="AR40" s="236"/>
      <c r="AS40" s="200"/>
      <c r="AT40" s="140">
        <v>46048</v>
      </c>
    </row>
    <row r="41" spans="1:46" x14ac:dyDescent="0.2">
      <c r="A41" s="187">
        <f t="shared" si="2"/>
        <v>21</v>
      </c>
      <c r="B41" s="191" t="str">
        <f>_xlfn.XLOOKUP(D41,Códigos_Propuestas!$B$4:$B$10,Códigos_Propuestas!$C$4:$C$10,"!",0,1)&amp;"__"&amp;
_xlfn.XLOOKUP(H41,Códigos_Propuestas!$E$4:$E$76,Códigos_Propuestas!$F$4:$F$76,"!",1)&amp;"__"&amp;
_xlfn.XLOOKUP(M41,Códigos_Propuestas!$I$4:$I$7,Códigos_Propuestas!$J$4:$J$7,"!",1)&amp;"__"&amp;
_xlfn.XLOOKUP(N41,Códigos_Propuestas!$O$4:$O$11,Códigos_Propuestas!$Q$4:$Q$11,"!",1)&amp;"__"&amp;
_xlfn.XLOOKUP(F41,Códigos_Propuestas!$BF:$BF,Códigos_Propuestas!$BH:$BH,"!",0,1)</f>
        <v>PE__MMA__UG__MIN__002</v>
      </c>
      <c r="C41" s="47">
        <v>39</v>
      </c>
      <c r="D41" s="174" t="s">
        <v>62</v>
      </c>
      <c r="E41" s="174" t="s">
        <v>62</v>
      </c>
      <c r="F41" s="194" t="s">
        <v>31</v>
      </c>
      <c r="G41" s="174" t="s">
        <v>31</v>
      </c>
      <c r="H41" s="174" t="s">
        <v>221</v>
      </c>
      <c r="I41" s="174" t="s">
        <v>221</v>
      </c>
      <c r="J41" s="174" t="s">
        <v>122</v>
      </c>
      <c r="K41" s="47" t="s">
        <v>44</v>
      </c>
      <c r="L41" s="181"/>
      <c r="M41" s="174" t="s">
        <v>65</v>
      </c>
      <c r="N41" s="181" t="s">
        <v>120</v>
      </c>
      <c r="O41" s="181" t="s">
        <v>40</v>
      </c>
      <c r="P41" s="181" t="s">
        <v>749</v>
      </c>
      <c r="Q41" s="184" t="s">
        <v>144</v>
      </c>
      <c r="R41" s="181"/>
      <c r="S41" s="174"/>
      <c r="T41" s="183" t="b">
        <v>0</v>
      </c>
      <c r="U41" s="174"/>
      <c r="V41" s="183" t="b">
        <v>0</v>
      </c>
      <c r="W41" s="174"/>
      <c r="X41" s="183" t="b">
        <v>0</v>
      </c>
      <c r="Y41" s="174"/>
      <c r="Z41" s="183" t="b">
        <v>0</v>
      </c>
      <c r="AA41" s="174"/>
      <c r="AB41" s="174"/>
      <c r="AC41" s="183" t="b">
        <v>1</v>
      </c>
      <c r="AD41" s="183" t="b">
        <v>0</v>
      </c>
      <c r="AE41" s="183" t="b">
        <v>0</v>
      </c>
      <c r="AF41" s="183" t="b">
        <v>0</v>
      </c>
      <c r="AG41" s="183" t="b">
        <v>0</v>
      </c>
      <c r="AH41" s="32"/>
      <c r="AI41" s="32" t="s">
        <v>45</v>
      </c>
      <c r="AJ41" s="32" t="s">
        <v>50</v>
      </c>
      <c r="AK41" s="28"/>
      <c r="AL41" s="178">
        <v>0</v>
      </c>
      <c r="AM41" s="168">
        <v>160000</v>
      </c>
      <c r="AN41" s="185">
        <v>12</v>
      </c>
      <c r="AO41" s="15"/>
      <c r="AP41" s="18"/>
      <c r="AQ41" s="18">
        <v>45835</v>
      </c>
      <c r="AR41" s="235"/>
      <c r="AS41" s="18"/>
      <c r="AT41" s="233">
        <v>46045</v>
      </c>
    </row>
    <row r="42" spans="1:46" hidden="1" x14ac:dyDescent="0.2">
      <c r="A42" s="187">
        <f t="shared" si="2"/>
        <v>19</v>
      </c>
      <c r="B42" s="191" t="str">
        <f>_xlfn.XLOOKUP(D42,Códigos_Propuestas!$B$4:$B$10,Códigos_Propuestas!$C$4:$C$10,"!",0,1)&amp;"__"&amp;
_xlfn.XLOOKUP(H42,Códigos_Propuestas!$E$4:$E$76,Códigos_Propuestas!$F$4:$F$76,"!",1)&amp;"__"&amp;
_xlfn.XLOOKUP(M42,Códigos_Propuestas!$I$4:$I$7,Códigos_Propuestas!$J$4:$J$7,"!",1)&amp;"__"&amp;
_xlfn.XLOOKUP(N42,Códigos_Propuestas!$O$4:$O$11,Códigos_Propuestas!$Q$4:$Q$11,"!",1)&amp;"__"&amp;
_xlfn.XLOOKUP(F42,Códigos_Propuestas!$BF:$BF,Códigos_Propuestas!$BH:$BH,"!",0,1)</f>
        <v>CH__ECR__OP__DAR__!</v>
      </c>
      <c r="C42" s="47">
        <v>40</v>
      </c>
      <c r="D42" s="174" t="s">
        <v>32</v>
      </c>
      <c r="E42" s="174" t="s">
        <v>32</v>
      </c>
      <c r="F42" s="194" t="s">
        <v>552</v>
      </c>
      <c r="G42" s="174" t="s">
        <v>552</v>
      </c>
      <c r="H42" s="174" t="s">
        <v>339</v>
      </c>
      <c r="I42" s="174" t="s">
        <v>553</v>
      </c>
      <c r="J42" s="174" t="s">
        <v>143</v>
      </c>
      <c r="K42" s="47" t="s">
        <v>98</v>
      </c>
      <c r="L42" s="181"/>
      <c r="M42" s="174" t="s">
        <v>92</v>
      </c>
      <c r="N42" s="181" t="s">
        <v>95</v>
      </c>
      <c r="O42" s="181" t="str">
        <f>_xlfn.XLOOKUP(N42,Códigos_Propuestas!$O$4:$O$15,Códigos_Propuestas!$P$4:$P$15,"!",0,1)</f>
        <v>REDCO</v>
      </c>
      <c r="P42" s="181" t="s">
        <v>80</v>
      </c>
      <c r="Q42" s="181" t="s">
        <v>103</v>
      </c>
      <c r="R42" s="181" t="s">
        <v>79</v>
      </c>
      <c r="S42" s="174"/>
      <c r="T42" s="183" t="b">
        <v>0</v>
      </c>
      <c r="U42" s="174"/>
      <c r="V42" s="183" t="b">
        <v>0</v>
      </c>
      <c r="W42" s="174"/>
      <c r="X42" s="183" t="b">
        <v>0</v>
      </c>
      <c r="Y42" s="174"/>
      <c r="Z42" s="183" t="b">
        <v>0</v>
      </c>
      <c r="AA42" s="174"/>
      <c r="AB42" s="174"/>
      <c r="AC42" s="183" t="b">
        <v>0</v>
      </c>
      <c r="AD42" s="183" t="b">
        <v>1</v>
      </c>
      <c r="AE42" s="183" t="b">
        <v>0</v>
      </c>
      <c r="AF42" s="183" t="b">
        <v>0</v>
      </c>
      <c r="AG42" s="183" t="b">
        <v>0</v>
      </c>
      <c r="AH42" s="32"/>
      <c r="AI42" s="32"/>
      <c r="AJ42" s="32"/>
      <c r="AK42" s="28"/>
      <c r="AL42" s="97">
        <v>460663</v>
      </c>
      <c r="AM42" s="97">
        <v>265249</v>
      </c>
      <c r="AN42" s="174">
        <v>3.25</v>
      </c>
      <c r="AO42" s="15"/>
      <c r="AP42" s="18">
        <v>46031</v>
      </c>
      <c r="AQ42" s="18">
        <v>46038</v>
      </c>
      <c r="AR42" s="236"/>
      <c r="AS42" s="200"/>
      <c r="AT42" s="177">
        <v>46039</v>
      </c>
    </row>
    <row r="43" spans="1:46" x14ac:dyDescent="0.2">
      <c r="A43" s="187">
        <f t="shared" si="2"/>
        <v>19</v>
      </c>
      <c r="B43" s="191" t="str">
        <f>_xlfn.XLOOKUP(D43,Códigos_Propuestas!$B$4:$B$10,Códigos_Propuestas!$C$4:$C$10,"!",0,1)&amp;"__"&amp;
_xlfn.XLOOKUP(H43,Códigos_Propuestas!$E$4:$E$76,Códigos_Propuestas!$F$4:$F$76,"!",1)&amp;"__"&amp;
_xlfn.XLOOKUP(M43,Códigos_Propuestas!$I$4:$I$7,Códigos_Propuestas!$J$4:$J$7,"!",1)&amp;"__"&amp;
_xlfn.XLOOKUP(N43,Códigos_Propuestas!$O$4:$O$11,Códigos_Propuestas!$Q$4:$Q$11,"!",1)&amp;"__"&amp;
_xlfn.XLOOKUP(F43,Códigos_Propuestas!$BF:$BF,Códigos_Propuestas!$BH:$BH,"!",0,1)</f>
        <v>PE__CSC__UG__MIN__!</v>
      </c>
      <c r="C43" s="47">
        <v>41</v>
      </c>
      <c r="D43" s="174" t="s">
        <v>62</v>
      </c>
      <c r="E43" s="174" t="s">
        <v>62</v>
      </c>
      <c r="F43" s="194" t="s">
        <v>547</v>
      </c>
      <c r="G43" s="174" t="s">
        <v>547</v>
      </c>
      <c r="H43" s="174" t="s">
        <v>207</v>
      </c>
      <c r="I43" s="174" t="s">
        <v>548</v>
      </c>
      <c r="J43" s="174" t="s">
        <v>122</v>
      </c>
      <c r="K43" s="47" t="s">
        <v>98</v>
      </c>
      <c r="L43" s="181"/>
      <c r="M43" s="174" t="s">
        <v>65</v>
      </c>
      <c r="N43" s="181" t="s">
        <v>35</v>
      </c>
      <c r="O43" s="181" t="s">
        <v>40</v>
      </c>
      <c r="P43" s="181" t="s">
        <v>80</v>
      </c>
      <c r="Q43" s="181" t="s">
        <v>689</v>
      </c>
      <c r="R43" s="181"/>
      <c r="S43" s="174"/>
      <c r="T43" s="183" t="b">
        <v>0</v>
      </c>
      <c r="U43" s="174"/>
      <c r="V43" s="183" t="b">
        <v>0</v>
      </c>
      <c r="W43" s="174"/>
      <c r="X43" s="183" t="b">
        <v>0</v>
      </c>
      <c r="Y43" s="174"/>
      <c r="Z43" s="183" t="b">
        <v>0</v>
      </c>
      <c r="AA43" s="174"/>
      <c r="AB43" s="174"/>
      <c r="AC43" s="183" t="b">
        <v>0</v>
      </c>
      <c r="AD43" s="183" t="b">
        <v>1</v>
      </c>
      <c r="AE43" s="183" t="b">
        <v>0</v>
      </c>
      <c r="AF43" s="183" t="b">
        <v>0</v>
      </c>
      <c r="AG43" s="183" t="b">
        <v>0</v>
      </c>
      <c r="AH43" s="32"/>
      <c r="AI43" s="32" t="s">
        <v>99</v>
      </c>
      <c r="AJ43" s="32" t="s">
        <v>50</v>
      </c>
      <c r="AK43" s="28"/>
      <c r="AL43" s="97">
        <v>9900</v>
      </c>
      <c r="AM43" s="169">
        <f t="shared" ref="AM43:AM89" si="3">IF(AL43&lt;100000,AL43*0.2,AL43*0.4)</f>
        <v>1980</v>
      </c>
      <c r="AN43" s="174">
        <v>0.1</v>
      </c>
      <c r="AO43" s="15"/>
      <c r="AP43" s="18">
        <v>46034</v>
      </c>
      <c r="AQ43" s="18">
        <v>46036</v>
      </c>
      <c r="AR43" s="236"/>
      <c r="AS43" s="200"/>
      <c r="AT43" s="16">
        <v>46037</v>
      </c>
    </row>
    <row r="44" spans="1:46" hidden="1" x14ac:dyDescent="0.2">
      <c r="A44" s="187">
        <f t="shared" si="2"/>
        <v>19</v>
      </c>
      <c r="B44" s="191" t="str">
        <f>_xlfn.XLOOKUP(D44,Códigos_Propuestas!$B$4:$B$10,Códigos_Propuestas!$C$4:$C$10,"!",0,1)&amp;"__"&amp;
_xlfn.XLOOKUP(H44,Códigos_Propuestas!$E$4:$E$76,Códigos_Propuestas!$F$4:$F$76,"!",1)&amp;"__"&amp;
_xlfn.XLOOKUP(M44,Códigos_Propuestas!$I$4:$I$7,Códigos_Propuestas!$J$4:$J$7,"!",1)&amp;"__"&amp;
_xlfn.XLOOKUP(N44,Códigos_Propuestas!$O$4:$O$11,Códigos_Propuestas!$Q$4:$Q$11,"!",1)&amp;"__"&amp;
_xlfn.XLOOKUP(F44,Códigos_Propuestas!$BF:$BF,Códigos_Propuestas!$BH:$BH,"!",0,1)</f>
        <v>PE__CMH__OT__MOP__!</v>
      </c>
      <c r="C44" s="47">
        <v>42</v>
      </c>
      <c r="D44" s="174" t="s">
        <v>62</v>
      </c>
      <c r="E44" s="174" t="s">
        <v>62</v>
      </c>
      <c r="F44" s="194" t="s">
        <v>531</v>
      </c>
      <c r="G44" s="174" t="s">
        <v>531</v>
      </c>
      <c r="H44" s="174" t="s">
        <v>331</v>
      </c>
      <c r="I44" s="174" t="s">
        <v>532</v>
      </c>
      <c r="J44" s="174" t="s">
        <v>143</v>
      </c>
      <c r="K44" s="47" t="s">
        <v>72</v>
      </c>
      <c r="L44" s="181"/>
      <c r="M44" s="174" t="s">
        <v>35</v>
      </c>
      <c r="N44" s="181" t="s">
        <v>141</v>
      </c>
      <c r="O44" s="181" t="str">
        <f>_xlfn.XLOOKUP(N44,Códigos_Propuestas!$O$4:$O$15,Códigos_Propuestas!$P$4:$P$15,"!",0,1)</f>
        <v>REDCO</v>
      </c>
      <c r="P44" s="181" t="s">
        <v>749</v>
      </c>
      <c r="Q44" s="181" t="s">
        <v>144</v>
      </c>
      <c r="R44" s="184" t="s">
        <v>52</v>
      </c>
      <c r="S44" s="174"/>
      <c r="T44" s="183" t="b">
        <v>0</v>
      </c>
      <c r="U44" s="174"/>
      <c r="V44" s="183" t="b">
        <v>0</v>
      </c>
      <c r="W44" s="174"/>
      <c r="X44" s="183" t="b">
        <v>0</v>
      </c>
      <c r="Y44" s="174"/>
      <c r="Z44" s="183" t="b">
        <v>0</v>
      </c>
      <c r="AA44" s="174"/>
      <c r="AB44" s="174"/>
      <c r="AC44" s="183" t="b">
        <v>1</v>
      </c>
      <c r="AD44" s="183" t="b">
        <v>0</v>
      </c>
      <c r="AE44" s="183" t="b">
        <v>0</v>
      </c>
      <c r="AF44" s="183" t="b">
        <v>0</v>
      </c>
      <c r="AG44" s="183" t="b">
        <v>0</v>
      </c>
      <c r="AH44" s="32"/>
      <c r="AI44" s="32"/>
      <c r="AJ44" s="32"/>
      <c r="AK44" s="28"/>
      <c r="AL44" s="97">
        <v>126590</v>
      </c>
      <c r="AM44" s="169">
        <f t="shared" si="3"/>
        <v>50636</v>
      </c>
      <c r="AN44" s="174">
        <v>2</v>
      </c>
      <c r="AO44" s="15"/>
      <c r="AP44" s="18">
        <v>45995</v>
      </c>
      <c r="AQ44" s="18">
        <v>46034</v>
      </c>
      <c r="AR44" s="235"/>
      <c r="AS44" s="18"/>
      <c r="AT44" s="176">
        <v>46035</v>
      </c>
    </row>
    <row r="45" spans="1:46" hidden="1" x14ac:dyDescent="0.2">
      <c r="A45" s="187">
        <f t="shared" si="2"/>
        <v>19</v>
      </c>
      <c r="B45" s="191" t="str">
        <f>_xlfn.XLOOKUP(D45,Códigos_Propuestas!$B$4:$B$10,Códigos_Propuestas!$C$4:$C$10,"!",0,1)&amp;"__"&amp;
_xlfn.XLOOKUP(H45,Códigos_Propuestas!$E$4:$E$76,Códigos_Propuestas!$F$4:$F$76,"!",1)&amp;"__"&amp;
_xlfn.XLOOKUP(M45,Códigos_Propuestas!$I$4:$I$7,Códigos_Propuestas!$J$4:$J$7,"!",1)&amp;"__"&amp;
_xlfn.XLOOKUP(N45,Códigos_Propuestas!$O$4:$O$11,Códigos_Propuestas!$Q$4:$Q$11,"!",1)&amp;"__"&amp;
_xlfn.XLOOKUP(F45,Códigos_Propuestas!$BF:$BF,Códigos_Propuestas!$BH:$BH,"!",0,1)</f>
        <v>PE__RED__OU__PEA__!</v>
      </c>
      <c r="C45" s="47">
        <v>43</v>
      </c>
      <c r="D45" s="174" t="s">
        <v>62</v>
      </c>
      <c r="E45" s="174" t="s">
        <v>62</v>
      </c>
      <c r="F45" s="194" t="s">
        <v>541</v>
      </c>
      <c r="G45" s="174" t="s">
        <v>541</v>
      </c>
      <c r="H45" s="174" t="s">
        <v>356</v>
      </c>
      <c r="I45" s="174" t="s">
        <v>542</v>
      </c>
      <c r="J45" s="174" t="s">
        <v>143</v>
      </c>
      <c r="K45" s="47" t="s">
        <v>72</v>
      </c>
      <c r="L45" s="181"/>
      <c r="M45" s="174" t="s">
        <v>116</v>
      </c>
      <c r="N45" s="181" t="s">
        <v>39</v>
      </c>
      <c r="O45" s="181" t="str">
        <f>_xlfn.XLOOKUP(N45,Códigos_Propuestas!$O$4:$O$15,Códigos_Propuestas!$P$4:$P$15,"!",0,1)</f>
        <v>REDCO</v>
      </c>
      <c r="P45" s="181" t="s">
        <v>80</v>
      </c>
      <c r="Q45" s="181" t="s">
        <v>103</v>
      </c>
      <c r="R45" s="181" t="s">
        <v>35</v>
      </c>
      <c r="S45" s="174"/>
      <c r="T45" s="183" t="b">
        <v>0</v>
      </c>
      <c r="U45" s="174"/>
      <c r="V45" s="183" t="b">
        <v>0</v>
      </c>
      <c r="W45" s="174"/>
      <c r="X45" s="183" t="b">
        <v>0</v>
      </c>
      <c r="Y45" s="174"/>
      <c r="Z45" s="183" t="b">
        <v>0</v>
      </c>
      <c r="AA45" s="174"/>
      <c r="AB45" s="174"/>
      <c r="AC45" s="183" t="b">
        <v>1</v>
      </c>
      <c r="AD45" s="183" t="b">
        <v>0</v>
      </c>
      <c r="AE45" s="183" t="b">
        <v>0</v>
      </c>
      <c r="AF45" s="183" t="b">
        <v>0</v>
      </c>
      <c r="AG45" s="183" t="b">
        <v>0</v>
      </c>
      <c r="AH45" s="32"/>
      <c r="AI45" s="32"/>
      <c r="AJ45" s="32"/>
      <c r="AK45" s="28"/>
      <c r="AL45" s="97">
        <v>379990</v>
      </c>
      <c r="AM45" s="169">
        <f t="shared" si="3"/>
        <v>151996</v>
      </c>
      <c r="AN45" s="174">
        <v>4</v>
      </c>
      <c r="AO45" s="15"/>
      <c r="AP45" s="32"/>
      <c r="AQ45" s="18">
        <v>46031</v>
      </c>
      <c r="AR45" s="235"/>
      <c r="AS45" s="18"/>
      <c r="AT45" s="176">
        <v>46032</v>
      </c>
    </row>
    <row r="46" spans="1:46" hidden="1" x14ac:dyDescent="0.2">
      <c r="A46" s="187">
        <f t="shared" si="2"/>
        <v>19</v>
      </c>
      <c r="B46" s="191" t="str">
        <f>_xlfn.XLOOKUP(D46,Códigos_Propuestas!$B$4:$B$10,Códigos_Propuestas!$C$4:$C$10,"!",0,1)&amp;"__"&amp;
_xlfn.XLOOKUP(H46,Códigos_Propuestas!$E$4:$E$76,Códigos_Propuestas!$F$4:$F$76,"!",1)&amp;"__"&amp;
_xlfn.XLOOKUP(M46,Códigos_Propuestas!$I$4:$I$7,Códigos_Propuestas!$J$4:$J$7,"!",1)&amp;"__"&amp;
_xlfn.XLOOKUP(N46,Códigos_Propuestas!$O$4:$O$11,Códigos_Propuestas!$Q$4:$Q$11,"!",1)&amp;"__"&amp;
_xlfn.XLOOKUP(F46,Códigos_Propuestas!$BF:$BF,Códigos_Propuestas!$BH:$BH,"!",0,1)</f>
        <v>BR__VAL__OU__MIN__!</v>
      </c>
      <c r="C46" s="47">
        <v>44</v>
      </c>
      <c r="D46" s="174" t="s">
        <v>88</v>
      </c>
      <c r="E46" s="174" t="s">
        <v>88</v>
      </c>
      <c r="F46" s="194" t="s">
        <v>538</v>
      </c>
      <c r="G46" s="174" t="s">
        <v>538</v>
      </c>
      <c r="H46" s="174" t="s">
        <v>218</v>
      </c>
      <c r="I46" s="174"/>
      <c r="J46" s="174" t="s">
        <v>143</v>
      </c>
      <c r="K46" s="47" t="s">
        <v>44</v>
      </c>
      <c r="L46" s="181"/>
      <c r="M46" s="174" t="s">
        <v>116</v>
      </c>
      <c r="N46" s="181" t="s">
        <v>120</v>
      </c>
      <c r="O46" s="181" t="str">
        <f>_xlfn.XLOOKUP(N46,Códigos_Propuestas!$O$4:$O$15,Códigos_Propuestas!$P$4:$P$15,"!",0,1)</f>
        <v>REDCO</v>
      </c>
      <c r="P46" s="181" t="s">
        <v>108</v>
      </c>
      <c r="Q46" s="184" t="s">
        <v>127</v>
      </c>
      <c r="R46" s="181"/>
      <c r="S46" s="174"/>
      <c r="T46" s="183" t="b">
        <v>0</v>
      </c>
      <c r="U46" s="174"/>
      <c r="V46" s="183" t="b">
        <v>0</v>
      </c>
      <c r="W46" s="174"/>
      <c r="X46" s="183" t="b">
        <v>0</v>
      </c>
      <c r="Y46" s="174"/>
      <c r="Z46" s="183" t="b">
        <v>0</v>
      </c>
      <c r="AA46" s="174"/>
      <c r="AB46" s="174"/>
      <c r="AC46" s="183" t="b">
        <v>1</v>
      </c>
      <c r="AD46" s="183" t="b">
        <v>0</v>
      </c>
      <c r="AE46" s="183" t="b">
        <v>0</v>
      </c>
      <c r="AF46" s="183" t="b">
        <v>0</v>
      </c>
      <c r="AG46" s="183" t="b">
        <v>0</v>
      </c>
      <c r="AH46" s="32"/>
      <c r="AI46" s="32"/>
      <c r="AJ46" s="32"/>
      <c r="AK46" s="28"/>
      <c r="AL46" s="97">
        <v>500000</v>
      </c>
      <c r="AM46" s="169">
        <f t="shared" si="3"/>
        <v>200000</v>
      </c>
      <c r="AN46" s="174">
        <v>10</v>
      </c>
      <c r="AO46" s="15"/>
      <c r="AP46" s="18"/>
      <c r="AQ46" s="18">
        <v>46017</v>
      </c>
      <c r="AR46" s="236"/>
      <c r="AS46" s="200"/>
      <c r="AT46" s="177">
        <v>46017</v>
      </c>
    </row>
    <row r="47" spans="1:46" hidden="1" x14ac:dyDescent="0.2">
      <c r="A47" s="187">
        <f t="shared" si="2"/>
        <v>21</v>
      </c>
      <c r="B47" s="191" t="str">
        <f>_xlfn.XLOOKUP(D47,Códigos_Propuestas!$B$4:$B$10,Códigos_Propuestas!$C$4:$C$10,"!",0,1)&amp;"__"&amp;
_xlfn.XLOOKUP(H47,Códigos_Propuestas!$E$4:$E$76,Códigos_Propuestas!$F$4:$F$76,"!",1)&amp;"__"&amp;
_xlfn.XLOOKUP(M47,Códigos_Propuestas!$I$4:$I$7,Códigos_Propuestas!$J$4:$J$7,"!",1)&amp;"__"&amp;
_xlfn.XLOOKUP(N47,Códigos_Propuestas!$O$4:$O$11,Códigos_Propuestas!$Q$4:$Q$11,"!",1)&amp;"__"&amp;
_xlfn.XLOOKUP(F47,Códigos_Propuestas!$BF:$BF,Códigos_Propuestas!$BH:$BH,"!",0,1)</f>
        <v>CH__AMS__OP__PEA__021</v>
      </c>
      <c r="C47" s="47">
        <v>45</v>
      </c>
      <c r="D47" s="174" t="s">
        <v>32</v>
      </c>
      <c r="E47" s="174" t="s">
        <v>32</v>
      </c>
      <c r="F47" s="194" t="s">
        <v>220</v>
      </c>
      <c r="G47" s="174" t="s">
        <v>220</v>
      </c>
      <c r="H47" s="174" t="s">
        <v>162</v>
      </c>
      <c r="I47" s="174"/>
      <c r="J47" s="174" t="s">
        <v>143</v>
      </c>
      <c r="K47" s="47" t="s">
        <v>98</v>
      </c>
      <c r="L47" s="181"/>
      <c r="M47" s="174" t="s">
        <v>92</v>
      </c>
      <c r="N47" s="181" t="s">
        <v>39</v>
      </c>
      <c r="O47" s="181" t="str">
        <f>_xlfn.XLOOKUP(N47,Códigos_Propuestas!$O$4:$O$15,Códigos_Propuestas!$P$4:$P$15,"!",0,1)</f>
        <v>REDCO</v>
      </c>
      <c r="P47" s="181" t="s">
        <v>80</v>
      </c>
      <c r="Q47" s="181" t="s">
        <v>689</v>
      </c>
      <c r="R47" s="181" t="s">
        <v>35</v>
      </c>
      <c r="S47" s="174"/>
      <c r="T47" s="183" t="b">
        <v>0</v>
      </c>
      <c r="U47" s="174"/>
      <c r="V47" s="183" t="b">
        <v>0</v>
      </c>
      <c r="W47" s="174"/>
      <c r="X47" s="183" t="b">
        <v>0</v>
      </c>
      <c r="Y47" s="174"/>
      <c r="Z47" s="183" t="b">
        <v>0</v>
      </c>
      <c r="AA47" s="174"/>
      <c r="AB47" s="174"/>
      <c r="AC47" s="183" t="b">
        <v>1</v>
      </c>
      <c r="AD47" s="183" t="b">
        <v>0</v>
      </c>
      <c r="AE47" s="183" t="b">
        <v>0</v>
      </c>
      <c r="AF47" s="183" t="b">
        <v>0</v>
      </c>
      <c r="AG47" s="183" t="b">
        <v>0</v>
      </c>
      <c r="AH47" s="32"/>
      <c r="AI47" s="32"/>
      <c r="AJ47" s="32"/>
      <c r="AK47" s="28"/>
      <c r="AL47" s="97">
        <v>120000</v>
      </c>
      <c r="AM47" s="169">
        <f t="shared" si="3"/>
        <v>48000</v>
      </c>
      <c r="AN47" s="174">
        <v>3</v>
      </c>
      <c r="AO47" s="15"/>
      <c r="AP47" s="18"/>
      <c r="AQ47" s="18">
        <v>46001</v>
      </c>
      <c r="AR47" s="236"/>
      <c r="AS47" s="200"/>
      <c r="AT47" s="177">
        <f>AQ47</f>
        <v>46001</v>
      </c>
    </row>
    <row r="48" spans="1:46" hidden="1" x14ac:dyDescent="0.2">
      <c r="A48" s="187">
        <f t="shared" si="2"/>
        <v>21</v>
      </c>
      <c r="B48" s="191" t="str">
        <f>_xlfn.XLOOKUP(D48,Códigos_Propuestas!$B$4:$B$10,Códigos_Propuestas!$C$4:$C$10,"!",0,1)&amp;"__"&amp;
_xlfn.XLOOKUP(H48,Códigos_Propuestas!$E$4:$E$76,Códigos_Propuestas!$F$4:$F$76,"!",1)&amp;"__"&amp;
_xlfn.XLOOKUP(M48,Códigos_Propuestas!$I$4:$I$7,Códigos_Propuestas!$J$4:$J$7,"!",1)&amp;"__"&amp;
_xlfn.XLOOKUP(N48,Códigos_Propuestas!$O$4:$O$11,Códigos_Propuestas!$Q$4:$Q$11,"!",1)&amp;"__"&amp;
_xlfn.XLOOKUP(F48,Códigos_Propuestas!$BF:$BF,Códigos_Propuestas!$BH:$BH,"!",0,1)</f>
        <v>BR__JAG__UG__MIN__014</v>
      </c>
      <c r="C48" s="47">
        <v>46</v>
      </c>
      <c r="D48" s="174" t="s">
        <v>88</v>
      </c>
      <c r="E48" s="174" t="s">
        <v>88</v>
      </c>
      <c r="F48" s="194" t="s">
        <v>201</v>
      </c>
      <c r="G48" s="174" t="s">
        <v>201</v>
      </c>
      <c r="H48" s="174" t="s">
        <v>329</v>
      </c>
      <c r="I48" s="174"/>
      <c r="J48" s="174" t="s">
        <v>143</v>
      </c>
      <c r="K48" s="47" t="s">
        <v>72</v>
      </c>
      <c r="L48" s="181"/>
      <c r="M48" s="174" t="s">
        <v>65</v>
      </c>
      <c r="N48" s="181" t="s">
        <v>35</v>
      </c>
      <c r="O48" s="181" t="s">
        <v>40</v>
      </c>
      <c r="P48" s="181" t="s">
        <v>108</v>
      </c>
      <c r="Q48" s="181" t="s">
        <v>51</v>
      </c>
      <c r="R48" s="181" t="s">
        <v>52</v>
      </c>
      <c r="S48" s="174"/>
      <c r="T48" s="183" t="b">
        <v>0</v>
      </c>
      <c r="U48" s="174"/>
      <c r="V48" s="183" t="b">
        <v>0</v>
      </c>
      <c r="W48" s="174"/>
      <c r="X48" s="183" t="b">
        <v>0</v>
      </c>
      <c r="Y48" s="174"/>
      <c r="Z48" s="183" t="b">
        <v>0</v>
      </c>
      <c r="AA48" s="174"/>
      <c r="AB48" s="174"/>
      <c r="AC48" s="183" t="b">
        <v>1</v>
      </c>
      <c r="AD48" s="183" t="b">
        <v>0</v>
      </c>
      <c r="AE48" s="183" t="b">
        <v>1</v>
      </c>
      <c r="AF48" s="183" t="b">
        <v>0</v>
      </c>
      <c r="AG48" s="183" t="b">
        <v>0</v>
      </c>
      <c r="AH48" s="32"/>
      <c r="AI48" s="32"/>
      <c r="AJ48" s="32"/>
      <c r="AK48" s="28"/>
      <c r="AL48" s="97">
        <v>303000</v>
      </c>
      <c r="AM48" s="169">
        <f t="shared" si="3"/>
        <v>121200</v>
      </c>
      <c r="AN48" s="174">
        <v>4</v>
      </c>
      <c r="AO48" s="15"/>
      <c r="AP48" s="18"/>
      <c r="AQ48" s="18">
        <v>45986</v>
      </c>
      <c r="AR48" s="236"/>
      <c r="AS48" s="200"/>
      <c r="AT48" s="177">
        <v>45986</v>
      </c>
    </row>
    <row r="49" spans="1:46" hidden="1" x14ac:dyDescent="0.2">
      <c r="A49" s="187">
        <f t="shared" si="2"/>
        <v>21</v>
      </c>
      <c r="B49" s="191" t="str">
        <f>_xlfn.XLOOKUP(D49,Códigos_Propuestas!$B$4:$B$10,Códigos_Propuestas!$C$4:$C$10,"!",0,1)&amp;"__"&amp;
_xlfn.XLOOKUP(H49,Códigos_Propuestas!$E$4:$E$76,Códigos_Propuestas!$F$4:$F$76,"!",1)&amp;"__"&amp;
_xlfn.XLOOKUP(M49,Códigos_Propuestas!$I$4:$I$7,Códigos_Propuestas!$J$4:$J$7,"!",1)&amp;"__"&amp;
_xlfn.XLOOKUP(N49,Códigos_Propuestas!$O$4:$O$11,Códigos_Propuestas!$Q$4:$Q$11,"!",1)&amp;"__"&amp;
_xlfn.XLOOKUP(F49,Códigos_Propuestas!$BF:$BF,Códigos_Propuestas!$BH:$BH,"!",0,1)</f>
        <v>CH__CMP__OP__MIN__007</v>
      </c>
      <c r="C49" s="47">
        <v>47</v>
      </c>
      <c r="D49" s="174" t="s">
        <v>32</v>
      </c>
      <c r="E49" s="174" t="s">
        <v>32</v>
      </c>
      <c r="F49" s="194" t="s">
        <v>148</v>
      </c>
      <c r="G49" s="174" t="s">
        <v>148</v>
      </c>
      <c r="H49" s="174" t="s">
        <v>34</v>
      </c>
      <c r="I49" s="174" t="s">
        <v>527</v>
      </c>
      <c r="J49" s="174" t="s">
        <v>143</v>
      </c>
      <c r="K49" s="47" t="s">
        <v>98</v>
      </c>
      <c r="L49" s="181"/>
      <c r="M49" s="174" t="s">
        <v>92</v>
      </c>
      <c r="N49" s="181" t="s">
        <v>35</v>
      </c>
      <c r="O49" s="181" t="s">
        <v>40</v>
      </c>
      <c r="P49" s="181" t="s">
        <v>749</v>
      </c>
      <c r="Q49" s="181"/>
      <c r="R49" s="181" t="s">
        <v>52</v>
      </c>
      <c r="S49" s="174"/>
      <c r="T49" s="183" t="b">
        <v>0</v>
      </c>
      <c r="U49" s="174"/>
      <c r="V49" s="183" t="b">
        <v>0</v>
      </c>
      <c r="W49" s="174"/>
      <c r="X49" s="183" t="b">
        <v>0</v>
      </c>
      <c r="Y49" s="174"/>
      <c r="Z49" s="183" t="b">
        <v>0</v>
      </c>
      <c r="AA49" s="174"/>
      <c r="AB49" s="174"/>
      <c r="AC49" s="183" t="b">
        <v>1</v>
      </c>
      <c r="AD49" s="183" t="b">
        <v>0</v>
      </c>
      <c r="AE49" s="183" t="b">
        <v>0</v>
      </c>
      <c r="AF49" s="183" t="b">
        <v>0</v>
      </c>
      <c r="AG49" s="183" t="b">
        <v>0</v>
      </c>
      <c r="AH49" s="32"/>
      <c r="AI49" s="32"/>
      <c r="AJ49" s="32"/>
      <c r="AK49" s="28"/>
      <c r="AL49" s="97">
        <v>900000</v>
      </c>
      <c r="AM49" s="169">
        <f t="shared" si="3"/>
        <v>360000</v>
      </c>
      <c r="AN49" s="174"/>
      <c r="AO49" s="15"/>
      <c r="AP49" s="18"/>
      <c r="AQ49" s="18">
        <v>45968</v>
      </c>
      <c r="AR49" s="236"/>
      <c r="AS49" s="200"/>
      <c r="AT49" s="177">
        <f>AQ49</f>
        <v>45968</v>
      </c>
    </row>
    <row r="50" spans="1:46" hidden="1" x14ac:dyDescent="0.2">
      <c r="A50" s="187">
        <f t="shared" si="2"/>
        <v>21</v>
      </c>
      <c r="B50" s="191" t="str">
        <f>_xlfn.XLOOKUP(D50,Códigos_Propuestas!$B$4:$B$10,Códigos_Propuestas!$C$4:$C$10,"!",0,1)&amp;"__"&amp;
_xlfn.XLOOKUP(H50,Códigos_Propuestas!$E$4:$E$76,Códigos_Propuestas!$F$4:$F$76,"!",1)&amp;"__"&amp;
_xlfn.XLOOKUP(M50,Códigos_Propuestas!$I$4:$I$7,Códigos_Propuestas!$J$4:$J$7,"!",1)&amp;"__"&amp;
_xlfn.XLOOKUP(N50,Códigos_Propuestas!$O$4:$O$11,Códigos_Propuestas!$Q$4:$Q$11,"!",1)&amp;"__"&amp;
_xlfn.XLOOKUP(F50,Códigos_Propuestas!$BF:$BF,Códigos_Propuestas!$BH:$BH,"!",0,1)</f>
        <v>PE__HCS__UG__MGE__006</v>
      </c>
      <c r="C50" s="47">
        <v>48</v>
      </c>
      <c r="D50" s="174" t="s">
        <v>62</v>
      </c>
      <c r="E50" s="174" t="s">
        <v>62</v>
      </c>
      <c r="F50" s="194" t="s">
        <v>135</v>
      </c>
      <c r="G50" s="174" t="s">
        <v>135</v>
      </c>
      <c r="H50" s="174" t="s">
        <v>323</v>
      </c>
      <c r="I50" s="174" t="s">
        <v>528</v>
      </c>
      <c r="J50" s="174" t="s">
        <v>143</v>
      </c>
      <c r="K50" s="47" t="s">
        <v>72</v>
      </c>
      <c r="L50" s="181"/>
      <c r="M50" s="174" t="s">
        <v>65</v>
      </c>
      <c r="N50" s="181" t="s">
        <v>153</v>
      </c>
      <c r="O50" s="181" t="s">
        <v>40</v>
      </c>
      <c r="P50" s="181" t="s">
        <v>129</v>
      </c>
      <c r="Q50" s="181" t="s">
        <v>51</v>
      </c>
      <c r="R50" s="181"/>
      <c r="S50" s="174"/>
      <c r="T50" s="183" t="b">
        <v>0</v>
      </c>
      <c r="U50" s="174"/>
      <c r="V50" s="183" t="b">
        <v>0</v>
      </c>
      <c r="W50" s="174"/>
      <c r="X50" s="183" t="b">
        <v>0</v>
      </c>
      <c r="Y50" s="174"/>
      <c r="Z50" s="183" t="b">
        <v>0</v>
      </c>
      <c r="AA50" s="174"/>
      <c r="AB50" s="174"/>
      <c r="AC50" s="183" t="b">
        <v>1</v>
      </c>
      <c r="AD50" s="183" t="b">
        <v>0</v>
      </c>
      <c r="AE50" s="183" t="b">
        <v>0</v>
      </c>
      <c r="AF50" s="183" t="b">
        <v>0</v>
      </c>
      <c r="AG50" s="183" t="b">
        <v>0</v>
      </c>
      <c r="AH50" s="32"/>
      <c r="AI50" s="32"/>
      <c r="AJ50" s="32"/>
      <c r="AK50" s="28"/>
      <c r="AL50" s="97">
        <v>65000</v>
      </c>
      <c r="AM50" s="169">
        <f t="shared" si="3"/>
        <v>13000</v>
      </c>
      <c r="AN50" s="174">
        <v>3</v>
      </c>
      <c r="AO50" s="15"/>
      <c r="AP50" s="18"/>
      <c r="AQ50" s="18">
        <v>45937</v>
      </c>
      <c r="AR50" s="236"/>
      <c r="AS50" s="200"/>
      <c r="AT50" s="177">
        <f>AQ50</f>
        <v>45937</v>
      </c>
    </row>
    <row r="51" spans="1:46" hidden="1" x14ac:dyDescent="0.2">
      <c r="A51" s="187">
        <f t="shared" si="2"/>
        <v>19</v>
      </c>
      <c r="B51" s="191" t="str">
        <f>_xlfn.XLOOKUP(D51,Códigos_Propuestas!$B$4:$B$10,Códigos_Propuestas!$C$4:$C$10,"!",0,1)&amp;"__"&amp;
_xlfn.XLOOKUP(H51,Códigos_Propuestas!$E$4:$E$76,Códigos_Propuestas!$F$4:$F$76,"!",1)&amp;"__"&amp;
_xlfn.XLOOKUP(M51,Códigos_Propuestas!$I$4:$I$7,Códigos_Propuestas!$J$4:$J$7,"!",1)&amp;"__"&amp;
_xlfn.XLOOKUP(N51,Códigos_Propuestas!$O$4:$O$11,Códigos_Propuestas!$Q$4:$Q$11,"!",1)&amp;"__"&amp;
_xlfn.XLOOKUP(F51,Códigos_Propuestas!$BF:$BF,Códigos_Propuestas!$BH:$BH,"!",0,1)</f>
        <v>RU__POL__OP__DAR__!</v>
      </c>
      <c r="C51" s="47">
        <v>49</v>
      </c>
      <c r="D51" s="174" t="s">
        <v>112</v>
      </c>
      <c r="E51" s="174" t="s">
        <v>112</v>
      </c>
      <c r="F51" s="194" t="s">
        <v>537</v>
      </c>
      <c r="G51" s="174" t="s">
        <v>537</v>
      </c>
      <c r="H51" s="174" t="s">
        <v>295</v>
      </c>
      <c r="I51" s="174"/>
      <c r="J51" s="174" t="s">
        <v>143</v>
      </c>
      <c r="K51" s="47" t="s">
        <v>44</v>
      </c>
      <c r="L51" s="181"/>
      <c r="M51" s="174" t="s">
        <v>92</v>
      </c>
      <c r="N51" s="181" t="s">
        <v>95</v>
      </c>
      <c r="O51" s="181" t="str">
        <f>_xlfn.XLOOKUP(N51,Códigos_Propuestas!$O$4:$O$15,Códigos_Propuestas!$P$4:$P$15,"!",0,1)</f>
        <v>REDCO</v>
      </c>
      <c r="P51" s="181" t="s">
        <v>80</v>
      </c>
      <c r="Q51" s="181" t="s">
        <v>103</v>
      </c>
      <c r="R51" s="181" t="s">
        <v>79</v>
      </c>
      <c r="S51" s="174"/>
      <c r="T51" s="183" t="b">
        <v>0</v>
      </c>
      <c r="U51" s="174"/>
      <c r="V51" s="183" t="b">
        <v>0</v>
      </c>
      <c r="W51" s="174"/>
      <c r="X51" s="183" t="b">
        <v>0</v>
      </c>
      <c r="Y51" s="174"/>
      <c r="Z51" s="183" t="b">
        <v>0</v>
      </c>
      <c r="AA51" s="174"/>
      <c r="AB51" s="174"/>
      <c r="AC51" s="183" t="b">
        <v>0</v>
      </c>
      <c r="AD51" s="183" t="b">
        <v>1</v>
      </c>
      <c r="AE51" s="183" t="b">
        <v>0</v>
      </c>
      <c r="AF51" s="183" t="b">
        <v>0</v>
      </c>
      <c r="AG51" s="183" t="b">
        <v>0</v>
      </c>
      <c r="AH51" s="32"/>
      <c r="AI51" s="32"/>
      <c r="AJ51" s="32"/>
      <c r="AK51" s="28"/>
      <c r="AL51" s="97">
        <v>270000</v>
      </c>
      <c r="AM51" s="169">
        <f t="shared" si="3"/>
        <v>108000</v>
      </c>
      <c r="AN51" s="174">
        <v>3</v>
      </c>
      <c r="AO51" s="15"/>
      <c r="AP51" s="18"/>
      <c r="AQ51" s="18">
        <v>45911</v>
      </c>
      <c r="AR51" s="236"/>
      <c r="AS51" s="200"/>
      <c r="AT51" s="177">
        <f>AQ51</f>
        <v>45911</v>
      </c>
    </row>
    <row r="52" spans="1:46" hidden="1" x14ac:dyDescent="0.2">
      <c r="A52" s="187">
        <f t="shared" si="2"/>
        <v>19</v>
      </c>
      <c r="B52" s="191" t="str">
        <f>_xlfn.XLOOKUP(D52,Códigos_Propuestas!$B$4:$B$10,Códigos_Propuestas!$C$4:$C$10,"!",0,1)&amp;"__"&amp;
_xlfn.XLOOKUP(H52,Códigos_Propuestas!$E$4:$E$76,Códigos_Propuestas!$F$4:$F$76,"!",1)&amp;"__"&amp;
_xlfn.XLOOKUP(M52,Códigos_Propuestas!$I$4:$I$7,Códigos_Propuestas!$J$4:$J$7,"!",1)&amp;"__"&amp;
_xlfn.XLOOKUP(N52,Códigos_Propuestas!$O$4:$O$11,Códigos_Propuestas!$Q$4:$Q$11,"!",1)&amp;"__"&amp;
_xlfn.XLOOKUP(F52,Códigos_Propuestas!$BF:$BF,Códigos_Propuestas!$BH:$BH,"!",0,1)</f>
        <v>PE__VLC__OP__PEA__!</v>
      </c>
      <c r="C52" s="47">
        <v>50</v>
      </c>
      <c r="D52" s="174" t="s">
        <v>62</v>
      </c>
      <c r="E52" s="174" t="s">
        <v>62</v>
      </c>
      <c r="F52" s="194" t="s">
        <v>571</v>
      </c>
      <c r="G52" s="174" t="s">
        <v>571</v>
      </c>
      <c r="H52" s="174" t="s">
        <v>284</v>
      </c>
      <c r="I52" s="174" t="s">
        <v>572</v>
      </c>
      <c r="J52" s="174" t="s">
        <v>97</v>
      </c>
      <c r="K52" s="47" t="s">
        <v>44</v>
      </c>
      <c r="L52" s="181"/>
      <c r="M52" s="174" t="s">
        <v>92</v>
      </c>
      <c r="N52" s="181" t="s">
        <v>39</v>
      </c>
      <c r="O52" s="181" t="str">
        <f>_xlfn.XLOOKUP(N52,Códigos_Propuestas!$O$4:$O$15,Códigos_Propuestas!$P$4:$P$15,"!",0,1)</f>
        <v>REDCO</v>
      </c>
      <c r="P52" s="181" t="s">
        <v>80</v>
      </c>
      <c r="Q52" s="181" t="s">
        <v>144</v>
      </c>
      <c r="R52" s="181"/>
      <c r="S52" s="174"/>
      <c r="T52" s="183" t="b">
        <v>0</v>
      </c>
      <c r="U52" s="174"/>
      <c r="V52" s="183" t="b">
        <v>0</v>
      </c>
      <c r="W52" s="174"/>
      <c r="X52" s="183" t="b">
        <v>0</v>
      </c>
      <c r="Y52" s="174"/>
      <c r="Z52" s="183" t="b">
        <v>0</v>
      </c>
      <c r="AA52" s="174" t="s">
        <v>60</v>
      </c>
      <c r="AB52" s="174"/>
      <c r="AC52" s="183" t="b">
        <v>1</v>
      </c>
      <c r="AD52" s="183" t="b">
        <v>0</v>
      </c>
      <c r="AE52" s="183" t="b">
        <v>0</v>
      </c>
      <c r="AF52" s="183" t="b">
        <v>0</v>
      </c>
      <c r="AG52" s="183" t="b">
        <v>0</v>
      </c>
      <c r="AH52" s="32"/>
      <c r="AI52" s="32" t="s">
        <v>45</v>
      </c>
      <c r="AJ52" s="32"/>
      <c r="AK52" s="28"/>
      <c r="AL52" s="97">
        <v>543586</v>
      </c>
      <c r="AM52" s="169">
        <f t="shared" si="3"/>
        <v>217434.40000000002</v>
      </c>
      <c r="AN52" s="174">
        <v>8</v>
      </c>
      <c r="AO52" s="15"/>
      <c r="AP52" s="18">
        <v>46043</v>
      </c>
      <c r="AQ52" s="18">
        <v>46078</v>
      </c>
      <c r="AR52" s="236"/>
      <c r="AS52" s="200"/>
      <c r="AT52" s="16"/>
    </row>
    <row r="53" spans="1:46" hidden="1" x14ac:dyDescent="0.2">
      <c r="A53" s="187">
        <f t="shared" si="2"/>
        <v>19</v>
      </c>
      <c r="B53" s="191" t="str">
        <f>_xlfn.XLOOKUP(D53,Códigos_Propuestas!$B$4:$B$10,Códigos_Propuestas!$C$4:$C$10,"!",0,1)&amp;"__"&amp;
_xlfn.XLOOKUP(H53,Códigos_Propuestas!$E$4:$E$76,Códigos_Propuestas!$F$4:$F$76,"!",1)&amp;"__"&amp;
_xlfn.XLOOKUP(M53,Códigos_Propuestas!$I$4:$I$7,Códigos_Propuestas!$J$4:$J$7,"!",1)&amp;"__"&amp;
_xlfn.XLOOKUP(N53,Códigos_Propuestas!$O$4:$O$11,Códigos_Propuestas!$Q$4:$Q$11,"!",1)&amp;"__"&amp;
_xlfn.XLOOKUP(F53,Códigos_Propuestas!$BF:$BF,Códigos_Propuestas!$BH:$BH,"!",0,1)</f>
        <v>PE__VLC__UG__MGE__!</v>
      </c>
      <c r="C53" s="47">
        <v>51</v>
      </c>
      <c r="D53" s="174" t="s">
        <v>62</v>
      </c>
      <c r="E53" s="174" t="s">
        <v>62</v>
      </c>
      <c r="F53" s="232" t="s">
        <v>802</v>
      </c>
      <c r="G53" s="174" t="s">
        <v>587</v>
      </c>
      <c r="H53" s="32" t="s">
        <v>284</v>
      </c>
      <c r="I53" s="174" t="s">
        <v>800</v>
      </c>
      <c r="J53" s="174" t="s">
        <v>97</v>
      </c>
      <c r="K53" s="47" t="s">
        <v>44</v>
      </c>
      <c r="L53" s="181" t="s">
        <v>801</v>
      </c>
      <c r="M53" s="174" t="s">
        <v>65</v>
      </c>
      <c r="N53" s="181" t="s">
        <v>153</v>
      </c>
      <c r="O53" s="181" t="s">
        <v>40</v>
      </c>
      <c r="P53" s="181" t="s">
        <v>129</v>
      </c>
      <c r="Q53" s="181" t="s">
        <v>690</v>
      </c>
      <c r="R53" s="181"/>
      <c r="S53" s="174"/>
      <c r="T53" s="183" t="b">
        <v>0</v>
      </c>
      <c r="U53" s="174"/>
      <c r="V53" s="183" t="b">
        <v>0</v>
      </c>
      <c r="W53" s="174"/>
      <c r="X53" s="183" t="b">
        <v>0</v>
      </c>
      <c r="Y53" s="174"/>
      <c r="Z53" s="183" t="b">
        <v>0</v>
      </c>
      <c r="AA53" s="174"/>
      <c r="AB53" s="174"/>
      <c r="AC53" s="183" t="b">
        <v>1</v>
      </c>
      <c r="AD53" s="183" t="b">
        <v>1</v>
      </c>
      <c r="AE53" s="183" t="b">
        <v>1</v>
      </c>
      <c r="AF53" s="183" t="b">
        <v>0</v>
      </c>
      <c r="AG53" s="183" t="b">
        <v>1</v>
      </c>
      <c r="AH53" s="32"/>
      <c r="AI53" s="32"/>
      <c r="AJ53" s="32"/>
      <c r="AK53" s="28"/>
      <c r="AL53" s="97">
        <v>183630</v>
      </c>
      <c r="AM53" s="169">
        <f t="shared" si="3"/>
        <v>73452</v>
      </c>
      <c r="AN53" s="174">
        <v>9</v>
      </c>
      <c r="AO53" s="15"/>
      <c r="AP53" s="18">
        <v>46069</v>
      </c>
      <c r="AQ53" s="18">
        <v>46139</v>
      </c>
      <c r="AR53" s="236">
        <v>1</v>
      </c>
      <c r="AS53" s="200">
        <v>46146</v>
      </c>
      <c r="AT53" s="16"/>
    </row>
    <row r="54" spans="1:46" x14ac:dyDescent="0.2">
      <c r="A54" s="187">
        <f t="shared" si="2"/>
        <v>19</v>
      </c>
      <c r="B54" s="191" t="str">
        <f>_xlfn.XLOOKUP(D54,Códigos_Propuestas!$B$4:$B$10,Códigos_Propuestas!$C$4:$C$10,"!",0,1)&amp;"__"&amp;
_xlfn.XLOOKUP(H54,Códigos_Propuestas!$E$4:$E$76,Códigos_Propuestas!$F$4:$F$76,"!",1)&amp;"__"&amp;
_xlfn.XLOOKUP(M54,Códigos_Propuestas!$I$4:$I$7,Códigos_Propuestas!$J$4:$J$7,"!",1)&amp;"__"&amp;
_xlfn.XLOOKUP(N54,Códigos_Propuestas!$O$4:$O$11,Códigos_Propuestas!$Q$4:$Q$11,"!",1)&amp;"__"&amp;
_xlfn.XLOOKUP(F54,Códigos_Propuestas!$BF:$BF,Códigos_Propuestas!$BH:$BH,"!",0,1)</f>
        <v>PE__VLC__OP__SIM__!</v>
      </c>
      <c r="C54" s="47">
        <v>52</v>
      </c>
      <c r="D54" s="174" t="s">
        <v>62</v>
      </c>
      <c r="E54" s="174" t="s">
        <v>62</v>
      </c>
      <c r="F54" s="194" t="s">
        <v>658</v>
      </c>
      <c r="G54" s="174"/>
      <c r="H54" s="174" t="s">
        <v>284</v>
      </c>
      <c r="I54" s="174" t="s">
        <v>659</v>
      </c>
      <c r="J54" s="174" t="s">
        <v>122</v>
      </c>
      <c r="K54" s="47" t="s">
        <v>44</v>
      </c>
      <c r="L54" s="181" t="s">
        <v>703</v>
      </c>
      <c r="M54" s="174" t="s">
        <v>92</v>
      </c>
      <c r="N54" s="186" t="s">
        <v>660</v>
      </c>
      <c r="O54" s="181" t="s">
        <v>40</v>
      </c>
      <c r="P54" s="181" t="s">
        <v>80</v>
      </c>
      <c r="Q54" s="181" t="s">
        <v>103</v>
      </c>
      <c r="R54" s="181"/>
      <c r="S54" s="174"/>
      <c r="T54" s="183" t="b">
        <v>0</v>
      </c>
      <c r="U54" s="174"/>
      <c r="V54" s="183" t="b">
        <v>0</v>
      </c>
      <c r="W54" s="174"/>
      <c r="X54" s="183" t="b">
        <v>0</v>
      </c>
      <c r="Y54" s="174"/>
      <c r="Z54" s="183" t="b">
        <v>0</v>
      </c>
      <c r="AA54" s="174"/>
      <c r="AB54" s="174"/>
      <c r="AC54" s="183" t="b">
        <v>1</v>
      </c>
      <c r="AD54" s="183" t="b">
        <v>0</v>
      </c>
      <c r="AE54" s="183" t="b">
        <v>1</v>
      </c>
      <c r="AF54" s="183" t="b">
        <v>0</v>
      </c>
      <c r="AG54" s="183" t="b">
        <v>0</v>
      </c>
      <c r="AH54" s="32"/>
      <c r="AI54" s="32"/>
      <c r="AJ54" s="32"/>
      <c r="AK54" s="28"/>
      <c r="AL54" s="97">
        <v>58440</v>
      </c>
      <c r="AM54" s="169">
        <f t="shared" si="3"/>
        <v>11688</v>
      </c>
      <c r="AN54" s="174">
        <v>1.5</v>
      </c>
      <c r="AO54" s="15"/>
      <c r="AP54" s="18">
        <v>46085</v>
      </c>
      <c r="AQ54" s="18">
        <v>46122</v>
      </c>
      <c r="AR54" s="236"/>
      <c r="AS54" s="200"/>
      <c r="AT54" s="16">
        <v>46156</v>
      </c>
    </row>
    <row r="55" spans="1:46" hidden="1" x14ac:dyDescent="0.2">
      <c r="A55" s="187">
        <f t="shared" si="2"/>
        <v>19</v>
      </c>
      <c r="B55" s="191" t="str">
        <f>_xlfn.XLOOKUP(D55,Códigos_Propuestas!$B$4:$B$10,Códigos_Propuestas!$C$4:$C$10,"!",0,1)&amp;"__"&amp;
_xlfn.XLOOKUP(H55,Códigos_Propuestas!$E$4:$E$76,Códigos_Propuestas!$F$4:$F$76,"!",1)&amp;"__"&amp;
_xlfn.XLOOKUP(M55,Códigos_Propuestas!$I$4:$I$7,Códigos_Propuestas!$J$4:$J$7,"!",1)&amp;"__"&amp;
_xlfn.XLOOKUP(N55,Códigos_Propuestas!$O$4:$O$11,Códigos_Propuestas!$Q$4:$Q$11,"!",1)&amp;"__"&amp;
_xlfn.XLOOKUP(F55,Códigos_Propuestas!$BF:$BF,Códigos_Propuestas!$BH:$BH,"!",0,1)</f>
        <v>PE__VLC__UG__MGE__!</v>
      </c>
      <c r="C55" s="47">
        <v>53</v>
      </c>
      <c r="D55" s="174" t="s">
        <v>62</v>
      </c>
      <c r="E55" s="174" t="s">
        <v>62</v>
      </c>
      <c r="F55" s="196" t="s">
        <v>744</v>
      </c>
      <c r="G55" s="174"/>
      <c r="H55" s="174" t="s">
        <v>284</v>
      </c>
      <c r="I55" s="174" t="s">
        <v>740</v>
      </c>
      <c r="J55" s="174" t="s">
        <v>143</v>
      </c>
      <c r="K55" s="47" t="s">
        <v>44</v>
      </c>
      <c r="L55" s="181" t="s">
        <v>752</v>
      </c>
      <c r="M55" s="174" t="s">
        <v>65</v>
      </c>
      <c r="N55" s="186" t="s">
        <v>153</v>
      </c>
      <c r="O55" s="181" t="s">
        <v>40</v>
      </c>
      <c r="P55" s="181" t="s">
        <v>129</v>
      </c>
      <c r="Q55" s="181" t="s">
        <v>690</v>
      </c>
      <c r="R55" s="181"/>
      <c r="S55" s="174"/>
      <c r="T55" s="183" t="b">
        <v>0</v>
      </c>
      <c r="U55" s="174"/>
      <c r="V55" s="183" t="b">
        <v>0</v>
      </c>
      <c r="W55" s="174"/>
      <c r="X55" s="183" t="b">
        <v>0</v>
      </c>
      <c r="Y55" s="174"/>
      <c r="Z55" s="183" t="b">
        <v>0</v>
      </c>
      <c r="AA55" s="174"/>
      <c r="AB55" s="174"/>
      <c r="AC55" s="183" t="b">
        <v>1</v>
      </c>
      <c r="AD55" s="183" t="b">
        <v>0</v>
      </c>
      <c r="AE55" s="183" t="b">
        <v>0</v>
      </c>
      <c r="AF55" s="183" t="b">
        <v>0</v>
      </c>
      <c r="AG55" s="183" t="b">
        <v>0</v>
      </c>
      <c r="AH55" s="32"/>
      <c r="AI55" s="32"/>
      <c r="AJ55" s="32"/>
      <c r="AK55" s="28"/>
      <c r="AL55" s="97">
        <v>60000</v>
      </c>
      <c r="AM55" s="169">
        <f t="shared" si="3"/>
        <v>12000</v>
      </c>
      <c r="AN55" s="174">
        <v>2.5</v>
      </c>
      <c r="AO55" s="15"/>
      <c r="AP55" s="18">
        <v>46107</v>
      </c>
      <c r="AQ55" s="18">
        <v>46113</v>
      </c>
      <c r="AR55" s="236"/>
      <c r="AS55" s="200"/>
      <c r="AT55" s="16">
        <v>46161</v>
      </c>
    </row>
    <row r="56" spans="1:46" hidden="1" x14ac:dyDescent="0.2">
      <c r="A56" s="187">
        <f t="shared" si="2"/>
        <v>19</v>
      </c>
      <c r="B56" s="191" t="str">
        <f>_xlfn.XLOOKUP(D56,Códigos_Propuestas!$B$4:$B$10,Códigos_Propuestas!$C$4:$C$10,"!",0,1)&amp;"__"&amp;
_xlfn.XLOOKUP(H56,Códigos_Propuestas!$E$4:$E$76,Códigos_Propuestas!$F$4:$F$76,"!",1)&amp;"__"&amp;
_xlfn.XLOOKUP(M56,Códigos_Propuestas!$I$4:$I$7,Códigos_Propuestas!$J$4:$J$7,"!",1)&amp;"__"&amp;
_xlfn.XLOOKUP(N56,Códigos_Propuestas!$O$4:$O$11,Códigos_Propuestas!$Q$4:$Q$11,"!",1)&amp;"__"&amp;
_xlfn.XLOOKUP(F56,Códigos_Propuestas!$BF:$BF,Códigos_Propuestas!$BH:$BH,"!",0,1)</f>
        <v>PE__TWM__UG__DAR__!</v>
      </c>
      <c r="C56" s="47">
        <v>54</v>
      </c>
      <c r="D56" s="174" t="s">
        <v>62</v>
      </c>
      <c r="E56" s="174" t="s">
        <v>62</v>
      </c>
      <c r="F56" s="194" t="s">
        <v>554</v>
      </c>
      <c r="G56" s="174" t="s">
        <v>554</v>
      </c>
      <c r="H56" s="174" t="s">
        <v>360</v>
      </c>
      <c r="I56" s="174" t="s">
        <v>555</v>
      </c>
      <c r="J56" s="174" t="s">
        <v>143</v>
      </c>
      <c r="K56" s="47" t="s">
        <v>72</v>
      </c>
      <c r="L56" s="181"/>
      <c r="M56" s="174" t="s">
        <v>65</v>
      </c>
      <c r="N56" s="181" t="s">
        <v>185</v>
      </c>
      <c r="O56" s="181" t="str">
        <f>_xlfn.XLOOKUP(N56,Códigos_Propuestas!$O$4:$O$15,Códigos_Propuestas!$P$4:$P$15,"!",0,1)</f>
        <v>Geotecnia</v>
      </c>
      <c r="P56" s="181" t="s">
        <v>129</v>
      </c>
      <c r="Q56" s="181" t="s">
        <v>103</v>
      </c>
      <c r="R56" s="181"/>
      <c r="S56" s="174"/>
      <c r="T56" s="183" t="b">
        <v>0</v>
      </c>
      <c r="U56" s="174"/>
      <c r="V56" s="183" t="b">
        <v>0</v>
      </c>
      <c r="W56" s="174"/>
      <c r="X56" s="183" t="b">
        <v>0</v>
      </c>
      <c r="Y56" s="174"/>
      <c r="Z56" s="183" t="b">
        <v>0</v>
      </c>
      <c r="AA56" s="174"/>
      <c r="AB56" s="174"/>
      <c r="AC56" s="183" t="b">
        <v>0</v>
      </c>
      <c r="AD56" s="183" t="b">
        <v>0</v>
      </c>
      <c r="AE56" s="183" t="b">
        <v>1</v>
      </c>
      <c r="AF56" s="183" t="b">
        <v>0</v>
      </c>
      <c r="AG56" s="183" t="b">
        <v>0</v>
      </c>
      <c r="AH56" s="32"/>
      <c r="AI56" s="32"/>
      <c r="AJ56" s="32"/>
      <c r="AK56" s="28"/>
      <c r="AL56" s="97">
        <v>80000</v>
      </c>
      <c r="AM56" s="169">
        <f t="shared" si="3"/>
        <v>16000</v>
      </c>
      <c r="AN56" s="174">
        <v>3</v>
      </c>
      <c r="AO56" s="15"/>
      <c r="AP56" s="32"/>
      <c r="AQ56" s="18">
        <v>46050</v>
      </c>
      <c r="AR56" s="235"/>
      <c r="AS56" s="18"/>
      <c r="AT56" s="18">
        <v>46153</v>
      </c>
    </row>
    <row r="57" spans="1:46" hidden="1" x14ac:dyDescent="0.2">
      <c r="A57" s="187">
        <f t="shared" si="2"/>
        <v>19</v>
      </c>
      <c r="B57" s="191" t="str">
        <f>_xlfn.XLOOKUP(D57,Códigos_Propuestas!$B$4:$B$10,Códigos_Propuestas!$C$4:$C$10,"!",0,1)&amp;"__"&amp;
_xlfn.XLOOKUP(H57,Códigos_Propuestas!$E$4:$E$76,Códigos_Propuestas!$F$4:$F$76,"!",1)&amp;"__"&amp;
_xlfn.XLOOKUP(M57,Códigos_Propuestas!$I$4:$I$7,Códigos_Propuestas!$J$4:$J$7,"!",1)&amp;"__"&amp;
_xlfn.XLOOKUP(N58,Códigos_Propuestas!$O$4:$O$11,Códigos_Propuestas!$Q$4:$Q$11,"!",1)&amp;"__"&amp;
_xlfn.XLOOKUP(F57,Códigos_Propuestas!$BF:$BF,Códigos_Propuestas!$BH:$BH,"!",0,1)</f>
        <v>RU__TAB__OP__PEA__!</v>
      </c>
      <c r="C57" s="47">
        <v>55</v>
      </c>
      <c r="D57" s="174" t="s">
        <v>112</v>
      </c>
      <c r="E57" s="174" t="s">
        <v>112</v>
      </c>
      <c r="F57" s="194" t="s">
        <v>666</v>
      </c>
      <c r="G57" s="174"/>
      <c r="H57" s="174" t="s">
        <v>651</v>
      </c>
      <c r="I57" s="174" t="s">
        <v>653</v>
      </c>
      <c r="J57" s="174" t="s">
        <v>97</v>
      </c>
      <c r="K57" s="47" t="s">
        <v>44</v>
      </c>
      <c r="L57" s="181"/>
      <c r="M57" s="174" t="s">
        <v>92</v>
      </c>
      <c r="N57" s="186" t="s">
        <v>39</v>
      </c>
      <c r="O57" s="181" t="s">
        <v>40</v>
      </c>
      <c r="P57" s="181" t="s">
        <v>749</v>
      </c>
      <c r="Q57" s="181" t="s">
        <v>103</v>
      </c>
      <c r="R57" s="181"/>
      <c r="S57" s="174"/>
      <c r="T57" s="183" t="b">
        <v>0</v>
      </c>
      <c r="U57" s="174"/>
      <c r="V57" s="183" t="b">
        <v>0</v>
      </c>
      <c r="W57" s="174"/>
      <c r="X57" s="183" t="b">
        <v>0</v>
      </c>
      <c r="Y57" s="174"/>
      <c r="Z57" s="183" t="b">
        <v>0</v>
      </c>
      <c r="AA57" s="174"/>
      <c r="AB57" s="174"/>
      <c r="AC57" s="183" t="b">
        <v>1</v>
      </c>
      <c r="AD57" s="183" t="b">
        <v>0</v>
      </c>
      <c r="AE57" s="183" t="b">
        <v>1</v>
      </c>
      <c r="AF57" s="183" t="b">
        <v>1</v>
      </c>
      <c r="AG57" s="183" t="b">
        <v>1</v>
      </c>
      <c r="AH57" s="32"/>
      <c r="AI57" s="32"/>
      <c r="AJ57" s="32"/>
      <c r="AK57" s="28"/>
      <c r="AL57" s="97">
        <v>400000</v>
      </c>
      <c r="AM57" s="169">
        <f t="shared" si="3"/>
        <v>160000</v>
      </c>
      <c r="AN57" s="174">
        <v>7</v>
      </c>
      <c r="AO57" s="15"/>
      <c r="AP57" s="18">
        <v>46072</v>
      </c>
      <c r="AQ57" s="18">
        <v>46087</v>
      </c>
      <c r="AR57" s="235"/>
      <c r="AS57" s="18"/>
      <c r="AT57" s="18"/>
    </row>
    <row r="58" spans="1:46" hidden="1" x14ac:dyDescent="0.2">
      <c r="A58" s="187">
        <f t="shared" si="2"/>
        <v>19</v>
      </c>
      <c r="B58" s="191" t="str">
        <f>_xlfn.XLOOKUP(D58,Códigos_Propuestas!$B$4:$B$10,Códigos_Propuestas!$C$4:$C$10,"!",0,1)&amp;"__"&amp;
_xlfn.XLOOKUP(H58,Códigos_Propuestas!$E$4:$E$76,Códigos_Propuestas!$F$4:$F$76,"!",1)&amp;"__"&amp;
_xlfn.XLOOKUP(M58,Códigos_Propuestas!$I$4:$I$7,Códigos_Propuestas!$J$4:$J$7,"!",1)&amp;"__"&amp;
_xlfn.XLOOKUP(N59,Códigos_Propuestas!$O$4:$O$11,Códigos_Propuestas!$Q$4:$Q$11,"!",1)&amp;"__"&amp;
_xlfn.XLOOKUP(F58,Códigos_Propuestas!$BF:$BF,Códigos_Propuestas!$BH:$BH,"!",0,1)</f>
        <v>PE__TAB__UG__DAR__!</v>
      </c>
      <c r="C58" s="47">
        <v>56</v>
      </c>
      <c r="D58" s="174" t="s">
        <v>62</v>
      </c>
      <c r="E58" s="174" t="s">
        <v>62</v>
      </c>
      <c r="F58" s="194" t="s">
        <v>656</v>
      </c>
      <c r="G58" s="174"/>
      <c r="H58" s="174" t="s">
        <v>654</v>
      </c>
      <c r="I58" s="174"/>
      <c r="J58" s="174" t="s">
        <v>97</v>
      </c>
      <c r="K58" s="47" t="s">
        <v>72</v>
      </c>
      <c r="L58" s="181" t="s">
        <v>699</v>
      </c>
      <c r="M58" s="174" t="s">
        <v>65</v>
      </c>
      <c r="N58" s="186" t="s">
        <v>39</v>
      </c>
      <c r="O58" s="181" t="s">
        <v>40</v>
      </c>
      <c r="P58" s="181" t="s">
        <v>80</v>
      </c>
      <c r="Q58" s="181" t="s">
        <v>103</v>
      </c>
      <c r="R58" s="181"/>
      <c r="S58" s="174"/>
      <c r="T58" s="183" t="b">
        <v>0</v>
      </c>
      <c r="U58" s="174"/>
      <c r="V58" s="183" t="b">
        <v>0</v>
      </c>
      <c r="W58" s="174"/>
      <c r="X58" s="183" t="b">
        <v>0</v>
      </c>
      <c r="Y58" s="174"/>
      <c r="Z58" s="183" t="b">
        <v>0</v>
      </c>
      <c r="AA58" s="174"/>
      <c r="AB58" s="174"/>
      <c r="AC58" s="183" t="b">
        <v>1</v>
      </c>
      <c r="AD58" s="183" t="b">
        <v>1</v>
      </c>
      <c r="AE58" s="183" t="b">
        <v>0</v>
      </c>
      <c r="AF58" s="183" t="b">
        <v>0</v>
      </c>
      <c r="AG58" s="183" t="b">
        <v>0</v>
      </c>
      <c r="AH58" s="32"/>
      <c r="AI58" s="32"/>
      <c r="AJ58" s="32"/>
      <c r="AK58" s="28"/>
      <c r="AL58" s="97">
        <v>113485</v>
      </c>
      <c r="AM58" s="169">
        <f t="shared" si="3"/>
        <v>45394</v>
      </c>
      <c r="AN58" s="174">
        <v>4</v>
      </c>
      <c r="AO58" s="15"/>
      <c r="AP58" s="18">
        <v>46086</v>
      </c>
      <c r="AQ58" s="18">
        <v>46099</v>
      </c>
      <c r="AR58" s="235"/>
      <c r="AS58" s="18"/>
      <c r="AT58" s="18"/>
    </row>
    <row r="59" spans="1:46" hidden="1" x14ac:dyDescent="0.2">
      <c r="A59" s="187">
        <f t="shared" si="2"/>
        <v>19</v>
      </c>
      <c r="B59" s="191" t="str">
        <f>_xlfn.XLOOKUP(D59,Códigos_Propuestas!$B$4:$B$10,Códigos_Propuestas!$C$4:$C$10,"!",0,1)&amp;"__"&amp;
_xlfn.XLOOKUP(H59,Códigos_Propuestas!$E$4:$E$76,Códigos_Propuestas!$F$4:$F$76,"!",1)&amp;"__"&amp;
_xlfn.XLOOKUP(M59,Códigos_Propuestas!$I$4:$I$7,Códigos_Propuestas!$J$4:$J$7,"!",1)&amp;"__"&amp;
_xlfn.XLOOKUP(N60,Códigos_Propuestas!$O$4:$O$11,Códigos_Propuestas!$Q$4:$Q$11,"!",1)&amp;"__"&amp;
_xlfn.XLOOKUP(F59,Códigos_Propuestas!$BF:$BF,Códigos_Propuestas!$BH:$BH,"!",0,1)</f>
        <v>PE__TAB__OP__MIN__!</v>
      </c>
      <c r="C59" s="47">
        <v>57</v>
      </c>
      <c r="D59" s="174" t="s">
        <v>62</v>
      </c>
      <c r="E59" s="32" t="s">
        <v>62</v>
      </c>
      <c r="F59" s="210" t="s">
        <v>657</v>
      </c>
      <c r="G59" s="174"/>
      <c r="H59" s="174" t="s">
        <v>654</v>
      </c>
      <c r="I59" s="174"/>
      <c r="J59" s="174" t="s">
        <v>143</v>
      </c>
      <c r="K59" s="47" t="s">
        <v>72</v>
      </c>
      <c r="L59" s="181" t="s">
        <v>699</v>
      </c>
      <c r="M59" s="174" t="s">
        <v>92</v>
      </c>
      <c r="N59" s="186" t="s">
        <v>95</v>
      </c>
      <c r="O59" s="181" t="s">
        <v>40</v>
      </c>
      <c r="P59" s="181" t="s">
        <v>80</v>
      </c>
      <c r="Q59" s="181" t="s">
        <v>103</v>
      </c>
      <c r="R59" s="181" t="s">
        <v>796</v>
      </c>
      <c r="S59" s="174"/>
      <c r="T59" s="183" t="b">
        <v>0</v>
      </c>
      <c r="U59" s="174"/>
      <c r="V59" s="183" t="b">
        <v>0</v>
      </c>
      <c r="W59" s="174"/>
      <c r="X59" s="183" t="b">
        <v>0</v>
      </c>
      <c r="Y59" s="174"/>
      <c r="Z59" s="183" t="b">
        <v>0</v>
      </c>
      <c r="AA59" s="174"/>
      <c r="AB59" s="174"/>
      <c r="AC59" s="183" t="b">
        <v>1</v>
      </c>
      <c r="AD59" s="183" t="b">
        <v>1</v>
      </c>
      <c r="AE59" s="183" t="b">
        <v>0</v>
      </c>
      <c r="AF59" s="183" t="b">
        <v>0</v>
      </c>
      <c r="AG59" s="183" t="b">
        <v>0</v>
      </c>
      <c r="AH59" s="32"/>
      <c r="AI59" s="32"/>
      <c r="AJ59" s="32"/>
      <c r="AK59" s="28"/>
      <c r="AL59" s="97">
        <v>78211</v>
      </c>
      <c r="AM59" s="169">
        <f t="shared" si="3"/>
        <v>15642.2</v>
      </c>
      <c r="AN59" s="174">
        <v>3</v>
      </c>
      <c r="AO59" s="15"/>
      <c r="AP59" s="18">
        <v>46086</v>
      </c>
      <c r="AQ59" s="18">
        <v>46099</v>
      </c>
      <c r="AR59" s="235"/>
      <c r="AS59" s="18"/>
      <c r="AT59" s="18">
        <v>46129</v>
      </c>
    </row>
    <row r="60" spans="1:46" hidden="1" x14ac:dyDescent="0.2">
      <c r="A60" s="187">
        <f t="shared" si="2"/>
        <v>18</v>
      </c>
      <c r="B60" s="191" t="str">
        <f>_xlfn.XLOOKUP(D60,Códigos_Propuestas!$B$4:$B$10,Códigos_Propuestas!$C$4:$C$10,"!",0,1)&amp;"__"&amp;
_xlfn.XLOOKUP(H60,Códigos_Propuestas!$E$4:$E$76,Códigos_Propuestas!$F$4:$F$76,"!",1)&amp;"__"&amp;
_xlfn.XLOOKUP(M60,Códigos_Propuestas!$I$4:$I$7,Códigos_Propuestas!$J$4:$J$7,"!",1)&amp;"__"&amp;
_xlfn.XLOOKUP(N60,Códigos_Propuestas!$O$4:$O$11,Códigos_Propuestas!$Q$4:$Q$11,"!",1)&amp;"__"&amp;
_xlfn.XLOOKUP(F60,Códigos_Propuestas!$BF:$BF,Códigos_Propuestas!$BH:$BH,"!",0,1)</f>
        <v>PE__SPM__!__MIN__!</v>
      </c>
      <c r="C60" s="47">
        <v>58</v>
      </c>
      <c r="D60" s="174" t="s">
        <v>62</v>
      </c>
      <c r="E60" s="174" t="s">
        <v>62</v>
      </c>
      <c r="F60" s="210" t="s">
        <v>585</v>
      </c>
      <c r="G60" s="174" t="s">
        <v>585</v>
      </c>
      <c r="H60" s="223" t="s">
        <v>303</v>
      </c>
      <c r="I60" s="174"/>
      <c r="J60" s="174" t="s">
        <v>143</v>
      </c>
      <c r="K60" s="47"/>
      <c r="L60" s="181"/>
      <c r="M60" s="174"/>
      <c r="N60" s="181" t="s">
        <v>35</v>
      </c>
      <c r="O60" s="181"/>
      <c r="P60" s="181" t="s">
        <v>80</v>
      </c>
      <c r="Q60" s="181" t="s">
        <v>689</v>
      </c>
      <c r="R60" s="181" t="s">
        <v>692</v>
      </c>
      <c r="S60" s="174"/>
      <c r="T60" s="183" t="b">
        <v>0</v>
      </c>
      <c r="U60" s="174"/>
      <c r="V60" s="183" t="b">
        <v>0</v>
      </c>
      <c r="W60" s="174"/>
      <c r="X60" s="183" t="b">
        <v>0</v>
      </c>
      <c r="Y60" s="174"/>
      <c r="Z60" s="183" t="b">
        <v>0</v>
      </c>
      <c r="AA60" s="174"/>
      <c r="AB60" s="174"/>
      <c r="AC60" s="183" t="b">
        <v>1</v>
      </c>
      <c r="AD60" s="183" t="b">
        <v>0</v>
      </c>
      <c r="AE60" s="183" t="b">
        <v>0</v>
      </c>
      <c r="AF60" s="183" t="b">
        <v>0</v>
      </c>
      <c r="AG60" s="183" t="b">
        <v>0</v>
      </c>
      <c r="AH60" s="32"/>
      <c r="AI60" s="32"/>
      <c r="AJ60" s="32"/>
      <c r="AK60" s="28"/>
      <c r="AL60" s="97">
        <v>65000</v>
      </c>
      <c r="AM60" s="169">
        <f t="shared" si="3"/>
        <v>13000</v>
      </c>
      <c r="AN60" s="174">
        <v>1.5</v>
      </c>
      <c r="AO60" s="15"/>
      <c r="AP60" s="32"/>
      <c r="AQ60" s="18">
        <v>46066</v>
      </c>
      <c r="AR60" s="235"/>
      <c r="AS60" s="18"/>
      <c r="AT60" s="18">
        <v>46127</v>
      </c>
    </row>
    <row r="61" spans="1:46" hidden="1" x14ac:dyDescent="0.2">
      <c r="A61" s="187">
        <f t="shared" si="2"/>
        <v>21</v>
      </c>
      <c r="B61" s="191" t="str">
        <f>_xlfn.XLOOKUP(D61,Códigos_Propuestas!$B$4:$B$10,Códigos_Propuestas!$C$4:$C$10,"!",0,1)&amp;"__"&amp;
_xlfn.XLOOKUP(H61,Códigos_Propuestas!$E$4:$E$76,Códigos_Propuestas!$F$4:$F$76,"!",1)&amp;"__"&amp;
_xlfn.XLOOKUP(M61,Códigos_Propuestas!$I$4:$I$7,Códigos_Propuestas!$J$4:$J$7,"!",1)&amp;"__"&amp;
_xlfn.XLOOKUP(N61,Códigos_Propuestas!$O$4:$O$11,Códigos_Propuestas!$Q$4:$Q$11,"!",1)&amp;"__"&amp;
_xlfn.XLOOKUP(F61,Códigos_Propuestas!$BF:$BF,Códigos_Propuestas!$BH:$BH,"!",0,1)</f>
        <v>PE__NEX__UG__DAR__034</v>
      </c>
      <c r="C61" s="47">
        <v>59</v>
      </c>
      <c r="D61" s="174" t="s">
        <v>62</v>
      </c>
      <c r="E61" s="174" t="s">
        <v>62</v>
      </c>
      <c r="F61" s="210" t="s">
        <v>258</v>
      </c>
      <c r="G61" s="174" t="s">
        <v>258</v>
      </c>
      <c r="H61" s="174" t="s">
        <v>202</v>
      </c>
      <c r="I61" s="174" t="s">
        <v>526</v>
      </c>
      <c r="J61" s="174" t="s">
        <v>143</v>
      </c>
      <c r="K61" s="47" t="s">
        <v>44</v>
      </c>
      <c r="L61" s="181"/>
      <c r="M61" s="174" t="s">
        <v>65</v>
      </c>
      <c r="N61" s="181" t="s">
        <v>185</v>
      </c>
      <c r="O61" s="181" t="str">
        <f>_xlfn.XLOOKUP(N61,Códigos_Propuestas!$O$4:$O$15,Códigos_Propuestas!$P$4:$P$15,"!",0,1)</f>
        <v>Geotecnia</v>
      </c>
      <c r="P61" s="181" t="s">
        <v>129</v>
      </c>
      <c r="Q61" s="184" t="s">
        <v>127</v>
      </c>
      <c r="R61" s="181"/>
      <c r="S61" s="174"/>
      <c r="T61" s="183" t="b">
        <v>0</v>
      </c>
      <c r="U61" s="174"/>
      <c r="V61" s="183" t="b">
        <v>0</v>
      </c>
      <c r="W61" s="174"/>
      <c r="X61" s="183" t="b">
        <v>0</v>
      </c>
      <c r="Y61" s="174"/>
      <c r="Z61" s="183" t="b">
        <v>0</v>
      </c>
      <c r="AA61" s="174"/>
      <c r="AB61" s="174"/>
      <c r="AC61" s="183" t="b">
        <v>0</v>
      </c>
      <c r="AD61" s="183" t="b">
        <v>0</v>
      </c>
      <c r="AE61" s="183" t="b">
        <v>1</v>
      </c>
      <c r="AF61" s="183" t="b">
        <v>0</v>
      </c>
      <c r="AG61" s="183" t="b">
        <v>0</v>
      </c>
      <c r="AH61" s="32"/>
      <c r="AI61" s="32"/>
      <c r="AJ61" s="32"/>
      <c r="AK61" s="28"/>
      <c r="AL61" s="97">
        <v>161000</v>
      </c>
      <c r="AM61" s="169">
        <f t="shared" si="3"/>
        <v>64400</v>
      </c>
      <c r="AN61" s="174">
        <v>4</v>
      </c>
      <c r="AO61" s="15"/>
      <c r="AP61" s="18"/>
      <c r="AQ61" s="18">
        <v>46038</v>
      </c>
      <c r="AR61" s="235"/>
      <c r="AS61" s="18"/>
      <c r="AT61" s="18">
        <v>46090</v>
      </c>
    </row>
    <row r="62" spans="1:46" hidden="1" x14ac:dyDescent="0.2">
      <c r="A62" s="187">
        <f t="shared" si="2"/>
        <v>19</v>
      </c>
      <c r="B62" s="191" t="str">
        <f>_xlfn.XLOOKUP(D62,Códigos_Propuestas!$B$4:$B$10,Códigos_Propuestas!$C$4:$C$10,"!",0,1)&amp;"__"&amp;
_xlfn.XLOOKUP(H62,Códigos_Propuestas!$E$4:$E$76,Códigos_Propuestas!$F$4:$F$76,"!",1)&amp;"__"&amp;
_xlfn.XLOOKUP(M62,Códigos_Propuestas!$I$4:$I$7,Códigos_Propuestas!$J$4:$J$7,"!",1)&amp;"__"&amp;
_xlfn.XLOOKUP(N62,Códigos_Propuestas!$O$4:$O$11,Códigos_Propuestas!$Q$4:$Q$11,"!",1)&amp;"__"&amp;
_xlfn.XLOOKUP(F62,Códigos_Propuestas!$BF:$BF,Códigos_Propuestas!$BH:$BH,"!",0,1)</f>
        <v>PE__NEX__OP__MIN__!</v>
      </c>
      <c r="C62" s="47">
        <v>60</v>
      </c>
      <c r="D62" s="174" t="s">
        <v>62</v>
      </c>
      <c r="E62" s="174" t="s">
        <v>62</v>
      </c>
      <c r="F62" s="232" t="s">
        <v>529</v>
      </c>
      <c r="G62" s="174" t="s">
        <v>529</v>
      </c>
      <c r="H62" s="174" t="s">
        <v>202</v>
      </c>
      <c r="I62" s="174" t="s">
        <v>526</v>
      </c>
      <c r="J62" s="174" t="s">
        <v>143</v>
      </c>
      <c r="K62" s="47" t="s">
        <v>44</v>
      </c>
      <c r="L62" s="181"/>
      <c r="M62" s="174" t="s">
        <v>92</v>
      </c>
      <c r="N62" s="181" t="s">
        <v>176</v>
      </c>
      <c r="O62" s="181" t="str">
        <f>_xlfn.XLOOKUP(N62,Códigos_Propuestas!$O$4:$O$15,Códigos_Propuestas!$P$4:$P$15,"!",0,1)</f>
        <v>Geotecnia</v>
      </c>
      <c r="P62" s="181" t="s">
        <v>129</v>
      </c>
      <c r="Q62" s="181" t="s">
        <v>689</v>
      </c>
      <c r="R62" s="181" t="s">
        <v>104</v>
      </c>
      <c r="S62" s="174"/>
      <c r="T62" s="183" t="b">
        <v>0</v>
      </c>
      <c r="U62" s="174"/>
      <c r="V62" s="183" t="b">
        <v>0</v>
      </c>
      <c r="W62" s="174"/>
      <c r="X62" s="183" t="b">
        <v>0</v>
      </c>
      <c r="Y62" s="174"/>
      <c r="Z62" s="183" t="b">
        <v>0</v>
      </c>
      <c r="AA62" s="174"/>
      <c r="AB62" s="174"/>
      <c r="AC62" s="183" t="b">
        <v>1</v>
      </c>
      <c r="AD62" s="183" t="b">
        <v>0</v>
      </c>
      <c r="AE62" s="183" t="b">
        <v>0</v>
      </c>
      <c r="AF62" s="183" t="b">
        <v>0</v>
      </c>
      <c r="AG62" s="183" t="b">
        <v>0</v>
      </c>
      <c r="AH62" s="32"/>
      <c r="AI62" s="32"/>
      <c r="AJ62" s="32"/>
      <c r="AK62" s="28"/>
      <c r="AL62" s="97">
        <v>125000</v>
      </c>
      <c r="AM62" s="169">
        <f t="shared" si="3"/>
        <v>50000</v>
      </c>
      <c r="AN62" s="174">
        <v>5</v>
      </c>
      <c r="AO62" s="15"/>
      <c r="AP62" s="18"/>
      <c r="AQ62" s="18">
        <v>46038</v>
      </c>
      <c r="AR62" s="235"/>
      <c r="AS62" s="18"/>
      <c r="AT62" s="18">
        <v>46133</v>
      </c>
    </row>
    <row r="63" spans="1:46" hidden="1" x14ac:dyDescent="0.2">
      <c r="A63" s="187">
        <f t="shared" si="2"/>
        <v>19</v>
      </c>
      <c r="B63" s="191" t="str">
        <f>_xlfn.XLOOKUP(D63,Códigos_Propuestas!$B$4:$B$10,Códigos_Propuestas!$C$4:$C$10,"!",0,1)&amp;"__"&amp;
_xlfn.XLOOKUP(H63,Códigos_Propuestas!$E$4:$E$76,Códigos_Propuestas!$F$4:$F$76,"!",1)&amp;"__"&amp;
_xlfn.XLOOKUP(M63,Códigos_Propuestas!$I$4:$I$7,Códigos_Propuestas!$J$4:$J$7,"!",1)&amp;"__"&amp;
_xlfn.XLOOKUP(N63,Códigos_Propuestas!$O$4:$O$11,Códigos_Propuestas!$Q$4:$Q$11,"!",1)&amp;"__"&amp;
_xlfn.XLOOKUP(F63,Códigos_Propuestas!$BF:$BF,Códigos_Propuestas!$BH:$BH,"!",0,1)</f>
        <v>PE__NEX__UG__MGE__!</v>
      </c>
      <c r="C63" s="47">
        <v>61</v>
      </c>
      <c r="D63" s="174" t="s">
        <v>62</v>
      </c>
      <c r="E63" s="174" t="s">
        <v>62</v>
      </c>
      <c r="F63" s="232" t="s">
        <v>535</v>
      </c>
      <c r="G63" s="174" t="s">
        <v>535</v>
      </c>
      <c r="H63" s="174" t="s">
        <v>202</v>
      </c>
      <c r="I63" s="174" t="s">
        <v>526</v>
      </c>
      <c r="J63" s="174" t="s">
        <v>143</v>
      </c>
      <c r="K63" s="47" t="s">
        <v>44</v>
      </c>
      <c r="L63" s="181"/>
      <c r="M63" s="174" t="s">
        <v>65</v>
      </c>
      <c r="N63" s="181" t="s">
        <v>153</v>
      </c>
      <c r="O63" s="181" t="str">
        <f>_xlfn.XLOOKUP(N63,Códigos_Propuestas!$O$4:$O$15,Códigos_Propuestas!$P$4:$P$15,"!",0,1)</f>
        <v>Geotecnia</v>
      </c>
      <c r="P63" s="181" t="s">
        <v>129</v>
      </c>
      <c r="Q63" s="181" t="s">
        <v>51</v>
      </c>
      <c r="R63" s="181" t="s">
        <v>104</v>
      </c>
      <c r="S63" s="174"/>
      <c r="T63" s="183" t="b">
        <v>0</v>
      </c>
      <c r="U63" s="174"/>
      <c r="V63" s="183" t="b">
        <v>0</v>
      </c>
      <c r="W63" s="174"/>
      <c r="X63" s="183" t="b">
        <v>0</v>
      </c>
      <c r="Y63" s="174"/>
      <c r="Z63" s="183" t="b">
        <v>0</v>
      </c>
      <c r="AA63" s="174"/>
      <c r="AB63" s="174"/>
      <c r="AC63" s="183" t="b">
        <v>0</v>
      </c>
      <c r="AD63" s="183" t="b">
        <v>0</v>
      </c>
      <c r="AE63" s="183" t="b">
        <v>1</v>
      </c>
      <c r="AF63" s="183" t="b">
        <v>0</v>
      </c>
      <c r="AG63" s="183" t="b">
        <v>0</v>
      </c>
      <c r="AH63" s="32"/>
      <c r="AI63" s="32"/>
      <c r="AJ63" s="32"/>
      <c r="AK63" s="28"/>
      <c r="AL63" s="97">
        <v>45000</v>
      </c>
      <c r="AM63" s="169">
        <f t="shared" si="3"/>
        <v>9000</v>
      </c>
      <c r="AN63" s="174">
        <v>2</v>
      </c>
      <c r="AO63" s="15"/>
      <c r="AP63" s="18"/>
      <c r="AQ63" s="18">
        <v>46000</v>
      </c>
      <c r="AR63" s="235"/>
      <c r="AS63" s="18"/>
      <c r="AT63" s="18">
        <v>46134</v>
      </c>
    </row>
    <row r="64" spans="1:46" hidden="1" x14ac:dyDescent="0.2">
      <c r="A64" s="187">
        <f t="shared" si="2"/>
        <v>19</v>
      </c>
      <c r="B64" s="191" t="str">
        <f>_xlfn.XLOOKUP(D64,Códigos_Propuestas!$B$4:$B$10,Códigos_Propuestas!$C$4:$C$10,"!",0,1)&amp;"__"&amp;
_xlfn.XLOOKUP(H64,Códigos_Propuestas!$E$4:$E$76,Códigos_Propuestas!$F$4:$F$76,"!",1)&amp;"__"&amp;
_xlfn.XLOOKUP(M64,Códigos_Propuestas!$I$4:$I$7,Códigos_Propuestas!$J$4:$J$7,"!",1)&amp;"__"&amp;
_xlfn.XLOOKUP(N64,Códigos_Propuestas!$O$4:$O$11,Códigos_Propuestas!$Q$4:$Q$11,"!",1)&amp;"__"&amp;
_xlfn.XLOOKUP(F64,Códigos_Propuestas!$BF:$BF,Códigos_Propuestas!$BH:$BH,"!",0,1)</f>
        <v>BR__MOS__UG__MIN__!</v>
      </c>
      <c r="C64" s="47">
        <v>62</v>
      </c>
      <c r="D64" s="174" t="s">
        <v>88</v>
      </c>
      <c r="E64" s="174" t="s">
        <v>88</v>
      </c>
      <c r="F64" s="210" t="s">
        <v>581</v>
      </c>
      <c r="G64" s="174" t="s">
        <v>581</v>
      </c>
      <c r="H64" s="174" t="s">
        <v>199</v>
      </c>
      <c r="I64" s="174" t="s">
        <v>576</v>
      </c>
      <c r="J64" s="174" t="s">
        <v>143</v>
      </c>
      <c r="K64" s="47" t="s">
        <v>98</v>
      </c>
      <c r="L64" s="181"/>
      <c r="M64" s="174" t="s">
        <v>65</v>
      </c>
      <c r="N64" s="181" t="s">
        <v>120</v>
      </c>
      <c r="O64" s="181" t="s">
        <v>40</v>
      </c>
      <c r="P64" s="181" t="s">
        <v>108</v>
      </c>
      <c r="Q64" s="181" t="s">
        <v>103</v>
      </c>
      <c r="R64" s="181" t="s">
        <v>35</v>
      </c>
      <c r="S64" s="174"/>
      <c r="T64" s="183" t="b">
        <v>0</v>
      </c>
      <c r="U64" s="174"/>
      <c r="V64" s="183" t="b">
        <v>0</v>
      </c>
      <c r="W64" s="174"/>
      <c r="X64" s="183" t="b">
        <v>0</v>
      </c>
      <c r="Y64" s="174"/>
      <c r="Z64" s="183" t="b">
        <v>0</v>
      </c>
      <c r="AA64" s="174"/>
      <c r="AB64" s="174"/>
      <c r="AC64" s="183" t="b">
        <v>1</v>
      </c>
      <c r="AD64" s="183" t="b">
        <v>1</v>
      </c>
      <c r="AE64" s="183" t="b">
        <v>1</v>
      </c>
      <c r="AF64" s="183" t="b">
        <v>1</v>
      </c>
      <c r="AG64" s="183" t="b">
        <v>1</v>
      </c>
      <c r="AH64" s="32"/>
      <c r="AI64" s="32"/>
      <c r="AJ64" s="32"/>
      <c r="AK64" s="28"/>
      <c r="AL64" s="97"/>
      <c r="AM64" s="169">
        <f t="shared" si="3"/>
        <v>0</v>
      </c>
      <c r="AN64" s="174">
        <v>13</v>
      </c>
      <c r="AO64" s="15"/>
      <c r="AP64" s="32"/>
      <c r="AQ64" s="18">
        <v>46063</v>
      </c>
      <c r="AR64" s="235"/>
      <c r="AS64" s="18"/>
      <c r="AT64" s="18">
        <v>46135</v>
      </c>
    </row>
    <row r="65" spans="1:46" hidden="1" x14ac:dyDescent="0.2">
      <c r="A65" s="187">
        <f t="shared" si="2"/>
        <v>18</v>
      </c>
      <c r="B65" s="191" t="str">
        <f>_xlfn.XLOOKUP(D65,Códigos_Propuestas!$B$4:$B$10,Códigos_Propuestas!$C$4:$C$10,"!",0,1)&amp;"__"&amp;
_xlfn.XLOOKUP(H65,Códigos_Propuestas!$E$4:$E$76,Códigos_Propuestas!$F$4:$F$76,"!",1)&amp;"__"&amp;
_xlfn.XLOOKUP(M65,Códigos_Propuestas!$I$4:$I$7,Códigos_Propuestas!$J$4:$J$7,"!",1)&amp;"__"&amp;
_xlfn.XLOOKUP(N65,Códigos_Propuestas!$O$4:$O$11,Códigos_Propuestas!$Q$4:$Q$11,"!",1)&amp;"__"&amp;
_xlfn.XLOOKUP(F65,Códigos_Propuestas!$BF:$BF,Códigos_Propuestas!$BH:$BH,"!",0,1)</f>
        <v>PE__MMG__!__DAR__!</v>
      </c>
      <c r="C65" s="47">
        <v>63</v>
      </c>
      <c r="D65" s="174" t="s">
        <v>62</v>
      </c>
      <c r="E65" s="174" t="s">
        <v>62</v>
      </c>
      <c r="F65" s="194" t="s">
        <v>594</v>
      </c>
      <c r="G65" s="174"/>
      <c r="H65" s="174" t="s">
        <v>213</v>
      </c>
      <c r="I65" s="174" t="s">
        <v>595</v>
      </c>
      <c r="J65" s="174" t="s">
        <v>143</v>
      </c>
      <c r="K65" s="47" t="s">
        <v>98</v>
      </c>
      <c r="L65" s="181"/>
      <c r="M65" s="174"/>
      <c r="N65" s="186" t="s">
        <v>95</v>
      </c>
      <c r="O65" s="181" t="s">
        <v>40</v>
      </c>
      <c r="P65" s="181" t="s">
        <v>80</v>
      </c>
      <c r="Q65" s="181" t="s">
        <v>674</v>
      </c>
      <c r="R65" s="181" t="s">
        <v>35</v>
      </c>
      <c r="S65" s="174"/>
      <c r="T65" s="183" t="b">
        <v>0</v>
      </c>
      <c r="U65" s="174"/>
      <c r="V65" s="183" t="b">
        <v>0</v>
      </c>
      <c r="W65" s="174"/>
      <c r="X65" s="183" t="b">
        <v>0</v>
      </c>
      <c r="Y65" s="174"/>
      <c r="Z65" s="183" t="b">
        <v>0</v>
      </c>
      <c r="AA65" s="174"/>
      <c r="AB65" s="174"/>
      <c r="AC65" s="183" t="b">
        <v>1</v>
      </c>
      <c r="AD65" s="183" t="b">
        <v>0</v>
      </c>
      <c r="AE65" s="183" t="b">
        <v>0</v>
      </c>
      <c r="AF65" s="183" t="b">
        <v>0</v>
      </c>
      <c r="AG65" s="183" t="b">
        <v>0</v>
      </c>
      <c r="AH65" s="32"/>
      <c r="AI65" s="32"/>
      <c r="AJ65" s="32"/>
      <c r="AK65" s="28"/>
      <c r="AL65" s="97">
        <v>54890</v>
      </c>
      <c r="AM65" s="169">
        <f t="shared" si="3"/>
        <v>10978</v>
      </c>
      <c r="AN65" s="174">
        <v>1</v>
      </c>
      <c r="AO65" s="15"/>
      <c r="AP65" s="18">
        <v>46072</v>
      </c>
      <c r="AQ65" s="18">
        <v>46077</v>
      </c>
      <c r="AR65" s="235"/>
      <c r="AS65" s="18"/>
      <c r="AT65" s="18">
        <v>46136</v>
      </c>
    </row>
    <row r="66" spans="1:46" hidden="1" x14ac:dyDescent="0.2">
      <c r="A66" s="187">
        <f t="shared" si="2"/>
        <v>19</v>
      </c>
      <c r="B66" s="191" t="str">
        <f>_xlfn.XLOOKUP(D66,Códigos_Propuestas!$B$4:$B$10,Códigos_Propuestas!$C$4:$C$10,"!",0,1)&amp;"__"&amp;
_xlfn.XLOOKUP(H66,Códigos_Propuestas!$E$4:$E$76,Códigos_Propuestas!$F$4:$F$76,"!",1)&amp;"__"&amp;
_xlfn.XLOOKUP(M66,Códigos_Propuestas!$I$4:$I$7,Códigos_Propuestas!$J$4:$J$7,"!",1)&amp;"__"&amp;
_xlfn.XLOOKUP(N66,Códigos_Propuestas!$O$4:$O$11,Códigos_Propuestas!$Q$4:$Q$11,"!",1)&amp;"__"&amp;
_xlfn.XLOOKUP(F66,Códigos_Propuestas!$BF:$BF,Códigos_Propuestas!$BH:$BH,"!",0,1)</f>
        <v>PE__MMG__OP__MGE__!</v>
      </c>
      <c r="C66" s="47">
        <v>64</v>
      </c>
      <c r="D66" s="174" t="s">
        <v>62</v>
      </c>
      <c r="E66" s="174" t="s">
        <v>62</v>
      </c>
      <c r="F66" s="220" t="s">
        <v>789</v>
      </c>
      <c r="G66" s="175"/>
      <c r="H66" s="32" t="s">
        <v>213</v>
      </c>
      <c r="I66" s="32" t="s">
        <v>741</v>
      </c>
      <c r="J66" s="32" t="s">
        <v>143</v>
      </c>
      <c r="K66" s="217" t="s">
        <v>44</v>
      </c>
      <c r="L66" s="181"/>
      <c r="M66" s="174" t="s">
        <v>92</v>
      </c>
      <c r="N66" s="186" t="s">
        <v>153</v>
      </c>
      <c r="O66" s="181" t="s">
        <v>40</v>
      </c>
      <c r="P66" s="181" t="s">
        <v>129</v>
      </c>
      <c r="Q66" s="181" t="s">
        <v>690</v>
      </c>
      <c r="R66" s="181" t="s">
        <v>796</v>
      </c>
      <c r="S66" s="174"/>
      <c r="T66" s="183" t="b">
        <v>0</v>
      </c>
      <c r="U66" s="174"/>
      <c r="V66" s="183" t="b">
        <v>0</v>
      </c>
      <c r="W66" s="174"/>
      <c r="X66" s="183" t="b">
        <v>0</v>
      </c>
      <c r="Y66" s="174"/>
      <c r="Z66" s="183" t="b">
        <v>0</v>
      </c>
      <c r="AA66" s="174"/>
      <c r="AB66" s="174"/>
      <c r="AC66" s="183" t="b">
        <v>0</v>
      </c>
      <c r="AD66" s="183" t="b">
        <v>0</v>
      </c>
      <c r="AE66" s="183" t="b">
        <v>0</v>
      </c>
      <c r="AF66" s="183" t="b">
        <v>0</v>
      </c>
      <c r="AG66" s="183" t="b">
        <v>1</v>
      </c>
      <c r="AH66" s="32"/>
      <c r="AI66" s="32"/>
      <c r="AJ66" s="32"/>
      <c r="AK66" s="28"/>
      <c r="AL66" s="97">
        <v>65000</v>
      </c>
      <c r="AM66" s="169">
        <f t="shared" si="3"/>
        <v>13000</v>
      </c>
      <c r="AN66" s="174">
        <v>1.5</v>
      </c>
      <c r="AO66" s="15"/>
      <c r="AP66" s="18">
        <v>46108</v>
      </c>
      <c r="AQ66" s="18">
        <v>46128</v>
      </c>
      <c r="AR66" s="235"/>
      <c r="AS66" s="18"/>
      <c r="AT66" s="18">
        <v>46175</v>
      </c>
    </row>
    <row r="67" spans="1:46" hidden="1" x14ac:dyDescent="0.2">
      <c r="A67" s="187">
        <f t="shared" ref="A67:A98" si="4">LEN(B67)</f>
        <v>19</v>
      </c>
      <c r="B67" s="191" t="str">
        <f>_xlfn.XLOOKUP(D67,Códigos_Propuestas!$B$4:$B$10,Códigos_Propuestas!$C$4:$C$10,"!",0,1)&amp;"__"&amp;
_xlfn.XLOOKUP(H67,Códigos_Propuestas!$E$4:$E$76,Códigos_Propuestas!$F$4:$F$76,"!",1)&amp;"__"&amp;
_xlfn.XLOOKUP(M67,Códigos_Propuestas!$I$4:$I$7,Códigos_Propuestas!$J$4:$J$7,"!",1)&amp;"__"&amp;
_xlfn.XLOOKUP(N67,Códigos_Propuestas!$O$4:$O$11,Códigos_Propuestas!$Q$4:$Q$11,"!",1)&amp;"__"&amp;
_xlfn.XLOOKUP(F67,Códigos_Propuestas!$BF:$BF,Códigos_Propuestas!$BH:$BH,"!",0,1)</f>
        <v>PE__MMG__OU__PEA__!</v>
      </c>
      <c r="C67" s="47">
        <v>65</v>
      </c>
      <c r="D67" s="174" t="s">
        <v>62</v>
      </c>
      <c r="E67" s="174" t="s">
        <v>62</v>
      </c>
      <c r="F67" s="196" t="s">
        <v>745</v>
      </c>
      <c r="G67" s="174"/>
      <c r="H67" s="174" t="s">
        <v>213</v>
      </c>
      <c r="I67" s="174" t="s">
        <v>746</v>
      </c>
      <c r="J67" s="174" t="s">
        <v>143</v>
      </c>
      <c r="K67" s="47" t="s">
        <v>98</v>
      </c>
      <c r="L67" s="181" t="s">
        <v>747</v>
      </c>
      <c r="M67" s="174" t="s">
        <v>116</v>
      </c>
      <c r="N67" s="186" t="s">
        <v>39</v>
      </c>
      <c r="O67" s="181" t="s">
        <v>40</v>
      </c>
      <c r="P67" s="181" t="s">
        <v>80</v>
      </c>
      <c r="Q67" s="181" t="s">
        <v>674</v>
      </c>
      <c r="R67" s="181" t="s">
        <v>79</v>
      </c>
      <c r="S67" s="174"/>
      <c r="T67" s="183" t="b">
        <v>0</v>
      </c>
      <c r="U67" s="174"/>
      <c r="V67" s="183" t="b">
        <v>0</v>
      </c>
      <c r="W67" s="174"/>
      <c r="X67" s="183" t="b">
        <v>0</v>
      </c>
      <c r="Y67" s="174"/>
      <c r="Z67" s="183" t="b">
        <v>0</v>
      </c>
      <c r="AA67" s="174"/>
      <c r="AB67" s="174"/>
      <c r="AC67" s="183" t="b">
        <v>1</v>
      </c>
      <c r="AD67" s="183" t="b">
        <v>0</v>
      </c>
      <c r="AE67" s="183" t="b">
        <v>0</v>
      </c>
      <c r="AF67" s="183" t="b">
        <v>1</v>
      </c>
      <c r="AG67" s="183" t="b">
        <v>0</v>
      </c>
      <c r="AH67" s="32"/>
      <c r="AI67" s="32"/>
      <c r="AJ67" s="32"/>
      <c r="AK67" s="28"/>
      <c r="AL67" s="97">
        <v>206756.2</v>
      </c>
      <c r="AM67" s="169">
        <f t="shared" si="3"/>
        <v>82702.48000000001</v>
      </c>
      <c r="AN67" s="174">
        <v>2.5</v>
      </c>
      <c r="AO67" s="15"/>
      <c r="AP67" s="18">
        <v>46112</v>
      </c>
      <c r="AQ67" s="18">
        <v>46136</v>
      </c>
      <c r="AR67" s="235">
        <v>1</v>
      </c>
      <c r="AS67" s="18">
        <v>46155</v>
      </c>
      <c r="AT67" s="18">
        <v>46203</v>
      </c>
    </row>
    <row r="68" spans="1:46" hidden="1" x14ac:dyDescent="0.2">
      <c r="A68" s="187">
        <f t="shared" si="4"/>
        <v>19</v>
      </c>
      <c r="B68" s="191" t="str">
        <f>_xlfn.XLOOKUP(D68,Códigos_Propuestas!$B$4:$B$10,Códigos_Propuestas!$C$4:$C$10,"!",0,1)&amp;"__"&amp;
_xlfn.XLOOKUP(H68,Códigos_Propuestas!$E$4:$E$76,Códigos_Propuestas!$F$4:$F$76,"!",1)&amp;"__"&amp;
_xlfn.XLOOKUP(M68,Códigos_Propuestas!$I$4:$I$7,Códigos_Propuestas!$J$4:$J$7,"!",1)&amp;"__"&amp;
_xlfn.XLOOKUP(N68,Códigos_Propuestas!$O$4:$O$11,Códigos_Propuestas!$Q$4:$Q$11,"!",1)&amp;"__"&amp;
_xlfn.XLOOKUP(F68,Códigos_Propuestas!$BF:$BF,Códigos_Propuestas!$BH:$BH,"!",0,1)</f>
        <v>PE__MMA__UG__DAR__!</v>
      </c>
      <c r="C68" s="47">
        <v>66</v>
      </c>
      <c r="D68" s="174" t="s">
        <v>62</v>
      </c>
      <c r="E68" s="174" t="s">
        <v>62</v>
      </c>
      <c r="F68" s="194" t="s">
        <v>750</v>
      </c>
      <c r="G68" s="174"/>
      <c r="H68" s="174" t="s">
        <v>221</v>
      </c>
      <c r="I68" s="174" t="s">
        <v>221</v>
      </c>
      <c r="J68" s="174" t="s">
        <v>143</v>
      </c>
      <c r="K68" s="47" t="s">
        <v>72</v>
      </c>
      <c r="L68" s="181" t="s">
        <v>748</v>
      </c>
      <c r="M68" s="174" t="s">
        <v>65</v>
      </c>
      <c r="N68" s="186" t="s">
        <v>95</v>
      </c>
      <c r="O68" s="181" t="s">
        <v>40</v>
      </c>
      <c r="P68" s="181" t="s">
        <v>749</v>
      </c>
      <c r="Q68" s="181" t="s">
        <v>674</v>
      </c>
      <c r="R68" s="181" t="s">
        <v>128</v>
      </c>
      <c r="S68" s="174"/>
      <c r="T68" s="183" t="b">
        <v>0</v>
      </c>
      <c r="U68" s="174"/>
      <c r="V68" s="183" t="b">
        <v>0</v>
      </c>
      <c r="W68" s="174"/>
      <c r="X68" s="183" t="b">
        <v>0</v>
      </c>
      <c r="Y68" s="174"/>
      <c r="Z68" s="183" t="b">
        <v>0</v>
      </c>
      <c r="AA68" s="174"/>
      <c r="AB68" s="174"/>
      <c r="AC68" s="183" t="b">
        <v>1</v>
      </c>
      <c r="AD68" s="183" t="b">
        <v>0</v>
      </c>
      <c r="AE68" s="183" t="b">
        <v>0</v>
      </c>
      <c r="AF68" s="183" t="b">
        <v>0</v>
      </c>
      <c r="AG68" s="183" t="b">
        <v>0</v>
      </c>
      <c r="AH68" s="32"/>
      <c r="AI68" s="32" t="s">
        <v>123</v>
      </c>
      <c r="AJ68" s="32"/>
      <c r="AK68" s="28"/>
      <c r="AL68" s="97">
        <v>204555</v>
      </c>
      <c r="AM68" s="169">
        <f t="shared" si="3"/>
        <v>81822</v>
      </c>
      <c r="AN68" s="174">
        <v>5</v>
      </c>
      <c r="AO68" s="15"/>
      <c r="AP68" s="18"/>
      <c r="AQ68" s="18">
        <v>46118</v>
      </c>
      <c r="AR68" s="235"/>
      <c r="AS68" s="18"/>
      <c r="AT68" s="18">
        <v>46146</v>
      </c>
    </row>
    <row r="69" spans="1:46" hidden="1" x14ac:dyDescent="0.2">
      <c r="A69" s="187">
        <f t="shared" si="4"/>
        <v>19</v>
      </c>
      <c r="B69" s="191" t="str">
        <f>_xlfn.XLOOKUP(D69,Códigos_Propuestas!$B$4:$B$10,Códigos_Propuestas!$C$4:$C$10,"!",0,1)&amp;"__"&amp;
_xlfn.XLOOKUP(H69,Códigos_Propuestas!$E$4:$E$76,Códigos_Propuestas!$F$4:$F$76,"!",1)&amp;"__"&amp;
_xlfn.XLOOKUP(M69,Códigos_Propuestas!$I$4:$I$7,Códigos_Propuestas!$J$4:$J$7,"!",1)&amp;"__"&amp;
_xlfn.XLOOKUP(N69,Códigos_Propuestas!$O$4:$O$11,Códigos_Propuestas!$Q$4:$Q$11,"!",1)&amp;"__"&amp;
_xlfn.XLOOKUP(F69,Códigos_Propuestas!$BF:$BF,Códigos_Propuestas!$BH:$BH,"!",0,1)</f>
        <v>PE__MIA__UG__MGE__!</v>
      </c>
      <c r="C69" s="47">
        <v>67</v>
      </c>
      <c r="D69" s="174" t="s">
        <v>62</v>
      </c>
      <c r="E69" s="174" t="s">
        <v>62</v>
      </c>
      <c r="F69" s="194" t="s">
        <v>543</v>
      </c>
      <c r="G69" s="174" t="s">
        <v>543</v>
      </c>
      <c r="H69" s="174" t="s">
        <v>795</v>
      </c>
      <c r="I69" s="174" t="s">
        <v>544</v>
      </c>
      <c r="J69" s="174" t="s">
        <v>143</v>
      </c>
      <c r="K69" s="47" t="s">
        <v>72</v>
      </c>
      <c r="L69" s="181"/>
      <c r="M69" s="174" t="s">
        <v>65</v>
      </c>
      <c r="N69" s="181" t="s">
        <v>153</v>
      </c>
      <c r="O69" s="181" t="str">
        <f>_xlfn.XLOOKUP(N69,Códigos_Propuestas!$O$4:$O$15,Códigos_Propuestas!$P$4:$P$15,"!",0,1)</f>
        <v>Geotecnia</v>
      </c>
      <c r="P69" s="181" t="s">
        <v>129</v>
      </c>
      <c r="Q69" s="181" t="s">
        <v>103</v>
      </c>
      <c r="R69" s="181" t="s">
        <v>79</v>
      </c>
      <c r="S69" s="174"/>
      <c r="T69" s="183" t="b">
        <v>0</v>
      </c>
      <c r="U69" s="174"/>
      <c r="V69" s="183" t="b">
        <v>0</v>
      </c>
      <c r="W69" s="174"/>
      <c r="X69" s="183" t="b">
        <v>0</v>
      </c>
      <c r="Y69" s="174"/>
      <c r="Z69" s="183" t="b">
        <v>0</v>
      </c>
      <c r="AA69" s="174"/>
      <c r="AB69" s="174"/>
      <c r="AC69" s="183" t="b">
        <v>1</v>
      </c>
      <c r="AD69" s="183" t="b">
        <v>0</v>
      </c>
      <c r="AE69" s="183" t="b">
        <v>1</v>
      </c>
      <c r="AF69" s="183" t="b">
        <v>0</v>
      </c>
      <c r="AG69" s="183" t="b">
        <v>0</v>
      </c>
      <c r="AH69" s="32"/>
      <c r="AI69" s="32"/>
      <c r="AJ69" s="32"/>
      <c r="AK69" s="28"/>
      <c r="AL69" s="97">
        <v>152760</v>
      </c>
      <c r="AM69" s="169">
        <f t="shared" si="3"/>
        <v>61104</v>
      </c>
      <c r="AN69" s="174">
        <v>4</v>
      </c>
      <c r="AO69" s="15"/>
      <c r="AP69" s="18">
        <v>46022</v>
      </c>
      <c r="AQ69" s="18">
        <v>46035</v>
      </c>
      <c r="AR69" s="235">
        <v>1</v>
      </c>
      <c r="AS69" s="18">
        <v>46160</v>
      </c>
      <c r="AT69" s="18">
        <v>46170</v>
      </c>
    </row>
    <row r="70" spans="1:46" hidden="1" x14ac:dyDescent="0.2">
      <c r="A70" s="187">
        <f t="shared" si="4"/>
        <v>19</v>
      </c>
      <c r="B70" s="191" t="str">
        <f>_xlfn.XLOOKUP(D70,Códigos_Propuestas!$B$4:$B$10,Códigos_Propuestas!$C$4:$C$10,"!",0,1)&amp;"__"&amp;
_xlfn.XLOOKUP(H70,Códigos_Propuestas!$E$4:$E$76,Códigos_Propuestas!$F$4:$F$76,"!",1)&amp;"__"&amp;
_xlfn.XLOOKUP(M70,Códigos_Propuestas!$I$4:$I$7,Códigos_Propuestas!$J$4:$J$7,"!",1)&amp;"__"&amp;
_xlfn.XLOOKUP(N70,Códigos_Propuestas!$O$4:$O$11,Códigos_Propuestas!$Q$4:$Q$11,"!",1)&amp;"__"&amp;
_xlfn.XLOOKUP(F70,Códigos_Propuestas!$BF:$BF,Códigos_Propuestas!$BH:$BH,"!",0,1)</f>
        <v>CH__LUN__OU__RPD__!</v>
      </c>
      <c r="C70" s="47">
        <v>68</v>
      </c>
      <c r="D70" s="174" t="s">
        <v>32</v>
      </c>
      <c r="E70" s="174" t="s">
        <v>32</v>
      </c>
      <c r="F70" s="220" t="s">
        <v>590</v>
      </c>
      <c r="G70" s="174" t="s">
        <v>590</v>
      </c>
      <c r="H70" s="174" t="s">
        <v>90</v>
      </c>
      <c r="I70" s="174" t="s">
        <v>496</v>
      </c>
      <c r="J70" s="174" t="s">
        <v>143</v>
      </c>
      <c r="K70" s="47" t="s">
        <v>98</v>
      </c>
      <c r="L70" s="181" t="s">
        <v>697</v>
      </c>
      <c r="M70" s="174" t="s">
        <v>116</v>
      </c>
      <c r="N70" s="181" t="s">
        <v>68</v>
      </c>
      <c r="O70" s="181" t="s">
        <v>40</v>
      </c>
      <c r="P70" s="181" t="s">
        <v>80</v>
      </c>
      <c r="Q70" s="181" t="s">
        <v>689</v>
      </c>
      <c r="R70" s="181"/>
      <c r="S70" s="174"/>
      <c r="T70" s="183" t="b">
        <v>0</v>
      </c>
      <c r="U70" s="174"/>
      <c r="V70" s="183" t="b">
        <v>0</v>
      </c>
      <c r="W70" s="174"/>
      <c r="X70" s="183" t="b">
        <v>0</v>
      </c>
      <c r="Y70" s="174"/>
      <c r="Z70" s="183" t="b">
        <v>0</v>
      </c>
      <c r="AA70" s="174"/>
      <c r="AB70" s="174"/>
      <c r="AC70" s="183" t="b">
        <v>1</v>
      </c>
      <c r="AD70" s="183" t="b">
        <v>1</v>
      </c>
      <c r="AE70" s="183" t="b">
        <v>1</v>
      </c>
      <c r="AF70" s="183" t="b">
        <v>1</v>
      </c>
      <c r="AG70" s="183" t="b">
        <v>1</v>
      </c>
      <c r="AH70" s="32"/>
      <c r="AI70" s="32"/>
      <c r="AJ70" s="32"/>
      <c r="AK70" s="28"/>
      <c r="AL70" s="97">
        <v>1555036</v>
      </c>
      <c r="AM70" s="169">
        <f t="shared" si="3"/>
        <v>622014.4</v>
      </c>
      <c r="AN70" s="174">
        <v>12</v>
      </c>
      <c r="AO70" s="15"/>
      <c r="AP70" s="18">
        <v>45962</v>
      </c>
      <c r="AQ70" s="18">
        <v>46122</v>
      </c>
      <c r="AR70" s="235"/>
      <c r="AS70" s="18"/>
      <c r="AT70" s="18">
        <v>46174</v>
      </c>
    </row>
    <row r="71" spans="1:46" hidden="1" x14ac:dyDescent="0.2">
      <c r="A71" s="187">
        <f t="shared" si="4"/>
        <v>19</v>
      </c>
      <c r="B71" s="191" t="str">
        <f>_xlfn.XLOOKUP(D71,Códigos_Propuestas!$B$4:$B$10,Códigos_Propuestas!$C$4:$C$10,"!",0,1)&amp;"__"&amp;
_xlfn.XLOOKUP(H71,Códigos_Propuestas!$E$4:$E$76,Códigos_Propuestas!$F$4:$F$76,"!",1)&amp;"__"&amp;
_xlfn.XLOOKUP(M71,Códigos_Propuestas!$I$4:$I$7,Códigos_Propuestas!$J$4:$J$7,"!",1)&amp;"__"&amp;
_xlfn.XLOOKUP(N71,Códigos_Propuestas!$O$4:$O$11,Códigos_Propuestas!$Q$4:$Q$11,"!",1)&amp;"__"&amp;
_xlfn.XLOOKUP(F71,Códigos_Propuestas!$BF:$BF,Códigos_Propuestas!$BH:$BH,"!",0,1)</f>
        <v>CH__LUN__UG__PEA__!</v>
      </c>
      <c r="C71" s="47">
        <v>69</v>
      </c>
      <c r="D71" s="174" t="s">
        <v>32</v>
      </c>
      <c r="E71" s="174" t="s">
        <v>32</v>
      </c>
      <c r="F71" s="194" t="s">
        <v>591</v>
      </c>
      <c r="G71" s="174" t="s">
        <v>591</v>
      </c>
      <c r="H71" s="174" t="s">
        <v>90</v>
      </c>
      <c r="I71" s="174" t="s">
        <v>550</v>
      </c>
      <c r="J71" s="174" t="s">
        <v>143</v>
      </c>
      <c r="K71" s="47" t="s">
        <v>98</v>
      </c>
      <c r="L71" s="181" t="s">
        <v>698</v>
      </c>
      <c r="M71" s="174" t="s">
        <v>65</v>
      </c>
      <c r="N71" s="181" t="s">
        <v>39</v>
      </c>
      <c r="O71" s="181" t="s">
        <v>40</v>
      </c>
      <c r="P71" s="181" t="s">
        <v>80</v>
      </c>
      <c r="Q71" s="181" t="s">
        <v>144</v>
      </c>
      <c r="R71" s="181" t="s">
        <v>796</v>
      </c>
      <c r="S71" s="174"/>
      <c r="T71" s="183" t="b">
        <v>0</v>
      </c>
      <c r="U71" s="174"/>
      <c r="V71" s="183" t="b">
        <v>0</v>
      </c>
      <c r="W71" s="174"/>
      <c r="X71" s="183" t="b">
        <v>0</v>
      </c>
      <c r="Y71" s="174"/>
      <c r="Z71" s="183" t="b">
        <v>0</v>
      </c>
      <c r="AA71" s="174"/>
      <c r="AB71" s="174"/>
      <c r="AC71" s="183" t="b">
        <v>1</v>
      </c>
      <c r="AD71" s="183" t="b">
        <v>0</v>
      </c>
      <c r="AE71" s="183" t="b">
        <v>1</v>
      </c>
      <c r="AF71" s="183" t="b">
        <v>0</v>
      </c>
      <c r="AG71" s="183" t="b">
        <v>0</v>
      </c>
      <c r="AH71" s="32"/>
      <c r="AI71" s="32"/>
      <c r="AJ71" s="32"/>
      <c r="AK71" s="28"/>
      <c r="AL71" s="97">
        <v>274370</v>
      </c>
      <c r="AM71" s="169">
        <f t="shared" si="3"/>
        <v>109748</v>
      </c>
      <c r="AN71" s="174">
        <v>8.5</v>
      </c>
      <c r="AO71" s="15"/>
      <c r="AP71" s="18">
        <v>46071</v>
      </c>
      <c r="AQ71" s="18">
        <v>46087</v>
      </c>
      <c r="AR71" s="235"/>
      <c r="AS71" s="18"/>
      <c r="AT71" s="18">
        <v>46135</v>
      </c>
    </row>
    <row r="72" spans="1:46" hidden="1" x14ac:dyDescent="0.2">
      <c r="A72" s="187">
        <f t="shared" si="4"/>
        <v>19</v>
      </c>
      <c r="B72" s="191" t="str">
        <f>_xlfn.XLOOKUP(D72,Códigos_Propuestas!$B$4:$B$10,Códigos_Propuestas!$C$4:$C$10,"!",0,1)&amp;"__"&amp;
_xlfn.XLOOKUP(H72,Códigos_Propuestas!$E$4:$E$76,Códigos_Propuestas!$F$4:$F$76,"!",1)&amp;"__"&amp;
_xlfn.XLOOKUP(M72,Códigos_Propuestas!$I$4:$I$7,Códigos_Propuestas!$J$4:$J$7,"!",1)&amp;"__"&amp;
_xlfn.XLOOKUP(N72,Códigos_Propuestas!$O$4:$O$11,Códigos_Propuestas!$Q$4:$Q$11,"!",1)&amp;"__"&amp;
_xlfn.XLOOKUP(F72,Códigos_Propuestas!$BF:$BF,Códigos_Propuestas!$BH:$BH,"!",0,1)</f>
        <v>BR__LHG__UG__PEA__!</v>
      </c>
      <c r="C72" s="47">
        <v>70</v>
      </c>
      <c r="D72" s="174" t="s">
        <v>88</v>
      </c>
      <c r="E72" s="174" t="s">
        <v>88</v>
      </c>
      <c r="F72" s="26" t="s">
        <v>533</v>
      </c>
      <c r="G72" s="174" t="s">
        <v>533</v>
      </c>
      <c r="H72" s="174" t="s">
        <v>305</v>
      </c>
      <c r="I72" s="174" t="s">
        <v>534</v>
      </c>
      <c r="J72" s="174" t="s">
        <v>97</v>
      </c>
      <c r="K72" s="47" t="s">
        <v>72</v>
      </c>
      <c r="L72" s="181"/>
      <c r="M72" s="174" t="s">
        <v>65</v>
      </c>
      <c r="N72" s="181" t="s">
        <v>39</v>
      </c>
      <c r="O72" s="181" t="str">
        <f>_xlfn.XLOOKUP(N72,Códigos_Propuestas!$O$4:$O$15,Códigos_Propuestas!$P$4:$P$15,"!",0,1)</f>
        <v>REDCO</v>
      </c>
      <c r="P72" s="181" t="s">
        <v>108</v>
      </c>
      <c r="Q72" s="181" t="s">
        <v>689</v>
      </c>
      <c r="R72" s="181"/>
      <c r="S72" s="174"/>
      <c r="T72" s="183" t="b">
        <v>0</v>
      </c>
      <c r="U72" s="174"/>
      <c r="V72" s="183" t="b">
        <v>0</v>
      </c>
      <c r="W72" s="174"/>
      <c r="X72" s="183" t="b">
        <v>0</v>
      </c>
      <c r="Y72" s="174"/>
      <c r="Z72" s="183" t="b">
        <v>0</v>
      </c>
      <c r="AA72" s="174"/>
      <c r="AB72" s="174"/>
      <c r="AC72" s="183" t="b">
        <v>1</v>
      </c>
      <c r="AD72" s="183" t="b">
        <v>0</v>
      </c>
      <c r="AE72" s="183" t="b">
        <v>0</v>
      </c>
      <c r="AF72" s="183" t="b">
        <v>0</v>
      </c>
      <c r="AG72" s="183" t="b">
        <v>0</v>
      </c>
      <c r="AH72" s="32"/>
      <c r="AI72" s="32"/>
      <c r="AJ72" s="32"/>
      <c r="AK72" s="28"/>
      <c r="AL72" s="97">
        <v>226344</v>
      </c>
      <c r="AM72" s="169">
        <f t="shared" si="3"/>
        <v>90537.600000000006</v>
      </c>
      <c r="AN72" s="174">
        <v>3.5</v>
      </c>
      <c r="AO72" s="15"/>
      <c r="AP72" s="18"/>
      <c r="AQ72" s="18">
        <v>46008</v>
      </c>
      <c r="AR72" s="235"/>
      <c r="AS72" s="18"/>
      <c r="AT72" s="18"/>
    </row>
    <row r="73" spans="1:46" hidden="1" x14ac:dyDescent="0.2">
      <c r="A73" s="187">
        <f t="shared" si="4"/>
        <v>19</v>
      </c>
      <c r="B73" s="191" t="str">
        <f>_xlfn.XLOOKUP(D73,Códigos_Propuestas!$B$4:$B$10,Códigos_Propuestas!$C$4:$C$10,"!",0,1)&amp;"__"&amp;
_xlfn.XLOOKUP(H73,Códigos_Propuestas!$E$4:$E$76,Códigos_Propuestas!$F$4:$F$76,"!",1)&amp;"__"&amp;
_xlfn.XLOOKUP(M73,Códigos_Propuestas!$I$4:$I$7,Códigos_Propuestas!$J$4:$J$7,"!",1)&amp;"__"&amp;
_xlfn.XLOOKUP(N73,Códigos_Propuestas!$O$4:$O$11,Códigos_Propuestas!$Q$4:$Q$11,"!",1)&amp;"__"&amp;
_xlfn.XLOOKUP(F73,Códigos_Propuestas!$BF:$BF,Códigos_Propuestas!$BH:$BH,"!",0,1)</f>
        <v>PE__HCS__UG__MIN__!</v>
      </c>
      <c r="C73" s="47">
        <v>71</v>
      </c>
      <c r="D73" s="174" t="s">
        <v>62</v>
      </c>
      <c r="E73" s="174" t="s">
        <v>62</v>
      </c>
      <c r="F73" s="196" t="s">
        <v>633</v>
      </c>
      <c r="G73" s="174"/>
      <c r="H73" s="174" t="s">
        <v>323</v>
      </c>
      <c r="I73" s="174" t="s">
        <v>664</v>
      </c>
      <c r="J73" s="174" t="s">
        <v>143</v>
      </c>
      <c r="K73" s="47" t="s">
        <v>72</v>
      </c>
      <c r="L73" s="181" t="s">
        <v>700</v>
      </c>
      <c r="M73" s="174" t="s">
        <v>65</v>
      </c>
      <c r="N73" s="186" t="s">
        <v>120</v>
      </c>
      <c r="O73" s="181" t="s">
        <v>40</v>
      </c>
      <c r="P73" s="181" t="s">
        <v>80</v>
      </c>
      <c r="Q73" s="181" t="s">
        <v>144</v>
      </c>
      <c r="R73" s="181" t="s">
        <v>79</v>
      </c>
      <c r="S73" s="174"/>
      <c r="T73" s="183" t="b">
        <v>0</v>
      </c>
      <c r="U73" s="174"/>
      <c r="V73" s="183" t="b">
        <v>0</v>
      </c>
      <c r="W73" s="174"/>
      <c r="X73" s="183" t="b">
        <v>0</v>
      </c>
      <c r="Y73" s="174"/>
      <c r="Z73" s="183" t="b">
        <v>0</v>
      </c>
      <c r="AA73" s="174"/>
      <c r="AB73" s="174"/>
      <c r="AC73" s="183" t="b">
        <v>1</v>
      </c>
      <c r="AD73" s="183" t="b">
        <v>0</v>
      </c>
      <c r="AE73" s="183" t="b">
        <v>0</v>
      </c>
      <c r="AF73" s="183" t="b">
        <v>1</v>
      </c>
      <c r="AG73" s="183" t="b">
        <v>0</v>
      </c>
      <c r="AH73" s="32"/>
      <c r="AI73" s="32"/>
      <c r="AJ73" s="32"/>
      <c r="AK73" s="28"/>
      <c r="AL73" s="97">
        <v>347308</v>
      </c>
      <c r="AM73" s="169">
        <f t="shared" si="3"/>
        <v>138923.20000000001</v>
      </c>
      <c r="AN73" s="174">
        <v>6</v>
      </c>
      <c r="AO73" s="15"/>
      <c r="AP73" s="18">
        <v>46070</v>
      </c>
      <c r="AQ73" s="18">
        <v>46099</v>
      </c>
      <c r="AR73" s="235"/>
      <c r="AS73" s="18"/>
      <c r="AT73" s="18">
        <v>46142</v>
      </c>
    </row>
    <row r="74" spans="1:46" ht="22.5" customHeight="1" x14ac:dyDescent="0.2">
      <c r="A74" s="187">
        <f t="shared" si="4"/>
        <v>19</v>
      </c>
      <c r="B74" s="191" t="str">
        <f>_xlfn.XLOOKUP(D74,Códigos_Propuestas!$B$4:$B$10,Códigos_Propuestas!$C$4:$C$10,"!",0,1)&amp;"__"&amp;
_xlfn.XLOOKUP(H74,Códigos_Propuestas!$E$4:$E$76,Códigos_Propuestas!$F$4:$F$76,"!",1)&amp;"__"&amp;
_xlfn.XLOOKUP(M74,Códigos_Propuestas!$I$4:$I$7,Códigos_Propuestas!$J$4:$J$7,"!",1)&amp;"__"&amp;
_xlfn.XLOOKUP(N74,Códigos_Propuestas!$O$4:$O$11,Códigos_Propuestas!$Q$4:$Q$11,"!",1)&amp;"__"&amp;
_xlfn.XLOOKUP(F74,Códigos_Propuestas!$BF:$BF,Códigos_Propuestas!$BH:$BH,"!",0,1)</f>
        <v>BR__ERC__UG__MOP__!</v>
      </c>
      <c r="C74" s="47">
        <v>72</v>
      </c>
      <c r="D74" s="174" t="s">
        <v>88</v>
      </c>
      <c r="E74" s="174" t="s">
        <v>88</v>
      </c>
      <c r="F74" s="194" t="s">
        <v>539</v>
      </c>
      <c r="G74" s="174" t="s">
        <v>539</v>
      </c>
      <c r="H74" s="174" t="s">
        <v>297</v>
      </c>
      <c r="I74" s="174" t="s">
        <v>540</v>
      </c>
      <c r="J74" s="174" t="s">
        <v>122</v>
      </c>
      <c r="K74" s="47" t="s">
        <v>44</v>
      </c>
      <c r="L74" s="181"/>
      <c r="M74" s="174" t="s">
        <v>65</v>
      </c>
      <c r="N74" s="181" t="s">
        <v>141</v>
      </c>
      <c r="O74" s="181" t="s">
        <v>40</v>
      </c>
      <c r="P74" s="181" t="s">
        <v>108</v>
      </c>
      <c r="Q74" s="32" t="s">
        <v>690</v>
      </c>
      <c r="R74" s="181"/>
      <c r="S74" s="174"/>
      <c r="T74" s="183" t="b">
        <v>0</v>
      </c>
      <c r="U74" s="174"/>
      <c r="V74" s="183" t="b">
        <v>0</v>
      </c>
      <c r="W74" s="174"/>
      <c r="X74" s="183" t="b">
        <v>0</v>
      </c>
      <c r="Y74" s="174"/>
      <c r="Z74" s="183" t="b">
        <v>0</v>
      </c>
      <c r="AA74" s="174"/>
      <c r="AB74" s="174"/>
      <c r="AC74" s="183" t="b">
        <v>1</v>
      </c>
      <c r="AD74" s="183" t="b">
        <v>1</v>
      </c>
      <c r="AE74" s="183" t="b">
        <v>1</v>
      </c>
      <c r="AF74" s="183" t="b">
        <v>1</v>
      </c>
      <c r="AG74" s="183" t="b">
        <v>0</v>
      </c>
      <c r="AH74" s="32"/>
      <c r="AI74" s="32" t="s">
        <v>45</v>
      </c>
      <c r="AJ74" s="32" t="s">
        <v>50</v>
      </c>
      <c r="AK74" s="28"/>
      <c r="AL74" s="97">
        <v>343000</v>
      </c>
      <c r="AM74" s="169">
        <f t="shared" si="3"/>
        <v>137200</v>
      </c>
      <c r="AN74" s="32">
        <v>4</v>
      </c>
      <c r="AO74" s="15"/>
      <c r="AP74" s="18">
        <v>46008</v>
      </c>
      <c r="AQ74" s="182">
        <v>46029</v>
      </c>
      <c r="AR74" s="237">
        <v>3</v>
      </c>
      <c r="AS74" s="182">
        <v>46135</v>
      </c>
      <c r="AT74" s="18">
        <v>46133</v>
      </c>
    </row>
    <row r="75" spans="1:46" hidden="1" x14ac:dyDescent="0.2">
      <c r="A75" s="187">
        <f t="shared" si="4"/>
        <v>19</v>
      </c>
      <c r="B75" s="191" t="str">
        <f>_xlfn.XLOOKUP(D75,Códigos_Propuestas!$B$4:$B$10,Códigos_Propuestas!$C$4:$C$10,"!",0,1)&amp;"__"&amp;
_xlfn.XLOOKUP(H75,Códigos_Propuestas!$E$4:$E$76,Códigos_Propuestas!$F$4:$F$76,"!",1)&amp;"__"&amp;
_xlfn.XLOOKUP(M75,Códigos_Propuestas!$I$4:$I$7,Códigos_Propuestas!$J$4:$J$7,"!",1)&amp;"__"&amp;
_xlfn.XLOOKUP(N75,Códigos_Propuestas!$O$4:$O$11,Códigos_Propuestas!$Q$4:$Q$11,"!",1)&amp;"__"&amp;
_xlfn.XLOOKUP(F75,Códigos_Propuestas!$BF:$BF,Códigos_Propuestas!$BH:$BH,"!",0,1)</f>
        <v>BR__ERC__UG__MIN__!</v>
      </c>
      <c r="C75" s="47">
        <v>73</v>
      </c>
      <c r="D75" s="174" t="s">
        <v>88</v>
      </c>
      <c r="E75" s="174" t="s">
        <v>88</v>
      </c>
      <c r="F75" s="194" t="s">
        <v>691</v>
      </c>
      <c r="G75" s="174"/>
      <c r="H75" s="174" t="s">
        <v>297</v>
      </c>
      <c r="I75" s="174" t="s">
        <v>520</v>
      </c>
      <c r="J75" s="174" t="s">
        <v>143</v>
      </c>
      <c r="K75" s="47" t="s">
        <v>44</v>
      </c>
      <c r="L75" s="181"/>
      <c r="M75" s="174" t="s">
        <v>65</v>
      </c>
      <c r="N75" s="186" t="s">
        <v>176</v>
      </c>
      <c r="O75" s="181" t="s">
        <v>40</v>
      </c>
      <c r="P75" s="181" t="s">
        <v>129</v>
      </c>
      <c r="Q75" s="32" t="s">
        <v>690</v>
      </c>
      <c r="R75" s="181" t="s">
        <v>692</v>
      </c>
      <c r="S75" s="174"/>
      <c r="T75" s="183" t="b">
        <v>0</v>
      </c>
      <c r="U75" s="174"/>
      <c r="V75" s="183" t="b">
        <v>0</v>
      </c>
      <c r="W75" s="174"/>
      <c r="X75" s="183" t="b">
        <v>0</v>
      </c>
      <c r="Y75" s="174"/>
      <c r="Z75" s="183" t="b">
        <v>0</v>
      </c>
      <c r="AA75" s="174"/>
      <c r="AB75" s="174"/>
      <c r="AC75" s="183" t="b">
        <v>1</v>
      </c>
      <c r="AD75" s="183" t="b">
        <v>1</v>
      </c>
      <c r="AE75" s="183" t="b">
        <v>0</v>
      </c>
      <c r="AF75" s="183" t="b">
        <v>0</v>
      </c>
      <c r="AG75" s="183" t="b">
        <v>1</v>
      </c>
      <c r="AH75" s="32"/>
      <c r="AI75" s="32"/>
      <c r="AJ75" s="32"/>
      <c r="AK75" s="28"/>
      <c r="AL75" s="97">
        <v>70659</v>
      </c>
      <c r="AM75" s="169">
        <f t="shared" si="3"/>
        <v>14131.800000000001</v>
      </c>
      <c r="AN75" s="174">
        <v>3</v>
      </c>
      <c r="AO75" s="15"/>
      <c r="AP75" s="18">
        <v>46090</v>
      </c>
      <c r="AQ75" s="18">
        <v>46104</v>
      </c>
      <c r="AR75" s="235"/>
      <c r="AS75" s="18"/>
      <c r="AT75" s="18">
        <v>46127</v>
      </c>
    </row>
    <row r="76" spans="1:46" ht="15.5" hidden="1" customHeight="1" x14ac:dyDescent="0.2">
      <c r="A76" s="187">
        <f t="shared" si="4"/>
        <v>19</v>
      </c>
      <c r="B76" s="191" t="str">
        <f>_xlfn.XLOOKUP(D76,Códigos_Propuestas!$B$4:$B$10,Códigos_Propuestas!$C$4:$C$10,"!",0,1)&amp;"__"&amp;
_xlfn.XLOOKUP(H76,Códigos_Propuestas!$E$4:$E$76,Códigos_Propuestas!$F$4:$F$76,"!",1)&amp;"__"&amp;
_xlfn.XLOOKUP(M76,Códigos_Propuestas!$I$4:$I$7,Códigos_Propuestas!$J$4:$J$7,"!",1)&amp;"__"&amp;
_xlfn.XLOOKUP(N76,Códigos_Propuestas!$O$4:$O$11,Códigos_Propuestas!$Q$4:$Q$11,"!",1)&amp;"__"&amp;
_xlfn.XLOOKUP(F76,Códigos_Propuestas!$BF:$BF,Códigos_Propuestas!$BH:$BH,"!",0,1)</f>
        <v>CH__ERG__OP__MGE__!</v>
      </c>
      <c r="C76" s="47">
        <v>74</v>
      </c>
      <c r="D76" s="174" t="s">
        <v>32</v>
      </c>
      <c r="E76" s="174" t="s">
        <v>639</v>
      </c>
      <c r="F76" s="196" t="s">
        <v>635</v>
      </c>
      <c r="G76" s="174"/>
      <c r="H76" s="174" t="s">
        <v>320</v>
      </c>
      <c r="I76" s="174" t="s">
        <v>642</v>
      </c>
      <c r="J76" s="174" t="s">
        <v>97</v>
      </c>
      <c r="K76" s="47" t="s">
        <v>72</v>
      </c>
      <c r="L76" s="181"/>
      <c r="M76" s="174" t="s">
        <v>92</v>
      </c>
      <c r="N76" s="186" t="s">
        <v>153</v>
      </c>
      <c r="O76" s="181" t="s">
        <v>40</v>
      </c>
      <c r="P76" s="181" t="s">
        <v>80</v>
      </c>
      <c r="Q76" s="32" t="s">
        <v>144</v>
      </c>
      <c r="R76" s="181"/>
      <c r="S76" s="174"/>
      <c r="T76" s="183" t="b">
        <v>0</v>
      </c>
      <c r="U76" s="174"/>
      <c r="V76" s="183" t="b">
        <v>0</v>
      </c>
      <c r="W76" s="174"/>
      <c r="X76" s="183" t="b">
        <v>0</v>
      </c>
      <c r="Y76" s="174"/>
      <c r="Z76" s="183" t="b">
        <v>0</v>
      </c>
      <c r="AA76" s="174"/>
      <c r="AB76" s="174"/>
      <c r="AC76" s="183" t="b">
        <v>1</v>
      </c>
      <c r="AD76" s="183" t="b">
        <v>1</v>
      </c>
      <c r="AE76" s="183" t="b">
        <v>0</v>
      </c>
      <c r="AF76" s="183" t="b">
        <v>1</v>
      </c>
      <c r="AG76" s="183" t="b">
        <v>1</v>
      </c>
      <c r="AH76" s="32"/>
      <c r="AI76" s="32"/>
      <c r="AJ76" s="32"/>
      <c r="AK76" s="28"/>
      <c r="AL76" s="97">
        <v>392680</v>
      </c>
      <c r="AM76" s="169">
        <f t="shared" si="3"/>
        <v>157072</v>
      </c>
      <c r="AN76" s="174">
        <v>6</v>
      </c>
      <c r="AO76" s="15"/>
      <c r="AP76" s="18">
        <v>46077</v>
      </c>
      <c r="AQ76" s="18">
        <v>46101</v>
      </c>
      <c r="AR76" s="235"/>
      <c r="AS76" s="18"/>
      <c r="AT76" s="18"/>
    </row>
    <row r="77" spans="1:46" hidden="1" x14ac:dyDescent="0.2">
      <c r="A77" s="187">
        <f t="shared" si="4"/>
        <v>19</v>
      </c>
      <c r="B77" s="191" t="str">
        <f>_xlfn.XLOOKUP(D77,Códigos_Propuestas!$B$4:$B$10,Códigos_Propuestas!$C$4:$C$10,"!",0,1)&amp;"__"&amp;
_xlfn.XLOOKUP(H77,Códigos_Propuestas!$E$4:$E$76,Códigos_Propuestas!$F$4:$F$76,"!",1)&amp;"__"&amp;
_xlfn.XLOOKUP(M77,Códigos_Propuestas!$I$4:$I$7,Códigos_Propuestas!$J$4:$J$7,"!",1)&amp;"__"&amp;
_xlfn.XLOOKUP(N77,Códigos_Propuestas!$O$4:$O$11,Códigos_Propuestas!$Q$4:$Q$11,"!",1)&amp;"__"&amp;
_xlfn.XLOOKUP(F77,Códigos_Propuestas!$BF:$BF,Códigos_Propuestas!$BH:$BH,"!",0,1)</f>
        <v>PE__CRF__UG__MGE__!</v>
      </c>
      <c r="C77" s="47">
        <v>75</v>
      </c>
      <c r="D77" s="174" t="s">
        <v>62</v>
      </c>
      <c r="E77" s="174" t="s">
        <v>62</v>
      </c>
      <c r="F77" s="194" t="s">
        <v>721</v>
      </c>
      <c r="G77" s="174"/>
      <c r="H77" s="174" t="s">
        <v>723</v>
      </c>
      <c r="I77" s="174" t="s">
        <v>724</v>
      </c>
      <c r="J77" s="174" t="s">
        <v>143</v>
      </c>
      <c r="K77" s="47" t="s">
        <v>44</v>
      </c>
      <c r="L77" s="181" t="s">
        <v>751</v>
      </c>
      <c r="M77" s="174" t="s">
        <v>65</v>
      </c>
      <c r="N77" s="186" t="s">
        <v>153</v>
      </c>
      <c r="O77" s="181" t="s">
        <v>40</v>
      </c>
      <c r="P77" s="181" t="s">
        <v>129</v>
      </c>
      <c r="Q77" s="32" t="s">
        <v>690</v>
      </c>
      <c r="R77" s="181" t="s">
        <v>35</v>
      </c>
      <c r="S77" s="174"/>
      <c r="T77" s="183" t="b">
        <v>0</v>
      </c>
      <c r="U77" s="174"/>
      <c r="V77" s="183" t="b">
        <v>0</v>
      </c>
      <c r="W77" s="174"/>
      <c r="X77" s="183" t="b">
        <v>0</v>
      </c>
      <c r="Y77" s="174"/>
      <c r="Z77" s="183" t="b">
        <v>0</v>
      </c>
      <c r="AA77" s="174"/>
      <c r="AB77" s="174"/>
      <c r="AC77" s="183" t="b">
        <v>1</v>
      </c>
      <c r="AD77" s="183" t="b">
        <v>0</v>
      </c>
      <c r="AE77" s="183" t="b">
        <v>0</v>
      </c>
      <c r="AF77" s="183" t="b">
        <v>0</v>
      </c>
      <c r="AG77" s="183" t="b">
        <v>0</v>
      </c>
      <c r="AH77" s="32"/>
      <c r="AI77" s="32"/>
      <c r="AJ77" s="32"/>
      <c r="AK77" s="28"/>
      <c r="AL77" s="97">
        <v>47760</v>
      </c>
      <c r="AM77" s="169">
        <f t="shared" si="3"/>
        <v>9552</v>
      </c>
      <c r="AN77" s="32">
        <v>1.5</v>
      </c>
      <c r="AO77" s="15"/>
      <c r="AP77" s="18">
        <v>46104</v>
      </c>
      <c r="AQ77" s="18">
        <v>46129</v>
      </c>
      <c r="AR77" s="235"/>
      <c r="AS77" s="18"/>
      <c r="AT77" s="18">
        <v>46170</v>
      </c>
    </row>
    <row r="78" spans="1:46" hidden="1" x14ac:dyDescent="0.2">
      <c r="A78" s="187">
        <f t="shared" si="4"/>
        <v>19</v>
      </c>
      <c r="B78" s="191" t="str">
        <f>_xlfn.XLOOKUP(D78,Códigos_Propuestas!$B$4:$B$10,Códigos_Propuestas!$C$4:$C$10,"!",0,1)&amp;"__"&amp;
_xlfn.XLOOKUP(H78,Códigos_Propuestas!$E$4:$E$76,Códigos_Propuestas!$F$4:$F$76,"!",1)&amp;"__"&amp;
_xlfn.XLOOKUP(M78,Códigos_Propuestas!$I$4:$I$7,Códigos_Propuestas!$J$4:$J$7,"!",1)&amp;"__"&amp;
_xlfn.XLOOKUP(N78,Códigos_Propuestas!$O$4:$O$11,Códigos_Propuestas!$Q$4:$Q$11,"!",1)&amp;"__"&amp;
_xlfn.XLOOKUP(F78,Códigos_Propuestas!$BF:$BF,Códigos_Propuestas!$BH:$BH,"!",0,1)</f>
        <v>CH__COD__OP__MIN__!</v>
      </c>
      <c r="C78" s="47">
        <v>76</v>
      </c>
      <c r="D78" s="174" t="s">
        <v>32</v>
      </c>
      <c r="E78" s="174" t="s">
        <v>32</v>
      </c>
      <c r="F78" s="196" t="s">
        <v>634</v>
      </c>
      <c r="G78" s="174"/>
      <c r="H78" s="174" t="s">
        <v>181</v>
      </c>
      <c r="I78" s="174" t="s">
        <v>640</v>
      </c>
      <c r="J78" s="174" t="s">
        <v>97</v>
      </c>
      <c r="K78" s="47" t="s">
        <v>44</v>
      </c>
      <c r="L78" s="181"/>
      <c r="M78" s="174" t="s">
        <v>92</v>
      </c>
      <c r="N78" s="186" t="s">
        <v>35</v>
      </c>
      <c r="O78" s="181" t="s">
        <v>40</v>
      </c>
      <c r="P78" s="181" t="s">
        <v>80</v>
      </c>
      <c r="Q78" s="181" t="s">
        <v>144</v>
      </c>
      <c r="R78" s="181"/>
      <c r="S78" s="174"/>
      <c r="T78" s="183" t="b">
        <v>0</v>
      </c>
      <c r="U78" s="174"/>
      <c r="V78" s="183" t="b">
        <v>0</v>
      </c>
      <c r="W78" s="174"/>
      <c r="X78" s="183" t="b">
        <v>0</v>
      </c>
      <c r="Y78" s="174"/>
      <c r="Z78" s="183" t="b">
        <v>0</v>
      </c>
      <c r="AA78" s="174"/>
      <c r="AB78" s="174"/>
      <c r="AC78" s="183" t="b">
        <v>1</v>
      </c>
      <c r="AD78" s="183" t="b">
        <v>1</v>
      </c>
      <c r="AE78" s="183" t="b">
        <v>0</v>
      </c>
      <c r="AF78" s="183" t="b">
        <v>0</v>
      </c>
      <c r="AG78" s="183" t="b">
        <v>0</v>
      </c>
      <c r="AH78" s="32"/>
      <c r="AI78" s="32" t="s">
        <v>73</v>
      </c>
      <c r="AJ78" s="32"/>
      <c r="AK78" s="28"/>
      <c r="AL78" s="97">
        <v>0</v>
      </c>
      <c r="AM78" s="169">
        <f t="shared" si="3"/>
        <v>0</v>
      </c>
      <c r="AN78" s="174">
        <v>36</v>
      </c>
      <c r="AO78" s="15"/>
      <c r="AP78" s="18">
        <v>46076</v>
      </c>
      <c r="AQ78" s="18">
        <v>46111</v>
      </c>
      <c r="AR78" s="236">
        <v>2</v>
      </c>
      <c r="AS78" s="200">
        <v>46117</v>
      </c>
      <c r="AT78" s="200"/>
    </row>
    <row r="79" spans="1:46" hidden="1" x14ac:dyDescent="0.2">
      <c r="A79" s="187">
        <f t="shared" si="4"/>
        <v>19</v>
      </c>
      <c r="B79" s="191" t="str">
        <f>_xlfn.XLOOKUP(D79,Códigos_Propuestas!$B$4:$B$10,Códigos_Propuestas!$C$4:$C$10,"!",0,1)&amp;"__"&amp;
_xlfn.XLOOKUP(H79,Códigos_Propuestas!$E$4:$E$76,Códigos_Propuestas!$F$4:$F$76,"!",1)&amp;"__"&amp;
_xlfn.XLOOKUP(M79,Códigos_Propuestas!$I$4:$I$7,Códigos_Propuestas!$J$4:$J$7,"!",1)&amp;"__"&amp;
_xlfn.XLOOKUP(N79,Códigos_Propuestas!$O$4:$O$11,Códigos_Propuestas!$Q$4:$Q$11,"!",1)&amp;"__"&amp;
_xlfn.XLOOKUP(F79,Códigos_Propuestas!$BF:$BF,Códigos_Propuestas!$BH:$BH,"!",0,1)</f>
        <v>CH__COD__OU__MIN__!</v>
      </c>
      <c r="C79" s="47">
        <v>77</v>
      </c>
      <c r="D79" s="174" t="s">
        <v>32</v>
      </c>
      <c r="E79" s="174" t="s">
        <v>32</v>
      </c>
      <c r="F79" s="194" t="s">
        <v>667</v>
      </c>
      <c r="G79" s="174"/>
      <c r="H79" s="174" t="s">
        <v>181</v>
      </c>
      <c r="I79" s="174" t="s">
        <v>668</v>
      </c>
      <c r="J79" s="174" t="s">
        <v>143</v>
      </c>
      <c r="K79" s="47" t="s">
        <v>44</v>
      </c>
      <c r="L79" s="181"/>
      <c r="M79" s="174" t="s">
        <v>116</v>
      </c>
      <c r="N79" s="186" t="s">
        <v>35</v>
      </c>
      <c r="O79" s="181" t="s">
        <v>40</v>
      </c>
      <c r="P79" s="181"/>
      <c r="Q79" s="181" t="s">
        <v>103</v>
      </c>
      <c r="R79" s="181" t="s">
        <v>692</v>
      </c>
      <c r="S79" s="174"/>
      <c r="T79" s="183" t="b">
        <v>0</v>
      </c>
      <c r="U79" s="174"/>
      <c r="V79" s="183" t="b">
        <v>0</v>
      </c>
      <c r="W79" s="174"/>
      <c r="X79" s="183" t="b">
        <v>0</v>
      </c>
      <c r="Y79" s="174"/>
      <c r="Z79" s="183" t="b">
        <v>0</v>
      </c>
      <c r="AA79" s="174"/>
      <c r="AB79" s="174"/>
      <c r="AC79" s="183" t="b">
        <v>0</v>
      </c>
      <c r="AD79" s="183" t="b">
        <v>0</v>
      </c>
      <c r="AE79" s="183" t="b">
        <v>0</v>
      </c>
      <c r="AF79" s="183" t="b">
        <v>0</v>
      </c>
      <c r="AG79" s="183" t="b">
        <v>0</v>
      </c>
      <c r="AH79" s="32"/>
      <c r="AI79" s="32"/>
      <c r="AJ79" s="32"/>
      <c r="AK79" s="28"/>
      <c r="AL79" s="97">
        <v>0</v>
      </c>
      <c r="AM79" s="169">
        <f t="shared" si="3"/>
        <v>0</v>
      </c>
      <c r="AN79" s="174"/>
      <c r="AO79" s="15"/>
      <c r="AP79" s="18"/>
      <c r="AQ79" s="18">
        <v>46119</v>
      </c>
      <c r="AR79" s="235"/>
      <c r="AS79" s="18"/>
      <c r="AT79" s="18">
        <v>46098</v>
      </c>
    </row>
    <row r="80" spans="1:46" hidden="1" x14ac:dyDescent="0.2">
      <c r="A80" s="187">
        <f t="shared" si="4"/>
        <v>19</v>
      </c>
      <c r="B80" s="191" t="str">
        <f>_xlfn.XLOOKUP(D80,Códigos_Propuestas!$B$4:$B$10,Códigos_Propuestas!$C$4:$C$10,"!",0,1)&amp;"__"&amp;
_xlfn.XLOOKUP(H80,Códigos_Propuestas!$E$4:$E$76,Códigos_Propuestas!$F$4:$F$76,"!",1)&amp;"__"&amp;
_xlfn.XLOOKUP(M80,Códigos_Propuestas!$I$4:$I$7,Códigos_Propuestas!$J$4:$J$7,"!",1)&amp;"__"&amp;
_xlfn.XLOOKUP(N80,Códigos_Propuestas!$O$4:$O$11,Códigos_Propuestas!$Q$4:$Q$11,"!",1)&amp;"__"&amp;
_xlfn.XLOOKUP(F80,Códigos_Propuestas!$BF:$BF,Códigos_Propuestas!$BH:$BH,"!",0,1)</f>
        <v>CH__COD__OU__DAR__!</v>
      </c>
      <c r="C80" s="47">
        <v>78</v>
      </c>
      <c r="D80" s="174" t="s">
        <v>32</v>
      </c>
      <c r="E80" s="174" t="s">
        <v>32</v>
      </c>
      <c r="F80" s="194" t="s">
        <v>704</v>
      </c>
      <c r="G80" s="174"/>
      <c r="H80" s="174" t="s">
        <v>181</v>
      </c>
      <c r="I80" s="174" t="s">
        <v>705</v>
      </c>
      <c r="J80" s="174" t="s">
        <v>97</v>
      </c>
      <c r="K80" s="47" t="s">
        <v>44</v>
      </c>
      <c r="L80" s="181" t="s">
        <v>709</v>
      </c>
      <c r="M80" s="174" t="s">
        <v>116</v>
      </c>
      <c r="N80" s="186" t="s">
        <v>95</v>
      </c>
      <c r="O80" s="181" t="s">
        <v>40</v>
      </c>
      <c r="P80" s="181" t="s">
        <v>80</v>
      </c>
      <c r="Q80" s="181" t="s">
        <v>690</v>
      </c>
      <c r="R80" s="181"/>
      <c r="S80" s="174"/>
      <c r="T80" s="183" t="b">
        <v>0</v>
      </c>
      <c r="U80" s="174"/>
      <c r="V80" s="183" t="b">
        <v>0</v>
      </c>
      <c r="W80" s="174"/>
      <c r="X80" s="183" t="b">
        <v>0</v>
      </c>
      <c r="Y80" s="174"/>
      <c r="Z80" s="183" t="b">
        <v>0</v>
      </c>
      <c r="AA80" s="174"/>
      <c r="AB80" s="174"/>
      <c r="AC80" s="183" t="b">
        <v>1</v>
      </c>
      <c r="AD80" s="183" t="b">
        <v>1</v>
      </c>
      <c r="AE80" s="183" t="b">
        <v>1</v>
      </c>
      <c r="AF80" s="183" t="b">
        <v>1</v>
      </c>
      <c r="AG80" s="183" t="b">
        <v>1</v>
      </c>
      <c r="AH80" s="32"/>
      <c r="AI80" s="32" t="s">
        <v>73</v>
      </c>
      <c r="AJ80" s="32"/>
      <c r="AK80" s="28"/>
      <c r="AL80" s="97">
        <v>0</v>
      </c>
      <c r="AM80" s="169">
        <f t="shared" si="3"/>
        <v>0</v>
      </c>
      <c r="AN80" s="174">
        <v>42</v>
      </c>
      <c r="AO80" s="15"/>
      <c r="AP80" s="18">
        <v>46101</v>
      </c>
      <c r="AQ80" s="18">
        <v>46148</v>
      </c>
      <c r="AR80" s="235"/>
      <c r="AS80" s="18"/>
      <c r="AT80" s="18"/>
    </row>
    <row r="81" spans="1:46" x14ac:dyDescent="0.2">
      <c r="A81" s="187">
        <f t="shared" si="4"/>
        <v>19</v>
      </c>
      <c r="B81" s="191" t="str">
        <f>_xlfn.XLOOKUP(D81,Códigos_Propuestas!$B$4:$B$10,Códigos_Propuestas!$C$4:$C$10,"!",0,1)&amp;"__"&amp;
_xlfn.XLOOKUP(H81,Códigos_Propuestas!$E$4:$E$76,Códigos_Propuestas!$F$4:$F$76,"!",1)&amp;"__"&amp;
_xlfn.XLOOKUP(M81,Códigos_Propuestas!$I$4:$I$7,Códigos_Propuestas!$J$4:$J$7,"!",1)&amp;"__"&amp;
_xlfn.XLOOKUP(N81,Códigos_Propuestas!$O$4:$O$11,Códigos_Propuestas!$Q$4:$Q$11,"!",1)&amp;"__"&amp;
_xlfn.XLOOKUP(F81,Códigos_Propuestas!$BF:$BF,Códigos_Propuestas!$BH:$BH,"!",0,1)</f>
        <v>CH__COD__UG__DAR__!</v>
      </c>
      <c r="C81" s="47">
        <v>79</v>
      </c>
      <c r="D81" s="174" t="s">
        <v>32</v>
      </c>
      <c r="E81" s="174" t="s">
        <v>32</v>
      </c>
      <c r="F81" s="196" t="s">
        <v>743</v>
      </c>
      <c r="G81" s="174"/>
      <c r="H81" s="174" t="s">
        <v>181</v>
      </c>
      <c r="I81" s="174" t="s">
        <v>546</v>
      </c>
      <c r="J81" s="174" t="s">
        <v>122</v>
      </c>
      <c r="K81" s="47" t="s">
        <v>98</v>
      </c>
      <c r="L81" s="181"/>
      <c r="M81" s="174" t="s">
        <v>65</v>
      </c>
      <c r="N81" s="186" t="s">
        <v>95</v>
      </c>
      <c r="O81" s="181" t="s">
        <v>40</v>
      </c>
      <c r="P81" s="181" t="s">
        <v>53</v>
      </c>
      <c r="Q81" s="181" t="s">
        <v>690</v>
      </c>
      <c r="R81" s="181"/>
      <c r="S81" s="174"/>
      <c r="T81" s="183" t="b">
        <v>0</v>
      </c>
      <c r="U81" s="174"/>
      <c r="V81" s="183" t="b">
        <v>0</v>
      </c>
      <c r="W81" s="174"/>
      <c r="X81" s="183" t="b">
        <v>0</v>
      </c>
      <c r="Y81" s="174"/>
      <c r="Z81" s="183" t="b">
        <v>0</v>
      </c>
      <c r="AA81" s="174"/>
      <c r="AB81" s="174"/>
      <c r="AC81" s="183" t="b">
        <v>0</v>
      </c>
      <c r="AD81" s="183" t="b">
        <v>1</v>
      </c>
      <c r="AE81" s="183" t="b">
        <v>0</v>
      </c>
      <c r="AF81" s="183" t="b">
        <v>0</v>
      </c>
      <c r="AG81" s="183" t="b">
        <v>0</v>
      </c>
      <c r="AH81" s="32"/>
      <c r="AI81" s="32"/>
      <c r="AJ81" s="32" t="s">
        <v>78</v>
      </c>
      <c r="AK81" s="28"/>
      <c r="AL81" s="97">
        <v>55000</v>
      </c>
      <c r="AM81" s="169">
        <f t="shared" si="3"/>
        <v>11000</v>
      </c>
      <c r="AN81" s="174">
        <v>4</v>
      </c>
      <c r="AO81" s="15"/>
      <c r="AP81" s="18">
        <v>46104</v>
      </c>
      <c r="AQ81" s="18">
        <v>46111</v>
      </c>
      <c r="AR81" s="235"/>
      <c r="AS81" s="18"/>
      <c r="AT81" s="18">
        <v>46139</v>
      </c>
    </row>
    <row r="82" spans="1:46" hidden="1" x14ac:dyDescent="0.2">
      <c r="A82" s="187">
        <f t="shared" si="4"/>
        <v>19</v>
      </c>
      <c r="B82" s="191" t="str">
        <f>_xlfn.XLOOKUP(D82,Códigos_Propuestas!$B$4:$B$10,Códigos_Propuestas!$C$4:$C$10,"!",0,1)&amp;"__"&amp;
_xlfn.XLOOKUP(H82,Códigos_Propuestas!$E$4:$E$76,Códigos_Propuestas!$F$4:$F$76,"!",1)&amp;"__"&amp;
_xlfn.XLOOKUP(M82,Códigos_Propuestas!$I$4:$I$7,Códigos_Propuestas!$J$4:$J$7,"!",1)&amp;"__"&amp;
_xlfn.XLOOKUP(N82,Códigos_Propuestas!$O$4:$O$11,Códigos_Propuestas!$Q$4:$Q$11,"!",1)&amp;"__"&amp;
_xlfn.XLOOKUP(F82,Códigos_Propuestas!$BF:$BF,Códigos_Propuestas!$BH:$BH,"!",0,1)</f>
        <v>CH__COD__OU__MIN__!</v>
      </c>
      <c r="C82" s="47">
        <v>80</v>
      </c>
      <c r="D82" s="174" t="s">
        <v>32</v>
      </c>
      <c r="E82" s="174" t="s">
        <v>32</v>
      </c>
      <c r="F82" s="194" t="s">
        <v>755</v>
      </c>
      <c r="G82" s="195"/>
      <c r="H82" s="174" t="s">
        <v>181</v>
      </c>
      <c r="I82" s="174" t="s">
        <v>668</v>
      </c>
      <c r="J82" s="174" t="s">
        <v>143</v>
      </c>
      <c r="K82" s="47" t="s">
        <v>98</v>
      </c>
      <c r="L82" s="181" t="s">
        <v>756</v>
      </c>
      <c r="M82" s="174" t="s">
        <v>116</v>
      </c>
      <c r="N82" s="186" t="s">
        <v>35</v>
      </c>
      <c r="O82" s="181" t="s">
        <v>40</v>
      </c>
      <c r="P82" s="181" t="s">
        <v>80</v>
      </c>
      <c r="Q82" s="181" t="s">
        <v>690</v>
      </c>
      <c r="R82" s="181"/>
      <c r="S82" s="195"/>
      <c r="T82" s="195"/>
      <c r="U82" s="195"/>
      <c r="V82" s="195"/>
      <c r="W82" s="195"/>
      <c r="X82" s="195"/>
      <c r="Y82" s="195"/>
      <c r="Z82" s="195"/>
      <c r="AA82" s="195"/>
      <c r="AB82" s="195"/>
      <c r="AC82" s="183" t="b">
        <v>1</v>
      </c>
      <c r="AD82" s="183" t="b">
        <v>0</v>
      </c>
      <c r="AE82" s="183" t="b">
        <v>0</v>
      </c>
      <c r="AF82" s="183" t="b">
        <v>0</v>
      </c>
      <c r="AG82" s="183" t="b">
        <v>0</v>
      </c>
      <c r="AH82" s="32"/>
      <c r="AI82" s="32"/>
      <c r="AJ82" s="32"/>
      <c r="AK82" s="221"/>
      <c r="AL82" s="97">
        <v>120000</v>
      </c>
      <c r="AM82" s="169">
        <f t="shared" si="3"/>
        <v>48000</v>
      </c>
      <c r="AN82" s="174">
        <v>6</v>
      </c>
      <c r="AO82" s="15"/>
      <c r="AP82" s="18">
        <v>46114</v>
      </c>
      <c r="AQ82" s="18">
        <v>46125</v>
      </c>
      <c r="AR82" s="235"/>
      <c r="AS82" s="18"/>
      <c r="AT82" s="18">
        <v>46146</v>
      </c>
    </row>
    <row r="83" spans="1:46" hidden="1" x14ac:dyDescent="0.2">
      <c r="A83" s="187">
        <f t="shared" si="4"/>
        <v>19</v>
      </c>
      <c r="B83" s="191" t="str">
        <f>_xlfn.XLOOKUP(D83,Códigos_Propuestas!$B$4:$B$10,Códigos_Propuestas!$C$4:$C$10,"!",0,1)&amp;"__"&amp;
_xlfn.XLOOKUP(H83,Códigos_Propuestas!$E$4:$E$76,Códigos_Propuestas!$F$4:$F$76,"!",1)&amp;"__"&amp;
_xlfn.XLOOKUP(M83,Códigos_Propuestas!$I$4:$I$7,Códigos_Propuestas!$J$4:$J$7,"!",1)&amp;"__"&amp;
_xlfn.XLOOKUP(N83,Códigos_Propuestas!$O$4:$O$11,Códigos_Propuestas!$Q$4:$Q$11,"!",1)&amp;"__"&amp;
_xlfn.XLOOKUP(F83,Códigos_Propuestas!$BF:$BF,Códigos_Propuestas!$BH:$BH,"!",0,1)</f>
        <v>CH__CCO__UG__PEA__!</v>
      </c>
      <c r="C83" s="47">
        <v>81</v>
      </c>
      <c r="D83" s="174" t="s">
        <v>32</v>
      </c>
      <c r="E83" s="174" t="s">
        <v>32</v>
      </c>
      <c r="F83" s="194" t="s">
        <v>565</v>
      </c>
      <c r="G83" s="174" t="s">
        <v>565</v>
      </c>
      <c r="H83" s="174" t="s">
        <v>250</v>
      </c>
      <c r="I83" s="174" t="s">
        <v>566</v>
      </c>
      <c r="J83" s="174" t="s">
        <v>143</v>
      </c>
      <c r="K83" s="47" t="s">
        <v>98</v>
      </c>
      <c r="L83" s="181"/>
      <c r="M83" s="174" t="s">
        <v>65</v>
      </c>
      <c r="N83" s="181" t="s">
        <v>39</v>
      </c>
      <c r="O83" s="181" t="str">
        <f>_xlfn.XLOOKUP(N83,Códigos_Propuestas!$O$4:$O$15,Códigos_Propuestas!$P$4:$P$15,"!",0,1)</f>
        <v>REDCO</v>
      </c>
      <c r="P83" s="181" t="s">
        <v>80</v>
      </c>
      <c r="Q83" s="181" t="s">
        <v>103</v>
      </c>
      <c r="R83" s="181"/>
      <c r="S83" s="174"/>
      <c r="T83" s="183" t="b">
        <v>0</v>
      </c>
      <c r="U83" s="174"/>
      <c r="V83" s="183" t="b">
        <v>0</v>
      </c>
      <c r="W83" s="174"/>
      <c r="X83" s="183" t="b">
        <v>0</v>
      </c>
      <c r="Y83" s="174"/>
      <c r="Z83" s="183" t="b">
        <v>0</v>
      </c>
      <c r="AA83" s="174"/>
      <c r="AB83" s="174"/>
      <c r="AC83" s="183" t="b">
        <v>1</v>
      </c>
      <c r="AD83" s="183" t="b">
        <v>1</v>
      </c>
      <c r="AE83" s="183" t="b">
        <v>1</v>
      </c>
      <c r="AF83" s="183" t="b">
        <v>1</v>
      </c>
      <c r="AG83" s="183" t="b">
        <v>0</v>
      </c>
      <c r="AH83" s="32"/>
      <c r="AI83" s="32"/>
      <c r="AJ83" s="32"/>
      <c r="AK83" s="28"/>
      <c r="AL83" s="97">
        <v>204000</v>
      </c>
      <c r="AM83" s="169">
        <f t="shared" si="3"/>
        <v>81600</v>
      </c>
      <c r="AN83" s="174">
        <v>3</v>
      </c>
      <c r="AO83" s="15"/>
      <c r="AP83" s="32"/>
      <c r="AQ83" s="18">
        <v>46050</v>
      </c>
      <c r="AR83" s="235"/>
      <c r="AS83" s="18"/>
      <c r="AT83" s="18">
        <v>46127</v>
      </c>
    </row>
    <row r="84" spans="1:46" x14ac:dyDescent="0.2">
      <c r="A84" s="187">
        <f t="shared" si="4"/>
        <v>19</v>
      </c>
      <c r="B84" s="191" t="str">
        <f>_xlfn.XLOOKUP(D84,Códigos_Propuestas!$B$4:$B$10,Códigos_Propuestas!$C$4:$C$10,"!",0,1)&amp;"__"&amp;
_xlfn.XLOOKUP(H84,Códigos_Propuestas!$E$4:$E$76,Códigos_Propuestas!$F$4:$F$76,"!",1)&amp;"__"&amp;
_xlfn.XLOOKUP(M84,Códigos_Propuestas!$I$4:$I$7,Códigos_Propuestas!$J$4:$J$7,"!",1)&amp;"__"&amp;
_xlfn.XLOOKUP(N84,Códigos_Propuestas!$O$4:$O$11,Códigos_Propuestas!$Q$4:$Q$11,"!",1)&amp;"__"&amp;
_xlfn.XLOOKUP(F84,Códigos_Propuestas!$BF:$BF,Códigos_Propuestas!$BH:$BH,"!",0,1)</f>
        <v>PE__FNE__UG__DAR__!</v>
      </c>
      <c r="C84" s="47">
        <v>82</v>
      </c>
      <c r="D84" s="174" t="s">
        <v>62</v>
      </c>
      <c r="E84" s="174" t="s">
        <v>62</v>
      </c>
      <c r="F84" s="194" t="s">
        <v>579</v>
      </c>
      <c r="G84" s="174" t="s">
        <v>579</v>
      </c>
      <c r="H84" s="174" t="s">
        <v>370</v>
      </c>
      <c r="I84" s="174" t="s">
        <v>580</v>
      </c>
      <c r="J84" s="174" t="s">
        <v>122</v>
      </c>
      <c r="K84" s="47" t="s">
        <v>72</v>
      </c>
      <c r="L84" s="181"/>
      <c r="M84" s="174" t="s">
        <v>65</v>
      </c>
      <c r="N84" s="181" t="s">
        <v>185</v>
      </c>
      <c r="O84" s="181" t="s">
        <v>40</v>
      </c>
      <c r="P84" s="181" t="s">
        <v>129</v>
      </c>
      <c r="Q84" s="184" t="s">
        <v>127</v>
      </c>
      <c r="R84" s="181"/>
      <c r="S84" s="174"/>
      <c r="T84" s="183" t="b">
        <v>0</v>
      </c>
      <c r="U84" s="174"/>
      <c r="V84" s="183" t="b">
        <v>0</v>
      </c>
      <c r="W84" s="174"/>
      <c r="X84" s="183" t="b">
        <v>0</v>
      </c>
      <c r="Y84" s="174"/>
      <c r="Z84" s="183" t="b">
        <v>0</v>
      </c>
      <c r="AA84" s="174"/>
      <c r="AB84" s="174"/>
      <c r="AC84" s="183" t="b">
        <v>0</v>
      </c>
      <c r="AD84" s="183" t="b">
        <v>0</v>
      </c>
      <c r="AE84" s="183" t="b">
        <v>1</v>
      </c>
      <c r="AF84" s="183" t="b">
        <v>0</v>
      </c>
      <c r="AG84" s="183" t="b">
        <v>0</v>
      </c>
      <c r="AH84" s="32"/>
      <c r="AI84" s="32" t="s">
        <v>45</v>
      </c>
      <c r="AJ84" s="32" t="s">
        <v>50</v>
      </c>
      <c r="AK84" s="28"/>
      <c r="AL84" s="97">
        <v>156580</v>
      </c>
      <c r="AM84" s="169">
        <f t="shared" si="3"/>
        <v>62632</v>
      </c>
      <c r="AN84" s="174">
        <v>3</v>
      </c>
      <c r="AO84" s="15"/>
      <c r="AP84" s="32"/>
      <c r="AQ84" s="18">
        <v>46062</v>
      </c>
      <c r="AR84" s="235"/>
      <c r="AS84" s="18"/>
      <c r="AT84" s="18">
        <v>46095</v>
      </c>
    </row>
    <row r="85" spans="1:46" ht="14.5" hidden="1" customHeight="1" x14ac:dyDescent="0.2">
      <c r="A85" s="187">
        <f t="shared" si="4"/>
        <v>18</v>
      </c>
      <c r="B85" s="191" t="str">
        <f>_xlfn.XLOOKUP(D85,Códigos_Propuestas!$B$4:$B$10,Códigos_Propuestas!$C$4:$C$10,"!",0,1)&amp;"__"&amp;
_xlfn.XLOOKUP(H85,Códigos_Propuestas!$E$4:$E$76,Códigos_Propuestas!$F$4:$F$76,"!",1)&amp;"__"&amp;
_xlfn.XLOOKUP(M85,Códigos_Propuestas!$I$4:$I$7,Códigos_Propuestas!$J$4:$J$7,"!",1)&amp;"__"&amp;
_xlfn.XLOOKUP(N85,Códigos_Propuestas!$O$4:$O$11,Códigos_Propuestas!$Q$4:$Q$11,"!",1)&amp;"__"&amp;
_xlfn.XLOOKUP(F85,Códigos_Propuestas!$BF:$BF,Códigos_Propuestas!$BH:$BH,"!",0,1)</f>
        <v>PE__BSA__!__DAR__!</v>
      </c>
      <c r="C85" s="47">
        <v>83</v>
      </c>
      <c r="D85" s="174" t="s">
        <v>62</v>
      </c>
      <c r="E85" s="174" t="s">
        <v>62</v>
      </c>
      <c r="F85" s="194" t="s">
        <v>753</v>
      </c>
      <c r="G85" s="174"/>
      <c r="H85" s="174" t="s">
        <v>253</v>
      </c>
      <c r="I85" s="174"/>
      <c r="J85" s="174" t="s">
        <v>143</v>
      </c>
      <c r="K85" s="47" t="s">
        <v>72</v>
      </c>
      <c r="L85" s="181" t="s">
        <v>754</v>
      </c>
      <c r="M85" s="174"/>
      <c r="N85" s="186" t="s">
        <v>95</v>
      </c>
      <c r="O85" s="181" t="s">
        <v>40</v>
      </c>
      <c r="P85" s="181" t="s">
        <v>749</v>
      </c>
      <c r="Q85" s="181" t="s">
        <v>690</v>
      </c>
      <c r="R85" s="181" t="s">
        <v>79</v>
      </c>
      <c r="S85" s="19"/>
      <c r="T85" s="19"/>
      <c r="U85" s="222"/>
      <c r="V85" s="226"/>
      <c r="W85" s="228"/>
      <c r="X85" s="228"/>
      <c r="Y85" s="33"/>
      <c r="Z85" s="221"/>
      <c r="AA85" s="221"/>
      <c r="AB85" s="221"/>
      <c r="AC85" s="183" t="b">
        <v>0</v>
      </c>
      <c r="AD85" s="183" t="b">
        <v>1</v>
      </c>
      <c r="AE85" s="183" t="b">
        <v>0</v>
      </c>
      <c r="AF85" s="183" t="b">
        <v>0</v>
      </c>
      <c r="AG85" s="183" t="b">
        <v>0</v>
      </c>
      <c r="AH85" s="32"/>
      <c r="AI85" s="32"/>
      <c r="AJ85" s="32"/>
      <c r="AK85" s="221"/>
      <c r="AL85" s="97">
        <v>99323</v>
      </c>
      <c r="AM85" s="169">
        <f t="shared" si="3"/>
        <v>19864.600000000002</v>
      </c>
      <c r="AN85" s="174">
        <v>2</v>
      </c>
      <c r="AO85" s="15"/>
      <c r="AP85" s="18">
        <v>46113</v>
      </c>
      <c r="AQ85" s="18">
        <v>46129</v>
      </c>
      <c r="AR85" s="235"/>
      <c r="AS85" s="18"/>
      <c r="AT85" s="18">
        <v>46140</v>
      </c>
    </row>
    <row r="86" spans="1:46" hidden="1" x14ac:dyDescent="0.2">
      <c r="A86" s="187">
        <f t="shared" si="4"/>
        <v>19</v>
      </c>
      <c r="B86" s="191" t="str">
        <f>_xlfn.XLOOKUP(D86,Códigos_Propuestas!$B$4:$B$10,Códigos_Propuestas!$C$4:$C$10,"!",0,1)&amp;"__"&amp;
_xlfn.XLOOKUP(H86,Códigos_Propuestas!$E$4:$E$76,Códigos_Propuestas!$F$4:$F$76,"!",1)&amp;"__"&amp;
_xlfn.XLOOKUP(M86,Códigos_Propuestas!$I$4:$I$7,Códigos_Propuestas!$J$4:$J$7,"!",1)&amp;"__"&amp;
_xlfn.XLOOKUP(N86,Códigos_Propuestas!$O$4:$O$11,Códigos_Propuestas!$Q$4:$Q$11,"!",1)&amp;"__"&amp;
_xlfn.XLOOKUP(F86,Códigos_Propuestas!$BF:$BF,Códigos_Propuestas!$BH:$BH,"!",0,1)</f>
        <v>RU__ATL__OU__PEA__!</v>
      </c>
      <c r="C86" s="47">
        <v>84</v>
      </c>
      <c r="D86" s="174" t="s">
        <v>112</v>
      </c>
      <c r="E86" s="174" t="s">
        <v>112</v>
      </c>
      <c r="F86" s="194" t="s">
        <v>673</v>
      </c>
      <c r="G86" s="174"/>
      <c r="H86" s="174" t="s">
        <v>293</v>
      </c>
      <c r="I86" s="174"/>
      <c r="J86" s="174" t="s">
        <v>143</v>
      </c>
      <c r="K86" s="47" t="s">
        <v>72</v>
      </c>
      <c r="L86" s="181"/>
      <c r="M86" s="174" t="s">
        <v>116</v>
      </c>
      <c r="N86" s="186" t="s">
        <v>39</v>
      </c>
      <c r="O86" s="181" t="s">
        <v>40</v>
      </c>
      <c r="P86" s="181" t="s">
        <v>749</v>
      </c>
      <c r="Q86" s="181" t="s">
        <v>103</v>
      </c>
      <c r="R86" s="181" t="s">
        <v>79</v>
      </c>
      <c r="S86" s="174"/>
      <c r="T86" s="183" t="b">
        <v>0</v>
      </c>
      <c r="U86" s="174"/>
      <c r="V86" s="183" t="b">
        <v>0</v>
      </c>
      <c r="W86" s="174"/>
      <c r="X86" s="183" t="b">
        <v>0</v>
      </c>
      <c r="Y86" s="174"/>
      <c r="Z86" s="183" t="b">
        <v>0</v>
      </c>
      <c r="AA86" s="174"/>
      <c r="AB86" s="174"/>
      <c r="AC86" s="183" t="b">
        <v>1</v>
      </c>
      <c r="AD86" s="183" t="b">
        <v>1</v>
      </c>
      <c r="AE86" s="183" t="b">
        <v>0</v>
      </c>
      <c r="AF86" s="183" t="b">
        <v>0</v>
      </c>
      <c r="AG86" s="183" t="b">
        <v>0</v>
      </c>
      <c r="AH86" s="32"/>
      <c r="AI86" s="32"/>
      <c r="AJ86" s="32"/>
      <c r="AK86" s="28"/>
      <c r="AL86" s="97">
        <v>275980</v>
      </c>
      <c r="AM86" s="169">
        <f t="shared" si="3"/>
        <v>110392</v>
      </c>
      <c r="AN86" s="174">
        <v>6</v>
      </c>
      <c r="AO86" s="15"/>
      <c r="AP86" s="18">
        <v>46085</v>
      </c>
      <c r="AQ86" s="18">
        <v>46092</v>
      </c>
      <c r="AR86" s="235"/>
      <c r="AS86" s="18"/>
      <c r="AT86" s="18">
        <v>46125</v>
      </c>
    </row>
    <row r="87" spans="1:46" hidden="1" x14ac:dyDescent="0.2">
      <c r="A87" s="187">
        <f t="shared" si="4"/>
        <v>19</v>
      </c>
      <c r="B87" s="191" t="str">
        <f>_xlfn.XLOOKUP(D87,Códigos_Propuestas!$B$4:$B$10,Códigos_Propuestas!$C$4:$C$10,"!",0,1)&amp;"__"&amp;
_xlfn.XLOOKUP(H87,Códigos_Propuestas!$E$4:$E$76,Códigos_Propuestas!$F$4:$F$76,"!",1)&amp;"__"&amp;
_xlfn.XLOOKUP(M87,Códigos_Propuestas!$I$4:$I$7,Códigos_Propuestas!$J$4:$J$7,"!",1)&amp;"__"&amp;
_xlfn.XLOOKUP(N87,Códigos_Propuestas!$O$4:$O$11,Códigos_Propuestas!$Q$4:$Q$11,"!",1)&amp;"__"&amp;
_xlfn.XLOOKUP(F87,Códigos_Propuestas!$BF:$BF,Códigos_Propuestas!$BH:$BH,"!",0,1)</f>
        <v>RU__ATL__OP__MIN__!</v>
      </c>
      <c r="C87" s="47">
        <v>85</v>
      </c>
      <c r="D87" s="174" t="s">
        <v>112</v>
      </c>
      <c r="E87" s="174" t="s">
        <v>112</v>
      </c>
      <c r="F87" s="194" t="s">
        <v>702</v>
      </c>
      <c r="G87" s="174"/>
      <c r="H87" s="174" t="s">
        <v>293</v>
      </c>
      <c r="I87" s="174"/>
      <c r="J87" s="174" t="s">
        <v>143</v>
      </c>
      <c r="K87" s="47" t="s">
        <v>44</v>
      </c>
      <c r="L87" s="181"/>
      <c r="M87" s="174" t="s">
        <v>92</v>
      </c>
      <c r="N87" s="186" t="s">
        <v>35</v>
      </c>
      <c r="O87" s="181" t="s">
        <v>40</v>
      </c>
      <c r="P87" s="181" t="s">
        <v>749</v>
      </c>
      <c r="Q87" s="181" t="s">
        <v>689</v>
      </c>
      <c r="R87" s="181" t="s">
        <v>35</v>
      </c>
      <c r="S87" s="174"/>
      <c r="T87" s="183" t="b">
        <v>0</v>
      </c>
      <c r="U87" s="174"/>
      <c r="V87" s="183" t="b">
        <v>0</v>
      </c>
      <c r="W87" s="174"/>
      <c r="X87" s="183" t="b">
        <v>0</v>
      </c>
      <c r="Y87" s="174"/>
      <c r="Z87" s="183" t="b">
        <v>0</v>
      </c>
      <c r="AA87" s="174"/>
      <c r="AB87" s="174"/>
      <c r="AC87" s="183" t="b">
        <v>1</v>
      </c>
      <c r="AD87" s="183" t="b">
        <v>0</v>
      </c>
      <c r="AE87" s="183" t="b">
        <v>0</v>
      </c>
      <c r="AF87" s="183" t="b">
        <v>0</v>
      </c>
      <c r="AG87" s="183" t="b">
        <v>0</v>
      </c>
      <c r="AH87" s="32"/>
      <c r="AI87" s="32"/>
      <c r="AJ87" s="32"/>
      <c r="AK87" s="28"/>
      <c r="AL87" s="97">
        <v>144000</v>
      </c>
      <c r="AM87" s="169">
        <f t="shared" si="3"/>
        <v>57600</v>
      </c>
      <c r="AN87" s="174">
        <v>4</v>
      </c>
      <c r="AO87" s="15"/>
      <c r="AP87" s="18">
        <v>46097</v>
      </c>
      <c r="AQ87" s="18">
        <v>46101</v>
      </c>
      <c r="AR87" s="235"/>
      <c r="AS87" s="18"/>
      <c r="AT87" s="18">
        <v>46178</v>
      </c>
    </row>
    <row r="88" spans="1:46" hidden="1" x14ac:dyDescent="0.2">
      <c r="A88" s="187">
        <f t="shared" si="4"/>
        <v>18</v>
      </c>
      <c r="B88" s="191" t="str">
        <f>_xlfn.XLOOKUP(D88,Códigos_Propuestas!$B$4:$B$10,Códigos_Propuestas!$C$4:$C$10,"!",0,1)&amp;"__"&amp;
_xlfn.XLOOKUP(H88,Códigos_Propuestas!$E$4:$E$76,Códigos_Propuestas!$F$4:$F$76,"!",1)&amp;"__"&amp;
_xlfn.XLOOKUP(M88,Códigos_Propuestas!$I$4:$I$7,Códigos_Propuestas!$J$4:$J$7,"!",1)&amp;"__"&amp;
_xlfn.XLOOKUP(N88,Códigos_Propuestas!$O$4:$O$11,Códigos_Propuestas!$Q$4:$Q$11,"!",1)&amp;"__"&amp;
_xlfn.XLOOKUP(F88,Códigos_Propuestas!$BF:$BF,Códigos_Propuestas!$BH:$BH,"!",0,1)</f>
        <v>CH__ATL__!__MIN__!</v>
      </c>
      <c r="C88" s="47">
        <v>86</v>
      </c>
      <c r="D88" s="174" t="s">
        <v>32</v>
      </c>
      <c r="E88" s="174" t="s">
        <v>32</v>
      </c>
      <c r="F88" s="194" t="s">
        <v>694</v>
      </c>
      <c r="G88" s="174" t="s">
        <v>583</v>
      </c>
      <c r="H88" s="174" t="s">
        <v>372</v>
      </c>
      <c r="I88" s="174" t="s">
        <v>584</v>
      </c>
      <c r="J88" s="174" t="s">
        <v>143</v>
      </c>
      <c r="K88" s="47"/>
      <c r="L88" s="181"/>
      <c r="M88" s="174"/>
      <c r="N88" s="181" t="s">
        <v>120</v>
      </c>
      <c r="O88" s="181"/>
      <c r="P88" s="181" t="s">
        <v>80</v>
      </c>
      <c r="Q88" s="181" t="s">
        <v>103</v>
      </c>
      <c r="R88" s="181"/>
      <c r="S88" s="174"/>
      <c r="T88" s="183" t="b">
        <v>0</v>
      </c>
      <c r="U88" s="174"/>
      <c r="V88" s="183" t="b">
        <v>0</v>
      </c>
      <c r="W88" s="174"/>
      <c r="X88" s="183" t="b">
        <v>0</v>
      </c>
      <c r="Y88" s="174"/>
      <c r="Z88" s="183" t="b">
        <v>0</v>
      </c>
      <c r="AA88" s="174"/>
      <c r="AB88" s="174"/>
      <c r="AC88" s="183" t="b">
        <v>1</v>
      </c>
      <c r="AD88" s="183" t="b">
        <v>0</v>
      </c>
      <c r="AE88" s="183" t="b">
        <v>1</v>
      </c>
      <c r="AF88" s="183" t="b">
        <v>0</v>
      </c>
      <c r="AG88" s="183" t="b">
        <v>1</v>
      </c>
      <c r="AH88" s="32"/>
      <c r="AI88" s="32"/>
      <c r="AJ88" s="32"/>
      <c r="AK88" s="28"/>
      <c r="AL88" s="97">
        <v>625205</v>
      </c>
      <c r="AM88" s="169">
        <f t="shared" si="3"/>
        <v>250082</v>
      </c>
      <c r="AN88" s="174"/>
      <c r="AO88" s="15"/>
      <c r="AP88" s="32"/>
      <c r="AQ88" s="18">
        <v>46072</v>
      </c>
      <c r="AR88" s="235"/>
      <c r="AS88" s="18"/>
      <c r="AT88" s="18">
        <v>46174</v>
      </c>
    </row>
    <row r="89" spans="1:46" hidden="1" x14ac:dyDescent="0.2">
      <c r="A89" s="187">
        <f t="shared" si="4"/>
        <v>21</v>
      </c>
      <c r="B89" s="191" t="str">
        <f>_xlfn.XLOOKUP(D89,Códigos_Propuestas!$B$4:$B$10,Códigos_Propuestas!$C$4:$C$10,"!",0,1)&amp;"__"&amp;
_xlfn.XLOOKUP(H89,Códigos_Propuestas!$E$4:$E$76,Códigos_Propuestas!$F$4:$F$76,"!",1)&amp;"__"&amp;
_xlfn.XLOOKUP(M89,Códigos_Propuestas!$I$4:$I$7,Códigos_Propuestas!$J$4:$J$7,"!",1)&amp;"__"&amp;
_xlfn.XLOOKUP(N89,Códigos_Propuestas!$O$4:$O$11,Códigos_Propuestas!$Q$4:$Q$11,"!",1)&amp;"__"&amp;
_xlfn.XLOOKUP(F89,Códigos_Propuestas!$BF:$BF,Códigos_Propuestas!$BH:$BH,"!",0,1)</f>
        <v>PE__ANT__OP__MOP__013</v>
      </c>
      <c r="C89" s="47">
        <v>87</v>
      </c>
      <c r="D89" s="174" t="s">
        <v>62</v>
      </c>
      <c r="E89" s="174" t="s">
        <v>62</v>
      </c>
      <c r="F89" s="194" t="s">
        <v>198</v>
      </c>
      <c r="G89" s="174" t="s">
        <v>198</v>
      </c>
      <c r="H89" s="174" t="s">
        <v>236</v>
      </c>
      <c r="I89" s="174" t="s">
        <v>236</v>
      </c>
      <c r="J89" s="174" t="s">
        <v>143</v>
      </c>
      <c r="K89" s="47" t="s">
        <v>44</v>
      </c>
      <c r="L89" s="181"/>
      <c r="M89" s="174" t="s">
        <v>92</v>
      </c>
      <c r="N89" s="181" t="s">
        <v>141</v>
      </c>
      <c r="O89" s="181" t="s">
        <v>40</v>
      </c>
      <c r="P89" s="181" t="s">
        <v>749</v>
      </c>
      <c r="Q89" s="184" t="s">
        <v>127</v>
      </c>
      <c r="R89" s="181" t="s">
        <v>104</v>
      </c>
      <c r="S89" s="174"/>
      <c r="T89" s="183" t="b">
        <v>0</v>
      </c>
      <c r="U89" s="174"/>
      <c r="V89" s="183" t="b">
        <v>0</v>
      </c>
      <c r="W89" s="174"/>
      <c r="X89" s="183" t="b">
        <v>0</v>
      </c>
      <c r="Y89" s="174"/>
      <c r="Z89" s="183" t="b">
        <v>0</v>
      </c>
      <c r="AA89" s="174"/>
      <c r="AB89" s="174"/>
      <c r="AC89" s="183" t="b">
        <v>1</v>
      </c>
      <c r="AD89" s="183" t="b">
        <v>0</v>
      </c>
      <c r="AE89" s="183" t="b">
        <v>0</v>
      </c>
      <c r="AF89" s="183" t="b">
        <v>1</v>
      </c>
      <c r="AG89" s="183" t="b">
        <v>0</v>
      </c>
      <c r="AH89" s="32"/>
      <c r="AI89" s="32"/>
      <c r="AJ89" s="32"/>
      <c r="AK89" s="28"/>
      <c r="AL89" s="97">
        <v>235000</v>
      </c>
      <c r="AM89" s="169">
        <f t="shared" si="3"/>
        <v>94000</v>
      </c>
      <c r="AN89" s="174">
        <v>3</v>
      </c>
      <c r="AO89" s="15"/>
      <c r="AP89" s="18"/>
      <c r="AQ89" s="18">
        <v>46000</v>
      </c>
      <c r="AR89" s="235"/>
      <c r="AS89" s="18"/>
      <c r="AT89" s="18">
        <v>46091</v>
      </c>
    </row>
    <row r="90" spans="1:46" hidden="1" x14ac:dyDescent="0.2">
      <c r="A90" s="187">
        <f t="shared" si="4"/>
        <v>19</v>
      </c>
      <c r="B90" s="191" t="str">
        <f>_xlfn.XLOOKUP(D90,Códigos_Propuestas!$B$4:$B$10,Códigos_Propuestas!$C$4:$C$10,"!",0,1)&amp;"__"&amp;
_xlfn.XLOOKUP(H90,Códigos_Propuestas!$E$4:$E$76,Códigos_Propuestas!$F$4:$F$76,"!",1)&amp;"__"&amp;
_xlfn.XLOOKUP(M90,Códigos_Propuestas!$I$4:$I$7,Códigos_Propuestas!$J$4:$J$7,"!",1)&amp;"__"&amp;
_xlfn.XLOOKUP(N90,Códigos_Propuestas!$O$4:$O$11,Códigos_Propuestas!$Q$4:$Q$11,"!",1)&amp;"__"&amp;
_xlfn.XLOOKUP(F90,Códigos_Propuestas!$BF:$BF,Códigos_Propuestas!$BH:$BH,"!",0,1)</f>
        <v>CH__AMS__OP__PEA__!</v>
      </c>
      <c r="C90" s="47">
        <v>88</v>
      </c>
      <c r="D90" s="174" t="s">
        <v>32</v>
      </c>
      <c r="E90" s="174" t="s">
        <v>32</v>
      </c>
      <c r="F90" s="26" t="s">
        <v>696</v>
      </c>
      <c r="G90" s="174"/>
      <c r="H90" s="174" t="s">
        <v>162</v>
      </c>
      <c r="I90" s="174" t="s">
        <v>693</v>
      </c>
      <c r="J90" s="174" t="s">
        <v>143</v>
      </c>
      <c r="K90" s="47" t="s">
        <v>44</v>
      </c>
      <c r="L90" s="181"/>
      <c r="M90" s="174" t="s">
        <v>92</v>
      </c>
      <c r="N90" s="186" t="s">
        <v>39</v>
      </c>
      <c r="O90" s="181" t="s">
        <v>40</v>
      </c>
      <c r="P90" s="181" t="s">
        <v>749</v>
      </c>
      <c r="Q90" s="181" t="s">
        <v>689</v>
      </c>
      <c r="R90" s="181"/>
      <c r="S90" s="174"/>
      <c r="T90" s="183" t="b">
        <v>0</v>
      </c>
      <c r="U90" s="174"/>
      <c r="V90" s="183" t="b">
        <v>0</v>
      </c>
      <c r="W90" s="174"/>
      <c r="X90" s="183" t="b">
        <v>0</v>
      </c>
      <c r="Y90" s="174"/>
      <c r="Z90" s="183" t="b">
        <v>0</v>
      </c>
      <c r="AA90" s="174" t="s">
        <v>60</v>
      </c>
      <c r="AB90" s="174"/>
      <c r="AC90" s="183" t="b">
        <v>0</v>
      </c>
      <c r="AD90" s="183" t="b">
        <v>1</v>
      </c>
      <c r="AE90" s="183" t="b">
        <v>0</v>
      </c>
      <c r="AF90" s="183" t="b">
        <v>0</v>
      </c>
      <c r="AG90" s="183" t="b">
        <v>0</v>
      </c>
      <c r="AH90" s="32"/>
      <c r="AI90" s="32" t="s">
        <v>123</v>
      </c>
      <c r="AJ90" s="32"/>
      <c r="AK90" s="28"/>
      <c r="AL90" s="97">
        <v>64866</v>
      </c>
      <c r="AM90" s="169">
        <v>8800</v>
      </c>
      <c r="AN90" s="174">
        <v>3</v>
      </c>
      <c r="AO90" s="15"/>
      <c r="AP90" s="18">
        <v>46098</v>
      </c>
      <c r="AQ90" s="18">
        <v>46098</v>
      </c>
      <c r="AR90" s="235"/>
      <c r="AS90" s="18"/>
      <c r="AT90" s="18">
        <v>46127</v>
      </c>
    </row>
    <row r="91" spans="1:46" x14ac:dyDescent="0.2">
      <c r="A91" s="187">
        <f t="shared" si="4"/>
        <v>19</v>
      </c>
      <c r="B91" s="191" t="str">
        <f>_xlfn.XLOOKUP(D91,Códigos_Propuestas!$B$4:$B$10,Códigos_Propuestas!$C$4:$C$10,"!",0,1)&amp;"__"&amp;
_xlfn.XLOOKUP(H91,Códigos_Propuestas!$E$4:$E$76,Códigos_Propuestas!$F$4:$F$76,"!",1)&amp;"__"&amp;
_xlfn.XLOOKUP(M91,Códigos_Propuestas!$I$4:$I$7,Códigos_Propuestas!$J$4:$J$7,"!",1)&amp;"__"&amp;
_xlfn.XLOOKUP(N92,Códigos_Propuestas!$O$4:$O$11,Códigos_Propuestas!$Q$4:$Q$11,"!",1)&amp;"__"&amp;
_xlfn.XLOOKUP(F91,Códigos_Propuestas!$BF:$BF,Códigos_Propuestas!$BH:$BH,"!",0,1)</f>
        <v>PE__ECR__UG__MIN__!</v>
      </c>
      <c r="C91" s="47">
        <v>89</v>
      </c>
      <c r="D91" s="174" t="s">
        <v>62</v>
      </c>
      <c r="E91" s="174" t="s">
        <v>624</v>
      </c>
      <c r="F91" s="196" t="s">
        <v>637</v>
      </c>
      <c r="G91" s="174"/>
      <c r="H91" s="174" t="s">
        <v>321</v>
      </c>
      <c r="I91" s="174" t="s">
        <v>558</v>
      </c>
      <c r="J91" s="174" t="s">
        <v>122</v>
      </c>
      <c r="K91" s="47" t="s">
        <v>72</v>
      </c>
      <c r="L91" s="181"/>
      <c r="M91" s="174" t="s">
        <v>65</v>
      </c>
      <c r="N91" s="186" t="s">
        <v>35</v>
      </c>
      <c r="O91" s="181" t="s">
        <v>40</v>
      </c>
      <c r="P91" s="181" t="s">
        <v>129</v>
      </c>
      <c r="Q91" s="181" t="s">
        <v>689</v>
      </c>
      <c r="R91" s="181"/>
      <c r="S91" s="174"/>
      <c r="T91" s="183" t="b">
        <v>0</v>
      </c>
      <c r="U91" s="174"/>
      <c r="V91" s="227" t="b">
        <v>0</v>
      </c>
      <c r="W91" s="229"/>
      <c r="X91" s="230" t="b">
        <v>0</v>
      </c>
      <c r="Y91" s="242"/>
      <c r="Z91" s="183" t="b">
        <v>0</v>
      </c>
      <c r="AA91" s="174"/>
      <c r="AB91" s="174"/>
      <c r="AC91" s="183" t="b">
        <v>1</v>
      </c>
      <c r="AD91" s="183" t="b">
        <v>0</v>
      </c>
      <c r="AE91" s="183" t="b">
        <v>0</v>
      </c>
      <c r="AF91" s="183" t="b">
        <v>0</v>
      </c>
      <c r="AG91" s="183" t="b">
        <v>0</v>
      </c>
      <c r="AH91" s="32"/>
      <c r="AI91" s="32" t="s">
        <v>99</v>
      </c>
      <c r="AJ91" s="32" t="s">
        <v>50</v>
      </c>
      <c r="AK91" s="28"/>
      <c r="AL91" s="97">
        <v>11497</v>
      </c>
      <c r="AM91" s="169">
        <f t="shared" ref="AM91:AM122" si="5">IF(AL91&lt;100000,AL91*0.2,AL91*0.4)</f>
        <v>2299.4</v>
      </c>
      <c r="AN91" s="174">
        <v>1</v>
      </c>
      <c r="AO91" s="15"/>
      <c r="AP91" s="18">
        <v>46108</v>
      </c>
      <c r="AQ91" s="18">
        <v>46085</v>
      </c>
      <c r="AR91" s="235"/>
      <c r="AS91" s="18"/>
      <c r="AT91" s="18">
        <v>46095</v>
      </c>
    </row>
    <row r="92" spans="1:46" hidden="1" x14ac:dyDescent="0.2">
      <c r="A92" s="187">
        <f t="shared" si="4"/>
        <v>16</v>
      </c>
      <c r="B92" s="191" t="str">
        <f>_xlfn.XLOOKUP(D92,Códigos_Propuestas!$B$4:$B$10,Códigos_Propuestas!$C$4:$C$10,"!",0,1)&amp;"__"&amp;
_xlfn.XLOOKUP(H92,Códigos_Propuestas!$E$4:$E$76,Códigos_Propuestas!$F$4:$F$76,"!",1)&amp;"__"&amp;
_xlfn.XLOOKUP(M92,Códigos_Propuestas!$I$4:$I$7,Códigos_Propuestas!$J$4:$J$7,"!",1)&amp;"__"&amp;
_xlfn.XLOOKUP(N92,Códigos_Propuestas!$O$4:$O$11,Códigos_Propuestas!$Q$4:$Q$11,"!",1)&amp;"__"&amp;
_xlfn.XLOOKUP(F92,Códigos_Propuestas!$BF:$BF,Códigos_Propuestas!$BH:$BH,"!",0,1)</f>
        <v>RU__!__!__MIN__!</v>
      </c>
      <c r="C92" s="47">
        <v>90</v>
      </c>
      <c r="D92" s="174" t="s">
        <v>112</v>
      </c>
      <c r="E92" s="174" t="s">
        <v>112</v>
      </c>
      <c r="F92" s="234" t="s">
        <v>671</v>
      </c>
      <c r="G92" s="242"/>
      <c r="H92" s="174"/>
      <c r="I92" s="174" t="s">
        <v>672</v>
      </c>
      <c r="J92" s="175"/>
      <c r="K92" s="47" t="s">
        <v>72</v>
      </c>
      <c r="L92" s="181"/>
      <c r="M92" s="174"/>
      <c r="N92" s="186" t="s">
        <v>35</v>
      </c>
      <c r="O92" s="181" t="s">
        <v>40</v>
      </c>
      <c r="P92" s="181" t="s">
        <v>749</v>
      </c>
      <c r="Q92" s="181" t="s">
        <v>127</v>
      </c>
      <c r="R92" s="181"/>
      <c r="S92" s="242"/>
      <c r="T92" s="243" t="b">
        <v>0</v>
      </c>
      <c r="U92" s="242"/>
      <c r="V92" s="243" t="b">
        <v>0</v>
      </c>
      <c r="W92" s="242"/>
      <c r="X92" s="243" t="b">
        <v>0</v>
      </c>
      <c r="Y92" s="242"/>
      <c r="Z92" s="243" t="b">
        <v>0</v>
      </c>
      <c r="AA92" s="242" t="s">
        <v>86</v>
      </c>
      <c r="AB92" s="174"/>
      <c r="AC92" s="183" t="b">
        <v>1</v>
      </c>
      <c r="AD92" s="183" t="b">
        <v>0</v>
      </c>
      <c r="AE92" s="183" t="b">
        <v>1</v>
      </c>
      <c r="AF92" s="183" t="b">
        <v>0</v>
      </c>
      <c r="AG92" s="183" t="b">
        <v>0</v>
      </c>
      <c r="AH92" s="32"/>
      <c r="AI92" s="32"/>
      <c r="AJ92" s="32"/>
      <c r="AK92" s="28"/>
      <c r="AL92" s="97">
        <v>40000</v>
      </c>
      <c r="AM92" s="169">
        <f t="shared" si="5"/>
        <v>8000</v>
      </c>
      <c r="AN92" s="174"/>
      <c r="AO92" s="15"/>
      <c r="AP92" s="18">
        <v>46085</v>
      </c>
      <c r="AQ92" s="18">
        <v>46091</v>
      </c>
      <c r="AR92" s="235"/>
      <c r="AS92" s="18"/>
      <c r="AT92" s="18"/>
    </row>
    <row r="93" spans="1:46" hidden="1" x14ac:dyDescent="0.2">
      <c r="A93" s="187">
        <f t="shared" si="4"/>
        <v>19</v>
      </c>
      <c r="B93" s="191" t="str">
        <f>_xlfn.XLOOKUP(D93,Códigos_Propuestas!$B$4:$B$10,Códigos_Propuestas!$C$4:$C$10,"!",0,1)&amp;"__"&amp;
_xlfn.XLOOKUP(H93,Códigos_Propuestas!$E$4:$E$76,Códigos_Propuestas!$F$4:$F$76,"!",1)&amp;"__"&amp;
_xlfn.XLOOKUP(M93,Códigos_Propuestas!$I$4:$I$7,Códigos_Propuestas!$J$4:$J$7,"!",1)&amp;"__"&amp;
_xlfn.XLOOKUP(N93,Códigos_Propuestas!$O$4:$O$11,Códigos_Propuestas!$Q$4:$Q$11,"!",1)&amp;"__"&amp;
_xlfn.XLOOKUP(F93,Códigos_Propuestas!$BF:$BF,Códigos_Propuestas!$BH:$BH,"!",0,1)</f>
        <v>CH__AMS__OP__DAR__!</v>
      </c>
      <c r="C93" s="47">
        <v>91</v>
      </c>
      <c r="D93" s="174" t="s">
        <v>32</v>
      </c>
      <c r="E93" s="174" t="s">
        <v>32</v>
      </c>
      <c r="F93" s="194" t="s">
        <v>760</v>
      </c>
      <c r="G93" s="174"/>
      <c r="H93" s="174" t="s">
        <v>162</v>
      </c>
      <c r="I93" s="174" t="s">
        <v>758</v>
      </c>
      <c r="J93" s="174" t="s">
        <v>97</v>
      </c>
      <c r="K93" s="47" t="s">
        <v>72</v>
      </c>
      <c r="L93" s="186" t="s">
        <v>761</v>
      </c>
      <c r="M93" s="174" t="s">
        <v>92</v>
      </c>
      <c r="N93" s="186" t="s">
        <v>95</v>
      </c>
      <c r="O93" s="181" t="s">
        <v>40</v>
      </c>
      <c r="P93" s="181" t="s">
        <v>80</v>
      </c>
      <c r="Q93" s="181" t="s">
        <v>690</v>
      </c>
      <c r="R93" s="181"/>
      <c r="S93" s="174"/>
      <c r="T93" s="183" t="b">
        <v>0</v>
      </c>
      <c r="U93" s="174"/>
      <c r="V93" s="183" t="b">
        <v>0</v>
      </c>
      <c r="W93" s="174"/>
      <c r="X93" s="183" t="b">
        <v>0</v>
      </c>
      <c r="Y93" s="174"/>
      <c r="Z93" s="183" t="b">
        <v>0</v>
      </c>
      <c r="AA93" s="174"/>
      <c r="AB93" s="174"/>
      <c r="AC93" s="183" t="b">
        <v>0</v>
      </c>
      <c r="AD93" s="183" t="b">
        <v>1</v>
      </c>
      <c r="AE93" s="183" t="b">
        <v>0</v>
      </c>
      <c r="AF93" s="183" t="b">
        <v>0</v>
      </c>
      <c r="AG93" s="183" t="b">
        <v>0</v>
      </c>
      <c r="AH93" s="32"/>
      <c r="AI93" s="32"/>
      <c r="AJ93" s="32"/>
      <c r="AK93" s="28"/>
      <c r="AL93" s="97">
        <v>17520</v>
      </c>
      <c r="AM93" s="169">
        <f t="shared" si="5"/>
        <v>3504</v>
      </c>
      <c r="AN93" s="174">
        <v>3</v>
      </c>
      <c r="AO93" s="15"/>
      <c r="AP93" s="18">
        <v>46114</v>
      </c>
      <c r="AQ93" s="18">
        <v>46119</v>
      </c>
      <c r="AR93" s="235"/>
      <c r="AS93" s="18"/>
      <c r="AT93" s="18"/>
    </row>
    <row r="94" spans="1:46" hidden="1" x14ac:dyDescent="0.2">
      <c r="A94" s="187">
        <f t="shared" si="4"/>
        <v>19</v>
      </c>
      <c r="B94" s="191" t="str">
        <f>_xlfn.XLOOKUP(D94,Códigos_Propuestas!$B$4:$B$10,Códigos_Propuestas!$C$4:$C$10,"!",0,1)&amp;"__"&amp;
_xlfn.XLOOKUP(H94,Códigos_Propuestas!$E$4:$E$76,Códigos_Propuestas!$F$4:$F$76,"!",1)&amp;"__"&amp;
_xlfn.XLOOKUP(M94,Códigos_Propuestas!$I$4:$I$7,Códigos_Propuestas!$J$4:$J$7,"!",1)&amp;"__"&amp;
_xlfn.XLOOKUP(N94,Códigos_Propuestas!$O$4:$O$11,Códigos_Propuestas!$Q$4:$Q$11,"!",1)&amp;"__"&amp;
_xlfn.XLOOKUP(F94,Códigos_Propuestas!$BF:$BF,Códigos_Propuestas!$BH:$BH,"!",0,1)</f>
        <v>PE__CMH__UG__MGE__!</v>
      </c>
      <c r="C94" s="47">
        <v>92</v>
      </c>
      <c r="D94" s="174" t="s">
        <v>62</v>
      </c>
      <c r="E94" s="174" t="s">
        <v>62</v>
      </c>
      <c r="F94" s="196" t="s">
        <v>788</v>
      </c>
      <c r="G94" s="174"/>
      <c r="H94" s="174" t="s">
        <v>759</v>
      </c>
      <c r="I94" s="174" t="s">
        <v>188</v>
      </c>
      <c r="J94" s="174" t="s">
        <v>143</v>
      </c>
      <c r="K94" s="47" t="s">
        <v>72</v>
      </c>
      <c r="L94" s="181"/>
      <c r="M94" s="174" t="s">
        <v>65</v>
      </c>
      <c r="N94" s="186" t="s">
        <v>153</v>
      </c>
      <c r="O94" s="181" t="s">
        <v>40</v>
      </c>
      <c r="P94" s="181" t="s">
        <v>129</v>
      </c>
      <c r="Q94" s="181" t="s">
        <v>690</v>
      </c>
      <c r="R94" s="181" t="s">
        <v>862</v>
      </c>
      <c r="S94" s="174"/>
      <c r="T94" s="183" t="b">
        <v>0</v>
      </c>
      <c r="U94" s="174"/>
      <c r="V94" s="183" t="b">
        <v>0</v>
      </c>
      <c r="W94" s="174"/>
      <c r="X94" s="183" t="b">
        <v>0</v>
      </c>
      <c r="Y94" s="174"/>
      <c r="Z94" s="183" t="b">
        <v>0</v>
      </c>
      <c r="AA94" s="174"/>
      <c r="AB94" s="174"/>
      <c r="AC94" s="183" t="b">
        <v>1</v>
      </c>
      <c r="AD94" s="183" t="b">
        <v>0</v>
      </c>
      <c r="AE94" s="183" t="b">
        <v>0</v>
      </c>
      <c r="AF94" s="183" t="b">
        <v>0</v>
      </c>
      <c r="AG94" s="183" t="b">
        <v>1</v>
      </c>
      <c r="AH94" s="32"/>
      <c r="AI94" s="32"/>
      <c r="AJ94" s="32"/>
      <c r="AK94" s="28"/>
      <c r="AL94" s="97">
        <v>19960</v>
      </c>
      <c r="AM94" s="169">
        <f t="shared" si="5"/>
        <v>3992</v>
      </c>
      <c r="AN94" s="174">
        <v>1</v>
      </c>
      <c r="AO94" s="15"/>
      <c r="AP94" s="18">
        <v>46118</v>
      </c>
      <c r="AQ94" s="18">
        <v>46125</v>
      </c>
      <c r="AR94" s="235"/>
      <c r="AS94" s="18"/>
      <c r="AT94" s="18">
        <v>46175</v>
      </c>
    </row>
    <row r="95" spans="1:46" x14ac:dyDescent="0.2">
      <c r="A95" s="187">
        <f t="shared" si="4"/>
        <v>19</v>
      </c>
      <c r="B95" s="191" t="str">
        <f>_xlfn.XLOOKUP(D95,Códigos_Propuestas!$B$4:$B$10,Códigos_Propuestas!$C$4:$C$10,"!",0,1)&amp;"__"&amp;
_xlfn.XLOOKUP(H95,Códigos_Propuestas!$E$4:$E$76,Códigos_Propuestas!$F$4:$F$76,"!",1)&amp;"__"&amp;
_xlfn.XLOOKUP(M95,Códigos_Propuestas!$I$4:$I$7,Códigos_Propuestas!$J$4:$J$7,"!",1)&amp;"__"&amp;
_xlfn.XLOOKUP(N95,Códigos_Propuestas!$O$4:$O$11,Códigos_Propuestas!$Q$4:$Q$11,"!",1)&amp;"__"&amp;
_xlfn.XLOOKUP(F95,Códigos_Propuestas!$BF:$BF,Códigos_Propuestas!$BH:$BH,"!",0,1)</f>
        <v>CH__GLE__OP__SIM__!</v>
      </c>
      <c r="C95" s="47">
        <v>93</v>
      </c>
      <c r="D95" s="174" t="s">
        <v>32</v>
      </c>
      <c r="E95" s="174" t="s">
        <v>32</v>
      </c>
      <c r="F95" s="194" t="s">
        <v>763</v>
      </c>
      <c r="G95" s="174"/>
      <c r="H95" s="174" t="s">
        <v>137</v>
      </c>
      <c r="I95" s="174" t="s">
        <v>315</v>
      </c>
      <c r="J95" s="174" t="s">
        <v>122</v>
      </c>
      <c r="K95" s="47"/>
      <c r="L95" s="186" t="s">
        <v>764</v>
      </c>
      <c r="M95" s="174" t="s">
        <v>92</v>
      </c>
      <c r="N95" s="186" t="s">
        <v>660</v>
      </c>
      <c r="O95" s="181" t="s">
        <v>40</v>
      </c>
      <c r="P95" s="181" t="s">
        <v>80</v>
      </c>
      <c r="Q95" s="181" t="s">
        <v>690</v>
      </c>
      <c r="R95" s="181"/>
      <c r="S95" s="174"/>
      <c r="T95" s="183" t="b">
        <v>0</v>
      </c>
      <c r="U95" s="174"/>
      <c r="V95" s="183" t="b">
        <v>0</v>
      </c>
      <c r="W95" s="174"/>
      <c r="X95" s="183" t="b">
        <v>0</v>
      </c>
      <c r="Y95" s="174"/>
      <c r="Z95" s="183" t="b">
        <v>0</v>
      </c>
      <c r="AA95" s="174"/>
      <c r="AB95" s="174"/>
      <c r="AC95" s="183" t="b">
        <v>0</v>
      </c>
      <c r="AD95" s="183" t="b">
        <v>0</v>
      </c>
      <c r="AE95" s="183" t="b">
        <v>1</v>
      </c>
      <c r="AF95" s="183" t="b">
        <v>1</v>
      </c>
      <c r="AG95" s="183" t="b">
        <v>1</v>
      </c>
      <c r="AH95" s="32"/>
      <c r="AI95" s="32" t="s">
        <v>99</v>
      </c>
      <c r="AJ95" s="32" t="s">
        <v>50</v>
      </c>
      <c r="AK95" s="28"/>
      <c r="AL95" s="97">
        <v>99600</v>
      </c>
      <c r="AM95" s="169">
        <f t="shared" si="5"/>
        <v>19920</v>
      </c>
      <c r="AN95" s="174">
        <v>1</v>
      </c>
      <c r="AO95" s="15"/>
      <c r="AP95" s="18">
        <v>46119</v>
      </c>
      <c r="AQ95" s="18">
        <v>46119</v>
      </c>
      <c r="AR95" s="235"/>
      <c r="AS95" s="18"/>
      <c r="AT95" s="18">
        <v>46127</v>
      </c>
    </row>
    <row r="96" spans="1:46" hidden="1" x14ac:dyDescent="0.2">
      <c r="A96" s="187">
        <f t="shared" si="4"/>
        <v>19</v>
      </c>
      <c r="B96" s="191" t="str">
        <f>_xlfn.XLOOKUP(D96,Códigos_Propuestas!$B$4:$B$10,Códigos_Propuestas!$C$4:$C$10,"!",0,1)&amp;"__"&amp;
_xlfn.XLOOKUP(H96,Códigos_Propuestas!$E$4:$E$76,Códigos_Propuestas!$F$4:$F$76,"!",1)&amp;"__"&amp;
_xlfn.XLOOKUP(M96,Códigos_Propuestas!$I$4:$I$7,Códigos_Propuestas!$J$4:$J$7,"!",1)&amp;"__"&amp;
_xlfn.XLOOKUP(N96,Códigos_Propuestas!$O$4:$O$11,Códigos_Propuestas!$Q$4:$Q$11,"!",1)&amp;"__"&amp;
_xlfn.XLOOKUP(F96,Códigos_Propuestas!$BF:$BF,Códigos_Propuestas!$BH:$BH,"!",0,1)</f>
        <v>PE__TAB__UG__MGE__!</v>
      </c>
      <c r="C96" s="47">
        <v>94</v>
      </c>
      <c r="D96" s="174" t="s">
        <v>62</v>
      </c>
      <c r="E96" s="174" t="s">
        <v>767</v>
      </c>
      <c r="F96" s="194" t="s">
        <v>765</v>
      </c>
      <c r="G96" s="174"/>
      <c r="H96" s="174" t="s">
        <v>766</v>
      </c>
      <c r="I96" s="174" t="s">
        <v>766</v>
      </c>
      <c r="J96" s="174" t="s">
        <v>143</v>
      </c>
      <c r="K96" s="47" t="s">
        <v>72</v>
      </c>
      <c r="L96" s="181" t="s">
        <v>769</v>
      </c>
      <c r="M96" s="174" t="s">
        <v>65</v>
      </c>
      <c r="N96" s="186" t="s">
        <v>153</v>
      </c>
      <c r="O96" s="181" t="s">
        <v>40</v>
      </c>
      <c r="P96" s="181" t="s">
        <v>129</v>
      </c>
      <c r="Q96" s="181" t="s">
        <v>690</v>
      </c>
      <c r="R96" s="181" t="s">
        <v>796</v>
      </c>
      <c r="S96" s="174"/>
      <c r="T96" s="183" t="b">
        <v>0</v>
      </c>
      <c r="U96" s="174"/>
      <c r="V96" s="183" t="b">
        <v>0</v>
      </c>
      <c r="W96" s="174"/>
      <c r="X96" s="183" t="b">
        <v>0</v>
      </c>
      <c r="Y96" s="174"/>
      <c r="Z96" s="183" t="b">
        <v>0</v>
      </c>
      <c r="AA96" s="174"/>
      <c r="AB96" s="174"/>
      <c r="AC96" s="183" t="b">
        <v>0</v>
      </c>
      <c r="AD96" s="183" t="b">
        <v>0</v>
      </c>
      <c r="AE96" s="183" t="b">
        <v>0</v>
      </c>
      <c r="AF96" s="183" t="b">
        <v>0</v>
      </c>
      <c r="AG96" s="183" t="b">
        <v>1</v>
      </c>
      <c r="AH96" s="32"/>
      <c r="AI96" s="32"/>
      <c r="AJ96" s="32"/>
      <c r="AK96" s="28"/>
      <c r="AL96" s="97">
        <v>47226</v>
      </c>
      <c r="AM96" s="169">
        <f t="shared" si="5"/>
        <v>9445.2000000000007</v>
      </c>
      <c r="AN96" s="174">
        <v>2</v>
      </c>
      <c r="AO96" s="15"/>
      <c r="AP96" s="18">
        <v>46120</v>
      </c>
      <c r="AQ96" s="233">
        <v>46127</v>
      </c>
      <c r="AR96" s="238"/>
      <c r="AS96" s="233"/>
      <c r="AT96" s="18">
        <v>46182</v>
      </c>
    </row>
    <row r="97" spans="1:46" x14ac:dyDescent="0.2">
      <c r="A97" s="187">
        <f t="shared" si="4"/>
        <v>19</v>
      </c>
      <c r="B97" s="191" t="str">
        <f>_xlfn.XLOOKUP(D97,Códigos_Propuestas!$B$4:$B$10,Códigos_Propuestas!$C$4:$C$10,"!",0,1)&amp;"__"&amp;
_xlfn.XLOOKUP(H97,Códigos_Propuestas!$E$4:$E$76,Códigos_Propuestas!$F$4:$F$76,"!",1)&amp;"__"&amp;
_xlfn.XLOOKUP(M97,Códigos_Propuestas!$I$4:$I$7,Códigos_Propuestas!$J$4:$J$7,"!",1)&amp;"__"&amp;
_xlfn.XLOOKUP(N97,Códigos_Propuestas!$O$4:$O$11,Códigos_Propuestas!$Q$4:$Q$11,"!",1)&amp;"__"&amp;
_xlfn.XLOOKUP(F97,Códigos_Propuestas!$BF:$BF,Códigos_Propuestas!$BH:$BH,"!",0,1)</f>
        <v>PE__MSR__UG__DAR__!</v>
      </c>
      <c r="C97" s="47">
        <v>95</v>
      </c>
      <c r="D97" s="174" t="s">
        <v>62</v>
      </c>
      <c r="E97" s="174" t="s">
        <v>62</v>
      </c>
      <c r="F97" s="194" t="s">
        <v>781</v>
      </c>
      <c r="G97" s="174" t="s">
        <v>588</v>
      </c>
      <c r="H97" s="174" t="s">
        <v>114</v>
      </c>
      <c r="I97" s="174" t="s">
        <v>589</v>
      </c>
      <c r="J97" s="174" t="s">
        <v>122</v>
      </c>
      <c r="K97" s="47" t="s">
        <v>98</v>
      </c>
      <c r="L97" s="181"/>
      <c r="M97" s="174" t="s">
        <v>65</v>
      </c>
      <c r="N97" s="181" t="s">
        <v>95</v>
      </c>
      <c r="O97" s="181" t="s">
        <v>40</v>
      </c>
      <c r="P97" s="181" t="s">
        <v>80</v>
      </c>
      <c r="Q97" s="181" t="s">
        <v>690</v>
      </c>
      <c r="R97" s="181"/>
      <c r="S97" s="174"/>
      <c r="T97" s="183" t="b">
        <v>0</v>
      </c>
      <c r="U97" s="174"/>
      <c r="V97" s="183" t="b">
        <v>0</v>
      </c>
      <c r="W97" s="174"/>
      <c r="X97" s="183" t="b">
        <v>0</v>
      </c>
      <c r="Y97" s="174"/>
      <c r="Z97" s="183" t="b">
        <v>0</v>
      </c>
      <c r="AA97" s="174"/>
      <c r="AB97" s="174"/>
      <c r="AC97" s="183" t="b">
        <v>1</v>
      </c>
      <c r="AD97" s="183" t="b">
        <v>0</v>
      </c>
      <c r="AE97" s="183" t="b">
        <v>0</v>
      </c>
      <c r="AF97" s="183" t="b">
        <v>0</v>
      </c>
      <c r="AG97" s="183" t="b">
        <v>0</v>
      </c>
      <c r="AH97" s="32"/>
      <c r="AI97" s="32" t="s">
        <v>99</v>
      </c>
      <c r="AJ97" s="32" t="s">
        <v>50</v>
      </c>
      <c r="AK97" s="28"/>
      <c r="AL97" s="97">
        <v>57683</v>
      </c>
      <c r="AM97" s="169">
        <f t="shared" si="5"/>
        <v>11536.6</v>
      </c>
      <c r="AN97" s="174">
        <v>3</v>
      </c>
      <c r="AO97" s="15"/>
      <c r="AP97" s="18">
        <v>46120</v>
      </c>
      <c r="AQ97" s="18">
        <v>46128</v>
      </c>
      <c r="AR97" s="235"/>
      <c r="AS97" s="18"/>
      <c r="AT97" s="18">
        <v>46156</v>
      </c>
    </row>
    <row r="98" spans="1:46" ht="16.5" hidden="1" customHeight="1" x14ac:dyDescent="0.2">
      <c r="A98" s="187">
        <f t="shared" si="4"/>
        <v>19</v>
      </c>
      <c r="B98" s="191" t="str">
        <f>_xlfn.XLOOKUP(D98,Códigos_Propuestas!$B$4:$B$10,Códigos_Propuestas!$C$4:$C$10,"!",0,1)&amp;"__"&amp;
_xlfn.XLOOKUP(H98,Códigos_Propuestas!$E$4:$E$76,Códigos_Propuestas!$F$4:$F$76,"!",1)&amp;"__"&amp;
_xlfn.XLOOKUP(M98,Códigos_Propuestas!$I$4:$I$7,Códigos_Propuestas!$J$4:$J$7,"!",1)&amp;"__"&amp;
_xlfn.XLOOKUP(N98,Códigos_Propuestas!$O$4:$O$11,Códigos_Propuestas!$Q$4:$Q$11,"!",1)&amp;"__"&amp;
_xlfn.XLOOKUP(F98,Códigos_Propuestas!$BF:$BF,Códigos_Propuestas!$BH:$BH,"!",0,1)</f>
        <v>CH__ZJM__UG__MGE__!</v>
      </c>
      <c r="C98" s="47">
        <v>96</v>
      </c>
      <c r="D98" s="174" t="s">
        <v>32</v>
      </c>
      <c r="E98" s="174" t="s">
        <v>32</v>
      </c>
      <c r="F98" s="194" t="s">
        <v>772</v>
      </c>
      <c r="G98" s="174"/>
      <c r="H98" s="174" t="s">
        <v>777</v>
      </c>
      <c r="I98" s="174" t="s">
        <v>771</v>
      </c>
      <c r="J98" s="174" t="s">
        <v>97</v>
      </c>
      <c r="K98" s="47"/>
      <c r="L98" s="186" t="s">
        <v>783</v>
      </c>
      <c r="M98" s="174" t="s">
        <v>65</v>
      </c>
      <c r="N98" s="186" t="s">
        <v>153</v>
      </c>
      <c r="O98" s="181" t="s">
        <v>40</v>
      </c>
      <c r="P98" s="181" t="s">
        <v>129</v>
      </c>
      <c r="Q98" s="181" t="s">
        <v>690</v>
      </c>
      <c r="R98" s="181"/>
      <c r="S98" s="174"/>
      <c r="T98" s="183" t="b">
        <v>0</v>
      </c>
      <c r="U98" s="174"/>
      <c r="V98" s="183" t="b">
        <v>0</v>
      </c>
      <c r="W98" s="174"/>
      <c r="X98" s="183" t="b">
        <v>0</v>
      </c>
      <c r="Y98" s="174"/>
      <c r="Z98" s="183" t="b">
        <v>0</v>
      </c>
      <c r="AA98" s="174"/>
      <c r="AB98" s="174"/>
      <c r="AC98" s="183" t="b">
        <v>1</v>
      </c>
      <c r="AD98" s="183" t="b">
        <v>0</v>
      </c>
      <c r="AE98" s="183" t="b">
        <v>0</v>
      </c>
      <c r="AF98" s="183" t="b">
        <v>0</v>
      </c>
      <c r="AG98" s="183" t="b">
        <v>0</v>
      </c>
      <c r="AH98" s="32"/>
      <c r="AI98" s="32"/>
      <c r="AJ98" s="32"/>
      <c r="AK98" s="28"/>
      <c r="AL98" s="97">
        <v>172160</v>
      </c>
      <c r="AM98" s="169">
        <f t="shared" si="5"/>
        <v>68864</v>
      </c>
      <c r="AN98" s="174">
        <v>3.5</v>
      </c>
      <c r="AO98" s="15"/>
      <c r="AP98" s="18">
        <v>46121</v>
      </c>
      <c r="AQ98" s="18">
        <v>46139</v>
      </c>
      <c r="AR98" s="235"/>
      <c r="AS98" s="18"/>
      <c r="AT98" s="18"/>
    </row>
    <row r="99" spans="1:46" hidden="1" x14ac:dyDescent="0.2">
      <c r="A99" s="187">
        <f t="shared" ref="A99:A130" si="6">LEN(B99)</f>
        <v>19</v>
      </c>
      <c r="B99" s="191" t="str">
        <f>_xlfn.XLOOKUP(D99,Códigos_Propuestas!$B$4:$B$10,Códigos_Propuestas!$C$4:$C$10,"!",0,1)&amp;"__"&amp;
_xlfn.XLOOKUP(H99,Códigos_Propuestas!$E$4:$E$76,Códigos_Propuestas!$F$4:$F$76,"!",1)&amp;"__"&amp;
_xlfn.XLOOKUP(M99,Códigos_Propuestas!$I$4:$I$7,Códigos_Propuestas!$J$4:$J$7,"!",1)&amp;"__"&amp;
_xlfn.XLOOKUP(N99,Códigos_Propuestas!$O$4:$O$11,Códigos_Propuestas!$Q$4:$Q$11,"!",1)&amp;"__"&amp;
_xlfn.XLOOKUP(F99,Códigos_Propuestas!$BF:$BF,Códigos_Propuestas!$BH:$BH,"!",0,1)</f>
        <v>CH__ZJM__UG__PEA__!</v>
      </c>
      <c r="C99" s="47">
        <v>97</v>
      </c>
      <c r="D99" s="174" t="s">
        <v>32</v>
      </c>
      <c r="E99" s="174" t="s">
        <v>32</v>
      </c>
      <c r="F99" s="194" t="s">
        <v>775</v>
      </c>
      <c r="G99" s="174"/>
      <c r="H99" s="174" t="s">
        <v>770</v>
      </c>
      <c r="I99" s="174" t="s">
        <v>776</v>
      </c>
      <c r="J99" s="174" t="s">
        <v>97</v>
      </c>
      <c r="K99" s="47"/>
      <c r="L99" s="186" t="s">
        <v>784</v>
      </c>
      <c r="M99" s="174" t="s">
        <v>65</v>
      </c>
      <c r="N99" s="186" t="s">
        <v>39</v>
      </c>
      <c r="O99" s="181" t="s">
        <v>40</v>
      </c>
      <c r="P99" s="181" t="s">
        <v>749</v>
      </c>
      <c r="Q99" s="181" t="s">
        <v>690</v>
      </c>
      <c r="R99" s="181"/>
      <c r="S99" s="174"/>
      <c r="T99" s="183" t="b">
        <v>0</v>
      </c>
      <c r="U99" s="174"/>
      <c r="V99" s="183" t="b">
        <v>0</v>
      </c>
      <c r="W99" s="174"/>
      <c r="X99" s="183" t="b">
        <v>0</v>
      </c>
      <c r="Y99" s="174"/>
      <c r="Z99" s="183" t="b">
        <v>0</v>
      </c>
      <c r="AA99" s="174"/>
      <c r="AB99" s="174"/>
      <c r="AC99" s="183" t="b">
        <v>1</v>
      </c>
      <c r="AD99" s="183" t="b">
        <v>0</v>
      </c>
      <c r="AE99" s="183" t="b">
        <v>0</v>
      </c>
      <c r="AF99" s="183" t="b">
        <v>0</v>
      </c>
      <c r="AG99" s="183" t="b">
        <v>0</v>
      </c>
      <c r="AH99" s="32"/>
      <c r="AI99" s="32"/>
      <c r="AJ99" s="32"/>
      <c r="AK99" s="28"/>
      <c r="AL99" s="97">
        <v>410715</v>
      </c>
      <c r="AM99" s="169">
        <f t="shared" si="5"/>
        <v>164286</v>
      </c>
      <c r="AN99" s="174">
        <v>6</v>
      </c>
      <c r="AO99" s="15"/>
      <c r="AP99" s="18">
        <v>46121</v>
      </c>
      <c r="AQ99" s="18">
        <v>46134</v>
      </c>
      <c r="AR99" s="235"/>
      <c r="AS99" s="18"/>
      <c r="AT99" s="18"/>
    </row>
    <row r="100" spans="1:46" hidden="1" x14ac:dyDescent="0.2">
      <c r="A100" s="187">
        <f t="shared" si="6"/>
        <v>18</v>
      </c>
      <c r="B100" s="191" t="str">
        <f>_xlfn.XLOOKUP(D100,Códigos_Propuestas!$B$4:$B$10,Códigos_Propuestas!$C$4:$C$10,"!",0,1)&amp;"__"&amp;
_xlfn.XLOOKUP(H100,Códigos_Propuestas!$E$4:$E$76,Códigos_Propuestas!$F$4:$F$76,"!",1)&amp;"__"&amp;
_xlfn.XLOOKUP(M100,Códigos_Propuestas!$I$4:$I$7,Códigos_Propuestas!$J$4:$J$7,"!",1)&amp;"__"&amp;
_xlfn.XLOOKUP(N100,Códigos_Propuestas!$O$4:$O$11,Códigos_Propuestas!$Q$4:$Q$11,"!",1)&amp;"__"&amp;
_xlfn.XLOOKUP(F100,Códigos_Propuestas!$BF:$BF,Códigos_Propuestas!$BH:$BH,"!",0,1)</f>
        <v>CH__ZJM__!__MGE__!</v>
      </c>
      <c r="C100" s="47">
        <v>98</v>
      </c>
      <c r="D100" s="174" t="s">
        <v>32</v>
      </c>
      <c r="E100" s="174" t="s">
        <v>32</v>
      </c>
      <c r="F100" s="194" t="s">
        <v>786</v>
      </c>
      <c r="G100" s="174"/>
      <c r="H100" s="174" t="s">
        <v>777</v>
      </c>
      <c r="I100" s="174" t="s">
        <v>792</v>
      </c>
      <c r="J100" s="174"/>
      <c r="K100" s="47"/>
      <c r="L100" s="181"/>
      <c r="M100" s="174"/>
      <c r="N100" s="186" t="s">
        <v>153</v>
      </c>
      <c r="O100" s="181" t="s">
        <v>40</v>
      </c>
      <c r="P100" s="181" t="s">
        <v>129</v>
      </c>
      <c r="Q100" s="181" t="s">
        <v>690</v>
      </c>
      <c r="R100" s="181"/>
      <c r="S100" s="174"/>
      <c r="T100" s="183" t="b">
        <v>0</v>
      </c>
      <c r="U100" s="174"/>
      <c r="V100" s="183" t="b">
        <v>0</v>
      </c>
      <c r="W100" s="174"/>
      <c r="X100" s="183" t="b">
        <v>0</v>
      </c>
      <c r="Y100" s="174"/>
      <c r="Z100" s="183" t="b">
        <v>0</v>
      </c>
      <c r="AA100" s="174" t="s">
        <v>86</v>
      </c>
      <c r="AB100" s="174"/>
      <c r="AC100" s="183" t="b">
        <v>1</v>
      </c>
      <c r="AD100" s="183" t="b">
        <v>0</v>
      </c>
      <c r="AE100" s="183" t="b">
        <v>0</v>
      </c>
      <c r="AF100" s="183" t="b">
        <v>0</v>
      </c>
      <c r="AG100" s="183" t="b">
        <v>0</v>
      </c>
      <c r="AH100" s="32"/>
      <c r="AI100" s="32"/>
      <c r="AJ100" s="32"/>
      <c r="AK100" s="28"/>
      <c r="AL100" s="97">
        <v>150000</v>
      </c>
      <c r="AM100" s="169">
        <f t="shared" si="5"/>
        <v>60000</v>
      </c>
      <c r="AN100" s="174"/>
      <c r="AO100" s="15"/>
      <c r="AP100" s="18">
        <v>46125</v>
      </c>
      <c r="AQ100" s="18">
        <v>46134</v>
      </c>
      <c r="AR100" s="235"/>
      <c r="AS100" s="18"/>
      <c r="AT100" s="18"/>
    </row>
    <row r="101" spans="1:46" hidden="1" x14ac:dyDescent="0.2">
      <c r="A101" s="187">
        <f t="shared" si="6"/>
        <v>18</v>
      </c>
      <c r="B101" s="191" t="str">
        <f>_xlfn.XLOOKUP(D101,Códigos_Propuestas!$B$4:$B$10,Códigos_Propuestas!$C$4:$C$10,"!",0,1)&amp;"__"&amp;
_xlfn.XLOOKUP(H101,Códigos_Propuestas!$E$4:$E$76,Códigos_Propuestas!$F$4:$F$76,"!",1)&amp;"__"&amp;
_xlfn.XLOOKUP(M101,Códigos_Propuestas!$I$4:$I$7,Códigos_Propuestas!$J$4:$J$7,"!",1)&amp;"__"&amp;
_xlfn.XLOOKUP(N101,Códigos_Propuestas!$O$4:$O$11,Códigos_Propuestas!$Q$4:$Q$11,"!",1)&amp;"__"&amp;
_xlfn.XLOOKUP(F101,Códigos_Propuestas!$BF:$BF,Códigos_Propuestas!$BH:$BH,"!",0,1)</f>
        <v>CH__ZJM__!__MIN__!</v>
      </c>
      <c r="C101" s="47">
        <v>99</v>
      </c>
      <c r="D101" s="174" t="s">
        <v>32</v>
      </c>
      <c r="E101" s="174" t="s">
        <v>32</v>
      </c>
      <c r="F101" s="194" t="s">
        <v>787</v>
      </c>
      <c r="G101" s="174"/>
      <c r="H101" s="174" t="s">
        <v>777</v>
      </c>
      <c r="I101" s="174" t="s">
        <v>792</v>
      </c>
      <c r="J101" s="174"/>
      <c r="K101" s="47"/>
      <c r="L101" s="181"/>
      <c r="M101" s="174"/>
      <c r="N101" s="186" t="s">
        <v>120</v>
      </c>
      <c r="O101" s="181" t="s">
        <v>40</v>
      </c>
      <c r="P101" s="181" t="s">
        <v>749</v>
      </c>
      <c r="Q101" s="181" t="s">
        <v>690</v>
      </c>
      <c r="R101" s="181"/>
      <c r="S101" s="174"/>
      <c r="T101" s="183" t="b">
        <v>0</v>
      </c>
      <c r="U101" s="174"/>
      <c r="V101" s="183" t="b">
        <v>0</v>
      </c>
      <c r="W101" s="174"/>
      <c r="X101" s="183" t="b">
        <v>0</v>
      </c>
      <c r="Y101" s="174"/>
      <c r="Z101" s="183" t="b">
        <v>0</v>
      </c>
      <c r="AA101" s="174" t="s">
        <v>86</v>
      </c>
      <c r="AB101" s="174"/>
      <c r="AC101" s="183" t="b">
        <v>1</v>
      </c>
      <c r="AD101" s="183" t="b">
        <v>0</v>
      </c>
      <c r="AE101" s="183" t="b">
        <v>0</v>
      </c>
      <c r="AF101" s="183" t="b">
        <v>0</v>
      </c>
      <c r="AG101" s="183" t="b">
        <v>0</v>
      </c>
      <c r="AH101" s="32"/>
      <c r="AI101" s="32"/>
      <c r="AJ101" s="32"/>
      <c r="AK101" s="28"/>
      <c r="AL101" s="97">
        <v>250000</v>
      </c>
      <c r="AM101" s="169">
        <f t="shared" si="5"/>
        <v>100000</v>
      </c>
      <c r="AN101" s="174"/>
      <c r="AO101" s="15"/>
      <c r="AP101" s="18">
        <v>46125</v>
      </c>
      <c r="AQ101" s="18">
        <v>46134</v>
      </c>
      <c r="AR101" s="235"/>
      <c r="AS101" s="18"/>
      <c r="AT101" s="18"/>
    </row>
    <row r="102" spans="1:46" hidden="1" x14ac:dyDescent="0.2">
      <c r="A102" s="187">
        <f t="shared" si="6"/>
        <v>19</v>
      </c>
      <c r="B102" s="191" t="str">
        <f>_xlfn.XLOOKUP(D102,Códigos_Propuestas!$B$4:$B$10,Códigos_Propuestas!$C$4:$C$10,"!",0,1)&amp;"__"&amp;
_xlfn.XLOOKUP(H102,Códigos_Propuestas!$E$4:$E$76,Códigos_Propuestas!$F$4:$F$76,"!",1)&amp;"__"&amp;
_xlfn.XLOOKUP(M102,Códigos_Propuestas!$I$4:$I$7,Códigos_Propuestas!$J$4:$J$7,"!",1)&amp;"__"&amp;
_xlfn.XLOOKUP(N102,Códigos_Propuestas!$O$4:$O$11,Códigos_Propuestas!$Q$4:$Q$11,"!",1)&amp;"__"&amp;
_xlfn.XLOOKUP(F102,Códigos_Propuestas!$BF:$BF,Códigos_Propuestas!$BH:$BH,"!",0,1)</f>
        <v>PE__CRF__UG__MGE__!</v>
      </c>
      <c r="C102" s="47">
        <v>100</v>
      </c>
      <c r="D102" s="174" t="s">
        <v>62</v>
      </c>
      <c r="E102" s="174" t="s">
        <v>62</v>
      </c>
      <c r="F102" s="194" t="s">
        <v>790</v>
      </c>
      <c r="G102" s="174"/>
      <c r="H102" s="174" t="s">
        <v>723</v>
      </c>
      <c r="I102" s="174" t="s">
        <v>733</v>
      </c>
      <c r="J102" s="174" t="s">
        <v>143</v>
      </c>
      <c r="K102" s="47" t="s">
        <v>72</v>
      </c>
      <c r="L102" s="181" t="s">
        <v>791</v>
      </c>
      <c r="M102" s="174" t="s">
        <v>65</v>
      </c>
      <c r="N102" s="186" t="s">
        <v>153</v>
      </c>
      <c r="O102" s="181" t="s">
        <v>40</v>
      </c>
      <c r="P102" s="181" t="s">
        <v>129</v>
      </c>
      <c r="Q102" s="181" t="s">
        <v>690</v>
      </c>
      <c r="R102" s="181" t="s">
        <v>796</v>
      </c>
      <c r="S102" s="174"/>
      <c r="T102" s="183" t="b">
        <v>0</v>
      </c>
      <c r="U102" s="174"/>
      <c r="V102" s="183" t="b">
        <v>0</v>
      </c>
      <c r="W102" s="174"/>
      <c r="X102" s="183" t="b">
        <v>0</v>
      </c>
      <c r="Y102" s="174"/>
      <c r="Z102" s="183" t="b">
        <v>0</v>
      </c>
      <c r="AA102" s="174"/>
      <c r="AB102" s="174"/>
      <c r="AC102" s="183" t="b">
        <v>1</v>
      </c>
      <c r="AD102" s="183" t="b">
        <v>0</v>
      </c>
      <c r="AE102" s="183" t="b">
        <v>0</v>
      </c>
      <c r="AF102" s="183" t="b">
        <v>0</v>
      </c>
      <c r="AG102" s="183" t="b">
        <v>0</v>
      </c>
      <c r="AH102" s="32"/>
      <c r="AI102" s="32"/>
      <c r="AJ102" s="32"/>
      <c r="AK102" s="28"/>
      <c r="AL102" s="97">
        <v>28082</v>
      </c>
      <c r="AM102" s="169">
        <f t="shared" si="5"/>
        <v>5616.4000000000005</v>
      </c>
      <c r="AN102" s="174">
        <v>1.5</v>
      </c>
      <c r="AO102" s="15"/>
      <c r="AP102" s="18">
        <v>46126</v>
      </c>
      <c r="AQ102" s="18">
        <v>46132</v>
      </c>
      <c r="AR102" s="235"/>
      <c r="AS102" s="18"/>
      <c r="AT102" s="18">
        <v>46175</v>
      </c>
    </row>
    <row r="103" spans="1:46" hidden="1" x14ac:dyDescent="0.2">
      <c r="A103" s="187">
        <f t="shared" si="6"/>
        <v>19</v>
      </c>
      <c r="B103" s="191" t="str">
        <f>_xlfn.XLOOKUP(D103,Códigos_Propuestas!$B$4:$B$10,Códigos_Propuestas!$C$4:$C$10,"!",0,1)&amp;"__"&amp;
_xlfn.XLOOKUP(H103,Códigos_Propuestas!$E$4:$E$76,Códigos_Propuestas!$F$4:$F$76,"!",1)&amp;"__"&amp;
_xlfn.XLOOKUP(M103,Códigos_Propuestas!$I$4:$I$7,Códigos_Propuestas!$J$4:$J$7,"!",1)&amp;"__"&amp;
_xlfn.XLOOKUP(N103,Códigos_Propuestas!$O$4:$O$11,Códigos_Propuestas!$Q$4:$Q$11,"!",1)&amp;"__"&amp;
_xlfn.XLOOKUP(F103,Códigos_Propuestas!$BF:$BF,Códigos_Propuestas!$BH:$BH,"!",0,1)</f>
        <v>CH__COL__OP__DAR__!</v>
      </c>
      <c r="C103" s="47">
        <v>101</v>
      </c>
      <c r="D103" s="174" t="s">
        <v>32</v>
      </c>
      <c r="E103" s="174" t="s">
        <v>32</v>
      </c>
      <c r="F103" s="194" t="s">
        <v>793</v>
      </c>
      <c r="G103" s="174"/>
      <c r="H103" s="174" t="s">
        <v>315</v>
      </c>
      <c r="I103" s="174" t="s">
        <v>315</v>
      </c>
      <c r="J103" s="174" t="s">
        <v>143</v>
      </c>
      <c r="K103" s="47" t="s">
        <v>98</v>
      </c>
      <c r="L103" s="181" t="s">
        <v>794</v>
      </c>
      <c r="M103" s="174" t="s">
        <v>92</v>
      </c>
      <c r="N103" s="186" t="s">
        <v>95</v>
      </c>
      <c r="O103" s="181" t="s">
        <v>40</v>
      </c>
      <c r="P103" s="181" t="s">
        <v>749</v>
      </c>
      <c r="Q103" s="181" t="s">
        <v>690</v>
      </c>
      <c r="R103" s="181" t="s">
        <v>79</v>
      </c>
      <c r="S103" s="174"/>
      <c r="T103" s="183" t="b">
        <v>0</v>
      </c>
      <c r="U103" s="174"/>
      <c r="V103" s="183" t="b">
        <v>0</v>
      </c>
      <c r="W103" s="174"/>
      <c r="X103" s="183" t="b">
        <v>0</v>
      </c>
      <c r="Y103" s="174"/>
      <c r="Z103" s="183" t="b">
        <v>0</v>
      </c>
      <c r="AA103" s="174"/>
      <c r="AB103" s="174"/>
      <c r="AC103" s="183" t="b">
        <v>1</v>
      </c>
      <c r="AD103" s="183" t="b">
        <v>1</v>
      </c>
      <c r="AE103" s="183" t="b">
        <v>0</v>
      </c>
      <c r="AF103" s="183" t="b">
        <v>0</v>
      </c>
      <c r="AG103" s="183" t="b">
        <v>0</v>
      </c>
      <c r="AH103" s="32"/>
      <c r="AI103" s="32"/>
      <c r="AJ103" s="32"/>
      <c r="AK103" s="28"/>
      <c r="AL103" s="97">
        <v>249535</v>
      </c>
      <c r="AM103" s="169">
        <f t="shared" si="5"/>
        <v>99814</v>
      </c>
      <c r="AN103" s="174">
        <v>8</v>
      </c>
      <c r="AO103" s="15"/>
      <c r="AP103" s="18">
        <v>46126</v>
      </c>
      <c r="AQ103" s="18">
        <v>46129</v>
      </c>
      <c r="AR103" s="235">
        <v>2</v>
      </c>
      <c r="AS103" s="18">
        <v>46149</v>
      </c>
      <c r="AT103" s="18">
        <v>46203</v>
      </c>
    </row>
    <row r="104" spans="1:46" hidden="1" x14ac:dyDescent="0.2">
      <c r="A104" s="187">
        <f t="shared" si="6"/>
        <v>19</v>
      </c>
      <c r="B104" s="191" t="str">
        <f>_xlfn.XLOOKUP(D104,Códigos_Propuestas!$B$4:$B$10,Códigos_Propuestas!$C$4:$C$10,"!",0,1)&amp;"__"&amp;
_xlfn.XLOOKUP(H104,Códigos_Propuestas!$E$4:$E$76,Códigos_Propuestas!$F$4:$F$76,"!",1)&amp;"__"&amp;
_xlfn.XLOOKUP(M104,Códigos_Propuestas!$I$4:$I$7,Códigos_Propuestas!$J$4:$J$7,"!",1)&amp;"__"&amp;
_xlfn.XLOOKUP(N104,Códigos_Propuestas!$O$4:$O$11,Códigos_Propuestas!$Q$4:$Q$11,"!",1)&amp;"__"&amp;
_xlfn.XLOOKUP(F104,Códigos_Propuestas!$BF:$BF,Códigos_Propuestas!$BH:$BH,"!",0,1)</f>
        <v>PE__MMG__OP__DAR__!</v>
      </c>
      <c r="C104" s="47">
        <v>102</v>
      </c>
      <c r="D104" s="174" t="s">
        <v>62</v>
      </c>
      <c r="E104" s="174" t="s">
        <v>62</v>
      </c>
      <c r="F104" s="194" t="s">
        <v>797</v>
      </c>
      <c r="G104" s="174"/>
      <c r="H104" s="174" t="s">
        <v>213</v>
      </c>
      <c r="I104" s="174" t="s">
        <v>595</v>
      </c>
      <c r="J104" s="174" t="s">
        <v>143</v>
      </c>
      <c r="K104" s="47" t="s">
        <v>98</v>
      </c>
      <c r="L104" s="181" t="s">
        <v>798</v>
      </c>
      <c r="M104" s="174" t="s">
        <v>92</v>
      </c>
      <c r="N104" s="186" t="s">
        <v>95</v>
      </c>
      <c r="O104" s="181" t="s">
        <v>40</v>
      </c>
      <c r="P104" s="181" t="s">
        <v>80</v>
      </c>
      <c r="Q104" s="181" t="s">
        <v>690</v>
      </c>
      <c r="R104" s="181" t="s">
        <v>35</v>
      </c>
      <c r="S104" s="174"/>
      <c r="T104" s="183" t="b">
        <v>0</v>
      </c>
      <c r="U104" s="174"/>
      <c r="V104" s="183" t="b">
        <v>0</v>
      </c>
      <c r="W104" s="174"/>
      <c r="X104" s="183" t="b">
        <v>0</v>
      </c>
      <c r="Y104" s="174"/>
      <c r="Z104" s="183" t="b">
        <v>0</v>
      </c>
      <c r="AA104" s="174"/>
      <c r="AB104" s="174"/>
      <c r="AC104" s="183" t="b">
        <v>1</v>
      </c>
      <c r="AD104" s="183" t="b">
        <v>1</v>
      </c>
      <c r="AE104" s="183" t="b">
        <v>1</v>
      </c>
      <c r="AF104" s="183" t="b">
        <v>1</v>
      </c>
      <c r="AG104" s="183" t="b">
        <v>1</v>
      </c>
      <c r="AH104" s="32"/>
      <c r="AI104" s="32" t="s">
        <v>73</v>
      </c>
      <c r="AJ104" s="32"/>
      <c r="AK104" s="28"/>
      <c r="AL104" s="97">
        <v>0</v>
      </c>
      <c r="AM104" s="169">
        <f t="shared" si="5"/>
        <v>0</v>
      </c>
      <c r="AN104" s="174">
        <v>36</v>
      </c>
      <c r="AO104" s="15"/>
      <c r="AP104" s="18">
        <v>46126</v>
      </c>
      <c r="AQ104" s="18">
        <v>46139</v>
      </c>
      <c r="AR104" s="235">
        <v>2</v>
      </c>
      <c r="AS104" s="18">
        <v>46154</v>
      </c>
      <c r="AT104" s="18">
        <v>46191</v>
      </c>
    </row>
    <row r="105" spans="1:46" hidden="1" x14ac:dyDescent="0.2">
      <c r="A105" s="187">
        <f t="shared" si="6"/>
        <v>19</v>
      </c>
      <c r="B105" s="191" t="str">
        <f>_xlfn.XLOOKUP(D105,Códigos_Propuestas!$B$4:$B$10,Códigos_Propuestas!$C$4:$C$10,"!",0,1)&amp;"__"&amp;
_xlfn.XLOOKUP(H105,Códigos_Propuestas!$E$4:$E$76,Códigos_Propuestas!$F$4:$F$76,"!",1)&amp;"__"&amp;
_xlfn.XLOOKUP(M105,Códigos_Propuestas!$I$4:$I$7,Códigos_Propuestas!$J$4:$J$7,"!",1)&amp;"__"&amp;
_xlfn.XLOOKUP(N105,Códigos_Propuestas!$O$4:$O$11,Códigos_Propuestas!$Q$4:$Q$11,"!",1)&amp;"__"&amp;
_xlfn.XLOOKUP(F105,Códigos_Propuestas!$BF:$BF,Códigos_Propuestas!$BH:$BH,"!",0,1)</f>
        <v>PE__VLC__OP__PEA__!</v>
      </c>
      <c r="C105" s="47">
        <v>103</v>
      </c>
      <c r="D105" s="174" t="s">
        <v>62</v>
      </c>
      <c r="E105" s="174" t="s">
        <v>62</v>
      </c>
      <c r="F105" s="194" t="s">
        <v>812</v>
      </c>
      <c r="G105" s="174"/>
      <c r="H105" s="174" t="s">
        <v>284</v>
      </c>
      <c r="I105" s="174" t="s">
        <v>659</v>
      </c>
      <c r="J105" s="174" t="s">
        <v>143</v>
      </c>
      <c r="K105" s="47" t="s">
        <v>44</v>
      </c>
      <c r="L105" s="181"/>
      <c r="M105" s="174" t="s">
        <v>92</v>
      </c>
      <c r="N105" s="186" t="s">
        <v>39</v>
      </c>
      <c r="O105" s="181" t="s">
        <v>40</v>
      </c>
      <c r="P105" s="181" t="s">
        <v>80</v>
      </c>
      <c r="Q105" s="181" t="s">
        <v>690</v>
      </c>
      <c r="R105" s="181"/>
      <c r="S105" s="174"/>
      <c r="T105" s="183" t="b">
        <v>0</v>
      </c>
      <c r="U105" s="174"/>
      <c r="V105" s="183" t="b">
        <v>0</v>
      </c>
      <c r="W105" s="174"/>
      <c r="X105" s="183" t="b">
        <v>0</v>
      </c>
      <c r="Y105" s="174"/>
      <c r="Z105" s="183" t="b">
        <v>0</v>
      </c>
      <c r="AA105" s="174"/>
      <c r="AB105" s="174"/>
      <c r="AC105" s="183" t="b">
        <v>1</v>
      </c>
      <c r="AD105" s="183" t="b">
        <v>1</v>
      </c>
      <c r="AE105" s="183" t="b">
        <v>0</v>
      </c>
      <c r="AF105" s="183" t="b">
        <v>0</v>
      </c>
      <c r="AG105" s="183" t="b">
        <v>0</v>
      </c>
      <c r="AH105" s="32"/>
      <c r="AI105" s="32"/>
      <c r="AJ105" s="32"/>
      <c r="AK105" s="28"/>
      <c r="AL105" s="97">
        <v>292960</v>
      </c>
      <c r="AM105" s="169">
        <f t="shared" si="5"/>
        <v>117184</v>
      </c>
      <c r="AN105" s="174">
        <v>5</v>
      </c>
      <c r="AO105" s="15"/>
      <c r="AP105" s="18">
        <v>46128</v>
      </c>
      <c r="AQ105" s="18">
        <v>46161</v>
      </c>
      <c r="AR105" s="235"/>
      <c r="AS105" s="18"/>
      <c r="AT105" s="18">
        <v>46188</v>
      </c>
    </row>
    <row r="106" spans="1:46" x14ac:dyDescent="0.2">
      <c r="A106" s="187">
        <f t="shared" si="6"/>
        <v>19</v>
      </c>
      <c r="B106" s="191" t="str">
        <f>_xlfn.XLOOKUP(D106,Códigos_Propuestas!$B$4:$B$10,Códigos_Propuestas!$C$4:$C$10,"!",0,1)&amp;"__"&amp;
_xlfn.XLOOKUP(H106,Códigos_Propuestas!$E$4:$E$76,Códigos_Propuestas!$F$4:$F$76,"!",1)&amp;"__"&amp;
_xlfn.XLOOKUP(M106,Códigos_Propuestas!$I$4:$I$7,Códigos_Propuestas!$J$4:$J$7,"!",1)&amp;"__"&amp;
_xlfn.XLOOKUP(N106,Códigos_Propuestas!$O$4:$O$11,Códigos_Propuestas!$Q$4:$Q$11,"!",1)&amp;"__"&amp;
_xlfn.XLOOKUP(F106,Códigos_Propuestas!$BF:$BF,Códigos_Propuestas!$BH:$BH,"!",0,1)</f>
        <v>BR__ERC__OU__PEA__!</v>
      </c>
      <c r="C106" s="47">
        <v>104</v>
      </c>
      <c r="D106" s="174" t="s">
        <v>88</v>
      </c>
      <c r="E106" s="174" t="s">
        <v>88</v>
      </c>
      <c r="F106" s="194" t="s">
        <v>817</v>
      </c>
      <c r="G106" s="174"/>
      <c r="H106" s="174" t="s">
        <v>297</v>
      </c>
      <c r="I106" s="174" t="s">
        <v>519</v>
      </c>
      <c r="J106" s="174" t="s">
        <v>122</v>
      </c>
      <c r="K106" s="47" t="s">
        <v>98</v>
      </c>
      <c r="L106" s="181"/>
      <c r="M106" s="174" t="s">
        <v>116</v>
      </c>
      <c r="N106" s="186" t="s">
        <v>39</v>
      </c>
      <c r="O106" s="181" t="s">
        <v>40</v>
      </c>
      <c r="P106" s="181" t="s">
        <v>108</v>
      </c>
      <c r="Q106" s="181" t="s">
        <v>689</v>
      </c>
      <c r="R106" s="181"/>
      <c r="S106" s="174"/>
      <c r="T106" s="183" t="b">
        <v>0</v>
      </c>
      <c r="U106" s="174"/>
      <c r="V106" s="183" t="b">
        <v>0</v>
      </c>
      <c r="W106" s="174"/>
      <c r="X106" s="183" t="b">
        <v>0</v>
      </c>
      <c r="Y106" s="174"/>
      <c r="Z106" s="183" t="b">
        <v>0</v>
      </c>
      <c r="AA106" s="174"/>
      <c r="AB106" s="174"/>
      <c r="AC106" s="183" t="b">
        <v>1</v>
      </c>
      <c r="AD106" s="183" t="b">
        <v>0</v>
      </c>
      <c r="AE106" s="183" t="b">
        <v>0</v>
      </c>
      <c r="AF106" s="183" t="b">
        <v>0</v>
      </c>
      <c r="AG106" s="183" t="b">
        <v>0</v>
      </c>
      <c r="AH106" s="32"/>
      <c r="AI106" s="32" t="s">
        <v>45</v>
      </c>
      <c r="AJ106" s="32" t="s">
        <v>50</v>
      </c>
      <c r="AK106" s="28"/>
      <c r="AL106" s="97">
        <v>150669</v>
      </c>
      <c r="AM106" s="169">
        <f t="shared" si="5"/>
        <v>60267.600000000006</v>
      </c>
      <c r="AN106" s="174">
        <v>2</v>
      </c>
      <c r="AO106" s="15"/>
      <c r="AP106" s="18">
        <v>46129</v>
      </c>
      <c r="AQ106" s="18">
        <v>46142</v>
      </c>
      <c r="AR106" s="235"/>
      <c r="AS106" s="18"/>
      <c r="AT106" s="18">
        <v>46146</v>
      </c>
    </row>
    <row r="107" spans="1:46" hidden="1" x14ac:dyDescent="0.2">
      <c r="A107" s="187">
        <f t="shared" si="6"/>
        <v>19</v>
      </c>
      <c r="B107" s="191" t="str">
        <f>_xlfn.XLOOKUP(D107,Códigos_Propuestas!$B$4:$B$10,Códigos_Propuestas!$C$4:$C$10,"!",0,1)&amp;"__"&amp;
_xlfn.XLOOKUP(H107,Códigos_Propuestas!$E$4:$E$76,Códigos_Propuestas!$F$4:$F$76,"!",1)&amp;"__"&amp;
_xlfn.XLOOKUP(M107,Códigos_Propuestas!$I$4:$I$7,Códigos_Propuestas!$J$4:$J$7,"!",1)&amp;"__"&amp;
_xlfn.XLOOKUP(N107,Códigos_Propuestas!$O$4:$O$11,Códigos_Propuestas!$Q$4:$Q$11,"!",1)&amp;"__"&amp;
_xlfn.XLOOKUP(F107,Códigos_Propuestas!$BF:$BF,Códigos_Propuestas!$BH:$BH,"!",0,1)</f>
        <v>BR__AUM__UG__PEA__!</v>
      </c>
      <c r="C107" s="47">
        <v>105</v>
      </c>
      <c r="D107" s="174" t="s">
        <v>88</v>
      </c>
      <c r="E107" s="174" t="s">
        <v>88</v>
      </c>
      <c r="F107" s="194" t="s">
        <v>778</v>
      </c>
      <c r="G107" s="174"/>
      <c r="H107" s="174" t="s">
        <v>286</v>
      </c>
      <c r="I107" s="174" t="s">
        <v>799</v>
      </c>
      <c r="J107" s="174"/>
      <c r="K107" s="47" t="s">
        <v>44</v>
      </c>
      <c r="L107" s="181"/>
      <c r="M107" s="174" t="s">
        <v>65</v>
      </c>
      <c r="N107" s="186" t="s">
        <v>39</v>
      </c>
      <c r="O107" s="181" t="s">
        <v>40</v>
      </c>
      <c r="P107" s="181" t="s">
        <v>108</v>
      </c>
      <c r="Q107" s="181" t="s">
        <v>689</v>
      </c>
      <c r="R107" s="181"/>
      <c r="S107" s="174"/>
      <c r="T107" s="183" t="b">
        <v>0</v>
      </c>
      <c r="U107" s="174"/>
      <c r="V107" s="183" t="b">
        <v>0</v>
      </c>
      <c r="W107" s="174"/>
      <c r="X107" s="183" t="b">
        <v>0</v>
      </c>
      <c r="Y107" s="174"/>
      <c r="Z107" s="183" t="b">
        <v>0</v>
      </c>
      <c r="AA107" s="174"/>
      <c r="AB107" s="174"/>
      <c r="AC107" s="183" t="b">
        <v>1</v>
      </c>
      <c r="AD107" s="183" t="b">
        <v>0</v>
      </c>
      <c r="AE107" s="183" t="b">
        <v>0</v>
      </c>
      <c r="AF107" s="183" t="b">
        <v>0</v>
      </c>
      <c r="AG107" s="183" t="b">
        <v>0</v>
      </c>
      <c r="AH107" s="32"/>
      <c r="AI107" s="32"/>
      <c r="AJ107" s="32"/>
      <c r="AK107" s="28"/>
      <c r="AL107" s="97">
        <v>142187.16981132078</v>
      </c>
      <c r="AM107" s="169">
        <f t="shared" si="5"/>
        <v>56874.867924528313</v>
      </c>
      <c r="AN107" s="174">
        <v>5</v>
      </c>
      <c r="AO107" s="15"/>
      <c r="AP107" s="18">
        <v>46125</v>
      </c>
      <c r="AQ107" s="18">
        <v>46136</v>
      </c>
      <c r="AR107" s="235"/>
      <c r="AS107" s="18"/>
      <c r="AT107" s="18"/>
    </row>
    <row r="108" spans="1:46" hidden="1" x14ac:dyDescent="0.2">
      <c r="A108" s="187">
        <f t="shared" si="6"/>
        <v>19</v>
      </c>
      <c r="B108" s="191" t="str">
        <f>_xlfn.XLOOKUP(D108,Códigos_Propuestas!$B$4:$B$10,Códigos_Propuestas!$C$4:$C$10,"!",0,1)&amp;"__"&amp;
_xlfn.XLOOKUP(H108,Códigos_Propuestas!$E$4:$E$76,Códigos_Propuestas!$F$4:$F$76,"!",1)&amp;"__"&amp;
_xlfn.XLOOKUP(M108,Códigos_Propuestas!$I$4:$I$7,Códigos_Propuestas!$J$4:$J$7,"!",1)&amp;"__"&amp;
_xlfn.XLOOKUP(N108,Códigos_Propuestas!$O$4:$O$11,Códigos_Propuestas!$Q$4:$Q$11,"!",1)&amp;"__"&amp;
_xlfn.XLOOKUP(F108,Códigos_Propuestas!$BF:$BF,Códigos_Propuestas!$BH:$BH,"!",0,1)</f>
        <v>PE__VLC__OU__MGE__!</v>
      </c>
      <c r="C108" s="47">
        <v>106</v>
      </c>
      <c r="D108" s="174" t="s">
        <v>62</v>
      </c>
      <c r="E108" s="174" t="s">
        <v>62</v>
      </c>
      <c r="F108" s="196" t="s">
        <v>811</v>
      </c>
      <c r="G108" s="174"/>
      <c r="H108" s="174" t="s">
        <v>284</v>
      </c>
      <c r="I108" s="174" t="s">
        <v>800</v>
      </c>
      <c r="J108" s="174"/>
      <c r="K108" s="47" t="s">
        <v>44</v>
      </c>
      <c r="L108" s="181"/>
      <c r="M108" s="174" t="s">
        <v>116</v>
      </c>
      <c r="N108" s="186" t="s">
        <v>153</v>
      </c>
      <c r="O108" s="181" t="s">
        <v>645</v>
      </c>
      <c r="P108" s="181" t="s">
        <v>129</v>
      </c>
      <c r="Q108" s="181" t="s">
        <v>690</v>
      </c>
      <c r="R108" s="181"/>
      <c r="S108" s="174"/>
      <c r="T108" s="183" t="b">
        <v>0</v>
      </c>
      <c r="U108" s="174"/>
      <c r="V108" s="183" t="b">
        <v>0</v>
      </c>
      <c r="W108" s="174"/>
      <c r="X108" s="183" t="b">
        <v>0</v>
      </c>
      <c r="Y108" s="174"/>
      <c r="Z108" s="183" t="b">
        <v>0</v>
      </c>
      <c r="AA108" s="174" t="s">
        <v>86</v>
      </c>
      <c r="AB108" s="174"/>
      <c r="AC108" s="183" t="b">
        <v>1</v>
      </c>
      <c r="AD108" s="183" t="b">
        <v>0</v>
      </c>
      <c r="AE108" s="183" t="b">
        <v>0</v>
      </c>
      <c r="AF108" s="183" t="b">
        <v>0</v>
      </c>
      <c r="AG108" s="183" t="b">
        <v>0</v>
      </c>
      <c r="AH108" s="32"/>
      <c r="AI108" s="32"/>
      <c r="AJ108" s="32"/>
      <c r="AK108" s="28"/>
      <c r="AL108" s="98">
        <v>100000</v>
      </c>
      <c r="AM108" s="169">
        <f t="shared" si="5"/>
        <v>40000</v>
      </c>
      <c r="AN108" s="174"/>
      <c r="AO108" s="15"/>
      <c r="AP108" s="18">
        <v>46135</v>
      </c>
      <c r="AQ108" s="18"/>
      <c r="AR108" s="235"/>
      <c r="AS108" s="18"/>
      <c r="AT108" s="18"/>
    </row>
    <row r="109" spans="1:46" hidden="1" x14ac:dyDescent="0.2">
      <c r="A109" s="187">
        <f t="shared" si="6"/>
        <v>19</v>
      </c>
      <c r="B109" s="191" t="str">
        <f>_xlfn.XLOOKUP(D109,Códigos_Propuestas!$B$4:$B$10,Códigos_Propuestas!$C$4:$C$10,"!",0,1)&amp;"__"&amp;
_xlfn.XLOOKUP(H109,Códigos_Propuestas!$E$4:$E$76,Códigos_Propuestas!$F$4:$F$76,"!",1)&amp;"__"&amp;
_xlfn.XLOOKUP(M109,Códigos_Propuestas!$I$4:$I$7,Códigos_Propuestas!$J$4:$J$7,"!",1)&amp;"__"&amp;
_xlfn.XLOOKUP(N109,Códigos_Propuestas!$O$4:$O$11,Códigos_Propuestas!$Q$4:$Q$11,"!",1)&amp;"__"&amp;
_xlfn.XLOOKUP(F109,Códigos_Propuestas!$BF:$BF,Códigos_Propuestas!$BH:$BH,"!",0,1)</f>
        <v>PE__VLC__OU__MIN__!</v>
      </c>
      <c r="C109" s="47">
        <v>107</v>
      </c>
      <c r="D109" s="174" t="s">
        <v>62</v>
      </c>
      <c r="E109" s="174" t="s">
        <v>62</v>
      </c>
      <c r="F109" s="196" t="s">
        <v>810</v>
      </c>
      <c r="G109" s="174"/>
      <c r="H109" s="174" t="s">
        <v>284</v>
      </c>
      <c r="I109" s="174" t="s">
        <v>800</v>
      </c>
      <c r="J109" s="174" t="s">
        <v>97</v>
      </c>
      <c r="K109" s="47" t="s">
        <v>44</v>
      </c>
      <c r="L109" s="181"/>
      <c r="M109" s="174" t="s">
        <v>116</v>
      </c>
      <c r="N109" s="186" t="s">
        <v>176</v>
      </c>
      <c r="O109" s="181" t="s">
        <v>40</v>
      </c>
      <c r="P109" s="181" t="s">
        <v>129</v>
      </c>
      <c r="Q109" s="181" t="s">
        <v>690</v>
      </c>
      <c r="R109" s="181"/>
      <c r="S109" s="174"/>
      <c r="T109" s="183" t="b">
        <v>0</v>
      </c>
      <c r="U109" s="174"/>
      <c r="V109" s="183" t="b">
        <v>0</v>
      </c>
      <c r="W109" s="174"/>
      <c r="X109" s="183" t="b">
        <v>0</v>
      </c>
      <c r="Y109" s="174"/>
      <c r="Z109" s="183" t="b">
        <v>0</v>
      </c>
      <c r="AA109" s="174"/>
      <c r="AB109" s="174"/>
      <c r="AC109" s="183" t="b">
        <v>1</v>
      </c>
      <c r="AD109" s="183" t="b">
        <v>0</v>
      </c>
      <c r="AE109" s="183" t="b">
        <v>0</v>
      </c>
      <c r="AF109" s="183" t="b">
        <v>0</v>
      </c>
      <c r="AG109" s="183" t="b">
        <v>0</v>
      </c>
      <c r="AH109" s="32"/>
      <c r="AI109" s="32"/>
      <c r="AJ109" s="32"/>
      <c r="AK109" s="28"/>
      <c r="AL109" s="97">
        <v>262460</v>
      </c>
      <c r="AM109" s="169">
        <f t="shared" si="5"/>
        <v>104984</v>
      </c>
      <c r="AN109" s="174">
        <v>6</v>
      </c>
      <c r="AO109" s="15"/>
      <c r="AP109" s="18">
        <v>46135</v>
      </c>
      <c r="AQ109" s="18">
        <v>46147</v>
      </c>
      <c r="AR109" s="235"/>
      <c r="AS109" s="18"/>
      <c r="AT109" s="18"/>
    </row>
    <row r="110" spans="1:46" x14ac:dyDescent="0.2">
      <c r="A110" s="187">
        <f t="shared" si="6"/>
        <v>18</v>
      </c>
      <c r="B110" s="191" t="str">
        <f>_xlfn.XLOOKUP(D110,Códigos_Propuestas!$B$4:$B$10,Códigos_Propuestas!$C$4:$C$10,"!",0,1)&amp;"__"&amp;
_xlfn.XLOOKUP(H110,Códigos_Propuestas!$E$4:$E$76,Códigos_Propuestas!$F$4:$F$76,"!",1)&amp;"__"&amp;
_xlfn.XLOOKUP(M110,Códigos_Propuestas!$I$4:$I$7,Códigos_Propuestas!$J$4:$J$7,"!",1)&amp;"__"&amp;
_xlfn.XLOOKUP(N110,Códigos_Propuestas!$O$4:$O$11,Códigos_Propuestas!$Q$4:$Q$11,"!",1)&amp;"__"&amp;
_xlfn.XLOOKUP(F110,Códigos_Propuestas!$BF:$BF,Códigos_Propuestas!$BH:$BH,"!",0,1)</f>
        <v>PE__HCS__!__MGE__!</v>
      </c>
      <c r="C110" s="47">
        <v>108</v>
      </c>
      <c r="D110" s="174" t="s">
        <v>62</v>
      </c>
      <c r="E110" s="174" t="s">
        <v>820</v>
      </c>
      <c r="F110" s="194" t="s">
        <v>816</v>
      </c>
      <c r="G110" s="174"/>
      <c r="H110" s="174" t="s">
        <v>806</v>
      </c>
      <c r="I110" s="174" t="s">
        <v>807</v>
      </c>
      <c r="J110" s="174" t="s">
        <v>122</v>
      </c>
      <c r="K110" s="47" t="s">
        <v>44</v>
      </c>
      <c r="L110" s="181" t="s">
        <v>809</v>
      </c>
      <c r="M110" s="174"/>
      <c r="N110" s="186" t="s">
        <v>153</v>
      </c>
      <c r="O110" s="181" t="s">
        <v>40</v>
      </c>
      <c r="P110" s="181" t="s">
        <v>129</v>
      </c>
      <c r="Q110" s="181" t="s">
        <v>690</v>
      </c>
      <c r="R110" s="181"/>
      <c r="S110" s="174"/>
      <c r="T110" s="183" t="b">
        <v>0</v>
      </c>
      <c r="U110" s="174"/>
      <c r="V110" s="183" t="b">
        <v>0</v>
      </c>
      <c r="W110" s="174"/>
      <c r="X110" s="183" t="b">
        <v>0</v>
      </c>
      <c r="Y110" s="174"/>
      <c r="Z110" s="183" t="b">
        <v>0</v>
      </c>
      <c r="AA110" s="174"/>
      <c r="AB110" s="174"/>
      <c r="AC110" s="183" t="b">
        <v>1</v>
      </c>
      <c r="AD110" s="183" t="b">
        <v>0</v>
      </c>
      <c r="AE110" s="183" t="b">
        <v>0</v>
      </c>
      <c r="AF110" s="183" t="b">
        <v>0</v>
      </c>
      <c r="AG110" s="183" t="b">
        <v>0</v>
      </c>
      <c r="AH110" s="32"/>
      <c r="AI110" s="32" t="s">
        <v>45</v>
      </c>
      <c r="AJ110" s="32" t="s">
        <v>50</v>
      </c>
      <c r="AK110" s="28"/>
      <c r="AL110" s="97">
        <v>60740</v>
      </c>
      <c r="AM110" s="169">
        <f t="shared" si="5"/>
        <v>12148</v>
      </c>
      <c r="AN110" s="174">
        <v>1.5</v>
      </c>
      <c r="AO110" s="15"/>
      <c r="AP110" s="18">
        <v>46140</v>
      </c>
      <c r="AQ110" s="18">
        <v>46142</v>
      </c>
      <c r="AR110" s="235">
        <v>1</v>
      </c>
      <c r="AS110" s="18">
        <v>46148</v>
      </c>
      <c r="AT110" s="18">
        <v>46149</v>
      </c>
    </row>
    <row r="111" spans="1:46" x14ac:dyDescent="0.2">
      <c r="A111" s="187">
        <f t="shared" si="6"/>
        <v>19</v>
      </c>
      <c r="B111" s="191" t="str">
        <f>_xlfn.XLOOKUP(D111,Códigos_Propuestas!$B$4:$B$10,Códigos_Propuestas!$C$4:$C$10,"!",0,1)&amp;"__"&amp;
_xlfn.XLOOKUP(H111,Códigos_Propuestas!$E$4:$E$76,Códigos_Propuestas!$F$4:$F$76,"!",1)&amp;"__"&amp;
_xlfn.XLOOKUP(M111,Códigos_Propuestas!$I$4:$I$7,Códigos_Propuestas!$J$4:$J$7,"!",1)&amp;"__"&amp;
_xlfn.XLOOKUP(N111,Códigos_Propuestas!$O$4:$O$11,Códigos_Propuestas!$Q$4:$Q$11,"!",1)&amp;"__"&amp;
_xlfn.XLOOKUP(F111,Códigos_Propuestas!$BF:$BF,Códigos_Propuestas!$BH:$BH,"!",0,1)</f>
        <v>CH__AMS__OP__MIN__!</v>
      </c>
      <c r="C111" s="47">
        <v>109</v>
      </c>
      <c r="D111" s="174" t="s">
        <v>32</v>
      </c>
      <c r="E111" s="174" t="s">
        <v>32</v>
      </c>
      <c r="F111" s="194" t="s">
        <v>821</v>
      </c>
      <c r="G111" s="174"/>
      <c r="H111" s="174" t="s">
        <v>162</v>
      </c>
      <c r="I111" s="174" t="s">
        <v>800</v>
      </c>
      <c r="J111" s="174" t="s">
        <v>122</v>
      </c>
      <c r="K111" s="47" t="s">
        <v>44</v>
      </c>
      <c r="L111" s="181" t="s">
        <v>852</v>
      </c>
      <c r="M111" s="174" t="s">
        <v>92</v>
      </c>
      <c r="N111" s="186" t="s">
        <v>35</v>
      </c>
      <c r="O111" s="181" t="s">
        <v>40</v>
      </c>
      <c r="P111" s="181" t="s">
        <v>129</v>
      </c>
      <c r="Q111" s="181" t="s">
        <v>690</v>
      </c>
      <c r="R111" s="181"/>
      <c r="S111" s="174"/>
      <c r="T111" s="183" t="b">
        <v>0</v>
      </c>
      <c r="U111" s="174"/>
      <c r="V111" s="183" t="b">
        <v>0</v>
      </c>
      <c r="W111" s="174"/>
      <c r="X111" s="183" t="b">
        <v>0</v>
      </c>
      <c r="Y111" s="174"/>
      <c r="Z111" s="183" t="b">
        <v>0</v>
      </c>
      <c r="AA111" s="174"/>
      <c r="AB111" s="174"/>
      <c r="AC111" s="183" t="b">
        <v>1</v>
      </c>
      <c r="AD111" s="183" t="b">
        <v>1</v>
      </c>
      <c r="AE111" s="183" t="b">
        <v>0</v>
      </c>
      <c r="AF111" s="183" t="b">
        <v>0</v>
      </c>
      <c r="AG111" s="183" t="b">
        <v>0</v>
      </c>
      <c r="AH111" s="32"/>
      <c r="AI111" s="32" t="s">
        <v>123</v>
      </c>
      <c r="AJ111" s="32" t="s">
        <v>50</v>
      </c>
      <c r="AK111" s="28"/>
      <c r="AL111" s="97">
        <v>11920</v>
      </c>
      <c r="AM111" s="169">
        <f t="shared" si="5"/>
        <v>2384</v>
      </c>
      <c r="AN111" s="174">
        <v>1.5</v>
      </c>
      <c r="AO111" s="15"/>
      <c r="AP111" s="18">
        <v>46143</v>
      </c>
      <c r="AQ111" s="18">
        <v>46149</v>
      </c>
      <c r="AR111" s="235">
        <v>1</v>
      </c>
      <c r="AS111" s="18">
        <v>46160</v>
      </c>
      <c r="AT111" s="18">
        <v>46171</v>
      </c>
    </row>
    <row r="112" spans="1:46" hidden="1" x14ac:dyDescent="0.2">
      <c r="A112" s="187">
        <f t="shared" si="6"/>
        <v>18</v>
      </c>
      <c r="B112" s="191" t="str">
        <f>_xlfn.XLOOKUP(D112,Códigos_Propuestas!$B$4:$B$10,Códigos_Propuestas!$C$4:$C$10,"!",0,1)&amp;"__"&amp;
_xlfn.XLOOKUP(H112,Códigos_Propuestas!$E$4:$E$76,Códigos_Propuestas!$F$4:$F$76,"!",1)&amp;"__"&amp;
_xlfn.XLOOKUP(M112,Códigos_Propuestas!$I$4:$I$7,Códigos_Propuestas!$J$4:$J$7,"!",1)&amp;"__"&amp;
_xlfn.XLOOKUP(N112,Códigos_Propuestas!$O$4:$O$11,Códigos_Propuestas!$Q$4:$Q$11,"!",1)&amp;"__"&amp;
_xlfn.XLOOKUP(F112,Códigos_Propuestas!$BF:$BF,Códigos_Propuestas!$BH:$BH,"!",0,1)</f>
        <v>PE__SPM__!__DAR__!</v>
      </c>
      <c r="C112" s="47">
        <v>110</v>
      </c>
      <c r="D112" s="174" t="s">
        <v>62</v>
      </c>
      <c r="E112" s="174" t="s">
        <v>62</v>
      </c>
      <c r="F112" s="194" t="s">
        <v>818</v>
      </c>
      <c r="G112" s="174"/>
      <c r="H112" s="174" t="s">
        <v>303</v>
      </c>
      <c r="I112" s="174"/>
      <c r="J112" s="174" t="s">
        <v>143</v>
      </c>
      <c r="K112" s="47"/>
      <c r="L112" s="181" t="s">
        <v>819</v>
      </c>
      <c r="M112" s="174"/>
      <c r="N112" s="186" t="s">
        <v>95</v>
      </c>
      <c r="O112" s="181" t="s">
        <v>40</v>
      </c>
      <c r="P112" s="181" t="s">
        <v>80</v>
      </c>
      <c r="Q112" s="181" t="s">
        <v>690</v>
      </c>
      <c r="R112" s="181" t="s">
        <v>79</v>
      </c>
      <c r="S112" s="174"/>
      <c r="T112" s="183" t="b">
        <v>0</v>
      </c>
      <c r="U112" s="174"/>
      <c r="V112" s="183" t="b">
        <v>0</v>
      </c>
      <c r="W112" s="174"/>
      <c r="X112" s="183" t="b">
        <v>0</v>
      </c>
      <c r="Y112" s="174"/>
      <c r="Z112" s="183" t="b">
        <v>0</v>
      </c>
      <c r="AA112" s="174"/>
      <c r="AB112" s="174"/>
      <c r="AC112" s="183" t="b">
        <v>1</v>
      </c>
      <c r="AD112" s="183" t="b">
        <v>0</v>
      </c>
      <c r="AE112" s="183" t="b">
        <v>0</v>
      </c>
      <c r="AF112" s="183" t="b">
        <v>0</v>
      </c>
      <c r="AG112" s="183" t="b">
        <v>0</v>
      </c>
      <c r="AH112" s="32"/>
      <c r="AI112" s="32"/>
      <c r="AJ112" s="32"/>
      <c r="AK112" s="28"/>
      <c r="AL112" s="97">
        <v>34745</v>
      </c>
      <c r="AM112" s="169">
        <f t="shared" si="5"/>
        <v>6949</v>
      </c>
      <c r="AN112" s="174">
        <v>1</v>
      </c>
      <c r="AO112" s="15"/>
      <c r="AP112" s="18">
        <v>46147</v>
      </c>
      <c r="AQ112" s="18">
        <v>46148</v>
      </c>
      <c r="AR112" s="235"/>
      <c r="AS112" s="18"/>
      <c r="AT112" s="18">
        <v>46170</v>
      </c>
    </row>
    <row r="113" spans="1:46" hidden="1" x14ac:dyDescent="0.2">
      <c r="A113" s="187">
        <f t="shared" si="6"/>
        <v>19</v>
      </c>
      <c r="B113" s="191" t="str">
        <f>_xlfn.XLOOKUP(D113,Códigos_Propuestas!$B$4:$B$10,Códigos_Propuestas!$C$4:$C$10,"!",0,1)&amp;"__"&amp;
_xlfn.XLOOKUP(H113,Códigos_Propuestas!$E$4:$E$76,Códigos_Propuestas!$F$4:$F$76,"!",1)&amp;"__"&amp;
_xlfn.XLOOKUP(M113,Códigos_Propuestas!$I$4:$I$7,Códigos_Propuestas!$J$4:$J$7,"!",1)&amp;"__"&amp;
_xlfn.XLOOKUP(N113,Códigos_Propuestas!$O$4:$O$11,Códigos_Propuestas!$Q$4:$Q$11,"!",1)&amp;"__"&amp;
_xlfn.XLOOKUP(F113,Códigos_Propuestas!$BF:$BF,Códigos_Propuestas!$BH:$BH,"!",0,1)</f>
        <v>PE__SPM__UG__MGE__!</v>
      </c>
      <c r="C113" s="47">
        <v>111</v>
      </c>
      <c r="D113" s="174" t="s">
        <v>62</v>
      </c>
      <c r="E113" s="174" t="s">
        <v>62</v>
      </c>
      <c r="F113" s="194" t="s">
        <v>823</v>
      </c>
      <c r="G113" s="174"/>
      <c r="H113" s="174" t="s">
        <v>303</v>
      </c>
      <c r="I113" s="174" t="s">
        <v>824</v>
      </c>
      <c r="J113" s="174" t="s">
        <v>143</v>
      </c>
      <c r="K113" s="47"/>
      <c r="L113" s="181" t="s">
        <v>825</v>
      </c>
      <c r="M113" s="174" t="s">
        <v>65</v>
      </c>
      <c r="N113" s="186" t="s">
        <v>153</v>
      </c>
      <c r="O113" s="181" t="s">
        <v>40</v>
      </c>
      <c r="P113" s="181" t="s">
        <v>129</v>
      </c>
      <c r="Q113" s="181" t="s">
        <v>690</v>
      </c>
      <c r="R113" s="181" t="s">
        <v>79</v>
      </c>
      <c r="S113" s="174"/>
      <c r="T113" s="183" t="b">
        <v>0</v>
      </c>
      <c r="U113" s="174"/>
      <c r="V113" s="183" t="b">
        <v>0</v>
      </c>
      <c r="W113" s="174"/>
      <c r="X113" s="183" t="b">
        <v>0</v>
      </c>
      <c r="Y113" s="174"/>
      <c r="Z113" s="183" t="b">
        <v>0</v>
      </c>
      <c r="AA113" s="174"/>
      <c r="AB113" s="174"/>
      <c r="AC113" s="183" t="b">
        <v>1</v>
      </c>
      <c r="AD113" s="183" t="b">
        <v>0</v>
      </c>
      <c r="AE113" s="183" t="b">
        <v>0</v>
      </c>
      <c r="AF113" s="183" t="b">
        <v>0</v>
      </c>
      <c r="AG113" s="183" t="b">
        <v>0</v>
      </c>
      <c r="AH113" s="32"/>
      <c r="AI113" s="32"/>
      <c r="AJ113" s="32"/>
      <c r="AK113" s="28"/>
      <c r="AL113" s="97">
        <v>55000</v>
      </c>
      <c r="AM113" s="169">
        <f t="shared" si="5"/>
        <v>11000</v>
      </c>
      <c r="AN113" s="174">
        <v>2.25</v>
      </c>
      <c r="AO113" s="15"/>
      <c r="AP113" s="18">
        <v>46149</v>
      </c>
      <c r="AQ113" s="18">
        <v>46149</v>
      </c>
      <c r="AR113" s="235"/>
      <c r="AS113" s="18"/>
      <c r="AT113" s="18">
        <v>46170</v>
      </c>
    </row>
    <row r="114" spans="1:46" hidden="1" x14ac:dyDescent="0.2">
      <c r="A114" s="187">
        <f t="shared" si="6"/>
        <v>19</v>
      </c>
      <c r="B114" s="191" t="str">
        <f>_xlfn.XLOOKUP(D114,Códigos_Propuestas!$B$4:$B$10,Códigos_Propuestas!$C$4:$C$10,"!",0,1)&amp;"__"&amp;
_xlfn.XLOOKUP(H114,Códigos_Propuestas!$E$4:$E$76,Códigos_Propuestas!$F$4:$F$76,"!",1)&amp;"__"&amp;
_xlfn.XLOOKUP(M114,Códigos_Propuestas!$I$4:$I$7,Códigos_Propuestas!$J$4:$J$7,"!",1)&amp;"__"&amp;
_xlfn.XLOOKUP(N114,Códigos_Propuestas!$O$4:$O$11,Códigos_Propuestas!$Q$4:$Q$11,"!",1)&amp;"__"&amp;
_xlfn.XLOOKUP(F114,Códigos_Propuestas!$BF:$BF,Códigos_Propuestas!$BH:$BH,"!",0,1)</f>
        <v>PE__FNE__UG__MGE__!</v>
      </c>
      <c r="C114" s="47">
        <v>112</v>
      </c>
      <c r="D114" s="174" t="s">
        <v>62</v>
      </c>
      <c r="E114" s="174" t="s">
        <v>62</v>
      </c>
      <c r="F114" s="196" t="s">
        <v>813</v>
      </c>
      <c r="G114" s="174"/>
      <c r="H114" s="174" t="s">
        <v>370</v>
      </c>
      <c r="I114" s="174" t="s">
        <v>580</v>
      </c>
      <c r="J114" s="174" t="s">
        <v>97</v>
      </c>
      <c r="K114" s="47" t="s">
        <v>72</v>
      </c>
      <c r="L114" s="181" t="s">
        <v>834</v>
      </c>
      <c r="M114" s="174" t="s">
        <v>65</v>
      </c>
      <c r="N114" s="186" t="s">
        <v>153</v>
      </c>
      <c r="O114" s="181" t="s">
        <v>40</v>
      </c>
      <c r="P114" s="181" t="s">
        <v>129</v>
      </c>
      <c r="Q114" s="181" t="s">
        <v>690</v>
      </c>
      <c r="R114" s="181"/>
      <c r="S114" s="174"/>
      <c r="T114" s="183" t="b">
        <v>0</v>
      </c>
      <c r="U114" s="174"/>
      <c r="V114" s="183" t="b">
        <v>0</v>
      </c>
      <c r="W114" s="174"/>
      <c r="X114" s="183" t="b">
        <v>0</v>
      </c>
      <c r="Y114" s="174"/>
      <c r="Z114" s="183" t="b">
        <v>0</v>
      </c>
      <c r="AA114" s="174"/>
      <c r="AB114" s="174"/>
      <c r="AC114" s="183" t="b">
        <v>1</v>
      </c>
      <c r="AD114" s="183" t="b">
        <v>0</v>
      </c>
      <c r="AE114" s="183" t="b">
        <v>0</v>
      </c>
      <c r="AF114" s="183" t="b">
        <v>0</v>
      </c>
      <c r="AG114" s="183" t="b">
        <v>0</v>
      </c>
      <c r="AH114" s="32"/>
      <c r="AI114" s="32"/>
      <c r="AJ114" s="32"/>
      <c r="AK114" s="28"/>
      <c r="AL114" s="97">
        <v>95311</v>
      </c>
      <c r="AM114" s="169">
        <f t="shared" si="5"/>
        <v>19062.2</v>
      </c>
      <c r="AN114" s="174">
        <v>2.5</v>
      </c>
      <c r="AO114" s="15"/>
      <c r="AP114" s="18">
        <v>46136</v>
      </c>
      <c r="AQ114" s="18">
        <v>46162</v>
      </c>
      <c r="AR114" s="235">
        <v>1</v>
      </c>
      <c r="AS114" s="18">
        <v>46192</v>
      </c>
      <c r="AT114" s="18"/>
    </row>
    <row r="115" spans="1:46" hidden="1" x14ac:dyDescent="0.2">
      <c r="A115" s="187">
        <f t="shared" si="6"/>
        <v>18</v>
      </c>
      <c r="B115" s="191" t="str">
        <f>_xlfn.XLOOKUP(D115,Códigos_Propuestas!$B$4:$B$10,Códigos_Propuestas!$C$4:$C$10,"!",0,1)&amp;"__"&amp;
_xlfn.XLOOKUP(H115,Códigos_Propuestas!$E$4:$E$76,Códigos_Propuestas!$F$4:$F$76,"!",1)&amp;"__"&amp;
_xlfn.XLOOKUP(M115,Códigos_Propuestas!$I$4:$I$7,Códigos_Propuestas!$J$4:$J$7,"!",1)&amp;"__"&amp;
_xlfn.XLOOKUP(N116,Códigos_Propuestas!$O$4:$O$11,Códigos_Propuestas!$Q$4:$Q$11,"!",1)&amp;"__"&amp;
_xlfn.XLOOKUP(F115,Códigos_Propuestas!$BF:$BF,Códigos_Propuestas!$BH:$BH,"!",0,1)</f>
        <v>BR__CMP__!__MGE__!</v>
      </c>
      <c r="C115" s="47">
        <v>113</v>
      </c>
      <c r="D115" s="174" t="s">
        <v>88</v>
      </c>
      <c r="E115" s="174" t="s">
        <v>88</v>
      </c>
      <c r="F115" s="196" t="s">
        <v>822</v>
      </c>
      <c r="G115" s="174"/>
      <c r="H115" s="174" t="s">
        <v>864</v>
      </c>
      <c r="I115" s="174" t="s">
        <v>831</v>
      </c>
      <c r="J115" s="174" t="s">
        <v>97</v>
      </c>
      <c r="K115" s="47" t="s">
        <v>98</v>
      </c>
      <c r="L115" s="186" t="s">
        <v>833</v>
      </c>
      <c r="M115" s="174"/>
      <c r="N115" s="186" t="s">
        <v>95</v>
      </c>
      <c r="O115" s="181" t="s">
        <v>40</v>
      </c>
      <c r="P115" s="181" t="s">
        <v>108</v>
      </c>
      <c r="Q115" s="181" t="s">
        <v>690</v>
      </c>
      <c r="R115" s="181"/>
      <c r="S115" s="174"/>
      <c r="T115" s="183" t="b">
        <v>0</v>
      </c>
      <c r="U115" s="174"/>
      <c r="V115" s="183" t="b">
        <v>0</v>
      </c>
      <c r="W115" s="174"/>
      <c r="X115" s="183" t="b">
        <v>0</v>
      </c>
      <c r="Y115" s="174"/>
      <c r="Z115" s="183" t="b">
        <v>0</v>
      </c>
      <c r="AA115" s="174"/>
      <c r="AB115" s="174"/>
      <c r="AC115" s="183" t="b">
        <v>1</v>
      </c>
      <c r="AD115" s="183" t="b">
        <v>1</v>
      </c>
      <c r="AE115" s="183" t="b">
        <v>0</v>
      </c>
      <c r="AF115" s="183" t="b">
        <v>1</v>
      </c>
      <c r="AG115" s="183" t="b">
        <v>0</v>
      </c>
      <c r="AH115" s="32"/>
      <c r="AI115" s="32"/>
      <c r="AJ115" s="32"/>
      <c r="AK115" s="28"/>
      <c r="AL115" s="97">
        <v>2480504</v>
      </c>
      <c r="AM115" s="169">
        <f t="shared" si="5"/>
        <v>992201.60000000009</v>
      </c>
      <c r="AN115" s="174">
        <v>6</v>
      </c>
      <c r="AO115" s="15"/>
      <c r="AP115" s="18">
        <v>46149</v>
      </c>
      <c r="AQ115" s="18">
        <v>46178</v>
      </c>
      <c r="AR115" s="235">
        <v>1</v>
      </c>
      <c r="AS115" s="18">
        <v>46199</v>
      </c>
      <c r="AT115" s="18"/>
    </row>
    <row r="116" spans="1:46" hidden="1" x14ac:dyDescent="0.2">
      <c r="A116" s="187">
        <f t="shared" si="6"/>
        <v>19</v>
      </c>
      <c r="B116" s="191" t="str">
        <f>_xlfn.XLOOKUP(D116,Códigos_Propuestas!$B$4:$B$10,Códigos_Propuestas!$C$4:$C$10,"!",0,1)&amp;"__"&amp;
_xlfn.XLOOKUP(H116,Códigos_Propuestas!$E$4:$E$76,Códigos_Propuestas!$F$4:$F$76,"!",1)&amp;"__"&amp;
_xlfn.XLOOKUP(M116,Códigos_Propuestas!$I$4:$I$7,Códigos_Propuestas!$J$4:$J$7,"!",1)&amp;"__"&amp;
_xlfn.XLOOKUP(N117,Códigos_Propuestas!$O$4:$O$11,Códigos_Propuestas!$Q$4:$Q$11,"!",1)&amp;"__"&amp;
_xlfn.XLOOKUP(F116,Códigos_Propuestas!$BF:$BF,Códigos_Propuestas!$BH:$BH,"!",0,1)</f>
        <v>PE__NEX__UG__MGE__!</v>
      </c>
      <c r="C116" s="47">
        <v>114</v>
      </c>
      <c r="D116" s="174" t="s">
        <v>62</v>
      </c>
      <c r="E116" s="174" t="s">
        <v>62</v>
      </c>
      <c r="F116" s="196" t="s">
        <v>826</v>
      </c>
      <c r="G116" s="174"/>
      <c r="H116" s="174" t="s">
        <v>202</v>
      </c>
      <c r="I116" s="174" t="s">
        <v>827</v>
      </c>
      <c r="J116" s="174" t="s">
        <v>97</v>
      </c>
      <c r="K116" s="47" t="s">
        <v>72</v>
      </c>
      <c r="L116" s="181" t="s">
        <v>832</v>
      </c>
      <c r="M116" s="174" t="s">
        <v>65</v>
      </c>
      <c r="N116" s="186" t="s">
        <v>153</v>
      </c>
      <c r="O116" s="181" t="s">
        <v>40</v>
      </c>
      <c r="P116" s="181" t="s">
        <v>129</v>
      </c>
      <c r="Q116" s="181" t="s">
        <v>690</v>
      </c>
      <c r="R116" s="181"/>
      <c r="S116" s="174"/>
      <c r="T116" s="183" t="b">
        <v>1</v>
      </c>
      <c r="U116" s="174"/>
      <c r="V116" s="183" t="b">
        <v>0</v>
      </c>
      <c r="W116" s="174"/>
      <c r="X116" s="183" t="b">
        <v>0</v>
      </c>
      <c r="Y116" s="174"/>
      <c r="Z116" s="183" t="b">
        <v>0</v>
      </c>
      <c r="AA116" s="174"/>
      <c r="AB116" s="174"/>
      <c r="AC116" s="183" t="b">
        <v>1</v>
      </c>
      <c r="AD116" s="183" t="b">
        <v>0</v>
      </c>
      <c r="AE116" s="183" t="b">
        <v>0</v>
      </c>
      <c r="AF116" s="183" t="b">
        <v>0</v>
      </c>
      <c r="AG116" s="183" t="b">
        <v>0</v>
      </c>
      <c r="AH116" s="32"/>
      <c r="AI116" s="32"/>
      <c r="AJ116" s="32"/>
      <c r="AK116" s="28"/>
      <c r="AL116" s="97">
        <v>255980</v>
      </c>
      <c r="AM116" s="169">
        <f t="shared" si="5"/>
        <v>102392</v>
      </c>
      <c r="AN116" s="174">
        <v>5</v>
      </c>
      <c r="AO116" s="15"/>
      <c r="AP116" s="18">
        <v>46149</v>
      </c>
      <c r="AQ116" s="18">
        <v>46168</v>
      </c>
      <c r="AR116" s="235"/>
      <c r="AS116" s="18"/>
      <c r="AT116" s="18"/>
    </row>
    <row r="117" spans="1:46" s="7" customFormat="1" ht="17.25" hidden="1" customHeight="1" x14ac:dyDescent="0.2">
      <c r="A117" s="207">
        <f t="shared" si="6"/>
        <v>18</v>
      </c>
      <c r="B117" s="239" t="str">
        <f>_xlfn.XLOOKUP(D117,Códigos_Propuestas!$B$4:$B$10,Códigos_Propuestas!$C$4:$C$10,"!",0,1)&amp;"__"&amp;
_xlfn.XLOOKUP(H117,Códigos_Propuestas!$E$4:$E$76,Códigos_Propuestas!$F$4:$F$76,"!",1)&amp;"__"&amp;
_xlfn.XLOOKUP(M117,Códigos_Propuestas!$I$4:$I$7,Códigos_Propuestas!$J$4:$J$7,"!",1)&amp;"__"&amp;
_xlfn.XLOOKUP(N118,Códigos_Propuestas!$O$4:$O$11,Códigos_Propuestas!$Q$4:$Q$11,"!",1)&amp;"__"&amp;
_xlfn.XLOOKUP(F117,Códigos_Propuestas!$BF:$BF,Códigos_Propuestas!$BH:$BH,"!",0,1)</f>
        <v>RU__ATL__!__MIN__!</v>
      </c>
      <c r="C117" s="217">
        <v>115</v>
      </c>
      <c r="D117" s="174" t="s">
        <v>112</v>
      </c>
      <c r="E117" s="174" t="s">
        <v>112</v>
      </c>
      <c r="F117" s="220" t="s">
        <v>828</v>
      </c>
      <c r="G117" s="32"/>
      <c r="H117" s="32" t="s">
        <v>293</v>
      </c>
      <c r="I117" s="32" t="s">
        <v>829</v>
      </c>
      <c r="J117" s="32" t="s">
        <v>143</v>
      </c>
      <c r="K117" s="217" t="s">
        <v>72</v>
      </c>
      <c r="L117" s="181"/>
      <c r="M117" s="32"/>
      <c r="N117" s="186" t="s">
        <v>153</v>
      </c>
      <c r="O117" s="181" t="s">
        <v>40</v>
      </c>
      <c r="P117" s="181" t="s">
        <v>129</v>
      </c>
      <c r="Q117" s="181" t="s">
        <v>690</v>
      </c>
      <c r="R117" s="181"/>
      <c r="S117" s="32"/>
      <c r="T117" s="240" t="b">
        <v>1</v>
      </c>
      <c r="U117" s="32"/>
      <c r="V117" s="240" t="b">
        <v>0</v>
      </c>
      <c r="W117" s="32"/>
      <c r="X117" s="240" t="b">
        <v>0</v>
      </c>
      <c r="Y117" s="32"/>
      <c r="Z117" s="240" t="b">
        <v>0</v>
      </c>
      <c r="AA117" s="32"/>
      <c r="AB117" s="32"/>
      <c r="AC117" s="240" t="b">
        <v>1</v>
      </c>
      <c r="AD117" s="240" t="b">
        <v>0</v>
      </c>
      <c r="AE117" s="240" t="b">
        <v>0</v>
      </c>
      <c r="AF117" s="240" t="b">
        <v>0</v>
      </c>
      <c r="AG117" s="240" t="b">
        <v>0</v>
      </c>
      <c r="AH117" s="32"/>
      <c r="AI117" s="32"/>
      <c r="AJ117" s="32"/>
      <c r="AK117" s="28"/>
      <c r="AL117" s="97">
        <v>209710</v>
      </c>
      <c r="AM117" s="97">
        <f t="shared" si="5"/>
        <v>83884</v>
      </c>
      <c r="AN117" s="32">
        <v>9</v>
      </c>
      <c r="AO117" s="15"/>
      <c r="AP117" s="18">
        <v>46150</v>
      </c>
      <c r="AQ117" s="18">
        <v>46163</v>
      </c>
      <c r="AR117" s="235"/>
      <c r="AS117" s="18"/>
      <c r="AT117" s="18">
        <v>46181</v>
      </c>
    </row>
    <row r="118" spans="1:46" x14ac:dyDescent="0.2">
      <c r="A118" s="187">
        <f t="shared" si="6"/>
        <v>20</v>
      </c>
      <c r="B118" s="191" t="str">
        <f>_xlfn.XLOOKUP(D118,Códigos_Propuestas!$B$4:$B$10,Códigos_Propuestas!$C$4:$C$10,"!",0,1)&amp;"__"&amp;
_xlfn.XLOOKUP(H118,Códigos_Propuestas!$E$4:$E$76,Códigos_Propuestas!$F$4:$F$76,"!",1)&amp;"__"&amp;
_xlfn.XLOOKUP(M118,Códigos_Propuestas!$I$4:$I$7,Códigos_Propuestas!$J$4:$J$7,"!",1)&amp;"__"&amp;
_xlfn.XLOOKUP(N118,Códigos_Propuestas!$O$4:$O$11,Códigos_Propuestas!$Q$4:$Q$11,"!",1)&amp;"__"&amp;
_xlfn.XLOOKUP(F118,Códigos_Propuestas!$BF:$BF,Códigos_Propuestas!$BH:$BH,"!",0,1)</f>
        <v>USA__TAB__UG__MIN__!</v>
      </c>
      <c r="C118" s="47">
        <v>116</v>
      </c>
      <c r="D118" s="174" t="s">
        <v>136</v>
      </c>
      <c r="E118" s="174" t="s">
        <v>136</v>
      </c>
      <c r="F118" s="194" t="s">
        <v>865</v>
      </c>
      <c r="G118" s="174"/>
      <c r="H118" s="174" t="s">
        <v>344</v>
      </c>
      <c r="I118" s="174" t="s">
        <v>502</v>
      </c>
      <c r="J118" s="174" t="s">
        <v>122</v>
      </c>
      <c r="K118" s="47" t="s">
        <v>72</v>
      </c>
      <c r="L118" s="181"/>
      <c r="M118" s="174" t="s">
        <v>65</v>
      </c>
      <c r="N118" s="186" t="s">
        <v>35</v>
      </c>
      <c r="O118" s="181" t="s">
        <v>40</v>
      </c>
      <c r="P118" s="181" t="s">
        <v>80</v>
      </c>
      <c r="Q118" s="181" t="s">
        <v>689</v>
      </c>
      <c r="R118" s="181"/>
      <c r="S118" s="174"/>
      <c r="T118" s="183" t="b">
        <v>0</v>
      </c>
      <c r="U118" s="174"/>
      <c r="V118" s="183" t="b">
        <v>0</v>
      </c>
      <c r="W118" s="174"/>
      <c r="X118" s="183" t="b">
        <v>0</v>
      </c>
      <c r="Y118" s="174"/>
      <c r="Z118" s="183" t="b">
        <v>0</v>
      </c>
      <c r="AA118" s="174"/>
      <c r="AB118" s="174"/>
      <c r="AC118" s="183" t="b">
        <v>1</v>
      </c>
      <c r="AD118" s="183" t="b">
        <v>0</v>
      </c>
      <c r="AE118" s="183" t="b">
        <v>1</v>
      </c>
      <c r="AF118" s="183" t="b">
        <v>0</v>
      </c>
      <c r="AG118" s="183" t="b">
        <v>0</v>
      </c>
      <c r="AH118" s="32"/>
      <c r="AI118" s="32" t="s">
        <v>99</v>
      </c>
      <c r="AJ118" s="32" t="s">
        <v>50</v>
      </c>
      <c r="AK118" s="28"/>
      <c r="AL118" s="97">
        <v>70240</v>
      </c>
      <c r="AM118" s="169">
        <f t="shared" si="5"/>
        <v>14048</v>
      </c>
      <c r="AN118" s="174">
        <v>1.75</v>
      </c>
      <c r="AO118" s="15"/>
      <c r="AP118" s="18">
        <v>46149</v>
      </c>
      <c r="AQ118" s="18">
        <v>46154</v>
      </c>
      <c r="AR118" s="235"/>
      <c r="AS118" s="18"/>
      <c r="AT118" s="18">
        <v>46156</v>
      </c>
    </row>
    <row r="119" spans="1:46" hidden="1" x14ac:dyDescent="0.2">
      <c r="A119" s="187">
        <f t="shared" si="6"/>
        <v>18</v>
      </c>
      <c r="B119" s="191" t="str">
        <f>_xlfn.XLOOKUP(D119,Códigos_Propuestas!$B$4:$B$10,Códigos_Propuestas!$C$4:$C$10,"!",0,1)&amp;"__"&amp;
_xlfn.XLOOKUP(H119,Códigos_Propuestas!$E$4:$E$76,Códigos_Propuestas!$F$4:$F$76,"!",1)&amp;"__"&amp;
_xlfn.XLOOKUP(M119,Códigos_Propuestas!$I$4:$I$7,Códigos_Propuestas!$J$4:$J$7,"!",1)&amp;"__"&amp;
_xlfn.XLOOKUP(N119,Códigos_Propuestas!$O$4:$O$11,Códigos_Propuestas!$Q$4:$Q$11,"!",1)&amp;"__"&amp;
_xlfn.XLOOKUP(F119,Códigos_Propuestas!$BF:$BF,Códigos_Propuestas!$BH:$BH,"!",0,1)</f>
        <v>RU__SME__!__PEA__!</v>
      </c>
      <c r="C119" s="47">
        <v>117</v>
      </c>
      <c r="D119" s="174" t="s">
        <v>112</v>
      </c>
      <c r="E119" s="174" t="s">
        <v>112</v>
      </c>
      <c r="F119" s="194" t="s">
        <v>838</v>
      </c>
      <c r="G119" s="174"/>
      <c r="H119" s="174" t="s">
        <v>835</v>
      </c>
      <c r="I119" s="174" t="s">
        <v>837</v>
      </c>
      <c r="J119" s="174" t="s">
        <v>143</v>
      </c>
      <c r="K119" s="47" t="s">
        <v>72</v>
      </c>
      <c r="L119" s="181"/>
      <c r="M119" s="174"/>
      <c r="N119" s="186" t="s">
        <v>39</v>
      </c>
      <c r="O119" s="181" t="s">
        <v>40</v>
      </c>
      <c r="P119" s="181" t="s">
        <v>56</v>
      </c>
      <c r="Q119" s="181" t="s">
        <v>690</v>
      </c>
      <c r="R119" s="181" t="s">
        <v>35</v>
      </c>
      <c r="S119" s="174"/>
      <c r="T119" s="183" t="b">
        <v>0</v>
      </c>
      <c r="U119" s="174"/>
      <c r="V119" s="183" t="b">
        <v>0</v>
      </c>
      <c r="W119" s="174"/>
      <c r="X119" s="183" t="b">
        <v>0</v>
      </c>
      <c r="Y119" s="174"/>
      <c r="Z119" s="183" t="b">
        <v>0</v>
      </c>
      <c r="AA119" s="174"/>
      <c r="AB119" s="174"/>
      <c r="AC119" s="183" t="b">
        <v>1</v>
      </c>
      <c r="AD119" s="183" t="b">
        <v>0</v>
      </c>
      <c r="AE119" s="183" t="b">
        <v>0</v>
      </c>
      <c r="AF119" s="183" t="b">
        <v>0</v>
      </c>
      <c r="AG119" s="183" t="b">
        <v>0</v>
      </c>
      <c r="AH119" s="32"/>
      <c r="AI119" s="32"/>
      <c r="AJ119" s="32"/>
      <c r="AK119" s="28"/>
      <c r="AL119" s="97">
        <v>394600</v>
      </c>
      <c r="AM119" s="169">
        <f t="shared" si="5"/>
        <v>157840</v>
      </c>
      <c r="AN119" s="174">
        <v>6</v>
      </c>
      <c r="AO119" s="15"/>
      <c r="AP119" s="18">
        <v>46161</v>
      </c>
      <c r="AQ119" s="18">
        <v>46162</v>
      </c>
      <c r="AR119" s="235"/>
      <c r="AS119" s="18"/>
      <c r="AT119" s="18">
        <v>46181</v>
      </c>
    </row>
    <row r="120" spans="1:46" ht="15" hidden="1" customHeight="1" x14ac:dyDescent="0.2">
      <c r="A120" s="187">
        <f t="shared" si="6"/>
        <v>19</v>
      </c>
      <c r="B120" s="191" t="str">
        <f>_xlfn.XLOOKUP(D120,Códigos_Propuestas!$B$4:$B$10,Códigos_Propuestas!$C$4:$C$10,"!",0,1)&amp;"__"&amp;
_xlfn.XLOOKUP(H120,Códigos_Propuestas!$E$4:$E$76,Códigos_Propuestas!$F$4:$F$76,"!",1)&amp;"__"&amp;
_xlfn.XLOOKUP(M120,Códigos_Propuestas!$I$4:$I$7,Códigos_Propuestas!$J$4:$J$7,"!",1)&amp;"__"&amp;
_xlfn.XLOOKUP(N120,Códigos_Propuestas!$O$4:$O$11,Códigos_Propuestas!$Q$4:$Q$11,"!",1)&amp;"__"&amp;
_xlfn.XLOOKUP(F120,Códigos_Propuestas!$BF:$BF,Códigos_Propuestas!$BH:$BH,"!",0,1)</f>
        <v>CH__COD__OU__MIN__!</v>
      </c>
      <c r="C120" s="47">
        <v>118</v>
      </c>
      <c r="D120" s="174" t="s">
        <v>32</v>
      </c>
      <c r="E120" s="32" t="s">
        <v>32</v>
      </c>
      <c r="F120" s="196" t="s">
        <v>840</v>
      </c>
      <c r="G120" s="174"/>
      <c r="H120" s="174" t="s">
        <v>181</v>
      </c>
      <c r="I120" s="174" t="s">
        <v>705</v>
      </c>
      <c r="J120" s="174" t="s">
        <v>143</v>
      </c>
      <c r="K120" s="47" t="s">
        <v>44</v>
      </c>
      <c r="L120" s="181" t="s">
        <v>756</v>
      </c>
      <c r="M120" s="174" t="s">
        <v>116</v>
      </c>
      <c r="N120" s="186" t="s">
        <v>35</v>
      </c>
      <c r="O120" s="181" t="s">
        <v>40</v>
      </c>
      <c r="P120" s="181" t="s">
        <v>80</v>
      </c>
      <c r="Q120" s="181" t="s">
        <v>690</v>
      </c>
      <c r="R120" s="181"/>
      <c r="S120" s="174"/>
      <c r="T120" s="183" t="b">
        <v>0</v>
      </c>
      <c r="U120" s="174"/>
      <c r="V120" s="183" t="b">
        <v>0</v>
      </c>
      <c r="W120" s="174"/>
      <c r="X120" s="183" t="b">
        <v>0</v>
      </c>
      <c r="Y120" s="174"/>
      <c r="Z120" s="183" t="b">
        <v>0</v>
      </c>
      <c r="AA120" s="174"/>
      <c r="AB120" s="174"/>
      <c r="AC120" s="183" t="b">
        <v>1</v>
      </c>
      <c r="AD120" s="183" t="b">
        <v>1</v>
      </c>
      <c r="AE120" s="183" t="b">
        <v>0</v>
      </c>
      <c r="AF120" s="183" t="b">
        <v>0</v>
      </c>
      <c r="AG120" s="183" t="b">
        <v>0</v>
      </c>
      <c r="AH120" s="32"/>
      <c r="AI120" s="32"/>
      <c r="AJ120" s="32"/>
      <c r="AK120" s="28"/>
      <c r="AL120" s="97">
        <v>247195</v>
      </c>
      <c r="AM120" s="169">
        <f t="shared" si="5"/>
        <v>98878</v>
      </c>
      <c r="AN120" s="174">
        <v>7</v>
      </c>
      <c r="AO120" s="15"/>
      <c r="AP120" s="18">
        <v>46161</v>
      </c>
      <c r="AQ120" s="18">
        <v>46164</v>
      </c>
      <c r="AR120" s="235"/>
      <c r="AS120" s="18"/>
      <c r="AT120" s="18"/>
    </row>
    <row r="121" spans="1:46" hidden="1" x14ac:dyDescent="0.2">
      <c r="A121" s="187">
        <f t="shared" si="6"/>
        <v>19</v>
      </c>
      <c r="B121" s="191" t="str">
        <f>_xlfn.XLOOKUP(D121,Códigos_Propuestas!$B$4:$B$10,Códigos_Propuestas!$C$4:$C$10,"!",0,1)&amp;"__"&amp;
_xlfn.XLOOKUP(H121,Códigos_Propuestas!$E$4:$E$76,Códigos_Propuestas!$F$4:$F$76,"!",1)&amp;"__"&amp;
_xlfn.XLOOKUP(M121,Códigos_Propuestas!$I$4:$I$7,Códigos_Propuestas!$J$4:$J$7,"!",1)&amp;"__"&amp;
_xlfn.XLOOKUP(N121,Códigos_Propuestas!$O$4:$O$11,Códigos_Propuestas!$Q$4:$Q$11,"!",1)&amp;"__"&amp;
_xlfn.XLOOKUP(F121,Códigos_Propuestas!$BF:$BF,Códigos_Propuestas!$BH:$BH,"!",0,1)</f>
        <v>RU__ZJM__OU__DAR__!</v>
      </c>
      <c r="C121" s="47">
        <v>119</v>
      </c>
      <c r="D121" s="174" t="s">
        <v>112</v>
      </c>
      <c r="E121" s="32" t="s">
        <v>112</v>
      </c>
      <c r="F121" s="194" t="s">
        <v>847</v>
      </c>
      <c r="G121" s="174"/>
      <c r="H121" s="174" t="s">
        <v>845</v>
      </c>
      <c r="I121" s="174" t="s">
        <v>841</v>
      </c>
      <c r="J121" s="174" t="s">
        <v>97</v>
      </c>
      <c r="K121" s="47" t="s">
        <v>72</v>
      </c>
      <c r="L121" s="181"/>
      <c r="M121" s="174" t="s">
        <v>116</v>
      </c>
      <c r="N121" s="186" t="s">
        <v>95</v>
      </c>
      <c r="O121" s="181" t="s">
        <v>40</v>
      </c>
      <c r="P121" s="181" t="s">
        <v>56</v>
      </c>
      <c r="Q121" s="181" t="s">
        <v>690</v>
      </c>
      <c r="R121" s="181"/>
      <c r="S121" s="174"/>
      <c r="T121" s="183" t="b">
        <v>0</v>
      </c>
      <c r="U121" s="174"/>
      <c r="V121" s="183" t="b">
        <v>0</v>
      </c>
      <c r="W121" s="174"/>
      <c r="X121" s="183" t="b">
        <v>0</v>
      </c>
      <c r="Y121" s="174"/>
      <c r="Z121" s="183" t="b">
        <v>0</v>
      </c>
      <c r="AA121" s="174"/>
      <c r="AB121" s="174"/>
      <c r="AC121" s="183" t="b">
        <v>1</v>
      </c>
      <c r="AD121" s="183" t="b">
        <v>0</v>
      </c>
      <c r="AE121" s="183" t="b">
        <v>0</v>
      </c>
      <c r="AF121" s="183" t="b">
        <v>0</v>
      </c>
      <c r="AG121" s="183" t="b">
        <v>0</v>
      </c>
      <c r="AH121" s="32"/>
      <c r="AI121" s="32"/>
      <c r="AJ121" s="32"/>
      <c r="AK121" s="28"/>
      <c r="AL121" s="97">
        <v>464220</v>
      </c>
      <c r="AM121" s="169">
        <f t="shared" si="5"/>
        <v>185688</v>
      </c>
      <c r="AN121" s="174">
        <v>7</v>
      </c>
      <c r="AO121" s="15"/>
      <c r="AP121" s="18">
        <v>46167</v>
      </c>
      <c r="AQ121" s="18">
        <v>46174</v>
      </c>
      <c r="AR121" s="235"/>
      <c r="AS121" s="18"/>
      <c r="AT121" s="18"/>
    </row>
    <row r="122" spans="1:46" hidden="1" x14ac:dyDescent="0.2">
      <c r="A122" s="187">
        <f t="shared" si="6"/>
        <v>19</v>
      </c>
      <c r="B122" s="191" t="str">
        <f>_xlfn.XLOOKUP(D122,Códigos_Propuestas!$B$4:$B$10,Códigos_Propuestas!$C$4:$C$10,"!",0,1)&amp;"__"&amp;
_xlfn.XLOOKUP(H122,Códigos_Propuestas!$E$4:$E$76,Códigos_Propuestas!$F$4:$F$76,"!",1)&amp;"__"&amp;
_xlfn.XLOOKUP(M122,Códigos_Propuestas!$I$4:$I$7,Códigos_Propuestas!$J$4:$J$7,"!",1)&amp;"__"&amp;
_xlfn.XLOOKUP(N122,Códigos_Propuestas!$O$4:$O$11,Códigos_Propuestas!$Q$4:$Q$11,"!",1)&amp;"__"&amp;
_xlfn.XLOOKUP(F122,Códigos_Propuestas!$BF:$BF,Códigos_Propuestas!$BH:$BH,"!",0,1)</f>
        <v>RU__LHG__OP__MGE__!</v>
      </c>
      <c r="C122" s="47">
        <v>120</v>
      </c>
      <c r="D122" s="174" t="s">
        <v>112</v>
      </c>
      <c r="E122" s="32" t="s">
        <v>112</v>
      </c>
      <c r="F122" s="194" t="s">
        <v>848</v>
      </c>
      <c r="G122" s="174"/>
      <c r="H122" s="174" t="s">
        <v>842</v>
      </c>
      <c r="I122" s="174" t="s">
        <v>844</v>
      </c>
      <c r="J122" s="174" t="s">
        <v>143</v>
      </c>
      <c r="K122" s="47" t="s">
        <v>72</v>
      </c>
      <c r="L122" s="181"/>
      <c r="M122" s="174" t="s">
        <v>92</v>
      </c>
      <c r="N122" s="186" t="s">
        <v>153</v>
      </c>
      <c r="O122" s="181" t="s">
        <v>40</v>
      </c>
      <c r="P122" s="181" t="s">
        <v>56</v>
      </c>
      <c r="Q122" s="181" t="s">
        <v>690</v>
      </c>
      <c r="R122" s="181"/>
      <c r="S122" s="174"/>
      <c r="T122" s="183" t="b">
        <v>0</v>
      </c>
      <c r="U122" s="174"/>
      <c r="V122" s="183" t="b">
        <v>0</v>
      </c>
      <c r="W122" s="174"/>
      <c r="X122" s="183" t="b">
        <v>0</v>
      </c>
      <c r="Y122" s="174"/>
      <c r="Z122" s="183" t="b">
        <v>0</v>
      </c>
      <c r="AA122" s="174"/>
      <c r="AB122" s="174"/>
      <c r="AC122" s="183" t="b">
        <v>1</v>
      </c>
      <c r="AD122" s="183" t="b">
        <v>0</v>
      </c>
      <c r="AE122" s="183" t="b">
        <v>0</v>
      </c>
      <c r="AF122" s="183" t="b">
        <v>0</v>
      </c>
      <c r="AG122" s="183" t="b">
        <v>0</v>
      </c>
      <c r="AH122" s="32"/>
      <c r="AI122" s="32"/>
      <c r="AJ122" s="32"/>
      <c r="AK122" s="241"/>
      <c r="AL122" s="97">
        <v>300000</v>
      </c>
      <c r="AM122" s="169">
        <f t="shared" si="5"/>
        <v>120000</v>
      </c>
      <c r="AN122" s="174">
        <v>5</v>
      </c>
      <c r="AO122" s="15"/>
      <c r="AP122" s="18">
        <v>46167</v>
      </c>
      <c r="AQ122" s="18">
        <v>46168</v>
      </c>
      <c r="AR122" s="235"/>
      <c r="AS122" s="18"/>
      <c r="AT122" s="18">
        <v>46178</v>
      </c>
    </row>
    <row r="123" spans="1:46" ht="19.25" hidden="1" customHeight="1" x14ac:dyDescent="0.2">
      <c r="A123" s="187">
        <f t="shared" si="6"/>
        <v>19</v>
      </c>
      <c r="B123" s="191" t="str">
        <f>_xlfn.XLOOKUP(D123,Códigos_Propuestas!$B$4:$B$10,Códigos_Propuestas!$C$4:$C$10,"!",0,1)&amp;"__"&amp;
_xlfn.XLOOKUP(H123,Códigos_Propuestas!$E$4:$E$76,Códigos_Propuestas!$F$4:$F$76,"!",1)&amp;"__"&amp;
_xlfn.XLOOKUP(M123,Códigos_Propuestas!$I$4:$I$7,Códigos_Propuestas!$J$4:$J$7,"!",1)&amp;"__"&amp;
_xlfn.XLOOKUP(N123,Códigos_Propuestas!$O$4:$O$11,Códigos_Propuestas!$Q$4:$Q$11,"!",1)&amp;"__"&amp;
_xlfn.XLOOKUP(F123,Códigos_Propuestas!$BF:$BF,Códigos_Propuestas!$BH:$BH,"!",0,1)</f>
        <v>RU__CMH__UG__MGE__!</v>
      </c>
      <c r="C123" s="47">
        <v>121</v>
      </c>
      <c r="D123" s="174" t="s">
        <v>112</v>
      </c>
      <c r="E123" s="32" t="s">
        <v>112</v>
      </c>
      <c r="F123" s="196" t="s">
        <v>853</v>
      </c>
      <c r="G123" s="174"/>
      <c r="H123" s="174" t="s">
        <v>849</v>
      </c>
      <c r="I123" s="174" t="s">
        <v>850</v>
      </c>
      <c r="J123" s="174" t="s">
        <v>97</v>
      </c>
      <c r="K123" s="47" t="s">
        <v>72</v>
      </c>
      <c r="L123" s="181"/>
      <c r="M123" s="174" t="s">
        <v>65</v>
      </c>
      <c r="N123" s="186" t="s">
        <v>153</v>
      </c>
      <c r="O123" s="181" t="s">
        <v>40</v>
      </c>
      <c r="P123" s="181" t="s">
        <v>56</v>
      </c>
      <c r="Q123" s="181" t="s">
        <v>690</v>
      </c>
      <c r="R123" s="181"/>
      <c r="S123" s="174"/>
      <c r="T123" s="183" t="b">
        <v>0</v>
      </c>
      <c r="U123" s="174"/>
      <c r="V123" s="183" t="b">
        <v>0</v>
      </c>
      <c r="W123" s="174"/>
      <c r="X123" s="183" t="b">
        <v>0</v>
      </c>
      <c r="Y123" s="174"/>
      <c r="Z123" s="183" t="b">
        <v>0</v>
      </c>
      <c r="AA123" s="174"/>
      <c r="AB123" s="174"/>
      <c r="AC123" s="183" t="b">
        <v>1</v>
      </c>
      <c r="AD123" s="183" t="b">
        <v>0</v>
      </c>
      <c r="AE123" s="183" t="b">
        <v>0</v>
      </c>
      <c r="AF123" s="183" t="b">
        <v>0</v>
      </c>
      <c r="AG123" s="183" t="b">
        <v>0</v>
      </c>
      <c r="AH123" s="32"/>
      <c r="AI123" s="32"/>
      <c r="AJ123" s="32"/>
      <c r="AK123" s="241"/>
      <c r="AL123" s="97">
        <v>222360</v>
      </c>
      <c r="AM123" s="169">
        <f t="shared" ref="AM123:AM151" si="7">IF(AL123&lt;100000,AL123*0.2,AL123*0.4)</f>
        <v>88944</v>
      </c>
      <c r="AN123" s="174">
        <v>5</v>
      </c>
      <c r="AO123" s="15"/>
      <c r="AP123" s="18">
        <v>46169</v>
      </c>
      <c r="AQ123" s="18">
        <v>46171</v>
      </c>
      <c r="AR123" s="235"/>
      <c r="AS123" s="18"/>
      <c r="AT123" s="18"/>
    </row>
    <row r="124" spans="1:46" hidden="1" x14ac:dyDescent="0.2">
      <c r="A124" s="187">
        <f t="shared" si="6"/>
        <v>19</v>
      </c>
      <c r="B124" s="191" t="str">
        <f>_xlfn.XLOOKUP(D124,Códigos_Propuestas!$B$4:$B$10,Códigos_Propuestas!$C$4:$C$10,"!",0,1)&amp;"__"&amp;
_xlfn.XLOOKUP(H124,Códigos_Propuestas!$E$4:$E$76,Códigos_Propuestas!$F$4:$F$76,"!",1)&amp;"__"&amp;
_xlfn.XLOOKUP(M124,Códigos_Propuestas!$I$4:$I$7,Códigos_Propuestas!$J$4:$J$7,"!",1)&amp;"__"&amp;
_xlfn.XLOOKUP(N124,Códigos_Propuestas!$O$4:$O$11,Códigos_Propuestas!$Q$4:$Q$11,"!",1)&amp;"__"&amp;
_xlfn.XLOOKUP(F124,Códigos_Propuestas!$BF:$BF,Códigos_Propuestas!$BH:$BH,"!",0,1)</f>
        <v>PE__BRO__UG__MGE__!</v>
      </c>
      <c r="C124" s="47">
        <v>122</v>
      </c>
      <c r="D124" s="174" t="s">
        <v>62</v>
      </c>
      <c r="E124" s="32" t="s">
        <v>62</v>
      </c>
      <c r="F124" s="194" t="s">
        <v>854</v>
      </c>
      <c r="G124" s="174"/>
      <c r="H124" s="174" t="s">
        <v>188</v>
      </c>
      <c r="I124" s="174"/>
      <c r="J124" s="174"/>
      <c r="K124" s="47" t="s">
        <v>72</v>
      </c>
      <c r="L124" s="181" t="s">
        <v>858</v>
      </c>
      <c r="M124" s="174" t="s">
        <v>65</v>
      </c>
      <c r="N124" s="186" t="s">
        <v>153</v>
      </c>
      <c r="O124" s="181" t="s">
        <v>40</v>
      </c>
      <c r="P124" s="181" t="s">
        <v>129</v>
      </c>
      <c r="Q124" s="181" t="s">
        <v>690</v>
      </c>
      <c r="R124" s="181"/>
      <c r="S124" s="174"/>
      <c r="T124" s="183" t="b">
        <v>0</v>
      </c>
      <c r="U124" s="174"/>
      <c r="V124" s="183" t="b">
        <v>0</v>
      </c>
      <c r="W124" s="174"/>
      <c r="X124" s="183" t="b">
        <v>0</v>
      </c>
      <c r="Y124" s="174"/>
      <c r="Z124" s="183" t="b">
        <v>0</v>
      </c>
      <c r="AA124" s="174"/>
      <c r="AB124" s="174"/>
      <c r="AC124" s="183" t="b">
        <v>1</v>
      </c>
      <c r="AD124" s="183" t="b">
        <v>0</v>
      </c>
      <c r="AE124" s="183" t="b">
        <v>0</v>
      </c>
      <c r="AF124" s="183" t="b">
        <v>0</v>
      </c>
      <c r="AG124" s="183" t="b">
        <v>0</v>
      </c>
      <c r="AH124" s="32"/>
      <c r="AI124" s="32"/>
      <c r="AJ124" s="32"/>
      <c r="AK124" s="241" t="s">
        <v>882</v>
      </c>
      <c r="AL124" s="97">
        <v>70557</v>
      </c>
      <c r="AM124" s="169">
        <f t="shared" si="7"/>
        <v>14111.400000000001</v>
      </c>
      <c r="AN124" s="174">
        <v>4</v>
      </c>
      <c r="AO124" s="15"/>
      <c r="AP124" s="18">
        <v>46171</v>
      </c>
      <c r="AQ124" s="18">
        <v>46174</v>
      </c>
      <c r="AR124" s="235"/>
      <c r="AS124" s="18"/>
      <c r="AT124" s="18"/>
    </row>
    <row r="125" spans="1:46" hidden="1" x14ac:dyDescent="0.2">
      <c r="A125" s="187">
        <f t="shared" si="6"/>
        <v>20</v>
      </c>
      <c r="B125" s="191" t="str">
        <f>_xlfn.XLOOKUP(D125,Códigos_Propuestas!$B$4:$B$10,Códigos_Propuestas!$C$4:$C$10,"!",0,1)&amp;"__"&amp;
_xlfn.XLOOKUP(H125,Códigos_Propuestas!$E$4:$E$76,Códigos_Propuestas!$F$4:$F$76,"!",1)&amp;"__"&amp;
_xlfn.XLOOKUP(M125,Códigos_Propuestas!$I$4:$I$7,Códigos_Propuestas!$J$4:$J$7,"!",1)&amp;"__"&amp;
_xlfn.XLOOKUP(N125,Códigos_Propuestas!$O$4:$O$11,Códigos_Propuestas!$Q$4:$Q$11,"!",1)&amp;"__"&amp;
_xlfn.XLOOKUP(F125,Códigos_Propuestas!$BF:$BF,Códigos_Propuestas!$BH:$BH,"!",0,1)</f>
        <v>USA__CMH__UG__MIN__!</v>
      </c>
      <c r="C125" s="47">
        <v>123</v>
      </c>
      <c r="D125" s="174" t="s">
        <v>136</v>
      </c>
      <c r="E125" s="32" t="s">
        <v>136</v>
      </c>
      <c r="F125" s="194" t="s">
        <v>855</v>
      </c>
      <c r="G125" s="174"/>
      <c r="H125" s="174" t="s">
        <v>856</v>
      </c>
      <c r="I125" s="174" t="s">
        <v>856</v>
      </c>
      <c r="J125" s="174" t="s">
        <v>97</v>
      </c>
      <c r="K125" s="47" t="s">
        <v>98</v>
      </c>
      <c r="L125" s="181"/>
      <c r="M125" s="174" t="s">
        <v>65</v>
      </c>
      <c r="N125" s="186" t="s">
        <v>35</v>
      </c>
      <c r="O125" s="181" t="s">
        <v>40</v>
      </c>
      <c r="P125" s="181" t="s">
        <v>857</v>
      </c>
      <c r="Q125" s="181" t="s">
        <v>689</v>
      </c>
      <c r="R125" s="181"/>
      <c r="S125" s="174"/>
      <c r="T125" s="183" t="b">
        <v>0</v>
      </c>
      <c r="U125" s="174"/>
      <c r="V125" s="183" t="b">
        <v>0</v>
      </c>
      <c r="W125" s="174"/>
      <c r="X125" s="183" t="b">
        <v>0</v>
      </c>
      <c r="Y125" s="174"/>
      <c r="Z125" s="183" t="b">
        <v>0</v>
      </c>
      <c r="AA125" s="174"/>
      <c r="AB125" s="174"/>
      <c r="AC125" s="183" t="b">
        <v>1</v>
      </c>
      <c r="AD125" s="183" t="b">
        <v>0</v>
      </c>
      <c r="AE125" s="183" t="b">
        <v>0</v>
      </c>
      <c r="AF125" s="183" t="b">
        <v>0</v>
      </c>
      <c r="AG125" s="183" t="b">
        <v>0</v>
      </c>
      <c r="AH125" s="32"/>
      <c r="AI125" s="32"/>
      <c r="AJ125" s="32"/>
      <c r="AK125" s="241"/>
      <c r="AL125" s="97">
        <v>42000</v>
      </c>
      <c r="AM125" s="169">
        <f t="shared" si="7"/>
        <v>8400</v>
      </c>
      <c r="AN125" s="174">
        <v>1</v>
      </c>
      <c r="AO125" s="15"/>
      <c r="AP125" s="18">
        <v>46163</v>
      </c>
      <c r="AQ125" s="18">
        <v>46174</v>
      </c>
      <c r="AR125" s="235"/>
      <c r="AS125" s="18"/>
      <c r="AT125" s="18"/>
    </row>
    <row r="126" spans="1:46" ht="24" hidden="1" x14ac:dyDescent="0.2">
      <c r="A126" s="187">
        <f t="shared" si="6"/>
        <v>19</v>
      </c>
      <c r="B126" s="191" t="str">
        <f>_xlfn.XLOOKUP(D126,Códigos_Propuestas!$B$4:$B$10,Códigos_Propuestas!$C$4:$C$10,"!",0,1)&amp;"__"&amp;
_xlfn.XLOOKUP(H126,Códigos_Propuestas!$E$4:$E$76,Códigos_Propuestas!$F$4:$F$76,"!",1)&amp;"__"&amp;
_xlfn.XLOOKUP(M126,Códigos_Propuestas!$I$4:$I$7,Códigos_Propuestas!$J$4:$J$7,"!",1)&amp;"__"&amp;
_xlfn.XLOOKUP(N126,Códigos_Propuestas!$O$4:$O$11,Códigos_Propuestas!$Q$4:$Q$11,"!",1)&amp;"__"&amp;
_xlfn.XLOOKUP(F126,Códigos_Propuestas!$BF:$BF,Códigos_Propuestas!$BH:$BH,"!",0,1)</f>
        <v>CH__CCO__OU__SIM__!</v>
      </c>
      <c r="C126" s="47">
        <v>124</v>
      </c>
      <c r="D126" s="174" t="s">
        <v>32</v>
      </c>
      <c r="E126" s="174" t="s">
        <v>32</v>
      </c>
      <c r="F126" s="194" t="s">
        <v>860</v>
      </c>
      <c r="G126" s="174"/>
      <c r="H126" s="174" t="s">
        <v>250</v>
      </c>
      <c r="I126" s="174"/>
      <c r="J126" s="174"/>
      <c r="K126" s="47" t="s">
        <v>98</v>
      </c>
      <c r="L126" s="181" t="s">
        <v>859</v>
      </c>
      <c r="M126" s="174" t="s">
        <v>116</v>
      </c>
      <c r="N126" s="186" t="s">
        <v>660</v>
      </c>
      <c r="O126" s="181" t="s">
        <v>40</v>
      </c>
      <c r="P126" s="181" t="s">
        <v>53</v>
      </c>
      <c r="Q126" s="181" t="s">
        <v>689</v>
      </c>
      <c r="R126" s="181" t="s">
        <v>35</v>
      </c>
      <c r="S126" s="174"/>
      <c r="T126" s="183" t="b">
        <v>0</v>
      </c>
      <c r="U126" s="174"/>
      <c r="V126" s="183" t="b">
        <v>0</v>
      </c>
      <c r="W126" s="174"/>
      <c r="X126" s="183" t="b">
        <v>0</v>
      </c>
      <c r="Y126" s="174"/>
      <c r="Z126" s="183" t="b">
        <v>0</v>
      </c>
      <c r="AA126" s="174"/>
      <c r="AB126" s="174"/>
      <c r="AC126" s="183" t="b">
        <v>1</v>
      </c>
      <c r="AD126" s="183" t="b">
        <v>0</v>
      </c>
      <c r="AE126" s="183" t="b">
        <v>0</v>
      </c>
      <c r="AF126" s="183" t="b">
        <v>0</v>
      </c>
      <c r="AG126" s="183" t="b">
        <v>0</v>
      </c>
      <c r="AH126" s="32"/>
      <c r="AI126" s="32"/>
      <c r="AJ126" s="32"/>
      <c r="AK126" s="241" t="s">
        <v>875</v>
      </c>
      <c r="AL126" s="97">
        <v>0</v>
      </c>
      <c r="AM126" s="169">
        <f t="shared" si="7"/>
        <v>0</v>
      </c>
      <c r="AN126" s="174">
        <v>2</v>
      </c>
      <c r="AO126" s="15"/>
      <c r="AP126" s="18">
        <v>46167</v>
      </c>
      <c r="AQ126" s="18"/>
      <c r="AR126" s="235"/>
      <c r="AS126" s="18"/>
      <c r="AT126" s="18"/>
    </row>
    <row r="127" spans="1:46" hidden="1" x14ac:dyDescent="0.2">
      <c r="A127" s="187">
        <f t="shared" si="6"/>
        <v>19</v>
      </c>
      <c r="B127" s="191" t="str">
        <f>_xlfn.XLOOKUP(D127,Códigos_Propuestas!$B$4:$B$10,Códigos_Propuestas!$C$4:$C$10,"!",0,1)&amp;"__"&amp;
_xlfn.XLOOKUP(H127,Códigos_Propuestas!$E$4:$E$76,Códigos_Propuestas!$F$4:$F$76,"!",1)&amp;"__"&amp;
_xlfn.XLOOKUP(M127,Códigos_Propuestas!$I$4:$I$7,Códigos_Propuestas!$J$4:$J$7,"!",1)&amp;"__"&amp;
_xlfn.XLOOKUP(N127,Códigos_Propuestas!$O$4:$O$11,Códigos_Propuestas!$Q$4:$Q$11,"!",1)&amp;"__"&amp;
_xlfn.XLOOKUP(F127,Códigos_Propuestas!$BF:$BF,Códigos_Propuestas!$BH:$BH,"!",0,1)</f>
        <v>BR__MOS__UG__MIN__!</v>
      </c>
      <c r="C127" s="47">
        <v>125</v>
      </c>
      <c r="D127" s="174" t="s">
        <v>88</v>
      </c>
      <c r="E127" s="174" t="s">
        <v>88</v>
      </c>
      <c r="F127" s="194" t="s">
        <v>861</v>
      </c>
      <c r="G127" s="174"/>
      <c r="H127" s="174" t="s">
        <v>199</v>
      </c>
      <c r="I127" s="174" t="s">
        <v>576</v>
      </c>
      <c r="J127" s="174" t="s">
        <v>97</v>
      </c>
      <c r="K127" s="47" t="s">
        <v>98</v>
      </c>
      <c r="L127" s="174"/>
      <c r="M127" s="174" t="s">
        <v>65</v>
      </c>
      <c r="N127" s="186" t="s">
        <v>120</v>
      </c>
      <c r="O127" s="181" t="s">
        <v>40</v>
      </c>
      <c r="P127" s="181" t="s">
        <v>108</v>
      </c>
      <c r="Q127" s="181" t="s">
        <v>690</v>
      </c>
      <c r="R127" s="181"/>
      <c r="S127" s="174"/>
      <c r="T127" s="183" t="b">
        <v>0</v>
      </c>
      <c r="U127" s="174"/>
      <c r="V127" s="183" t="b">
        <v>0</v>
      </c>
      <c r="W127" s="174"/>
      <c r="X127" s="183" t="b">
        <v>0</v>
      </c>
      <c r="Y127" s="174"/>
      <c r="Z127" s="183" t="b">
        <v>0</v>
      </c>
      <c r="AA127" s="174"/>
      <c r="AB127" s="174"/>
      <c r="AC127" s="183" t="b">
        <v>1</v>
      </c>
      <c r="AD127" s="183" t="b">
        <v>1</v>
      </c>
      <c r="AE127" s="183" t="b">
        <v>0</v>
      </c>
      <c r="AF127" s="183" t="b">
        <v>0</v>
      </c>
      <c r="AG127" s="183" t="b">
        <v>0</v>
      </c>
      <c r="AH127" s="32"/>
      <c r="AI127" s="32"/>
      <c r="AJ127" s="32"/>
      <c r="AK127" s="241"/>
      <c r="AL127" s="97">
        <v>1141362</v>
      </c>
      <c r="AM127" s="169">
        <f t="shared" si="7"/>
        <v>456544.80000000005</v>
      </c>
      <c r="AN127" s="174">
        <v>16</v>
      </c>
      <c r="AO127" s="15"/>
      <c r="AP127" s="18">
        <v>46174</v>
      </c>
      <c r="AQ127" s="18">
        <v>46191</v>
      </c>
      <c r="AR127" s="235"/>
      <c r="AS127" s="18"/>
      <c r="AT127" s="18"/>
    </row>
    <row r="128" spans="1:46" hidden="1" x14ac:dyDescent="0.2">
      <c r="A128" s="187">
        <f t="shared" si="6"/>
        <v>19</v>
      </c>
      <c r="B128" s="191" t="str">
        <f>_xlfn.XLOOKUP(D128,Códigos_Propuestas!$B$4:$B$10,Códigos_Propuestas!$C$4:$C$10,"!",0,1)&amp;"__"&amp;
_xlfn.XLOOKUP(H128,Códigos_Propuestas!$E$4:$E$76,Códigos_Propuestas!$F$4:$F$76,"!",1)&amp;"__"&amp;
_xlfn.XLOOKUP(M128,Códigos_Propuestas!$I$4:$I$7,Códigos_Propuestas!$J$4:$J$7,"!",1)&amp;"__"&amp;
_xlfn.XLOOKUP(N128,Códigos_Propuestas!$O$4:$O$11,Códigos_Propuestas!$Q$4:$Q$11,"!",1)&amp;"__"&amp;
_xlfn.XLOOKUP(F128,Códigos_Propuestas!$BF:$BF,Códigos_Propuestas!$BH:$BH,"!",0,1)</f>
        <v>CH__COD__OP__MIN__!</v>
      </c>
      <c r="C128" s="47">
        <v>126</v>
      </c>
      <c r="D128" s="174" t="s">
        <v>32</v>
      </c>
      <c r="E128" s="32" t="s">
        <v>32</v>
      </c>
      <c r="F128" s="196" t="s">
        <v>863</v>
      </c>
      <c r="G128" s="174"/>
      <c r="H128" s="174" t="s">
        <v>181</v>
      </c>
      <c r="I128" s="174" t="s">
        <v>668</v>
      </c>
      <c r="J128" s="174" t="s">
        <v>43</v>
      </c>
      <c r="K128" s="47" t="s">
        <v>98</v>
      </c>
      <c r="L128" s="181"/>
      <c r="M128" s="174" t="s">
        <v>92</v>
      </c>
      <c r="N128" s="186" t="s">
        <v>35</v>
      </c>
      <c r="O128" s="181" t="s">
        <v>40</v>
      </c>
      <c r="P128" s="181" t="s">
        <v>80</v>
      </c>
      <c r="Q128" s="181" t="s">
        <v>690</v>
      </c>
      <c r="R128" s="181"/>
      <c r="S128" s="174"/>
      <c r="T128" s="183" t="b">
        <v>0</v>
      </c>
      <c r="U128" s="174"/>
      <c r="V128" s="183" t="b">
        <v>0</v>
      </c>
      <c r="W128" s="174"/>
      <c r="X128" s="183" t="b">
        <v>0</v>
      </c>
      <c r="Y128" s="174"/>
      <c r="Z128" s="183" t="b">
        <v>0</v>
      </c>
      <c r="AA128" s="174"/>
      <c r="AB128" s="174"/>
      <c r="AC128" s="183" t="b">
        <v>1</v>
      </c>
      <c r="AD128" s="183" t="b">
        <v>1</v>
      </c>
      <c r="AE128" s="183" t="b">
        <v>1</v>
      </c>
      <c r="AF128" s="183" t="b">
        <v>1</v>
      </c>
      <c r="AG128" s="183" t="b">
        <v>1</v>
      </c>
      <c r="AH128" s="32"/>
      <c r="AI128" s="32" t="s">
        <v>73</v>
      </c>
      <c r="AJ128" s="32"/>
      <c r="AK128" s="241"/>
      <c r="AL128" s="97">
        <v>0</v>
      </c>
      <c r="AM128" s="169">
        <f t="shared" si="7"/>
        <v>0</v>
      </c>
      <c r="AN128" s="174">
        <v>36</v>
      </c>
      <c r="AO128" s="15"/>
      <c r="AP128" s="18">
        <v>46176</v>
      </c>
      <c r="AQ128" s="18">
        <v>46217</v>
      </c>
      <c r="AR128" s="235"/>
      <c r="AS128" s="18"/>
      <c r="AT128" s="18"/>
    </row>
    <row r="129" spans="1:46" ht="14.25" hidden="1" customHeight="1" x14ac:dyDescent="0.2">
      <c r="A129" s="187">
        <f t="shared" si="6"/>
        <v>19</v>
      </c>
      <c r="B129" s="191" t="str">
        <f>_xlfn.XLOOKUP(D129,Códigos_Propuestas!$B$4:$B$10,Códigos_Propuestas!$C$4:$C$10,"!",0,1)&amp;"__"&amp;
_xlfn.XLOOKUP(H129,Códigos_Propuestas!$E$4:$E$76,Códigos_Propuestas!$F$4:$F$76,"!",1)&amp;"__"&amp;
_xlfn.XLOOKUP(M129,Códigos_Propuestas!$I$4:$I$7,Códigos_Propuestas!$J$4:$J$7,"!",1)&amp;"__"&amp;
_xlfn.XLOOKUP(N129,Códigos_Propuestas!$O$4:$O$11,Códigos_Propuestas!$Q$4:$Q$11,"!",1)&amp;"__"&amp;
_xlfn.XLOOKUP(F129,Códigos_Propuestas!$BF:$BF,Códigos_Propuestas!$BH:$BH,"!",0,1)</f>
        <v>PE__SPM__UG__MGE__!</v>
      </c>
      <c r="C129" s="47">
        <v>127</v>
      </c>
      <c r="D129" s="174" t="s">
        <v>62</v>
      </c>
      <c r="E129" s="32" t="s">
        <v>62</v>
      </c>
      <c r="F129" s="196" t="s">
        <v>886</v>
      </c>
      <c r="G129" s="174"/>
      <c r="H129" s="223" t="s">
        <v>303</v>
      </c>
      <c r="I129" s="174"/>
      <c r="J129" s="174" t="s">
        <v>97</v>
      </c>
      <c r="K129" s="47" t="s">
        <v>72</v>
      </c>
      <c r="L129" s="181"/>
      <c r="M129" s="174" t="s">
        <v>65</v>
      </c>
      <c r="N129" s="186" t="s">
        <v>153</v>
      </c>
      <c r="O129" s="181" t="s">
        <v>40</v>
      </c>
      <c r="P129" s="181" t="s">
        <v>129</v>
      </c>
      <c r="Q129" s="181" t="s">
        <v>690</v>
      </c>
      <c r="R129" s="181"/>
      <c r="S129" s="174"/>
      <c r="T129" s="183" t="b">
        <v>0</v>
      </c>
      <c r="U129" s="174"/>
      <c r="V129" s="183" t="b">
        <v>0</v>
      </c>
      <c r="W129" s="174"/>
      <c r="X129" s="183" t="b">
        <v>0</v>
      </c>
      <c r="Y129" s="174"/>
      <c r="Z129" s="183" t="b">
        <v>0</v>
      </c>
      <c r="AA129" s="174"/>
      <c r="AB129" s="174"/>
      <c r="AC129" s="183" t="b">
        <v>1</v>
      </c>
      <c r="AD129" s="183" t="b">
        <v>0</v>
      </c>
      <c r="AE129" s="183" t="b">
        <v>0</v>
      </c>
      <c r="AF129" s="183" t="b">
        <v>0</v>
      </c>
      <c r="AG129" s="183" t="b">
        <v>0</v>
      </c>
      <c r="AH129" s="32"/>
      <c r="AI129" s="32"/>
      <c r="AJ129" s="32"/>
      <c r="AK129" s="241"/>
      <c r="AL129" s="97">
        <v>99060</v>
      </c>
      <c r="AM129" s="169">
        <f t="shared" si="7"/>
        <v>19812</v>
      </c>
      <c r="AN129" s="174">
        <v>3</v>
      </c>
      <c r="AO129" s="15"/>
      <c r="AP129" s="18">
        <v>46188</v>
      </c>
      <c r="AQ129" s="18">
        <v>46191</v>
      </c>
      <c r="AR129" s="235"/>
      <c r="AS129" s="18"/>
      <c r="AT129" s="18"/>
    </row>
    <row r="130" spans="1:46" hidden="1" x14ac:dyDescent="0.2">
      <c r="A130" s="187">
        <f t="shared" si="6"/>
        <v>19</v>
      </c>
      <c r="B130" s="191" t="str">
        <f>_xlfn.XLOOKUP(D130,Códigos_Propuestas!$B$4:$B$10,Códigos_Propuestas!$C$4:$C$10,"!",0,1)&amp;"__"&amp;
_xlfn.XLOOKUP(H130,Códigos_Propuestas!$E$4:$E$76,Códigos_Propuestas!$F$4:$F$76,"!",1)&amp;"__"&amp;
_xlfn.XLOOKUP(M130,Códigos_Propuestas!$I$4:$I$7,Códigos_Propuestas!$J$4:$J$7,"!",1)&amp;"__"&amp;
_xlfn.XLOOKUP(N130,Códigos_Propuestas!$O$4:$O$11,Códigos_Propuestas!$Q$4:$Q$11,"!",1)&amp;"__"&amp;
_xlfn.XLOOKUP(F130,Códigos_Propuestas!$BF:$BF,Códigos_Propuestas!$BH:$BH,"!",0,1)</f>
        <v>PE__RED__OU__MIN__!</v>
      </c>
      <c r="C130" s="47">
        <v>128</v>
      </c>
      <c r="D130" s="174" t="s">
        <v>62</v>
      </c>
      <c r="E130" s="32" t="s">
        <v>62</v>
      </c>
      <c r="F130" s="196" t="s">
        <v>866</v>
      </c>
      <c r="G130" s="174"/>
      <c r="H130" s="174" t="s">
        <v>356</v>
      </c>
      <c r="I130" s="174"/>
      <c r="J130" s="174" t="s">
        <v>97</v>
      </c>
      <c r="K130" s="47" t="s">
        <v>72</v>
      </c>
      <c r="L130" s="181"/>
      <c r="M130" s="174" t="s">
        <v>116</v>
      </c>
      <c r="N130" s="186" t="s">
        <v>120</v>
      </c>
      <c r="O130" s="181" t="s">
        <v>40</v>
      </c>
      <c r="P130" s="181" t="s">
        <v>129</v>
      </c>
      <c r="Q130" s="181" t="s">
        <v>690</v>
      </c>
      <c r="R130" s="181"/>
      <c r="S130" s="174"/>
      <c r="T130" s="183" t="b">
        <v>0</v>
      </c>
      <c r="U130" s="174"/>
      <c r="V130" s="183" t="b">
        <v>0</v>
      </c>
      <c r="W130" s="174"/>
      <c r="X130" s="183" t="b">
        <v>0</v>
      </c>
      <c r="Y130" s="174"/>
      <c r="Z130" s="183" t="b">
        <v>0</v>
      </c>
      <c r="AA130" s="174"/>
      <c r="AB130" s="174"/>
      <c r="AC130" s="183" t="b">
        <v>1</v>
      </c>
      <c r="AD130" s="183" t="b">
        <v>1</v>
      </c>
      <c r="AE130" s="183" t="b">
        <v>0</v>
      </c>
      <c r="AF130" s="183" t="b">
        <v>0</v>
      </c>
      <c r="AG130" s="183" t="b">
        <v>0</v>
      </c>
      <c r="AH130" s="32"/>
      <c r="AI130" s="32"/>
      <c r="AJ130" s="32"/>
      <c r="AK130" s="241"/>
      <c r="AL130" s="97">
        <v>2036000</v>
      </c>
      <c r="AM130" s="169">
        <f t="shared" si="7"/>
        <v>814400</v>
      </c>
      <c r="AN130" s="174">
        <v>12</v>
      </c>
      <c r="AO130" s="15"/>
      <c r="AP130" s="18">
        <v>46181</v>
      </c>
      <c r="AQ130" s="18">
        <v>46185</v>
      </c>
      <c r="AR130" s="235"/>
      <c r="AS130" s="18"/>
      <c r="AT130" s="18"/>
    </row>
    <row r="131" spans="1:46" hidden="1" x14ac:dyDescent="0.2">
      <c r="A131" s="187">
        <f t="shared" ref="A131:A139" si="8">LEN(B131)</f>
        <v>19</v>
      </c>
      <c r="B131" s="191" t="str">
        <f>_xlfn.XLOOKUP(D131,Códigos_Propuestas!$B$4:$B$10,Códigos_Propuestas!$C$4:$C$10,"!",0,1)&amp;"__"&amp;
_xlfn.XLOOKUP(H131,Códigos_Propuestas!$E$4:$E$76,Códigos_Propuestas!$F$4:$F$76,"!",1)&amp;"__"&amp;
_xlfn.XLOOKUP(M131,Códigos_Propuestas!$I$4:$I$7,Códigos_Propuestas!$J$4:$J$7,"!",1)&amp;"__"&amp;
_xlfn.XLOOKUP(N131,Códigos_Propuestas!$O$4:$O$11,Códigos_Propuestas!$Q$4:$Q$11,"!",1)&amp;"__"&amp;
_xlfn.XLOOKUP(F131,Códigos_Propuestas!$BF:$BF,Códigos_Propuestas!$BH:$BH,"!",0,1)</f>
        <v>CH__COD__UG__MOP__!</v>
      </c>
      <c r="C131" s="47">
        <v>129</v>
      </c>
      <c r="D131" s="174" t="s">
        <v>32</v>
      </c>
      <c r="E131" s="32" t="s">
        <v>32</v>
      </c>
      <c r="F131" s="196" t="s">
        <v>880</v>
      </c>
      <c r="G131" s="174"/>
      <c r="H131" s="174" t="s">
        <v>181</v>
      </c>
      <c r="I131" s="174" t="s">
        <v>668</v>
      </c>
      <c r="J131" s="174" t="s">
        <v>143</v>
      </c>
      <c r="K131" s="47" t="s">
        <v>98</v>
      </c>
      <c r="L131" s="181" t="s">
        <v>756</v>
      </c>
      <c r="M131" s="174" t="s">
        <v>65</v>
      </c>
      <c r="N131" s="186" t="s">
        <v>141</v>
      </c>
      <c r="O131" s="181" t="s">
        <v>40</v>
      </c>
      <c r="P131" s="181" t="s">
        <v>80</v>
      </c>
      <c r="Q131" s="181" t="s">
        <v>690</v>
      </c>
      <c r="R131" s="181" t="s">
        <v>128</v>
      </c>
      <c r="S131" s="174"/>
      <c r="T131" s="183" t="b">
        <v>0</v>
      </c>
      <c r="U131" s="174"/>
      <c r="V131" s="183" t="b">
        <v>0</v>
      </c>
      <c r="W131" s="174"/>
      <c r="X131" s="183" t="b">
        <v>0</v>
      </c>
      <c r="Y131" s="174"/>
      <c r="Z131" s="183" t="b">
        <v>0</v>
      </c>
      <c r="AA131" s="174"/>
      <c r="AB131" s="174"/>
      <c r="AC131" s="183" t="b">
        <v>1</v>
      </c>
      <c r="AD131" s="183" t="b">
        <v>0</v>
      </c>
      <c r="AE131" s="183" t="b">
        <v>0</v>
      </c>
      <c r="AF131" s="183" t="b">
        <v>0</v>
      </c>
      <c r="AG131" s="183" t="b">
        <v>0</v>
      </c>
      <c r="AH131" s="32"/>
      <c r="AI131" s="32" t="s">
        <v>123</v>
      </c>
      <c r="AJ131" s="32"/>
      <c r="AK131" s="241"/>
      <c r="AL131" s="97">
        <v>139574</v>
      </c>
      <c r="AM131" s="169">
        <f t="shared" si="7"/>
        <v>55829.600000000006</v>
      </c>
      <c r="AN131" s="174">
        <v>3</v>
      </c>
      <c r="AO131" s="15"/>
      <c r="AP131" s="18">
        <v>46182</v>
      </c>
      <c r="AQ131" s="18">
        <v>46195</v>
      </c>
      <c r="AR131" s="235"/>
      <c r="AS131" s="18"/>
      <c r="AT131" s="18">
        <v>46204</v>
      </c>
    </row>
    <row r="132" spans="1:46" hidden="1" x14ac:dyDescent="0.2">
      <c r="A132" s="187">
        <f t="shared" si="8"/>
        <v>19</v>
      </c>
      <c r="B132" s="191" t="str">
        <f>_xlfn.XLOOKUP(D132,Códigos_Propuestas!$B$4:$B$10,Códigos_Propuestas!$C$4:$C$10,"!",0,1)&amp;"__"&amp;
_xlfn.XLOOKUP(H132,Códigos_Propuestas!$E$4:$E$76,Códigos_Propuestas!$F$4:$F$76,"!",1)&amp;"__"&amp;
_xlfn.XLOOKUP(M132,Códigos_Propuestas!$I$4:$I$7,Códigos_Propuestas!$J$4:$J$7,"!",1)&amp;"__"&amp;
_xlfn.XLOOKUP(N132,Códigos_Propuestas!$O$4:$O$11,Códigos_Propuestas!$Q$4:$Q$11,"!",1)&amp;"__"&amp;
_xlfn.XLOOKUP(F132,Códigos_Propuestas!$BF:$BF,Códigos_Propuestas!$BH:$BH,"!",0,1)</f>
        <v>PE__IEL__UG__MIN__!</v>
      </c>
      <c r="C132" s="47">
        <v>130</v>
      </c>
      <c r="D132" s="32" t="s">
        <v>62</v>
      </c>
      <c r="E132" s="32" t="s">
        <v>62</v>
      </c>
      <c r="F132" s="196" t="s">
        <v>867</v>
      </c>
      <c r="G132" s="174"/>
      <c r="H132" s="174" t="s">
        <v>868</v>
      </c>
      <c r="I132" s="174"/>
      <c r="J132" s="174" t="s">
        <v>97</v>
      </c>
      <c r="K132" s="47" t="s">
        <v>44</v>
      </c>
      <c r="L132" s="181"/>
      <c r="M132" s="174" t="s">
        <v>65</v>
      </c>
      <c r="N132" s="186" t="s">
        <v>120</v>
      </c>
      <c r="O132" s="181" t="s">
        <v>40</v>
      </c>
      <c r="P132" s="181" t="s">
        <v>129</v>
      </c>
      <c r="Q132" s="181" t="s">
        <v>690</v>
      </c>
      <c r="R132" s="181"/>
      <c r="S132" s="174"/>
      <c r="T132" s="183" t="b">
        <v>0</v>
      </c>
      <c r="U132" s="174"/>
      <c r="V132" s="183" t="b">
        <v>0</v>
      </c>
      <c r="W132" s="174"/>
      <c r="X132" s="183" t="b">
        <v>0</v>
      </c>
      <c r="Y132" s="174"/>
      <c r="Z132" s="183" t="b">
        <v>0</v>
      </c>
      <c r="AA132" s="174"/>
      <c r="AB132" s="174"/>
      <c r="AC132" s="183" t="b">
        <v>1</v>
      </c>
      <c r="AD132" s="183" t="b">
        <v>1</v>
      </c>
      <c r="AE132" s="183" t="b">
        <v>0</v>
      </c>
      <c r="AF132" s="183" t="b">
        <v>1</v>
      </c>
      <c r="AG132" s="183" t="b">
        <v>0</v>
      </c>
      <c r="AH132" s="32"/>
      <c r="AI132" s="32"/>
      <c r="AJ132" s="32"/>
      <c r="AK132" s="241"/>
      <c r="AL132" s="97">
        <v>1473529</v>
      </c>
      <c r="AM132" s="169">
        <f t="shared" si="7"/>
        <v>589411.6</v>
      </c>
      <c r="AN132" s="174">
        <v>10</v>
      </c>
      <c r="AO132" s="15"/>
      <c r="AP132" s="18">
        <v>46183</v>
      </c>
      <c r="AQ132" s="18">
        <v>46185</v>
      </c>
      <c r="AR132" s="235"/>
      <c r="AS132" s="18"/>
      <c r="AT132" s="18"/>
    </row>
    <row r="133" spans="1:46" hidden="1" x14ac:dyDescent="0.2">
      <c r="A133" s="187">
        <f t="shared" si="8"/>
        <v>19</v>
      </c>
      <c r="B133" s="191" t="str">
        <f>_xlfn.XLOOKUP(D133,Códigos_Propuestas!$B$4:$B$10,Códigos_Propuestas!$C$4:$C$10,"!",0,1)&amp;"__"&amp;
_xlfn.XLOOKUP(H133,Códigos_Propuestas!$E$4:$E$76,Códigos_Propuestas!$F$4:$F$76,"!",1)&amp;"__"&amp;
_xlfn.XLOOKUP(M133,Códigos_Propuestas!$I$4:$I$7,Códigos_Propuestas!$J$4:$J$7,"!",1)&amp;"__"&amp;
_xlfn.XLOOKUP(N133,Códigos_Propuestas!$O$4:$O$11,Códigos_Propuestas!$Q$4:$Q$11,"!",1)&amp;"__"&amp;
_xlfn.XLOOKUP(F133,Códigos_Propuestas!$BF:$BF,Códigos_Propuestas!$BH:$BH,"!",0,1)</f>
        <v>CH__LUN__OU__MOP__!</v>
      </c>
      <c r="C133" s="47">
        <v>131</v>
      </c>
      <c r="D133" s="174" t="s">
        <v>32</v>
      </c>
      <c r="E133" s="32" t="s">
        <v>32</v>
      </c>
      <c r="F133" s="194" t="s">
        <v>870</v>
      </c>
      <c r="G133" s="174"/>
      <c r="H133" s="174" t="s">
        <v>90</v>
      </c>
      <c r="I133" s="174" t="s">
        <v>550</v>
      </c>
      <c r="J133" s="174" t="s">
        <v>97</v>
      </c>
      <c r="K133" s="47" t="s">
        <v>98</v>
      </c>
      <c r="L133" s="181"/>
      <c r="M133" s="174" t="s">
        <v>116</v>
      </c>
      <c r="N133" s="186" t="s">
        <v>141</v>
      </c>
      <c r="O133" s="181" t="s">
        <v>645</v>
      </c>
      <c r="P133" s="181" t="s">
        <v>56</v>
      </c>
      <c r="Q133" s="181" t="s">
        <v>690</v>
      </c>
      <c r="R133" s="181"/>
      <c r="S133" s="174"/>
      <c r="T133" s="183" t="b">
        <v>0</v>
      </c>
      <c r="U133" s="174"/>
      <c r="V133" s="183" t="b">
        <v>0</v>
      </c>
      <c r="W133" s="174"/>
      <c r="X133" s="183" t="b">
        <v>0</v>
      </c>
      <c r="Y133" s="174"/>
      <c r="Z133" s="183" t="b">
        <v>0</v>
      </c>
      <c r="AA133" s="174"/>
      <c r="AB133" s="174"/>
      <c r="AC133" s="183" t="b">
        <v>0</v>
      </c>
      <c r="AD133" s="183" t="b">
        <v>0</v>
      </c>
      <c r="AE133" s="183" t="b">
        <v>0</v>
      </c>
      <c r="AF133" s="183" t="b">
        <v>0</v>
      </c>
      <c r="AG133" s="183" t="b">
        <v>1</v>
      </c>
      <c r="AH133" s="32"/>
      <c r="AI133" s="32"/>
      <c r="AJ133" s="32"/>
      <c r="AK133" s="241"/>
      <c r="AL133" s="97">
        <v>76300</v>
      </c>
      <c r="AM133" s="169">
        <f t="shared" si="7"/>
        <v>15260</v>
      </c>
      <c r="AN133" s="174">
        <v>2.25</v>
      </c>
      <c r="AO133" s="15"/>
      <c r="AP133" s="18">
        <v>46169</v>
      </c>
      <c r="AQ133" s="18">
        <v>46184</v>
      </c>
      <c r="AR133" s="235"/>
      <c r="AS133" s="18"/>
      <c r="AT133" s="18"/>
    </row>
    <row r="134" spans="1:46" x14ac:dyDescent="0.2">
      <c r="A134" s="187">
        <f t="shared" si="8"/>
        <v>19</v>
      </c>
      <c r="B134" s="191" t="str">
        <f>_xlfn.XLOOKUP(D134,Códigos_Propuestas!$B$4:$B$10,Códigos_Propuestas!$C$4:$C$10,"!",0,1)&amp;"__"&amp;
_xlfn.XLOOKUP(H134,Códigos_Propuestas!$E$4:$E$76,Códigos_Propuestas!$F$4:$F$76,"!",1)&amp;"__"&amp;
_xlfn.XLOOKUP(M134,Códigos_Propuestas!$I$4:$I$7,Códigos_Propuestas!$J$4:$J$7,"!",1)&amp;"__"&amp;
_xlfn.XLOOKUP(N134,Códigos_Propuestas!$O$4:$O$11,Códigos_Propuestas!$Q$4:$Q$11,"!",1)&amp;"__"&amp;
_xlfn.XLOOKUP(F134,Códigos_Propuestas!$BF:$BF,Códigos_Propuestas!$BH:$BH,"!",0,1)</f>
        <v>CH__GLE__OP__SIM__!</v>
      </c>
      <c r="C134" s="47">
        <v>132</v>
      </c>
      <c r="D134" s="174" t="s">
        <v>32</v>
      </c>
      <c r="E134" s="32" t="s">
        <v>32</v>
      </c>
      <c r="F134" s="194" t="s">
        <v>871</v>
      </c>
      <c r="G134" s="174"/>
      <c r="H134" s="174" t="s">
        <v>137</v>
      </c>
      <c r="I134" s="174" t="s">
        <v>315</v>
      </c>
      <c r="J134" s="174" t="s">
        <v>122</v>
      </c>
      <c r="K134" s="47" t="s">
        <v>98</v>
      </c>
      <c r="L134" s="181" t="s">
        <v>872</v>
      </c>
      <c r="M134" s="174" t="s">
        <v>92</v>
      </c>
      <c r="N134" s="186" t="s">
        <v>660</v>
      </c>
      <c r="O134" s="181" t="s">
        <v>40</v>
      </c>
      <c r="P134" s="181" t="s">
        <v>80</v>
      </c>
      <c r="Q134" s="181" t="s">
        <v>690</v>
      </c>
      <c r="R134" s="181"/>
      <c r="S134" s="174"/>
      <c r="T134" s="183" t="b">
        <v>0</v>
      </c>
      <c r="U134" s="174"/>
      <c r="V134" s="183" t="b">
        <v>0</v>
      </c>
      <c r="W134" s="174"/>
      <c r="X134" s="183" t="b">
        <v>0</v>
      </c>
      <c r="Y134" s="174"/>
      <c r="Z134" s="183" t="b">
        <v>0</v>
      </c>
      <c r="AA134" s="174"/>
      <c r="AB134" s="174"/>
      <c r="AC134" s="183" t="b">
        <v>1</v>
      </c>
      <c r="AD134" s="183" t="b">
        <v>0</v>
      </c>
      <c r="AE134" s="183" t="b">
        <v>0</v>
      </c>
      <c r="AF134" s="183" t="b">
        <v>0</v>
      </c>
      <c r="AG134" s="183" t="b">
        <v>0</v>
      </c>
      <c r="AH134" s="32"/>
      <c r="AI134" s="32"/>
      <c r="AJ134" s="32"/>
      <c r="AK134" s="241" t="s">
        <v>907</v>
      </c>
      <c r="AL134" s="97">
        <v>39460</v>
      </c>
      <c r="AM134" s="169">
        <f t="shared" si="7"/>
        <v>7892</v>
      </c>
      <c r="AN134" s="174">
        <v>0.75</v>
      </c>
      <c r="AO134" s="15"/>
      <c r="AP134" s="18">
        <v>46185</v>
      </c>
      <c r="AQ134" s="18">
        <v>46185</v>
      </c>
      <c r="AR134" s="235"/>
      <c r="AS134" s="18"/>
      <c r="AT134" s="18">
        <v>46185</v>
      </c>
    </row>
    <row r="135" spans="1:46" x14ac:dyDescent="0.2">
      <c r="A135" s="187">
        <f t="shared" si="8"/>
        <v>19</v>
      </c>
      <c r="B135" s="191" t="str">
        <f>_xlfn.XLOOKUP(D135,Códigos_Propuestas!$B$4:$B$10,Códigos_Propuestas!$C$4:$C$10,"!",0,1)&amp;"__"&amp;
_xlfn.XLOOKUP(H135,Códigos_Propuestas!$E$4:$E$76,Códigos_Propuestas!$F$4:$F$76,"!",1)&amp;"__"&amp;
_xlfn.XLOOKUP(M135,Códigos_Propuestas!$I$4:$I$7,Códigos_Propuestas!$J$4:$J$7,"!",1)&amp;"__"&amp;
_xlfn.XLOOKUP(N135,Códigos_Propuestas!$O$4:$O$11,Códigos_Propuestas!$Q$4:$Q$11,"!",1)&amp;"__"&amp;
_xlfn.XLOOKUP(F135,Códigos_Propuestas!$BF:$BF,Códigos_Propuestas!$BH:$BH,"!",0,1)</f>
        <v>PE__HCS__UG__MGE__!</v>
      </c>
      <c r="C135" s="47">
        <v>133</v>
      </c>
      <c r="D135" s="174" t="s">
        <v>62</v>
      </c>
      <c r="E135" s="32" t="s">
        <v>820</v>
      </c>
      <c r="F135" s="26" t="s">
        <v>873</v>
      </c>
      <c r="G135" s="174"/>
      <c r="H135" s="174" t="s">
        <v>806</v>
      </c>
      <c r="I135" s="174" t="s">
        <v>807</v>
      </c>
      <c r="J135" s="174" t="s">
        <v>122</v>
      </c>
      <c r="K135" s="47" t="s">
        <v>72</v>
      </c>
      <c r="L135" s="181" t="s">
        <v>879</v>
      </c>
      <c r="M135" s="174" t="s">
        <v>65</v>
      </c>
      <c r="N135" s="186" t="s">
        <v>153</v>
      </c>
      <c r="O135" s="181" t="s">
        <v>40</v>
      </c>
      <c r="P135" s="181" t="s">
        <v>129</v>
      </c>
      <c r="Q135" s="181" t="s">
        <v>690</v>
      </c>
      <c r="R135" s="181"/>
      <c r="S135" s="174"/>
      <c r="T135" s="183" t="b">
        <v>0</v>
      </c>
      <c r="U135" s="174"/>
      <c r="V135" s="183" t="b">
        <v>0</v>
      </c>
      <c r="W135" s="174"/>
      <c r="X135" s="183" t="b">
        <v>0</v>
      </c>
      <c r="Y135" s="174"/>
      <c r="Z135" s="183" t="b">
        <v>0</v>
      </c>
      <c r="AA135" s="174"/>
      <c r="AB135" s="174"/>
      <c r="AC135" s="183" t="b">
        <v>1</v>
      </c>
      <c r="AD135" s="183" t="b">
        <v>1</v>
      </c>
      <c r="AE135" s="183" t="b">
        <v>0</v>
      </c>
      <c r="AF135" s="183" t="b">
        <v>0</v>
      </c>
      <c r="AG135" s="183" t="b">
        <v>0</v>
      </c>
      <c r="AH135" s="32"/>
      <c r="AI135" s="32" t="s">
        <v>45</v>
      </c>
      <c r="AJ135" s="32" t="s">
        <v>78</v>
      </c>
      <c r="AK135" s="241"/>
      <c r="AL135" s="97">
        <v>141580</v>
      </c>
      <c r="AM135" s="169">
        <f t="shared" si="7"/>
        <v>56632</v>
      </c>
      <c r="AN135" s="174">
        <v>4.5</v>
      </c>
      <c r="AO135" s="15"/>
      <c r="AP135" s="18">
        <v>46188</v>
      </c>
      <c r="AQ135" s="18">
        <v>46189</v>
      </c>
      <c r="AR135" s="235">
        <v>1</v>
      </c>
      <c r="AS135" s="18">
        <v>46192</v>
      </c>
      <c r="AT135" s="18">
        <v>46198</v>
      </c>
    </row>
    <row r="136" spans="1:46" hidden="1" x14ac:dyDescent="0.2">
      <c r="A136" s="187">
        <f t="shared" si="8"/>
        <v>19</v>
      </c>
      <c r="B136" s="191" t="str">
        <f>_xlfn.XLOOKUP(D136,Códigos_Propuestas!$B$4:$B$10,Códigos_Propuestas!$C$4:$C$10,"!",0,1)&amp;"__"&amp;
_xlfn.XLOOKUP(H136,Códigos_Propuestas!$E$4:$E$76,Códigos_Propuestas!$F$4:$F$76,"!",1)&amp;"__"&amp;
_xlfn.XLOOKUP(M136,Códigos_Propuestas!$I$4:$I$7,Códigos_Propuestas!$J$4:$J$7,"!",1)&amp;"__"&amp;
_xlfn.XLOOKUP(N136,Códigos_Propuestas!$O$4:$O$11,Códigos_Propuestas!$Q$4:$Q$11,"!",1)&amp;"__"&amp;
_xlfn.XLOOKUP(F136,Códigos_Propuestas!$BF:$BF,Códigos_Propuestas!$BH:$BH,"!",0,1)</f>
        <v>PE__MMA__UG__MIN__!</v>
      </c>
      <c r="C136" s="47">
        <v>134</v>
      </c>
      <c r="D136" s="174" t="s">
        <v>62</v>
      </c>
      <c r="E136" s="174" t="s">
        <v>62</v>
      </c>
      <c r="F136" s="196" t="s">
        <v>878</v>
      </c>
      <c r="G136" s="174"/>
      <c r="H136" s="174" t="s">
        <v>221</v>
      </c>
      <c r="I136" s="174"/>
      <c r="J136" s="174" t="s">
        <v>97</v>
      </c>
      <c r="K136" s="47" t="s">
        <v>72</v>
      </c>
      <c r="L136" s="181" t="s">
        <v>748</v>
      </c>
      <c r="M136" s="174" t="s">
        <v>65</v>
      </c>
      <c r="N136" s="186" t="s">
        <v>35</v>
      </c>
      <c r="O136" s="181" t="s">
        <v>40</v>
      </c>
      <c r="P136" s="181" t="s">
        <v>129</v>
      </c>
      <c r="Q136" s="181" t="s">
        <v>690</v>
      </c>
      <c r="R136" s="181"/>
      <c r="S136" s="174"/>
      <c r="T136" s="183" t="b">
        <v>0</v>
      </c>
      <c r="U136" s="174"/>
      <c r="V136" s="183" t="b">
        <v>0</v>
      </c>
      <c r="W136" s="174"/>
      <c r="X136" s="183" t="b">
        <v>0</v>
      </c>
      <c r="Y136" s="174"/>
      <c r="Z136" s="183" t="b">
        <v>0</v>
      </c>
      <c r="AA136" s="174"/>
      <c r="AB136" s="174"/>
      <c r="AC136" s="183" t="b">
        <v>1</v>
      </c>
      <c r="AD136" s="183" t="b">
        <v>0</v>
      </c>
      <c r="AE136" s="183" t="b">
        <v>0</v>
      </c>
      <c r="AF136" s="183" t="b">
        <v>0</v>
      </c>
      <c r="AG136" s="183" t="b">
        <v>0</v>
      </c>
      <c r="AH136" s="32"/>
      <c r="AI136" s="32" t="s">
        <v>123</v>
      </c>
      <c r="AJ136" s="32"/>
      <c r="AK136" s="241"/>
      <c r="AL136" s="97">
        <v>119740</v>
      </c>
      <c r="AM136" s="169">
        <f t="shared" si="7"/>
        <v>47896</v>
      </c>
      <c r="AN136" s="174">
        <v>3</v>
      </c>
      <c r="AO136" s="15"/>
      <c r="AP136" s="18">
        <v>46189</v>
      </c>
      <c r="AQ136" s="18">
        <v>46204</v>
      </c>
      <c r="AR136" s="235"/>
      <c r="AS136" s="18"/>
      <c r="AT136" s="18"/>
    </row>
    <row r="137" spans="1:46" hidden="1" x14ac:dyDescent="0.2">
      <c r="A137" s="187">
        <f t="shared" si="8"/>
        <v>19</v>
      </c>
      <c r="B137" s="191" t="str">
        <f>_xlfn.XLOOKUP(D137,Códigos_Propuestas!$B$4:$B$10,Códigos_Propuestas!$C$4:$C$10,"!",0,1)&amp;"__"&amp;
_xlfn.XLOOKUP(H137,Códigos_Propuestas!$E$4:$E$76,Códigos_Propuestas!$F$4:$F$76,"!",1)&amp;"__"&amp;
_xlfn.XLOOKUP(M137,Códigos_Propuestas!$I$4:$I$7,Códigos_Propuestas!$J$4:$J$7,"!",1)&amp;"__"&amp;
_xlfn.XLOOKUP(N137,Códigos_Propuestas!$O$4:$O$11,Códigos_Propuestas!$Q$4:$Q$11,"!",1)&amp;"__"&amp;
_xlfn.XLOOKUP(F137,Códigos_Propuestas!$BF:$BF,Códigos_Propuestas!$BH:$BH,"!",0,1)</f>
        <v>PE__MAR__OP__MIN__!</v>
      </c>
      <c r="C137" s="47">
        <v>135</v>
      </c>
      <c r="D137" s="174" t="s">
        <v>62</v>
      </c>
      <c r="E137" s="174" t="s">
        <v>62</v>
      </c>
      <c r="F137" s="196" t="s">
        <v>874</v>
      </c>
      <c r="G137" s="174"/>
      <c r="H137" s="174" t="s">
        <v>273</v>
      </c>
      <c r="I137" s="174" t="s">
        <v>876</v>
      </c>
      <c r="J137" s="174" t="s">
        <v>43</v>
      </c>
      <c r="K137" s="47" t="s">
        <v>72</v>
      </c>
      <c r="L137" s="181" t="s">
        <v>877</v>
      </c>
      <c r="M137" s="174" t="s">
        <v>92</v>
      </c>
      <c r="N137" s="186" t="s">
        <v>35</v>
      </c>
      <c r="O137" s="181" t="s">
        <v>40</v>
      </c>
      <c r="P137" s="181" t="s">
        <v>129</v>
      </c>
      <c r="Q137" s="181" t="s">
        <v>690</v>
      </c>
      <c r="R137" s="181"/>
      <c r="S137" s="174"/>
      <c r="T137" s="183" t="b">
        <v>0</v>
      </c>
      <c r="U137" s="174"/>
      <c r="V137" s="183" t="b">
        <v>0</v>
      </c>
      <c r="W137" s="174"/>
      <c r="X137" s="183" t="b">
        <v>0</v>
      </c>
      <c r="Y137" s="174"/>
      <c r="Z137" s="183" t="b">
        <v>0</v>
      </c>
      <c r="AA137" s="174"/>
      <c r="AB137" s="174"/>
      <c r="AC137" s="183" t="b">
        <v>1</v>
      </c>
      <c r="AD137" s="183" t="b">
        <v>1</v>
      </c>
      <c r="AE137" s="183" t="b">
        <v>1</v>
      </c>
      <c r="AF137" s="183" t="b">
        <v>1</v>
      </c>
      <c r="AG137" s="183" t="b">
        <v>0</v>
      </c>
      <c r="AH137" s="32"/>
      <c r="AI137" s="32" t="s">
        <v>73</v>
      </c>
      <c r="AJ137" s="32"/>
      <c r="AK137" s="241"/>
      <c r="AL137" s="97">
        <v>0</v>
      </c>
      <c r="AM137" s="169">
        <f t="shared" si="7"/>
        <v>0</v>
      </c>
      <c r="AN137" s="174">
        <v>12</v>
      </c>
      <c r="AO137" s="15"/>
      <c r="AP137" s="18">
        <v>46189</v>
      </c>
      <c r="AQ137" s="18">
        <v>46211</v>
      </c>
      <c r="AR137" s="235"/>
      <c r="AS137" s="18"/>
      <c r="AT137" s="18"/>
    </row>
    <row r="138" spans="1:46" hidden="1" x14ac:dyDescent="0.2">
      <c r="A138" s="187">
        <f t="shared" si="8"/>
        <v>19</v>
      </c>
      <c r="B138" s="191" t="str">
        <f>_xlfn.XLOOKUP(D138,Códigos_Propuestas!$B$4:$B$10,Códigos_Propuestas!$C$4:$C$10,"!",0,1)&amp;"__"&amp;
_xlfn.XLOOKUP(H138,Códigos_Propuestas!$E$4:$E$76,Códigos_Propuestas!$F$4:$F$76,"!",1)&amp;"__"&amp;
_xlfn.XLOOKUP(M138,Códigos_Propuestas!$I$4:$I$7,Códigos_Propuestas!$J$4:$J$7,"!",1)&amp;"__"&amp;
_xlfn.XLOOKUP(N138,Códigos_Propuestas!$O$4:$O$11,Códigos_Propuestas!$Q$4:$Q$11,"!",1)&amp;"__"&amp;
_xlfn.XLOOKUP(F138,Códigos_Propuestas!$BF:$BF,Códigos_Propuestas!$BH:$BH,"!",0,1)</f>
        <v>CH__COD__OP__DAR__!</v>
      </c>
      <c r="C138" s="47">
        <v>136</v>
      </c>
      <c r="D138" s="174" t="s">
        <v>32</v>
      </c>
      <c r="E138" s="32" t="s">
        <v>32</v>
      </c>
      <c r="F138" s="196" t="s">
        <v>891</v>
      </c>
      <c r="G138" s="174"/>
      <c r="H138" s="174" t="s">
        <v>181</v>
      </c>
      <c r="I138" s="174" t="s">
        <v>640</v>
      </c>
      <c r="J138" s="174" t="s">
        <v>97</v>
      </c>
      <c r="K138" s="47" t="s">
        <v>98</v>
      </c>
      <c r="L138" s="181" t="s">
        <v>756</v>
      </c>
      <c r="M138" s="174" t="s">
        <v>92</v>
      </c>
      <c r="N138" s="186" t="s">
        <v>95</v>
      </c>
      <c r="O138" s="181" t="s">
        <v>40</v>
      </c>
      <c r="P138" s="181" t="s">
        <v>80</v>
      </c>
      <c r="Q138" s="181" t="s">
        <v>690</v>
      </c>
      <c r="R138" s="181"/>
      <c r="S138" s="174"/>
      <c r="T138" s="183" t="b">
        <v>0</v>
      </c>
      <c r="U138" s="174"/>
      <c r="V138" s="183" t="b">
        <v>0</v>
      </c>
      <c r="W138" s="174"/>
      <c r="X138" s="183" t="b">
        <v>0</v>
      </c>
      <c r="Y138" s="174"/>
      <c r="Z138" s="183" t="b">
        <v>0</v>
      </c>
      <c r="AA138" s="174"/>
      <c r="AB138" s="174"/>
      <c r="AC138" s="183" t="b">
        <v>1</v>
      </c>
      <c r="AD138" s="183" t="b">
        <v>0</v>
      </c>
      <c r="AE138" s="183" t="b">
        <v>0</v>
      </c>
      <c r="AF138" s="183" t="b">
        <v>0</v>
      </c>
      <c r="AG138" s="183" t="b">
        <v>0</v>
      </c>
      <c r="AH138" s="32"/>
      <c r="AI138" s="32" t="s">
        <v>123</v>
      </c>
      <c r="AJ138" s="32"/>
      <c r="AK138" s="241"/>
      <c r="AL138" s="97">
        <v>71517</v>
      </c>
      <c r="AM138" s="169">
        <f t="shared" si="7"/>
        <v>14303.400000000001</v>
      </c>
      <c r="AN138" s="174">
        <v>2.25</v>
      </c>
      <c r="AO138" s="15"/>
      <c r="AP138" s="18">
        <v>46191</v>
      </c>
      <c r="AQ138" s="18">
        <v>46203</v>
      </c>
      <c r="AR138" s="235"/>
      <c r="AS138" s="18"/>
      <c r="AT138" s="18"/>
    </row>
    <row r="139" spans="1:46" hidden="1" x14ac:dyDescent="0.2">
      <c r="A139" s="187">
        <f t="shared" si="8"/>
        <v>19</v>
      </c>
      <c r="B139" s="191" t="str">
        <f>_xlfn.XLOOKUP(D139,Códigos_Propuestas!$B$4:$B$10,Códigos_Propuestas!$C$4:$C$10,"!",0,1)&amp;"__"&amp;
_xlfn.XLOOKUP(H139,Códigos_Propuestas!$E$4:$E$76,Códigos_Propuestas!$F$4:$F$76,"!",1)&amp;"__"&amp;
_xlfn.XLOOKUP(M139,Códigos_Propuestas!$I$4:$I$7,Códigos_Propuestas!$J$4:$J$7,"!",1)&amp;"__"&amp;
_xlfn.XLOOKUP(N139,Códigos_Propuestas!$O$4:$O$11,Códigos_Propuestas!$Q$4:$Q$11,"!",1)&amp;"__"&amp;
_xlfn.XLOOKUP(F139,Códigos_Propuestas!$BF:$BF,Códigos_Propuestas!$BH:$BH,"!",0,1)</f>
        <v>CH__COD__OU__DAR__!</v>
      </c>
      <c r="C139" s="47">
        <v>137</v>
      </c>
      <c r="D139" s="174" t="s">
        <v>32</v>
      </c>
      <c r="E139" s="32" t="s">
        <v>32</v>
      </c>
      <c r="F139" s="194" t="s">
        <v>890</v>
      </c>
      <c r="G139" s="174"/>
      <c r="H139" s="174" t="s">
        <v>181</v>
      </c>
      <c r="I139" s="174" t="s">
        <v>881</v>
      </c>
      <c r="J139" s="174" t="s">
        <v>143</v>
      </c>
      <c r="K139" s="47" t="s">
        <v>98</v>
      </c>
      <c r="L139" s="181" t="s">
        <v>892</v>
      </c>
      <c r="M139" s="174" t="s">
        <v>116</v>
      </c>
      <c r="N139" s="186" t="s">
        <v>95</v>
      </c>
      <c r="O139" s="181" t="s">
        <v>40</v>
      </c>
      <c r="P139" s="181" t="s">
        <v>80</v>
      </c>
      <c r="Q139" s="181" t="s">
        <v>690</v>
      </c>
      <c r="R139" s="181" t="s">
        <v>35</v>
      </c>
      <c r="S139" s="174"/>
      <c r="T139" s="183" t="b">
        <v>0</v>
      </c>
      <c r="U139" s="174"/>
      <c r="V139" s="183" t="b">
        <v>0</v>
      </c>
      <c r="W139" s="174"/>
      <c r="X139" s="183" t="b">
        <v>0</v>
      </c>
      <c r="Y139" s="174"/>
      <c r="Z139" s="183" t="b">
        <v>0</v>
      </c>
      <c r="AA139" s="174"/>
      <c r="AB139" s="174"/>
      <c r="AC139" s="183" t="b">
        <v>1</v>
      </c>
      <c r="AD139" s="183" t="b">
        <v>1</v>
      </c>
      <c r="AE139" s="183" t="b">
        <v>0</v>
      </c>
      <c r="AF139" s="183" t="b">
        <v>1</v>
      </c>
      <c r="AG139" s="183" t="b">
        <v>0</v>
      </c>
      <c r="AH139" s="32"/>
      <c r="AI139" s="32" t="s">
        <v>123</v>
      </c>
      <c r="AJ139" s="32"/>
      <c r="AK139" s="241"/>
      <c r="AL139" s="97">
        <v>105620</v>
      </c>
      <c r="AM139" s="169">
        <f t="shared" si="7"/>
        <v>42248</v>
      </c>
      <c r="AN139" s="174">
        <v>2.1</v>
      </c>
      <c r="AO139" s="15"/>
      <c r="AP139" s="18">
        <v>46192</v>
      </c>
      <c r="AQ139" s="18">
        <v>46198</v>
      </c>
      <c r="AR139" s="235"/>
      <c r="AS139" s="18"/>
      <c r="AT139" s="18">
        <v>46199</v>
      </c>
    </row>
    <row r="140" spans="1:46" hidden="1" x14ac:dyDescent="0.2">
      <c r="A140" s="187">
        <f t="shared" ref="A140:A151" si="9">LEN(B140)</f>
        <v>19</v>
      </c>
      <c r="B140" s="191" t="str">
        <f>_xlfn.XLOOKUP(D140,Códigos_Propuestas!$B$4:$B$10,Códigos_Propuestas!$C$4:$C$10,"!",0,1)&amp;"__"&amp;
_xlfn.XLOOKUP(H140,Códigos_Propuestas!$E$4:$E$76,Códigos_Propuestas!$F$4:$F$76,"!",1)&amp;"__"&amp;
_xlfn.XLOOKUP(M140,Códigos_Propuestas!$I$4:$I$7,Códigos_Propuestas!$J$4:$J$7,"!",1)&amp;"__"&amp;
_xlfn.XLOOKUP(N140,Códigos_Propuestas!$O$4:$O$11,Códigos_Propuestas!$Q$4:$Q$11,"!",1)&amp;"__"&amp;
_xlfn.XLOOKUP(F140,Códigos_Propuestas!$BF:$BF,Códigos_Propuestas!$BH:$BH,"!",0,1)</f>
        <v>PE__BRO__UG__MGE__!</v>
      </c>
      <c r="C140" s="47">
        <v>138</v>
      </c>
      <c r="D140" s="174" t="s">
        <v>62</v>
      </c>
      <c r="E140" s="32" t="s">
        <v>62</v>
      </c>
      <c r="F140" s="194" t="s">
        <v>883</v>
      </c>
      <c r="G140" s="174"/>
      <c r="H140" s="174" t="s">
        <v>188</v>
      </c>
      <c r="I140" s="174"/>
      <c r="J140" s="174" t="s">
        <v>97</v>
      </c>
      <c r="K140" s="47" t="s">
        <v>72</v>
      </c>
      <c r="L140" s="181" t="s">
        <v>858</v>
      </c>
      <c r="M140" s="174" t="s">
        <v>65</v>
      </c>
      <c r="N140" s="186" t="s">
        <v>153</v>
      </c>
      <c r="O140" s="181" t="s">
        <v>40</v>
      </c>
      <c r="P140" s="181" t="s">
        <v>129</v>
      </c>
      <c r="Q140" s="181" t="s">
        <v>690</v>
      </c>
      <c r="R140" s="181"/>
      <c r="S140" s="174"/>
      <c r="T140" s="183" t="b">
        <v>0</v>
      </c>
      <c r="U140" s="174"/>
      <c r="V140" s="183" t="b">
        <v>0</v>
      </c>
      <c r="W140" s="174"/>
      <c r="X140" s="183" t="b">
        <v>0</v>
      </c>
      <c r="Y140" s="174"/>
      <c r="Z140" s="183" t="b">
        <v>0</v>
      </c>
      <c r="AA140" s="174"/>
      <c r="AB140" s="174"/>
      <c r="AC140" s="183" t="b">
        <v>1</v>
      </c>
      <c r="AD140" s="183" t="b">
        <v>0</v>
      </c>
      <c r="AE140" s="183" t="b">
        <v>0</v>
      </c>
      <c r="AF140" s="183" t="b">
        <v>0</v>
      </c>
      <c r="AG140" s="183" t="b">
        <v>0</v>
      </c>
      <c r="AH140" s="32"/>
      <c r="AI140" s="32"/>
      <c r="AJ140" s="32"/>
      <c r="AK140" s="241" t="s">
        <v>884</v>
      </c>
      <c r="AL140" s="97">
        <v>42790</v>
      </c>
      <c r="AM140" s="169">
        <f t="shared" ref="AM140:AM141" si="10">IF(AL140&lt;100000,AL140*0.2,AL140*0.4)</f>
        <v>8558</v>
      </c>
      <c r="AN140" s="174">
        <v>3</v>
      </c>
      <c r="AO140" s="15"/>
      <c r="AP140" s="18">
        <v>46190</v>
      </c>
      <c r="AQ140" s="18">
        <v>46192</v>
      </c>
      <c r="AR140" s="235"/>
      <c r="AS140" s="18"/>
      <c r="AT140" s="18"/>
    </row>
    <row r="141" spans="1:46" hidden="1" x14ac:dyDescent="0.2">
      <c r="A141" s="187">
        <f t="shared" si="9"/>
        <v>19</v>
      </c>
      <c r="B141" s="191" t="str">
        <f>_xlfn.XLOOKUP(D141,Códigos_Propuestas!$B$4:$B$10,Códigos_Propuestas!$C$4:$C$10,"!",0,1)&amp;"__"&amp;
_xlfn.XLOOKUP(H141,Códigos_Propuestas!$E$4:$E$76,Códigos_Propuestas!$F$4:$F$76,"!",1)&amp;"__"&amp;
_xlfn.XLOOKUP(M141,Códigos_Propuestas!$I$4:$I$7,Códigos_Propuestas!$J$4:$J$7,"!",1)&amp;"__"&amp;
_xlfn.XLOOKUP(N141,Códigos_Propuestas!$O$4:$O$11,Códigos_Propuestas!$Q$4:$Q$11,"!",1)&amp;"__"&amp;
_xlfn.XLOOKUP(F141,Códigos_Propuestas!$BF:$BF,Códigos_Propuestas!$BH:$BH,"!",0,1)</f>
        <v>PE__BRO__UG__MGE__!</v>
      </c>
      <c r="C141" s="47">
        <v>139</v>
      </c>
      <c r="D141" s="174" t="s">
        <v>62</v>
      </c>
      <c r="E141" s="32" t="s">
        <v>62</v>
      </c>
      <c r="F141" s="194" t="s">
        <v>885</v>
      </c>
      <c r="G141" s="174"/>
      <c r="H141" s="174" t="s">
        <v>188</v>
      </c>
      <c r="I141" s="174"/>
      <c r="J141" s="174" t="s">
        <v>97</v>
      </c>
      <c r="K141" s="47" t="s">
        <v>72</v>
      </c>
      <c r="L141" s="181" t="s">
        <v>858</v>
      </c>
      <c r="M141" s="174" t="s">
        <v>65</v>
      </c>
      <c r="N141" s="186" t="s">
        <v>153</v>
      </c>
      <c r="O141" s="181" t="s">
        <v>40</v>
      </c>
      <c r="P141" s="181" t="s">
        <v>129</v>
      </c>
      <c r="Q141" s="181" t="s">
        <v>690</v>
      </c>
      <c r="R141" s="181"/>
      <c r="S141" s="174"/>
      <c r="T141" s="183" t="b">
        <v>0</v>
      </c>
      <c r="U141" s="174"/>
      <c r="V141" s="183" t="b">
        <v>0</v>
      </c>
      <c r="W141" s="174"/>
      <c r="X141" s="183" t="b">
        <v>0</v>
      </c>
      <c r="Y141" s="174"/>
      <c r="Z141" s="183" t="b">
        <v>0</v>
      </c>
      <c r="AA141" s="174"/>
      <c r="AB141" s="174"/>
      <c r="AC141" s="183" t="b">
        <v>1</v>
      </c>
      <c r="AD141" s="183" t="b">
        <v>0</v>
      </c>
      <c r="AE141" s="183" t="b">
        <v>0</v>
      </c>
      <c r="AF141" s="183" t="b">
        <v>0</v>
      </c>
      <c r="AG141" s="183" t="b">
        <v>0</v>
      </c>
      <c r="AH141" s="32"/>
      <c r="AI141" s="32"/>
      <c r="AJ141" s="32"/>
      <c r="AK141" s="241" t="s">
        <v>884</v>
      </c>
      <c r="AL141" s="97">
        <v>35506</v>
      </c>
      <c r="AM141" s="169">
        <f t="shared" si="10"/>
        <v>7101.2000000000007</v>
      </c>
      <c r="AN141" s="174">
        <v>1.25</v>
      </c>
      <c r="AO141" s="15"/>
      <c r="AP141" s="18">
        <v>46190</v>
      </c>
      <c r="AQ141" s="18">
        <v>46192</v>
      </c>
      <c r="AR141" s="235">
        <v>1</v>
      </c>
      <c r="AS141" s="18">
        <v>46198</v>
      </c>
      <c r="AT141" s="18"/>
    </row>
    <row r="142" spans="1:46" hidden="1" x14ac:dyDescent="0.2">
      <c r="A142" s="187">
        <f t="shared" si="9"/>
        <v>19</v>
      </c>
      <c r="B142" s="191" t="str">
        <f>_xlfn.XLOOKUP(D142,Códigos_Propuestas!$B$4:$B$10,Códigos_Propuestas!$C$4:$C$10,"!",0,1)&amp;"__"&amp;
_xlfn.XLOOKUP(H142,Códigos_Propuestas!$E$4:$E$76,Códigos_Propuestas!$F$4:$F$76,"!",1)&amp;"__"&amp;
_xlfn.XLOOKUP(M142,Códigos_Propuestas!$I$4:$I$7,Códigos_Propuestas!$J$4:$J$7,"!",1)&amp;"__"&amp;
_xlfn.XLOOKUP(N142,Códigos_Propuestas!$O$4:$O$11,Códigos_Propuestas!$Q$4:$Q$11,"!",1)&amp;"__"&amp;
_xlfn.XLOOKUP(F142,Códigos_Propuestas!$BF:$BF,Códigos_Propuestas!$BH:$BH,"!",0,1)</f>
        <v>USA__MAL__!__MIN__!</v>
      </c>
      <c r="C142" s="47">
        <v>140</v>
      </c>
      <c r="D142" s="174" t="s">
        <v>136</v>
      </c>
      <c r="E142" s="32" t="s">
        <v>136</v>
      </c>
      <c r="F142" s="194" t="s">
        <v>887</v>
      </c>
      <c r="G142" s="174"/>
      <c r="H142" s="174" t="s">
        <v>888</v>
      </c>
      <c r="I142" s="174" t="s">
        <v>889</v>
      </c>
      <c r="J142" s="174" t="s">
        <v>97</v>
      </c>
      <c r="K142" s="47" t="s">
        <v>44</v>
      </c>
      <c r="L142" s="181"/>
      <c r="M142" s="174"/>
      <c r="N142" s="186" t="s">
        <v>120</v>
      </c>
      <c r="O142" s="181" t="s">
        <v>40</v>
      </c>
      <c r="P142" s="181" t="s">
        <v>839</v>
      </c>
      <c r="Q142" s="181" t="s">
        <v>51</v>
      </c>
      <c r="R142" s="181"/>
      <c r="S142" s="174"/>
      <c r="T142" s="183" t="b">
        <v>0</v>
      </c>
      <c r="U142" s="174"/>
      <c r="V142" s="183" t="b">
        <v>0</v>
      </c>
      <c r="W142" s="174"/>
      <c r="X142" s="183" t="b">
        <v>0</v>
      </c>
      <c r="Y142" s="174"/>
      <c r="Z142" s="183" t="b">
        <v>0</v>
      </c>
      <c r="AA142" s="174"/>
      <c r="AB142" s="174"/>
      <c r="AC142" s="183" t="b">
        <v>1</v>
      </c>
      <c r="AD142" s="183" t="b">
        <v>0</v>
      </c>
      <c r="AE142" s="183" t="b">
        <v>0</v>
      </c>
      <c r="AF142" s="183" t="b">
        <v>0</v>
      </c>
      <c r="AG142" s="183" t="b">
        <v>0</v>
      </c>
      <c r="AH142" s="32"/>
      <c r="AI142" s="32"/>
      <c r="AJ142" s="32"/>
      <c r="AK142" s="241"/>
      <c r="AL142" s="97">
        <v>467500</v>
      </c>
      <c r="AM142" s="169">
        <f t="shared" si="7"/>
        <v>187000</v>
      </c>
      <c r="AN142" s="174">
        <v>17</v>
      </c>
      <c r="AO142" s="15"/>
      <c r="AP142" s="18">
        <v>46192</v>
      </c>
      <c r="AQ142" s="18">
        <v>46192</v>
      </c>
      <c r="AR142" s="235"/>
      <c r="AS142" s="18"/>
      <c r="AT142" s="18"/>
    </row>
    <row r="143" spans="1:46" hidden="1" x14ac:dyDescent="0.2">
      <c r="A143" s="187">
        <f t="shared" si="9"/>
        <v>20</v>
      </c>
      <c r="B143" s="191" t="str">
        <f>_xlfn.XLOOKUP(D143,Códigos_Propuestas!$B$4:$B$10,Códigos_Propuestas!$C$4:$C$10,"!",0,1)&amp;"__"&amp;
_xlfn.XLOOKUP(H143,Códigos_Propuestas!$E$4:$E$76,Códigos_Propuestas!$F$4:$F$76,"!",1)&amp;"__"&amp;
_xlfn.XLOOKUP(M143,Códigos_Propuestas!$I$4:$I$7,Códigos_Propuestas!$J$4:$J$7,"!",1)&amp;"__"&amp;
_xlfn.XLOOKUP(N143,Códigos_Propuestas!$O$4:$O$11,Códigos_Propuestas!$Q$4:$Q$11,"!",1)&amp;"__"&amp;
_xlfn.XLOOKUP(F143,Códigos_Propuestas!$BF:$BF,Códigos_Propuestas!$BH:$BH,"!",0,1)</f>
        <v>USA__CCO__OU__SIM__!</v>
      </c>
      <c r="C143" s="47">
        <v>141</v>
      </c>
      <c r="D143" s="174" t="s">
        <v>136</v>
      </c>
      <c r="E143" s="32" t="s">
        <v>136</v>
      </c>
      <c r="F143" s="194" t="s">
        <v>894</v>
      </c>
      <c r="G143" s="174"/>
      <c r="H143" s="174" t="s">
        <v>250</v>
      </c>
      <c r="I143" s="174" t="s">
        <v>893</v>
      </c>
      <c r="J143" s="174" t="s">
        <v>97</v>
      </c>
      <c r="K143" s="47" t="s">
        <v>98</v>
      </c>
      <c r="L143" s="181"/>
      <c r="M143" s="174" t="s">
        <v>116</v>
      </c>
      <c r="N143" s="186" t="s">
        <v>660</v>
      </c>
      <c r="O143" s="181" t="s">
        <v>40</v>
      </c>
      <c r="P143" s="181" t="s">
        <v>839</v>
      </c>
      <c r="Q143" s="181" t="s">
        <v>51</v>
      </c>
      <c r="R143" s="181"/>
      <c r="S143" s="174"/>
      <c r="T143" s="183" t="b">
        <v>0</v>
      </c>
      <c r="U143" s="174"/>
      <c r="V143" s="183" t="b">
        <v>0</v>
      </c>
      <c r="W143" s="174"/>
      <c r="X143" s="183" t="b">
        <v>0</v>
      </c>
      <c r="Y143" s="174"/>
      <c r="Z143" s="183" t="b">
        <v>0</v>
      </c>
      <c r="AA143" s="174"/>
      <c r="AB143" s="174"/>
      <c r="AC143" s="183" t="b">
        <v>1</v>
      </c>
      <c r="AD143" s="183" t="b">
        <v>0</v>
      </c>
      <c r="AE143" s="183" t="b">
        <v>1</v>
      </c>
      <c r="AF143" s="183" t="b">
        <v>0</v>
      </c>
      <c r="AG143" s="183" t="b">
        <v>1</v>
      </c>
      <c r="AH143" s="32"/>
      <c r="AI143" s="32"/>
      <c r="AJ143" s="32"/>
      <c r="AK143" s="28"/>
      <c r="AL143" s="97">
        <v>74100</v>
      </c>
      <c r="AM143" s="169">
        <f t="shared" si="7"/>
        <v>14820</v>
      </c>
      <c r="AN143" s="174">
        <v>3</v>
      </c>
      <c r="AO143" s="15"/>
      <c r="AP143" s="18">
        <v>46196</v>
      </c>
      <c r="AQ143" s="18">
        <v>46198</v>
      </c>
      <c r="AR143" s="235"/>
      <c r="AS143" s="18"/>
      <c r="AT143" s="18"/>
    </row>
    <row r="144" spans="1:46" hidden="1" x14ac:dyDescent="0.2">
      <c r="A144" s="187">
        <f t="shared" si="9"/>
        <v>19</v>
      </c>
      <c r="B144" s="191" t="str">
        <f>_xlfn.XLOOKUP(D144,Códigos_Propuestas!$B$4:$B$10,Códigos_Propuestas!$C$4:$C$10,"!",0,1)&amp;"__"&amp;
_xlfn.XLOOKUP(H144,Códigos_Propuestas!$E$4:$E$76,Códigos_Propuestas!$F$4:$F$76,"!",1)&amp;"__"&amp;
_xlfn.XLOOKUP(M144,Códigos_Propuestas!$I$4:$I$7,Códigos_Propuestas!$J$4:$J$7,"!",1)&amp;"__"&amp;
_xlfn.XLOOKUP(N144,Códigos_Propuestas!$O$4:$O$11,Códigos_Propuestas!$Q$4:$Q$11,"!",1)&amp;"__"&amp;
_xlfn.XLOOKUP(F144,Códigos_Propuestas!$BF:$BF,Códigos_Propuestas!$BH:$BH,"!",0,1)</f>
        <v>BR__ERC__UG__MIN__!</v>
      </c>
      <c r="C144" s="47">
        <v>142</v>
      </c>
      <c r="D144" s="174" t="s">
        <v>88</v>
      </c>
      <c r="E144" s="32" t="s">
        <v>88</v>
      </c>
      <c r="F144" s="194" t="s">
        <v>895</v>
      </c>
      <c r="G144" s="174"/>
      <c r="H144" s="174" t="s">
        <v>297</v>
      </c>
      <c r="I144" s="174" t="s">
        <v>519</v>
      </c>
      <c r="J144" s="174" t="s">
        <v>43</v>
      </c>
      <c r="K144" s="47" t="s">
        <v>98</v>
      </c>
      <c r="L144" s="181" t="s">
        <v>896</v>
      </c>
      <c r="M144" s="174" t="s">
        <v>65</v>
      </c>
      <c r="N144" s="186" t="s">
        <v>120</v>
      </c>
      <c r="O144" s="181" t="s">
        <v>40</v>
      </c>
      <c r="P144" s="181" t="s">
        <v>108</v>
      </c>
      <c r="Q144" s="181" t="s">
        <v>690</v>
      </c>
      <c r="R144" s="181"/>
      <c r="S144" s="174"/>
      <c r="T144" s="183" t="b">
        <v>0</v>
      </c>
      <c r="U144" s="174"/>
      <c r="V144" s="183" t="b">
        <v>0</v>
      </c>
      <c r="W144" s="174"/>
      <c r="X144" s="183" t="b">
        <v>0</v>
      </c>
      <c r="Y144" s="174"/>
      <c r="Z144" s="183" t="b">
        <v>0</v>
      </c>
      <c r="AA144" s="174"/>
      <c r="AB144" s="174"/>
      <c r="AC144" s="183" t="b">
        <v>1</v>
      </c>
      <c r="AD144" s="183" t="b">
        <v>0</v>
      </c>
      <c r="AE144" s="183" t="b">
        <v>0</v>
      </c>
      <c r="AF144" s="183" t="b">
        <v>0</v>
      </c>
      <c r="AG144" s="183" t="b">
        <v>0</v>
      </c>
      <c r="AH144" s="32"/>
      <c r="AI144" s="32"/>
      <c r="AJ144" s="32"/>
      <c r="AK144" s="28"/>
      <c r="AL144" s="97">
        <v>300000</v>
      </c>
      <c r="AM144" s="169">
        <f t="shared" si="7"/>
        <v>120000</v>
      </c>
      <c r="AN144" s="174">
        <v>0</v>
      </c>
      <c r="AO144" s="15"/>
      <c r="AP144" s="18">
        <v>46198</v>
      </c>
      <c r="AQ144" s="18">
        <v>46213</v>
      </c>
      <c r="AR144" s="235"/>
      <c r="AS144" s="18"/>
      <c r="AT144" s="18"/>
    </row>
    <row r="145" spans="1:46" hidden="1" x14ac:dyDescent="0.2">
      <c r="A145" s="187">
        <f t="shared" si="9"/>
        <v>19</v>
      </c>
      <c r="B145" s="191" t="str">
        <f>_xlfn.XLOOKUP(D145,Códigos_Propuestas!$B$4:$B$10,Códigos_Propuestas!$C$4:$C$10,"!",0,1)&amp;"__"&amp;
_xlfn.XLOOKUP(H145,Códigos_Propuestas!$E$4:$E$76,Códigos_Propuestas!$F$4:$F$76,"!",1)&amp;"__"&amp;
_xlfn.XLOOKUP(M145,Códigos_Propuestas!$I$4:$I$7,Códigos_Propuestas!$J$4:$J$7,"!",1)&amp;"__"&amp;
_xlfn.XLOOKUP(N145,Códigos_Propuestas!$O$4:$O$11,Códigos_Propuestas!$Q$4:$Q$11,"!",1)&amp;"__"&amp;
_xlfn.XLOOKUP(F145,Códigos_Propuestas!$BF:$BF,Códigos_Propuestas!$BH:$BH,"!",0,1)</f>
        <v>BR__ERC__UG__MIN__!</v>
      </c>
      <c r="C145" s="47">
        <v>143</v>
      </c>
      <c r="D145" s="174" t="s">
        <v>88</v>
      </c>
      <c r="E145" s="32" t="s">
        <v>88</v>
      </c>
      <c r="F145" s="196" t="s">
        <v>897</v>
      </c>
      <c r="G145" s="174"/>
      <c r="H145" s="174" t="s">
        <v>297</v>
      </c>
      <c r="I145" s="174" t="s">
        <v>519</v>
      </c>
      <c r="J145" s="174" t="s">
        <v>97</v>
      </c>
      <c r="K145" s="47" t="s">
        <v>98</v>
      </c>
      <c r="L145" s="181" t="s">
        <v>900</v>
      </c>
      <c r="M145" s="174" t="s">
        <v>65</v>
      </c>
      <c r="N145" s="186" t="s">
        <v>35</v>
      </c>
      <c r="O145" s="181" t="s">
        <v>40</v>
      </c>
      <c r="P145" s="181" t="s">
        <v>108</v>
      </c>
      <c r="Q145" s="181" t="s">
        <v>689</v>
      </c>
      <c r="R145" s="181"/>
      <c r="S145" s="174"/>
      <c r="T145" s="183" t="b">
        <v>0</v>
      </c>
      <c r="U145" s="174"/>
      <c r="V145" s="183" t="b">
        <v>0</v>
      </c>
      <c r="W145" s="174"/>
      <c r="X145" s="183" t="b">
        <v>0</v>
      </c>
      <c r="Y145" s="174"/>
      <c r="Z145" s="183" t="b">
        <v>0</v>
      </c>
      <c r="AA145" s="174"/>
      <c r="AB145" s="174"/>
      <c r="AC145" s="183" t="b">
        <v>1</v>
      </c>
      <c r="AD145" s="183" t="b">
        <v>0</v>
      </c>
      <c r="AE145" s="183" t="b">
        <v>0</v>
      </c>
      <c r="AF145" s="183" t="b">
        <v>0</v>
      </c>
      <c r="AG145" s="183" t="b">
        <v>0</v>
      </c>
      <c r="AH145" s="32"/>
      <c r="AI145" s="32"/>
      <c r="AJ145" s="32"/>
      <c r="AK145" s="28"/>
      <c r="AL145" s="97">
        <v>68740</v>
      </c>
      <c r="AM145" s="169">
        <f t="shared" si="7"/>
        <v>13748</v>
      </c>
      <c r="AN145" s="174">
        <v>1.25</v>
      </c>
      <c r="AO145" s="15"/>
      <c r="AP145" s="18">
        <v>46203</v>
      </c>
      <c r="AQ145" s="18">
        <v>46204</v>
      </c>
      <c r="AR145" s="235"/>
      <c r="AS145" s="18"/>
      <c r="AT145" s="18"/>
    </row>
    <row r="146" spans="1:46" hidden="1" x14ac:dyDescent="0.2">
      <c r="A146" s="187">
        <f t="shared" si="9"/>
        <v>19</v>
      </c>
      <c r="B146" s="191" t="str">
        <f>_xlfn.XLOOKUP(D146,Códigos_Propuestas!$B$4:$B$10,Códigos_Propuestas!$C$4:$C$10,"!",0,1)&amp;"__"&amp;
_xlfn.XLOOKUP(H146,Códigos_Propuestas!$E$4:$E$76,Códigos_Propuestas!$F$4:$F$76,"!",1)&amp;"__"&amp;
_xlfn.XLOOKUP(M146,Códigos_Propuestas!$I$4:$I$7,Códigos_Propuestas!$J$4:$J$7,"!",1)&amp;"__"&amp;
_xlfn.XLOOKUP(N146,Códigos_Propuestas!$O$4:$O$11,Códigos_Propuestas!$Q$4:$Q$11,"!",1)&amp;"__"&amp;
_xlfn.XLOOKUP(F146,Códigos_Propuestas!$BF:$BF,Códigos_Propuestas!$BH:$BH,"!",0,1)</f>
        <v>CH__COL__OU__SIM__!</v>
      </c>
      <c r="C146" s="47">
        <v>144</v>
      </c>
      <c r="D146" s="174" t="s">
        <v>32</v>
      </c>
      <c r="E146" s="32" t="s">
        <v>32</v>
      </c>
      <c r="F146" s="196" t="s">
        <v>898</v>
      </c>
      <c r="G146" s="174"/>
      <c r="H146" s="174" t="s">
        <v>315</v>
      </c>
      <c r="I146" s="174"/>
      <c r="J146" s="174" t="s">
        <v>43</v>
      </c>
      <c r="K146" s="47" t="s">
        <v>98</v>
      </c>
      <c r="L146" s="181" t="s">
        <v>899</v>
      </c>
      <c r="M146" s="174" t="s">
        <v>116</v>
      </c>
      <c r="N146" s="186" t="s">
        <v>660</v>
      </c>
      <c r="O146" s="181" t="s">
        <v>40</v>
      </c>
      <c r="P146" s="181" t="s">
        <v>80</v>
      </c>
      <c r="Q146" s="181" t="s">
        <v>690</v>
      </c>
      <c r="R146" s="181"/>
      <c r="S146" s="174"/>
      <c r="T146" s="183" t="b">
        <v>0</v>
      </c>
      <c r="U146" s="174"/>
      <c r="V146" s="183" t="b">
        <v>0</v>
      </c>
      <c r="W146" s="174"/>
      <c r="X146" s="183" t="b">
        <v>0</v>
      </c>
      <c r="Y146" s="174"/>
      <c r="Z146" s="183" t="b">
        <v>0</v>
      </c>
      <c r="AA146" s="174"/>
      <c r="AB146" s="174"/>
      <c r="AC146" s="183" t="b">
        <v>1</v>
      </c>
      <c r="AD146" s="183" t="b">
        <v>0</v>
      </c>
      <c r="AE146" s="183" t="b">
        <v>1</v>
      </c>
      <c r="AF146" s="183" t="b">
        <v>0</v>
      </c>
      <c r="AG146" s="183" t="b">
        <v>0</v>
      </c>
      <c r="AH146" s="32"/>
      <c r="AI146" s="32"/>
      <c r="AJ146" s="32"/>
      <c r="AK146" s="28"/>
      <c r="AL146" s="97">
        <v>0</v>
      </c>
      <c r="AM146" s="169">
        <f t="shared" si="7"/>
        <v>0</v>
      </c>
      <c r="AN146" s="174">
        <v>0</v>
      </c>
      <c r="AO146" s="15"/>
      <c r="AP146" s="18">
        <v>46206</v>
      </c>
      <c r="AQ146" s="18">
        <v>46219</v>
      </c>
      <c r="AR146" s="235"/>
      <c r="AS146" s="18"/>
      <c r="AT146" s="18"/>
    </row>
    <row r="147" spans="1:46" hidden="1" x14ac:dyDescent="0.2">
      <c r="A147" s="187">
        <f t="shared" si="9"/>
        <v>19</v>
      </c>
      <c r="B147" s="191" t="str">
        <f>_xlfn.XLOOKUP(D147,Códigos_Propuestas!$B$4:$B$10,Códigos_Propuestas!$C$4:$C$10,"!",0,1)&amp;"__"&amp;
_xlfn.XLOOKUP(H147,Códigos_Propuestas!$E$4:$E$76,Códigos_Propuestas!$F$4:$F$76,"!",1)&amp;"__"&amp;
_xlfn.XLOOKUP(M147,Códigos_Propuestas!$I$4:$I$7,Códigos_Propuestas!$J$4:$J$7,"!",1)&amp;"__"&amp;
_xlfn.XLOOKUP(N147,Códigos_Propuestas!$O$4:$O$11,Códigos_Propuestas!$Q$4:$Q$11,"!",1)&amp;"__"&amp;
_xlfn.XLOOKUP(F147,Códigos_Propuestas!$BF:$BF,Códigos_Propuestas!$BH:$BH,"!",0,1)</f>
        <v>BR__BSC__UG__MIN__!</v>
      </c>
      <c r="C147" s="47">
        <v>145</v>
      </c>
      <c r="D147" s="174" t="s">
        <v>88</v>
      </c>
      <c r="E147" s="32" t="s">
        <v>88</v>
      </c>
      <c r="F147" s="196" t="s">
        <v>901</v>
      </c>
      <c r="G147" s="174"/>
      <c r="H147" s="174" t="s">
        <v>799</v>
      </c>
      <c r="I147" s="174"/>
      <c r="J147" s="174" t="s">
        <v>43</v>
      </c>
      <c r="K147" s="47" t="s">
        <v>44</v>
      </c>
      <c r="L147" s="181" t="s">
        <v>903</v>
      </c>
      <c r="M147" s="174" t="s">
        <v>65</v>
      </c>
      <c r="N147" s="186" t="s">
        <v>35</v>
      </c>
      <c r="O147" s="181" t="s">
        <v>40</v>
      </c>
      <c r="P147" s="181" t="s">
        <v>108</v>
      </c>
      <c r="Q147" s="181" t="s">
        <v>690</v>
      </c>
      <c r="R147" s="181"/>
      <c r="S147" s="174"/>
      <c r="T147" s="183" t="b">
        <v>0</v>
      </c>
      <c r="U147" s="174"/>
      <c r="V147" s="183" t="b">
        <v>0</v>
      </c>
      <c r="W147" s="174"/>
      <c r="X147" s="183" t="b">
        <v>0</v>
      </c>
      <c r="Y147" s="174"/>
      <c r="Z147" s="183" t="b">
        <v>0</v>
      </c>
      <c r="AA147" s="174"/>
      <c r="AB147" s="174"/>
      <c r="AC147" s="183" t="b">
        <v>1</v>
      </c>
      <c r="AD147" s="183" t="b">
        <v>1</v>
      </c>
      <c r="AE147" s="183" t="b">
        <v>1</v>
      </c>
      <c r="AF147" s="183" t="b">
        <v>1</v>
      </c>
      <c r="AG147" s="183" t="b">
        <v>1</v>
      </c>
      <c r="AH147" s="32"/>
      <c r="AI147" s="32" t="s">
        <v>73</v>
      </c>
      <c r="AJ147" s="32"/>
      <c r="AK147" s="28"/>
      <c r="AL147" s="97">
        <v>0</v>
      </c>
      <c r="AM147" s="169">
        <f t="shared" si="7"/>
        <v>0</v>
      </c>
      <c r="AN147" s="174">
        <v>12</v>
      </c>
      <c r="AO147" s="15"/>
      <c r="AP147" s="18">
        <v>46203</v>
      </c>
      <c r="AQ147" s="18">
        <v>46213</v>
      </c>
      <c r="AR147" s="235"/>
      <c r="AS147" s="18"/>
      <c r="AT147" s="18"/>
    </row>
    <row r="148" spans="1:46" hidden="1" x14ac:dyDescent="0.2">
      <c r="A148" s="187">
        <f t="shared" si="9"/>
        <v>19</v>
      </c>
      <c r="B148" s="191" t="str">
        <f>_xlfn.XLOOKUP(D148,Códigos_Propuestas!$B$4:$B$10,Códigos_Propuestas!$C$4:$C$10,"!",0,1)&amp;"__"&amp;
_xlfn.XLOOKUP(H148,Códigos_Propuestas!$E$4:$E$76,Códigos_Propuestas!$F$4:$F$76,"!",1)&amp;"__"&amp;
_xlfn.XLOOKUP(M148,Códigos_Propuestas!$I$4:$I$7,Códigos_Propuestas!$J$4:$J$7,"!",1)&amp;"__"&amp;
_xlfn.XLOOKUP(N148,Códigos_Propuestas!$O$4:$O$11,Códigos_Propuestas!$Q$4:$Q$11,"!",1)&amp;"__"&amp;
_xlfn.XLOOKUP(F148,Códigos_Propuestas!$BF:$BF,Códigos_Propuestas!$BH:$BH,"!",0,1)</f>
        <v>PE__TAB__OT__MGE__!</v>
      </c>
      <c r="C148" s="47">
        <v>146</v>
      </c>
      <c r="D148" s="174" t="s">
        <v>62</v>
      </c>
      <c r="E148" s="32" t="s">
        <v>62</v>
      </c>
      <c r="F148" s="196" t="s">
        <v>904</v>
      </c>
      <c r="G148" s="174"/>
      <c r="H148" s="174" t="s">
        <v>654</v>
      </c>
      <c r="I148" s="174"/>
      <c r="J148" s="174" t="s">
        <v>43</v>
      </c>
      <c r="K148" s="47" t="s">
        <v>44</v>
      </c>
      <c r="L148" s="181" t="s">
        <v>905</v>
      </c>
      <c r="M148" s="174" t="s">
        <v>35</v>
      </c>
      <c r="N148" s="186" t="s">
        <v>153</v>
      </c>
      <c r="O148" s="181" t="s">
        <v>40</v>
      </c>
      <c r="P148" s="181" t="s">
        <v>129</v>
      </c>
      <c r="Q148" s="181" t="s">
        <v>690</v>
      </c>
      <c r="R148" s="181"/>
      <c r="S148" s="174"/>
      <c r="T148" s="183" t="b">
        <v>0</v>
      </c>
      <c r="U148" s="174"/>
      <c r="V148" s="183" t="b">
        <v>0</v>
      </c>
      <c r="W148" s="174"/>
      <c r="X148" s="183" t="b">
        <v>0</v>
      </c>
      <c r="Y148" s="174"/>
      <c r="Z148" s="183" t="b">
        <v>0</v>
      </c>
      <c r="AA148" s="174"/>
      <c r="AB148" s="174"/>
      <c r="AC148" s="183" t="b">
        <v>1</v>
      </c>
      <c r="AD148" s="183" t="b">
        <v>0</v>
      </c>
      <c r="AE148" s="183" t="b">
        <v>0</v>
      </c>
      <c r="AF148" s="183" t="b">
        <v>0</v>
      </c>
      <c r="AG148" s="183" t="b">
        <v>0</v>
      </c>
      <c r="AH148" s="32"/>
      <c r="AI148" s="32"/>
      <c r="AJ148" s="32"/>
      <c r="AK148" s="28"/>
      <c r="AL148" s="97">
        <v>0</v>
      </c>
      <c r="AM148" s="169">
        <f t="shared" si="7"/>
        <v>0</v>
      </c>
      <c r="AN148" s="174"/>
      <c r="AO148" s="15"/>
      <c r="AP148" s="18">
        <v>46205</v>
      </c>
      <c r="AQ148" s="18">
        <v>46213</v>
      </c>
      <c r="AR148" s="235"/>
      <c r="AS148" s="18"/>
      <c r="AT148" s="18"/>
    </row>
    <row r="149" spans="1:46" ht="12.75" hidden="1" customHeight="1" x14ac:dyDescent="0.2">
      <c r="A149" s="187">
        <f t="shared" si="9"/>
        <v>19</v>
      </c>
      <c r="B149" s="191" t="str">
        <f>_xlfn.XLOOKUP(D149,Códigos_Propuestas!$B$4:$B$10,Códigos_Propuestas!$C$4:$C$10,"!",0,1)&amp;"__"&amp;
_xlfn.XLOOKUP(H149,Códigos_Propuestas!$E$4:$E$76,Códigos_Propuestas!$F$4:$F$76,"!",1)&amp;"__"&amp;
_xlfn.XLOOKUP(M149,Códigos_Propuestas!$I$4:$I$7,Códigos_Propuestas!$J$4:$J$7,"!",1)&amp;"__"&amp;
_xlfn.XLOOKUP(N149,Códigos_Propuestas!$O$4:$O$11,Códigos_Propuestas!$Q$4:$Q$11,"!",1)&amp;"__"&amp;
_xlfn.XLOOKUP(F149,Códigos_Propuestas!$BF:$BF,Códigos_Propuestas!$BH:$BH,"!",0,1)</f>
        <v>CH__CCO__OU__SIM__!</v>
      </c>
      <c r="C149" s="47">
        <v>147</v>
      </c>
      <c r="D149" s="174" t="s">
        <v>32</v>
      </c>
      <c r="E149" s="32" t="s">
        <v>32</v>
      </c>
      <c r="F149" s="196" t="s">
        <v>908</v>
      </c>
      <c r="G149" s="174"/>
      <c r="H149" s="174" t="s">
        <v>250</v>
      </c>
      <c r="I149" s="174"/>
      <c r="J149" s="174" t="s">
        <v>97</v>
      </c>
      <c r="K149" s="47" t="s">
        <v>98</v>
      </c>
      <c r="L149" s="181"/>
      <c r="M149" s="174" t="s">
        <v>116</v>
      </c>
      <c r="N149" s="186" t="s">
        <v>660</v>
      </c>
      <c r="O149" s="181" t="s">
        <v>40</v>
      </c>
      <c r="P149" s="181" t="s">
        <v>839</v>
      </c>
      <c r="Q149" s="181" t="s">
        <v>690</v>
      </c>
      <c r="R149" s="181"/>
      <c r="S149" s="174"/>
      <c r="T149" s="183" t="b">
        <v>0</v>
      </c>
      <c r="U149" s="174"/>
      <c r="V149" s="183" t="b">
        <v>0</v>
      </c>
      <c r="W149" s="174"/>
      <c r="X149" s="183" t="b">
        <v>0</v>
      </c>
      <c r="Y149" s="174"/>
      <c r="Z149" s="183" t="b">
        <v>0</v>
      </c>
      <c r="AA149" s="174"/>
      <c r="AB149" s="174"/>
      <c r="AC149" s="183" t="b">
        <v>1</v>
      </c>
      <c r="AD149" s="183" t="b">
        <v>0</v>
      </c>
      <c r="AE149" s="183" t="b">
        <v>0</v>
      </c>
      <c r="AF149" s="183" t="b">
        <v>0</v>
      </c>
      <c r="AG149" s="183" t="b">
        <v>0</v>
      </c>
      <c r="AH149" s="32"/>
      <c r="AI149" s="32"/>
      <c r="AJ149" s="32"/>
      <c r="AK149" s="28"/>
      <c r="AL149" s="97">
        <v>179600</v>
      </c>
      <c r="AM149" s="169">
        <f t="shared" si="7"/>
        <v>71840</v>
      </c>
      <c r="AN149" s="174">
        <v>3</v>
      </c>
      <c r="AO149" s="15"/>
      <c r="AP149" s="18">
        <v>46205</v>
      </c>
      <c r="AQ149" s="18">
        <v>46206</v>
      </c>
      <c r="AR149" s="235"/>
      <c r="AS149" s="18"/>
      <c r="AT149" s="18"/>
    </row>
    <row r="150" spans="1:46" ht="14.25" hidden="1" customHeight="1" x14ac:dyDescent="0.2">
      <c r="A150" s="187">
        <f t="shared" si="9"/>
        <v>20</v>
      </c>
      <c r="B150" s="191" t="str">
        <f>_xlfn.XLOOKUP(D150,Códigos_Propuestas!$B$4:$B$10,Códigos_Propuestas!$C$4:$C$10,"!",0,1)&amp;"__"&amp;
_xlfn.XLOOKUP(H150,Códigos_Propuestas!$E$4:$E$76,Códigos_Propuestas!$F$4:$F$76,"!",1)&amp;"__"&amp;
_xlfn.XLOOKUP(M150,Códigos_Propuestas!$I$4:$I$7,Códigos_Propuestas!$J$4:$J$7,"!",1)&amp;"__"&amp;
_xlfn.XLOOKUP(N150,Códigos_Propuestas!$O$4:$O$11,Códigos_Propuestas!$Q$4:$Q$11,"!",1)&amp;"__"&amp;
_xlfn.XLOOKUP(F150,Códigos_Propuestas!$BF:$BF,Códigos_Propuestas!$BH:$BH,"!",0,1)</f>
        <v>USA__SEA__OU__DAR__!</v>
      </c>
      <c r="C150" s="47">
        <v>148</v>
      </c>
      <c r="D150" s="174" t="s">
        <v>136</v>
      </c>
      <c r="E150" s="32" t="s">
        <v>680</v>
      </c>
      <c r="F150" s="194" t="s">
        <v>906</v>
      </c>
      <c r="G150" s="174"/>
      <c r="H150" s="174" t="s">
        <v>735</v>
      </c>
      <c r="I150" s="174"/>
      <c r="J150" s="174" t="s">
        <v>97</v>
      </c>
      <c r="K150" s="47" t="s">
        <v>44</v>
      </c>
      <c r="L150" s="181"/>
      <c r="M150" s="174" t="s">
        <v>116</v>
      </c>
      <c r="N150" s="186" t="s">
        <v>95</v>
      </c>
      <c r="O150" s="181" t="s">
        <v>40</v>
      </c>
      <c r="P150" s="181" t="s">
        <v>839</v>
      </c>
      <c r="Q150" s="181" t="s">
        <v>690</v>
      </c>
      <c r="R150" s="181"/>
      <c r="S150" s="174"/>
      <c r="T150" s="183" t="b">
        <v>0</v>
      </c>
      <c r="U150" s="174"/>
      <c r="V150" s="183" t="b">
        <v>0</v>
      </c>
      <c r="W150" s="174"/>
      <c r="X150" s="183" t="b">
        <v>0</v>
      </c>
      <c r="Y150" s="174"/>
      <c r="Z150" s="183" t="b">
        <v>0</v>
      </c>
      <c r="AA150" s="174"/>
      <c r="AB150" s="174"/>
      <c r="AC150" s="183" t="b">
        <v>1</v>
      </c>
      <c r="AD150" s="183" t="b">
        <v>0</v>
      </c>
      <c r="AE150" s="183" t="b">
        <v>0</v>
      </c>
      <c r="AF150" s="183" t="b">
        <v>0</v>
      </c>
      <c r="AG150" s="183" t="b">
        <v>0</v>
      </c>
      <c r="AH150" s="32"/>
      <c r="AI150" s="32"/>
      <c r="AJ150" s="32"/>
      <c r="AK150" s="28"/>
      <c r="AL150" s="97">
        <v>61513</v>
      </c>
      <c r="AM150" s="169">
        <f t="shared" si="7"/>
        <v>12302.6</v>
      </c>
      <c r="AN150" s="174">
        <v>1.5</v>
      </c>
      <c r="AO150" s="15"/>
      <c r="AP150" s="18">
        <v>46205</v>
      </c>
      <c r="AQ150" s="18">
        <v>46206</v>
      </c>
      <c r="AR150" s="235"/>
      <c r="AS150" s="18"/>
      <c r="AT150" s="18"/>
    </row>
    <row r="151" spans="1:46" ht="14.25" hidden="1" customHeight="1" x14ac:dyDescent="0.2">
      <c r="A151" s="187">
        <f t="shared" si="9"/>
        <v>19</v>
      </c>
      <c r="B151" s="191" t="str">
        <f>_xlfn.XLOOKUP(D151,Códigos_Propuestas!$B$4:$B$10,Códigos_Propuestas!$C$4:$C$10,"!",0,1)&amp;"__"&amp;
_xlfn.XLOOKUP(H151,Códigos_Propuestas!$E$4:$E$76,Códigos_Propuestas!$F$4:$F$76,"!",1)&amp;"__"&amp;
_xlfn.XLOOKUP(M151,Códigos_Propuestas!$I$4:$I$7,Códigos_Propuestas!$J$4:$J$7,"!",1)&amp;"__"&amp;
_xlfn.XLOOKUP(N151,Códigos_Propuestas!$O$4:$O$11,Códigos_Propuestas!$Q$4:$Q$11,"!",1)&amp;"__"&amp;
_xlfn.XLOOKUP(F151,Códigos_Propuestas!$BF:$BF,Códigos_Propuestas!$BH:$BH,"!",0,1)</f>
        <v>PE__NEX__UG__MGE__!</v>
      </c>
      <c r="C151" s="47">
        <v>149</v>
      </c>
      <c r="D151" s="174" t="s">
        <v>62</v>
      </c>
      <c r="E151" s="32" t="s">
        <v>62</v>
      </c>
      <c r="F151" s="194" t="s">
        <v>909</v>
      </c>
      <c r="G151" s="174"/>
      <c r="H151" s="174" t="s">
        <v>202</v>
      </c>
      <c r="I151" s="174" t="s">
        <v>526</v>
      </c>
      <c r="J151" s="174" t="s">
        <v>43</v>
      </c>
      <c r="K151" s="47" t="s">
        <v>44</v>
      </c>
      <c r="L151" s="181" t="s">
        <v>910</v>
      </c>
      <c r="M151" s="174" t="s">
        <v>65</v>
      </c>
      <c r="N151" s="186" t="s">
        <v>153</v>
      </c>
      <c r="O151" s="181" t="s">
        <v>40</v>
      </c>
      <c r="P151" s="181" t="s">
        <v>129</v>
      </c>
      <c r="Q151" s="181" t="s">
        <v>690</v>
      </c>
      <c r="R151" s="181"/>
      <c r="S151" s="174"/>
      <c r="T151" s="183"/>
      <c r="U151" s="174"/>
      <c r="V151" s="183"/>
      <c r="W151" s="174"/>
      <c r="X151" s="183"/>
      <c r="Y151" s="174"/>
      <c r="Z151" s="183"/>
      <c r="AA151" s="174"/>
      <c r="AB151" s="174"/>
      <c r="AC151" s="183" t="b">
        <v>1</v>
      </c>
      <c r="AD151" s="183"/>
      <c r="AE151" s="183"/>
      <c r="AF151" s="183"/>
      <c r="AG151" s="183"/>
      <c r="AH151" s="32"/>
      <c r="AI151" s="32"/>
      <c r="AJ151" s="32"/>
      <c r="AK151" s="28"/>
      <c r="AL151" s="97">
        <v>0</v>
      </c>
      <c r="AM151" s="169">
        <f t="shared" si="7"/>
        <v>0</v>
      </c>
      <c r="AN151" s="174"/>
      <c r="AO151" s="15"/>
      <c r="AP151" s="18">
        <v>46209</v>
      </c>
      <c r="AQ151" s="18">
        <v>46213</v>
      </c>
      <c r="AR151" s="235"/>
      <c r="AS151" s="18"/>
      <c r="AT151" s="18"/>
    </row>
    <row r="152" spans="1:46" ht="14.25" customHeight="1" x14ac:dyDescent="0.2">
      <c r="C152" s="47"/>
      <c r="D152" s="174"/>
      <c r="E152" s="32"/>
      <c r="F152" s="194"/>
      <c r="G152" s="174"/>
      <c r="H152" s="174"/>
      <c r="I152" s="174"/>
      <c r="J152" s="174"/>
      <c r="K152" s="47"/>
      <c r="L152" s="181"/>
      <c r="M152" s="174"/>
      <c r="N152" s="186"/>
      <c r="O152" s="181"/>
      <c r="P152" s="181"/>
      <c r="Q152" s="181"/>
      <c r="R152" s="181"/>
      <c r="S152" s="174"/>
      <c r="T152" s="183"/>
      <c r="U152" s="174"/>
      <c r="V152" s="183"/>
      <c r="W152" s="174"/>
      <c r="X152" s="183"/>
      <c r="Y152" s="174"/>
      <c r="Z152" s="183"/>
      <c r="AA152" s="174"/>
      <c r="AB152" s="174"/>
      <c r="AC152" s="183"/>
      <c r="AD152" s="183"/>
      <c r="AE152" s="183"/>
      <c r="AF152" s="183"/>
      <c r="AG152" s="183"/>
      <c r="AH152" s="32"/>
      <c r="AI152" s="32"/>
      <c r="AJ152" s="32"/>
      <c r="AK152" s="28"/>
      <c r="AL152" s="97"/>
      <c r="AM152" s="169"/>
      <c r="AN152" s="174"/>
      <c r="AO152" s="15"/>
      <c r="AP152" s="18"/>
      <c r="AQ152" s="18"/>
      <c r="AR152" s="235"/>
      <c r="AS152" s="18"/>
      <c r="AT152" s="18"/>
    </row>
    <row r="153" spans="1:46" ht="14.25" customHeight="1" x14ac:dyDescent="0.2">
      <c r="C153" s="47"/>
      <c r="D153" s="174"/>
      <c r="E153" s="32"/>
      <c r="F153" s="194"/>
      <c r="G153" s="174"/>
      <c r="H153" s="174"/>
      <c r="I153" s="174"/>
      <c r="J153" s="174"/>
      <c r="K153" s="47"/>
      <c r="L153" s="181"/>
      <c r="M153" s="174"/>
      <c r="N153" s="186"/>
      <c r="O153" s="181"/>
      <c r="P153" s="181"/>
      <c r="Q153" s="181"/>
      <c r="R153" s="181"/>
      <c r="S153" s="174"/>
      <c r="T153" s="183"/>
      <c r="U153" s="174"/>
      <c r="V153" s="183"/>
      <c r="W153" s="174"/>
      <c r="X153" s="183"/>
      <c r="Y153" s="174"/>
      <c r="Z153" s="183"/>
      <c r="AA153" s="174"/>
      <c r="AB153" s="174"/>
      <c r="AC153" s="183"/>
      <c r="AD153" s="183"/>
      <c r="AE153" s="183"/>
      <c r="AF153" s="183"/>
      <c r="AG153" s="183"/>
      <c r="AH153" s="32"/>
      <c r="AI153" s="32"/>
      <c r="AJ153" s="32"/>
      <c r="AK153" s="28"/>
      <c r="AL153" s="97"/>
      <c r="AM153" s="169"/>
      <c r="AN153" s="174"/>
      <c r="AO153" s="15"/>
      <c r="AP153" s="18"/>
      <c r="AQ153" s="18"/>
      <c r="AR153" s="235"/>
      <c r="AS153" s="18"/>
      <c r="AT153" s="18"/>
    </row>
    <row r="154" spans="1:46" ht="14.25" customHeight="1" x14ac:dyDescent="0.2">
      <c r="C154" s="47"/>
      <c r="D154" s="174"/>
      <c r="E154" s="32"/>
      <c r="F154" s="194"/>
      <c r="G154" s="174"/>
      <c r="H154" s="174"/>
      <c r="I154" s="174"/>
      <c r="J154" s="174"/>
      <c r="K154" s="47"/>
      <c r="L154" s="181"/>
      <c r="M154" s="174"/>
      <c r="N154" s="186"/>
      <c r="O154" s="181"/>
      <c r="P154" s="181"/>
      <c r="Q154" s="181"/>
      <c r="R154" s="181"/>
      <c r="S154" s="174"/>
      <c r="T154" s="183"/>
      <c r="U154" s="174"/>
      <c r="V154" s="183"/>
      <c r="W154" s="174"/>
      <c r="X154" s="183"/>
      <c r="Y154" s="174"/>
      <c r="Z154" s="183"/>
      <c r="AA154" s="174"/>
      <c r="AB154" s="174"/>
      <c r="AC154" s="183"/>
      <c r="AD154" s="183"/>
      <c r="AE154" s="183"/>
      <c r="AF154" s="183"/>
      <c r="AG154" s="183"/>
      <c r="AH154" s="32"/>
      <c r="AI154" s="32"/>
      <c r="AJ154" s="32"/>
      <c r="AK154" s="28"/>
      <c r="AL154" s="97"/>
      <c r="AM154" s="169"/>
      <c r="AN154" s="174"/>
      <c r="AO154" s="15"/>
      <c r="AP154" s="18"/>
      <c r="AQ154" s="18"/>
      <c r="AR154" s="235"/>
      <c r="AS154" s="18"/>
      <c r="AT154" s="18"/>
    </row>
    <row r="155" spans="1:46" ht="14.25" customHeight="1" x14ac:dyDescent="0.2">
      <c r="C155" s="47"/>
      <c r="D155" s="174"/>
      <c r="E155" s="32"/>
      <c r="F155" s="194"/>
      <c r="G155" s="174"/>
      <c r="H155" s="174"/>
      <c r="I155" s="174"/>
      <c r="J155" s="174"/>
      <c r="K155" s="47"/>
      <c r="L155" s="181"/>
      <c r="M155" s="174"/>
      <c r="N155" s="186"/>
      <c r="O155" s="181"/>
      <c r="P155" s="181"/>
      <c r="Q155" s="181"/>
      <c r="R155" s="181"/>
      <c r="S155" s="174"/>
      <c r="T155" s="183"/>
      <c r="U155" s="174"/>
      <c r="V155" s="183"/>
      <c r="W155" s="174"/>
      <c r="X155" s="183"/>
      <c r="Y155" s="174"/>
      <c r="Z155" s="183"/>
      <c r="AA155" s="174"/>
      <c r="AB155" s="174"/>
      <c r="AC155" s="183"/>
      <c r="AD155" s="183"/>
      <c r="AE155" s="183"/>
      <c r="AF155" s="183"/>
      <c r="AG155" s="183"/>
      <c r="AH155" s="32"/>
      <c r="AI155" s="32"/>
      <c r="AJ155" s="32"/>
      <c r="AK155" s="28"/>
      <c r="AL155" s="97"/>
      <c r="AM155" s="169"/>
      <c r="AN155" s="174"/>
      <c r="AO155" s="15"/>
      <c r="AP155" s="18"/>
      <c r="AQ155" s="18"/>
      <c r="AR155" s="235"/>
      <c r="AS155" s="18"/>
      <c r="AT155" s="18"/>
    </row>
    <row r="156" spans="1:46" ht="14.25" customHeight="1" x14ac:dyDescent="0.2">
      <c r="C156" s="47"/>
      <c r="D156" s="174"/>
      <c r="E156" s="32"/>
      <c r="F156" s="194"/>
      <c r="G156" s="174"/>
      <c r="H156" s="174"/>
      <c r="I156" s="174"/>
      <c r="J156" s="174"/>
      <c r="K156" s="47"/>
      <c r="L156" s="181"/>
      <c r="M156" s="174"/>
      <c r="N156" s="186"/>
      <c r="O156" s="181"/>
      <c r="P156" s="181"/>
      <c r="Q156" s="181"/>
      <c r="R156" s="181"/>
      <c r="S156" s="174"/>
      <c r="T156" s="183"/>
      <c r="U156" s="174"/>
      <c r="V156" s="183"/>
      <c r="W156" s="174"/>
      <c r="X156" s="183"/>
      <c r="Y156" s="174"/>
      <c r="Z156" s="183"/>
      <c r="AA156" s="174"/>
      <c r="AB156" s="174"/>
      <c r="AC156" s="183"/>
      <c r="AD156" s="183"/>
      <c r="AE156" s="183"/>
      <c r="AF156" s="183"/>
      <c r="AG156" s="183"/>
      <c r="AH156" s="32"/>
      <c r="AI156" s="32"/>
      <c r="AJ156" s="32"/>
      <c r="AK156" s="28"/>
      <c r="AL156" s="97"/>
      <c r="AM156" s="169"/>
      <c r="AN156" s="174"/>
      <c r="AO156" s="15"/>
      <c r="AP156" s="18"/>
      <c r="AQ156" s="18"/>
      <c r="AR156" s="235"/>
      <c r="AS156" s="18"/>
      <c r="AT156" s="18"/>
    </row>
    <row r="157" spans="1:46" ht="14.25" customHeight="1" x14ac:dyDescent="0.2">
      <c r="C157" s="47"/>
      <c r="D157" s="174"/>
      <c r="E157" s="32"/>
      <c r="F157" s="194"/>
      <c r="G157" s="174"/>
      <c r="H157" s="174"/>
      <c r="I157" s="174"/>
      <c r="J157" s="174"/>
      <c r="K157" s="47"/>
      <c r="L157" s="181"/>
      <c r="M157" s="174"/>
      <c r="N157" s="186"/>
      <c r="O157" s="181"/>
      <c r="P157" s="181"/>
      <c r="Q157" s="181"/>
      <c r="R157" s="181"/>
      <c r="S157" s="174"/>
      <c r="T157" s="183"/>
      <c r="U157" s="174"/>
      <c r="V157" s="183"/>
      <c r="W157" s="174"/>
      <c r="X157" s="183"/>
      <c r="Y157" s="174"/>
      <c r="Z157" s="183"/>
      <c r="AA157" s="174"/>
      <c r="AB157" s="174"/>
      <c r="AC157" s="183"/>
      <c r="AD157" s="183"/>
      <c r="AE157" s="183"/>
      <c r="AF157" s="183"/>
      <c r="AG157" s="183"/>
      <c r="AH157" s="32"/>
      <c r="AI157" s="32"/>
      <c r="AJ157" s="32"/>
      <c r="AK157" s="28"/>
      <c r="AL157" s="97"/>
      <c r="AM157" s="169"/>
      <c r="AN157" s="174"/>
      <c r="AO157" s="15"/>
      <c r="AP157" s="18"/>
      <c r="AQ157" s="18"/>
      <c r="AR157" s="235"/>
      <c r="AS157" s="18"/>
      <c r="AT157" s="18"/>
    </row>
    <row r="158" spans="1:46" ht="14.25" customHeight="1" x14ac:dyDescent="0.2">
      <c r="C158" s="47"/>
      <c r="D158" s="174"/>
      <c r="E158" s="32"/>
      <c r="F158" s="194"/>
      <c r="G158" s="174"/>
      <c r="H158" s="174"/>
      <c r="I158" s="174"/>
      <c r="J158" s="174"/>
      <c r="K158" s="47"/>
      <c r="L158" s="181"/>
      <c r="M158" s="174"/>
      <c r="N158" s="186"/>
      <c r="O158" s="181"/>
      <c r="P158" s="181"/>
      <c r="Q158" s="181"/>
      <c r="R158" s="181"/>
      <c r="S158" s="174"/>
      <c r="T158" s="183"/>
      <c r="U158" s="174"/>
      <c r="V158" s="183"/>
      <c r="W158" s="174"/>
      <c r="X158" s="183"/>
      <c r="Y158" s="174"/>
      <c r="Z158" s="183"/>
      <c r="AA158" s="174"/>
      <c r="AB158" s="174"/>
      <c r="AC158" s="183"/>
      <c r="AD158" s="183"/>
      <c r="AE158" s="183"/>
      <c r="AF158" s="183"/>
      <c r="AG158" s="183"/>
      <c r="AH158" s="32"/>
      <c r="AI158" s="32"/>
      <c r="AJ158" s="32"/>
      <c r="AK158" s="28"/>
      <c r="AL158" s="97"/>
      <c r="AM158" s="169"/>
      <c r="AN158" s="174"/>
      <c r="AO158" s="15"/>
      <c r="AP158" s="18"/>
      <c r="AQ158" s="18"/>
      <c r="AR158" s="235"/>
      <c r="AS158" s="18"/>
      <c r="AT158" s="18"/>
    </row>
    <row r="159" spans="1:46" ht="14.25" customHeight="1" x14ac:dyDescent="0.2">
      <c r="C159" s="47"/>
      <c r="D159" s="174"/>
      <c r="E159" s="32"/>
      <c r="F159" s="194"/>
      <c r="G159" s="174"/>
      <c r="H159" s="174"/>
      <c r="I159" s="174"/>
      <c r="J159" s="174"/>
      <c r="K159" s="47"/>
      <c r="L159" s="181"/>
      <c r="M159" s="174"/>
      <c r="N159" s="186"/>
      <c r="O159" s="181"/>
      <c r="P159" s="181"/>
      <c r="Q159" s="181"/>
      <c r="R159" s="181"/>
      <c r="S159" s="174"/>
      <c r="T159" s="183"/>
      <c r="U159" s="174"/>
      <c r="V159" s="183"/>
      <c r="W159" s="174"/>
      <c r="X159" s="183"/>
      <c r="Y159" s="174"/>
      <c r="Z159" s="183"/>
      <c r="AA159" s="174"/>
      <c r="AB159" s="174"/>
      <c r="AC159" s="183"/>
      <c r="AD159" s="183"/>
      <c r="AE159" s="183"/>
      <c r="AF159" s="183"/>
      <c r="AG159" s="183"/>
      <c r="AH159" s="32"/>
      <c r="AI159" s="32"/>
      <c r="AJ159" s="32"/>
      <c r="AK159" s="28"/>
      <c r="AL159" s="97"/>
      <c r="AM159" s="169"/>
      <c r="AN159" s="174"/>
      <c r="AO159" s="15"/>
      <c r="AP159" s="18"/>
      <c r="AQ159" s="18"/>
      <c r="AR159" s="235"/>
      <c r="AS159" s="18"/>
      <c r="AT159" s="18"/>
    </row>
    <row r="160" spans="1:46" ht="14.25" customHeight="1" x14ac:dyDescent="0.2">
      <c r="C160" s="47"/>
      <c r="D160" s="174"/>
      <c r="E160" s="32"/>
      <c r="F160" s="194"/>
      <c r="G160" s="174"/>
      <c r="H160" s="174"/>
      <c r="I160" s="174"/>
      <c r="J160" s="174"/>
      <c r="K160" s="47"/>
      <c r="L160" s="181"/>
      <c r="M160" s="174"/>
      <c r="N160" s="186"/>
      <c r="O160" s="181"/>
      <c r="P160" s="181"/>
      <c r="Q160" s="181"/>
      <c r="R160" s="181"/>
      <c r="S160" s="174"/>
      <c r="T160" s="183"/>
      <c r="U160" s="174"/>
      <c r="V160" s="183"/>
      <c r="W160" s="174"/>
      <c r="X160" s="183"/>
      <c r="Y160" s="174"/>
      <c r="Z160" s="183"/>
      <c r="AA160" s="174"/>
      <c r="AB160" s="174"/>
      <c r="AC160" s="183"/>
      <c r="AD160" s="183"/>
      <c r="AE160" s="183"/>
      <c r="AF160" s="183"/>
      <c r="AG160" s="183"/>
      <c r="AH160" s="32"/>
      <c r="AI160" s="32"/>
      <c r="AJ160" s="32"/>
      <c r="AK160" s="28"/>
      <c r="AL160" s="97"/>
      <c r="AM160" s="169"/>
      <c r="AN160" s="174"/>
      <c r="AO160" s="15"/>
      <c r="AP160" s="18"/>
      <c r="AQ160" s="18"/>
      <c r="AR160" s="235"/>
      <c r="AS160" s="18"/>
      <c r="AT160" s="18"/>
    </row>
    <row r="161" spans="3:46" ht="14.25" customHeight="1" x14ac:dyDescent="0.2">
      <c r="C161" s="47"/>
      <c r="D161" s="174"/>
      <c r="E161" s="32"/>
      <c r="F161" s="194"/>
      <c r="G161" s="174"/>
      <c r="H161" s="174"/>
      <c r="I161" s="174"/>
      <c r="J161" s="174"/>
      <c r="K161" s="47"/>
      <c r="L161" s="181"/>
      <c r="M161" s="174"/>
      <c r="N161" s="186"/>
      <c r="O161" s="181"/>
      <c r="P161" s="181"/>
      <c r="Q161" s="181"/>
      <c r="R161" s="181"/>
      <c r="S161" s="174"/>
      <c r="T161" s="183"/>
      <c r="U161" s="174"/>
      <c r="V161" s="183"/>
      <c r="W161" s="174"/>
      <c r="X161" s="183"/>
      <c r="Y161" s="174"/>
      <c r="Z161" s="183"/>
      <c r="AA161" s="174"/>
      <c r="AB161" s="174"/>
      <c r="AC161" s="183"/>
      <c r="AD161" s="183"/>
      <c r="AE161" s="183"/>
      <c r="AF161" s="183"/>
      <c r="AG161" s="183"/>
      <c r="AH161" s="32"/>
      <c r="AI161" s="32"/>
      <c r="AJ161" s="32"/>
      <c r="AK161" s="28"/>
      <c r="AL161" s="97"/>
      <c r="AM161" s="169"/>
      <c r="AN161" s="174"/>
      <c r="AO161" s="15"/>
      <c r="AP161" s="18"/>
      <c r="AQ161" s="18"/>
      <c r="AR161" s="235"/>
      <c r="AS161" s="18"/>
      <c r="AT161" s="18"/>
    </row>
    <row r="162" spans="3:46" ht="14.25" customHeight="1" x14ac:dyDescent="0.2">
      <c r="C162" s="47"/>
      <c r="D162" s="174"/>
      <c r="E162" s="32"/>
      <c r="F162" s="194"/>
      <c r="G162" s="174"/>
      <c r="H162" s="174"/>
      <c r="I162" s="174"/>
      <c r="J162" s="174"/>
      <c r="K162" s="47"/>
      <c r="L162" s="181"/>
      <c r="M162" s="174"/>
      <c r="N162" s="186"/>
      <c r="O162" s="181"/>
      <c r="P162" s="181"/>
      <c r="Q162" s="181"/>
      <c r="R162" s="181"/>
      <c r="S162" s="174"/>
      <c r="T162" s="183"/>
      <c r="U162" s="174"/>
      <c r="V162" s="183"/>
      <c r="W162" s="174"/>
      <c r="X162" s="183"/>
      <c r="Y162" s="174"/>
      <c r="Z162" s="183"/>
      <c r="AA162" s="174"/>
      <c r="AB162" s="174"/>
      <c r="AC162" s="183"/>
      <c r="AD162" s="183"/>
      <c r="AE162" s="183"/>
      <c r="AF162" s="183"/>
      <c r="AG162" s="183"/>
      <c r="AH162" s="32"/>
      <c r="AI162" s="32"/>
      <c r="AJ162" s="32"/>
      <c r="AK162" s="28"/>
      <c r="AL162" s="97"/>
      <c r="AM162" s="169"/>
      <c r="AN162" s="174"/>
      <c r="AO162" s="15"/>
      <c r="AP162" s="18"/>
      <c r="AQ162" s="18"/>
      <c r="AR162" s="235"/>
      <c r="AS162" s="18"/>
      <c r="AT162" s="18"/>
    </row>
    <row r="163" spans="3:46" ht="14.25" customHeight="1" x14ac:dyDescent="0.2">
      <c r="C163" s="47"/>
      <c r="D163" s="174"/>
      <c r="E163" s="32"/>
      <c r="F163" s="194"/>
      <c r="G163" s="174"/>
      <c r="H163" s="174"/>
      <c r="I163" s="174"/>
      <c r="J163" s="174"/>
      <c r="K163" s="47"/>
      <c r="L163" s="181"/>
      <c r="M163" s="174"/>
      <c r="N163" s="186"/>
      <c r="O163" s="181"/>
      <c r="P163" s="181"/>
      <c r="Q163" s="181"/>
      <c r="R163" s="181"/>
      <c r="S163" s="174"/>
      <c r="T163" s="183"/>
      <c r="U163" s="174"/>
      <c r="V163" s="183"/>
      <c r="W163" s="174"/>
      <c r="X163" s="183"/>
      <c r="Y163" s="174"/>
      <c r="Z163" s="183"/>
      <c r="AA163" s="174"/>
      <c r="AB163" s="174"/>
      <c r="AC163" s="183"/>
      <c r="AD163" s="183"/>
      <c r="AE163" s="183"/>
      <c r="AF163" s="183"/>
      <c r="AG163" s="183"/>
      <c r="AH163" s="32"/>
      <c r="AI163" s="32"/>
      <c r="AJ163" s="32"/>
      <c r="AK163" s="28"/>
      <c r="AL163" s="97"/>
      <c r="AM163" s="169"/>
      <c r="AN163" s="174"/>
      <c r="AO163" s="15"/>
      <c r="AP163" s="18"/>
      <c r="AQ163" s="18"/>
      <c r="AR163" s="235"/>
      <c r="AS163" s="18"/>
      <c r="AT163" s="18"/>
    </row>
    <row r="164" spans="3:46" ht="14.25" customHeight="1" x14ac:dyDescent="0.2">
      <c r="C164" s="47"/>
      <c r="D164" s="174"/>
      <c r="E164" s="32"/>
      <c r="F164" s="194"/>
      <c r="G164" s="174"/>
      <c r="H164" s="174"/>
      <c r="I164" s="174"/>
      <c r="J164" s="174"/>
      <c r="K164" s="47"/>
      <c r="L164" s="181"/>
      <c r="M164" s="174"/>
      <c r="N164" s="186"/>
      <c r="O164" s="181"/>
      <c r="P164" s="181"/>
      <c r="Q164" s="181"/>
      <c r="R164" s="181"/>
      <c r="S164" s="174"/>
      <c r="T164" s="183"/>
      <c r="U164" s="174"/>
      <c r="V164" s="183"/>
      <c r="W164" s="174"/>
      <c r="X164" s="183"/>
      <c r="Y164" s="174"/>
      <c r="Z164" s="183"/>
      <c r="AA164" s="174"/>
      <c r="AB164" s="174"/>
      <c r="AC164" s="183"/>
      <c r="AD164" s="183"/>
      <c r="AE164" s="183"/>
      <c r="AF164" s="183"/>
      <c r="AG164" s="183"/>
      <c r="AH164" s="32"/>
      <c r="AI164" s="32"/>
      <c r="AJ164" s="32"/>
      <c r="AK164" s="28"/>
      <c r="AL164" s="97"/>
      <c r="AM164" s="169"/>
      <c r="AN164" s="174"/>
      <c r="AO164" s="15"/>
      <c r="AP164" s="18"/>
      <c r="AQ164" s="18"/>
      <c r="AR164" s="235"/>
      <c r="AS164" s="18"/>
      <c r="AT164" s="18"/>
    </row>
  </sheetData>
  <autoFilter ref="B2:AT151" xr:uid="{C66F0F91-20B5-4171-9FA3-402D77DD3CED}">
    <filterColumn colId="8">
      <filters>
        <filter val="Adjudicada"/>
      </filters>
    </filterColumn>
  </autoFilter>
  <dataConsolidate/>
  <mergeCells count="5">
    <mergeCell ref="AC1:AG1"/>
    <mergeCell ref="AI1:AJ1"/>
    <mergeCell ref="AL1:AT1"/>
    <mergeCell ref="S1:AA1"/>
    <mergeCell ref="F1:R1"/>
  </mergeCells>
  <phoneticPr fontId="14" type="noConversion"/>
  <conditionalFormatting sqref="A2:A1048576">
    <cfRule type="cellIs" dxfId="119" priority="79" operator="equal">
      <formula>22</formula>
    </cfRule>
    <cfRule type="cellIs" dxfId="118" priority="80" operator="notEqual">
      <formula>22</formula>
    </cfRule>
  </conditionalFormatting>
  <conditionalFormatting sqref="J3:J164">
    <cfRule type="containsText" dxfId="117" priority="75" operator="containsText" text="Propuesta">
      <formula>NOT(ISERROR(SEARCH("Propuesta",J3)))</formula>
    </cfRule>
  </conditionalFormatting>
  <conditionalFormatting sqref="F86:F88">
    <cfRule type="expression" dxfId="116" priority="68">
      <formula>$C86="Adjudicada"</formula>
    </cfRule>
    <cfRule type="expression" dxfId="115" priority="69">
      <formula>$C86="Desarrollo"</formula>
    </cfRule>
    <cfRule type="expression" dxfId="114" priority="70">
      <formula>$C86="Enviada"</formula>
    </cfRule>
  </conditionalFormatting>
  <conditionalFormatting sqref="F89">
    <cfRule type="expression" dxfId="113" priority="65">
      <formula>$C89="Adjudicada"</formula>
    </cfRule>
    <cfRule type="expression" dxfId="112" priority="66">
      <formula>$C89="Desarrollo"</formula>
    </cfRule>
    <cfRule type="expression" dxfId="111" priority="67">
      <formula>$C89="Enviada"</formula>
    </cfRule>
  </conditionalFormatting>
  <conditionalFormatting sqref="F108:F109">
    <cfRule type="expression" dxfId="110" priority="58">
      <formula>$C108="Enviada"</formula>
    </cfRule>
    <cfRule type="expression" dxfId="109" priority="59">
      <formula>$C108="Adjudicada"</formula>
    </cfRule>
    <cfRule type="expression" dxfId="108" priority="60">
      <formula>$C108="Desarrollo"</formula>
    </cfRule>
    <cfRule type="expression" dxfId="107" priority="61">
      <formula>$C108="Revisión Interna"</formula>
    </cfRule>
  </conditionalFormatting>
  <conditionalFormatting sqref="F114">
    <cfRule type="expression" dxfId="106" priority="54">
      <formula>$C114="Enviada"</formula>
    </cfRule>
    <cfRule type="expression" dxfId="105" priority="55">
      <formula>$C114="Adjudicada"</formula>
    </cfRule>
    <cfRule type="expression" dxfId="104" priority="56">
      <formula>$C114="Desarrollo"</formula>
    </cfRule>
    <cfRule type="expression" dxfId="103" priority="57">
      <formula>$C114="Revisión Interna"</formula>
    </cfRule>
  </conditionalFormatting>
  <conditionalFormatting sqref="F115">
    <cfRule type="expression" dxfId="102" priority="50">
      <formula>$C115="Enviada"</formula>
    </cfRule>
    <cfRule type="expression" dxfId="101" priority="51">
      <formula>$C115="Adjudicada"</formula>
    </cfRule>
    <cfRule type="expression" dxfId="100" priority="52">
      <formula>$C115="Desarrollo"</formula>
    </cfRule>
    <cfRule type="expression" dxfId="99" priority="53">
      <formula>$C115="Revisión Interna"</formula>
    </cfRule>
  </conditionalFormatting>
  <conditionalFormatting sqref="F116">
    <cfRule type="expression" dxfId="98" priority="46">
      <formula>$C116="Enviada"</formula>
    </cfRule>
    <cfRule type="expression" dxfId="97" priority="47">
      <formula>$C116="Adjudicada"</formula>
    </cfRule>
    <cfRule type="expression" dxfId="96" priority="48">
      <formula>$C116="Desarrollo"</formula>
    </cfRule>
    <cfRule type="expression" dxfId="95" priority="49">
      <formula>$C116="Revisión Interna"</formula>
    </cfRule>
  </conditionalFormatting>
  <conditionalFormatting sqref="F117">
    <cfRule type="expression" dxfId="94" priority="42">
      <formula>$C117="Enviada"</formula>
    </cfRule>
    <cfRule type="expression" dxfId="93" priority="43">
      <formula>$C117="Adjudicada"</formula>
    </cfRule>
    <cfRule type="expression" dxfId="92" priority="44">
      <formula>$C117="Desarrollo"</formula>
    </cfRule>
    <cfRule type="expression" dxfId="91" priority="45">
      <formula>$C117="Revisión Interna"</formula>
    </cfRule>
  </conditionalFormatting>
  <conditionalFormatting sqref="F120">
    <cfRule type="expression" dxfId="90" priority="38">
      <formula>$C120="Enviada"</formula>
    </cfRule>
    <cfRule type="expression" dxfId="89" priority="39">
      <formula>$C120="Adjudicada"</formula>
    </cfRule>
    <cfRule type="expression" dxfId="88" priority="40">
      <formula>$C120="Desarrollo"</formula>
    </cfRule>
    <cfRule type="expression" dxfId="87" priority="41">
      <formula>$C120="Revisión Interna"</formula>
    </cfRule>
  </conditionalFormatting>
  <conditionalFormatting sqref="F128">
    <cfRule type="expression" dxfId="86" priority="33">
      <formula>$C128="Enviada"</formula>
    </cfRule>
    <cfRule type="expression" dxfId="85" priority="34">
      <formula>$C128="Adjudicada"</formula>
    </cfRule>
    <cfRule type="expression" dxfId="84" priority="35">
      <formula>$C128="Desarrollo"</formula>
    </cfRule>
    <cfRule type="expression" dxfId="83" priority="36">
      <formula>$C128="Revisión Interna"</formula>
    </cfRule>
  </conditionalFormatting>
  <conditionalFormatting sqref="F131">
    <cfRule type="expression" dxfId="82" priority="29">
      <formula>$C131="Enviada"</formula>
    </cfRule>
    <cfRule type="expression" dxfId="81" priority="30">
      <formula>$C131="Adjudicada"</formula>
    </cfRule>
    <cfRule type="expression" dxfId="80" priority="31">
      <formula>$C131="Desarrollo"</formula>
    </cfRule>
    <cfRule type="expression" dxfId="79" priority="32">
      <formula>$C131="Revisión Interna"</formula>
    </cfRule>
  </conditionalFormatting>
  <conditionalFormatting sqref="F132:G132">
    <cfRule type="expression" dxfId="78" priority="25">
      <formula>$C132="Enviada"</formula>
    </cfRule>
    <cfRule type="expression" dxfId="77" priority="26">
      <formula>$C132="Adjudicada"</formula>
    </cfRule>
    <cfRule type="expression" dxfId="76" priority="27">
      <formula>$C132="Desarrollo"</formula>
    </cfRule>
    <cfRule type="expression" dxfId="75" priority="28">
      <formula>$C132="Revisión Interna"</formula>
    </cfRule>
  </conditionalFormatting>
  <conditionalFormatting sqref="F136:F137">
    <cfRule type="expression" dxfId="74" priority="21">
      <formula>$C136="Enviada"</formula>
    </cfRule>
    <cfRule type="expression" dxfId="73" priority="22">
      <formula>$C136="Adjudicada"</formula>
    </cfRule>
    <cfRule type="expression" dxfId="72" priority="23">
      <formula>$C136="Desarrollo"</formula>
    </cfRule>
    <cfRule type="expression" dxfId="71" priority="24">
      <formula>$C136="Revisión Interna"</formula>
    </cfRule>
  </conditionalFormatting>
  <conditionalFormatting sqref="F138">
    <cfRule type="expression" dxfId="70" priority="17">
      <formula>$C138="Enviada"</formula>
    </cfRule>
    <cfRule type="expression" dxfId="69" priority="18">
      <formula>$C138="Adjudicada"</formula>
    </cfRule>
    <cfRule type="expression" dxfId="68" priority="19">
      <formula>$C138="Desarrollo"</formula>
    </cfRule>
    <cfRule type="expression" dxfId="67" priority="20">
      <formula>$C138="Revisión Interna"</formula>
    </cfRule>
  </conditionalFormatting>
  <conditionalFormatting sqref="F129">
    <cfRule type="expression" dxfId="66" priority="13">
      <formula>$C129="Enviada"</formula>
    </cfRule>
    <cfRule type="expression" dxfId="65" priority="14">
      <formula>$C129="Adjudicada"</formula>
    </cfRule>
    <cfRule type="expression" dxfId="64" priority="15">
      <formula>$C129="Desarrollo"</formula>
    </cfRule>
    <cfRule type="expression" dxfId="63" priority="16">
      <formula>$C129="Revisión Interna"</formula>
    </cfRule>
  </conditionalFormatting>
  <conditionalFormatting sqref="F145:F146">
    <cfRule type="expression" dxfId="62" priority="9">
      <formula>$C145="Enviada"</formula>
    </cfRule>
    <cfRule type="expression" dxfId="61" priority="10">
      <formula>$C145="Adjudicada"</formula>
    </cfRule>
    <cfRule type="expression" dxfId="60" priority="11">
      <formula>$C145="Desarrollo"</formula>
    </cfRule>
    <cfRule type="expression" dxfId="59" priority="12">
      <formula>$C145="Revisión Interna"</formula>
    </cfRule>
  </conditionalFormatting>
  <conditionalFormatting sqref="F147">
    <cfRule type="expression" dxfId="58" priority="5">
      <formula>$C147="Enviada"</formula>
    </cfRule>
    <cfRule type="expression" dxfId="57" priority="6">
      <formula>$C147="Adjudicada"</formula>
    </cfRule>
    <cfRule type="expression" dxfId="56" priority="7">
      <formula>$C147="Desarrollo"</formula>
    </cfRule>
    <cfRule type="expression" dxfId="55" priority="8">
      <formula>$C147="Revisión Interna"</formula>
    </cfRule>
  </conditionalFormatting>
  <conditionalFormatting sqref="F148:F149">
    <cfRule type="expression" dxfId="54" priority="1">
      <formula>$C148="Enviada"</formula>
    </cfRule>
    <cfRule type="expression" dxfId="53" priority="2">
      <formula>$C148="Adjudicada"</formula>
    </cfRule>
    <cfRule type="expression" dxfId="52" priority="3">
      <formula>$C148="Desarrollo"</formula>
    </cfRule>
    <cfRule type="expression" dxfId="51" priority="4">
      <formula>$C148="Revisión Interna"</formula>
    </cfRule>
  </conditionalFormatting>
  <dataValidations count="1">
    <dataValidation allowBlank="1" showInputMessage="1" showErrorMessage="1" error="Probabilidad debe ser entre 0 y 100" sqref="K2:L2 AN2:AT2" xr:uid="{0CB313E2-3DC0-41E6-9EA9-51591D657CFD}"/>
  </dataValidations>
  <pageMargins left="0.7" right="0.7" top="0.75" bottom="0.75" header="0.3" footer="0.3"/>
  <pageSetup paperSize="9" orientation="portrait" horizontalDpi="4294967295" verticalDpi="4294967295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allowBlank="1" showInputMessage="1" showErrorMessage="1" xr:uid="{B556E762-EB9D-4F84-B077-E5052EA50783}">
          <x14:formula1>
            <xm:f>Códigos_Propuestas!$E$4:$E$69</xm:f>
          </x14:formula1>
          <xm:sqref>H13:H14 H7 H3:H5</xm:sqref>
        </x14:dataValidation>
        <x14:dataValidation type="list" allowBlank="1" showInputMessage="1" showErrorMessage="1" xr:uid="{6A2DD90C-7DC6-4FF6-B0B3-CB335AE897A9}">
          <x14:formula1>
            <xm:f>Códigos_Propuestas!$E$4:$E$85</xm:f>
          </x14:formula1>
          <xm:sqref>H8:H10 H12</xm:sqref>
        </x14:dataValidation>
        <x14:dataValidation type="list" allowBlank="1" showInputMessage="1" showErrorMessage="1" xr:uid="{10168973-1DE4-45DD-87D3-B714870A3D3A}">
          <x14:formula1>
            <xm:f>Códigos_Propuestas!$E$4:$E$86</xm:f>
          </x14:formula1>
          <xm:sqref>H11 H15:H28</xm:sqref>
        </x14:dataValidation>
        <x14:dataValidation type="list" allowBlank="1" showInputMessage="1" showErrorMessage="1" xr:uid="{7773A32E-E34D-4DFE-8794-3CF7D278492C}">
          <x14:formula1>
            <xm:f>Códigos_Propuestas!$O$4:$O$11</xm:f>
          </x14:formula1>
          <xm:sqref>AH3:AH39 AH97</xm:sqref>
        </x14:dataValidation>
        <x14:dataValidation type="list" allowBlank="1" showInputMessage="1" showErrorMessage="1" xr:uid="{868C0FA1-5A6E-422C-9D88-E4EC6B97432B}">
          <x14:formula1>
            <xm:f>Códigos_Propuestas!$B$4:$B$10</xm:f>
          </x14:formula1>
          <xm:sqref>E15 E22 D3:D40 D97</xm:sqref>
        </x14:dataValidation>
        <x14:dataValidation type="list" allowBlank="1" showInputMessage="1" showErrorMessage="1" xr:uid="{9A067028-5057-4BBB-9E25-802FB9E626E9}">
          <x14:formula1>
            <xm:f>Códigos_Propuestas!$I$4:$I$7</xm:f>
          </x14:formula1>
          <xm:sqref>L127 M3:M150</xm:sqref>
        </x14:dataValidation>
        <x14:dataValidation type="list" allowBlank="1" showInputMessage="1" showErrorMessage="1" xr:uid="{1D207DC9-33ED-455F-8156-4F99EA62EDFD}">
          <x14:formula1>
            <xm:f>Códigos_Propuestas!$BD$4:$BD$5</xm:f>
          </x14:formula1>
          <xm:sqref>AA3:AA90 AA93:AA150</xm:sqref>
        </x14:dataValidation>
        <x14:dataValidation type="list" allowBlank="1" showInputMessage="1" showErrorMessage="1" xr:uid="{95BA9026-8C8D-451D-8DAD-C7D032EE2EB3}">
          <x14:formula1>
            <xm:f>Códigos_Propuestas!$Z$4:$Z$6</xm:f>
          </x14:formula1>
          <xm:sqref>K3:K159</xm:sqref>
        </x14:dataValidation>
        <x14:dataValidation type="list" allowBlank="1" showInputMessage="1" showErrorMessage="1" xr:uid="{F787F499-23F8-40EE-BB94-DA5F316EE11E}">
          <x14:formula1>
            <xm:f>Códigos_Propuestas!$X$4:$X$8</xm:f>
          </x14:formula1>
          <xm:sqref>J3:J159</xm:sqref>
        </x14:dataValidation>
        <x14:dataValidation type="list" allowBlank="1" showInputMessage="1" showErrorMessage="1" xr:uid="{440BD6B0-5A33-4D60-980C-4AF35AD1B072}">
          <x14:formula1>
            <xm:f>Códigos_Propuestas!$AB$4:$AB$7</xm:f>
          </x14:formula1>
          <xm:sqref>AI3:AI150</xm:sqref>
        </x14:dataValidation>
        <x14:dataValidation type="list" allowBlank="1" showInputMessage="1" showErrorMessage="1" xr:uid="{A522B4E8-AE2B-4729-A440-0185ABCCFEE4}">
          <x14:formula1>
            <xm:f>Códigos_Propuestas!$AJ$4:$AJ$5</xm:f>
          </x14:formula1>
          <xm:sqref>AJ3:AJ150</xm:sqref>
        </x14:dataValidation>
        <x14:dataValidation type="list" allowBlank="1" showInputMessage="1" showErrorMessage="1" xr:uid="{E614CFAF-B797-404D-98E3-A1CF9A262D43}">
          <x14:formula1>
            <xm:f>Códigos_Propuestas!$AL$4:$AL$8</xm:f>
          </x14:formula1>
          <xm:sqref>Q3:Q155</xm:sqref>
        </x14:dataValidation>
        <x14:dataValidation type="list" allowBlank="1" showInputMessage="1" showErrorMessage="1" xr:uid="{B1F60CE3-C711-4B49-8559-7CAFF0D7D906}">
          <x14:formula1>
            <xm:f>Códigos_Propuestas!$O$4:$O$16</xm:f>
          </x14:formula1>
          <xm:sqref>N1:N1048576</xm:sqref>
        </x14:dataValidation>
        <x14:dataValidation type="list" allowBlank="1" showInputMessage="1" showErrorMessage="1" xr:uid="{7A993658-6905-4F27-8375-A03D482B184C}">
          <x14:formula1>
            <xm:f>Códigos_Propuestas!$E$4:$E$126</xm:f>
          </x14:formula1>
          <xm:sqref>H6</xm:sqref>
        </x14:dataValidation>
        <x14:dataValidation type="list" allowBlank="1" showInputMessage="1" showErrorMessage="1" xr:uid="{4EC5030A-CCCB-435F-B4A4-1DD4B4668111}">
          <x14:formula1>
            <xm:f>Códigos_Propuestas!$E$4:$E$113</xm:f>
          </x14:formula1>
          <xm:sqref>G127 H128:H150 H126 H29:H124</xm:sqref>
        </x14:dataValidation>
        <x14:dataValidation type="list" allowBlank="1" showInputMessage="1" showErrorMessage="1" xr:uid="{4D0EAFAE-885C-46C4-87B8-2D90C0B0BD9B}">
          <x14:formula1>
            <xm:f>Códigos_Propuestas!$AR$4:$AR$11</xm:f>
          </x14:formula1>
          <xm:sqref>P3:P150</xm:sqref>
        </x14:dataValidation>
        <x14:dataValidation type="list" allowBlank="1" showInputMessage="1" showErrorMessage="1" xr:uid="{040BEE20-3FCF-4072-8760-255648A10A98}">
          <x14:formula1>
            <xm:f>Códigos_Propuestas!$AP$4:$AP$11</xm:f>
          </x14:formula1>
          <xm:sqref>R3:R150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4C067-0774-4E30-A846-47A6B7CB4271}">
  <sheetPr>
    <tabColor theme="5" tint="0.79998168889431442"/>
  </sheetPr>
  <dimension ref="A2:B3"/>
  <sheetViews>
    <sheetView workbookViewId="0">
      <selection activeCell="F4" sqref="F4:F5"/>
    </sheetView>
  </sheetViews>
  <sheetFormatPr baseColWidth="10" defaultColWidth="11.5" defaultRowHeight="15" x14ac:dyDescent="0.2"/>
  <cols>
    <col min="1" max="1" width="30.5" bestFit="1" customWidth="1"/>
  </cols>
  <sheetData>
    <row r="2" spans="1:2" x14ac:dyDescent="0.2">
      <c r="A2" s="83" t="s">
        <v>376</v>
      </c>
      <c r="B2" s="83" t="s">
        <v>377</v>
      </c>
    </row>
    <row r="3" spans="1:2" x14ac:dyDescent="0.2">
      <c r="A3" s="33" t="s">
        <v>378</v>
      </c>
      <c r="B3" s="33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898CA-0014-446C-8BAF-7672BCC7D7A4}">
  <sheetPr codeName="Hoja4">
    <tabColor rgb="FF004080"/>
  </sheetPr>
  <dimension ref="A1:DT51"/>
  <sheetViews>
    <sheetView topLeftCell="C10" zoomScaleNormal="100" workbookViewId="0">
      <selection activeCell="G12" sqref="G12"/>
    </sheetView>
  </sheetViews>
  <sheetFormatPr baseColWidth="10" defaultColWidth="8.5" defaultRowHeight="15" outlineLevelCol="1" x14ac:dyDescent="0.2"/>
  <cols>
    <col min="1" max="1" width="19.5" hidden="1" customWidth="1"/>
    <col min="2" max="2" width="22.5" style="49" hidden="1" customWidth="1"/>
    <col min="3" max="3" width="3.5" bestFit="1" customWidth="1"/>
    <col min="4" max="4" width="4.5" customWidth="1"/>
    <col min="5" max="5" width="51.5" customWidth="1"/>
    <col min="6" max="6" width="51.5" hidden="1" customWidth="1"/>
    <col min="7" max="7" width="14" bestFit="1" customWidth="1"/>
    <col min="8" max="8" width="11" customWidth="1"/>
    <col min="9" max="9" width="19.5" customWidth="1"/>
    <col min="10" max="10" width="8.5" customWidth="1"/>
    <col min="11" max="11" width="10.5" bestFit="1" customWidth="1"/>
    <col min="12" max="12" width="18.1640625" bestFit="1" customWidth="1"/>
    <col min="13" max="14" width="18.1640625" customWidth="1"/>
    <col min="15" max="15" width="11.5" bestFit="1" customWidth="1"/>
    <col min="16" max="16" width="16.5" bestFit="1" customWidth="1"/>
    <col min="17" max="20" width="13.1640625" hidden="1" customWidth="1" outlineLevel="1"/>
    <col min="21" max="21" width="2.5" customWidth="1" collapsed="1"/>
    <col min="22" max="22" width="11" hidden="1" customWidth="1" outlineLevel="1"/>
    <col min="23" max="24" width="22.5" hidden="1" customWidth="1" outlineLevel="1"/>
    <col min="25" max="25" width="2.5" customWidth="1" collapsed="1"/>
    <col min="26" max="26" width="14.83203125" hidden="1" customWidth="1" outlineLevel="1"/>
    <col min="27" max="27" width="8.5" hidden="1" customWidth="1" outlineLevel="1"/>
    <col min="28" max="28" width="10.33203125" hidden="1" customWidth="1" outlineLevel="1"/>
    <col min="29" max="29" width="6.33203125" hidden="1" customWidth="1" outlineLevel="1"/>
    <col min="30" max="30" width="9.5" hidden="1" customWidth="1" outlineLevel="1"/>
    <col min="31" max="31" width="5.5" hidden="1" customWidth="1" outlineLevel="1"/>
    <col min="32" max="32" width="2.5" customWidth="1" collapsed="1"/>
    <col min="33" max="33" width="8" hidden="1" customWidth="1" outlineLevel="1"/>
    <col min="34" max="34" width="11.83203125" hidden="1" customWidth="1" outlineLevel="1"/>
    <col min="35" max="35" width="8" hidden="1" customWidth="1" outlineLevel="1"/>
    <col min="36" max="36" width="11.83203125" hidden="1" customWidth="1" outlineLevel="1"/>
    <col min="37" max="37" width="8" hidden="1" customWidth="1" outlineLevel="1"/>
    <col min="38" max="38" width="11.83203125" hidden="1" customWidth="1" outlineLevel="1"/>
    <col min="39" max="39" width="8" hidden="1" customWidth="1" outlineLevel="1"/>
    <col min="40" max="40" width="11.83203125" hidden="1" customWidth="1" outlineLevel="1"/>
    <col min="41" max="41" width="8" hidden="1" customWidth="1" outlineLevel="1"/>
    <col min="42" max="42" width="2.5" customWidth="1" collapsed="1"/>
    <col min="43" max="43" width="9.83203125" hidden="1" customWidth="1" outlineLevel="1" collapsed="1"/>
    <col min="44" max="47" width="9.83203125" hidden="1" customWidth="1" outlineLevel="1"/>
    <col min="48" max="48" width="2.5" customWidth="1" collapsed="1"/>
    <col min="49" max="49" width="22.5" hidden="1" customWidth="1" outlineLevel="1" collapsed="1"/>
    <col min="50" max="52" width="22.5" hidden="1" customWidth="1" outlineLevel="1"/>
    <col min="53" max="53" width="2.5" customWidth="1" collapsed="1"/>
    <col min="54" max="58" width="9" customWidth="1" outlineLevel="1"/>
    <col min="59" max="59" width="9.33203125" customWidth="1" outlineLevel="1"/>
    <col min="60" max="62" width="16" customWidth="1" outlineLevel="1"/>
    <col min="63" max="64" width="9" customWidth="1" outlineLevel="1"/>
    <col min="65" max="65" width="13.5" customWidth="1" outlineLevel="1"/>
    <col min="66" max="68" width="14.5" customWidth="1" outlineLevel="1"/>
    <col min="69" max="69" width="3.5" style="7" customWidth="1"/>
    <col min="70" max="81" width="9" bestFit="1" customWidth="1"/>
    <col min="82" max="82" width="10.83203125" customWidth="1"/>
    <col min="96" max="96" width="10.5" bestFit="1" customWidth="1"/>
    <col min="97" max="97" width="10.5" customWidth="1"/>
    <col min="110" max="110" width="10.5" bestFit="1" customWidth="1"/>
    <col min="124" max="124" width="10.5" bestFit="1" customWidth="1"/>
  </cols>
  <sheetData>
    <row r="1" spans="1:124" ht="38.5" customHeight="1" thickBot="1" x14ac:dyDescent="0.25">
      <c r="B1"/>
      <c r="E1" s="260" t="s">
        <v>436</v>
      </c>
      <c r="F1" s="252"/>
      <c r="G1" s="252"/>
      <c r="H1" s="252"/>
      <c r="I1" s="252"/>
      <c r="J1" s="252"/>
      <c r="K1" s="252"/>
      <c r="L1" s="252"/>
      <c r="M1" s="252"/>
      <c r="N1" s="252"/>
      <c r="O1" s="252"/>
      <c r="P1" s="253"/>
      <c r="Q1" s="267" t="s">
        <v>437</v>
      </c>
      <c r="R1" s="268"/>
      <c r="S1" s="268"/>
      <c r="T1" s="269"/>
      <c r="U1" s="143"/>
      <c r="V1" s="258" t="s">
        <v>438</v>
      </c>
      <c r="W1" s="259"/>
      <c r="X1" s="259"/>
      <c r="Y1" s="127"/>
      <c r="Z1" s="261" t="s">
        <v>439</v>
      </c>
      <c r="AA1" s="262"/>
      <c r="AB1" s="262"/>
      <c r="AC1" s="262"/>
      <c r="AD1" s="262"/>
      <c r="AE1" s="263"/>
      <c r="AF1" s="128"/>
      <c r="AG1" s="264" t="s">
        <v>440</v>
      </c>
      <c r="AH1" s="265"/>
      <c r="AI1" s="265"/>
      <c r="AJ1" s="265"/>
      <c r="AK1" s="265"/>
      <c r="AL1" s="265"/>
      <c r="AM1" s="265"/>
      <c r="AN1" s="265"/>
      <c r="AO1" s="266"/>
      <c r="AP1" s="120"/>
      <c r="AQ1" s="244" t="s">
        <v>441</v>
      </c>
      <c r="AR1" s="244"/>
      <c r="AS1" s="244"/>
      <c r="AT1" s="244"/>
      <c r="AU1" s="244"/>
      <c r="AV1" s="120"/>
      <c r="AW1" s="245" t="s">
        <v>21</v>
      </c>
      <c r="AX1" s="245"/>
      <c r="AY1" s="245"/>
      <c r="AZ1" s="245"/>
      <c r="BA1" s="120"/>
      <c r="BB1" s="257" t="s">
        <v>442</v>
      </c>
      <c r="BC1" s="257"/>
      <c r="BD1" s="257"/>
      <c r="BE1" s="257"/>
      <c r="BF1" s="257"/>
      <c r="BG1" s="257"/>
      <c r="BH1" s="257"/>
      <c r="BI1" s="257"/>
      <c r="BJ1" s="257"/>
      <c r="BK1" s="257"/>
      <c r="BL1" s="257"/>
      <c r="BM1" s="257"/>
      <c r="BN1" s="257"/>
      <c r="BO1" s="257"/>
      <c r="BP1" s="257"/>
      <c r="BQ1" s="131"/>
      <c r="BR1" s="254" t="s">
        <v>443</v>
      </c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6"/>
      <c r="CF1" s="254" t="s">
        <v>444</v>
      </c>
      <c r="CG1" s="255"/>
      <c r="CH1" s="255"/>
      <c r="CI1" s="255"/>
      <c r="CJ1" s="255"/>
      <c r="CK1" s="255"/>
      <c r="CL1" s="255"/>
      <c r="CM1" s="255"/>
      <c r="CN1" s="255"/>
      <c r="CO1" s="255"/>
      <c r="CP1" s="255"/>
      <c r="CQ1" s="255"/>
      <c r="CR1" s="256"/>
      <c r="CT1" s="254" t="s">
        <v>445</v>
      </c>
      <c r="CU1" s="255"/>
      <c r="CV1" s="255"/>
      <c r="CW1" s="255"/>
      <c r="CX1" s="255"/>
      <c r="CY1" s="255"/>
      <c r="CZ1" s="255"/>
      <c r="DA1" s="255"/>
      <c r="DB1" s="255"/>
      <c r="DC1" s="255"/>
      <c r="DD1" s="255"/>
      <c r="DE1" s="255"/>
      <c r="DF1" s="256"/>
      <c r="DH1" s="254" t="s">
        <v>446</v>
      </c>
      <c r="DI1" s="255"/>
      <c r="DJ1" s="255"/>
      <c r="DK1" s="255"/>
      <c r="DL1" s="255"/>
      <c r="DM1" s="255"/>
      <c r="DN1" s="255"/>
      <c r="DO1" s="255"/>
      <c r="DP1" s="255"/>
      <c r="DQ1" s="255"/>
      <c r="DR1" s="255"/>
      <c r="DS1" s="255"/>
      <c r="DT1" s="256"/>
    </row>
    <row r="2" spans="1:124" ht="37" thickBot="1" x14ac:dyDescent="0.25">
      <c r="A2" s="45" t="s">
        <v>447</v>
      </c>
      <c r="B2" s="48" t="s">
        <v>448</v>
      </c>
      <c r="C2" s="46" t="s">
        <v>449</v>
      </c>
      <c r="D2" s="1" t="s">
        <v>4</v>
      </c>
      <c r="E2" s="2" t="s">
        <v>0</v>
      </c>
      <c r="F2" s="2" t="s">
        <v>450</v>
      </c>
      <c r="G2" s="1" t="s">
        <v>451</v>
      </c>
      <c r="H2" s="1" t="s">
        <v>452</v>
      </c>
      <c r="I2" s="2" t="s">
        <v>379</v>
      </c>
      <c r="J2" s="4" t="s">
        <v>16</v>
      </c>
      <c r="K2" s="2" t="s">
        <v>453</v>
      </c>
      <c r="L2" s="166" t="s">
        <v>11</v>
      </c>
      <c r="M2" s="3" t="s">
        <v>12</v>
      </c>
      <c r="N2" s="3" t="s">
        <v>24</v>
      </c>
      <c r="O2" s="3" t="s">
        <v>22</v>
      </c>
      <c r="P2" s="135" t="s">
        <v>23</v>
      </c>
      <c r="Q2" s="125" t="s">
        <v>437</v>
      </c>
      <c r="R2" s="125" t="s">
        <v>454</v>
      </c>
      <c r="S2" s="125" t="s">
        <v>455</v>
      </c>
      <c r="T2" s="125" t="s">
        <v>456</v>
      </c>
      <c r="U2" s="144"/>
      <c r="V2" s="114" t="s">
        <v>457</v>
      </c>
      <c r="W2" s="114" t="s">
        <v>458</v>
      </c>
      <c r="X2" s="114" t="s">
        <v>459</v>
      </c>
      <c r="Y2" s="129"/>
      <c r="Z2" s="138" t="s">
        <v>460</v>
      </c>
      <c r="AA2" s="124" t="s">
        <v>461</v>
      </c>
      <c r="AB2" s="138" t="s">
        <v>462</v>
      </c>
      <c r="AC2" s="124" t="s">
        <v>463</v>
      </c>
      <c r="AD2" s="138" t="s">
        <v>464</v>
      </c>
      <c r="AE2" s="124" t="s">
        <v>465</v>
      </c>
      <c r="AF2" s="124"/>
      <c r="AG2" s="139" t="s">
        <v>466</v>
      </c>
      <c r="AH2" s="125" t="s">
        <v>467</v>
      </c>
      <c r="AI2" s="139" t="s">
        <v>468</v>
      </c>
      <c r="AJ2" s="125" t="s">
        <v>469</v>
      </c>
      <c r="AK2" s="139" t="s">
        <v>470</v>
      </c>
      <c r="AL2" s="125" t="s">
        <v>471</v>
      </c>
      <c r="AM2" s="139" t="s">
        <v>472</v>
      </c>
      <c r="AN2" s="125" t="s">
        <v>473</v>
      </c>
      <c r="AO2" s="126" t="s">
        <v>474</v>
      </c>
      <c r="AP2" s="119"/>
      <c r="AQ2" s="105" t="s">
        <v>475</v>
      </c>
      <c r="AR2" s="105" t="s">
        <v>476</v>
      </c>
      <c r="AS2" s="105" t="s">
        <v>477</v>
      </c>
      <c r="AT2" s="105" t="s">
        <v>478</v>
      </c>
      <c r="AU2" s="105" t="s">
        <v>479</v>
      </c>
      <c r="AV2" s="119"/>
      <c r="AW2" s="106" t="s">
        <v>17</v>
      </c>
      <c r="AX2" s="106" t="s">
        <v>19</v>
      </c>
      <c r="AY2" s="106" t="s">
        <v>480</v>
      </c>
      <c r="AZ2" s="106" t="s">
        <v>481</v>
      </c>
      <c r="BA2" s="119"/>
      <c r="BB2" s="104" t="s">
        <v>482</v>
      </c>
      <c r="BC2" s="100" t="s">
        <v>483</v>
      </c>
      <c r="BD2" s="103" t="s">
        <v>484</v>
      </c>
      <c r="BE2" s="99" t="s">
        <v>380</v>
      </c>
      <c r="BF2" s="99" t="s">
        <v>381</v>
      </c>
      <c r="BG2" s="103" t="s">
        <v>485</v>
      </c>
      <c r="BH2" s="102" t="s">
        <v>486</v>
      </c>
      <c r="BI2" s="102" t="s">
        <v>487</v>
      </c>
      <c r="BJ2" s="102" t="s">
        <v>488</v>
      </c>
      <c r="BK2" s="2" t="s">
        <v>489</v>
      </c>
      <c r="BL2" s="101" t="s">
        <v>490</v>
      </c>
      <c r="BM2" s="5" t="s">
        <v>491</v>
      </c>
      <c r="BN2" s="6" t="s">
        <v>492</v>
      </c>
      <c r="BO2" s="109" t="s">
        <v>493</v>
      </c>
      <c r="BP2" s="110" t="s">
        <v>494</v>
      </c>
      <c r="BQ2" s="131"/>
      <c r="BR2" s="8">
        <v>46023</v>
      </c>
      <c r="BS2" s="9">
        <v>46054</v>
      </c>
      <c r="BT2" s="9">
        <v>46082</v>
      </c>
      <c r="BU2" s="9">
        <v>46113</v>
      </c>
      <c r="BV2" s="9">
        <v>46143</v>
      </c>
      <c r="BW2" s="9">
        <v>46174</v>
      </c>
      <c r="BX2" s="9">
        <v>46204</v>
      </c>
      <c r="BY2" s="9">
        <v>46235</v>
      </c>
      <c r="BZ2" s="9">
        <v>46266</v>
      </c>
      <c r="CA2" s="9">
        <v>46296</v>
      </c>
      <c r="CB2" s="9">
        <v>46327</v>
      </c>
      <c r="CC2" s="9">
        <v>46357</v>
      </c>
      <c r="CD2" s="10" t="s">
        <v>495</v>
      </c>
      <c r="CF2" s="8">
        <v>46023</v>
      </c>
      <c r="CG2" s="9">
        <v>46054</v>
      </c>
      <c r="CH2" s="9">
        <v>46082</v>
      </c>
      <c r="CI2" s="9">
        <v>46113</v>
      </c>
      <c r="CJ2" s="9">
        <v>46143</v>
      </c>
      <c r="CK2" s="9">
        <v>46174</v>
      </c>
      <c r="CL2" s="9">
        <v>46204</v>
      </c>
      <c r="CM2" s="9">
        <v>46235</v>
      </c>
      <c r="CN2" s="9">
        <v>46266</v>
      </c>
      <c r="CO2" s="9">
        <v>46296</v>
      </c>
      <c r="CP2" s="9">
        <v>46327</v>
      </c>
      <c r="CQ2" s="9">
        <v>46357</v>
      </c>
      <c r="CR2" s="10" t="s">
        <v>495</v>
      </c>
      <c r="CT2" s="8">
        <v>46023</v>
      </c>
      <c r="CU2" s="9">
        <v>46054</v>
      </c>
      <c r="CV2" s="9">
        <v>46082</v>
      </c>
      <c r="CW2" s="9">
        <v>46113</v>
      </c>
      <c r="CX2" s="9">
        <v>46143</v>
      </c>
      <c r="CY2" s="9">
        <v>46174</v>
      </c>
      <c r="CZ2" s="9">
        <v>46204</v>
      </c>
      <c r="DA2" s="9">
        <v>46235</v>
      </c>
      <c r="DB2" s="9">
        <v>46266</v>
      </c>
      <c r="DC2" s="9">
        <v>46296</v>
      </c>
      <c r="DD2" s="9">
        <v>46327</v>
      </c>
      <c r="DE2" s="9">
        <v>46357</v>
      </c>
      <c r="DF2" s="10" t="s">
        <v>495</v>
      </c>
      <c r="DH2" s="8">
        <v>46023</v>
      </c>
      <c r="DI2" s="9">
        <v>46054</v>
      </c>
      <c r="DJ2" s="9">
        <v>46082</v>
      </c>
      <c r="DK2" s="9">
        <v>46113</v>
      </c>
      <c r="DL2" s="9">
        <v>46143</v>
      </c>
      <c r="DM2" s="9">
        <v>46174</v>
      </c>
      <c r="DN2" s="9">
        <v>46204</v>
      </c>
      <c r="DO2" s="9">
        <v>46235</v>
      </c>
      <c r="DP2" s="9">
        <v>46266</v>
      </c>
      <c r="DQ2" s="9">
        <v>46296</v>
      </c>
      <c r="DR2" s="9">
        <v>46327</v>
      </c>
      <c r="DS2" s="9">
        <v>46357</v>
      </c>
      <c r="DT2" s="10" t="s">
        <v>495</v>
      </c>
    </row>
    <row r="3" spans="1:124" x14ac:dyDescent="0.2">
      <c r="A3">
        <f>LEN(B3)</f>
        <v>17</v>
      </c>
      <c r="B3" s="49" t="str">
        <f>_xlfn.XLOOKUP(D3,Códigos_Propuestas!$B$4:$B$10,Códigos_Propuestas!$C$4:$C$10,"!",0,1)&amp;"__"&amp;
_xlfn.XLOOKUP(G3,Códigos_Propuestas!$E$4:$E$76,Códigos_Propuestas!$F$4:$F$76,"!",1)&amp;"__"&amp;
_xlfn.XLOOKUP(K3,Códigos_Propuestas!$I$4:$I$7,Códigos_Propuestas!$J$4:$J$7,"!",1)&amp;"__"&amp;
_xlfn.XLOOKUP(L3,Códigos_Propuestas!$O$4:$O$11,Códigos_Propuestas!$Q$4:$Q$11,"!",1)&amp;"__"&amp;
_xlfn.XLOOKUP(E3,Códigos_Propuestas!$BF:$BF,Códigos_Propuestas!$BH:$BH,"!",0,1)</f>
        <v>CH__LUN__OP__!__!</v>
      </c>
      <c r="C3" s="47">
        <v>1</v>
      </c>
      <c r="D3" s="11" t="s">
        <v>32</v>
      </c>
      <c r="E3" s="12" t="s">
        <v>496</v>
      </c>
      <c r="F3" s="12"/>
      <c r="G3" s="13" t="s">
        <v>90</v>
      </c>
      <c r="H3" s="13"/>
      <c r="I3" s="13" t="s">
        <v>42</v>
      </c>
      <c r="J3" s="17" t="s">
        <v>98</v>
      </c>
      <c r="K3" s="13" t="s">
        <v>92</v>
      </c>
      <c r="L3" s="14"/>
      <c r="M3" s="14" t="str">
        <f>_xlfn.XLOOKUP(L3,Códigos_Propuestas!$O$4:$O$15,Códigos_Propuestas!$P$4:$P$15,"!",0,1)</f>
        <v>R+</v>
      </c>
      <c r="N3" s="14"/>
      <c r="O3" s="14"/>
      <c r="P3" s="14"/>
      <c r="Q3" s="14" t="s">
        <v>37</v>
      </c>
      <c r="R3" s="14" t="s">
        <v>118</v>
      </c>
      <c r="S3" s="14"/>
      <c r="T3" s="14"/>
      <c r="U3" s="13"/>
      <c r="V3" s="115"/>
      <c r="W3" s="116">
        <f ca="1">IF(ISBLANK(V3),0,TODAY()-V3)</f>
        <v>0</v>
      </c>
      <c r="X3" s="13" t="str">
        <f ca="1">IF(W3&gt;=30,"!","")</f>
        <v/>
      </c>
      <c r="Y3" s="14"/>
      <c r="Z3" s="115"/>
      <c r="AA3" s="130" t="b">
        <v>1</v>
      </c>
      <c r="AB3" s="115"/>
      <c r="AC3" s="130" t="b">
        <v>1</v>
      </c>
      <c r="AD3" s="115"/>
      <c r="AE3" s="130" t="b">
        <v>1</v>
      </c>
      <c r="AF3" s="13"/>
      <c r="AG3" s="13"/>
      <c r="AH3" s="130" t="b">
        <v>0</v>
      </c>
      <c r="AI3" s="13"/>
      <c r="AJ3" s="130" t="b">
        <v>0</v>
      </c>
      <c r="AK3" s="13"/>
      <c r="AL3" s="130" t="b">
        <v>0</v>
      </c>
      <c r="AM3" s="13"/>
      <c r="AN3" s="130" t="b">
        <v>0</v>
      </c>
      <c r="AO3" s="13"/>
      <c r="AP3" s="13"/>
      <c r="AQ3" s="130" t="b">
        <v>1</v>
      </c>
      <c r="AR3" s="130" t="b">
        <v>1</v>
      </c>
      <c r="AS3" s="130" t="b">
        <v>1</v>
      </c>
      <c r="AT3" s="130" t="b">
        <v>1</v>
      </c>
      <c r="AU3" s="130" t="b">
        <v>1</v>
      </c>
      <c r="AV3" s="11"/>
      <c r="AW3" s="11"/>
      <c r="AX3" s="11"/>
      <c r="AY3" s="11"/>
      <c r="AZ3" s="11"/>
      <c r="BA3" s="107"/>
      <c r="BB3" s="97">
        <v>1770000</v>
      </c>
      <c r="BC3" s="97">
        <v>708000</v>
      </c>
      <c r="BD3" s="13">
        <v>10</v>
      </c>
      <c r="BE3" s="108">
        <v>0.7</v>
      </c>
      <c r="BF3" s="108">
        <v>0.5</v>
      </c>
      <c r="BG3" s="15">
        <f>BE3*BF3</f>
        <v>0.35</v>
      </c>
      <c r="BH3" s="18"/>
      <c r="BI3" s="18"/>
      <c r="BJ3" s="16">
        <v>46095</v>
      </c>
      <c r="BK3" s="19">
        <f>+BG3*BB3</f>
        <v>619500</v>
      </c>
      <c r="BL3" s="19">
        <f>BC3*BG3</f>
        <v>247799.99999999997</v>
      </c>
      <c r="BM3" s="20">
        <f>IFERROR(EOMONTH(BJ3+60,-1)+1,"")</f>
        <v>46143</v>
      </c>
      <c r="BN3" s="21">
        <f>IFERROR(EOMONTH(EDATE(BM3,BD3),-2)+1,"")</f>
        <v>46419</v>
      </c>
      <c r="BO3" s="111">
        <f t="shared" ref="BO3:BO17" si="0">IFERROR(EOMONTH(BM3,-1)+1,"")</f>
        <v>46143</v>
      </c>
      <c r="BP3" s="112">
        <f t="shared" ref="BP3:BP17" si="1">IFERROR(EOMONTH(BN3,-1)+1,"")</f>
        <v>46419</v>
      </c>
      <c r="BR3" s="22">
        <f>IFERROR(IF(AND(BR$2&gt;=$BO3,BR$2&lt;=$BP3),$BB3/$BD3,0),0)</f>
        <v>0</v>
      </c>
      <c r="BS3" s="23">
        <f t="shared" ref="BS3:CC18" si="2">IFERROR(IF(AND(BS$2&gt;=$BO3,BS$2&lt;=$BP3),$BB3/$BD3,0),0)</f>
        <v>0</v>
      </c>
      <c r="BT3" s="23">
        <f t="shared" si="2"/>
        <v>0</v>
      </c>
      <c r="BU3" s="23">
        <f t="shared" si="2"/>
        <v>0</v>
      </c>
      <c r="BV3" s="23">
        <f>IFERROR(IF(AND(BV$2&gt;=$BO3,BV$2&lt;=$BP3),$BB3/$BD3,0),0)</f>
        <v>177000</v>
      </c>
      <c r="BW3" s="23">
        <f t="shared" si="2"/>
        <v>177000</v>
      </c>
      <c r="BX3" s="23">
        <f t="shared" si="2"/>
        <v>177000</v>
      </c>
      <c r="BY3" s="23">
        <f t="shared" si="2"/>
        <v>177000</v>
      </c>
      <c r="BZ3" s="23">
        <f t="shared" si="2"/>
        <v>177000</v>
      </c>
      <c r="CA3" s="23">
        <f t="shared" si="2"/>
        <v>177000</v>
      </c>
      <c r="CB3" s="23">
        <f t="shared" si="2"/>
        <v>177000</v>
      </c>
      <c r="CC3" s="24">
        <f>IFERROR(IF(AND(CC$2&gt;=$BO3,CC$2&lt;=$BP3),$BB3/$BD3,0),0)</f>
        <v>177000</v>
      </c>
      <c r="CD3" s="25">
        <f>SUM(BR3:CC3)</f>
        <v>1416000</v>
      </c>
      <c r="CF3" s="22">
        <f>IFERROR(IF(AND(CF$2&gt;=$BO3,CF$2&lt;=$BP3),$BK3/$BD3,0),0)</f>
        <v>0</v>
      </c>
      <c r="CG3" s="23">
        <f t="shared" ref="CG3:CQ18" si="3">IFERROR(IF(AND(CG$2&gt;=$BO3,CG$2&lt;=$BP3),$BK3/$BD3,0),0)</f>
        <v>0</v>
      </c>
      <c r="CH3" s="23">
        <f t="shared" si="3"/>
        <v>0</v>
      </c>
      <c r="CI3" s="23">
        <f t="shared" si="3"/>
        <v>0</v>
      </c>
      <c r="CJ3" s="23">
        <f t="shared" si="3"/>
        <v>61950</v>
      </c>
      <c r="CK3" s="23">
        <f t="shared" si="3"/>
        <v>61950</v>
      </c>
      <c r="CL3" s="23">
        <f t="shared" si="3"/>
        <v>61950</v>
      </c>
      <c r="CM3" s="23">
        <f t="shared" si="3"/>
        <v>61950</v>
      </c>
      <c r="CN3" s="23">
        <f t="shared" si="3"/>
        <v>61950</v>
      </c>
      <c r="CO3" s="23">
        <f t="shared" si="3"/>
        <v>61950</v>
      </c>
      <c r="CP3" s="23">
        <f t="shared" si="3"/>
        <v>61950</v>
      </c>
      <c r="CQ3" s="24">
        <f t="shared" si="3"/>
        <v>61950</v>
      </c>
      <c r="CR3" s="25">
        <f>SUM(CF3:CQ3)</f>
        <v>495600</v>
      </c>
      <c r="CT3" s="22">
        <f>IFERROR(IF(AND(CT$2&gt;=$BO3,CT$2&lt;=$BP3),$BC3/$BD3,0),0)</f>
        <v>0</v>
      </c>
      <c r="CU3" s="23">
        <f t="shared" ref="CU3:DE18" si="4">IFERROR(IF(AND(CU$2&gt;=$BO3,CU$2&lt;=$BP3),$BC3/$BD3,0),0)</f>
        <v>0</v>
      </c>
      <c r="CV3" s="23">
        <f t="shared" si="4"/>
        <v>0</v>
      </c>
      <c r="CW3" s="23">
        <f t="shared" si="4"/>
        <v>0</v>
      </c>
      <c r="CX3" s="23">
        <f t="shared" si="4"/>
        <v>70800</v>
      </c>
      <c r="CY3" s="23">
        <f t="shared" si="4"/>
        <v>70800</v>
      </c>
      <c r="CZ3" s="23">
        <f t="shared" si="4"/>
        <v>70800</v>
      </c>
      <c r="DA3" s="23">
        <f t="shared" si="4"/>
        <v>70800</v>
      </c>
      <c r="DB3" s="23">
        <f t="shared" si="4"/>
        <v>70800</v>
      </c>
      <c r="DC3" s="23">
        <f t="shared" si="4"/>
        <v>70800</v>
      </c>
      <c r="DD3" s="23">
        <f t="shared" si="4"/>
        <v>70800</v>
      </c>
      <c r="DE3" s="24">
        <f t="shared" si="4"/>
        <v>70800</v>
      </c>
      <c r="DF3" s="25">
        <f>SUM(CT3:DE3)</f>
        <v>566400</v>
      </c>
      <c r="DH3" s="22">
        <f>IFERROR(IF(AND(DH$2&gt;=$BO3,DH$2&lt;=$BP3),$BL3/$BD3,0),0)</f>
        <v>0</v>
      </c>
      <c r="DI3" s="23">
        <f t="shared" ref="DI3:DS18" si="5">IFERROR(IF(AND(DI$2&gt;=$BO3,DI$2&lt;=$BP3),$BL3/$BD3,0),0)</f>
        <v>0</v>
      </c>
      <c r="DJ3" s="23">
        <f t="shared" si="5"/>
        <v>0</v>
      </c>
      <c r="DK3" s="23">
        <f t="shared" si="5"/>
        <v>0</v>
      </c>
      <c r="DL3" s="23">
        <f t="shared" si="5"/>
        <v>24779.999999999996</v>
      </c>
      <c r="DM3" s="23">
        <f t="shared" si="5"/>
        <v>24779.999999999996</v>
      </c>
      <c r="DN3" s="23">
        <f t="shared" si="5"/>
        <v>24779.999999999996</v>
      </c>
      <c r="DO3" s="23">
        <f t="shared" si="5"/>
        <v>24779.999999999996</v>
      </c>
      <c r="DP3" s="23">
        <f t="shared" si="5"/>
        <v>24779.999999999996</v>
      </c>
      <c r="DQ3" s="23">
        <f t="shared" si="5"/>
        <v>24779.999999999996</v>
      </c>
      <c r="DR3" s="23">
        <f t="shared" si="5"/>
        <v>24779.999999999996</v>
      </c>
      <c r="DS3" s="24">
        <f t="shared" si="5"/>
        <v>24779.999999999996</v>
      </c>
      <c r="DT3" s="25">
        <f>SUM(DH3:DS3)</f>
        <v>198239.99999999997</v>
      </c>
    </row>
    <row r="4" spans="1:124" x14ac:dyDescent="0.2">
      <c r="A4">
        <f t="shared" ref="A4:A50" si="6">LEN(B4)</f>
        <v>17</v>
      </c>
      <c r="B4" s="49" t="str">
        <f>_xlfn.XLOOKUP(D4,Códigos_Propuestas!$B$4:$B$10,Códigos_Propuestas!$C$4:$C$10,"!",0,1)&amp;"__"&amp;
_xlfn.XLOOKUP(G4,Códigos_Propuestas!$E$4:$E$76,Códigos_Propuestas!$F$4:$F$76,"!",1)&amp;"__"&amp;
_xlfn.XLOOKUP(K4,Códigos_Propuestas!$I$4:$I$7,Códigos_Propuestas!$J$4:$J$7,"!",1)&amp;"__"&amp;
_xlfn.XLOOKUP(L4,Códigos_Propuestas!$O$4:$O$11,Códigos_Propuestas!$Q$4:$Q$11,"!",1)&amp;"__"&amp;
_xlfn.XLOOKUP(E4,Códigos_Propuestas!$BF:$BF,Códigos_Propuestas!$BH:$BH,"!",0,1)</f>
        <v>CH__MAL__OP__!__!</v>
      </c>
      <c r="C4" s="47">
        <f>+C3+1</f>
        <v>2</v>
      </c>
      <c r="D4" s="11" t="s">
        <v>32</v>
      </c>
      <c r="E4" s="12" t="s">
        <v>497</v>
      </c>
      <c r="F4" s="12"/>
      <c r="G4" s="13" t="s">
        <v>336</v>
      </c>
      <c r="H4" s="13"/>
      <c r="I4" s="13" t="s">
        <v>42</v>
      </c>
      <c r="J4" s="17" t="s">
        <v>44</v>
      </c>
      <c r="K4" s="13" t="s">
        <v>92</v>
      </c>
      <c r="L4" s="14"/>
      <c r="M4" s="14" t="str">
        <f>_xlfn.XLOOKUP(L4,Códigos_Propuestas!$O$4:$O$15,Códigos_Propuestas!$P$4:$P$15,"!",0,1)</f>
        <v>R+</v>
      </c>
      <c r="N4" s="14"/>
      <c r="O4" s="14"/>
      <c r="P4" s="14"/>
      <c r="Q4" s="14" t="s">
        <v>37</v>
      </c>
      <c r="R4" s="14" t="s">
        <v>66</v>
      </c>
      <c r="S4" s="14" t="s">
        <v>139</v>
      </c>
      <c r="T4" s="14"/>
      <c r="U4" s="13"/>
      <c r="V4" s="115">
        <v>46037</v>
      </c>
      <c r="W4" s="116">
        <f t="shared" ref="W4:W50" ca="1" si="7">IF(ISBLANK(V4),0,TODAY()-V4)</f>
        <v>172</v>
      </c>
      <c r="X4" s="13" t="str">
        <f t="shared" ref="X4:X50" ca="1" si="8">IF(W4&gt;=30,"!","")</f>
        <v>!</v>
      </c>
      <c r="Y4" s="14"/>
      <c r="Z4" s="115"/>
      <c r="AA4" s="130" t="b">
        <v>1</v>
      </c>
      <c r="AB4" s="115"/>
      <c r="AC4" s="130" t="b">
        <v>1</v>
      </c>
      <c r="AD4" s="115"/>
      <c r="AE4" s="130" t="b">
        <v>1</v>
      </c>
      <c r="AF4" s="13"/>
      <c r="AG4" s="13"/>
      <c r="AH4" s="130" t="b">
        <v>0</v>
      </c>
      <c r="AI4" s="13"/>
      <c r="AJ4" s="130" t="b">
        <v>0</v>
      </c>
      <c r="AK4" s="13"/>
      <c r="AL4" s="130" t="b">
        <v>0</v>
      </c>
      <c r="AM4" s="13"/>
      <c r="AN4" s="130" t="b">
        <v>0</v>
      </c>
      <c r="AO4" s="13"/>
      <c r="AP4" s="13"/>
      <c r="AQ4" s="130" t="b">
        <v>0</v>
      </c>
      <c r="AR4" s="130" t="b">
        <v>1</v>
      </c>
      <c r="AS4" s="130" t="b">
        <v>0</v>
      </c>
      <c r="AT4" s="130" t="b">
        <v>0</v>
      </c>
      <c r="AU4" s="130" t="b">
        <v>0</v>
      </c>
      <c r="AV4" s="11"/>
      <c r="AW4" s="11"/>
      <c r="AX4" s="11"/>
      <c r="AY4" s="11"/>
      <c r="AZ4" s="11"/>
      <c r="BA4" s="107"/>
      <c r="BB4" s="97">
        <v>250000</v>
      </c>
      <c r="BC4" s="97">
        <v>100000</v>
      </c>
      <c r="BD4" s="13">
        <v>3</v>
      </c>
      <c r="BE4" s="108">
        <v>0.4</v>
      </c>
      <c r="BF4" s="108">
        <v>0.5</v>
      </c>
      <c r="BG4" s="15">
        <f t="shared" ref="BG4:BG25" si="9">BE4*BF4</f>
        <v>0.2</v>
      </c>
      <c r="BH4" s="18"/>
      <c r="BI4" s="18"/>
      <c r="BJ4" s="16">
        <v>46095</v>
      </c>
      <c r="BK4" s="19">
        <f t="shared" ref="BK4:BK24" si="10">+BG4*BB4</f>
        <v>50000</v>
      </c>
      <c r="BL4" s="19">
        <f t="shared" ref="BL4:BL25" si="11">BC4*BG4</f>
        <v>20000</v>
      </c>
      <c r="BM4" s="20">
        <f t="shared" ref="BM4:BM17" si="12">IFERROR(EOMONTH(BJ4+60,-1)+1,"")</f>
        <v>46143</v>
      </c>
      <c r="BN4" s="21">
        <f t="shared" ref="BN4:BN17" si="13">IFERROR(EOMONTH(EDATE(BM4,BD4),-2)+1,"")</f>
        <v>46204</v>
      </c>
      <c r="BO4" s="111">
        <f t="shared" si="0"/>
        <v>46143</v>
      </c>
      <c r="BP4" s="112">
        <f t="shared" si="1"/>
        <v>46204</v>
      </c>
      <c r="BR4" s="27">
        <f t="shared" ref="BR4:CC19" si="14">IFERROR(IF(AND(BR$2&gt;=$BO4,BR$2&lt;=$BP4),$BB4/$BD4,0),0)</f>
        <v>0</v>
      </c>
      <c r="BS4" s="28">
        <f t="shared" si="2"/>
        <v>0</v>
      </c>
      <c r="BT4" s="28">
        <f t="shared" si="2"/>
        <v>0</v>
      </c>
      <c r="BU4" s="28">
        <f t="shared" si="2"/>
        <v>0</v>
      </c>
      <c r="BV4" s="28">
        <f t="shared" si="2"/>
        <v>83333.333333333328</v>
      </c>
      <c r="BW4" s="28">
        <f t="shared" si="2"/>
        <v>83333.333333333328</v>
      </c>
      <c r="BX4" s="28">
        <f t="shared" si="2"/>
        <v>83333.333333333328</v>
      </c>
      <c r="BY4" s="28">
        <f t="shared" si="2"/>
        <v>0</v>
      </c>
      <c r="BZ4" s="28">
        <f t="shared" si="2"/>
        <v>0</v>
      </c>
      <c r="CA4" s="28">
        <f t="shared" si="2"/>
        <v>0</v>
      </c>
      <c r="CB4" s="28">
        <f t="shared" si="2"/>
        <v>0</v>
      </c>
      <c r="CC4" s="29">
        <f t="shared" si="2"/>
        <v>0</v>
      </c>
      <c r="CD4" s="30">
        <f t="shared" ref="CD4:CD50" si="15">SUM(BR4:CC4)</f>
        <v>250000</v>
      </c>
      <c r="CF4" s="27">
        <f t="shared" ref="CF4:CQ19" si="16">IFERROR(IF(AND(CF$2&gt;=$BO4,CF$2&lt;=$BP4),$BK4/$BD4,0),0)</f>
        <v>0</v>
      </c>
      <c r="CG4" s="28">
        <f t="shared" si="3"/>
        <v>0</v>
      </c>
      <c r="CH4" s="28">
        <f>IFERROR(IF(AND(CH$2&gt;=$BO4,CH$2&lt;=$BP4),$BK4/$BD4,0),0)</f>
        <v>0</v>
      </c>
      <c r="CI4" s="28">
        <f t="shared" si="3"/>
        <v>0</v>
      </c>
      <c r="CJ4" s="28">
        <f t="shared" si="3"/>
        <v>16666.666666666668</v>
      </c>
      <c r="CK4" s="28">
        <f t="shared" si="3"/>
        <v>16666.666666666668</v>
      </c>
      <c r="CL4" s="28">
        <f t="shared" si="3"/>
        <v>16666.666666666668</v>
      </c>
      <c r="CM4" s="28">
        <f t="shared" si="3"/>
        <v>0</v>
      </c>
      <c r="CN4" s="28">
        <f t="shared" si="3"/>
        <v>0</v>
      </c>
      <c r="CO4" s="28">
        <f t="shared" si="3"/>
        <v>0</v>
      </c>
      <c r="CP4" s="28">
        <f t="shared" si="3"/>
        <v>0</v>
      </c>
      <c r="CQ4" s="29">
        <f t="shared" si="3"/>
        <v>0</v>
      </c>
      <c r="CR4" s="30">
        <f t="shared" ref="CR4:CR50" si="17">SUM(CF4:CQ4)</f>
        <v>50000</v>
      </c>
      <c r="CT4" s="27">
        <f t="shared" ref="CT4:DE19" si="18">IFERROR(IF(AND(CT$2&gt;=$BO4,CT$2&lt;=$BP4),$BC4/$BD4,0),0)</f>
        <v>0</v>
      </c>
      <c r="CU4" s="28">
        <f t="shared" si="4"/>
        <v>0</v>
      </c>
      <c r="CV4" s="28">
        <f t="shared" si="4"/>
        <v>0</v>
      </c>
      <c r="CW4" s="28">
        <f t="shared" si="4"/>
        <v>0</v>
      </c>
      <c r="CX4" s="28">
        <f t="shared" si="4"/>
        <v>33333.333333333336</v>
      </c>
      <c r="CY4" s="28">
        <f t="shared" si="4"/>
        <v>33333.333333333336</v>
      </c>
      <c r="CZ4" s="28">
        <f t="shared" si="4"/>
        <v>33333.333333333336</v>
      </c>
      <c r="DA4" s="28">
        <f t="shared" si="4"/>
        <v>0</v>
      </c>
      <c r="DB4" s="28">
        <f t="shared" si="4"/>
        <v>0</v>
      </c>
      <c r="DC4" s="28">
        <f t="shared" si="4"/>
        <v>0</v>
      </c>
      <c r="DD4" s="28">
        <f t="shared" si="4"/>
        <v>0</v>
      </c>
      <c r="DE4" s="29">
        <f t="shared" si="4"/>
        <v>0</v>
      </c>
      <c r="DF4" s="30">
        <f t="shared" ref="DF4:DF50" si="19">SUM(CT4:DE4)</f>
        <v>100000</v>
      </c>
      <c r="DH4" s="27">
        <f t="shared" ref="DH4:DS19" si="20">IFERROR(IF(AND(DH$2&gt;=$BO4,DH$2&lt;=$BP4),$BL4/$BD4,0),0)</f>
        <v>0</v>
      </c>
      <c r="DI4" s="28">
        <f t="shared" si="5"/>
        <v>0</v>
      </c>
      <c r="DJ4" s="28">
        <f t="shared" si="5"/>
        <v>0</v>
      </c>
      <c r="DK4" s="28">
        <f t="shared" si="5"/>
        <v>0</v>
      </c>
      <c r="DL4" s="28">
        <f t="shared" si="5"/>
        <v>6666.666666666667</v>
      </c>
      <c r="DM4" s="28">
        <f t="shared" si="5"/>
        <v>6666.666666666667</v>
      </c>
      <c r="DN4" s="28">
        <f t="shared" si="5"/>
        <v>6666.666666666667</v>
      </c>
      <c r="DO4" s="28">
        <f t="shared" si="5"/>
        <v>0</v>
      </c>
      <c r="DP4" s="28">
        <f t="shared" si="5"/>
        <v>0</v>
      </c>
      <c r="DQ4" s="28">
        <f t="shared" si="5"/>
        <v>0</v>
      </c>
      <c r="DR4" s="28">
        <f t="shared" si="5"/>
        <v>0</v>
      </c>
      <c r="DS4" s="29">
        <f t="shared" si="5"/>
        <v>0</v>
      </c>
      <c r="DT4" s="30">
        <f t="shared" ref="DT4:DT50" si="21">SUM(DH4:DS4)</f>
        <v>20000</v>
      </c>
    </row>
    <row r="5" spans="1:124" x14ac:dyDescent="0.2">
      <c r="A5">
        <f t="shared" si="6"/>
        <v>17</v>
      </c>
      <c r="B5" s="49" t="str">
        <f>_xlfn.XLOOKUP(D5,Códigos_Propuestas!$B$4:$B$10,Códigos_Propuestas!$C$4:$C$10,"!",0,1)&amp;"__"&amp;
_xlfn.XLOOKUP(G5,Códigos_Propuestas!$E$4:$E$76,Códigos_Propuestas!$F$4:$F$76,"!",1)&amp;"__"&amp;
_xlfn.XLOOKUP(K5,Códigos_Propuestas!$I$4:$I$7,Códigos_Propuestas!$J$4:$J$7,"!",1)&amp;"__"&amp;
_xlfn.XLOOKUP(L5,Códigos_Propuestas!$O$4:$O$11,Códigos_Propuestas!$Q$4:$Q$11,"!",1)&amp;"__"&amp;
_xlfn.XLOOKUP(E5,Códigos_Propuestas!$BF:$BF,Códigos_Propuestas!$BH:$BH,"!",0,1)</f>
        <v>CH__ECR__OP__!__!</v>
      </c>
      <c r="C5" s="47">
        <f t="shared" ref="C5:C23" si="22">+C4+1</f>
        <v>3</v>
      </c>
      <c r="D5" s="11" t="s">
        <v>32</v>
      </c>
      <c r="E5" s="12" t="s">
        <v>498</v>
      </c>
      <c r="F5" s="12"/>
      <c r="G5" s="13" t="s">
        <v>339</v>
      </c>
      <c r="H5" s="13"/>
      <c r="I5" s="13" t="s">
        <v>70</v>
      </c>
      <c r="J5" s="17" t="s">
        <v>44</v>
      </c>
      <c r="K5" s="13" t="s">
        <v>92</v>
      </c>
      <c r="L5" s="14"/>
      <c r="M5" s="14" t="str">
        <f>_xlfn.XLOOKUP(L5,Códigos_Propuestas!$O$4:$O$15,Códigos_Propuestas!$P$4:$P$15,"!",0,1)</f>
        <v>R+</v>
      </c>
      <c r="N5" s="14"/>
      <c r="O5" s="14" t="s">
        <v>103</v>
      </c>
      <c r="P5" s="14" t="s">
        <v>79</v>
      </c>
      <c r="Q5" s="14" t="s">
        <v>37</v>
      </c>
      <c r="R5" s="14"/>
      <c r="S5" s="14"/>
      <c r="T5" s="14"/>
      <c r="U5" s="13"/>
      <c r="V5" s="115">
        <v>46027</v>
      </c>
      <c r="W5" s="116">
        <f t="shared" ca="1" si="7"/>
        <v>182</v>
      </c>
      <c r="X5" s="13" t="str">
        <f t="shared" ca="1" si="8"/>
        <v>!</v>
      </c>
      <c r="Y5" s="14"/>
      <c r="Z5" s="115"/>
      <c r="AA5" s="130" t="b">
        <v>1</v>
      </c>
      <c r="AB5" s="115"/>
      <c r="AC5" s="130" t="b">
        <v>1</v>
      </c>
      <c r="AD5" s="115"/>
      <c r="AE5" s="130" t="b">
        <v>1</v>
      </c>
      <c r="AF5" s="13"/>
      <c r="AG5" s="13"/>
      <c r="AH5" s="130" t="b">
        <v>0</v>
      </c>
      <c r="AI5" s="13"/>
      <c r="AJ5" s="130" t="b">
        <v>0</v>
      </c>
      <c r="AK5" s="13"/>
      <c r="AL5" s="130" t="b">
        <v>0</v>
      </c>
      <c r="AM5" s="13"/>
      <c r="AN5" s="130" t="b">
        <v>0</v>
      </c>
      <c r="AO5" s="13"/>
      <c r="AP5" s="13"/>
      <c r="AQ5" s="130" t="b">
        <v>0</v>
      </c>
      <c r="AR5" s="130" t="b">
        <v>0</v>
      </c>
      <c r="AS5" s="130" t="b">
        <v>0</v>
      </c>
      <c r="AT5" s="130" t="b">
        <v>0</v>
      </c>
      <c r="AU5" s="130" t="b">
        <v>0</v>
      </c>
      <c r="AV5" s="11"/>
      <c r="AW5" s="11"/>
      <c r="AX5" s="11"/>
      <c r="AY5" s="11"/>
      <c r="AZ5" s="11"/>
      <c r="BA5" s="107"/>
      <c r="BB5" s="97">
        <v>423134</v>
      </c>
      <c r="BC5" s="97">
        <v>265249</v>
      </c>
      <c r="BD5" s="13">
        <v>3</v>
      </c>
      <c r="BE5" s="108">
        <v>0.95</v>
      </c>
      <c r="BF5" s="108">
        <v>0</v>
      </c>
      <c r="BG5" s="15">
        <f t="shared" si="9"/>
        <v>0</v>
      </c>
      <c r="BH5" s="18"/>
      <c r="BI5" s="18"/>
      <c r="BJ5" s="16">
        <v>46046</v>
      </c>
      <c r="BK5" s="19">
        <f t="shared" si="10"/>
        <v>0</v>
      </c>
      <c r="BL5" s="19">
        <f t="shared" si="11"/>
        <v>0</v>
      </c>
      <c r="BM5" s="20">
        <f t="shared" si="12"/>
        <v>46082</v>
      </c>
      <c r="BN5" s="21">
        <f t="shared" si="13"/>
        <v>46143</v>
      </c>
      <c r="BO5" s="111">
        <f t="shared" si="0"/>
        <v>46082</v>
      </c>
      <c r="BP5" s="112">
        <f t="shared" si="1"/>
        <v>46143</v>
      </c>
      <c r="BR5" s="27">
        <f t="shared" si="14"/>
        <v>0</v>
      </c>
      <c r="BS5" s="28">
        <f t="shared" si="2"/>
        <v>0</v>
      </c>
      <c r="BT5" s="28">
        <f>IFERROR(IF(AND(BT$2&gt;=$BO5,BT$2&lt;=$BP5),$BB5/$BD5,0),0)</f>
        <v>141044.66666666666</v>
      </c>
      <c r="BU5" s="28">
        <f t="shared" si="2"/>
        <v>141044.66666666666</v>
      </c>
      <c r="BV5" s="28">
        <f t="shared" si="2"/>
        <v>141044.66666666666</v>
      </c>
      <c r="BW5" s="28">
        <f t="shared" si="2"/>
        <v>0</v>
      </c>
      <c r="BX5" s="28">
        <f t="shared" si="2"/>
        <v>0</v>
      </c>
      <c r="BY5" s="28">
        <f t="shared" si="2"/>
        <v>0</v>
      </c>
      <c r="BZ5" s="28">
        <f t="shared" si="2"/>
        <v>0</v>
      </c>
      <c r="CA5" s="28">
        <f t="shared" si="2"/>
        <v>0</v>
      </c>
      <c r="CB5" s="28">
        <f t="shared" si="2"/>
        <v>0</v>
      </c>
      <c r="CC5" s="29">
        <f t="shared" si="2"/>
        <v>0</v>
      </c>
      <c r="CD5" s="30">
        <f t="shared" si="15"/>
        <v>423134</v>
      </c>
      <c r="CF5" s="27">
        <f t="shared" si="16"/>
        <v>0</v>
      </c>
      <c r="CG5" s="28">
        <f t="shared" si="3"/>
        <v>0</v>
      </c>
      <c r="CH5" s="28">
        <f t="shared" si="3"/>
        <v>0</v>
      </c>
      <c r="CI5" s="28">
        <f t="shared" si="3"/>
        <v>0</v>
      </c>
      <c r="CJ5" s="28">
        <f t="shared" si="3"/>
        <v>0</v>
      </c>
      <c r="CK5" s="28">
        <f t="shared" si="3"/>
        <v>0</v>
      </c>
      <c r="CL5" s="28">
        <f t="shared" si="3"/>
        <v>0</v>
      </c>
      <c r="CM5" s="28">
        <f t="shared" si="3"/>
        <v>0</v>
      </c>
      <c r="CN5" s="28">
        <f t="shared" si="3"/>
        <v>0</v>
      </c>
      <c r="CO5" s="28">
        <f t="shared" si="3"/>
        <v>0</v>
      </c>
      <c r="CP5" s="28">
        <f t="shared" si="3"/>
        <v>0</v>
      </c>
      <c r="CQ5" s="29">
        <f t="shared" si="3"/>
        <v>0</v>
      </c>
      <c r="CR5" s="30">
        <f t="shared" si="17"/>
        <v>0</v>
      </c>
      <c r="CT5" s="27">
        <f t="shared" si="18"/>
        <v>0</v>
      </c>
      <c r="CU5" s="28">
        <f t="shared" si="4"/>
        <v>0</v>
      </c>
      <c r="CV5" s="28">
        <f t="shared" si="4"/>
        <v>88416.333333333328</v>
      </c>
      <c r="CW5" s="28">
        <f t="shared" si="4"/>
        <v>88416.333333333328</v>
      </c>
      <c r="CX5" s="28">
        <f t="shared" si="4"/>
        <v>88416.333333333328</v>
      </c>
      <c r="CY5" s="28">
        <f t="shared" si="4"/>
        <v>0</v>
      </c>
      <c r="CZ5" s="28">
        <f t="shared" si="4"/>
        <v>0</v>
      </c>
      <c r="DA5" s="28">
        <f t="shared" si="4"/>
        <v>0</v>
      </c>
      <c r="DB5" s="28">
        <f t="shared" si="4"/>
        <v>0</v>
      </c>
      <c r="DC5" s="28">
        <f t="shared" si="4"/>
        <v>0</v>
      </c>
      <c r="DD5" s="28">
        <f t="shared" si="4"/>
        <v>0</v>
      </c>
      <c r="DE5" s="29">
        <f t="shared" si="4"/>
        <v>0</v>
      </c>
      <c r="DF5" s="30">
        <f t="shared" si="19"/>
        <v>265249</v>
      </c>
      <c r="DH5" s="27">
        <f t="shared" si="20"/>
        <v>0</v>
      </c>
      <c r="DI5" s="28">
        <f t="shared" si="5"/>
        <v>0</v>
      </c>
      <c r="DJ5" s="28">
        <f t="shared" si="5"/>
        <v>0</v>
      </c>
      <c r="DK5" s="28">
        <f t="shared" si="5"/>
        <v>0</v>
      </c>
      <c r="DL5" s="28">
        <f t="shared" si="5"/>
        <v>0</v>
      </c>
      <c r="DM5" s="28">
        <f t="shared" si="5"/>
        <v>0</v>
      </c>
      <c r="DN5" s="28">
        <f t="shared" si="5"/>
        <v>0</v>
      </c>
      <c r="DO5" s="28">
        <f t="shared" si="5"/>
        <v>0</v>
      </c>
      <c r="DP5" s="28">
        <f t="shared" si="5"/>
        <v>0</v>
      </c>
      <c r="DQ5" s="28">
        <f t="shared" si="5"/>
        <v>0</v>
      </c>
      <c r="DR5" s="28">
        <f t="shared" si="5"/>
        <v>0</v>
      </c>
      <c r="DS5" s="29">
        <f t="shared" si="5"/>
        <v>0</v>
      </c>
      <c r="DT5" s="30">
        <f t="shared" si="21"/>
        <v>0</v>
      </c>
    </row>
    <row r="6" spans="1:124" x14ac:dyDescent="0.2">
      <c r="A6">
        <f t="shared" si="6"/>
        <v>17</v>
      </c>
      <c r="B6" s="49" t="str">
        <f>_xlfn.XLOOKUP(D6,Códigos_Propuestas!$B$4:$B$10,Códigos_Propuestas!$C$4:$C$10,"!",0,1)&amp;"__"&amp;
_xlfn.XLOOKUP(G6,Códigos_Propuestas!$E$4:$E$76,Códigos_Propuestas!$F$4:$F$76,"!",1)&amp;"__"&amp;
_xlfn.XLOOKUP(K6,Códigos_Propuestas!$I$4:$I$7,Códigos_Propuestas!$J$4:$J$7,"!",1)&amp;"__"&amp;
_xlfn.XLOOKUP(L6,Códigos_Propuestas!$O$4:$O$11,Códigos_Propuestas!$Q$4:$Q$11,"!",1)&amp;"__"&amp;
_xlfn.XLOOKUP(E6,Códigos_Propuestas!$BF:$BF,Códigos_Propuestas!$BH:$BH,"!",0,1)</f>
        <v>PE__MMG__UG__!__!</v>
      </c>
      <c r="C6" s="47">
        <f t="shared" si="22"/>
        <v>4</v>
      </c>
      <c r="D6" s="11" t="s">
        <v>62</v>
      </c>
      <c r="E6" s="12" t="s">
        <v>499</v>
      </c>
      <c r="F6" s="12"/>
      <c r="G6" s="13" t="s">
        <v>213</v>
      </c>
      <c r="H6" s="13" t="s">
        <v>500</v>
      </c>
      <c r="I6" s="13" t="s">
        <v>42</v>
      </c>
      <c r="J6" s="17" t="s">
        <v>44</v>
      </c>
      <c r="K6" s="13" t="s">
        <v>65</v>
      </c>
      <c r="L6" s="14"/>
      <c r="M6" s="14" t="str">
        <f>_xlfn.XLOOKUP(L6,Códigos_Propuestas!$O$4:$O$15,Códigos_Propuestas!$P$4:$P$15,"!",0,1)</f>
        <v>R+</v>
      </c>
      <c r="N6" s="14"/>
      <c r="O6" s="14"/>
      <c r="P6" s="14"/>
      <c r="Q6" s="14" t="s">
        <v>37</v>
      </c>
      <c r="R6" s="14" t="s">
        <v>118</v>
      </c>
      <c r="S6" s="14"/>
      <c r="T6" s="14"/>
      <c r="U6" s="13"/>
      <c r="V6" s="115"/>
      <c r="W6" s="116">
        <f t="shared" ca="1" si="7"/>
        <v>0</v>
      </c>
      <c r="X6" s="13" t="str">
        <f t="shared" ca="1" si="8"/>
        <v/>
      </c>
      <c r="Y6" s="14"/>
      <c r="Z6" s="115"/>
      <c r="AA6" s="130" t="b">
        <v>0</v>
      </c>
      <c r="AB6" s="115"/>
      <c r="AC6" s="130" t="b">
        <v>0</v>
      </c>
      <c r="AD6" s="115"/>
      <c r="AE6" s="130" t="b">
        <v>0</v>
      </c>
      <c r="AF6" s="13"/>
      <c r="AG6" s="13"/>
      <c r="AH6" s="130" t="b">
        <v>0</v>
      </c>
      <c r="AI6" s="13"/>
      <c r="AJ6" s="130" t="b">
        <v>0</v>
      </c>
      <c r="AK6" s="13"/>
      <c r="AL6" s="130" t="b">
        <v>0</v>
      </c>
      <c r="AM6" s="13"/>
      <c r="AN6" s="130" t="b">
        <v>0</v>
      </c>
      <c r="AO6" s="13"/>
      <c r="AP6" s="13"/>
      <c r="AQ6" s="130" t="b">
        <v>0</v>
      </c>
      <c r="AR6" s="130" t="b">
        <v>0</v>
      </c>
      <c r="AS6" s="130" t="b">
        <v>0</v>
      </c>
      <c r="AT6" s="130" t="b">
        <v>0</v>
      </c>
      <c r="AU6" s="130" t="b">
        <v>0</v>
      </c>
      <c r="AV6" s="11"/>
      <c r="AW6" s="11"/>
      <c r="AX6" s="11"/>
      <c r="AY6" s="11"/>
      <c r="AZ6" s="11"/>
      <c r="BA6" s="107"/>
      <c r="BB6" s="97">
        <v>400000</v>
      </c>
      <c r="BC6" s="97">
        <v>140000</v>
      </c>
      <c r="BD6" s="13">
        <v>8</v>
      </c>
      <c r="BE6" s="108">
        <v>0.5</v>
      </c>
      <c r="BF6" s="108">
        <v>0.4</v>
      </c>
      <c r="BG6" s="15">
        <f t="shared" si="9"/>
        <v>0.2</v>
      </c>
      <c r="BH6" s="18"/>
      <c r="BI6" s="18"/>
      <c r="BJ6" s="16">
        <v>46327</v>
      </c>
      <c r="BK6" s="19">
        <f t="shared" si="10"/>
        <v>80000</v>
      </c>
      <c r="BL6" s="19">
        <f t="shared" si="11"/>
        <v>28000</v>
      </c>
      <c r="BM6" s="20">
        <f t="shared" si="12"/>
        <v>46357</v>
      </c>
      <c r="BN6" s="21">
        <f t="shared" si="13"/>
        <v>46569</v>
      </c>
      <c r="BO6" s="111">
        <f t="shared" si="0"/>
        <v>46357</v>
      </c>
      <c r="BP6" s="112">
        <f t="shared" si="1"/>
        <v>46569</v>
      </c>
      <c r="BR6" s="27">
        <f t="shared" si="14"/>
        <v>0</v>
      </c>
      <c r="BS6" s="28">
        <f t="shared" si="2"/>
        <v>0</v>
      </c>
      <c r="BT6" s="28">
        <f t="shared" si="2"/>
        <v>0</v>
      </c>
      <c r="BU6" s="28">
        <f t="shared" si="2"/>
        <v>0</v>
      </c>
      <c r="BV6" s="28">
        <f t="shared" si="2"/>
        <v>0</v>
      </c>
      <c r="BW6" s="28">
        <f t="shared" si="2"/>
        <v>0</v>
      </c>
      <c r="BX6" s="28">
        <f t="shared" si="2"/>
        <v>0</v>
      </c>
      <c r="BY6" s="28">
        <f t="shared" si="2"/>
        <v>0</v>
      </c>
      <c r="BZ6" s="28">
        <f t="shared" si="2"/>
        <v>0</v>
      </c>
      <c r="CA6" s="28">
        <f t="shared" si="2"/>
        <v>0</v>
      </c>
      <c r="CB6" s="28">
        <f t="shared" si="2"/>
        <v>0</v>
      </c>
      <c r="CC6" s="29">
        <f t="shared" si="2"/>
        <v>50000</v>
      </c>
      <c r="CD6" s="30">
        <f t="shared" si="15"/>
        <v>50000</v>
      </c>
      <c r="CF6" s="27">
        <f t="shared" si="16"/>
        <v>0</v>
      </c>
      <c r="CG6" s="28">
        <f t="shared" si="3"/>
        <v>0</v>
      </c>
      <c r="CH6" s="28">
        <f t="shared" si="3"/>
        <v>0</v>
      </c>
      <c r="CI6" s="28">
        <f t="shared" si="3"/>
        <v>0</v>
      </c>
      <c r="CJ6" s="28">
        <f t="shared" si="3"/>
        <v>0</v>
      </c>
      <c r="CK6" s="28">
        <f t="shared" si="3"/>
        <v>0</v>
      </c>
      <c r="CL6" s="28">
        <f t="shared" si="3"/>
        <v>0</v>
      </c>
      <c r="CM6" s="28">
        <f t="shared" si="3"/>
        <v>0</v>
      </c>
      <c r="CN6" s="28">
        <f t="shared" si="3"/>
        <v>0</v>
      </c>
      <c r="CO6" s="28">
        <f t="shared" si="3"/>
        <v>0</v>
      </c>
      <c r="CP6" s="28">
        <f t="shared" si="3"/>
        <v>0</v>
      </c>
      <c r="CQ6" s="29">
        <f t="shared" si="3"/>
        <v>10000</v>
      </c>
      <c r="CR6" s="30">
        <f t="shared" si="17"/>
        <v>10000</v>
      </c>
      <c r="CT6" s="27">
        <f t="shared" si="18"/>
        <v>0</v>
      </c>
      <c r="CU6" s="28">
        <f t="shared" si="4"/>
        <v>0</v>
      </c>
      <c r="CV6" s="28">
        <f t="shared" si="4"/>
        <v>0</v>
      </c>
      <c r="CW6" s="28">
        <f t="shared" si="4"/>
        <v>0</v>
      </c>
      <c r="CX6" s="28">
        <f t="shared" si="4"/>
        <v>0</v>
      </c>
      <c r="CY6" s="28">
        <f t="shared" si="4"/>
        <v>0</v>
      </c>
      <c r="CZ6" s="28">
        <f t="shared" si="4"/>
        <v>0</v>
      </c>
      <c r="DA6" s="28">
        <f t="shared" si="4"/>
        <v>0</v>
      </c>
      <c r="DB6" s="28">
        <f t="shared" si="4"/>
        <v>0</v>
      </c>
      <c r="DC6" s="28">
        <f t="shared" si="4"/>
        <v>0</v>
      </c>
      <c r="DD6" s="28">
        <f t="shared" si="4"/>
        <v>0</v>
      </c>
      <c r="DE6" s="29">
        <f t="shared" si="4"/>
        <v>17500</v>
      </c>
      <c r="DF6" s="30">
        <f t="shared" si="19"/>
        <v>17500</v>
      </c>
      <c r="DH6" s="27">
        <f t="shared" si="20"/>
        <v>0</v>
      </c>
      <c r="DI6" s="28">
        <f t="shared" si="5"/>
        <v>0</v>
      </c>
      <c r="DJ6" s="28">
        <f t="shared" si="5"/>
        <v>0</v>
      </c>
      <c r="DK6" s="28">
        <f t="shared" si="5"/>
        <v>0</v>
      </c>
      <c r="DL6" s="28">
        <f t="shared" si="5"/>
        <v>0</v>
      </c>
      <c r="DM6" s="28">
        <f t="shared" si="5"/>
        <v>0</v>
      </c>
      <c r="DN6" s="28">
        <f t="shared" si="5"/>
        <v>0</v>
      </c>
      <c r="DO6" s="28">
        <f t="shared" si="5"/>
        <v>0</v>
      </c>
      <c r="DP6" s="28">
        <f t="shared" si="5"/>
        <v>0</v>
      </c>
      <c r="DQ6" s="28">
        <f t="shared" si="5"/>
        <v>0</v>
      </c>
      <c r="DR6" s="28">
        <f t="shared" si="5"/>
        <v>0</v>
      </c>
      <c r="DS6" s="29">
        <f t="shared" si="5"/>
        <v>3500</v>
      </c>
      <c r="DT6" s="30">
        <f t="shared" si="21"/>
        <v>3500</v>
      </c>
    </row>
    <row r="7" spans="1:124" x14ac:dyDescent="0.2">
      <c r="A7">
        <f t="shared" si="6"/>
        <v>14</v>
      </c>
      <c r="B7" s="49" t="str">
        <f>_xlfn.XLOOKUP(D7,Códigos_Propuestas!$B$4:$B$10,Códigos_Propuestas!$C$4:$C$10,"!",0,1)&amp;"__"&amp;
_xlfn.XLOOKUP(G7,Códigos_Propuestas!$E$4:$E$76,Códigos_Propuestas!$F$4:$F$76,"!",1)&amp;"__"&amp;
_xlfn.XLOOKUP(K7,Códigos_Propuestas!$I$4:$I$7,Códigos_Propuestas!$J$4:$J$7,"!",1)&amp;"__"&amp;
_xlfn.XLOOKUP(L7,Códigos_Propuestas!$O$4:$O$11,Códigos_Propuestas!$Q$4:$Q$11,"!",1)&amp;"__"&amp;
_xlfn.XLOOKUP(E7,Códigos_Propuestas!$BF:$BF,Códigos_Propuestas!$BH:$BH,"!",0,1)</f>
        <v>BR__!__!__!__!</v>
      </c>
      <c r="C7" s="47">
        <f t="shared" si="22"/>
        <v>5</v>
      </c>
      <c r="D7" s="11" t="s">
        <v>88</v>
      </c>
      <c r="E7" s="12" t="s">
        <v>348</v>
      </c>
      <c r="F7" s="12"/>
      <c r="G7" s="13"/>
      <c r="H7" s="13"/>
      <c r="I7" s="13" t="s">
        <v>42</v>
      </c>
      <c r="J7" s="17"/>
      <c r="K7" s="13"/>
      <c r="L7" s="14"/>
      <c r="M7" s="14" t="str">
        <f>_xlfn.XLOOKUP(L7,Códigos_Propuestas!$O$4:$O$15,Códigos_Propuestas!$P$4:$P$15,"!",0,1)</f>
        <v>R+</v>
      </c>
      <c r="N7" s="14"/>
      <c r="O7" s="14"/>
      <c r="P7" s="14"/>
      <c r="Q7" s="14"/>
      <c r="R7" s="14"/>
      <c r="S7" s="14"/>
      <c r="T7" s="14"/>
      <c r="U7" s="13"/>
      <c r="V7" s="115"/>
      <c r="W7" s="116">
        <f t="shared" ca="1" si="7"/>
        <v>0</v>
      </c>
      <c r="X7" s="13" t="str">
        <f t="shared" ca="1" si="8"/>
        <v/>
      </c>
      <c r="Y7" s="14"/>
      <c r="Z7" s="115"/>
      <c r="AA7" s="130" t="b">
        <v>0</v>
      </c>
      <c r="AB7" s="115"/>
      <c r="AC7" s="130" t="b">
        <v>0</v>
      </c>
      <c r="AD7" s="115"/>
      <c r="AE7" s="130" t="b">
        <v>0</v>
      </c>
      <c r="AF7" s="13"/>
      <c r="AG7" s="13"/>
      <c r="AH7" s="130" t="b">
        <v>0</v>
      </c>
      <c r="AI7" s="13"/>
      <c r="AJ7" s="130" t="b">
        <v>0</v>
      </c>
      <c r="AK7" s="13"/>
      <c r="AL7" s="130" t="b">
        <v>0</v>
      </c>
      <c r="AM7" s="13"/>
      <c r="AN7" s="130" t="b">
        <v>0</v>
      </c>
      <c r="AO7" s="13"/>
      <c r="AP7" s="13"/>
      <c r="AQ7" s="130" t="b">
        <v>0</v>
      </c>
      <c r="AR7" s="130" t="b">
        <v>0</v>
      </c>
      <c r="AS7" s="130" t="b">
        <v>0</v>
      </c>
      <c r="AT7" s="130" t="b">
        <v>0</v>
      </c>
      <c r="AU7" s="130" t="b">
        <v>0</v>
      </c>
      <c r="AV7" s="11"/>
      <c r="AW7" s="11"/>
      <c r="AX7" s="11"/>
      <c r="AY7" s="11"/>
      <c r="AZ7" s="11"/>
      <c r="BA7" s="107"/>
      <c r="BB7" s="97">
        <v>1500000</v>
      </c>
      <c r="BC7" s="97">
        <v>600000</v>
      </c>
      <c r="BD7" s="13">
        <v>8</v>
      </c>
      <c r="BE7" s="108">
        <v>0.5</v>
      </c>
      <c r="BF7" s="108">
        <v>0.8</v>
      </c>
      <c r="BG7" s="15">
        <f t="shared" si="9"/>
        <v>0.4</v>
      </c>
      <c r="BH7" s="18"/>
      <c r="BI7" s="18"/>
      <c r="BJ7" s="16">
        <v>46082</v>
      </c>
      <c r="BK7" s="19">
        <f t="shared" si="10"/>
        <v>600000</v>
      </c>
      <c r="BL7" s="19">
        <f t="shared" si="11"/>
        <v>240000</v>
      </c>
      <c r="BM7" s="20">
        <f t="shared" si="12"/>
        <v>46113</v>
      </c>
      <c r="BN7" s="21">
        <f t="shared" si="13"/>
        <v>46327</v>
      </c>
      <c r="BO7" s="111">
        <f t="shared" si="0"/>
        <v>46113</v>
      </c>
      <c r="BP7" s="112">
        <f t="shared" si="1"/>
        <v>46327</v>
      </c>
      <c r="BR7" s="27">
        <f t="shared" si="14"/>
        <v>0</v>
      </c>
      <c r="BS7" s="28">
        <f t="shared" si="2"/>
        <v>0</v>
      </c>
      <c r="BT7" s="28">
        <f t="shared" si="2"/>
        <v>0</v>
      </c>
      <c r="BU7" s="28">
        <f t="shared" si="2"/>
        <v>187500</v>
      </c>
      <c r="BV7" s="28">
        <f>IFERROR(IF(AND(BV$2&gt;=$BO7,BV$2&lt;=$BP7),$BB7/$BD7,0),0)</f>
        <v>187500</v>
      </c>
      <c r="BW7" s="28">
        <f t="shared" si="2"/>
        <v>187500</v>
      </c>
      <c r="BX7" s="28">
        <f t="shared" si="2"/>
        <v>187500</v>
      </c>
      <c r="BY7" s="28">
        <f t="shared" si="2"/>
        <v>187500</v>
      </c>
      <c r="BZ7" s="28">
        <f t="shared" si="2"/>
        <v>187500</v>
      </c>
      <c r="CA7" s="28">
        <f t="shared" si="2"/>
        <v>187500</v>
      </c>
      <c r="CB7" s="28">
        <f t="shared" si="2"/>
        <v>187500</v>
      </c>
      <c r="CC7" s="29">
        <f t="shared" si="2"/>
        <v>0</v>
      </c>
      <c r="CD7" s="30">
        <f t="shared" si="15"/>
        <v>1500000</v>
      </c>
      <c r="CF7" s="27">
        <f t="shared" si="16"/>
        <v>0</v>
      </c>
      <c r="CG7" s="28">
        <f t="shared" si="3"/>
        <v>0</v>
      </c>
      <c r="CH7" s="28">
        <f t="shared" si="3"/>
        <v>0</v>
      </c>
      <c r="CI7" s="28">
        <f t="shared" si="3"/>
        <v>75000</v>
      </c>
      <c r="CJ7" s="28">
        <f t="shared" si="3"/>
        <v>75000</v>
      </c>
      <c r="CK7" s="28">
        <f t="shared" si="3"/>
        <v>75000</v>
      </c>
      <c r="CL7" s="28">
        <f t="shared" si="3"/>
        <v>75000</v>
      </c>
      <c r="CM7" s="28">
        <f t="shared" si="3"/>
        <v>75000</v>
      </c>
      <c r="CN7" s="28">
        <f t="shared" si="3"/>
        <v>75000</v>
      </c>
      <c r="CO7" s="28">
        <f t="shared" si="3"/>
        <v>75000</v>
      </c>
      <c r="CP7" s="28">
        <f t="shared" si="3"/>
        <v>75000</v>
      </c>
      <c r="CQ7" s="29">
        <f t="shared" si="3"/>
        <v>0</v>
      </c>
      <c r="CR7" s="30">
        <f t="shared" si="17"/>
        <v>600000</v>
      </c>
      <c r="CT7" s="27">
        <f t="shared" si="18"/>
        <v>0</v>
      </c>
      <c r="CU7" s="28">
        <f t="shared" si="4"/>
        <v>0</v>
      </c>
      <c r="CV7" s="28">
        <f t="shared" si="4"/>
        <v>0</v>
      </c>
      <c r="CW7" s="28">
        <f t="shared" si="4"/>
        <v>75000</v>
      </c>
      <c r="CX7" s="28">
        <f t="shared" si="4"/>
        <v>75000</v>
      </c>
      <c r="CY7" s="28">
        <f t="shared" si="4"/>
        <v>75000</v>
      </c>
      <c r="CZ7" s="28">
        <f t="shared" si="4"/>
        <v>75000</v>
      </c>
      <c r="DA7" s="28">
        <f t="shared" si="4"/>
        <v>75000</v>
      </c>
      <c r="DB7" s="28">
        <f t="shared" si="4"/>
        <v>75000</v>
      </c>
      <c r="DC7" s="28">
        <f t="shared" si="4"/>
        <v>75000</v>
      </c>
      <c r="DD7" s="28">
        <f t="shared" si="4"/>
        <v>75000</v>
      </c>
      <c r="DE7" s="29">
        <f t="shared" si="4"/>
        <v>0</v>
      </c>
      <c r="DF7" s="30">
        <f t="shared" si="19"/>
        <v>600000</v>
      </c>
      <c r="DH7" s="27">
        <f t="shared" si="20"/>
        <v>0</v>
      </c>
      <c r="DI7" s="28">
        <f t="shared" si="5"/>
        <v>0</v>
      </c>
      <c r="DJ7" s="28">
        <f t="shared" si="5"/>
        <v>0</v>
      </c>
      <c r="DK7" s="28">
        <f t="shared" si="5"/>
        <v>30000</v>
      </c>
      <c r="DL7" s="28">
        <f t="shared" si="5"/>
        <v>30000</v>
      </c>
      <c r="DM7" s="28">
        <f>IFERROR(IF(AND(DM$2&gt;=$BO7,DM$2&lt;=$BP7),$BL7/$BD7,0),0)</f>
        <v>30000</v>
      </c>
      <c r="DN7" s="28">
        <f t="shared" si="5"/>
        <v>30000</v>
      </c>
      <c r="DO7" s="28">
        <f t="shared" si="5"/>
        <v>30000</v>
      </c>
      <c r="DP7" s="28">
        <f t="shared" si="5"/>
        <v>30000</v>
      </c>
      <c r="DQ7" s="28">
        <f t="shared" si="5"/>
        <v>30000</v>
      </c>
      <c r="DR7" s="28">
        <f t="shared" si="5"/>
        <v>30000</v>
      </c>
      <c r="DS7" s="29">
        <f t="shared" si="5"/>
        <v>0</v>
      </c>
      <c r="DT7" s="30">
        <f t="shared" si="21"/>
        <v>240000</v>
      </c>
    </row>
    <row r="8" spans="1:124" x14ac:dyDescent="0.2">
      <c r="A8">
        <f t="shared" si="6"/>
        <v>17</v>
      </c>
      <c r="B8" s="49" t="str">
        <f>_xlfn.XLOOKUP(D8,Códigos_Propuestas!$B$4:$B$10,Códigos_Propuestas!$C$4:$C$10,"!",0,1)&amp;"__"&amp;
_xlfn.XLOOKUP(G8,Códigos_Propuestas!$E$4:$E$76,Códigos_Propuestas!$F$4:$F$76,"!",1)&amp;"__"&amp;
_xlfn.XLOOKUP(K8,Códigos_Propuestas!$I$4:$I$7,Códigos_Propuestas!$J$4:$J$7,"!",1)&amp;"__"&amp;
_xlfn.XLOOKUP(L8,Códigos_Propuestas!$O$4:$O$11,Códigos_Propuestas!$Q$4:$Q$11,"!",1)&amp;"__"&amp;
_xlfn.XLOOKUP(E8,Códigos_Propuestas!$BF:$BF,Códigos_Propuestas!$BH:$BH,"!",0,1)</f>
        <v>USA__AES__!__!__!</v>
      </c>
      <c r="C8" s="47">
        <f t="shared" si="22"/>
        <v>6</v>
      </c>
      <c r="D8" s="11" t="s">
        <v>136</v>
      </c>
      <c r="E8" s="12" t="s">
        <v>348</v>
      </c>
      <c r="F8" s="12"/>
      <c r="G8" s="13" t="s">
        <v>341</v>
      </c>
      <c r="H8" s="13"/>
      <c r="I8" s="13" t="s">
        <v>42</v>
      </c>
      <c r="J8" s="17"/>
      <c r="K8" s="13"/>
      <c r="L8" s="14"/>
      <c r="M8" s="14" t="str">
        <f>_xlfn.XLOOKUP(L8,Códigos_Propuestas!$O$4:$O$15,Códigos_Propuestas!$P$4:$P$15,"!",0,1)</f>
        <v>R+</v>
      </c>
      <c r="N8" s="14"/>
      <c r="O8" s="14"/>
      <c r="P8" s="14"/>
      <c r="Q8" s="14"/>
      <c r="R8" s="14"/>
      <c r="S8" s="14"/>
      <c r="T8" s="14"/>
      <c r="U8" s="13"/>
      <c r="V8" s="115"/>
      <c r="W8" s="116">
        <f t="shared" ca="1" si="7"/>
        <v>0</v>
      </c>
      <c r="X8" s="13" t="str">
        <f t="shared" ca="1" si="8"/>
        <v/>
      </c>
      <c r="Y8" s="14"/>
      <c r="Z8" s="115"/>
      <c r="AA8" s="130" t="b">
        <v>0</v>
      </c>
      <c r="AB8" s="115"/>
      <c r="AC8" s="130" t="b">
        <v>0</v>
      </c>
      <c r="AD8" s="115"/>
      <c r="AE8" s="130" t="b">
        <v>0</v>
      </c>
      <c r="AF8" s="13"/>
      <c r="AG8" s="13"/>
      <c r="AH8" s="130" t="b">
        <v>0</v>
      </c>
      <c r="AI8" s="13"/>
      <c r="AJ8" s="130" t="b">
        <v>0</v>
      </c>
      <c r="AK8" s="13"/>
      <c r="AL8" s="130" t="b">
        <v>0</v>
      </c>
      <c r="AM8" s="13"/>
      <c r="AN8" s="130" t="b">
        <v>0</v>
      </c>
      <c r="AO8" s="13"/>
      <c r="AP8" s="13"/>
      <c r="AQ8" s="130" t="b">
        <v>0</v>
      </c>
      <c r="AR8" s="130" t="b">
        <v>0</v>
      </c>
      <c r="AS8" s="130" t="b">
        <v>0</v>
      </c>
      <c r="AT8" s="130" t="b">
        <v>0</v>
      </c>
      <c r="AU8" s="130" t="b">
        <v>0</v>
      </c>
      <c r="AV8" s="11"/>
      <c r="AW8" s="11"/>
      <c r="AX8" s="11"/>
      <c r="AY8" s="11"/>
      <c r="AZ8" s="11"/>
      <c r="BA8" s="107"/>
      <c r="BB8" s="97">
        <v>600000</v>
      </c>
      <c r="BC8" s="97">
        <v>320000</v>
      </c>
      <c r="BD8" s="13">
        <v>5</v>
      </c>
      <c r="BE8" s="108">
        <v>0.5</v>
      </c>
      <c r="BF8" s="108">
        <v>0.5</v>
      </c>
      <c r="BG8" s="15">
        <f t="shared" si="9"/>
        <v>0.25</v>
      </c>
      <c r="BH8" s="18"/>
      <c r="BI8" s="18"/>
      <c r="BJ8" s="16">
        <v>46157</v>
      </c>
      <c r="BK8" s="19">
        <f t="shared" si="10"/>
        <v>150000</v>
      </c>
      <c r="BL8" s="19">
        <f t="shared" si="11"/>
        <v>80000</v>
      </c>
      <c r="BM8" s="20">
        <f t="shared" si="12"/>
        <v>46204</v>
      </c>
      <c r="BN8" s="21">
        <f t="shared" si="13"/>
        <v>46327</v>
      </c>
      <c r="BO8" s="111">
        <f t="shared" si="0"/>
        <v>46204</v>
      </c>
      <c r="BP8" s="112">
        <f t="shared" si="1"/>
        <v>46327</v>
      </c>
      <c r="BR8" s="27">
        <f t="shared" si="14"/>
        <v>0</v>
      </c>
      <c r="BS8" s="28">
        <f t="shared" si="2"/>
        <v>0</v>
      </c>
      <c r="BT8" s="28">
        <f t="shared" si="2"/>
        <v>0</v>
      </c>
      <c r="BU8" s="28">
        <f t="shared" si="2"/>
        <v>0</v>
      </c>
      <c r="BV8" s="28">
        <f t="shared" si="2"/>
        <v>0</v>
      </c>
      <c r="BW8" s="28">
        <f t="shared" si="2"/>
        <v>0</v>
      </c>
      <c r="BX8" s="28">
        <f t="shared" si="2"/>
        <v>120000</v>
      </c>
      <c r="BY8" s="28">
        <f t="shared" si="2"/>
        <v>120000</v>
      </c>
      <c r="BZ8" s="28">
        <f t="shared" si="2"/>
        <v>120000</v>
      </c>
      <c r="CA8" s="28">
        <f t="shared" si="2"/>
        <v>120000</v>
      </c>
      <c r="CB8" s="28">
        <f t="shared" si="2"/>
        <v>120000</v>
      </c>
      <c r="CC8" s="29">
        <f t="shared" si="2"/>
        <v>0</v>
      </c>
      <c r="CD8" s="30">
        <f t="shared" si="15"/>
        <v>600000</v>
      </c>
      <c r="CF8" s="27">
        <f t="shared" si="16"/>
        <v>0</v>
      </c>
      <c r="CG8" s="28">
        <f t="shared" si="3"/>
        <v>0</v>
      </c>
      <c r="CH8" s="28">
        <f t="shared" si="3"/>
        <v>0</v>
      </c>
      <c r="CI8" s="28">
        <f t="shared" si="3"/>
        <v>0</v>
      </c>
      <c r="CJ8" s="28">
        <f t="shared" si="3"/>
        <v>0</v>
      </c>
      <c r="CK8" s="28">
        <f t="shared" si="3"/>
        <v>0</v>
      </c>
      <c r="CL8" s="28">
        <f t="shared" si="3"/>
        <v>30000</v>
      </c>
      <c r="CM8" s="28">
        <f t="shared" si="3"/>
        <v>30000</v>
      </c>
      <c r="CN8" s="28">
        <f>IFERROR(IF(AND(CN$2&gt;=$BO8,CN$2&lt;=$BP8),$BK8/$BD8,0),0)</f>
        <v>30000</v>
      </c>
      <c r="CO8" s="28">
        <f t="shared" si="3"/>
        <v>30000</v>
      </c>
      <c r="CP8" s="28">
        <f t="shared" si="3"/>
        <v>30000</v>
      </c>
      <c r="CQ8" s="29">
        <f t="shared" si="3"/>
        <v>0</v>
      </c>
      <c r="CR8" s="30">
        <f t="shared" si="17"/>
        <v>150000</v>
      </c>
      <c r="CT8" s="27">
        <f t="shared" si="18"/>
        <v>0</v>
      </c>
      <c r="CU8" s="28">
        <f t="shared" si="4"/>
        <v>0</v>
      </c>
      <c r="CV8" s="28">
        <f t="shared" si="4"/>
        <v>0</v>
      </c>
      <c r="CW8" s="28">
        <f t="shared" si="4"/>
        <v>0</v>
      </c>
      <c r="CX8" s="28">
        <f t="shared" si="4"/>
        <v>0</v>
      </c>
      <c r="CY8" s="28">
        <f t="shared" si="4"/>
        <v>0</v>
      </c>
      <c r="CZ8" s="28">
        <f t="shared" si="4"/>
        <v>64000</v>
      </c>
      <c r="DA8" s="28">
        <f t="shared" si="4"/>
        <v>64000</v>
      </c>
      <c r="DB8" s="28">
        <f t="shared" si="4"/>
        <v>64000</v>
      </c>
      <c r="DC8" s="28">
        <f t="shared" si="4"/>
        <v>64000</v>
      </c>
      <c r="DD8" s="28">
        <f t="shared" si="4"/>
        <v>64000</v>
      </c>
      <c r="DE8" s="29">
        <f t="shared" si="4"/>
        <v>0</v>
      </c>
      <c r="DF8" s="30">
        <f t="shared" si="19"/>
        <v>320000</v>
      </c>
      <c r="DH8" s="27">
        <f t="shared" si="20"/>
        <v>0</v>
      </c>
      <c r="DI8" s="28">
        <f t="shared" si="5"/>
        <v>0</v>
      </c>
      <c r="DJ8" s="28">
        <f t="shared" si="5"/>
        <v>0</v>
      </c>
      <c r="DK8" s="28">
        <f t="shared" si="5"/>
        <v>0</v>
      </c>
      <c r="DL8" s="28">
        <f t="shared" si="5"/>
        <v>0</v>
      </c>
      <c r="DM8" s="28">
        <f t="shared" si="5"/>
        <v>0</v>
      </c>
      <c r="DN8" s="28">
        <f t="shared" si="5"/>
        <v>16000</v>
      </c>
      <c r="DO8" s="28">
        <f t="shared" si="5"/>
        <v>16000</v>
      </c>
      <c r="DP8" s="28">
        <f t="shared" si="5"/>
        <v>16000</v>
      </c>
      <c r="DQ8" s="28">
        <f t="shared" si="5"/>
        <v>16000</v>
      </c>
      <c r="DR8" s="28">
        <f t="shared" si="5"/>
        <v>16000</v>
      </c>
      <c r="DS8" s="29">
        <f t="shared" si="5"/>
        <v>0</v>
      </c>
      <c r="DT8" s="30">
        <f t="shared" si="21"/>
        <v>80000</v>
      </c>
    </row>
    <row r="9" spans="1:124" x14ac:dyDescent="0.2">
      <c r="A9">
        <f t="shared" si="6"/>
        <v>18</v>
      </c>
      <c r="B9" s="49" t="str">
        <f>_xlfn.XLOOKUP(D9,Códigos_Propuestas!$B$4:$B$10,Códigos_Propuestas!$C$4:$C$10,"!",0,1)&amp;"__"&amp;
_xlfn.XLOOKUP(G9,Códigos_Propuestas!$E$4:$E$76,Códigos_Propuestas!$F$4:$F$76,"!",1)&amp;"__"&amp;
_xlfn.XLOOKUP(K9,Códigos_Propuestas!$I$4:$I$7,Códigos_Propuestas!$J$4:$J$7,"!",1)&amp;"__"&amp;
_xlfn.XLOOKUP(L9,Códigos_Propuestas!$O$4:$O$11,Códigos_Propuestas!$Q$4:$Q$11,"!",1)&amp;"__"&amp;
_xlfn.XLOOKUP(E9,Códigos_Propuestas!$BF:$BF,Códigos_Propuestas!$BH:$BH,"!",0,1)</f>
        <v>USA__FNE__UG__!__!</v>
      </c>
      <c r="C9" s="47">
        <f t="shared" si="22"/>
        <v>7</v>
      </c>
      <c r="D9" s="11" t="s">
        <v>136</v>
      </c>
      <c r="E9" s="12" t="s">
        <v>501</v>
      </c>
      <c r="F9" s="12"/>
      <c r="G9" s="13" t="s">
        <v>343</v>
      </c>
      <c r="H9" s="13"/>
      <c r="I9" s="13" t="s">
        <v>70</v>
      </c>
      <c r="J9" s="17" t="s">
        <v>44</v>
      </c>
      <c r="K9" s="13" t="s">
        <v>65</v>
      </c>
      <c r="L9" s="14"/>
      <c r="M9" s="14" t="str">
        <f>_xlfn.XLOOKUP(L9,Códigos_Propuestas!$O$4:$O$15,Códigos_Propuestas!$P$4:$P$15,"!",0,1)</f>
        <v>R+</v>
      </c>
      <c r="N9" s="14"/>
      <c r="O9" s="14"/>
      <c r="P9" s="14"/>
      <c r="Q9" s="14" t="s">
        <v>37</v>
      </c>
      <c r="R9" s="14" t="s">
        <v>66</v>
      </c>
      <c r="S9" s="14" t="s">
        <v>93</v>
      </c>
      <c r="T9" s="14"/>
      <c r="U9" s="13"/>
      <c r="V9" s="115"/>
      <c r="W9" s="116">
        <f t="shared" ca="1" si="7"/>
        <v>0</v>
      </c>
      <c r="X9" s="13" t="str">
        <f t="shared" ca="1" si="8"/>
        <v/>
      </c>
      <c r="Y9" s="14"/>
      <c r="Z9" s="115"/>
      <c r="AA9" s="130" t="b">
        <v>1</v>
      </c>
      <c r="AB9" s="115"/>
      <c r="AC9" s="130" t="b">
        <v>1</v>
      </c>
      <c r="AD9" s="115"/>
      <c r="AE9" s="130" t="b">
        <v>1</v>
      </c>
      <c r="AF9" s="13"/>
      <c r="AG9" s="13"/>
      <c r="AH9" s="130" t="b">
        <v>0</v>
      </c>
      <c r="AI9" s="13"/>
      <c r="AJ9" s="130" t="b">
        <v>0</v>
      </c>
      <c r="AK9" s="13"/>
      <c r="AL9" s="130" t="b">
        <v>0</v>
      </c>
      <c r="AM9" s="13"/>
      <c r="AN9" s="130" t="b">
        <v>0</v>
      </c>
      <c r="AO9" s="13"/>
      <c r="AP9" s="13"/>
      <c r="AQ9" s="130" t="b">
        <v>0</v>
      </c>
      <c r="AR9" s="130" t="b">
        <v>0</v>
      </c>
      <c r="AS9" s="130" t="b">
        <v>0</v>
      </c>
      <c r="AT9" s="130" t="b">
        <v>0</v>
      </c>
      <c r="AU9" s="130" t="b">
        <v>0</v>
      </c>
      <c r="AV9" s="11"/>
      <c r="AW9" s="11"/>
      <c r="AX9" s="11"/>
      <c r="AY9" s="11"/>
      <c r="AZ9" s="11"/>
      <c r="BA9" s="107"/>
      <c r="BB9" s="97">
        <v>500000</v>
      </c>
      <c r="BC9" s="97">
        <v>20000</v>
      </c>
      <c r="BD9" s="13">
        <v>5</v>
      </c>
      <c r="BE9" s="108">
        <v>1</v>
      </c>
      <c r="BF9" s="108">
        <v>1</v>
      </c>
      <c r="BG9" s="15">
        <f t="shared" si="9"/>
        <v>1</v>
      </c>
      <c r="BH9" s="18"/>
      <c r="BI9" s="18"/>
      <c r="BJ9" s="16">
        <v>46359</v>
      </c>
      <c r="BK9" s="19">
        <f t="shared" si="10"/>
        <v>500000</v>
      </c>
      <c r="BL9" s="19">
        <f t="shared" si="11"/>
        <v>20000</v>
      </c>
      <c r="BM9" s="20">
        <f t="shared" si="12"/>
        <v>46419</v>
      </c>
      <c r="BN9" s="21">
        <f t="shared" si="13"/>
        <v>46539</v>
      </c>
      <c r="BO9" s="111">
        <f t="shared" si="0"/>
        <v>46419</v>
      </c>
      <c r="BP9" s="112">
        <f t="shared" si="1"/>
        <v>46539</v>
      </c>
      <c r="BR9" s="27">
        <f t="shared" si="14"/>
        <v>0</v>
      </c>
      <c r="BS9" s="28">
        <f t="shared" si="2"/>
        <v>0</v>
      </c>
      <c r="BT9" s="28">
        <f t="shared" si="2"/>
        <v>0</v>
      </c>
      <c r="BU9" s="28">
        <f t="shared" si="2"/>
        <v>0</v>
      </c>
      <c r="BV9" s="28">
        <f t="shared" si="2"/>
        <v>0</v>
      </c>
      <c r="BW9" s="28">
        <f t="shared" si="2"/>
        <v>0</v>
      </c>
      <c r="BX9" s="28">
        <f t="shared" si="2"/>
        <v>0</v>
      </c>
      <c r="BY9" s="28">
        <f t="shared" si="2"/>
        <v>0</v>
      </c>
      <c r="BZ9" s="28">
        <f t="shared" si="2"/>
        <v>0</v>
      </c>
      <c r="CA9" s="28">
        <f t="shared" si="2"/>
        <v>0</v>
      </c>
      <c r="CB9" s="28">
        <f t="shared" si="2"/>
        <v>0</v>
      </c>
      <c r="CC9" s="29">
        <f t="shared" si="2"/>
        <v>0</v>
      </c>
      <c r="CD9" s="30">
        <f t="shared" si="15"/>
        <v>0</v>
      </c>
      <c r="CF9" s="27">
        <f t="shared" si="16"/>
        <v>0</v>
      </c>
      <c r="CG9" s="28">
        <f t="shared" si="3"/>
        <v>0</v>
      </c>
      <c r="CH9" s="28">
        <f t="shared" si="3"/>
        <v>0</v>
      </c>
      <c r="CI9" s="28">
        <f t="shared" si="3"/>
        <v>0</v>
      </c>
      <c r="CJ9" s="28">
        <f t="shared" si="3"/>
        <v>0</v>
      </c>
      <c r="CK9" s="28">
        <f t="shared" si="3"/>
        <v>0</v>
      </c>
      <c r="CL9" s="28">
        <f t="shared" si="3"/>
        <v>0</v>
      </c>
      <c r="CM9" s="28">
        <f t="shared" si="3"/>
        <v>0</v>
      </c>
      <c r="CN9" s="28">
        <f t="shared" si="3"/>
        <v>0</v>
      </c>
      <c r="CO9" s="28">
        <f t="shared" si="3"/>
        <v>0</v>
      </c>
      <c r="CP9" s="28">
        <f t="shared" si="3"/>
        <v>0</v>
      </c>
      <c r="CQ9" s="29">
        <f t="shared" si="3"/>
        <v>0</v>
      </c>
      <c r="CR9" s="30">
        <f t="shared" si="17"/>
        <v>0</v>
      </c>
      <c r="CT9" s="27">
        <f t="shared" si="18"/>
        <v>0</v>
      </c>
      <c r="CU9" s="28">
        <f t="shared" si="4"/>
        <v>0</v>
      </c>
      <c r="CV9" s="28">
        <f t="shared" si="4"/>
        <v>0</v>
      </c>
      <c r="CW9" s="28">
        <f t="shared" si="4"/>
        <v>0</v>
      </c>
      <c r="CX9" s="28">
        <f t="shared" si="4"/>
        <v>0</v>
      </c>
      <c r="CY9" s="28">
        <f t="shared" si="4"/>
        <v>0</v>
      </c>
      <c r="CZ9" s="28">
        <f t="shared" si="4"/>
        <v>0</v>
      </c>
      <c r="DA9" s="28">
        <f t="shared" si="4"/>
        <v>0</v>
      </c>
      <c r="DB9" s="28">
        <f t="shared" si="4"/>
        <v>0</v>
      </c>
      <c r="DC9" s="28">
        <f t="shared" si="4"/>
        <v>0</v>
      </c>
      <c r="DD9" s="28">
        <f t="shared" si="4"/>
        <v>0</v>
      </c>
      <c r="DE9" s="29">
        <f t="shared" si="4"/>
        <v>0</v>
      </c>
      <c r="DF9" s="30">
        <f t="shared" si="19"/>
        <v>0</v>
      </c>
      <c r="DH9" s="27">
        <f t="shared" si="20"/>
        <v>0</v>
      </c>
      <c r="DI9" s="28">
        <f t="shared" si="5"/>
        <v>0</v>
      </c>
      <c r="DJ9" s="28">
        <f t="shared" si="5"/>
        <v>0</v>
      </c>
      <c r="DK9" s="28">
        <f t="shared" si="5"/>
        <v>0</v>
      </c>
      <c r="DL9" s="28">
        <f t="shared" si="5"/>
        <v>0</v>
      </c>
      <c r="DM9" s="28">
        <f t="shared" si="5"/>
        <v>0</v>
      </c>
      <c r="DN9" s="28">
        <f t="shared" si="5"/>
        <v>0</v>
      </c>
      <c r="DO9" s="28">
        <f t="shared" si="5"/>
        <v>0</v>
      </c>
      <c r="DP9" s="28">
        <f t="shared" si="5"/>
        <v>0</v>
      </c>
      <c r="DQ9" s="28">
        <f t="shared" si="5"/>
        <v>0</v>
      </c>
      <c r="DR9" s="28">
        <f t="shared" si="5"/>
        <v>0</v>
      </c>
      <c r="DS9" s="29">
        <f t="shared" si="5"/>
        <v>0</v>
      </c>
      <c r="DT9" s="30">
        <f t="shared" si="21"/>
        <v>0</v>
      </c>
    </row>
    <row r="10" spans="1:124" x14ac:dyDescent="0.2">
      <c r="A10">
        <f t="shared" si="6"/>
        <v>17</v>
      </c>
      <c r="B10" s="49" t="str">
        <f>_xlfn.XLOOKUP(D10,Códigos_Propuestas!$B$4:$B$10,Códigos_Propuestas!$C$4:$C$10,"!",0,1)&amp;"__"&amp;
_xlfn.XLOOKUP(G10,Códigos_Propuestas!$E$4:$E$76,Códigos_Propuestas!$F$4:$F$76,"!",1)&amp;"__"&amp;
_xlfn.XLOOKUP(K10,Códigos_Propuestas!$I$4:$I$7,Códigos_Propuestas!$J$4:$J$7,"!",1)&amp;"__"&amp;
_xlfn.XLOOKUP(L10,Códigos_Propuestas!$O$4:$O$11,Códigos_Propuestas!$Q$4:$Q$11,"!",1)&amp;"__"&amp;
_xlfn.XLOOKUP(E10,Códigos_Propuestas!$BF:$BF,Códigos_Propuestas!$BH:$BH,"!",0,1)</f>
        <v>USA__TAB__!__!__!</v>
      </c>
      <c r="C10" s="47">
        <f t="shared" si="22"/>
        <v>8</v>
      </c>
      <c r="D10" s="11" t="s">
        <v>136</v>
      </c>
      <c r="E10" s="12" t="s">
        <v>502</v>
      </c>
      <c r="F10" s="12"/>
      <c r="G10" s="13" t="s">
        <v>344</v>
      </c>
      <c r="H10" s="13" t="s">
        <v>502</v>
      </c>
      <c r="I10" s="13" t="s">
        <v>42</v>
      </c>
      <c r="J10" s="17" t="s">
        <v>44</v>
      </c>
      <c r="K10" s="13"/>
      <c r="L10" s="14"/>
      <c r="M10" s="14" t="str">
        <f>_xlfn.XLOOKUP(L10,Códigos_Propuestas!$O$4:$O$15,Códigos_Propuestas!$P$4:$P$15,"!",0,1)</f>
        <v>R+</v>
      </c>
      <c r="N10" s="14"/>
      <c r="O10" s="14"/>
      <c r="P10" s="14"/>
      <c r="Q10" s="14" t="s">
        <v>151</v>
      </c>
      <c r="R10" s="14" t="s">
        <v>164</v>
      </c>
      <c r="S10" s="14" t="s">
        <v>93</v>
      </c>
      <c r="T10" s="14" t="s">
        <v>174</v>
      </c>
      <c r="U10" s="13"/>
      <c r="V10" s="115"/>
      <c r="W10" s="116">
        <f t="shared" ca="1" si="7"/>
        <v>0</v>
      </c>
      <c r="X10" s="13" t="str">
        <f t="shared" ca="1" si="8"/>
        <v/>
      </c>
      <c r="Y10" s="14"/>
      <c r="Z10" s="115"/>
      <c r="AA10" s="130" t="b">
        <v>1</v>
      </c>
      <c r="AB10" s="115"/>
      <c r="AC10" s="130" t="b">
        <v>0</v>
      </c>
      <c r="AD10" s="115"/>
      <c r="AE10" s="130" t="b">
        <v>0</v>
      </c>
      <c r="AF10" s="13"/>
      <c r="AG10" s="13"/>
      <c r="AH10" s="130" t="b">
        <v>0</v>
      </c>
      <c r="AI10" s="13"/>
      <c r="AJ10" s="130" t="b">
        <v>0</v>
      </c>
      <c r="AK10" s="13"/>
      <c r="AL10" s="130" t="b">
        <v>0</v>
      </c>
      <c r="AM10" s="13"/>
      <c r="AN10" s="130" t="b">
        <v>0</v>
      </c>
      <c r="AO10" s="13"/>
      <c r="AP10" s="13"/>
      <c r="AQ10" s="130" t="b">
        <v>0</v>
      </c>
      <c r="AR10" s="130" t="b">
        <v>0</v>
      </c>
      <c r="AS10" s="130" t="b">
        <v>0</v>
      </c>
      <c r="AT10" s="130" t="b">
        <v>0</v>
      </c>
      <c r="AU10" s="130" t="b">
        <v>0</v>
      </c>
      <c r="AV10" s="11"/>
      <c r="AW10" s="11"/>
      <c r="AX10" s="11"/>
      <c r="AY10" s="11"/>
      <c r="AZ10" s="11"/>
      <c r="BA10" s="107"/>
      <c r="BB10" s="97">
        <v>250000</v>
      </c>
      <c r="BC10" s="97">
        <v>100000</v>
      </c>
      <c r="BD10" s="13">
        <v>3</v>
      </c>
      <c r="BE10" s="108">
        <v>0.4</v>
      </c>
      <c r="BF10" s="108">
        <v>0.3</v>
      </c>
      <c r="BG10" s="15">
        <f t="shared" si="9"/>
        <v>0.12</v>
      </c>
      <c r="BH10" s="18"/>
      <c r="BI10" s="18"/>
      <c r="BJ10" s="16">
        <v>46097</v>
      </c>
      <c r="BK10" s="19">
        <f t="shared" si="10"/>
        <v>30000</v>
      </c>
      <c r="BL10" s="19">
        <f t="shared" si="11"/>
        <v>12000</v>
      </c>
      <c r="BM10" s="20">
        <f t="shared" si="12"/>
        <v>46143</v>
      </c>
      <c r="BN10" s="21">
        <f t="shared" si="13"/>
        <v>46204</v>
      </c>
      <c r="BO10" s="111">
        <f t="shared" si="0"/>
        <v>46143</v>
      </c>
      <c r="BP10" s="112">
        <f t="shared" si="1"/>
        <v>46204</v>
      </c>
      <c r="BR10" s="27">
        <f t="shared" si="14"/>
        <v>0</v>
      </c>
      <c r="BS10" s="28">
        <f t="shared" si="2"/>
        <v>0</v>
      </c>
      <c r="BT10" s="28">
        <f t="shared" si="2"/>
        <v>0</v>
      </c>
      <c r="BU10" s="28">
        <f t="shared" si="2"/>
        <v>0</v>
      </c>
      <c r="BV10" s="28">
        <f t="shared" si="2"/>
        <v>83333.333333333328</v>
      </c>
      <c r="BW10" s="28">
        <f t="shared" si="2"/>
        <v>83333.333333333328</v>
      </c>
      <c r="BX10" s="28">
        <f t="shared" si="2"/>
        <v>83333.333333333328</v>
      </c>
      <c r="BY10" s="28">
        <f t="shared" si="2"/>
        <v>0</v>
      </c>
      <c r="BZ10" s="28">
        <f t="shared" si="2"/>
        <v>0</v>
      </c>
      <c r="CA10" s="28">
        <f t="shared" si="2"/>
        <v>0</v>
      </c>
      <c r="CB10" s="28">
        <f t="shared" si="2"/>
        <v>0</v>
      </c>
      <c r="CC10" s="29">
        <f t="shared" si="2"/>
        <v>0</v>
      </c>
      <c r="CD10" s="30">
        <f t="shared" si="15"/>
        <v>250000</v>
      </c>
      <c r="CF10" s="27">
        <f t="shared" si="16"/>
        <v>0</v>
      </c>
      <c r="CG10" s="28">
        <f t="shared" si="3"/>
        <v>0</v>
      </c>
      <c r="CH10" s="28">
        <f t="shared" si="3"/>
        <v>0</v>
      </c>
      <c r="CI10" s="28">
        <f t="shared" si="3"/>
        <v>0</v>
      </c>
      <c r="CJ10" s="28">
        <f t="shared" si="3"/>
        <v>10000</v>
      </c>
      <c r="CK10" s="28">
        <f t="shared" si="3"/>
        <v>10000</v>
      </c>
      <c r="CL10" s="28">
        <f t="shared" si="3"/>
        <v>10000</v>
      </c>
      <c r="CM10" s="28">
        <f t="shared" si="3"/>
        <v>0</v>
      </c>
      <c r="CN10" s="28">
        <f t="shared" si="3"/>
        <v>0</v>
      </c>
      <c r="CO10" s="28">
        <f t="shared" si="3"/>
        <v>0</v>
      </c>
      <c r="CP10" s="28">
        <f t="shared" si="3"/>
        <v>0</v>
      </c>
      <c r="CQ10" s="29">
        <f t="shared" si="3"/>
        <v>0</v>
      </c>
      <c r="CR10" s="30">
        <f t="shared" si="17"/>
        <v>30000</v>
      </c>
      <c r="CT10" s="27">
        <f t="shared" si="18"/>
        <v>0</v>
      </c>
      <c r="CU10" s="28">
        <f t="shared" si="4"/>
        <v>0</v>
      </c>
      <c r="CV10" s="28">
        <f t="shared" si="4"/>
        <v>0</v>
      </c>
      <c r="CW10" s="28">
        <f t="shared" si="4"/>
        <v>0</v>
      </c>
      <c r="CX10" s="28">
        <f t="shared" si="4"/>
        <v>33333.333333333336</v>
      </c>
      <c r="CY10" s="28">
        <f t="shared" si="4"/>
        <v>33333.333333333336</v>
      </c>
      <c r="CZ10" s="28">
        <f t="shared" si="4"/>
        <v>33333.333333333336</v>
      </c>
      <c r="DA10" s="28">
        <f t="shared" si="4"/>
        <v>0</v>
      </c>
      <c r="DB10" s="28">
        <f t="shared" si="4"/>
        <v>0</v>
      </c>
      <c r="DC10" s="28">
        <f t="shared" si="4"/>
        <v>0</v>
      </c>
      <c r="DD10" s="28">
        <f t="shared" si="4"/>
        <v>0</v>
      </c>
      <c r="DE10" s="29">
        <f t="shared" si="4"/>
        <v>0</v>
      </c>
      <c r="DF10" s="30">
        <f t="shared" si="19"/>
        <v>100000</v>
      </c>
      <c r="DH10" s="27">
        <f t="shared" si="20"/>
        <v>0</v>
      </c>
      <c r="DI10" s="28">
        <f t="shared" si="5"/>
        <v>0</v>
      </c>
      <c r="DJ10" s="28">
        <f t="shared" si="5"/>
        <v>0</v>
      </c>
      <c r="DK10" s="28">
        <f t="shared" si="5"/>
        <v>0</v>
      </c>
      <c r="DL10" s="28">
        <f t="shared" si="5"/>
        <v>4000</v>
      </c>
      <c r="DM10" s="28">
        <f t="shared" si="5"/>
        <v>4000</v>
      </c>
      <c r="DN10" s="28">
        <f t="shared" si="5"/>
        <v>4000</v>
      </c>
      <c r="DO10" s="28">
        <f t="shared" si="5"/>
        <v>0</v>
      </c>
      <c r="DP10" s="28">
        <f t="shared" si="5"/>
        <v>0</v>
      </c>
      <c r="DQ10" s="28">
        <f t="shared" si="5"/>
        <v>0</v>
      </c>
      <c r="DR10" s="28">
        <f t="shared" si="5"/>
        <v>0</v>
      </c>
      <c r="DS10" s="29">
        <f t="shared" si="5"/>
        <v>0</v>
      </c>
      <c r="DT10" s="30">
        <f t="shared" si="21"/>
        <v>12000</v>
      </c>
    </row>
    <row r="11" spans="1:124" x14ac:dyDescent="0.2">
      <c r="A11">
        <f t="shared" si="6"/>
        <v>18</v>
      </c>
      <c r="B11" s="49" t="str">
        <f>_xlfn.XLOOKUP(D11,Códigos_Propuestas!$B$4:$B$10,Códigos_Propuestas!$C$4:$C$10,"!",0,1)&amp;"__"&amp;
_xlfn.XLOOKUP(G11,Códigos_Propuestas!$E$4:$E$76,Códigos_Propuestas!$F$4:$F$76,"!",1)&amp;"__"&amp;
_xlfn.XLOOKUP(K11,Códigos_Propuestas!$I$4:$I$7,Códigos_Propuestas!$J$4:$J$7,"!",1)&amp;"__"&amp;
_xlfn.XLOOKUP(L11,Códigos_Propuestas!$O$4:$O$11,Códigos_Propuestas!$Q$4:$Q$11,"!",1)&amp;"__"&amp;
_xlfn.XLOOKUP(E11,Códigos_Propuestas!$BF:$BF,Códigos_Propuestas!$BH:$BH,"!",0,1)</f>
        <v>USA__BHP__UG__!__!</v>
      </c>
      <c r="C11" s="47">
        <f t="shared" si="22"/>
        <v>9</v>
      </c>
      <c r="D11" s="11" t="s">
        <v>136</v>
      </c>
      <c r="E11" s="12" t="s">
        <v>288</v>
      </c>
      <c r="F11" s="12"/>
      <c r="G11" s="13" t="s">
        <v>64</v>
      </c>
      <c r="H11" s="13"/>
      <c r="I11" s="13" t="s">
        <v>42</v>
      </c>
      <c r="J11" s="17" t="s">
        <v>98</v>
      </c>
      <c r="K11" s="13" t="s">
        <v>65</v>
      </c>
      <c r="L11" s="14"/>
      <c r="M11" s="14" t="str">
        <f>_xlfn.XLOOKUP(L11,Códigos_Propuestas!$O$4:$O$15,Códigos_Propuestas!$P$4:$P$15,"!",0,1)</f>
        <v>R+</v>
      </c>
      <c r="N11" s="14"/>
      <c r="O11" s="14"/>
      <c r="P11" s="14"/>
      <c r="Q11" s="14" t="s">
        <v>37</v>
      </c>
      <c r="R11" s="14" t="s">
        <v>118</v>
      </c>
      <c r="S11" s="14"/>
      <c r="T11" s="14"/>
      <c r="U11" s="13"/>
      <c r="V11" s="115"/>
      <c r="W11" s="116">
        <f t="shared" ca="1" si="7"/>
        <v>0</v>
      </c>
      <c r="X11" s="13" t="str">
        <f t="shared" ca="1" si="8"/>
        <v/>
      </c>
      <c r="Y11" s="14"/>
      <c r="Z11" s="115"/>
      <c r="AA11" s="130" t="b">
        <v>0</v>
      </c>
      <c r="AB11" s="115"/>
      <c r="AC11" s="130" t="b">
        <v>0</v>
      </c>
      <c r="AD11" s="115"/>
      <c r="AE11" s="130" t="b">
        <v>0</v>
      </c>
      <c r="AF11" s="13"/>
      <c r="AG11" s="13"/>
      <c r="AH11" s="130" t="b">
        <v>0</v>
      </c>
      <c r="AI11" s="13"/>
      <c r="AJ11" s="130" t="b">
        <v>0</v>
      </c>
      <c r="AK11" s="13"/>
      <c r="AL11" s="130" t="b">
        <v>0</v>
      </c>
      <c r="AM11" s="13"/>
      <c r="AN11" s="130" t="b">
        <v>0</v>
      </c>
      <c r="AO11" s="13"/>
      <c r="AP11" s="13"/>
      <c r="AQ11" s="130" t="b">
        <v>0</v>
      </c>
      <c r="AR11" s="130" t="b">
        <v>0</v>
      </c>
      <c r="AS11" s="130" t="b">
        <v>0</v>
      </c>
      <c r="AT11" s="130" t="b">
        <v>0</v>
      </c>
      <c r="AU11" s="130" t="b">
        <v>0</v>
      </c>
      <c r="AV11" s="11"/>
      <c r="AW11" s="11"/>
      <c r="AX11" s="11"/>
      <c r="AY11" s="11"/>
      <c r="AZ11" s="11"/>
      <c r="BA11" s="107"/>
      <c r="BB11" s="97">
        <v>300000</v>
      </c>
      <c r="BC11" s="97">
        <v>120000</v>
      </c>
      <c r="BD11" s="13">
        <v>5</v>
      </c>
      <c r="BE11" s="108">
        <v>0.5</v>
      </c>
      <c r="BF11" s="108">
        <v>0.4</v>
      </c>
      <c r="BG11" s="15">
        <f t="shared" si="9"/>
        <v>0.2</v>
      </c>
      <c r="BH11" s="18"/>
      <c r="BI11" s="18"/>
      <c r="BJ11" s="16">
        <v>46373</v>
      </c>
      <c r="BK11" s="19">
        <f t="shared" si="10"/>
        <v>60000</v>
      </c>
      <c r="BL11" s="19">
        <f t="shared" si="11"/>
        <v>24000</v>
      </c>
      <c r="BM11" s="20">
        <f t="shared" si="12"/>
        <v>46419</v>
      </c>
      <c r="BN11" s="21">
        <f t="shared" si="13"/>
        <v>46539</v>
      </c>
      <c r="BO11" s="111">
        <f t="shared" si="0"/>
        <v>46419</v>
      </c>
      <c r="BP11" s="112">
        <f t="shared" si="1"/>
        <v>46539</v>
      </c>
      <c r="BR11" s="27">
        <f t="shared" si="14"/>
        <v>0</v>
      </c>
      <c r="BS11" s="28">
        <f t="shared" si="2"/>
        <v>0</v>
      </c>
      <c r="BT11" s="28">
        <f t="shared" si="2"/>
        <v>0</v>
      </c>
      <c r="BU11" s="28">
        <f t="shared" si="2"/>
        <v>0</v>
      </c>
      <c r="BV11" s="28">
        <f t="shared" si="2"/>
        <v>0</v>
      </c>
      <c r="BW11" s="28">
        <f t="shared" si="2"/>
        <v>0</v>
      </c>
      <c r="BX11" s="28">
        <f t="shared" si="2"/>
        <v>0</v>
      </c>
      <c r="BY11" s="28">
        <f t="shared" si="2"/>
        <v>0</v>
      </c>
      <c r="BZ11" s="28">
        <f t="shared" si="2"/>
        <v>0</v>
      </c>
      <c r="CA11" s="28">
        <f t="shared" si="2"/>
        <v>0</v>
      </c>
      <c r="CB11" s="28">
        <f t="shared" si="2"/>
        <v>0</v>
      </c>
      <c r="CC11" s="29">
        <f t="shared" si="2"/>
        <v>0</v>
      </c>
      <c r="CD11" s="30">
        <f t="shared" si="15"/>
        <v>0</v>
      </c>
      <c r="CF11" s="27">
        <f t="shared" si="16"/>
        <v>0</v>
      </c>
      <c r="CG11" s="28">
        <f t="shared" si="3"/>
        <v>0</v>
      </c>
      <c r="CH11" s="28">
        <f t="shared" si="3"/>
        <v>0</v>
      </c>
      <c r="CI11" s="28">
        <f t="shared" si="3"/>
        <v>0</v>
      </c>
      <c r="CJ11" s="28">
        <f t="shared" si="3"/>
        <v>0</v>
      </c>
      <c r="CK11" s="28">
        <f t="shared" si="3"/>
        <v>0</v>
      </c>
      <c r="CL11" s="28">
        <f t="shared" si="3"/>
        <v>0</v>
      </c>
      <c r="CM11" s="28">
        <f t="shared" si="3"/>
        <v>0</v>
      </c>
      <c r="CN11" s="28">
        <f t="shared" si="3"/>
        <v>0</v>
      </c>
      <c r="CO11" s="28">
        <f t="shared" si="3"/>
        <v>0</v>
      </c>
      <c r="CP11" s="28">
        <f t="shared" si="3"/>
        <v>0</v>
      </c>
      <c r="CQ11" s="29">
        <f t="shared" si="3"/>
        <v>0</v>
      </c>
      <c r="CR11" s="30">
        <f t="shared" si="17"/>
        <v>0</v>
      </c>
      <c r="CT11" s="27">
        <f t="shared" si="18"/>
        <v>0</v>
      </c>
      <c r="CU11" s="28">
        <f t="shared" si="4"/>
        <v>0</v>
      </c>
      <c r="CV11" s="28">
        <f t="shared" si="4"/>
        <v>0</v>
      </c>
      <c r="CW11" s="28">
        <f t="shared" si="4"/>
        <v>0</v>
      </c>
      <c r="CX11" s="28">
        <f t="shared" si="4"/>
        <v>0</v>
      </c>
      <c r="CY11" s="28">
        <f t="shared" si="4"/>
        <v>0</v>
      </c>
      <c r="CZ11" s="28">
        <f t="shared" si="4"/>
        <v>0</v>
      </c>
      <c r="DA11" s="28">
        <f t="shared" si="4"/>
        <v>0</v>
      </c>
      <c r="DB11" s="28">
        <f t="shared" si="4"/>
        <v>0</v>
      </c>
      <c r="DC11" s="28">
        <f t="shared" si="4"/>
        <v>0</v>
      </c>
      <c r="DD11" s="28">
        <f t="shared" si="4"/>
        <v>0</v>
      </c>
      <c r="DE11" s="29">
        <f t="shared" si="4"/>
        <v>0</v>
      </c>
      <c r="DF11" s="30">
        <f t="shared" si="19"/>
        <v>0</v>
      </c>
      <c r="DH11" s="27">
        <f t="shared" si="20"/>
        <v>0</v>
      </c>
      <c r="DI11" s="28">
        <f t="shared" si="5"/>
        <v>0</v>
      </c>
      <c r="DJ11" s="28">
        <f t="shared" si="5"/>
        <v>0</v>
      </c>
      <c r="DK11" s="28">
        <f t="shared" si="5"/>
        <v>0</v>
      </c>
      <c r="DL11" s="28">
        <f t="shared" si="5"/>
        <v>0</v>
      </c>
      <c r="DM11" s="28">
        <f t="shared" si="5"/>
        <v>0</v>
      </c>
      <c r="DN11" s="28">
        <f t="shared" si="5"/>
        <v>0</v>
      </c>
      <c r="DO11" s="28">
        <f t="shared" si="5"/>
        <v>0</v>
      </c>
      <c r="DP11" s="28">
        <f t="shared" si="5"/>
        <v>0</v>
      </c>
      <c r="DQ11" s="28">
        <f t="shared" si="5"/>
        <v>0</v>
      </c>
      <c r="DR11" s="28">
        <f t="shared" si="5"/>
        <v>0</v>
      </c>
      <c r="DS11" s="29">
        <f t="shared" si="5"/>
        <v>0</v>
      </c>
      <c r="DT11" s="30">
        <f t="shared" si="21"/>
        <v>0</v>
      </c>
    </row>
    <row r="12" spans="1:124" x14ac:dyDescent="0.2">
      <c r="A12">
        <f t="shared" si="6"/>
        <v>17</v>
      </c>
      <c r="B12" s="49" t="str">
        <f>_xlfn.XLOOKUP(D12,Códigos_Propuestas!$B$4:$B$10,Códigos_Propuestas!$C$4:$C$10,"!",0,1)&amp;"__"&amp;
_xlfn.XLOOKUP(G12,Códigos_Propuestas!$E$4:$E$76,Códigos_Propuestas!$F$4:$F$76,"!",1)&amp;"__"&amp;
_xlfn.XLOOKUP(K12,Códigos_Propuestas!$I$4:$I$7,Códigos_Propuestas!$J$4:$J$7,"!",1)&amp;"__"&amp;
_xlfn.XLOOKUP(L12,Códigos_Propuestas!$O$4:$O$11,Códigos_Propuestas!$Q$4:$Q$11,"!",1)&amp;"__"&amp;
_xlfn.XLOOKUP(E12,Códigos_Propuestas!$BF:$BF,Códigos_Propuestas!$BH:$BH,"!",0,1)</f>
        <v>USA__NEX__!__!__!</v>
      </c>
      <c r="C12" s="47">
        <f t="shared" si="22"/>
        <v>10</v>
      </c>
      <c r="D12" s="11" t="s">
        <v>136</v>
      </c>
      <c r="E12" s="12" t="s">
        <v>503</v>
      </c>
      <c r="F12" s="12"/>
      <c r="G12" s="13" t="s">
        <v>346</v>
      </c>
      <c r="H12" s="13"/>
      <c r="I12" s="13" t="s">
        <v>42</v>
      </c>
      <c r="J12" s="17" t="s">
        <v>44</v>
      </c>
      <c r="K12" s="13"/>
      <c r="L12" s="14"/>
      <c r="M12" s="14" t="str">
        <f>_xlfn.XLOOKUP(L12,Códigos_Propuestas!$O$4:$O$15,Códigos_Propuestas!$P$4:$P$15,"!",0,1)</f>
        <v>R+</v>
      </c>
      <c r="N12" s="14"/>
      <c r="O12" s="14"/>
      <c r="P12" s="14"/>
      <c r="Q12" s="14" t="s">
        <v>66</v>
      </c>
      <c r="R12" s="14"/>
      <c r="S12" s="14"/>
      <c r="T12" s="14"/>
      <c r="U12" s="13"/>
      <c r="V12" s="115"/>
      <c r="W12" s="116">
        <f t="shared" ca="1" si="7"/>
        <v>0</v>
      </c>
      <c r="X12" s="13" t="str">
        <f t="shared" ca="1" si="8"/>
        <v/>
      </c>
      <c r="Y12" s="14"/>
      <c r="Z12" s="115"/>
      <c r="AA12" s="130" t="b">
        <v>0</v>
      </c>
      <c r="AB12" s="115"/>
      <c r="AC12" s="130" t="b">
        <v>0</v>
      </c>
      <c r="AD12" s="115"/>
      <c r="AE12" s="130" t="b">
        <v>0</v>
      </c>
      <c r="AF12" s="13"/>
      <c r="AG12" s="13"/>
      <c r="AH12" s="130" t="b">
        <v>0</v>
      </c>
      <c r="AI12" s="13"/>
      <c r="AJ12" s="130" t="b">
        <v>0</v>
      </c>
      <c r="AK12" s="13"/>
      <c r="AL12" s="130" t="b">
        <v>0</v>
      </c>
      <c r="AM12" s="13"/>
      <c r="AN12" s="130" t="b">
        <v>0</v>
      </c>
      <c r="AO12" s="13"/>
      <c r="AP12" s="13"/>
      <c r="AQ12" s="130" t="b">
        <v>0</v>
      </c>
      <c r="AR12" s="130" t="b">
        <v>0</v>
      </c>
      <c r="AS12" s="130" t="b">
        <v>0</v>
      </c>
      <c r="AT12" s="130" t="b">
        <v>0</v>
      </c>
      <c r="AU12" s="130" t="b">
        <v>0</v>
      </c>
      <c r="AV12" s="11"/>
      <c r="AW12" s="11"/>
      <c r="AX12" s="11"/>
      <c r="AY12" s="11"/>
      <c r="AZ12" s="11"/>
      <c r="BA12" s="107"/>
      <c r="BB12" s="97">
        <v>200000</v>
      </c>
      <c r="BC12" s="97">
        <v>80000</v>
      </c>
      <c r="BD12" s="13">
        <v>3</v>
      </c>
      <c r="BE12" s="108">
        <v>0.4</v>
      </c>
      <c r="BF12" s="108">
        <v>0.3</v>
      </c>
      <c r="BG12" s="15">
        <f t="shared" si="9"/>
        <v>0.12</v>
      </c>
      <c r="BH12" s="18"/>
      <c r="BI12" s="18"/>
      <c r="BJ12" s="16">
        <v>46144</v>
      </c>
      <c r="BK12" s="19">
        <f t="shared" si="10"/>
        <v>24000</v>
      </c>
      <c r="BL12" s="19">
        <f t="shared" si="11"/>
        <v>9600</v>
      </c>
      <c r="BM12" s="20">
        <f t="shared" si="12"/>
        <v>46204</v>
      </c>
      <c r="BN12" s="21">
        <f t="shared" si="13"/>
        <v>46266</v>
      </c>
      <c r="BO12" s="111">
        <f t="shared" si="0"/>
        <v>46204</v>
      </c>
      <c r="BP12" s="112">
        <f t="shared" si="1"/>
        <v>46266</v>
      </c>
      <c r="BR12" s="27">
        <f t="shared" si="14"/>
        <v>0</v>
      </c>
      <c r="BS12" s="28">
        <f t="shared" si="2"/>
        <v>0</v>
      </c>
      <c r="BT12" s="28">
        <f t="shared" si="2"/>
        <v>0</v>
      </c>
      <c r="BU12" s="28">
        <f t="shared" si="2"/>
        <v>0</v>
      </c>
      <c r="BV12" s="28">
        <f t="shared" si="2"/>
        <v>0</v>
      </c>
      <c r="BW12" s="28">
        <f t="shared" si="2"/>
        <v>0</v>
      </c>
      <c r="BX12" s="28">
        <f t="shared" si="2"/>
        <v>66666.666666666672</v>
      </c>
      <c r="BY12" s="28">
        <f t="shared" si="2"/>
        <v>66666.666666666672</v>
      </c>
      <c r="BZ12" s="28">
        <f t="shared" si="2"/>
        <v>66666.666666666672</v>
      </c>
      <c r="CA12" s="28">
        <f t="shared" si="2"/>
        <v>0</v>
      </c>
      <c r="CB12" s="28">
        <f t="shared" si="2"/>
        <v>0</v>
      </c>
      <c r="CC12" s="29">
        <f t="shared" si="2"/>
        <v>0</v>
      </c>
      <c r="CD12" s="30">
        <f t="shared" si="15"/>
        <v>200000</v>
      </c>
      <c r="CF12" s="27">
        <f t="shared" si="16"/>
        <v>0</v>
      </c>
      <c r="CG12" s="28">
        <f t="shared" si="3"/>
        <v>0</v>
      </c>
      <c r="CH12" s="28">
        <f t="shared" si="3"/>
        <v>0</v>
      </c>
      <c r="CI12" s="28">
        <f t="shared" si="3"/>
        <v>0</v>
      </c>
      <c r="CJ12" s="28">
        <f t="shared" si="3"/>
        <v>0</v>
      </c>
      <c r="CK12" s="28">
        <f t="shared" si="3"/>
        <v>0</v>
      </c>
      <c r="CL12" s="28">
        <f t="shared" si="3"/>
        <v>8000</v>
      </c>
      <c r="CM12" s="28">
        <f t="shared" si="3"/>
        <v>8000</v>
      </c>
      <c r="CN12" s="28">
        <f t="shared" si="3"/>
        <v>8000</v>
      </c>
      <c r="CO12" s="28">
        <f t="shared" si="3"/>
        <v>0</v>
      </c>
      <c r="CP12" s="28">
        <f t="shared" si="3"/>
        <v>0</v>
      </c>
      <c r="CQ12" s="29">
        <f t="shared" si="3"/>
        <v>0</v>
      </c>
      <c r="CR12" s="30">
        <f t="shared" si="17"/>
        <v>24000</v>
      </c>
      <c r="CT12" s="27">
        <f t="shared" si="18"/>
        <v>0</v>
      </c>
      <c r="CU12" s="28">
        <f t="shared" si="4"/>
        <v>0</v>
      </c>
      <c r="CV12" s="28">
        <f t="shared" si="4"/>
        <v>0</v>
      </c>
      <c r="CW12" s="28">
        <f t="shared" si="4"/>
        <v>0</v>
      </c>
      <c r="CX12" s="28">
        <f t="shared" si="4"/>
        <v>0</v>
      </c>
      <c r="CY12" s="28">
        <f t="shared" si="4"/>
        <v>0</v>
      </c>
      <c r="CZ12" s="28">
        <f t="shared" si="4"/>
        <v>26666.666666666668</v>
      </c>
      <c r="DA12" s="28">
        <f t="shared" si="4"/>
        <v>26666.666666666668</v>
      </c>
      <c r="DB12" s="28">
        <f t="shared" si="4"/>
        <v>26666.666666666668</v>
      </c>
      <c r="DC12" s="28">
        <f t="shared" si="4"/>
        <v>0</v>
      </c>
      <c r="DD12" s="28">
        <f t="shared" si="4"/>
        <v>0</v>
      </c>
      <c r="DE12" s="29">
        <f t="shared" si="4"/>
        <v>0</v>
      </c>
      <c r="DF12" s="30">
        <f t="shared" si="19"/>
        <v>80000</v>
      </c>
      <c r="DH12" s="27">
        <f t="shared" si="20"/>
        <v>0</v>
      </c>
      <c r="DI12" s="28">
        <f t="shared" si="5"/>
        <v>0</v>
      </c>
      <c r="DJ12" s="28">
        <f t="shared" si="5"/>
        <v>0</v>
      </c>
      <c r="DK12" s="28">
        <f t="shared" si="5"/>
        <v>0</v>
      </c>
      <c r="DL12" s="28">
        <f t="shared" si="5"/>
        <v>0</v>
      </c>
      <c r="DM12" s="28">
        <f t="shared" si="5"/>
        <v>0</v>
      </c>
      <c r="DN12" s="28">
        <f t="shared" si="5"/>
        <v>3200</v>
      </c>
      <c r="DO12" s="28">
        <f t="shared" si="5"/>
        <v>3200</v>
      </c>
      <c r="DP12" s="28">
        <f t="shared" si="5"/>
        <v>3200</v>
      </c>
      <c r="DQ12" s="28">
        <f t="shared" si="5"/>
        <v>0</v>
      </c>
      <c r="DR12" s="28">
        <f t="shared" si="5"/>
        <v>0</v>
      </c>
      <c r="DS12" s="29">
        <f t="shared" si="5"/>
        <v>0</v>
      </c>
      <c r="DT12" s="30">
        <f t="shared" si="21"/>
        <v>9600</v>
      </c>
    </row>
    <row r="13" spans="1:124" x14ac:dyDescent="0.2">
      <c r="A13">
        <f t="shared" si="6"/>
        <v>18</v>
      </c>
      <c r="B13" s="49" t="str">
        <f>_xlfn.XLOOKUP(D13,Códigos_Propuestas!$B$4:$B$10,Códigos_Propuestas!$C$4:$C$10,"!",0,1)&amp;"__"&amp;
_xlfn.XLOOKUP(G13,Códigos_Propuestas!$E$4:$E$76,Códigos_Propuestas!$F$4:$F$76,"!",1)&amp;"__"&amp;
_xlfn.XLOOKUP(K13,Códigos_Propuestas!$I$4:$I$7,Códigos_Propuestas!$J$4:$J$7,"!",1)&amp;"__"&amp;
_xlfn.XLOOKUP(L13,Códigos_Propuestas!$O$4:$O$11,Códigos_Propuestas!$Q$4:$Q$11,"!",1)&amp;"__"&amp;
_xlfn.XLOOKUP(E13,Códigos_Propuestas!$BF:$BF,Códigos_Propuestas!$BH:$BH,"!",0,1)</f>
        <v>USA__BRR__UG__!__!</v>
      </c>
      <c r="C13" s="47">
        <f t="shared" si="22"/>
        <v>11</v>
      </c>
      <c r="D13" s="11" t="s">
        <v>136</v>
      </c>
      <c r="E13" s="12" t="s">
        <v>504</v>
      </c>
      <c r="F13" s="12"/>
      <c r="G13" s="13" t="s">
        <v>325</v>
      </c>
      <c r="H13" s="13"/>
      <c r="I13" s="13" t="s">
        <v>42</v>
      </c>
      <c r="J13" s="17" t="s">
        <v>72</v>
      </c>
      <c r="K13" s="13" t="s">
        <v>65</v>
      </c>
      <c r="L13" s="14"/>
      <c r="M13" s="14" t="str">
        <f>_xlfn.XLOOKUP(L13,Códigos_Propuestas!$O$4:$O$15,Códigos_Propuestas!$P$4:$P$15,"!",0,1)</f>
        <v>R+</v>
      </c>
      <c r="N13" s="14"/>
      <c r="O13" s="14"/>
      <c r="P13" s="14"/>
      <c r="Q13" s="14" t="s">
        <v>66</v>
      </c>
      <c r="R13" s="14"/>
      <c r="S13" s="14"/>
      <c r="T13" s="14"/>
      <c r="U13" s="13"/>
      <c r="V13" s="115"/>
      <c r="W13" s="116">
        <f t="shared" ca="1" si="7"/>
        <v>0</v>
      </c>
      <c r="X13" s="13" t="str">
        <f t="shared" ca="1" si="8"/>
        <v/>
      </c>
      <c r="Y13" s="14"/>
      <c r="Z13" s="115"/>
      <c r="AA13" s="130" t="b">
        <v>0</v>
      </c>
      <c r="AB13" s="115"/>
      <c r="AC13" s="130" t="b">
        <v>0</v>
      </c>
      <c r="AD13" s="115"/>
      <c r="AE13" s="130" t="b">
        <v>0</v>
      </c>
      <c r="AF13" s="13"/>
      <c r="AG13" s="13"/>
      <c r="AH13" s="130" t="b">
        <v>0</v>
      </c>
      <c r="AI13" s="13"/>
      <c r="AJ13" s="130" t="b">
        <v>0</v>
      </c>
      <c r="AK13" s="13"/>
      <c r="AL13" s="130" t="b">
        <v>0</v>
      </c>
      <c r="AM13" s="13"/>
      <c r="AN13" s="130" t="b">
        <v>0</v>
      </c>
      <c r="AO13" s="13"/>
      <c r="AP13" s="13"/>
      <c r="AQ13" s="130" t="b">
        <v>0</v>
      </c>
      <c r="AR13" s="130" t="b">
        <v>0</v>
      </c>
      <c r="AS13" s="130" t="b">
        <v>0</v>
      </c>
      <c r="AT13" s="130" t="b">
        <v>0</v>
      </c>
      <c r="AU13" s="130" t="b">
        <v>0</v>
      </c>
      <c r="AV13" s="11"/>
      <c r="AW13" s="11"/>
      <c r="AX13" s="11"/>
      <c r="AY13" s="11"/>
      <c r="AZ13" s="11"/>
      <c r="BA13" s="107"/>
      <c r="BB13" s="97">
        <v>100000</v>
      </c>
      <c r="BC13" s="97">
        <v>40000</v>
      </c>
      <c r="BD13" s="13">
        <v>2</v>
      </c>
      <c r="BE13" s="108">
        <v>0.4</v>
      </c>
      <c r="BF13" s="108">
        <v>0.3</v>
      </c>
      <c r="BG13" s="15">
        <f t="shared" si="9"/>
        <v>0.12</v>
      </c>
      <c r="BH13" s="18"/>
      <c r="BI13" s="18"/>
      <c r="BJ13" s="16">
        <v>46175</v>
      </c>
      <c r="BK13" s="19">
        <f t="shared" si="10"/>
        <v>12000</v>
      </c>
      <c r="BL13" s="19">
        <f t="shared" si="11"/>
        <v>4800</v>
      </c>
      <c r="BM13" s="20">
        <f t="shared" si="12"/>
        <v>46235</v>
      </c>
      <c r="BN13" s="21">
        <f t="shared" si="13"/>
        <v>46266</v>
      </c>
      <c r="BO13" s="111">
        <f t="shared" si="0"/>
        <v>46235</v>
      </c>
      <c r="BP13" s="112">
        <f t="shared" si="1"/>
        <v>46266</v>
      </c>
      <c r="BR13" s="27">
        <f t="shared" si="14"/>
        <v>0</v>
      </c>
      <c r="BS13" s="28">
        <f t="shared" si="2"/>
        <v>0</v>
      </c>
      <c r="BT13" s="28">
        <f t="shared" si="2"/>
        <v>0</v>
      </c>
      <c r="BU13" s="28">
        <f t="shared" si="2"/>
        <v>0</v>
      </c>
      <c r="BV13" s="28">
        <f t="shared" si="2"/>
        <v>0</v>
      </c>
      <c r="BW13" s="28">
        <f t="shared" si="2"/>
        <v>0</v>
      </c>
      <c r="BX13" s="28">
        <f t="shared" si="2"/>
        <v>0</v>
      </c>
      <c r="BY13" s="28">
        <f t="shared" si="2"/>
        <v>50000</v>
      </c>
      <c r="BZ13" s="28">
        <f t="shared" si="2"/>
        <v>50000</v>
      </c>
      <c r="CA13" s="28">
        <f t="shared" si="2"/>
        <v>0</v>
      </c>
      <c r="CB13" s="28">
        <f t="shared" si="2"/>
        <v>0</v>
      </c>
      <c r="CC13" s="29">
        <f t="shared" si="2"/>
        <v>0</v>
      </c>
      <c r="CD13" s="30">
        <f t="shared" si="15"/>
        <v>100000</v>
      </c>
      <c r="CF13" s="27">
        <f t="shared" si="16"/>
        <v>0</v>
      </c>
      <c r="CG13" s="28">
        <f t="shared" si="3"/>
        <v>0</v>
      </c>
      <c r="CH13" s="28">
        <f t="shared" si="3"/>
        <v>0</v>
      </c>
      <c r="CI13" s="28">
        <f t="shared" si="3"/>
        <v>0</v>
      </c>
      <c r="CJ13" s="28">
        <f t="shared" si="3"/>
        <v>0</v>
      </c>
      <c r="CK13" s="28">
        <f t="shared" si="3"/>
        <v>0</v>
      </c>
      <c r="CL13" s="28">
        <f t="shared" si="3"/>
        <v>0</v>
      </c>
      <c r="CM13" s="28">
        <f t="shared" si="3"/>
        <v>6000</v>
      </c>
      <c r="CN13" s="28">
        <f t="shared" si="3"/>
        <v>6000</v>
      </c>
      <c r="CO13" s="28">
        <f t="shared" si="3"/>
        <v>0</v>
      </c>
      <c r="CP13" s="28">
        <f t="shared" si="3"/>
        <v>0</v>
      </c>
      <c r="CQ13" s="29">
        <f t="shared" si="3"/>
        <v>0</v>
      </c>
      <c r="CR13" s="30">
        <f t="shared" si="17"/>
        <v>12000</v>
      </c>
      <c r="CT13" s="27">
        <f t="shared" si="18"/>
        <v>0</v>
      </c>
      <c r="CU13" s="28">
        <f t="shared" si="4"/>
        <v>0</v>
      </c>
      <c r="CV13" s="28">
        <f t="shared" si="4"/>
        <v>0</v>
      </c>
      <c r="CW13" s="28">
        <f t="shared" si="4"/>
        <v>0</v>
      </c>
      <c r="CX13" s="28">
        <f t="shared" si="4"/>
        <v>0</v>
      </c>
      <c r="CY13" s="28">
        <f t="shared" si="4"/>
        <v>0</v>
      </c>
      <c r="CZ13" s="28">
        <f>IFERROR(IF(AND(CZ$2&gt;=$BO13,CZ$2&lt;=$BP13),$BC13/$BD13,0),0)</f>
        <v>0</v>
      </c>
      <c r="DA13" s="28">
        <f t="shared" si="4"/>
        <v>20000</v>
      </c>
      <c r="DB13" s="28">
        <f t="shared" si="4"/>
        <v>20000</v>
      </c>
      <c r="DC13" s="28">
        <f t="shared" si="4"/>
        <v>0</v>
      </c>
      <c r="DD13" s="28">
        <f t="shared" si="4"/>
        <v>0</v>
      </c>
      <c r="DE13" s="29">
        <f t="shared" si="4"/>
        <v>0</v>
      </c>
      <c r="DF13" s="30">
        <f t="shared" si="19"/>
        <v>40000</v>
      </c>
      <c r="DH13" s="27">
        <f t="shared" si="20"/>
        <v>0</v>
      </c>
      <c r="DI13" s="28">
        <f t="shared" si="5"/>
        <v>0</v>
      </c>
      <c r="DJ13" s="28">
        <f t="shared" si="5"/>
        <v>0</v>
      </c>
      <c r="DK13" s="28">
        <f t="shared" si="5"/>
        <v>0</v>
      </c>
      <c r="DL13" s="28">
        <f t="shared" si="5"/>
        <v>0</v>
      </c>
      <c r="DM13" s="28">
        <f t="shared" si="5"/>
        <v>0</v>
      </c>
      <c r="DN13" s="28">
        <f t="shared" si="5"/>
        <v>0</v>
      </c>
      <c r="DO13" s="28">
        <f t="shared" si="5"/>
        <v>2400</v>
      </c>
      <c r="DP13" s="28">
        <f t="shared" si="5"/>
        <v>2400</v>
      </c>
      <c r="DQ13" s="28">
        <f t="shared" si="5"/>
        <v>0</v>
      </c>
      <c r="DR13" s="28">
        <f t="shared" si="5"/>
        <v>0</v>
      </c>
      <c r="DS13" s="29">
        <f t="shared" si="5"/>
        <v>0</v>
      </c>
      <c r="DT13" s="30">
        <f t="shared" si="21"/>
        <v>4800</v>
      </c>
    </row>
    <row r="14" spans="1:124" x14ac:dyDescent="0.2">
      <c r="A14">
        <f t="shared" si="6"/>
        <v>14</v>
      </c>
      <c r="B14" s="49" t="str">
        <f>_xlfn.XLOOKUP(D14,Códigos_Propuestas!$B$4:$B$10,Códigos_Propuestas!$C$4:$C$10,"!",0,1)&amp;"__"&amp;
_xlfn.XLOOKUP(G14,Códigos_Propuestas!$E$4:$E$76,Códigos_Propuestas!$F$4:$F$76,"!",1)&amp;"__"&amp;
_xlfn.XLOOKUP(K14,Códigos_Propuestas!$I$4:$I$7,Códigos_Propuestas!$J$4:$J$7,"!",1)&amp;"__"&amp;
_xlfn.XLOOKUP(L14,Códigos_Propuestas!$O$4:$O$11,Códigos_Propuestas!$Q$4:$Q$11,"!",1)&amp;"__"&amp;
_xlfn.XLOOKUP(E14,Códigos_Propuestas!$BF:$BF,Códigos_Propuestas!$BH:$BH,"!",0,1)</f>
        <v>CH__!__!__!__!</v>
      </c>
      <c r="C14" s="47">
        <f t="shared" si="22"/>
        <v>12</v>
      </c>
      <c r="D14" s="11" t="s">
        <v>32</v>
      </c>
      <c r="E14" s="12" t="s">
        <v>348</v>
      </c>
      <c r="F14" s="12"/>
      <c r="G14" s="13"/>
      <c r="H14" s="13"/>
      <c r="I14" s="13" t="s">
        <v>42</v>
      </c>
      <c r="J14" s="17"/>
      <c r="K14" s="13"/>
      <c r="L14" s="14"/>
      <c r="M14" s="14" t="str">
        <f>_xlfn.XLOOKUP(L14,Códigos_Propuestas!$O$4:$O$15,Códigos_Propuestas!$P$4:$P$15,"!",0,1)</f>
        <v>R+</v>
      </c>
      <c r="N14" s="14"/>
      <c r="O14" s="14"/>
      <c r="P14" s="14"/>
      <c r="Q14" s="14"/>
      <c r="R14" s="14"/>
      <c r="S14" s="14"/>
      <c r="T14" s="14"/>
      <c r="U14" s="13"/>
      <c r="V14" s="115"/>
      <c r="W14" s="116">
        <f t="shared" ca="1" si="7"/>
        <v>0</v>
      </c>
      <c r="X14" s="13" t="str">
        <f t="shared" ca="1" si="8"/>
        <v/>
      </c>
      <c r="Y14" s="14"/>
      <c r="Z14" s="115"/>
      <c r="AA14" s="130" t="b">
        <v>0</v>
      </c>
      <c r="AB14" s="115"/>
      <c r="AC14" s="130" t="b">
        <v>0</v>
      </c>
      <c r="AD14" s="115"/>
      <c r="AE14" s="130" t="b">
        <v>0</v>
      </c>
      <c r="AF14" s="13"/>
      <c r="AG14" s="13"/>
      <c r="AH14" s="130" t="b">
        <v>0</v>
      </c>
      <c r="AI14" s="13"/>
      <c r="AJ14" s="130" t="b">
        <v>0</v>
      </c>
      <c r="AK14" s="13"/>
      <c r="AL14" s="130" t="b">
        <v>0</v>
      </c>
      <c r="AM14" s="13"/>
      <c r="AN14" s="130" t="b">
        <v>0</v>
      </c>
      <c r="AO14" s="13"/>
      <c r="AP14" s="13"/>
      <c r="AQ14" s="130" t="b">
        <v>0</v>
      </c>
      <c r="AR14" s="130" t="b">
        <v>0</v>
      </c>
      <c r="AS14" s="130" t="b">
        <v>0</v>
      </c>
      <c r="AT14" s="130" t="b">
        <v>0</v>
      </c>
      <c r="AU14" s="130" t="b">
        <v>0</v>
      </c>
      <c r="AV14" s="11"/>
      <c r="AW14" s="11"/>
      <c r="AX14" s="11"/>
      <c r="AY14" s="11"/>
      <c r="AZ14" s="11"/>
      <c r="BA14" s="107"/>
      <c r="BB14" s="97">
        <v>2500000</v>
      </c>
      <c r="BC14" s="97">
        <v>1000000</v>
      </c>
      <c r="BD14" s="13">
        <v>12</v>
      </c>
      <c r="BE14" s="108">
        <v>0.4</v>
      </c>
      <c r="BF14" s="108">
        <v>0.3</v>
      </c>
      <c r="BG14" s="15">
        <f t="shared" si="9"/>
        <v>0.12</v>
      </c>
      <c r="BH14" s="18"/>
      <c r="BI14" s="18"/>
      <c r="BJ14" s="16">
        <v>46184</v>
      </c>
      <c r="BK14" s="19">
        <f t="shared" si="10"/>
        <v>300000</v>
      </c>
      <c r="BL14" s="19">
        <f t="shared" si="11"/>
        <v>120000</v>
      </c>
      <c r="BM14" s="20">
        <f t="shared" si="12"/>
        <v>46235</v>
      </c>
      <c r="BN14" s="21">
        <f t="shared" si="13"/>
        <v>46569</v>
      </c>
      <c r="BO14" s="111">
        <f t="shared" si="0"/>
        <v>46235</v>
      </c>
      <c r="BP14" s="112">
        <f t="shared" si="1"/>
        <v>46569</v>
      </c>
      <c r="BR14" s="27">
        <f t="shared" si="14"/>
        <v>0</v>
      </c>
      <c r="BS14" s="28">
        <f t="shared" si="2"/>
        <v>0</v>
      </c>
      <c r="BT14" s="28">
        <f t="shared" si="2"/>
        <v>0</v>
      </c>
      <c r="BU14" s="28">
        <f t="shared" si="2"/>
        <v>0</v>
      </c>
      <c r="BV14" s="28">
        <f t="shared" si="2"/>
        <v>0</v>
      </c>
      <c r="BW14" s="28">
        <f t="shared" si="2"/>
        <v>0</v>
      </c>
      <c r="BX14" s="28">
        <f t="shared" si="2"/>
        <v>0</v>
      </c>
      <c r="BY14" s="28">
        <f t="shared" si="2"/>
        <v>208333.33333333334</v>
      </c>
      <c r="BZ14" s="28">
        <f t="shared" si="2"/>
        <v>208333.33333333334</v>
      </c>
      <c r="CA14" s="28">
        <f t="shared" si="2"/>
        <v>208333.33333333334</v>
      </c>
      <c r="CB14" s="28">
        <f t="shared" si="2"/>
        <v>208333.33333333334</v>
      </c>
      <c r="CC14" s="29">
        <f t="shared" si="2"/>
        <v>208333.33333333334</v>
      </c>
      <c r="CD14" s="30">
        <f t="shared" si="15"/>
        <v>1041666.6666666667</v>
      </c>
      <c r="CF14" s="27">
        <f t="shared" si="16"/>
        <v>0</v>
      </c>
      <c r="CG14" s="28">
        <f t="shared" si="3"/>
        <v>0</v>
      </c>
      <c r="CH14" s="28">
        <f t="shared" si="3"/>
        <v>0</v>
      </c>
      <c r="CI14" s="28">
        <f t="shared" si="3"/>
        <v>0</v>
      </c>
      <c r="CJ14" s="28">
        <f t="shared" si="3"/>
        <v>0</v>
      </c>
      <c r="CK14" s="28">
        <f t="shared" si="3"/>
        <v>0</v>
      </c>
      <c r="CL14" s="28">
        <f t="shared" si="3"/>
        <v>0</v>
      </c>
      <c r="CM14" s="28">
        <f t="shared" si="3"/>
        <v>25000</v>
      </c>
      <c r="CN14" s="28">
        <f t="shared" si="3"/>
        <v>25000</v>
      </c>
      <c r="CO14" s="28">
        <f t="shared" si="3"/>
        <v>25000</v>
      </c>
      <c r="CP14" s="28">
        <f t="shared" si="3"/>
        <v>25000</v>
      </c>
      <c r="CQ14" s="29">
        <f t="shared" si="3"/>
        <v>25000</v>
      </c>
      <c r="CR14" s="30">
        <f t="shared" si="17"/>
        <v>125000</v>
      </c>
      <c r="CT14" s="27">
        <f t="shared" si="18"/>
        <v>0</v>
      </c>
      <c r="CU14" s="28">
        <f t="shared" si="4"/>
        <v>0</v>
      </c>
      <c r="CV14" s="28">
        <f t="shared" si="4"/>
        <v>0</v>
      </c>
      <c r="CW14" s="28">
        <f t="shared" si="4"/>
        <v>0</v>
      </c>
      <c r="CX14" s="28">
        <f t="shared" si="4"/>
        <v>0</v>
      </c>
      <c r="CY14" s="28">
        <f t="shared" si="4"/>
        <v>0</v>
      </c>
      <c r="CZ14" s="28">
        <f t="shared" si="4"/>
        <v>0</v>
      </c>
      <c r="DA14" s="28">
        <f t="shared" si="4"/>
        <v>83333.333333333328</v>
      </c>
      <c r="DB14" s="28">
        <f t="shared" si="4"/>
        <v>83333.333333333328</v>
      </c>
      <c r="DC14" s="28">
        <f t="shared" si="4"/>
        <v>83333.333333333328</v>
      </c>
      <c r="DD14" s="28">
        <f t="shared" si="4"/>
        <v>83333.333333333328</v>
      </c>
      <c r="DE14" s="29">
        <f t="shared" si="4"/>
        <v>83333.333333333328</v>
      </c>
      <c r="DF14" s="30">
        <f t="shared" si="19"/>
        <v>416666.66666666663</v>
      </c>
      <c r="DH14" s="27">
        <f t="shared" si="20"/>
        <v>0</v>
      </c>
      <c r="DI14" s="28">
        <f t="shared" si="5"/>
        <v>0</v>
      </c>
      <c r="DJ14" s="28">
        <f t="shared" si="5"/>
        <v>0</v>
      </c>
      <c r="DK14" s="28">
        <f t="shared" si="5"/>
        <v>0</v>
      </c>
      <c r="DL14" s="28">
        <f t="shared" si="5"/>
        <v>0</v>
      </c>
      <c r="DM14" s="28">
        <f t="shared" si="5"/>
        <v>0</v>
      </c>
      <c r="DN14" s="28">
        <f t="shared" si="5"/>
        <v>0</v>
      </c>
      <c r="DO14" s="28">
        <f t="shared" si="5"/>
        <v>10000</v>
      </c>
      <c r="DP14" s="28">
        <f t="shared" si="5"/>
        <v>10000</v>
      </c>
      <c r="DQ14" s="28">
        <f t="shared" si="5"/>
        <v>10000</v>
      </c>
      <c r="DR14" s="28">
        <f t="shared" si="5"/>
        <v>10000</v>
      </c>
      <c r="DS14" s="29">
        <f t="shared" si="5"/>
        <v>10000</v>
      </c>
      <c r="DT14" s="30">
        <f t="shared" si="21"/>
        <v>50000</v>
      </c>
    </row>
    <row r="15" spans="1:124" x14ac:dyDescent="0.2">
      <c r="A15">
        <f t="shared" si="6"/>
        <v>16</v>
      </c>
      <c r="B15" s="49" t="str">
        <f>_xlfn.XLOOKUP(D15,Códigos_Propuestas!$B$4:$B$10,Códigos_Propuestas!$C$4:$C$10,"!",0,1)&amp;"__"&amp;
_xlfn.XLOOKUP(G15,Códigos_Propuestas!$E$4:$E$76,Códigos_Propuestas!$F$4:$F$76,"!",1)&amp;"__"&amp;
_xlfn.XLOOKUP(K15,Códigos_Propuestas!$I$4:$I$7,Códigos_Propuestas!$J$4:$J$7,"!",1)&amp;"__"&amp;
_xlfn.XLOOKUP(L15,Códigos_Propuestas!$O$4:$O$11,Códigos_Propuestas!$Q$4:$Q$11,"!",1)&amp;"__"&amp;
_xlfn.XLOOKUP(E15,Códigos_Propuestas!$BF:$BF,Códigos_Propuestas!$BH:$BH,"!",0,1)</f>
        <v>RU__THC__!__!__!</v>
      </c>
      <c r="C15" s="47">
        <f t="shared" si="22"/>
        <v>13</v>
      </c>
      <c r="D15" s="11" t="s">
        <v>112</v>
      </c>
      <c r="E15" s="12" t="s">
        <v>348</v>
      </c>
      <c r="F15" s="12"/>
      <c r="G15" s="13" t="s">
        <v>348</v>
      </c>
      <c r="H15" s="13"/>
      <c r="I15" s="13" t="s">
        <v>42</v>
      </c>
      <c r="J15" s="17"/>
      <c r="K15" s="13"/>
      <c r="L15" s="14"/>
      <c r="M15" s="14" t="str">
        <f>_xlfn.XLOOKUP(L15,Códigos_Propuestas!$O$4:$O$15,Códigos_Propuestas!$P$4:$P$15,"!",0,1)</f>
        <v>R+</v>
      </c>
      <c r="N15" s="14"/>
      <c r="O15" s="14"/>
      <c r="P15" s="14"/>
      <c r="Q15" s="14"/>
      <c r="R15" s="14"/>
      <c r="S15" s="14"/>
      <c r="T15" s="14"/>
      <c r="U15" s="13"/>
      <c r="V15" s="115"/>
      <c r="W15" s="116">
        <f t="shared" ca="1" si="7"/>
        <v>0</v>
      </c>
      <c r="X15" s="13" t="str">
        <f t="shared" ca="1" si="8"/>
        <v/>
      </c>
      <c r="Y15" s="14"/>
      <c r="Z15" s="115"/>
      <c r="AA15" s="130" t="b">
        <v>0</v>
      </c>
      <c r="AB15" s="115"/>
      <c r="AC15" s="130" t="b">
        <v>0</v>
      </c>
      <c r="AD15" s="115"/>
      <c r="AE15" s="130" t="b">
        <v>0</v>
      </c>
      <c r="AF15" s="13"/>
      <c r="AG15" s="13"/>
      <c r="AH15" s="130" t="b">
        <v>0</v>
      </c>
      <c r="AI15" s="13"/>
      <c r="AJ15" s="130" t="b">
        <v>0</v>
      </c>
      <c r="AK15" s="13"/>
      <c r="AL15" s="130" t="b">
        <v>0</v>
      </c>
      <c r="AM15" s="13"/>
      <c r="AN15" s="130" t="b">
        <v>0</v>
      </c>
      <c r="AO15" s="13"/>
      <c r="AP15" s="13"/>
      <c r="AQ15" s="130" t="b">
        <v>0</v>
      </c>
      <c r="AR15" s="130" t="b">
        <v>0</v>
      </c>
      <c r="AS15" s="130" t="b">
        <v>0</v>
      </c>
      <c r="AT15" s="130" t="b">
        <v>0</v>
      </c>
      <c r="AU15" s="130" t="b">
        <v>0</v>
      </c>
      <c r="AV15" s="11"/>
      <c r="AW15" s="11"/>
      <c r="AX15" s="11"/>
      <c r="AY15" s="11"/>
      <c r="AZ15" s="11"/>
      <c r="BA15" s="107"/>
      <c r="BB15" s="97">
        <v>2000000</v>
      </c>
      <c r="BC15" s="97">
        <v>800000</v>
      </c>
      <c r="BD15" s="13">
        <v>10</v>
      </c>
      <c r="BE15" s="108">
        <v>0.3</v>
      </c>
      <c r="BF15" s="108">
        <v>0.3</v>
      </c>
      <c r="BG15" s="15">
        <f t="shared" si="9"/>
        <v>0.09</v>
      </c>
      <c r="BH15" s="18"/>
      <c r="BI15" s="18"/>
      <c r="BJ15" s="16">
        <v>46142</v>
      </c>
      <c r="BK15" s="19">
        <f t="shared" si="10"/>
        <v>180000</v>
      </c>
      <c r="BL15" s="19">
        <f t="shared" si="11"/>
        <v>72000</v>
      </c>
      <c r="BM15" s="20">
        <f>IFERROR(EOMONTH(BJ15+60,-1)+1,"")</f>
        <v>46174</v>
      </c>
      <c r="BN15" s="21">
        <f t="shared" si="13"/>
        <v>46447</v>
      </c>
      <c r="BO15" s="111">
        <f t="shared" si="0"/>
        <v>46174</v>
      </c>
      <c r="BP15" s="112">
        <f t="shared" si="1"/>
        <v>46447</v>
      </c>
      <c r="BR15" s="27">
        <f t="shared" si="14"/>
        <v>0</v>
      </c>
      <c r="BS15" s="28">
        <f t="shared" si="2"/>
        <v>0</v>
      </c>
      <c r="BT15" s="28">
        <f t="shared" si="2"/>
        <v>0</v>
      </c>
      <c r="BU15" s="28">
        <f t="shared" si="2"/>
        <v>0</v>
      </c>
      <c r="BV15" s="28">
        <f t="shared" si="2"/>
        <v>0</v>
      </c>
      <c r="BW15" s="28">
        <f>IFERROR(IF(AND(BW$2&gt;=$BO15,BW$2&lt;=$BP15),$BB15/$BD15,0),0)</f>
        <v>200000</v>
      </c>
      <c r="BX15" s="28">
        <f t="shared" si="2"/>
        <v>200000</v>
      </c>
      <c r="BY15" s="28">
        <f t="shared" si="2"/>
        <v>200000</v>
      </c>
      <c r="BZ15" s="28">
        <f t="shared" si="2"/>
        <v>200000</v>
      </c>
      <c r="CA15" s="28">
        <f t="shared" si="2"/>
        <v>200000</v>
      </c>
      <c r="CB15" s="28">
        <f t="shared" si="2"/>
        <v>200000</v>
      </c>
      <c r="CC15" s="29">
        <f t="shared" si="2"/>
        <v>200000</v>
      </c>
      <c r="CD15" s="30">
        <f t="shared" si="15"/>
        <v>1400000</v>
      </c>
      <c r="CF15" s="27">
        <f t="shared" si="16"/>
        <v>0</v>
      </c>
      <c r="CG15" s="28">
        <f t="shared" si="3"/>
        <v>0</v>
      </c>
      <c r="CH15" s="28">
        <f t="shared" si="3"/>
        <v>0</v>
      </c>
      <c r="CI15" s="28">
        <f t="shared" si="3"/>
        <v>0</v>
      </c>
      <c r="CJ15" s="28">
        <f t="shared" si="3"/>
        <v>0</v>
      </c>
      <c r="CK15" s="28">
        <f t="shared" si="3"/>
        <v>18000</v>
      </c>
      <c r="CL15" s="28">
        <f t="shared" si="3"/>
        <v>18000</v>
      </c>
      <c r="CM15" s="28">
        <f t="shared" si="3"/>
        <v>18000</v>
      </c>
      <c r="CN15" s="28">
        <f t="shared" si="3"/>
        <v>18000</v>
      </c>
      <c r="CO15" s="28">
        <f t="shared" si="3"/>
        <v>18000</v>
      </c>
      <c r="CP15" s="28">
        <f t="shared" si="3"/>
        <v>18000</v>
      </c>
      <c r="CQ15" s="29">
        <f t="shared" si="3"/>
        <v>18000</v>
      </c>
      <c r="CR15" s="30">
        <f t="shared" si="17"/>
        <v>126000</v>
      </c>
      <c r="CT15" s="27">
        <f t="shared" si="18"/>
        <v>0</v>
      </c>
      <c r="CU15" s="28">
        <f t="shared" si="4"/>
        <v>0</v>
      </c>
      <c r="CV15" s="28">
        <f t="shared" si="4"/>
        <v>0</v>
      </c>
      <c r="CW15" s="28">
        <f t="shared" si="4"/>
        <v>0</v>
      </c>
      <c r="CX15" s="28">
        <f t="shared" si="4"/>
        <v>0</v>
      </c>
      <c r="CY15" s="28">
        <f t="shared" si="4"/>
        <v>80000</v>
      </c>
      <c r="CZ15" s="28">
        <f t="shared" si="4"/>
        <v>80000</v>
      </c>
      <c r="DA15" s="28">
        <f t="shared" si="4"/>
        <v>80000</v>
      </c>
      <c r="DB15" s="28">
        <f t="shared" si="4"/>
        <v>80000</v>
      </c>
      <c r="DC15" s="28">
        <f t="shared" si="4"/>
        <v>80000</v>
      </c>
      <c r="DD15" s="28">
        <f t="shared" si="4"/>
        <v>80000</v>
      </c>
      <c r="DE15" s="29">
        <f t="shared" si="4"/>
        <v>80000</v>
      </c>
      <c r="DF15" s="30">
        <f t="shared" si="19"/>
        <v>560000</v>
      </c>
      <c r="DH15" s="27">
        <f t="shared" si="20"/>
        <v>0</v>
      </c>
      <c r="DI15" s="28">
        <f t="shared" si="5"/>
        <v>0</v>
      </c>
      <c r="DJ15" s="28">
        <f t="shared" si="5"/>
        <v>0</v>
      </c>
      <c r="DK15" s="28">
        <f t="shared" si="5"/>
        <v>0</v>
      </c>
      <c r="DL15" s="28">
        <f t="shared" si="5"/>
        <v>0</v>
      </c>
      <c r="DM15" s="28">
        <f t="shared" si="5"/>
        <v>7200</v>
      </c>
      <c r="DN15" s="28">
        <f t="shared" si="5"/>
        <v>7200</v>
      </c>
      <c r="DO15" s="28">
        <f t="shared" si="5"/>
        <v>7200</v>
      </c>
      <c r="DP15" s="28">
        <f t="shared" si="5"/>
        <v>7200</v>
      </c>
      <c r="DQ15" s="28">
        <f t="shared" si="5"/>
        <v>7200</v>
      </c>
      <c r="DR15" s="28">
        <f t="shared" si="5"/>
        <v>7200</v>
      </c>
      <c r="DS15" s="29">
        <f t="shared" si="5"/>
        <v>7200</v>
      </c>
      <c r="DT15" s="30">
        <f t="shared" si="21"/>
        <v>50400</v>
      </c>
    </row>
    <row r="16" spans="1:124" x14ac:dyDescent="0.2">
      <c r="A16">
        <f t="shared" si="6"/>
        <v>17</v>
      </c>
      <c r="B16" s="49" t="str">
        <f>_xlfn.XLOOKUP(D16,Códigos_Propuestas!$B$4:$B$10,Códigos_Propuestas!$C$4:$C$10,"!",0,1)&amp;"__"&amp;
_xlfn.XLOOKUP(G16,Códigos_Propuestas!$E$4:$E$76,Códigos_Propuestas!$F$4:$F$76,"!",1)&amp;"__"&amp;
_xlfn.XLOOKUP(K16,Códigos_Propuestas!$I$4:$I$7,Códigos_Propuestas!$J$4:$J$7,"!",1)&amp;"__"&amp;
_xlfn.XLOOKUP(L16,Códigos_Propuestas!$O$4:$O$11,Códigos_Propuestas!$Q$4:$Q$11,"!",1)&amp;"__"&amp;
_xlfn.XLOOKUP(E16,Códigos_Propuestas!$BF:$BF,Códigos_Propuestas!$BH:$BH,"!",0,1)</f>
        <v>PE__ANT__UG__!__!</v>
      </c>
      <c r="C16" s="47">
        <f t="shared" si="22"/>
        <v>14</v>
      </c>
      <c r="D16" s="11" t="s">
        <v>62</v>
      </c>
      <c r="E16" s="12" t="s">
        <v>505</v>
      </c>
      <c r="F16" s="12"/>
      <c r="G16" s="13" t="s">
        <v>236</v>
      </c>
      <c r="H16" s="13" t="s">
        <v>236</v>
      </c>
      <c r="I16" s="13" t="s">
        <v>42</v>
      </c>
      <c r="J16" s="17" t="s">
        <v>44</v>
      </c>
      <c r="K16" s="13" t="s">
        <v>65</v>
      </c>
      <c r="L16" s="14"/>
      <c r="M16" s="14" t="str">
        <f>_xlfn.XLOOKUP(L16,Códigos_Propuestas!$O$4:$O$15,Códigos_Propuestas!$P$4:$P$15,"!",0,1)</f>
        <v>R+</v>
      </c>
      <c r="N16" s="14"/>
      <c r="O16" s="14"/>
      <c r="P16" s="14"/>
      <c r="Q16" s="14" t="s">
        <v>37</v>
      </c>
      <c r="R16" s="14" t="s">
        <v>151</v>
      </c>
      <c r="S16" s="14" t="s">
        <v>118</v>
      </c>
      <c r="T16" s="14" t="s">
        <v>93</v>
      </c>
      <c r="U16" s="13"/>
      <c r="V16" s="115"/>
      <c r="W16" s="116">
        <f t="shared" ca="1" si="7"/>
        <v>0</v>
      </c>
      <c r="X16" s="13" t="str">
        <f t="shared" ca="1" si="8"/>
        <v/>
      </c>
      <c r="Y16" s="14"/>
      <c r="Z16" s="115"/>
      <c r="AA16" s="130" t="b">
        <v>0</v>
      </c>
      <c r="AB16" s="115"/>
      <c r="AC16" s="130" t="b">
        <v>0</v>
      </c>
      <c r="AD16" s="115"/>
      <c r="AE16" s="130" t="b">
        <v>0</v>
      </c>
      <c r="AF16" s="13"/>
      <c r="AG16" s="13"/>
      <c r="AH16" s="130" t="b">
        <v>0</v>
      </c>
      <c r="AI16" s="13"/>
      <c r="AJ16" s="130" t="b">
        <v>0</v>
      </c>
      <c r="AK16" s="13"/>
      <c r="AL16" s="130" t="b">
        <v>0</v>
      </c>
      <c r="AM16" s="13"/>
      <c r="AN16" s="130" t="b">
        <v>0</v>
      </c>
      <c r="AO16" s="13"/>
      <c r="AP16" s="13"/>
      <c r="AQ16" s="130" t="b">
        <v>0</v>
      </c>
      <c r="AR16" s="130" t="b">
        <v>0</v>
      </c>
      <c r="AS16" s="130" t="b">
        <v>0</v>
      </c>
      <c r="AT16" s="130" t="b">
        <v>0</v>
      </c>
      <c r="AU16" s="130" t="b">
        <v>0</v>
      </c>
      <c r="AV16" s="11"/>
      <c r="AW16" s="11"/>
      <c r="AX16" s="11"/>
      <c r="AY16" s="11"/>
      <c r="AZ16" s="11"/>
      <c r="BA16" s="107"/>
      <c r="BB16" s="97">
        <v>600000</v>
      </c>
      <c r="BC16" s="97">
        <v>210000</v>
      </c>
      <c r="BD16" s="13">
        <v>8</v>
      </c>
      <c r="BE16" s="108">
        <v>0.6</v>
      </c>
      <c r="BF16" s="108">
        <v>0.4</v>
      </c>
      <c r="BG16" s="15">
        <f t="shared" si="9"/>
        <v>0.24</v>
      </c>
      <c r="BH16" s="18"/>
      <c r="BI16" s="18"/>
      <c r="BJ16" s="16">
        <v>46391</v>
      </c>
      <c r="BK16" s="19">
        <f t="shared" si="10"/>
        <v>144000</v>
      </c>
      <c r="BL16" s="19">
        <f t="shared" si="11"/>
        <v>50400</v>
      </c>
      <c r="BM16" s="20">
        <f t="shared" si="12"/>
        <v>46447</v>
      </c>
      <c r="BN16" s="21">
        <f t="shared" si="13"/>
        <v>46661</v>
      </c>
      <c r="BO16" s="111">
        <f t="shared" si="0"/>
        <v>46447</v>
      </c>
      <c r="BP16" s="112">
        <f t="shared" si="1"/>
        <v>46661</v>
      </c>
      <c r="BR16" s="27">
        <f t="shared" si="14"/>
        <v>0</v>
      </c>
      <c r="BS16" s="28">
        <f t="shared" si="2"/>
        <v>0</v>
      </c>
      <c r="BT16" s="28">
        <f t="shared" si="2"/>
        <v>0</v>
      </c>
      <c r="BU16" s="28">
        <f t="shared" si="2"/>
        <v>0</v>
      </c>
      <c r="BV16" s="28">
        <f t="shared" si="2"/>
        <v>0</v>
      </c>
      <c r="BW16" s="28">
        <f t="shared" si="2"/>
        <v>0</v>
      </c>
      <c r="BX16" s="28">
        <f t="shared" si="2"/>
        <v>0</v>
      </c>
      <c r="BY16" s="28">
        <f t="shared" si="2"/>
        <v>0</v>
      </c>
      <c r="BZ16" s="28">
        <f t="shared" si="2"/>
        <v>0</v>
      </c>
      <c r="CA16" s="28">
        <f t="shared" si="2"/>
        <v>0</v>
      </c>
      <c r="CB16" s="28">
        <f t="shared" si="2"/>
        <v>0</v>
      </c>
      <c r="CC16" s="29">
        <f t="shared" si="2"/>
        <v>0</v>
      </c>
      <c r="CD16" s="30">
        <f t="shared" si="15"/>
        <v>0</v>
      </c>
      <c r="CF16" s="27">
        <f t="shared" si="16"/>
        <v>0</v>
      </c>
      <c r="CG16" s="28">
        <f t="shared" si="3"/>
        <v>0</v>
      </c>
      <c r="CH16" s="28">
        <f t="shared" si="3"/>
        <v>0</v>
      </c>
      <c r="CI16" s="28">
        <f t="shared" si="3"/>
        <v>0</v>
      </c>
      <c r="CJ16" s="28">
        <f t="shared" si="3"/>
        <v>0</v>
      </c>
      <c r="CK16" s="28">
        <f t="shared" si="3"/>
        <v>0</v>
      </c>
      <c r="CL16" s="28">
        <f t="shared" si="3"/>
        <v>0</v>
      </c>
      <c r="CM16" s="28">
        <f t="shared" si="3"/>
        <v>0</v>
      </c>
      <c r="CN16" s="28">
        <f t="shared" si="3"/>
        <v>0</v>
      </c>
      <c r="CO16" s="28">
        <f t="shared" si="3"/>
        <v>0</v>
      </c>
      <c r="CP16" s="28">
        <f t="shared" si="3"/>
        <v>0</v>
      </c>
      <c r="CQ16" s="29">
        <f t="shared" si="3"/>
        <v>0</v>
      </c>
      <c r="CR16" s="30">
        <f t="shared" si="17"/>
        <v>0</v>
      </c>
      <c r="CT16" s="27">
        <f t="shared" si="18"/>
        <v>0</v>
      </c>
      <c r="CU16" s="28">
        <f t="shared" si="4"/>
        <v>0</v>
      </c>
      <c r="CV16" s="28">
        <f t="shared" si="4"/>
        <v>0</v>
      </c>
      <c r="CW16" s="28">
        <f t="shared" si="4"/>
        <v>0</v>
      </c>
      <c r="CX16" s="28">
        <f t="shared" si="4"/>
        <v>0</v>
      </c>
      <c r="CY16" s="28">
        <f t="shared" si="4"/>
        <v>0</v>
      </c>
      <c r="CZ16" s="28">
        <f t="shared" si="4"/>
        <v>0</v>
      </c>
      <c r="DA16" s="28">
        <f t="shared" si="4"/>
        <v>0</v>
      </c>
      <c r="DB16" s="28">
        <f t="shared" si="4"/>
        <v>0</v>
      </c>
      <c r="DC16" s="28">
        <f t="shared" si="4"/>
        <v>0</v>
      </c>
      <c r="DD16" s="28">
        <f t="shared" si="4"/>
        <v>0</v>
      </c>
      <c r="DE16" s="29">
        <f t="shared" si="4"/>
        <v>0</v>
      </c>
      <c r="DF16" s="30">
        <f t="shared" si="19"/>
        <v>0</v>
      </c>
      <c r="DH16" s="27">
        <f t="shared" si="20"/>
        <v>0</v>
      </c>
      <c r="DI16" s="28">
        <f t="shared" si="5"/>
        <v>0</v>
      </c>
      <c r="DJ16" s="28">
        <f t="shared" si="5"/>
        <v>0</v>
      </c>
      <c r="DK16" s="28">
        <f t="shared" si="5"/>
        <v>0</v>
      </c>
      <c r="DL16" s="28">
        <f t="shared" si="5"/>
        <v>0</v>
      </c>
      <c r="DM16" s="28">
        <f t="shared" si="5"/>
        <v>0</v>
      </c>
      <c r="DN16" s="28">
        <f t="shared" si="5"/>
        <v>0</v>
      </c>
      <c r="DO16" s="28">
        <f t="shared" si="5"/>
        <v>0</v>
      </c>
      <c r="DP16" s="28">
        <f t="shared" si="5"/>
        <v>0</v>
      </c>
      <c r="DQ16" s="28">
        <f t="shared" si="5"/>
        <v>0</v>
      </c>
      <c r="DR16" s="28">
        <f t="shared" si="5"/>
        <v>0</v>
      </c>
      <c r="DS16" s="29">
        <f t="shared" si="5"/>
        <v>0</v>
      </c>
      <c r="DT16" s="30">
        <f t="shared" si="21"/>
        <v>0</v>
      </c>
    </row>
    <row r="17" spans="1:124" x14ac:dyDescent="0.2">
      <c r="A17">
        <f t="shared" si="6"/>
        <v>17</v>
      </c>
      <c r="B17" s="49" t="str">
        <f>_xlfn.XLOOKUP(D17,Códigos_Propuestas!$B$4:$B$10,Códigos_Propuestas!$C$4:$C$10,"!",0,1)&amp;"__"&amp;
_xlfn.XLOOKUP(G17,Códigos_Propuestas!$E$4:$E$76,Códigos_Propuestas!$F$4:$F$76,"!",1)&amp;"__"&amp;
_xlfn.XLOOKUP(K17,Códigos_Propuestas!$I$4:$I$7,Códigos_Propuestas!$J$4:$J$7,"!",1)&amp;"__"&amp;
_xlfn.XLOOKUP(L17,Códigos_Propuestas!$O$4:$O$11,Códigos_Propuestas!$Q$4:$Q$11,"!",1)&amp;"__"&amp;
_xlfn.XLOOKUP(E17,Códigos_Propuestas!$BF:$BF,Códigos_Propuestas!$BH:$BH,"!",0,1)</f>
        <v>PE__CMP__OU__!__!</v>
      </c>
      <c r="C17" s="47">
        <f t="shared" si="22"/>
        <v>15</v>
      </c>
      <c r="D17" s="11" t="s">
        <v>62</v>
      </c>
      <c r="E17" s="12" t="s">
        <v>506</v>
      </c>
      <c r="F17" s="12"/>
      <c r="G17" s="13" t="s">
        <v>349</v>
      </c>
      <c r="H17" s="13" t="s">
        <v>349</v>
      </c>
      <c r="I17" s="13" t="s">
        <v>42</v>
      </c>
      <c r="J17" s="17" t="s">
        <v>44</v>
      </c>
      <c r="K17" s="13" t="s">
        <v>116</v>
      </c>
      <c r="L17" s="14"/>
      <c r="M17" s="14" t="str">
        <f>_xlfn.XLOOKUP(L17,Códigos_Propuestas!$O$4:$O$15,Códigos_Propuestas!$P$4:$P$15,"!",0,1)</f>
        <v>R+</v>
      </c>
      <c r="N17" s="14"/>
      <c r="O17" s="14"/>
      <c r="P17" s="14"/>
      <c r="Q17" s="14" t="s">
        <v>37</v>
      </c>
      <c r="R17" s="14" t="s">
        <v>118</v>
      </c>
      <c r="S17" s="14"/>
      <c r="T17" s="14"/>
      <c r="U17" s="13"/>
      <c r="V17" s="115"/>
      <c r="W17" s="116">
        <f t="shared" ca="1" si="7"/>
        <v>0</v>
      </c>
      <c r="X17" s="13" t="str">
        <f t="shared" ca="1" si="8"/>
        <v/>
      </c>
      <c r="Y17" s="14"/>
      <c r="Z17" s="115"/>
      <c r="AA17" s="130" t="b">
        <v>0</v>
      </c>
      <c r="AB17" s="115"/>
      <c r="AC17" s="130" t="b">
        <v>0</v>
      </c>
      <c r="AD17" s="115"/>
      <c r="AE17" s="130" t="b">
        <v>0</v>
      </c>
      <c r="AF17" s="13"/>
      <c r="AG17" s="13"/>
      <c r="AH17" s="130" t="b">
        <v>0</v>
      </c>
      <c r="AI17" s="13"/>
      <c r="AJ17" s="130" t="b">
        <v>0</v>
      </c>
      <c r="AK17" s="13"/>
      <c r="AL17" s="130" t="b">
        <v>0</v>
      </c>
      <c r="AM17" s="13"/>
      <c r="AN17" s="130" t="b">
        <v>0</v>
      </c>
      <c r="AO17" s="13"/>
      <c r="AP17" s="13"/>
      <c r="AQ17" s="130" t="b">
        <v>0</v>
      </c>
      <c r="AR17" s="130" t="b">
        <v>0</v>
      </c>
      <c r="AS17" s="130" t="b">
        <v>0</v>
      </c>
      <c r="AT17" s="130" t="b">
        <v>0</v>
      </c>
      <c r="AU17" s="130" t="b">
        <v>0</v>
      </c>
      <c r="AV17" s="11"/>
      <c r="AW17" s="11"/>
      <c r="AX17" s="11"/>
      <c r="AY17" s="11"/>
      <c r="AZ17" s="11"/>
      <c r="BA17" s="107"/>
      <c r="BB17" s="97">
        <v>400000</v>
      </c>
      <c r="BC17" s="97">
        <v>140000</v>
      </c>
      <c r="BD17" s="13">
        <v>8</v>
      </c>
      <c r="BE17" s="108">
        <v>0.6</v>
      </c>
      <c r="BF17" s="108">
        <v>0.4</v>
      </c>
      <c r="BG17" s="15">
        <f t="shared" si="9"/>
        <v>0.24</v>
      </c>
      <c r="BH17" s="18"/>
      <c r="BI17" s="18"/>
      <c r="BJ17" s="16">
        <v>46296</v>
      </c>
      <c r="BK17" s="19">
        <f t="shared" si="10"/>
        <v>96000</v>
      </c>
      <c r="BL17" s="19">
        <f t="shared" si="11"/>
        <v>33600</v>
      </c>
      <c r="BM17" s="20">
        <f t="shared" si="12"/>
        <v>46327</v>
      </c>
      <c r="BN17" s="21">
        <f t="shared" si="13"/>
        <v>46539</v>
      </c>
      <c r="BO17" s="111">
        <f t="shared" si="0"/>
        <v>46327</v>
      </c>
      <c r="BP17" s="112">
        <f t="shared" si="1"/>
        <v>46539</v>
      </c>
      <c r="BR17" s="27">
        <f t="shared" si="14"/>
        <v>0</v>
      </c>
      <c r="BS17" s="28">
        <f t="shared" si="2"/>
        <v>0</v>
      </c>
      <c r="BT17" s="28">
        <f t="shared" si="2"/>
        <v>0</v>
      </c>
      <c r="BU17" s="28">
        <f t="shared" si="2"/>
        <v>0</v>
      </c>
      <c r="BV17" s="28">
        <f t="shared" si="2"/>
        <v>0</v>
      </c>
      <c r="BW17" s="28">
        <f t="shared" si="2"/>
        <v>0</v>
      </c>
      <c r="BX17" s="28">
        <f t="shared" si="2"/>
        <v>0</v>
      </c>
      <c r="BY17" s="28">
        <f t="shared" si="2"/>
        <v>0</v>
      </c>
      <c r="BZ17" s="28">
        <f t="shared" si="2"/>
        <v>0</v>
      </c>
      <c r="CA17" s="28">
        <f t="shared" si="2"/>
        <v>0</v>
      </c>
      <c r="CB17" s="28">
        <f t="shared" si="2"/>
        <v>50000</v>
      </c>
      <c r="CC17" s="29">
        <f t="shared" si="2"/>
        <v>50000</v>
      </c>
      <c r="CD17" s="30">
        <f t="shared" si="15"/>
        <v>100000</v>
      </c>
      <c r="CF17" s="27">
        <f t="shared" si="16"/>
        <v>0</v>
      </c>
      <c r="CG17" s="28">
        <f t="shared" si="3"/>
        <v>0</v>
      </c>
      <c r="CH17" s="28">
        <f t="shared" si="3"/>
        <v>0</v>
      </c>
      <c r="CI17" s="28">
        <f t="shared" si="3"/>
        <v>0</v>
      </c>
      <c r="CJ17" s="28">
        <f t="shared" si="3"/>
        <v>0</v>
      </c>
      <c r="CK17" s="28">
        <f t="shared" si="3"/>
        <v>0</v>
      </c>
      <c r="CL17" s="28">
        <f t="shared" si="3"/>
        <v>0</v>
      </c>
      <c r="CM17" s="28">
        <f t="shared" si="3"/>
        <v>0</v>
      </c>
      <c r="CN17" s="28">
        <f t="shared" si="3"/>
        <v>0</v>
      </c>
      <c r="CO17" s="28">
        <f t="shared" si="3"/>
        <v>0</v>
      </c>
      <c r="CP17" s="28">
        <f t="shared" si="3"/>
        <v>12000</v>
      </c>
      <c r="CQ17" s="29">
        <f t="shared" si="3"/>
        <v>12000</v>
      </c>
      <c r="CR17" s="30">
        <f t="shared" si="17"/>
        <v>24000</v>
      </c>
      <c r="CT17" s="27">
        <f t="shared" si="18"/>
        <v>0</v>
      </c>
      <c r="CU17" s="28">
        <f t="shared" si="4"/>
        <v>0</v>
      </c>
      <c r="CV17" s="28">
        <f t="shared" si="4"/>
        <v>0</v>
      </c>
      <c r="CW17" s="28">
        <f t="shared" si="4"/>
        <v>0</v>
      </c>
      <c r="CX17" s="28">
        <f t="shared" si="4"/>
        <v>0</v>
      </c>
      <c r="CY17" s="28">
        <f t="shared" si="4"/>
        <v>0</v>
      </c>
      <c r="CZ17" s="28">
        <f t="shared" si="4"/>
        <v>0</v>
      </c>
      <c r="DA17" s="28">
        <f t="shared" si="4"/>
        <v>0</v>
      </c>
      <c r="DB17" s="28">
        <f t="shared" si="4"/>
        <v>0</v>
      </c>
      <c r="DC17" s="28">
        <f t="shared" si="4"/>
        <v>0</v>
      </c>
      <c r="DD17" s="28">
        <f t="shared" si="4"/>
        <v>17500</v>
      </c>
      <c r="DE17" s="29">
        <f t="shared" si="4"/>
        <v>17500</v>
      </c>
      <c r="DF17" s="30">
        <f t="shared" si="19"/>
        <v>35000</v>
      </c>
      <c r="DH17" s="27">
        <f t="shared" si="20"/>
        <v>0</v>
      </c>
      <c r="DI17" s="28">
        <f t="shared" si="5"/>
        <v>0</v>
      </c>
      <c r="DJ17" s="28">
        <f t="shared" si="5"/>
        <v>0</v>
      </c>
      <c r="DK17" s="28">
        <f t="shared" si="5"/>
        <v>0</v>
      </c>
      <c r="DL17" s="28">
        <f t="shared" si="5"/>
        <v>0</v>
      </c>
      <c r="DM17" s="28">
        <f t="shared" si="5"/>
        <v>0</v>
      </c>
      <c r="DN17" s="28">
        <f t="shared" si="5"/>
        <v>0</v>
      </c>
      <c r="DO17" s="28">
        <f t="shared" si="5"/>
        <v>0</v>
      </c>
      <c r="DP17" s="28">
        <f t="shared" si="5"/>
        <v>0</v>
      </c>
      <c r="DQ17" s="28">
        <f t="shared" si="5"/>
        <v>0</v>
      </c>
      <c r="DR17" s="28">
        <f t="shared" si="5"/>
        <v>4200</v>
      </c>
      <c r="DS17" s="29">
        <f t="shared" si="5"/>
        <v>4200</v>
      </c>
      <c r="DT17" s="30">
        <f t="shared" si="21"/>
        <v>8400</v>
      </c>
    </row>
    <row r="18" spans="1:124" x14ac:dyDescent="0.2">
      <c r="A18">
        <f t="shared" si="6"/>
        <v>17</v>
      </c>
      <c r="B18" s="49" t="str">
        <f>_xlfn.XLOOKUP(D18,Códigos_Propuestas!$B$4:$B$10,Códigos_Propuestas!$C$4:$C$10,"!",0,1)&amp;"__"&amp;
_xlfn.XLOOKUP(G18,Códigos_Propuestas!$E$4:$E$76,Códigos_Propuestas!$F$4:$F$76,"!",1)&amp;"__"&amp;
_xlfn.XLOOKUP(K18,Códigos_Propuestas!$I$4:$I$7,Códigos_Propuestas!$J$4:$J$7,"!",1)&amp;"__"&amp;
_xlfn.XLOOKUP(L18,Códigos_Propuestas!$O$4:$O$11,Códigos_Propuestas!$Q$4:$Q$11,"!",1)&amp;"__"&amp;
_xlfn.XLOOKUP(E18,Códigos_Propuestas!$BF:$BF,Códigos_Propuestas!$BH:$BH,"!",0,1)</f>
        <v>PE__SPM__OP__!__!</v>
      </c>
      <c r="C18" s="47">
        <f t="shared" si="22"/>
        <v>16</v>
      </c>
      <c r="D18" s="11" t="s">
        <v>62</v>
      </c>
      <c r="E18" s="12" t="s">
        <v>507</v>
      </c>
      <c r="F18" s="12"/>
      <c r="G18" s="13" t="s">
        <v>351</v>
      </c>
      <c r="H18" s="13" t="s">
        <v>508</v>
      </c>
      <c r="I18" s="13" t="s">
        <v>42</v>
      </c>
      <c r="J18" s="17" t="s">
        <v>44</v>
      </c>
      <c r="K18" s="13" t="s">
        <v>92</v>
      </c>
      <c r="L18" s="14"/>
      <c r="M18" s="14" t="str">
        <f>_xlfn.XLOOKUP(L18,Códigos_Propuestas!$O$4:$O$15,Códigos_Propuestas!$P$4:$P$15,"!",0,1)</f>
        <v>R+</v>
      </c>
      <c r="N18" s="14"/>
      <c r="O18" s="14"/>
      <c r="P18" s="14"/>
      <c r="Q18" s="14" t="s">
        <v>37</v>
      </c>
      <c r="R18" s="14"/>
      <c r="S18" s="14"/>
      <c r="T18" s="14"/>
      <c r="U18" s="13"/>
      <c r="V18" s="115"/>
      <c r="W18" s="116">
        <f t="shared" ca="1" si="7"/>
        <v>0</v>
      </c>
      <c r="X18" s="13" t="str">
        <f t="shared" ca="1" si="8"/>
        <v/>
      </c>
      <c r="Y18" s="14"/>
      <c r="Z18" s="115"/>
      <c r="AA18" s="130" t="b">
        <v>0</v>
      </c>
      <c r="AB18" s="115"/>
      <c r="AC18" s="130" t="b">
        <v>0</v>
      </c>
      <c r="AD18" s="115"/>
      <c r="AE18" s="130" t="b">
        <v>0</v>
      </c>
      <c r="AF18" s="13"/>
      <c r="AG18" s="13"/>
      <c r="AH18" s="130" t="b">
        <v>0</v>
      </c>
      <c r="AI18" s="13"/>
      <c r="AJ18" s="130" t="b">
        <v>0</v>
      </c>
      <c r="AK18" s="13"/>
      <c r="AL18" s="130" t="b">
        <v>0</v>
      </c>
      <c r="AM18" s="13"/>
      <c r="AN18" s="130" t="b">
        <v>0</v>
      </c>
      <c r="AO18" s="13"/>
      <c r="AP18" s="13"/>
      <c r="AQ18" s="130" t="b">
        <v>0</v>
      </c>
      <c r="AR18" s="130" t="b">
        <v>0</v>
      </c>
      <c r="AS18" s="130" t="b">
        <v>0</v>
      </c>
      <c r="AT18" s="130" t="b">
        <v>0</v>
      </c>
      <c r="AU18" s="130" t="b">
        <v>0</v>
      </c>
      <c r="AV18" s="11"/>
      <c r="AW18" s="11"/>
      <c r="AX18" s="11"/>
      <c r="AY18" s="11"/>
      <c r="AZ18" s="11"/>
      <c r="BA18" s="107"/>
      <c r="BB18" s="97">
        <v>400000</v>
      </c>
      <c r="BC18" s="97">
        <v>140000</v>
      </c>
      <c r="BD18" s="13">
        <v>8</v>
      </c>
      <c r="BE18" s="108">
        <v>0.7</v>
      </c>
      <c r="BF18" s="108">
        <v>0.3</v>
      </c>
      <c r="BG18" s="15">
        <f t="shared" si="9"/>
        <v>0.21</v>
      </c>
      <c r="BH18" s="18"/>
      <c r="BI18" s="18"/>
      <c r="BJ18" s="16">
        <v>46174</v>
      </c>
      <c r="BK18" s="19">
        <f t="shared" si="10"/>
        <v>84000</v>
      </c>
      <c r="BL18" s="19">
        <f t="shared" si="11"/>
        <v>29400</v>
      </c>
      <c r="BM18" s="20"/>
      <c r="BN18" s="21"/>
      <c r="BO18" s="111"/>
      <c r="BP18" s="112"/>
      <c r="BR18" s="27">
        <f t="shared" si="14"/>
        <v>0</v>
      </c>
      <c r="BS18" s="28">
        <f t="shared" si="2"/>
        <v>0</v>
      </c>
      <c r="BT18" s="28">
        <f t="shared" si="2"/>
        <v>0</v>
      </c>
      <c r="BU18" s="28">
        <f t="shared" si="2"/>
        <v>0</v>
      </c>
      <c r="BV18" s="28">
        <f t="shared" si="2"/>
        <v>0</v>
      </c>
      <c r="BW18" s="28">
        <f t="shared" si="2"/>
        <v>0</v>
      </c>
      <c r="BX18" s="28">
        <f t="shared" si="2"/>
        <v>0</v>
      </c>
      <c r="BY18" s="28">
        <f t="shared" si="2"/>
        <v>0</v>
      </c>
      <c r="BZ18" s="28">
        <f t="shared" si="2"/>
        <v>0</v>
      </c>
      <c r="CA18" s="28">
        <f t="shared" si="2"/>
        <v>0</v>
      </c>
      <c r="CB18" s="28">
        <f t="shared" si="2"/>
        <v>0</v>
      </c>
      <c r="CC18" s="29">
        <f t="shared" si="2"/>
        <v>0</v>
      </c>
      <c r="CD18" s="30">
        <f t="shared" si="15"/>
        <v>0</v>
      </c>
      <c r="CF18" s="27">
        <f t="shared" si="16"/>
        <v>0</v>
      </c>
      <c r="CG18" s="28">
        <f t="shared" si="3"/>
        <v>0</v>
      </c>
      <c r="CH18" s="28">
        <f t="shared" si="3"/>
        <v>0</v>
      </c>
      <c r="CI18" s="28">
        <f t="shared" si="3"/>
        <v>0</v>
      </c>
      <c r="CJ18" s="28">
        <f t="shared" si="3"/>
        <v>0</v>
      </c>
      <c r="CK18" s="28">
        <f t="shared" si="3"/>
        <v>0</v>
      </c>
      <c r="CL18" s="28">
        <f t="shared" si="3"/>
        <v>0</v>
      </c>
      <c r="CM18" s="28">
        <f t="shared" si="3"/>
        <v>0</v>
      </c>
      <c r="CN18" s="28">
        <f t="shared" si="3"/>
        <v>0</v>
      </c>
      <c r="CO18" s="28">
        <f t="shared" si="3"/>
        <v>0</v>
      </c>
      <c r="CP18" s="28">
        <f t="shared" si="3"/>
        <v>0</v>
      </c>
      <c r="CQ18" s="29">
        <f t="shared" si="3"/>
        <v>0</v>
      </c>
      <c r="CR18" s="30">
        <f t="shared" si="17"/>
        <v>0</v>
      </c>
      <c r="CT18" s="27">
        <f t="shared" si="18"/>
        <v>0</v>
      </c>
      <c r="CU18" s="28">
        <f t="shared" si="4"/>
        <v>0</v>
      </c>
      <c r="CV18" s="28">
        <f t="shared" si="4"/>
        <v>0</v>
      </c>
      <c r="CW18" s="28">
        <f t="shared" si="4"/>
        <v>0</v>
      </c>
      <c r="CX18" s="28">
        <f t="shared" si="4"/>
        <v>0</v>
      </c>
      <c r="CY18" s="28">
        <f t="shared" si="4"/>
        <v>0</v>
      </c>
      <c r="CZ18" s="28">
        <f t="shared" si="4"/>
        <v>0</v>
      </c>
      <c r="DA18" s="28">
        <f t="shared" si="4"/>
        <v>0</v>
      </c>
      <c r="DB18" s="28">
        <f t="shared" si="4"/>
        <v>0</v>
      </c>
      <c r="DC18" s="28">
        <f t="shared" si="4"/>
        <v>0</v>
      </c>
      <c r="DD18" s="28">
        <f t="shared" si="4"/>
        <v>0</v>
      </c>
      <c r="DE18" s="29">
        <f t="shared" si="4"/>
        <v>0</v>
      </c>
      <c r="DF18" s="30">
        <f t="shared" si="19"/>
        <v>0</v>
      </c>
      <c r="DH18" s="27">
        <f t="shared" si="20"/>
        <v>0</v>
      </c>
      <c r="DI18" s="28">
        <f t="shared" si="5"/>
        <v>0</v>
      </c>
      <c r="DJ18" s="28">
        <f t="shared" si="5"/>
        <v>0</v>
      </c>
      <c r="DK18" s="28">
        <f t="shared" si="5"/>
        <v>0</v>
      </c>
      <c r="DL18" s="28">
        <f t="shared" si="5"/>
        <v>0</v>
      </c>
      <c r="DM18" s="28">
        <f t="shared" si="5"/>
        <v>0</v>
      </c>
      <c r="DN18" s="28">
        <f t="shared" si="5"/>
        <v>0</v>
      </c>
      <c r="DO18" s="28">
        <f t="shared" si="5"/>
        <v>0</v>
      </c>
      <c r="DP18" s="28">
        <f t="shared" si="5"/>
        <v>0</v>
      </c>
      <c r="DQ18" s="28">
        <f t="shared" si="5"/>
        <v>0</v>
      </c>
      <c r="DR18" s="28">
        <f t="shared" si="5"/>
        <v>0</v>
      </c>
      <c r="DS18" s="29">
        <f t="shared" si="5"/>
        <v>0</v>
      </c>
      <c r="DT18" s="30">
        <f t="shared" si="21"/>
        <v>0</v>
      </c>
    </row>
    <row r="19" spans="1:124" x14ac:dyDescent="0.2">
      <c r="A19">
        <f t="shared" si="6"/>
        <v>17</v>
      </c>
      <c r="B19" s="49" t="str">
        <f>_xlfn.XLOOKUP(D19,Códigos_Propuestas!$B$4:$B$10,Códigos_Propuestas!$C$4:$C$10,"!",0,1)&amp;"__"&amp;
_xlfn.XLOOKUP(G19,Códigos_Propuestas!$E$4:$E$76,Códigos_Propuestas!$F$4:$F$76,"!",1)&amp;"__"&amp;
_xlfn.XLOOKUP(K19,Códigos_Propuestas!$I$4:$I$7,Códigos_Propuestas!$J$4:$J$7,"!",1)&amp;"__"&amp;
_xlfn.XLOOKUP(L19,Códigos_Propuestas!$O$4:$O$11,Códigos_Propuestas!$Q$4:$Q$11,"!",1)&amp;"__"&amp;
_xlfn.XLOOKUP(E19,Códigos_Propuestas!$BF:$BF,Códigos_Propuestas!$BH:$BH,"!",0,1)</f>
        <v>PE__ANT__OU__!__!</v>
      </c>
      <c r="C19" s="47">
        <f t="shared" si="22"/>
        <v>17</v>
      </c>
      <c r="D19" s="11" t="s">
        <v>62</v>
      </c>
      <c r="E19" s="12" t="s">
        <v>509</v>
      </c>
      <c r="F19" s="12"/>
      <c r="G19" s="13" t="s">
        <v>236</v>
      </c>
      <c r="H19" s="13" t="s">
        <v>236</v>
      </c>
      <c r="I19" s="13" t="s">
        <v>42</v>
      </c>
      <c r="J19" s="17" t="s">
        <v>44</v>
      </c>
      <c r="K19" s="13" t="s">
        <v>116</v>
      </c>
      <c r="L19" s="14"/>
      <c r="M19" s="14" t="str">
        <f>_xlfn.XLOOKUP(L19,Códigos_Propuestas!$O$4:$O$15,Códigos_Propuestas!$P$4:$P$15,"!",0,1)</f>
        <v>R+</v>
      </c>
      <c r="N19" s="14"/>
      <c r="O19" s="14"/>
      <c r="P19" s="14"/>
      <c r="Q19" s="14" t="s">
        <v>37</v>
      </c>
      <c r="R19" s="14" t="s">
        <v>151</v>
      </c>
      <c r="S19" s="14" t="s">
        <v>118</v>
      </c>
      <c r="T19" s="14" t="s">
        <v>93</v>
      </c>
      <c r="U19" s="13"/>
      <c r="V19" s="13"/>
      <c r="W19" s="116">
        <f t="shared" ca="1" si="7"/>
        <v>0</v>
      </c>
      <c r="X19" s="13" t="str">
        <f t="shared" ca="1" si="8"/>
        <v/>
      </c>
      <c r="Y19" s="14"/>
      <c r="Z19" s="115"/>
      <c r="AA19" s="130" t="b">
        <v>0</v>
      </c>
      <c r="AB19" s="115"/>
      <c r="AC19" s="130" t="b">
        <v>0</v>
      </c>
      <c r="AD19" s="115"/>
      <c r="AE19" s="130" t="b">
        <v>0</v>
      </c>
      <c r="AF19" s="13"/>
      <c r="AG19" s="13"/>
      <c r="AH19" s="130" t="b">
        <v>0</v>
      </c>
      <c r="AI19" s="13"/>
      <c r="AJ19" s="130" t="b">
        <v>0</v>
      </c>
      <c r="AK19" s="13"/>
      <c r="AL19" s="130" t="b">
        <v>0</v>
      </c>
      <c r="AM19" s="13"/>
      <c r="AN19" s="130" t="b">
        <v>0</v>
      </c>
      <c r="AO19" s="13"/>
      <c r="AP19" s="13"/>
      <c r="AQ19" s="130" t="b">
        <v>0</v>
      </c>
      <c r="AR19" s="130" t="b">
        <v>0</v>
      </c>
      <c r="AS19" s="130" t="b">
        <v>0</v>
      </c>
      <c r="AT19" s="130" t="b">
        <v>0</v>
      </c>
      <c r="AU19" s="130" t="b">
        <v>0</v>
      </c>
      <c r="AV19" s="11"/>
      <c r="AW19" s="11"/>
      <c r="AX19" s="11"/>
      <c r="AY19" s="11"/>
      <c r="AZ19" s="11"/>
      <c r="BA19" s="107"/>
      <c r="BB19" s="97">
        <v>800000</v>
      </c>
      <c r="BC19" s="97">
        <v>280000</v>
      </c>
      <c r="BD19" s="13">
        <v>10</v>
      </c>
      <c r="BE19" s="108">
        <v>0.7</v>
      </c>
      <c r="BF19" s="108">
        <v>0.3</v>
      </c>
      <c r="BG19" s="15">
        <f t="shared" si="9"/>
        <v>0.21</v>
      </c>
      <c r="BH19" s="18"/>
      <c r="BI19" s="18"/>
      <c r="BJ19" s="16">
        <v>46631</v>
      </c>
      <c r="BK19" s="19">
        <f t="shared" si="10"/>
        <v>168000</v>
      </c>
      <c r="BL19" s="19">
        <f t="shared" si="11"/>
        <v>58800</v>
      </c>
      <c r="BM19" s="20"/>
      <c r="BN19" s="21"/>
      <c r="BO19" s="111"/>
      <c r="BP19" s="112"/>
      <c r="BR19" s="27">
        <f t="shared" si="14"/>
        <v>0</v>
      </c>
      <c r="BS19" s="28">
        <f t="shared" si="14"/>
        <v>0</v>
      </c>
      <c r="BT19" s="28">
        <f t="shared" si="14"/>
        <v>0</v>
      </c>
      <c r="BU19" s="28">
        <f t="shared" si="14"/>
        <v>0</v>
      </c>
      <c r="BV19" s="28">
        <f t="shared" si="14"/>
        <v>0</v>
      </c>
      <c r="BW19" s="28">
        <f t="shared" si="14"/>
        <v>0</v>
      </c>
      <c r="BX19" s="28">
        <f t="shared" si="14"/>
        <v>0</v>
      </c>
      <c r="BY19" s="28">
        <f t="shared" si="14"/>
        <v>0</v>
      </c>
      <c r="BZ19" s="28">
        <f t="shared" si="14"/>
        <v>0</v>
      </c>
      <c r="CA19" s="28">
        <f t="shared" si="14"/>
        <v>0</v>
      </c>
      <c r="CB19" s="28">
        <f t="shared" si="14"/>
        <v>0</v>
      </c>
      <c r="CC19" s="29">
        <f t="shared" si="14"/>
        <v>0</v>
      </c>
      <c r="CD19" s="30">
        <f t="shared" si="15"/>
        <v>0</v>
      </c>
      <c r="CF19" s="27">
        <f t="shared" si="16"/>
        <v>0</v>
      </c>
      <c r="CG19" s="28">
        <f t="shared" si="16"/>
        <v>0</v>
      </c>
      <c r="CH19" s="28">
        <f t="shared" si="16"/>
        <v>0</v>
      </c>
      <c r="CI19" s="28">
        <f t="shared" si="16"/>
        <v>0</v>
      </c>
      <c r="CJ19" s="28">
        <f t="shared" si="16"/>
        <v>0</v>
      </c>
      <c r="CK19" s="28">
        <f t="shared" si="16"/>
        <v>0</v>
      </c>
      <c r="CL19" s="28">
        <f t="shared" si="16"/>
        <v>0</v>
      </c>
      <c r="CM19" s="28">
        <f t="shared" si="16"/>
        <v>0</v>
      </c>
      <c r="CN19" s="28">
        <f t="shared" si="16"/>
        <v>0</v>
      </c>
      <c r="CO19" s="28">
        <f t="shared" si="16"/>
        <v>0</v>
      </c>
      <c r="CP19" s="28">
        <f t="shared" si="16"/>
        <v>0</v>
      </c>
      <c r="CQ19" s="29">
        <f t="shared" si="16"/>
        <v>0</v>
      </c>
      <c r="CR19" s="30">
        <f t="shared" si="17"/>
        <v>0</v>
      </c>
      <c r="CT19" s="27">
        <f t="shared" si="18"/>
        <v>0</v>
      </c>
      <c r="CU19" s="28">
        <f t="shared" si="18"/>
        <v>0</v>
      </c>
      <c r="CV19" s="28">
        <f t="shared" si="18"/>
        <v>0</v>
      </c>
      <c r="CW19" s="28">
        <f t="shared" si="18"/>
        <v>0</v>
      </c>
      <c r="CX19" s="28">
        <f t="shared" si="18"/>
        <v>0</v>
      </c>
      <c r="CY19" s="28">
        <f t="shared" si="18"/>
        <v>0</v>
      </c>
      <c r="CZ19" s="28">
        <f t="shared" si="18"/>
        <v>0</v>
      </c>
      <c r="DA19" s="28">
        <f t="shared" si="18"/>
        <v>0</v>
      </c>
      <c r="DB19" s="28">
        <f t="shared" si="18"/>
        <v>0</v>
      </c>
      <c r="DC19" s="28">
        <f t="shared" si="18"/>
        <v>0</v>
      </c>
      <c r="DD19" s="28">
        <f t="shared" si="18"/>
        <v>0</v>
      </c>
      <c r="DE19" s="29">
        <f t="shared" si="18"/>
        <v>0</v>
      </c>
      <c r="DF19" s="30">
        <f t="shared" si="19"/>
        <v>0</v>
      </c>
      <c r="DH19" s="27">
        <f t="shared" si="20"/>
        <v>0</v>
      </c>
      <c r="DI19" s="28">
        <f t="shared" si="20"/>
        <v>0</v>
      </c>
      <c r="DJ19" s="28">
        <f t="shared" si="20"/>
        <v>0</v>
      </c>
      <c r="DK19" s="28">
        <f t="shared" si="20"/>
        <v>0</v>
      </c>
      <c r="DL19" s="28">
        <f t="shared" si="20"/>
        <v>0</v>
      </c>
      <c r="DM19" s="28">
        <f t="shared" si="20"/>
        <v>0</v>
      </c>
      <c r="DN19" s="28">
        <f t="shared" si="20"/>
        <v>0</v>
      </c>
      <c r="DO19" s="28">
        <f t="shared" si="20"/>
        <v>0</v>
      </c>
      <c r="DP19" s="28">
        <f t="shared" si="20"/>
        <v>0</v>
      </c>
      <c r="DQ19" s="28">
        <f t="shared" si="20"/>
        <v>0</v>
      </c>
      <c r="DR19" s="28">
        <f t="shared" si="20"/>
        <v>0</v>
      </c>
      <c r="DS19" s="29">
        <f t="shared" si="20"/>
        <v>0</v>
      </c>
      <c r="DT19" s="30">
        <f t="shared" si="21"/>
        <v>0</v>
      </c>
    </row>
    <row r="20" spans="1:124" x14ac:dyDescent="0.2">
      <c r="A20">
        <f t="shared" si="6"/>
        <v>17</v>
      </c>
      <c r="B20" s="49" t="str">
        <f>_xlfn.XLOOKUP(D20,Códigos_Propuestas!$B$4:$B$10,Códigos_Propuestas!$C$4:$C$10,"!",0,1)&amp;"__"&amp;
_xlfn.XLOOKUP(G20,Códigos_Propuestas!$E$4:$E$76,Códigos_Propuestas!$F$4:$F$76,"!",1)&amp;"__"&amp;
_xlfn.XLOOKUP(K20,Códigos_Propuestas!$I$4:$I$7,Códigos_Propuestas!$J$4:$J$7,"!",1)&amp;"__"&amp;
_xlfn.XLOOKUP(L20,Códigos_Propuestas!$O$4:$O$11,Códigos_Propuestas!$Q$4:$Q$11,"!",1)&amp;"__"&amp;
_xlfn.XLOOKUP(E20,Códigos_Propuestas!$BF:$BF,Códigos_Propuestas!$BH:$BH,"!",0,1)</f>
        <v>PE__MMG__UG__!__!</v>
      </c>
      <c r="C20" s="47">
        <f t="shared" si="22"/>
        <v>18</v>
      </c>
      <c r="D20" s="11" t="s">
        <v>62</v>
      </c>
      <c r="E20" s="12" t="s">
        <v>510</v>
      </c>
      <c r="F20" s="12"/>
      <c r="G20" s="13" t="s">
        <v>213</v>
      </c>
      <c r="H20" s="13" t="s">
        <v>500</v>
      </c>
      <c r="I20" s="13" t="s">
        <v>42</v>
      </c>
      <c r="J20" s="17" t="s">
        <v>44</v>
      </c>
      <c r="K20" s="13" t="s">
        <v>65</v>
      </c>
      <c r="L20" s="14"/>
      <c r="M20" s="14" t="str">
        <f>_xlfn.XLOOKUP(L20,Códigos_Propuestas!$O$4:$O$15,Códigos_Propuestas!$P$4:$P$15,"!",0,1)</f>
        <v>R+</v>
      </c>
      <c r="N20" s="14"/>
      <c r="O20" s="14"/>
      <c r="P20" s="14"/>
      <c r="Q20" s="14" t="s">
        <v>37</v>
      </c>
      <c r="R20" s="14" t="s">
        <v>118</v>
      </c>
      <c r="S20" s="14"/>
      <c r="T20" s="14"/>
      <c r="U20" s="13"/>
      <c r="V20" s="13"/>
      <c r="W20" s="116">
        <f t="shared" ca="1" si="7"/>
        <v>0</v>
      </c>
      <c r="X20" s="13" t="str">
        <f t="shared" ca="1" si="8"/>
        <v/>
      </c>
      <c r="Y20" s="14"/>
      <c r="Z20" s="115"/>
      <c r="AA20" s="130" t="b">
        <v>0</v>
      </c>
      <c r="AB20" s="115"/>
      <c r="AC20" s="130" t="b">
        <v>0</v>
      </c>
      <c r="AD20" s="115"/>
      <c r="AE20" s="130" t="b">
        <v>0</v>
      </c>
      <c r="AF20" s="13"/>
      <c r="AG20" s="13"/>
      <c r="AH20" s="130" t="b">
        <v>0</v>
      </c>
      <c r="AI20" s="13"/>
      <c r="AJ20" s="130" t="b">
        <v>0</v>
      </c>
      <c r="AK20" s="13"/>
      <c r="AL20" s="130" t="b">
        <v>0</v>
      </c>
      <c r="AM20" s="13"/>
      <c r="AN20" s="130" t="b">
        <v>0</v>
      </c>
      <c r="AO20" s="13"/>
      <c r="AP20" s="13"/>
      <c r="AQ20" s="130" t="b">
        <v>0</v>
      </c>
      <c r="AR20" s="130" t="b">
        <v>0</v>
      </c>
      <c r="AS20" s="130" t="b">
        <v>0</v>
      </c>
      <c r="AT20" s="130" t="b">
        <v>0</v>
      </c>
      <c r="AU20" s="130" t="b">
        <v>0</v>
      </c>
      <c r="AV20" s="11"/>
      <c r="AW20" s="11"/>
      <c r="AX20" s="11"/>
      <c r="AY20" s="11"/>
      <c r="AZ20" s="11"/>
      <c r="BA20" s="107"/>
      <c r="BB20" s="97">
        <v>800000</v>
      </c>
      <c r="BC20" s="97">
        <v>280000</v>
      </c>
      <c r="BD20" s="13">
        <v>10</v>
      </c>
      <c r="BE20" s="108">
        <v>0.8</v>
      </c>
      <c r="BF20" s="108">
        <v>0.3</v>
      </c>
      <c r="BG20" s="15">
        <f t="shared" si="9"/>
        <v>0.24</v>
      </c>
      <c r="BH20" s="18"/>
      <c r="BI20" s="18"/>
      <c r="BJ20" s="16">
        <v>46631</v>
      </c>
      <c r="BK20" s="19">
        <f t="shared" si="10"/>
        <v>192000</v>
      </c>
      <c r="BL20" s="19">
        <f t="shared" si="11"/>
        <v>67200</v>
      </c>
      <c r="BM20" s="20"/>
      <c r="BN20" s="21"/>
      <c r="BO20" s="111"/>
      <c r="BP20" s="112"/>
      <c r="BR20" s="27">
        <f t="shared" ref="BR20:CC35" si="23">IFERROR(IF(AND(BR$2&gt;=$BO20,BR$2&lt;=$BP20),$BB20/$BD20,0),0)</f>
        <v>0</v>
      </c>
      <c r="BS20" s="28">
        <f t="shared" si="23"/>
        <v>0</v>
      </c>
      <c r="BT20" s="28">
        <f t="shared" si="23"/>
        <v>0</v>
      </c>
      <c r="BU20" s="28">
        <f t="shared" si="23"/>
        <v>0</v>
      </c>
      <c r="BV20" s="28">
        <f t="shared" si="23"/>
        <v>0</v>
      </c>
      <c r="BW20" s="28">
        <f t="shared" si="23"/>
        <v>0</v>
      </c>
      <c r="BX20" s="28">
        <f t="shared" si="23"/>
        <v>0</v>
      </c>
      <c r="BY20" s="28">
        <f t="shared" si="23"/>
        <v>0</v>
      </c>
      <c r="BZ20" s="28">
        <f t="shared" si="23"/>
        <v>0</v>
      </c>
      <c r="CA20" s="28">
        <f t="shared" si="23"/>
        <v>0</v>
      </c>
      <c r="CB20" s="28">
        <f t="shared" si="23"/>
        <v>0</v>
      </c>
      <c r="CC20" s="29">
        <f t="shared" si="23"/>
        <v>0</v>
      </c>
      <c r="CD20" s="30">
        <f t="shared" si="15"/>
        <v>0</v>
      </c>
      <c r="CF20" s="27">
        <f t="shared" ref="CF20:CQ35" si="24">IFERROR(IF(AND(CF$2&gt;=$BO20,CF$2&lt;=$BP20),$BK20/$BD20,0),0)</f>
        <v>0</v>
      </c>
      <c r="CG20" s="28">
        <f t="shared" si="24"/>
        <v>0</v>
      </c>
      <c r="CH20" s="28">
        <f t="shared" si="24"/>
        <v>0</v>
      </c>
      <c r="CI20" s="28">
        <f t="shared" si="24"/>
        <v>0</v>
      </c>
      <c r="CJ20" s="28">
        <f t="shared" si="24"/>
        <v>0</v>
      </c>
      <c r="CK20" s="28">
        <f t="shared" si="24"/>
        <v>0</v>
      </c>
      <c r="CL20" s="28">
        <f t="shared" si="24"/>
        <v>0</v>
      </c>
      <c r="CM20" s="28">
        <f t="shared" si="24"/>
        <v>0</v>
      </c>
      <c r="CN20" s="28">
        <f t="shared" si="24"/>
        <v>0</v>
      </c>
      <c r="CO20" s="28">
        <f t="shared" si="24"/>
        <v>0</v>
      </c>
      <c r="CP20" s="28">
        <f t="shared" si="24"/>
        <v>0</v>
      </c>
      <c r="CQ20" s="29">
        <f t="shared" si="24"/>
        <v>0</v>
      </c>
      <c r="CR20" s="30">
        <f t="shared" si="17"/>
        <v>0</v>
      </c>
      <c r="CT20" s="27">
        <f t="shared" ref="CT20:DE35" si="25">IFERROR(IF(AND(CT$2&gt;=$BO20,CT$2&lt;=$BP20),$BC20/$BD20,0),0)</f>
        <v>0</v>
      </c>
      <c r="CU20" s="28">
        <f t="shared" si="25"/>
        <v>0</v>
      </c>
      <c r="CV20" s="28">
        <f t="shared" si="25"/>
        <v>0</v>
      </c>
      <c r="CW20" s="28">
        <f t="shared" si="25"/>
        <v>0</v>
      </c>
      <c r="CX20" s="28">
        <f t="shared" si="25"/>
        <v>0</v>
      </c>
      <c r="CY20" s="28">
        <f t="shared" si="25"/>
        <v>0</v>
      </c>
      <c r="CZ20" s="28">
        <f t="shared" si="25"/>
        <v>0</v>
      </c>
      <c r="DA20" s="28">
        <f t="shared" si="25"/>
        <v>0</v>
      </c>
      <c r="DB20" s="28">
        <f t="shared" si="25"/>
        <v>0</v>
      </c>
      <c r="DC20" s="28">
        <f t="shared" si="25"/>
        <v>0</v>
      </c>
      <c r="DD20" s="28">
        <f t="shared" si="25"/>
        <v>0</v>
      </c>
      <c r="DE20" s="29">
        <f t="shared" si="25"/>
        <v>0</v>
      </c>
      <c r="DF20" s="30">
        <f t="shared" si="19"/>
        <v>0</v>
      </c>
      <c r="DH20" s="27">
        <f t="shared" ref="DH20:DS35" si="26">IFERROR(IF(AND(DH$2&gt;=$BO20,DH$2&lt;=$BP20),$BL20/$BD20,0),0)</f>
        <v>0</v>
      </c>
      <c r="DI20" s="28">
        <f t="shared" si="26"/>
        <v>0</v>
      </c>
      <c r="DJ20" s="28">
        <f t="shared" si="26"/>
        <v>0</v>
      </c>
      <c r="DK20" s="28">
        <f t="shared" si="26"/>
        <v>0</v>
      </c>
      <c r="DL20" s="28">
        <f t="shared" si="26"/>
        <v>0</v>
      </c>
      <c r="DM20" s="28">
        <f t="shared" si="26"/>
        <v>0</v>
      </c>
      <c r="DN20" s="28">
        <f t="shared" si="26"/>
        <v>0</v>
      </c>
      <c r="DO20" s="28">
        <f t="shared" si="26"/>
        <v>0</v>
      </c>
      <c r="DP20" s="28">
        <f t="shared" si="26"/>
        <v>0</v>
      </c>
      <c r="DQ20" s="28">
        <f t="shared" si="26"/>
        <v>0</v>
      </c>
      <c r="DR20" s="28">
        <f t="shared" si="26"/>
        <v>0</v>
      </c>
      <c r="DS20" s="29">
        <f t="shared" si="26"/>
        <v>0</v>
      </c>
      <c r="DT20" s="30">
        <f t="shared" si="21"/>
        <v>0</v>
      </c>
    </row>
    <row r="21" spans="1:124" x14ac:dyDescent="0.2">
      <c r="A21">
        <f t="shared" si="6"/>
        <v>17</v>
      </c>
      <c r="B21" s="49" t="str">
        <f>_xlfn.XLOOKUP(D21,Códigos_Propuestas!$B$4:$B$10,Códigos_Propuestas!$C$4:$C$10,"!",0,1)&amp;"__"&amp;
_xlfn.XLOOKUP(G21,Códigos_Propuestas!$E$4:$E$76,Códigos_Propuestas!$F$4:$F$76,"!",1)&amp;"__"&amp;
_xlfn.XLOOKUP(K21,Códigos_Propuestas!$I$4:$I$7,Códigos_Propuestas!$J$4:$J$7,"!",1)&amp;"__"&amp;
_xlfn.XLOOKUP(L21,Códigos_Propuestas!$O$4:$O$11,Códigos_Propuestas!$Q$4:$Q$11,"!",1)&amp;"__"&amp;
_xlfn.XLOOKUP(E21,Códigos_Propuestas!$BF:$BF,Códigos_Propuestas!$BH:$BH,"!",0,1)</f>
        <v>PE__CMP__UG__!__!</v>
      </c>
      <c r="C21" s="47">
        <f t="shared" si="22"/>
        <v>19</v>
      </c>
      <c r="D21" s="11" t="s">
        <v>62</v>
      </c>
      <c r="E21" s="12" t="s">
        <v>511</v>
      </c>
      <c r="F21" s="12"/>
      <c r="G21" s="13" t="s">
        <v>349</v>
      </c>
      <c r="H21" s="13" t="s">
        <v>349</v>
      </c>
      <c r="I21" s="13" t="s">
        <v>42</v>
      </c>
      <c r="J21" s="17" t="s">
        <v>44</v>
      </c>
      <c r="K21" s="13" t="s">
        <v>65</v>
      </c>
      <c r="L21" s="14"/>
      <c r="M21" s="14" t="str">
        <f>_xlfn.XLOOKUP(L21,Códigos_Propuestas!$O$4:$O$15,Códigos_Propuestas!$P$4:$P$15,"!",0,1)</f>
        <v>R+</v>
      </c>
      <c r="N21" s="14"/>
      <c r="O21" s="14"/>
      <c r="P21" s="14"/>
      <c r="Q21" s="14" t="s">
        <v>37</v>
      </c>
      <c r="R21" s="14" t="s">
        <v>118</v>
      </c>
      <c r="S21" s="14"/>
      <c r="T21" s="14"/>
      <c r="U21" s="13"/>
      <c r="V21" s="13"/>
      <c r="W21" s="116">
        <f t="shared" ca="1" si="7"/>
        <v>0</v>
      </c>
      <c r="X21" s="13" t="str">
        <f t="shared" ca="1" si="8"/>
        <v/>
      </c>
      <c r="Y21" s="14"/>
      <c r="Z21" s="115"/>
      <c r="AA21" s="130" t="b">
        <v>0</v>
      </c>
      <c r="AB21" s="115"/>
      <c r="AC21" s="130" t="b">
        <v>0</v>
      </c>
      <c r="AD21" s="115"/>
      <c r="AE21" s="130" t="b">
        <v>0</v>
      </c>
      <c r="AF21" s="13"/>
      <c r="AG21" s="13"/>
      <c r="AH21" s="130" t="b">
        <v>0</v>
      </c>
      <c r="AI21" s="13"/>
      <c r="AJ21" s="130" t="b">
        <v>0</v>
      </c>
      <c r="AK21" s="13"/>
      <c r="AL21" s="130" t="b">
        <v>0</v>
      </c>
      <c r="AM21" s="13"/>
      <c r="AN21" s="130" t="b">
        <v>0</v>
      </c>
      <c r="AO21" s="13"/>
      <c r="AP21" s="13"/>
      <c r="AQ21" s="130" t="b">
        <v>0</v>
      </c>
      <c r="AR21" s="130" t="b">
        <v>0</v>
      </c>
      <c r="AS21" s="130" t="b">
        <v>0</v>
      </c>
      <c r="AT21" s="130" t="b">
        <v>0</v>
      </c>
      <c r="AU21" s="130" t="b">
        <v>0</v>
      </c>
      <c r="AV21" s="11"/>
      <c r="AW21" s="11"/>
      <c r="AX21" s="11"/>
      <c r="AY21" s="11"/>
      <c r="AZ21" s="11"/>
      <c r="BA21" s="107"/>
      <c r="BB21" s="97">
        <v>600000</v>
      </c>
      <c r="BC21" s="97">
        <v>210000</v>
      </c>
      <c r="BD21" s="13">
        <v>10</v>
      </c>
      <c r="BE21" s="108">
        <v>0.4</v>
      </c>
      <c r="BF21" s="108">
        <v>0.3</v>
      </c>
      <c r="BG21" s="15">
        <f t="shared" si="9"/>
        <v>0.12</v>
      </c>
      <c r="BH21" s="18"/>
      <c r="BI21" s="18"/>
      <c r="BJ21" s="16">
        <v>46661</v>
      </c>
      <c r="BK21" s="19">
        <f t="shared" si="10"/>
        <v>72000</v>
      </c>
      <c r="BL21" s="19">
        <f t="shared" si="11"/>
        <v>25200</v>
      </c>
      <c r="BM21" s="20"/>
      <c r="BN21" s="21"/>
      <c r="BO21" s="111"/>
      <c r="BP21" s="112"/>
      <c r="BR21" s="27">
        <f t="shared" si="23"/>
        <v>0</v>
      </c>
      <c r="BS21" s="28">
        <f t="shared" si="23"/>
        <v>0</v>
      </c>
      <c r="BT21" s="28">
        <f t="shared" si="23"/>
        <v>0</v>
      </c>
      <c r="BU21" s="28">
        <f t="shared" si="23"/>
        <v>0</v>
      </c>
      <c r="BV21" s="28">
        <f t="shared" si="23"/>
        <v>0</v>
      </c>
      <c r="BW21" s="28">
        <f t="shared" si="23"/>
        <v>0</v>
      </c>
      <c r="BX21" s="28">
        <f t="shared" si="23"/>
        <v>0</v>
      </c>
      <c r="BY21" s="28">
        <f t="shared" si="23"/>
        <v>0</v>
      </c>
      <c r="BZ21" s="28">
        <f t="shared" si="23"/>
        <v>0</v>
      </c>
      <c r="CA21" s="28">
        <f t="shared" si="23"/>
        <v>0</v>
      </c>
      <c r="CB21" s="28">
        <f t="shared" si="23"/>
        <v>0</v>
      </c>
      <c r="CC21" s="29">
        <f t="shared" si="23"/>
        <v>0</v>
      </c>
      <c r="CD21" s="30">
        <f t="shared" si="15"/>
        <v>0</v>
      </c>
      <c r="CF21" s="27">
        <f t="shared" si="24"/>
        <v>0</v>
      </c>
      <c r="CG21" s="28">
        <f t="shared" si="24"/>
        <v>0</v>
      </c>
      <c r="CH21" s="28">
        <f t="shared" si="24"/>
        <v>0</v>
      </c>
      <c r="CI21" s="28">
        <f t="shared" si="24"/>
        <v>0</v>
      </c>
      <c r="CJ21" s="28">
        <f t="shared" si="24"/>
        <v>0</v>
      </c>
      <c r="CK21" s="28">
        <f t="shared" si="24"/>
        <v>0</v>
      </c>
      <c r="CL21" s="28">
        <f t="shared" si="24"/>
        <v>0</v>
      </c>
      <c r="CM21" s="28">
        <f t="shared" si="24"/>
        <v>0</v>
      </c>
      <c r="CN21" s="28">
        <f t="shared" si="24"/>
        <v>0</v>
      </c>
      <c r="CO21" s="28">
        <f t="shared" si="24"/>
        <v>0</v>
      </c>
      <c r="CP21" s="28">
        <f t="shared" si="24"/>
        <v>0</v>
      </c>
      <c r="CQ21" s="29">
        <f t="shared" si="24"/>
        <v>0</v>
      </c>
      <c r="CR21" s="30">
        <f t="shared" si="17"/>
        <v>0</v>
      </c>
      <c r="CT21" s="27">
        <f t="shared" si="25"/>
        <v>0</v>
      </c>
      <c r="CU21" s="28">
        <f t="shared" si="25"/>
        <v>0</v>
      </c>
      <c r="CV21" s="28">
        <f t="shared" si="25"/>
        <v>0</v>
      </c>
      <c r="CW21" s="28">
        <f t="shared" si="25"/>
        <v>0</v>
      </c>
      <c r="CX21" s="28">
        <f t="shared" si="25"/>
        <v>0</v>
      </c>
      <c r="CY21" s="28">
        <f t="shared" si="25"/>
        <v>0</v>
      </c>
      <c r="CZ21" s="28">
        <f t="shared" si="25"/>
        <v>0</v>
      </c>
      <c r="DA21" s="28">
        <f t="shared" si="25"/>
        <v>0</v>
      </c>
      <c r="DB21" s="28">
        <f t="shared" si="25"/>
        <v>0</v>
      </c>
      <c r="DC21" s="28">
        <f t="shared" si="25"/>
        <v>0</v>
      </c>
      <c r="DD21" s="28">
        <f t="shared" si="25"/>
        <v>0</v>
      </c>
      <c r="DE21" s="29">
        <f t="shared" si="25"/>
        <v>0</v>
      </c>
      <c r="DF21" s="30">
        <f t="shared" si="19"/>
        <v>0</v>
      </c>
      <c r="DH21" s="27">
        <f t="shared" si="26"/>
        <v>0</v>
      </c>
      <c r="DI21" s="28">
        <f t="shared" si="26"/>
        <v>0</v>
      </c>
      <c r="DJ21" s="28">
        <f t="shared" si="26"/>
        <v>0</v>
      </c>
      <c r="DK21" s="28">
        <f t="shared" si="26"/>
        <v>0</v>
      </c>
      <c r="DL21" s="28">
        <f t="shared" si="26"/>
        <v>0</v>
      </c>
      <c r="DM21" s="28">
        <f t="shared" si="26"/>
        <v>0</v>
      </c>
      <c r="DN21" s="28">
        <f t="shared" si="26"/>
        <v>0</v>
      </c>
      <c r="DO21" s="28">
        <f t="shared" si="26"/>
        <v>0</v>
      </c>
      <c r="DP21" s="28">
        <f t="shared" si="26"/>
        <v>0</v>
      </c>
      <c r="DQ21" s="28">
        <f t="shared" si="26"/>
        <v>0</v>
      </c>
      <c r="DR21" s="28">
        <f t="shared" si="26"/>
        <v>0</v>
      </c>
      <c r="DS21" s="29">
        <f t="shared" si="26"/>
        <v>0</v>
      </c>
      <c r="DT21" s="30">
        <f t="shared" si="21"/>
        <v>0</v>
      </c>
    </row>
    <row r="22" spans="1:124" x14ac:dyDescent="0.2">
      <c r="A22">
        <f t="shared" si="6"/>
        <v>18</v>
      </c>
      <c r="B22" s="49" t="str">
        <f>_xlfn.XLOOKUP(D22,Códigos_Propuestas!$B$4:$B$10,Códigos_Propuestas!$C$4:$C$10,"!",0,1)&amp;"__"&amp;
_xlfn.XLOOKUP(G22,Códigos_Propuestas!$E$4:$E$76,Códigos_Propuestas!$F$4:$F$76,"!",1)&amp;"__"&amp;
_xlfn.XLOOKUP(K22,Códigos_Propuestas!$I$4:$I$7,Códigos_Propuestas!$J$4:$J$7,"!",1)&amp;"__"&amp;
_xlfn.XLOOKUP(L22,Códigos_Propuestas!$O$4:$O$11,Códigos_Propuestas!$Q$4:$Q$11,"!",1)&amp;"__"&amp;
_xlfn.XLOOKUP(E22,Códigos_Propuestas!$BF:$BF,Códigos_Propuestas!$BH:$BH,"!",0,1)</f>
        <v>USA__IEL__UG__!__!</v>
      </c>
      <c r="C22" s="47">
        <f t="shared" si="22"/>
        <v>20</v>
      </c>
      <c r="D22" s="11" t="s">
        <v>136</v>
      </c>
      <c r="E22" s="12" t="s">
        <v>512</v>
      </c>
      <c r="F22" s="12"/>
      <c r="G22" s="13" t="s">
        <v>368</v>
      </c>
      <c r="H22" s="13" t="s">
        <v>513</v>
      </c>
      <c r="I22" s="13" t="s">
        <v>70</v>
      </c>
      <c r="J22" s="17" t="s">
        <v>44</v>
      </c>
      <c r="K22" s="13" t="s">
        <v>65</v>
      </c>
      <c r="L22" s="14"/>
      <c r="M22" s="14" t="str">
        <f>_xlfn.XLOOKUP(L22,Códigos_Propuestas!$O$4:$O$15,Códigos_Propuestas!$P$4:$P$15,"!",0,1)</f>
        <v>R+</v>
      </c>
      <c r="N22" s="14"/>
      <c r="O22" s="14"/>
      <c r="P22" s="14"/>
      <c r="Q22" s="14"/>
      <c r="R22" s="14"/>
      <c r="S22" s="14"/>
      <c r="T22" s="14"/>
      <c r="U22" s="13"/>
      <c r="V22" s="13"/>
      <c r="W22" s="116">
        <f t="shared" ca="1" si="7"/>
        <v>0</v>
      </c>
      <c r="X22" s="13" t="str">
        <f t="shared" ca="1" si="8"/>
        <v/>
      </c>
      <c r="Y22" s="14"/>
      <c r="Z22" s="115"/>
      <c r="AA22" s="130" t="b">
        <v>1</v>
      </c>
      <c r="AB22" s="115"/>
      <c r="AC22" s="130" t="b">
        <v>0</v>
      </c>
      <c r="AD22" s="115"/>
      <c r="AE22" s="130" t="b">
        <v>0</v>
      </c>
      <c r="AF22" s="13"/>
      <c r="AG22" s="13"/>
      <c r="AH22" s="130" t="b">
        <v>0</v>
      </c>
      <c r="AI22" s="13"/>
      <c r="AJ22" s="130" t="b">
        <v>0</v>
      </c>
      <c r="AK22" s="13"/>
      <c r="AL22" s="130" t="b">
        <v>0</v>
      </c>
      <c r="AM22" s="13"/>
      <c r="AN22" s="130" t="b">
        <v>0</v>
      </c>
      <c r="AO22" s="13"/>
      <c r="AP22" s="13"/>
      <c r="AQ22" s="130" t="b">
        <v>0</v>
      </c>
      <c r="AR22" s="130" t="b">
        <v>0</v>
      </c>
      <c r="AS22" s="130" t="b">
        <v>0</v>
      </c>
      <c r="AT22" s="130" t="b">
        <v>0</v>
      </c>
      <c r="AU22" s="130" t="b">
        <v>0</v>
      </c>
      <c r="AV22" s="11"/>
      <c r="AW22" s="11"/>
      <c r="AX22" s="11"/>
      <c r="AY22" s="11"/>
      <c r="AZ22" s="11"/>
      <c r="BA22" s="107"/>
      <c r="BB22" s="97"/>
      <c r="BC22" s="97"/>
      <c r="BD22" s="13"/>
      <c r="BE22" s="108"/>
      <c r="BF22" s="108"/>
      <c r="BG22" s="15">
        <f t="shared" si="9"/>
        <v>0</v>
      </c>
      <c r="BH22" s="18"/>
      <c r="BI22" s="18"/>
      <c r="BJ22" s="16"/>
      <c r="BK22" s="19">
        <f t="shared" si="10"/>
        <v>0</v>
      </c>
      <c r="BL22" s="19">
        <f t="shared" si="11"/>
        <v>0</v>
      </c>
      <c r="BM22" s="20"/>
      <c r="BN22" s="21"/>
      <c r="BO22" s="111"/>
      <c r="BP22" s="112"/>
      <c r="BR22" s="27">
        <f t="shared" si="23"/>
        <v>0</v>
      </c>
      <c r="BS22" s="28">
        <f t="shared" si="23"/>
        <v>0</v>
      </c>
      <c r="BT22" s="28">
        <f t="shared" si="23"/>
        <v>0</v>
      </c>
      <c r="BU22" s="28">
        <f t="shared" si="23"/>
        <v>0</v>
      </c>
      <c r="BV22" s="28">
        <f t="shared" si="23"/>
        <v>0</v>
      </c>
      <c r="BW22" s="28">
        <f t="shared" si="23"/>
        <v>0</v>
      </c>
      <c r="BX22" s="28">
        <f t="shared" si="23"/>
        <v>0</v>
      </c>
      <c r="BY22" s="28">
        <f t="shared" si="23"/>
        <v>0</v>
      </c>
      <c r="BZ22" s="28">
        <f t="shared" si="23"/>
        <v>0</v>
      </c>
      <c r="CA22" s="28">
        <f t="shared" si="23"/>
        <v>0</v>
      </c>
      <c r="CB22" s="28">
        <f t="shared" si="23"/>
        <v>0</v>
      </c>
      <c r="CC22" s="29">
        <f t="shared" si="23"/>
        <v>0</v>
      </c>
      <c r="CD22" s="30">
        <f t="shared" si="15"/>
        <v>0</v>
      </c>
      <c r="CF22" s="27">
        <f t="shared" si="24"/>
        <v>0</v>
      </c>
      <c r="CG22" s="28">
        <f t="shared" si="24"/>
        <v>0</v>
      </c>
      <c r="CH22" s="28">
        <f t="shared" si="24"/>
        <v>0</v>
      </c>
      <c r="CI22" s="28">
        <f t="shared" si="24"/>
        <v>0</v>
      </c>
      <c r="CJ22" s="28">
        <f t="shared" si="24"/>
        <v>0</v>
      </c>
      <c r="CK22" s="28">
        <f t="shared" si="24"/>
        <v>0</v>
      </c>
      <c r="CL22" s="28">
        <f t="shared" si="24"/>
        <v>0</v>
      </c>
      <c r="CM22" s="28">
        <f t="shared" si="24"/>
        <v>0</v>
      </c>
      <c r="CN22" s="28">
        <f t="shared" si="24"/>
        <v>0</v>
      </c>
      <c r="CO22" s="28">
        <f t="shared" si="24"/>
        <v>0</v>
      </c>
      <c r="CP22" s="28">
        <f t="shared" si="24"/>
        <v>0</v>
      </c>
      <c r="CQ22" s="29">
        <f t="shared" si="24"/>
        <v>0</v>
      </c>
      <c r="CR22" s="30">
        <f t="shared" si="17"/>
        <v>0</v>
      </c>
      <c r="CT22" s="27">
        <f t="shared" si="25"/>
        <v>0</v>
      </c>
      <c r="CU22" s="28">
        <f t="shared" si="25"/>
        <v>0</v>
      </c>
      <c r="CV22" s="28">
        <f t="shared" si="25"/>
        <v>0</v>
      </c>
      <c r="CW22" s="28">
        <f t="shared" si="25"/>
        <v>0</v>
      </c>
      <c r="CX22" s="28">
        <f t="shared" si="25"/>
        <v>0</v>
      </c>
      <c r="CY22" s="28">
        <f t="shared" si="25"/>
        <v>0</v>
      </c>
      <c r="CZ22" s="28">
        <f t="shared" si="25"/>
        <v>0</v>
      </c>
      <c r="DA22" s="28">
        <f t="shared" si="25"/>
        <v>0</v>
      </c>
      <c r="DB22" s="28">
        <f t="shared" si="25"/>
        <v>0</v>
      </c>
      <c r="DC22" s="28">
        <f t="shared" si="25"/>
        <v>0</v>
      </c>
      <c r="DD22" s="28">
        <f t="shared" si="25"/>
        <v>0</v>
      </c>
      <c r="DE22" s="29">
        <f t="shared" si="25"/>
        <v>0</v>
      </c>
      <c r="DF22" s="30">
        <f t="shared" si="19"/>
        <v>0</v>
      </c>
      <c r="DH22" s="27">
        <f t="shared" si="26"/>
        <v>0</v>
      </c>
      <c r="DI22" s="28">
        <f t="shared" si="26"/>
        <v>0</v>
      </c>
      <c r="DJ22" s="28">
        <f t="shared" si="26"/>
        <v>0</v>
      </c>
      <c r="DK22" s="28">
        <f t="shared" si="26"/>
        <v>0</v>
      </c>
      <c r="DL22" s="28">
        <f t="shared" si="26"/>
        <v>0</v>
      </c>
      <c r="DM22" s="28">
        <f t="shared" si="26"/>
        <v>0</v>
      </c>
      <c r="DN22" s="28">
        <f t="shared" si="26"/>
        <v>0</v>
      </c>
      <c r="DO22" s="28">
        <f t="shared" si="26"/>
        <v>0</v>
      </c>
      <c r="DP22" s="28">
        <f t="shared" si="26"/>
        <v>0</v>
      </c>
      <c r="DQ22" s="28">
        <f t="shared" si="26"/>
        <v>0</v>
      </c>
      <c r="DR22" s="28">
        <f t="shared" si="26"/>
        <v>0</v>
      </c>
      <c r="DS22" s="29">
        <f t="shared" si="26"/>
        <v>0</v>
      </c>
      <c r="DT22" s="30">
        <f t="shared" si="21"/>
        <v>0</v>
      </c>
    </row>
    <row r="23" spans="1:124" x14ac:dyDescent="0.2">
      <c r="A23">
        <f t="shared" si="6"/>
        <v>17</v>
      </c>
      <c r="B23" s="49" t="str">
        <f>_xlfn.XLOOKUP(D23,Códigos_Propuestas!$B$4:$B$10,Códigos_Propuestas!$C$4:$C$10,"!",0,1)&amp;"__"&amp;
_xlfn.XLOOKUP(G23,Códigos_Propuestas!$E$4:$E$76,Códigos_Propuestas!$F$4:$F$76,"!",1)&amp;"__"&amp;
_xlfn.XLOOKUP(K23,Códigos_Propuestas!$I$4:$I$7,Códigos_Propuestas!$J$4:$J$7,"!",1)&amp;"__"&amp;
_xlfn.XLOOKUP(L23,Códigos_Propuestas!$O$4:$O$11,Códigos_Propuestas!$Q$4:$Q$11,"!",1)&amp;"__"&amp;
_xlfn.XLOOKUP(E23,Códigos_Propuestas!$BF:$BF,Códigos_Propuestas!$BH:$BH,"!",0,1)</f>
        <v>CH__AMS__UG__!__!</v>
      </c>
      <c r="C23" s="47">
        <f t="shared" si="22"/>
        <v>21</v>
      </c>
      <c r="D23" s="11" t="s">
        <v>32</v>
      </c>
      <c r="E23" s="12" t="s">
        <v>514</v>
      </c>
      <c r="F23" s="12"/>
      <c r="G23" s="13" t="s">
        <v>162</v>
      </c>
      <c r="H23" s="13" t="s">
        <v>515</v>
      </c>
      <c r="I23" s="13" t="s">
        <v>42</v>
      </c>
      <c r="J23" s="17" t="s">
        <v>72</v>
      </c>
      <c r="K23" s="13" t="s">
        <v>65</v>
      </c>
      <c r="L23" s="14"/>
      <c r="M23" s="14" t="str">
        <f>_xlfn.XLOOKUP(L23,Códigos_Propuestas!$O$4:$O$15,Códigos_Propuestas!$P$4:$P$15,"!",0,1)</f>
        <v>R+</v>
      </c>
      <c r="N23" s="14"/>
      <c r="O23" s="14" t="s">
        <v>51</v>
      </c>
      <c r="P23" s="14"/>
      <c r="Q23" s="14" t="s">
        <v>37</v>
      </c>
      <c r="R23" s="14" t="s">
        <v>118</v>
      </c>
      <c r="S23" s="14"/>
      <c r="T23" s="14"/>
      <c r="U23" s="13"/>
      <c r="V23" s="115">
        <v>46007</v>
      </c>
      <c r="W23" s="116">
        <f t="shared" ca="1" si="7"/>
        <v>202</v>
      </c>
      <c r="X23" s="13" t="str">
        <f t="shared" ca="1" si="8"/>
        <v>!</v>
      </c>
      <c r="Y23" s="14"/>
      <c r="Z23" s="115"/>
      <c r="AA23" s="130" t="b">
        <v>1</v>
      </c>
      <c r="AB23" s="115"/>
      <c r="AC23" s="130" t="b">
        <v>1</v>
      </c>
      <c r="AD23" s="115"/>
      <c r="AE23" s="130" t="b">
        <v>1</v>
      </c>
      <c r="AF23" s="13"/>
      <c r="AG23" s="13"/>
      <c r="AH23" s="130" t="b">
        <v>0</v>
      </c>
      <c r="AI23" s="13"/>
      <c r="AJ23" s="130" t="b">
        <v>0</v>
      </c>
      <c r="AK23" s="13"/>
      <c r="AL23" s="130" t="b">
        <v>0</v>
      </c>
      <c r="AM23" s="13"/>
      <c r="AN23" s="130" t="b">
        <v>0</v>
      </c>
      <c r="AO23" s="13"/>
      <c r="AP23" s="13"/>
      <c r="AQ23" s="130" t="b">
        <v>0</v>
      </c>
      <c r="AR23" s="130" t="b">
        <v>0</v>
      </c>
      <c r="AS23" s="130" t="b">
        <v>0</v>
      </c>
      <c r="AT23" s="130" t="b">
        <v>0</v>
      </c>
      <c r="AU23" s="130" t="b">
        <v>0</v>
      </c>
      <c r="AV23" s="11"/>
      <c r="AW23" s="11"/>
      <c r="AX23" s="11"/>
      <c r="AY23" s="11"/>
      <c r="AZ23" s="11"/>
      <c r="BA23" s="107"/>
      <c r="BB23" s="97">
        <v>300000</v>
      </c>
      <c r="BC23" s="97">
        <v>1200000</v>
      </c>
      <c r="BD23" s="13">
        <v>6</v>
      </c>
      <c r="BE23" s="108">
        <v>0.3</v>
      </c>
      <c r="BF23" s="108">
        <v>0.3</v>
      </c>
      <c r="BG23" s="15">
        <f t="shared" si="9"/>
        <v>0.09</v>
      </c>
      <c r="BH23" s="18"/>
      <c r="BI23" s="18"/>
      <c r="BJ23" s="16">
        <v>42644</v>
      </c>
      <c r="BK23" s="19">
        <f t="shared" si="10"/>
        <v>27000</v>
      </c>
      <c r="BL23" s="19">
        <f t="shared" si="11"/>
        <v>108000</v>
      </c>
      <c r="BM23" s="20"/>
      <c r="BN23" s="21"/>
      <c r="BO23" s="111"/>
      <c r="BP23" s="112"/>
      <c r="BR23" s="27">
        <f t="shared" si="23"/>
        <v>0</v>
      </c>
      <c r="BS23" s="28">
        <f t="shared" si="23"/>
        <v>0</v>
      </c>
      <c r="BT23" s="28">
        <f t="shared" si="23"/>
        <v>0</v>
      </c>
      <c r="BU23" s="28">
        <f t="shared" si="23"/>
        <v>0</v>
      </c>
      <c r="BV23" s="28">
        <f t="shared" si="23"/>
        <v>0</v>
      </c>
      <c r="BW23" s="28">
        <f t="shared" si="23"/>
        <v>0</v>
      </c>
      <c r="BX23" s="28">
        <f t="shared" si="23"/>
        <v>0</v>
      </c>
      <c r="BY23" s="28">
        <f t="shared" si="23"/>
        <v>0</v>
      </c>
      <c r="BZ23" s="28">
        <f t="shared" si="23"/>
        <v>0</v>
      </c>
      <c r="CA23" s="28">
        <f t="shared" si="23"/>
        <v>0</v>
      </c>
      <c r="CB23" s="28">
        <f t="shared" si="23"/>
        <v>0</v>
      </c>
      <c r="CC23" s="29">
        <f t="shared" si="23"/>
        <v>0</v>
      </c>
      <c r="CD23" s="30">
        <f t="shared" si="15"/>
        <v>0</v>
      </c>
      <c r="CF23" s="27">
        <f t="shared" si="24"/>
        <v>0</v>
      </c>
      <c r="CG23" s="28">
        <f t="shared" si="24"/>
        <v>0</v>
      </c>
      <c r="CH23" s="28">
        <f t="shared" si="24"/>
        <v>0</v>
      </c>
      <c r="CI23" s="28">
        <f t="shared" si="24"/>
        <v>0</v>
      </c>
      <c r="CJ23" s="28">
        <f t="shared" si="24"/>
        <v>0</v>
      </c>
      <c r="CK23" s="28">
        <f t="shared" si="24"/>
        <v>0</v>
      </c>
      <c r="CL23" s="28">
        <f t="shared" si="24"/>
        <v>0</v>
      </c>
      <c r="CM23" s="28">
        <f t="shared" si="24"/>
        <v>0</v>
      </c>
      <c r="CN23" s="28">
        <f t="shared" si="24"/>
        <v>0</v>
      </c>
      <c r="CO23" s="28">
        <f t="shared" si="24"/>
        <v>0</v>
      </c>
      <c r="CP23" s="28">
        <f t="shared" si="24"/>
        <v>0</v>
      </c>
      <c r="CQ23" s="29">
        <f t="shared" si="24"/>
        <v>0</v>
      </c>
      <c r="CR23" s="30">
        <f t="shared" si="17"/>
        <v>0</v>
      </c>
      <c r="CT23" s="27">
        <f t="shared" si="25"/>
        <v>0</v>
      </c>
      <c r="CU23" s="28">
        <f t="shared" si="25"/>
        <v>0</v>
      </c>
      <c r="CV23" s="28">
        <f t="shared" si="25"/>
        <v>0</v>
      </c>
      <c r="CW23" s="28">
        <f t="shared" si="25"/>
        <v>0</v>
      </c>
      <c r="CX23" s="28">
        <f t="shared" si="25"/>
        <v>0</v>
      </c>
      <c r="CY23" s="28">
        <f t="shared" si="25"/>
        <v>0</v>
      </c>
      <c r="CZ23" s="28">
        <f t="shared" si="25"/>
        <v>0</v>
      </c>
      <c r="DA23" s="28">
        <f t="shared" si="25"/>
        <v>0</v>
      </c>
      <c r="DB23" s="28">
        <f t="shared" si="25"/>
        <v>0</v>
      </c>
      <c r="DC23" s="28">
        <f t="shared" si="25"/>
        <v>0</v>
      </c>
      <c r="DD23" s="28">
        <f t="shared" si="25"/>
        <v>0</v>
      </c>
      <c r="DE23" s="29">
        <f t="shared" si="25"/>
        <v>0</v>
      </c>
      <c r="DF23" s="30">
        <f t="shared" si="19"/>
        <v>0</v>
      </c>
      <c r="DH23" s="27">
        <f t="shared" si="26"/>
        <v>0</v>
      </c>
      <c r="DI23" s="28">
        <f t="shared" si="26"/>
        <v>0</v>
      </c>
      <c r="DJ23" s="28">
        <f t="shared" si="26"/>
        <v>0</v>
      </c>
      <c r="DK23" s="28">
        <f t="shared" si="26"/>
        <v>0</v>
      </c>
      <c r="DL23" s="28">
        <f t="shared" si="26"/>
        <v>0</v>
      </c>
      <c r="DM23" s="28">
        <f t="shared" si="26"/>
        <v>0</v>
      </c>
      <c r="DN23" s="28">
        <f t="shared" si="26"/>
        <v>0</v>
      </c>
      <c r="DO23" s="28">
        <f t="shared" si="26"/>
        <v>0</v>
      </c>
      <c r="DP23" s="28">
        <f t="shared" si="26"/>
        <v>0</v>
      </c>
      <c r="DQ23" s="28">
        <f t="shared" si="26"/>
        <v>0</v>
      </c>
      <c r="DR23" s="28">
        <f t="shared" si="26"/>
        <v>0</v>
      </c>
      <c r="DS23" s="29">
        <f t="shared" si="26"/>
        <v>0</v>
      </c>
      <c r="DT23" s="30">
        <f t="shared" si="21"/>
        <v>0</v>
      </c>
    </row>
    <row r="24" spans="1:124" x14ac:dyDescent="0.2">
      <c r="A24">
        <f t="shared" si="6"/>
        <v>13</v>
      </c>
      <c r="B24" s="49" t="str">
        <f>_xlfn.XLOOKUP(D24,Códigos_Propuestas!$B$4:$B$10,Códigos_Propuestas!$C$4:$C$10,"!",0,1)&amp;"__"&amp;
_xlfn.XLOOKUP(G24,Códigos_Propuestas!$E$4:$E$76,Códigos_Propuestas!$F$4:$F$76,"!",1)&amp;"__"&amp;
_xlfn.XLOOKUP(K24,Códigos_Propuestas!$I$4:$I$7,Códigos_Propuestas!$J$4:$J$7,"!",1)&amp;"__"&amp;
_xlfn.XLOOKUP(L24,Códigos_Propuestas!$O$4:$O$11,Códigos_Propuestas!$Q$4:$Q$11,"!",1)&amp;"__"&amp;
_xlfn.XLOOKUP(E24,Códigos_Propuestas!$BF:$BF,Códigos_Propuestas!$BH:$BH,"!",0,1)</f>
        <v>CH__!__!__!__</v>
      </c>
      <c r="C24" s="47"/>
      <c r="D24" s="11" t="s">
        <v>32</v>
      </c>
      <c r="E24" s="12"/>
      <c r="F24" s="12"/>
      <c r="G24" s="13"/>
      <c r="H24" s="13"/>
      <c r="I24" s="13"/>
      <c r="J24" s="17"/>
      <c r="K24" s="13"/>
      <c r="L24" s="14"/>
      <c r="M24" s="14"/>
      <c r="N24" s="14"/>
      <c r="O24" s="14"/>
      <c r="P24" s="14"/>
      <c r="Q24" s="14"/>
      <c r="R24" s="14"/>
      <c r="S24" s="14"/>
      <c r="T24" s="14"/>
      <c r="U24" s="13"/>
      <c r="V24" s="13"/>
      <c r="W24" s="116">
        <f t="shared" ca="1" si="7"/>
        <v>0</v>
      </c>
      <c r="X24" s="13" t="str">
        <f t="shared" ca="1" si="8"/>
        <v/>
      </c>
      <c r="Y24" s="14"/>
      <c r="Z24" s="115"/>
      <c r="AA24" s="130" t="b">
        <v>0</v>
      </c>
      <c r="AB24" s="115"/>
      <c r="AC24" s="130" t="b">
        <v>0</v>
      </c>
      <c r="AD24" s="115"/>
      <c r="AE24" s="130" t="b">
        <v>0</v>
      </c>
      <c r="AF24" s="13"/>
      <c r="AG24" s="13"/>
      <c r="AH24" s="130" t="b">
        <v>0</v>
      </c>
      <c r="AI24" s="13"/>
      <c r="AJ24" s="130" t="b">
        <v>0</v>
      </c>
      <c r="AK24" s="13"/>
      <c r="AL24" s="130" t="b">
        <v>0</v>
      </c>
      <c r="AM24" s="13"/>
      <c r="AN24" s="130" t="b">
        <v>0</v>
      </c>
      <c r="AO24" s="13"/>
      <c r="AP24" s="13"/>
      <c r="AQ24" s="130" t="b">
        <v>0</v>
      </c>
      <c r="AR24" s="130" t="b">
        <v>0</v>
      </c>
      <c r="AS24" s="130" t="b">
        <v>0</v>
      </c>
      <c r="AT24" s="130" t="b">
        <v>0</v>
      </c>
      <c r="AU24" s="130" t="b">
        <v>0</v>
      </c>
      <c r="AV24" s="11"/>
      <c r="AW24" s="11"/>
      <c r="AX24" s="11"/>
      <c r="AY24" s="11"/>
      <c r="AZ24" s="11"/>
      <c r="BA24" s="107"/>
      <c r="BB24" s="97"/>
      <c r="BC24" s="97"/>
      <c r="BD24" s="13"/>
      <c r="BE24" s="108"/>
      <c r="BF24" s="108"/>
      <c r="BG24" s="15">
        <f t="shared" si="9"/>
        <v>0</v>
      </c>
      <c r="BH24" s="18"/>
      <c r="BI24" s="18"/>
      <c r="BJ24" s="16"/>
      <c r="BK24" s="19">
        <f t="shared" si="10"/>
        <v>0</v>
      </c>
      <c r="BL24" s="19">
        <f t="shared" si="11"/>
        <v>0</v>
      </c>
      <c r="BM24" s="20"/>
      <c r="BN24" s="21"/>
      <c r="BO24" s="111"/>
      <c r="BP24" s="112"/>
      <c r="BR24" s="27">
        <f t="shared" si="23"/>
        <v>0</v>
      </c>
      <c r="BS24" s="28">
        <f t="shared" si="23"/>
        <v>0</v>
      </c>
      <c r="BT24" s="28">
        <f t="shared" si="23"/>
        <v>0</v>
      </c>
      <c r="BU24" s="28">
        <f t="shared" si="23"/>
        <v>0</v>
      </c>
      <c r="BV24" s="28">
        <f t="shared" si="23"/>
        <v>0</v>
      </c>
      <c r="BW24" s="28">
        <f t="shared" si="23"/>
        <v>0</v>
      </c>
      <c r="BX24" s="28">
        <f t="shared" si="23"/>
        <v>0</v>
      </c>
      <c r="BY24" s="28">
        <f t="shared" si="23"/>
        <v>0</v>
      </c>
      <c r="BZ24" s="28">
        <f t="shared" si="23"/>
        <v>0</v>
      </c>
      <c r="CA24" s="28">
        <f t="shared" si="23"/>
        <v>0</v>
      </c>
      <c r="CB24" s="28">
        <f t="shared" si="23"/>
        <v>0</v>
      </c>
      <c r="CC24" s="29">
        <f t="shared" si="23"/>
        <v>0</v>
      </c>
      <c r="CD24" s="30">
        <f t="shared" si="15"/>
        <v>0</v>
      </c>
      <c r="CF24" s="27">
        <f t="shared" si="24"/>
        <v>0</v>
      </c>
      <c r="CG24" s="28">
        <f t="shared" si="24"/>
        <v>0</v>
      </c>
      <c r="CH24" s="28">
        <f t="shared" si="24"/>
        <v>0</v>
      </c>
      <c r="CI24" s="28">
        <f t="shared" si="24"/>
        <v>0</v>
      </c>
      <c r="CJ24" s="28">
        <f t="shared" si="24"/>
        <v>0</v>
      </c>
      <c r="CK24" s="28">
        <f t="shared" si="24"/>
        <v>0</v>
      </c>
      <c r="CL24" s="28">
        <f t="shared" si="24"/>
        <v>0</v>
      </c>
      <c r="CM24" s="28">
        <f t="shared" si="24"/>
        <v>0</v>
      </c>
      <c r="CN24" s="28">
        <f t="shared" si="24"/>
        <v>0</v>
      </c>
      <c r="CO24" s="28">
        <f t="shared" si="24"/>
        <v>0</v>
      </c>
      <c r="CP24" s="28">
        <f t="shared" si="24"/>
        <v>0</v>
      </c>
      <c r="CQ24" s="29">
        <f t="shared" si="24"/>
        <v>0</v>
      </c>
      <c r="CR24" s="30">
        <f t="shared" si="17"/>
        <v>0</v>
      </c>
      <c r="CT24" s="27">
        <f t="shared" si="25"/>
        <v>0</v>
      </c>
      <c r="CU24" s="28">
        <f t="shared" si="25"/>
        <v>0</v>
      </c>
      <c r="CV24" s="28">
        <f t="shared" si="25"/>
        <v>0</v>
      </c>
      <c r="CW24" s="28">
        <f t="shared" si="25"/>
        <v>0</v>
      </c>
      <c r="CX24" s="28">
        <f t="shared" si="25"/>
        <v>0</v>
      </c>
      <c r="CY24" s="28">
        <f t="shared" si="25"/>
        <v>0</v>
      </c>
      <c r="CZ24" s="28">
        <f t="shared" si="25"/>
        <v>0</v>
      </c>
      <c r="DA24" s="28">
        <f t="shared" si="25"/>
        <v>0</v>
      </c>
      <c r="DB24" s="28">
        <f t="shared" si="25"/>
        <v>0</v>
      </c>
      <c r="DC24" s="28">
        <f t="shared" si="25"/>
        <v>0</v>
      </c>
      <c r="DD24" s="28">
        <f t="shared" si="25"/>
        <v>0</v>
      </c>
      <c r="DE24" s="29">
        <f t="shared" si="25"/>
        <v>0</v>
      </c>
      <c r="DF24" s="30">
        <f t="shared" si="19"/>
        <v>0</v>
      </c>
      <c r="DH24" s="27">
        <f t="shared" si="26"/>
        <v>0</v>
      </c>
      <c r="DI24" s="28">
        <f t="shared" si="26"/>
        <v>0</v>
      </c>
      <c r="DJ24" s="28">
        <f t="shared" si="26"/>
        <v>0</v>
      </c>
      <c r="DK24" s="28">
        <f t="shared" si="26"/>
        <v>0</v>
      </c>
      <c r="DL24" s="28">
        <f t="shared" si="26"/>
        <v>0</v>
      </c>
      <c r="DM24" s="28">
        <f t="shared" si="26"/>
        <v>0</v>
      </c>
      <c r="DN24" s="28">
        <f t="shared" si="26"/>
        <v>0</v>
      </c>
      <c r="DO24" s="28">
        <f t="shared" si="26"/>
        <v>0</v>
      </c>
      <c r="DP24" s="28">
        <f t="shared" si="26"/>
        <v>0</v>
      </c>
      <c r="DQ24" s="28">
        <f t="shared" si="26"/>
        <v>0</v>
      </c>
      <c r="DR24" s="28">
        <f t="shared" si="26"/>
        <v>0</v>
      </c>
      <c r="DS24" s="29">
        <f t="shared" si="26"/>
        <v>0</v>
      </c>
      <c r="DT24" s="30">
        <f t="shared" si="21"/>
        <v>0</v>
      </c>
    </row>
    <row r="25" spans="1:124" x14ac:dyDescent="0.2">
      <c r="A25">
        <f t="shared" si="6"/>
        <v>12</v>
      </c>
      <c r="B25" s="49" t="str">
        <f>_xlfn.XLOOKUP(D25,Códigos_Propuestas!$B$4:$B$10,Códigos_Propuestas!$C$4:$C$10,"!",0,1)&amp;"__"&amp;
_xlfn.XLOOKUP(G25,Códigos_Propuestas!$E$4:$E$76,Códigos_Propuestas!$F$4:$F$76,"!",1)&amp;"__"&amp;
_xlfn.XLOOKUP(K25,Códigos_Propuestas!$I$4:$I$7,Códigos_Propuestas!$J$4:$J$7,"!",1)&amp;"__"&amp;
_xlfn.XLOOKUP(L25,Códigos_Propuestas!$O$4:$O$11,Códigos_Propuestas!$Q$4:$Q$11,"!",1)&amp;"__"&amp;
_xlfn.XLOOKUP(E25,Códigos_Propuestas!$BF:$BF,Códigos_Propuestas!$BH:$BH,"!",0,1)</f>
        <v>!__!__!__!__</v>
      </c>
      <c r="C25" s="47"/>
      <c r="D25" s="11"/>
      <c r="E25" s="12"/>
      <c r="F25" s="12"/>
      <c r="G25" s="13"/>
      <c r="H25" s="13"/>
      <c r="I25" s="13"/>
      <c r="J25" s="17"/>
      <c r="K25" s="13"/>
      <c r="L25" s="14"/>
      <c r="M25" s="14"/>
      <c r="N25" s="14"/>
      <c r="O25" s="14"/>
      <c r="P25" s="14"/>
      <c r="Q25" s="14"/>
      <c r="R25" s="14"/>
      <c r="S25" s="14"/>
      <c r="T25" s="14"/>
      <c r="U25" s="13"/>
      <c r="V25" s="13"/>
      <c r="W25" s="116">
        <f t="shared" ca="1" si="7"/>
        <v>0</v>
      </c>
      <c r="X25" s="13" t="str">
        <f t="shared" ca="1" si="8"/>
        <v/>
      </c>
      <c r="Y25" s="14"/>
      <c r="Z25" s="115"/>
      <c r="AA25" s="130" t="b">
        <v>0</v>
      </c>
      <c r="AB25" s="115"/>
      <c r="AC25" s="130" t="b">
        <v>0</v>
      </c>
      <c r="AD25" s="115"/>
      <c r="AE25" s="130" t="b">
        <v>0</v>
      </c>
      <c r="AF25" s="13"/>
      <c r="AG25" s="13"/>
      <c r="AH25" s="130" t="b">
        <v>0</v>
      </c>
      <c r="AI25" s="13"/>
      <c r="AJ25" s="130" t="b">
        <v>0</v>
      </c>
      <c r="AK25" s="13"/>
      <c r="AL25" s="130" t="b">
        <v>0</v>
      </c>
      <c r="AM25" s="13"/>
      <c r="AN25" s="130" t="b">
        <v>0</v>
      </c>
      <c r="AO25" s="13"/>
      <c r="AP25" s="13"/>
      <c r="AQ25" s="130" t="b">
        <v>0</v>
      </c>
      <c r="AR25" s="130" t="b">
        <v>0</v>
      </c>
      <c r="AS25" s="130" t="b">
        <v>0</v>
      </c>
      <c r="AT25" s="130" t="b">
        <v>0</v>
      </c>
      <c r="AU25" s="130" t="b">
        <v>0</v>
      </c>
      <c r="AV25" s="11"/>
      <c r="AW25" s="11"/>
      <c r="AX25" s="11"/>
      <c r="AY25" s="11"/>
      <c r="AZ25" s="11"/>
      <c r="BA25" s="107"/>
      <c r="BB25" s="97"/>
      <c r="BC25" s="97"/>
      <c r="BD25" s="13"/>
      <c r="BE25" s="108"/>
      <c r="BF25" s="108"/>
      <c r="BG25" s="15">
        <f t="shared" si="9"/>
        <v>0</v>
      </c>
      <c r="BH25" s="18"/>
      <c r="BI25" s="18"/>
      <c r="BJ25" s="16"/>
      <c r="BK25" s="19"/>
      <c r="BL25" s="19">
        <f t="shared" si="11"/>
        <v>0</v>
      </c>
      <c r="BM25" s="20"/>
      <c r="BN25" s="21"/>
      <c r="BO25" s="111"/>
      <c r="BP25" s="112"/>
      <c r="BR25" s="27">
        <f t="shared" si="23"/>
        <v>0</v>
      </c>
      <c r="BS25" s="28">
        <f t="shared" si="23"/>
        <v>0</v>
      </c>
      <c r="BT25" s="28">
        <f t="shared" si="23"/>
        <v>0</v>
      </c>
      <c r="BU25" s="28">
        <f t="shared" si="23"/>
        <v>0</v>
      </c>
      <c r="BV25" s="28">
        <f t="shared" si="23"/>
        <v>0</v>
      </c>
      <c r="BW25" s="28">
        <f t="shared" si="23"/>
        <v>0</v>
      </c>
      <c r="BX25" s="28">
        <f t="shared" si="23"/>
        <v>0</v>
      </c>
      <c r="BY25" s="28">
        <f t="shared" si="23"/>
        <v>0</v>
      </c>
      <c r="BZ25" s="28">
        <f t="shared" si="23"/>
        <v>0</v>
      </c>
      <c r="CA25" s="28">
        <f t="shared" si="23"/>
        <v>0</v>
      </c>
      <c r="CB25" s="28">
        <f t="shared" si="23"/>
        <v>0</v>
      </c>
      <c r="CC25" s="29">
        <f t="shared" si="23"/>
        <v>0</v>
      </c>
      <c r="CD25" s="30">
        <f t="shared" si="15"/>
        <v>0</v>
      </c>
      <c r="CF25" s="27">
        <f t="shared" si="24"/>
        <v>0</v>
      </c>
      <c r="CG25" s="28">
        <f t="shared" si="24"/>
        <v>0</v>
      </c>
      <c r="CH25" s="28">
        <f t="shared" si="24"/>
        <v>0</v>
      </c>
      <c r="CI25" s="28">
        <f t="shared" si="24"/>
        <v>0</v>
      </c>
      <c r="CJ25" s="28">
        <f t="shared" si="24"/>
        <v>0</v>
      </c>
      <c r="CK25" s="28">
        <f t="shared" si="24"/>
        <v>0</v>
      </c>
      <c r="CL25" s="28">
        <f t="shared" si="24"/>
        <v>0</v>
      </c>
      <c r="CM25" s="28">
        <f t="shared" si="24"/>
        <v>0</v>
      </c>
      <c r="CN25" s="28">
        <f t="shared" si="24"/>
        <v>0</v>
      </c>
      <c r="CO25" s="28">
        <f t="shared" si="24"/>
        <v>0</v>
      </c>
      <c r="CP25" s="28">
        <f t="shared" si="24"/>
        <v>0</v>
      </c>
      <c r="CQ25" s="29">
        <f t="shared" si="24"/>
        <v>0</v>
      </c>
      <c r="CR25" s="30">
        <f t="shared" si="17"/>
        <v>0</v>
      </c>
      <c r="CT25" s="27">
        <f t="shared" si="25"/>
        <v>0</v>
      </c>
      <c r="CU25" s="28">
        <f t="shared" si="25"/>
        <v>0</v>
      </c>
      <c r="CV25" s="28">
        <f t="shared" si="25"/>
        <v>0</v>
      </c>
      <c r="CW25" s="28">
        <f t="shared" si="25"/>
        <v>0</v>
      </c>
      <c r="CX25" s="28">
        <f t="shared" si="25"/>
        <v>0</v>
      </c>
      <c r="CY25" s="28">
        <f t="shared" si="25"/>
        <v>0</v>
      </c>
      <c r="CZ25" s="28">
        <f t="shared" si="25"/>
        <v>0</v>
      </c>
      <c r="DA25" s="28">
        <f t="shared" si="25"/>
        <v>0</v>
      </c>
      <c r="DB25" s="28">
        <f t="shared" si="25"/>
        <v>0</v>
      </c>
      <c r="DC25" s="28">
        <f t="shared" si="25"/>
        <v>0</v>
      </c>
      <c r="DD25" s="28">
        <f t="shared" si="25"/>
        <v>0</v>
      </c>
      <c r="DE25" s="29">
        <f t="shared" si="25"/>
        <v>0</v>
      </c>
      <c r="DF25" s="30">
        <f t="shared" si="19"/>
        <v>0</v>
      </c>
      <c r="DH25" s="27">
        <f t="shared" si="26"/>
        <v>0</v>
      </c>
      <c r="DI25" s="28">
        <f t="shared" si="26"/>
        <v>0</v>
      </c>
      <c r="DJ25" s="28">
        <f t="shared" si="26"/>
        <v>0</v>
      </c>
      <c r="DK25" s="28">
        <f t="shared" si="26"/>
        <v>0</v>
      </c>
      <c r="DL25" s="28">
        <f t="shared" si="26"/>
        <v>0</v>
      </c>
      <c r="DM25" s="28">
        <f t="shared" si="26"/>
        <v>0</v>
      </c>
      <c r="DN25" s="28">
        <f t="shared" si="26"/>
        <v>0</v>
      </c>
      <c r="DO25" s="28">
        <f t="shared" si="26"/>
        <v>0</v>
      </c>
      <c r="DP25" s="28">
        <f t="shared" si="26"/>
        <v>0</v>
      </c>
      <c r="DQ25" s="28">
        <f t="shared" si="26"/>
        <v>0</v>
      </c>
      <c r="DR25" s="28">
        <f t="shared" si="26"/>
        <v>0</v>
      </c>
      <c r="DS25" s="29">
        <f t="shared" si="26"/>
        <v>0</v>
      </c>
      <c r="DT25" s="30">
        <f t="shared" si="21"/>
        <v>0</v>
      </c>
    </row>
    <row r="26" spans="1:124" x14ac:dyDescent="0.2">
      <c r="A26">
        <f t="shared" si="6"/>
        <v>12</v>
      </c>
      <c r="B26" s="49" t="str">
        <f>_xlfn.XLOOKUP(D26,Códigos_Propuestas!$B$4:$B$10,Códigos_Propuestas!$C$4:$C$10,"!",0,1)&amp;"__"&amp;
_xlfn.XLOOKUP(G26,Códigos_Propuestas!$E$4:$E$76,Códigos_Propuestas!$F$4:$F$76,"!",1)&amp;"__"&amp;
_xlfn.XLOOKUP(K26,Códigos_Propuestas!$I$4:$I$7,Códigos_Propuestas!$J$4:$J$7,"!",1)&amp;"__"&amp;
_xlfn.XLOOKUP(L26,Códigos_Propuestas!$O$4:$O$11,Códigos_Propuestas!$Q$4:$Q$11,"!",1)&amp;"__"&amp;
_xlfn.XLOOKUP(E26,Códigos_Propuestas!$BF:$BF,Códigos_Propuestas!$BH:$BH,"!",0,1)</f>
        <v>!__!__!__!__</v>
      </c>
      <c r="C26" s="47"/>
      <c r="D26" s="11"/>
      <c r="E26" s="12"/>
      <c r="F26" s="12"/>
      <c r="G26" s="13"/>
      <c r="H26" s="13"/>
      <c r="I26" s="13"/>
      <c r="J26" s="17"/>
      <c r="K26" s="13"/>
      <c r="L26" s="14"/>
      <c r="M26" s="14"/>
      <c r="N26" s="14"/>
      <c r="O26" s="14"/>
      <c r="P26" s="14"/>
      <c r="Q26" s="14"/>
      <c r="R26" s="14"/>
      <c r="S26" s="14"/>
      <c r="T26" s="14"/>
      <c r="U26" s="13"/>
      <c r="V26" s="13"/>
      <c r="W26" s="116">
        <f t="shared" ca="1" si="7"/>
        <v>0</v>
      </c>
      <c r="X26" s="13" t="str">
        <f t="shared" ca="1" si="8"/>
        <v/>
      </c>
      <c r="Y26" s="14"/>
      <c r="Z26" s="115"/>
      <c r="AA26" s="130" t="b">
        <v>0</v>
      </c>
      <c r="AB26" s="115"/>
      <c r="AC26" s="130" t="b">
        <v>0</v>
      </c>
      <c r="AD26" s="115"/>
      <c r="AE26" s="130" t="b">
        <v>0</v>
      </c>
      <c r="AF26" s="13"/>
      <c r="AG26" s="13"/>
      <c r="AH26" s="130" t="b">
        <v>0</v>
      </c>
      <c r="AI26" s="13"/>
      <c r="AJ26" s="130" t="b">
        <v>0</v>
      </c>
      <c r="AK26" s="13"/>
      <c r="AL26" s="130" t="b">
        <v>0</v>
      </c>
      <c r="AM26" s="13"/>
      <c r="AN26" s="130" t="b">
        <v>0</v>
      </c>
      <c r="AO26" s="13"/>
      <c r="AP26" s="13"/>
      <c r="AQ26" s="130" t="b">
        <v>0</v>
      </c>
      <c r="AR26" s="130" t="b">
        <v>0</v>
      </c>
      <c r="AS26" s="130" t="b">
        <v>0</v>
      </c>
      <c r="AT26" s="130" t="b">
        <v>0</v>
      </c>
      <c r="AU26" s="130" t="b">
        <v>0</v>
      </c>
      <c r="AV26" s="11"/>
      <c r="AW26" s="11"/>
      <c r="AX26" s="11"/>
      <c r="AY26" s="11"/>
      <c r="AZ26" s="11"/>
      <c r="BA26" s="107"/>
      <c r="BB26" s="97"/>
      <c r="BC26" s="97"/>
      <c r="BD26" s="13"/>
      <c r="BE26" s="108"/>
      <c r="BF26" s="108"/>
      <c r="BG26" s="15"/>
      <c r="BH26" s="18"/>
      <c r="BI26" s="18"/>
      <c r="BJ26" s="16"/>
      <c r="BK26" s="19"/>
      <c r="BL26" s="19"/>
      <c r="BM26" s="20"/>
      <c r="BN26" s="21"/>
      <c r="BO26" s="111"/>
      <c r="BP26" s="112"/>
      <c r="BR26" s="27">
        <f t="shared" si="23"/>
        <v>0</v>
      </c>
      <c r="BS26" s="28">
        <f t="shared" si="23"/>
        <v>0</v>
      </c>
      <c r="BT26" s="28">
        <f t="shared" si="23"/>
        <v>0</v>
      </c>
      <c r="BU26" s="28">
        <f t="shared" si="23"/>
        <v>0</v>
      </c>
      <c r="BV26" s="28">
        <f t="shared" si="23"/>
        <v>0</v>
      </c>
      <c r="BW26" s="28">
        <f t="shared" si="23"/>
        <v>0</v>
      </c>
      <c r="BX26" s="28">
        <f t="shared" si="23"/>
        <v>0</v>
      </c>
      <c r="BY26" s="28">
        <f t="shared" si="23"/>
        <v>0</v>
      </c>
      <c r="BZ26" s="28">
        <f t="shared" si="23"/>
        <v>0</v>
      </c>
      <c r="CA26" s="28">
        <f t="shared" si="23"/>
        <v>0</v>
      </c>
      <c r="CB26" s="28">
        <f t="shared" si="23"/>
        <v>0</v>
      </c>
      <c r="CC26" s="29">
        <f t="shared" si="23"/>
        <v>0</v>
      </c>
      <c r="CD26" s="30">
        <f t="shared" si="15"/>
        <v>0</v>
      </c>
      <c r="CF26" s="27">
        <f t="shared" si="24"/>
        <v>0</v>
      </c>
      <c r="CG26" s="28">
        <f t="shared" si="24"/>
        <v>0</v>
      </c>
      <c r="CH26" s="28">
        <f t="shared" si="24"/>
        <v>0</v>
      </c>
      <c r="CI26" s="28">
        <f t="shared" si="24"/>
        <v>0</v>
      </c>
      <c r="CJ26" s="28">
        <f t="shared" si="24"/>
        <v>0</v>
      </c>
      <c r="CK26" s="28">
        <f t="shared" si="24"/>
        <v>0</v>
      </c>
      <c r="CL26" s="28">
        <f t="shared" si="24"/>
        <v>0</v>
      </c>
      <c r="CM26" s="28">
        <f t="shared" si="24"/>
        <v>0</v>
      </c>
      <c r="CN26" s="28">
        <f t="shared" si="24"/>
        <v>0</v>
      </c>
      <c r="CO26" s="28">
        <f t="shared" si="24"/>
        <v>0</v>
      </c>
      <c r="CP26" s="28">
        <f t="shared" si="24"/>
        <v>0</v>
      </c>
      <c r="CQ26" s="29">
        <f t="shared" si="24"/>
        <v>0</v>
      </c>
      <c r="CR26" s="30">
        <f t="shared" si="17"/>
        <v>0</v>
      </c>
      <c r="CT26" s="27">
        <f t="shared" si="25"/>
        <v>0</v>
      </c>
      <c r="CU26" s="28">
        <f t="shared" si="25"/>
        <v>0</v>
      </c>
      <c r="CV26" s="28">
        <f t="shared" si="25"/>
        <v>0</v>
      </c>
      <c r="CW26" s="28">
        <f t="shared" si="25"/>
        <v>0</v>
      </c>
      <c r="CX26" s="28">
        <f t="shared" si="25"/>
        <v>0</v>
      </c>
      <c r="CY26" s="28">
        <f t="shared" si="25"/>
        <v>0</v>
      </c>
      <c r="CZ26" s="28">
        <f t="shared" si="25"/>
        <v>0</v>
      </c>
      <c r="DA26" s="28">
        <f t="shared" si="25"/>
        <v>0</v>
      </c>
      <c r="DB26" s="28">
        <f t="shared" si="25"/>
        <v>0</v>
      </c>
      <c r="DC26" s="28">
        <f t="shared" si="25"/>
        <v>0</v>
      </c>
      <c r="DD26" s="28">
        <f t="shared" si="25"/>
        <v>0</v>
      </c>
      <c r="DE26" s="29">
        <f t="shared" si="25"/>
        <v>0</v>
      </c>
      <c r="DF26" s="30">
        <f t="shared" si="19"/>
        <v>0</v>
      </c>
      <c r="DH26" s="27">
        <f t="shared" si="26"/>
        <v>0</v>
      </c>
      <c r="DI26" s="28">
        <f t="shared" si="26"/>
        <v>0</v>
      </c>
      <c r="DJ26" s="28">
        <f t="shared" si="26"/>
        <v>0</v>
      </c>
      <c r="DK26" s="28">
        <f t="shared" si="26"/>
        <v>0</v>
      </c>
      <c r="DL26" s="28">
        <f t="shared" si="26"/>
        <v>0</v>
      </c>
      <c r="DM26" s="28">
        <f t="shared" si="26"/>
        <v>0</v>
      </c>
      <c r="DN26" s="28">
        <f t="shared" si="26"/>
        <v>0</v>
      </c>
      <c r="DO26" s="28">
        <f t="shared" si="26"/>
        <v>0</v>
      </c>
      <c r="DP26" s="28">
        <f t="shared" si="26"/>
        <v>0</v>
      </c>
      <c r="DQ26" s="28">
        <f t="shared" si="26"/>
        <v>0</v>
      </c>
      <c r="DR26" s="28">
        <f t="shared" si="26"/>
        <v>0</v>
      </c>
      <c r="DS26" s="29">
        <f t="shared" si="26"/>
        <v>0</v>
      </c>
      <c r="DT26" s="30">
        <f t="shared" si="21"/>
        <v>0</v>
      </c>
    </row>
    <row r="27" spans="1:124" x14ac:dyDescent="0.2">
      <c r="A27">
        <f t="shared" si="6"/>
        <v>12</v>
      </c>
      <c r="B27" s="49" t="str">
        <f>_xlfn.XLOOKUP(D27,Códigos_Propuestas!$B$4:$B$10,Códigos_Propuestas!$C$4:$C$10,"!",0,1)&amp;"__"&amp;
_xlfn.XLOOKUP(G27,Códigos_Propuestas!$E$4:$E$76,Códigos_Propuestas!$F$4:$F$76,"!",1)&amp;"__"&amp;
_xlfn.XLOOKUP(K27,Códigos_Propuestas!$I$4:$I$7,Códigos_Propuestas!$J$4:$J$7,"!",1)&amp;"__"&amp;
_xlfn.XLOOKUP(L27,Códigos_Propuestas!$O$4:$O$11,Códigos_Propuestas!$Q$4:$Q$11,"!",1)&amp;"__"&amp;
_xlfn.XLOOKUP(E27,Códigos_Propuestas!$BF:$BF,Códigos_Propuestas!$BH:$BH,"!",0,1)</f>
        <v>!__!__!__!__</v>
      </c>
      <c r="C27" s="47"/>
      <c r="D27" s="11"/>
      <c r="E27" s="12"/>
      <c r="F27" s="12"/>
      <c r="G27" s="13"/>
      <c r="H27" s="13"/>
      <c r="I27" s="13"/>
      <c r="J27" s="17"/>
      <c r="K27" s="13"/>
      <c r="L27" s="14"/>
      <c r="M27" s="14"/>
      <c r="N27" s="14"/>
      <c r="O27" s="14"/>
      <c r="P27" s="14"/>
      <c r="Q27" s="14"/>
      <c r="R27" s="14"/>
      <c r="S27" s="14"/>
      <c r="T27" s="14"/>
      <c r="U27" s="13"/>
      <c r="V27" s="13"/>
      <c r="W27" s="116">
        <f t="shared" ca="1" si="7"/>
        <v>0</v>
      </c>
      <c r="X27" s="13" t="str">
        <f t="shared" ca="1" si="8"/>
        <v/>
      </c>
      <c r="Y27" s="14"/>
      <c r="Z27" s="115"/>
      <c r="AA27" s="130" t="b">
        <v>0</v>
      </c>
      <c r="AB27" s="115"/>
      <c r="AC27" s="130" t="b">
        <v>0</v>
      </c>
      <c r="AD27" s="115"/>
      <c r="AE27" s="130" t="b">
        <v>0</v>
      </c>
      <c r="AF27" s="13"/>
      <c r="AG27" s="13"/>
      <c r="AH27" s="130" t="b">
        <v>0</v>
      </c>
      <c r="AI27" s="13"/>
      <c r="AJ27" s="130" t="b">
        <v>0</v>
      </c>
      <c r="AK27" s="13"/>
      <c r="AL27" s="130" t="b">
        <v>0</v>
      </c>
      <c r="AM27" s="13"/>
      <c r="AN27" s="130" t="b">
        <v>0</v>
      </c>
      <c r="AO27" s="13"/>
      <c r="AP27" s="13"/>
      <c r="AQ27" s="130" t="b">
        <v>0</v>
      </c>
      <c r="AR27" s="130" t="b">
        <v>0</v>
      </c>
      <c r="AS27" s="130" t="b">
        <v>0</v>
      </c>
      <c r="AT27" s="130" t="b">
        <v>0</v>
      </c>
      <c r="AU27" s="130" t="b">
        <v>0</v>
      </c>
      <c r="AV27" s="11"/>
      <c r="AW27" s="11"/>
      <c r="AX27" s="11"/>
      <c r="AY27" s="11"/>
      <c r="AZ27" s="11"/>
      <c r="BA27" s="107"/>
      <c r="BB27" s="97"/>
      <c r="BC27" s="97"/>
      <c r="BD27" s="13"/>
      <c r="BE27" s="108"/>
      <c r="BF27" s="108"/>
      <c r="BG27" s="15"/>
      <c r="BH27" s="18"/>
      <c r="BI27" s="18"/>
      <c r="BJ27" s="16"/>
      <c r="BK27" s="19"/>
      <c r="BL27" s="19"/>
      <c r="BM27" s="20"/>
      <c r="BN27" s="21"/>
      <c r="BO27" s="111"/>
      <c r="BP27" s="112"/>
      <c r="BR27" s="27">
        <f t="shared" si="23"/>
        <v>0</v>
      </c>
      <c r="BS27" s="28">
        <f t="shared" si="23"/>
        <v>0</v>
      </c>
      <c r="BT27" s="28">
        <f t="shared" si="23"/>
        <v>0</v>
      </c>
      <c r="BU27" s="28">
        <f t="shared" si="23"/>
        <v>0</v>
      </c>
      <c r="BV27" s="28">
        <f t="shared" si="23"/>
        <v>0</v>
      </c>
      <c r="BW27" s="28">
        <f t="shared" si="23"/>
        <v>0</v>
      </c>
      <c r="BX27" s="28">
        <f t="shared" si="23"/>
        <v>0</v>
      </c>
      <c r="BY27" s="28">
        <f t="shared" si="23"/>
        <v>0</v>
      </c>
      <c r="BZ27" s="28">
        <f t="shared" si="23"/>
        <v>0</v>
      </c>
      <c r="CA27" s="28">
        <f t="shared" si="23"/>
        <v>0</v>
      </c>
      <c r="CB27" s="28">
        <f t="shared" si="23"/>
        <v>0</v>
      </c>
      <c r="CC27" s="29">
        <f t="shared" si="23"/>
        <v>0</v>
      </c>
      <c r="CD27" s="30">
        <f t="shared" si="15"/>
        <v>0</v>
      </c>
      <c r="CE27" s="94"/>
      <c r="CF27" s="27">
        <f t="shared" si="24"/>
        <v>0</v>
      </c>
      <c r="CG27" s="28">
        <f t="shared" si="24"/>
        <v>0</v>
      </c>
      <c r="CH27" s="28">
        <f t="shared" si="24"/>
        <v>0</v>
      </c>
      <c r="CI27" s="28">
        <f t="shared" si="24"/>
        <v>0</v>
      </c>
      <c r="CJ27" s="28">
        <f t="shared" si="24"/>
        <v>0</v>
      </c>
      <c r="CK27" s="28">
        <f t="shared" si="24"/>
        <v>0</v>
      </c>
      <c r="CL27" s="28">
        <f t="shared" si="24"/>
        <v>0</v>
      </c>
      <c r="CM27" s="28">
        <f t="shared" si="24"/>
        <v>0</v>
      </c>
      <c r="CN27" s="28">
        <f t="shared" si="24"/>
        <v>0</v>
      </c>
      <c r="CO27" s="28">
        <f t="shared" si="24"/>
        <v>0</v>
      </c>
      <c r="CP27" s="28">
        <f t="shared" si="24"/>
        <v>0</v>
      </c>
      <c r="CQ27" s="29">
        <f t="shared" si="24"/>
        <v>0</v>
      </c>
      <c r="CR27" s="30">
        <f t="shared" si="17"/>
        <v>0</v>
      </c>
      <c r="CT27" s="27">
        <f t="shared" si="25"/>
        <v>0</v>
      </c>
      <c r="CU27" s="28">
        <f t="shared" si="25"/>
        <v>0</v>
      </c>
      <c r="CV27" s="28">
        <f t="shared" si="25"/>
        <v>0</v>
      </c>
      <c r="CW27" s="28">
        <f t="shared" si="25"/>
        <v>0</v>
      </c>
      <c r="CX27" s="28">
        <f t="shared" si="25"/>
        <v>0</v>
      </c>
      <c r="CY27" s="28">
        <f t="shared" si="25"/>
        <v>0</v>
      </c>
      <c r="CZ27" s="28">
        <f t="shared" si="25"/>
        <v>0</v>
      </c>
      <c r="DA27" s="28">
        <f t="shared" si="25"/>
        <v>0</v>
      </c>
      <c r="DB27" s="28">
        <f t="shared" si="25"/>
        <v>0</v>
      </c>
      <c r="DC27" s="28">
        <f t="shared" si="25"/>
        <v>0</v>
      </c>
      <c r="DD27" s="28">
        <f t="shared" si="25"/>
        <v>0</v>
      </c>
      <c r="DE27" s="29">
        <f t="shared" si="25"/>
        <v>0</v>
      </c>
      <c r="DF27" s="30">
        <f t="shared" si="19"/>
        <v>0</v>
      </c>
      <c r="DH27" s="27">
        <f t="shared" si="26"/>
        <v>0</v>
      </c>
      <c r="DI27" s="28">
        <f t="shared" si="26"/>
        <v>0</v>
      </c>
      <c r="DJ27" s="28">
        <f t="shared" si="26"/>
        <v>0</v>
      </c>
      <c r="DK27" s="28">
        <f t="shared" si="26"/>
        <v>0</v>
      </c>
      <c r="DL27" s="28">
        <f t="shared" si="26"/>
        <v>0</v>
      </c>
      <c r="DM27" s="28">
        <f t="shared" si="26"/>
        <v>0</v>
      </c>
      <c r="DN27" s="28">
        <f t="shared" si="26"/>
        <v>0</v>
      </c>
      <c r="DO27" s="28">
        <f t="shared" si="26"/>
        <v>0</v>
      </c>
      <c r="DP27" s="28">
        <f t="shared" si="26"/>
        <v>0</v>
      </c>
      <c r="DQ27" s="28">
        <f t="shared" si="26"/>
        <v>0</v>
      </c>
      <c r="DR27" s="28">
        <f t="shared" si="26"/>
        <v>0</v>
      </c>
      <c r="DS27" s="29">
        <f t="shared" si="26"/>
        <v>0</v>
      </c>
      <c r="DT27" s="30">
        <f t="shared" si="21"/>
        <v>0</v>
      </c>
    </row>
    <row r="28" spans="1:124" x14ac:dyDescent="0.2">
      <c r="A28">
        <f t="shared" si="6"/>
        <v>12</v>
      </c>
      <c r="B28" s="49" t="str">
        <f>_xlfn.XLOOKUP(D28,Códigos_Propuestas!$B$4:$B$10,Códigos_Propuestas!$C$4:$C$10,"!",0,1)&amp;"__"&amp;
_xlfn.XLOOKUP(G28,Códigos_Propuestas!$E$4:$E$76,Códigos_Propuestas!$F$4:$F$76,"!",1)&amp;"__"&amp;
_xlfn.XLOOKUP(K28,Códigos_Propuestas!$I$4:$I$7,Códigos_Propuestas!$J$4:$J$7,"!",1)&amp;"__"&amp;
_xlfn.XLOOKUP(L28,Códigos_Propuestas!$O$4:$O$11,Códigos_Propuestas!$Q$4:$Q$11,"!",1)&amp;"__"&amp;
_xlfn.XLOOKUP(E28,Códigos_Propuestas!$BF:$BF,Códigos_Propuestas!$BH:$BH,"!",0,1)</f>
        <v>!__!__!__!__</v>
      </c>
      <c r="C28" s="47"/>
      <c r="D28" s="11"/>
      <c r="E28" s="12"/>
      <c r="F28" s="12"/>
      <c r="G28" s="13"/>
      <c r="H28" s="13"/>
      <c r="I28" s="13"/>
      <c r="J28" s="17"/>
      <c r="K28" s="13"/>
      <c r="L28" s="14"/>
      <c r="M28" s="14"/>
      <c r="N28" s="14"/>
      <c r="O28" s="14"/>
      <c r="P28" s="14"/>
      <c r="Q28" s="14"/>
      <c r="R28" s="14"/>
      <c r="S28" s="14"/>
      <c r="T28" s="14"/>
      <c r="U28" s="13"/>
      <c r="V28" s="13"/>
      <c r="W28" s="116">
        <f t="shared" ca="1" si="7"/>
        <v>0</v>
      </c>
      <c r="X28" s="13" t="str">
        <f t="shared" ca="1" si="8"/>
        <v/>
      </c>
      <c r="Y28" s="14"/>
      <c r="Z28" s="115"/>
      <c r="AA28" s="130" t="b">
        <v>0</v>
      </c>
      <c r="AB28" s="115"/>
      <c r="AC28" s="130" t="b">
        <v>0</v>
      </c>
      <c r="AD28" s="115"/>
      <c r="AE28" s="130" t="b">
        <v>0</v>
      </c>
      <c r="AF28" s="13"/>
      <c r="AG28" s="13"/>
      <c r="AH28" s="130" t="b">
        <v>0</v>
      </c>
      <c r="AI28" s="13"/>
      <c r="AJ28" s="130" t="b">
        <v>0</v>
      </c>
      <c r="AK28" s="13"/>
      <c r="AL28" s="130" t="b">
        <v>0</v>
      </c>
      <c r="AM28" s="13"/>
      <c r="AN28" s="130" t="b">
        <v>0</v>
      </c>
      <c r="AO28" s="13"/>
      <c r="AP28" s="13"/>
      <c r="AQ28" s="130" t="b">
        <v>0</v>
      </c>
      <c r="AR28" s="130" t="b">
        <v>0</v>
      </c>
      <c r="AS28" s="130" t="b">
        <v>0</v>
      </c>
      <c r="AT28" s="130" t="b">
        <v>0</v>
      </c>
      <c r="AU28" s="130" t="b">
        <v>0</v>
      </c>
      <c r="AV28" s="11"/>
      <c r="AW28" s="11"/>
      <c r="AX28" s="11"/>
      <c r="AY28" s="11"/>
      <c r="AZ28" s="11"/>
      <c r="BA28" s="107"/>
      <c r="BB28" s="97"/>
      <c r="BC28" s="97"/>
      <c r="BD28" s="13"/>
      <c r="BE28" s="108"/>
      <c r="BF28" s="108"/>
      <c r="BG28" s="15"/>
      <c r="BH28" s="18"/>
      <c r="BI28" s="18"/>
      <c r="BJ28" s="16"/>
      <c r="BK28" s="19"/>
      <c r="BL28" s="19"/>
      <c r="BM28" s="20"/>
      <c r="BN28" s="21"/>
      <c r="BO28" s="111"/>
      <c r="BP28" s="112"/>
      <c r="BR28" s="27">
        <f t="shared" si="23"/>
        <v>0</v>
      </c>
      <c r="BS28" s="28">
        <f t="shared" si="23"/>
        <v>0</v>
      </c>
      <c r="BT28" s="28">
        <f t="shared" si="23"/>
        <v>0</v>
      </c>
      <c r="BU28" s="28">
        <f t="shared" si="23"/>
        <v>0</v>
      </c>
      <c r="BV28" s="28">
        <f t="shared" si="23"/>
        <v>0</v>
      </c>
      <c r="BW28" s="28">
        <f t="shared" si="23"/>
        <v>0</v>
      </c>
      <c r="BX28" s="28">
        <f t="shared" si="23"/>
        <v>0</v>
      </c>
      <c r="BY28" s="28">
        <f t="shared" si="23"/>
        <v>0</v>
      </c>
      <c r="BZ28" s="28">
        <f t="shared" si="23"/>
        <v>0</v>
      </c>
      <c r="CA28" s="28">
        <f t="shared" si="23"/>
        <v>0</v>
      </c>
      <c r="CB28" s="28">
        <f t="shared" si="23"/>
        <v>0</v>
      </c>
      <c r="CC28" s="29">
        <f t="shared" si="23"/>
        <v>0</v>
      </c>
      <c r="CD28" s="30">
        <f t="shared" si="15"/>
        <v>0</v>
      </c>
      <c r="CE28" s="94"/>
      <c r="CF28" s="27">
        <f t="shared" si="24"/>
        <v>0</v>
      </c>
      <c r="CG28" s="28">
        <f t="shared" si="24"/>
        <v>0</v>
      </c>
      <c r="CH28" s="28">
        <f t="shared" si="24"/>
        <v>0</v>
      </c>
      <c r="CI28" s="28">
        <f t="shared" si="24"/>
        <v>0</v>
      </c>
      <c r="CJ28" s="28">
        <f t="shared" si="24"/>
        <v>0</v>
      </c>
      <c r="CK28" s="28">
        <f t="shared" si="24"/>
        <v>0</v>
      </c>
      <c r="CL28" s="28">
        <f t="shared" si="24"/>
        <v>0</v>
      </c>
      <c r="CM28" s="28">
        <f t="shared" si="24"/>
        <v>0</v>
      </c>
      <c r="CN28" s="28">
        <f t="shared" si="24"/>
        <v>0</v>
      </c>
      <c r="CO28" s="28">
        <f t="shared" si="24"/>
        <v>0</v>
      </c>
      <c r="CP28" s="28">
        <f t="shared" si="24"/>
        <v>0</v>
      </c>
      <c r="CQ28" s="29">
        <f t="shared" si="24"/>
        <v>0</v>
      </c>
      <c r="CR28" s="30">
        <f t="shared" si="17"/>
        <v>0</v>
      </c>
      <c r="CT28" s="27">
        <f t="shared" si="25"/>
        <v>0</v>
      </c>
      <c r="CU28" s="28">
        <f t="shared" si="25"/>
        <v>0</v>
      </c>
      <c r="CV28" s="28">
        <f t="shared" si="25"/>
        <v>0</v>
      </c>
      <c r="CW28" s="28">
        <f t="shared" si="25"/>
        <v>0</v>
      </c>
      <c r="CX28" s="28">
        <f t="shared" si="25"/>
        <v>0</v>
      </c>
      <c r="CY28" s="28">
        <f t="shared" si="25"/>
        <v>0</v>
      </c>
      <c r="CZ28" s="28">
        <f t="shared" si="25"/>
        <v>0</v>
      </c>
      <c r="DA28" s="28">
        <f t="shared" si="25"/>
        <v>0</v>
      </c>
      <c r="DB28" s="28">
        <f t="shared" si="25"/>
        <v>0</v>
      </c>
      <c r="DC28" s="28">
        <f t="shared" si="25"/>
        <v>0</v>
      </c>
      <c r="DD28" s="28">
        <f t="shared" si="25"/>
        <v>0</v>
      </c>
      <c r="DE28" s="29">
        <f t="shared" si="25"/>
        <v>0</v>
      </c>
      <c r="DF28" s="30">
        <f t="shared" si="19"/>
        <v>0</v>
      </c>
      <c r="DH28" s="27">
        <f t="shared" si="26"/>
        <v>0</v>
      </c>
      <c r="DI28" s="28">
        <f t="shared" si="26"/>
        <v>0</v>
      </c>
      <c r="DJ28" s="28">
        <f t="shared" si="26"/>
        <v>0</v>
      </c>
      <c r="DK28" s="28">
        <f t="shared" si="26"/>
        <v>0</v>
      </c>
      <c r="DL28" s="28">
        <f t="shared" si="26"/>
        <v>0</v>
      </c>
      <c r="DM28" s="28">
        <f t="shared" si="26"/>
        <v>0</v>
      </c>
      <c r="DN28" s="28">
        <f t="shared" si="26"/>
        <v>0</v>
      </c>
      <c r="DO28" s="28">
        <f t="shared" si="26"/>
        <v>0</v>
      </c>
      <c r="DP28" s="28">
        <f t="shared" si="26"/>
        <v>0</v>
      </c>
      <c r="DQ28" s="28">
        <f t="shared" si="26"/>
        <v>0</v>
      </c>
      <c r="DR28" s="28">
        <f t="shared" si="26"/>
        <v>0</v>
      </c>
      <c r="DS28" s="29">
        <f t="shared" si="26"/>
        <v>0</v>
      </c>
      <c r="DT28" s="30">
        <f t="shared" si="21"/>
        <v>0</v>
      </c>
    </row>
    <row r="29" spans="1:124" x14ac:dyDescent="0.2">
      <c r="A29">
        <f t="shared" si="6"/>
        <v>12</v>
      </c>
      <c r="B29" s="49" t="str">
        <f>_xlfn.XLOOKUP(D29,Códigos_Propuestas!$B$4:$B$10,Códigos_Propuestas!$C$4:$C$10,"!",0,1)&amp;"__"&amp;
_xlfn.XLOOKUP(G29,Códigos_Propuestas!$E$4:$E$76,Códigos_Propuestas!$F$4:$F$76,"!",1)&amp;"__"&amp;
_xlfn.XLOOKUP(K29,Códigos_Propuestas!$I$4:$I$7,Códigos_Propuestas!$J$4:$J$7,"!",1)&amp;"__"&amp;
_xlfn.XLOOKUP(L29,Códigos_Propuestas!$O$4:$O$11,Códigos_Propuestas!$Q$4:$Q$11,"!",1)&amp;"__"&amp;
_xlfn.XLOOKUP(E29,Códigos_Propuestas!$BF:$BF,Códigos_Propuestas!$BH:$BH,"!",0,1)</f>
        <v>!__!__!__!__</v>
      </c>
      <c r="C29" s="47"/>
      <c r="D29" s="11"/>
      <c r="E29" s="12"/>
      <c r="F29" s="12"/>
      <c r="G29" s="13"/>
      <c r="H29" s="13"/>
      <c r="I29" s="13"/>
      <c r="J29" s="17"/>
      <c r="K29" s="13"/>
      <c r="L29" s="14"/>
      <c r="M29" s="14"/>
      <c r="N29" s="14"/>
      <c r="O29" s="14"/>
      <c r="P29" s="14"/>
      <c r="Q29" s="14"/>
      <c r="R29" s="14"/>
      <c r="S29" s="14"/>
      <c r="T29" s="14"/>
      <c r="U29" s="13"/>
      <c r="V29" s="13"/>
      <c r="W29" s="116">
        <f t="shared" ca="1" si="7"/>
        <v>0</v>
      </c>
      <c r="X29" s="13" t="str">
        <f t="shared" ca="1" si="8"/>
        <v/>
      </c>
      <c r="Y29" s="14"/>
      <c r="Z29" s="115"/>
      <c r="AA29" s="130" t="b">
        <v>0</v>
      </c>
      <c r="AB29" s="115"/>
      <c r="AC29" s="130" t="b">
        <v>0</v>
      </c>
      <c r="AD29" s="115"/>
      <c r="AE29" s="130" t="b">
        <v>0</v>
      </c>
      <c r="AF29" s="13"/>
      <c r="AG29" s="13"/>
      <c r="AH29" s="130" t="b">
        <v>0</v>
      </c>
      <c r="AI29" s="13"/>
      <c r="AJ29" s="130" t="b">
        <v>0</v>
      </c>
      <c r="AK29" s="13"/>
      <c r="AL29" s="130" t="b">
        <v>0</v>
      </c>
      <c r="AM29" s="13"/>
      <c r="AN29" s="130" t="b">
        <v>0</v>
      </c>
      <c r="AO29" s="13"/>
      <c r="AP29" s="13"/>
      <c r="AQ29" s="130" t="b">
        <v>0</v>
      </c>
      <c r="AR29" s="130" t="b">
        <v>0</v>
      </c>
      <c r="AS29" s="130" t="b">
        <v>0</v>
      </c>
      <c r="AT29" s="130" t="b">
        <v>0</v>
      </c>
      <c r="AU29" s="130" t="b">
        <v>0</v>
      </c>
      <c r="AV29" s="11"/>
      <c r="AW29" s="11"/>
      <c r="AX29" s="11"/>
      <c r="AY29" s="11"/>
      <c r="AZ29" s="11"/>
      <c r="BA29" s="107"/>
      <c r="BB29" s="97"/>
      <c r="BC29" s="97"/>
      <c r="BD29" s="13"/>
      <c r="BE29" s="108"/>
      <c r="BF29" s="108"/>
      <c r="BG29" s="15"/>
      <c r="BH29" s="18"/>
      <c r="BI29" s="18"/>
      <c r="BJ29" s="16"/>
      <c r="BK29" s="19"/>
      <c r="BL29" s="19"/>
      <c r="BM29" s="20"/>
      <c r="BN29" s="21"/>
      <c r="BO29" s="111"/>
      <c r="BP29" s="112"/>
      <c r="BR29" s="27">
        <f t="shared" si="23"/>
        <v>0</v>
      </c>
      <c r="BS29" s="28">
        <f t="shared" si="23"/>
        <v>0</v>
      </c>
      <c r="BT29" s="28">
        <f t="shared" si="23"/>
        <v>0</v>
      </c>
      <c r="BU29" s="28">
        <f t="shared" si="23"/>
        <v>0</v>
      </c>
      <c r="BV29" s="28">
        <f t="shared" si="23"/>
        <v>0</v>
      </c>
      <c r="BW29" s="28">
        <f t="shared" si="23"/>
        <v>0</v>
      </c>
      <c r="BX29" s="28">
        <f t="shared" si="23"/>
        <v>0</v>
      </c>
      <c r="BY29" s="28">
        <f t="shared" si="23"/>
        <v>0</v>
      </c>
      <c r="BZ29" s="28">
        <f t="shared" si="23"/>
        <v>0</v>
      </c>
      <c r="CA29" s="28">
        <f t="shared" si="23"/>
        <v>0</v>
      </c>
      <c r="CB29" s="28">
        <f t="shared" si="23"/>
        <v>0</v>
      </c>
      <c r="CC29" s="29">
        <f t="shared" si="23"/>
        <v>0</v>
      </c>
      <c r="CD29" s="30">
        <f t="shared" si="15"/>
        <v>0</v>
      </c>
      <c r="CE29" s="94"/>
      <c r="CF29" s="27">
        <f t="shared" si="24"/>
        <v>0</v>
      </c>
      <c r="CG29" s="28">
        <f t="shared" si="24"/>
        <v>0</v>
      </c>
      <c r="CH29" s="28">
        <f t="shared" si="24"/>
        <v>0</v>
      </c>
      <c r="CI29" s="28">
        <f t="shared" si="24"/>
        <v>0</v>
      </c>
      <c r="CJ29" s="28">
        <f t="shared" si="24"/>
        <v>0</v>
      </c>
      <c r="CK29" s="28">
        <f t="shared" si="24"/>
        <v>0</v>
      </c>
      <c r="CL29" s="28">
        <f t="shared" si="24"/>
        <v>0</v>
      </c>
      <c r="CM29" s="28">
        <f t="shared" si="24"/>
        <v>0</v>
      </c>
      <c r="CN29" s="28">
        <f t="shared" si="24"/>
        <v>0</v>
      </c>
      <c r="CO29" s="28">
        <f t="shared" si="24"/>
        <v>0</v>
      </c>
      <c r="CP29" s="28">
        <f t="shared" si="24"/>
        <v>0</v>
      </c>
      <c r="CQ29" s="29">
        <f t="shared" si="24"/>
        <v>0</v>
      </c>
      <c r="CR29" s="30">
        <f t="shared" si="17"/>
        <v>0</v>
      </c>
      <c r="CT29" s="27">
        <f t="shared" si="25"/>
        <v>0</v>
      </c>
      <c r="CU29" s="28">
        <f t="shared" si="25"/>
        <v>0</v>
      </c>
      <c r="CV29" s="28">
        <f t="shared" si="25"/>
        <v>0</v>
      </c>
      <c r="CW29" s="28">
        <f t="shared" si="25"/>
        <v>0</v>
      </c>
      <c r="CX29" s="28">
        <f t="shared" si="25"/>
        <v>0</v>
      </c>
      <c r="CY29" s="28">
        <f t="shared" si="25"/>
        <v>0</v>
      </c>
      <c r="CZ29" s="28">
        <f t="shared" si="25"/>
        <v>0</v>
      </c>
      <c r="DA29" s="28">
        <f t="shared" si="25"/>
        <v>0</v>
      </c>
      <c r="DB29" s="28">
        <f t="shared" si="25"/>
        <v>0</v>
      </c>
      <c r="DC29" s="28">
        <f t="shared" si="25"/>
        <v>0</v>
      </c>
      <c r="DD29" s="28">
        <f t="shared" si="25"/>
        <v>0</v>
      </c>
      <c r="DE29" s="29">
        <f t="shared" si="25"/>
        <v>0</v>
      </c>
      <c r="DF29" s="30">
        <f t="shared" si="19"/>
        <v>0</v>
      </c>
      <c r="DH29" s="27">
        <f t="shared" si="26"/>
        <v>0</v>
      </c>
      <c r="DI29" s="28">
        <f t="shared" si="26"/>
        <v>0</v>
      </c>
      <c r="DJ29" s="28">
        <f t="shared" si="26"/>
        <v>0</v>
      </c>
      <c r="DK29" s="28">
        <f t="shared" si="26"/>
        <v>0</v>
      </c>
      <c r="DL29" s="28">
        <f t="shared" si="26"/>
        <v>0</v>
      </c>
      <c r="DM29" s="28">
        <f t="shared" si="26"/>
        <v>0</v>
      </c>
      <c r="DN29" s="28">
        <f t="shared" si="26"/>
        <v>0</v>
      </c>
      <c r="DO29" s="28">
        <f t="shared" si="26"/>
        <v>0</v>
      </c>
      <c r="DP29" s="28">
        <f t="shared" si="26"/>
        <v>0</v>
      </c>
      <c r="DQ29" s="28">
        <f t="shared" si="26"/>
        <v>0</v>
      </c>
      <c r="DR29" s="28">
        <f t="shared" si="26"/>
        <v>0</v>
      </c>
      <c r="DS29" s="29">
        <f t="shared" si="26"/>
        <v>0</v>
      </c>
      <c r="DT29" s="30">
        <f t="shared" si="21"/>
        <v>0</v>
      </c>
    </row>
    <row r="30" spans="1:124" x14ac:dyDescent="0.2">
      <c r="A30">
        <f t="shared" si="6"/>
        <v>12</v>
      </c>
      <c r="B30" s="49" t="str">
        <f>_xlfn.XLOOKUP(D30,Códigos_Propuestas!$B$4:$B$10,Códigos_Propuestas!$C$4:$C$10,"!",0,1)&amp;"__"&amp;
_xlfn.XLOOKUP(G30,Códigos_Propuestas!$E$4:$E$76,Códigos_Propuestas!$F$4:$F$76,"!",1)&amp;"__"&amp;
_xlfn.XLOOKUP(K30,Códigos_Propuestas!$I$4:$I$7,Códigos_Propuestas!$J$4:$J$7,"!",1)&amp;"__"&amp;
_xlfn.XLOOKUP(L30,Códigos_Propuestas!$O$4:$O$11,Códigos_Propuestas!$Q$4:$Q$11,"!",1)&amp;"__"&amp;
_xlfn.XLOOKUP(E30,Códigos_Propuestas!$BF:$BF,Códigos_Propuestas!$BH:$BH,"!",0,1)</f>
        <v>!__!__!__!__</v>
      </c>
      <c r="C30" s="47"/>
      <c r="D30" s="11"/>
      <c r="E30" s="12"/>
      <c r="F30" s="12"/>
      <c r="G30" s="13"/>
      <c r="H30" s="13"/>
      <c r="I30" s="13"/>
      <c r="J30" s="17"/>
      <c r="K30" s="13"/>
      <c r="L30" s="14"/>
      <c r="M30" s="14"/>
      <c r="N30" s="14"/>
      <c r="O30" s="14"/>
      <c r="P30" s="14"/>
      <c r="Q30" s="14"/>
      <c r="R30" s="14"/>
      <c r="S30" s="14"/>
      <c r="T30" s="14"/>
      <c r="U30" s="13"/>
      <c r="V30" s="13"/>
      <c r="W30" s="116">
        <f t="shared" ca="1" si="7"/>
        <v>0</v>
      </c>
      <c r="X30" s="13" t="str">
        <f t="shared" ca="1" si="8"/>
        <v/>
      </c>
      <c r="Y30" s="14"/>
      <c r="Z30" s="115"/>
      <c r="AA30" s="130" t="b">
        <v>0</v>
      </c>
      <c r="AB30" s="115"/>
      <c r="AC30" s="130" t="b">
        <v>0</v>
      </c>
      <c r="AD30" s="115"/>
      <c r="AE30" s="130" t="b">
        <v>0</v>
      </c>
      <c r="AF30" s="13"/>
      <c r="AG30" s="13"/>
      <c r="AH30" s="130" t="b">
        <v>0</v>
      </c>
      <c r="AI30" s="13"/>
      <c r="AJ30" s="130" t="b">
        <v>0</v>
      </c>
      <c r="AK30" s="13"/>
      <c r="AL30" s="130" t="b">
        <v>0</v>
      </c>
      <c r="AM30" s="13"/>
      <c r="AN30" s="130" t="b">
        <v>0</v>
      </c>
      <c r="AO30" s="13"/>
      <c r="AP30" s="13"/>
      <c r="AQ30" s="130" t="b">
        <v>0</v>
      </c>
      <c r="AR30" s="130" t="b">
        <v>0</v>
      </c>
      <c r="AS30" s="130" t="b">
        <v>0</v>
      </c>
      <c r="AT30" s="130" t="b">
        <v>0</v>
      </c>
      <c r="AU30" s="130" t="b">
        <v>0</v>
      </c>
      <c r="AV30" s="11"/>
      <c r="AW30" s="11"/>
      <c r="AX30" s="11"/>
      <c r="AY30" s="11"/>
      <c r="AZ30" s="11"/>
      <c r="BA30" s="107"/>
      <c r="BB30" s="97"/>
      <c r="BC30" s="97"/>
      <c r="BD30" s="13"/>
      <c r="BE30" s="108"/>
      <c r="BF30" s="108"/>
      <c r="BG30" s="15"/>
      <c r="BH30" s="18"/>
      <c r="BI30" s="18"/>
      <c r="BJ30" s="16"/>
      <c r="BK30" s="19"/>
      <c r="BL30" s="19"/>
      <c r="BM30" s="20"/>
      <c r="BN30" s="21"/>
      <c r="BO30" s="111"/>
      <c r="BP30" s="112"/>
      <c r="BR30" s="27">
        <f t="shared" si="23"/>
        <v>0</v>
      </c>
      <c r="BS30" s="28">
        <f t="shared" si="23"/>
        <v>0</v>
      </c>
      <c r="BT30" s="28">
        <f t="shared" si="23"/>
        <v>0</v>
      </c>
      <c r="BU30" s="28">
        <f t="shared" si="23"/>
        <v>0</v>
      </c>
      <c r="BV30" s="28">
        <f t="shared" si="23"/>
        <v>0</v>
      </c>
      <c r="BW30" s="28">
        <f t="shared" si="23"/>
        <v>0</v>
      </c>
      <c r="BX30" s="28">
        <f t="shared" si="23"/>
        <v>0</v>
      </c>
      <c r="BY30" s="28">
        <f t="shared" si="23"/>
        <v>0</v>
      </c>
      <c r="BZ30" s="28">
        <f t="shared" si="23"/>
        <v>0</v>
      </c>
      <c r="CA30" s="28">
        <f t="shared" si="23"/>
        <v>0</v>
      </c>
      <c r="CB30" s="28">
        <f t="shared" si="23"/>
        <v>0</v>
      </c>
      <c r="CC30" s="29">
        <f t="shared" si="23"/>
        <v>0</v>
      </c>
      <c r="CD30" s="30">
        <f t="shared" si="15"/>
        <v>0</v>
      </c>
      <c r="CF30" s="27">
        <f t="shared" si="24"/>
        <v>0</v>
      </c>
      <c r="CG30" s="28">
        <f t="shared" si="24"/>
        <v>0</v>
      </c>
      <c r="CH30" s="28">
        <f t="shared" si="24"/>
        <v>0</v>
      </c>
      <c r="CI30" s="28">
        <f t="shared" si="24"/>
        <v>0</v>
      </c>
      <c r="CJ30" s="28">
        <f t="shared" si="24"/>
        <v>0</v>
      </c>
      <c r="CK30" s="28">
        <f t="shared" si="24"/>
        <v>0</v>
      </c>
      <c r="CL30" s="28">
        <f t="shared" si="24"/>
        <v>0</v>
      </c>
      <c r="CM30" s="28">
        <f t="shared" si="24"/>
        <v>0</v>
      </c>
      <c r="CN30" s="28">
        <f t="shared" si="24"/>
        <v>0</v>
      </c>
      <c r="CO30" s="28">
        <f t="shared" si="24"/>
        <v>0</v>
      </c>
      <c r="CP30" s="28">
        <f t="shared" si="24"/>
        <v>0</v>
      </c>
      <c r="CQ30" s="29">
        <f t="shared" si="24"/>
        <v>0</v>
      </c>
      <c r="CR30" s="30">
        <f t="shared" si="17"/>
        <v>0</v>
      </c>
      <c r="CT30" s="27">
        <f t="shared" si="25"/>
        <v>0</v>
      </c>
      <c r="CU30" s="28">
        <f t="shared" si="25"/>
        <v>0</v>
      </c>
      <c r="CV30" s="28">
        <f t="shared" si="25"/>
        <v>0</v>
      </c>
      <c r="CW30" s="28">
        <f t="shared" si="25"/>
        <v>0</v>
      </c>
      <c r="CX30" s="28">
        <f t="shared" si="25"/>
        <v>0</v>
      </c>
      <c r="CY30" s="28">
        <f t="shared" si="25"/>
        <v>0</v>
      </c>
      <c r="CZ30" s="28">
        <f t="shared" si="25"/>
        <v>0</v>
      </c>
      <c r="DA30" s="28">
        <f t="shared" si="25"/>
        <v>0</v>
      </c>
      <c r="DB30" s="28">
        <f t="shared" si="25"/>
        <v>0</v>
      </c>
      <c r="DC30" s="28">
        <f t="shared" si="25"/>
        <v>0</v>
      </c>
      <c r="DD30" s="28">
        <f t="shared" si="25"/>
        <v>0</v>
      </c>
      <c r="DE30" s="29">
        <f t="shared" si="25"/>
        <v>0</v>
      </c>
      <c r="DF30" s="30">
        <f t="shared" si="19"/>
        <v>0</v>
      </c>
      <c r="DH30" s="27">
        <f t="shared" si="26"/>
        <v>0</v>
      </c>
      <c r="DI30" s="28">
        <f t="shared" si="26"/>
        <v>0</v>
      </c>
      <c r="DJ30" s="28">
        <f t="shared" si="26"/>
        <v>0</v>
      </c>
      <c r="DK30" s="28">
        <f t="shared" si="26"/>
        <v>0</v>
      </c>
      <c r="DL30" s="28">
        <f t="shared" si="26"/>
        <v>0</v>
      </c>
      <c r="DM30" s="28">
        <f t="shared" si="26"/>
        <v>0</v>
      </c>
      <c r="DN30" s="28">
        <f t="shared" si="26"/>
        <v>0</v>
      </c>
      <c r="DO30" s="28">
        <f t="shared" si="26"/>
        <v>0</v>
      </c>
      <c r="DP30" s="28">
        <f t="shared" si="26"/>
        <v>0</v>
      </c>
      <c r="DQ30" s="28">
        <f t="shared" si="26"/>
        <v>0</v>
      </c>
      <c r="DR30" s="28">
        <f t="shared" si="26"/>
        <v>0</v>
      </c>
      <c r="DS30" s="29">
        <f t="shared" si="26"/>
        <v>0</v>
      </c>
      <c r="DT30" s="30">
        <f t="shared" si="21"/>
        <v>0</v>
      </c>
    </row>
    <row r="31" spans="1:124" x14ac:dyDescent="0.2">
      <c r="A31">
        <f t="shared" si="6"/>
        <v>12</v>
      </c>
      <c r="B31" s="49" t="str">
        <f>_xlfn.XLOOKUP(D31,Códigos_Propuestas!$B$4:$B$10,Códigos_Propuestas!$C$4:$C$10,"!",0,1)&amp;"__"&amp;
_xlfn.XLOOKUP(G31,Códigos_Propuestas!$E$4:$E$76,Códigos_Propuestas!$F$4:$F$76,"!",1)&amp;"__"&amp;
_xlfn.XLOOKUP(K31,Códigos_Propuestas!$I$4:$I$7,Códigos_Propuestas!$J$4:$J$7,"!",1)&amp;"__"&amp;
_xlfn.XLOOKUP(L31,Códigos_Propuestas!$O$4:$O$11,Códigos_Propuestas!$Q$4:$Q$11,"!",1)&amp;"__"&amp;
_xlfn.XLOOKUP(E31,Códigos_Propuestas!$BF:$BF,Códigos_Propuestas!$BH:$BH,"!",0,1)</f>
        <v>!__!__!__!__</v>
      </c>
      <c r="C31" s="47"/>
      <c r="D31" s="11"/>
      <c r="E31" s="12"/>
      <c r="F31" s="12"/>
      <c r="G31" s="13"/>
      <c r="H31" s="13"/>
      <c r="I31" s="13"/>
      <c r="J31" s="17"/>
      <c r="K31" s="13"/>
      <c r="L31" s="14"/>
      <c r="M31" s="14"/>
      <c r="N31" s="14"/>
      <c r="O31" s="14"/>
      <c r="P31" s="14"/>
      <c r="Q31" s="14"/>
      <c r="R31" s="14"/>
      <c r="S31" s="14"/>
      <c r="T31" s="14"/>
      <c r="U31" s="13"/>
      <c r="V31" s="13"/>
      <c r="W31" s="116">
        <f t="shared" ca="1" si="7"/>
        <v>0</v>
      </c>
      <c r="X31" s="13" t="str">
        <f t="shared" ca="1" si="8"/>
        <v/>
      </c>
      <c r="Y31" s="14"/>
      <c r="Z31" s="115"/>
      <c r="AA31" s="130" t="b">
        <v>0</v>
      </c>
      <c r="AB31" s="115"/>
      <c r="AC31" s="130" t="b">
        <v>0</v>
      </c>
      <c r="AD31" s="115"/>
      <c r="AE31" s="130" t="b">
        <v>0</v>
      </c>
      <c r="AF31" s="13"/>
      <c r="AG31" s="13"/>
      <c r="AH31" s="130" t="b">
        <v>0</v>
      </c>
      <c r="AI31" s="13"/>
      <c r="AJ31" s="130" t="b">
        <v>0</v>
      </c>
      <c r="AK31" s="13"/>
      <c r="AL31" s="130" t="b">
        <v>0</v>
      </c>
      <c r="AM31" s="13"/>
      <c r="AN31" s="130" t="b">
        <v>0</v>
      </c>
      <c r="AO31" s="13"/>
      <c r="AP31" s="13"/>
      <c r="AQ31" s="130" t="b">
        <v>0</v>
      </c>
      <c r="AR31" s="130" t="b">
        <v>0</v>
      </c>
      <c r="AS31" s="130" t="b">
        <v>0</v>
      </c>
      <c r="AT31" s="130" t="b">
        <v>0</v>
      </c>
      <c r="AU31" s="130" t="b">
        <v>0</v>
      </c>
      <c r="AV31" s="11"/>
      <c r="AW31" s="11"/>
      <c r="AX31" s="11"/>
      <c r="AY31" s="11"/>
      <c r="AZ31" s="11"/>
      <c r="BA31" s="107"/>
      <c r="BB31" s="97"/>
      <c r="BC31" s="97"/>
      <c r="BD31" s="13"/>
      <c r="BE31" s="108"/>
      <c r="BF31" s="108"/>
      <c r="BG31" s="15"/>
      <c r="BH31" s="18"/>
      <c r="BI31" s="18"/>
      <c r="BJ31" s="16"/>
      <c r="BK31" s="19"/>
      <c r="BL31" s="19"/>
      <c r="BM31" s="20"/>
      <c r="BN31" s="21"/>
      <c r="BO31" s="111"/>
      <c r="BP31" s="112"/>
      <c r="BR31" s="27">
        <f t="shared" si="23"/>
        <v>0</v>
      </c>
      <c r="BS31" s="28">
        <f t="shared" si="23"/>
        <v>0</v>
      </c>
      <c r="BT31" s="28">
        <f t="shared" si="23"/>
        <v>0</v>
      </c>
      <c r="BU31" s="28">
        <f t="shared" si="23"/>
        <v>0</v>
      </c>
      <c r="BV31" s="28">
        <f t="shared" si="23"/>
        <v>0</v>
      </c>
      <c r="BW31" s="28">
        <f t="shared" si="23"/>
        <v>0</v>
      </c>
      <c r="BX31" s="28">
        <f t="shared" si="23"/>
        <v>0</v>
      </c>
      <c r="BY31" s="28">
        <f t="shared" si="23"/>
        <v>0</v>
      </c>
      <c r="BZ31" s="28">
        <f t="shared" si="23"/>
        <v>0</v>
      </c>
      <c r="CA31" s="28">
        <f t="shared" si="23"/>
        <v>0</v>
      </c>
      <c r="CB31" s="28">
        <f t="shared" si="23"/>
        <v>0</v>
      </c>
      <c r="CC31" s="29">
        <f t="shared" si="23"/>
        <v>0</v>
      </c>
      <c r="CD31" s="30">
        <f t="shared" si="15"/>
        <v>0</v>
      </c>
      <c r="CF31" s="27">
        <f t="shared" si="24"/>
        <v>0</v>
      </c>
      <c r="CG31" s="28">
        <f t="shared" si="24"/>
        <v>0</v>
      </c>
      <c r="CH31" s="28">
        <f t="shared" si="24"/>
        <v>0</v>
      </c>
      <c r="CI31" s="28">
        <f t="shared" si="24"/>
        <v>0</v>
      </c>
      <c r="CJ31" s="28">
        <f t="shared" si="24"/>
        <v>0</v>
      </c>
      <c r="CK31" s="28">
        <f t="shared" si="24"/>
        <v>0</v>
      </c>
      <c r="CL31" s="28">
        <f t="shared" si="24"/>
        <v>0</v>
      </c>
      <c r="CM31" s="28">
        <f t="shared" si="24"/>
        <v>0</v>
      </c>
      <c r="CN31" s="28">
        <f t="shared" si="24"/>
        <v>0</v>
      </c>
      <c r="CO31" s="28">
        <f t="shared" si="24"/>
        <v>0</v>
      </c>
      <c r="CP31" s="28">
        <f t="shared" si="24"/>
        <v>0</v>
      </c>
      <c r="CQ31" s="29">
        <f t="shared" si="24"/>
        <v>0</v>
      </c>
      <c r="CR31" s="30">
        <f t="shared" si="17"/>
        <v>0</v>
      </c>
      <c r="CT31" s="27">
        <f t="shared" si="25"/>
        <v>0</v>
      </c>
      <c r="CU31" s="28">
        <f t="shared" si="25"/>
        <v>0</v>
      </c>
      <c r="CV31" s="28">
        <f t="shared" si="25"/>
        <v>0</v>
      </c>
      <c r="CW31" s="28">
        <f t="shared" si="25"/>
        <v>0</v>
      </c>
      <c r="CX31" s="28">
        <f t="shared" si="25"/>
        <v>0</v>
      </c>
      <c r="CY31" s="28">
        <f t="shared" si="25"/>
        <v>0</v>
      </c>
      <c r="CZ31" s="28">
        <f t="shared" si="25"/>
        <v>0</v>
      </c>
      <c r="DA31" s="28">
        <f t="shared" si="25"/>
        <v>0</v>
      </c>
      <c r="DB31" s="28">
        <f t="shared" si="25"/>
        <v>0</v>
      </c>
      <c r="DC31" s="28">
        <f t="shared" si="25"/>
        <v>0</v>
      </c>
      <c r="DD31" s="28">
        <f t="shared" si="25"/>
        <v>0</v>
      </c>
      <c r="DE31" s="29">
        <f t="shared" si="25"/>
        <v>0</v>
      </c>
      <c r="DF31" s="30">
        <f t="shared" si="19"/>
        <v>0</v>
      </c>
      <c r="DH31" s="27">
        <f t="shared" si="26"/>
        <v>0</v>
      </c>
      <c r="DI31" s="28">
        <f t="shared" si="26"/>
        <v>0</v>
      </c>
      <c r="DJ31" s="28">
        <f t="shared" si="26"/>
        <v>0</v>
      </c>
      <c r="DK31" s="28">
        <f t="shared" si="26"/>
        <v>0</v>
      </c>
      <c r="DL31" s="28">
        <f t="shared" si="26"/>
        <v>0</v>
      </c>
      <c r="DM31" s="28">
        <f t="shared" si="26"/>
        <v>0</v>
      </c>
      <c r="DN31" s="28">
        <f t="shared" si="26"/>
        <v>0</v>
      </c>
      <c r="DO31" s="28">
        <f t="shared" si="26"/>
        <v>0</v>
      </c>
      <c r="DP31" s="28">
        <f t="shared" si="26"/>
        <v>0</v>
      </c>
      <c r="DQ31" s="28">
        <f t="shared" si="26"/>
        <v>0</v>
      </c>
      <c r="DR31" s="28">
        <f t="shared" si="26"/>
        <v>0</v>
      </c>
      <c r="DS31" s="29">
        <f t="shared" si="26"/>
        <v>0</v>
      </c>
      <c r="DT31" s="30">
        <f t="shared" si="21"/>
        <v>0</v>
      </c>
    </row>
    <row r="32" spans="1:124" x14ac:dyDescent="0.2">
      <c r="A32">
        <f t="shared" si="6"/>
        <v>12</v>
      </c>
      <c r="B32" s="49" t="str">
        <f>_xlfn.XLOOKUP(D32,Códigos_Propuestas!$B$4:$B$10,Códigos_Propuestas!$C$4:$C$10,"!",0,1)&amp;"__"&amp;
_xlfn.XLOOKUP(G32,Códigos_Propuestas!$E$4:$E$76,Códigos_Propuestas!$F$4:$F$76,"!",1)&amp;"__"&amp;
_xlfn.XLOOKUP(K32,Códigos_Propuestas!$I$4:$I$7,Códigos_Propuestas!$J$4:$J$7,"!",1)&amp;"__"&amp;
_xlfn.XLOOKUP(L32,Códigos_Propuestas!$O$4:$O$11,Códigos_Propuestas!$Q$4:$Q$11,"!",1)&amp;"__"&amp;
_xlfn.XLOOKUP(E32,Códigos_Propuestas!$BF:$BF,Códigos_Propuestas!$BH:$BH,"!",0,1)</f>
        <v>!__!__!__!__</v>
      </c>
      <c r="C32" s="47"/>
      <c r="D32" s="11"/>
      <c r="E32" s="12"/>
      <c r="F32" s="12"/>
      <c r="G32" s="13"/>
      <c r="H32" s="13"/>
      <c r="I32" s="13"/>
      <c r="J32" s="17"/>
      <c r="K32" s="13"/>
      <c r="L32" s="14"/>
      <c r="M32" s="14"/>
      <c r="N32" s="14"/>
      <c r="O32" s="14"/>
      <c r="P32" s="14"/>
      <c r="Q32" s="14"/>
      <c r="R32" s="14"/>
      <c r="S32" s="14"/>
      <c r="T32" s="14"/>
      <c r="U32" s="13"/>
      <c r="V32" s="13"/>
      <c r="W32" s="116">
        <f t="shared" ca="1" si="7"/>
        <v>0</v>
      </c>
      <c r="X32" s="13" t="str">
        <f t="shared" ca="1" si="8"/>
        <v/>
      </c>
      <c r="Y32" s="14"/>
      <c r="Z32" s="115"/>
      <c r="AA32" s="130" t="b">
        <v>0</v>
      </c>
      <c r="AB32" s="115"/>
      <c r="AC32" s="130" t="b">
        <v>0</v>
      </c>
      <c r="AD32" s="115"/>
      <c r="AE32" s="130" t="b">
        <v>0</v>
      </c>
      <c r="AF32" s="13"/>
      <c r="AG32" s="13"/>
      <c r="AH32" s="130" t="b">
        <v>0</v>
      </c>
      <c r="AI32" s="13"/>
      <c r="AJ32" s="130" t="b">
        <v>0</v>
      </c>
      <c r="AK32" s="13"/>
      <c r="AL32" s="130" t="b">
        <v>0</v>
      </c>
      <c r="AM32" s="13"/>
      <c r="AN32" s="130" t="b">
        <v>0</v>
      </c>
      <c r="AO32" s="13"/>
      <c r="AP32" s="13"/>
      <c r="AQ32" s="130" t="b">
        <v>0</v>
      </c>
      <c r="AR32" s="130" t="b">
        <v>0</v>
      </c>
      <c r="AS32" s="130" t="b">
        <v>0</v>
      </c>
      <c r="AT32" s="130" t="b">
        <v>0</v>
      </c>
      <c r="AU32" s="130" t="b">
        <v>0</v>
      </c>
      <c r="AV32" s="11"/>
      <c r="AW32" s="11"/>
      <c r="AX32" s="11"/>
      <c r="AY32" s="11"/>
      <c r="AZ32" s="11"/>
      <c r="BA32" s="107"/>
      <c r="BB32" s="97"/>
      <c r="BC32" s="97"/>
      <c r="BD32" s="13"/>
      <c r="BE32" s="108"/>
      <c r="BF32" s="108"/>
      <c r="BG32" s="15"/>
      <c r="BH32" s="18"/>
      <c r="BI32" s="18"/>
      <c r="BJ32" s="16"/>
      <c r="BK32" s="19"/>
      <c r="BL32" s="19"/>
      <c r="BM32" s="20"/>
      <c r="BN32" s="21"/>
      <c r="BO32" s="111"/>
      <c r="BP32" s="112"/>
      <c r="BR32" s="27">
        <f t="shared" si="23"/>
        <v>0</v>
      </c>
      <c r="BS32" s="28">
        <f t="shared" si="23"/>
        <v>0</v>
      </c>
      <c r="BT32" s="28">
        <f t="shared" si="23"/>
        <v>0</v>
      </c>
      <c r="BU32" s="28">
        <f t="shared" si="23"/>
        <v>0</v>
      </c>
      <c r="BV32" s="28">
        <f t="shared" si="23"/>
        <v>0</v>
      </c>
      <c r="BW32" s="28">
        <f t="shared" si="23"/>
        <v>0</v>
      </c>
      <c r="BX32" s="28">
        <f t="shared" si="23"/>
        <v>0</v>
      </c>
      <c r="BY32" s="28">
        <f t="shared" si="23"/>
        <v>0</v>
      </c>
      <c r="BZ32" s="28">
        <f t="shared" si="23"/>
        <v>0</v>
      </c>
      <c r="CA32" s="28">
        <f t="shared" si="23"/>
        <v>0</v>
      </c>
      <c r="CB32" s="28">
        <f t="shared" si="23"/>
        <v>0</v>
      </c>
      <c r="CC32" s="29">
        <f t="shared" si="23"/>
        <v>0</v>
      </c>
      <c r="CD32" s="30">
        <f t="shared" si="15"/>
        <v>0</v>
      </c>
      <c r="CF32" s="27">
        <f t="shared" si="24"/>
        <v>0</v>
      </c>
      <c r="CG32" s="28">
        <f t="shared" si="24"/>
        <v>0</v>
      </c>
      <c r="CH32" s="28">
        <f t="shared" si="24"/>
        <v>0</v>
      </c>
      <c r="CI32" s="28">
        <f t="shared" si="24"/>
        <v>0</v>
      </c>
      <c r="CJ32" s="28">
        <f t="shared" si="24"/>
        <v>0</v>
      </c>
      <c r="CK32" s="28">
        <f t="shared" si="24"/>
        <v>0</v>
      </c>
      <c r="CL32" s="28">
        <f t="shared" si="24"/>
        <v>0</v>
      </c>
      <c r="CM32" s="28">
        <f t="shared" si="24"/>
        <v>0</v>
      </c>
      <c r="CN32" s="28">
        <f t="shared" si="24"/>
        <v>0</v>
      </c>
      <c r="CO32" s="28">
        <f t="shared" si="24"/>
        <v>0</v>
      </c>
      <c r="CP32" s="28">
        <f t="shared" si="24"/>
        <v>0</v>
      </c>
      <c r="CQ32" s="29">
        <f t="shared" si="24"/>
        <v>0</v>
      </c>
      <c r="CR32" s="30">
        <f t="shared" si="17"/>
        <v>0</v>
      </c>
      <c r="CT32" s="27">
        <f t="shared" si="25"/>
        <v>0</v>
      </c>
      <c r="CU32" s="28">
        <f t="shared" si="25"/>
        <v>0</v>
      </c>
      <c r="CV32" s="28">
        <f t="shared" si="25"/>
        <v>0</v>
      </c>
      <c r="CW32" s="28">
        <f t="shared" si="25"/>
        <v>0</v>
      </c>
      <c r="CX32" s="28">
        <f t="shared" si="25"/>
        <v>0</v>
      </c>
      <c r="CY32" s="28">
        <f t="shared" si="25"/>
        <v>0</v>
      </c>
      <c r="CZ32" s="28">
        <f t="shared" si="25"/>
        <v>0</v>
      </c>
      <c r="DA32" s="28">
        <f t="shared" si="25"/>
        <v>0</v>
      </c>
      <c r="DB32" s="28">
        <f t="shared" si="25"/>
        <v>0</v>
      </c>
      <c r="DC32" s="28">
        <f t="shared" si="25"/>
        <v>0</v>
      </c>
      <c r="DD32" s="28">
        <f t="shared" si="25"/>
        <v>0</v>
      </c>
      <c r="DE32" s="29">
        <f t="shared" si="25"/>
        <v>0</v>
      </c>
      <c r="DF32" s="30">
        <f t="shared" si="19"/>
        <v>0</v>
      </c>
      <c r="DH32" s="27">
        <f t="shared" si="26"/>
        <v>0</v>
      </c>
      <c r="DI32" s="28">
        <f t="shared" si="26"/>
        <v>0</v>
      </c>
      <c r="DJ32" s="28">
        <f t="shared" si="26"/>
        <v>0</v>
      </c>
      <c r="DK32" s="28">
        <f t="shared" si="26"/>
        <v>0</v>
      </c>
      <c r="DL32" s="28">
        <f t="shared" si="26"/>
        <v>0</v>
      </c>
      <c r="DM32" s="28">
        <f t="shared" si="26"/>
        <v>0</v>
      </c>
      <c r="DN32" s="28">
        <f t="shared" si="26"/>
        <v>0</v>
      </c>
      <c r="DO32" s="28">
        <f t="shared" si="26"/>
        <v>0</v>
      </c>
      <c r="DP32" s="28">
        <f t="shared" si="26"/>
        <v>0</v>
      </c>
      <c r="DQ32" s="28">
        <f t="shared" si="26"/>
        <v>0</v>
      </c>
      <c r="DR32" s="28">
        <f t="shared" si="26"/>
        <v>0</v>
      </c>
      <c r="DS32" s="29">
        <f t="shared" si="26"/>
        <v>0</v>
      </c>
      <c r="DT32" s="30">
        <f t="shared" si="21"/>
        <v>0</v>
      </c>
    </row>
    <row r="33" spans="1:124" x14ac:dyDescent="0.2">
      <c r="A33">
        <f t="shared" si="6"/>
        <v>12</v>
      </c>
      <c r="B33" s="49" t="str">
        <f>_xlfn.XLOOKUP(D33,Códigos_Propuestas!$B$4:$B$10,Códigos_Propuestas!$C$4:$C$10,"!",0,1)&amp;"__"&amp;
_xlfn.XLOOKUP(G33,Códigos_Propuestas!$E$4:$E$76,Códigos_Propuestas!$F$4:$F$76,"!",1)&amp;"__"&amp;
_xlfn.XLOOKUP(K33,Códigos_Propuestas!$I$4:$I$7,Códigos_Propuestas!$J$4:$J$7,"!",1)&amp;"__"&amp;
_xlfn.XLOOKUP(L33,Códigos_Propuestas!$O$4:$O$11,Códigos_Propuestas!$Q$4:$Q$11,"!",1)&amp;"__"&amp;
_xlfn.XLOOKUP(E33,Códigos_Propuestas!$BF:$BF,Códigos_Propuestas!$BH:$BH,"!",0,1)</f>
        <v>!__!__!__!__</v>
      </c>
      <c r="C33" s="47"/>
      <c r="D33" s="11"/>
      <c r="E33" s="12"/>
      <c r="F33" s="12"/>
      <c r="G33" s="13"/>
      <c r="H33" s="13"/>
      <c r="I33" s="13"/>
      <c r="J33" s="17"/>
      <c r="K33" s="13"/>
      <c r="L33" s="14"/>
      <c r="M33" s="14"/>
      <c r="N33" s="14"/>
      <c r="O33" s="14"/>
      <c r="P33" s="14"/>
      <c r="Q33" s="14"/>
      <c r="R33" s="14"/>
      <c r="S33" s="14"/>
      <c r="T33" s="14"/>
      <c r="U33" s="13"/>
      <c r="V33" s="13"/>
      <c r="W33" s="116">
        <f t="shared" ca="1" si="7"/>
        <v>0</v>
      </c>
      <c r="X33" s="13" t="str">
        <f t="shared" ca="1" si="8"/>
        <v/>
      </c>
      <c r="Y33" s="14"/>
      <c r="Z33" s="115"/>
      <c r="AA33" s="130" t="b">
        <v>0</v>
      </c>
      <c r="AB33" s="115"/>
      <c r="AC33" s="130" t="b">
        <v>0</v>
      </c>
      <c r="AD33" s="115"/>
      <c r="AE33" s="130" t="b">
        <v>0</v>
      </c>
      <c r="AF33" s="13"/>
      <c r="AG33" s="13"/>
      <c r="AH33" s="130" t="b">
        <v>0</v>
      </c>
      <c r="AI33" s="13"/>
      <c r="AJ33" s="130" t="b">
        <v>0</v>
      </c>
      <c r="AK33" s="13"/>
      <c r="AL33" s="130" t="b">
        <v>0</v>
      </c>
      <c r="AM33" s="13"/>
      <c r="AN33" s="130" t="b">
        <v>0</v>
      </c>
      <c r="AO33" s="13"/>
      <c r="AP33" s="13"/>
      <c r="AQ33" s="130" t="b">
        <v>0</v>
      </c>
      <c r="AR33" s="130" t="b">
        <v>0</v>
      </c>
      <c r="AS33" s="130" t="b">
        <v>0</v>
      </c>
      <c r="AT33" s="130" t="b">
        <v>0</v>
      </c>
      <c r="AU33" s="130" t="b">
        <v>0</v>
      </c>
      <c r="AV33" s="11"/>
      <c r="AW33" s="11"/>
      <c r="AX33" s="11"/>
      <c r="AY33" s="11"/>
      <c r="AZ33" s="11"/>
      <c r="BA33" s="107"/>
      <c r="BB33" s="97"/>
      <c r="BC33" s="97"/>
      <c r="BD33" s="13"/>
      <c r="BE33" s="108"/>
      <c r="BF33" s="108"/>
      <c r="BG33" s="15"/>
      <c r="BH33" s="18"/>
      <c r="BI33" s="18"/>
      <c r="BJ33" s="16"/>
      <c r="BK33" s="19"/>
      <c r="BL33" s="19"/>
      <c r="BM33" s="20"/>
      <c r="BN33" s="21"/>
      <c r="BO33" s="111"/>
      <c r="BP33" s="112"/>
      <c r="BR33" s="27">
        <f t="shared" si="23"/>
        <v>0</v>
      </c>
      <c r="BS33" s="28">
        <f t="shared" si="23"/>
        <v>0</v>
      </c>
      <c r="BT33" s="28">
        <f t="shared" si="23"/>
        <v>0</v>
      </c>
      <c r="BU33" s="28">
        <f t="shared" si="23"/>
        <v>0</v>
      </c>
      <c r="BV33" s="28">
        <f t="shared" si="23"/>
        <v>0</v>
      </c>
      <c r="BW33" s="28">
        <f t="shared" si="23"/>
        <v>0</v>
      </c>
      <c r="BX33" s="28">
        <f t="shared" si="23"/>
        <v>0</v>
      </c>
      <c r="BY33" s="28">
        <f t="shared" si="23"/>
        <v>0</v>
      </c>
      <c r="BZ33" s="28">
        <f t="shared" si="23"/>
        <v>0</v>
      </c>
      <c r="CA33" s="28">
        <f t="shared" si="23"/>
        <v>0</v>
      </c>
      <c r="CB33" s="28">
        <f t="shared" si="23"/>
        <v>0</v>
      </c>
      <c r="CC33" s="29">
        <f t="shared" si="23"/>
        <v>0</v>
      </c>
      <c r="CD33" s="30">
        <f t="shared" si="15"/>
        <v>0</v>
      </c>
      <c r="CF33" s="27">
        <f t="shared" si="24"/>
        <v>0</v>
      </c>
      <c r="CG33" s="28">
        <f t="shared" si="24"/>
        <v>0</v>
      </c>
      <c r="CH33" s="28">
        <f t="shared" si="24"/>
        <v>0</v>
      </c>
      <c r="CI33" s="28">
        <f t="shared" si="24"/>
        <v>0</v>
      </c>
      <c r="CJ33" s="28">
        <f t="shared" si="24"/>
        <v>0</v>
      </c>
      <c r="CK33" s="28">
        <f t="shared" si="24"/>
        <v>0</v>
      </c>
      <c r="CL33" s="28">
        <f t="shared" si="24"/>
        <v>0</v>
      </c>
      <c r="CM33" s="28">
        <f t="shared" si="24"/>
        <v>0</v>
      </c>
      <c r="CN33" s="28">
        <f t="shared" si="24"/>
        <v>0</v>
      </c>
      <c r="CO33" s="28">
        <f t="shared" si="24"/>
        <v>0</v>
      </c>
      <c r="CP33" s="28">
        <f t="shared" si="24"/>
        <v>0</v>
      </c>
      <c r="CQ33" s="29">
        <f t="shared" si="24"/>
        <v>0</v>
      </c>
      <c r="CR33" s="30">
        <f t="shared" si="17"/>
        <v>0</v>
      </c>
      <c r="CT33" s="27">
        <f t="shared" si="25"/>
        <v>0</v>
      </c>
      <c r="CU33" s="28">
        <f t="shared" si="25"/>
        <v>0</v>
      </c>
      <c r="CV33" s="28">
        <f t="shared" si="25"/>
        <v>0</v>
      </c>
      <c r="CW33" s="28">
        <f t="shared" si="25"/>
        <v>0</v>
      </c>
      <c r="CX33" s="28">
        <f t="shared" si="25"/>
        <v>0</v>
      </c>
      <c r="CY33" s="28">
        <f t="shared" si="25"/>
        <v>0</v>
      </c>
      <c r="CZ33" s="28">
        <f t="shared" si="25"/>
        <v>0</v>
      </c>
      <c r="DA33" s="28">
        <f t="shared" si="25"/>
        <v>0</v>
      </c>
      <c r="DB33" s="28">
        <f t="shared" si="25"/>
        <v>0</v>
      </c>
      <c r="DC33" s="28">
        <f t="shared" si="25"/>
        <v>0</v>
      </c>
      <c r="DD33" s="28">
        <f t="shared" si="25"/>
        <v>0</v>
      </c>
      <c r="DE33" s="29">
        <f t="shared" si="25"/>
        <v>0</v>
      </c>
      <c r="DF33" s="30">
        <f t="shared" si="19"/>
        <v>0</v>
      </c>
      <c r="DH33" s="27">
        <f t="shared" si="26"/>
        <v>0</v>
      </c>
      <c r="DI33" s="28">
        <f t="shared" si="26"/>
        <v>0</v>
      </c>
      <c r="DJ33" s="28">
        <f t="shared" si="26"/>
        <v>0</v>
      </c>
      <c r="DK33" s="28">
        <f t="shared" si="26"/>
        <v>0</v>
      </c>
      <c r="DL33" s="28">
        <f t="shared" si="26"/>
        <v>0</v>
      </c>
      <c r="DM33" s="28">
        <f t="shared" si="26"/>
        <v>0</v>
      </c>
      <c r="DN33" s="28">
        <f t="shared" si="26"/>
        <v>0</v>
      </c>
      <c r="DO33" s="28">
        <f t="shared" si="26"/>
        <v>0</v>
      </c>
      <c r="DP33" s="28">
        <f t="shared" si="26"/>
        <v>0</v>
      </c>
      <c r="DQ33" s="28">
        <f t="shared" si="26"/>
        <v>0</v>
      </c>
      <c r="DR33" s="28">
        <f t="shared" si="26"/>
        <v>0</v>
      </c>
      <c r="DS33" s="29">
        <f t="shared" si="26"/>
        <v>0</v>
      </c>
      <c r="DT33" s="30">
        <f t="shared" si="21"/>
        <v>0</v>
      </c>
    </row>
    <row r="34" spans="1:124" x14ac:dyDescent="0.2">
      <c r="A34">
        <f>LEN(B34)</f>
        <v>12</v>
      </c>
      <c r="B34" s="49" t="str">
        <f>_xlfn.XLOOKUP(D34,Códigos_Propuestas!$B$4:$B$10,Códigos_Propuestas!$C$4:$C$10,"!",0,1)&amp;"__"&amp;
_xlfn.XLOOKUP(G34,Códigos_Propuestas!$E$4:$E$76,Códigos_Propuestas!$F$4:$F$76,"!",1)&amp;"__"&amp;
_xlfn.XLOOKUP(K34,Códigos_Propuestas!$I$4:$I$7,Códigos_Propuestas!$J$4:$J$7,"!",1)&amp;"__"&amp;
_xlfn.XLOOKUP(L34,Códigos_Propuestas!$O$4:$O$11,Códigos_Propuestas!$Q$4:$Q$11,"!",1)&amp;"__"&amp;
_xlfn.XLOOKUP(E34,Códigos_Propuestas!$BF:$BF,Códigos_Propuestas!$BH:$BH,"!",0,1)</f>
        <v>!__!__!__!__</v>
      </c>
      <c r="C34" s="47"/>
      <c r="D34" s="11"/>
      <c r="E34" s="12"/>
      <c r="F34" s="12"/>
      <c r="G34" s="13"/>
      <c r="H34" s="13"/>
      <c r="I34" s="13"/>
      <c r="J34" s="17"/>
      <c r="K34" s="13"/>
      <c r="L34" s="14"/>
      <c r="M34" s="14"/>
      <c r="N34" s="14"/>
      <c r="O34" s="14"/>
      <c r="P34" s="14"/>
      <c r="Q34" s="14"/>
      <c r="R34" s="14"/>
      <c r="S34" s="14"/>
      <c r="T34" s="14"/>
      <c r="U34" s="13"/>
      <c r="V34" s="13"/>
      <c r="W34" s="116">
        <f t="shared" ca="1" si="7"/>
        <v>0</v>
      </c>
      <c r="X34" s="13" t="str">
        <f t="shared" ca="1" si="8"/>
        <v/>
      </c>
      <c r="Y34" s="14"/>
      <c r="Z34" s="115"/>
      <c r="AA34" s="130" t="b">
        <v>0</v>
      </c>
      <c r="AB34" s="115"/>
      <c r="AC34" s="130" t="b">
        <v>0</v>
      </c>
      <c r="AD34" s="115"/>
      <c r="AE34" s="130" t="b">
        <v>0</v>
      </c>
      <c r="AF34" s="13"/>
      <c r="AG34" s="13"/>
      <c r="AH34" s="130" t="b">
        <v>0</v>
      </c>
      <c r="AI34" s="13"/>
      <c r="AJ34" s="130" t="b">
        <v>0</v>
      </c>
      <c r="AK34" s="13"/>
      <c r="AL34" s="130" t="b">
        <v>0</v>
      </c>
      <c r="AM34" s="13"/>
      <c r="AN34" s="130" t="b">
        <v>0</v>
      </c>
      <c r="AO34" s="13"/>
      <c r="AP34" s="13"/>
      <c r="AQ34" s="130" t="b">
        <v>0</v>
      </c>
      <c r="AR34" s="130" t="b">
        <v>0</v>
      </c>
      <c r="AS34" s="130" t="b">
        <v>0</v>
      </c>
      <c r="AT34" s="130" t="b">
        <v>0</v>
      </c>
      <c r="AU34" s="130" t="b">
        <v>0</v>
      </c>
      <c r="AV34" s="11"/>
      <c r="AW34" s="11"/>
      <c r="AX34" s="11"/>
      <c r="AY34" s="11"/>
      <c r="AZ34" s="11"/>
      <c r="BA34" s="107"/>
      <c r="BB34" s="97"/>
      <c r="BC34" s="97"/>
      <c r="BD34" s="13"/>
      <c r="BE34" s="108"/>
      <c r="BF34" s="108"/>
      <c r="BG34" s="15"/>
      <c r="BH34" s="18"/>
      <c r="BI34" s="18"/>
      <c r="BJ34" s="16"/>
      <c r="BK34" s="19"/>
      <c r="BL34" s="19"/>
      <c r="BM34" s="20"/>
      <c r="BN34" s="21"/>
      <c r="BO34" s="111"/>
      <c r="BP34" s="112"/>
      <c r="BR34" s="27">
        <f t="shared" si="23"/>
        <v>0</v>
      </c>
      <c r="BS34" s="28">
        <f t="shared" si="23"/>
        <v>0</v>
      </c>
      <c r="BT34" s="28">
        <f t="shared" si="23"/>
        <v>0</v>
      </c>
      <c r="BU34" s="28">
        <f t="shared" si="23"/>
        <v>0</v>
      </c>
      <c r="BV34" s="28">
        <f t="shared" si="23"/>
        <v>0</v>
      </c>
      <c r="BW34" s="28">
        <f t="shared" si="23"/>
        <v>0</v>
      </c>
      <c r="BX34" s="28">
        <f t="shared" si="23"/>
        <v>0</v>
      </c>
      <c r="BY34" s="28">
        <f t="shared" si="23"/>
        <v>0</v>
      </c>
      <c r="BZ34" s="28">
        <f t="shared" si="23"/>
        <v>0</v>
      </c>
      <c r="CA34" s="28">
        <f t="shared" si="23"/>
        <v>0</v>
      </c>
      <c r="CB34" s="28">
        <f t="shared" si="23"/>
        <v>0</v>
      </c>
      <c r="CC34" s="29">
        <f t="shared" si="23"/>
        <v>0</v>
      </c>
      <c r="CD34" s="30">
        <f t="shared" si="15"/>
        <v>0</v>
      </c>
      <c r="CF34" s="27">
        <f t="shared" si="24"/>
        <v>0</v>
      </c>
      <c r="CG34" s="28">
        <f t="shared" si="24"/>
        <v>0</v>
      </c>
      <c r="CH34" s="28">
        <f t="shared" si="24"/>
        <v>0</v>
      </c>
      <c r="CI34" s="28">
        <f t="shared" si="24"/>
        <v>0</v>
      </c>
      <c r="CJ34" s="28">
        <f t="shared" si="24"/>
        <v>0</v>
      </c>
      <c r="CK34" s="28">
        <f t="shared" si="24"/>
        <v>0</v>
      </c>
      <c r="CL34" s="28">
        <f t="shared" si="24"/>
        <v>0</v>
      </c>
      <c r="CM34" s="28">
        <f t="shared" si="24"/>
        <v>0</v>
      </c>
      <c r="CN34" s="28">
        <f t="shared" si="24"/>
        <v>0</v>
      </c>
      <c r="CO34" s="28">
        <f t="shared" si="24"/>
        <v>0</v>
      </c>
      <c r="CP34" s="28">
        <f t="shared" si="24"/>
        <v>0</v>
      </c>
      <c r="CQ34" s="29">
        <f t="shared" si="24"/>
        <v>0</v>
      </c>
      <c r="CR34" s="30">
        <f t="shared" si="17"/>
        <v>0</v>
      </c>
      <c r="CT34" s="27">
        <f t="shared" si="25"/>
        <v>0</v>
      </c>
      <c r="CU34" s="28">
        <f t="shared" si="25"/>
        <v>0</v>
      </c>
      <c r="CV34" s="28">
        <f t="shared" si="25"/>
        <v>0</v>
      </c>
      <c r="CW34" s="28">
        <f t="shared" si="25"/>
        <v>0</v>
      </c>
      <c r="CX34" s="28">
        <f t="shared" si="25"/>
        <v>0</v>
      </c>
      <c r="CY34" s="28">
        <f t="shared" si="25"/>
        <v>0</v>
      </c>
      <c r="CZ34" s="28">
        <f t="shared" si="25"/>
        <v>0</v>
      </c>
      <c r="DA34" s="28">
        <f t="shared" si="25"/>
        <v>0</v>
      </c>
      <c r="DB34" s="28">
        <f t="shared" si="25"/>
        <v>0</v>
      </c>
      <c r="DC34" s="28">
        <f t="shared" si="25"/>
        <v>0</v>
      </c>
      <c r="DD34" s="28">
        <f t="shared" si="25"/>
        <v>0</v>
      </c>
      <c r="DE34" s="29">
        <f t="shared" si="25"/>
        <v>0</v>
      </c>
      <c r="DF34" s="30">
        <f t="shared" si="19"/>
        <v>0</v>
      </c>
      <c r="DH34" s="27">
        <f t="shared" si="26"/>
        <v>0</v>
      </c>
      <c r="DI34" s="28">
        <f t="shared" si="26"/>
        <v>0</v>
      </c>
      <c r="DJ34" s="28">
        <f t="shared" si="26"/>
        <v>0</v>
      </c>
      <c r="DK34" s="28">
        <f t="shared" si="26"/>
        <v>0</v>
      </c>
      <c r="DL34" s="28">
        <f t="shared" si="26"/>
        <v>0</v>
      </c>
      <c r="DM34" s="28">
        <f t="shared" si="26"/>
        <v>0</v>
      </c>
      <c r="DN34" s="28">
        <f t="shared" si="26"/>
        <v>0</v>
      </c>
      <c r="DO34" s="28">
        <f t="shared" si="26"/>
        <v>0</v>
      </c>
      <c r="DP34" s="28">
        <f t="shared" si="26"/>
        <v>0</v>
      </c>
      <c r="DQ34" s="28">
        <f t="shared" si="26"/>
        <v>0</v>
      </c>
      <c r="DR34" s="28">
        <f t="shared" si="26"/>
        <v>0</v>
      </c>
      <c r="DS34" s="29">
        <f t="shared" si="26"/>
        <v>0</v>
      </c>
      <c r="DT34" s="30">
        <f t="shared" si="21"/>
        <v>0</v>
      </c>
    </row>
    <row r="35" spans="1:124" x14ac:dyDescent="0.2">
      <c r="A35">
        <f t="shared" si="6"/>
        <v>12</v>
      </c>
      <c r="B35" s="49" t="str">
        <f>_xlfn.XLOOKUP(D35,Códigos_Propuestas!$B$4:$B$10,Códigos_Propuestas!$C$4:$C$10,"!",0,1)&amp;"__"&amp;
_xlfn.XLOOKUP(G35,Códigos_Propuestas!$E$4:$E$76,Códigos_Propuestas!$F$4:$F$76,"!",1)&amp;"__"&amp;
_xlfn.XLOOKUP(K35,Códigos_Propuestas!$I$4:$I$7,Códigos_Propuestas!$J$4:$J$7,"!",1)&amp;"__"&amp;
_xlfn.XLOOKUP(L35,Códigos_Propuestas!$O$4:$O$11,Códigos_Propuestas!$Q$4:$Q$11,"!",1)&amp;"__"&amp;
_xlfn.XLOOKUP(E35,Códigos_Propuestas!$BF:$BF,Códigos_Propuestas!$BH:$BH,"!",0,1)</f>
        <v>!__!__!__!__</v>
      </c>
      <c r="C35" s="47"/>
      <c r="D35" s="11"/>
      <c r="E35" s="12"/>
      <c r="F35" s="12"/>
      <c r="G35" s="13"/>
      <c r="H35" s="13"/>
      <c r="I35" s="13"/>
      <c r="J35" s="17"/>
      <c r="K35" s="13"/>
      <c r="L35" s="14"/>
      <c r="M35" s="14"/>
      <c r="N35" s="14"/>
      <c r="O35" s="14"/>
      <c r="P35" s="14"/>
      <c r="Q35" s="14"/>
      <c r="R35" s="14"/>
      <c r="S35" s="14"/>
      <c r="T35" s="14"/>
      <c r="U35" s="13"/>
      <c r="V35" s="13"/>
      <c r="W35" s="116">
        <f t="shared" ca="1" si="7"/>
        <v>0</v>
      </c>
      <c r="X35" s="13" t="str">
        <f t="shared" ca="1" si="8"/>
        <v/>
      </c>
      <c r="Y35" s="14"/>
      <c r="Z35" s="115"/>
      <c r="AA35" s="130" t="b">
        <v>0</v>
      </c>
      <c r="AB35" s="115"/>
      <c r="AC35" s="130" t="b">
        <v>0</v>
      </c>
      <c r="AD35" s="115"/>
      <c r="AE35" s="130" t="b">
        <v>0</v>
      </c>
      <c r="AF35" s="13"/>
      <c r="AG35" s="13"/>
      <c r="AH35" s="130" t="b">
        <v>0</v>
      </c>
      <c r="AI35" s="13"/>
      <c r="AJ35" s="130" t="b">
        <v>0</v>
      </c>
      <c r="AK35" s="13"/>
      <c r="AL35" s="130" t="b">
        <v>0</v>
      </c>
      <c r="AM35" s="13"/>
      <c r="AN35" s="130" t="b">
        <v>0</v>
      </c>
      <c r="AO35" s="13"/>
      <c r="AP35" s="13"/>
      <c r="AQ35" s="130" t="b">
        <v>0</v>
      </c>
      <c r="AR35" s="130" t="b">
        <v>0</v>
      </c>
      <c r="AS35" s="130" t="b">
        <v>0</v>
      </c>
      <c r="AT35" s="130" t="b">
        <v>0</v>
      </c>
      <c r="AU35" s="130" t="b">
        <v>0</v>
      </c>
      <c r="AV35" s="11"/>
      <c r="AW35" s="11"/>
      <c r="AX35" s="11"/>
      <c r="AY35" s="11"/>
      <c r="AZ35" s="11"/>
      <c r="BA35" s="107"/>
      <c r="BB35" s="97"/>
      <c r="BC35" s="97"/>
      <c r="BD35" s="13"/>
      <c r="BE35" s="108"/>
      <c r="BF35" s="108"/>
      <c r="BG35" s="15"/>
      <c r="BH35" s="18"/>
      <c r="BI35" s="18"/>
      <c r="BJ35" s="16"/>
      <c r="BK35" s="19"/>
      <c r="BL35" s="19"/>
      <c r="BM35" s="20"/>
      <c r="BN35" s="21"/>
      <c r="BO35" s="111"/>
      <c r="BP35" s="112"/>
      <c r="BR35" s="27">
        <f t="shared" si="23"/>
        <v>0</v>
      </c>
      <c r="BS35" s="28">
        <f t="shared" si="23"/>
        <v>0</v>
      </c>
      <c r="BT35" s="28">
        <f t="shared" si="23"/>
        <v>0</v>
      </c>
      <c r="BU35" s="28">
        <f t="shared" si="23"/>
        <v>0</v>
      </c>
      <c r="BV35" s="28">
        <f t="shared" si="23"/>
        <v>0</v>
      </c>
      <c r="BW35" s="28">
        <f t="shared" si="23"/>
        <v>0</v>
      </c>
      <c r="BX35" s="28">
        <f t="shared" si="23"/>
        <v>0</v>
      </c>
      <c r="BY35" s="28">
        <f t="shared" si="23"/>
        <v>0</v>
      </c>
      <c r="BZ35" s="28">
        <f t="shared" si="23"/>
        <v>0</v>
      </c>
      <c r="CA35" s="28">
        <f t="shared" si="23"/>
        <v>0</v>
      </c>
      <c r="CB35" s="28">
        <f t="shared" si="23"/>
        <v>0</v>
      </c>
      <c r="CC35" s="29">
        <f t="shared" si="23"/>
        <v>0</v>
      </c>
      <c r="CD35" s="30">
        <f t="shared" si="15"/>
        <v>0</v>
      </c>
      <c r="CF35" s="27">
        <f t="shared" si="24"/>
        <v>0</v>
      </c>
      <c r="CG35" s="28">
        <f t="shared" si="24"/>
        <v>0</v>
      </c>
      <c r="CH35" s="28">
        <f t="shared" si="24"/>
        <v>0</v>
      </c>
      <c r="CI35" s="28">
        <f t="shared" si="24"/>
        <v>0</v>
      </c>
      <c r="CJ35" s="28">
        <f t="shared" si="24"/>
        <v>0</v>
      </c>
      <c r="CK35" s="28">
        <f t="shared" si="24"/>
        <v>0</v>
      </c>
      <c r="CL35" s="28">
        <f t="shared" si="24"/>
        <v>0</v>
      </c>
      <c r="CM35" s="28">
        <f t="shared" si="24"/>
        <v>0</v>
      </c>
      <c r="CN35" s="28">
        <f t="shared" si="24"/>
        <v>0</v>
      </c>
      <c r="CO35" s="28">
        <f t="shared" si="24"/>
        <v>0</v>
      </c>
      <c r="CP35" s="28">
        <f t="shared" si="24"/>
        <v>0</v>
      </c>
      <c r="CQ35" s="29">
        <f t="shared" si="24"/>
        <v>0</v>
      </c>
      <c r="CR35" s="30">
        <f t="shared" si="17"/>
        <v>0</v>
      </c>
      <c r="CT35" s="27">
        <f t="shared" si="25"/>
        <v>0</v>
      </c>
      <c r="CU35" s="28">
        <f t="shared" si="25"/>
        <v>0</v>
      </c>
      <c r="CV35" s="28">
        <f t="shared" si="25"/>
        <v>0</v>
      </c>
      <c r="CW35" s="28">
        <f t="shared" si="25"/>
        <v>0</v>
      </c>
      <c r="CX35" s="28">
        <f t="shared" si="25"/>
        <v>0</v>
      </c>
      <c r="CY35" s="28">
        <f t="shared" si="25"/>
        <v>0</v>
      </c>
      <c r="CZ35" s="28">
        <f t="shared" si="25"/>
        <v>0</v>
      </c>
      <c r="DA35" s="28">
        <f t="shared" si="25"/>
        <v>0</v>
      </c>
      <c r="DB35" s="28">
        <f t="shared" si="25"/>
        <v>0</v>
      </c>
      <c r="DC35" s="28">
        <f t="shared" si="25"/>
        <v>0</v>
      </c>
      <c r="DD35" s="28">
        <f t="shared" si="25"/>
        <v>0</v>
      </c>
      <c r="DE35" s="29">
        <f t="shared" si="25"/>
        <v>0</v>
      </c>
      <c r="DF35" s="30">
        <f t="shared" si="19"/>
        <v>0</v>
      </c>
      <c r="DH35" s="27">
        <f t="shared" si="26"/>
        <v>0</v>
      </c>
      <c r="DI35" s="28">
        <f t="shared" si="26"/>
        <v>0</v>
      </c>
      <c r="DJ35" s="28">
        <f t="shared" si="26"/>
        <v>0</v>
      </c>
      <c r="DK35" s="28">
        <f t="shared" si="26"/>
        <v>0</v>
      </c>
      <c r="DL35" s="28">
        <f t="shared" si="26"/>
        <v>0</v>
      </c>
      <c r="DM35" s="28">
        <f t="shared" si="26"/>
        <v>0</v>
      </c>
      <c r="DN35" s="28">
        <f t="shared" si="26"/>
        <v>0</v>
      </c>
      <c r="DO35" s="28">
        <f t="shared" si="26"/>
        <v>0</v>
      </c>
      <c r="DP35" s="28">
        <f t="shared" si="26"/>
        <v>0</v>
      </c>
      <c r="DQ35" s="28">
        <f t="shared" si="26"/>
        <v>0</v>
      </c>
      <c r="DR35" s="28">
        <f t="shared" si="26"/>
        <v>0</v>
      </c>
      <c r="DS35" s="29">
        <f t="shared" si="26"/>
        <v>0</v>
      </c>
      <c r="DT35" s="30">
        <f t="shared" si="21"/>
        <v>0</v>
      </c>
    </row>
    <row r="36" spans="1:124" x14ac:dyDescent="0.2">
      <c r="A36">
        <f t="shared" si="6"/>
        <v>12</v>
      </c>
      <c r="B36" s="49" t="str">
        <f>_xlfn.XLOOKUP(D36,Códigos_Propuestas!$B$4:$B$10,Códigos_Propuestas!$C$4:$C$10,"!",0,1)&amp;"__"&amp;
_xlfn.XLOOKUP(G36,Códigos_Propuestas!$E$4:$E$76,Códigos_Propuestas!$F$4:$F$76,"!",1)&amp;"__"&amp;
_xlfn.XLOOKUP(K36,Códigos_Propuestas!$I$4:$I$7,Códigos_Propuestas!$J$4:$J$7,"!",1)&amp;"__"&amp;
_xlfn.XLOOKUP(L36,Códigos_Propuestas!$O$4:$O$11,Códigos_Propuestas!$Q$4:$Q$11,"!",1)&amp;"__"&amp;
_xlfn.XLOOKUP(E36,Códigos_Propuestas!$BF:$BF,Códigos_Propuestas!$BH:$BH,"!",0,1)</f>
        <v>!__!__!__!__</v>
      </c>
      <c r="C36" s="47"/>
      <c r="D36" s="11"/>
      <c r="E36" s="12"/>
      <c r="F36" s="12"/>
      <c r="G36" s="13"/>
      <c r="H36" s="13"/>
      <c r="I36" s="13"/>
      <c r="J36" s="17"/>
      <c r="K36" s="13"/>
      <c r="L36" s="14"/>
      <c r="M36" s="14"/>
      <c r="N36" s="14"/>
      <c r="O36" s="14"/>
      <c r="P36" s="14"/>
      <c r="Q36" s="14"/>
      <c r="R36" s="14"/>
      <c r="S36" s="14"/>
      <c r="T36" s="14"/>
      <c r="U36" s="13"/>
      <c r="V36" s="13"/>
      <c r="W36" s="116">
        <f t="shared" ca="1" si="7"/>
        <v>0</v>
      </c>
      <c r="X36" s="13" t="str">
        <f t="shared" ca="1" si="8"/>
        <v/>
      </c>
      <c r="Y36" s="14"/>
      <c r="Z36" s="115"/>
      <c r="AA36" s="130" t="b">
        <v>0</v>
      </c>
      <c r="AB36" s="115"/>
      <c r="AC36" s="130" t="b">
        <v>0</v>
      </c>
      <c r="AD36" s="115"/>
      <c r="AE36" s="130" t="b">
        <v>0</v>
      </c>
      <c r="AF36" s="13"/>
      <c r="AG36" s="13"/>
      <c r="AH36" s="130" t="b">
        <v>0</v>
      </c>
      <c r="AI36" s="13"/>
      <c r="AJ36" s="130" t="b">
        <v>0</v>
      </c>
      <c r="AK36" s="13"/>
      <c r="AL36" s="130" t="b">
        <v>0</v>
      </c>
      <c r="AM36" s="13"/>
      <c r="AN36" s="130" t="b">
        <v>0</v>
      </c>
      <c r="AO36" s="13"/>
      <c r="AP36" s="13"/>
      <c r="AQ36" s="130" t="b">
        <v>0</v>
      </c>
      <c r="AR36" s="130" t="b">
        <v>0</v>
      </c>
      <c r="AS36" s="130" t="b">
        <v>0</v>
      </c>
      <c r="AT36" s="130" t="b">
        <v>0</v>
      </c>
      <c r="AU36" s="130" t="b">
        <v>0</v>
      </c>
      <c r="AV36" s="11"/>
      <c r="AW36" s="11"/>
      <c r="AX36" s="11"/>
      <c r="AY36" s="11"/>
      <c r="AZ36" s="11"/>
      <c r="BA36" s="107"/>
      <c r="BB36" s="97"/>
      <c r="BC36" s="97"/>
      <c r="BD36" s="13"/>
      <c r="BE36" s="108"/>
      <c r="BF36" s="108"/>
      <c r="BG36" s="15"/>
      <c r="BH36" s="18"/>
      <c r="BI36" s="18"/>
      <c r="BJ36" s="16"/>
      <c r="BK36" s="19"/>
      <c r="BL36" s="19"/>
      <c r="BM36" s="20"/>
      <c r="BN36" s="21"/>
      <c r="BO36" s="111"/>
      <c r="BP36" s="112"/>
      <c r="BR36" s="27">
        <f t="shared" ref="BR36:CC50" si="27">IFERROR(IF(AND(BR$2&gt;=$BO36,BR$2&lt;=$BP36),$BB36/$BD36,0),0)</f>
        <v>0</v>
      </c>
      <c r="BS36" s="28">
        <f t="shared" si="27"/>
        <v>0</v>
      </c>
      <c r="BT36" s="28">
        <f t="shared" si="27"/>
        <v>0</v>
      </c>
      <c r="BU36" s="28">
        <f t="shared" si="27"/>
        <v>0</v>
      </c>
      <c r="BV36" s="28">
        <f t="shared" si="27"/>
        <v>0</v>
      </c>
      <c r="BW36" s="28">
        <f t="shared" si="27"/>
        <v>0</v>
      </c>
      <c r="BX36" s="28">
        <f t="shared" si="27"/>
        <v>0</v>
      </c>
      <c r="BY36" s="28">
        <f t="shared" si="27"/>
        <v>0</v>
      </c>
      <c r="BZ36" s="28">
        <f t="shared" si="27"/>
        <v>0</v>
      </c>
      <c r="CA36" s="28">
        <f t="shared" si="27"/>
        <v>0</v>
      </c>
      <c r="CB36" s="28">
        <f t="shared" si="27"/>
        <v>0</v>
      </c>
      <c r="CC36" s="29">
        <f t="shared" si="27"/>
        <v>0</v>
      </c>
      <c r="CD36" s="30">
        <f t="shared" si="15"/>
        <v>0</v>
      </c>
      <c r="CF36" s="27">
        <f t="shared" ref="CF36:CQ50" si="28">IFERROR(IF(AND(CF$2&gt;=$BO36,CF$2&lt;=$BP36),$BK36/$BD36,0),0)</f>
        <v>0</v>
      </c>
      <c r="CG36" s="28">
        <f t="shared" si="28"/>
        <v>0</v>
      </c>
      <c r="CH36" s="28">
        <f t="shared" si="28"/>
        <v>0</v>
      </c>
      <c r="CI36" s="28">
        <f t="shared" si="28"/>
        <v>0</v>
      </c>
      <c r="CJ36" s="28">
        <f t="shared" si="28"/>
        <v>0</v>
      </c>
      <c r="CK36" s="28">
        <f t="shared" si="28"/>
        <v>0</v>
      </c>
      <c r="CL36" s="28">
        <f t="shared" si="28"/>
        <v>0</v>
      </c>
      <c r="CM36" s="28">
        <f t="shared" si="28"/>
        <v>0</v>
      </c>
      <c r="CN36" s="28">
        <f t="shared" si="28"/>
        <v>0</v>
      </c>
      <c r="CO36" s="28">
        <f t="shared" si="28"/>
        <v>0</v>
      </c>
      <c r="CP36" s="28">
        <f t="shared" si="28"/>
        <v>0</v>
      </c>
      <c r="CQ36" s="29">
        <f t="shared" si="28"/>
        <v>0</v>
      </c>
      <c r="CR36" s="30">
        <f t="shared" si="17"/>
        <v>0</v>
      </c>
      <c r="CT36" s="27">
        <f t="shared" ref="CT36:DE50" si="29">IFERROR(IF(AND(CT$2&gt;=$BO36,CT$2&lt;=$BP36),$BC36/$BD36,0),0)</f>
        <v>0</v>
      </c>
      <c r="CU36" s="28">
        <f t="shared" si="29"/>
        <v>0</v>
      </c>
      <c r="CV36" s="28">
        <f t="shared" si="29"/>
        <v>0</v>
      </c>
      <c r="CW36" s="28">
        <f t="shared" si="29"/>
        <v>0</v>
      </c>
      <c r="CX36" s="28">
        <f t="shared" si="29"/>
        <v>0</v>
      </c>
      <c r="CY36" s="28">
        <f t="shared" si="29"/>
        <v>0</v>
      </c>
      <c r="CZ36" s="28">
        <f t="shared" si="29"/>
        <v>0</v>
      </c>
      <c r="DA36" s="28">
        <f t="shared" si="29"/>
        <v>0</v>
      </c>
      <c r="DB36" s="28">
        <f t="shared" si="29"/>
        <v>0</v>
      </c>
      <c r="DC36" s="28">
        <f t="shared" si="29"/>
        <v>0</v>
      </c>
      <c r="DD36" s="28">
        <f t="shared" si="29"/>
        <v>0</v>
      </c>
      <c r="DE36" s="29">
        <f t="shared" si="29"/>
        <v>0</v>
      </c>
      <c r="DF36" s="30">
        <f t="shared" si="19"/>
        <v>0</v>
      </c>
      <c r="DH36" s="27">
        <f t="shared" ref="DH36:DS50" si="30">IFERROR(IF(AND(DH$2&gt;=$BO36,DH$2&lt;=$BP36),$BL36/$BD36,0),0)</f>
        <v>0</v>
      </c>
      <c r="DI36" s="28">
        <f t="shared" si="30"/>
        <v>0</v>
      </c>
      <c r="DJ36" s="28">
        <f t="shared" si="30"/>
        <v>0</v>
      </c>
      <c r="DK36" s="28">
        <f t="shared" si="30"/>
        <v>0</v>
      </c>
      <c r="DL36" s="28">
        <f t="shared" si="30"/>
        <v>0</v>
      </c>
      <c r="DM36" s="28">
        <f t="shared" si="30"/>
        <v>0</v>
      </c>
      <c r="DN36" s="28">
        <f t="shared" si="30"/>
        <v>0</v>
      </c>
      <c r="DO36" s="28">
        <f t="shared" si="30"/>
        <v>0</v>
      </c>
      <c r="DP36" s="28">
        <f t="shared" si="30"/>
        <v>0</v>
      </c>
      <c r="DQ36" s="28">
        <f t="shared" si="30"/>
        <v>0</v>
      </c>
      <c r="DR36" s="28">
        <f t="shared" si="30"/>
        <v>0</v>
      </c>
      <c r="DS36" s="29">
        <f t="shared" si="30"/>
        <v>0</v>
      </c>
      <c r="DT36" s="30">
        <f t="shared" si="21"/>
        <v>0</v>
      </c>
    </row>
    <row r="37" spans="1:124" x14ac:dyDescent="0.2">
      <c r="A37">
        <f t="shared" si="6"/>
        <v>12</v>
      </c>
      <c r="B37" s="49" t="str">
        <f>_xlfn.XLOOKUP(D37,Códigos_Propuestas!$B$4:$B$10,Códigos_Propuestas!$C$4:$C$10,"!",0,1)&amp;"__"&amp;
_xlfn.XLOOKUP(G37,Códigos_Propuestas!$E$4:$E$76,Códigos_Propuestas!$F$4:$F$76,"!",1)&amp;"__"&amp;
_xlfn.XLOOKUP(K37,Códigos_Propuestas!$I$4:$I$7,Códigos_Propuestas!$J$4:$J$7,"!",1)&amp;"__"&amp;
_xlfn.XLOOKUP(L37,Códigos_Propuestas!$O$4:$O$11,Códigos_Propuestas!$Q$4:$Q$11,"!",1)&amp;"__"&amp;
_xlfn.XLOOKUP(E37,Códigos_Propuestas!$BF:$BF,Códigos_Propuestas!$BH:$BH,"!",0,1)</f>
        <v>!__!__!__!__</v>
      </c>
      <c r="C37" s="47"/>
      <c r="D37" s="11"/>
      <c r="E37" s="12"/>
      <c r="F37" s="12"/>
      <c r="G37" s="13"/>
      <c r="H37" s="13"/>
      <c r="I37" s="13"/>
      <c r="J37" s="17"/>
      <c r="K37" s="13"/>
      <c r="L37" s="14"/>
      <c r="M37" s="14"/>
      <c r="N37" s="14"/>
      <c r="O37" s="14"/>
      <c r="P37" s="14"/>
      <c r="Q37" s="14"/>
      <c r="R37" s="14"/>
      <c r="S37" s="14"/>
      <c r="T37" s="14"/>
      <c r="U37" s="13"/>
      <c r="V37" s="13"/>
      <c r="W37" s="116">
        <f t="shared" ca="1" si="7"/>
        <v>0</v>
      </c>
      <c r="X37" s="13" t="str">
        <f t="shared" ca="1" si="8"/>
        <v/>
      </c>
      <c r="Y37" s="14"/>
      <c r="Z37" s="115"/>
      <c r="AA37" s="130" t="b">
        <v>0</v>
      </c>
      <c r="AB37" s="115"/>
      <c r="AC37" s="130" t="b">
        <v>0</v>
      </c>
      <c r="AD37" s="115"/>
      <c r="AE37" s="130" t="b">
        <v>0</v>
      </c>
      <c r="AF37" s="13"/>
      <c r="AG37" s="13"/>
      <c r="AH37" s="130" t="b">
        <v>0</v>
      </c>
      <c r="AI37" s="13"/>
      <c r="AJ37" s="130" t="b">
        <v>0</v>
      </c>
      <c r="AK37" s="13"/>
      <c r="AL37" s="130" t="b">
        <v>0</v>
      </c>
      <c r="AM37" s="13"/>
      <c r="AN37" s="130" t="b">
        <v>0</v>
      </c>
      <c r="AO37" s="13"/>
      <c r="AP37" s="13"/>
      <c r="AQ37" s="130" t="b">
        <v>0</v>
      </c>
      <c r="AR37" s="130" t="b">
        <v>0</v>
      </c>
      <c r="AS37" s="130" t="b">
        <v>0</v>
      </c>
      <c r="AT37" s="130" t="b">
        <v>0</v>
      </c>
      <c r="AU37" s="130" t="b">
        <v>0</v>
      </c>
      <c r="AV37" s="11"/>
      <c r="AW37" s="11"/>
      <c r="AX37" s="11"/>
      <c r="AY37" s="11"/>
      <c r="AZ37" s="11"/>
      <c r="BA37" s="107"/>
      <c r="BB37" s="97"/>
      <c r="BC37" s="97"/>
      <c r="BD37" s="13"/>
      <c r="BE37" s="108"/>
      <c r="BF37" s="108"/>
      <c r="BG37" s="15"/>
      <c r="BH37" s="18"/>
      <c r="BI37" s="18"/>
      <c r="BJ37" s="16"/>
      <c r="BK37" s="19"/>
      <c r="BL37" s="19"/>
      <c r="BM37" s="20"/>
      <c r="BN37" s="21"/>
      <c r="BO37" s="111"/>
      <c r="BP37" s="112"/>
      <c r="BR37" s="27">
        <f t="shared" si="27"/>
        <v>0</v>
      </c>
      <c r="BS37" s="28">
        <f t="shared" si="27"/>
        <v>0</v>
      </c>
      <c r="BT37" s="28">
        <f t="shared" si="27"/>
        <v>0</v>
      </c>
      <c r="BU37" s="28">
        <f t="shared" si="27"/>
        <v>0</v>
      </c>
      <c r="BV37" s="28">
        <f t="shared" si="27"/>
        <v>0</v>
      </c>
      <c r="BW37" s="28">
        <f t="shared" si="27"/>
        <v>0</v>
      </c>
      <c r="BX37" s="28">
        <f t="shared" si="27"/>
        <v>0</v>
      </c>
      <c r="BY37" s="28">
        <f t="shared" si="27"/>
        <v>0</v>
      </c>
      <c r="BZ37" s="28">
        <f t="shared" si="27"/>
        <v>0</v>
      </c>
      <c r="CA37" s="28">
        <f t="shared" si="27"/>
        <v>0</v>
      </c>
      <c r="CB37" s="28">
        <f t="shared" si="27"/>
        <v>0</v>
      </c>
      <c r="CC37" s="29">
        <f t="shared" si="27"/>
        <v>0</v>
      </c>
      <c r="CD37" s="30">
        <f t="shared" si="15"/>
        <v>0</v>
      </c>
      <c r="CF37" s="27">
        <f t="shared" si="28"/>
        <v>0</v>
      </c>
      <c r="CG37" s="28">
        <f t="shared" si="28"/>
        <v>0</v>
      </c>
      <c r="CH37" s="28">
        <f t="shared" si="28"/>
        <v>0</v>
      </c>
      <c r="CI37" s="28">
        <f t="shared" si="28"/>
        <v>0</v>
      </c>
      <c r="CJ37" s="28">
        <f t="shared" si="28"/>
        <v>0</v>
      </c>
      <c r="CK37" s="28">
        <f t="shared" si="28"/>
        <v>0</v>
      </c>
      <c r="CL37" s="28">
        <f t="shared" si="28"/>
        <v>0</v>
      </c>
      <c r="CM37" s="28">
        <f t="shared" si="28"/>
        <v>0</v>
      </c>
      <c r="CN37" s="28">
        <f t="shared" si="28"/>
        <v>0</v>
      </c>
      <c r="CO37" s="28">
        <f t="shared" si="28"/>
        <v>0</v>
      </c>
      <c r="CP37" s="28">
        <f t="shared" si="28"/>
        <v>0</v>
      </c>
      <c r="CQ37" s="29">
        <f t="shared" si="28"/>
        <v>0</v>
      </c>
      <c r="CR37" s="30">
        <f t="shared" si="17"/>
        <v>0</v>
      </c>
      <c r="CT37" s="27">
        <f t="shared" si="29"/>
        <v>0</v>
      </c>
      <c r="CU37" s="28">
        <f t="shared" si="29"/>
        <v>0</v>
      </c>
      <c r="CV37" s="28">
        <f t="shared" si="29"/>
        <v>0</v>
      </c>
      <c r="CW37" s="28">
        <f t="shared" si="29"/>
        <v>0</v>
      </c>
      <c r="CX37" s="28">
        <f t="shared" si="29"/>
        <v>0</v>
      </c>
      <c r="CY37" s="28">
        <f t="shared" si="29"/>
        <v>0</v>
      </c>
      <c r="CZ37" s="28">
        <f t="shared" si="29"/>
        <v>0</v>
      </c>
      <c r="DA37" s="28">
        <f t="shared" si="29"/>
        <v>0</v>
      </c>
      <c r="DB37" s="28">
        <f t="shared" si="29"/>
        <v>0</v>
      </c>
      <c r="DC37" s="28">
        <f t="shared" si="29"/>
        <v>0</v>
      </c>
      <c r="DD37" s="28">
        <f t="shared" si="29"/>
        <v>0</v>
      </c>
      <c r="DE37" s="29">
        <f t="shared" si="29"/>
        <v>0</v>
      </c>
      <c r="DF37" s="30">
        <f t="shared" si="19"/>
        <v>0</v>
      </c>
      <c r="DH37" s="27">
        <f t="shared" si="30"/>
        <v>0</v>
      </c>
      <c r="DI37" s="28">
        <f t="shared" si="30"/>
        <v>0</v>
      </c>
      <c r="DJ37" s="28">
        <f t="shared" si="30"/>
        <v>0</v>
      </c>
      <c r="DK37" s="28">
        <f t="shared" si="30"/>
        <v>0</v>
      </c>
      <c r="DL37" s="28">
        <f t="shared" si="30"/>
        <v>0</v>
      </c>
      <c r="DM37" s="28">
        <f t="shared" si="30"/>
        <v>0</v>
      </c>
      <c r="DN37" s="28">
        <f t="shared" si="30"/>
        <v>0</v>
      </c>
      <c r="DO37" s="28">
        <f t="shared" si="30"/>
        <v>0</v>
      </c>
      <c r="DP37" s="28">
        <f t="shared" si="30"/>
        <v>0</v>
      </c>
      <c r="DQ37" s="28">
        <f t="shared" si="30"/>
        <v>0</v>
      </c>
      <c r="DR37" s="28">
        <f t="shared" si="30"/>
        <v>0</v>
      </c>
      <c r="DS37" s="29">
        <f t="shared" si="30"/>
        <v>0</v>
      </c>
      <c r="DT37" s="30">
        <f t="shared" si="21"/>
        <v>0</v>
      </c>
    </row>
    <row r="38" spans="1:124" x14ac:dyDescent="0.2">
      <c r="A38">
        <f t="shared" si="6"/>
        <v>12</v>
      </c>
      <c r="B38" s="49" t="str">
        <f>_xlfn.XLOOKUP(D38,Códigos_Propuestas!$B$4:$B$10,Códigos_Propuestas!$C$4:$C$10,"!",0,1)&amp;"__"&amp;
_xlfn.XLOOKUP(G38,Códigos_Propuestas!$E$4:$E$76,Códigos_Propuestas!$F$4:$F$76,"!",1)&amp;"__"&amp;
_xlfn.XLOOKUP(K38,Códigos_Propuestas!$I$4:$I$7,Códigos_Propuestas!$J$4:$J$7,"!",1)&amp;"__"&amp;
_xlfn.XLOOKUP(L38,Códigos_Propuestas!$O$4:$O$11,Códigos_Propuestas!$Q$4:$Q$11,"!",1)&amp;"__"&amp;
_xlfn.XLOOKUP(E38,Códigos_Propuestas!$BF:$BF,Códigos_Propuestas!$BH:$BH,"!",0,1)</f>
        <v>!__!__!__!__</v>
      </c>
      <c r="C38" s="47"/>
      <c r="D38" s="11"/>
      <c r="E38" s="12"/>
      <c r="F38" s="12"/>
      <c r="G38" s="13"/>
      <c r="H38" s="13"/>
      <c r="I38" s="13"/>
      <c r="J38" s="17"/>
      <c r="K38" s="13"/>
      <c r="L38" s="14"/>
      <c r="M38" s="14"/>
      <c r="N38" s="14"/>
      <c r="O38" s="14"/>
      <c r="P38" s="14"/>
      <c r="Q38" s="14"/>
      <c r="R38" s="14"/>
      <c r="S38" s="14"/>
      <c r="T38" s="14"/>
      <c r="U38" s="13"/>
      <c r="V38" s="13"/>
      <c r="W38" s="116">
        <f t="shared" ca="1" si="7"/>
        <v>0</v>
      </c>
      <c r="X38" s="13" t="str">
        <f t="shared" ca="1" si="8"/>
        <v/>
      </c>
      <c r="Y38" s="14"/>
      <c r="Z38" s="115"/>
      <c r="AA38" s="130" t="b">
        <v>0</v>
      </c>
      <c r="AB38" s="115"/>
      <c r="AC38" s="130" t="b">
        <v>0</v>
      </c>
      <c r="AD38" s="115"/>
      <c r="AE38" s="130" t="b">
        <v>0</v>
      </c>
      <c r="AF38" s="13"/>
      <c r="AG38" s="13"/>
      <c r="AH38" s="130" t="b">
        <v>0</v>
      </c>
      <c r="AI38" s="13"/>
      <c r="AJ38" s="130" t="b">
        <v>0</v>
      </c>
      <c r="AK38" s="13"/>
      <c r="AL38" s="130" t="b">
        <v>0</v>
      </c>
      <c r="AM38" s="13"/>
      <c r="AN38" s="130" t="b">
        <v>0</v>
      </c>
      <c r="AO38" s="13"/>
      <c r="AP38" s="13"/>
      <c r="AQ38" s="130" t="b">
        <v>0</v>
      </c>
      <c r="AR38" s="130" t="b">
        <v>0</v>
      </c>
      <c r="AS38" s="130" t="b">
        <v>0</v>
      </c>
      <c r="AT38" s="130" t="b">
        <v>0</v>
      </c>
      <c r="AU38" s="130" t="b">
        <v>0</v>
      </c>
      <c r="AV38" s="11"/>
      <c r="AW38" s="11"/>
      <c r="AX38" s="11"/>
      <c r="AY38" s="11"/>
      <c r="AZ38" s="11"/>
      <c r="BA38" s="107"/>
      <c r="BB38" s="97"/>
      <c r="BC38" s="97"/>
      <c r="BD38" s="13"/>
      <c r="BE38" s="108"/>
      <c r="BF38" s="108"/>
      <c r="BG38" s="15"/>
      <c r="BH38" s="18"/>
      <c r="BI38" s="18"/>
      <c r="BJ38" s="16"/>
      <c r="BK38" s="19"/>
      <c r="BL38" s="19"/>
      <c r="BM38" s="20"/>
      <c r="BN38" s="21"/>
      <c r="BO38" s="111"/>
      <c r="BP38" s="112"/>
      <c r="BR38" s="27">
        <f t="shared" si="27"/>
        <v>0</v>
      </c>
      <c r="BS38" s="28">
        <f t="shared" si="27"/>
        <v>0</v>
      </c>
      <c r="BT38" s="28">
        <f t="shared" si="27"/>
        <v>0</v>
      </c>
      <c r="BU38" s="28">
        <f t="shared" si="27"/>
        <v>0</v>
      </c>
      <c r="BV38" s="28">
        <f t="shared" si="27"/>
        <v>0</v>
      </c>
      <c r="BW38" s="28">
        <f t="shared" si="27"/>
        <v>0</v>
      </c>
      <c r="BX38" s="28">
        <f t="shared" si="27"/>
        <v>0</v>
      </c>
      <c r="BY38" s="28">
        <f t="shared" si="27"/>
        <v>0</v>
      </c>
      <c r="BZ38" s="28">
        <f t="shared" si="27"/>
        <v>0</v>
      </c>
      <c r="CA38" s="28">
        <f t="shared" si="27"/>
        <v>0</v>
      </c>
      <c r="CB38" s="28">
        <f t="shared" si="27"/>
        <v>0</v>
      </c>
      <c r="CC38" s="29">
        <f t="shared" si="27"/>
        <v>0</v>
      </c>
      <c r="CD38" s="30">
        <f t="shared" si="15"/>
        <v>0</v>
      </c>
      <c r="CF38" s="27">
        <f t="shared" si="28"/>
        <v>0</v>
      </c>
      <c r="CG38" s="28">
        <f t="shared" si="28"/>
        <v>0</v>
      </c>
      <c r="CH38" s="28">
        <f t="shared" si="28"/>
        <v>0</v>
      </c>
      <c r="CI38" s="28">
        <f t="shared" si="28"/>
        <v>0</v>
      </c>
      <c r="CJ38" s="28">
        <f t="shared" si="28"/>
        <v>0</v>
      </c>
      <c r="CK38" s="28">
        <f t="shared" si="28"/>
        <v>0</v>
      </c>
      <c r="CL38" s="28">
        <f t="shared" si="28"/>
        <v>0</v>
      </c>
      <c r="CM38" s="28">
        <f t="shared" si="28"/>
        <v>0</v>
      </c>
      <c r="CN38" s="28">
        <f t="shared" si="28"/>
        <v>0</v>
      </c>
      <c r="CO38" s="28">
        <f t="shared" si="28"/>
        <v>0</v>
      </c>
      <c r="CP38" s="28">
        <f t="shared" si="28"/>
        <v>0</v>
      </c>
      <c r="CQ38" s="29">
        <f t="shared" si="28"/>
        <v>0</v>
      </c>
      <c r="CR38" s="30">
        <f t="shared" si="17"/>
        <v>0</v>
      </c>
      <c r="CT38" s="27">
        <f t="shared" si="29"/>
        <v>0</v>
      </c>
      <c r="CU38" s="28">
        <f t="shared" si="29"/>
        <v>0</v>
      </c>
      <c r="CV38" s="28">
        <f t="shared" si="29"/>
        <v>0</v>
      </c>
      <c r="CW38" s="28">
        <f t="shared" si="29"/>
        <v>0</v>
      </c>
      <c r="CX38" s="28">
        <f t="shared" si="29"/>
        <v>0</v>
      </c>
      <c r="CY38" s="28">
        <f t="shared" si="29"/>
        <v>0</v>
      </c>
      <c r="CZ38" s="28">
        <f t="shared" si="29"/>
        <v>0</v>
      </c>
      <c r="DA38" s="28">
        <f t="shared" si="29"/>
        <v>0</v>
      </c>
      <c r="DB38" s="28">
        <f t="shared" si="29"/>
        <v>0</v>
      </c>
      <c r="DC38" s="28">
        <f t="shared" si="29"/>
        <v>0</v>
      </c>
      <c r="DD38" s="28">
        <f t="shared" si="29"/>
        <v>0</v>
      </c>
      <c r="DE38" s="29">
        <f t="shared" si="29"/>
        <v>0</v>
      </c>
      <c r="DF38" s="30">
        <f t="shared" si="19"/>
        <v>0</v>
      </c>
      <c r="DH38" s="27">
        <f t="shared" si="30"/>
        <v>0</v>
      </c>
      <c r="DI38" s="28">
        <f t="shared" si="30"/>
        <v>0</v>
      </c>
      <c r="DJ38" s="28">
        <f t="shared" si="30"/>
        <v>0</v>
      </c>
      <c r="DK38" s="28">
        <f t="shared" si="30"/>
        <v>0</v>
      </c>
      <c r="DL38" s="28">
        <f t="shared" si="30"/>
        <v>0</v>
      </c>
      <c r="DM38" s="28">
        <f t="shared" si="30"/>
        <v>0</v>
      </c>
      <c r="DN38" s="28">
        <f t="shared" si="30"/>
        <v>0</v>
      </c>
      <c r="DO38" s="28">
        <f t="shared" si="30"/>
        <v>0</v>
      </c>
      <c r="DP38" s="28">
        <f t="shared" si="30"/>
        <v>0</v>
      </c>
      <c r="DQ38" s="28">
        <f t="shared" si="30"/>
        <v>0</v>
      </c>
      <c r="DR38" s="28">
        <f t="shared" si="30"/>
        <v>0</v>
      </c>
      <c r="DS38" s="29">
        <f t="shared" si="30"/>
        <v>0</v>
      </c>
      <c r="DT38" s="30">
        <f t="shared" si="21"/>
        <v>0</v>
      </c>
    </row>
    <row r="39" spans="1:124" x14ac:dyDescent="0.2">
      <c r="A39">
        <f t="shared" si="6"/>
        <v>12</v>
      </c>
      <c r="B39" s="49" t="str">
        <f>_xlfn.XLOOKUP(D39,Códigos_Propuestas!$B$4:$B$10,Códigos_Propuestas!$C$4:$C$10,"!",0,1)&amp;"__"&amp;
_xlfn.XLOOKUP(G39,Códigos_Propuestas!$E$4:$E$76,Códigos_Propuestas!$F$4:$F$76,"!",1)&amp;"__"&amp;
_xlfn.XLOOKUP(K39,Códigos_Propuestas!$I$4:$I$7,Códigos_Propuestas!$J$4:$J$7,"!",1)&amp;"__"&amp;
_xlfn.XLOOKUP(L39,Códigos_Propuestas!$O$4:$O$11,Códigos_Propuestas!$Q$4:$Q$11,"!",1)&amp;"__"&amp;
_xlfn.XLOOKUP(E39,Códigos_Propuestas!$BF:$BF,Códigos_Propuestas!$BH:$BH,"!",0,1)</f>
        <v>!__!__!__!__</v>
      </c>
      <c r="C39" s="47"/>
      <c r="D39" s="11"/>
      <c r="E39" s="12"/>
      <c r="F39" s="12"/>
      <c r="G39" s="13"/>
      <c r="H39" s="13"/>
      <c r="I39" s="13"/>
      <c r="J39" s="17"/>
      <c r="K39" s="13"/>
      <c r="L39" s="14"/>
      <c r="M39" s="14"/>
      <c r="N39" s="14"/>
      <c r="O39" s="14"/>
      <c r="P39" s="14"/>
      <c r="Q39" s="14"/>
      <c r="R39" s="14"/>
      <c r="S39" s="14"/>
      <c r="T39" s="14"/>
      <c r="U39" s="13"/>
      <c r="V39" s="13"/>
      <c r="W39" s="116">
        <f t="shared" ca="1" si="7"/>
        <v>0</v>
      </c>
      <c r="X39" s="13" t="str">
        <f t="shared" ca="1" si="8"/>
        <v/>
      </c>
      <c r="Y39" s="14"/>
      <c r="Z39" s="115"/>
      <c r="AA39" s="130" t="b">
        <v>0</v>
      </c>
      <c r="AB39" s="115"/>
      <c r="AC39" s="130" t="b">
        <v>0</v>
      </c>
      <c r="AD39" s="115"/>
      <c r="AE39" s="130" t="b">
        <v>0</v>
      </c>
      <c r="AF39" s="13"/>
      <c r="AG39" s="13"/>
      <c r="AH39" s="130" t="b">
        <v>0</v>
      </c>
      <c r="AI39" s="13"/>
      <c r="AJ39" s="130" t="b">
        <v>0</v>
      </c>
      <c r="AK39" s="13"/>
      <c r="AL39" s="130" t="b">
        <v>0</v>
      </c>
      <c r="AM39" s="13"/>
      <c r="AN39" s="130" t="b">
        <v>0</v>
      </c>
      <c r="AO39" s="13"/>
      <c r="AP39" s="13"/>
      <c r="AQ39" s="130" t="b">
        <v>0</v>
      </c>
      <c r="AR39" s="130" t="b">
        <v>0</v>
      </c>
      <c r="AS39" s="130" t="b">
        <v>0</v>
      </c>
      <c r="AT39" s="130" t="b">
        <v>0</v>
      </c>
      <c r="AU39" s="130" t="b">
        <v>0</v>
      </c>
      <c r="AV39" s="11"/>
      <c r="AW39" s="11"/>
      <c r="AX39" s="11"/>
      <c r="AY39" s="11"/>
      <c r="AZ39" s="11"/>
      <c r="BA39" s="107"/>
      <c r="BB39" s="97"/>
      <c r="BC39" s="97"/>
      <c r="BD39" s="13"/>
      <c r="BE39" s="108"/>
      <c r="BF39" s="108"/>
      <c r="BG39" s="15"/>
      <c r="BH39" s="18"/>
      <c r="BI39" s="18"/>
      <c r="BJ39" s="16"/>
      <c r="BK39" s="19"/>
      <c r="BL39" s="19"/>
      <c r="BM39" s="20"/>
      <c r="BN39" s="21"/>
      <c r="BO39" s="111"/>
      <c r="BP39" s="112"/>
      <c r="BR39" s="27">
        <f t="shared" si="27"/>
        <v>0</v>
      </c>
      <c r="BS39" s="28">
        <f t="shared" si="27"/>
        <v>0</v>
      </c>
      <c r="BT39" s="28">
        <f t="shared" si="27"/>
        <v>0</v>
      </c>
      <c r="BU39" s="28">
        <f t="shared" si="27"/>
        <v>0</v>
      </c>
      <c r="BV39" s="28">
        <f t="shared" si="27"/>
        <v>0</v>
      </c>
      <c r="BW39" s="28">
        <f t="shared" si="27"/>
        <v>0</v>
      </c>
      <c r="BX39" s="28">
        <f t="shared" si="27"/>
        <v>0</v>
      </c>
      <c r="BY39" s="28">
        <f t="shared" si="27"/>
        <v>0</v>
      </c>
      <c r="BZ39" s="28">
        <f t="shared" si="27"/>
        <v>0</v>
      </c>
      <c r="CA39" s="28">
        <f t="shared" si="27"/>
        <v>0</v>
      </c>
      <c r="CB39" s="28">
        <f t="shared" si="27"/>
        <v>0</v>
      </c>
      <c r="CC39" s="29">
        <f t="shared" si="27"/>
        <v>0</v>
      </c>
      <c r="CD39" s="30">
        <f t="shared" si="15"/>
        <v>0</v>
      </c>
      <c r="CF39" s="27">
        <f t="shared" si="28"/>
        <v>0</v>
      </c>
      <c r="CG39" s="28">
        <f t="shared" si="28"/>
        <v>0</v>
      </c>
      <c r="CH39" s="28">
        <f t="shared" si="28"/>
        <v>0</v>
      </c>
      <c r="CI39" s="28">
        <f t="shared" si="28"/>
        <v>0</v>
      </c>
      <c r="CJ39" s="28">
        <f t="shared" si="28"/>
        <v>0</v>
      </c>
      <c r="CK39" s="28">
        <f t="shared" si="28"/>
        <v>0</v>
      </c>
      <c r="CL39" s="28">
        <f t="shared" si="28"/>
        <v>0</v>
      </c>
      <c r="CM39" s="28">
        <f t="shared" si="28"/>
        <v>0</v>
      </c>
      <c r="CN39" s="28">
        <f t="shared" si="28"/>
        <v>0</v>
      </c>
      <c r="CO39" s="28">
        <f t="shared" si="28"/>
        <v>0</v>
      </c>
      <c r="CP39" s="28">
        <f t="shared" si="28"/>
        <v>0</v>
      </c>
      <c r="CQ39" s="29">
        <f t="shared" si="28"/>
        <v>0</v>
      </c>
      <c r="CR39" s="30">
        <f t="shared" si="17"/>
        <v>0</v>
      </c>
      <c r="CT39" s="27">
        <f t="shared" si="29"/>
        <v>0</v>
      </c>
      <c r="CU39" s="28">
        <f t="shared" si="29"/>
        <v>0</v>
      </c>
      <c r="CV39" s="28">
        <f t="shared" si="29"/>
        <v>0</v>
      </c>
      <c r="CW39" s="28">
        <f t="shared" si="29"/>
        <v>0</v>
      </c>
      <c r="CX39" s="28">
        <f t="shared" si="29"/>
        <v>0</v>
      </c>
      <c r="CY39" s="28">
        <f t="shared" si="29"/>
        <v>0</v>
      </c>
      <c r="CZ39" s="28">
        <f t="shared" si="29"/>
        <v>0</v>
      </c>
      <c r="DA39" s="28">
        <f t="shared" si="29"/>
        <v>0</v>
      </c>
      <c r="DB39" s="28">
        <f t="shared" si="29"/>
        <v>0</v>
      </c>
      <c r="DC39" s="28">
        <f t="shared" si="29"/>
        <v>0</v>
      </c>
      <c r="DD39" s="28">
        <f t="shared" si="29"/>
        <v>0</v>
      </c>
      <c r="DE39" s="29">
        <f t="shared" si="29"/>
        <v>0</v>
      </c>
      <c r="DF39" s="30">
        <f t="shared" si="19"/>
        <v>0</v>
      </c>
      <c r="DH39" s="27">
        <f t="shared" si="30"/>
        <v>0</v>
      </c>
      <c r="DI39" s="28">
        <f t="shared" si="30"/>
        <v>0</v>
      </c>
      <c r="DJ39" s="28">
        <f t="shared" si="30"/>
        <v>0</v>
      </c>
      <c r="DK39" s="28">
        <f t="shared" si="30"/>
        <v>0</v>
      </c>
      <c r="DL39" s="28">
        <f t="shared" si="30"/>
        <v>0</v>
      </c>
      <c r="DM39" s="28">
        <f t="shared" si="30"/>
        <v>0</v>
      </c>
      <c r="DN39" s="28">
        <f t="shared" si="30"/>
        <v>0</v>
      </c>
      <c r="DO39" s="28">
        <f t="shared" si="30"/>
        <v>0</v>
      </c>
      <c r="DP39" s="28">
        <f t="shared" si="30"/>
        <v>0</v>
      </c>
      <c r="DQ39" s="28">
        <f t="shared" si="30"/>
        <v>0</v>
      </c>
      <c r="DR39" s="28">
        <f t="shared" si="30"/>
        <v>0</v>
      </c>
      <c r="DS39" s="29">
        <f t="shared" si="30"/>
        <v>0</v>
      </c>
      <c r="DT39" s="30">
        <f t="shared" si="21"/>
        <v>0</v>
      </c>
    </row>
    <row r="40" spans="1:124" x14ac:dyDescent="0.2">
      <c r="A40">
        <f t="shared" si="6"/>
        <v>12</v>
      </c>
      <c r="B40" s="49" t="str">
        <f>_xlfn.XLOOKUP(D40,Códigos_Propuestas!$B$4:$B$10,Códigos_Propuestas!$C$4:$C$10,"!",0,1)&amp;"__"&amp;
_xlfn.XLOOKUP(G40,Códigos_Propuestas!$E$4:$E$76,Códigos_Propuestas!$F$4:$F$76,"!",1)&amp;"__"&amp;
_xlfn.XLOOKUP(K40,Códigos_Propuestas!$I$4:$I$7,Códigos_Propuestas!$J$4:$J$7,"!",1)&amp;"__"&amp;
_xlfn.XLOOKUP(L40,Códigos_Propuestas!$O$4:$O$11,Códigos_Propuestas!$Q$4:$Q$11,"!",1)&amp;"__"&amp;
_xlfn.XLOOKUP(E40,Códigos_Propuestas!$BF:$BF,Códigos_Propuestas!$BH:$BH,"!",0,1)</f>
        <v>!__!__!__!__</v>
      </c>
      <c r="C40" s="47"/>
      <c r="D40" s="11"/>
      <c r="E40" s="12"/>
      <c r="F40" s="12"/>
      <c r="G40" s="13"/>
      <c r="H40" s="13"/>
      <c r="I40" s="13"/>
      <c r="J40" s="17"/>
      <c r="K40" s="13"/>
      <c r="L40" s="14"/>
      <c r="M40" s="14"/>
      <c r="N40" s="14"/>
      <c r="O40" s="14"/>
      <c r="P40" s="14"/>
      <c r="Q40" s="14"/>
      <c r="R40" s="14"/>
      <c r="S40" s="14"/>
      <c r="T40" s="14"/>
      <c r="U40" s="13"/>
      <c r="V40" s="13"/>
      <c r="W40" s="116">
        <f t="shared" ca="1" si="7"/>
        <v>0</v>
      </c>
      <c r="X40" s="13" t="str">
        <f t="shared" ca="1" si="8"/>
        <v/>
      </c>
      <c r="Y40" s="14"/>
      <c r="Z40" s="115"/>
      <c r="AA40" s="130" t="b">
        <v>0</v>
      </c>
      <c r="AB40" s="115"/>
      <c r="AC40" s="130" t="b">
        <v>0</v>
      </c>
      <c r="AD40" s="115"/>
      <c r="AE40" s="130" t="b">
        <v>0</v>
      </c>
      <c r="AF40" s="13"/>
      <c r="AG40" s="13"/>
      <c r="AH40" s="130" t="b">
        <v>0</v>
      </c>
      <c r="AI40" s="13"/>
      <c r="AJ40" s="130" t="b">
        <v>0</v>
      </c>
      <c r="AK40" s="13"/>
      <c r="AL40" s="130" t="b">
        <v>0</v>
      </c>
      <c r="AM40" s="13"/>
      <c r="AN40" s="130" t="b">
        <v>0</v>
      </c>
      <c r="AO40" s="13"/>
      <c r="AP40" s="13"/>
      <c r="AQ40" s="130" t="b">
        <v>0</v>
      </c>
      <c r="AR40" s="130" t="b">
        <v>0</v>
      </c>
      <c r="AS40" s="130" t="b">
        <v>0</v>
      </c>
      <c r="AT40" s="130" t="b">
        <v>0</v>
      </c>
      <c r="AU40" s="130" t="b">
        <v>0</v>
      </c>
      <c r="AV40" s="11"/>
      <c r="AW40" s="11"/>
      <c r="AX40" s="11"/>
      <c r="AY40" s="11"/>
      <c r="AZ40" s="11"/>
      <c r="BA40" s="107"/>
      <c r="BB40" s="97"/>
      <c r="BC40" s="97"/>
      <c r="BD40" s="13"/>
      <c r="BE40" s="108"/>
      <c r="BF40" s="108"/>
      <c r="BG40" s="15"/>
      <c r="BH40" s="18"/>
      <c r="BI40" s="18"/>
      <c r="BJ40" s="16"/>
      <c r="BK40" s="19"/>
      <c r="BL40" s="19"/>
      <c r="BM40" s="20"/>
      <c r="BN40" s="21"/>
      <c r="BO40" s="111"/>
      <c r="BP40" s="112"/>
      <c r="BR40" s="27">
        <f t="shared" si="27"/>
        <v>0</v>
      </c>
      <c r="BS40" s="28">
        <f t="shared" si="27"/>
        <v>0</v>
      </c>
      <c r="BT40" s="28">
        <f t="shared" si="27"/>
        <v>0</v>
      </c>
      <c r="BU40" s="28">
        <f t="shared" si="27"/>
        <v>0</v>
      </c>
      <c r="BV40" s="28">
        <f t="shared" si="27"/>
        <v>0</v>
      </c>
      <c r="BW40" s="28">
        <f t="shared" si="27"/>
        <v>0</v>
      </c>
      <c r="BX40" s="28">
        <f t="shared" si="27"/>
        <v>0</v>
      </c>
      <c r="BY40" s="28">
        <f t="shared" si="27"/>
        <v>0</v>
      </c>
      <c r="BZ40" s="28">
        <f t="shared" si="27"/>
        <v>0</v>
      </c>
      <c r="CA40" s="28">
        <f t="shared" si="27"/>
        <v>0</v>
      </c>
      <c r="CB40" s="28">
        <f t="shared" si="27"/>
        <v>0</v>
      </c>
      <c r="CC40" s="29">
        <f t="shared" si="27"/>
        <v>0</v>
      </c>
      <c r="CD40" s="30">
        <f t="shared" si="15"/>
        <v>0</v>
      </c>
      <c r="CF40" s="27">
        <f t="shared" si="28"/>
        <v>0</v>
      </c>
      <c r="CG40" s="28">
        <f t="shared" si="28"/>
        <v>0</v>
      </c>
      <c r="CH40" s="28">
        <f t="shared" si="28"/>
        <v>0</v>
      </c>
      <c r="CI40" s="28">
        <f t="shared" si="28"/>
        <v>0</v>
      </c>
      <c r="CJ40" s="28">
        <f t="shared" si="28"/>
        <v>0</v>
      </c>
      <c r="CK40" s="28">
        <f t="shared" si="28"/>
        <v>0</v>
      </c>
      <c r="CL40" s="28">
        <f t="shared" si="28"/>
        <v>0</v>
      </c>
      <c r="CM40" s="28">
        <f t="shared" si="28"/>
        <v>0</v>
      </c>
      <c r="CN40" s="28">
        <f t="shared" si="28"/>
        <v>0</v>
      </c>
      <c r="CO40" s="28">
        <f t="shared" si="28"/>
        <v>0</v>
      </c>
      <c r="CP40" s="28">
        <f t="shared" si="28"/>
        <v>0</v>
      </c>
      <c r="CQ40" s="29">
        <f t="shared" si="28"/>
        <v>0</v>
      </c>
      <c r="CR40" s="30">
        <f t="shared" si="17"/>
        <v>0</v>
      </c>
      <c r="CT40" s="27">
        <f t="shared" si="29"/>
        <v>0</v>
      </c>
      <c r="CU40" s="28">
        <f t="shared" si="29"/>
        <v>0</v>
      </c>
      <c r="CV40" s="28">
        <f t="shared" si="29"/>
        <v>0</v>
      </c>
      <c r="CW40" s="28">
        <f t="shared" si="29"/>
        <v>0</v>
      </c>
      <c r="CX40" s="28">
        <f t="shared" si="29"/>
        <v>0</v>
      </c>
      <c r="CY40" s="28">
        <f t="shared" si="29"/>
        <v>0</v>
      </c>
      <c r="CZ40" s="28">
        <f t="shared" si="29"/>
        <v>0</v>
      </c>
      <c r="DA40" s="28">
        <f t="shared" si="29"/>
        <v>0</v>
      </c>
      <c r="DB40" s="28">
        <f t="shared" si="29"/>
        <v>0</v>
      </c>
      <c r="DC40" s="28">
        <f t="shared" si="29"/>
        <v>0</v>
      </c>
      <c r="DD40" s="28">
        <f t="shared" si="29"/>
        <v>0</v>
      </c>
      <c r="DE40" s="29">
        <f t="shared" si="29"/>
        <v>0</v>
      </c>
      <c r="DF40" s="30">
        <f t="shared" si="19"/>
        <v>0</v>
      </c>
      <c r="DH40" s="27">
        <f t="shared" si="30"/>
        <v>0</v>
      </c>
      <c r="DI40" s="28">
        <f t="shared" si="30"/>
        <v>0</v>
      </c>
      <c r="DJ40" s="28">
        <f t="shared" si="30"/>
        <v>0</v>
      </c>
      <c r="DK40" s="28">
        <f t="shared" si="30"/>
        <v>0</v>
      </c>
      <c r="DL40" s="28">
        <f t="shared" si="30"/>
        <v>0</v>
      </c>
      <c r="DM40" s="28">
        <f t="shared" si="30"/>
        <v>0</v>
      </c>
      <c r="DN40" s="28">
        <f t="shared" si="30"/>
        <v>0</v>
      </c>
      <c r="DO40" s="28">
        <f t="shared" si="30"/>
        <v>0</v>
      </c>
      <c r="DP40" s="28">
        <f t="shared" si="30"/>
        <v>0</v>
      </c>
      <c r="DQ40" s="28">
        <f t="shared" si="30"/>
        <v>0</v>
      </c>
      <c r="DR40" s="28">
        <f t="shared" si="30"/>
        <v>0</v>
      </c>
      <c r="DS40" s="29">
        <f t="shared" si="30"/>
        <v>0</v>
      </c>
      <c r="DT40" s="30">
        <f t="shared" si="21"/>
        <v>0</v>
      </c>
    </row>
    <row r="41" spans="1:124" x14ac:dyDescent="0.2">
      <c r="A41">
        <f t="shared" si="6"/>
        <v>12</v>
      </c>
      <c r="B41" s="49" t="str">
        <f>_xlfn.XLOOKUP(D41,Códigos_Propuestas!$B$4:$B$10,Códigos_Propuestas!$C$4:$C$10,"!",0,1)&amp;"__"&amp;
_xlfn.XLOOKUP(G41,Códigos_Propuestas!$E$4:$E$76,Códigos_Propuestas!$F$4:$F$76,"!",1)&amp;"__"&amp;
_xlfn.XLOOKUP(K41,Códigos_Propuestas!$I$4:$I$7,Códigos_Propuestas!$J$4:$J$7,"!",1)&amp;"__"&amp;
_xlfn.XLOOKUP(L41,Códigos_Propuestas!$O$4:$O$11,Códigos_Propuestas!$Q$4:$Q$11,"!",1)&amp;"__"&amp;
_xlfn.XLOOKUP(E41,Códigos_Propuestas!$BF:$BF,Códigos_Propuestas!$BH:$BH,"!",0,1)</f>
        <v>!__!__!__!__</v>
      </c>
      <c r="C41" s="47"/>
      <c r="D41" s="11"/>
      <c r="E41" s="12"/>
      <c r="F41" s="12"/>
      <c r="G41" s="13"/>
      <c r="H41" s="13"/>
      <c r="I41" s="13"/>
      <c r="J41" s="17"/>
      <c r="K41" s="13"/>
      <c r="L41" s="14"/>
      <c r="M41" s="14"/>
      <c r="N41" s="14"/>
      <c r="O41" s="14"/>
      <c r="P41" s="14"/>
      <c r="Q41" s="14"/>
      <c r="R41" s="14"/>
      <c r="S41" s="14"/>
      <c r="T41" s="14"/>
      <c r="U41" s="13"/>
      <c r="V41" s="13"/>
      <c r="W41" s="116">
        <f t="shared" ca="1" si="7"/>
        <v>0</v>
      </c>
      <c r="X41" s="13" t="str">
        <f t="shared" ca="1" si="8"/>
        <v/>
      </c>
      <c r="Y41" s="14"/>
      <c r="Z41" s="115"/>
      <c r="AA41" s="130" t="b">
        <v>0</v>
      </c>
      <c r="AB41" s="115"/>
      <c r="AC41" s="130" t="b">
        <v>0</v>
      </c>
      <c r="AD41" s="115"/>
      <c r="AE41" s="130" t="b">
        <v>0</v>
      </c>
      <c r="AF41" s="13"/>
      <c r="AG41" s="13"/>
      <c r="AH41" s="130" t="b">
        <v>0</v>
      </c>
      <c r="AI41" s="13"/>
      <c r="AJ41" s="130" t="b">
        <v>0</v>
      </c>
      <c r="AK41" s="13"/>
      <c r="AL41" s="130" t="b">
        <v>0</v>
      </c>
      <c r="AM41" s="13"/>
      <c r="AN41" s="130" t="b">
        <v>0</v>
      </c>
      <c r="AO41" s="13"/>
      <c r="AP41" s="13"/>
      <c r="AQ41" s="130" t="b">
        <v>0</v>
      </c>
      <c r="AR41" s="130" t="b">
        <v>0</v>
      </c>
      <c r="AS41" s="130" t="b">
        <v>0</v>
      </c>
      <c r="AT41" s="130" t="b">
        <v>0</v>
      </c>
      <c r="AU41" s="130" t="b">
        <v>0</v>
      </c>
      <c r="AV41" s="11"/>
      <c r="AW41" s="11"/>
      <c r="AX41" s="11"/>
      <c r="AY41" s="11"/>
      <c r="AZ41" s="11"/>
      <c r="BA41" s="107"/>
      <c r="BB41" s="97"/>
      <c r="BC41" s="97"/>
      <c r="BD41" s="13"/>
      <c r="BE41" s="108"/>
      <c r="BF41" s="108"/>
      <c r="BG41" s="15"/>
      <c r="BH41" s="18"/>
      <c r="BI41" s="18"/>
      <c r="BJ41" s="16"/>
      <c r="BK41" s="19"/>
      <c r="BL41" s="19"/>
      <c r="BM41" s="20"/>
      <c r="BN41" s="21"/>
      <c r="BO41" s="111"/>
      <c r="BP41" s="112"/>
      <c r="BR41" s="27">
        <f t="shared" si="27"/>
        <v>0</v>
      </c>
      <c r="BS41" s="28">
        <f t="shared" si="27"/>
        <v>0</v>
      </c>
      <c r="BT41" s="28">
        <f t="shared" si="27"/>
        <v>0</v>
      </c>
      <c r="BU41" s="28">
        <f t="shared" si="27"/>
        <v>0</v>
      </c>
      <c r="BV41" s="28">
        <f t="shared" si="27"/>
        <v>0</v>
      </c>
      <c r="BW41" s="28">
        <f t="shared" si="27"/>
        <v>0</v>
      </c>
      <c r="BX41" s="28">
        <f t="shared" si="27"/>
        <v>0</v>
      </c>
      <c r="BY41" s="28">
        <f t="shared" si="27"/>
        <v>0</v>
      </c>
      <c r="BZ41" s="28">
        <f t="shared" si="27"/>
        <v>0</v>
      </c>
      <c r="CA41" s="28">
        <f t="shared" si="27"/>
        <v>0</v>
      </c>
      <c r="CB41" s="28">
        <f t="shared" si="27"/>
        <v>0</v>
      </c>
      <c r="CC41" s="29">
        <f t="shared" si="27"/>
        <v>0</v>
      </c>
      <c r="CD41" s="30">
        <f t="shared" si="15"/>
        <v>0</v>
      </c>
      <c r="CF41" s="27">
        <f t="shared" si="28"/>
        <v>0</v>
      </c>
      <c r="CG41" s="28">
        <f t="shared" si="28"/>
        <v>0</v>
      </c>
      <c r="CH41" s="28">
        <f t="shared" si="28"/>
        <v>0</v>
      </c>
      <c r="CI41" s="28">
        <f t="shared" si="28"/>
        <v>0</v>
      </c>
      <c r="CJ41" s="28">
        <f t="shared" si="28"/>
        <v>0</v>
      </c>
      <c r="CK41" s="28">
        <f t="shared" si="28"/>
        <v>0</v>
      </c>
      <c r="CL41" s="28">
        <f t="shared" si="28"/>
        <v>0</v>
      </c>
      <c r="CM41" s="28">
        <f t="shared" si="28"/>
        <v>0</v>
      </c>
      <c r="CN41" s="28">
        <f t="shared" si="28"/>
        <v>0</v>
      </c>
      <c r="CO41" s="28">
        <f t="shared" si="28"/>
        <v>0</v>
      </c>
      <c r="CP41" s="28">
        <f t="shared" si="28"/>
        <v>0</v>
      </c>
      <c r="CQ41" s="29">
        <f t="shared" si="28"/>
        <v>0</v>
      </c>
      <c r="CR41" s="30">
        <f t="shared" si="17"/>
        <v>0</v>
      </c>
      <c r="CT41" s="27">
        <f t="shared" si="29"/>
        <v>0</v>
      </c>
      <c r="CU41" s="28">
        <f t="shared" si="29"/>
        <v>0</v>
      </c>
      <c r="CV41" s="28">
        <f t="shared" si="29"/>
        <v>0</v>
      </c>
      <c r="CW41" s="28">
        <f t="shared" si="29"/>
        <v>0</v>
      </c>
      <c r="CX41" s="28">
        <f t="shared" si="29"/>
        <v>0</v>
      </c>
      <c r="CY41" s="28">
        <f t="shared" si="29"/>
        <v>0</v>
      </c>
      <c r="CZ41" s="28">
        <f t="shared" si="29"/>
        <v>0</v>
      </c>
      <c r="DA41" s="28">
        <f t="shared" si="29"/>
        <v>0</v>
      </c>
      <c r="DB41" s="28">
        <f t="shared" si="29"/>
        <v>0</v>
      </c>
      <c r="DC41" s="28">
        <f t="shared" si="29"/>
        <v>0</v>
      </c>
      <c r="DD41" s="28">
        <f t="shared" si="29"/>
        <v>0</v>
      </c>
      <c r="DE41" s="29">
        <f t="shared" si="29"/>
        <v>0</v>
      </c>
      <c r="DF41" s="30">
        <f t="shared" si="19"/>
        <v>0</v>
      </c>
      <c r="DH41" s="27">
        <f t="shared" si="30"/>
        <v>0</v>
      </c>
      <c r="DI41" s="28">
        <f t="shared" si="30"/>
        <v>0</v>
      </c>
      <c r="DJ41" s="28">
        <f t="shared" si="30"/>
        <v>0</v>
      </c>
      <c r="DK41" s="28">
        <f t="shared" si="30"/>
        <v>0</v>
      </c>
      <c r="DL41" s="28">
        <f t="shared" si="30"/>
        <v>0</v>
      </c>
      <c r="DM41" s="28">
        <f t="shared" si="30"/>
        <v>0</v>
      </c>
      <c r="DN41" s="28">
        <f t="shared" si="30"/>
        <v>0</v>
      </c>
      <c r="DO41" s="28">
        <f t="shared" si="30"/>
        <v>0</v>
      </c>
      <c r="DP41" s="28">
        <f t="shared" si="30"/>
        <v>0</v>
      </c>
      <c r="DQ41" s="28">
        <f t="shared" si="30"/>
        <v>0</v>
      </c>
      <c r="DR41" s="28">
        <f t="shared" si="30"/>
        <v>0</v>
      </c>
      <c r="DS41" s="29">
        <f t="shared" si="30"/>
        <v>0</v>
      </c>
      <c r="DT41" s="30">
        <f t="shared" si="21"/>
        <v>0</v>
      </c>
    </row>
    <row r="42" spans="1:124" x14ac:dyDescent="0.2">
      <c r="A42">
        <f t="shared" si="6"/>
        <v>12</v>
      </c>
      <c r="B42" s="49" t="str">
        <f>_xlfn.XLOOKUP(D42,Códigos_Propuestas!$B$4:$B$10,Códigos_Propuestas!$C$4:$C$10,"!",0,1)&amp;"__"&amp;
_xlfn.XLOOKUP(G42,Códigos_Propuestas!$E$4:$E$76,Códigos_Propuestas!$F$4:$F$76,"!",1)&amp;"__"&amp;
_xlfn.XLOOKUP(K42,Códigos_Propuestas!$I$4:$I$7,Códigos_Propuestas!$J$4:$J$7,"!",1)&amp;"__"&amp;
_xlfn.XLOOKUP(L42,Códigos_Propuestas!$O$4:$O$11,Códigos_Propuestas!$Q$4:$Q$11,"!",1)&amp;"__"&amp;
_xlfn.XLOOKUP(E42,Códigos_Propuestas!$BF:$BF,Códigos_Propuestas!$BH:$BH,"!",0,1)</f>
        <v>!__!__!__!__</v>
      </c>
      <c r="C42" s="47"/>
      <c r="D42" s="11"/>
      <c r="E42" s="12"/>
      <c r="F42" s="12"/>
      <c r="G42" s="13"/>
      <c r="H42" s="13"/>
      <c r="I42" s="13"/>
      <c r="J42" s="17"/>
      <c r="K42" s="13"/>
      <c r="L42" s="14"/>
      <c r="M42" s="14"/>
      <c r="N42" s="14"/>
      <c r="O42" s="14"/>
      <c r="P42" s="14"/>
      <c r="Q42" s="14"/>
      <c r="R42" s="14"/>
      <c r="S42" s="14"/>
      <c r="T42" s="14"/>
      <c r="U42" s="13"/>
      <c r="V42" s="13"/>
      <c r="W42" s="116">
        <f t="shared" ca="1" si="7"/>
        <v>0</v>
      </c>
      <c r="X42" s="13" t="str">
        <f t="shared" ca="1" si="8"/>
        <v/>
      </c>
      <c r="Y42" s="14"/>
      <c r="Z42" s="115"/>
      <c r="AA42" s="130" t="b">
        <v>0</v>
      </c>
      <c r="AB42" s="115"/>
      <c r="AC42" s="130" t="b">
        <v>0</v>
      </c>
      <c r="AD42" s="115"/>
      <c r="AE42" s="130" t="b">
        <v>0</v>
      </c>
      <c r="AF42" s="13"/>
      <c r="AG42" s="13"/>
      <c r="AH42" s="130" t="b">
        <v>0</v>
      </c>
      <c r="AI42" s="13"/>
      <c r="AJ42" s="130" t="b">
        <v>0</v>
      </c>
      <c r="AK42" s="13"/>
      <c r="AL42" s="130" t="b">
        <v>0</v>
      </c>
      <c r="AM42" s="13"/>
      <c r="AN42" s="130" t="b">
        <v>0</v>
      </c>
      <c r="AO42" s="13"/>
      <c r="AP42" s="13"/>
      <c r="AQ42" s="130" t="b">
        <v>0</v>
      </c>
      <c r="AR42" s="130" t="b">
        <v>0</v>
      </c>
      <c r="AS42" s="130" t="b">
        <v>0</v>
      </c>
      <c r="AT42" s="130" t="b">
        <v>0</v>
      </c>
      <c r="AU42" s="130" t="b">
        <v>0</v>
      </c>
      <c r="AV42" s="11"/>
      <c r="AW42" s="11"/>
      <c r="AX42" s="11"/>
      <c r="AY42" s="11"/>
      <c r="AZ42" s="11"/>
      <c r="BA42" s="107"/>
      <c r="BB42" s="97"/>
      <c r="BC42" s="97"/>
      <c r="BD42" s="13"/>
      <c r="BE42" s="108"/>
      <c r="BF42" s="108"/>
      <c r="BG42" s="15"/>
      <c r="BH42" s="18"/>
      <c r="BI42" s="18"/>
      <c r="BJ42" s="16"/>
      <c r="BK42" s="19"/>
      <c r="BL42" s="19"/>
      <c r="BM42" s="20"/>
      <c r="BN42" s="21"/>
      <c r="BO42" s="111"/>
      <c r="BP42" s="112"/>
      <c r="BQ42"/>
      <c r="BR42" s="27">
        <f t="shared" si="27"/>
        <v>0</v>
      </c>
      <c r="BS42" s="28">
        <f t="shared" si="27"/>
        <v>0</v>
      </c>
      <c r="BT42" s="28">
        <f t="shared" si="27"/>
        <v>0</v>
      </c>
      <c r="BU42" s="28">
        <f t="shared" si="27"/>
        <v>0</v>
      </c>
      <c r="BV42" s="28">
        <f t="shared" si="27"/>
        <v>0</v>
      </c>
      <c r="BW42" s="28">
        <f t="shared" si="27"/>
        <v>0</v>
      </c>
      <c r="BX42" s="28">
        <f t="shared" si="27"/>
        <v>0</v>
      </c>
      <c r="BY42" s="28">
        <f t="shared" si="27"/>
        <v>0</v>
      </c>
      <c r="BZ42" s="28">
        <f t="shared" si="27"/>
        <v>0</v>
      </c>
      <c r="CA42" s="28">
        <f t="shared" si="27"/>
        <v>0</v>
      </c>
      <c r="CB42" s="28">
        <f t="shared" si="27"/>
        <v>0</v>
      </c>
      <c r="CC42" s="29">
        <f t="shared" si="27"/>
        <v>0</v>
      </c>
      <c r="CD42" s="30">
        <f t="shared" si="15"/>
        <v>0</v>
      </c>
      <c r="CF42" s="27">
        <f t="shared" si="28"/>
        <v>0</v>
      </c>
      <c r="CG42" s="28">
        <f t="shared" si="28"/>
        <v>0</v>
      </c>
      <c r="CH42" s="28">
        <f t="shared" si="28"/>
        <v>0</v>
      </c>
      <c r="CI42" s="28">
        <f t="shared" si="28"/>
        <v>0</v>
      </c>
      <c r="CJ42" s="28">
        <f t="shared" si="28"/>
        <v>0</v>
      </c>
      <c r="CK42" s="28">
        <f t="shared" si="28"/>
        <v>0</v>
      </c>
      <c r="CL42" s="28">
        <f t="shared" si="28"/>
        <v>0</v>
      </c>
      <c r="CM42" s="28">
        <f t="shared" si="28"/>
        <v>0</v>
      </c>
      <c r="CN42" s="28">
        <f t="shared" si="28"/>
        <v>0</v>
      </c>
      <c r="CO42" s="28">
        <f t="shared" si="28"/>
        <v>0</v>
      </c>
      <c r="CP42" s="28">
        <f t="shared" si="28"/>
        <v>0</v>
      </c>
      <c r="CQ42" s="29">
        <f t="shared" si="28"/>
        <v>0</v>
      </c>
      <c r="CR42" s="30">
        <f t="shared" si="17"/>
        <v>0</v>
      </c>
      <c r="CT42" s="27">
        <f t="shared" si="29"/>
        <v>0</v>
      </c>
      <c r="CU42" s="28">
        <f t="shared" si="29"/>
        <v>0</v>
      </c>
      <c r="CV42" s="28">
        <f t="shared" si="29"/>
        <v>0</v>
      </c>
      <c r="CW42" s="28">
        <f t="shared" si="29"/>
        <v>0</v>
      </c>
      <c r="CX42" s="28">
        <f t="shared" si="29"/>
        <v>0</v>
      </c>
      <c r="CY42" s="28">
        <f t="shared" si="29"/>
        <v>0</v>
      </c>
      <c r="CZ42" s="28">
        <f t="shared" si="29"/>
        <v>0</v>
      </c>
      <c r="DA42" s="28">
        <f t="shared" si="29"/>
        <v>0</v>
      </c>
      <c r="DB42" s="28">
        <f t="shared" si="29"/>
        <v>0</v>
      </c>
      <c r="DC42" s="28">
        <f t="shared" si="29"/>
        <v>0</v>
      </c>
      <c r="DD42" s="28">
        <f t="shared" si="29"/>
        <v>0</v>
      </c>
      <c r="DE42" s="29">
        <f t="shared" si="29"/>
        <v>0</v>
      </c>
      <c r="DF42" s="30">
        <f t="shared" si="19"/>
        <v>0</v>
      </c>
      <c r="DH42" s="27">
        <f t="shared" si="30"/>
        <v>0</v>
      </c>
      <c r="DI42" s="28">
        <f t="shared" si="30"/>
        <v>0</v>
      </c>
      <c r="DJ42" s="28">
        <f t="shared" si="30"/>
        <v>0</v>
      </c>
      <c r="DK42" s="28">
        <f t="shared" si="30"/>
        <v>0</v>
      </c>
      <c r="DL42" s="28">
        <f t="shared" si="30"/>
        <v>0</v>
      </c>
      <c r="DM42" s="28">
        <f t="shared" si="30"/>
        <v>0</v>
      </c>
      <c r="DN42" s="28">
        <f t="shared" si="30"/>
        <v>0</v>
      </c>
      <c r="DO42" s="28">
        <f t="shared" si="30"/>
        <v>0</v>
      </c>
      <c r="DP42" s="28">
        <f t="shared" si="30"/>
        <v>0</v>
      </c>
      <c r="DQ42" s="28">
        <f t="shared" si="30"/>
        <v>0</v>
      </c>
      <c r="DR42" s="28">
        <f t="shared" si="30"/>
        <v>0</v>
      </c>
      <c r="DS42" s="29">
        <f t="shared" si="30"/>
        <v>0</v>
      </c>
      <c r="DT42" s="30">
        <f t="shared" si="21"/>
        <v>0</v>
      </c>
    </row>
    <row r="43" spans="1:124" x14ac:dyDescent="0.2">
      <c r="A43">
        <f t="shared" si="6"/>
        <v>12</v>
      </c>
      <c r="B43" s="49" t="str">
        <f>_xlfn.XLOOKUP(D43,Códigos_Propuestas!$B$4:$B$10,Códigos_Propuestas!$C$4:$C$10,"!",0,1)&amp;"__"&amp;
_xlfn.XLOOKUP(G43,Códigos_Propuestas!$E$4:$E$76,Códigos_Propuestas!$F$4:$F$76,"!",1)&amp;"__"&amp;
_xlfn.XLOOKUP(K43,Códigos_Propuestas!$I$4:$I$7,Códigos_Propuestas!$J$4:$J$7,"!",1)&amp;"__"&amp;
_xlfn.XLOOKUP(L43,Códigos_Propuestas!$O$4:$O$11,Códigos_Propuestas!$Q$4:$Q$11,"!",1)&amp;"__"&amp;
_xlfn.XLOOKUP(E43,Códigos_Propuestas!$BF:$BF,Códigos_Propuestas!$BH:$BH,"!",0,1)</f>
        <v>!__!__!__!__</v>
      </c>
      <c r="C43" s="47"/>
      <c r="D43" s="11"/>
      <c r="E43" s="12"/>
      <c r="F43" s="12"/>
      <c r="G43" s="13"/>
      <c r="H43" s="13"/>
      <c r="I43" s="13"/>
      <c r="J43" s="17"/>
      <c r="K43" s="13"/>
      <c r="L43" s="14"/>
      <c r="M43" s="14"/>
      <c r="N43" s="14"/>
      <c r="O43" s="14"/>
      <c r="P43" s="14"/>
      <c r="Q43" s="14"/>
      <c r="R43" s="14"/>
      <c r="S43" s="14"/>
      <c r="T43" s="14"/>
      <c r="U43" s="13"/>
      <c r="V43" s="13"/>
      <c r="W43" s="116">
        <f t="shared" ca="1" si="7"/>
        <v>0</v>
      </c>
      <c r="X43" s="13" t="str">
        <f t="shared" ca="1" si="8"/>
        <v/>
      </c>
      <c r="Y43" s="14"/>
      <c r="Z43" s="115"/>
      <c r="AA43" s="130" t="b">
        <v>0</v>
      </c>
      <c r="AB43" s="115"/>
      <c r="AC43" s="130" t="b">
        <v>0</v>
      </c>
      <c r="AD43" s="115"/>
      <c r="AE43" s="130" t="b">
        <v>0</v>
      </c>
      <c r="AF43" s="13"/>
      <c r="AG43" s="13"/>
      <c r="AH43" s="130" t="b">
        <v>0</v>
      </c>
      <c r="AI43" s="13"/>
      <c r="AJ43" s="130" t="b">
        <v>0</v>
      </c>
      <c r="AK43" s="13"/>
      <c r="AL43" s="130" t="b">
        <v>0</v>
      </c>
      <c r="AM43" s="13"/>
      <c r="AN43" s="130" t="b">
        <v>0</v>
      </c>
      <c r="AO43" s="13"/>
      <c r="AP43" s="13"/>
      <c r="AQ43" s="130" t="b">
        <v>0</v>
      </c>
      <c r="AR43" s="130" t="b">
        <v>0</v>
      </c>
      <c r="AS43" s="130" t="b">
        <v>0</v>
      </c>
      <c r="AT43" s="130" t="b">
        <v>0</v>
      </c>
      <c r="AU43" s="130" t="b">
        <v>0</v>
      </c>
      <c r="AV43" s="11"/>
      <c r="AW43" s="11"/>
      <c r="AX43" s="11"/>
      <c r="AY43" s="11"/>
      <c r="AZ43" s="11"/>
      <c r="BA43" s="107"/>
      <c r="BB43" s="97"/>
      <c r="BC43" s="97"/>
      <c r="BD43" s="13"/>
      <c r="BE43" s="108"/>
      <c r="BF43" s="108"/>
      <c r="BG43" s="15"/>
      <c r="BH43" s="18"/>
      <c r="BI43" s="18"/>
      <c r="BJ43" s="16"/>
      <c r="BK43" s="19"/>
      <c r="BL43" s="19"/>
      <c r="BM43" s="20"/>
      <c r="BN43" s="21"/>
      <c r="BO43" s="111"/>
      <c r="BP43" s="112"/>
      <c r="BQ43"/>
      <c r="BR43" s="27">
        <f t="shared" si="27"/>
        <v>0</v>
      </c>
      <c r="BS43" s="28">
        <f t="shared" si="27"/>
        <v>0</v>
      </c>
      <c r="BT43" s="28">
        <f t="shared" si="27"/>
        <v>0</v>
      </c>
      <c r="BU43" s="28">
        <f t="shared" si="27"/>
        <v>0</v>
      </c>
      <c r="BV43" s="28">
        <f t="shared" si="27"/>
        <v>0</v>
      </c>
      <c r="BW43" s="28">
        <f t="shared" si="27"/>
        <v>0</v>
      </c>
      <c r="BX43" s="28">
        <f t="shared" si="27"/>
        <v>0</v>
      </c>
      <c r="BY43" s="28">
        <f t="shared" si="27"/>
        <v>0</v>
      </c>
      <c r="BZ43" s="28">
        <f t="shared" si="27"/>
        <v>0</v>
      </c>
      <c r="CA43" s="28">
        <f t="shared" si="27"/>
        <v>0</v>
      </c>
      <c r="CB43" s="28">
        <f t="shared" si="27"/>
        <v>0</v>
      </c>
      <c r="CC43" s="29">
        <f t="shared" si="27"/>
        <v>0</v>
      </c>
      <c r="CD43" s="30">
        <f t="shared" si="15"/>
        <v>0</v>
      </c>
      <c r="CF43" s="27">
        <f t="shared" si="28"/>
        <v>0</v>
      </c>
      <c r="CG43" s="28">
        <f t="shared" si="28"/>
        <v>0</v>
      </c>
      <c r="CH43" s="28">
        <f t="shared" si="28"/>
        <v>0</v>
      </c>
      <c r="CI43" s="28">
        <f t="shared" si="28"/>
        <v>0</v>
      </c>
      <c r="CJ43" s="28">
        <f t="shared" si="28"/>
        <v>0</v>
      </c>
      <c r="CK43" s="28">
        <f t="shared" si="28"/>
        <v>0</v>
      </c>
      <c r="CL43" s="28">
        <f t="shared" si="28"/>
        <v>0</v>
      </c>
      <c r="CM43" s="28">
        <f t="shared" si="28"/>
        <v>0</v>
      </c>
      <c r="CN43" s="28">
        <f t="shared" si="28"/>
        <v>0</v>
      </c>
      <c r="CO43" s="28">
        <f t="shared" si="28"/>
        <v>0</v>
      </c>
      <c r="CP43" s="28">
        <f t="shared" si="28"/>
        <v>0</v>
      </c>
      <c r="CQ43" s="29">
        <f t="shared" si="28"/>
        <v>0</v>
      </c>
      <c r="CR43" s="30">
        <f t="shared" si="17"/>
        <v>0</v>
      </c>
      <c r="CT43" s="27">
        <f t="shared" si="29"/>
        <v>0</v>
      </c>
      <c r="CU43" s="28">
        <f t="shared" si="29"/>
        <v>0</v>
      </c>
      <c r="CV43" s="28">
        <f t="shared" si="29"/>
        <v>0</v>
      </c>
      <c r="CW43" s="28">
        <f t="shared" si="29"/>
        <v>0</v>
      </c>
      <c r="CX43" s="28">
        <f t="shared" si="29"/>
        <v>0</v>
      </c>
      <c r="CY43" s="28">
        <f t="shared" si="29"/>
        <v>0</v>
      </c>
      <c r="CZ43" s="28">
        <f t="shared" si="29"/>
        <v>0</v>
      </c>
      <c r="DA43" s="28">
        <f t="shared" si="29"/>
        <v>0</v>
      </c>
      <c r="DB43" s="28">
        <f t="shared" si="29"/>
        <v>0</v>
      </c>
      <c r="DC43" s="28">
        <f t="shared" si="29"/>
        <v>0</v>
      </c>
      <c r="DD43" s="28">
        <f t="shared" si="29"/>
        <v>0</v>
      </c>
      <c r="DE43" s="29">
        <f t="shared" si="29"/>
        <v>0</v>
      </c>
      <c r="DF43" s="30">
        <f t="shared" si="19"/>
        <v>0</v>
      </c>
      <c r="DH43" s="27">
        <f t="shared" si="30"/>
        <v>0</v>
      </c>
      <c r="DI43" s="28">
        <f t="shared" si="30"/>
        <v>0</v>
      </c>
      <c r="DJ43" s="28">
        <f t="shared" si="30"/>
        <v>0</v>
      </c>
      <c r="DK43" s="28">
        <f t="shared" si="30"/>
        <v>0</v>
      </c>
      <c r="DL43" s="28">
        <f t="shared" si="30"/>
        <v>0</v>
      </c>
      <c r="DM43" s="28">
        <f t="shared" si="30"/>
        <v>0</v>
      </c>
      <c r="DN43" s="28">
        <f t="shared" si="30"/>
        <v>0</v>
      </c>
      <c r="DO43" s="28">
        <f t="shared" si="30"/>
        <v>0</v>
      </c>
      <c r="DP43" s="28">
        <f t="shared" si="30"/>
        <v>0</v>
      </c>
      <c r="DQ43" s="28">
        <f t="shared" si="30"/>
        <v>0</v>
      </c>
      <c r="DR43" s="28">
        <f t="shared" si="30"/>
        <v>0</v>
      </c>
      <c r="DS43" s="29">
        <f t="shared" si="30"/>
        <v>0</v>
      </c>
      <c r="DT43" s="30">
        <f t="shared" si="21"/>
        <v>0</v>
      </c>
    </row>
    <row r="44" spans="1:124" x14ac:dyDescent="0.2">
      <c r="A44">
        <f t="shared" si="6"/>
        <v>12</v>
      </c>
      <c r="B44" s="49" t="str">
        <f>_xlfn.XLOOKUP(D44,Códigos_Propuestas!$B$4:$B$10,Códigos_Propuestas!$C$4:$C$10,"!",0,1)&amp;"__"&amp;
_xlfn.XLOOKUP(G44,Códigos_Propuestas!$E$4:$E$76,Códigos_Propuestas!$F$4:$F$76,"!",1)&amp;"__"&amp;
_xlfn.XLOOKUP(K44,Códigos_Propuestas!$I$4:$I$7,Códigos_Propuestas!$J$4:$J$7,"!",1)&amp;"__"&amp;
_xlfn.XLOOKUP(L44,Códigos_Propuestas!$O$4:$O$11,Códigos_Propuestas!$Q$4:$Q$11,"!",1)&amp;"__"&amp;
_xlfn.XLOOKUP(E44,Códigos_Propuestas!$BF:$BF,Códigos_Propuestas!$BH:$BH,"!",0,1)</f>
        <v>!__!__!__!__</v>
      </c>
      <c r="C44" s="47"/>
      <c r="D44" s="11"/>
      <c r="E44" s="12"/>
      <c r="F44" s="12"/>
      <c r="G44" s="13"/>
      <c r="H44" s="13"/>
      <c r="I44" s="13"/>
      <c r="J44" s="17"/>
      <c r="K44" s="13"/>
      <c r="L44" s="14"/>
      <c r="M44" s="14"/>
      <c r="N44" s="14"/>
      <c r="O44" s="14"/>
      <c r="P44" s="14"/>
      <c r="Q44" s="14"/>
      <c r="R44" s="14"/>
      <c r="S44" s="14"/>
      <c r="T44" s="14"/>
      <c r="U44" s="13"/>
      <c r="V44" s="13"/>
      <c r="W44" s="116">
        <f t="shared" ca="1" si="7"/>
        <v>0</v>
      </c>
      <c r="X44" s="13" t="str">
        <f t="shared" ca="1" si="8"/>
        <v/>
      </c>
      <c r="Y44" s="14"/>
      <c r="Z44" s="115"/>
      <c r="AA44" s="130" t="b">
        <v>0</v>
      </c>
      <c r="AB44" s="115"/>
      <c r="AC44" s="130" t="b">
        <v>0</v>
      </c>
      <c r="AD44" s="115"/>
      <c r="AE44" s="130" t="b">
        <v>0</v>
      </c>
      <c r="AF44" s="13"/>
      <c r="AG44" s="13"/>
      <c r="AH44" s="130" t="b">
        <v>0</v>
      </c>
      <c r="AI44" s="13"/>
      <c r="AJ44" s="130" t="b">
        <v>0</v>
      </c>
      <c r="AK44" s="13"/>
      <c r="AL44" s="130" t="b">
        <v>0</v>
      </c>
      <c r="AM44" s="13"/>
      <c r="AN44" s="130" t="b">
        <v>0</v>
      </c>
      <c r="AO44" s="13"/>
      <c r="AP44" s="13"/>
      <c r="AQ44" s="130" t="b">
        <v>0</v>
      </c>
      <c r="AR44" s="130" t="b">
        <v>0</v>
      </c>
      <c r="AS44" s="130" t="b">
        <v>0</v>
      </c>
      <c r="AT44" s="130" t="b">
        <v>0</v>
      </c>
      <c r="AU44" s="130" t="b">
        <v>0</v>
      </c>
      <c r="AV44" s="11"/>
      <c r="AW44" s="11"/>
      <c r="AX44" s="11"/>
      <c r="AY44" s="11"/>
      <c r="AZ44" s="11"/>
      <c r="BA44" s="107"/>
      <c r="BB44" s="97"/>
      <c r="BC44" s="97"/>
      <c r="BD44" s="13"/>
      <c r="BE44" s="108"/>
      <c r="BF44" s="108"/>
      <c r="BG44" s="15"/>
      <c r="BH44" s="18"/>
      <c r="BI44" s="18"/>
      <c r="BJ44" s="16"/>
      <c r="BK44" s="19"/>
      <c r="BL44" s="19"/>
      <c r="BM44" s="20"/>
      <c r="BN44" s="21"/>
      <c r="BO44" s="111"/>
      <c r="BP44" s="112"/>
      <c r="BQ44"/>
      <c r="BR44" s="27">
        <f t="shared" si="27"/>
        <v>0</v>
      </c>
      <c r="BS44" s="28">
        <f t="shared" si="27"/>
        <v>0</v>
      </c>
      <c r="BT44" s="28">
        <f t="shared" si="27"/>
        <v>0</v>
      </c>
      <c r="BU44" s="28">
        <f t="shared" si="27"/>
        <v>0</v>
      </c>
      <c r="BV44" s="28">
        <f t="shared" si="27"/>
        <v>0</v>
      </c>
      <c r="BW44" s="28">
        <f t="shared" si="27"/>
        <v>0</v>
      </c>
      <c r="BX44" s="28">
        <f t="shared" si="27"/>
        <v>0</v>
      </c>
      <c r="BY44" s="28">
        <f t="shared" si="27"/>
        <v>0</v>
      </c>
      <c r="BZ44" s="28">
        <f t="shared" si="27"/>
        <v>0</v>
      </c>
      <c r="CA44" s="28">
        <f t="shared" si="27"/>
        <v>0</v>
      </c>
      <c r="CB44" s="28">
        <f t="shared" si="27"/>
        <v>0</v>
      </c>
      <c r="CC44" s="29">
        <f t="shared" si="27"/>
        <v>0</v>
      </c>
      <c r="CD44" s="30">
        <f t="shared" si="15"/>
        <v>0</v>
      </c>
      <c r="CF44" s="27">
        <f t="shared" si="28"/>
        <v>0</v>
      </c>
      <c r="CG44" s="28">
        <f t="shared" si="28"/>
        <v>0</v>
      </c>
      <c r="CH44" s="28">
        <f t="shared" si="28"/>
        <v>0</v>
      </c>
      <c r="CI44" s="28">
        <f t="shared" si="28"/>
        <v>0</v>
      </c>
      <c r="CJ44" s="28">
        <f t="shared" si="28"/>
        <v>0</v>
      </c>
      <c r="CK44" s="28">
        <f t="shared" si="28"/>
        <v>0</v>
      </c>
      <c r="CL44" s="28">
        <f t="shared" si="28"/>
        <v>0</v>
      </c>
      <c r="CM44" s="28">
        <f t="shared" si="28"/>
        <v>0</v>
      </c>
      <c r="CN44" s="28">
        <f t="shared" si="28"/>
        <v>0</v>
      </c>
      <c r="CO44" s="28">
        <f t="shared" si="28"/>
        <v>0</v>
      </c>
      <c r="CP44" s="28">
        <f t="shared" si="28"/>
        <v>0</v>
      </c>
      <c r="CQ44" s="29">
        <f t="shared" si="28"/>
        <v>0</v>
      </c>
      <c r="CR44" s="30">
        <f t="shared" si="17"/>
        <v>0</v>
      </c>
      <c r="CT44" s="27">
        <f t="shared" si="29"/>
        <v>0</v>
      </c>
      <c r="CU44" s="28">
        <f t="shared" si="29"/>
        <v>0</v>
      </c>
      <c r="CV44" s="28">
        <f t="shared" si="29"/>
        <v>0</v>
      </c>
      <c r="CW44" s="28">
        <f t="shared" si="29"/>
        <v>0</v>
      </c>
      <c r="CX44" s="28">
        <f t="shared" si="29"/>
        <v>0</v>
      </c>
      <c r="CY44" s="28">
        <f t="shared" si="29"/>
        <v>0</v>
      </c>
      <c r="CZ44" s="28">
        <f t="shared" si="29"/>
        <v>0</v>
      </c>
      <c r="DA44" s="28">
        <f t="shared" si="29"/>
        <v>0</v>
      </c>
      <c r="DB44" s="28">
        <f t="shared" si="29"/>
        <v>0</v>
      </c>
      <c r="DC44" s="28">
        <f t="shared" si="29"/>
        <v>0</v>
      </c>
      <c r="DD44" s="28">
        <f t="shared" si="29"/>
        <v>0</v>
      </c>
      <c r="DE44" s="29">
        <f t="shared" si="29"/>
        <v>0</v>
      </c>
      <c r="DF44" s="30">
        <f t="shared" si="19"/>
        <v>0</v>
      </c>
      <c r="DH44" s="27">
        <f t="shared" si="30"/>
        <v>0</v>
      </c>
      <c r="DI44" s="28">
        <f t="shared" si="30"/>
        <v>0</v>
      </c>
      <c r="DJ44" s="28">
        <f t="shared" si="30"/>
        <v>0</v>
      </c>
      <c r="DK44" s="28">
        <f t="shared" si="30"/>
        <v>0</v>
      </c>
      <c r="DL44" s="28">
        <f t="shared" si="30"/>
        <v>0</v>
      </c>
      <c r="DM44" s="28">
        <f t="shared" si="30"/>
        <v>0</v>
      </c>
      <c r="DN44" s="28">
        <f t="shared" si="30"/>
        <v>0</v>
      </c>
      <c r="DO44" s="28">
        <f t="shared" si="30"/>
        <v>0</v>
      </c>
      <c r="DP44" s="28">
        <f t="shared" si="30"/>
        <v>0</v>
      </c>
      <c r="DQ44" s="28">
        <f t="shared" si="30"/>
        <v>0</v>
      </c>
      <c r="DR44" s="28">
        <f t="shared" si="30"/>
        <v>0</v>
      </c>
      <c r="DS44" s="29">
        <f t="shared" si="30"/>
        <v>0</v>
      </c>
      <c r="DT44" s="30">
        <f t="shared" si="21"/>
        <v>0</v>
      </c>
    </row>
    <row r="45" spans="1:124" x14ac:dyDescent="0.2">
      <c r="A45">
        <f t="shared" si="6"/>
        <v>12</v>
      </c>
      <c r="B45" s="49" t="str">
        <f>_xlfn.XLOOKUP(D45,Códigos_Propuestas!$B$4:$B$10,Códigos_Propuestas!$C$4:$C$10,"!",0,1)&amp;"__"&amp;
_xlfn.XLOOKUP(G45,Códigos_Propuestas!$E$4:$E$76,Códigos_Propuestas!$F$4:$F$76,"!",1)&amp;"__"&amp;
_xlfn.XLOOKUP(K45,Códigos_Propuestas!$I$4:$I$7,Códigos_Propuestas!$J$4:$J$7,"!",1)&amp;"__"&amp;
_xlfn.XLOOKUP(L45,Códigos_Propuestas!$O$4:$O$11,Códigos_Propuestas!$Q$4:$Q$11,"!",1)&amp;"__"&amp;
_xlfn.XLOOKUP(E45,Códigos_Propuestas!$BF:$BF,Códigos_Propuestas!$BH:$BH,"!",0,1)</f>
        <v>!__!__!__!__</v>
      </c>
      <c r="C45" s="47"/>
      <c r="D45" s="11"/>
      <c r="E45" s="12"/>
      <c r="F45" s="12"/>
      <c r="G45" s="13"/>
      <c r="H45" s="13"/>
      <c r="I45" s="13"/>
      <c r="J45" s="17"/>
      <c r="K45" s="13"/>
      <c r="L45" s="14"/>
      <c r="M45" s="14"/>
      <c r="N45" s="14"/>
      <c r="O45" s="14"/>
      <c r="P45" s="14"/>
      <c r="Q45" s="14"/>
      <c r="R45" s="14"/>
      <c r="S45" s="14"/>
      <c r="T45" s="14"/>
      <c r="U45" s="13"/>
      <c r="V45" s="13"/>
      <c r="W45" s="116">
        <f t="shared" ca="1" si="7"/>
        <v>0</v>
      </c>
      <c r="X45" s="13" t="str">
        <f t="shared" ca="1" si="8"/>
        <v/>
      </c>
      <c r="Y45" s="14"/>
      <c r="Z45" s="115"/>
      <c r="AA45" s="130" t="b">
        <v>0</v>
      </c>
      <c r="AB45" s="115"/>
      <c r="AC45" s="130" t="b">
        <v>0</v>
      </c>
      <c r="AD45" s="115"/>
      <c r="AE45" s="130" t="b">
        <v>0</v>
      </c>
      <c r="AF45" s="13"/>
      <c r="AG45" s="13"/>
      <c r="AH45" s="130" t="b">
        <v>0</v>
      </c>
      <c r="AI45" s="13"/>
      <c r="AJ45" s="130" t="b">
        <v>0</v>
      </c>
      <c r="AK45" s="13"/>
      <c r="AL45" s="130" t="b">
        <v>0</v>
      </c>
      <c r="AM45" s="13"/>
      <c r="AN45" s="130" t="b">
        <v>0</v>
      </c>
      <c r="AO45" s="13"/>
      <c r="AP45" s="13"/>
      <c r="AQ45" s="130" t="b">
        <v>0</v>
      </c>
      <c r="AR45" s="130" t="b">
        <v>0</v>
      </c>
      <c r="AS45" s="130" t="b">
        <v>0</v>
      </c>
      <c r="AT45" s="130" t="b">
        <v>0</v>
      </c>
      <c r="AU45" s="130" t="b">
        <v>0</v>
      </c>
      <c r="AV45" s="11"/>
      <c r="AW45" s="11"/>
      <c r="AX45" s="11"/>
      <c r="AY45" s="11"/>
      <c r="AZ45" s="11"/>
      <c r="BA45" s="107"/>
      <c r="BB45" s="97"/>
      <c r="BC45" s="97"/>
      <c r="BD45" s="13"/>
      <c r="BE45" s="108"/>
      <c r="BF45" s="108"/>
      <c r="BG45" s="15"/>
      <c r="BH45" s="18"/>
      <c r="BI45" s="18"/>
      <c r="BJ45" s="16"/>
      <c r="BK45" s="19"/>
      <c r="BL45" s="19"/>
      <c r="BM45" s="20"/>
      <c r="BN45" s="21"/>
      <c r="BO45" s="111"/>
      <c r="BP45" s="112"/>
      <c r="BQ45"/>
      <c r="BR45" s="27">
        <f t="shared" si="27"/>
        <v>0</v>
      </c>
      <c r="BS45" s="28">
        <f t="shared" si="27"/>
        <v>0</v>
      </c>
      <c r="BT45" s="28">
        <f t="shared" si="27"/>
        <v>0</v>
      </c>
      <c r="BU45" s="28">
        <f t="shared" si="27"/>
        <v>0</v>
      </c>
      <c r="BV45" s="28">
        <f t="shared" si="27"/>
        <v>0</v>
      </c>
      <c r="BW45" s="28">
        <f t="shared" si="27"/>
        <v>0</v>
      </c>
      <c r="BX45" s="28">
        <f t="shared" si="27"/>
        <v>0</v>
      </c>
      <c r="BY45" s="28">
        <f t="shared" si="27"/>
        <v>0</v>
      </c>
      <c r="BZ45" s="28">
        <f t="shared" si="27"/>
        <v>0</v>
      </c>
      <c r="CA45" s="28">
        <f t="shared" si="27"/>
        <v>0</v>
      </c>
      <c r="CB45" s="28">
        <f t="shared" si="27"/>
        <v>0</v>
      </c>
      <c r="CC45" s="29">
        <f t="shared" si="27"/>
        <v>0</v>
      </c>
      <c r="CD45" s="30">
        <f t="shared" si="15"/>
        <v>0</v>
      </c>
      <c r="CF45" s="27">
        <f t="shared" si="28"/>
        <v>0</v>
      </c>
      <c r="CG45" s="28">
        <f t="shared" si="28"/>
        <v>0</v>
      </c>
      <c r="CH45" s="28">
        <f t="shared" si="28"/>
        <v>0</v>
      </c>
      <c r="CI45" s="28">
        <f t="shared" si="28"/>
        <v>0</v>
      </c>
      <c r="CJ45" s="28">
        <f t="shared" si="28"/>
        <v>0</v>
      </c>
      <c r="CK45" s="28">
        <f t="shared" si="28"/>
        <v>0</v>
      </c>
      <c r="CL45" s="28">
        <f t="shared" si="28"/>
        <v>0</v>
      </c>
      <c r="CM45" s="28">
        <f t="shared" si="28"/>
        <v>0</v>
      </c>
      <c r="CN45" s="28">
        <f t="shared" si="28"/>
        <v>0</v>
      </c>
      <c r="CO45" s="28">
        <f t="shared" si="28"/>
        <v>0</v>
      </c>
      <c r="CP45" s="28">
        <f t="shared" si="28"/>
        <v>0</v>
      </c>
      <c r="CQ45" s="29">
        <f t="shared" si="28"/>
        <v>0</v>
      </c>
      <c r="CR45" s="30">
        <f t="shared" si="17"/>
        <v>0</v>
      </c>
      <c r="CT45" s="27">
        <f t="shared" si="29"/>
        <v>0</v>
      </c>
      <c r="CU45" s="28">
        <f t="shared" si="29"/>
        <v>0</v>
      </c>
      <c r="CV45" s="28">
        <f t="shared" si="29"/>
        <v>0</v>
      </c>
      <c r="CW45" s="28">
        <f t="shared" si="29"/>
        <v>0</v>
      </c>
      <c r="CX45" s="28">
        <f t="shared" si="29"/>
        <v>0</v>
      </c>
      <c r="CY45" s="28">
        <f t="shared" si="29"/>
        <v>0</v>
      </c>
      <c r="CZ45" s="28">
        <f t="shared" si="29"/>
        <v>0</v>
      </c>
      <c r="DA45" s="28">
        <f t="shared" si="29"/>
        <v>0</v>
      </c>
      <c r="DB45" s="28">
        <f t="shared" si="29"/>
        <v>0</v>
      </c>
      <c r="DC45" s="28">
        <f t="shared" si="29"/>
        <v>0</v>
      </c>
      <c r="DD45" s="28">
        <f t="shared" si="29"/>
        <v>0</v>
      </c>
      <c r="DE45" s="29">
        <f t="shared" si="29"/>
        <v>0</v>
      </c>
      <c r="DF45" s="30">
        <f t="shared" si="19"/>
        <v>0</v>
      </c>
      <c r="DH45" s="27">
        <f t="shared" si="30"/>
        <v>0</v>
      </c>
      <c r="DI45" s="28">
        <f t="shared" si="30"/>
        <v>0</v>
      </c>
      <c r="DJ45" s="28">
        <f t="shared" si="30"/>
        <v>0</v>
      </c>
      <c r="DK45" s="28">
        <f t="shared" si="30"/>
        <v>0</v>
      </c>
      <c r="DL45" s="28">
        <f t="shared" si="30"/>
        <v>0</v>
      </c>
      <c r="DM45" s="28">
        <f t="shared" si="30"/>
        <v>0</v>
      </c>
      <c r="DN45" s="28">
        <f t="shared" si="30"/>
        <v>0</v>
      </c>
      <c r="DO45" s="28">
        <f t="shared" si="30"/>
        <v>0</v>
      </c>
      <c r="DP45" s="28">
        <f t="shared" si="30"/>
        <v>0</v>
      </c>
      <c r="DQ45" s="28">
        <f t="shared" si="30"/>
        <v>0</v>
      </c>
      <c r="DR45" s="28">
        <f t="shared" si="30"/>
        <v>0</v>
      </c>
      <c r="DS45" s="29">
        <f t="shared" si="30"/>
        <v>0</v>
      </c>
      <c r="DT45" s="30">
        <f t="shared" si="21"/>
        <v>0</v>
      </c>
    </row>
    <row r="46" spans="1:124" x14ac:dyDescent="0.2">
      <c r="A46">
        <f t="shared" si="6"/>
        <v>12</v>
      </c>
      <c r="B46" s="49" t="str">
        <f>_xlfn.XLOOKUP(D46,Códigos_Propuestas!$B$4:$B$10,Códigos_Propuestas!$C$4:$C$10,"!",0,1)&amp;"__"&amp;
_xlfn.XLOOKUP(G46,Códigos_Propuestas!$E$4:$E$76,Códigos_Propuestas!$F$4:$F$76,"!",1)&amp;"__"&amp;
_xlfn.XLOOKUP(K46,Códigos_Propuestas!$I$4:$I$7,Códigos_Propuestas!$J$4:$J$7,"!",1)&amp;"__"&amp;
_xlfn.XLOOKUP(L46,Códigos_Propuestas!$O$4:$O$11,Códigos_Propuestas!$Q$4:$Q$11,"!",1)&amp;"__"&amp;
_xlfn.XLOOKUP(E46,Códigos_Propuestas!$BF:$BF,Códigos_Propuestas!$BH:$BH,"!",0,1)</f>
        <v>!__!__!__!__</v>
      </c>
      <c r="C46" s="47"/>
      <c r="D46" s="11"/>
      <c r="E46" s="12"/>
      <c r="F46" s="12"/>
      <c r="G46" s="13"/>
      <c r="H46" s="13"/>
      <c r="I46" s="13"/>
      <c r="J46" s="17"/>
      <c r="K46" s="13"/>
      <c r="L46" s="14"/>
      <c r="M46" s="14"/>
      <c r="N46" s="14"/>
      <c r="O46" s="14"/>
      <c r="P46" s="14"/>
      <c r="Q46" s="14"/>
      <c r="R46" s="14"/>
      <c r="S46" s="14"/>
      <c r="T46" s="14"/>
      <c r="U46" s="13"/>
      <c r="V46" s="13"/>
      <c r="W46" s="116">
        <f t="shared" ca="1" si="7"/>
        <v>0</v>
      </c>
      <c r="X46" s="13" t="str">
        <f t="shared" ca="1" si="8"/>
        <v/>
      </c>
      <c r="Y46" s="14"/>
      <c r="Z46" s="115"/>
      <c r="AA46" s="130" t="b">
        <v>0</v>
      </c>
      <c r="AB46" s="115"/>
      <c r="AC46" s="130" t="b">
        <v>0</v>
      </c>
      <c r="AD46" s="115"/>
      <c r="AE46" s="130" t="b">
        <v>0</v>
      </c>
      <c r="AF46" s="13"/>
      <c r="AG46" s="13"/>
      <c r="AH46" s="130" t="b">
        <v>0</v>
      </c>
      <c r="AI46" s="13"/>
      <c r="AJ46" s="130" t="b">
        <v>0</v>
      </c>
      <c r="AK46" s="13"/>
      <c r="AL46" s="130" t="b">
        <v>0</v>
      </c>
      <c r="AM46" s="13"/>
      <c r="AN46" s="130" t="b">
        <v>0</v>
      </c>
      <c r="AO46" s="13"/>
      <c r="AP46" s="13"/>
      <c r="AQ46" s="130" t="b">
        <v>0</v>
      </c>
      <c r="AR46" s="130" t="b">
        <v>0</v>
      </c>
      <c r="AS46" s="130" t="b">
        <v>0</v>
      </c>
      <c r="AT46" s="130" t="b">
        <v>0</v>
      </c>
      <c r="AU46" s="130" t="b">
        <v>0</v>
      </c>
      <c r="AV46" s="11"/>
      <c r="AW46" s="11"/>
      <c r="AX46" s="11"/>
      <c r="AY46" s="11"/>
      <c r="AZ46" s="11"/>
      <c r="BA46" s="107"/>
      <c r="BB46" s="97"/>
      <c r="BC46" s="97"/>
      <c r="BD46" s="13"/>
      <c r="BE46" s="108"/>
      <c r="BF46" s="108"/>
      <c r="BG46" s="15"/>
      <c r="BH46" s="18"/>
      <c r="BI46" s="18"/>
      <c r="BJ46" s="16"/>
      <c r="BK46" s="19"/>
      <c r="BL46" s="19"/>
      <c r="BM46" s="20"/>
      <c r="BN46" s="21"/>
      <c r="BO46" s="111"/>
      <c r="BP46" s="112"/>
      <c r="BQ46"/>
      <c r="BR46" s="27">
        <f t="shared" si="27"/>
        <v>0</v>
      </c>
      <c r="BS46" s="28">
        <f t="shared" si="27"/>
        <v>0</v>
      </c>
      <c r="BT46" s="28">
        <f t="shared" si="27"/>
        <v>0</v>
      </c>
      <c r="BU46" s="28">
        <f t="shared" si="27"/>
        <v>0</v>
      </c>
      <c r="BV46" s="28">
        <f t="shared" si="27"/>
        <v>0</v>
      </c>
      <c r="BW46" s="28">
        <f t="shared" si="27"/>
        <v>0</v>
      </c>
      <c r="BX46" s="28">
        <f t="shared" si="27"/>
        <v>0</v>
      </c>
      <c r="BY46" s="28">
        <f t="shared" si="27"/>
        <v>0</v>
      </c>
      <c r="BZ46" s="28">
        <f t="shared" si="27"/>
        <v>0</v>
      </c>
      <c r="CA46" s="28">
        <f t="shared" si="27"/>
        <v>0</v>
      </c>
      <c r="CB46" s="28">
        <f t="shared" si="27"/>
        <v>0</v>
      </c>
      <c r="CC46" s="29">
        <f t="shared" si="27"/>
        <v>0</v>
      </c>
      <c r="CD46" s="30">
        <f t="shared" si="15"/>
        <v>0</v>
      </c>
      <c r="CF46" s="27">
        <f t="shared" si="28"/>
        <v>0</v>
      </c>
      <c r="CG46" s="28">
        <f t="shared" si="28"/>
        <v>0</v>
      </c>
      <c r="CH46" s="28">
        <f t="shared" si="28"/>
        <v>0</v>
      </c>
      <c r="CI46" s="28">
        <f t="shared" si="28"/>
        <v>0</v>
      </c>
      <c r="CJ46" s="28">
        <f t="shared" si="28"/>
        <v>0</v>
      </c>
      <c r="CK46" s="28">
        <f t="shared" si="28"/>
        <v>0</v>
      </c>
      <c r="CL46" s="28">
        <f t="shared" si="28"/>
        <v>0</v>
      </c>
      <c r="CM46" s="28">
        <f t="shared" si="28"/>
        <v>0</v>
      </c>
      <c r="CN46" s="28">
        <f t="shared" si="28"/>
        <v>0</v>
      </c>
      <c r="CO46" s="28">
        <f t="shared" si="28"/>
        <v>0</v>
      </c>
      <c r="CP46" s="28">
        <f t="shared" si="28"/>
        <v>0</v>
      </c>
      <c r="CQ46" s="29">
        <f t="shared" si="28"/>
        <v>0</v>
      </c>
      <c r="CR46" s="30">
        <f t="shared" si="17"/>
        <v>0</v>
      </c>
      <c r="CT46" s="27">
        <f t="shared" si="29"/>
        <v>0</v>
      </c>
      <c r="CU46" s="28">
        <f t="shared" si="29"/>
        <v>0</v>
      </c>
      <c r="CV46" s="28">
        <f t="shared" si="29"/>
        <v>0</v>
      </c>
      <c r="CW46" s="28">
        <f t="shared" si="29"/>
        <v>0</v>
      </c>
      <c r="CX46" s="28">
        <f t="shared" si="29"/>
        <v>0</v>
      </c>
      <c r="CY46" s="28">
        <f t="shared" si="29"/>
        <v>0</v>
      </c>
      <c r="CZ46" s="28">
        <f t="shared" si="29"/>
        <v>0</v>
      </c>
      <c r="DA46" s="28">
        <f t="shared" si="29"/>
        <v>0</v>
      </c>
      <c r="DB46" s="28">
        <f t="shared" si="29"/>
        <v>0</v>
      </c>
      <c r="DC46" s="28">
        <f t="shared" si="29"/>
        <v>0</v>
      </c>
      <c r="DD46" s="28">
        <f t="shared" si="29"/>
        <v>0</v>
      </c>
      <c r="DE46" s="29">
        <f t="shared" si="29"/>
        <v>0</v>
      </c>
      <c r="DF46" s="30">
        <f t="shared" si="19"/>
        <v>0</v>
      </c>
      <c r="DH46" s="27">
        <f t="shared" si="30"/>
        <v>0</v>
      </c>
      <c r="DI46" s="28">
        <f t="shared" si="30"/>
        <v>0</v>
      </c>
      <c r="DJ46" s="28">
        <f t="shared" si="30"/>
        <v>0</v>
      </c>
      <c r="DK46" s="28">
        <f t="shared" si="30"/>
        <v>0</v>
      </c>
      <c r="DL46" s="28">
        <f t="shared" si="30"/>
        <v>0</v>
      </c>
      <c r="DM46" s="28">
        <f t="shared" si="30"/>
        <v>0</v>
      </c>
      <c r="DN46" s="28">
        <f t="shared" si="30"/>
        <v>0</v>
      </c>
      <c r="DO46" s="28">
        <f t="shared" si="30"/>
        <v>0</v>
      </c>
      <c r="DP46" s="28">
        <f t="shared" si="30"/>
        <v>0</v>
      </c>
      <c r="DQ46" s="28">
        <f t="shared" si="30"/>
        <v>0</v>
      </c>
      <c r="DR46" s="28">
        <f t="shared" si="30"/>
        <v>0</v>
      </c>
      <c r="DS46" s="29">
        <f t="shared" si="30"/>
        <v>0</v>
      </c>
      <c r="DT46" s="30">
        <f t="shared" si="21"/>
        <v>0</v>
      </c>
    </row>
    <row r="47" spans="1:124" x14ac:dyDescent="0.2">
      <c r="A47">
        <f t="shared" si="6"/>
        <v>12</v>
      </c>
      <c r="B47" s="49" t="str">
        <f>_xlfn.XLOOKUP(D47,Códigos_Propuestas!$B$4:$B$10,Códigos_Propuestas!$C$4:$C$10,"!",0,1)&amp;"__"&amp;
_xlfn.XLOOKUP(G47,Códigos_Propuestas!$E$4:$E$76,Códigos_Propuestas!$F$4:$F$76,"!",1)&amp;"__"&amp;
_xlfn.XLOOKUP(K47,Códigos_Propuestas!$I$4:$I$7,Códigos_Propuestas!$J$4:$J$7,"!",1)&amp;"__"&amp;
_xlfn.XLOOKUP(L47,Códigos_Propuestas!$O$4:$O$11,Códigos_Propuestas!$Q$4:$Q$11,"!",1)&amp;"__"&amp;
_xlfn.XLOOKUP(E47,Códigos_Propuestas!$BF:$BF,Códigos_Propuestas!$BH:$BH,"!",0,1)</f>
        <v>!__!__!__!__</v>
      </c>
      <c r="C47" s="47"/>
      <c r="D47" s="11"/>
      <c r="E47" s="12"/>
      <c r="F47" s="12"/>
      <c r="G47" s="13"/>
      <c r="H47" s="13"/>
      <c r="I47" s="13"/>
      <c r="J47" s="17"/>
      <c r="K47" s="13"/>
      <c r="L47" s="14"/>
      <c r="M47" s="14"/>
      <c r="N47" s="14"/>
      <c r="O47" s="14"/>
      <c r="P47" s="14"/>
      <c r="Q47" s="14"/>
      <c r="R47" s="14"/>
      <c r="S47" s="14"/>
      <c r="T47" s="14"/>
      <c r="U47" s="13"/>
      <c r="V47" s="13"/>
      <c r="W47" s="116">
        <f t="shared" ca="1" si="7"/>
        <v>0</v>
      </c>
      <c r="X47" s="13" t="str">
        <f t="shared" ca="1" si="8"/>
        <v/>
      </c>
      <c r="Y47" s="14"/>
      <c r="Z47" s="115"/>
      <c r="AA47" s="130" t="b">
        <v>0</v>
      </c>
      <c r="AB47" s="115"/>
      <c r="AC47" s="130" t="b">
        <v>0</v>
      </c>
      <c r="AD47" s="115"/>
      <c r="AE47" s="130" t="b">
        <v>0</v>
      </c>
      <c r="AF47" s="13"/>
      <c r="AG47" s="13"/>
      <c r="AH47" s="130" t="b">
        <v>0</v>
      </c>
      <c r="AI47" s="13"/>
      <c r="AJ47" s="130" t="b">
        <v>0</v>
      </c>
      <c r="AK47" s="13"/>
      <c r="AL47" s="130" t="b">
        <v>0</v>
      </c>
      <c r="AM47" s="13"/>
      <c r="AN47" s="130" t="b">
        <v>0</v>
      </c>
      <c r="AO47" s="13"/>
      <c r="AP47" s="13"/>
      <c r="AQ47" s="130" t="b">
        <v>0</v>
      </c>
      <c r="AR47" s="130" t="b">
        <v>0</v>
      </c>
      <c r="AS47" s="130" t="b">
        <v>0</v>
      </c>
      <c r="AT47" s="130" t="b">
        <v>0</v>
      </c>
      <c r="AU47" s="130" t="b">
        <v>0</v>
      </c>
      <c r="AV47" s="11"/>
      <c r="AW47" s="11"/>
      <c r="AX47" s="11"/>
      <c r="AY47" s="11"/>
      <c r="AZ47" s="11"/>
      <c r="BA47" s="107"/>
      <c r="BB47" s="97"/>
      <c r="BC47" s="97"/>
      <c r="BD47" s="13"/>
      <c r="BE47" s="108"/>
      <c r="BF47" s="108"/>
      <c r="BG47" s="15"/>
      <c r="BH47" s="18"/>
      <c r="BI47" s="18"/>
      <c r="BJ47" s="16"/>
      <c r="BK47" s="19"/>
      <c r="BL47" s="19"/>
      <c r="BM47" s="20"/>
      <c r="BN47" s="21"/>
      <c r="BO47" s="111"/>
      <c r="BP47" s="112"/>
      <c r="BQ47"/>
      <c r="BR47" s="27">
        <f t="shared" si="27"/>
        <v>0</v>
      </c>
      <c r="BS47" s="28">
        <f t="shared" si="27"/>
        <v>0</v>
      </c>
      <c r="BT47" s="28">
        <f t="shared" si="27"/>
        <v>0</v>
      </c>
      <c r="BU47" s="28">
        <f t="shared" si="27"/>
        <v>0</v>
      </c>
      <c r="BV47" s="28">
        <f t="shared" si="27"/>
        <v>0</v>
      </c>
      <c r="BW47" s="28">
        <f t="shared" si="27"/>
        <v>0</v>
      </c>
      <c r="BX47" s="28">
        <f t="shared" si="27"/>
        <v>0</v>
      </c>
      <c r="BY47" s="28">
        <f t="shared" si="27"/>
        <v>0</v>
      </c>
      <c r="BZ47" s="28">
        <f t="shared" si="27"/>
        <v>0</v>
      </c>
      <c r="CA47" s="28">
        <f t="shared" si="27"/>
        <v>0</v>
      </c>
      <c r="CB47" s="28">
        <f t="shared" si="27"/>
        <v>0</v>
      </c>
      <c r="CC47" s="29">
        <f t="shared" si="27"/>
        <v>0</v>
      </c>
      <c r="CD47" s="30">
        <f t="shared" si="15"/>
        <v>0</v>
      </c>
      <c r="CF47" s="27">
        <f t="shared" si="28"/>
        <v>0</v>
      </c>
      <c r="CG47" s="28">
        <f t="shared" si="28"/>
        <v>0</v>
      </c>
      <c r="CH47" s="28">
        <f t="shared" si="28"/>
        <v>0</v>
      </c>
      <c r="CI47" s="28">
        <f t="shared" si="28"/>
        <v>0</v>
      </c>
      <c r="CJ47" s="28">
        <f t="shared" si="28"/>
        <v>0</v>
      </c>
      <c r="CK47" s="28">
        <f t="shared" si="28"/>
        <v>0</v>
      </c>
      <c r="CL47" s="28">
        <f t="shared" si="28"/>
        <v>0</v>
      </c>
      <c r="CM47" s="28">
        <f t="shared" si="28"/>
        <v>0</v>
      </c>
      <c r="CN47" s="28">
        <f t="shared" si="28"/>
        <v>0</v>
      </c>
      <c r="CO47" s="28">
        <f t="shared" si="28"/>
        <v>0</v>
      </c>
      <c r="CP47" s="28">
        <f t="shared" si="28"/>
        <v>0</v>
      </c>
      <c r="CQ47" s="29">
        <f t="shared" si="28"/>
        <v>0</v>
      </c>
      <c r="CR47" s="30">
        <f t="shared" si="17"/>
        <v>0</v>
      </c>
      <c r="CT47" s="27">
        <f t="shared" si="29"/>
        <v>0</v>
      </c>
      <c r="CU47" s="28">
        <f t="shared" si="29"/>
        <v>0</v>
      </c>
      <c r="CV47" s="28">
        <f t="shared" si="29"/>
        <v>0</v>
      </c>
      <c r="CW47" s="28">
        <f t="shared" si="29"/>
        <v>0</v>
      </c>
      <c r="CX47" s="28">
        <f t="shared" si="29"/>
        <v>0</v>
      </c>
      <c r="CY47" s="28">
        <f t="shared" si="29"/>
        <v>0</v>
      </c>
      <c r="CZ47" s="28">
        <f t="shared" si="29"/>
        <v>0</v>
      </c>
      <c r="DA47" s="28">
        <f t="shared" si="29"/>
        <v>0</v>
      </c>
      <c r="DB47" s="28">
        <f t="shared" si="29"/>
        <v>0</v>
      </c>
      <c r="DC47" s="28">
        <f t="shared" si="29"/>
        <v>0</v>
      </c>
      <c r="DD47" s="28">
        <f t="shared" si="29"/>
        <v>0</v>
      </c>
      <c r="DE47" s="29">
        <f t="shared" si="29"/>
        <v>0</v>
      </c>
      <c r="DF47" s="30">
        <f t="shared" si="19"/>
        <v>0</v>
      </c>
      <c r="DH47" s="27">
        <f t="shared" si="30"/>
        <v>0</v>
      </c>
      <c r="DI47" s="28">
        <f t="shared" si="30"/>
        <v>0</v>
      </c>
      <c r="DJ47" s="28">
        <f t="shared" si="30"/>
        <v>0</v>
      </c>
      <c r="DK47" s="28">
        <f t="shared" si="30"/>
        <v>0</v>
      </c>
      <c r="DL47" s="28">
        <f t="shared" si="30"/>
        <v>0</v>
      </c>
      <c r="DM47" s="28">
        <f t="shared" si="30"/>
        <v>0</v>
      </c>
      <c r="DN47" s="28">
        <f t="shared" si="30"/>
        <v>0</v>
      </c>
      <c r="DO47" s="28">
        <f t="shared" si="30"/>
        <v>0</v>
      </c>
      <c r="DP47" s="28">
        <f t="shared" si="30"/>
        <v>0</v>
      </c>
      <c r="DQ47" s="28">
        <f t="shared" si="30"/>
        <v>0</v>
      </c>
      <c r="DR47" s="28">
        <f t="shared" si="30"/>
        <v>0</v>
      </c>
      <c r="DS47" s="29">
        <f t="shared" si="30"/>
        <v>0</v>
      </c>
      <c r="DT47" s="30">
        <f t="shared" si="21"/>
        <v>0</v>
      </c>
    </row>
    <row r="48" spans="1:124" x14ac:dyDescent="0.2">
      <c r="A48">
        <f t="shared" si="6"/>
        <v>12</v>
      </c>
      <c r="B48" s="49" t="str">
        <f>_xlfn.XLOOKUP(D48,Códigos_Propuestas!$B$4:$B$10,Códigos_Propuestas!$C$4:$C$10,"!",0,1)&amp;"__"&amp;
_xlfn.XLOOKUP(G48,Códigos_Propuestas!$E$4:$E$76,Códigos_Propuestas!$F$4:$F$76,"!",1)&amp;"__"&amp;
_xlfn.XLOOKUP(K48,Códigos_Propuestas!$I$4:$I$7,Códigos_Propuestas!$J$4:$J$7,"!",1)&amp;"__"&amp;
_xlfn.XLOOKUP(L48,Códigos_Propuestas!$O$4:$O$11,Códigos_Propuestas!$Q$4:$Q$11,"!",1)&amp;"__"&amp;
_xlfn.XLOOKUP(E48,Códigos_Propuestas!$BF:$BF,Códigos_Propuestas!$BH:$BH,"!",0,1)</f>
        <v>!__!__!__!__</v>
      </c>
      <c r="C48" s="47"/>
      <c r="D48" s="11"/>
      <c r="E48" s="12"/>
      <c r="F48" s="12"/>
      <c r="G48" s="13"/>
      <c r="H48" s="13"/>
      <c r="I48" s="13"/>
      <c r="J48" s="17"/>
      <c r="K48" s="13"/>
      <c r="L48" s="14"/>
      <c r="M48" s="14"/>
      <c r="N48" s="14"/>
      <c r="O48" s="14"/>
      <c r="P48" s="14"/>
      <c r="Q48" s="14"/>
      <c r="R48" s="14"/>
      <c r="S48" s="14"/>
      <c r="T48" s="14"/>
      <c r="U48" s="13"/>
      <c r="V48" s="13"/>
      <c r="W48" s="116">
        <f t="shared" ca="1" si="7"/>
        <v>0</v>
      </c>
      <c r="X48" s="13" t="str">
        <f t="shared" ca="1" si="8"/>
        <v/>
      </c>
      <c r="Y48" s="14"/>
      <c r="Z48" s="115"/>
      <c r="AA48" s="130" t="b">
        <v>0</v>
      </c>
      <c r="AB48" s="115"/>
      <c r="AC48" s="130" t="b">
        <v>0</v>
      </c>
      <c r="AD48" s="115"/>
      <c r="AE48" s="130" t="b">
        <v>0</v>
      </c>
      <c r="AF48" s="13"/>
      <c r="AG48" s="13"/>
      <c r="AH48" s="130" t="b">
        <v>0</v>
      </c>
      <c r="AI48" s="13"/>
      <c r="AJ48" s="130" t="b">
        <v>0</v>
      </c>
      <c r="AK48" s="13"/>
      <c r="AL48" s="130" t="b">
        <v>0</v>
      </c>
      <c r="AM48" s="13"/>
      <c r="AN48" s="130" t="b">
        <v>0</v>
      </c>
      <c r="AO48" s="13"/>
      <c r="AP48" s="13"/>
      <c r="AQ48" s="130" t="b">
        <v>0</v>
      </c>
      <c r="AR48" s="130" t="b">
        <v>0</v>
      </c>
      <c r="AS48" s="130" t="b">
        <v>0</v>
      </c>
      <c r="AT48" s="130" t="b">
        <v>0</v>
      </c>
      <c r="AU48" s="130" t="b">
        <v>0</v>
      </c>
      <c r="AV48" s="11"/>
      <c r="AW48" s="11"/>
      <c r="AX48" s="11"/>
      <c r="AY48" s="11"/>
      <c r="AZ48" s="11"/>
      <c r="BA48" s="107"/>
      <c r="BB48" s="97"/>
      <c r="BC48" s="97"/>
      <c r="BD48" s="13"/>
      <c r="BE48" s="108"/>
      <c r="BF48" s="108"/>
      <c r="BG48" s="15"/>
      <c r="BH48" s="18"/>
      <c r="BI48" s="18"/>
      <c r="BJ48" s="16"/>
      <c r="BK48" s="19"/>
      <c r="BL48" s="19"/>
      <c r="BM48" s="20"/>
      <c r="BN48" s="21"/>
      <c r="BO48" s="111"/>
      <c r="BP48" s="112"/>
      <c r="BQ48"/>
      <c r="BR48" s="27">
        <f t="shared" si="27"/>
        <v>0</v>
      </c>
      <c r="BS48" s="28">
        <f t="shared" si="27"/>
        <v>0</v>
      </c>
      <c r="BT48" s="28">
        <f t="shared" si="27"/>
        <v>0</v>
      </c>
      <c r="BU48" s="28">
        <f t="shared" si="27"/>
        <v>0</v>
      </c>
      <c r="BV48" s="28">
        <f t="shared" si="27"/>
        <v>0</v>
      </c>
      <c r="BW48" s="28">
        <f t="shared" si="27"/>
        <v>0</v>
      </c>
      <c r="BX48" s="28">
        <f t="shared" si="27"/>
        <v>0</v>
      </c>
      <c r="BY48" s="28">
        <f t="shared" si="27"/>
        <v>0</v>
      </c>
      <c r="BZ48" s="28">
        <f t="shared" si="27"/>
        <v>0</v>
      </c>
      <c r="CA48" s="28">
        <f t="shared" si="27"/>
        <v>0</v>
      </c>
      <c r="CB48" s="28">
        <f t="shared" si="27"/>
        <v>0</v>
      </c>
      <c r="CC48" s="29">
        <f t="shared" si="27"/>
        <v>0</v>
      </c>
      <c r="CD48" s="30">
        <f t="shared" si="15"/>
        <v>0</v>
      </c>
      <c r="CF48" s="27">
        <f t="shared" si="28"/>
        <v>0</v>
      </c>
      <c r="CG48" s="28">
        <f t="shared" si="28"/>
        <v>0</v>
      </c>
      <c r="CH48" s="28">
        <f t="shared" si="28"/>
        <v>0</v>
      </c>
      <c r="CI48" s="28">
        <f t="shared" si="28"/>
        <v>0</v>
      </c>
      <c r="CJ48" s="28">
        <f t="shared" si="28"/>
        <v>0</v>
      </c>
      <c r="CK48" s="28">
        <f t="shared" si="28"/>
        <v>0</v>
      </c>
      <c r="CL48" s="28">
        <f t="shared" si="28"/>
        <v>0</v>
      </c>
      <c r="CM48" s="28">
        <f t="shared" si="28"/>
        <v>0</v>
      </c>
      <c r="CN48" s="28">
        <f t="shared" si="28"/>
        <v>0</v>
      </c>
      <c r="CO48" s="28">
        <f t="shared" si="28"/>
        <v>0</v>
      </c>
      <c r="CP48" s="28">
        <f t="shared" si="28"/>
        <v>0</v>
      </c>
      <c r="CQ48" s="29">
        <f t="shared" si="28"/>
        <v>0</v>
      </c>
      <c r="CR48" s="30">
        <f t="shared" si="17"/>
        <v>0</v>
      </c>
      <c r="CT48" s="27">
        <f t="shared" si="29"/>
        <v>0</v>
      </c>
      <c r="CU48" s="28">
        <f t="shared" si="29"/>
        <v>0</v>
      </c>
      <c r="CV48" s="28">
        <f t="shared" si="29"/>
        <v>0</v>
      </c>
      <c r="CW48" s="28">
        <f t="shared" si="29"/>
        <v>0</v>
      </c>
      <c r="CX48" s="28">
        <f t="shared" si="29"/>
        <v>0</v>
      </c>
      <c r="CY48" s="28">
        <f t="shared" si="29"/>
        <v>0</v>
      </c>
      <c r="CZ48" s="28">
        <f t="shared" si="29"/>
        <v>0</v>
      </c>
      <c r="DA48" s="28">
        <f t="shared" si="29"/>
        <v>0</v>
      </c>
      <c r="DB48" s="28">
        <f t="shared" si="29"/>
        <v>0</v>
      </c>
      <c r="DC48" s="28">
        <f t="shared" si="29"/>
        <v>0</v>
      </c>
      <c r="DD48" s="28">
        <f t="shared" si="29"/>
        <v>0</v>
      </c>
      <c r="DE48" s="29">
        <f t="shared" si="29"/>
        <v>0</v>
      </c>
      <c r="DF48" s="30">
        <f t="shared" si="19"/>
        <v>0</v>
      </c>
      <c r="DH48" s="27">
        <f t="shared" si="30"/>
        <v>0</v>
      </c>
      <c r="DI48" s="28">
        <f t="shared" si="30"/>
        <v>0</v>
      </c>
      <c r="DJ48" s="28">
        <f t="shared" si="30"/>
        <v>0</v>
      </c>
      <c r="DK48" s="28">
        <f t="shared" si="30"/>
        <v>0</v>
      </c>
      <c r="DL48" s="28">
        <f t="shared" si="30"/>
        <v>0</v>
      </c>
      <c r="DM48" s="28">
        <f t="shared" si="30"/>
        <v>0</v>
      </c>
      <c r="DN48" s="28">
        <f t="shared" si="30"/>
        <v>0</v>
      </c>
      <c r="DO48" s="28">
        <f t="shared" si="30"/>
        <v>0</v>
      </c>
      <c r="DP48" s="28">
        <f t="shared" si="30"/>
        <v>0</v>
      </c>
      <c r="DQ48" s="28">
        <f t="shared" si="30"/>
        <v>0</v>
      </c>
      <c r="DR48" s="28">
        <f t="shared" si="30"/>
        <v>0</v>
      </c>
      <c r="DS48" s="29">
        <f t="shared" si="30"/>
        <v>0</v>
      </c>
      <c r="DT48" s="30">
        <f t="shared" si="21"/>
        <v>0</v>
      </c>
    </row>
    <row r="49" spans="1:124" x14ac:dyDescent="0.2">
      <c r="A49">
        <f t="shared" si="6"/>
        <v>12</v>
      </c>
      <c r="B49" s="49" t="str">
        <f>_xlfn.XLOOKUP(D49,Códigos_Propuestas!$B$4:$B$10,Códigos_Propuestas!$C$4:$C$10,"!",0,1)&amp;"__"&amp;
_xlfn.XLOOKUP(G49,Códigos_Propuestas!$E$4:$E$76,Códigos_Propuestas!$F$4:$F$76,"!",1)&amp;"__"&amp;
_xlfn.XLOOKUP(K49,Códigos_Propuestas!$I$4:$I$7,Códigos_Propuestas!$J$4:$J$7,"!",1)&amp;"__"&amp;
_xlfn.XLOOKUP(L49,Códigos_Propuestas!$O$4:$O$11,Códigos_Propuestas!$Q$4:$Q$11,"!",1)&amp;"__"&amp;
_xlfn.XLOOKUP(E49,Códigos_Propuestas!$BF:$BF,Códigos_Propuestas!$BH:$BH,"!",0,1)</f>
        <v>!__!__!__!__</v>
      </c>
      <c r="C49" s="47"/>
      <c r="D49" s="11"/>
      <c r="E49" s="12"/>
      <c r="F49" s="12"/>
      <c r="G49" s="13"/>
      <c r="H49" s="13"/>
      <c r="I49" s="13"/>
      <c r="J49" s="17"/>
      <c r="K49" s="13"/>
      <c r="L49" s="14"/>
      <c r="M49" s="14"/>
      <c r="N49" s="14"/>
      <c r="O49" s="14"/>
      <c r="P49" s="14"/>
      <c r="V49" s="13"/>
      <c r="W49" s="116">
        <f t="shared" ca="1" si="7"/>
        <v>0</v>
      </c>
      <c r="X49" s="13" t="str">
        <f t="shared" ca="1" si="8"/>
        <v/>
      </c>
      <c r="Y49" s="14"/>
      <c r="Z49" s="115"/>
      <c r="AA49" s="130" t="b">
        <v>0</v>
      </c>
      <c r="AB49" s="115"/>
      <c r="AC49" s="130" t="b">
        <v>0</v>
      </c>
      <c r="AD49" s="115"/>
      <c r="AE49" s="130" t="b">
        <v>0</v>
      </c>
      <c r="AF49" s="13"/>
      <c r="AG49" s="13"/>
      <c r="AH49" s="130" t="b">
        <v>0</v>
      </c>
      <c r="AI49" s="13"/>
      <c r="AJ49" s="130" t="b">
        <v>0</v>
      </c>
      <c r="AK49" s="13"/>
      <c r="AL49" s="130" t="b">
        <v>0</v>
      </c>
      <c r="AM49" s="13"/>
      <c r="AN49" s="130" t="b">
        <v>0</v>
      </c>
      <c r="AO49" s="13"/>
      <c r="AP49" s="13"/>
      <c r="AQ49" s="130" t="b">
        <v>0</v>
      </c>
      <c r="AR49" s="130" t="b">
        <v>0</v>
      </c>
      <c r="AS49" s="130" t="b">
        <v>0</v>
      </c>
      <c r="AT49" s="130" t="b">
        <v>0</v>
      </c>
      <c r="AU49" s="130" t="b">
        <v>0</v>
      </c>
      <c r="AV49" s="11"/>
      <c r="AW49" s="11"/>
      <c r="AX49" s="11"/>
      <c r="AY49" s="11"/>
      <c r="AZ49" s="11"/>
      <c r="BA49" s="107"/>
      <c r="BB49" s="97"/>
      <c r="BC49" s="97"/>
      <c r="BD49" s="13"/>
      <c r="BE49" s="108"/>
      <c r="BF49" s="108"/>
      <c r="BG49" s="15"/>
      <c r="BH49" s="18"/>
      <c r="BI49" s="18"/>
      <c r="BJ49" s="16"/>
      <c r="BK49" s="19"/>
      <c r="BL49" s="19"/>
      <c r="BM49" s="20"/>
      <c r="BN49" s="21"/>
      <c r="BO49" s="111"/>
      <c r="BP49" s="112"/>
      <c r="BQ49"/>
      <c r="BR49" s="27">
        <f t="shared" si="27"/>
        <v>0</v>
      </c>
      <c r="BS49" s="28">
        <f t="shared" si="27"/>
        <v>0</v>
      </c>
      <c r="BT49" s="28">
        <f t="shared" si="27"/>
        <v>0</v>
      </c>
      <c r="BU49" s="28">
        <f t="shared" si="27"/>
        <v>0</v>
      </c>
      <c r="BV49" s="28">
        <f t="shared" si="27"/>
        <v>0</v>
      </c>
      <c r="BW49" s="28">
        <f t="shared" si="27"/>
        <v>0</v>
      </c>
      <c r="BX49" s="28">
        <f t="shared" si="27"/>
        <v>0</v>
      </c>
      <c r="BY49" s="28">
        <f t="shared" si="27"/>
        <v>0</v>
      </c>
      <c r="BZ49" s="28">
        <f t="shared" si="27"/>
        <v>0</v>
      </c>
      <c r="CA49" s="28">
        <f t="shared" si="27"/>
        <v>0</v>
      </c>
      <c r="CB49" s="28">
        <f t="shared" si="27"/>
        <v>0</v>
      </c>
      <c r="CC49" s="29">
        <f t="shared" si="27"/>
        <v>0</v>
      </c>
      <c r="CD49" s="30">
        <f t="shared" si="15"/>
        <v>0</v>
      </c>
      <c r="CF49" s="27">
        <f t="shared" si="28"/>
        <v>0</v>
      </c>
      <c r="CG49" s="28">
        <f t="shared" si="28"/>
        <v>0</v>
      </c>
      <c r="CH49" s="28">
        <f t="shared" si="28"/>
        <v>0</v>
      </c>
      <c r="CI49" s="28">
        <f t="shared" si="28"/>
        <v>0</v>
      </c>
      <c r="CJ49" s="28">
        <f t="shared" si="28"/>
        <v>0</v>
      </c>
      <c r="CK49" s="28">
        <f t="shared" si="28"/>
        <v>0</v>
      </c>
      <c r="CL49" s="28">
        <f t="shared" si="28"/>
        <v>0</v>
      </c>
      <c r="CM49" s="28">
        <f t="shared" si="28"/>
        <v>0</v>
      </c>
      <c r="CN49" s="28">
        <f t="shared" si="28"/>
        <v>0</v>
      </c>
      <c r="CO49" s="28">
        <f t="shared" si="28"/>
        <v>0</v>
      </c>
      <c r="CP49" s="28">
        <f t="shared" si="28"/>
        <v>0</v>
      </c>
      <c r="CQ49" s="29">
        <f t="shared" si="28"/>
        <v>0</v>
      </c>
      <c r="CR49" s="30">
        <f t="shared" si="17"/>
        <v>0</v>
      </c>
      <c r="CT49" s="27">
        <f t="shared" si="29"/>
        <v>0</v>
      </c>
      <c r="CU49" s="28">
        <f t="shared" si="29"/>
        <v>0</v>
      </c>
      <c r="CV49" s="28">
        <f t="shared" si="29"/>
        <v>0</v>
      </c>
      <c r="CW49" s="28">
        <f t="shared" si="29"/>
        <v>0</v>
      </c>
      <c r="CX49" s="28">
        <f t="shared" si="29"/>
        <v>0</v>
      </c>
      <c r="CY49" s="28">
        <f t="shared" si="29"/>
        <v>0</v>
      </c>
      <c r="CZ49" s="28">
        <f t="shared" si="29"/>
        <v>0</v>
      </c>
      <c r="DA49" s="28">
        <f t="shared" si="29"/>
        <v>0</v>
      </c>
      <c r="DB49" s="28">
        <f t="shared" si="29"/>
        <v>0</v>
      </c>
      <c r="DC49" s="28">
        <f t="shared" si="29"/>
        <v>0</v>
      </c>
      <c r="DD49" s="28">
        <f t="shared" si="29"/>
        <v>0</v>
      </c>
      <c r="DE49" s="29">
        <f t="shared" si="29"/>
        <v>0</v>
      </c>
      <c r="DF49" s="30">
        <f t="shared" si="19"/>
        <v>0</v>
      </c>
      <c r="DH49" s="27">
        <f t="shared" si="30"/>
        <v>0</v>
      </c>
      <c r="DI49" s="28">
        <f t="shared" si="30"/>
        <v>0</v>
      </c>
      <c r="DJ49" s="28">
        <f t="shared" si="30"/>
        <v>0</v>
      </c>
      <c r="DK49" s="28">
        <f t="shared" si="30"/>
        <v>0</v>
      </c>
      <c r="DL49" s="28">
        <f t="shared" si="30"/>
        <v>0</v>
      </c>
      <c r="DM49" s="28">
        <f t="shared" si="30"/>
        <v>0</v>
      </c>
      <c r="DN49" s="28">
        <f t="shared" si="30"/>
        <v>0</v>
      </c>
      <c r="DO49" s="28">
        <f t="shared" si="30"/>
        <v>0</v>
      </c>
      <c r="DP49" s="28">
        <f t="shared" si="30"/>
        <v>0</v>
      </c>
      <c r="DQ49" s="28">
        <f t="shared" si="30"/>
        <v>0</v>
      </c>
      <c r="DR49" s="28">
        <f t="shared" si="30"/>
        <v>0</v>
      </c>
      <c r="DS49" s="29">
        <f t="shared" si="30"/>
        <v>0</v>
      </c>
      <c r="DT49" s="30">
        <f t="shared" si="21"/>
        <v>0</v>
      </c>
    </row>
    <row r="50" spans="1:124" ht="16" thickBot="1" x14ac:dyDescent="0.25">
      <c r="A50">
        <f t="shared" si="6"/>
        <v>12</v>
      </c>
      <c r="B50" s="49" t="str">
        <f>_xlfn.XLOOKUP(D50,Códigos_Propuestas!$B$4:$B$10,Códigos_Propuestas!$C$4:$C$10,"!",0,1)&amp;"__"&amp;
_xlfn.XLOOKUP(G50,Códigos_Propuestas!$E$4:$E$76,Códigos_Propuestas!$F$4:$F$76,"!",1)&amp;"__"&amp;
_xlfn.XLOOKUP(K50,Códigos_Propuestas!$I$4:$I$7,Códigos_Propuestas!$J$4:$J$7,"!",1)&amp;"__"&amp;
_xlfn.XLOOKUP(L50,Códigos_Propuestas!$O$4:$O$11,Códigos_Propuestas!$Q$4:$Q$11,"!",1)&amp;"__"&amp;
_xlfn.XLOOKUP(E50,Códigos_Propuestas!$BF:$BF,Códigos_Propuestas!$BH:$BH,"!",0,1)</f>
        <v>!__!__!__!__</v>
      </c>
      <c r="C50" s="47"/>
      <c r="D50" s="11"/>
      <c r="E50" s="12"/>
      <c r="F50" s="12"/>
      <c r="G50" s="13"/>
      <c r="H50" s="13"/>
      <c r="I50" s="13"/>
      <c r="J50" s="17"/>
      <c r="K50" s="13"/>
      <c r="L50" s="14"/>
      <c r="M50" s="14"/>
      <c r="N50" s="14"/>
      <c r="O50" s="14"/>
      <c r="P50" s="14"/>
      <c r="V50" s="13"/>
      <c r="W50" s="116">
        <f t="shared" ca="1" si="7"/>
        <v>0</v>
      </c>
      <c r="X50" s="13" t="str">
        <f t="shared" ca="1" si="8"/>
        <v/>
      </c>
      <c r="Y50" s="14"/>
      <c r="Z50" s="115"/>
      <c r="AA50" s="130" t="b">
        <v>0</v>
      </c>
      <c r="AB50" s="115"/>
      <c r="AC50" s="130" t="b">
        <v>0</v>
      </c>
      <c r="AD50" s="115"/>
      <c r="AE50" s="130" t="b">
        <v>0</v>
      </c>
      <c r="AF50" s="13"/>
      <c r="AG50" s="13"/>
      <c r="AH50" s="130" t="b">
        <v>0</v>
      </c>
      <c r="AI50" s="13"/>
      <c r="AJ50" s="130" t="b">
        <v>0</v>
      </c>
      <c r="AK50" s="13"/>
      <c r="AL50" s="130" t="b">
        <v>0</v>
      </c>
      <c r="AM50" s="13"/>
      <c r="AN50" s="130" t="b">
        <v>0</v>
      </c>
      <c r="AO50" s="13"/>
      <c r="AP50" s="13"/>
      <c r="AQ50" s="130" t="b">
        <v>0</v>
      </c>
      <c r="AR50" s="130" t="b">
        <v>0</v>
      </c>
      <c r="AS50" s="130" t="b">
        <v>0</v>
      </c>
      <c r="AT50" s="130" t="b">
        <v>0</v>
      </c>
      <c r="AU50" s="130" t="b">
        <v>0</v>
      </c>
      <c r="AV50" s="11"/>
      <c r="AW50" s="11"/>
      <c r="AX50" s="11"/>
      <c r="AY50" s="11"/>
      <c r="AZ50" s="11"/>
      <c r="BA50" s="107"/>
      <c r="BB50" s="97"/>
      <c r="BC50" s="97"/>
      <c r="BD50" s="13"/>
      <c r="BE50" s="108"/>
      <c r="BF50" s="108"/>
      <c r="BG50" s="15"/>
      <c r="BH50" s="18"/>
      <c r="BI50" s="18"/>
      <c r="BJ50" s="16"/>
      <c r="BK50" s="19"/>
      <c r="BL50" s="19"/>
      <c r="BM50" s="20"/>
      <c r="BN50" s="21"/>
      <c r="BO50" s="111"/>
      <c r="BP50" s="112"/>
      <c r="BQ50"/>
      <c r="BR50" s="34">
        <f t="shared" si="27"/>
        <v>0</v>
      </c>
      <c r="BS50" s="35">
        <f t="shared" si="27"/>
        <v>0</v>
      </c>
      <c r="BT50" s="35">
        <f t="shared" si="27"/>
        <v>0</v>
      </c>
      <c r="BU50" s="35">
        <f t="shared" si="27"/>
        <v>0</v>
      </c>
      <c r="BV50" s="35">
        <f t="shared" si="27"/>
        <v>0</v>
      </c>
      <c r="BW50" s="35">
        <f t="shared" si="27"/>
        <v>0</v>
      </c>
      <c r="BX50" s="35">
        <f t="shared" si="27"/>
        <v>0</v>
      </c>
      <c r="BY50" s="35">
        <f t="shared" si="27"/>
        <v>0</v>
      </c>
      <c r="BZ50" s="35">
        <f t="shared" si="27"/>
        <v>0</v>
      </c>
      <c r="CA50" s="35">
        <f t="shared" si="27"/>
        <v>0</v>
      </c>
      <c r="CB50" s="35">
        <f t="shared" si="27"/>
        <v>0</v>
      </c>
      <c r="CC50" s="36">
        <f t="shared" si="27"/>
        <v>0</v>
      </c>
      <c r="CD50" s="37">
        <f t="shared" si="15"/>
        <v>0</v>
      </c>
      <c r="CF50" s="34">
        <f t="shared" si="28"/>
        <v>0</v>
      </c>
      <c r="CG50" s="35">
        <f t="shared" si="28"/>
        <v>0</v>
      </c>
      <c r="CH50" s="35">
        <f t="shared" si="28"/>
        <v>0</v>
      </c>
      <c r="CI50" s="35">
        <f t="shared" si="28"/>
        <v>0</v>
      </c>
      <c r="CJ50" s="35">
        <f t="shared" si="28"/>
        <v>0</v>
      </c>
      <c r="CK50" s="35">
        <f t="shared" si="28"/>
        <v>0</v>
      </c>
      <c r="CL50" s="35">
        <f t="shared" si="28"/>
        <v>0</v>
      </c>
      <c r="CM50" s="35">
        <f t="shared" si="28"/>
        <v>0</v>
      </c>
      <c r="CN50" s="35">
        <f t="shared" si="28"/>
        <v>0</v>
      </c>
      <c r="CO50" s="35">
        <f t="shared" si="28"/>
        <v>0</v>
      </c>
      <c r="CP50" s="35">
        <f t="shared" si="28"/>
        <v>0</v>
      </c>
      <c r="CQ50" s="36">
        <f t="shared" si="28"/>
        <v>0</v>
      </c>
      <c r="CR50" s="37">
        <f t="shared" si="17"/>
        <v>0</v>
      </c>
      <c r="CT50" s="34">
        <f t="shared" si="29"/>
        <v>0</v>
      </c>
      <c r="CU50" s="35">
        <f t="shared" si="29"/>
        <v>0</v>
      </c>
      <c r="CV50" s="35">
        <f t="shared" si="29"/>
        <v>0</v>
      </c>
      <c r="CW50" s="35">
        <f t="shared" si="29"/>
        <v>0</v>
      </c>
      <c r="CX50" s="35">
        <f t="shared" si="29"/>
        <v>0</v>
      </c>
      <c r="CY50" s="35">
        <f t="shared" si="29"/>
        <v>0</v>
      </c>
      <c r="CZ50" s="35">
        <f t="shared" si="29"/>
        <v>0</v>
      </c>
      <c r="DA50" s="35">
        <f t="shared" si="29"/>
        <v>0</v>
      </c>
      <c r="DB50" s="35">
        <f t="shared" si="29"/>
        <v>0</v>
      </c>
      <c r="DC50" s="35">
        <f t="shared" si="29"/>
        <v>0</v>
      </c>
      <c r="DD50" s="35">
        <f t="shared" si="29"/>
        <v>0</v>
      </c>
      <c r="DE50" s="36">
        <f t="shared" si="29"/>
        <v>0</v>
      </c>
      <c r="DF50" s="37">
        <f t="shared" si="19"/>
        <v>0</v>
      </c>
      <c r="DH50" s="34">
        <f t="shared" si="30"/>
        <v>0</v>
      </c>
      <c r="DI50" s="35">
        <f t="shared" si="30"/>
        <v>0</v>
      </c>
      <c r="DJ50" s="35">
        <f t="shared" si="30"/>
        <v>0</v>
      </c>
      <c r="DK50" s="35">
        <f t="shared" si="30"/>
        <v>0</v>
      </c>
      <c r="DL50" s="35">
        <f t="shared" si="30"/>
        <v>0</v>
      </c>
      <c r="DM50" s="35">
        <f t="shared" si="30"/>
        <v>0</v>
      </c>
      <c r="DN50" s="35">
        <f t="shared" si="30"/>
        <v>0</v>
      </c>
      <c r="DO50" s="35">
        <f t="shared" si="30"/>
        <v>0</v>
      </c>
      <c r="DP50" s="35">
        <f t="shared" si="30"/>
        <v>0</v>
      </c>
      <c r="DQ50" s="35">
        <f t="shared" si="30"/>
        <v>0</v>
      </c>
      <c r="DR50" s="35">
        <f t="shared" si="30"/>
        <v>0</v>
      </c>
      <c r="DS50" s="36">
        <f t="shared" si="30"/>
        <v>0</v>
      </c>
      <c r="DT50" s="37">
        <f t="shared" si="21"/>
        <v>0</v>
      </c>
    </row>
    <row r="51" spans="1:124" x14ac:dyDescent="0.2">
      <c r="BQ51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9">
        <f>+SUM(CD3:CD50)</f>
        <v>7330800.666666667</v>
      </c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9">
        <f>+SUM(CR3:CR50)</f>
        <v>1646600</v>
      </c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9">
        <f>+SUM(DF3:DF50)</f>
        <v>3100815.6666666665</v>
      </c>
      <c r="DH51" s="38"/>
      <c r="DI51" s="38"/>
      <c r="DJ51" s="38"/>
      <c r="DK51" s="38"/>
      <c r="DL51" s="38"/>
      <c r="DM51" s="38"/>
      <c r="DN51" s="38"/>
      <c r="DO51" s="38"/>
      <c r="DP51" s="38"/>
      <c r="DQ51" s="38"/>
      <c r="DR51" s="38"/>
      <c r="DS51" s="38"/>
      <c r="DT51" s="39">
        <f>+SUM(DT3:DT50)</f>
        <v>676940</v>
      </c>
    </row>
  </sheetData>
  <dataConsolidate/>
  <mergeCells count="12">
    <mergeCell ref="V1:X1"/>
    <mergeCell ref="E1:P1"/>
    <mergeCell ref="Z1:AE1"/>
    <mergeCell ref="AG1:AO1"/>
    <mergeCell ref="CF1:CR1"/>
    <mergeCell ref="Q1:T1"/>
    <mergeCell ref="CT1:DF1"/>
    <mergeCell ref="DH1:DT1"/>
    <mergeCell ref="AQ1:AU1"/>
    <mergeCell ref="AW1:AZ1"/>
    <mergeCell ref="BB1:BP1"/>
    <mergeCell ref="BR1:CD1"/>
  </mergeCells>
  <conditionalFormatting sqref="A2:A1048576">
    <cfRule type="cellIs" dxfId="50" priority="3" operator="equal">
      <formula>22</formula>
    </cfRule>
    <cfRule type="cellIs" dxfId="49" priority="4" operator="notEqual">
      <formula>22</formula>
    </cfRule>
  </conditionalFormatting>
  <conditionalFormatting sqref="X3:X50">
    <cfRule type="containsText" dxfId="48" priority="2" operator="containsText" text="!">
      <formula>NOT(ISERROR(SEARCH("!",X3)))</formula>
    </cfRule>
  </conditionalFormatting>
  <conditionalFormatting sqref="I3:I1048576">
    <cfRule type="containsText" dxfId="47" priority="1" operator="containsText" text="Propuesta">
      <formula>NOT(ISERROR(SEARCH("Propuesta",I3)))</formula>
    </cfRule>
  </conditionalFormatting>
  <dataValidations count="1">
    <dataValidation allowBlank="1" showInputMessage="1" showErrorMessage="1" error="Probabilidad debe ser entre 0 y 100" sqref="J2 BD2:BJ2" xr:uid="{C8D8F318-A9B3-4A83-847F-4AC98F61F4FB}"/>
  </dataValidations>
  <pageMargins left="0.7" right="0.7" top="0.75" bottom="0.75" header="0.3" footer="0.3"/>
  <pageSetup paperSize="9" orientation="portrait" horizontalDpi="4294967295" verticalDpi="4294967295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7A2F1371-8F2C-4503-9069-F1DD4F8BC404}">
          <x14:formula1>
            <xm:f>Códigos_Propuestas!$I$4:$I$7</xm:f>
          </x14:formula1>
          <xm:sqref>K35:K38 K40:K41 K3:K33</xm:sqref>
        </x14:dataValidation>
        <x14:dataValidation type="list" allowBlank="1" showInputMessage="1" showErrorMessage="1" xr:uid="{D439CF7C-60EA-441B-90D6-0E1FE9A3A94A}">
          <x14:formula1>
            <xm:f>Códigos_Propuestas!$X$4:$X$7</xm:f>
          </x14:formula1>
          <xm:sqref>K3:K26 K30:K42</xm:sqref>
        </x14:dataValidation>
        <x14:dataValidation type="list" allowBlank="1" showInputMessage="1" showErrorMessage="1" xr:uid="{D47343C1-E432-48EF-8266-0A61F7CCAC6C}">
          <x14:formula1>
            <xm:f>Códigos_Propuestas!$X$4:$X$6</xm:f>
          </x14:formula1>
          <xm:sqref>K27:K29</xm:sqref>
        </x14:dataValidation>
        <x14:dataValidation type="list" allowBlank="1" showInputMessage="1" showErrorMessage="1" xr:uid="{F415F417-34B7-4F2B-8797-86FA4DF2450E}">
          <x14:formula1>
            <xm:f>Códigos_Propuestas!$V$4:$V$5</xm:f>
          </x14:formula1>
          <xm:sqref>I3:I50</xm:sqref>
        </x14:dataValidation>
        <x14:dataValidation type="list" allowBlank="1" showInputMessage="1" showErrorMessage="1" xr:uid="{39B56243-AF07-4178-B698-6D05E432F772}">
          <x14:formula1>
            <xm:f>Códigos_Propuestas!$BD$4:$BD$5</xm:f>
          </x14:formula1>
          <xm:sqref>AO3:AO50</xm:sqref>
        </x14:dataValidation>
        <x14:dataValidation type="list" allowBlank="1" showInputMessage="1" showErrorMessage="1" xr:uid="{6AABAE2B-AB70-4E91-B9E4-0C6299B6151C}">
          <x14:formula1>
            <xm:f>Códigos_Propuestas!$Z$4:$Z$6</xm:f>
          </x14:formula1>
          <xm:sqref>J3:J50</xm:sqref>
        </x14:dataValidation>
        <x14:dataValidation type="list" allowBlank="1" showInputMessage="1" showErrorMessage="1" xr:uid="{8DC8CF52-5B77-42B0-AF6B-59776F0BCECA}">
          <x14:formula1>
            <xm:f>Códigos_Propuestas!$AH$4:$AH$5</xm:f>
          </x14:formula1>
          <xm:sqref>AY3:AY50</xm:sqref>
        </x14:dataValidation>
        <x14:dataValidation type="list" allowBlank="1" showInputMessage="1" showErrorMessage="1" xr:uid="{12BC0DFD-FB1E-461B-A37C-D93890C65783}">
          <x14:formula1>
            <xm:f>Códigos_Propuestas!$AJ$4:$AJ$5</xm:f>
          </x14:formula1>
          <xm:sqref>AZ3:AZ50</xm:sqref>
        </x14:dataValidation>
        <x14:dataValidation type="list" allowBlank="1" showInputMessage="1" showErrorMessage="1" xr:uid="{B9C6C86A-3BA5-475A-B69C-F6260E037BC5}">
          <x14:formula1>
            <xm:f>Códigos_Propuestas!$L$4:$L$14</xm:f>
          </x14:formula1>
          <xm:sqref>Q3:T48</xm:sqref>
        </x14:dataValidation>
        <x14:dataValidation type="list" allowBlank="1" showInputMessage="1" showErrorMessage="1" xr:uid="{35582F08-0A54-424A-A34D-6654F1A6FE7E}">
          <x14:formula1>
            <xm:f>Códigos_Propuestas!$AB$4:$AB$7</xm:f>
          </x14:formula1>
          <xm:sqref>AW3:AW50</xm:sqref>
        </x14:dataValidation>
        <x14:dataValidation type="list" allowBlank="1" showInputMessage="1" showErrorMessage="1" xr:uid="{324C2CA4-310A-4AFC-877A-6D17C5D70D85}">
          <x14:formula1>
            <xm:f>Códigos_Propuestas!$AE$4:$AE$7</xm:f>
          </x14:formula1>
          <xm:sqref>AX3:AX50</xm:sqref>
        </x14:dataValidation>
        <x14:dataValidation type="list" allowBlank="1" showInputMessage="1" showErrorMessage="1" xr:uid="{51386151-86EF-48CE-B81C-1C6B9E664BD5}">
          <x14:formula1>
            <xm:f>Códigos_Propuestas!$AL$4:$AL$8</xm:f>
          </x14:formula1>
          <xm:sqref>O3:O50</xm:sqref>
        </x14:dataValidation>
        <x14:dataValidation type="list" allowBlank="1" showInputMessage="1" showErrorMessage="1" xr:uid="{C57A7583-7E52-4FEB-84F7-D70E9D20C303}">
          <x14:formula1>
            <xm:f>Códigos_Propuestas!$O$4:$O$11</xm:f>
          </x14:formula1>
          <xm:sqref>Y3:Y42 BA3:BA42 AV3:AV42</xm:sqref>
        </x14:dataValidation>
        <x14:dataValidation type="list" allowBlank="1" showInputMessage="1" showErrorMessage="1" xr:uid="{34FC1F83-D208-4467-AC33-A0E4DD1F80F1}">
          <x14:formula1>
            <xm:f>Códigos_Propuestas!$O$4:$O$15</xm:f>
          </x14:formula1>
          <xm:sqref>L3:L50</xm:sqref>
        </x14:dataValidation>
        <x14:dataValidation type="list" allowBlank="1" showInputMessage="1" showErrorMessage="1" xr:uid="{A9050DC7-BF7C-48E7-9B3A-91172F247669}">
          <x14:formula1>
            <xm:f>Códigos_Propuestas!$B$4:$B$10</xm:f>
          </x14:formula1>
          <xm:sqref>D3:D42</xm:sqref>
        </x14:dataValidation>
        <x14:dataValidation type="list" allowBlank="1" showInputMessage="1" showErrorMessage="1" xr:uid="{C34D8076-79CB-4A52-8CA1-472C4261E204}">
          <x14:formula1>
            <xm:f>Códigos_Propuestas!$AR$4:$AR$11</xm:f>
          </x14:formula1>
          <xm:sqref>N3:N50</xm:sqref>
        </x14:dataValidation>
        <x14:dataValidation type="list" allowBlank="1" showInputMessage="1" showErrorMessage="1" xr:uid="{5CB09258-2E06-4A69-BF2D-974F72DEC3C0}">
          <x14:formula1>
            <xm:f>Códigos_Propuestas!$AP$4:$AP$7</xm:f>
          </x14:formula1>
          <xm:sqref>Q49:T50</xm:sqref>
        </x14:dataValidation>
        <x14:dataValidation type="list" allowBlank="1" showInputMessage="1" showErrorMessage="1" xr:uid="{96F7650A-B756-48BA-8F1E-31B44B1CB693}">
          <x14:formula1>
            <xm:f>Códigos_Propuestas!$AP$4:$AP$11</xm:f>
          </x14:formula1>
          <xm:sqref>P3:P50</xm:sqref>
        </x14:dataValidation>
        <x14:dataValidation type="list" allowBlank="1" showInputMessage="1" showErrorMessage="1" xr:uid="{B546FB24-C029-4881-92D4-52DE464E17B4}">
          <x14:formula1>
            <xm:f>Códigos_Propuestas!$E$4:$E$1048576</xm:f>
          </x14:formula1>
          <xm:sqref>G3:G50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49B3C-71E3-4A3A-8043-7D4101CDD0AD}">
  <sheetPr codeName="Hoja2">
    <tabColor theme="5" tint="0.79998168889431442"/>
  </sheetPr>
  <dimension ref="B2:D7"/>
  <sheetViews>
    <sheetView workbookViewId="0">
      <selection activeCell="D30" sqref="D30"/>
    </sheetView>
  </sheetViews>
  <sheetFormatPr baseColWidth="10" defaultColWidth="11.5" defaultRowHeight="15" x14ac:dyDescent="0.2"/>
  <cols>
    <col min="2" max="2" width="5" bestFit="1" customWidth="1"/>
    <col min="3" max="3" width="31.1640625" bestFit="1" customWidth="1"/>
    <col min="4" max="4" width="81" bestFit="1" customWidth="1"/>
  </cols>
  <sheetData>
    <row r="2" spans="2:4" ht="20" x14ac:dyDescent="0.2">
      <c r="B2" s="118" t="s">
        <v>382</v>
      </c>
      <c r="C2" s="118" t="s">
        <v>383</v>
      </c>
      <c r="D2" s="118" t="s">
        <v>627</v>
      </c>
    </row>
    <row r="3" spans="2:4" ht="32" x14ac:dyDescent="0.2">
      <c r="B3" s="117" t="s">
        <v>475</v>
      </c>
      <c r="C3" s="117" t="s">
        <v>628</v>
      </c>
      <c r="D3" s="117" t="s">
        <v>384</v>
      </c>
    </row>
    <row r="4" spans="2:4" ht="32" x14ac:dyDescent="0.2">
      <c r="B4" s="117" t="s">
        <v>476</v>
      </c>
      <c r="C4" s="117" t="s">
        <v>629</v>
      </c>
      <c r="D4" s="117" t="s">
        <v>385</v>
      </c>
    </row>
    <row r="5" spans="2:4" ht="32" x14ac:dyDescent="0.2">
      <c r="B5" s="117" t="s">
        <v>477</v>
      </c>
      <c r="C5" s="117" t="s">
        <v>630</v>
      </c>
      <c r="D5" s="117" t="s">
        <v>386</v>
      </c>
    </row>
    <row r="6" spans="2:4" ht="16" x14ac:dyDescent="0.2">
      <c r="B6" s="117" t="s">
        <v>478</v>
      </c>
      <c r="C6" s="117" t="s">
        <v>631</v>
      </c>
      <c r="D6" s="117" t="s">
        <v>387</v>
      </c>
    </row>
    <row r="7" spans="2:4" ht="16" x14ac:dyDescent="0.2">
      <c r="B7" s="117" t="s">
        <v>479</v>
      </c>
      <c r="C7" s="117" t="s">
        <v>632</v>
      </c>
      <c r="D7" s="117" t="s">
        <v>388</v>
      </c>
    </row>
  </sheetData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782EC-9243-452B-9728-2FE2475FE38A}">
  <sheetPr codeName="Hoja3">
    <tabColor theme="5" tint="0.79998168889431442"/>
  </sheetPr>
  <dimension ref="B2:I13"/>
  <sheetViews>
    <sheetView workbookViewId="0">
      <selection activeCell="I19" sqref="I19"/>
    </sheetView>
  </sheetViews>
  <sheetFormatPr baseColWidth="10" defaultColWidth="11.5" defaultRowHeight="15" x14ac:dyDescent="0.2"/>
  <cols>
    <col min="3" max="3" width="13.5" bestFit="1" customWidth="1"/>
  </cols>
  <sheetData>
    <row r="2" spans="2:9" x14ac:dyDescent="0.2">
      <c r="B2" s="96" t="s">
        <v>4</v>
      </c>
      <c r="C2" s="96" t="s">
        <v>44</v>
      </c>
      <c r="E2" s="96" t="s">
        <v>389</v>
      </c>
    </row>
    <row r="3" spans="2:9" x14ac:dyDescent="0.2">
      <c r="B3" s="33" t="s">
        <v>32</v>
      </c>
      <c r="C3" s="113">
        <v>3300000</v>
      </c>
      <c r="E3" s="113">
        <f>C3/12</f>
        <v>275000</v>
      </c>
    </row>
    <row r="4" spans="2:9" x14ac:dyDescent="0.2">
      <c r="B4" s="33" t="s">
        <v>62</v>
      </c>
      <c r="C4" s="113">
        <v>2000000</v>
      </c>
      <c r="E4" s="113">
        <f t="shared" ref="E4:E7" si="0">C4/12</f>
        <v>166666.66666666666</v>
      </c>
    </row>
    <row r="5" spans="2:9" x14ac:dyDescent="0.2">
      <c r="B5" s="33" t="s">
        <v>88</v>
      </c>
      <c r="C5" s="113">
        <v>1500000</v>
      </c>
      <c r="E5" s="113">
        <f t="shared" si="0"/>
        <v>125000</v>
      </c>
    </row>
    <row r="6" spans="2:9" x14ac:dyDescent="0.2">
      <c r="B6" s="33" t="s">
        <v>136</v>
      </c>
      <c r="C6" s="113">
        <v>2000000</v>
      </c>
      <c r="E6" s="113">
        <f t="shared" si="0"/>
        <v>166666.66666666666</v>
      </c>
    </row>
    <row r="7" spans="2:9" x14ac:dyDescent="0.2">
      <c r="B7" s="33" t="s">
        <v>112</v>
      </c>
      <c r="C7" s="113">
        <v>2000000</v>
      </c>
      <c r="E7" s="113">
        <f t="shared" si="0"/>
        <v>166666.66666666666</v>
      </c>
      <c r="H7" s="39">
        <v>10800000</v>
      </c>
      <c r="I7" s="148"/>
    </row>
    <row r="8" spans="2:9" x14ac:dyDescent="0.2">
      <c r="C8" s="147">
        <f>SUM(C3:C7)</f>
        <v>10800000</v>
      </c>
      <c r="E8" s="147">
        <f>SUM(E3:E7)</f>
        <v>899999.99999999988</v>
      </c>
      <c r="I8" s="148"/>
    </row>
    <row r="9" spans="2:9" x14ac:dyDescent="0.2">
      <c r="I9" s="149"/>
    </row>
    <row r="12" spans="2:9" x14ac:dyDescent="0.2">
      <c r="I12" s="148"/>
    </row>
    <row r="13" spans="2:9" x14ac:dyDescent="0.2">
      <c r="I13" s="149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3B21-8511-4B4F-A0E7-14BBDD0185BF}">
  <sheetPr codeName="Hoja9">
    <tabColor rgb="FF004080"/>
  </sheetPr>
  <dimension ref="A1:T29"/>
  <sheetViews>
    <sheetView zoomScale="85" zoomScaleNormal="85" workbookViewId="0">
      <selection activeCell="J8" sqref="J8:J29"/>
    </sheetView>
  </sheetViews>
  <sheetFormatPr baseColWidth="10" defaultColWidth="0" defaultRowHeight="14" x14ac:dyDescent="0.2"/>
  <cols>
    <col min="1" max="1" width="4.33203125" style="150" customWidth="1"/>
    <col min="2" max="2" width="12.5" style="150" bestFit="1" customWidth="1"/>
    <col min="3" max="3" width="12.5" style="150" customWidth="1"/>
    <col min="4" max="4" width="21.5" style="150" bestFit="1" customWidth="1"/>
    <col min="5" max="5" width="23" style="150" bestFit="1" customWidth="1"/>
    <col min="6" max="6" width="47.5" style="150" customWidth="1"/>
    <col min="7" max="7" width="15.5" style="150" customWidth="1"/>
    <col min="8" max="19" width="11.5" style="150" bestFit="1" customWidth="1"/>
    <col min="20" max="20" width="0" style="150" hidden="1" customWidth="1"/>
    <col min="21" max="16384" width="11.5" style="150" hidden="1"/>
  </cols>
  <sheetData>
    <row r="1" spans="1:20" ht="24" x14ac:dyDescent="0.3">
      <c r="A1" s="270" t="s">
        <v>390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</row>
    <row r="2" spans="1:20" ht="6" customHeight="1" x14ac:dyDescent="0.2">
      <c r="A2" s="271"/>
      <c r="B2" s="271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</row>
    <row r="3" spans="1:20" ht="15" customHeight="1" x14ac:dyDescent="0.2">
      <c r="A3" s="272" t="s">
        <v>391</v>
      </c>
      <c r="B3" s="272"/>
      <c r="C3" s="151"/>
      <c r="D3" s="151"/>
      <c r="E3" s="151"/>
      <c r="G3" s="152" t="s">
        <v>392</v>
      </c>
      <c r="H3" s="153">
        <v>46023</v>
      </c>
      <c r="I3" s="153">
        <v>46054</v>
      </c>
      <c r="J3" s="153">
        <v>46082</v>
      </c>
      <c r="K3" s="153">
        <v>46113</v>
      </c>
      <c r="L3" s="153">
        <v>46143</v>
      </c>
      <c r="M3" s="153">
        <v>46174</v>
      </c>
      <c r="N3" s="153">
        <v>46204</v>
      </c>
      <c r="O3" s="153">
        <v>46235</v>
      </c>
      <c r="P3" s="153">
        <v>46266</v>
      </c>
      <c r="Q3" s="153">
        <v>46296</v>
      </c>
      <c r="R3" s="153">
        <v>46327</v>
      </c>
      <c r="S3" s="153">
        <v>46357</v>
      </c>
    </row>
    <row r="4" spans="1:20" ht="15" customHeight="1" x14ac:dyDescent="0.2">
      <c r="A4" s="272" t="s">
        <v>393</v>
      </c>
      <c r="B4" s="272"/>
      <c r="C4" s="151"/>
      <c r="D4" s="151"/>
      <c r="E4" s="151"/>
      <c r="G4" s="154">
        <f t="shared" ref="G4:S4" si="0">+SUM(G7:G29)</f>
        <v>2655331.0779586169</v>
      </c>
      <c r="H4" s="155">
        <f t="shared" si="0"/>
        <v>431166.22678237309</v>
      </c>
      <c r="I4" s="155">
        <f t="shared" si="0"/>
        <v>896557.35628207121</v>
      </c>
      <c r="J4" s="155">
        <f t="shared" si="0"/>
        <v>575651.22995065921</v>
      </c>
      <c r="K4" s="155">
        <f t="shared" si="0"/>
        <v>373655.4012632012</v>
      </c>
      <c r="L4" s="155">
        <f t="shared" si="0"/>
        <v>262631.3437220456</v>
      </c>
      <c r="M4" s="155">
        <f t="shared" si="0"/>
        <v>59555.951262760274</v>
      </c>
      <c r="N4" s="155">
        <f t="shared" si="0"/>
        <v>56113.568695506459</v>
      </c>
      <c r="O4" s="155">
        <f t="shared" si="0"/>
        <v>0</v>
      </c>
      <c r="P4" s="155">
        <f t="shared" si="0"/>
        <v>0</v>
      </c>
      <c r="Q4" s="155">
        <f t="shared" si="0"/>
        <v>0</v>
      </c>
      <c r="R4" s="155">
        <f t="shared" si="0"/>
        <v>0</v>
      </c>
      <c r="S4" s="155">
        <f t="shared" si="0"/>
        <v>0</v>
      </c>
    </row>
    <row r="5" spans="1:20" ht="6" customHeight="1" x14ac:dyDescent="0.2">
      <c r="A5" s="271"/>
      <c r="B5" s="271"/>
      <c r="C5" s="271"/>
      <c r="D5" s="271"/>
      <c r="E5" s="271"/>
      <c r="F5" s="271"/>
      <c r="G5" s="271"/>
      <c r="H5" s="271"/>
      <c r="I5" s="271"/>
      <c r="J5" s="271"/>
      <c r="K5" s="271"/>
      <c r="L5" s="271"/>
      <c r="M5" s="271"/>
      <c r="N5" s="271"/>
      <c r="O5" s="271"/>
      <c r="P5" s="271"/>
      <c r="Q5" s="271"/>
      <c r="R5" s="271"/>
      <c r="S5" s="271"/>
    </row>
    <row r="6" spans="1:20" x14ac:dyDescent="0.2">
      <c r="A6" s="152" t="s">
        <v>382</v>
      </c>
      <c r="B6" s="152" t="s">
        <v>4</v>
      </c>
      <c r="C6" s="152" t="s">
        <v>394</v>
      </c>
      <c r="D6" s="152" t="s">
        <v>395</v>
      </c>
      <c r="E6" s="152" t="s">
        <v>396</v>
      </c>
      <c r="F6" s="152" t="s">
        <v>0</v>
      </c>
      <c r="G6" s="152" t="s">
        <v>392</v>
      </c>
      <c r="H6" s="161" t="s">
        <v>397</v>
      </c>
      <c r="I6" s="161" t="s">
        <v>398</v>
      </c>
      <c r="J6" s="161" t="s">
        <v>399</v>
      </c>
      <c r="K6" s="161" t="s">
        <v>400</v>
      </c>
      <c r="L6" s="161" t="s">
        <v>401</v>
      </c>
      <c r="M6" s="161" t="s">
        <v>402</v>
      </c>
      <c r="N6" s="161" t="s">
        <v>403</v>
      </c>
      <c r="O6" s="161" t="s">
        <v>404</v>
      </c>
      <c r="P6" s="161" t="s">
        <v>405</v>
      </c>
      <c r="Q6" s="161" t="s">
        <v>406</v>
      </c>
      <c r="R6" s="161" t="s">
        <v>407</v>
      </c>
      <c r="S6" s="161" t="s">
        <v>408</v>
      </c>
      <c r="T6" s="156"/>
    </row>
    <row r="7" spans="1:20" x14ac:dyDescent="0.2">
      <c r="A7" s="157">
        <v>1</v>
      </c>
      <c r="B7" s="150" t="s">
        <v>112</v>
      </c>
      <c r="C7" s="150" t="s">
        <v>409</v>
      </c>
      <c r="D7" s="150" t="s">
        <v>410</v>
      </c>
      <c r="E7" s="150" t="s">
        <v>411</v>
      </c>
      <c r="F7" s="150" t="s">
        <v>412</v>
      </c>
      <c r="G7" s="158">
        <f t="shared" ref="G7:G29" si="1">+SUM(H7:S7)</f>
        <v>126239.3</v>
      </c>
      <c r="H7" s="162"/>
      <c r="I7" s="155">
        <f>84159.3+42080</f>
        <v>126239.3</v>
      </c>
      <c r="J7" s="155"/>
      <c r="K7" s="155"/>
      <c r="L7" s="155"/>
      <c r="M7" s="155"/>
      <c r="N7" s="155"/>
      <c r="O7" s="155"/>
      <c r="P7" s="155"/>
      <c r="Q7" s="155"/>
      <c r="R7" s="155"/>
      <c r="S7" s="155"/>
    </row>
    <row r="8" spans="1:20" x14ac:dyDescent="0.2">
      <c r="A8" s="157">
        <v>3</v>
      </c>
      <c r="B8" s="150" t="s">
        <v>32</v>
      </c>
      <c r="C8" s="150" t="s">
        <v>409</v>
      </c>
      <c r="D8" s="150" t="s">
        <v>410</v>
      </c>
      <c r="E8" s="150" t="s">
        <v>411</v>
      </c>
      <c r="F8" s="150" t="s">
        <v>413</v>
      </c>
      <c r="G8" s="158">
        <f t="shared" si="1"/>
        <v>252730.02617142853</v>
      </c>
      <c r="H8" s="155"/>
      <c r="I8" s="155">
        <v>132678.81739893439</v>
      </c>
      <c r="J8" s="155">
        <v>120051.20877249414</v>
      </c>
      <c r="K8" s="155">
        <v>0</v>
      </c>
      <c r="L8" s="155" t="s">
        <v>414</v>
      </c>
      <c r="M8" s="155" t="s">
        <v>414</v>
      </c>
      <c r="N8" s="155"/>
      <c r="O8" s="155"/>
      <c r="P8" s="155"/>
      <c r="Q8" s="155"/>
      <c r="R8" s="155"/>
      <c r="S8" s="155"/>
    </row>
    <row r="9" spans="1:20" x14ac:dyDescent="0.2">
      <c r="A9" s="157">
        <v>4</v>
      </c>
      <c r="B9" s="150" t="s">
        <v>32</v>
      </c>
      <c r="C9" s="150" t="s">
        <v>409</v>
      </c>
      <c r="D9" s="150" t="s">
        <v>410</v>
      </c>
      <c r="E9" s="150" t="s">
        <v>411</v>
      </c>
      <c r="F9" s="150" t="s">
        <v>415</v>
      </c>
      <c r="G9" s="158">
        <f t="shared" si="1"/>
        <v>217000</v>
      </c>
      <c r="H9" s="159">
        <v>8417.167167167172</v>
      </c>
      <c r="I9" s="159">
        <v>22509.13413413415</v>
      </c>
      <c r="J9" s="159">
        <v>26120.370370370405</v>
      </c>
      <c r="K9" s="159">
        <v>46375.8758758759</v>
      </c>
      <c r="L9" s="159">
        <v>39642.142142142155</v>
      </c>
      <c r="M9" s="159">
        <v>28238.238238238206</v>
      </c>
      <c r="N9" s="155">
        <v>45697.072072072013</v>
      </c>
      <c r="O9" s="155"/>
      <c r="P9" s="155"/>
      <c r="Q9" s="155"/>
      <c r="R9" s="155"/>
      <c r="S9" s="155"/>
    </row>
    <row r="10" spans="1:20" x14ac:dyDescent="0.2">
      <c r="A10" s="157">
        <v>5</v>
      </c>
      <c r="B10" s="150" t="s">
        <v>62</v>
      </c>
      <c r="C10" s="150" t="s">
        <v>409</v>
      </c>
      <c r="D10" s="150" t="s">
        <v>410</v>
      </c>
      <c r="E10" s="150" t="s">
        <v>411</v>
      </c>
      <c r="F10" s="150" t="s">
        <v>416</v>
      </c>
      <c r="G10" s="158">
        <f t="shared" si="1"/>
        <v>213000</v>
      </c>
      <c r="H10" s="159">
        <v>12317.794892582089</v>
      </c>
      <c r="I10" s="159">
        <v>54480.340494527809</v>
      </c>
      <c r="J10" s="159">
        <v>46709.768950141937</v>
      </c>
      <c r="K10" s="159">
        <v>47170.247263883168</v>
      </c>
      <c r="L10" s="159">
        <v>31657.884069720312</v>
      </c>
      <c r="M10" s="159">
        <v>18246.453182002384</v>
      </c>
      <c r="N10" s="155">
        <v>2417.5111471423006</v>
      </c>
      <c r="O10" s="155"/>
      <c r="P10" s="155"/>
      <c r="Q10" s="155"/>
      <c r="R10" s="155"/>
      <c r="S10" s="155"/>
    </row>
    <row r="11" spans="1:20" x14ac:dyDescent="0.2">
      <c r="A11" s="157">
        <v>6</v>
      </c>
      <c r="B11" s="150" t="s">
        <v>112</v>
      </c>
      <c r="C11" s="150" t="s">
        <v>409</v>
      </c>
      <c r="D11" s="150" t="s">
        <v>410</v>
      </c>
      <c r="E11" s="150" t="s">
        <v>411</v>
      </c>
      <c r="F11" s="150" t="s">
        <v>417</v>
      </c>
      <c r="G11" s="158">
        <f t="shared" si="1"/>
        <v>178686</v>
      </c>
      <c r="H11" s="159">
        <v>33597</v>
      </c>
      <c r="I11" s="159">
        <v>64484</v>
      </c>
      <c r="J11" s="159">
        <v>80605</v>
      </c>
      <c r="K11" s="159"/>
      <c r="L11" s="159"/>
      <c r="M11" s="159"/>
      <c r="N11" s="155"/>
      <c r="O11" s="155"/>
      <c r="P11" s="155"/>
      <c r="Q11" s="155"/>
      <c r="R11" s="155"/>
      <c r="S11" s="155"/>
    </row>
    <row r="12" spans="1:20" x14ac:dyDescent="0.2">
      <c r="A12" s="157">
        <v>8</v>
      </c>
      <c r="B12" s="150" t="s">
        <v>112</v>
      </c>
      <c r="C12" s="150" t="s">
        <v>409</v>
      </c>
      <c r="D12" s="150" t="s">
        <v>410</v>
      </c>
      <c r="E12" s="150" t="s">
        <v>411</v>
      </c>
      <c r="F12" s="150" t="s">
        <v>418</v>
      </c>
      <c r="G12" s="158">
        <f t="shared" si="1"/>
        <v>153748</v>
      </c>
      <c r="H12" s="159">
        <v>87873</v>
      </c>
      <c r="I12" s="159">
        <v>11774.507874015748</v>
      </c>
      <c r="J12" s="159">
        <v>14964.517716535434</v>
      </c>
      <c r="K12" s="159">
        <v>12993.454724409448</v>
      </c>
      <c r="L12" s="159">
        <v>13071.259842519685</v>
      </c>
      <c r="M12" s="159">
        <v>13071.259842519685</v>
      </c>
      <c r="N12" s="155"/>
      <c r="O12" s="155"/>
      <c r="P12" s="155"/>
      <c r="Q12" s="155"/>
      <c r="R12" s="155"/>
      <c r="S12" s="155"/>
    </row>
    <row r="13" spans="1:20" x14ac:dyDescent="0.2">
      <c r="A13" s="157">
        <v>9</v>
      </c>
      <c r="B13" s="150" t="s">
        <v>88</v>
      </c>
      <c r="C13" s="150" t="s">
        <v>409</v>
      </c>
      <c r="D13" s="150" t="s">
        <v>410</v>
      </c>
      <c r="E13" s="150" t="s">
        <v>411</v>
      </c>
      <c r="F13" s="150" t="s">
        <v>419</v>
      </c>
      <c r="G13" s="158">
        <f t="shared" si="1"/>
        <v>130000</v>
      </c>
      <c r="H13" s="155">
        <v>0</v>
      </c>
      <c r="I13" s="155">
        <v>75316.205533596862</v>
      </c>
      <c r="J13" s="155">
        <v>54683.794466403138</v>
      </c>
      <c r="K13" s="155"/>
      <c r="L13" s="155"/>
      <c r="M13" s="155"/>
      <c r="N13" s="155"/>
      <c r="O13" s="155"/>
      <c r="P13" s="155"/>
      <c r="Q13" s="155"/>
      <c r="R13" s="155"/>
      <c r="S13" s="155"/>
    </row>
    <row r="14" spans="1:20" x14ac:dyDescent="0.2">
      <c r="A14" s="157">
        <v>10</v>
      </c>
      <c r="B14" s="150" t="s">
        <v>88</v>
      </c>
      <c r="C14" s="150" t="s">
        <v>409</v>
      </c>
      <c r="D14" s="150" t="s">
        <v>410</v>
      </c>
      <c r="E14" s="150" t="s">
        <v>411</v>
      </c>
      <c r="F14" s="150" t="s">
        <v>420</v>
      </c>
      <c r="G14" s="158">
        <f t="shared" si="1"/>
        <v>110000</v>
      </c>
      <c r="H14" s="155">
        <v>0</v>
      </c>
      <c r="I14" s="155">
        <v>59681.1224489796</v>
      </c>
      <c r="J14" s="155">
        <v>50318.8775510204</v>
      </c>
      <c r="K14" s="155"/>
      <c r="L14" s="155"/>
      <c r="M14" s="155"/>
      <c r="N14" s="155"/>
      <c r="O14" s="155"/>
      <c r="P14" s="155"/>
      <c r="Q14" s="155"/>
      <c r="R14" s="155"/>
      <c r="S14" s="155"/>
    </row>
    <row r="15" spans="1:20" x14ac:dyDescent="0.2">
      <c r="A15" s="157">
        <v>11</v>
      </c>
      <c r="B15" s="150" t="s">
        <v>62</v>
      </c>
      <c r="C15" s="150" t="s">
        <v>409</v>
      </c>
      <c r="D15" s="150" t="s">
        <v>410</v>
      </c>
      <c r="E15" s="150" t="s">
        <v>411</v>
      </c>
      <c r="F15" s="150" t="s">
        <v>421</v>
      </c>
      <c r="G15" s="158">
        <f t="shared" si="1"/>
        <v>110000</v>
      </c>
      <c r="H15" s="159">
        <v>25868.200449774486</v>
      </c>
      <c r="I15" s="159">
        <v>40593.628331681968</v>
      </c>
      <c r="J15" s="159">
        <v>23639.555487947771</v>
      </c>
      <c r="K15" s="159">
        <v>19898.615730595775</v>
      </c>
      <c r="L15" s="159" t="s">
        <v>414</v>
      </c>
      <c r="M15" s="159" t="s">
        <v>414</v>
      </c>
      <c r="N15" s="155"/>
      <c r="O15" s="155"/>
      <c r="P15" s="155"/>
      <c r="Q15" s="155"/>
      <c r="R15" s="155"/>
      <c r="S15" s="155"/>
    </row>
    <row r="16" spans="1:20" x14ac:dyDescent="0.2">
      <c r="A16" s="157">
        <v>12</v>
      </c>
      <c r="B16" s="150" t="s">
        <v>62</v>
      </c>
      <c r="C16" s="150" t="s">
        <v>409</v>
      </c>
      <c r="D16" s="150" t="s">
        <v>410</v>
      </c>
      <c r="E16" s="150" t="s">
        <v>411</v>
      </c>
      <c r="F16" s="150" t="s">
        <v>422</v>
      </c>
      <c r="G16" s="158">
        <f t="shared" si="1"/>
        <v>90000</v>
      </c>
      <c r="H16" s="155">
        <v>46000</v>
      </c>
      <c r="I16" s="155">
        <v>34000</v>
      </c>
      <c r="J16" s="155">
        <v>10000</v>
      </c>
      <c r="K16" s="155"/>
      <c r="L16" s="155"/>
      <c r="M16" s="155"/>
      <c r="N16" s="155"/>
      <c r="O16" s="155"/>
      <c r="P16" s="155"/>
      <c r="Q16" s="155"/>
      <c r="R16" s="155"/>
      <c r="S16" s="155"/>
    </row>
    <row r="17" spans="1:19" x14ac:dyDescent="0.2">
      <c r="A17" s="157">
        <v>13</v>
      </c>
      <c r="B17" s="150" t="s">
        <v>32</v>
      </c>
      <c r="C17" s="150" t="s">
        <v>409</v>
      </c>
      <c r="D17" s="150" t="s">
        <v>410</v>
      </c>
      <c r="E17" s="150" t="s">
        <v>411</v>
      </c>
      <c r="F17" s="150" t="s">
        <v>423</v>
      </c>
      <c r="G17" s="158">
        <f t="shared" si="1"/>
        <v>76150</v>
      </c>
      <c r="H17" s="159"/>
      <c r="I17" s="159">
        <v>25383.333333333332</v>
      </c>
      <c r="J17" s="159">
        <v>25383.333333333332</v>
      </c>
      <c r="K17" s="159">
        <v>25383.333333333332</v>
      </c>
      <c r="L17" s="159"/>
      <c r="M17" s="159"/>
      <c r="N17" s="155"/>
      <c r="O17" s="155"/>
      <c r="P17" s="155"/>
      <c r="Q17" s="155"/>
      <c r="R17" s="155"/>
      <c r="S17" s="155"/>
    </row>
    <row r="18" spans="1:19" x14ac:dyDescent="0.2">
      <c r="A18" s="157">
        <v>14</v>
      </c>
      <c r="B18" s="150" t="s">
        <v>62</v>
      </c>
      <c r="C18" s="150" t="s">
        <v>409</v>
      </c>
      <c r="D18" s="150" t="s">
        <v>410</v>
      </c>
      <c r="E18" s="150" t="s">
        <v>411</v>
      </c>
      <c r="F18" s="150" t="s">
        <v>424</v>
      </c>
      <c r="G18" s="158">
        <f t="shared" si="1"/>
        <v>65000</v>
      </c>
      <c r="H18" s="155">
        <v>60081.967213114745</v>
      </c>
      <c r="I18" s="155">
        <v>4918.0327868852546</v>
      </c>
      <c r="J18" s="155" t="s">
        <v>414</v>
      </c>
      <c r="K18" s="155" t="s">
        <v>414</v>
      </c>
      <c r="L18" s="155" t="s">
        <v>414</v>
      </c>
      <c r="M18" s="155" t="s">
        <v>414</v>
      </c>
      <c r="N18" s="155"/>
      <c r="O18" s="155"/>
      <c r="P18" s="155"/>
      <c r="Q18" s="155"/>
      <c r="R18" s="155"/>
      <c r="S18" s="155"/>
    </row>
    <row r="19" spans="1:19" x14ac:dyDescent="0.2">
      <c r="A19" s="157">
        <v>15</v>
      </c>
      <c r="B19" s="150" t="s">
        <v>62</v>
      </c>
      <c r="C19" s="150" t="s">
        <v>409</v>
      </c>
      <c r="D19" s="150" t="s">
        <v>410</v>
      </c>
      <c r="E19" s="150" t="s">
        <v>411</v>
      </c>
      <c r="F19" s="150" t="s">
        <v>425</v>
      </c>
      <c r="G19" s="158">
        <f t="shared" si="1"/>
        <v>56306</v>
      </c>
      <c r="H19" s="159">
        <v>40000</v>
      </c>
      <c r="I19" s="159">
        <v>16306</v>
      </c>
      <c r="J19" s="159"/>
      <c r="K19" s="159"/>
      <c r="L19" s="159"/>
      <c r="M19" s="159"/>
      <c r="N19" s="155"/>
      <c r="O19" s="155"/>
      <c r="P19" s="155"/>
      <c r="Q19" s="155"/>
      <c r="R19" s="155"/>
      <c r="S19" s="155"/>
    </row>
    <row r="20" spans="1:19" x14ac:dyDescent="0.2">
      <c r="A20" s="157">
        <v>16</v>
      </c>
      <c r="B20" s="150" t="s">
        <v>112</v>
      </c>
      <c r="C20" s="150" t="s">
        <v>409</v>
      </c>
      <c r="D20" s="150" t="s">
        <v>410</v>
      </c>
      <c r="E20" s="150" t="s">
        <v>411</v>
      </c>
      <c r="F20" s="150" t="s">
        <v>426</v>
      </c>
      <c r="G20" s="158">
        <f t="shared" si="1"/>
        <v>50000</v>
      </c>
      <c r="H20" s="155">
        <v>22921.287530430076</v>
      </c>
      <c r="I20" s="155">
        <v>27078.712469569924</v>
      </c>
      <c r="J20" s="155"/>
      <c r="K20" s="155"/>
      <c r="L20" s="155"/>
      <c r="M20" s="155"/>
      <c r="N20" s="155"/>
      <c r="O20" s="155"/>
      <c r="P20" s="155"/>
      <c r="Q20" s="155"/>
      <c r="R20" s="155"/>
      <c r="S20" s="155"/>
    </row>
    <row r="21" spans="1:19" x14ac:dyDescent="0.2">
      <c r="A21" s="157">
        <v>17</v>
      </c>
      <c r="B21" s="150" t="s">
        <v>88</v>
      </c>
      <c r="C21" s="150" t="s">
        <v>409</v>
      </c>
      <c r="D21" s="150" t="s">
        <v>410</v>
      </c>
      <c r="E21" s="150" t="s">
        <v>411</v>
      </c>
      <c r="F21" s="150" t="s">
        <v>427</v>
      </c>
      <c r="G21" s="158">
        <f t="shared" si="1"/>
        <v>45167.686199999996</v>
      </c>
      <c r="H21" s="155">
        <v>45167.686199999996</v>
      </c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</row>
    <row r="22" spans="1:19" x14ac:dyDescent="0.2">
      <c r="A22" s="157">
        <v>18</v>
      </c>
      <c r="B22" s="150" t="s">
        <v>32</v>
      </c>
      <c r="C22" s="150" t="s">
        <v>409</v>
      </c>
      <c r="D22" s="150" t="s">
        <v>410</v>
      </c>
      <c r="E22" s="150" t="s">
        <v>411</v>
      </c>
      <c r="F22" s="150" t="s">
        <v>428</v>
      </c>
      <c r="G22" s="158">
        <f t="shared" si="1"/>
        <v>37347</v>
      </c>
      <c r="H22" s="155">
        <v>3009.0000000000005</v>
      </c>
      <c r="I22" s="155">
        <v>22302</v>
      </c>
      <c r="J22" s="155">
        <v>12036</v>
      </c>
      <c r="K22" s="155">
        <v>0</v>
      </c>
      <c r="L22" s="155" t="s">
        <v>414</v>
      </c>
      <c r="M22" s="155" t="s">
        <v>414</v>
      </c>
      <c r="N22" s="155"/>
      <c r="O22" s="155"/>
      <c r="P22" s="155"/>
      <c r="Q22" s="155"/>
      <c r="R22" s="155"/>
      <c r="S22" s="155"/>
    </row>
    <row r="23" spans="1:19" x14ac:dyDescent="0.2">
      <c r="A23" s="157">
        <v>19</v>
      </c>
      <c r="B23" s="150" t="s">
        <v>136</v>
      </c>
      <c r="C23" s="150" t="s">
        <v>409</v>
      </c>
      <c r="D23" s="150" t="s">
        <v>410</v>
      </c>
      <c r="E23" s="150" t="s">
        <v>411</v>
      </c>
      <c r="F23" s="150" t="s">
        <v>429</v>
      </c>
      <c r="G23" s="158">
        <f t="shared" si="1"/>
        <v>35000</v>
      </c>
      <c r="H23" s="155">
        <v>6163.5220125786182</v>
      </c>
      <c r="I23" s="155">
        <v>28836.477987421382</v>
      </c>
      <c r="J23" s="155"/>
      <c r="K23" s="155"/>
      <c r="L23" s="155"/>
      <c r="M23" s="155"/>
      <c r="N23" s="155"/>
      <c r="O23" s="155"/>
      <c r="P23" s="155"/>
      <c r="Q23" s="155"/>
      <c r="R23" s="155"/>
      <c r="S23" s="155"/>
    </row>
    <row r="24" spans="1:19" x14ac:dyDescent="0.2">
      <c r="A24" s="157">
        <v>20</v>
      </c>
      <c r="B24" s="150" t="s">
        <v>32</v>
      </c>
      <c r="C24" s="150" t="s">
        <v>409</v>
      </c>
      <c r="D24" s="150" t="s">
        <v>410</v>
      </c>
      <c r="E24" s="150" t="s">
        <v>411</v>
      </c>
      <c r="F24" s="150" t="s">
        <v>430</v>
      </c>
      <c r="G24" s="158">
        <f t="shared" si="1"/>
        <v>17056</v>
      </c>
      <c r="H24" s="155">
        <v>17056</v>
      </c>
      <c r="I24" s="155"/>
      <c r="J24" s="155"/>
      <c r="K24" s="155" t="s">
        <v>414</v>
      </c>
      <c r="L24" s="155" t="s">
        <v>414</v>
      </c>
      <c r="M24" s="155" t="s">
        <v>414</v>
      </c>
      <c r="N24" s="155"/>
      <c r="O24" s="155"/>
      <c r="P24" s="155"/>
      <c r="Q24" s="155"/>
      <c r="R24" s="155"/>
      <c r="S24" s="155"/>
    </row>
    <row r="25" spans="1:19" x14ac:dyDescent="0.2">
      <c r="A25" s="157">
        <v>22</v>
      </c>
      <c r="B25" s="150" t="s">
        <v>32</v>
      </c>
      <c r="C25" s="150" t="s">
        <v>409</v>
      </c>
      <c r="D25" s="150" t="s">
        <v>410</v>
      </c>
      <c r="E25" s="150" t="s">
        <v>411</v>
      </c>
      <c r="F25" s="150" t="s">
        <v>431</v>
      </c>
      <c r="G25" s="158">
        <f t="shared" si="1"/>
        <v>11964</v>
      </c>
      <c r="H25" s="155">
        <v>11964</v>
      </c>
      <c r="I25" s="155" t="s">
        <v>414</v>
      </c>
      <c r="J25" s="155" t="s">
        <v>414</v>
      </c>
      <c r="K25" s="155" t="s">
        <v>414</v>
      </c>
      <c r="L25" s="155" t="s">
        <v>414</v>
      </c>
      <c r="M25" s="155" t="s">
        <v>414</v>
      </c>
      <c r="N25" s="155"/>
      <c r="O25" s="155"/>
      <c r="P25" s="155"/>
      <c r="Q25" s="155"/>
      <c r="R25" s="155"/>
      <c r="S25" s="155"/>
    </row>
    <row r="26" spans="1:19" x14ac:dyDescent="0.2">
      <c r="A26" s="157">
        <v>23</v>
      </c>
      <c r="B26" s="150" t="s">
        <v>62</v>
      </c>
      <c r="C26" s="150" t="s">
        <v>409</v>
      </c>
      <c r="D26" s="150" t="s">
        <v>410</v>
      </c>
      <c r="E26" s="150" t="s">
        <v>411</v>
      </c>
      <c r="F26" s="150" t="s">
        <v>432</v>
      </c>
      <c r="G26" s="158">
        <f t="shared" si="1"/>
        <v>5034</v>
      </c>
      <c r="H26" s="155">
        <v>5034</v>
      </c>
      <c r="I26" s="155"/>
      <c r="J26" s="155"/>
      <c r="K26" s="155"/>
      <c r="L26" s="155"/>
      <c r="M26" s="155"/>
      <c r="N26" s="155"/>
      <c r="O26" s="155"/>
      <c r="P26" s="155"/>
      <c r="Q26" s="155"/>
      <c r="R26" s="155"/>
      <c r="S26" s="155"/>
    </row>
    <row r="27" spans="1:19" x14ac:dyDescent="0.2">
      <c r="A27" s="157">
        <v>2</v>
      </c>
      <c r="B27" s="150" t="s">
        <v>136</v>
      </c>
      <c r="C27" s="150" t="s">
        <v>409</v>
      </c>
      <c r="D27" s="150" t="s">
        <v>410</v>
      </c>
      <c r="E27" s="150" t="s">
        <v>411</v>
      </c>
      <c r="F27" s="160" t="s">
        <v>433</v>
      </c>
      <c r="G27" s="158">
        <f t="shared" si="1"/>
        <v>499350</v>
      </c>
      <c r="H27" s="155"/>
      <c r="I27" s="155">
        <v>100308.80606578384</v>
      </c>
      <c r="J27" s="155">
        <v>54530.222127296031</v>
      </c>
      <c r="K27" s="155">
        <v>158251.92866296455</v>
      </c>
      <c r="L27" s="155">
        <v>178260.05766766344</v>
      </c>
      <c r="M27" s="155">
        <v>0</v>
      </c>
      <c r="N27" s="155">
        <v>7998.9854762921459</v>
      </c>
      <c r="O27" s="155"/>
      <c r="P27" s="155"/>
      <c r="Q27" s="155"/>
      <c r="R27" s="155"/>
      <c r="S27" s="155"/>
    </row>
    <row r="28" spans="1:19" x14ac:dyDescent="0.2">
      <c r="A28" s="157">
        <v>7</v>
      </c>
      <c r="B28" s="150" t="s">
        <v>62</v>
      </c>
      <c r="C28" s="150" t="s">
        <v>409</v>
      </c>
      <c r="D28" s="150" t="s">
        <v>410</v>
      </c>
      <c r="E28" s="150" t="s">
        <v>411</v>
      </c>
      <c r="F28" s="160" t="s">
        <v>434</v>
      </c>
      <c r="G28" s="158">
        <f t="shared" si="1"/>
        <v>160000</v>
      </c>
      <c r="H28" s="155">
        <v>0</v>
      </c>
      <c r="I28" s="155">
        <v>45169.569202566447</v>
      </c>
      <c r="J28" s="155">
        <v>52111.212954476025</v>
      </c>
      <c r="K28" s="155">
        <v>62719.217842957529</v>
      </c>
      <c r="L28" s="155">
        <v>0</v>
      </c>
      <c r="M28" s="155">
        <v>0</v>
      </c>
      <c r="N28" s="155"/>
      <c r="O28" s="155"/>
      <c r="P28" s="155"/>
      <c r="Q28" s="155"/>
      <c r="R28" s="155"/>
      <c r="S28" s="155"/>
    </row>
    <row r="29" spans="1:19" x14ac:dyDescent="0.2">
      <c r="A29" s="157">
        <v>21</v>
      </c>
      <c r="B29" s="150" t="s">
        <v>32</v>
      </c>
      <c r="C29" s="150" t="s">
        <v>409</v>
      </c>
      <c r="D29" s="150" t="s">
        <v>410</v>
      </c>
      <c r="E29" s="150" t="s">
        <v>411</v>
      </c>
      <c r="F29" s="160" t="s">
        <v>435</v>
      </c>
      <c r="G29" s="158">
        <f t="shared" si="1"/>
        <v>15553.065587188614</v>
      </c>
      <c r="H29" s="155">
        <v>5695.6013167259789</v>
      </c>
      <c r="I29" s="155">
        <v>4497.3682206405683</v>
      </c>
      <c r="J29" s="155">
        <v>4497.3682206405701</v>
      </c>
      <c r="K29" s="155">
        <v>862.72782918149642</v>
      </c>
      <c r="L29" s="155"/>
      <c r="M29" s="155"/>
      <c r="N29" s="155"/>
      <c r="O29" s="155"/>
      <c r="P29" s="155"/>
      <c r="Q29" s="155"/>
      <c r="R29" s="155"/>
      <c r="S29" s="155"/>
    </row>
  </sheetData>
  <mergeCells count="5">
    <mergeCell ref="A1:S1"/>
    <mergeCell ref="A2:S2"/>
    <mergeCell ref="A3:B3"/>
    <mergeCell ref="A4:B4"/>
    <mergeCell ref="A5:S5"/>
  </mergeCells>
  <phoneticPr fontId="14" type="noConversion"/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61C28-00EB-4F0A-9B99-9C9D1EB658C3}">
  <dimension ref="A1:N36"/>
  <sheetViews>
    <sheetView workbookViewId="0">
      <selection activeCell="H40" sqref="H40"/>
    </sheetView>
  </sheetViews>
  <sheetFormatPr baseColWidth="10" defaultRowHeight="15" x14ac:dyDescent="0.2"/>
  <cols>
    <col min="1" max="1" width="5.1640625" customWidth="1"/>
    <col min="2" max="2" width="7.5" customWidth="1"/>
    <col min="3" max="3" width="5.5" customWidth="1"/>
    <col min="4" max="4" width="46" customWidth="1"/>
    <col min="12" max="12" width="12.5" customWidth="1"/>
    <col min="13" max="13" width="14.83203125" customWidth="1"/>
    <col min="14" max="14" width="14.1640625" customWidth="1"/>
  </cols>
  <sheetData>
    <row r="1" spans="1:14" ht="24" x14ac:dyDescent="0.2">
      <c r="A1" s="46" t="s">
        <v>449</v>
      </c>
      <c r="B1" s="2" t="s">
        <v>626</v>
      </c>
      <c r="C1" s="2" t="s">
        <v>706</v>
      </c>
      <c r="D1" s="2" t="s">
        <v>0</v>
      </c>
      <c r="E1" s="2" t="s">
        <v>451</v>
      </c>
      <c r="F1" s="1" t="s">
        <v>452</v>
      </c>
      <c r="G1" s="4" t="s">
        <v>16</v>
      </c>
      <c r="H1" s="2" t="s">
        <v>453</v>
      </c>
      <c r="I1" s="209" t="s">
        <v>482</v>
      </c>
      <c r="J1" s="209" t="s">
        <v>483</v>
      </c>
      <c r="K1" s="209" t="s">
        <v>484</v>
      </c>
      <c r="L1" s="209" t="s">
        <v>22</v>
      </c>
      <c r="M1" s="1" t="s">
        <v>708</v>
      </c>
      <c r="N1" s="1" t="s">
        <v>11</v>
      </c>
    </row>
    <row r="2" spans="1:14" ht="13" customHeight="1" x14ac:dyDescent="0.2">
      <c r="A2" s="47">
        <v>9</v>
      </c>
      <c r="B2" s="212" t="s">
        <v>32</v>
      </c>
      <c r="C2" s="212">
        <v>1</v>
      </c>
      <c r="D2" s="213" t="s">
        <v>111</v>
      </c>
      <c r="E2" s="212" t="s">
        <v>327</v>
      </c>
      <c r="F2" s="212" t="s">
        <v>525</v>
      </c>
      <c r="G2" s="214" t="s">
        <v>72</v>
      </c>
      <c r="H2" s="212" t="s">
        <v>116</v>
      </c>
      <c r="I2" s="215">
        <v>200000</v>
      </c>
      <c r="J2" s="19">
        <v>80000</v>
      </c>
      <c r="K2" s="174">
        <v>3</v>
      </c>
      <c r="L2" s="32" t="s">
        <v>689</v>
      </c>
      <c r="M2" s="181" t="s">
        <v>80</v>
      </c>
      <c r="N2" s="181" t="s">
        <v>660</v>
      </c>
    </row>
    <row r="3" spans="1:14" ht="13" customHeight="1" x14ac:dyDescent="0.2">
      <c r="A3" s="47">
        <v>21</v>
      </c>
      <c r="B3" s="212" t="s">
        <v>88</v>
      </c>
      <c r="C3" s="212">
        <v>1</v>
      </c>
      <c r="D3" s="213" t="s">
        <v>533</v>
      </c>
      <c r="E3" s="212" t="s">
        <v>305</v>
      </c>
      <c r="F3" s="212" t="s">
        <v>534</v>
      </c>
      <c r="G3" s="214" t="s">
        <v>72</v>
      </c>
      <c r="H3" s="212" t="s">
        <v>65</v>
      </c>
      <c r="I3" s="215">
        <v>226344</v>
      </c>
      <c r="J3" s="19">
        <v>90537.600000000006</v>
      </c>
      <c r="K3" s="174">
        <v>3.5</v>
      </c>
      <c r="L3" s="32" t="s">
        <v>51</v>
      </c>
      <c r="M3" s="181" t="s">
        <v>80</v>
      </c>
      <c r="N3" s="181" t="s">
        <v>39</v>
      </c>
    </row>
    <row r="4" spans="1:14" ht="13" customHeight="1" x14ac:dyDescent="0.2">
      <c r="A4" s="47">
        <v>59</v>
      </c>
      <c r="B4" s="212" t="s">
        <v>32</v>
      </c>
      <c r="C4" s="212">
        <v>1</v>
      </c>
      <c r="D4" s="216" t="s">
        <v>635</v>
      </c>
      <c r="E4" s="212" t="s">
        <v>320</v>
      </c>
      <c r="F4" s="212" t="s">
        <v>642</v>
      </c>
      <c r="G4" s="214" t="s">
        <v>72</v>
      </c>
      <c r="H4" s="212" t="s">
        <v>92</v>
      </c>
      <c r="I4" s="215">
        <v>392680</v>
      </c>
      <c r="J4" s="19">
        <v>157072</v>
      </c>
      <c r="K4" s="174">
        <v>6</v>
      </c>
      <c r="L4" s="175" t="s">
        <v>127</v>
      </c>
      <c r="M4" s="181" t="s">
        <v>80</v>
      </c>
      <c r="N4" s="181" t="s">
        <v>39</v>
      </c>
    </row>
    <row r="5" spans="1:14" ht="13" customHeight="1" x14ac:dyDescent="0.2">
      <c r="A5" s="47">
        <v>64</v>
      </c>
      <c r="B5" s="212" t="s">
        <v>112</v>
      </c>
      <c r="C5" s="212">
        <v>1</v>
      </c>
      <c r="D5" s="213" t="s">
        <v>666</v>
      </c>
      <c r="E5" s="212" t="s">
        <v>651</v>
      </c>
      <c r="F5" s="212" t="s">
        <v>653</v>
      </c>
      <c r="G5" s="214" t="s">
        <v>44</v>
      </c>
      <c r="H5" s="212" t="s">
        <v>92</v>
      </c>
      <c r="I5" s="215">
        <v>400000</v>
      </c>
      <c r="J5" s="19">
        <v>236108</v>
      </c>
      <c r="K5" s="174">
        <v>7</v>
      </c>
      <c r="L5" s="32" t="s">
        <v>689</v>
      </c>
      <c r="M5" s="181" t="s">
        <v>80</v>
      </c>
      <c r="N5" s="181" t="s">
        <v>39</v>
      </c>
    </row>
    <row r="6" spans="1:14" ht="13" customHeight="1" x14ac:dyDescent="0.2">
      <c r="A6" s="47">
        <v>65</v>
      </c>
      <c r="B6" s="212" t="s">
        <v>62</v>
      </c>
      <c r="C6" s="212">
        <v>1</v>
      </c>
      <c r="D6" s="213" t="s">
        <v>656</v>
      </c>
      <c r="E6" s="212" t="s">
        <v>654</v>
      </c>
      <c r="F6" s="212"/>
      <c r="G6" s="214" t="s">
        <v>72</v>
      </c>
      <c r="H6" s="212" t="s">
        <v>65</v>
      </c>
      <c r="I6" s="215">
        <v>125175</v>
      </c>
      <c r="J6" s="19">
        <v>50070</v>
      </c>
      <c r="K6" s="174">
        <v>4</v>
      </c>
      <c r="L6" s="32" t="s">
        <v>144</v>
      </c>
      <c r="M6" s="181" t="s">
        <v>80</v>
      </c>
      <c r="N6" s="181" t="s">
        <v>141</v>
      </c>
    </row>
    <row r="7" spans="1:14" ht="13" customHeight="1" x14ac:dyDescent="0.2">
      <c r="A7" s="47">
        <v>66</v>
      </c>
      <c r="B7" s="212" t="s">
        <v>62</v>
      </c>
      <c r="C7" s="212">
        <v>1</v>
      </c>
      <c r="D7" s="213" t="s">
        <v>657</v>
      </c>
      <c r="E7" s="212" t="s">
        <v>654</v>
      </c>
      <c r="F7" s="212"/>
      <c r="G7" s="214" t="s">
        <v>72</v>
      </c>
      <c r="H7" s="212" t="s">
        <v>92</v>
      </c>
      <c r="I7" s="215">
        <v>86470</v>
      </c>
      <c r="J7" s="19">
        <v>17294</v>
      </c>
      <c r="K7" s="174">
        <v>3</v>
      </c>
      <c r="L7" s="32" t="s">
        <v>144</v>
      </c>
      <c r="M7" s="181" t="s">
        <v>80</v>
      </c>
      <c r="N7" s="181" t="s">
        <v>39</v>
      </c>
    </row>
    <row r="8" spans="1:14" ht="13" customHeight="1" x14ac:dyDescent="0.2">
      <c r="A8" s="47">
        <v>73</v>
      </c>
      <c r="B8" s="212" t="s">
        <v>88</v>
      </c>
      <c r="C8" s="212">
        <v>1</v>
      </c>
      <c r="D8" s="213" t="s">
        <v>678</v>
      </c>
      <c r="E8" s="212" t="s">
        <v>297</v>
      </c>
      <c r="F8" s="212" t="s">
        <v>669</v>
      </c>
      <c r="G8" s="214" t="s">
        <v>44</v>
      </c>
      <c r="H8" s="212" t="s">
        <v>92</v>
      </c>
      <c r="I8" s="215">
        <v>84620</v>
      </c>
      <c r="J8" s="19">
        <v>16924</v>
      </c>
      <c r="K8" s="174">
        <v>3</v>
      </c>
      <c r="L8" s="32" t="s">
        <v>144</v>
      </c>
      <c r="M8" s="181" t="s">
        <v>80</v>
      </c>
      <c r="N8" s="181" t="s">
        <v>39</v>
      </c>
    </row>
    <row r="9" spans="1:14" ht="13" customHeight="1" x14ac:dyDescent="0.2">
      <c r="A9" s="47">
        <v>74</v>
      </c>
      <c r="B9" s="212" t="s">
        <v>88</v>
      </c>
      <c r="C9" s="212">
        <v>1</v>
      </c>
      <c r="D9" s="213" t="s">
        <v>691</v>
      </c>
      <c r="E9" s="212" t="s">
        <v>297</v>
      </c>
      <c r="F9" s="212" t="s">
        <v>670</v>
      </c>
      <c r="G9" s="214" t="s">
        <v>44</v>
      </c>
      <c r="H9" s="212" t="s">
        <v>65</v>
      </c>
      <c r="I9" s="215">
        <v>73820</v>
      </c>
      <c r="J9" s="19">
        <v>14764</v>
      </c>
      <c r="K9" s="174">
        <v>3</v>
      </c>
      <c r="L9" s="32" t="s">
        <v>144</v>
      </c>
      <c r="M9" s="181" t="s">
        <v>80</v>
      </c>
      <c r="N9" s="186" t="s">
        <v>95</v>
      </c>
    </row>
    <row r="10" spans="1:14" ht="13" customHeight="1" x14ac:dyDescent="0.2">
      <c r="A10" s="47">
        <v>79</v>
      </c>
      <c r="B10" s="212" t="s">
        <v>32</v>
      </c>
      <c r="C10" s="212">
        <v>1</v>
      </c>
      <c r="D10" s="213" t="s">
        <v>695</v>
      </c>
      <c r="E10" s="212" t="s">
        <v>315</v>
      </c>
      <c r="F10" s="212" t="s">
        <v>315</v>
      </c>
      <c r="G10" s="214" t="s">
        <v>44</v>
      </c>
      <c r="H10" s="212" t="s">
        <v>92</v>
      </c>
      <c r="I10" s="215">
        <v>151916</v>
      </c>
      <c r="J10" s="19">
        <v>60766.400000000001</v>
      </c>
      <c r="K10" s="174">
        <v>4</v>
      </c>
      <c r="L10" s="32" t="s">
        <v>144</v>
      </c>
      <c r="M10" s="181" t="s">
        <v>80</v>
      </c>
      <c r="N10" s="186" t="s">
        <v>120</v>
      </c>
    </row>
    <row r="11" spans="1:14" ht="13" customHeight="1" x14ac:dyDescent="0.2">
      <c r="A11" s="47">
        <v>44</v>
      </c>
      <c r="B11" s="212" t="s">
        <v>62</v>
      </c>
      <c r="C11" s="212">
        <v>1</v>
      </c>
      <c r="D11" s="213" t="s">
        <v>579</v>
      </c>
      <c r="E11" s="212" t="s">
        <v>370</v>
      </c>
      <c r="F11" s="212" t="s">
        <v>580</v>
      </c>
      <c r="G11" s="214" t="s">
        <v>72</v>
      </c>
      <c r="H11" s="212" t="s">
        <v>65</v>
      </c>
      <c r="I11" s="215">
        <v>182000</v>
      </c>
      <c r="J11" s="19">
        <v>72800</v>
      </c>
      <c r="K11" s="174">
        <v>4</v>
      </c>
      <c r="L11" s="32" t="s">
        <v>144</v>
      </c>
      <c r="M11" s="181" t="s">
        <v>80</v>
      </c>
      <c r="N11" s="186" t="s">
        <v>153</v>
      </c>
    </row>
    <row r="12" spans="1:14" ht="13" customHeight="1" x14ac:dyDescent="0.2">
      <c r="A12" s="47">
        <v>78</v>
      </c>
      <c r="B12" s="32" t="s">
        <v>32</v>
      </c>
      <c r="C12" s="32">
        <v>2</v>
      </c>
      <c r="D12" s="26" t="s">
        <v>696</v>
      </c>
      <c r="E12" s="32" t="s">
        <v>162</v>
      </c>
      <c r="F12" s="32" t="s">
        <v>693</v>
      </c>
      <c r="G12" s="217" t="s">
        <v>44</v>
      </c>
      <c r="H12" s="32" t="s">
        <v>92</v>
      </c>
      <c r="I12" s="19">
        <v>64866</v>
      </c>
      <c r="J12" s="19">
        <v>8800</v>
      </c>
      <c r="K12" s="174">
        <v>3</v>
      </c>
      <c r="L12" s="32" t="s">
        <v>103</v>
      </c>
      <c r="M12" s="181" t="s">
        <v>80</v>
      </c>
      <c r="N12" s="186" t="s">
        <v>35</v>
      </c>
    </row>
    <row r="13" spans="1:14" ht="13" customHeight="1" x14ac:dyDescent="0.2">
      <c r="A13" s="47">
        <v>40</v>
      </c>
      <c r="B13" s="32" t="s">
        <v>62</v>
      </c>
      <c r="C13" s="32">
        <v>2</v>
      </c>
      <c r="D13" s="26" t="s">
        <v>571</v>
      </c>
      <c r="E13" s="32" t="s">
        <v>284</v>
      </c>
      <c r="F13" s="32" t="s">
        <v>572</v>
      </c>
      <c r="G13" s="217" t="s">
        <v>44</v>
      </c>
      <c r="H13" s="32" t="s">
        <v>92</v>
      </c>
      <c r="I13" s="19">
        <v>543586</v>
      </c>
      <c r="J13" s="19">
        <v>217434.40000000002</v>
      </c>
      <c r="K13" s="174">
        <v>8</v>
      </c>
      <c r="L13" s="32" t="s">
        <v>103</v>
      </c>
      <c r="M13" s="181" t="s">
        <v>105</v>
      </c>
      <c r="N13" s="186" t="s">
        <v>39</v>
      </c>
    </row>
    <row r="14" spans="1:14" ht="13" customHeight="1" x14ac:dyDescent="0.2">
      <c r="A14" s="47">
        <v>29</v>
      </c>
      <c r="B14" s="32" t="s">
        <v>32</v>
      </c>
      <c r="C14" s="32">
        <v>2</v>
      </c>
      <c r="D14" s="26" t="s">
        <v>545</v>
      </c>
      <c r="E14" s="32" t="s">
        <v>181</v>
      </c>
      <c r="F14" s="32" t="s">
        <v>546</v>
      </c>
      <c r="G14" s="217" t="s">
        <v>44</v>
      </c>
      <c r="H14" s="32" t="s">
        <v>92</v>
      </c>
      <c r="I14" s="19">
        <v>235707</v>
      </c>
      <c r="J14" s="19">
        <v>94282.8</v>
      </c>
      <c r="K14" s="174">
        <v>6</v>
      </c>
      <c r="L14" s="32" t="s">
        <v>103</v>
      </c>
      <c r="M14" s="181" t="s">
        <v>80</v>
      </c>
      <c r="N14" s="186" t="s">
        <v>39</v>
      </c>
    </row>
    <row r="15" spans="1:14" ht="13" customHeight="1" x14ac:dyDescent="0.2">
      <c r="A15" s="47">
        <v>52</v>
      </c>
      <c r="B15" s="32" t="s">
        <v>32</v>
      </c>
      <c r="C15" s="32">
        <v>3</v>
      </c>
      <c r="D15" s="26" t="s">
        <v>591</v>
      </c>
      <c r="E15" s="32" t="s">
        <v>90</v>
      </c>
      <c r="F15" s="32" t="s">
        <v>550</v>
      </c>
      <c r="G15" s="217" t="s">
        <v>98</v>
      </c>
      <c r="H15" s="32" t="s">
        <v>65</v>
      </c>
      <c r="I15" s="19">
        <v>274370</v>
      </c>
      <c r="J15" s="19">
        <v>109748</v>
      </c>
      <c r="K15" s="174">
        <v>8.5</v>
      </c>
      <c r="L15" s="32" t="s">
        <v>103</v>
      </c>
      <c r="M15" s="181" t="s">
        <v>80</v>
      </c>
      <c r="N15" s="186" t="s">
        <v>95</v>
      </c>
    </row>
    <row r="16" spans="1:14" ht="13" customHeight="1" x14ac:dyDescent="0.2">
      <c r="A16" s="47">
        <v>68</v>
      </c>
      <c r="B16" s="32" t="s">
        <v>62</v>
      </c>
      <c r="C16" s="32">
        <v>3</v>
      </c>
      <c r="D16" s="26" t="s">
        <v>662</v>
      </c>
      <c r="E16" s="32" t="s">
        <v>323</v>
      </c>
      <c r="F16" s="32" t="s">
        <v>663</v>
      </c>
      <c r="G16" s="217" t="s">
        <v>72</v>
      </c>
      <c r="H16" s="32" t="s">
        <v>65</v>
      </c>
      <c r="I16" s="19">
        <v>40080</v>
      </c>
      <c r="J16" s="19">
        <v>8016</v>
      </c>
      <c r="K16" s="174">
        <v>1.5</v>
      </c>
      <c r="L16" s="32" t="s">
        <v>103</v>
      </c>
      <c r="M16" s="181" t="s">
        <v>80</v>
      </c>
      <c r="N16" s="186" t="s">
        <v>39</v>
      </c>
    </row>
    <row r="17" spans="1:14" ht="13" customHeight="1" x14ac:dyDescent="0.2">
      <c r="A17" s="47">
        <v>57</v>
      </c>
      <c r="B17" s="174" t="s">
        <v>62</v>
      </c>
      <c r="C17" s="32">
        <v>3</v>
      </c>
      <c r="D17" s="196" t="s">
        <v>633</v>
      </c>
      <c r="E17" s="174" t="s">
        <v>323</v>
      </c>
      <c r="F17" s="174" t="s">
        <v>664</v>
      </c>
      <c r="G17" s="47" t="s">
        <v>72</v>
      </c>
      <c r="H17" s="174" t="s">
        <v>65</v>
      </c>
      <c r="I17" s="19">
        <v>347308</v>
      </c>
      <c r="J17" s="19">
        <v>138923.20000000001</v>
      </c>
      <c r="K17" s="174">
        <v>6</v>
      </c>
      <c r="L17" s="32" t="s">
        <v>103</v>
      </c>
      <c r="M17" s="181" t="s">
        <v>105</v>
      </c>
      <c r="N17" s="186" t="s">
        <v>39</v>
      </c>
    </row>
    <row r="18" spans="1:14" ht="13" customHeight="1" x14ac:dyDescent="0.2">
      <c r="A18" s="47">
        <v>46</v>
      </c>
      <c r="B18" s="32" t="s">
        <v>32</v>
      </c>
      <c r="C18" s="32">
        <v>3</v>
      </c>
      <c r="D18" s="194" t="s">
        <v>694</v>
      </c>
      <c r="E18" s="174" t="s">
        <v>372</v>
      </c>
      <c r="F18" s="174" t="s">
        <v>584</v>
      </c>
      <c r="G18" s="47"/>
      <c r="H18" s="174"/>
      <c r="I18" s="19">
        <v>625205</v>
      </c>
      <c r="J18" s="19">
        <v>250082</v>
      </c>
      <c r="K18" s="174"/>
      <c r="L18" s="32" t="s">
        <v>127</v>
      </c>
      <c r="M18" s="181" t="s">
        <v>129</v>
      </c>
      <c r="N18" s="186" t="s">
        <v>153</v>
      </c>
    </row>
    <row r="19" spans="1:14" ht="13" customHeight="1" x14ac:dyDescent="0.2">
      <c r="A19" s="47">
        <v>49</v>
      </c>
      <c r="B19" s="174" t="s">
        <v>62</v>
      </c>
      <c r="C19" s="32">
        <v>3</v>
      </c>
      <c r="D19" s="194" t="s">
        <v>587</v>
      </c>
      <c r="E19" s="174" t="s">
        <v>284</v>
      </c>
      <c r="F19" s="174"/>
      <c r="G19" s="47" t="s">
        <v>44</v>
      </c>
      <c r="H19" s="174" t="s">
        <v>65</v>
      </c>
      <c r="I19" s="19">
        <v>695520</v>
      </c>
      <c r="J19" s="19">
        <v>278208</v>
      </c>
      <c r="K19" s="174">
        <v>9</v>
      </c>
      <c r="L19" s="32" t="s">
        <v>103</v>
      </c>
      <c r="M19" s="181" t="s">
        <v>129</v>
      </c>
      <c r="N19" s="186" t="s">
        <v>176</v>
      </c>
    </row>
    <row r="20" spans="1:14" ht="13" customHeight="1" x14ac:dyDescent="0.2">
      <c r="A20" s="47">
        <v>5</v>
      </c>
      <c r="B20" s="32" t="s">
        <v>88</v>
      </c>
      <c r="C20" s="32">
        <v>4</v>
      </c>
      <c r="D20" s="194" t="s">
        <v>192</v>
      </c>
      <c r="E20" s="174" t="s">
        <v>307</v>
      </c>
      <c r="F20" s="174"/>
      <c r="G20" s="47" t="s">
        <v>98</v>
      </c>
      <c r="H20" s="174" t="s">
        <v>92</v>
      </c>
      <c r="I20" s="19">
        <v>105000</v>
      </c>
      <c r="J20" s="19">
        <v>42000</v>
      </c>
      <c r="K20" s="174">
        <v>3</v>
      </c>
      <c r="L20" s="32" t="s">
        <v>689</v>
      </c>
      <c r="M20" s="181" t="s">
        <v>105</v>
      </c>
      <c r="N20" s="186" t="s">
        <v>39</v>
      </c>
    </row>
    <row r="21" spans="1:14" ht="13" customHeight="1" x14ac:dyDescent="0.2">
      <c r="A21" s="47">
        <v>72</v>
      </c>
      <c r="B21" s="174" t="s">
        <v>112</v>
      </c>
      <c r="C21" s="174">
        <v>4</v>
      </c>
      <c r="D21" s="194" t="s">
        <v>673</v>
      </c>
      <c r="E21" s="174" t="s">
        <v>293</v>
      </c>
      <c r="F21" s="174"/>
      <c r="G21" s="47" t="s">
        <v>72</v>
      </c>
      <c r="H21" s="174" t="s">
        <v>116</v>
      </c>
      <c r="I21" s="19">
        <v>275980</v>
      </c>
      <c r="J21" s="19">
        <v>110392</v>
      </c>
      <c r="K21" s="174">
        <v>6</v>
      </c>
      <c r="L21" s="32" t="s">
        <v>689</v>
      </c>
      <c r="M21" s="181" t="s">
        <v>105</v>
      </c>
      <c r="N21" s="186" t="s">
        <v>141</v>
      </c>
    </row>
    <row r="22" spans="1:14" ht="13" customHeight="1" x14ac:dyDescent="0.2">
      <c r="A22" s="47">
        <v>56</v>
      </c>
      <c r="B22" s="174" t="s">
        <v>62</v>
      </c>
      <c r="C22" s="32">
        <v>5</v>
      </c>
      <c r="D22" s="194" t="s">
        <v>594</v>
      </c>
      <c r="E22" s="174" t="s">
        <v>213</v>
      </c>
      <c r="F22" s="174" t="s">
        <v>595</v>
      </c>
      <c r="G22" s="47" t="s">
        <v>98</v>
      </c>
      <c r="H22" s="174"/>
      <c r="I22" s="19">
        <v>54890</v>
      </c>
      <c r="J22" s="19">
        <v>10978</v>
      </c>
      <c r="K22" s="174">
        <v>1</v>
      </c>
      <c r="L22" s="32" t="s">
        <v>51</v>
      </c>
      <c r="M22" s="181" t="s">
        <v>80</v>
      </c>
      <c r="N22" s="181" t="s">
        <v>39</v>
      </c>
    </row>
    <row r="23" spans="1:14" ht="13" customHeight="1" x14ac:dyDescent="0.2">
      <c r="A23" s="47">
        <v>18</v>
      </c>
      <c r="B23" s="174" t="s">
        <v>62</v>
      </c>
      <c r="C23" s="32">
        <v>6</v>
      </c>
      <c r="D23" s="194" t="s">
        <v>172</v>
      </c>
      <c r="E23" s="174" t="s">
        <v>292</v>
      </c>
      <c r="F23" s="174" t="s">
        <v>530</v>
      </c>
      <c r="G23" s="47" t="s">
        <v>72</v>
      </c>
      <c r="H23" s="174" t="s">
        <v>65</v>
      </c>
      <c r="I23" s="19">
        <v>48000</v>
      </c>
      <c r="J23" s="19">
        <v>9600</v>
      </c>
      <c r="K23" s="174">
        <v>1</v>
      </c>
      <c r="L23" s="32" t="s">
        <v>103</v>
      </c>
      <c r="M23" s="181" t="s">
        <v>80</v>
      </c>
      <c r="N23" s="181" t="s">
        <v>141</v>
      </c>
    </row>
    <row r="24" spans="1:14" ht="13" customHeight="1" x14ac:dyDescent="0.2">
      <c r="A24" s="47">
        <v>28</v>
      </c>
      <c r="B24" s="174" t="s">
        <v>62</v>
      </c>
      <c r="C24" s="32">
        <v>6</v>
      </c>
      <c r="D24" s="210" t="s">
        <v>543</v>
      </c>
      <c r="E24" s="174" t="s">
        <v>358</v>
      </c>
      <c r="F24" s="174" t="s">
        <v>544</v>
      </c>
      <c r="G24" s="47" t="s">
        <v>72</v>
      </c>
      <c r="H24" s="174" t="s">
        <v>65</v>
      </c>
      <c r="I24" s="19">
        <v>144820</v>
      </c>
      <c r="J24" s="19">
        <v>57928</v>
      </c>
      <c r="K24" s="174">
        <v>4</v>
      </c>
      <c r="L24" s="32" t="s">
        <v>689</v>
      </c>
      <c r="M24" s="181" t="s">
        <v>80</v>
      </c>
      <c r="N24" s="181" t="s">
        <v>95</v>
      </c>
    </row>
    <row r="25" spans="1:14" ht="13" customHeight="1" x14ac:dyDescent="0.2">
      <c r="A25" s="47">
        <v>32</v>
      </c>
      <c r="B25" s="32" t="s">
        <v>62</v>
      </c>
      <c r="C25" s="32">
        <v>6</v>
      </c>
      <c r="D25" s="210" t="s">
        <v>554</v>
      </c>
      <c r="E25" s="174" t="s">
        <v>360</v>
      </c>
      <c r="F25" s="174" t="s">
        <v>555</v>
      </c>
      <c r="G25" s="47" t="s">
        <v>72</v>
      </c>
      <c r="H25" s="174" t="s">
        <v>65</v>
      </c>
      <c r="I25" s="19">
        <v>80000</v>
      </c>
      <c r="J25" s="19">
        <v>16000</v>
      </c>
      <c r="K25" s="174">
        <v>3</v>
      </c>
      <c r="L25" s="32" t="s">
        <v>103</v>
      </c>
      <c r="M25" s="181" t="s">
        <v>129</v>
      </c>
      <c r="N25" s="181" t="s">
        <v>153</v>
      </c>
    </row>
    <row r="26" spans="1:14" ht="13" customHeight="1" x14ac:dyDescent="0.2">
      <c r="A26" s="47">
        <v>47</v>
      </c>
      <c r="B26" s="32" t="s">
        <v>62</v>
      </c>
      <c r="C26" s="32">
        <v>6</v>
      </c>
      <c r="D26" s="210" t="s">
        <v>585</v>
      </c>
      <c r="E26" s="174" t="s">
        <v>303</v>
      </c>
      <c r="F26" s="174"/>
      <c r="G26" s="47"/>
      <c r="H26" s="174"/>
      <c r="I26" s="19">
        <v>65000</v>
      </c>
      <c r="J26" s="19">
        <v>13000</v>
      </c>
      <c r="K26" s="174">
        <v>1.5</v>
      </c>
      <c r="L26" s="32" t="s">
        <v>144</v>
      </c>
      <c r="M26" s="181" t="s">
        <v>80</v>
      </c>
      <c r="N26" s="181" t="s">
        <v>39</v>
      </c>
    </row>
    <row r="27" spans="1:14" ht="13" customHeight="1" x14ac:dyDescent="0.2">
      <c r="A27" s="47">
        <v>77</v>
      </c>
      <c r="B27" s="174" t="s">
        <v>112</v>
      </c>
      <c r="C27" s="32">
        <v>6</v>
      </c>
      <c r="D27" s="194" t="s">
        <v>702</v>
      </c>
      <c r="E27" s="174" t="s">
        <v>293</v>
      </c>
      <c r="F27" s="174"/>
      <c r="G27" s="47" t="s">
        <v>44</v>
      </c>
      <c r="H27" s="174" t="s">
        <v>92</v>
      </c>
      <c r="I27" s="19">
        <v>144000</v>
      </c>
      <c r="J27" s="19">
        <v>57600</v>
      </c>
      <c r="K27" s="174">
        <v>4</v>
      </c>
      <c r="L27" s="32" t="s">
        <v>103</v>
      </c>
      <c r="M27" s="181" t="s">
        <v>129</v>
      </c>
      <c r="N27" s="181" t="s">
        <v>185</v>
      </c>
    </row>
    <row r="28" spans="1:14" ht="13" customHeight="1" x14ac:dyDescent="0.2">
      <c r="A28" s="47">
        <v>1</v>
      </c>
      <c r="B28" s="32" t="s">
        <v>88</v>
      </c>
      <c r="C28" s="32">
        <v>6</v>
      </c>
      <c r="D28" s="194" t="s">
        <v>3</v>
      </c>
      <c r="E28" s="174" t="s">
        <v>218</v>
      </c>
      <c r="F28" s="174" t="s">
        <v>516</v>
      </c>
      <c r="G28" s="47" t="s">
        <v>44</v>
      </c>
      <c r="H28" s="174" t="s">
        <v>65</v>
      </c>
      <c r="I28" s="19">
        <v>390000</v>
      </c>
      <c r="J28" s="19">
        <v>156000</v>
      </c>
      <c r="K28" s="174">
        <v>5</v>
      </c>
      <c r="L28" s="32" t="s">
        <v>103</v>
      </c>
      <c r="M28" s="181" t="s">
        <v>53</v>
      </c>
      <c r="N28" s="181" t="s">
        <v>95</v>
      </c>
    </row>
    <row r="29" spans="1:14" ht="13" customHeight="1" x14ac:dyDescent="0.2">
      <c r="A29" s="47">
        <v>19</v>
      </c>
      <c r="B29" s="174" t="s">
        <v>32</v>
      </c>
      <c r="C29" s="32">
        <v>6</v>
      </c>
      <c r="D29" s="194" t="s">
        <v>223</v>
      </c>
      <c r="E29" s="174" t="s">
        <v>333</v>
      </c>
      <c r="F29" s="174" t="s">
        <v>181</v>
      </c>
      <c r="G29" s="47" t="s">
        <v>72</v>
      </c>
      <c r="H29" s="174" t="s">
        <v>116</v>
      </c>
      <c r="I29" s="19">
        <v>490000</v>
      </c>
      <c r="J29" s="19">
        <v>196000</v>
      </c>
      <c r="K29" s="174">
        <v>6</v>
      </c>
      <c r="L29" s="32" t="s">
        <v>103</v>
      </c>
      <c r="M29" s="181" t="s">
        <v>80</v>
      </c>
      <c r="N29" s="181" t="s">
        <v>39</v>
      </c>
    </row>
    <row r="30" spans="1:14" ht="13" customHeight="1" x14ac:dyDescent="0.2">
      <c r="A30" s="47">
        <v>34</v>
      </c>
      <c r="B30" s="32" t="s">
        <v>88</v>
      </c>
      <c r="C30" s="32">
        <v>6</v>
      </c>
      <c r="D30" s="194" t="s">
        <v>559</v>
      </c>
      <c r="E30" s="174" t="s">
        <v>362</v>
      </c>
      <c r="F30" s="174" t="s">
        <v>560</v>
      </c>
      <c r="G30" s="47" t="s">
        <v>44</v>
      </c>
      <c r="H30" s="174" t="s">
        <v>92</v>
      </c>
      <c r="I30" s="19">
        <v>194000</v>
      </c>
      <c r="J30" s="19">
        <v>77600</v>
      </c>
      <c r="K30" s="174">
        <v>2</v>
      </c>
      <c r="L30" s="32" t="s">
        <v>103</v>
      </c>
      <c r="M30" s="181" t="s">
        <v>80</v>
      </c>
      <c r="N30" s="181" t="s">
        <v>35</v>
      </c>
    </row>
    <row r="31" spans="1:14" ht="13" customHeight="1" x14ac:dyDescent="0.2">
      <c r="A31" s="47">
        <v>37</v>
      </c>
      <c r="B31" s="32" t="s">
        <v>32</v>
      </c>
      <c r="C31" s="32">
        <v>6</v>
      </c>
      <c r="D31" s="194" t="s">
        <v>565</v>
      </c>
      <c r="E31" s="174" t="s">
        <v>250</v>
      </c>
      <c r="F31" s="174" t="s">
        <v>566</v>
      </c>
      <c r="G31" s="47" t="s">
        <v>98</v>
      </c>
      <c r="H31" s="174" t="s">
        <v>65</v>
      </c>
      <c r="I31" s="19">
        <v>204000</v>
      </c>
      <c r="J31" s="19">
        <v>81600</v>
      </c>
      <c r="K31" s="174">
        <v>3</v>
      </c>
      <c r="L31" s="175" t="s">
        <v>127</v>
      </c>
      <c r="M31" s="181" t="s">
        <v>129</v>
      </c>
      <c r="N31" s="181" t="s">
        <v>185</v>
      </c>
    </row>
    <row r="32" spans="1:14" ht="13" customHeight="1" x14ac:dyDescent="0.2">
      <c r="A32" s="47">
        <v>41</v>
      </c>
      <c r="B32" s="32" t="s">
        <v>32</v>
      </c>
      <c r="C32" s="32">
        <v>6</v>
      </c>
      <c r="D32" s="194" t="s">
        <v>573</v>
      </c>
      <c r="E32" s="174" t="s">
        <v>162</v>
      </c>
      <c r="F32" s="174" t="s">
        <v>574</v>
      </c>
      <c r="G32" s="47" t="s">
        <v>98</v>
      </c>
      <c r="H32" s="174" t="s">
        <v>92</v>
      </c>
      <c r="I32" s="19">
        <v>50000</v>
      </c>
      <c r="J32" s="19">
        <v>10000</v>
      </c>
      <c r="K32" s="174">
        <v>2</v>
      </c>
      <c r="L32" s="32" t="s">
        <v>103</v>
      </c>
      <c r="M32" s="181" t="s">
        <v>53</v>
      </c>
      <c r="N32" s="181" t="s">
        <v>120</v>
      </c>
    </row>
    <row r="33" spans="1:14" ht="13" customHeight="1" x14ac:dyDescent="0.2">
      <c r="A33" s="47">
        <v>45</v>
      </c>
      <c r="B33" s="32" t="s">
        <v>88</v>
      </c>
      <c r="C33" s="32">
        <v>6</v>
      </c>
      <c r="D33" s="194" t="s">
        <v>581</v>
      </c>
      <c r="E33" s="174" t="s">
        <v>199</v>
      </c>
      <c r="F33" s="174" t="s">
        <v>576</v>
      </c>
      <c r="G33" s="47" t="s">
        <v>98</v>
      </c>
      <c r="H33" s="174" t="s">
        <v>65</v>
      </c>
      <c r="I33" s="19">
        <v>1150000</v>
      </c>
      <c r="J33" s="19">
        <v>460000</v>
      </c>
      <c r="K33" s="174">
        <v>13</v>
      </c>
      <c r="L33" s="32" t="s">
        <v>103</v>
      </c>
      <c r="M33" s="181" t="s">
        <v>80</v>
      </c>
      <c r="N33" s="181" t="s">
        <v>120</v>
      </c>
    </row>
    <row r="34" spans="1:14" ht="13" customHeight="1" x14ac:dyDescent="0.2">
      <c r="A34" s="47">
        <v>8</v>
      </c>
      <c r="B34" s="32" t="s">
        <v>88</v>
      </c>
      <c r="C34" s="32" t="s">
        <v>707</v>
      </c>
      <c r="D34" s="211" t="s">
        <v>212</v>
      </c>
      <c r="E34" s="174" t="s">
        <v>202</v>
      </c>
      <c r="F34" s="174" t="s">
        <v>524</v>
      </c>
      <c r="G34" s="47" t="s">
        <v>44</v>
      </c>
      <c r="H34" s="174" t="s">
        <v>65</v>
      </c>
      <c r="I34" s="19">
        <v>190000</v>
      </c>
      <c r="J34" s="19">
        <v>76000</v>
      </c>
      <c r="K34" s="174">
        <v>3</v>
      </c>
      <c r="L34" s="32" t="s">
        <v>689</v>
      </c>
      <c r="M34" s="181" t="s">
        <v>80</v>
      </c>
      <c r="N34" s="181" t="s">
        <v>35</v>
      </c>
    </row>
    <row r="35" spans="1:14" ht="13" customHeight="1" x14ac:dyDescent="0.2">
      <c r="A35" s="47">
        <v>26</v>
      </c>
      <c r="B35" s="174" t="s">
        <v>88</v>
      </c>
      <c r="C35" s="32" t="s">
        <v>707</v>
      </c>
      <c r="D35" s="194" t="s">
        <v>539</v>
      </c>
      <c r="E35" s="174" t="s">
        <v>297</v>
      </c>
      <c r="F35" s="174" t="s">
        <v>540</v>
      </c>
      <c r="G35" s="47" t="s">
        <v>44</v>
      </c>
      <c r="H35" s="174" t="s">
        <v>65</v>
      </c>
      <c r="I35" s="19">
        <v>246268</v>
      </c>
      <c r="J35" s="19">
        <v>98507.200000000012</v>
      </c>
      <c r="K35" s="32">
        <v>4</v>
      </c>
      <c r="L35" s="32" t="s">
        <v>103</v>
      </c>
      <c r="M35" s="181" t="s">
        <v>129</v>
      </c>
      <c r="N35" s="181" t="s">
        <v>153</v>
      </c>
    </row>
    <row r="36" spans="1:14" ht="13" customHeight="1" x14ac:dyDescent="0.2">
      <c r="A36" s="47">
        <v>62</v>
      </c>
      <c r="B36" s="174" t="s">
        <v>88</v>
      </c>
      <c r="C36" s="32" t="s">
        <v>707</v>
      </c>
      <c r="D36" s="196" t="s">
        <v>638</v>
      </c>
      <c r="E36" s="174" t="s">
        <v>297</v>
      </c>
      <c r="F36" s="174" t="s">
        <v>650</v>
      </c>
      <c r="G36" s="47" t="s">
        <v>98</v>
      </c>
      <c r="H36" s="174" t="s">
        <v>116</v>
      </c>
      <c r="I36" s="19">
        <v>98645.88</v>
      </c>
      <c r="J36" s="19">
        <v>19729.176000000003</v>
      </c>
      <c r="K36" s="174">
        <v>3</v>
      </c>
      <c r="L36" s="32" t="s">
        <v>689</v>
      </c>
      <c r="M36" s="181" t="s">
        <v>105</v>
      </c>
      <c r="N36" s="186" t="s">
        <v>35</v>
      </c>
    </row>
  </sheetData>
  <autoFilter ref="A1:K36" xr:uid="{6B761C28-00EB-4F0A-9B99-9C9D1EB658C3}">
    <sortState xmlns:xlrd2="http://schemas.microsoft.com/office/spreadsheetml/2017/richdata2" ref="A2:K36">
      <sortCondition ref="C1:C36"/>
    </sortState>
  </autoFilter>
  <sortState xmlns:xlrd2="http://schemas.microsoft.com/office/spreadsheetml/2017/richdata2" ref="A2:K36">
    <sortCondition descending="1" ref="C1:C36"/>
  </sortState>
  <dataValidations count="1">
    <dataValidation allowBlank="1" showInputMessage="1" showErrorMessage="1" error="Probabilidad debe ser entre 0 y 100" sqref="G1 K1" xr:uid="{3BB729C1-35D7-4498-9820-D4717EA83692}"/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1EC1EAEE-EBE8-46F8-B2BC-66943A6E1263}">
          <x14:formula1>
            <xm:f>Códigos_Propuestas!$B$4:$B$10</xm:f>
          </x14:formula1>
          <xm:sqref>B2:B14</xm:sqref>
        </x14:dataValidation>
        <x14:dataValidation type="list" allowBlank="1" showInputMessage="1" showErrorMessage="1" xr:uid="{5690BC18-716D-4A94-8BCA-991443F3AC94}">
          <x14:formula1>
            <xm:f>Códigos_Propuestas!$O$4:$O$16</xm:f>
          </x14:formula1>
          <xm:sqref>N1:N36</xm:sqref>
        </x14:dataValidation>
        <x14:dataValidation type="list" allowBlank="1" showInputMessage="1" showErrorMessage="1" xr:uid="{D40899C1-BA3B-4C9B-BBE6-F9591752A03F}">
          <x14:formula1>
            <xm:f>Códigos_Propuestas!$AL$4:$AL$8</xm:f>
          </x14:formula1>
          <xm:sqref>L2:L36</xm:sqref>
        </x14:dataValidation>
        <x14:dataValidation type="list" allowBlank="1" showInputMessage="1" showErrorMessage="1" xr:uid="{5A61D84F-1469-4E76-8DFC-5A13EC9C2E6E}">
          <x14:formula1>
            <xm:f>Códigos_Propuestas!$Z$4:$Z$6</xm:f>
          </x14:formula1>
          <xm:sqref>G2:G36</xm:sqref>
        </x14:dataValidation>
        <x14:dataValidation type="list" allowBlank="1" showInputMessage="1" showErrorMessage="1" xr:uid="{59D152FF-F6A5-45A5-AF09-35881F190F55}">
          <x14:formula1>
            <xm:f>Códigos_Propuestas!$I$4:$I$7</xm:f>
          </x14:formula1>
          <xm:sqref>H2:H36</xm:sqref>
        </x14:dataValidation>
        <x14:dataValidation type="list" allowBlank="1" showInputMessage="1" showErrorMessage="1" xr:uid="{006B0F4F-2C0E-4BB8-9C92-E29F30694BB9}">
          <x14:formula1>
            <xm:f>Códigos_Propuestas!$E$4:$E$69</xm:f>
          </x14:formula1>
          <xm:sqref>E2:E3</xm:sqref>
        </x14:dataValidation>
        <x14:dataValidation type="list" allowBlank="1" showInputMessage="1" showErrorMessage="1" xr:uid="{5DB2F4A0-3E9C-4599-B727-F7C3F59E0B45}">
          <x14:formula1>
            <xm:f>Códigos_Propuestas!$E$4:$E$86</xm:f>
          </x14:formula1>
          <xm:sqref>E5:E9</xm:sqref>
        </x14:dataValidation>
        <x14:dataValidation type="list" allowBlank="1" showInputMessage="1" showErrorMessage="1" xr:uid="{C31A2F9C-00A0-4050-A990-60A4D877F5DD}">
          <x14:formula1>
            <xm:f>Códigos_Propuestas!$E$4:$E$85</xm:f>
          </x14:formula1>
          <xm:sqref>E4</xm:sqref>
        </x14:dataValidation>
        <x14:dataValidation type="list" allowBlank="1" showInputMessage="1" showErrorMessage="1" xr:uid="{BE2F06FF-43B9-446E-A660-46D1EA7BB950}">
          <x14:formula1>
            <xm:f>Códigos_Propuestas!$E$4:$E$113</xm:f>
          </x14:formula1>
          <xm:sqref>E10:E36</xm:sqref>
        </x14:dataValidation>
        <x14:dataValidation type="list" allowBlank="1" showInputMessage="1" showErrorMessage="1" xr:uid="{924F04B8-4F79-40B7-8A31-B83D7227A1AC}">
          <x14:formula1>
            <xm:f>Códigos_Propuestas!$AR$4:$AR$11</xm:f>
          </x14:formula1>
          <xm:sqref>M2:M36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051E2-C5CE-4B1A-B400-FE2EBFBC5138}">
  <dimension ref="B1:O21"/>
  <sheetViews>
    <sheetView topLeftCell="D1" zoomScale="115" zoomScaleNormal="115" workbookViewId="0">
      <selection activeCell="N21" sqref="N21"/>
    </sheetView>
  </sheetViews>
  <sheetFormatPr baseColWidth="10" defaultRowHeight="15" x14ac:dyDescent="0.2"/>
  <cols>
    <col min="4" max="4" width="58.83203125" customWidth="1"/>
    <col min="5" max="5" width="13.83203125" customWidth="1"/>
    <col min="6" max="6" width="9.5" customWidth="1"/>
    <col min="7" max="7" width="8" hidden="1" customWidth="1"/>
    <col min="8" max="8" width="13.1640625" hidden="1" customWidth="1"/>
    <col min="9" max="10" width="10.5" hidden="1" customWidth="1"/>
    <col min="12" max="12" width="4.83203125" customWidth="1"/>
    <col min="14" max="14" width="67.5" customWidth="1"/>
  </cols>
  <sheetData>
    <row r="1" spans="2:14" ht="16" thickBot="1" x14ac:dyDescent="0.25"/>
    <row r="2" spans="2:14" ht="24" x14ac:dyDescent="0.2">
      <c r="B2" s="2" t="s">
        <v>626</v>
      </c>
      <c r="C2" s="2" t="s">
        <v>625</v>
      </c>
      <c r="D2" s="2" t="s">
        <v>0</v>
      </c>
      <c r="E2" s="2" t="s">
        <v>451</v>
      </c>
      <c r="F2" s="1" t="s">
        <v>452</v>
      </c>
      <c r="G2" s="1" t="s">
        <v>379</v>
      </c>
      <c r="H2" s="106" t="s">
        <v>17</v>
      </c>
      <c r="I2" s="106" t="s">
        <v>19</v>
      </c>
      <c r="J2" s="106" t="s">
        <v>480</v>
      </c>
      <c r="K2" s="106" t="s">
        <v>481</v>
      </c>
      <c r="L2" s="106" t="s">
        <v>710</v>
      </c>
      <c r="M2" s="192" t="s">
        <v>482</v>
      </c>
      <c r="N2" s="218" t="s">
        <v>717</v>
      </c>
    </row>
    <row r="3" spans="2:14" x14ac:dyDescent="0.2">
      <c r="B3" s="32" t="s">
        <v>32</v>
      </c>
      <c r="C3" s="32" t="s">
        <v>646</v>
      </c>
      <c r="D3" s="194" t="s">
        <v>238</v>
      </c>
      <c r="E3" s="174" t="s">
        <v>647</v>
      </c>
      <c r="F3" s="174" t="s">
        <v>521</v>
      </c>
      <c r="G3" s="174" t="s">
        <v>122</v>
      </c>
      <c r="H3" s="32" t="s">
        <v>99</v>
      </c>
      <c r="I3" s="32" t="s">
        <v>47</v>
      </c>
      <c r="J3" s="32"/>
      <c r="K3" s="32" t="s">
        <v>50</v>
      </c>
      <c r="L3" s="28"/>
      <c r="M3" s="97">
        <v>74195.899999999994</v>
      </c>
      <c r="N3" s="219" t="s">
        <v>734</v>
      </c>
    </row>
    <row r="4" spans="2:14" x14ac:dyDescent="0.2">
      <c r="B4" s="174" t="s">
        <v>62</v>
      </c>
      <c r="C4" s="174" t="s">
        <v>62</v>
      </c>
      <c r="D4" s="194" t="s">
        <v>217</v>
      </c>
      <c r="E4" s="174" t="s">
        <v>331</v>
      </c>
      <c r="F4" s="174"/>
      <c r="G4" s="174" t="s">
        <v>122</v>
      </c>
      <c r="H4" s="32" t="s">
        <v>45</v>
      </c>
      <c r="I4" s="32"/>
      <c r="J4" s="32"/>
      <c r="K4" s="32" t="s">
        <v>78</v>
      </c>
      <c r="L4" s="28"/>
      <c r="M4" s="97">
        <v>78567</v>
      </c>
      <c r="N4" s="219" t="s">
        <v>725</v>
      </c>
    </row>
    <row r="5" spans="2:14" x14ac:dyDescent="0.2">
      <c r="B5" s="174" t="s">
        <v>62</v>
      </c>
      <c r="C5" s="32" t="s">
        <v>62</v>
      </c>
      <c r="D5" s="194" t="s">
        <v>31</v>
      </c>
      <c r="E5" s="174" t="s">
        <v>221</v>
      </c>
      <c r="F5" s="174" t="s">
        <v>221</v>
      </c>
      <c r="G5" s="174" t="s">
        <v>122</v>
      </c>
      <c r="H5" s="32" t="s">
        <v>45</v>
      </c>
      <c r="I5" s="32" t="s">
        <v>47</v>
      </c>
      <c r="J5" s="32"/>
      <c r="K5" s="32" t="s">
        <v>50</v>
      </c>
      <c r="L5" s="28"/>
      <c r="M5" s="178">
        <v>0</v>
      </c>
      <c r="N5" s="219" t="s">
        <v>711</v>
      </c>
    </row>
    <row r="6" spans="2:14" x14ac:dyDescent="0.2">
      <c r="B6" s="174" t="s">
        <v>32</v>
      </c>
      <c r="C6" s="32" t="s">
        <v>32</v>
      </c>
      <c r="D6" s="194" t="s">
        <v>235</v>
      </c>
      <c r="E6" s="174" t="s">
        <v>315</v>
      </c>
      <c r="F6" s="174" t="s">
        <v>536</v>
      </c>
      <c r="G6" s="174" t="s">
        <v>122</v>
      </c>
      <c r="H6" s="32" t="s">
        <v>123</v>
      </c>
      <c r="I6" s="32" t="s">
        <v>47</v>
      </c>
      <c r="J6" s="32"/>
      <c r="K6" s="32" t="s">
        <v>50</v>
      </c>
      <c r="L6" s="28"/>
      <c r="M6" s="97">
        <v>52220</v>
      </c>
      <c r="N6" s="219" t="s">
        <v>712</v>
      </c>
    </row>
    <row r="7" spans="2:14" x14ac:dyDescent="0.2">
      <c r="B7" s="32" t="s">
        <v>62</v>
      </c>
      <c r="C7" s="32" t="s">
        <v>62</v>
      </c>
      <c r="D7" s="194" t="s">
        <v>547</v>
      </c>
      <c r="E7" s="174" t="s">
        <v>207</v>
      </c>
      <c r="F7" s="174" t="s">
        <v>548</v>
      </c>
      <c r="G7" s="174" t="s">
        <v>122</v>
      </c>
      <c r="H7" s="32"/>
      <c r="I7" s="32"/>
      <c r="J7" s="32"/>
      <c r="K7" s="32" t="s">
        <v>78</v>
      </c>
      <c r="L7" s="28"/>
      <c r="M7" s="97">
        <v>9900</v>
      </c>
      <c r="N7" s="219" t="s">
        <v>726</v>
      </c>
    </row>
    <row r="8" spans="2:14" x14ac:dyDescent="0.2">
      <c r="B8" s="32" t="s">
        <v>62</v>
      </c>
      <c r="C8" s="32" t="s">
        <v>624</v>
      </c>
      <c r="D8" s="194" t="s">
        <v>557</v>
      </c>
      <c r="E8" s="174" t="s">
        <v>321</v>
      </c>
      <c r="F8" s="174" t="s">
        <v>558</v>
      </c>
      <c r="G8" s="174" t="s">
        <v>122</v>
      </c>
      <c r="H8" s="32" t="s">
        <v>45</v>
      </c>
      <c r="I8" s="32" t="s">
        <v>75</v>
      </c>
      <c r="J8" s="32" t="s">
        <v>49</v>
      </c>
      <c r="K8" s="32" t="s">
        <v>50</v>
      </c>
      <c r="L8" s="28"/>
      <c r="M8" s="97">
        <v>168500</v>
      </c>
      <c r="N8" s="219" t="s">
        <v>713</v>
      </c>
    </row>
    <row r="9" spans="2:14" x14ac:dyDescent="0.2">
      <c r="B9" s="32" t="s">
        <v>62</v>
      </c>
      <c r="C9" s="32" t="s">
        <v>62</v>
      </c>
      <c r="D9" s="194" t="s">
        <v>567</v>
      </c>
      <c r="E9" s="174" t="s">
        <v>270</v>
      </c>
      <c r="F9" s="174" t="s">
        <v>568</v>
      </c>
      <c r="G9" s="174" t="s">
        <v>122</v>
      </c>
      <c r="H9" s="32" t="s">
        <v>99</v>
      </c>
      <c r="I9" s="32" t="s">
        <v>47</v>
      </c>
      <c r="J9" s="32"/>
      <c r="K9" s="32" t="s">
        <v>50</v>
      </c>
      <c r="L9" s="28"/>
      <c r="M9" s="97">
        <v>18420</v>
      </c>
      <c r="N9" s="219" t="s">
        <v>714</v>
      </c>
    </row>
    <row r="10" spans="2:14" x14ac:dyDescent="0.2">
      <c r="B10" s="32" t="s">
        <v>88</v>
      </c>
      <c r="C10" s="32" t="s">
        <v>88</v>
      </c>
      <c r="D10" s="194" t="s">
        <v>575</v>
      </c>
      <c r="E10" s="174" t="s">
        <v>199</v>
      </c>
      <c r="F10" s="174" t="s">
        <v>576</v>
      </c>
      <c r="G10" s="174" t="s">
        <v>122</v>
      </c>
      <c r="H10" s="32" t="s">
        <v>45</v>
      </c>
      <c r="I10" s="32" t="s">
        <v>47</v>
      </c>
      <c r="J10" s="32"/>
      <c r="K10" s="32"/>
      <c r="L10" s="28"/>
      <c r="M10" s="97">
        <v>78117</v>
      </c>
      <c r="N10" s="219" t="s">
        <v>719</v>
      </c>
    </row>
    <row r="11" spans="2:14" x14ac:dyDescent="0.2">
      <c r="B11" s="32" t="s">
        <v>32</v>
      </c>
      <c r="C11" s="32" t="s">
        <v>646</v>
      </c>
      <c r="D11" s="194" t="s">
        <v>577</v>
      </c>
      <c r="E11" s="174" t="s">
        <v>137</v>
      </c>
      <c r="F11" s="174" t="s">
        <v>578</v>
      </c>
      <c r="G11" s="174" t="s">
        <v>122</v>
      </c>
      <c r="H11" s="32"/>
      <c r="I11" s="32"/>
      <c r="J11" s="32"/>
      <c r="K11" s="32" t="s">
        <v>78</v>
      </c>
      <c r="L11" s="28"/>
      <c r="M11" s="97">
        <v>80200</v>
      </c>
      <c r="N11" s="219" t="s">
        <v>814</v>
      </c>
    </row>
    <row r="12" spans="2:14" x14ac:dyDescent="0.2">
      <c r="B12" s="32" t="s">
        <v>136</v>
      </c>
      <c r="C12" s="32" t="s">
        <v>136</v>
      </c>
      <c r="D12" s="194" t="s">
        <v>586</v>
      </c>
      <c r="E12" s="174" t="s">
        <v>374</v>
      </c>
      <c r="F12" s="174"/>
      <c r="G12" s="174" t="s">
        <v>122</v>
      </c>
      <c r="H12" s="32" t="s">
        <v>99</v>
      </c>
      <c r="I12" s="32"/>
      <c r="J12" s="32"/>
      <c r="K12" s="32"/>
      <c r="L12" s="28"/>
      <c r="M12" s="97">
        <v>47360</v>
      </c>
      <c r="N12" s="219" t="s">
        <v>715</v>
      </c>
    </row>
    <row r="13" spans="2:14" x14ac:dyDescent="0.2">
      <c r="B13" s="174" t="s">
        <v>62</v>
      </c>
      <c r="C13" s="32" t="s">
        <v>62</v>
      </c>
      <c r="D13" s="194" t="s">
        <v>588</v>
      </c>
      <c r="E13" s="174" t="s">
        <v>114</v>
      </c>
      <c r="F13" s="174" t="s">
        <v>589</v>
      </c>
      <c r="G13" s="174" t="s">
        <v>122</v>
      </c>
      <c r="H13" s="32"/>
      <c r="I13" s="32"/>
      <c r="J13" s="32"/>
      <c r="K13" s="32" t="s">
        <v>78</v>
      </c>
      <c r="L13" s="28"/>
      <c r="M13" s="97">
        <v>142320</v>
      </c>
      <c r="N13" s="219" t="s">
        <v>727</v>
      </c>
    </row>
    <row r="14" spans="2:14" x14ac:dyDescent="0.2">
      <c r="B14" s="174" t="s">
        <v>136</v>
      </c>
      <c r="C14" s="32" t="s">
        <v>136</v>
      </c>
      <c r="D14" s="194" t="s">
        <v>592</v>
      </c>
      <c r="E14" s="174" t="s">
        <v>344</v>
      </c>
      <c r="F14" s="174" t="s">
        <v>502</v>
      </c>
      <c r="G14" s="174" t="s">
        <v>122</v>
      </c>
      <c r="H14" s="32" t="s">
        <v>45</v>
      </c>
      <c r="I14" s="32" t="s">
        <v>47</v>
      </c>
      <c r="J14" s="32"/>
      <c r="K14" s="32" t="s">
        <v>78</v>
      </c>
      <c r="L14" s="28"/>
      <c r="M14" s="97">
        <v>165650</v>
      </c>
      <c r="N14" s="175" t="s">
        <v>716</v>
      </c>
    </row>
    <row r="15" spans="2:14" x14ac:dyDescent="0.2">
      <c r="B15" s="174" t="s">
        <v>136</v>
      </c>
      <c r="C15" s="32" t="s">
        <v>136</v>
      </c>
      <c r="D15" s="194" t="s">
        <v>643</v>
      </c>
      <c r="E15" s="174" t="s">
        <v>353</v>
      </c>
      <c r="F15" s="174" t="s">
        <v>501</v>
      </c>
      <c r="G15" s="174" t="s">
        <v>122</v>
      </c>
      <c r="H15" s="32"/>
      <c r="I15" s="32"/>
      <c r="J15" s="32"/>
      <c r="K15" s="32"/>
      <c r="L15" s="28"/>
      <c r="M15" s="97">
        <v>499350</v>
      </c>
      <c r="N15" s="175" t="s">
        <v>732</v>
      </c>
    </row>
    <row r="16" spans="2:14" x14ac:dyDescent="0.2">
      <c r="B16" s="174" t="s">
        <v>136</v>
      </c>
      <c r="C16" s="32" t="s">
        <v>136</v>
      </c>
      <c r="D16" s="194" t="s">
        <v>582</v>
      </c>
      <c r="E16" s="174" t="s">
        <v>368</v>
      </c>
      <c r="F16" s="174" t="s">
        <v>513</v>
      </c>
      <c r="G16" s="174" t="s">
        <v>122</v>
      </c>
      <c r="H16" s="32"/>
      <c r="I16" s="32"/>
      <c r="J16" s="32"/>
      <c r="K16" s="32" t="s">
        <v>78</v>
      </c>
      <c r="L16" s="28"/>
      <c r="M16" s="97">
        <v>746000</v>
      </c>
      <c r="N16" s="175" t="s">
        <v>720</v>
      </c>
    </row>
    <row r="17" spans="2:15" ht="16.5" customHeight="1" x14ac:dyDescent="0.2">
      <c r="B17" s="174" t="s">
        <v>62</v>
      </c>
      <c r="C17" s="173" t="s">
        <v>624</v>
      </c>
      <c r="D17" s="198" t="s">
        <v>637</v>
      </c>
      <c r="E17" s="174" t="s">
        <v>321</v>
      </c>
      <c r="F17" s="174" t="s">
        <v>558</v>
      </c>
      <c r="G17" s="174" t="s">
        <v>122</v>
      </c>
      <c r="H17" s="32"/>
      <c r="I17" s="32"/>
      <c r="J17" s="32"/>
      <c r="K17" s="32" t="s">
        <v>78</v>
      </c>
      <c r="L17" s="28"/>
      <c r="M17" s="97">
        <v>18613</v>
      </c>
      <c r="N17" s="219" t="s">
        <v>730</v>
      </c>
      <c r="O17" t="s">
        <v>728</v>
      </c>
    </row>
    <row r="18" spans="2:15" x14ac:dyDescent="0.2">
      <c r="B18" s="174" t="s">
        <v>62</v>
      </c>
      <c r="C18" s="32" t="s">
        <v>62</v>
      </c>
      <c r="D18" s="194" t="s">
        <v>649</v>
      </c>
      <c r="E18" s="174" t="s">
        <v>221</v>
      </c>
      <c r="F18" s="174" t="s">
        <v>221</v>
      </c>
      <c r="G18" s="174" t="s">
        <v>122</v>
      </c>
      <c r="H18" s="32" t="s">
        <v>123</v>
      </c>
      <c r="I18" s="32" t="s">
        <v>47</v>
      </c>
      <c r="J18" s="32"/>
      <c r="K18" s="32" t="s">
        <v>50</v>
      </c>
      <c r="L18" s="28"/>
      <c r="M18" s="97">
        <v>78715</v>
      </c>
      <c r="N18" s="219" t="s">
        <v>729</v>
      </c>
    </row>
    <row r="19" spans="2:15" x14ac:dyDescent="0.2">
      <c r="B19" s="174" t="s">
        <v>62</v>
      </c>
      <c r="C19" s="32" t="s">
        <v>62</v>
      </c>
      <c r="D19" s="194" t="s">
        <v>677</v>
      </c>
      <c r="E19" s="174" t="s">
        <v>323</v>
      </c>
      <c r="F19" s="174" t="s">
        <v>664</v>
      </c>
      <c r="G19" s="174" t="s">
        <v>122</v>
      </c>
      <c r="H19" s="32" t="s">
        <v>99</v>
      </c>
      <c r="I19" s="32" t="s">
        <v>47</v>
      </c>
      <c r="J19" s="32"/>
      <c r="K19" s="32" t="s">
        <v>50</v>
      </c>
      <c r="L19" s="28"/>
      <c r="M19" s="97">
        <v>15900</v>
      </c>
      <c r="N19" s="219" t="s">
        <v>718</v>
      </c>
    </row>
    <row r="20" spans="2:15" x14ac:dyDescent="0.2">
      <c r="B20" s="174" t="s">
        <v>62</v>
      </c>
      <c r="C20" s="32" t="s">
        <v>62</v>
      </c>
      <c r="D20" s="194" t="s">
        <v>665</v>
      </c>
      <c r="E20" s="174" t="s">
        <v>233</v>
      </c>
      <c r="F20" s="174" t="s">
        <v>273</v>
      </c>
      <c r="G20" s="174" t="s">
        <v>122</v>
      </c>
      <c r="H20" s="32" t="s">
        <v>99</v>
      </c>
      <c r="I20" s="32" t="s">
        <v>47</v>
      </c>
      <c r="J20" s="32" t="s">
        <v>77</v>
      </c>
      <c r="K20" s="32" t="s">
        <v>50</v>
      </c>
      <c r="L20" s="28"/>
      <c r="M20" s="97">
        <v>19302</v>
      </c>
      <c r="N20" s="219" t="s">
        <v>718</v>
      </c>
    </row>
    <row r="21" spans="2:15" x14ac:dyDescent="0.2">
      <c r="B21" s="32" t="s">
        <v>88</v>
      </c>
      <c r="C21" s="32" t="s">
        <v>88</v>
      </c>
      <c r="D21" s="194" t="s">
        <v>679</v>
      </c>
      <c r="E21" s="174" t="s">
        <v>199</v>
      </c>
      <c r="F21" s="174" t="s">
        <v>576</v>
      </c>
      <c r="G21" s="174" t="s">
        <v>122</v>
      </c>
      <c r="H21" s="32" t="s">
        <v>99</v>
      </c>
      <c r="I21" s="32"/>
      <c r="J21" s="32"/>
      <c r="K21" s="32" t="s">
        <v>78</v>
      </c>
      <c r="L21" s="28"/>
      <c r="M21" s="97">
        <v>28256</v>
      </c>
      <c r="N21" s="219" t="s">
        <v>815</v>
      </c>
    </row>
  </sheetData>
  <conditionalFormatting sqref="G3:G21">
    <cfRule type="containsText" dxfId="24" priority="2" operator="containsText" text="Propuesta">
      <formula>NOT(ISERROR(SEARCH("Propuesta",G3)))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FBF827B-23E0-4C2A-B7A0-856E19CD1CBF}">
          <x14:formula1>
            <xm:f>Códigos_Propuestas!$B$4:$B$10</xm:f>
          </x14:formula1>
          <xm:sqref>B3:B9 C4</xm:sqref>
        </x14:dataValidation>
        <x14:dataValidation type="list" allowBlank="1" showInputMessage="1" showErrorMessage="1" xr:uid="{FF09A9A5-1C07-4B3F-A2FE-F92D027BFA6A}">
          <x14:formula1>
            <xm:f>Códigos_Propuestas!$X$4:$X$8</xm:f>
          </x14:formula1>
          <xm:sqref>G3:G21</xm:sqref>
        </x14:dataValidation>
        <x14:dataValidation type="list" allowBlank="1" showInputMessage="1" showErrorMessage="1" xr:uid="{6DBCEB76-5431-4DBB-808F-6F6B86A8CECE}">
          <x14:formula1>
            <xm:f>Códigos_Propuestas!$E$4:$E$86</xm:f>
          </x14:formula1>
          <xm:sqref>E4:E6</xm:sqref>
        </x14:dataValidation>
        <x14:dataValidation type="list" allowBlank="1" showInputMessage="1" showErrorMessage="1" xr:uid="{37700110-A977-431D-B45A-5E87AFB98974}">
          <x14:formula1>
            <xm:f>Códigos_Propuestas!$AH$4:$AH$5</xm:f>
          </x14:formula1>
          <xm:sqref>J3:J21</xm:sqref>
        </x14:dataValidation>
        <x14:dataValidation type="list" allowBlank="1" showInputMessage="1" showErrorMessage="1" xr:uid="{13F6EC7F-8F3C-4B75-9F31-83646DFD068C}">
          <x14:formula1>
            <xm:f>Códigos_Propuestas!$AJ$4:$AJ$5</xm:f>
          </x14:formula1>
          <xm:sqref>K3:K21</xm:sqref>
        </x14:dataValidation>
        <x14:dataValidation type="list" allowBlank="1" showInputMessage="1" showErrorMessage="1" xr:uid="{E6393311-82FF-4DB8-B792-F027A722D961}">
          <x14:formula1>
            <xm:f>Códigos_Propuestas!$AE$4:$AE$7</xm:f>
          </x14:formula1>
          <xm:sqref>I3:I21</xm:sqref>
        </x14:dataValidation>
        <x14:dataValidation type="list" allowBlank="1" showInputMessage="1" showErrorMessage="1" xr:uid="{EF6489BB-FB4E-4970-B58C-5396B375003C}">
          <x14:formula1>
            <xm:f>Códigos_Propuestas!$AB$4:$AB$7</xm:f>
          </x14:formula1>
          <xm:sqref>H3:H21</xm:sqref>
        </x14:dataValidation>
        <x14:dataValidation type="list" allowBlank="1" showInputMessage="1" showErrorMessage="1" xr:uid="{9796EF23-A05B-414B-B3C6-9C9D9549859A}">
          <x14:formula1>
            <xm:f>Códigos_Propuestas!$E$4:$E$126</xm:f>
          </x14:formula1>
          <xm:sqref>E3</xm:sqref>
        </x14:dataValidation>
        <x14:dataValidation type="list" allowBlank="1" showInputMessage="1" showErrorMessage="1" xr:uid="{B1B8E869-FC6C-41CE-89B8-D99335E66045}">
          <x14:formula1>
            <xm:f>Códigos_Propuestas!$E$4:$E$113</xm:f>
          </x14:formula1>
          <xm:sqref>E7:E21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61F0D-440A-4C22-95AB-F5697252D4E6}">
  <sheetPr codeName="Hoja10">
    <tabColor theme="5" tint="0.79998168889431442"/>
  </sheetPr>
  <dimension ref="A1:DR51"/>
  <sheetViews>
    <sheetView workbookViewId="0">
      <selection activeCell="BN22" sqref="BN22"/>
    </sheetView>
  </sheetViews>
  <sheetFormatPr baseColWidth="10" defaultColWidth="8.5" defaultRowHeight="15" outlineLevelCol="1" x14ac:dyDescent="0.2"/>
  <cols>
    <col min="1" max="1" width="8.5" customWidth="1"/>
    <col min="2" max="2" width="25" style="49" customWidth="1"/>
    <col min="3" max="3" width="3.5" bestFit="1" customWidth="1"/>
    <col min="4" max="4" width="4.5" customWidth="1"/>
    <col min="5" max="5" width="51.5" customWidth="1"/>
    <col min="6" max="6" width="8.5" customWidth="1"/>
    <col min="7" max="7" width="14" bestFit="1" customWidth="1"/>
    <col min="8" max="8" width="11" customWidth="1"/>
    <col min="9" max="9" width="19.5" customWidth="1"/>
    <col min="15" max="18" width="8.5" outlineLevel="1"/>
    <col min="20" max="22" width="8.5" outlineLevel="1"/>
    <col min="24" max="29" width="8.5" outlineLevel="1"/>
    <col min="31" max="39" width="8.5" outlineLevel="1"/>
    <col min="41" max="41" width="8.5" outlineLevel="1" collapsed="1"/>
    <col min="42" max="45" width="8.5" outlineLevel="1"/>
    <col min="46" max="46" width="8.5" collapsed="1"/>
    <col min="47" max="47" width="8.5" outlineLevel="1" collapsed="1"/>
    <col min="48" max="50" width="8.5" outlineLevel="1"/>
    <col min="51" max="51" width="8.5" collapsed="1"/>
    <col min="52" max="66" width="8.5" outlineLevel="1"/>
    <col min="67" max="67" width="8.5" style="7" collapsed="1"/>
  </cols>
  <sheetData>
    <row r="1" spans="1:122" ht="38.5" customHeight="1" thickBot="1" x14ac:dyDescent="0.25">
      <c r="B1"/>
      <c r="E1" s="260" t="s">
        <v>436</v>
      </c>
      <c r="F1" s="252"/>
      <c r="G1" s="252"/>
      <c r="H1" s="252"/>
      <c r="I1" s="252"/>
      <c r="J1" s="252"/>
      <c r="K1" s="252"/>
      <c r="L1" s="252"/>
      <c r="M1" s="252"/>
      <c r="N1" s="253"/>
      <c r="O1" s="267" t="s">
        <v>437</v>
      </c>
      <c r="P1" s="268"/>
      <c r="Q1" s="268"/>
      <c r="R1" s="269"/>
      <c r="S1" s="143"/>
      <c r="T1" s="258" t="s">
        <v>438</v>
      </c>
      <c r="U1" s="259"/>
      <c r="V1" s="259"/>
      <c r="W1" s="127"/>
      <c r="X1" s="261" t="s">
        <v>439</v>
      </c>
      <c r="Y1" s="262"/>
      <c r="Z1" s="262"/>
      <c r="AA1" s="262"/>
      <c r="AB1" s="262"/>
      <c r="AC1" s="263"/>
      <c r="AD1" s="128"/>
      <c r="AE1" s="264" t="s">
        <v>440</v>
      </c>
      <c r="AF1" s="265"/>
      <c r="AG1" s="265"/>
      <c r="AH1" s="265"/>
      <c r="AI1" s="265"/>
      <c r="AJ1" s="265"/>
      <c r="AK1" s="265"/>
      <c r="AL1" s="265"/>
      <c r="AM1" s="266"/>
      <c r="AN1" s="120"/>
      <c r="AO1" s="244" t="s">
        <v>441</v>
      </c>
      <c r="AP1" s="244"/>
      <c r="AQ1" s="244"/>
      <c r="AR1" s="244"/>
      <c r="AS1" s="244"/>
      <c r="AT1" s="120"/>
      <c r="AU1" s="245" t="s">
        <v>21</v>
      </c>
      <c r="AV1" s="245"/>
      <c r="AW1" s="245"/>
      <c r="AX1" s="245"/>
      <c r="AY1" s="120"/>
      <c r="AZ1" s="257" t="s">
        <v>442</v>
      </c>
      <c r="BA1" s="257"/>
      <c r="BB1" s="257"/>
      <c r="BC1" s="257"/>
      <c r="BD1" s="257"/>
      <c r="BE1" s="257"/>
      <c r="BF1" s="257"/>
      <c r="BG1" s="257"/>
      <c r="BH1" s="257"/>
      <c r="BI1" s="257"/>
      <c r="BJ1" s="257"/>
      <c r="BK1" s="257"/>
      <c r="BL1" s="257"/>
      <c r="BM1" s="257"/>
      <c r="BN1" s="257"/>
      <c r="BO1" s="131"/>
      <c r="BP1" s="254" t="s">
        <v>443</v>
      </c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6"/>
      <c r="CD1" s="254" t="s">
        <v>444</v>
      </c>
      <c r="CE1" s="255"/>
      <c r="CF1" s="255"/>
      <c r="CG1" s="255"/>
      <c r="CH1" s="255"/>
      <c r="CI1" s="255"/>
      <c r="CJ1" s="255"/>
      <c r="CK1" s="255"/>
      <c r="CL1" s="255"/>
      <c r="CM1" s="255"/>
      <c r="CN1" s="255"/>
      <c r="CO1" s="255"/>
      <c r="CP1" s="256"/>
      <c r="CR1" s="254" t="s">
        <v>445</v>
      </c>
      <c r="CS1" s="255"/>
      <c r="CT1" s="255"/>
      <c r="CU1" s="255"/>
      <c r="CV1" s="255"/>
      <c r="CW1" s="255"/>
      <c r="CX1" s="255"/>
      <c r="CY1" s="255"/>
      <c r="CZ1" s="255"/>
      <c r="DA1" s="255"/>
      <c r="DB1" s="255"/>
      <c r="DC1" s="255"/>
      <c r="DD1" s="256"/>
      <c r="DF1" s="254" t="s">
        <v>446</v>
      </c>
      <c r="DG1" s="255"/>
      <c r="DH1" s="255"/>
      <c r="DI1" s="255"/>
      <c r="DJ1" s="255"/>
      <c r="DK1" s="255"/>
      <c r="DL1" s="255"/>
      <c r="DM1" s="255"/>
      <c r="DN1" s="255"/>
      <c r="DO1" s="255"/>
      <c r="DP1" s="255"/>
      <c r="DQ1" s="255"/>
      <c r="DR1" s="256"/>
    </row>
    <row r="2" spans="1:122" ht="37" thickBot="1" x14ac:dyDescent="0.25">
      <c r="A2" s="45" t="s">
        <v>447</v>
      </c>
      <c r="B2" s="48" t="s">
        <v>448</v>
      </c>
      <c r="C2" s="46" t="s">
        <v>449</v>
      </c>
      <c r="D2" s="1" t="s">
        <v>4</v>
      </c>
      <c r="E2" s="2" t="s">
        <v>0</v>
      </c>
      <c r="F2" s="2" t="s">
        <v>450</v>
      </c>
      <c r="G2" s="1" t="s">
        <v>451</v>
      </c>
      <c r="H2" s="1" t="s">
        <v>452</v>
      </c>
      <c r="I2" s="2" t="s">
        <v>379</v>
      </c>
      <c r="J2" s="4" t="s">
        <v>16</v>
      </c>
      <c r="K2" s="2" t="s">
        <v>453</v>
      </c>
      <c r="L2" s="3" t="s">
        <v>11</v>
      </c>
      <c r="M2" s="3" t="s">
        <v>22</v>
      </c>
      <c r="N2" s="135" t="s">
        <v>23</v>
      </c>
      <c r="O2" s="125" t="s">
        <v>437</v>
      </c>
      <c r="P2" s="125" t="s">
        <v>454</v>
      </c>
      <c r="Q2" s="125" t="s">
        <v>455</v>
      </c>
      <c r="R2" s="125" t="s">
        <v>456</v>
      </c>
      <c r="S2" s="144"/>
      <c r="T2" s="114" t="s">
        <v>457</v>
      </c>
      <c r="U2" s="114" t="s">
        <v>458</v>
      </c>
      <c r="V2" s="114" t="s">
        <v>459</v>
      </c>
      <c r="W2" s="129"/>
      <c r="X2" s="138" t="s">
        <v>460</v>
      </c>
      <c r="Y2" s="124" t="s">
        <v>461</v>
      </c>
      <c r="Z2" s="138" t="s">
        <v>462</v>
      </c>
      <c r="AA2" s="124" t="s">
        <v>463</v>
      </c>
      <c r="AB2" s="138" t="s">
        <v>464</v>
      </c>
      <c r="AC2" s="124" t="s">
        <v>465</v>
      </c>
      <c r="AD2" s="124"/>
      <c r="AE2" s="139" t="s">
        <v>466</v>
      </c>
      <c r="AF2" s="125" t="s">
        <v>467</v>
      </c>
      <c r="AG2" s="139" t="s">
        <v>468</v>
      </c>
      <c r="AH2" s="125" t="s">
        <v>469</v>
      </c>
      <c r="AI2" s="139" t="s">
        <v>470</v>
      </c>
      <c r="AJ2" s="125" t="s">
        <v>471</v>
      </c>
      <c r="AK2" s="139" t="s">
        <v>472</v>
      </c>
      <c r="AL2" s="125" t="s">
        <v>473</v>
      </c>
      <c r="AM2" s="126" t="s">
        <v>474</v>
      </c>
      <c r="AN2" s="119"/>
      <c r="AO2" s="105" t="s">
        <v>475</v>
      </c>
      <c r="AP2" s="105" t="s">
        <v>476</v>
      </c>
      <c r="AQ2" s="105" t="s">
        <v>477</v>
      </c>
      <c r="AR2" s="105" t="s">
        <v>478</v>
      </c>
      <c r="AS2" s="105" t="s">
        <v>479</v>
      </c>
      <c r="AT2" s="119"/>
      <c r="AU2" s="106" t="s">
        <v>17</v>
      </c>
      <c r="AV2" s="106" t="s">
        <v>19</v>
      </c>
      <c r="AW2" s="106" t="s">
        <v>480</v>
      </c>
      <c r="AX2" s="106" t="s">
        <v>481</v>
      </c>
      <c r="AY2" s="119"/>
      <c r="AZ2" s="104" t="s">
        <v>482</v>
      </c>
      <c r="BA2" s="100" t="s">
        <v>483</v>
      </c>
      <c r="BB2" s="103" t="s">
        <v>484</v>
      </c>
      <c r="BC2" s="99" t="s">
        <v>380</v>
      </c>
      <c r="BD2" s="99" t="s">
        <v>381</v>
      </c>
      <c r="BE2" s="103" t="s">
        <v>485</v>
      </c>
      <c r="BF2" s="102" t="s">
        <v>486</v>
      </c>
      <c r="BG2" s="102" t="s">
        <v>596</v>
      </c>
      <c r="BH2" s="102" t="s">
        <v>488</v>
      </c>
      <c r="BI2" s="2" t="s">
        <v>489</v>
      </c>
      <c r="BJ2" s="101" t="s">
        <v>490</v>
      </c>
      <c r="BK2" s="5" t="s">
        <v>491</v>
      </c>
      <c r="BL2" s="6" t="s">
        <v>492</v>
      </c>
      <c r="BM2" s="109" t="s">
        <v>493</v>
      </c>
      <c r="BN2" s="110" t="s">
        <v>494</v>
      </c>
      <c r="BO2" s="131"/>
      <c r="BP2" s="8">
        <v>46023</v>
      </c>
      <c r="BQ2" s="9">
        <v>46054</v>
      </c>
      <c r="BR2" s="9">
        <v>46082</v>
      </c>
      <c r="BS2" s="9">
        <v>46113</v>
      </c>
      <c r="BT2" s="9">
        <v>46143</v>
      </c>
      <c r="BU2" s="9">
        <v>46174</v>
      </c>
      <c r="BV2" s="9">
        <v>46204</v>
      </c>
      <c r="BW2" s="9">
        <v>46235</v>
      </c>
      <c r="BX2" s="9">
        <v>46266</v>
      </c>
      <c r="BY2" s="9">
        <v>46296</v>
      </c>
      <c r="BZ2" s="9">
        <v>46327</v>
      </c>
      <c r="CA2" s="9">
        <v>46357</v>
      </c>
      <c r="CB2" s="10" t="s">
        <v>495</v>
      </c>
      <c r="CD2" s="8">
        <v>46023</v>
      </c>
      <c r="CE2" s="9">
        <v>46054</v>
      </c>
      <c r="CF2" s="9">
        <v>46082</v>
      </c>
      <c r="CG2" s="9">
        <v>46113</v>
      </c>
      <c r="CH2" s="9">
        <v>46143</v>
      </c>
      <c r="CI2" s="9">
        <v>46174</v>
      </c>
      <c r="CJ2" s="9">
        <v>46204</v>
      </c>
      <c r="CK2" s="9">
        <v>46235</v>
      </c>
      <c r="CL2" s="9">
        <v>46266</v>
      </c>
      <c r="CM2" s="9">
        <v>46296</v>
      </c>
      <c r="CN2" s="9">
        <v>46327</v>
      </c>
      <c r="CO2" s="9">
        <v>46357</v>
      </c>
      <c r="CP2" s="10" t="s">
        <v>495</v>
      </c>
      <c r="CR2" s="8">
        <v>46023</v>
      </c>
      <c r="CS2" s="9">
        <v>46054</v>
      </c>
      <c r="CT2" s="9">
        <v>46082</v>
      </c>
      <c r="CU2" s="9">
        <v>46113</v>
      </c>
      <c r="CV2" s="9">
        <v>46143</v>
      </c>
      <c r="CW2" s="9">
        <v>46174</v>
      </c>
      <c r="CX2" s="9">
        <v>46204</v>
      </c>
      <c r="CY2" s="9">
        <v>46235</v>
      </c>
      <c r="CZ2" s="9">
        <v>46266</v>
      </c>
      <c r="DA2" s="9">
        <v>46296</v>
      </c>
      <c r="DB2" s="9">
        <v>46327</v>
      </c>
      <c r="DC2" s="9">
        <v>46357</v>
      </c>
      <c r="DD2" s="10" t="s">
        <v>495</v>
      </c>
      <c r="DF2" s="8">
        <v>46023</v>
      </c>
      <c r="DG2" s="9">
        <v>46054</v>
      </c>
      <c r="DH2" s="9">
        <v>46082</v>
      </c>
      <c r="DI2" s="9">
        <v>46113</v>
      </c>
      <c r="DJ2" s="9">
        <v>46143</v>
      </c>
      <c r="DK2" s="9">
        <v>46174</v>
      </c>
      <c r="DL2" s="9">
        <v>46204</v>
      </c>
      <c r="DM2" s="9">
        <v>46235</v>
      </c>
      <c r="DN2" s="9">
        <v>46266</v>
      </c>
      <c r="DO2" s="9">
        <v>46296</v>
      </c>
      <c r="DP2" s="9">
        <v>46327</v>
      </c>
      <c r="DQ2" s="9">
        <v>46357</v>
      </c>
      <c r="DR2" s="10" t="s">
        <v>495</v>
      </c>
    </row>
    <row r="3" spans="1:122" x14ac:dyDescent="0.2">
      <c r="A3">
        <f>LEN(B3)</f>
        <v>17</v>
      </c>
      <c r="B3" s="49" t="str">
        <f>_xlfn.XLOOKUP(D3,Códigos_Propuestas!$B$4:$B$10,Códigos_Propuestas!$C$4:$C$10,"!",0,1)&amp;"__"&amp;
_xlfn.XLOOKUP(G3,Códigos_Propuestas!$E$4:$E$76,Códigos_Propuestas!$F$4:$F$76,"!",1)&amp;"__"&amp;
_xlfn.XLOOKUP(K3,Códigos_Propuestas!$I$4:$I$7,Códigos_Propuestas!$J$4:$J$7,"!",1)&amp;"__"&amp;
_xlfn.XLOOKUP(L3,Códigos_Propuestas!$O$4:$O$11,Códigos_Propuestas!$Q$4:$Q$11,"!",1)&amp;"__"&amp;
_xlfn.XLOOKUP(E3,Códigos_Propuestas!$BF:$BF,Códigos_Propuestas!$BH:$BH,"!",0,1)</f>
        <v>CH__LUN__OP__!__!</v>
      </c>
      <c r="C3" s="47">
        <v>1</v>
      </c>
      <c r="D3" s="11" t="s">
        <v>32</v>
      </c>
      <c r="E3" s="12" t="s">
        <v>496</v>
      </c>
      <c r="F3" s="12"/>
      <c r="G3" s="13" t="s">
        <v>90</v>
      </c>
      <c r="H3" s="13"/>
      <c r="I3" s="13" t="s">
        <v>42</v>
      </c>
      <c r="J3" s="17" t="s">
        <v>98</v>
      </c>
      <c r="K3" s="13" t="s">
        <v>92</v>
      </c>
      <c r="L3" s="14"/>
      <c r="M3" s="14"/>
      <c r="N3" s="14"/>
      <c r="O3" s="14" t="s">
        <v>37</v>
      </c>
      <c r="P3" s="14" t="s">
        <v>118</v>
      </c>
      <c r="Q3" s="14"/>
      <c r="R3" s="14"/>
      <c r="S3" s="13"/>
      <c r="T3" s="115"/>
      <c r="U3" s="116">
        <f ca="1">IF(ISBLANK(T3),0,TODAY()-T3)</f>
        <v>0</v>
      </c>
      <c r="V3" s="13" t="str">
        <f ca="1">IF(U3&gt;=30,"!","")</f>
        <v/>
      </c>
      <c r="W3" s="14"/>
      <c r="X3" s="115"/>
      <c r="Y3" s="130" t="b">
        <v>1</v>
      </c>
      <c r="Z3" s="115"/>
      <c r="AA3" s="130" t="b">
        <v>1</v>
      </c>
      <c r="AB3" s="115"/>
      <c r="AC3" s="130" t="b">
        <v>1</v>
      </c>
      <c r="AD3" s="13"/>
      <c r="AE3" s="13"/>
      <c r="AF3" s="130" t="b">
        <v>0</v>
      </c>
      <c r="AG3" s="13"/>
      <c r="AH3" s="130" t="b">
        <v>0</v>
      </c>
      <c r="AI3" s="13"/>
      <c r="AJ3" s="130" t="b">
        <v>0</v>
      </c>
      <c r="AK3" s="13"/>
      <c r="AL3" s="130" t="b">
        <v>0</v>
      </c>
      <c r="AM3" s="13"/>
      <c r="AN3" s="13"/>
      <c r="AO3" s="130" t="b">
        <v>0</v>
      </c>
      <c r="AP3" s="130" t="b">
        <v>0</v>
      </c>
      <c r="AQ3" s="130" t="b">
        <v>0</v>
      </c>
      <c r="AR3" s="130" t="b">
        <v>0</v>
      </c>
      <c r="AS3" s="130" t="b">
        <v>0</v>
      </c>
      <c r="AT3" s="11"/>
      <c r="AU3" s="11"/>
      <c r="AV3" s="11"/>
      <c r="AW3" s="11"/>
      <c r="AX3" s="11"/>
      <c r="AY3" s="107"/>
      <c r="AZ3" s="97">
        <v>1770000</v>
      </c>
      <c r="BA3" s="97">
        <v>708000</v>
      </c>
      <c r="BB3" s="13">
        <v>10</v>
      </c>
      <c r="BC3" s="108">
        <v>0.7</v>
      </c>
      <c r="BD3" s="108">
        <v>0.5</v>
      </c>
      <c r="BE3" s="15">
        <f>BC3*BD3</f>
        <v>0.35</v>
      </c>
      <c r="BF3" s="18"/>
      <c r="BG3" s="18"/>
      <c r="BH3" s="16">
        <v>46095</v>
      </c>
      <c r="BI3" s="19">
        <f>+BE3*AZ3</f>
        <v>619500</v>
      </c>
      <c r="BJ3" s="19">
        <f>BA3*BE3</f>
        <v>247799.99999999997</v>
      </c>
      <c r="BK3" s="20">
        <f>IFERROR(EOMONTH(BH3+60,-1)+1,"")</f>
        <v>46143</v>
      </c>
      <c r="BL3" s="21">
        <f>IFERROR(EOMONTH(EDATE(BK3,BB3),-2)+1,"")</f>
        <v>46419</v>
      </c>
      <c r="BM3" s="111">
        <f t="shared" ref="BM3:BN17" si="0">IFERROR(EOMONTH(BK3,-1)+1,"")</f>
        <v>46143</v>
      </c>
      <c r="BN3" s="112">
        <f t="shared" si="0"/>
        <v>46419</v>
      </c>
      <c r="BP3" s="22">
        <f>IFERROR(IF(AND(BP$2&gt;=$BM3,BP$2&lt;=$BN3),$AZ3/$BB3,0),0)</f>
        <v>0</v>
      </c>
      <c r="BQ3" s="23">
        <f t="shared" ref="BQ3:CA18" si="1">IFERROR(IF(AND(BQ$2&gt;=$BM3,BQ$2&lt;=$BN3),$AZ3/$BB3,0),0)</f>
        <v>0</v>
      </c>
      <c r="BR3" s="23">
        <f t="shared" si="1"/>
        <v>0</v>
      </c>
      <c r="BS3" s="23">
        <f t="shared" si="1"/>
        <v>0</v>
      </c>
      <c r="BT3" s="23">
        <f t="shared" si="1"/>
        <v>177000</v>
      </c>
      <c r="BU3" s="23">
        <f t="shared" si="1"/>
        <v>177000</v>
      </c>
      <c r="BV3" s="23">
        <f t="shared" si="1"/>
        <v>177000</v>
      </c>
      <c r="BW3" s="23">
        <f t="shared" si="1"/>
        <v>177000</v>
      </c>
      <c r="BX3" s="23">
        <f t="shared" si="1"/>
        <v>177000</v>
      </c>
      <c r="BY3" s="23">
        <f t="shared" si="1"/>
        <v>177000</v>
      </c>
      <c r="BZ3" s="23">
        <f t="shared" si="1"/>
        <v>177000</v>
      </c>
      <c r="CA3" s="24">
        <f>IFERROR(IF(AND(CA$2&gt;=$BM3,CA$2&lt;=$BN3),$AZ3/$BB3,0),0)</f>
        <v>177000</v>
      </c>
      <c r="CB3" s="25">
        <f>SUM(BP3:CA3)</f>
        <v>1416000</v>
      </c>
      <c r="CD3" s="22">
        <f>IFERROR(IF(AND(CD$2&gt;=$BM3,CD$2&lt;=$BN3),$BI3/$BB3,0),0)</f>
        <v>0</v>
      </c>
      <c r="CE3" s="23">
        <f t="shared" ref="CE3:CO18" si="2">IFERROR(IF(AND(CE$2&gt;=$BM3,CE$2&lt;=$BN3),$BI3/$BB3,0),0)</f>
        <v>0</v>
      </c>
      <c r="CF3" s="23">
        <f t="shared" si="2"/>
        <v>0</v>
      </c>
      <c r="CG3" s="23">
        <f t="shared" si="2"/>
        <v>0</v>
      </c>
      <c r="CH3" s="23">
        <f t="shared" si="2"/>
        <v>61950</v>
      </c>
      <c r="CI3" s="23">
        <f t="shared" si="2"/>
        <v>61950</v>
      </c>
      <c r="CJ3" s="23">
        <f t="shared" si="2"/>
        <v>61950</v>
      </c>
      <c r="CK3" s="23">
        <f t="shared" si="2"/>
        <v>61950</v>
      </c>
      <c r="CL3" s="23">
        <f t="shared" si="2"/>
        <v>61950</v>
      </c>
      <c r="CM3" s="23">
        <f t="shared" si="2"/>
        <v>61950</v>
      </c>
      <c r="CN3" s="23">
        <f t="shared" si="2"/>
        <v>61950</v>
      </c>
      <c r="CO3" s="24">
        <f t="shared" si="2"/>
        <v>61950</v>
      </c>
      <c r="CP3" s="25">
        <f>SUM(CD3:CO3)</f>
        <v>495600</v>
      </c>
      <c r="CR3" s="22">
        <f>IFERROR(IF(AND(CR$2&gt;=$BM3,CR$2&lt;=$BN3),$BA3/$BB3,0),0)</f>
        <v>0</v>
      </c>
      <c r="CS3" s="23">
        <f t="shared" ref="CS3:DC18" si="3">IFERROR(IF(AND(CS$2&gt;=$BM3,CS$2&lt;=$BN3),$BA3/$BB3,0),0)</f>
        <v>0</v>
      </c>
      <c r="CT3" s="23">
        <f t="shared" si="3"/>
        <v>0</v>
      </c>
      <c r="CU3" s="23">
        <f t="shared" si="3"/>
        <v>0</v>
      </c>
      <c r="CV3" s="23">
        <f t="shared" si="3"/>
        <v>70800</v>
      </c>
      <c r="CW3" s="23">
        <f t="shared" si="3"/>
        <v>70800</v>
      </c>
      <c r="CX3" s="23">
        <f t="shared" si="3"/>
        <v>70800</v>
      </c>
      <c r="CY3" s="23">
        <f t="shared" si="3"/>
        <v>70800</v>
      </c>
      <c r="CZ3" s="23">
        <f t="shared" si="3"/>
        <v>70800</v>
      </c>
      <c r="DA3" s="23">
        <f t="shared" si="3"/>
        <v>70800</v>
      </c>
      <c r="DB3" s="23">
        <f t="shared" si="3"/>
        <v>70800</v>
      </c>
      <c r="DC3" s="24">
        <f t="shared" si="3"/>
        <v>70800</v>
      </c>
      <c r="DD3" s="25">
        <f>SUM(CR3:DC3)</f>
        <v>566400</v>
      </c>
      <c r="DF3" s="22">
        <f>IFERROR(IF(AND(DF$2&gt;=$BM3,DF$2&lt;=$BN3),$BJ3/$BB3,0),0)</f>
        <v>0</v>
      </c>
      <c r="DG3" s="23">
        <f t="shared" ref="DG3:DQ18" si="4">IFERROR(IF(AND(DG$2&gt;=$BM3,DG$2&lt;=$BN3),$BJ3/$BB3,0),0)</f>
        <v>0</v>
      </c>
      <c r="DH3" s="23">
        <f t="shared" si="4"/>
        <v>0</v>
      </c>
      <c r="DI3" s="23">
        <f t="shared" si="4"/>
        <v>0</v>
      </c>
      <c r="DJ3" s="23">
        <f t="shared" si="4"/>
        <v>24779.999999999996</v>
      </c>
      <c r="DK3" s="23">
        <f t="shared" si="4"/>
        <v>24779.999999999996</v>
      </c>
      <c r="DL3" s="23">
        <f t="shared" si="4"/>
        <v>24779.999999999996</v>
      </c>
      <c r="DM3" s="23">
        <f t="shared" si="4"/>
        <v>24779.999999999996</v>
      </c>
      <c r="DN3" s="23">
        <f t="shared" si="4"/>
        <v>24779.999999999996</v>
      </c>
      <c r="DO3" s="23">
        <f t="shared" si="4"/>
        <v>24779.999999999996</v>
      </c>
      <c r="DP3" s="23">
        <f t="shared" si="4"/>
        <v>24779.999999999996</v>
      </c>
      <c r="DQ3" s="24">
        <f t="shared" si="4"/>
        <v>24779.999999999996</v>
      </c>
      <c r="DR3" s="25">
        <f>SUM(DF3:DQ3)</f>
        <v>198239.99999999997</v>
      </c>
    </row>
    <row r="4" spans="1:122" x14ac:dyDescent="0.2">
      <c r="A4">
        <f t="shared" ref="A4:A50" si="5">LEN(B4)</f>
        <v>17</v>
      </c>
      <c r="B4" s="49" t="str">
        <f>_xlfn.XLOOKUP(D4,Códigos_Propuestas!$B$4:$B$10,Códigos_Propuestas!$C$4:$C$10,"!",0,1)&amp;"__"&amp;
_xlfn.XLOOKUP(G4,Códigos_Propuestas!$E$4:$E$76,Códigos_Propuestas!$F$4:$F$76,"!",1)&amp;"__"&amp;
_xlfn.XLOOKUP(K4,Códigos_Propuestas!$I$4:$I$7,Códigos_Propuestas!$J$4:$J$7,"!",1)&amp;"__"&amp;
_xlfn.XLOOKUP(L4,Códigos_Propuestas!$O$4:$O$11,Códigos_Propuestas!$Q$4:$Q$11,"!",1)&amp;"__"&amp;
_xlfn.XLOOKUP(E4,Códigos_Propuestas!$BF:$BF,Códigos_Propuestas!$BH:$BH,"!",0,1)</f>
        <v>CH__MAL__OP__!__!</v>
      </c>
      <c r="C4" s="47">
        <f>+C3+1</f>
        <v>2</v>
      </c>
      <c r="D4" s="11" t="s">
        <v>32</v>
      </c>
      <c r="E4" s="12" t="s">
        <v>497</v>
      </c>
      <c r="F4" s="12"/>
      <c r="G4" s="13" t="s">
        <v>336</v>
      </c>
      <c r="H4" s="13"/>
      <c r="I4" s="13" t="s">
        <v>42</v>
      </c>
      <c r="J4" s="17" t="s">
        <v>44</v>
      </c>
      <c r="K4" s="13" t="s">
        <v>92</v>
      </c>
      <c r="L4" s="14"/>
      <c r="M4" s="14"/>
      <c r="N4" s="14"/>
      <c r="O4" s="14" t="s">
        <v>37</v>
      </c>
      <c r="P4" s="14" t="s">
        <v>66</v>
      </c>
      <c r="Q4" s="14" t="s">
        <v>139</v>
      </c>
      <c r="R4" s="14"/>
      <c r="S4" s="13"/>
      <c r="T4" s="115">
        <v>46037</v>
      </c>
      <c r="U4" s="116">
        <f t="shared" ref="U4:U50" ca="1" si="6">IF(ISBLANK(T4),0,TODAY()-T4)</f>
        <v>172</v>
      </c>
      <c r="V4" s="13" t="str">
        <f t="shared" ref="V4:V50" ca="1" si="7">IF(U4&gt;=30,"!","")</f>
        <v>!</v>
      </c>
      <c r="W4" s="14"/>
      <c r="X4" s="115"/>
      <c r="Y4" s="130" t="b">
        <v>1</v>
      </c>
      <c r="Z4" s="115"/>
      <c r="AA4" s="130" t="b">
        <v>1</v>
      </c>
      <c r="AB4" s="115"/>
      <c r="AC4" s="130" t="b">
        <v>1</v>
      </c>
      <c r="AD4" s="13"/>
      <c r="AE4" s="13"/>
      <c r="AF4" s="130" t="b">
        <v>0</v>
      </c>
      <c r="AG4" s="13"/>
      <c r="AH4" s="130" t="b">
        <v>0</v>
      </c>
      <c r="AI4" s="13"/>
      <c r="AJ4" s="130" t="b">
        <v>0</v>
      </c>
      <c r="AK4" s="13"/>
      <c r="AL4" s="130" t="b">
        <v>0</v>
      </c>
      <c r="AM4" s="13"/>
      <c r="AN4" s="13"/>
      <c r="AO4" s="130" t="b">
        <v>0</v>
      </c>
      <c r="AP4" s="130" t="b">
        <v>0</v>
      </c>
      <c r="AQ4" s="130" t="b">
        <v>0</v>
      </c>
      <c r="AR4" s="130" t="b">
        <v>0</v>
      </c>
      <c r="AS4" s="130" t="b">
        <v>0</v>
      </c>
      <c r="AT4" s="11"/>
      <c r="AU4" s="11"/>
      <c r="AV4" s="11"/>
      <c r="AW4" s="11"/>
      <c r="AX4" s="11"/>
      <c r="AY4" s="107"/>
      <c r="AZ4" s="97">
        <v>250000</v>
      </c>
      <c r="BA4" s="97">
        <v>100000</v>
      </c>
      <c r="BB4" s="13">
        <v>3</v>
      </c>
      <c r="BC4" s="108">
        <v>0.4</v>
      </c>
      <c r="BD4" s="108">
        <v>0.5</v>
      </c>
      <c r="BE4" s="15">
        <f t="shared" ref="BE4:BE23" si="8">BC4*BD4</f>
        <v>0.2</v>
      </c>
      <c r="BF4" s="18"/>
      <c r="BG4" s="18"/>
      <c r="BH4" s="16">
        <v>46095</v>
      </c>
      <c r="BI4" s="19">
        <f t="shared" ref="BI4:BI23" si="9">+BE4*AZ4</f>
        <v>50000</v>
      </c>
      <c r="BJ4" s="19">
        <f t="shared" ref="BJ4:BJ23" si="10">BA4*BE4</f>
        <v>20000</v>
      </c>
      <c r="BK4" s="20">
        <f t="shared" ref="BK4:BK17" si="11">IFERROR(EOMONTH(BH4+60,-1)+1,"")</f>
        <v>46143</v>
      </c>
      <c r="BL4" s="21">
        <f t="shared" ref="BL4:BL17" si="12">IFERROR(EOMONTH(EDATE(BK4,BB4),-2)+1,"")</f>
        <v>46204</v>
      </c>
      <c r="BM4" s="111">
        <f t="shared" si="0"/>
        <v>46143</v>
      </c>
      <c r="BN4" s="112">
        <f t="shared" si="0"/>
        <v>46204</v>
      </c>
      <c r="BP4" s="27">
        <f t="shared" ref="BP4:CA19" si="13">IFERROR(IF(AND(BP$2&gt;=$BM4,BP$2&lt;=$BN4),$AZ4/$BB4,0),0)</f>
        <v>0</v>
      </c>
      <c r="BQ4" s="28">
        <f t="shared" si="1"/>
        <v>0</v>
      </c>
      <c r="BR4" s="28">
        <f t="shared" si="1"/>
        <v>0</v>
      </c>
      <c r="BS4" s="28">
        <f t="shared" si="1"/>
        <v>0</v>
      </c>
      <c r="BT4" s="28">
        <f t="shared" si="1"/>
        <v>83333.333333333328</v>
      </c>
      <c r="BU4" s="28">
        <f t="shared" si="1"/>
        <v>83333.333333333328</v>
      </c>
      <c r="BV4" s="28">
        <f t="shared" si="1"/>
        <v>83333.333333333328</v>
      </c>
      <c r="BW4" s="28">
        <f t="shared" si="1"/>
        <v>0</v>
      </c>
      <c r="BX4" s="28">
        <f t="shared" si="1"/>
        <v>0</v>
      </c>
      <c r="BY4" s="28">
        <f t="shared" si="1"/>
        <v>0</v>
      </c>
      <c r="BZ4" s="28">
        <f t="shared" si="1"/>
        <v>0</v>
      </c>
      <c r="CA4" s="29">
        <f t="shared" si="1"/>
        <v>0</v>
      </c>
      <c r="CB4" s="30">
        <f t="shared" ref="CB4:CB50" si="14">SUM(BP4:CA4)</f>
        <v>250000</v>
      </c>
      <c r="CD4" s="27">
        <f t="shared" ref="CD4:CO19" si="15">IFERROR(IF(AND(CD$2&gt;=$BM4,CD$2&lt;=$BN4),$BI4/$BB4,0),0)</f>
        <v>0</v>
      </c>
      <c r="CE4" s="28">
        <f t="shared" si="2"/>
        <v>0</v>
      </c>
      <c r="CF4" s="28">
        <f t="shared" si="2"/>
        <v>0</v>
      </c>
      <c r="CG4" s="28">
        <f t="shared" si="2"/>
        <v>0</v>
      </c>
      <c r="CH4" s="28">
        <f t="shared" si="2"/>
        <v>16666.666666666668</v>
      </c>
      <c r="CI4" s="28">
        <f t="shared" si="2"/>
        <v>16666.666666666668</v>
      </c>
      <c r="CJ4" s="28">
        <f t="shared" si="2"/>
        <v>16666.666666666668</v>
      </c>
      <c r="CK4" s="28">
        <f t="shared" si="2"/>
        <v>0</v>
      </c>
      <c r="CL4" s="28">
        <f t="shared" si="2"/>
        <v>0</v>
      </c>
      <c r="CM4" s="28">
        <f t="shared" si="2"/>
        <v>0</v>
      </c>
      <c r="CN4" s="28">
        <f t="shared" si="2"/>
        <v>0</v>
      </c>
      <c r="CO4" s="29">
        <f t="shared" si="2"/>
        <v>0</v>
      </c>
      <c r="CP4" s="30">
        <f t="shared" ref="CP4:CP50" si="16">SUM(CD4:CO4)</f>
        <v>50000</v>
      </c>
      <c r="CR4" s="27">
        <f t="shared" ref="CR4:DC19" si="17">IFERROR(IF(AND(CR$2&gt;=$BM4,CR$2&lt;=$BN4),$BA4/$BB4,0),0)</f>
        <v>0</v>
      </c>
      <c r="CS4" s="28">
        <f t="shared" si="3"/>
        <v>0</v>
      </c>
      <c r="CT4" s="28">
        <f t="shared" si="3"/>
        <v>0</v>
      </c>
      <c r="CU4" s="28">
        <f t="shared" si="3"/>
        <v>0</v>
      </c>
      <c r="CV4" s="28">
        <f t="shared" si="3"/>
        <v>33333.333333333336</v>
      </c>
      <c r="CW4" s="28">
        <f t="shared" si="3"/>
        <v>33333.333333333336</v>
      </c>
      <c r="CX4" s="28">
        <f t="shared" si="3"/>
        <v>33333.333333333336</v>
      </c>
      <c r="CY4" s="28">
        <f t="shared" si="3"/>
        <v>0</v>
      </c>
      <c r="CZ4" s="28">
        <f t="shared" si="3"/>
        <v>0</v>
      </c>
      <c r="DA4" s="28">
        <f t="shared" si="3"/>
        <v>0</v>
      </c>
      <c r="DB4" s="28">
        <f t="shared" si="3"/>
        <v>0</v>
      </c>
      <c r="DC4" s="29">
        <f t="shared" si="3"/>
        <v>0</v>
      </c>
      <c r="DD4" s="30">
        <f t="shared" ref="DD4:DD50" si="18">SUM(CR4:DC4)</f>
        <v>100000</v>
      </c>
      <c r="DF4" s="27">
        <f t="shared" ref="DF4:DQ19" si="19">IFERROR(IF(AND(DF$2&gt;=$BM4,DF$2&lt;=$BN4),$BJ4/$BB4,0),0)</f>
        <v>0</v>
      </c>
      <c r="DG4" s="28">
        <f t="shared" si="4"/>
        <v>0</v>
      </c>
      <c r="DH4" s="28">
        <f t="shared" si="4"/>
        <v>0</v>
      </c>
      <c r="DI4" s="28">
        <f t="shared" si="4"/>
        <v>0</v>
      </c>
      <c r="DJ4" s="28">
        <f t="shared" si="4"/>
        <v>6666.666666666667</v>
      </c>
      <c r="DK4" s="28">
        <f t="shared" si="4"/>
        <v>6666.666666666667</v>
      </c>
      <c r="DL4" s="28">
        <f t="shared" si="4"/>
        <v>6666.666666666667</v>
      </c>
      <c r="DM4" s="28">
        <f t="shared" si="4"/>
        <v>0</v>
      </c>
      <c r="DN4" s="28">
        <f t="shared" si="4"/>
        <v>0</v>
      </c>
      <c r="DO4" s="28">
        <f t="shared" si="4"/>
        <v>0</v>
      </c>
      <c r="DP4" s="28">
        <f t="shared" si="4"/>
        <v>0</v>
      </c>
      <c r="DQ4" s="29">
        <f t="shared" si="4"/>
        <v>0</v>
      </c>
      <c r="DR4" s="30">
        <f t="shared" ref="DR4:DR50" si="20">SUM(DF4:DQ4)</f>
        <v>20000</v>
      </c>
    </row>
    <row r="5" spans="1:122" x14ac:dyDescent="0.2">
      <c r="A5">
        <f t="shared" si="5"/>
        <v>19</v>
      </c>
      <c r="B5" s="49" t="str">
        <f>_xlfn.XLOOKUP(D5,Códigos_Propuestas!$B$4:$B$10,Códigos_Propuestas!$C$4:$C$10,"!",0,1)&amp;"__"&amp;
_xlfn.XLOOKUP(G5,Códigos_Propuestas!$E$4:$E$76,Códigos_Propuestas!$F$4:$F$76,"!",1)&amp;"__"&amp;
_xlfn.XLOOKUP(K5,Códigos_Propuestas!$I$4:$I$7,Códigos_Propuestas!$J$4:$J$7,"!",1)&amp;"__"&amp;
_xlfn.XLOOKUP(L5,Códigos_Propuestas!$O$4:$O$11,Códigos_Propuestas!$Q$4:$Q$11,"!",1)&amp;"__"&amp;
_xlfn.XLOOKUP(E5,Códigos_Propuestas!$BF:$BF,Códigos_Propuestas!$BH:$BH,"!",0,1)</f>
        <v>CH__ECR__OP__DAR__!</v>
      </c>
      <c r="C5" s="47">
        <f t="shared" ref="C5:C23" si="21">+C4+1</f>
        <v>3</v>
      </c>
      <c r="D5" s="11" t="s">
        <v>32</v>
      </c>
      <c r="E5" s="12" t="s">
        <v>498</v>
      </c>
      <c r="F5" s="12"/>
      <c r="G5" s="13" t="s">
        <v>339</v>
      </c>
      <c r="H5" s="13"/>
      <c r="I5" s="13" t="s">
        <v>70</v>
      </c>
      <c r="J5" s="17" t="s">
        <v>44</v>
      </c>
      <c r="K5" s="13" t="s">
        <v>92</v>
      </c>
      <c r="L5" s="14" t="s">
        <v>597</v>
      </c>
      <c r="M5" s="14" t="s">
        <v>103</v>
      </c>
      <c r="N5" s="14" t="s">
        <v>79</v>
      </c>
      <c r="O5" s="14" t="s">
        <v>37</v>
      </c>
      <c r="P5" s="14"/>
      <c r="Q5" s="14"/>
      <c r="R5" s="14"/>
      <c r="S5" s="13"/>
      <c r="T5" s="115">
        <v>46027</v>
      </c>
      <c r="U5" s="116">
        <f t="shared" ca="1" si="6"/>
        <v>182</v>
      </c>
      <c r="V5" s="13" t="str">
        <f t="shared" ca="1" si="7"/>
        <v>!</v>
      </c>
      <c r="W5" s="14"/>
      <c r="X5" s="115"/>
      <c r="Y5" s="130" t="b">
        <v>1</v>
      </c>
      <c r="Z5" s="115"/>
      <c r="AA5" s="130" t="b">
        <v>1</v>
      </c>
      <c r="AB5" s="115"/>
      <c r="AC5" s="130" t="b">
        <v>1</v>
      </c>
      <c r="AD5" s="13"/>
      <c r="AE5" s="13"/>
      <c r="AF5" s="130" t="b">
        <v>0</v>
      </c>
      <c r="AG5" s="13"/>
      <c r="AH5" s="130" t="b">
        <v>0</v>
      </c>
      <c r="AI5" s="13"/>
      <c r="AJ5" s="130" t="b">
        <v>0</v>
      </c>
      <c r="AK5" s="13"/>
      <c r="AL5" s="130" t="b">
        <v>0</v>
      </c>
      <c r="AM5" s="13"/>
      <c r="AN5" s="13"/>
      <c r="AO5" s="130" t="b">
        <v>0</v>
      </c>
      <c r="AP5" s="130" t="b">
        <v>0</v>
      </c>
      <c r="AQ5" s="130" t="b">
        <v>0</v>
      </c>
      <c r="AR5" s="130" t="b">
        <v>0</v>
      </c>
      <c r="AS5" s="130" t="b">
        <v>0</v>
      </c>
      <c r="AT5" s="11"/>
      <c r="AU5" s="11"/>
      <c r="AV5" s="11"/>
      <c r="AW5" s="11"/>
      <c r="AX5" s="11"/>
      <c r="AY5" s="107"/>
      <c r="AZ5" s="97">
        <v>423134</v>
      </c>
      <c r="BA5" s="97">
        <v>265249</v>
      </c>
      <c r="BB5" s="13">
        <v>3</v>
      </c>
      <c r="BC5" s="108">
        <v>0.95</v>
      </c>
      <c r="BD5" s="108">
        <v>0</v>
      </c>
      <c r="BE5" s="15">
        <f t="shared" si="8"/>
        <v>0</v>
      </c>
      <c r="BF5" s="18"/>
      <c r="BG5" s="18"/>
      <c r="BH5" s="16">
        <v>46046</v>
      </c>
      <c r="BI5" s="19">
        <f t="shared" si="9"/>
        <v>0</v>
      </c>
      <c r="BJ5" s="19">
        <f t="shared" si="10"/>
        <v>0</v>
      </c>
      <c r="BK5" s="20">
        <f t="shared" si="11"/>
        <v>46082</v>
      </c>
      <c r="BL5" s="21">
        <f t="shared" si="12"/>
        <v>46143</v>
      </c>
      <c r="BM5" s="111">
        <f t="shared" si="0"/>
        <v>46082</v>
      </c>
      <c r="BN5" s="112">
        <f t="shared" si="0"/>
        <v>46143</v>
      </c>
      <c r="BP5" s="27">
        <f t="shared" si="13"/>
        <v>0</v>
      </c>
      <c r="BQ5" s="28">
        <f t="shared" si="1"/>
        <v>0</v>
      </c>
      <c r="BR5" s="28">
        <f t="shared" si="1"/>
        <v>141044.66666666666</v>
      </c>
      <c r="BS5" s="28">
        <f t="shared" si="1"/>
        <v>141044.66666666666</v>
      </c>
      <c r="BT5" s="28">
        <f t="shared" si="1"/>
        <v>141044.66666666666</v>
      </c>
      <c r="BU5" s="28">
        <f t="shared" si="1"/>
        <v>0</v>
      </c>
      <c r="BV5" s="28">
        <f t="shared" si="1"/>
        <v>0</v>
      </c>
      <c r="BW5" s="28">
        <f t="shared" si="1"/>
        <v>0</v>
      </c>
      <c r="BX5" s="28">
        <f t="shared" si="1"/>
        <v>0</v>
      </c>
      <c r="BY5" s="28">
        <f t="shared" si="1"/>
        <v>0</v>
      </c>
      <c r="BZ5" s="28">
        <f t="shared" si="1"/>
        <v>0</v>
      </c>
      <c r="CA5" s="29">
        <f t="shared" si="1"/>
        <v>0</v>
      </c>
      <c r="CB5" s="30">
        <f t="shared" si="14"/>
        <v>423134</v>
      </c>
      <c r="CD5" s="27">
        <f t="shared" si="15"/>
        <v>0</v>
      </c>
      <c r="CE5" s="28">
        <f t="shared" si="2"/>
        <v>0</v>
      </c>
      <c r="CF5" s="28">
        <f t="shared" si="2"/>
        <v>0</v>
      </c>
      <c r="CG5" s="28">
        <f t="shared" si="2"/>
        <v>0</v>
      </c>
      <c r="CH5" s="28">
        <f t="shared" si="2"/>
        <v>0</v>
      </c>
      <c r="CI5" s="28">
        <f t="shared" si="2"/>
        <v>0</v>
      </c>
      <c r="CJ5" s="28">
        <f t="shared" si="2"/>
        <v>0</v>
      </c>
      <c r="CK5" s="28">
        <f t="shared" si="2"/>
        <v>0</v>
      </c>
      <c r="CL5" s="28">
        <f t="shared" si="2"/>
        <v>0</v>
      </c>
      <c r="CM5" s="28">
        <f t="shared" si="2"/>
        <v>0</v>
      </c>
      <c r="CN5" s="28">
        <f t="shared" si="2"/>
        <v>0</v>
      </c>
      <c r="CO5" s="29">
        <f t="shared" si="2"/>
        <v>0</v>
      </c>
      <c r="CP5" s="30">
        <f t="shared" si="16"/>
        <v>0</v>
      </c>
      <c r="CR5" s="27">
        <f t="shared" si="17"/>
        <v>0</v>
      </c>
      <c r="CS5" s="28">
        <f t="shared" si="3"/>
        <v>0</v>
      </c>
      <c r="CT5" s="28">
        <f t="shared" si="3"/>
        <v>88416.333333333328</v>
      </c>
      <c r="CU5" s="28">
        <f t="shared" si="3"/>
        <v>88416.333333333328</v>
      </c>
      <c r="CV5" s="28">
        <f t="shared" si="3"/>
        <v>88416.333333333328</v>
      </c>
      <c r="CW5" s="28">
        <f t="shared" si="3"/>
        <v>0</v>
      </c>
      <c r="CX5" s="28">
        <f t="shared" si="3"/>
        <v>0</v>
      </c>
      <c r="CY5" s="28">
        <f t="shared" si="3"/>
        <v>0</v>
      </c>
      <c r="CZ5" s="28">
        <f t="shared" si="3"/>
        <v>0</v>
      </c>
      <c r="DA5" s="28">
        <f t="shared" si="3"/>
        <v>0</v>
      </c>
      <c r="DB5" s="28">
        <f t="shared" si="3"/>
        <v>0</v>
      </c>
      <c r="DC5" s="29">
        <f t="shared" si="3"/>
        <v>0</v>
      </c>
      <c r="DD5" s="30">
        <f t="shared" si="18"/>
        <v>265249</v>
      </c>
      <c r="DF5" s="27">
        <f t="shared" si="19"/>
        <v>0</v>
      </c>
      <c r="DG5" s="28">
        <f t="shared" si="4"/>
        <v>0</v>
      </c>
      <c r="DH5" s="28">
        <f t="shared" si="4"/>
        <v>0</v>
      </c>
      <c r="DI5" s="28">
        <f t="shared" si="4"/>
        <v>0</v>
      </c>
      <c r="DJ5" s="28">
        <f t="shared" si="4"/>
        <v>0</v>
      </c>
      <c r="DK5" s="28">
        <f t="shared" si="4"/>
        <v>0</v>
      </c>
      <c r="DL5" s="28">
        <f t="shared" si="4"/>
        <v>0</v>
      </c>
      <c r="DM5" s="28">
        <f t="shared" si="4"/>
        <v>0</v>
      </c>
      <c r="DN5" s="28">
        <f t="shared" si="4"/>
        <v>0</v>
      </c>
      <c r="DO5" s="28">
        <f t="shared" si="4"/>
        <v>0</v>
      </c>
      <c r="DP5" s="28">
        <f t="shared" si="4"/>
        <v>0</v>
      </c>
      <c r="DQ5" s="29">
        <f t="shared" si="4"/>
        <v>0</v>
      </c>
      <c r="DR5" s="30">
        <f t="shared" si="20"/>
        <v>0</v>
      </c>
    </row>
    <row r="6" spans="1:122" x14ac:dyDescent="0.2">
      <c r="A6">
        <f t="shared" si="5"/>
        <v>19</v>
      </c>
      <c r="B6" s="49" t="str">
        <f>_xlfn.XLOOKUP(D6,Códigos_Propuestas!$B$4:$B$10,Códigos_Propuestas!$C$4:$C$10,"!",0,1)&amp;"__"&amp;
_xlfn.XLOOKUP(G6,Códigos_Propuestas!$E$4:$E$76,Códigos_Propuestas!$F$4:$F$76,"!",1)&amp;"__"&amp;
_xlfn.XLOOKUP(K6,Códigos_Propuestas!$I$4:$I$7,Códigos_Propuestas!$J$4:$J$7,"!",1)&amp;"__"&amp;
_xlfn.XLOOKUP(L6,Códigos_Propuestas!$O$4:$O$11,Códigos_Propuestas!$Q$4:$Q$11,"!",1)&amp;"__"&amp;
_xlfn.XLOOKUP(E6,Códigos_Propuestas!$BF:$BF,Códigos_Propuestas!$BH:$BH,"!",0,1)</f>
        <v>PE__MMG__UG__MOP__!</v>
      </c>
      <c r="C6" s="47">
        <f t="shared" si="21"/>
        <v>4</v>
      </c>
      <c r="D6" s="11" t="s">
        <v>62</v>
      </c>
      <c r="E6" s="12" t="s">
        <v>499</v>
      </c>
      <c r="F6" s="12"/>
      <c r="G6" s="13" t="s">
        <v>213</v>
      </c>
      <c r="H6" s="13" t="s">
        <v>500</v>
      </c>
      <c r="I6" s="13" t="s">
        <v>42</v>
      </c>
      <c r="J6" s="17" t="s">
        <v>44</v>
      </c>
      <c r="K6" s="13" t="s">
        <v>65</v>
      </c>
      <c r="L6" s="14" t="s">
        <v>598</v>
      </c>
      <c r="M6" s="14"/>
      <c r="N6" s="14"/>
      <c r="O6" s="14" t="s">
        <v>37</v>
      </c>
      <c r="P6" s="14" t="s">
        <v>118</v>
      </c>
      <c r="Q6" s="14"/>
      <c r="R6" s="14"/>
      <c r="S6" s="13"/>
      <c r="T6" s="115"/>
      <c r="U6" s="116">
        <f t="shared" ca="1" si="6"/>
        <v>0</v>
      </c>
      <c r="V6" s="13" t="str">
        <f t="shared" ca="1" si="7"/>
        <v/>
      </c>
      <c r="W6" s="14"/>
      <c r="X6" s="115"/>
      <c r="Y6" s="130" t="b">
        <v>0</v>
      </c>
      <c r="Z6" s="115"/>
      <c r="AA6" s="130" t="b">
        <v>0</v>
      </c>
      <c r="AB6" s="115"/>
      <c r="AC6" s="130" t="b">
        <v>0</v>
      </c>
      <c r="AD6" s="13"/>
      <c r="AE6" s="13"/>
      <c r="AF6" s="130" t="b">
        <v>0</v>
      </c>
      <c r="AG6" s="13"/>
      <c r="AH6" s="130" t="b">
        <v>0</v>
      </c>
      <c r="AI6" s="13"/>
      <c r="AJ6" s="130" t="b">
        <v>0</v>
      </c>
      <c r="AK6" s="13"/>
      <c r="AL6" s="130" t="b">
        <v>0</v>
      </c>
      <c r="AM6" s="13"/>
      <c r="AN6" s="13"/>
      <c r="AO6" s="130" t="b">
        <v>0</v>
      </c>
      <c r="AP6" s="130" t="b">
        <v>0</v>
      </c>
      <c r="AQ6" s="130" t="b">
        <v>0</v>
      </c>
      <c r="AR6" s="130" t="b">
        <v>0</v>
      </c>
      <c r="AS6" s="130" t="b">
        <v>0</v>
      </c>
      <c r="AT6" s="11"/>
      <c r="AU6" s="11"/>
      <c r="AV6" s="11"/>
      <c r="AW6" s="11"/>
      <c r="AX6" s="11"/>
      <c r="AY6" s="107"/>
      <c r="AZ6" s="97">
        <v>400000</v>
      </c>
      <c r="BA6" s="97">
        <v>140000</v>
      </c>
      <c r="BB6" s="13">
        <v>8</v>
      </c>
      <c r="BC6" s="108">
        <v>0.5</v>
      </c>
      <c r="BD6" s="108">
        <v>0.4</v>
      </c>
      <c r="BE6" s="15">
        <f t="shared" si="8"/>
        <v>0.2</v>
      </c>
      <c r="BF6" s="18"/>
      <c r="BG6" s="18"/>
      <c r="BH6" s="16">
        <v>46327</v>
      </c>
      <c r="BI6" s="19">
        <f t="shared" si="9"/>
        <v>80000</v>
      </c>
      <c r="BJ6" s="19">
        <f t="shared" si="10"/>
        <v>28000</v>
      </c>
      <c r="BK6" s="20">
        <f t="shared" si="11"/>
        <v>46357</v>
      </c>
      <c r="BL6" s="21">
        <f t="shared" si="12"/>
        <v>46569</v>
      </c>
      <c r="BM6" s="111">
        <f t="shared" si="0"/>
        <v>46357</v>
      </c>
      <c r="BN6" s="112">
        <f t="shared" si="0"/>
        <v>46569</v>
      </c>
      <c r="BP6" s="27">
        <f t="shared" si="13"/>
        <v>0</v>
      </c>
      <c r="BQ6" s="28">
        <f t="shared" si="1"/>
        <v>0</v>
      </c>
      <c r="BR6" s="28">
        <f t="shared" si="1"/>
        <v>0</v>
      </c>
      <c r="BS6" s="28">
        <f t="shared" si="1"/>
        <v>0</v>
      </c>
      <c r="BT6" s="28">
        <f t="shared" si="1"/>
        <v>0</v>
      </c>
      <c r="BU6" s="28">
        <f t="shared" si="1"/>
        <v>0</v>
      </c>
      <c r="BV6" s="28">
        <f t="shared" si="1"/>
        <v>0</v>
      </c>
      <c r="BW6" s="28">
        <f t="shared" si="1"/>
        <v>0</v>
      </c>
      <c r="BX6" s="28">
        <f t="shared" si="1"/>
        <v>0</v>
      </c>
      <c r="BY6" s="28">
        <f t="shared" si="1"/>
        <v>0</v>
      </c>
      <c r="BZ6" s="28">
        <f t="shared" si="1"/>
        <v>0</v>
      </c>
      <c r="CA6" s="29">
        <f t="shared" si="1"/>
        <v>50000</v>
      </c>
      <c r="CB6" s="30">
        <f t="shared" si="14"/>
        <v>50000</v>
      </c>
      <c r="CD6" s="27">
        <f t="shared" si="15"/>
        <v>0</v>
      </c>
      <c r="CE6" s="28">
        <f t="shared" si="2"/>
        <v>0</v>
      </c>
      <c r="CF6" s="28">
        <f t="shared" si="2"/>
        <v>0</v>
      </c>
      <c r="CG6" s="28">
        <f t="shared" si="2"/>
        <v>0</v>
      </c>
      <c r="CH6" s="28">
        <f t="shared" si="2"/>
        <v>0</v>
      </c>
      <c r="CI6" s="28">
        <f t="shared" si="2"/>
        <v>0</v>
      </c>
      <c r="CJ6" s="28">
        <f t="shared" si="2"/>
        <v>0</v>
      </c>
      <c r="CK6" s="28">
        <f t="shared" si="2"/>
        <v>0</v>
      </c>
      <c r="CL6" s="28">
        <f t="shared" si="2"/>
        <v>0</v>
      </c>
      <c r="CM6" s="28">
        <f t="shared" si="2"/>
        <v>0</v>
      </c>
      <c r="CN6" s="28">
        <f t="shared" si="2"/>
        <v>0</v>
      </c>
      <c r="CO6" s="29">
        <f t="shared" si="2"/>
        <v>10000</v>
      </c>
      <c r="CP6" s="30">
        <f t="shared" si="16"/>
        <v>10000</v>
      </c>
      <c r="CR6" s="27">
        <f t="shared" si="17"/>
        <v>0</v>
      </c>
      <c r="CS6" s="28">
        <f t="shared" si="3"/>
        <v>0</v>
      </c>
      <c r="CT6" s="28">
        <f t="shared" si="3"/>
        <v>0</v>
      </c>
      <c r="CU6" s="28">
        <f t="shared" si="3"/>
        <v>0</v>
      </c>
      <c r="CV6" s="28">
        <f t="shared" si="3"/>
        <v>0</v>
      </c>
      <c r="CW6" s="28">
        <f t="shared" si="3"/>
        <v>0</v>
      </c>
      <c r="CX6" s="28">
        <f t="shared" si="3"/>
        <v>0</v>
      </c>
      <c r="CY6" s="28">
        <f t="shared" si="3"/>
        <v>0</v>
      </c>
      <c r="CZ6" s="28">
        <f t="shared" si="3"/>
        <v>0</v>
      </c>
      <c r="DA6" s="28">
        <f t="shared" si="3"/>
        <v>0</v>
      </c>
      <c r="DB6" s="28">
        <f t="shared" si="3"/>
        <v>0</v>
      </c>
      <c r="DC6" s="29">
        <f t="shared" si="3"/>
        <v>17500</v>
      </c>
      <c r="DD6" s="30">
        <f t="shared" si="18"/>
        <v>17500</v>
      </c>
      <c r="DF6" s="27">
        <f t="shared" si="19"/>
        <v>0</v>
      </c>
      <c r="DG6" s="28">
        <f t="shared" si="4"/>
        <v>0</v>
      </c>
      <c r="DH6" s="28">
        <f t="shared" si="4"/>
        <v>0</v>
      </c>
      <c r="DI6" s="28">
        <f t="shared" si="4"/>
        <v>0</v>
      </c>
      <c r="DJ6" s="28">
        <f t="shared" si="4"/>
        <v>0</v>
      </c>
      <c r="DK6" s="28">
        <f t="shared" si="4"/>
        <v>0</v>
      </c>
      <c r="DL6" s="28">
        <f t="shared" si="4"/>
        <v>0</v>
      </c>
      <c r="DM6" s="28">
        <f t="shared" si="4"/>
        <v>0</v>
      </c>
      <c r="DN6" s="28">
        <f t="shared" si="4"/>
        <v>0</v>
      </c>
      <c r="DO6" s="28">
        <f t="shared" si="4"/>
        <v>0</v>
      </c>
      <c r="DP6" s="28">
        <f t="shared" si="4"/>
        <v>0</v>
      </c>
      <c r="DQ6" s="29">
        <f t="shared" si="4"/>
        <v>3500</v>
      </c>
      <c r="DR6" s="30">
        <f t="shared" si="20"/>
        <v>3500</v>
      </c>
    </row>
    <row r="7" spans="1:122" x14ac:dyDescent="0.2">
      <c r="A7">
        <f t="shared" si="5"/>
        <v>14</v>
      </c>
      <c r="B7" s="49" t="str">
        <f>_xlfn.XLOOKUP(D7,Códigos_Propuestas!$B$4:$B$10,Códigos_Propuestas!$C$4:$C$10,"!",0,1)&amp;"__"&amp;
_xlfn.XLOOKUP(G7,Códigos_Propuestas!$E$4:$E$76,Códigos_Propuestas!$F$4:$F$76,"!",1)&amp;"__"&amp;
_xlfn.XLOOKUP(K7,Códigos_Propuestas!$I$4:$I$7,Códigos_Propuestas!$J$4:$J$7,"!",1)&amp;"__"&amp;
_xlfn.XLOOKUP(L7,Códigos_Propuestas!$O$4:$O$11,Códigos_Propuestas!$Q$4:$Q$11,"!",1)&amp;"__"&amp;
_xlfn.XLOOKUP(E7,Códigos_Propuestas!$BF:$BF,Códigos_Propuestas!$BH:$BH,"!",0,1)</f>
        <v>BR__!__!__!__!</v>
      </c>
      <c r="C7" s="47">
        <f t="shared" si="21"/>
        <v>5</v>
      </c>
      <c r="D7" s="11" t="s">
        <v>88</v>
      </c>
      <c r="E7" s="12" t="s">
        <v>348</v>
      </c>
      <c r="F7" s="12"/>
      <c r="G7" s="13"/>
      <c r="H7" s="13"/>
      <c r="I7" s="13" t="s">
        <v>42</v>
      </c>
      <c r="J7" s="17"/>
      <c r="K7" s="13"/>
      <c r="L7" s="14"/>
      <c r="M7" s="14"/>
      <c r="N7" s="14"/>
      <c r="O7" s="14"/>
      <c r="P7" s="14"/>
      <c r="Q7" s="14"/>
      <c r="R7" s="14"/>
      <c r="S7" s="13"/>
      <c r="T7" s="115"/>
      <c r="U7" s="116">
        <f t="shared" ca="1" si="6"/>
        <v>0</v>
      </c>
      <c r="V7" s="13" t="str">
        <f t="shared" ca="1" si="7"/>
        <v/>
      </c>
      <c r="W7" s="14"/>
      <c r="X7" s="115"/>
      <c r="Y7" s="130" t="b">
        <v>0</v>
      </c>
      <c r="Z7" s="115"/>
      <c r="AA7" s="130" t="b">
        <v>0</v>
      </c>
      <c r="AB7" s="115"/>
      <c r="AC7" s="130" t="b">
        <v>0</v>
      </c>
      <c r="AD7" s="13"/>
      <c r="AE7" s="13"/>
      <c r="AF7" s="130" t="b">
        <v>0</v>
      </c>
      <c r="AG7" s="13"/>
      <c r="AH7" s="130" t="b">
        <v>0</v>
      </c>
      <c r="AI7" s="13"/>
      <c r="AJ7" s="130" t="b">
        <v>0</v>
      </c>
      <c r="AK7" s="13"/>
      <c r="AL7" s="130" t="b">
        <v>0</v>
      </c>
      <c r="AM7" s="13"/>
      <c r="AN7" s="13"/>
      <c r="AO7" s="130" t="b">
        <v>0</v>
      </c>
      <c r="AP7" s="130" t="b">
        <v>0</v>
      </c>
      <c r="AQ7" s="130" t="b">
        <v>0</v>
      </c>
      <c r="AR7" s="130" t="b">
        <v>0</v>
      </c>
      <c r="AS7" s="130" t="b">
        <v>0</v>
      </c>
      <c r="AT7" s="11"/>
      <c r="AU7" s="11"/>
      <c r="AV7" s="11"/>
      <c r="AW7" s="11"/>
      <c r="AX7" s="11"/>
      <c r="AY7" s="107"/>
      <c r="AZ7" s="97">
        <v>1500000</v>
      </c>
      <c r="BA7" s="97">
        <v>600000</v>
      </c>
      <c r="BB7" s="13">
        <v>8</v>
      </c>
      <c r="BC7" s="108">
        <v>0.5</v>
      </c>
      <c r="BD7" s="108">
        <v>0.8</v>
      </c>
      <c r="BE7" s="15">
        <f t="shared" si="8"/>
        <v>0.4</v>
      </c>
      <c r="BF7" s="18"/>
      <c r="BG7" s="18"/>
      <c r="BH7" s="16">
        <v>46082</v>
      </c>
      <c r="BI7" s="19">
        <f t="shared" si="9"/>
        <v>600000</v>
      </c>
      <c r="BJ7" s="19">
        <f t="shared" si="10"/>
        <v>240000</v>
      </c>
      <c r="BK7" s="20">
        <f t="shared" si="11"/>
        <v>46113</v>
      </c>
      <c r="BL7" s="21">
        <f t="shared" si="12"/>
        <v>46327</v>
      </c>
      <c r="BM7" s="111">
        <f t="shared" si="0"/>
        <v>46113</v>
      </c>
      <c r="BN7" s="112">
        <f t="shared" si="0"/>
        <v>46327</v>
      </c>
      <c r="BP7" s="27">
        <f t="shared" si="13"/>
        <v>0</v>
      </c>
      <c r="BQ7" s="28">
        <f t="shared" si="1"/>
        <v>0</v>
      </c>
      <c r="BR7" s="28">
        <f t="shared" si="1"/>
        <v>0</v>
      </c>
      <c r="BS7" s="28">
        <f t="shared" si="1"/>
        <v>187500</v>
      </c>
      <c r="BT7" s="28">
        <f t="shared" si="1"/>
        <v>187500</v>
      </c>
      <c r="BU7" s="28">
        <f t="shared" si="1"/>
        <v>187500</v>
      </c>
      <c r="BV7" s="28">
        <f t="shared" si="1"/>
        <v>187500</v>
      </c>
      <c r="BW7" s="28">
        <f t="shared" si="1"/>
        <v>187500</v>
      </c>
      <c r="BX7" s="28">
        <f t="shared" si="1"/>
        <v>187500</v>
      </c>
      <c r="BY7" s="28">
        <f t="shared" si="1"/>
        <v>187500</v>
      </c>
      <c r="BZ7" s="28">
        <f t="shared" si="1"/>
        <v>187500</v>
      </c>
      <c r="CA7" s="29">
        <f t="shared" si="1"/>
        <v>0</v>
      </c>
      <c r="CB7" s="30">
        <f t="shared" si="14"/>
        <v>1500000</v>
      </c>
      <c r="CD7" s="27">
        <f t="shared" si="15"/>
        <v>0</v>
      </c>
      <c r="CE7" s="28">
        <f t="shared" si="2"/>
        <v>0</v>
      </c>
      <c r="CF7" s="28">
        <f t="shared" si="2"/>
        <v>0</v>
      </c>
      <c r="CG7" s="28">
        <f t="shared" si="2"/>
        <v>75000</v>
      </c>
      <c r="CH7" s="28">
        <f t="shared" si="2"/>
        <v>75000</v>
      </c>
      <c r="CI7" s="28">
        <f t="shared" si="2"/>
        <v>75000</v>
      </c>
      <c r="CJ7" s="28">
        <f t="shared" si="2"/>
        <v>75000</v>
      </c>
      <c r="CK7" s="28">
        <f t="shared" si="2"/>
        <v>75000</v>
      </c>
      <c r="CL7" s="28">
        <f t="shared" si="2"/>
        <v>75000</v>
      </c>
      <c r="CM7" s="28">
        <f t="shared" si="2"/>
        <v>75000</v>
      </c>
      <c r="CN7" s="28">
        <f t="shared" si="2"/>
        <v>75000</v>
      </c>
      <c r="CO7" s="29">
        <f t="shared" si="2"/>
        <v>0</v>
      </c>
      <c r="CP7" s="30">
        <f t="shared" si="16"/>
        <v>600000</v>
      </c>
      <c r="CR7" s="27">
        <f t="shared" si="17"/>
        <v>0</v>
      </c>
      <c r="CS7" s="28">
        <f t="shared" si="3"/>
        <v>0</v>
      </c>
      <c r="CT7" s="28">
        <f t="shared" si="3"/>
        <v>0</v>
      </c>
      <c r="CU7" s="28">
        <f t="shared" si="3"/>
        <v>75000</v>
      </c>
      <c r="CV7" s="28">
        <f t="shared" si="3"/>
        <v>75000</v>
      </c>
      <c r="CW7" s="28">
        <f t="shared" si="3"/>
        <v>75000</v>
      </c>
      <c r="CX7" s="28">
        <f t="shared" si="3"/>
        <v>75000</v>
      </c>
      <c r="CY7" s="28">
        <f t="shared" si="3"/>
        <v>75000</v>
      </c>
      <c r="CZ7" s="28">
        <f t="shared" si="3"/>
        <v>75000</v>
      </c>
      <c r="DA7" s="28">
        <f t="shared" si="3"/>
        <v>75000</v>
      </c>
      <c r="DB7" s="28">
        <f t="shared" si="3"/>
        <v>75000</v>
      </c>
      <c r="DC7" s="29">
        <f t="shared" si="3"/>
        <v>0</v>
      </c>
      <c r="DD7" s="30">
        <f t="shared" si="18"/>
        <v>600000</v>
      </c>
      <c r="DF7" s="27">
        <f t="shared" si="19"/>
        <v>0</v>
      </c>
      <c r="DG7" s="28">
        <f t="shared" si="4"/>
        <v>0</v>
      </c>
      <c r="DH7" s="28">
        <f t="shared" si="4"/>
        <v>0</v>
      </c>
      <c r="DI7" s="28">
        <f t="shared" si="4"/>
        <v>30000</v>
      </c>
      <c r="DJ7" s="28">
        <f t="shared" si="4"/>
        <v>30000</v>
      </c>
      <c r="DK7" s="28">
        <f t="shared" si="4"/>
        <v>30000</v>
      </c>
      <c r="DL7" s="28">
        <f t="shared" si="4"/>
        <v>30000</v>
      </c>
      <c r="DM7" s="28">
        <f t="shared" si="4"/>
        <v>30000</v>
      </c>
      <c r="DN7" s="28">
        <f t="shared" si="4"/>
        <v>30000</v>
      </c>
      <c r="DO7" s="28">
        <f t="shared" si="4"/>
        <v>30000</v>
      </c>
      <c r="DP7" s="28">
        <f t="shared" si="4"/>
        <v>30000</v>
      </c>
      <c r="DQ7" s="29">
        <f t="shared" si="4"/>
        <v>0</v>
      </c>
      <c r="DR7" s="30">
        <f t="shared" si="20"/>
        <v>240000</v>
      </c>
    </row>
    <row r="8" spans="1:122" x14ac:dyDescent="0.2">
      <c r="A8">
        <f t="shared" si="5"/>
        <v>17</v>
      </c>
      <c r="B8" s="49" t="str">
        <f>_xlfn.XLOOKUP(D8,Códigos_Propuestas!$B$4:$B$10,Códigos_Propuestas!$C$4:$C$10,"!",0,1)&amp;"__"&amp;
_xlfn.XLOOKUP(G8,Códigos_Propuestas!$E$4:$E$76,Códigos_Propuestas!$F$4:$F$76,"!",1)&amp;"__"&amp;
_xlfn.XLOOKUP(K8,Códigos_Propuestas!$I$4:$I$7,Códigos_Propuestas!$J$4:$J$7,"!",1)&amp;"__"&amp;
_xlfn.XLOOKUP(L8,Códigos_Propuestas!$O$4:$O$11,Códigos_Propuestas!$Q$4:$Q$11,"!",1)&amp;"__"&amp;
_xlfn.XLOOKUP(E8,Códigos_Propuestas!$BF:$BF,Códigos_Propuestas!$BH:$BH,"!",0,1)</f>
        <v>USA__AES__!__!__!</v>
      </c>
      <c r="C8" s="47">
        <f t="shared" si="21"/>
        <v>6</v>
      </c>
      <c r="D8" s="11" t="s">
        <v>136</v>
      </c>
      <c r="E8" s="12" t="s">
        <v>348</v>
      </c>
      <c r="F8" s="12"/>
      <c r="G8" s="13" t="s">
        <v>341</v>
      </c>
      <c r="H8" s="13"/>
      <c r="I8" s="13" t="s">
        <v>42</v>
      </c>
      <c r="J8" s="17"/>
      <c r="K8" s="13"/>
      <c r="L8" s="14"/>
      <c r="M8" s="14"/>
      <c r="N8" s="14"/>
      <c r="O8" s="14"/>
      <c r="P8" s="14"/>
      <c r="Q8" s="14"/>
      <c r="R8" s="14"/>
      <c r="S8" s="13"/>
      <c r="T8" s="115"/>
      <c r="U8" s="116">
        <f t="shared" ca="1" si="6"/>
        <v>0</v>
      </c>
      <c r="V8" s="13" t="str">
        <f t="shared" ca="1" si="7"/>
        <v/>
      </c>
      <c r="W8" s="14"/>
      <c r="X8" s="115"/>
      <c r="Y8" s="130" t="b">
        <v>0</v>
      </c>
      <c r="Z8" s="115"/>
      <c r="AA8" s="130" t="b">
        <v>0</v>
      </c>
      <c r="AB8" s="115"/>
      <c r="AC8" s="130" t="b">
        <v>0</v>
      </c>
      <c r="AD8" s="13"/>
      <c r="AE8" s="13"/>
      <c r="AF8" s="130" t="b">
        <v>0</v>
      </c>
      <c r="AG8" s="13"/>
      <c r="AH8" s="130" t="b">
        <v>0</v>
      </c>
      <c r="AI8" s="13"/>
      <c r="AJ8" s="130" t="b">
        <v>0</v>
      </c>
      <c r="AK8" s="13"/>
      <c r="AL8" s="130" t="b">
        <v>0</v>
      </c>
      <c r="AM8" s="13"/>
      <c r="AN8" s="13"/>
      <c r="AO8" s="130" t="b">
        <v>0</v>
      </c>
      <c r="AP8" s="130" t="b">
        <v>0</v>
      </c>
      <c r="AQ8" s="130" t="b">
        <v>0</v>
      </c>
      <c r="AR8" s="130" t="b">
        <v>0</v>
      </c>
      <c r="AS8" s="130" t="b">
        <v>0</v>
      </c>
      <c r="AT8" s="11"/>
      <c r="AU8" s="11"/>
      <c r="AV8" s="11"/>
      <c r="AW8" s="11"/>
      <c r="AX8" s="11"/>
      <c r="AY8" s="107"/>
      <c r="AZ8" s="97">
        <v>600000</v>
      </c>
      <c r="BA8" s="97">
        <v>320000</v>
      </c>
      <c r="BB8" s="13">
        <v>5</v>
      </c>
      <c r="BC8" s="108">
        <v>0.5</v>
      </c>
      <c r="BD8" s="108">
        <v>0.5</v>
      </c>
      <c r="BE8" s="15">
        <f t="shared" si="8"/>
        <v>0.25</v>
      </c>
      <c r="BF8" s="18"/>
      <c r="BG8" s="18"/>
      <c r="BH8" s="16">
        <v>46157</v>
      </c>
      <c r="BI8" s="19">
        <f t="shared" si="9"/>
        <v>150000</v>
      </c>
      <c r="BJ8" s="19">
        <f t="shared" si="10"/>
        <v>80000</v>
      </c>
      <c r="BK8" s="20">
        <f t="shared" si="11"/>
        <v>46204</v>
      </c>
      <c r="BL8" s="21">
        <f t="shared" si="12"/>
        <v>46327</v>
      </c>
      <c r="BM8" s="111">
        <f t="shared" si="0"/>
        <v>46204</v>
      </c>
      <c r="BN8" s="112">
        <f t="shared" si="0"/>
        <v>46327</v>
      </c>
      <c r="BP8" s="27">
        <f t="shared" si="13"/>
        <v>0</v>
      </c>
      <c r="BQ8" s="28">
        <f t="shared" si="1"/>
        <v>0</v>
      </c>
      <c r="BR8" s="28">
        <f t="shared" si="1"/>
        <v>0</v>
      </c>
      <c r="BS8" s="28">
        <f t="shared" si="1"/>
        <v>0</v>
      </c>
      <c r="BT8" s="28">
        <f t="shared" si="1"/>
        <v>0</v>
      </c>
      <c r="BU8" s="28">
        <f t="shared" si="1"/>
        <v>0</v>
      </c>
      <c r="BV8" s="28">
        <f t="shared" si="1"/>
        <v>120000</v>
      </c>
      <c r="BW8" s="28">
        <f t="shared" si="1"/>
        <v>120000</v>
      </c>
      <c r="BX8" s="28">
        <f t="shared" si="1"/>
        <v>120000</v>
      </c>
      <c r="BY8" s="28">
        <f t="shared" si="1"/>
        <v>120000</v>
      </c>
      <c r="BZ8" s="28">
        <f t="shared" si="1"/>
        <v>120000</v>
      </c>
      <c r="CA8" s="29">
        <f t="shared" si="1"/>
        <v>0</v>
      </c>
      <c r="CB8" s="30">
        <f t="shared" si="14"/>
        <v>600000</v>
      </c>
      <c r="CD8" s="27">
        <f t="shared" si="15"/>
        <v>0</v>
      </c>
      <c r="CE8" s="28">
        <f t="shared" si="2"/>
        <v>0</v>
      </c>
      <c r="CF8" s="28">
        <f t="shared" si="2"/>
        <v>0</v>
      </c>
      <c r="CG8" s="28">
        <f t="shared" si="2"/>
        <v>0</v>
      </c>
      <c r="CH8" s="28">
        <f t="shared" si="2"/>
        <v>0</v>
      </c>
      <c r="CI8" s="28">
        <f t="shared" si="2"/>
        <v>0</v>
      </c>
      <c r="CJ8" s="28">
        <f t="shared" si="2"/>
        <v>30000</v>
      </c>
      <c r="CK8" s="28">
        <f t="shared" si="2"/>
        <v>30000</v>
      </c>
      <c r="CL8" s="28">
        <f t="shared" si="2"/>
        <v>30000</v>
      </c>
      <c r="CM8" s="28">
        <f t="shared" si="2"/>
        <v>30000</v>
      </c>
      <c r="CN8" s="28">
        <f t="shared" si="2"/>
        <v>30000</v>
      </c>
      <c r="CO8" s="29">
        <f t="shared" si="2"/>
        <v>0</v>
      </c>
      <c r="CP8" s="30">
        <f t="shared" si="16"/>
        <v>150000</v>
      </c>
      <c r="CR8" s="27">
        <f t="shared" si="17"/>
        <v>0</v>
      </c>
      <c r="CS8" s="28">
        <f t="shared" si="3"/>
        <v>0</v>
      </c>
      <c r="CT8" s="28">
        <f t="shared" si="3"/>
        <v>0</v>
      </c>
      <c r="CU8" s="28">
        <f t="shared" si="3"/>
        <v>0</v>
      </c>
      <c r="CV8" s="28">
        <f t="shared" si="3"/>
        <v>0</v>
      </c>
      <c r="CW8" s="28">
        <f t="shared" si="3"/>
        <v>0</v>
      </c>
      <c r="CX8" s="28">
        <f t="shared" si="3"/>
        <v>64000</v>
      </c>
      <c r="CY8" s="28">
        <f t="shared" si="3"/>
        <v>64000</v>
      </c>
      <c r="CZ8" s="28">
        <f t="shared" si="3"/>
        <v>64000</v>
      </c>
      <c r="DA8" s="28">
        <f t="shared" si="3"/>
        <v>64000</v>
      </c>
      <c r="DB8" s="28">
        <f t="shared" si="3"/>
        <v>64000</v>
      </c>
      <c r="DC8" s="29">
        <f t="shared" si="3"/>
        <v>0</v>
      </c>
      <c r="DD8" s="30">
        <f t="shared" si="18"/>
        <v>320000</v>
      </c>
      <c r="DF8" s="27">
        <f t="shared" si="19"/>
        <v>0</v>
      </c>
      <c r="DG8" s="28">
        <f t="shared" si="4"/>
        <v>0</v>
      </c>
      <c r="DH8" s="28">
        <f t="shared" si="4"/>
        <v>0</v>
      </c>
      <c r="DI8" s="28">
        <f t="shared" si="4"/>
        <v>0</v>
      </c>
      <c r="DJ8" s="28">
        <f t="shared" si="4"/>
        <v>0</v>
      </c>
      <c r="DK8" s="28">
        <f t="shared" si="4"/>
        <v>0</v>
      </c>
      <c r="DL8" s="28">
        <f t="shared" si="4"/>
        <v>16000</v>
      </c>
      <c r="DM8" s="28">
        <f t="shared" si="4"/>
        <v>16000</v>
      </c>
      <c r="DN8" s="28">
        <f t="shared" si="4"/>
        <v>16000</v>
      </c>
      <c r="DO8" s="28">
        <f t="shared" si="4"/>
        <v>16000</v>
      </c>
      <c r="DP8" s="28">
        <f t="shared" si="4"/>
        <v>16000</v>
      </c>
      <c r="DQ8" s="29">
        <f t="shared" si="4"/>
        <v>0</v>
      </c>
      <c r="DR8" s="30">
        <f t="shared" si="20"/>
        <v>80000</v>
      </c>
    </row>
    <row r="9" spans="1:122" x14ac:dyDescent="0.2">
      <c r="A9">
        <f t="shared" si="5"/>
        <v>20</v>
      </c>
      <c r="B9" s="49" t="str">
        <f>_xlfn.XLOOKUP(D9,Códigos_Propuestas!$B$4:$B$10,Códigos_Propuestas!$C$4:$C$10,"!",0,1)&amp;"__"&amp;
_xlfn.XLOOKUP(G9,Códigos_Propuestas!$E$4:$E$76,Códigos_Propuestas!$F$4:$F$76,"!",1)&amp;"__"&amp;
_xlfn.XLOOKUP(K9,Códigos_Propuestas!$I$4:$I$7,Códigos_Propuestas!$J$4:$J$7,"!",1)&amp;"__"&amp;
_xlfn.XLOOKUP(L9,Códigos_Propuestas!$O$4:$O$11,Códigos_Propuestas!$Q$4:$Q$11,"!",1)&amp;"__"&amp;
_xlfn.XLOOKUP(E9,Códigos_Propuestas!$BF:$BF,Códigos_Propuestas!$BH:$BH,"!",0,1)</f>
        <v>USA__FNE__UG__DAR__!</v>
      </c>
      <c r="C9" s="47">
        <f t="shared" si="21"/>
        <v>7</v>
      </c>
      <c r="D9" s="11" t="s">
        <v>136</v>
      </c>
      <c r="E9" s="12" t="s">
        <v>501</v>
      </c>
      <c r="F9" s="12"/>
      <c r="G9" s="13" t="s">
        <v>343</v>
      </c>
      <c r="H9" s="13"/>
      <c r="I9" s="13" t="s">
        <v>70</v>
      </c>
      <c r="J9" s="17" t="s">
        <v>44</v>
      </c>
      <c r="K9" s="13" t="s">
        <v>65</v>
      </c>
      <c r="L9" s="14" t="s">
        <v>599</v>
      </c>
      <c r="M9" s="14"/>
      <c r="N9" s="14"/>
      <c r="O9" s="14" t="s">
        <v>37</v>
      </c>
      <c r="P9" s="14" t="s">
        <v>66</v>
      </c>
      <c r="Q9" s="14" t="s">
        <v>93</v>
      </c>
      <c r="R9" s="14"/>
      <c r="S9" s="13"/>
      <c r="T9" s="115"/>
      <c r="U9" s="116">
        <f t="shared" ca="1" si="6"/>
        <v>0</v>
      </c>
      <c r="V9" s="13" t="str">
        <f t="shared" ca="1" si="7"/>
        <v/>
      </c>
      <c r="W9" s="14"/>
      <c r="X9" s="115"/>
      <c r="Y9" s="130" t="b">
        <v>1</v>
      </c>
      <c r="Z9" s="115"/>
      <c r="AA9" s="130" t="b">
        <v>1</v>
      </c>
      <c r="AB9" s="115"/>
      <c r="AC9" s="130" t="b">
        <v>1</v>
      </c>
      <c r="AD9" s="13"/>
      <c r="AE9" s="13"/>
      <c r="AF9" s="130" t="b">
        <v>0</v>
      </c>
      <c r="AG9" s="13"/>
      <c r="AH9" s="130" t="b">
        <v>0</v>
      </c>
      <c r="AI9" s="13"/>
      <c r="AJ9" s="130" t="b">
        <v>0</v>
      </c>
      <c r="AK9" s="13"/>
      <c r="AL9" s="130" t="b">
        <v>0</v>
      </c>
      <c r="AM9" s="13"/>
      <c r="AN9" s="13"/>
      <c r="AO9" s="130" t="b">
        <v>0</v>
      </c>
      <c r="AP9" s="130" t="b">
        <v>0</v>
      </c>
      <c r="AQ9" s="130" t="b">
        <v>0</v>
      </c>
      <c r="AR9" s="130" t="b">
        <v>0</v>
      </c>
      <c r="AS9" s="130" t="b">
        <v>0</v>
      </c>
      <c r="AT9" s="11"/>
      <c r="AU9" s="11"/>
      <c r="AV9" s="11"/>
      <c r="AW9" s="11"/>
      <c r="AX9" s="11"/>
      <c r="AY9" s="107"/>
      <c r="AZ9" s="97">
        <v>500000</v>
      </c>
      <c r="BA9" s="97">
        <v>20000</v>
      </c>
      <c r="BB9" s="13">
        <v>5</v>
      </c>
      <c r="BC9" s="108">
        <v>1</v>
      </c>
      <c r="BD9" s="108">
        <v>1</v>
      </c>
      <c r="BE9" s="15">
        <f t="shared" si="8"/>
        <v>1</v>
      </c>
      <c r="BF9" s="18"/>
      <c r="BG9" s="18"/>
      <c r="BH9" s="16">
        <v>46359</v>
      </c>
      <c r="BI9" s="19">
        <f t="shared" si="9"/>
        <v>500000</v>
      </c>
      <c r="BJ9" s="19">
        <f t="shared" si="10"/>
        <v>20000</v>
      </c>
      <c r="BK9" s="20">
        <f t="shared" si="11"/>
        <v>46419</v>
      </c>
      <c r="BL9" s="21">
        <f t="shared" si="12"/>
        <v>46539</v>
      </c>
      <c r="BM9" s="111">
        <f t="shared" si="0"/>
        <v>46419</v>
      </c>
      <c r="BN9" s="112">
        <f t="shared" si="0"/>
        <v>46539</v>
      </c>
      <c r="BP9" s="27">
        <f t="shared" si="13"/>
        <v>0</v>
      </c>
      <c r="BQ9" s="28">
        <f t="shared" si="1"/>
        <v>0</v>
      </c>
      <c r="BR9" s="28">
        <f t="shared" si="1"/>
        <v>0</v>
      </c>
      <c r="BS9" s="28">
        <f t="shared" si="1"/>
        <v>0</v>
      </c>
      <c r="BT9" s="28">
        <f t="shared" si="1"/>
        <v>0</v>
      </c>
      <c r="BU9" s="28">
        <f t="shared" si="1"/>
        <v>0</v>
      </c>
      <c r="BV9" s="28">
        <f t="shared" si="1"/>
        <v>0</v>
      </c>
      <c r="BW9" s="28">
        <f t="shared" si="1"/>
        <v>0</v>
      </c>
      <c r="BX9" s="28">
        <f t="shared" si="1"/>
        <v>0</v>
      </c>
      <c r="BY9" s="28">
        <f t="shared" si="1"/>
        <v>0</v>
      </c>
      <c r="BZ9" s="28">
        <f t="shared" si="1"/>
        <v>0</v>
      </c>
      <c r="CA9" s="29">
        <f t="shared" si="1"/>
        <v>0</v>
      </c>
      <c r="CB9" s="30">
        <f t="shared" si="14"/>
        <v>0</v>
      </c>
      <c r="CD9" s="27">
        <f t="shared" si="15"/>
        <v>0</v>
      </c>
      <c r="CE9" s="28">
        <f t="shared" si="2"/>
        <v>0</v>
      </c>
      <c r="CF9" s="28">
        <f t="shared" si="2"/>
        <v>0</v>
      </c>
      <c r="CG9" s="28">
        <f t="shared" si="2"/>
        <v>0</v>
      </c>
      <c r="CH9" s="28">
        <f t="shared" si="2"/>
        <v>0</v>
      </c>
      <c r="CI9" s="28">
        <f t="shared" si="2"/>
        <v>0</v>
      </c>
      <c r="CJ9" s="28">
        <f t="shared" si="2"/>
        <v>0</v>
      </c>
      <c r="CK9" s="28">
        <f t="shared" si="2"/>
        <v>0</v>
      </c>
      <c r="CL9" s="28">
        <f t="shared" si="2"/>
        <v>0</v>
      </c>
      <c r="CM9" s="28">
        <f t="shared" si="2"/>
        <v>0</v>
      </c>
      <c r="CN9" s="28">
        <f t="shared" si="2"/>
        <v>0</v>
      </c>
      <c r="CO9" s="29">
        <f t="shared" si="2"/>
        <v>0</v>
      </c>
      <c r="CP9" s="30">
        <f t="shared" si="16"/>
        <v>0</v>
      </c>
      <c r="CR9" s="27">
        <f t="shared" si="17"/>
        <v>0</v>
      </c>
      <c r="CS9" s="28">
        <f t="shared" si="3"/>
        <v>0</v>
      </c>
      <c r="CT9" s="28">
        <f t="shared" si="3"/>
        <v>0</v>
      </c>
      <c r="CU9" s="28">
        <f t="shared" si="3"/>
        <v>0</v>
      </c>
      <c r="CV9" s="28">
        <f t="shared" si="3"/>
        <v>0</v>
      </c>
      <c r="CW9" s="28">
        <f t="shared" si="3"/>
        <v>0</v>
      </c>
      <c r="CX9" s="28">
        <f t="shared" si="3"/>
        <v>0</v>
      </c>
      <c r="CY9" s="28">
        <f t="shared" si="3"/>
        <v>0</v>
      </c>
      <c r="CZ9" s="28">
        <f t="shared" si="3"/>
        <v>0</v>
      </c>
      <c r="DA9" s="28">
        <f t="shared" si="3"/>
        <v>0</v>
      </c>
      <c r="DB9" s="28">
        <f t="shared" si="3"/>
        <v>0</v>
      </c>
      <c r="DC9" s="29">
        <f t="shared" si="3"/>
        <v>0</v>
      </c>
      <c r="DD9" s="30">
        <f t="shared" si="18"/>
        <v>0</v>
      </c>
      <c r="DF9" s="27">
        <f t="shared" si="19"/>
        <v>0</v>
      </c>
      <c r="DG9" s="28">
        <f t="shared" si="4"/>
        <v>0</v>
      </c>
      <c r="DH9" s="28">
        <f t="shared" si="4"/>
        <v>0</v>
      </c>
      <c r="DI9" s="28">
        <f t="shared" si="4"/>
        <v>0</v>
      </c>
      <c r="DJ9" s="28">
        <f t="shared" si="4"/>
        <v>0</v>
      </c>
      <c r="DK9" s="28">
        <f t="shared" si="4"/>
        <v>0</v>
      </c>
      <c r="DL9" s="28">
        <f t="shared" si="4"/>
        <v>0</v>
      </c>
      <c r="DM9" s="28">
        <f t="shared" si="4"/>
        <v>0</v>
      </c>
      <c r="DN9" s="28">
        <f t="shared" si="4"/>
        <v>0</v>
      </c>
      <c r="DO9" s="28">
        <f t="shared" si="4"/>
        <v>0</v>
      </c>
      <c r="DP9" s="28">
        <f t="shared" si="4"/>
        <v>0</v>
      </c>
      <c r="DQ9" s="29">
        <f t="shared" si="4"/>
        <v>0</v>
      </c>
      <c r="DR9" s="30">
        <f t="shared" si="20"/>
        <v>0</v>
      </c>
    </row>
    <row r="10" spans="1:122" x14ac:dyDescent="0.2">
      <c r="A10">
        <f t="shared" si="5"/>
        <v>17</v>
      </c>
      <c r="B10" s="49" t="str">
        <f>_xlfn.XLOOKUP(D10,Códigos_Propuestas!$B$4:$B$10,Códigos_Propuestas!$C$4:$C$10,"!",0,1)&amp;"__"&amp;
_xlfn.XLOOKUP(G10,Códigos_Propuestas!$E$4:$E$76,Códigos_Propuestas!$F$4:$F$76,"!",1)&amp;"__"&amp;
_xlfn.XLOOKUP(K10,Códigos_Propuestas!$I$4:$I$7,Códigos_Propuestas!$J$4:$J$7,"!",1)&amp;"__"&amp;
_xlfn.XLOOKUP(L10,Códigos_Propuestas!$O$4:$O$11,Códigos_Propuestas!$Q$4:$Q$11,"!",1)&amp;"__"&amp;
_xlfn.XLOOKUP(E10,Códigos_Propuestas!$BF:$BF,Códigos_Propuestas!$BH:$BH,"!",0,1)</f>
        <v>USA__TAB__!__!__!</v>
      </c>
      <c r="C10" s="47">
        <f t="shared" si="21"/>
        <v>8</v>
      </c>
      <c r="D10" s="11" t="s">
        <v>136</v>
      </c>
      <c r="E10" s="12" t="s">
        <v>502</v>
      </c>
      <c r="F10" s="12"/>
      <c r="G10" s="13" t="s">
        <v>344</v>
      </c>
      <c r="H10" s="13" t="s">
        <v>502</v>
      </c>
      <c r="I10" s="13" t="s">
        <v>42</v>
      </c>
      <c r="J10" s="17"/>
      <c r="K10" s="13"/>
      <c r="L10" s="14"/>
      <c r="M10" s="14"/>
      <c r="N10" s="14"/>
      <c r="O10" s="14" t="s">
        <v>151</v>
      </c>
      <c r="P10" s="14" t="s">
        <v>164</v>
      </c>
      <c r="Q10" s="14" t="s">
        <v>93</v>
      </c>
      <c r="R10" s="14" t="s">
        <v>174</v>
      </c>
      <c r="S10" s="13"/>
      <c r="T10" s="115"/>
      <c r="U10" s="116">
        <f t="shared" ca="1" si="6"/>
        <v>0</v>
      </c>
      <c r="V10" s="13" t="str">
        <f t="shared" ca="1" si="7"/>
        <v/>
      </c>
      <c r="W10" s="14"/>
      <c r="X10" s="115"/>
      <c r="Y10" s="130" t="b">
        <v>1</v>
      </c>
      <c r="Z10" s="115"/>
      <c r="AA10" s="130" t="b">
        <v>0</v>
      </c>
      <c r="AB10" s="115"/>
      <c r="AC10" s="130" t="b">
        <v>0</v>
      </c>
      <c r="AD10" s="13"/>
      <c r="AE10" s="13"/>
      <c r="AF10" s="130" t="b">
        <v>0</v>
      </c>
      <c r="AG10" s="13"/>
      <c r="AH10" s="130" t="b">
        <v>0</v>
      </c>
      <c r="AI10" s="13"/>
      <c r="AJ10" s="130" t="b">
        <v>0</v>
      </c>
      <c r="AK10" s="13"/>
      <c r="AL10" s="130" t="b">
        <v>0</v>
      </c>
      <c r="AM10" s="13"/>
      <c r="AN10" s="13"/>
      <c r="AO10" s="130" t="b">
        <v>0</v>
      </c>
      <c r="AP10" s="130" t="b">
        <v>0</v>
      </c>
      <c r="AQ10" s="130" t="b">
        <v>0</v>
      </c>
      <c r="AR10" s="130" t="b">
        <v>0</v>
      </c>
      <c r="AS10" s="130" t="b">
        <v>0</v>
      </c>
      <c r="AT10" s="11"/>
      <c r="AU10" s="11"/>
      <c r="AV10" s="11"/>
      <c r="AW10" s="11"/>
      <c r="AX10" s="11"/>
      <c r="AY10" s="107"/>
      <c r="AZ10" s="97">
        <v>250000</v>
      </c>
      <c r="BA10" s="97">
        <v>100000</v>
      </c>
      <c r="BB10" s="13">
        <v>3</v>
      </c>
      <c r="BC10" s="108">
        <v>0.4</v>
      </c>
      <c r="BD10" s="108">
        <v>0.3</v>
      </c>
      <c r="BE10" s="15">
        <f t="shared" si="8"/>
        <v>0.12</v>
      </c>
      <c r="BF10" s="18"/>
      <c r="BG10" s="18"/>
      <c r="BH10" s="16">
        <v>46097</v>
      </c>
      <c r="BI10" s="19">
        <f t="shared" si="9"/>
        <v>30000</v>
      </c>
      <c r="BJ10" s="19">
        <f t="shared" si="10"/>
        <v>12000</v>
      </c>
      <c r="BK10" s="20">
        <f t="shared" si="11"/>
        <v>46143</v>
      </c>
      <c r="BL10" s="21">
        <f t="shared" si="12"/>
        <v>46204</v>
      </c>
      <c r="BM10" s="111">
        <f t="shared" si="0"/>
        <v>46143</v>
      </c>
      <c r="BN10" s="112">
        <f t="shared" si="0"/>
        <v>46204</v>
      </c>
      <c r="BP10" s="27">
        <f t="shared" si="13"/>
        <v>0</v>
      </c>
      <c r="BQ10" s="28">
        <f t="shared" si="1"/>
        <v>0</v>
      </c>
      <c r="BR10" s="28">
        <f t="shared" si="1"/>
        <v>0</v>
      </c>
      <c r="BS10" s="28">
        <f t="shared" si="1"/>
        <v>0</v>
      </c>
      <c r="BT10" s="28">
        <f t="shared" si="1"/>
        <v>83333.333333333328</v>
      </c>
      <c r="BU10" s="28">
        <f t="shared" si="1"/>
        <v>83333.333333333328</v>
      </c>
      <c r="BV10" s="28">
        <f t="shared" si="1"/>
        <v>83333.333333333328</v>
      </c>
      <c r="BW10" s="28">
        <f t="shared" si="1"/>
        <v>0</v>
      </c>
      <c r="BX10" s="28">
        <f t="shared" si="1"/>
        <v>0</v>
      </c>
      <c r="BY10" s="28">
        <f t="shared" si="1"/>
        <v>0</v>
      </c>
      <c r="BZ10" s="28">
        <f t="shared" si="1"/>
        <v>0</v>
      </c>
      <c r="CA10" s="29">
        <f t="shared" si="1"/>
        <v>0</v>
      </c>
      <c r="CB10" s="30">
        <f t="shared" si="14"/>
        <v>250000</v>
      </c>
      <c r="CD10" s="27">
        <f t="shared" si="15"/>
        <v>0</v>
      </c>
      <c r="CE10" s="28">
        <f t="shared" si="2"/>
        <v>0</v>
      </c>
      <c r="CF10" s="28">
        <f t="shared" si="2"/>
        <v>0</v>
      </c>
      <c r="CG10" s="28">
        <f t="shared" si="2"/>
        <v>0</v>
      </c>
      <c r="CH10" s="28">
        <f t="shared" si="2"/>
        <v>10000</v>
      </c>
      <c r="CI10" s="28">
        <f t="shared" si="2"/>
        <v>10000</v>
      </c>
      <c r="CJ10" s="28">
        <f t="shared" si="2"/>
        <v>10000</v>
      </c>
      <c r="CK10" s="28">
        <f t="shared" si="2"/>
        <v>0</v>
      </c>
      <c r="CL10" s="28">
        <f t="shared" si="2"/>
        <v>0</v>
      </c>
      <c r="CM10" s="28">
        <f t="shared" si="2"/>
        <v>0</v>
      </c>
      <c r="CN10" s="28">
        <f t="shared" si="2"/>
        <v>0</v>
      </c>
      <c r="CO10" s="29">
        <f t="shared" si="2"/>
        <v>0</v>
      </c>
      <c r="CP10" s="30">
        <f t="shared" si="16"/>
        <v>30000</v>
      </c>
      <c r="CR10" s="27">
        <f t="shared" si="17"/>
        <v>0</v>
      </c>
      <c r="CS10" s="28">
        <f t="shared" si="3"/>
        <v>0</v>
      </c>
      <c r="CT10" s="28">
        <f t="shared" si="3"/>
        <v>0</v>
      </c>
      <c r="CU10" s="28">
        <f t="shared" si="3"/>
        <v>0</v>
      </c>
      <c r="CV10" s="28">
        <f t="shared" si="3"/>
        <v>33333.333333333336</v>
      </c>
      <c r="CW10" s="28">
        <f t="shared" si="3"/>
        <v>33333.333333333336</v>
      </c>
      <c r="CX10" s="28">
        <f t="shared" si="3"/>
        <v>33333.333333333336</v>
      </c>
      <c r="CY10" s="28">
        <f t="shared" si="3"/>
        <v>0</v>
      </c>
      <c r="CZ10" s="28">
        <f t="shared" si="3"/>
        <v>0</v>
      </c>
      <c r="DA10" s="28">
        <f t="shared" si="3"/>
        <v>0</v>
      </c>
      <c r="DB10" s="28">
        <f t="shared" si="3"/>
        <v>0</v>
      </c>
      <c r="DC10" s="29">
        <f t="shared" si="3"/>
        <v>0</v>
      </c>
      <c r="DD10" s="30">
        <f t="shared" si="18"/>
        <v>100000</v>
      </c>
      <c r="DF10" s="27">
        <f t="shared" si="19"/>
        <v>0</v>
      </c>
      <c r="DG10" s="28">
        <f t="shared" si="4"/>
        <v>0</v>
      </c>
      <c r="DH10" s="28">
        <f t="shared" si="4"/>
        <v>0</v>
      </c>
      <c r="DI10" s="28">
        <f t="shared" si="4"/>
        <v>0</v>
      </c>
      <c r="DJ10" s="28">
        <f t="shared" si="4"/>
        <v>4000</v>
      </c>
      <c r="DK10" s="28">
        <f t="shared" si="4"/>
        <v>4000</v>
      </c>
      <c r="DL10" s="28">
        <f t="shared" si="4"/>
        <v>4000</v>
      </c>
      <c r="DM10" s="28">
        <f t="shared" si="4"/>
        <v>0</v>
      </c>
      <c r="DN10" s="28">
        <f t="shared" si="4"/>
        <v>0</v>
      </c>
      <c r="DO10" s="28">
        <f t="shared" si="4"/>
        <v>0</v>
      </c>
      <c r="DP10" s="28">
        <f t="shared" si="4"/>
        <v>0</v>
      </c>
      <c r="DQ10" s="29">
        <f t="shared" si="4"/>
        <v>0</v>
      </c>
      <c r="DR10" s="30">
        <f t="shared" si="20"/>
        <v>12000</v>
      </c>
    </row>
    <row r="11" spans="1:122" x14ac:dyDescent="0.2">
      <c r="A11">
        <f t="shared" si="5"/>
        <v>18</v>
      </c>
      <c r="B11" s="49" t="str">
        <f>_xlfn.XLOOKUP(D11,Códigos_Propuestas!$B$4:$B$10,Códigos_Propuestas!$C$4:$C$10,"!",0,1)&amp;"__"&amp;
_xlfn.XLOOKUP(G11,Códigos_Propuestas!$E$4:$E$76,Códigos_Propuestas!$F$4:$F$76,"!",1)&amp;"__"&amp;
_xlfn.XLOOKUP(K11,Códigos_Propuestas!$I$4:$I$7,Códigos_Propuestas!$J$4:$J$7,"!",1)&amp;"__"&amp;
_xlfn.XLOOKUP(L11,Códigos_Propuestas!$O$4:$O$11,Códigos_Propuestas!$Q$4:$Q$11,"!",1)&amp;"__"&amp;
_xlfn.XLOOKUP(E11,Códigos_Propuestas!$BF:$BF,Códigos_Propuestas!$BH:$BH,"!",0,1)</f>
        <v>USA__BHP__UG__!__!</v>
      </c>
      <c r="C11" s="47">
        <f t="shared" si="21"/>
        <v>9</v>
      </c>
      <c r="D11" s="11" t="s">
        <v>136</v>
      </c>
      <c r="E11" s="12" t="s">
        <v>288</v>
      </c>
      <c r="F11" s="12"/>
      <c r="G11" s="13" t="s">
        <v>64</v>
      </c>
      <c r="H11" s="13"/>
      <c r="I11" s="13" t="s">
        <v>42</v>
      </c>
      <c r="J11" s="17" t="s">
        <v>98</v>
      </c>
      <c r="K11" s="13" t="s">
        <v>65</v>
      </c>
      <c r="L11" s="14"/>
      <c r="M11" s="14"/>
      <c r="N11" s="14"/>
      <c r="O11" s="14" t="s">
        <v>37</v>
      </c>
      <c r="P11" s="14" t="s">
        <v>118</v>
      </c>
      <c r="Q11" s="14"/>
      <c r="R11" s="14"/>
      <c r="S11" s="13"/>
      <c r="T11" s="115"/>
      <c r="U11" s="116">
        <f t="shared" ca="1" si="6"/>
        <v>0</v>
      </c>
      <c r="V11" s="13" t="str">
        <f t="shared" ca="1" si="7"/>
        <v/>
      </c>
      <c r="W11" s="14"/>
      <c r="X11" s="115"/>
      <c r="Y11" s="130" t="b">
        <v>0</v>
      </c>
      <c r="Z11" s="115"/>
      <c r="AA11" s="130" t="b">
        <v>0</v>
      </c>
      <c r="AB11" s="115"/>
      <c r="AC11" s="130" t="b">
        <v>0</v>
      </c>
      <c r="AD11" s="13"/>
      <c r="AE11" s="13"/>
      <c r="AF11" s="130" t="b">
        <v>0</v>
      </c>
      <c r="AG11" s="13"/>
      <c r="AH11" s="130" t="b">
        <v>0</v>
      </c>
      <c r="AI11" s="13"/>
      <c r="AJ11" s="130" t="b">
        <v>0</v>
      </c>
      <c r="AK11" s="13"/>
      <c r="AL11" s="130" t="b">
        <v>0</v>
      </c>
      <c r="AM11" s="13"/>
      <c r="AN11" s="13"/>
      <c r="AO11" s="130" t="b">
        <v>0</v>
      </c>
      <c r="AP11" s="130" t="b">
        <v>0</v>
      </c>
      <c r="AQ11" s="130" t="b">
        <v>0</v>
      </c>
      <c r="AR11" s="130" t="b">
        <v>0</v>
      </c>
      <c r="AS11" s="130" t="b">
        <v>0</v>
      </c>
      <c r="AT11" s="11"/>
      <c r="AU11" s="11"/>
      <c r="AV11" s="11"/>
      <c r="AW11" s="11"/>
      <c r="AX11" s="11"/>
      <c r="AY11" s="107"/>
      <c r="AZ11" s="97">
        <v>300000</v>
      </c>
      <c r="BA11" s="97">
        <v>120000</v>
      </c>
      <c r="BB11" s="13">
        <v>5</v>
      </c>
      <c r="BC11" s="108">
        <v>0.5</v>
      </c>
      <c r="BD11" s="108">
        <v>0.4</v>
      </c>
      <c r="BE11" s="15">
        <f t="shared" si="8"/>
        <v>0.2</v>
      </c>
      <c r="BF11" s="18"/>
      <c r="BG11" s="18"/>
      <c r="BH11" s="16">
        <v>46373</v>
      </c>
      <c r="BI11" s="19">
        <f t="shared" si="9"/>
        <v>60000</v>
      </c>
      <c r="BJ11" s="19">
        <f t="shared" si="10"/>
        <v>24000</v>
      </c>
      <c r="BK11" s="20">
        <f t="shared" si="11"/>
        <v>46419</v>
      </c>
      <c r="BL11" s="21">
        <f t="shared" si="12"/>
        <v>46539</v>
      </c>
      <c r="BM11" s="111">
        <f t="shared" si="0"/>
        <v>46419</v>
      </c>
      <c r="BN11" s="112">
        <f t="shared" si="0"/>
        <v>46539</v>
      </c>
      <c r="BP11" s="27">
        <f t="shared" si="13"/>
        <v>0</v>
      </c>
      <c r="BQ11" s="28">
        <f t="shared" si="1"/>
        <v>0</v>
      </c>
      <c r="BR11" s="28">
        <f t="shared" si="1"/>
        <v>0</v>
      </c>
      <c r="BS11" s="28">
        <f t="shared" si="1"/>
        <v>0</v>
      </c>
      <c r="BT11" s="28">
        <f t="shared" si="1"/>
        <v>0</v>
      </c>
      <c r="BU11" s="28">
        <f t="shared" si="1"/>
        <v>0</v>
      </c>
      <c r="BV11" s="28">
        <f t="shared" si="1"/>
        <v>0</v>
      </c>
      <c r="BW11" s="28">
        <f t="shared" si="1"/>
        <v>0</v>
      </c>
      <c r="BX11" s="28">
        <f t="shared" si="1"/>
        <v>0</v>
      </c>
      <c r="BY11" s="28">
        <f t="shared" si="1"/>
        <v>0</v>
      </c>
      <c r="BZ11" s="28">
        <f t="shared" si="1"/>
        <v>0</v>
      </c>
      <c r="CA11" s="29">
        <f t="shared" si="1"/>
        <v>0</v>
      </c>
      <c r="CB11" s="30">
        <f t="shared" si="14"/>
        <v>0</v>
      </c>
      <c r="CD11" s="27">
        <f t="shared" si="15"/>
        <v>0</v>
      </c>
      <c r="CE11" s="28">
        <f t="shared" si="2"/>
        <v>0</v>
      </c>
      <c r="CF11" s="28">
        <f t="shared" si="2"/>
        <v>0</v>
      </c>
      <c r="CG11" s="28">
        <f t="shared" si="2"/>
        <v>0</v>
      </c>
      <c r="CH11" s="28">
        <f t="shared" si="2"/>
        <v>0</v>
      </c>
      <c r="CI11" s="28">
        <f t="shared" si="2"/>
        <v>0</v>
      </c>
      <c r="CJ11" s="28">
        <f t="shared" si="2"/>
        <v>0</v>
      </c>
      <c r="CK11" s="28">
        <f t="shared" si="2"/>
        <v>0</v>
      </c>
      <c r="CL11" s="28">
        <f t="shared" si="2"/>
        <v>0</v>
      </c>
      <c r="CM11" s="28">
        <f t="shared" si="2"/>
        <v>0</v>
      </c>
      <c r="CN11" s="28">
        <f t="shared" si="2"/>
        <v>0</v>
      </c>
      <c r="CO11" s="29">
        <f t="shared" si="2"/>
        <v>0</v>
      </c>
      <c r="CP11" s="30">
        <f t="shared" si="16"/>
        <v>0</v>
      </c>
      <c r="CR11" s="27">
        <f t="shared" si="17"/>
        <v>0</v>
      </c>
      <c r="CS11" s="28">
        <f t="shared" si="3"/>
        <v>0</v>
      </c>
      <c r="CT11" s="28">
        <f t="shared" si="3"/>
        <v>0</v>
      </c>
      <c r="CU11" s="28">
        <f t="shared" si="3"/>
        <v>0</v>
      </c>
      <c r="CV11" s="28">
        <f t="shared" si="3"/>
        <v>0</v>
      </c>
      <c r="CW11" s="28">
        <f t="shared" si="3"/>
        <v>0</v>
      </c>
      <c r="CX11" s="28">
        <f t="shared" si="3"/>
        <v>0</v>
      </c>
      <c r="CY11" s="28">
        <f t="shared" si="3"/>
        <v>0</v>
      </c>
      <c r="CZ11" s="28">
        <f t="shared" si="3"/>
        <v>0</v>
      </c>
      <c r="DA11" s="28">
        <f t="shared" si="3"/>
        <v>0</v>
      </c>
      <c r="DB11" s="28">
        <f t="shared" si="3"/>
        <v>0</v>
      </c>
      <c r="DC11" s="29">
        <f t="shared" si="3"/>
        <v>0</v>
      </c>
      <c r="DD11" s="30">
        <f t="shared" si="18"/>
        <v>0</v>
      </c>
      <c r="DF11" s="27">
        <f t="shared" si="19"/>
        <v>0</v>
      </c>
      <c r="DG11" s="28">
        <f t="shared" si="4"/>
        <v>0</v>
      </c>
      <c r="DH11" s="28">
        <f t="shared" si="4"/>
        <v>0</v>
      </c>
      <c r="DI11" s="28">
        <f t="shared" si="4"/>
        <v>0</v>
      </c>
      <c r="DJ11" s="28">
        <f t="shared" si="4"/>
        <v>0</v>
      </c>
      <c r="DK11" s="28">
        <f t="shared" si="4"/>
        <v>0</v>
      </c>
      <c r="DL11" s="28">
        <f t="shared" si="4"/>
        <v>0</v>
      </c>
      <c r="DM11" s="28">
        <f t="shared" si="4"/>
        <v>0</v>
      </c>
      <c r="DN11" s="28">
        <f t="shared" si="4"/>
        <v>0</v>
      </c>
      <c r="DO11" s="28">
        <f t="shared" si="4"/>
        <v>0</v>
      </c>
      <c r="DP11" s="28">
        <f t="shared" si="4"/>
        <v>0</v>
      </c>
      <c r="DQ11" s="29">
        <f t="shared" si="4"/>
        <v>0</v>
      </c>
      <c r="DR11" s="30">
        <f t="shared" si="20"/>
        <v>0</v>
      </c>
    </row>
    <row r="12" spans="1:122" x14ac:dyDescent="0.2">
      <c r="A12">
        <f t="shared" si="5"/>
        <v>17</v>
      </c>
      <c r="B12" s="49" t="str">
        <f>_xlfn.XLOOKUP(D12,Códigos_Propuestas!$B$4:$B$10,Códigos_Propuestas!$C$4:$C$10,"!",0,1)&amp;"__"&amp;
_xlfn.XLOOKUP(G12,Códigos_Propuestas!$E$4:$E$76,Códigos_Propuestas!$F$4:$F$76,"!",1)&amp;"__"&amp;
_xlfn.XLOOKUP(K12,Códigos_Propuestas!$I$4:$I$7,Códigos_Propuestas!$J$4:$J$7,"!",1)&amp;"__"&amp;
_xlfn.XLOOKUP(L12,Códigos_Propuestas!$O$4:$O$11,Códigos_Propuestas!$Q$4:$Q$11,"!",1)&amp;"__"&amp;
_xlfn.XLOOKUP(E12,Códigos_Propuestas!$BF:$BF,Códigos_Propuestas!$BH:$BH,"!",0,1)</f>
        <v>USA__NEX__!__!__!</v>
      </c>
      <c r="C12" s="47">
        <f t="shared" si="21"/>
        <v>10</v>
      </c>
      <c r="D12" s="11" t="s">
        <v>136</v>
      </c>
      <c r="E12" s="12" t="s">
        <v>503</v>
      </c>
      <c r="F12" s="12"/>
      <c r="G12" s="13" t="s">
        <v>346</v>
      </c>
      <c r="H12" s="13"/>
      <c r="I12" s="13" t="s">
        <v>42</v>
      </c>
      <c r="J12" s="17" t="s">
        <v>44</v>
      </c>
      <c r="K12" s="13"/>
      <c r="L12" s="14"/>
      <c r="M12" s="14"/>
      <c r="N12" s="14"/>
      <c r="O12" s="14" t="s">
        <v>66</v>
      </c>
      <c r="P12" s="14"/>
      <c r="Q12" s="14"/>
      <c r="R12" s="14"/>
      <c r="S12" s="13"/>
      <c r="T12" s="115"/>
      <c r="U12" s="116">
        <f t="shared" ca="1" si="6"/>
        <v>0</v>
      </c>
      <c r="V12" s="13" t="str">
        <f t="shared" ca="1" si="7"/>
        <v/>
      </c>
      <c r="W12" s="14"/>
      <c r="X12" s="115"/>
      <c r="Y12" s="130" t="b">
        <v>0</v>
      </c>
      <c r="Z12" s="115"/>
      <c r="AA12" s="130" t="b">
        <v>0</v>
      </c>
      <c r="AB12" s="115"/>
      <c r="AC12" s="130" t="b">
        <v>0</v>
      </c>
      <c r="AD12" s="13"/>
      <c r="AE12" s="13"/>
      <c r="AF12" s="130" t="b">
        <v>0</v>
      </c>
      <c r="AG12" s="13"/>
      <c r="AH12" s="130" t="b">
        <v>0</v>
      </c>
      <c r="AI12" s="13"/>
      <c r="AJ12" s="130" t="b">
        <v>0</v>
      </c>
      <c r="AK12" s="13"/>
      <c r="AL12" s="130" t="b">
        <v>0</v>
      </c>
      <c r="AM12" s="13"/>
      <c r="AN12" s="13"/>
      <c r="AO12" s="130" t="b">
        <v>0</v>
      </c>
      <c r="AP12" s="130" t="b">
        <v>0</v>
      </c>
      <c r="AQ12" s="130" t="b">
        <v>0</v>
      </c>
      <c r="AR12" s="130" t="b">
        <v>0</v>
      </c>
      <c r="AS12" s="130" t="b">
        <v>0</v>
      </c>
      <c r="AT12" s="11"/>
      <c r="AU12" s="11"/>
      <c r="AV12" s="11"/>
      <c r="AW12" s="11"/>
      <c r="AX12" s="11"/>
      <c r="AY12" s="107"/>
      <c r="AZ12" s="97">
        <v>200000</v>
      </c>
      <c r="BA12" s="97">
        <v>80000</v>
      </c>
      <c r="BB12" s="13">
        <v>3</v>
      </c>
      <c r="BC12" s="108">
        <v>0.4</v>
      </c>
      <c r="BD12" s="108">
        <v>0.3</v>
      </c>
      <c r="BE12" s="15">
        <f t="shared" si="8"/>
        <v>0.12</v>
      </c>
      <c r="BF12" s="18"/>
      <c r="BG12" s="18"/>
      <c r="BH12" s="16">
        <v>46144</v>
      </c>
      <c r="BI12" s="19">
        <f t="shared" si="9"/>
        <v>24000</v>
      </c>
      <c r="BJ12" s="19">
        <f t="shared" si="10"/>
        <v>9600</v>
      </c>
      <c r="BK12" s="20">
        <f t="shared" si="11"/>
        <v>46204</v>
      </c>
      <c r="BL12" s="21">
        <f t="shared" si="12"/>
        <v>46266</v>
      </c>
      <c r="BM12" s="111">
        <f t="shared" si="0"/>
        <v>46204</v>
      </c>
      <c r="BN12" s="112">
        <f t="shared" si="0"/>
        <v>46266</v>
      </c>
      <c r="BP12" s="27">
        <f t="shared" si="13"/>
        <v>0</v>
      </c>
      <c r="BQ12" s="28">
        <f t="shared" si="1"/>
        <v>0</v>
      </c>
      <c r="BR12" s="28">
        <f t="shared" si="1"/>
        <v>0</v>
      </c>
      <c r="BS12" s="28">
        <f t="shared" si="1"/>
        <v>0</v>
      </c>
      <c r="BT12" s="28">
        <f t="shared" si="1"/>
        <v>0</v>
      </c>
      <c r="BU12" s="28">
        <f t="shared" si="1"/>
        <v>0</v>
      </c>
      <c r="BV12" s="28">
        <f t="shared" si="1"/>
        <v>66666.666666666672</v>
      </c>
      <c r="BW12" s="28">
        <f t="shared" si="1"/>
        <v>66666.666666666672</v>
      </c>
      <c r="BX12" s="28">
        <f t="shared" si="1"/>
        <v>66666.666666666672</v>
      </c>
      <c r="BY12" s="28">
        <f t="shared" si="1"/>
        <v>0</v>
      </c>
      <c r="BZ12" s="28">
        <f t="shared" si="1"/>
        <v>0</v>
      </c>
      <c r="CA12" s="29">
        <f t="shared" si="1"/>
        <v>0</v>
      </c>
      <c r="CB12" s="30">
        <f t="shared" si="14"/>
        <v>200000</v>
      </c>
      <c r="CD12" s="27">
        <f t="shared" si="15"/>
        <v>0</v>
      </c>
      <c r="CE12" s="28">
        <f t="shared" si="2"/>
        <v>0</v>
      </c>
      <c r="CF12" s="28">
        <f t="shared" si="2"/>
        <v>0</v>
      </c>
      <c r="CG12" s="28">
        <f t="shared" si="2"/>
        <v>0</v>
      </c>
      <c r="CH12" s="28">
        <f t="shared" si="2"/>
        <v>0</v>
      </c>
      <c r="CI12" s="28">
        <f t="shared" si="2"/>
        <v>0</v>
      </c>
      <c r="CJ12" s="28">
        <f t="shared" si="2"/>
        <v>8000</v>
      </c>
      <c r="CK12" s="28">
        <f t="shared" si="2"/>
        <v>8000</v>
      </c>
      <c r="CL12" s="28">
        <f t="shared" si="2"/>
        <v>8000</v>
      </c>
      <c r="CM12" s="28">
        <f t="shared" si="2"/>
        <v>0</v>
      </c>
      <c r="CN12" s="28">
        <f t="shared" si="2"/>
        <v>0</v>
      </c>
      <c r="CO12" s="29">
        <f t="shared" si="2"/>
        <v>0</v>
      </c>
      <c r="CP12" s="30">
        <f t="shared" si="16"/>
        <v>24000</v>
      </c>
      <c r="CR12" s="27">
        <f t="shared" si="17"/>
        <v>0</v>
      </c>
      <c r="CS12" s="28">
        <f t="shared" si="3"/>
        <v>0</v>
      </c>
      <c r="CT12" s="28">
        <f t="shared" si="3"/>
        <v>0</v>
      </c>
      <c r="CU12" s="28">
        <f t="shared" si="3"/>
        <v>0</v>
      </c>
      <c r="CV12" s="28">
        <f t="shared" si="3"/>
        <v>0</v>
      </c>
      <c r="CW12" s="28">
        <f t="shared" si="3"/>
        <v>0</v>
      </c>
      <c r="CX12" s="28">
        <f t="shared" si="3"/>
        <v>26666.666666666668</v>
      </c>
      <c r="CY12" s="28">
        <f t="shared" si="3"/>
        <v>26666.666666666668</v>
      </c>
      <c r="CZ12" s="28">
        <f t="shared" si="3"/>
        <v>26666.666666666668</v>
      </c>
      <c r="DA12" s="28">
        <f t="shared" si="3"/>
        <v>0</v>
      </c>
      <c r="DB12" s="28">
        <f t="shared" si="3"/>
        <v>0</v>
      </c>
      <c r="DC12" s="29">
        <f t="shared" si="3"/>
        <v>0</v>
      </c>
      <c r="DD12" s="30">
        <f t="shared" si="18"/>
        <v>80000</v>
      </c>
      <c r="DF12" s="27">
        <f t="shared" si="19"/>
        <v>0</v>
      </c>
      <c r="DG12" s="28">
        <f t="shared" si="4"/>
        <v>0</v>
      </c>
      <c r="DH12" s="28">
        <f t="shared" si="4"/>
        <v>0</v>
      </c>
      <c r="DI12" s="28">
        <f t="shared" si="4"/>
        <v>0</v>
      </c>
      <c r="DJ12" s="28">
        <f t="shared" si="4"/>
        <v>0</v>
      </c>
      <c r="DK12" s="28">
        <f t="shared" si="4"/>
        <v>0</v>
      </c>
      <c r="DL12" s="28">
        <f t="shared" si="4"/>
        <v>3200</v>
      </c>
      <c r="DM12" s="28">
        <f t="shared" si="4"/>
        <v>3200</v>
      </c>
      <c r="DN12" s="28">
        <f t="shared" si="4"/>
        <v>3200</v>
      </c>
      <c r="DO12" s="28">
        <f t="shared" si="4"/>
        <v>0</v>
      </c>
      <c r="DP12" s="28">
        <f t="shared" si="4"/>
        <v>0</v>
      </c>
      <c r="DQ12" s="29">
        <f t="shared" si="4"/>
        <v>0</v>
      </c>
      <c r="DR12" s="30">
        <f t="shared" si="20"/>
        <v>9600</v>
      </c>
    </row>
    <row r="13" spans="1:122" x14ac:dyDescent="0.2">
      <c r="A13">
        <f t="shared" si="5"/>
        <v>18</v>
      </c>
      <c r="B13" s="49" t="str">
        <f>_xlfn.XLOOKUP(D13,Códigos_Propuestas!$B$4:$B$10,Códigos_Propuestas!$C$4:$C$10,"!",0,1)&amp;"__"&amp;
_xlfn.XLOOKUP(G13,Códigos_Propuestas!$E$4:$E$76,Códigos_Propuestas!$F$4:$F$76,"!",1)&amp;"__"&amp;
_xlfn.XLOOKUP(K13,Códigos_Propuestas!$I$4:$I$7,Códigos_Propuestas!$J$4:$J$7,"!",1)&amp;"__"&amp;
_xlfn.XLOOKUP(L13,Códigos_Propuestas!$O$4:$O$11,Códigos_Propuestas!$Q$4:$Q$11,"!",1)&amp;"__"&amp;
_xlfn.XLOOKUP(E13,Códigos_Propuestas!$BF:$BF,Códigos_Propuestas!$BH:$BH,"!",0,1)</f>
        <v>USA__BRR__UG__!__!</v>
      </c>
      <c r="C13" s="47">
        <f t="shared" si="21"/>
        <v>11</v>
      </c>
      <c r="D13" s="11" t="s">
        <v>136</v>
      </c>
      <c r="E13" s="12" t="s">
        <v>504</v>
      </c>
      <c r="F13" s="12"/>
      <c r="G13" s="13" t="s">
        <v>325</v>
      </c>
      <c r="H13" s="13"/>
      <c r="I13" s="13" t="s">
        <v>42</v>
      </c>
      <c r="J13" s="17" t="s">
        <v>72</v>
      </c>
      <c r="K13" s="13" t="s">
        <v>65</v>
      </c>
      <c r="L13" s="14"/>
      <c r="M13" s="14"/>
      <c r="N13" s="14"/>
      <c r="O13" s="14" t="s">
        <v>66</v>
      </c>
      <c r="P13" s="14"/>
      <c r="Q13" s="14"/>
      <c r="R13" s="14"/>
      <c r="S13" s="13"/>
      <c r="T13" s="115"/>
      <c r="U13" s="116">
        <f t="shared" ca="1" si="6"/>
        <v>0</v>
      </c>
      <c r="V13" s="13" t="str">
        <f t="shared" ca="1" si="7"/>
        <v/>
      </c>
      <c r="W13" s="14"/>
      <c r="X13" s="115"/>
      <c r="Y13" s="130" t="b">
        <v>0</v>
      </c>
      <c r="Z13" s="115"/>
      <c r="AA13" s="130" t="b">
        <v>0</v>
      </c>
      <c r="AB13" s="115"/>
      <c r="AC13" s="130" t="b">
        <v>0</v>
      </c>
      <c r="AD13" s="13"/>
      <c r="AE13" s="13"/>
      <c r="AF13" s="130" t="b">
        <v>0</v>
      </c>
      <c r="AG13" s="13"/>
      <c r="AH13" s="130" t="b">
        <v>0</v>
      </c>
      <c r="AI13" s="13"/>
      <c r="AJ13" s="130" t="b">
        <v>0</v>
      </c>
      <c r="AK13" s="13"/>
      <c r="AL13" s="130" t="b">
        <v>0</v>
      </c>
      <c r="AM13" s="13"/>
      <c r="AN13" s="13"/>
      <c r="AO13" s="130" t="b">
        <v>0</v>
      </c>
      <c r="AP13" s="130" t="b">
        <v>0</v>
      </c>
      <c r="AQ13" s="130" t="b">
        <v>0</v>
      </c>
      <c r="AR13" s="130" t="b">
        <v>0</v>
      </c>
      <c r="AS13" s="130" t="b">
        <v>0</v>
      </c>
      <c r="AT13" s="11"/>
      <c r="AU13" s="11"/>
      <c r="AV13" s="11"/>
      <c r="AW13" s="11"/>
      <c r="AX13" s="11"/>
      <c r="AY13" s="107"/>
      <c r="AZ13" s="97">
        <v>100000</v>
      </c>
      <c r="BA13" s="97">
        <v>40000</v>
      </c>
      <c r="BB13" s="13">
        <v>2</v>
      </c>
      <c r="BC13" s="108">
        <v>0.4</v>
      </c>
      <c r="BD13" s="108">
        <v>0.3</v>
      </c>
      <c r="BE13" s="15">
        <f t="shared" si="8"/>
        <v>0.12</v>
      </c>
      <c r="BF13" s="18"/>
      <c r="BG13" s="18"/>
      <c r="BH13" s="16">
        <v>46175</v>
      </c>
      <c r="BI13" s="19">
        <f t="shared" si="9"/>
        <v>12000</v>
      </c>
      <c r="BJ13" s="19">
        <f t="shared" si="10"/>
        <v>4800</v>
      </c>
      <c r="BK13" s="20">
        <f t="shared" si="11"/>
        <v>46235</v>
      </c>
      <c r="BL13" s="21">
        <f t="shared" si="12"/>
        <v>46266</v>
      </c>
      <c r="BM13" s="111">
        <f t="shared" si="0"/>
        <v>46235</v>
      </c>
      <c r="BN13" s="112">
        <f t="shared" si="0"/>
        <v>46266</v>
      </c>
      <c r="BP13" s="27">
        <f t="shared" si="13"/>
        <v>0</v>
      </c>
      <c r="BQ13" s="28">
        <f t="shared" si="1"/>
        <v>0</v>
      </c>
      <c r="BR13" s="28">
        <f t="shared" si="1"/>
        <v>0</v>
      </c>
      <c r="BS13" s="28">
        <f t="shared" si="1"/>
        <v>0</v>
      </c>
      <c r="BT13" s="28">
        <f t="shared" si="1"/>
        <v>0</v>
      </c>
      <c r="BU13" s="28">
        <f t="shared" si="1"/>
        <v>0</v>
      </c>
      <c r="BV13" s="28">
        <f t="shared" si="1"/>
        <v>0</v>
      </c>
      <c r="BW13" s="28">
        <f t="shared" si="1"/>
        <v>50000</v>
      </c>
      <c r="BX13" s="28">
        <f t="shared" si="1"/>
        <v>50000</v>
      </c>
      <c r="BY13" s="28">
        <f t="shared" si="1"/>
        <v>0</v>
      </c>
      <c r="BZ13" s="28">
        <f t="shared" si="1"/>
        <v>0</v>
      </c>
      <c r="CA13" s="29">
        <f t="shared" si="1"/>
        <v>0</v>
      </c>
      <c r="CB13" s="30">
        <f t="shared" si="14"/>
        <v>100000</v>
      </c>
      <c r="CD13" s="27">
        <f t="shared" si="15"/>
        <v>0</v>
      </c>
      <c r="CE13" s="28">
        <f t="shared" si="2"/>
        <v>0</v>
      </c>
      <c r="CF13" s="28">
        <f t="shared" si="2"/>
        <v>0</v>
      </c>
      <c r="CG13" s="28">
        <f t="shared" si="2"/>
        <v>0</v>
      </c>
      <c r="CH13" s="28">
        <f t="shared" si="2"/>
        <v>0</v>
      </c>
      <c r="CI13" s="28">
        <f t="shared" si="2"/>
        <v>0</v>
      </c>
      <c r="CJ13" s="28">
        <f t="shared" si="2"/>
        <v>0</v>
      </c>
      <c r="CK13" s="28">
        <f t="shared" si="2"/>
        <v>6000</v>
      </c>
      <c r="CL13" s="28">
        <f t="shared" si="2"/>
        <v>6000</v>
      </c>
      <c r="CM13" s="28">
        <f t="shared" si="2"/>
        <v>0</v>
      </c>
      <c r="CN13" s="28">
        <f t="shared" si="2"/>
        <v>0</v>
      </c>
      <c r="CO13" s="29">
        <f t="shared" si="2"/>
        <v>0</v>
      </c>
      <c r="CP13" s="30">
        <f t="shared" si="16"/>
        <v>12000</v>
      </c>
      <c r="CR13" s="27">
        <f t="shared" si="17"/>
        <v>0</v>
      </c>
      <c r="CS13" s="28">
        <f t="shared" si="3"/>
        <v>0</v>
      </c>
      <c r="CT13" s="28">
        <f t="shared" si="3"/>
        <v>0</v>
      </c>
      <c r="CU13" s="28">
        <f t="shared" si="3"/>
        <v>0</v>
      </c>
      <c r="CV13" s="28">
        <f t="shared" si="3"/>
        <v>0</v>
      </c>
      <c r="CW13" s="28">
        <f t="shared" si="3"/>
        <v>0</v>
      </c>
      <c r="CX13" s="28">
        <f t="shared" si="3"/>
        <v>0</v>
      </c>
      <c r="CY13" s="28">
        <f t="shared" si="3"/>
        <v>20000</v>
      </c>
      <c r="CZ13" s="28">
        <f t="shared" si="3"/>
        <v>20000</v>
      </c>
      <c r="DA13" s="28">
        <f t="shared" si="3"/>
        <v>0</v>
      </c>
      <c r="DB13" s="28">
        <f t="shared" si="3"/>
        <v>0</v>
      </c>
      <c r="DC13" s="29">
        <f t="shared" si="3"/>
        <v>0</v>
      </c>
      <c r="DD13" s="30">
        <f t="shared" si="18"/>
        <v>40000</v>
      </c>
      <c r="DF13" s="27">
        <f t="shared" si="19"/>
        <v>0</v>
      </c>
      <c r="DG13" s="28">
        <f t="shared" si="4"/>
        <v>0</v>
      </c>
      <c r="DH13" s="28">
        <f t="shared" si="4"/>
        <v>0</v>
      </c>
      <c r="DI13" s="28">
        <f t="shared" si="4"/>
        <v>0</v>
      </c>
      <c r="DJ13" s="28">
        <f t="shared" si="4"/>
        <v>0</v>
      </c>
      <c r="DK13" s="28">
        <f t="shared" si="4"/>
        <v>0</v>
      </c>
      <c r="DL13" s="28">
        <f t="shared" si="4"/>
        <v>0</v>
      </c>
      <c r="DM13" s="28">
        <f t="shared" si="4"/>
        <v>2400</v>
      </c>
      <c r="DN13" s="28">
        <f t="shared" si="4"/>
        <v>2400</v>
      </c>
      <c r="DO13" s="28">
        <f t="shared" si="4"/>
        <v>0</v>
      </c>
      <c r="DP13" s="28">
        <f t="shared" si="4"/>
        <v>0</v>
      </c>
      <c r="DQ13" s="29">
        <f t="shared" si="4"/>
        <v>0</v>
      </c>
      <c r="DR13" s="30">
        <f t="shared" si="20"/>
        <v>4800</v>
      </c>
    </row>
    <row r="14" spans="1:122" x14ac:dyDescent="0.2">
      <c r="A14">
        <f t="shared" si="5"/>
        <v>14</v>
      </c>
      <c r="B14" s="49" t="str">
        <f>_xlfn.XLOOKUP(D14,Códigos_Propuestas!$B$4:$B$10,Códigos_Propuestas!$C$4:$C$10,"!",0,1)&amp;"__"&amp;
_xlfn.XLOOKUP(G14,Códigos_Propuestas!$E$4:$E$76,Códigos_Propuestas!$F$4:$F$76,"!",1)&amp;"__"&amp;
_xlfn.XLOOKUP(K14,Códigos_Propuestas!$I$4:$I$7,Códigos_Propuestas!$J$4:$J$7,"!",1)&amp;"__"&amp;
_xlfn.XLOOKUP(L14,Códigos_Propuestas!$O$4:$O$11,Códigos_Propuestas!$Q$4:$Q$11,"!",1)&amp;"__"&amp;
_xlfn.XLOOKUP(E14,Códigos_Propuestas!$BF:$BF,Códigos_Propuestas!$BH:$BH,"!",0,1)</f>
        <v>CH__!__!__!__!</v>
      </c>
      <c r="C14" s="47">
        <f t="shared" si="21"/>
        <v>12</v>
      </c>
      <c r="D14" s="11" t="s">
        <v>32</v>
      </c>
      <c r="E14" s="12" t="s">
        <v>348</v>
      </c>
      <c r="F14" s="12"/>
      <c r="G14" s="13"/>
      <c r="H14" s="13"/>
      <c r="I14" s="13" t="s">
        <v>42</v>
      </c>
      <c r="J14" s="17"/>
      <c r="K14" s="13"/>
      <c r="L14" s="14"/>
      <c r="M14" s="14"/>
      <c r="N14" s="14"/>
      <c r="O14" s="14"/>
      <c r="P14" s="14"/>
      <c r="Q14" s="14"/>
      <c r="R14" s="14"/>
      <c r="S14" s="13"/>
      <c r="T14" s="115"/>
      <c r="U14" s="116">
        <f t="shared" ca="1" si="6"/>
        <v>0</v>
      </c>
      <c r="V14" s="13" t="str">
        <f t="shared" ca="1" si="7"/>
        <v/>
      </c>
      <c r="W14" s="14"/>
      <c r="X14" s="115"/>
      <c r="Y14" s="130" t="b">
        <v>0</v>
      </c>
      <c r="Z14" s="115"/>
      <c r="AA14" s="130" t="b">
        <v>0</v>
      </c>
      <c r="AB14" s="115"/>
      <c r="AC14" s="130" t="b">
        <v>0</v>
      </c>
      <c r="AD14" s="13"/>
      <c r="AE14" s="13"/>
      <c r="AF14" s="130" t="b">
        <v>0</v>
      </c>
      <c r="AG14" s="13"/>
      <c r="AH14" s="130" t="b">
        <v>0</v>
      </c>
      <c r="AI14" s="13"/>
      <c r="AJ14" s="130" t="b">
        <v>0</v>
      </c>
      <c r="AK14" s="13"/>
      <c r="AL14" s="130" t="b">
        <v>0</v>
      </c>
      <c r="AM14" s="13"/>
      <c r="AN14" s="13"/>
      <c r="AO14" s="130" t="b">
        <v>0</v>
      </c>
      <c r="AP14" s="130" t="b">
        <v>0</v>
      </c>
      <c r="AQ14" s="130" t="b">
        <v>0</v>
      </c>
      <c r="AR14" s="130" t="b">
        <v>0</v>
      </c>
      <c r="AS14" s="130" t="b">
        <v>0</v>
      </c>
      <c r="AT14" s="11"/>
      <c r="AU14" s="11"/>
      <c r="AV14" s="11"/>
      <c r="AW14" s="11"/>
      <c r="AX14" s="11"/>
      <c r="AY14" s="107"/>
      <c r="AZ14" s="97">
        <v>2500000</v>
      </c>
      <c r="BA14" s="97">
        <v>1000000</v>
      </c>
      <c r="BB14" s="13">
        <v>12</v>
      </c>
      <c r="BC14" s="108">
        <v>0.4</v>
      </c>
      <c r="BD14" s="108">
        <v>0.3</v>
      </c>
      <c r="BE14" s="15">
        <f t="shared" si="8"/>
        <v>0.12</v>
      </c>
      <c r="BF14" s="18"/>
      <c r="BG14" s="18"/>
      <c r="BH14" s="16">
        <v>46184</v>
      </c>
      <c r="BI14" s="19">
        <f t="shared" si="9"/>
        <v>300000</v>
      </c>
      <c r="BJ14" s="19">
        <f t="shared" si="10"/>
        <v>120000</v>
      </c>
      <c r="BK14" s="20">
        <f t="shared" si="11"/>
        <v>46235</v>
      </c>
      <c r="BL14" s="21">
        <f t="shared" si="12"/>
        <v>46569</v>
      </c>
      <c r="BM14" s="111">
        <f t="shared" si="0"/>
        <v>46235</v>
      </c>
      <c r="BN14" s="112">
        <f t="shared" si="0"/>
        <v>46569</v>
      </c>
      <c r="BP14" s="27">
        <f t="shared" si="13"/>
        <v>0</v>
      </c>
      <c r="BQ14" s="28">
        <f t="shared" si="1"/>
        <v>0</v>
      </c>
      <c r="BR14" s="28">
        <f t="shared" si="1"/>
        <v>0</v>
      </c>
      <c r="BS14" s="28">
        <f t="shared" si="1"/>
        <v>0</v>
      </c>
      <c r="BT14" s="28">
        <f t="shared" si="1"/>
        <v>0</v>
      </c>
      <c r="BU14" s="28">
        <f t="shared" si="1"/>
        <v>0</v>
      </c>
      <c r="BV14" s="28">
        <f t="shared" si="1"/>
        <v>0</v>
      </c>
      <c r="BW14" s="28">
        <f t="shared" si="1"/>
        <v>208333.33333333334</v>
      </c>
      <c r="BX14" s="28">
        <f t="shared" si="1"/>
        <v>208333.33333333334</v>
      </c>
      <c r="BY14" s="28">
        <f t="shared" si="1"/>
        <v>208333.33333333334</v>
      </c>
      <c r="BZ14" s="28">
        <f t="shared" si="1"/>
        <v>208333.33333333334</v>
      </c>
      <c r="CA14" s="29">
        <f t="shared" si="1"/>
        <v>208333.33333333334</v>
      </c>
      <c r="CB14" s="30">
        <f t="shared" si="14"/>
        <v>1041666.6666666667</v>
      </c>
      <c r="CD14" s="27">
        <f t="shared" si="15"/>
        <v>0</v>
      </c>
      <c r="CE14" s="28">
        <f t="shared" si="2"/>
        <v>0</v>
      </c>
      <c r="CF14" s="28">
        <f t="shared" si="2"/>
        <v>0</v>
      </c>
      <c r="CG14" s="28">
        <f t="shared" si="2"/>
        <v>0</v>
      </c>
      <c r="CH14" s="28">
        <f t="shared" si="2"/>
        <v>0</v>
      </c>
      <c r="CI14" s="28">
        <f t="shared" si="2"/>
        <v>0</v>
      </c>
      <c r="CJ14" s="28">
        <f t="shared" si="2"/>
        <v>0</v>
      </c>
      <c r="CK14" s="28">
        <f t="shared" si="2"/>
        <v>25000</v>
      </c>
      <c r="CL14" s="28">
        <f t="shared" si="2"/>
        <v>25000</v>
      </c>
      <c r="CM14" s="28">
        <f t="shared" si="2"/>
        <v>25000</v>
      </c>
      <c r="CN14" s="28">
        <f t="shared" si="2"/>
        <v>25000</v>
      </c>
      <c r="CO14" s="29">
        <f t="shared" si="2"/>
        <v>25000</v>
      </c>
      <c r="CP14" s="30">
        <f t="shared" si="16"/>
        <v>125000</v>
      </c>
      <c r="CR14" s="27">
        <f t="shared" si="17"/>
        <v>0</v>
      </c>
      <c r="CS14" s="28">
        <f t="shared" si="3"/>
        <v>0</v>
      </c>
      <c r="CT14" s="28">
        <f t="shared" si="3"/>
        <v>0</v>
      </c>
      <c r="CU14" s="28">
        <f t="shared" si="3"/>
        <v>0</v>
      </c>
      <c r="CV14" s="28">
        <f t="shared" si="3"/>
        <v>0</v>
      </c>
      <c r="CW14" s="28">
        <f t="shared" si="3"/>
        <v>0</v>
      </c>
      <c r="CX14" s="28">
        <f t="shared" si="3"/>
        <v>0</v>
      </c>
      <c r="CY14" s="28">
        <f t="shared" si="3"/>
        <v>83333.333333333328</v>
      </c>
      <c r="CZ14" s="28">
        <f t="shared" si="3"/>
        <v>83333.333333333328</v>
      </c>
      <c r="DA14" s="28">
        <f t="shared" si="3"/>
        <v>83333.333333333328</v>
      </c>
      <c r="DB14" s="28">
        <f t="shared" si="3"/>
        <v>83333.333333333328</v>
      </c>
      <c r="DC14" s="29">
        <f t="shared" si="3"/>
        <v>83333.333333333328</v>
      </c>
      <c r="DD14" s="30">
        <f t="shared" si="18"/>
        <v>416666.66666666663</v>
      </c>
      <c r="DF14" s="27">
        <f t="shared" si="19"/>
        <v>0</v>
      </c>
      <c r="DG14" s="28">
        <f t="shared" si="4"/>
        <v>0</v>
      </c>
      <c r="DH14" s="28">
        <f t="shared" si="4"/>
        <v>0</v>
      </c>
      <c r="DI14" s="28">
        <f t="shared" si="4"/>
        <v>0</v>
      </c>
      <c r="DJ14" s="28">
        <f t="shared" si="4"/>
        <v>0</v>
      </c>
      <c r="DK14" s="28">
        <f t="shared" si="4"/>
        <v>0</v>
      </c>
      <c r="DL14" s="28">
        <f t="shared" si="4"/>
        <v>0</v>
      </c>
      <c r="DM14" s="28">
        <f t="shared" si="4"/>
        <v>10000</v>
      </c>
      <c r="DN14" s="28">
        <f t="shared" si="4"/>
        <v>10000</v>
      </c>
      <c r="DO14" s="28">
        <f t="shared" si="4"/>
        <v>10000</v>
      </c>
      <c r="DP14" s="28">
        <f t="shared" si="4"/>
        <v>10000</v>
      </c>
      <c r="DQ14" s="29">
        <f t="shared" si="4"/>
        <v>10000</v>
      </c>
      <c r="DR14" s="30">
        <f t="shared" si="20"/>
        <v>50000</v>
      </c>
    </row>
    <row r="15" spans="1:122" x14ac:dyDescent="0.2">
      <c r="A15">
        <f t="shared" si="5"/>
        <v>16</v>
      </c>
      <c r="B15" s="49" t="str">
        <f>_xlfn.XLOOKUP(D15,Códigos_Propuestas!$B$4:$B$10,Códigos_Propuestas!$C$4:$C$10,"!",0,1)&amp;"__"&amp;
_xlfn.XLOOKUP(G15,Códigos_Propuestas!$E$4:$E$76,Códigos_Propuestas!$F$4:$F$76,"!",1)&amp;"__"&amp;
_xlfn.XLOOKUP(K15,Códigos_Propuestas!$I$4:$I$7,Códigos_Propuestas!$J$4:$J$7,"!",1)&amp;"__"&amp;
_xlfn.XLOOKUP(L15,Códigos_Propuestas!$O$4:$O$11,Códigos_Propuestas!$Q$4:$Q$11,"!",1)&amp;"__"&amp;
_xlfn.XLOOKUP(E15,Códigos_Propuestas!$BF:$BF,Códigos_Propuestas!$BH:$BH,"!",0,1)</f>
        <v>RU__THC__!__!__!</v>
      </c>
      <c r="C15" s="47">
        <f t="shared" si="21"/>
        <v>13</v>
      </c>
      <c r="D15" s="11" t="s">
        <v>112</v>
      </c>
      <c r="E15" s="12" t="s">
        <v>348</v>
      </c>
      <c r="F15" s="12"/>
      <c r="G15" s="13" t="s">
        <v>348</v>
      </c>
      <c r="H15" s="13"/>
      <c r="I15" s="13" t="s">
        <v>42</v>
      </c>
      <c r="J15" s="17"/>
      <c r="K15" s="13"/>
      <c r="L15" s="14"/>
      <c r="M15" s="14"/>
      <c r="N15" s="14"/>
      <c r="O15" s="14"/>
      <c r="P15" s="14"/>
      <c r="Q15" s="14"/>
      <c r="R15" s="14"/>
      <c r="S15" s="13"/>
      <c r="T15" s="115"/>
      <c r="U15" s="116">
        <f t="shared" ca="1" si="6"/>
        <v>0</v>
      </c>
      <c r="V15" s="13" t="str">
        <f t="shared" ca="1" si="7"/>
        <v/>
      </c>
      <c r="W15" s="14"/>
      <c r="X15" s="115"/>
      <c r="Y15" s="130" t="b">
        <v>0</v>
      </c>
      <c r="Z15" s="115"/>
      <c r="AA15" s="130" t="b">
        <v>0</v>
      </c>
      <c r="AB15" s="115"/>
      <c r="AC15" s="130" t="b">
        <v>0</v>
      </c>
      <c r="AD15" s="13"/>
      <c r="AE15" s="13"/>
      <c r="AF15" s="130" t="b">
        <v>0</v>
      </c>
      <c r="AG15" s="13"/>
      <c r="AH15" s="130" t="b">
        <v>0</v>
      </c>
      <c r="AI15" s="13"/>
      <c r="AJ15" s="130" t="b">
        <v>0</v>
      </c>
      <c r="AK15" s="13"/>
      <c r="AL15" s="130" t="b">
        <v>0</v>
      </c>
      <c r="AM15" s="13"/>
      <c r="AN15" s="13"/>
      <c r="AO15" s="130" t="b">
        <v>0</v>
      </c>
      <c r="AP15" s="130" t="b">
        <v>0</v>
      </c>
      <c r="AQ15" s="130" t="b">
        <v>0</v>
      </c>
      <c r="AR15" s="130" t="b">
        <v>0</v>
      </c>
      <c r="AS15" s="130" t="b">
        <v>0</v>
      </c>
      <c r="AT15" s="11"/>
      <c r="AU15" s="11"/>
      <c r="AV15" s="11"/>
      <c r="AW15" s="11"/>
      <c r="AX15" s="11"/>
      <c r="AY15" s="107"/>
      <c r="AZ15" s="97">
        <v>2000000</v>
      </c>
      <c r="BA15" s="97">
        <v>800000</v>
      </c>
      <c r="BB15" s="13">
        <v>10</v>
      </c>
      <c r="BC15" s="108">
        <v>0.3</v>
      </c>
      <c r="BD15" s="108">
        <v>0.3</v>
      </c>
      <c r="BE15" s="15">
        <f t="shared" si="8"/>
        <v>0.09</v>
      </c>
      <c r="BF15" s="18"/>
      <c r="BG15" s="18"/>
      <c r="BH15" s="16">
        <v>46142</v>
      </c>
      <c r="BI15" s="19">
        <f t="shared" si="9"/>
        <v>180000</v>
      </c>
      <c r="BJ15" s="19">
        <f t="shared" si="10"/>
        <v>72000</v>
      </c>
      <c r="BK15" s="20">
        <f>IFERROR(EOMONTH(BH15+60,-1)+1,"")</f>
        <v>46174</v>
      </c>
      <c r="BL15" s="21">
        <f t="shared" si="12"/>
        <v>46447</v>
      </c>
      <c r="BM15" s="111">
        <f t="shared" si="0"/>
        <v>46174</v>
      </c>
      <c r="BN15" s="112">
        <f t="shared" si="0"/>
        <v>46447</v>
      </c>
      <c r="BP15" s="27">
        <f t="shared" si="13"/>
        <v>0</v>
      </c>
      <c r="BQ15" s="28">
        <f t="shared" si="1"/>
        <v>0</v>
      </c>
      <c r="BR15" s="28">
        <f t="shared" si="1"/>
        <v>0</v>
      </c>
      <c r="BS15" s="28">
        <f t="shared" si="1"/>
        <v>0</v>
      </c>
      <c r="BT15" s="28">
        <f t="shared" si="1"/>
        <v>0</v>
      </c>
      <c r="BU15" s="28">
        <f t="shared" si="1"/>
        <v>200000</v>
      </c>
      <c r="BV15" s="28">
        <f t="shared" si="1"/>
        <v>200000</v>
      </c>
      <c r="BW15" s="28">
        <f t="shared" si="1"/>
        <v>200000</v>
      </c>
      <c r="BX15" s="28">
        <f t="shared" si="1"/>
        <v>200000</v>
      </c>
      <c r="BY15" s="28">
        <f t="shared" si="1"/>
        <v>200000</v>
      </c>
      <c r="BZ15" s="28">
        <f t="shared" si="1"/>
        <v>200000</v>
      </c>
      <c r="CA15" s="29">
        <f t="shared" si="1"/>
        <v>200000</v>
      </c>
      <c r="CB15" s="30">
        <f t="shared" si="14"/>
        <v>1400000</v>
      </c>
      <c r="CD15" s="27">
        <f t="shared" si="15"/>
        <v>0</v>
      </c>
      <c r="CE15" s="28">
        <f t="shared" si="2"/>
        <v>0</v>
      </c>
      <c r="CF15" s="28">
        <f t="shared" si="2"/>
        <v>0</v>
      </c>
      <c r="CG15" s="28">
        <f t="shared" si="2"/>
        <v>0</v>
      </c>
      <c r="CH15" s="28">
        <f t="shared" si="2"/>
        <v>0</v>
      </c>
      <c r="CI15" s="28">
        <f t="shared" si="2"/>
        <v>18000</v>
      </c>
      <c r="CJ15" s="28">
        <f t="shared" si="2"/>
        <v>18000</v>
      </c>
      <c r="CK15" s="28">
        <f t="shared" si="2"/>
        <v>18000</v>
      </c>
      <c r="CL15" s="28">
        <f t="shared" si="2"/>
        <v>18000</v>
      </c>
      <c r="CM15" s="28">
        <f t="shared" si="2"/>
        <v>18000</v>
      </c>
      <c r="CN15" s="28">
        <f t="shared" si="2"/>
        <v>18000</v>
      </c>
      <c r="CO15" s="29">
        <f t="shared" si="2"/>
        <v>18000</v>
      </c>
      <c r="CP15" s="30">
        <f t="shared" si="16"/>
        <v>126000</v>
      </c>
      <c r="CR15" s="27">
        <f t="shared" si="17"/>
        <v>0</v>
      </c>
      <c r="CS15" s="28">
        <f t="shared" si="3"/>
        <v>0</v>
      </c>
      <c r="CT15" s="28">
        <f t="shared" si="3"/>
        <v>0</v>
      </c>
      <c r="CU15" s="28">
        <f t="shared" si="3"/>
        <v>0</v>
      </c>
      <c r="CV15" s="28">
        <f t="shared" si="3"/>
        <v>0</v>
      </c>
      <c r="CW15" s="28">
        <f t="shared" si="3"/>
        <v>80000</v>
      </c>
      <c r="CX15" s="28">
        <f t="shared" si="3"/>
        <v>80000</v>
      </c>
      <c r="CY15" s="28">
        <f t="shared" si="3"/>
        <v>80000</v>
      </c>
      <c r="CZ15" s="28">
        <f t="shared" si="3"/>
        <v>80000</v>
      </c>
      <c r="DA15" s="28">
        <f t="shared" si="3"/>
        <v>80000</v>
      </c>
      <c r="DB15" s="28">
        <f t="shared" si="3"/>
        <v>80000</v>
      </c>
      <c r="DC15" s="29">
        <f t="shared" si="3"/>
        <v>80000</v>
      </c>
      <c r="DD15" s="30">
        <f t="shared" si="18"/>
        <v>560000</v>
      </c>
      <c r="DF15" s="27">
        <f t="shared" si="19"/>
        <v>0</v>
      </c>
      <c r="DG15" s="28">
        <f t="shared" si="4"/>
        <v>0</v>
      </c>
      <c r="DH15" s="28">
        <f t="shared" si="4"/>
        <v>0</v>
      </c>
      <c r="DI15" s="28">
        <f t="shared" si="4"/>
        <v>0</v>
      </c>
      <c r="DJ15" s="28">
        <f t="shared" si="4"/>
        <v>0</v>
      </c>
      <c r="DK15" s="28">
        <f t="shared" si="4"/>
        <v>7200</v>
      </c>
      <c r="DL15" s="28">
        <f t="shared" si="4"/>
        <v>7200</v>
      </c>
      <c r="DM15" s="28">
        <f t="shared" si="4"/>
        <v>7200</v>
      </c>
      <c r="DN15" s="28">
        <f t="shared" si="4"/>
        <v>7200</v>
      </c>
      <c r="DO15" s="28">
        <f t="shared" si="4"/>
        <v>7200</v>
      </c>
      <c r="DP15" s="28">
        <f t="shared" si="4"/>
        <v>7200</v>
      </c>
      <c r="DQ15" s="29">
        <f t="shared" si="4"/>
        <v>7200</v>
      </c>
      <c r="DR15" s="30">
        <f t="shared" si="20"/>
        <v>50400</v>
      </c>
    </row>
    <row r="16" spans="1:122" x14ac:dyDescent="0.2">
      <c r="A16">
        <f t="shared" si="5"/>
        <v>19</v>
      </c>
      <c r="B16" s="49" t="str">
        <f>_xlfn.XLOOKUP(D16,Códigos_Propuestas!$B$4:$B$10,Códigos_Propuestas!$C$4:$C$10,"!",0,1)&amp;"__"&amp;
_xlfn.XLOOKUP(G16,Códigos_Propuestas!$E$4:$E$76,Códigos_Propuestas!$F$4:$F$76,"!",1)&amp;"__"&amp;
_xlfn.XLOOKUP(K16,Códigos_Propuestas!$I$4:$I$7,Códigos_Propuestas!$J$4:$J$7,"!",1)&amp;"__"&amp;
_xlfn.XLOOKUP(L16,Códigos_Propuestas!$O$4:$O$11,Códigos_Propuestas!$Q$4:$Q$11,"!",1)&amp;"__"&amp;
_xlfn.XLOOKUP(E16,Códigos_Propuestas!$BF:$BF,Códigos_Propuestas!$BH:$BH,"!",0,1)</f>
        <v>PE__ANT__UG__MOP__!</v>
      </c>
      <c r="C16" s="47">
        <f t="shared" si="21"/>
        <v>14</v>
      </c>
      <c r="D16" s="11" t="s">
        <v>62</v>
      </c>
      <c r="E16" s="12" t="s">
        <v>505</v>
      </c>
      <c r="F16" s="12"/>
      <c r="G16" s="13" t="s">
        <v>236</v>
      </c>
      <c r="H16" s="13" t="s">
        <v>236</v>
      </c>
      <c r="I16" s="13" t="s">
        <v>42</v>
      </c>
      <c r="J16" s="17" t="s">
        <v>44</v>
      </c>
      <c r="K16" s="13" t="s">
        <v>65</v>
      </c>
      <c r="L16" s="14" t="s">
        <v>598</v>
      </c>
      <c r="M16" s="14"/>
      <c r="N16" s="14"/>
      <c r="O16" s="14" t="s">
        <v>37</v>
      </c>
      <c r="P16" s="14" t="s">
        <v>151</v>
      </c>
      <c r="Q16" s="14" t="s">
        <v>118</v>
      </c>
      <c r="R16" s="14" t="s">
        <v>93</v>
      </c>
      <c r="S16" s="13"/>
      <c r="T16" s="115"/>
      <c r="U16" s="116">
        <f t="shared" ca="1" si="6"/>
        <v>0</v>
      </c>
      <c r="V16" s="13" t="str">
        <f t="shared" ca="1" si="7"/>
        <v/>
      </c>
      <c r="W16" s="14"/>
      <c r="X16" s="115"/>
      <c r="Y16" s="130" t="b">
        <v>0</v>
      </c>
      <c r="Z16" s="115"/>
      <c r="AA16" s="130" t="b">
        <v>0</v>
      </c>
      <c r="AB16" s="115"/>
      <c r="AC16" s="130" t="b">
        <v>0</v>
      </c>
      <c r="AD16" s="13"/>
      <c r="AE16" s="13"/>
      <c r="AF16" s="130" t="b">
        <v>0</v>
      </c>
      <c r="AG16" s="13"/>
      <c r="AH16" s="130" t="b">
        <v>0</v>
      </c>
      <c r="AI16" s="13"/>
      <c r="AJ16" s="130" t="b">
        <v>0</v>
      </c>
      <c r="AK16" s="13"/>
      <c r="AL16" s="130" t="b">
        <v>0</v>
      </c>
      <c r="AM16" s="13"/>
      <c r="AN16" s="13"/>
      <c r="AO16" s="130" t="b">
        <v>0</v>
      </c>
      <c r="AP16" s="130" t="b">
        <v>0</v>
      </c>
      <c r="AQ16" s="130" t="b">
        <v>0</v>
      </c>
      <c r="AR16" s="130" t="b">
        <v>0</v>
      </c>
      <c r="AS16" s="130" t="b">
        <v>0</v>
      </c>
      <c r="AT16" s="11"/>
      <c r="AU16" s="11"/>
      <c r="AV16" s="11"/>
      <c r="AW16" s="11"/>
      <c r="AX16" s="11"/>
      <c r="AY16" s="107"/>
      <c r="AZ16" s="97">
        <v>600000</v>
      </c>
      <c r="BA16" s="97">
        <v>210000</v>
      </c>
      <c r="BB16" s="13">
        <v>8</v>
      </c>
      <c r="BC16" s="108">
        <v>0.6</v>
      </c>
      <c r="BD16" s="108">
        <v>0.4</v>
      </c>
      <c r="BE16" s="15">
        <f t="shared" si="8"/>
        <v>0.24</v>
      </c>
      <c r="BF16" s="18"/>
      <c r="BG16" s="18"/>
      <c r="BH16" s="16">
        <v>46391</v>
      </c>
      <c r="BI16" s="19">
        <f t="shared" si="9"/>
        <v>144000</v>
      </c>
      <c r="BJ16" s="19">
        <f t="shared" si="10"/>
        <v>50400</v>
      </c>
      <c r="BK16" s="20">
        <f t="shared" si="11"/>
        <v>46447</v>
      </c>
      <c r="BL16" s="21">
        <f t="shared" si="12"/>
        <v>46661</v>
      </c>
      <c r="BM16" s="111">
        <f t="shared" si="0"/>
        <v>46447</v>
      </c>
      <c r="BN16" s="112">
        <f t="shared" si="0"/>
        <v>46661</v>
      </c>
      <c r="BP16" s="27">
        <f t="shared" si="13"/>
        <v>0</v>
      </c>
      <c r="BQ16" s="28">
        <f t="shared" si="1"/>
        <v>0</v>
      </c>
      <c r="BR16" s="28">
        <f t="shared" si="1"/>
        <v>0</v>
      </c>
      <c r="BS16" s="28">
        <f t="shared" si="1"/>
        <v>0</v>
      </c>
      <c r="BT16" s="28">
        <f t="shared" si="1"/>
        <v>0</v>
      </c>
      <c r="BU16" s="28">
        <f t="shared" si="1"/>
        <v>0</v>
      </c>
      <c r="BV16" s="28">
        <f t="shared" si="1"/>
        <v>0</v>
      </c>
      <c r="BW16" s="28">
        <f t="shared" si="1"/>
        <v>0</v>
      </c>
      <c r="BX16" s="28">
        <f t="shared" si="1"/>
        <v>0</v>
      </c>
      <c r="BY16" s="28">
        <f t="shared" si="1"/>
        <v>0</v>
      </c>
      <c r="BZ16" s="28">
        <f t="shared" si="1"/>
        <v>0</v>
      </c>
      <c r="CA16" s="29">
        <f t="shared" si="1"/>
        <v>0</v>
      </c>
      <c r="CB16" s="30">
        <f t="shared" si="14"/>
        <v>0</v>
      </c>
      <c r="CD16" s="27">
        <f t="shared" si="15"/>
        <v>0</v>
      </c>
      <c r="CE16" s="28">
        <f t="shared" si="2"/>
        <v>0</v>
      </c>
      <c r="CF16" s="28">
        <f t="shared" si="2"/>
        <v>0</v>
      </c>
      <c r="CG16" s="28">
        <f t="shared" si="2"/>
        <v>0</v>
      </c>
      <c r="CH16" s="28">
        <f t="shared" si="2"/>
        <v>0</v>
      </c>
      <c r="CI16" s="28">
        <f t="shared" si="2"/>
        <v>0</v>
      </c>
      <c r="CJ16" s="28">
        <f t="shared" si="2"/>
        <v>0</v>
      </c>
      <c r="CK16" s="28">
        <f t="shared" si="2"/>
        <v>0</v>
      </c>
      <c r="CL16" s="28">
        <f t="shared" si="2"/>
        <v>0</v>
      </c>
      <c r="CM16" s="28">
        <f t="shared" si="2"/>
        <v>0</v>
      </c>
      <c r="CN16" s="28">
        <f t="shared" si="2"/>
        <v>0</v>
      </c>
      <c r="CO16" s="29">
        <f t="shared" si="2"/>
        <v>0</v>
      </c>
      <c r="CP16" s="30">
        <f t="shared" si="16"/>
        <v>0</v>
      </c>
      <c r="CR16" s="27">
        <f t="shared" si="17"/>
        <v>0</v>
      </c>
      <c r="CS16" s="28">
        <f t="shared" si="3"/>
        <v>0</v>
      </c>
      <c r="CT16" s="28">
        <f t="shared" si="3"/>
        <v>0</v>
      </c>
      <c r="CU16" s="28">
        <f t="shared" si="3"/>
        <v>0</v>
      </c>
      <c r="CV16" s="28">
        <f t="shared" si="3"/>
        <v>0</v>
      </c>
      <c r="CW16" s="28">
        <f t="shared" si="3"/>
        <v>0</v>
      </c>
      <c r="CX16" s="28">
        <f t="shared" si="3"/>
        <v>0</v>
      </c>
      <c r="CY16" s="28">
        <f t="shared" si="3"/>
        <v>0</v>
      </c>
      <c r="CZ16" s="28">
        <f t="shared" si="3"/>
        <v>0</v>
      </c>
      <c r="DA16" s="28">
        <f t="shared" si="3"/>
        <v>0</v>
      </c>
      <c r="DB16" s="28">
        <f t="shared" si="3"/>
        <v>0</v>
      </c>
      <c r="DC16" s="29">
        <f t="shared" si="3"/>
        <v>0</v>
      </c>
      <c r="DD16" s="30">
        <f t="shared" si="18"/>
        <v>0</v>
      </c>
      <c r="DF16" s="27">
        <f t="shared" si="19"/>
        <v>0</v>
      </c>
      <c r="DG16" s="28">
        <f t="shared" si="4"/>
        <v>0</v>
      </c>
      <c r="DH16" s="28">
        <f t="shared" si="4"/>
        <v>0</v>
      </c>
      <c r="DI16" s="28">
        <f t="shared" si="4"/>
        <v>0</v>
      </c>
      <c r="DJ16" s="28">
        <f t="shared" si="4"/>
        <v>0</v>
      </c>
      <c r="DK16" s="28">
        <f t="shared" si="4"/>
        <v>0</v>
      </c>
      <c r="DL16" s="28">
        <f t="shared" si="4"/>
        <v>0</v>
      </c>
      <c r="DM16" s="28">
        <f t="shared" si="4"/>
        <v>0</v>
      </c>
      <c r="DN16" s="28">
        <f t="shared" si="4"/>
        <v>0</v>
      </c>
      <c r="DO16" s="28">
        <f t="shared" si="4"/>
        <v>0</v>
      </c>
      <c r="DP16" s="28">
        <f t="shared" si="4"/>
        <v>0</v>
      </c>
      <c r="DQ16" s="29">
        <f t="shared" si="4"/>
        <v>0</v>
      </c>
      <c r="DR16" s="30">
        <f t="shared" si="20"/>
        <v>0</v>
      </c>
    </row>
    <row r="17" spans="1:122" x14ac:dyDescent="0.2">
      <c r="A17">
        <f t="shared" si="5"/>
        <v>19</v>
      </c>
      <c r="B17" s="49" t="str">
        <f>_xlfn.XLOOKUP(D17,Códigos_Propuestas!$B$4:$B$10,Códigos_Propuestas!$C$4:$C$10,"!",0,1)&amp;"__"&amp;
_xlfn.XLOOKUP(G17,Códigos_Propuestas!$E$4:$E$76,Códigos_Propuestas!$F$4:$F$76,"!",1)&amp;"__"&amp;
_xlfn.XLOOKUP(K17,Códigos_Propuestas!$I$4:$I$7,Códigos_Propuestas!$J$4:$J$7,"!",1)&amp;"__"&amp;
_xlfn.XLOOKUP(L17,Códigos_Propuestas!$O$4:$O$11,Códigos_Propuestas!$Q$4:$Q$11,"!",1)&amp;"__"&amp;
_xlfn.XLOOKUP(E17,Códigos_Propuestas!$BF:$BF,Códigos_Propuestas!$BH:$BH,"!",0,1)</f>
        <v>PE__CMP__OU__MOP__!</v>
      </c>
      <c r="C17" s="47">
        <f t="shared" si="21"/>
        <v>15</v>
      </c>
      <c r="D17" s="11" t="s">
        <v>62</v>
      </c>
      <c r="E17" s="12" t="s">
        <v>506</v>
      </c>
      <c r="F17" s="12"/>
      <c r="G17" s="13" t="s">
        <v>349</v>
      </c>
      <c r="H17" s="13" t="s">
        <v>349</v>
      </c>
      <c r="I17" s="13" t="s">
        <v>42</v>
      </c>
      <c r="J17" s="17" t="s">
        <v>44</v>
      </c>
      <c r="K17" s="13" t="s">
        <v>116</v>
      </c>
      <c r="L17" s="14" t="s">
        <v>598</v>
      </c>
      <c r="M17" s="14"/>
      <c r="N17" s="14"/>
      <c r="O17" s="14" t="s">
        <v>37</v>
      </c>
      <c r="P17" s="14" t="s">
        <v>118</v>
      </c>
      <c r="Q17" s="14"/>
      <c r="R17" s="14"/>
      <c r="S17" s="13"/>
      <c r="T17" s="115"/>
      <c r="U17" s="116">
        <f t="shared" ca="1" si="6"/>
        <v>0</v>
      </c>
      <c r="V17" s="13" t="str">
        <f t="shared" ca="1" si="7"/>
        <v/>
      </c>
      <c r="W17" s="14"/>
      <c r="X17" s="115"/>
      <c r="Y17" s="130" t="b">
        <v>0</v>
      </c>
      <c r="Z17" s="115"/>
      <c r="AA17" s="130" t="b">
        <v>0</v>
      </c>
      <c r="AB17" s="115"/>
      <c r="AC17" s="130" t="b">
        <v>0</v>
      </c>
      <c r="AD17" s="13"/>
      <c r="AE17" s="13"/>
      <c r="AF17" s="130" t="b">
        <v>0</v>
      </c>
      <c r="AG17" s="13"/>
      <c r="AH17" s="130" t="b">
        <v>0</v>
      </c>
      <c r="AI17" s="13"/>
      <c r="AJ17" s="130" t="b">
        <v>0</v>
      </c>
      <c r="AK17" s="13"/>
      <c r="AL17" s="130" t="b">
        <v>0</v>
      </c>
      <c r="AM17" s="13"/>
      <c r="AN17" s="13"/>
      <c r="AO17" s="130" t="b">
        <v>0</v>
      </c>
      <c r="AP17" s="130" t="b">
        <v>0</v>
      </c>
      <c r="AQ17" s="130" t="b">
        <v>0</v>
      </c>
      <c r="AR17" s="130" t="b">
        <v>0</v>
      </c>
      <c r="AS17" s="130" t="b">
        <v>0</v>
      </c>
      <c r="AT17" s="11"/>
      <c r="AU17" s="11"/>
      <c r="AV17" s="11"/>
      <c r="AW17" s="11"/>
      <c r="AX17" s="11"/>
      <c r="AY17" s="107"/>
      <c r="AZ17" s="97">
        <v>400000</v>
      </c>
      <c r="BA17" s="97">
        <v>140000</v>
      </c>
      <c r="BB17" s="13">
        <v>8</v>
      </c>
      <c r="BC17" s="108">
        <v>0.6</v>
      </c>
      <c r="BD17" s="108">
        <v>0.4</v>
      </c>
      <c r="BE17" s="15">
        <f t="shared" si="8"/>
        <v>0.24</v>
      </c>
      <c r="BF17" s="18"/>
      <c r="BG17" s="18"/>
      <c r="BH17" s="16">
        <v>46296</v>
      </c>
      <c r="BI17" s="19">
        <f t="shared" si="9"/>
        <v>96000</v>
      </c>
      <c r="BJ17" s="19">
        <f t="shared" si="10"/>
        <v>33600</v>
      </c>
      <c r="BK17" s="20">
        <f t="shared" si="11"/>
        <v>46327</v>
      </c>
      <c r="BL17" s="21">
        <f t="shared" si="12"/>
        <v>46539</v>
      </c>
      <c r="BM17" s="111">
        <f t="shared" si="0"/>
        <v>46327</v>
      </c>
      <c r="BN17" s="112">
        <f t="shared" si="0"/>
        <v>46539</v>
      </c>
      <c r="BP17" s="27">
        <f t="shared" si="13"/>
        <v>0</v>
      </c>
      <c r="BQ17" s="28">
        <f t="shared" si="1"/>
        <v>0</v>
      </c>
      <c r="BR17" s="28">
        <f t="shared" si="1"/>
        <v>0</v>
      </c>
      <c r="BS17" s="28">
        <f t="shared" si="1"/>
        <v>0</v>
      </c>
      <c r="BT17" s="28">
        <f t="shared" si="1"/>
        <v>0</v>
      </c>
      <c r="BU17" s="28">
        <f t="shared" si="1"/>
        <v>0</v>
      </c>
      <c r="BV17" s="28">
        <f t="shared" si="1"/>
        <v>0</v>
      </c>
      <c r="BW17" s="28">
        <f t="shared" si="1"/>
        <v>0</v>
      </c>
      <c r="BX17" s="28">
        <f t="shared" si="1"/>
        <v>0</v>
      </c>
      <c r="BY17" s="28">
        <f t="shared" si="1"/>
        <v>0</v>
      </c>
      <c r="BZ17" s="28">
        <f t="shared" si="1"/>
        <v>50000</v>
      </c>
      <c r="CA17" s="29">
        <f t="shared" si="1"/>
        <v>50000</v>
      </c>
      <c r="CB17" s="30">
        <f t="shared" si="14"/>
        <v>100000</v>
      </c>
      <c r="CD17" s="27">
        <f t="shared" si="15"/>
        <v>0</v>
      </c>
      <c r="CE17" s="28">
        <f t="shared" si="2"/>
        <v>0</v>
      </c>
      <c r="CF17" s="28">
        <f t="shared" si="2"/>
        <v>0</v>
      </c>
      <c r="CG17" s="28">
        <f t="shared" si="2"/>
        <v>0</v>
      </c>
      <c r="CH17" s="28">
        <f t="shared" si="2"/>
        <v>0</v>
      </c>
      <c r="CI17" s="28">
        <f t="shared" si="2"/>
        <v>0</v>
      </c>
      <c r="CJ17" s="28">
        <f t="shared" si="2"/>
        <v>0</v>
      </c>
      <c r="CK17" s="28">
        <f t="shared" si="2"/>
        <v>0</v>
      </c>
      <c r="CL17" s="28">
        <f t="shared" si="2"/>
        <v>0</v>
      </c>
      <c r="CM17" s="28">
        <f t="shared" si="2"/>
        <v>0</v>
      </c>
      <c r="CN17" s="28">
        <f t="shared" si="2"/>
        <v>12000</v>
      </c>
      <c r="CO17" s="29">
        <f t="shared" si="2"/>
        <v>12000</v>
      </c>
      <c r="CP17" s="30">
        <f t="shared" si="16"/>
        <v>24000</v>
      </c>
      <c r="CR17" s="27">
        <f t="shared" si="17"/>
        <v>0</v>
      </c>
      <c r="CS17" s="28">
        <f t="shared" si="3"/>
        <v>0</v>
      </c>
      <c r="CT17" s="28">
        <f t="shared" si="3"/>
        <v>0</v>
      </c>
      <c r="CU17" s="28">
        <f t="shared" si="3"/>
        <v>0</v>
      </c>
      <c r="CV17" s="28">
        <f t="shared" si="3"/>
        <v>0</v>
      </c>
      <c r="CW17" s="28">
        <f t="shared" si="3"/>
        <v>0</v>
      </c>
      <c r="CX17" s="28">
        <f t="shared" si="3"/>
        <v>0</v>
      </c>
      <c r="CY17" s="28">
        <f t="shared" si="3"/>
        <v>0</v>
      </c>
      <c r="CZ17" s="28">
        <f t="shared" si="3"/>
        <v>0</v>
      </c>
      <c r="DA17" s="28">
        <f t="shared" si="3"/>
        <v>0</v>
      </c>
      <c r="DB17" s="28">
        <f t="shared" si="3"/>
        <v>17500</v>
      </c>
      <c r="DC17" s="29">
        <f t="shared" si="3"/>
        <v>17500</v>
      </c>
      <c r="DD17" s="30">
        <f t="shared" si="18"/>
        <v>35000</v>
      </c>
      <c r="DF17" s="27">
        <f t="shared" si="19"/>
        <v>0</v>
      </c>
      <c r="DG17" s="28">
        <f t="shared" si="4"/>
        <v>0</v>
      </c>
      <c r="DH17" s="28">
        <f t="shared" si="4"/>
        <v>0</v>
      </c>
      <c r="DI17" s="28">
        <f t="shared" si="4"/>
        <v>0</v>
      </c>
      <c r="DJ17" s="28">
        <f t="shared" si="4"/>
        <v>0</v>
      </c>
      <c r="DK17" s="28">
        <f t="shared" si="4"/>
        <v>0</v>
      </c>
      <c r="DL17" s="28">
        <f t="shared" si="4"/>
        <v>0</v>
      </c>
      <c r="DM17" s="28">
        <f t="shared" si="4"/>
        <v>0</v>
      </c>
      <c r="DN17" s="28">
        <f t="shared" si="4"/>
        <v>0</v>
      </c>
      <c r="DO17" s="28">
        <f t="shared" si="4"/>
        <v>0</v>
      </c>
      <c r="DP17" s="28">
        <f t="shared" si="4"/>
        <v>4200</v>
      </c>
      <c r="DQ17" s="29">
        <f t="shared" si="4"/>
        <v>4200</v>
      </c>
      <c r="DR17" s="30">
        <f t="shared" si="20"/>
        <v>8400</v>
      </c>
    </row>
    <row r="18" spans="1:122" x14ac:dyDescent="0.2">
      <c r="A18">
        <f t="shared" si="5"/>
        <v>17</v>
      </c>
      <c r="B18" s="49" t="str">
        <f>_xlfn.XLOOKUP(D18,Códigos_Propuestas!$B$4:$B$10,Códigos_Propuestas!$C$4:$C$10,"!",0,1)&amp;"__"&amp;
_xlfn.XLOOKUP(G18,Códigos_Propuestas!$E$4:$E$76,Códigos_Propuestas!$F$4:$F$76,"!",1)&amp;"__"&amp;
_xlfn.XLOOKUP(K18,Códigos_Propuestas!$I$4:$I$7,Códigos_Propuestas!$J$4:$J$7,"!",1)&amp;"__"&amp;
_xlfn.XLOOKUP(L18,Códigos_Propuestas!$O$4:$O$11,Códigos_Propuestas!$Q$4:$Q$11,"!",1)&amp;"__"&amp;
_xlfn.XLOOKUP(E18,Códigos_Propuestas!$BF:$BF,Códigos_Propuestas!$BH:$BH,"!",0,1)</f>
        <v>PE__SPM__OP__!__!</v>
      </c>
      <c r="C18" s="47">
        <f t="shared" si="21"/>
        <v>16</v>
      </c>
      <c r="D18" s="11" t="s">
        <v>62</v>
      </c>
      <c r="E18" s="12" t="s">
        <v>507</v>
      </c>
      <c r="F18" s="12"/>
      <c r="G18" s="13" t="s">
        <v>351</v>
      </c>
      <c r="H18" s="13" t="s">
        <v>508</v>
      </c>
      <c r="I18" s="13" t="s">
        <v>42</v>
      </c>
      <c r="J18" s="17" t="s">
        <v>44</v>
      </c>
      <c r="K18" s="13" t="s">
        <v>92</v>
      </c>
      <c r="L18" s="14"/>
      <c r="M18" s="14"/>
      <c r="N18" s="14"/>
      <c r="O18" s="14" t="s">
        <v>37</v>
      </c>
      <c r="P18" s="14"/>
      <c r="Q18" s="14"/>
      <c r="R18" s="14"/>
      <c r="S18" s="13"/>
      <c r="T18" s="115"/>
      <c r="U18" s="116">
        <f t="shared" ca="1" si="6"/>
        <v>0</v>
      </c>
      <c r="V18" s="13" t="str">
        <f t="shared" ca="1" si="7"/>
        <v/>
      </c>
      <c r="W18" s="14"/>
      <c r="X18" s="115"/>
      <c r="Y18" s="130" t="b">
        <v>0</v>
      </c>
      <c r="Z18" s="115"/>
      <c r="AA18" s="130" t="b">
        <v>0</v>
      </c>
      <c r="AB18" s="115"/>
      <c r="AC18" s="130" t="b">
        <v>0</v>
      </c>
      <c r="AD18" s="13"/>
      <c r="AE18" s="13"/>
      <c r="AF18" s="130" t="b">
        <v>0</v>
      </c>
      <c r="AG18" s="13"/>
      <c r="AH18" s="130" t="b">
        <v>0</v>
      </c>
      <c r="AI18" s="13"/>
      <c r="AJ18" s="130" t="b">
        <v>0</v>
      </c>
      <c r="AK18" s="13"/>
      <c r="AL18" s="130" t="b">
        <v>0</v>
      </c>
      <c r="AM18" s="13"/>
      <c r="AN18" s="13"/>
      <c r="AO18" s="130" t="b">
        <v>0</v>
      </c>
      <c r="AP18" s="130" t="b">
        <v>0</v>
      </c>
      <c r="AQ18" s="130" t="b">
        <v>0</v>
      </c>
      <c r="AR18" s="130" t="b">
        <v>0</v>
      </c>
      <c r="AS18" s="130" t="b">
        <v>0</v>
      </c>
      <c r="AT18" s="11"/>
      <c r="AU18" s="11"/>
      <c r="AV18" s="11"/>
      <c r="AW18" s="11"/>
      <c r="AX18" s="11"/>
      <c r="AY18" s="107"/>
      <c r="AZ18" s="97">
        <v>400000</v>
      </c>
      <c r="BA18" s="97">
        <v>140000</v>
      </c>
      <c r="BB18" s="13">
        <v>8</v>
      </c>
      <c r="BC18" s="108">
        <v>0.7</v>
      </c>
      <c r="BD18" s="108">
        <v>0.3</v>
      </c>
      <c r="BE18" s="15">
        <f t="shared" si="8"/>
        <v>0.21</v>
      </c>
      <c r="BF18" s="18"/>
      <c r="BG18" s="18"/>
      <c r="BH18" s="16">
        <v>46174</v>
      </c>
      <c r="BI18" s="19">
        <f t="shared" si="9"/>
        <v>84000</v>
      </c>
      <c r="BJ18" s="19">
        <f t="shared" si="10"/>
        <v>29400</v>
      </c>
      <c r="BK18" s="20">
        <f t="shared" ref="BK18:BK23" si="22">IFERROR(EOMONTH(BH18+60,-1)+1,"")</f>
        <v>46204</v>
      </c>
      <c r="BL18" s="21">
        <f t="shared" ref="BL18:BL23" si="23">IFERROR(EOMONTH(EDATE(BK18,BB18),-2)+1,"")</f>
        <v>46419</v>
      </c>
      <c r="BM18" s="111">
        <f t="shared" ref="BM18:BM23" si="24">IFERROR(EOMONTH(BK18,-1)+1,"")</f>
        <v>46204</v>
      </c>
      <c r="BN18" s="112">
        <f t="shared" ref="BN18:BN23" si="25">IFERROR(EOMONTH(BL18,-1)+1,"")</f>
        <v>46419</v>
      </c>
      <c r="BP18" s="27">
        <f t="shared" si="13"/>
        <v>0</v>
      </c>
      <c r="BQ18" s="28">
        <f t="shared" si="1"/>
        <v>0</v>
      </c>
      <c r="BR18" s="28">
        <f t="shared" si="1"/>
        <v>0</v>
      </c>
      <c r="BS18" s="28">
        <f t="shared" si="1"/>
        <v>0</v>
      </c>
      <c r="BT18" s="28">
        <f t="shared" si="1"/>
        <v>0</v>
      </c>
      <c r="BU18" s="28">
        <f t="shared" si="1"/>
        <v>0</v>
      </c>
      <c r="BV18" s="28">
        <f t="shared" si="1"/>
        <v>50000</v>
      </c>
      <c r="BW18" s="28">
        <f t="shared" si="1"/>
        <v>50000</v>
      </c>
      <c r="BX18" s="28">
        <f t="shared" si="1"/>
        <v>50000</v>
      </c>
      <c r="BY18" s="28">
        <f t="shared" si="1"/>
        <v>50000</v>
      </c>
      <c r="BZ18" s="28">
        <f t="shared" si="1"/>
        <v>50000</v>
      </c>
      <c r="CA18" s="29">
        <f t="shared" si="1"/>
        <v>50000</v>
      </c>
      <c r="CB18" s="30">
        <f t="shared" si="14"/>
        <v>300000</v>
      </c>
      <c r="CD18" s="27">
        <f t="shared" si="15"/>
        <v>0</v>
      </c>
      <c r="CE18" s="28">
        <f t="shared" si="2"/>
        <v>0</v>
      </c>
      <c r="CF18" s="28">
        <f t="shared" si="2"/>
        <v>0</v>
      </c>
      <c r="CG18" s="28">
        <f t="shared" si="2"/>
        <v>0</v>
      </c>
      <c r="CH18" s="28">
        <f t="shared" si="2"/>
        <v>0</v>
      </c>
      <c r="CI18" s="28">
        <f t="shared" si="2"/>
        <v>0</v>
      </c>
      <c r="CJ18" s="28">
        <f t="shared" si="2"/>
        <v>10500</v>
      </c>
      <c r="CK18" s="28">
        <f t="shared" si="2"/>
        <v>10500</v>
      </c>
      <c r="CL18" s="28">
        <f t="shared" si="2"/>
        <v>10500</v>
      </c>
      <c r="CM18" s="28">
        <f t="shared" si="2"/>
        <v>10500</v>
      </c>
      <c r="CN18" s="28">
        <f t="shared" si="2"/>
        <v>10500</v>
      </c>
      <c r="CO18" s="29">
        <f t="shared" si="2"/>
        <v>10500</v>
      </c>
      <c r="CP18" s="30">
        <f t="shared" si="16"/>
        <v>63000</v>
      </c>
      <c r="CR18" s="27">
        <f t="shared" si="17"/>
        <v>0</v>
      </c>
      <c r="CS18" s="28">
        <f t="shared" si="3"/>
        <v>0</v>
      </c>
      <c r="CT18" s="28">
        <f t="shared" si="3"/>
        <v>0</v>
      </c>
      <c r="CU18" s="28">
        <f t="shared" si="3"/>
        <v>0</v>
      </c>
      <c r="CV18" s="28">
        <f t="shared" si="3"/>
        <v>0</v>
      </c>
      <c r="CW18" s="28">
        <f t="shared" si="3"/>
        <v>0</v>
      </c>
      <c r="CX18" s="28">
        <f t="shared" si="3"/>
        <v>17500</v>
      </c>
      <c r="CY18" s="28">
        <f t="shared" si="3"/>
        <v>17500</v>
      </c>
      <c r="CZ18" s="28">
        <f t="shared" si="3"/>
        <v>17500</v>
      </c>
      <c r="DA18" s="28">
        <f t="shared" si="3"/>
        <v>17500</v>
      </c>
      <c r="DB18" s="28">
        <f t="shared" si="3"/>
        <v>17500</v>
      </c>
      <c r="DC18" s="29">
        <f t="shared" si="3"/>
        <v>17500</v>
      </c>
      <c r="DD18" s="30">
        <f t="shared" si="18"/>
        <v>105000</v>
      </c>
      <c r="DF18" s="27">
        <f t="shared" si="19"/>
        <v>0</v>
      </c>
      <c r="DG18" s="28">
        <f t="shared" si="4"/>
        <v>0</v>
      </c>
      <c r="DH18" s="28">
        <f t="shared" si="4"/>
        <v>0</v>
      </c>
      <c r="DI18" s="28">
        <f t="shared" si="4"/>
        <v>0</v>
      </c>
      <c r="DJ18" s="28">
        <f t="shared" si="4"/>
        <v>0</v>
      </c>
      <c r="DK18" s="28">
        <f t="shared" si="4"/>
        <v>0</v>
      </c>
      <c r="DL18" s="28">
        <f t="shared" si="4"/>
        <v>3675</v>
      </c>
      <c r="DM18" s="28">
        <f t="shared" si="4"/>
        <v>3675</v>
      </c>
      <c r="DN18" s="28">
        <f t="shared" si="4"/>
        <v>3675</v>
      </c>
      <c r="DO18" s="28">
        <f t="shared" si="4"/>
        <v>3675</v>
      </c>
      <c r="DP18" s="28">
        <f t="shared" si="4"/>
        <v>3675</v>
      </c>
      <c r="DQ18" s="29">
        <f t="shared" si="4"/>
        <v>3675</v>
      </c>
      <c r="DR18" s="30">
        <f t="shared" si="20"/>
        <v>22050</v>
      </c>
    </row>
    <row r="19" spans="1:122" x14ac:dyDescent="0.2">
      <c r="A19">
        <f t="shared" si="5"/>
        <v>19</v>
      </c>
      <c r="B19" s="49" t="str">
        <f>_xlfn.XLOOKUP(D19,Códigos_Propuestas!$B$4:$B$10,Códigos_Propuestas!$C$4:$C$10,"!",0,1)&amp;"__"&amp;
_xlfn.XLOOKUP(G19,Códigos_Propuestas!$E$4:$E$76,Códigos_Propuestas!$F$4:$F$76,"!",1)&amp;"__"&amp;
_xlfn.XLOOKUP(K19,Códigos_Propuestas!$I$4:$I$7,Códigos_Propuestas!$J$4:$J$7,"!",1)&amp;"__"&amp;
_xlfn.XLOOKUP(L19,Códigos_Propuestas!$O$4:$O$11,Códigos_Propuestas!$Q$4:$Q$11,"!",1)&amp;"__"&amp;
_xlfn.XLOOKUP(E19,Códigos_Propuestas!$BF:$BF,Códigos_Propuestas!$BH:$BH,"!",0,1)</f>
        <v>PE__ANT__OU__MOP__!</v>
      </c>
      <c r="C19" s="47">
        <f t="shared" si="21"/>
        <v>17</v>
      </c>
      <c r="D19" s="11" t="s">
        <v>62</v>
      </c>
      <c r="E19" s="12" t="s">
        <v>509</v>
      </c>
      <c r="F19" s="12"/>
      <c r="G19" s="13" t="s">
        <v>236</v>
      </c>
      <c r="H19" s="13" t="s">
        <v>236</v>
      </c>
      <c r="I19" s="13" t="s">
        <v>42</v>
      </c>
      <c r="J19" s="17" t="s">
        <v>44</v>
      </c>
      <c r="K19" s="13" t="s">
        <v>116</v>
      </c>
      <c r="L19" s="14" t="s">
        <v>600</v>
      </c>
      <c r="M19" s="14"/>
      <c r="N19" s="14"/>
      <c r="O19" s="14" t="s">
        <v>37</v>
      </c>
      <c r="P19" s="14" t="s">
        <v>151</v>
      </c>
      <c r="Q19" s="14" t="s">
        <v>118</v>
      </c>
      <c r="R19" s="14" t="s">
        <v>93</v>
      </c>
      <c r="S19" s="13"/>
      <c r="T19" s="13"/>
      <c r="U19" s="116">
        <f t="shared" ca="1" si="6"/>
        <v>0</v>
      </c>
      <c r="V19" s="13" t="str">
        <f t="shared" ca="1" si="7"/>
        <v/>
      </c>
      <c r="W19" s="14"/>
      <c r="X19" s="115"/>
      <c r="Y19" s="130" t="b">
        <v>0</v>
      </c>
      <c r="Z19" s="115"/>
      <c r="AA19" s="130" t="b">
        <v>0</v>
      </c>
      <c r="AB19" s="115"/>
      <c r="AC19" s="130" t="b">
        <v>0</v>
      </c>
      <c r="AD19" s="13"/>
      <c r="AE19" s="13"/>
      <c r="AF19" s="130" t="b">
        <v>0</v>
      </c>
      <c r="AG19" s="13"/>
      <c r="AH19" s="130" t="b">
        <v>0</v>
      </c>
      <c r="AI19" s="13"/>
      <c r="AJ19" s="130" t="b">
        <v>0</v>
      </c>
      <c r="AK19" s="13"/>
      <c r="AL19" s="130" t="b">
        <v>0</v>
      </c>
      <c r="AM19" s="13"/>
      <c r="AN19" s="13"/>
      <c r="AO19" s="130" t="b">
        <v>0</v>
      </c>
      <c r="AP19" s="130" t="b">
        <v>0</v>
      </c>
      <c r="AQ19" s="130" t="b">
        <v>0</v>
      </c>
      <c r="AR19" s="130" t="b">
        <v>0</v>
      </c>
      <c r="AS19" s="130" t="b">
        <v>0</v>
      </c>
      <c r="AT19" s="11"/>
      <c r="AU19" s="11"/>
      <c r="AV19" s="11"/>
      <c r="AW19" s="11"/>
      <c r="AX19" s="11"/>
      <c r="AY19" s="107"/>
      <c r="AZ19" s="97">
        <v>800000</v>
      </c>
      <c r="BA19" s="97">
        <v>280000</v>
      </c>
      <c r="BB19" s="13">
        <v>10</v>
      </c>
      <c r="BC19" s="108">
        <v>0.7</v>
      </c>
      <c r="BD19" s="108">
        <v>0.3</v>
      </c>
      <c r="BE19" s="15">
        <f t="shared" si="8"/>
        <v>0.21</v>
      </c>
      <c r="BF19" s="18"/>
      <c r="BG19" s="18"/>
      <c r="BH19" s="16">
        <v>46631</v>
      </c>
      <c r="BI19" s="19">
        <f t="shared" si="9"/>
        <v>168000</v>
      </c>
      <c r="BJ19" s="19">
        <f t="shared" si="10"/>
        <v>58800</v>
      </c>
      <c r="BK19" s="20">
        <f t="shared" si="22"/>
        <v>46661</v>
      </c>
      <c r="BL19" s="21">
        <f t="shared" si="23"/>
        <v>46935</v>
      </c>
      <c r="BM19" s="111">
        <f t="shared" si="24"/>
        <v>46661</v>
      </c>
      <c r="BN19" s="112">
        <f t="shared" si="25"/>
        <v>46935</v>
      </c>
      <c r="BP19" s="27">
        <f t="shared" si="13"/>
        <v>0</v>
      </c>
      <c r="BQ19" s="28">
        <f t="shared" si="13"/>
        <v>0</v>
      </c>
      <c r="BR19" s="28">
        <f t="shared" si="13"/>
        <v>0</v>
      </c>
      <c r="BS19" s="28">
        <f t="shared" si="13"/>
        <v>0</v>
      </c>
      <c r="BT19" s="28">
        <f t="shared" si="13"/>
        <v>0</v>
      </c>
      <c r="BU19" s="28">
        <f t="shared" si="13"/>
        <v>0</v>
      </c>
      <c r="BV19" s="28">
        <f t="shared" si="13"/>
        <v>0</v>
      </c>
      <c r="BW19" s="28">
        <f t="shared" si="13"/>
        <v>0</v>
      </c>
      <c r="BX19" s="28">
        <f t="shared" si="13"/>
        <v>0</v>
      </c>
      <c r="BY19" s="28">
        <f t="shared" si="13"/>
        <v>0</v>
      </c>
      <c r="BZ19" s="28">
        <f t="shared" si="13"/>
        <v>0</v>
      </c>
      <c r="CA19" s="29">
        <f t="shared" si="13"/>
        <v>0</v>
      </c>
      <c r="CB19" s="30">
        <f t="shared" si="14"/>
        <v>0</v>
      </c>
      <c r="CD19" s="27">
        <f t="shared" si="15"/>
        <v>0</v>
      </c>
      <c r="CE19" s="28">
        <f t="shared" si="15"/>
        <v>0</v>
      </c>
      <c r="CF19" s="28">
        <f t="shared" si="15"/>
        <v>0</v>
      </c>
      <c r="CG19" s="28">
        <f t="shared" si="15"/>
        <v>0</v>
      </c>
      <c r="CH19" s="28">
        <f t="shared" si="15"/>
        <v>0</v>
      </c>
      <c r="CI19" s="28">
        <f t="shared" si="15"/>
        <v>0</v>
      </c>
      <c r="CJ19" s="28">
        <f t="shared" si="15"/>
        <v>0</v>
      </c>
      <c r="CK19" s="28">
        <f t="shared" si="15"/>
        <v>0</v>
      </c>
      <c r="CL19" s="28">
        <f t="shared" si="15"/>
        <v>0</v>
      </c>
      <c r="CM19" s="28">
        <f t="shared" si="15"/>
        <v>0</v>
      </c>
      <c r="CN19" s="28">
        <f t="shared" si="15"/>
        <v>0</v>
      </c>
      <c r="CO19" s="29">
        <f t="shared" si="15"/>
        <v>0</v>
      </c>
      <c r="CP19" s="30">
        <f t="shared" si="16"/>
        <v>0</v>
      </c>
      <c r="CR19" s="27">
        <f t="shared" si="17"/>
        <v>0</v>
      </c>
      <c r="CS19" s="28">
        <f t="shared" si="17"/>
        <v>0</v>
      </c>
      <c r="CT19" s="28">
        <f t="shared" si="17"/>
        <v>0</v>
      </c>
      <c r="CU19" s="28">
        <f t="shared" si="17"/>
        <v>0</v>
      </c>
      <c r="CV19" s="28">
        <f t="shared" si="17"/>
        <v>0</v>
      </c>
      <c r="CW19" s="28">
        <f t="shared" si="17"/>
        <v>0</v>
      </c>
      <c r="CX19" s="28">
        <f t="shared" si="17"/>
        <v>0</v>
      </c>
      <c r="CY19" s="28">
        <f t="shared" si="17"/>
        <v>0</v>
      </c>
      <c r="CZ19" s="28">
        <f t="shared" si="17"/>
        <v>0</v>
      </c>
      <c r="DA19" s="28">
        <f t="shared" si="17"/>
        <v>0</v>
      </c>
      <c r="DB19" s="28">
        <f t="shared" si="17"/>
        <v>0</v>
      </c>
      <c r="DC19" s="29">
        <f t="shared" si="17"/>
        <v>0</v>
      </c>
      <c r="DD19" s="30">
        <f t="shared" si="18"/>
        <v>0</v>
      </c>
      <c r="DF19" s="27">
        <f t="shared" si="19"/>
        <v>0</v>
      </c>
      <c r="DG19" s="28">
        <f t="shared" si="19"/>
        <v>0</v>
      </c>
      <c r="DH19" s="28">
        <f t="shared" si="19"/>
        <v>0</v>
      </c>
      <c r="DI19" s="28">
        <f t="shared" si="19"/>
        <v>0</v>
      </c>
      <c r="DJ19" s="28">
        <f t="shared" si="19"/>
        <v>0</v>
      </c>
      <c r="DK19" s="28">
        <f t="shared" si="19"/>
        <v>0</v>
      </c>
      <c r="DL19" s="28">
        <f t="shared" si="19"/>
        <v>0</v>
      </c>
      <c r="DM19" s="28">
        <f t="shared" si="19"/>
        <v>0</v>
      </c>
      <c r="DN19" s="28">
        <f t="shared" si="19"/>
        <v>0</v>
      </c>
      <c r="DO19" s="28">
        <f t="shared" si="19"/>
        <v>0</v>
      </c>
      <c r="DP19" s="28">
        <f t="shared" si="19"/>
        <v>0</v>
      </c>
      <c r="DQ19" s="29">
        <f t="shared" si="19"/>
        <v>0</v>
      </c>
      <c r="DR19" s="30">
        <f t="shared" si="20"/>
        <v>0</v>
      </c>
    </row>
    <row r="20" spans="1:122" x14ac:dyDescent="0.2">
      <c r="A20">
        <f t="shared" si="5"/>
        <v>19</v>
      </c>
      <c r="B20" s="49" t="str">
        <f>_xlfn.XLOOKUP(D20,Códigos_Propuestas!$B$4:$B$10,Códigos_Propuestas!$C$4:$C$10,"!",0,1)&amp;"__"&amp;
_xlfn.XLOOKUP(G20,Códigos_Propuestas!$E$4:$E$76,Códigos_Propuestas!$F$4:$F$76,"!",1)&amp;"__"&amp;
_xlfn.XLOOKUP(K20,Códigos_Propuestas!$I$4:$I$7,Códigos_Propuestas!$J$4:$J$7,"!",1)&amp;"__"&amp;
_xlfn.XLOOKUP(L20,Códigos_Propuestas!$O$4:$O$11,Códigos_Propuestas!$Q$4:$Q$11,"!",1)&amp;"__"&amp;
_xlfn.XLOOKUP(E20,Códigos_Propuestas!$BF:$BF,Códigos_Propuestas!$BH:$BH,"!",0,1)</f>
        <v>PE__MMG__UG__MOP__!</v>
      </c>
      <c r="C20" s="47">
        <f t="shared" si="21"/>
        <v>18</v>
      </c>
      <c r="D20" s="11" t="s">
        <v>62</v>
      </c>
      <c r="E20" s="12" t="s">
        <v>510</v>
      </c>
      <c r="F20" s="12"/>
      <c r="G20" s="13" t="s">
        <v>213</v>
      </c>
      <c r="H20" s="13" t="s">
        <v>500</v>
      </c>
      <c r="I20" s="13" t="s">
        <v>42</v>
      </c>
      <c r="J20" s="17" t="s">
        <v>44</v>
      </c>
      <c r="K20" s="13" t="s">
        <v>65</v>
      </c>
      <c r="L20" s="14" t="s">
        <v>601</v>
      </c>
      <c r="M20" s="14"/>
      <c r="N20" s="14"/>
      <c r="O20" s="14" t="s">
        <v>37</v>
      </c>
      <c r="P20" s="14" t="s">
        <v>118</v>
      </c>
      <c r="Q20" s="14"/>
      <c r="R20" s="14"/>
      <c r="S20" s="13"/>
      <c r="T20" s="13"/>
      <c r="U20" s="116">
        <f t="shared" ca="1" si="6"/>
        <v>0</v>
      </c>
      <c r="V20" s="13" t="str">
        <f t="shared" ca="1" si="7"/>
        <v/>
      </c>
      <c r="W20" s="14"/>
      <c r="X20" s="115"/>
      <c r="Y20" s="130" t="b">
        <v>0</v>
      </c>
      <c r="Z20" s="115"/>
      <c r="AA20" s="130" t="b">
        <v>0</v>
      </c>
      <c r="AB20" s="115"/>
      <c r="AC20" s="130" t="b">
        <v>0</v>
      </c>
      <c r="AD20" s="13"/>
      <c r="AE20" s="13"/>
      <c r="AF20" s="130" t="b">
        <v>0</v>
      </c>
      <c r="AG20" s="13"/>
      <c r="AH20" s="130" t="b">
        <v>0</v>
      </c>
      <c r="AI20" s="13"/>
      <c r="AJ20" s="130" t="b">
        <v>0</v>
      </c>
      <c r="AK20" s="13"/>
      <c r="AL20" s="130" t="b">
        <v>0</v>
      </c>
      <c r="AM20" s="13"/>
      <c r="AN20" s="13"/>
      <c r="AO20" s="130" t="b">
        <v>0</v>
      </c>
      <c r="AP20" s="130" t="b">
        <v>0</v>
      </c>
      <c r="AQ20" s="130" t="b">
        <v>0</v>
      </c>
      <c r="AR20" s="130" t="b">
        <v>0</v>
      </c>
      <c r="AS20" s="130" t="b">
        <v>0</v>
      </c>
      <c r="AT20" s="11"/>
      <c r="AU20" s="11"/>
      <c r="AV20" s="11"/>
      <c r="AW20" s="11"/>
      <c r="AX20" s="11"/>
      <c r="AY20" s="107"/>
      <c r="AZ20" s="97">
        <v>800000</v>
      </c>
      <c r="BA20" s="97">
        <v>280000</v>
      </c>
      <c r="BB20" s="13">
        <v>10</v>
      </c>
      <c r="BC20" s="108">
        <v>0.8</v>
      </c>
      <c r="BD20" s="108">
        <v>0.3</v>
      </c>
      <c r="BE20" s="15">
        <f t="shared" si="8"/>
        <v>0.24</v>
      </c>
      <c r="BF20" s="18"/>
      <c r="BG20" s="18"/>
      <c r="BH20" s="16">
        <v>46631</v>
      </c>
      <c r="BI20" s="19">
        <f t="shared" si="9"/>
        <v>192000</v>
      </c>
      <c r="BJ20" s="19">
        <f t="shared" si="10"/>
        <v>67200</v>
      </c>
      <c r="BK20" s="20">
        <f t="shared" si="22"/>
        <v>46661</v>
      </c>
      <c r="BL20" s="21">
        <f t="shared" si="23"/>
        <v>46935</v>
      </c>
      <c r="BM20" s="111">
        <f t="shared" si="24"/>
        <v>46661</v>
      </c>
      <c r="BN20" s="112">
        <f t="shared" si="25"/>
        <v>46935</v>
      </c>
      <c r="BP20" s="27">
        <f t="shared" ref="BP20:CA35" si="26">IFERROR(IF(AND(BP$2&gt;=$BM20,BP$2&lt;=$BN20),$AZ20/$BB20,0),0)</f>
        <v>0</v>
      </c>
      <c r="BQ20" s="28">
        <f t="shared" si="26"/>
        <v>0</v>
      </c>
      <c r="BR20" s="28">
        <f t="shared" si="26"/>
        <v>0</v>
      </c>
      <c r="BS20" s="28">
        <f t="shared" si="26"/>
        <v>0</v>
      </c>
      <c r="BT20" s="28">
        <f t="shared" si="26"/>
        <v>0</v>
      </c>
      <c r="BU20" s="28">
        <f t="shared" si="26"/>
        <v>0</v>
      </c>
      <c r="BV20" s="28">
        <f t="shared" si="26"/>
        <v>0</v>
      </c>
      <c r="BW20" s="28">
        <f t="shared" si="26"/>
        <v>0</v>
      </c>
      <c r="BX20" s="28">
        <f t="shared" si="26"/>
        <v>0</v>
      </c>
      <c r="BY20" s="28">
        <f t="shared" si="26"/>
        <v>0</v>
      </c>
      <c r="BZ20" s="28">
        <f t="shared" si="26"/>
        <v>0</v>
      </c>
      <c r="CA20" s="29">
        <f t="shared" si="26"/>
        <v>0</v>
      </c>
      <c r="CB20" s="30">
        <f t="shared" si="14"/>
        <v>0</v>
      </c>
      <c r="CD20" s="27">
        <f t="shared" ref="CD20:CO35" si="27">IFERROR(IF(AND(CD$2&gt;=$BM20,CD$2&lt;=$BN20),$BI20/$BB20,0),0)</f>
        <v>0</v>
      </c>
      <c r="CE20" s="28">
        <f t="shared" si="27"/>
        <v>0</v>
      </c>
      <c r="CF20" s="28">
        <f t="shared" si="27"/>
        <v>0</v>
      </c>
      <c r="CG20" s="28">
        <f t="shared" si="27"/>
        <v>0</v>
      </c>
      <c r="CH20" s="28">
        <f t="shared" si="27"/>
        <v>0</v>
      </c>
      <c r="CI20" s="28">
        <f t="shared" si="27"/>
        <v>0</v>
      </c>
      <c r="CJ20" s="28">
        <f t="shared" si="27"/>
        <v>0</v>
      </c>
      <c r="CK20" s="28">
        <f t="shared" si="27"/>
        <v>0</v>
      </c>
      <c r="CL20" s="28">
        <f t="shared" si="27"/>
        <v>0</v>
      </c>
      <c r="CM20" s="28">
        <f t="shared" si="27"/>
        <v>0</v>
      </c>
      <c r="CN20" s="28">
        <f t="shared" si="27"/>
        <v>0</v>
      </c>
      <c r="CO20" s="29">
        <f t="shared" si="27"/>
        <v>0</v>
      </c>
      <c r="CP20" s="30">
        <f t="shared" si="16"/>
        <v>0</v>
      </c>
      <c r="CR20" s="27">
        <f t="shared" ref="CR20:DC35" si="28">IFERROR(IF(AND(CR$2&gt;=$BM20,CR$2&lt;=$BN20),$BA20/$BB20,0),0)</f>
        <v>0</v>
      </c>
      <c r="CS20" s="28">
        <f t="shared" si="28"/>
        <v>0</v>
      </c>
      <c r="CT20" s="28">
        <f t="shared" si="28"/>
        <v>0</v>
      </c>
      <c r="CU20" s="28">
        <f t="shared" si="28"/>
        <v>0</v>
      </c>
      <c r="CV20" s="28">
        <f t="shared" si="28"/>
        <v>0</v>
      </c>
      <c r="CW20" s="28">
        <f t="shared" si="28"/>
        <v>0</v>
      </c>
      <c r="CX20" s="28">
        <f t="shared" si="28"/>
        <v>0</v>
      </c>
      <c r="CY20" s="28">
        <f t="shared" si="28"/>
        <v>0</v>
      </c>
      <c r="CZ20" s="28">
        <f t="shared" si="28"/>
        <v>0</v>
      </c>
      <c r="DA20" s="28">
        <f t="shared" si="28"/>
        <v>0</v>
      </c>
      <c r="DB20" s="28">
        <f t="shared" si="28"/>
        <v>0</v>
      </c>
      <c r="DC20" s="29">
        <f t="shared" si="28"/>
        <v>0</v>
      </c>
      <c r="DD20" s="30">
        <f t="shared" si="18"/>
        <v>0</v>
      </c>
      <c r="DF20" s="27">
        <f t="shared" ref="DF20:DQ35" si="29">IFERROR(IF(AND(DF$2&gt;=$BM20,DF$2&lt;=$BN20),$BJ20/$BB20,0),0)</f>
        <v>0</v>
      </c>
      <c r="DG20" s="28">
        <f t="shared" si="29"/>
        <v>0</v>
      </c>
      <c r="DH20" s="28">
        <f t="shared" si="29"/>
        <v>0</v>
      </c>
      <c r="DI20" s="28">
        <f t="shared" si="29"/>
        <v>0</v>
      </c>
      <c r="DJ20" s="28">
        <f t="shared" si="29"/>
        <v>0</v>
      </c>
      <c r="DK20" s="28">
        <f t="shared" si="29"/>
        <v>0</v>
      </c>
      <c r="DL20" s="28">
        <f t="shared" si="29"/>
        <v>0</v>
      </c>
      <c r="DM20" s="28">
        <f t="shared" si="29"/>
        <v>0</v>
      </c>
      <c r="DN20" s="28">
        <f t="shared" si="29"/>
        <v>0</v>
      </c>
      <c r="DO20" s="28">
        <f t="shared" si="29"/>
        <v>0</v>
      </c>
      <c r="DP20" s="28">
        <f t="shared" si="29"/>
        <v>0</v>
      </c>
      <c r="DQ20" s="29">
        <f t="shared" si="29"/>
        <v>0</v>
      </c>
      <c r="DR20" s="30">
        <f t="shared" si="20"/>
        <v>0</v>
      </c>
    </row>
    <row r="21" spans="1:122" x14ac:dyDescent="0.2">
      <c r="A21">
        <f t="shared" si="5"/>
        <v>19</v>
      </c>
      <c r="B21" s="49" t="str">
        <f>_xlfn.XLOOKUP(D21,Códigos_Propuestas!$B$4:$B$10,Códigos_Propuestas!$C$4:$C$10,"!",0,1)&amp;"__"&amp;
_xlfn.XLOOKUP(G21,Códigos_Propuestas!$E$4:$E$76,Códigos_Propuestas!$F$4:$F$76,"!",1)&amp;"__"&amp;
_xlfn.XLOOKUP(K21,Códigos_Propuestas!$I$4:$I$7,Códigos_Propuestas!$J$4:$J$7,"!",1)&amp;"__"&amp;
_xlfn.XLOOKUP(L21,Códigos_Propuestas!$O$4:$O$11,Códigos_Propuestas!$Q$4:$Q$11,"!",1)&amp;"__"&amp;
_xlfn.XLOOKUP(E21,Códigos_Propuestas!$BF:$BF,Códigos_Propuestas!$BH:$BH,"!",0,1)</f>
        <v>PE__CMP__UG__MOP__!</v>
      </c>
      <c r="C21" s="47">
        <f t="shared" si="21"/>
        <v>19</v>
      </c>
      <c r="D21" s="11" t="s">
        <v>62</v>
      </c>
      <c r="E21" s="12" t="s">
        <v>511</v>
      </c>
      <c r="F21" s="12"/>
      <c r="G21" s="13" t="s">
        <v>349</v>
      </c>
      <c r="H21" s="13" t="s">
        <v>349</v>
      </c>
      <c r="I21" s="13" t="s">
        <v>42</v>
      </c>
      <c r="J21" s="17" t="s">
        <v>44</v>
      </c>
      <c r="K21" s="13" t="s">
        <v>65</v>
      </c>
      <c r="L21" s="14" t="s">
        <v>601</v>
      </c>
      <c r="M21" s="14"/>
      <c r="N21" s="14"/>
      <c r="O21" s="14" t="s">
        <v>37</v>
      </c>
      <c r="P21" s="14" t="s">
        <v>118</v>
      </c>
      <c r="Q21" s="14"/>
      <c r="R21" s="14"/>
      <c r="S21" s="13"/>
      <c r="T21" s="13"/>
      <c r="U21" s="116">
        <f t="shared" ca="1" si="6"/>
        <v>0</v>
      </c>
      <c r="V21" s="13" t="str">
        <f t="shared" ca="1" si="7"/>
        <v/>
      </c>
      <c r="W21" s="14"/>
      <c r="X21" s="115"/>
      <c r="Y21" s="130" t="b">
        <v>0</v>
      </c>
      <c r="Z21" s="115"/>
      <c r="AA21" s="130" t="b">
        <v>0</v>
      </c>
      <c r="AB21" s="115"/>
      <c r="AC21" s="130" t="b">
        <v>0</v>
      </c>
      <c r="AD21" s="13"/>
      <c r="AE21" s="13"/>
      <c r="AF21" s="130" t="b">
        <v>0</v>
      </c>
      <c r="AG21" s="13"/>
      <c r="AH21" s="130" t="b">
        <v>0</v>
      </c>
      <c r="AI21" s="13"/>
      <c r="AJ21" s="130" t="b">
        <v>0</v>
      </c>
      <c r="AK21" s="13"/>
      <c r="AL21" s="130" t="b">
        <v>0</v>
      </c>
      <c r="AM21" s="13"/>
      <c r="AN21" s="13"/>
      <c r="AO21" s="130" t="b">
        <v>0</v>
      </c>
      <c r="AP21" s="130" t="b">
        <v>0</v>
      </c>
      <c r="AQ21" s="130" t="b">
        <v>0</v>
      </c>
      <c r="AR21" s="130" t="b">
        <v>0</v>
      </c>
      <c r="AS21" s="130" t="b">
        <v>0</v>
      </c>
      <c r="AT21" s="11"/>
      <c r="AU21" s="11"/>
      <c r="AV21" s="11"/>
      <c r="AW21" s="11"/>
      <c r="AX21" s="11"/>
      <c r="AY21" s="107"/>
      <c r="AZ21" s="97">
        <v>600000</v>
      </c>
      <c r="BA21" s="97">
        <v>210000</v>
      </c>
      <c r="BB21" s="13">
        <v>10</v>
      </c>
      <c r="BC21" s="108">
        <v>0.4</v>
      </c>
      <c r="BD21" s="108">
        <v>0.3</v>
      </c>
      <c r="BE21" s="15">
        <f t="shared" si="8"/>
        <v>0.12</v>
      </c>
      <c r="BF21" s="18"/>
      <c r="BG21" s="18"/>
      <c r="BH21" s="16">
        <v>46661</v>
      </c>
      <c r="BI21" s="19">
        <f t="shared" si="9"/>
        <v>72000</v>
      </c>
      <c r="BJ21" s="19">
        <f t="shared" si="10"/>
        <v>25200</v>
      </c>
      <c r="BK21" s="20">
        <f t="shared" si="22"/>
        <v>46692</v>
      </c>
      <c r="BL21" s="21">
        <f t="shared" si="23"/>
        <v>46966</v>
      </c>
      <c r="BM21" s="111">
        <f t="shared" si="24"/>
        <v>46692</v>
      </c>
      <c r="BN21" s="112">
        <f t="shared" si="25"/>
        <v>46966</v>
      </c>
      <c r="BP21" s="27">
        <f t="shared" si="26"/>
        <v>0</v>
      </c>
      <c r="BQ21" s="28">
        <f t="shared" si="26"/>
        <v>0</v>
      </c>
      <c r="BR21" s="28">
        <f t="shared" si="26"/>
        <v>0</v>
      </c>
      <c r="BS21" s="28">
        <f t="shared" si="26"/>
        <v>0</v>
      </c>
      <c r="BT21" s="28">
        <f t="shared" si="26"/>
        <v>0</v>
      </c>
      <c r="BU21" s="28">
        <f t="shared" si="26"/>
        <v>0</v>
      </c>
      <c r="BV21" s="28">
        <f t="shared" si="26"/>
        <v>0</v>
      </c>
      <c r="BW21" s="28">
        <f t="shared" si="26"/>
        <v>0</v>
      </c>
      <c r="BX21" s="28">
        <f t="shared" si="26"/>
        <v>0</v>
      </c>
      <c r="BY21" s="28">
        <f t="shared" si="26"/>
        <v>0</v>
      </c>
      <c r="BZ21" s="28">
        <f t="shared" si="26"/>
        <v>0</v>
      </c>
      <c r="CA21" s="29">
        <f t="shared" si="26"/>
        <v>0</v>
      </c>
      <c r="CB21" s="30">
        <f t="shared" si="14"/>
        <v>0</v>
      </c>
      <c r="CD21" s="27">
        <f t="shared" si="27"/>
        <v>0</v>
      </c>
      <c r="CE21" s="28">
        <f t="shared" si="27"/>
        <v>0</v>
      </c>
      <c r="CF21" s="28">
        <f t="shared" si="27"/>
        <v>0</v>
      </c>
      <c r="CG21" s="28">
        <f t="shared" si="27"/>
        <v>0</v>
      </c>
      <c r="CH21" s="28">
        <f t="shared" si="27"/>
        <v>0</v>
      </c>
      <c r="CI21" s="28">
        <f t="shared" si="27"/>
        <v>0</v>
      </c>
      <c r="CJ21" s="28">
        <f t="shared" si="27"/>
        <v>0</v>
      </c>
      <c r="CK21" s="28">
        <f t="shared" si="27"/>
        <v>0</v>
      </c>
      <c r="CL21" s="28">
        <f t="shared" si="27"/>
        <v>0</v>
      </c>
      <c r="CM21" s="28">
        <f t="shared" si="27"/>
        <v>0</v>
      </c>
      <c r="CN21" s="28">
        <f t="shared" si="27"/>
        <v>0</v>
      </c>
      <c r="CO21" s="29">
        <f t="shared" si="27"/>
        <v>0</v>
      </c>
      <c r="CP21" s="30">
        <f t="shared" si="16"/>
        <v>0</v>
      </c>
      <c r="CR21" s="27">
        <f t="shared" si="28"/>
        <v>0</v>
      </c>
      <c r="CS21" s="28">
        <f t="shared" si="28"/>
        <v>0</v>
      </c>
      <c r="CT21" s="28">
        <f t="shared" si="28"/>
        <v>0</v>
      </c>
      <c r="CU21" s="28">
        <f t="shared" si="28"/>
        <v>0</v>
      </c>
      <c r="CV21" s="28">
        <f t="shared" si="28"/>
        <v>0</v>
      </c>
      <c r="CW21" s="28">
        <f t="shared" si="28"/>
        <v>0</v>
      </c>
      <c r="CX21" s="28">
        <f t="shared" si="28"/>
        <v>0</v>
      </c>
      <c r="CY21" s="28">
        <f t="shared" si="28"/>
        <v>0</v>
      </c>
      <c r="CZ21" s="28">
        <f t="shared" si="28"/>
        <v>0</v>
      </c>
      <c r="DA21" s="28">
        <f t="shared" si="28"/>
        <v>0</v>
      </c>
      <c r="DB21" s="28">
        <f t="shared" si="28"/>
        <v>0</v>
      </c>
      <c r="DC21" s="29">
        <f t="shared" si="28"/>
        <v>0</v>
      </c>
      <c r="DD21" s="30">
        <f t="shared" si="18"/>
        <v>0</v>
      </c>
      <c r="DF21" s="27">
        <f t="shared" si="29"/>
        <v>0</v>
      </c>
      <c r="DG21" s="28">
        <f t="shared" si="29"/>
        <v>0</v>
      </c>
      <c r="DH21" s="28">
        <f t="shared" si="29"/>
        <v>0</v>
      </c>
      <c r="DI21" s="28">
        <f t="shared" si="29"/>
        <v>0</v>
      </c>
      <c r="DJ21" s="28">
        <f t="shared" si="29"/>
        <v>0</v>
      </c>
      <c r="DK21" s="28">
        <f t="shared" si="29"/>
        <v>0</v>
      </c>
      <c r="DL21" s="28">
        <f t="shared" si="29"/>
        <v>0</v>
      </c>
      <c r="DM21" s="28">
        <f t="shared" si="29"/>
        <v>0</v>
      </c>
      <c r="DN21" s="28">
        <f t="shared" si="29"/>
        <v>0</v>
      </c>
      <c r="DO21" s="28">
        <f t="shared" si="29"/>
        <v>0</v>
      </c>
      <c r="DP21" s="28">
        <f t="shared" si="29"/>
        <v>0</v>
      </c>
      <c r="DQ21" s="29">
        <f t="shared" si="29"/>
        <v>0</v>
      </c>
      <c r="DR21" s="30">
        <f t="shared" si="20"/>
        <v>0</v>
      </c>
    </row>
    <row r="22" spans="1:122" x14ac:dyDescent="0.2">
      <c r="A22">
        <f t="shared" si="5"/>
        <v>20</v>
      </c>
      <c r="B22" s="49" t="str">
        <f>_xlfn.XLOOKUP(D22,Códigos_Propuestas!$B$4:$B$10,Códigos_Propuestas!$C$4:$C$10,"!",0,1)&amp;"__"&amp;
_xlfn.XLOOKUP(G22,Códigos_Propuestas!$E$4:$E$76,Códigos_Propuestas!$F$4:$F$76,"!",1)&amp;"__"&amp;
_xlfn.XLOOKUP(K22,Códigos_Propuestas!$I$4:$I$7,Códigos_Propuestas!$J$4:$J$7,"!",1)&amp;"__"&amp;
_xlfn.XLOOKUP(L22,Códigos_Propuestas!$O$4:$O$11,Códigos_Propuestas!$Q$4:$Q$11,"!",1)&amp;"__"&amp;
_xlfn.XLOOKUP(E22,Códigos_Propuestas!$BF:$BF,Códigos_Propuestas!$BH:$BH,"!",0,1)</f>
        <v>USA__IEL__UG__MOP__!</v>
      </c>
      <c r="C22" s="47">
        <f t="shared" si="21"/>
        <v>20</v>
      </c>
      <c r="D22" s="11" t="s">
        <v>136</v>
      </c>
      <c r="E22" s="12" t="s">
        <v>512</v>
      </c>
      <c r="F22" s="12"/>
      <c r="G22" s="13" t="s">
        <v>368</v>
      </c>
      <c r="H22" s="13" t="s">
        <v>513</v>
      </c>
      <c r="I22" s="13" t="s">
        <v>42</v>
      </c>
      <c r="J22" s="17" t="s">
        <v>44</v>
      </c>
      <c r="K22" s="13" t="s">
        <v>65</v>
      </c>
      <c r="L22" s="14" t="s">
        <v>600</v>
      </c>
      <c r="M22" s="14"/>
      <c r="N22" s="14"/>
      <c r="O22" s="14"/>
      <c r="P22" s="14"/>
      <c r="Q22" s="14"/>
      <c r="R22" s="14"/>
      <c r="S22" s="13"/>
      <c r="T22" s="13"/>
      <c r="U22" s="116">
        <f t="shared" ca="1" si="6"/>
        <v>0</v>
      </c>
      <c r="V22" s="13" t="str">
        <f t="shared" ca="1" si="7"/>
        <v/>
      </c>
      <c r="W22" s="14"/>
      <c r="X22" s="115"/>
      <c r="Y22" s="130" t="b">
        <v>1</v>
      </c>
      <c r="Z22" s="115"/>
      <c r="AA22" s="130" t="b">
        <v>0</v>
      </c>
      <c r="AB22" s="115"/>
      <c r="AC22" s="130" t="b">
        <v>0</v>
      </c>
      <c r="AD22" s="13"/>
      <c r="AE22" s="13"/>
      <c r="AF22" s="130" t="b">
        <v>0</v>
      </c>
      <c r="AG22" s="13"/>
      <c r="AH22" s="130" t="b">
        <v>0</v>
      </c>
      <c r="AI22" s="13"/>
      <c r="AJ22" s="130" t="b">
        <v>0</v>
      </c>
      <c r="AK22" s="13"/>
      <c r="AL22" s="130" t="b">
        <v>0</v>
      </c>
      <c r="AM22" s="13"/>
      <c r="AN22" s="13"/>
      <c r="AO22" s="130" t="b">
        <v>0</v>
      </c>
      <c r="AP22" s="130" t="b">
        <v>0</v>
      </c>
      <c r="AQ22" s="130" t="b">
        <v>0</v>
      </c>
      <c r="AR22" s="130" t="b">
        <v>0</v>
      </c>
      <c r="AS22" s="130" t="b">
        <v>0</v>
      </c>
      <c r="AT22" s="11"/>
      <c r="AU22" s="11"/>
      <c r="AV22" s="11"/>
      <c r="AW22" s="11"/>
      <c r="AX22" s="11"/>
      <c r="AY22" s="107"/>
      <c r="AZ22" s="97"/>
      <c r="BA22" s="97"/>
      <c r="BB22" s="13"/>
      <c r="BC22" s="108"/>
      <c r="BD22" s="108"/>
      <c r="BE22" s="15">
        <f t="shared" si="8"/>
        <v>0</v>
      </c>
      <c r="BF22" s="18"/>
      <c r="BG22" s="18"/>
      <c r="BH22" s="16"/>
      <c r="BI22" s="19">
        <f t="shared" si="9"/>
        <v>0</v>
      </c>
      <c r="BJ22" s="19">
        <f t="shared" si="10"/>
        <v>0</v>
      </c>
      <c r="BK22" s="20">
        <f t="shared" si="22"/>
        <v>32</v>
      </c>
      <c r="BL22" s="21" t="str">
        <f t="shared" si="23"/>
        <v/>
      </c>
      <c r="BM22" s="111">
        <f t="shared" si="24"/>
        <v>32</v>
      </c>
      <c r="BN22" s="112" t="str">
        <f t="shared" si="25"/>
        <v/>
      </c>
      <c r="BP22" s="27">
        <f t="shared" si="26"/>
        <v>0</v>
      </c>
      <c r="BQ22" s="28">
        <f t="shared" si="26"/>
        <v>0</v>
      </c>
      <c r="BR22" s="28">
        <f t="shared" si="26"/>
        <v>0</v>
      </c>
      <c r="BS22" s="28">
        <f t="shared" si="26"/>
        <v>0</v>
      </c>
      <c r="BT22" s="28">
        <f t="shared" si="26"/>
        <v>0</v>
      </c>
      <c r="BU22" s="28">
        <f t="shared" si="26"/>
        <v>0</v>
      </c>
      <c r="BV22" s="28">
        <f t="shared" si="26"/>
        <v>0</v>
      </c>
      <c r="BW22" s="28">
        <f t="shared" si="26"/>
        <v>0</v>
      </c>
      <c r="BX22" s="28">
        <f t="shared" si="26"/>
        <v>0</v>
      </c>
      <c r="BY22" s="28">
        <f t="shared" si="26"/>
        <v>0</v>
      </c>
      <c r="BZ22" s="28">
        <f t="shared" si="26"/>
        <v>0</v>
      </c>
      <c r="CA22" s="29">
        <f t="shared" si="26"/>
        <v>0</v>
      </c>
      <c r="CB22" s="30">
        <f t="shared" si="14"/>
        <v>0</v>
      </c>
      <c r="CD22" s="27">
        <f t="shared" si="27"/>
        <v>0</v>
      </c>
      <c r="CE22" s="28">
        <f t="shared" si="27"/>
        <v>0</v>
      </c>
      <c r="CF22" s="28">
        <f t="shared" si="27"/>
        <v>0</v>
      </c>
      <c r="CG22" s="28">
        <f t="shared" si="27"/>
        <v>0</v>
      </c>
      <c r="CH22" s="28">
        <f t="shared" si="27"/>
        <v>0</v>
      </c>
      <c r="CI22" s="28">
        <f t="shared" si="27"/>
        <v>0</v>
      </c>
      <c r="CJ22" s="28">
        <f t="shared" si="27"/>
        <v>0</v>
      </c>
      <c r="CK22" s="28">
        <f t="shared" si="27"/>
        <v>0</v>
      </c>
      <c r="CL22" s="28">
        <f t="shared" si="27"/>
        <v>0</v>
      </c>
      <c r="CM22" s="28">
        <f t="shared" si="27"/>
        <v>0</v>
      </c>
      <c r="CN22" s="28">
        <f t="shared" si="27"/>
        <v>0</v>
      </c>
      <c r="CO22" s="29">
        <f t="shared" si="27"/>
        <v>0</v>
      </c>
      <c r="CP22" s="30">
        <f t="shared" si="16"/>
        <v>0</v>
      </c>
      <c r="CR22" s="27">
        <f t="shared" si="28"/>
        <v>0</v>
      </c>
      <c r="CS22" s="28">
        <f t="shared" si="28"/>
        <v>0</v>
      </c>
      <c r="CT22" s="28">
        <f t="shared" si="28"/>
        <v>0</v>
      </c>
      <c r="CU22" s="28">
        <f t="shared" si="28"/>
        <v>0</v>
      </c>
      <c r="CV22" s="28">
        <f t="shared" si="28"/>
        <v>0</v>
      </c>
      <c r="CW22" s="28">
        <f t="shared" si="28"/>
        <v>0</v>
      </c>
      <c r="CX22" s="28">
        <f t="shared" si="28"/>
        <v>0</v>
      </c>
      <c r="CY22" s="28">
        <f t="shared" si="28"/>
        <v>0</v>
      </c>
      <c r="CZ22" s="28">
        <f t="shared" si="28"/>
        <v>0</v>
      </c>
      <c r="DA22" s="28">
        <f t="shared" si="28"/>
        <v>0</v>
      </c>
      <c r="DB22" s="28">
        <f t="shared" si="28"/>
        <v>0</v>
      </c>
      <c r="DC22" s="29">
        <f t="shared" si="28"/>
        <v>0</v>
      </c>
      <c r="DD22" s="30">
        <f t="shared" si="18"/>
        <v>0</v>
      </c>
      <c r="DF22" s="27">
        <f t="shared" si="29"/>
        <v>0</v>
      </c>
      <c r="DG22" s="28">
        <f t="shared" si="29"/>
        <v>0</v>
      </c>
      <c r="DH22" s="28">
        <f t="shared" si="29"/>
        <v>0</v>
      </c>
      <c r="DI22" s="28">
        <f t="shared" si="29"/>
        <v>0</v>
      </c>
      <c r="DJ22" s="28">
        <f t="shared" si="29"/>
        <v>0</v>
      </c>
      <c r="DK22" s="28">
        <f t="shared" si="29"/>
        <v>0</v>
      </c>
      <c r="DL22" s="28">
        <f t="shared" si="29"/>
        <v>0</v>
      </c>
      <c r="DM22" s="28">
        <f t="shared" si="29"/>
        <v>0</v>
      </c>
      <c r="DN22" s="28">
        <f t="shared" si="29"/>
        <v>0</v>
      </c>
      <c r="DO22" s="28">
        <f t="shared" si="29"/>
        <v>0</v>
      </c>
      <c r="DP22" s="28">
        <f t="shared" si="29"/>
        <v>0</v>
      </c>
      <c r="DQ22" s="29">
        <f t="shared" si="29"/>
        <v>0</v>
      </c>
      <c r="DR22" s="30">
        <f t="shared" si="20"/>
        <v>0</v>
      </c>
    </row>
    <row r="23" spans="1:122" x14ac:dyDescent="0.2">
      <c r="A23">
        <f t="shared" si="5"/>
        <v>19</v>
      </c>
      <c r="B23" s="49" t="str">
        <f>_xlfn.XLOOKUP(D23,Códigos_Propuestas!$B$4:$B$10,Códigos_Propuestas!$C$4:$C$10,"!",0,1)&amp;"__"&amp;
_xlfn.XLOOKUP(G23,Códigos_Propuestas!$E$4:$E$76,Códigos_Propuestas!$F$4:$F$76,"!",1)&amp;"__"&amp;
_xlfn.XLOOKUP(K23,Códigos_Propuestas!$I$4:$I$7,Códigos_Propuestas!$J$4:$J$7,"!",1)&amp;"__"&amp;
_xlfn.XLOOKUP(L23,Códigos_Propuestas!$O$4:$O$11,Códigos_Propuestas!$Q$4:$Q$11,"!",1)&amp;"__"&amp;
_xlfn.XLOOKUP(E23,Códigos_Propuestas!$BF:$BF,Códigos_Propuestas!$BH:$BH,"!",0,1)</f>
        <v>CH__AMS__UG__MOP__!</v>
      </c>
      <c r="C23" s="47">
        <f t="shared" si="21"/>
        <v>21</v>
      </c>
      <c r="D23" s="11" t="s">
        <v>32</v>
      </c>
      <c r="E23" s="12" t="s">
        <v>514</v>
      </c>
      <c r="F23" s="12"/>
      <c r="G23" s="13" t="s">
        <v>162</v>
      </c>
      <c r="H23" s="13" t="s">
        <v>515</v>
      </c>
      <c r="I23" s="13" t="s">
        <v>70</v>
      </c>
      <c r="J23" s="17" t="s">
        <v>72</v>
      </c>
      <c r="K23" s="13" t="s">
        <v>65</v>
      </c>
      <c r="L23" s="14" t="s">
        <v>600</v>
      </c>
      <c r="M23" s="14" t="s">
        <v>51</v>
      </c>
      <c r="N23" s="14"/>
      <c r="O23" s="14" t="s">
        <v>37</v>
      </c>
      <c r="P23" s="14" t="s">
        <v>118</v>
      </c>
      <c r="Q23" s="14"/>
      <c r="R23" s="14"/>
      <c r="S23" s="13"/>
      <c r="T23" s="115">
        <v>46007</v>
      </c>
      <c r="U23" s="116">
        <f t="shared" ca="1" si="6"/>
        <v>202</v>
      </c>
      <c r="V23" s="13" t="str">
        <f ca="1">IF(U23&gt;=30,"!","")</f>
        <v>!</v>
      </c>
      <c r="W23" s="14"/>
      <c r="X23" s="115"/>
      <c r="Y23" s="130" t="b">
        <v>1</v>
      </c>
      <c r="Z23" s="115"/>
      <c r="AA23" s="130" t="b">
        <v>1</v>
      </c>
      <c r="AB23" s="115"/>
      <c r="AC23" s="130" t="b">
        <v>1</v>
      </c>
      <c r="AD23" s="13"/>
      <c r="AE23" s="13"/>
      <c r="AF23" s="130" t="b">
        <v>0</v>
      </c>
      <c r="AG23" s="13"/>
      <c r="AH23" s="130" t="b">
        <v>0</v>
      </c>
      <c r="AI23" s="13"/>
      <c r="AJ23" s="130" t="b">
        <v>0</v>
      </c>
      <c r="AK23" s="13"/>
      <c r="AL23" s="130" t="b">
        <v>0</v>
      </c>
      <c r="AM23" s="13"/>
      <c r="AN23" s="13"/>
      <c r="AO23" s="130" t="b">
        <v>0</v>
      </c>
      <c r="AP23" s="130" t="b">
        <v>0</v>
      </c>
      <c r="AQ23" s="130" t="b">
        <v>0</v>
      </c>
      <c r="AR23" s="130" t="b">
        <v>0</v>
      </c>
      <c r="AS23" s="130" t="b">
        <v>0</v>
      </c>
      <c r="AT23" s="11"/>
      <c r="AU23" s="11"/>
      <c r="AV23" s="11"/>
      <c r="AW23" s="11"/>
      <c r="AX23" s="11"/>
      <c r="AY23" s="107"/>
      <c r="AZ23" s="97">
        <v>300000</v>
      </c>
      <c r="BA23" s="97">
        <v>1200000</v>
      </c>
      <c r="BB23" s="13">
        <v>6</v>
      </c>
      <c r="BC23" s="108">
        <v>0.3</v>
      </c>
      <c r="BD23" s="108">
        <v>0.3</v>
      </c>
      <c r="BE23" s="15">
        <f t="shared" si="8"/>
        <v>0.09</v>
      </c>
      <c r="BF23" s="18"/>
      <c r="BG23" s="18"/>
      <c r="BH23" s="16">
        <v>42644</v>
      </c>
      <c r="BI23" s="19">
        <f t="shared" si="9"/>
        <v>27000</v>
      </c>
      <c r="BJ23" s="19">
        <f t="shared" si="10"/>
        <v>108000</v>
      </c>
      <c r="BK23" s="20">
        <f t="shared" si="22"/>
        <v>42675</v>
      </c>
      <c r="BL23" s="21">
        <f t="shared" si="23"/>
        <v>42826</v>
      </c>
      <c r="BM23" s="111">
        <f t="shared" si="24"/>
        <v>42675</v>
      </c>
      <c r="BN23" s="112">
        <f t="shared" si="25"/>
        <v>42826</v>
      </c>
      <c r="BP23" s="27">
        <f t="shared" si="26"/>
        <v>0</v>
      </c>
      <c r="BQ23" s="28">
        <f t="shared" si="26"/>
        <v>0</v>
      </c>
      <c r="BR23" s="28">
        <f t="shared" si="26"/>
        <v>0</v>
      </c>
      <c r="BS23" s="28">
        <f t="shared" si="26"/>
        <v>0</v>
      </c>
      <c r="BT23" s="28">
        <f t="shared" si="26"/>
        <v>0</v>
      </c>
      <c r="BU23" s="28">
        <f t="shared" si="26"/>
        <v>0</v>
      </c>
      <c r="BV23" s="28">
        <f t="shared" si="26"/>
        <v>0</v>
      </c>
      <c r="BW23" s="28">
        <f t="shared" si="26"/>
        <v>0</v>
      </c>
      <c r="BX23" s="28">
        <f t="shared" si="26"/>
        <v>0</v>
      </c>
      <c r="BY23" s="28">
        <f t="shared" si="26"/>
        <v>0</v>
      </c>
      <c r="BZ23" s="28">
        <f t="shared" si="26"/>
        <v>0</v>
      </c>
      <c r="CA23" s="29">
        <f t="shared" si="26"/>
        <v>0</v>
      </c>
      <c r="CB23" s="30">
        <f t="shared" si="14"/>
        <v>0</v>
      </c>
      <c r="CD23" s="27">
        <f t="shared" si="27"/>
        <v>0</v>
      </c>
      <c r="CE23" s="28">
        <f t="shared" si="27"/>
        <v>0</v>
      </c>
      <c r="CF23" s="28">
        <f t="shared" si="27"/>
        <v>0</v>
      </c>
      <c r="CG23" s="28">
        <f t="shared" si="27"/>
        <v>0</v>
      </c>
      <c r="CH23" s="28">
        <f t="shared" si="27"/>
        <v>0</v>
      </c>
      <c r="CI23" s="28">
        <f t="shared" si="27"/>
        <v>0</v>
      </c>
      <c r="CJ23" s="28">
        <f t="shared" si="27"/>
        <v>0</v>
      </c>
      <c r="CK23" s="28">
        <f t="shared" si="27"/>
        <v>0</v>
      </c>
      <c r="CL23" s="28">
        <f t="shared" si="27"/>
        <v>0</v>
      </c>
      <c r="CM23" s="28">
        <f t="shared" si="27"/>
        <v>0</v>
      </c>
      <c r="CN23" s="28">
        <f t="shared" si="27"/>
        <v>0</v>
      </c>
      <c r="CO23" s="29">
        <f t="shared" si="27"/>
        <v>0</v>
      </c>
      <c r="CP23" s="30">
        <f t="shared" si="16"/>
        <v>0</v>
      </c>
      <c r="CR23" s="27">
        <f t="shared" si="28"/>
        <v>0</v>
      </c>
      <c r="CS23" s="28">
        <f t="shared" si="28"/>
        <v>0</v>
      </c>
      <c r="CT23" s="28">
        <f t="shared" si="28"/>
        <v>0</v>
      </c>
      <c r="CU23" s="28">
        <f t="shared" si="28"/>
        <v>0</v>
      </c>
      <c r="CV23" s="28">
        <f t="shared" si="28"/>
        <v>0</v>
      </c>
      <c r="CW23" s="28">
        <f t="shared" si="28"/>
        <v>0</v>
      </c>
      <c r="CX23" s="28">
        <f t="shared" si="28"/>
        <v>0</v>
      </c>
      <c r="CY23" s="28">
        <f t="shared" si="28"/>
        <v>0</v>
      </c>
      <c r="CZ23" s="28">
        <f t="shared" si="28"/>
        <v>0</v>
      </c>
      <c r="DA23" s="28">
        <f t="shared" si="28"/>
        <v>0</v>
      </c>
      <c r="DB23" s="28">
        <f t="shared" si="28"/>
        <v>0</v>
      </c>
      <c r="DC23" s="29">
        <f t="shared" si="28"/>
        <v>0</v>
      </c>
      <c r="DD23" s="30">
        <f t="shared" si="18"/>
        <v>0</v>
      </c>
      <c r="DF23" s="27">
        <f t="shared" si="29"/>
        <v>0</v>
      </c>
      <c r="DG23" s="28">
        <f t="shared" si="29"/>
        <v>0</v>
      </c>
      <c r="DH23" s="28">
        <f t="shared" si="29"/>
        <v>0</v>
      </c>
      <c r="DI23" s="28">
        <f t="shared" si="29"/>
        <v>0</v>
      </c>
      <c r="DJ23" s="28">
        <f t="shared" si="29"/>
        <v>0</v>
      </c>
      <c r="DK23" s="28">
        <f t="shared" si="29"/>
        <v>0</v>
      </c>
      <c r="DL23" s="28">
        <f t="shared" si="29"/>
        <v>0</v>
      </c>
      <c r="DM23" s="28">
        <f t="shared" si="29"/>
        <v>0</v>
      </c>
      <c r="DN23" s="28">
        <f t="shared" si="29"/>
        <v>0</v>
      </c>
      <c r="DO23" s="28">
        <f t="shared" si="29"/>
        <v>0</v>
      </c>
      <c r="DP23" s="28">
        <f t="shared" si="29"/>
        <v>0</v>
      </c>
      <c r="DQ23" s="29">
        <f t="shared" si="29"/>
        <v>0</v>
      </c>
      <c r="DR23" s="30">
        <f t="shared" si="20"/>
        <v>0</v>
      </c>
    </row>
    <row r="24" spans="1:122" x14ac:dyDescent="0.2">
      <c r="A24">
        <f t="shared" si="5"/>
        <v>12</v>
      </c>
      <c r="B24" s="49" t="str">
        <f>_xlfn.XLOOKUP(D24,Códigos_Propuestas!$B$4:$B$10,Códigos_Propuestas!$C$4:$C$10,"!",0,1)&amp;"__"&amp;
_xlfn.XLOOKUP(G24,Códigos_Propuestas!$E$4:$E$76,Códigos_Propuestas!$F$4:$F$76,"!",1)&amp;"__"&amp;
_xlfn.XLOOKUP(K24,Códigos_Propuestas!$I$4:$I$7,Códigos_Propuestas!$J$4:$J$7,"!",1)&amp;"__"&amp;
_xlfn.XLOOKUP(L24,Códigos_Propuestas!$O$4:$O$11,Códigos_Propuestas!$Q$4:$Q$11,"!",1)&amp;"__"&amp;
_xlfn.XLOOKUP(E24,Códigos_Propuestas!$BF:$BF,Códigos_Propuestas!$BH:$BH,"!",0,1)</f>
        <v>!__!__!__!__</v>
      </c>
      <c r="C24" s="47"/>
      <c r="D24" s="11"/>
      <c r="E24" s="12"/>
      <c r="F24" s="12"/>
      <c r="G24" s="13"/>
      <c r="H24" s="13"/>
      <c r="I24" s="13"/>
      <c r="J24" s="17"/>
      <c r="K24" s="13"/>
      <c r="L24" s="14"/>
      <c r="M24" s="14"/>
      <c r="N24" s="14"/>
      <c r="O24" s="14"/>
      <c r="P24" s="14"/>
      <c r="Q24" s="14"/>
      <c r="R24" s="14"/>
      <c r="S24" s="13"/>
      <c r="T24" s="13"/>
      <c r="U24" s="116">
        <f t="shared" ca="1" si="6"/>
        <v>0</v>
      </c>
      <c r="V24" s="13" t="str">
        <f t="shared" ca="1" si="7"/>
        <v/>
      </c>
      <c r="W24" s="14"/>
      <c r="X24" s="115"/>
      <c r="Y24" s="130" t="b">
        <v>0</v>
      </c>
      <c r="Z24" s="115"/>
      <c r="AA24" s="130" t="b">
        <v>0</v>
      </c>
      <c r="AB24" s="115"/>
      <c r="AC24" s="130" t="b">
        <v>0</v>
      </c>
      <c r="AD24" s="13"/>
      <c r="AE24" s="13"/>
      <c r="AF24" s="130" t="b">
        <v>0</v>
      </c>
      <c r="AG24" s="13"/>
      <c r="AH24" s="130" t="b">
        <v>0</v>
      </c>
      <c r="AI24" s="13"/>
      <c r="AJ24" s="130" t="b">
        <v>0</v>
      </c>
      <c r="AK24" s="13"/>
      <c r="AL24" s="130" t="b">
        <v>0</v>
      </c>
      <c r="AM24" s="13"/>
      <c r="AN24" s="13"/>
      <c r="AO24" s="130" t="b">
        <v>0</v>
      </c>
      <c r="AP24" s="130" t="b">
        <v>0</v>
      </c>
      <c r="AQ24" s="130" t="b">
        <v>0</v>
      </c>
      <c r="AR24" s="130" t="b">
        <v>0</v>
      </c>
      <c r="AS24" s="130" t="b">
        <v>0</v>
      </c>
      <c r="AT24" s="11"/>
      <c r="AU24" s="11"/>
      <c r="AV24" s="11"/>
      <c r="AW24" s="11"/>
      <c r="AX24" s="11"/>
      <c r="AY24" s="107"/>
      <c r="AZ24" s="97"/>
      <c r="BA24" s="97"/>
      <c r="BB24" s="13"/>
      <c r="BC24" s="108"/>
      <c r="BD24" s="108"/>
      <c r="BE24" s="15"/>
      <c r="BF24" s="18"/>
      <c r="BG24" s="18"/>
      <c r="BH24" s="16"/>
      <c r="BI24" s="19"/>
      <c r="BJ24" s="19"/>
      <c r="BK24" s="20"/>
      <c r="BL24" s="21"/>
      <c r="BM24" s="111"/>
      <c r="BN24" s="112"/>
      <c r="BP24" s="27">
        <f t="shared" si="26"/>
        <v>0</v>
      </c>
      <c r="BQ24" s="28">
        <f t="shared" si="26"/>
        <v>0</v>
      </c>
      <c r="BR24" s="28">
        <f t="shared" si="26"/>
        <v>0</v>
      </c>
      <c r="BS24" s="28">
        <f t="shared" si="26"/>
        <v>0</v>
      </c>
      <c r="BT24" s="28">
        <f t="shared" si="26"/>
        <v>0</v>
      </c>
      <c r="BU24" s="28">
        <f t="shared" si="26"/>
        <v>0</v>
      </c>
      <c r="BV24" s="28">
        <f t="shared" si="26"/>
        <v>0</v>
      </c>
      <c r="BW24" s="28">
        <f t="shared" si="26"/>
        <v>0</v>
      </c>
      <c r="BX24" s="28">
        <f t="shared" si="26"/>
        <v>0</v>
      </c>
      <c r="BY24" s="28">
        <f t="shared" si="26"/>
        <v>0</v>
      </c>
      <c r="BZ24" s="28">
        <f t="shared" si="26"/>
        <v>0</v>
      </c>
      <c r="CA24" s="29">
        <f t="shared" si="26"/>
        <v>0</v>
      </c>
      <c r="CB24" s="30">
        <f t="shared" si="14"/>
        <v>0</v>
      </c>
      <c r="CD24" s="27">
        <f t="shared" si="27"/>
        <v>0</v>
      </c>
      <c r="CE24" s="28">
        <f t="shared" si="27"/>
        <v>0</v>
      </c>
      <c r="CF24" s="28">
        <f t="shared" si="27"/>
        <v>0</v>
      </c>
      <c r="CG24" s="28">
        <f t="shared" si="27"/>
        <v>0</v>
      </c>
      <c r="CH24" s="28">
        <f t="shared" si="27"/>
        <v>0</v>
      </c>
      <c r="CI24" s="28">
        <f t="shared" si="27"/>
        <v>0</v>
      </c>
      <c r="CJ24" s="28">
        <f t="shared" si="27"/>
        <v>0</v>
      </c>
      <c r="CK24" s="28">
        <f t="shared" si="27"/>
        <v>0</v>
      </c>
      <c r="CL24" s="28">
        <f t="shared" si="27"/>
        <v>0</v>
      </c>
      <c r="CM24" s="28">
        <f t="shared" si="27"/>
        <v>0</v>
      </c>
      <c r="CN24" s="28">
        <f t="shared" si="27"/>
        <v>0</v>
      </c>
      <c r="CO24" s="29">
        <f t="shared" si="27"/>
        <v>0</v>
      </c>
      <c r="CP24" s="30">
        <f t="shared" si="16"/>
        <v>0</v>
      </c>
      <c r="CR24" s="27">
        <f t="shared" si="28"/>
        <v>0</v>
      </c>
      <c r="CS24" s="28">
        <f t="shared" si="28"/>
        <v>0</v>
      </c>
      <c r="CT24" s="28">
        <f t="shared" si="28"/>
        <v>0</v>
      </c>
      <c r="CU24" s="28">
        <f t="shared" si="28"/>
        <v>0</v>
      </c>
      <c r="CV24" s="28">
        <f t="shared" si="28"/>
        <v>0</v>
      </c>
      <c r="CW24" s="28">
        <f t="shared" si="28"/>
        <v>0</v>
      </c>
      <c r="CX24" s="28">
        <f t="shared" si="28"/>
        <v>0</v>
      </c>
      <c r="CY24" s="28">
        <f t="shared" si="28"/>
        <v>0</v>
      </c>
      <c r="CZ24" s="28">
        <f t="shared" si="28"/>
        <v>0</v>
      </c>
      <c r="DA24" s="28">
        <f t="shared" si="28"/>
        <v>0</v>
      </c>
      <c r="DB24" s="28">
        <f t="shared" si="28"/>
        <v>0</v>
      </c>
      <c r="DC24" s="29">
        <f t="shared" si="28"/>
        <v>0</v>
      </c>
      <c r="DD24" s="30">
        <f t="shared" si="18"/>
        <v>0</v>
      </c>
      <c r="DF24" s="27">
        <f t="shared" si="29"/>
        <v>0</v>
      </c>
      <c r="DG24" s="28">
        <f t="shared" si="29"/>
        <v>0</v>
      </c>
      <c r="DH24" s="28">
        <f t="shared" si="29"/>
        <v>0</v>
      </c>
      <c r="DI24" s="28">
        <f t="shared" si="29"/>
        <v>0</v>
      </c>
      <c r="DJ24" s="28">
        <f t="shared" si="29"/>
        <v>0</v>
      </c>
      <c r="DK24" s="28">
        <f t="shared" si="29"/>
        <v>0</v>
      </c>
      <c r="DL24" s="28">
        <f t="shared" si="29"/>
        <v>0</v>
      </c>
      <c r="DM24" s="28">
        <f t="shared" si="29"/>
        <v>0</v>
      </c>
      <c r="DN24" s="28">
        <f t="shared" si="29"/>
        <v>0</v>
      </c>
      <c r="DO24" s="28">
        <f t="shared" si="29"/>
        <v>0</v>
      </c>
      <c r="DP24" s="28">
        <f t="shared" si="29"/>
        <v>0</v>
      </c>
      <c r="DQ24" s="29">
        <f t="shared" si="29"/>
        <v>0</v>
      </c>
      <c r="DR24" s="30">
        <f t="shared" si="20"/>
        <v>0</v>
      </c>
    </row>
    <row r="25" spans="1:122" x14ac:dyDescent="0.2">
      <c r="A25">
        <f t="shared" si="5"/>
        <v>12</v>
      </c>
      <c r="B25" s="49" t="str">
        <f>_xlfn.XLOOKUP(D25,Códigos_Propuestas!$B$4:$B$10,Códigos_Propuestas!$C$4:$C$10,"!",0,1)&amp;"__"&amp;
_xlfn.XLOOKUP(G25,Códigos_Propuestas!$E$4:$E$76,Códigos_Propuestas!$F$4:$F$76,"!",1)&amp;"__"&amp;
_xlfn.XLOOKUP(K25,Códigos_Propuestas!$I$4:$I$7,Códigos_Propuestas!$J$4:$J$7,"!",1)&amp;"__"&amp;
_xlfn.XLOOKUP(L25,Códigos_Propuestas!$O$4:$O$11,Códigos_Propuestas!$Q$4:$Q$11,"!",1)&amp;"__"&amp;
_xlfn.XLOOKUP(E25,Códigos_Propuestas!$BF:$BF,Códigos_Propuestas!$BH:$BH,"!",0,1)</f>
        <v>!__!__!__!__</v>
      </c>
      <c r="C25" s="47"/>
      <c r="D25" s="11"/>
      <c r="E25" s="12"/>
      <c r="F25" s="12"/>
      <c r="G25" s="13"/>
      <c r="H25" s="13"/>
      <c r="I25" s="13"/>
      <c r="J25" s="17"/>
      <c r="K25" s="13"/>
      <c r="L25" s="14"/>
      <c r="M25" s="14"/>
      <c r="N25" s="14"/>
      <c r="O25" s="14"/>
      <c r="P25" s="14"/>
      <c r="Q25" s="14"/>
      <c r="R25" s="14"/>
      <c r="S25" s="13"/>
      <c r="T25" s="13"/>
      <c r="U25" s="116">
        <f t="shared" ca="1" si="6"/>
        <v>0</v>
      </c>
      <c r="V25" s="13" t="str">
        <f t="shared" ca="1" si="7"/>
        <v/>
      </c>
      <c r="W25" s="14"/>
      <c r="X25" s="115"/>
      <c r="Y25" s="130" t="b">
        <v>0</v>
      </c>
      <c r="Z25" s="115"/>
      <c r="AA25" s="130" t="b">
        <v>0</v>
      </c>
      <c r="AB25" s="115"/>
      <c r="AC25" s="130" t="b">
        <v>0</v>
      </c>
      <c r="AD25" s="13"/>
      <c r="AE25" s="13"/>
      <c r="AF25" s="130" t="b">
        <v>0</v>
      </c>
      <c r="AG25" s="13"/>
      <c r="AH25" s="130" t="b">
        <v>0</v>
      </c>
      <c r="AI25" s="13"/>
      <c r="AJ25" s="130" t="b">
        <v>0</v>
      </c>
      <c r="AK25" s="13"/>
      <c r="AL25" s="130" t="b">
        <v>0</v>
      </c>
      <c r="AM25" s="13"/>
      <c r="AN25" s="13"/>
      <c r="AO25" s="130" t="b">
        <v>0</v>
      </c>
      <c r="AP25" s="130" t="b">
        <v>0</v>
      </c>
      <c r="AQ25" s="130" t="b">
        <v>0</v>
      </c>
      <c r="AR25" s="130" t="b">
        <v>0</v>
      </c>
      <c r="AS25" s="130" t="b">
        <v>0</v>
      </c>
      <c r="AT25" s="11"/>
      <c r="AU25" s="11"/>
      <c r="AV25" s="11"/>
      <c r="AW25" s="11"/>
      <c r="AX25" s="11"/>
      <c r="AY25" s="107"/>
      <c r="AZ25" s="97"/>
      <c r="BA25" s="97"/>
      <c r="BB25" s="13"/>
      <c r="BC25" s="108"/>
      <c r="BD25" s="108"/>
      <c r="BE25" s="15"/>
      <c r="BF25" s="18"/>
      <c r="BG25" s="18"/>
      <c r="BH25" s="16"/>
      <c r="BI25" s="19"/>
      <c r="BJ25" s="19"/>
      <c r="BK25" s="20"/>
      <c r="BL25" s="21"/>
      <c r="BM25" s="111"/>
      <c r="BN25" s="112"/>
      <c r="BP25" s="27">
        <f t="shared" si="26"/>
        <v>0</v>
      </c>
      <c r="BQ25" s="28">
        <f t="shared" si="26"/>
        <v>0</v>
      </c>
      <c r="BR25" s="28">
        <f t="shared" si="26"/>
        <v>0</v>
      </c>
      <c r="BS25" s="28">
        <f t="shared" si="26"/>
        <v>0</v>
      </c>
      <c r="BT25" s="28">
        <f t="shared" si="26"/>
        <v>0</v>
      </c>
      <c r="BU25" s="28">
        <f t="shared" si="26"/>
        <v>0</v>
      </c>
      <c r="BV25" s="28">
        <f t="shared" si="26"/>
        <v>0</v>
      </c>
      <c r="BW25" s="28">
        <f t="shared" si="26"/>
        <v>0</v>
      </c>
      <c r="BX25" s="28">
        <f t="shared" si="26"/>
        <v>0</v>
      </c>
      <c r="BY25" s="28">
        <f t="shared" si="26"/>
        <v>0</v>
      </c>
      <c r="BZ25" s="28">
        <f t="shared" si="26"/>
        <v>0</v>
      </c>
      <c r="CA25" s="29">
        <f t="shared" si="26"/>
        <v>0</v>
      </c>
      <c r="CB25" s="30">
        <f t="shared" si="14"/>
        <v>0</v>
      </c>
      <c r="CD25" s="27">
        <f t="shared" si="27"/>
        <v>0</v>
      </c>
      <c r="CE25" s="28">
        <f t="shared" si="27"/>
        <v>0</v>
      </c>
      <c r="CF25" s="28">
        <f t="shared" si="27"/>
        <v>0</v>
      </c>
      <c r="CG25" s="28">
        <f t="shared" si="27"/>
        <v>0</v>
      </c>
      <c r="CH25" s="28">
        <f t="shared" si="27"/>
        <v>0</v>
      </c>
      <c r="CI25" s="28">
        <f t="shared" si="27"/>
        <v>0</v>
      </c>
      <c r="CJ25" s="28">
        <f t="shared" si="27"/>
        <v>0</v>
      </c>
      <c r="CK25" s="28">
        <f t="shared" si="27"/>
        <v>0</v>
      </c>
      <c r="CL25" s="28">
        <f t="shared" si="27"/>
        <v>0</v>
      </c>
      <c r="CM25" s="28">
        <f t="shared" si="27"/>
        <v>0</v>
      </c>
      <c r="CN25" s="28">
        <f t="shared" si="27"/>
        <v>0</v>
      </c>
      <c r="CO25" s="29">
        <f t="shared" si="27"/>
        <v>0</v>
      </c>
      <c r="CP25" s="30">
        <f t="shared" si="16"/>
        <v>0</v>
      </c>
      <c r="CR25" s="27">
        <f t="shared" si="28"/>
        <v>0</v>
      </c>
      <c r="CS25" s="28">
        <f t="shared" si="28"/>
        <v>0</v>
      </c>
      <c r="CT25" s="28">
        <f t="shared" si="28"/>
        <v>0</v>
      </c>
      <c r="CU25" s="28">
        <f t="shared" si="28"/>
        <v>0</v>
      </c>
      <c r="CV25" s="28">
        <f t="shared" si="28"/>
        <v>0</v>
      </c>
      <c r="CW25" s="28">
        <f t="shared" si="28"/>
        <v>0</v>
      </c>
      <c r="CX25" s="28">
        <f t="shared" si="28"/>
        <v>0</v>
      </c>
      <c r="CY25" s="28">
        <f t="shared" si="28"/>
        <v>0</v>
      </c>
      <c r="CZ25" s="28">
        <f t="shared" si="28"/>
        <v>0</v>
      </c>
      <c r="DA25" s="28">
        <f t="shared" si="28"/>
        <v>0</v>
      </c>
      <c r="DB25" s="28">
        <f t="shared" si="28"/>
        <v>0</v>
      </c>
      <c r="DC25" s="29">
        <f t="shared" si="28"/>
        <v>0</v>
      </c>
      <c r="DD25" s="30">
        <f t="shared" si="18"/>
        <v>0</v>
      </c>
      <c r="DF25" s="27">
        <f t="shared" si="29"/>
        <v>0</v>
      </c>
      <c r="DG25" s="28">
        <f t="shared" si="29"/>
        <v>0</v>
      </c>
      <c r="DH25" s="28">
        <f t="shared" si="29"/>
        <v>0</v>
      </c>
      <c r="DI25" s="28">
        <f t="shared" si="29"/>
        <v>0</v>
      </c>
      <c r="DJ25" s="28">
        <f t="shared" si="29"/>
        <v>0</v>
      </c>
      <c r="DK25" s="28">
        <f t="shared" si="29"/>
        <v>0</v>
      </c>
      <c r="DL25" s="28">
        <f t="shared" si="29"/>
        <v>0</v>
      </c>
      <c r="DM25" s="28">
        <f t="shared" si="29"/>
        <v>0</v>
      </c>
      <c r="DN25" s="28">
        <f t="shared" si="29"/>
        <v>0</v>
      </c>
      <c r="DO25" s="28">
        <f t="shared" si="29"/>
        <v>0</v>
      </c>
      <c r="DP25" s="28">
        <f t="shared" si="29"/>
        <v>0</v>
      </c>
      <c r="DQ25" s="29">
        <f t="shared" si="29"/>
        <v>0</v>
      </c>
      <c r="DR25" s="30">
        <f t="shared" si="20"/>
        <v>0</v>
      </c>
    </row>
    <row r="26" spans="1:122" x14ac:dyDescent="0.2">
      <c r="A26">
        <f t="shared" si="5"/>
        <v>12</v>
      </c>
      <c r="B26" s="49" t="str">
        <f>_xlfn.XLOOKUP(D26,Códigos_Propuestas!$B$4:$B$10,Códigos_Propuestas!$C$4:$C$10,"!",0,1)&amp;"__"&amp;
_xlfn.XLOOKUP(G26,Códigos_Propuestas!$E$4:$E$76,Códigos_Propuestas!$F$4:$F$76,"!",1)&amp;"__"&amp;
_xlfn.XLOOKUP(K26,Códigos_Propuestas!$I$4:$I$7,Códigos_Propuestas!$J$4:$J$7,"!",1)&amp;"__"&amp;
_xlfn.XLOOKUP(L26,Códigos_Propuestas!$O$4:$O$11,Códigos_Propuestas!$Q$4:$Q$11,"!",1)&amp;"__"&amp;
_xlfn.XLOOKUP(E26,Códigos_Propuestas!$BF:$BF,Códigos_Propuestas!$BH:$BH,"!",0,1)</f>
        <v>!__!__!__!__</v>
      </c>
      <c r="C26" s="47"/>
      <c r="D26" s="11"/>
      <c r="E26" s="12"/>
      <c r="F26" s="12"/>
      <c r="G26" s="13"/>
      <c r="H26" s="13"/>
      <c r="I26" s="13"/>
      <c r="J26" s="17"/>
      <c r="K26" s="13"/>
      <c r="L26" s="14"/>
      <c r="M26" s="14"/>
      <c r="N26" s="14"/>
      <c r="O26" s="14"/>
      <c r="P26" s="14"/>
      <c r="Q26" s="14"/>
      <c r="R26" s="14"/>
      <c r="S26" s="13"/>
      <c r="T26" s="13"/>
      <c r="U26" s="116">
        <f t="shared" ca="1" si="6"/>
        <v>0</v>
      </c>
      <c r="V26" s="13" t="str">
        <f t="shared" ca="1" si="7"/>
        <v/>
      </c>
      <c r="W26" s="14"/>
      <c r="X26" s="115"/>
      <c r="Y26" s="130" t="b">
        <v>0</v>
      </c>
      <c r="Z26" s="115"/>
      <c r="AA26" s="130" t="b">
        <v>0</v>
      </c>
      <c r="AB26" s="115"/>
      <c r="AC26" s="130" t="b">
        <v>0</v>
      </c>
      <c r="AD26" s="13"/>
      <c r="AE26" s="13"/>
      <c r="AF26" s="130" t="b">
        <v>0</v>
      </c>
      <c r="AG26" s="13"/>
      <c r="AH26" s="130" t="b">
        <v>0</v>
      </c>
      <c r="AI26" s="13"/>
      <c r="AJ26" s="130" t="b">
        <v>0</v>
      </c>
      <c r="AK26" s="13"/>
      <c r="AL26" s="130" t="b">
        <v>0</v>
      </c>
      <c r="AM26" s="13"/>
      <c r="AN26" s="13"/>
      <c r="AO26" s="130" t="b">
        <v>0</v>
      </c>
      <c r="AP26" s="130" t="b">
        <v>0</v>
      </c>
      <c r="AQ26" s="130" t="b">
        <v>0</v>
      </c>
      <c r="AR26" s="130" t="b">
        <v>0</v>
      </c>
      <c r="AS26" s="130" t="b">
        <v>0</v>
      </c>
      <c r="AT26" s="11"/>
      <c r="AU26" s="11"/>
      <c r="AV26" s="11"/>
      <c r="AW26" s="11"/>
      <c r="AX26" s="11"/>
      <c r="AY26" s="107"/>
      <c r="AZ26" s="97"/>
      <c r="BA26" s="97"/>
      <c r="BB26" s="13"/>
      <c r="BC26" s="108"/>
      <c r="BD26" s="108"/>
      <c r="BE26" s="15"/>
      <c r="BF26" s="18"/>
      <c r="BG26" s="18"/>
      <c r="BH26" s="16"/>
      <c r="BI26" s="19"/>
      <c r="BJ26" s="19"/>
      <c r="BK26" s="20"/>
      <c r="BL26" s="21"/>
      <c r="BM26" s="111"/>
      <c r="BN26" s="112"/>
      <c r="BP26" s="27">
        <f t="shared" si="26"/>
        <v>0</v>
      </c>
      <c r="BQ26" s="28">
        <f t="shared" si="26"/>
        <v>0</v>
      </c>
      <c r="BR26" s="28">
        <f t="shared" si="26"/>
        <v>0</v>
      </c>
      <c r="BS26" s="28">
        <f t="shared" si="26"/>
        <v>0</v>
      </c>
      <c r="BT26" s="28">
        <f t="shared" si="26"/>
        <v>0</v>
      </c>
      <c r="BU26" s="28">
        <f t="shared" si="26"/>
        <v>0</v>
      </c>
      <c r="BV26" s="28">
        <f t="shared" si="26"/>
        <v>0</v>
      </c>
      <c r="BW26" s="28">
        <f t="shared" si="26"/>
        <v>0</v>
      </c>
      <c r="BX26" s="28">
        <f t="shared" si="26"/>
        <v>0</v>
      </c>
      <c r="BY26" s="28">
        <f t="shared" si="26"/>
        <v>0</v>
      </c>
      <c r="BZ26" s="28">
        <f t="shared" si="26"/>
        <v>0</v>
      </c>
      <c r="CA26" s="29">
        <f t="shared" si="26"/>
        <v>0</v>
      </c>
      <c r="CB26" s="30">
        <f t="shared" si="14"/>
        <v>0</v>
      </c>
      <c r="CD26" s="27">
        <f t="shared" si="27"/>
        <v>0</v>
      </c>
      <c r="CE26" s="28">
        <f t="shared" si="27"/>
        <v>0</v>
      </c>
      <c r="CF26" s="28">
        <f t="shared" si="27"/>
        <v>0</v>
      </c>
      <c r="CG26" s="28">
        <f t="shared" si="27"/>
        <v>0</v>
      </c>
      <c r="CH26" s="28">
        <f t="shared" si="27"/>
        <v>0</v>
      </c>
      <c r="CI26" s="28">
        <f t="shared" si="27"/>
        <v>0</v>
      </c>
      <c r="CJ26" s="28">
        <f t="shared" si="27"/>
        <v>0</v>
      </c>
      <c r="CK26" s="28">
        <f t="shared" si="27"/>
        <v>0</v>
      </c>
      <c r="CL26" s="28">
        <f t="shared" si="27"/>
        <v>0</v>
      </c>
      <c r="CM26" s="28">
        <f t="shared" si="27"/>
        <v>0</v>
      </c>
      <c r="CN26" s="28">
        <f t="shared" si="27"/>
        <v>0</v>
      </c>
      <c r="CO26" s="29">
        <f t="shared" si="27"/>
        <v>0</v>
      </c>
      <c r="CP26" s="30">
        <f t="shared" si="16"/>
        <v>0</v>
      </c>
      <c r="CR26" s="27">
        <f t="shared" si="28"/>
        <v>0</v>
      </c>
      <c r="CS26" s="28">
        <f t="shared" si="28"/>
        <v>0</v>
      </c>
      <c r="CT26" s="28">
        <f t="shared" si="28"/>
        <v>0</v>
      </c>
      <c r="CU26" s="28">
        <f t="shared" si="28"/>
        <v>0</v>
      </c>
      <c r="CV26" s="28">
        <f t="shared" si="28"/>
        <v>0</v>
      </c>
      <c r="CW26" s="28">
        <f t="shared" si="28"/>
        <v>0</v>
      </c>
      <c r="CX26" s="28">
        <f t="shared" si="28"/>
        <v>0</v>
      </c>
      <c r="CY26" s="28">
        <f t="shared" si="28"/>
        <v>0</v>
      </c>
      <c r="CZ26" s="28">
        <f t="shared" si="28"/>
        <v>0</v>
      </c>
      <c r="DA26" s="28">
        <f t="shared" si="28"/>
        <v>0</v>
      </c>
      <c r="DB26" s="28">
        <f t="shared" si="28"/>
        <v>0</v>
      </c>
      <c r="DC26" s="29">
        <f t="shared" si="28"/>
        <v>0</v>
      </c>
      <c r="DD26" s="30">
        <f t="shared" si="18"/>
        <v>0</v>
      </c>
      <c r="DF26" s="27">
        <f t="shared" si="29"/>
        <v>0</v>
      </c>
      <c r="DG26" s="28">
        <f t="shared" si="29"/>
        <v>0</v>
      </c>
      <c r="DH26" s="28">
        <f t="shared" si="29"/>
        <v>0</v>
      </c>
      <c r="DI26" s="28">
        <f t="shared" si="29"/>
        <v>0</v>
      </c>
      <c r="DJ26" s="28">
        <f t="shared" si="29"/>
        <v>0</v>
      </c>
      <c r="DK26" s="28">
        <f t="shared" si="29"/>
        <v>0</v>
      </c>
      <c r="DL26" s="28">
        <f t="shared" si="29"/>
        <v>0</v>
      </c>
      <c r="DM26" s="28">
        <f t="shared" si="29"/>
        <v>0</v>
      </c>
      <c r="DN26" s="28">
        <f t="shared" si="29"/>
        <v>0</v>
      </c>
      <c r="DO26" s="28">
        <f t="shared" si="29"/>
        <v>0</v>
      </c>
      <c r="DP26" s="28">
        <f t="shared" si="29"/>
        <v>0</v>
      </c>
      <c r="DQ26" s="29">
        <f t="shared" si="29"/>
        <v>0</v>
      </c>
      <c r="DR26" s="30">
        <f t="shared" si="20"/>
        <v>0</v>
      </c>
    </row>
    <row r="27" spans="1:122" x14ac:dyDescent="0.2">
      <c r="A27">
        <f t="shared" si="5"/>
        <v>12</v>
      </c>
      <c r="B27" s="49" t="str">
        <f>_xlfn.XLOOKUP(D27,Códigos_Propuestas!$B$4:$B$10,Códigos_Propuestas!$C$4:$C$10,"!",0,1)&amp;"__"&amp;
_xlfn.XLOOKUP(G27,Códigos_Propuestas!$E$4:$E$76,Códigos_Propuestas!$F$4:$F$76,"!",1)&amp;"__"&amp;
_xlfn.XLOOKUP(K27,Códigos_Propuestas!$I$4:$I$7,Códigos_Propuestas!$J$4:$J$7,"!",1)&amp;"__"&amp;
_xlfn.XLOOKUP(L27,Códigos_Propuestas!$O$4:$O$11,Códigos_Propuestas!$Q$4:$Q$11,"!",1)&amp;"__"&amp;
_xlfn.XLOOKUP(E27,Códigos_Propuestas!$BF:$BF,Códigos_Propuestas!$BH:$BH,"!",0,1)</f>
        <v>!__!__!__!__</v>
      </c>
      <c r="C27" s="47"/>
      <c r="D27" s="11"/>
      <c r="E27" s="12"/>
      <c r="F27" s="12"/>
      <c r="G27" s="13"/>
      <c r="H27" s="13"/>
      <c r="I27" s="13"/>
      <c r="J27" s="17"/>
      <c r="K27" s="13"/>
      <c r="L27" s="14"/>
      <c r="M27" s="14"/>
      <c r="N27" s="14"/>
      <c r="O27" s="14"/>
      <c r="P27" s="14"/>
      <c r="Q27" s="14"/>
      <c r="R27" s="14"/>
      <c r="S27" s="13"/>
      <c r="T27" s="13"/>
      <c r="U27" s="116">
        <f t="shared" ca="1" si="6"/>
        <v>0</v>
      </c>
      <c r="V27" s="13" t="str">
        <f t="shared" ca="1" si="7"/>
        <v/>
      </c>
      <c r="W27" s="14"/>
      <c r="X27" s="115"/>
      <c r="Y27" s="130" t="b">
        <v>0</v>
      </c>
      <c r="Z27" s="115"/>
      <c r="AA27" s="130" t="b">
        <v>0</v>
      </c>
      <c r="AB27" s="115"/>
      <c r="AC27" s="130" t="b">
        <v>0</v>
      </c>
      <c r="AD27" s="13"/>
      <c r="AE27" s="13"/>
      <c r="AF27" s="130" t="b">
        <v>0</v>
      </c>
      <c r="AG27" s="13"/>
      <c r="AH27" s="130" t="b">
        <v>0</v>
      </c>
      <c r="AI27" s="13"/>
      <c r="AJ27" s="130" t="b">
        <v>0</v>
      </c>
      <c r="AK27" s="13"/>
      <c r="AL27" s="130" t="b">
        <v>0</v>
      </c>
      <c r="AM27" s="13"/>
      <c r="AN27" s="13"/>
      <c r="AO27" s="130" t="b">
        <v>0</v>
      </c>
      <c r="AP27" s="130" t="b">
        <v>0</v>
      </c>
      <c r="AQ27" s="130" t="b">
        <v>0</v>
      </c>
      <c r="AR27" s="130" t="b">
        <v>0</v>
      </c>
      <c r="AS27" s="130" t="b">
        <v>0</v>
      </c>
      <c r="AT27" s="11"/>
      <c r="AU27" s="11"/>
      <c r="AV27" s="11"/>
      <c r="AW27" s="11"/>
      <c r="AX27" s="11"/>
      <c r="AY27" s="107"/>
      <c r="AZ27" s="97"/>
      <c r="BA27" s="97"/>
      <c r="BB27" s="13"/>
      <c r="BC27" s="108"/>
      <c r="BD27" s="108"/>
      <c r="BE27" s="15"/>
      <c r="BF27" s="18"/>
      <c r="BG27" s="18"/>
      <c r="BH27" s="16"/>
      <c r="BI27" s="19"/>
      <c r="BJ27" s="19"/>
      <c r="BK27" s="20"/>
      <c r="BL27" s="21"/>
      <c r="BM27" s="111"/>
      <c r="BN27" s="112"/>
      <c r="BP27" s="27">
        <f t="shared" si="26"/>
        <v>0</v>
      </c>
      <c r="BQ27" s="28">
        <f t="shared" si="26"/>
        <v>0</v>
      </c>
      <c r="BR27" s="28">
        <f t="shared" si="26"/>
        <v>0</v>
      </c>
      <c r="BS27" s="28">
        <f t="shared" si="26"/>
        <v>0</v>
      </c>
      <c r="BT27" s="28">
        <f t="shared" si="26"/>
        <v>0</v>
      </c>
      <c r="BU27" s="28">
        <f t="shared" si="26"/>
        <v>0</v>
      </c>
      <c r="BV27" s="28">
        <f t="shared" si="26"/>
        <v>0</v>
      </c>
      <c r="BW27" s="28">
        <f t="shared" si="26"/>
        <v>0</v>
      </c>
      <c r="BX27" s="28">
        <f t="shared" si="26"/>
        <v>0</v>
      </c>
      <c r="BY27" s="28">
        <f t="shared" si="26"/>
        <v>0</v>
      </c>
      <c r="BZ27" s="28">
        <f t="shared" si="26"/>
        <v>0</v>
      </c>
      <c r="CA27" s="29">
        <f t="shared" si="26"/>
        <v>0</v>
      </c>
      <c r="CB27" s="30">
        <f t="shared" si="14"/>
        <v>0</v>
      </c>
      <c r="CC27" s="94"/>
      <c r="CD27" s="27">
        <f t="shared" si="27"/>
        <v>0</v>
      </c>
      <c r="CE27" s="28">
        <f t="shared" si="27"/>
        <v>0</v>
      </c>
      <c r="CF27" s="28">
        <f t="shared" si="27"/>
        <v>0</v>
      </c>
      <c r="CG27" s="28">
        <f t="shared" si="27"/>
        <v>0</v>
      </c>
      <c r="CH27" s="28">
        <f t="shared" si="27"/>
        <v>0</v>
      </c>
      <c r="CI27" s="28">
        <f t="shared" si="27"/>
        <v>0</v>
      </c>
      <c r="CJ27" s="28">
        <f t="shared" si="27"/>
        <v>0</v>
      </c>
      <c r="CK27" s="28">
        <f t="shared" si="27"/>
        <v>0</v>
      </c>
      <c r="CL27" s="28">
        <f t="shared" si="27"/>
        <v>0</v>
      </c>
      <c r="CM27" s="28">
        <f t="shared" si="27"/>
        <v>0</v>
      </c>
      <c r="CN27" s="28">
        <f t="shared" si="27"/>
        <v>0</v>
      </c>
      <c r="CO27" s="29">
        <f t="shared" si="27"/>
        <v>0</v>
      </c>
      <c r="CP27" s="30">
        <f t="shared" si="16"/>
        <v>0</v>
      </c>
      <c r="CR27" s="27">
        <f t="shared" si="28"/>
        <v>0</v>
      </c>
      <c r="CS27" s="28">
        <f t="shared" si="28"/>
        <v>0</v>
      </c>
      <c r="CT27" s="28">
        <f t="shared" si="28"/>
        <v>0</v>
      </c>
      <c r="CU27" s="28">
        <f t="shared" si="28"/>
        <v>0</v>
      </c>
      <c r="CV27" s="28">
        <f t="shared" si="28"/>
        <v>0</v>
      </c>
      <c r="CW27" s="28">
        <f t="shared" si="28"/>
        <v>0</v>
      </c>
      <c r="CX27" s="28">
        <f t="shared" si="28"/>
        <v>0</v>
      </c>
      <c r="CY27" s="28">
        <f t="shared" si="28"/>
        <v>0</v>
      </c>
      <c r="CZ27" s="28">
        <f t="shared" si="28"/>
        <v>0</v>
      </c>
      <c r="DA27" s="28">
        <f t="shared" si="28"/>
        <v>0</v>
      </c>
      <c r="DB27" s="28">
        <f t="shared" si="28"/>
        <v>0</v>
      </c>
      <c r="DC27" s="29">
        <f t="shared" si="28"/>
        <v>0</v>
      </c>
      <c r="DD27" s="30">
        <f t="shared" si="18"/>
        <v>0</v>
      </c>
      <c r="DF27" s="27">
        <f t="shared" si="29"/>
        <v>0</v>
      </c>
      <c r="DG27" s="28">
        <f t="shared" si="29"/>
        <v>0</v>
      </c>
      <c r="DH27" s="28">
        <f t="shared" si="29"/>
        <v>0</v>
      </c>
      <c r="DI27" s="28">
        <f t="shared" si="29"/>
        <v>0</v>
      </c>
      <c r="DJ27" s="28">
        <f t="shared" si="29"/>
        <v>0</v>
      </c>
      <c r="DK27" s="28">
        <f t="shared" si="29"/>
        <v>0</v>
      </c>
      <c r="DL27" s="28">
        <f t="shared" si="29"/>
        <v>0</v>
      </c>
      <c r="DM27" s="28">
        <f t="shared" si="29"/>
        <v>0</v>
      </c>
      <c r="DN27" s="28">
        <f t="shared" si="29"/>
        <v>0</v>
      </c>
      <c r="DO27" s="28">
        <f t="shared" si="29"/>
        <v>0</v>
      </c>
      <c r="DP27" s="28">
        <f t="shared" si="29"/>
        <v>0</v>
      </c>
      <c r="DQ27" s="29">
        <f t="shared" si="29"/>
        <v>0</v>
      </c>
      <c r="DR27" s="30">
        <f t="shared" si="20"/>
        <v>0</v>
      </c>
    </row>
    <row r="28" spans="1:122" x14ac:dyDescent="0.2">
      <c r="A28">
        <f t="shared" si="5"/>
        <v>12</v>
      </c>
      <c r="B28" s="49" t="str">
        <f>_xlfn.XLOOKUP(D28,Códigos_Propuestas!$B$4:$B$10,Códigos_Propuestas!$C$4:$C$10,"!",0,1)&amp;"__"&amp;
_xlfn.XLOOKUP(G28,Códigos_Propuestas!$E$4:$E$76,Códigos_Propuestas!$F$4:$F$76,"!",1)&amp;"__"&amp;
_xlfn.XLOOKUP(K28,Códigos_Propuestas!$I$4:$I$7,Códigos_Propuestas!$J$4:$J$7,"!",1)&amp;"__"&amp;
_xlfn.XLOOKUP(L28,Códigos_Propuestas!$O$4:$O$11,Códigos_Propuestas!$Q$4:$Q$11,"!",1)&amp;"__"&amp;
_xlfn.XLOOKUP(E28,Códigos_Propuestas!$BF:$BF,Códigos_Propuestas!$BH:$BH,"!",0,1)</f>
        <v>!__!__!__!__</v>
      </c>
      <c r="C28" s="47"/>
      <c r="D28" s="11"/>
      <c r="E28" s="12"/>
      <c r="F28" s="12"/>
      <c r="G28" s="13"/>
      <c r="H28" s="13"/>
      <c r="I28" s="13"/>
      <c r="J28" s="17"/>
      <c r="K28" s="13"/>
      <c r="L28" s="14"/>
      <c r="M28" s="14"/>
      <c r="N28" s="14"/>
      <c r="O28" s="14"/>
      <c r="P28" s="14"/>
      <c r="Q28" s="14"/>
      <c r="R28" s="14"/>
      <c r="S28" s="13"/>
      <c r="T28" s="13"/>
      <c r="U28" s="116">
        <f t="shared" ca="1" si="6"/>
        <v>0</v>
      </c>
      <c r="V28" s="13" t="str">
        <f t="shared" ca="1" si="7"/>
        <v/>
      </c>
      <c r="W28" s="14"/>
      <c r="X28" s="115"/>
      <c r="Y28" s="130" t="b">
        <v>0</v>
      </c>
      <c r="Z28" s="115"/>
      <c r="AA28" s="130" t="b">
        <v>0</v>
      </c>
      <c r="AB28" s="115"/>
      <c r="AC28" s="130" t="b">
        <v>0</v>
      </c>
      <c r="AD28" s="13"/>
      <c r="AE28" s="13"/>
      <c r="AF28" s="130" t="b">
        <v>0</v>
      </c>
      <c r="AG28" s="13"/>
      <c r="AH28" s="130" t="b">
        <v>0</v>
      </c>
      <c r="AI28" s="13"/>
      <c r="AJ28" s="130" t="b">
        <v>0</v>
      </c>
      <c r="AK28" s="13"/>
      <c r="AL28" s="130" t="b">
        <v>0</v>
      </c>
      <c r="AM28" s="13"/>
      <c r="AN28" s="13"/>
      <c r="AO28" s="130" t="b">
        <v>0</v>
      </c>
      <c r="AP28" s="130" t="b">
        <v>0</v>
      </c>
      <c r="AQ28" s="130" t="b">
        <v>0</v>
      </c>
      <c r="AR28" s="130" t="b">
        <v>0</v>
      </c>
      <c r="AS28" s="130" t="b">
        <v>0</v>
      </c>
      <c r="AT28" s="11"/>
      <c r="AU28" s="11"/>
      <c r="AV28" s="11"/>
      <c r="AW28" s="11"/>
      <c r="AX28" s="11"/>
      <c r="AY28" s="107"/>
      <c r="AZ28" s="97"/>
      <c r="BA28" s="97"/>
      <c r="BB28" s="13"/>
      <c r="BC28" s="108"/>
      <c r="BD28" s="108"/>
      <c r="BE28" s="15"/>
      <c r="BF28" s="18"/>
      <c r="BG28" s="18"/>
      <c r="BH28" s="16"/>
      <c r="BI28" s="19"/>
      <c r="BJ28" s="19"/>
      <c r="BK28" s="20"/>
      <c r="BL28" s="21"/>
      <c r="BM28" s="111"/>
      <c r="BN28" s="112"/>
      <c r="BP28" s="27">
        <f t="shared" si="26"/>
        <v>0</v>
      </c>
      <c r="BQ28" s="28">
        <f t="shared" si="26"/>
        <v>0</v>
      </c>
      <c r="BR28" s="28">
        <f t="shared" si="26"/>
        <v>0</v>
      </c>
      <c r="BS28" s="28">
        <f t="shared" si="26"/>
        <v>0</v>
      </c>
      <c r="BT28" s="28">
        <f t="shared" si="26"/>
        <v>0</v>
      </c>
      <c r="BU28" s="28">
        <f t="shared" si="26"/>
        <v>0</v>
      </c>
      <c r="BV28" s="28">
        <f t="shared" si="26"/>
        <v>0</v>
      </c>
      <c r="BW28" s="28">
        <f t="shared" si="26"/>
        <v>0</v>
      </c>
      <c r="BX28" s="28">
        <f t="shared" si="26"/>
        <v>0</v>
      </c>
      <c r="BY28" s="28">
        <f t="shared" si="26"/>
        <v>0</v>
      </c>
      <c r="BZ28" s="28">
        <f t="shared" si="26"/>
        <v>0</v>
      </c>
      <c r="CA28" s="29">
        <f t="shared" si="26"/>
        <v>0</v>
      </c>
      <c r="CB28" s="30">
        <f t="shared" si="14"/>
        <v>0</v>
      </c>
      <c r="CC28" s="94"/>
      <c r="CD28" s="27">
        <f t="shared" si="27"/>
        <v>0</v>
      </c>
      <c r="CE28" s="28">
        <f t="shared" si="27"/>
        <v>0</v>
      </c>
      <c r="CF28" s="28">
        <f t="shared" si="27"/>
        <v>0</v>
      </c>
      <c r="CG28" s="28">
        <f t="shared" si="27"/>
        <v>0</v>
      </c>
      <c r="CH28" s="28">
        <f t="shared" si="27"/>
        <v>0</v>
      </c>
      <c r="CI28" s="28">
        <f t="shared" si="27"/>
        <v>0</v>
      </c>
      <c r="CJ28" s="28">
        <f t="shared" si="27"/>
        <v>0</v>
      </c>
      <c r="CK28" s="28">
        <f t="shared" si="27"/>
        <v>0</v>
      </c>
      <c r="CL28" s="28">
        <f t="shared" si="27"/>
        <v>0</v>
      </c>
      <c r="CM28" s="28">
        <f t="shared" si="27"/>
        <v>0</v>
      </c>
      <c r="CN28" s="28">
        <f t="shared" si="27"/>
        <v>0</v>
      </c>
      <c r="CO28" s="29">
        <f t="shared" si="27"/>
        <v>0</v>
      </c>
      <c r="CP28" s="30">
        <f t="shared" si="16"/>
        <v>0</v>
      </c>
      <c r="CR28" s="27">
        <f t="shared" si="28"/>
        <v>0</v>
      </c>
      <c r="CS28" s="28">
        <f t="shared" si="28"/>
        <v>0</v>
      </c>
      <c r="CT28" s="28">
        <f t="shared" si="28"/>
        <v>0</v>
      </c>
      <c r="CU28" s="28">
        <f t="shared" si="28"/>
        <v>0</v>
      </c>
      <c r="CV28" s="28">
        <f t="shared" si="28"/>
        <v>0</v>
      </c>
      <c r="CW28" s="28">
        <f t="shared" si="28"/>
        <v>0</v>
      </c>
      <c r="CX28" s="28">
        <f t="shared" si="28"/>
        <v>0</v>
      </c>
      <c r="CY28" s="28">
        <f t="shared" si="28"/>
        <v>0</v>
      </c>
      <c r="CZ28" s="28">
        <f t="shared" si="28"/>
        <v>0</v>
      </c>
      <c r="DA28" s="28">
        <f t="shared" si="28"/>
        <v>0</v>
      </c>
      <c r="DB28" s="28">
        <f t="shared" si="28"/>
        <v>0</v>
      </c>
      <c r="DC28" s="29">
        <f t="shared" si="28"/>
        <v>0</v>
      </c>
      <c r="DD28" s="30">
        <f t="shared" si="18"/>
        <v>0</v>
      </c>
      <c r="DF28" s="27">
        <f t="shared" si="29"/>
        <v>0</v>
      </c>
      <c r="DG28" s="28">
        <f t="shared" si="29"/>
        <v>0</v>
      </c>
      <c r="DH28" s="28">
        <f t="shared" si="29"/>
        <v>0</v>
      </c>
      <c r="DI28" s="28">
        <f t="shared" si="29"/>
        <v>0</v>
      </c>
      <c r="DJ28" s="28">
        <f t="shared" si="29"/>
        <v>0</v>
      </c>
      <c r="DK28" s="28">
        <f t="shared" si="29"/>
        <v>0</v>
      </c>
      <c r="DL28" s="28">
        <f t="shared" si="29"/>
        <v>0</v>
      </c>
      <c r="DM28" s="28">
        <f t="shared" si="29"/>
        <v>0</v>
      </c>
      <c r="DN28" s="28">
        <f t="shared" si="29"/>
        <v>0</v>
      </c>
      <c r="DO28" s="28">
        <f t="shared" si="29"/>
        <v>0</v>
      </c>
      <c r="DP28" s="28">
        <f t="shared" si="29"/>
        <v>0</v>
      </c>
      <c r="DQ28" s="29">
        <f t="shared" si="29"/>
        <v>0</v>
      </c>
      <c r="DR28" s="30">
        <f t="shared" si="20"/>
        <v>0</v>
      </c>
    </row>
    <row r="29" spans="1:122" x14ac:dyDescent="0.2">
      <c r="A29">
        <f t="shared" si="5"/>
        <v>12</v>
      </c>
      <c r="B29" s="49" t="str">
        <f>_xlfn.XLOOKUP(D29,Códigos_Propuestas!$B$4:$B$10,Códigos_Propuestas!$C$4:$C$10,"!",0,1)&amp;"__"&amp;
_xlfn.XLOOKUP(G29,Códigos_Propuestas!$E$4:$E$76,Códigos_Propuestas!$F$4:$F$76,"!",1)&amp;"__"&amp;
_xlfn.XLOOKUP(K29,Códigos_Propuestas!$I$4:$I$7,Códigos_Propuestas!$J$4:$J$7,"!",1)&amp;"__"&amp;
_xlfn.XLOOKUP(L29,Códigos_Propuestas!$O$4:$O$11,Códigos_Propuestas!$Q$4:$Q$11,"!",1)&amp;"__"&amp;
_xlfn.XLOOKUP(E29,Códigos_Propuestas!$BF:$BF,Códigos_Propuestas!$BH:$BH,"!",0,1)</f>
        <v>!__!__!__!__</v>
      </c>
      <c r="C29" s="47"/>
      <c r="D29" s="11"/>
      <c r="E29" s="12"/>
      <c r="F29" s="12"/>
      <c r="G29" s="13"/>
      <c r="H29" s="13"/>
      <c r="I29" s="13"/>
      <c r="J29" s="17"/>
      <c r="K29" s="13"/>
      <c r="L29" s="14"/>
      <c r="M29" s="14"/>
      <c r="N29" s="14"/>
      <c r="O29" s="14"/>
      <c r="P29" s="14"/>
      <c r="Q29" s="14"/>
      <c r="R29" s="14"/>
      <c r="S29" s="13"/>
      <c r="T29" s="13"/>
      <c r="U29" s="116">
        <f t="shared" ca="1" si="6"/>
        <v>0</v>
      </c>
      <c r="V29" s="13" t="str">
        <f t="shared" ca="1" si="7"/>
        <v/>
      </c>
      <c r="W29" s="14"/>
      <c r="X29" s="115"/>
      <c r="Y29" s="130" t="b">
        <v>0</v>
      </c>
      <c r="Z29" s="115"/>
      <c r="AA29" s="130" t="b">
        <v>0</v>
      </c>
      <c r="AB29" s="115"/>
      <c r="AC29" s="130" t="b">
        <v>0</v>
      </c>
      <c r="AD29" s="13"/>
      <c r="AE29" s="13"/>
      <c r="AF29" s="130" t="b">
        <v>0</v>
      </c>
      <c r="AG29" s="13"/>
      <c r="AH29" s="130" t="b">
        <v>0</v>
      </c>
      <c r="AI29" s="13"/>
      <c r="AJ29" s="130" t="b">
        <v>0</v>
      </c>
      <c r="AK29" s="13"/>
      <c r="AL29" s="130" t="b">
        <v>0</v>
      </c>
      <c r="AM29" s="13"/>
      <c r="AN29" s="13"/>
      <c r="AO29" s="130" t="b">
        <v>0</v>
      </c>
      <c r="AP29" s="130" t="b">
        <v>0</v>
      </c>
      <c r="AQ29" s="130" t="b">
        <v>0</v>
      </c>
      <c r="AR29" s="130" t="b">
        <v>0</v>
      </c>
      <c r="AS29" s="130" t="b">
        <v>0</v>
      </c>
      <c r="AT29" s="11"/>
      <c r="AU29" s="11"/>
      <c r="AV29" s="11"/>
      <c r="AW29" s="11"/>
      <c r="AX29" s="11"/>
      <c r="AY29" s="107"/>
      <c r="AZ29" s="97"/>
      <c r="BA29" s="97"/>
      <c r="BB29" s="13"/>
      <c r="BC29" s="108"/>
      <c r="BD29" s="108"/>
      <c r="BE29" s="15"/>
      <c r="BF29" s="18"/>
      <c r="BG29" s="18"/>
      <c r="BH29" s="16"/>
      <c r="BI29" s="19"/>
      <c r="BJ29" s="19"/>
      <c r="BK29" s="20"/>
      <c r="BL29" s="21"/>
      <c r="BM29" s="111"/>
      <c r="BN29" s="112"/>
      <c r="BP29" s="27">
        <f t="shared" si="26"/>
        <v>0</v>
      </c>
      <c r="BQ29" s="28">
        <f t="shared" si="26"/>
        <v>0</v>
      </c>
      <c r="BR29" s="28">
        <f t="shared" si="26"/>
        <v>0</v>
      </c>
      <c r="BS29" s="28">
        <f t="shared" si="26"/>
        <v>0</v>
      </c>
      <c r="BT29" s="28">
        <f t="shared" si="26"/>
        <v>0</v>
      </c>
      <c r="BU29" s="28">
        <f t="shared" si="26"/>
        <v>0</v>
      </c>
      <c r="BV29" s="28">
        <f t="shared" si="26"/>
        <v>0</v>
      </c>
      <c r="BW29" s="28">
        <f t="shared" si="26"/>
        <v>0</v>
      </c>
      <c r="BX29" s="28">
        <f t="shared" si="26"/>
        <v>0</v>
      </c>
      <c r="BY29" s="28">
        <f t="shared" si="26"/>
        <v>0</v>
      </c>
      <c r="BZ29" s="28">
        <f t="shared" si="26"/>
        <v>0</v>
      </c>
      <c r="CA29" s="29">
        <f t="shared" si="26"/>
        <v>0</v>
      </c>
      <c r="CB29" s="30">
        <f t="shared" si="14"/>
        <v>0</v>
      </c>
      <c r="CC29" s="94"/>
      <c r="CD29" s="27">
        <f t="shared" si="27"/>
        <v>0</v>
      </c>
      <c r="CE29" s="28">
        <f t="shared" si="27"/>
        <v>0</v>
      </c>
      <c r="CF29" s="28">
        <f t="shared" si="27"/>
        <v>0</v>
      </c>
      <c r="CG29" s="28">
        <f t="shared" si="27"/>
        <v>0</v>
      </c>
      <c r="CH29" s="28">
        <f t="shared" si="27"/>
        <v>0</v>
      </c>
      <c r="CI29" s="28">
        <f t="shared" si="27"/>
        <v>0</v>
      </c>
      <c r="CJ29" s="28">
        <f t="shared" si="27"/>
        <v>0</v>
      </c>
      <c r="CK29" s="28">
        <f t="shared" si="27"/>
        <v>0</v>
      </c>
      <c r="CL29" s="28">
        <f t="shared" si="27"/>
        <v>0</v>
      </c>
      <c r="CM29" s="28">
        <f t="shared" si="27"/>
        <v>0</v>
      </c>
      <c r="CN29" s="28">
        <f t="shared" si="27"/>
        <v>0</v>
      </c>
      <c r="CO29" s="29">
        <f t="shared" si="27"/>
        <v>0</v>
      </c>
      <c r="CP29" s="30">
        <f t="shared" si="16"/>
        <v>0</v>
      </c>
      <c r="CR29" s="27">
        <f t="shared" si="28"/>
        <v>0</v>
      </c>
      <c r="CS29" s="28">
        <f t="shared" si="28"/>
        <v>0</v>
      </c>
      <c r="CT29" s="28">
        <f t="shared" si="28"/>
        <v>0</v>
      </c>
      <c r="CU29" s="28">
        <f t="shared" si="28"/>
        <v>0</v>
      </c>
      <c r="CV29" s="28">
        <f t="shared" si="28"/>
        <v>0</v>
      </c>
      <c r="CW29" s="28">
        <f t="shared" si="28"/>
        <v>0</v>
      </c>
      <c r="CX29" s="28">
        <f t="shared" si="28"/>
        <v>0</v>
      </c>
      <c r="CY29" s="28">
        <f t="shared" si="28"/>
        <v>0</v>
      </c>
      <c r="CZ29" s="28">
        <f t="shared" si="28"/>
        <v>0</v>
      </c>
      <c r="DA29" s="28">
        <f t="shared" si="28"/>
        <v>0</v>
      </c>
      <c r="DB29" s="28">
        <f t="shared" si="28"/>
        <v>0</v>
      </c>
      <c r="DC29" s="29">
        <f t="shared" si="28"/>
        <v>0</v>
      </c>
      <c r="DD29" s="30">
        <f t="shared" si="18"/>
        <v>0</v>
      </c>
      <c r="DF29" s="27">
        <f t="shared" si="29"/>
        <v>0</v>
      </c>
      <c r="DG29" s="28">
        <f t="shared" si="29"/>
        <v>0</v>
      </c>
      <c r="DH29" s="28">
        <f t="shared" si="29"/>
        <v>0</v>
      </c>
      <c r="DI29" s="28">
        <f t="shared" si="29"/>
        <v>0</v>
      </c>
      <c r="DJ29" s="28">
        <f t="shared" si="29"/>
        <v>0</v>
      </c>
      <c r="DK29" s="28">
        <f t="shared" si="29"/>
        <v>0</v>
      </c>
      <c r="DL29" s="28">
        <f t="shared" si="29"/>
        <v>0</v>
      </c>
      <c r="DM29" s="28">
        <f t="shared" si="29"/>
        <v>0</v>
      </c>
      <c r="DN29" s="28">
        <f t="shared" si="29"/>
        <v>0</v>
      </c>
      <c r="DO29" s="28">
        <f t="shared" si="29"/>
        <v>0</v>
      </c>
      <c r="DP29" s="28">
        <f t="shared" si="29"/>
        <v>0</v>
      </c>
      <c r="DQ29" s="29">
        <f t="shared" si="29"/>
        <v>0</v>
      </c>
      <c r="DR29" s="30">
        <f t="shared" si="20"/>
        <v>0</v>
      </c>
    </row>
    <row r="30" spans="1:122" x14ac:dyDescent="0.2">
      <c r="A30">
        <f t="shared" si="5"/>
        <v>12</v>
      </c>
      <c r="B30" s="49" t="str">
        <f>_xlfn.XLOOKUP(D30,Códigos_Propuestas!$B$4:$B$10,Códigos_Propuestas!$C$4:$C$10,"!",0,1)&amp;"__"&amp;
_xlfn.XLOOKUP(G30,Códigos_Propuestas!$E$4:$E$76,Códigos_Propuestas!$F$4:$F$76,"!",1)&amp;"__"&amp;
_xlfn.XLOOKUP(K30,Códigos_Propuestas!$I$4:$I$7,Códigos_Propuestas!$J$4:$J$7,"!",1)&amp;"__"&amp;
_xlfn.XLOOKUP(L30,Códigos_Propuestas!$O$4:$O$11,Códigos_Propuestas!$Q$4:$Q$11,"!",1)&amp;"__"&amp;
_xlfn.XLOOKUP(E30,Códigos_Propuestas!$BF:$BF,Códigos_Propuestas!$BH:$BH,"!",0,1)</f>
        <v>!__!__!__!__</v>
      </c>
      <c r="C30" s="47"/>
      <c r="D30" s="11"/>
      <c r="E30" s="12"/>
      <c r="F30" s="12"/>
      <c r="G30" s="13"/>
      <c r="H30" s="13"/>
      <c r="I30" s="13"/>
      <c r="J30" s="17"/>
      <c r="K30" s="13"/>
      <c r="L30" s="14"/>
      <c r="M30" s="14"/>
      <c r="N30" s="14"/>
      <c r="O30" s="14"/>
      <c r="P30" s="14"/>
      <c r="Q30" s="14"/>
      <c r="R30" s="14"/>
      <c r="S30" s="13"/>
      <c r="T30" s="13"/>
      <c r="U30" s="116">
        <f t="shared" ca="1" si="6"/>
        <v>0</v>
      </c>
      <c r="V30" s="13" t="str">
        <f t="shared" ca="1" si="7"/>
        <v/>
      </c>
      <c r="W30" s="14"/>
      <c r="X30" s="115"/>
      <c r="Y30" s="130" t="b">
        <v>0</v>
      </c>
      <c r="Z30" s="115"/>
      <c r="AA30" s="130" t="b">
        <v>0</v>
      </c>
      <c r="AB30" s="115"/>
      <c r="AC30" s="130" t="b">
        <v>0</v>
      </c>
      <c r="AD30" s="13"/>
      <c r="AE30" s="13"/>
      <c r="AF30" s="130" t="b">
        <v>0</v>
      </c>
      <c r="AG30" s="13"/>
      <c r="AH30" s="130" t="b">
        <v>0</v>
      </c>
      <c r="AI30" s="13"/>
      <c r="AJ30" s="130" t="b">
        <v>0</v>
      </c>
      <c r="AK30" s="13"/>
      <c r="AL30" s="130" t="b">
        <v>0</v>
      </c>
      <c r="AM30" s="13"/>
      <c r="AN30" s="13"/>
      <c r="AO30" s="130" t="b">
        <v>0</v>
      </c>
      <c r="AP30" s="130" t="b">
        <v>0</v>
      </c>
      <c r="AQ30" s="130" t="b">
        <v>0</v>
      </c>
      <c r="AR30" s="130" t="b">
        <v>0</v>
      </c>
      <c r="AS30" s="130" t="b">
        <v>0</v>
      </c>
      <c r="AT30" s="11"/>
      <c r="AU30" s="11"/>
      <c r="AV30" s="11"/>
      <c r="AW30" s="11"/>
      <c r="AX30" s="11"/>
      <c r="AY30" s="107"/>
      <c r="AZ30" s="97"/>
      <c r="BA30" s="97"/>
      <c r="BB30" s="13"/>
      <c r="BC30" s="108"/>
      <c r="BD30" s="108"/>
      <c r="BE30" s="15"/>
      <c r="BF30" s="18"/>
      <c r="BG30" s="18"/>
      <c r="BH30" s="16"/>
      <c r="BI30" s="19"/>
      <c r="BJ30" s="19"/>
      <c r="BK30" s="20"/>
      <c r="BL30" s="21"/>
      <c r="BM30" s="111"/>
      <c r="BN30" s="112"/>
      <c r="BP30" s="27">
        <f t="shared" si="26"/>
        <v>0</v>
      </c>
      <c r="BQ30" s="28">
        <f t="shared" si="26"/>
        <v>0</v>
      </c>
      <c r="BR30" s="28">
        <f t="shared" si="26"/>
        <v>0</v>
      </c>
      <c r="BS30" s="28">
        <f t="shared" si="26"/>
        <v>0</v>
      </c>
      <c r="BT30" s="28">
        <f t="shared" si="26"/>
        <v>0</v>
      </c>
      <c r="BU30" s="28">
        <f t="shared" si="26"/>
        <v>0</v>
      </c>
      <c r="BV30" s="28">
        <f t="shared" si="26"/>
        <v>0</v>
      </c>
      <c r="BW30" s="28">
        <f t="shared" si="26"/>
        <v>0</v>
      </c>
      <c r="BX30" s="28">
        <f t="shared" si="26"/>
        <v>0</v>
      </c>
      <c r="BY30" s="28">
        <f t="shared" si="26"/>
        <v>0</v>
      </c>
      <c r="BZ30" s="28">
        <f t="shared" si="26"/>
        <v>0</v>
      </c>
      <c r="CA30" s="29">
        <f t="shared" si="26"/>
        <v>0</v>
      </c>
      <c r="CB30" s="30">
        <f t="shared" si="14"/>
        <v>0</v>
      </c>
      <c r="CD30" s="27">
        <f t="shared" si="27"/>
        <v>0</v>
      </c>
      <c r="CE30" s="28">
        <f t="shared" si="27"/>
        <v>0</v>
      </c>
      <c r="CF30" s="28">
        <f t="shared" si="27"/>
        <v>0</v>
      </c>
      <c r="CG30" s="28">
        <f t="shared" si="27"/>
        <v>0</v>
      </c>
      <c r="CH30" s="28">
        <f t="shared" si="27"/>
        <v>0</v>
      </c>
      <c r="CI30" s="28">
        <f t="shared" si="27"/>
        <v>0</v>
      </c>
      <c r="CJ30" s="28">
        <f t="shared" si="27"/>
        <v>0</v>
      </c>
      <c r="CK30" s="28">
        <f t="shared" si="27"/>
        <v>0</v>
      </c>
      <c r="CL30" s="28">
        <f t="shared" si="27"/>
        <v>0</v>
      </c>
      <c r="CM30" s="28">
        <f t="shared" si="27"/>
        <v>0</v>
      </c>
      <c r="CN30" s="28">
        <f t="shared" si="27"/>
        <v>0</v>
      </c>
      <c r="CO30" s="29">
        <f t="shared" si="27"/>
        <v>0</v>
      </c>
      <c r="CP30" s="30">
        <f t="shared" si="16"/>
        <v>0</v>
      </c>
      <c r="CR30" s="27">
        <f t="shared" si="28"/>
        <v>0</v>
      </c>
      <c r="CS30" s="28">
        <f t="shared" si="28"/>
        <v>0</v>
      </c>
      <c r="CT30" s="28">
        <f t="shared" si="28"/>
        <v>0</v>
      </c>
      <c r="CU30" s="28">
        <f t="shared" si="28"/>
        <v>0</v>
      </c>
      <c r="CV30" s="28">
        <f t="shared" si="28"/>
        <v>0</v>
      </c>
      <c r="CW30" s="28">
        <f t="shared" si="28"/>
        <v>0</v>
      </c>
      <c r="CX30" s="28">
        <f t="shared" si="28"/>
        <v>0</v>
      </c>
      <c r="CY30" s="28">
        <f t="shared" si="28"/>
        <v>0</v>
      </c>
      <c r="CZ30" s="28">
        <f t="shared" si="28"/>
        <v>0</v>
      </c>
      <c r="DA30" s="28">
        <f t="shared" si="28"/>
        <v>0</v>
      </c>
      <c r="DB30" s="28">
        <f t="shared" si="28"/>
        <v>0</v>
      </c>
      <c r="DC30" s="29">
        <f t="shared" si="28"/>
        <v>0</v>
      </c>
      <c r="DD30" s="30">
        <f t="shared" si="18"/>
        <v>0</v>
      </c>
      <c r="DF30" s="27">
        <f t="shared" si="29"/>
        <v>0</v>
      </c>
      <c r="DG30" s="28">
        <f t="shared" si="29"/>
        <v>0</v>
      </c>
      <c r="DH30" s="28">
        <f t="shared" si="29"/>
        <v>0</v>
      </c>
      <c r="DI30" s="28">
        <f t="shared" si="29"/>
        <v>0</v>
      </c>
      <c r="DJ30" s="28">
        <f t="shared" si="29"/>
        <v>0</v>
      </c>
      <c r="DK30" s="28">
        <f t="shared" si="29"/>
        <v>0</v>
      </c>
      <c r="DL30" s="28">
        <f t="shared" si="29"/>
        <v>0</v>
      </c>
      <c r="DM30" s="28">
        <f t="shared" si="29"/>
        <v>0</v>
      </c>
      <c r="DN30" s="28">
        <f t="shared" si="29"/>
        <v>0</v>
      </c>
      <c r="DO30" s="28">
        <f t="shared" si="29"/>
        <v>0</v>
      </c>
      <c r="DP30" s="28">
        <f t="shared" si="29"/>
        <v>0</v>
      </c>
      <c r="DQ30" s="29">
        <f t="shared" si="29"/>
        <v>0</v>
      </c>
      <c r="DR30" s="30">
        <f t="shared" si="20"/>
        <v>0</v>
      </c>
    </row>
    <row r="31" spans="1:122" x14ac:dyDescent="0.2">
      <c r="A31">
        <f t="shared" si="5"/>
        <v>12</v>
      </c>
      <c r="B31" s="49" t="str">
        <f>_xlfn.XLOOKUP(D31,Códigos_Propuestas!$B$4:$B$10,Códigos_Propuestas!$C$4:$C$10,"!",0,1)&amp;"__"&amp;
_xlfn.XLOOKUP(G31,Códigos_Propuestas!$E$4:$E$76,Códigos_Propuestas!$F$4:$F$76,"!",1)&amp;"__"&amp;
_xlfn.XLOOKUP(K31,Códigos_Propuestas!$I$4:$I$7,Códigos_Propuestas!$J$4:$J$7,"!",1)&amp;"__"&amp;
_xlfn.XLOOKUP(L31,Códigos_Propuestas!$O$4:$O$11,Códigos_Propuestas!$Q$4:$Q$11,"!",1)&amp;"__"&amp;
_xlfn.XLOOKUP(E31,Códigos_Propuestas!$BF:$BF,Códigos_Propuestas!$BH:$BH,"!",0,1)</f>
        <v>!__!__!__!__</v>
      </c>
      <c r="C31" s="47"/>
      <c r="D31" s="11"/>
      <c r="E31" s="12"/>
      <c r="F31" s="12"/>
      <c r="G31" s="13"/>
      <c r="H31" s="13"/>
      <c r="I31" s="13"/>
      <c r="J31" s="17"/>
      <c r="K31" s="13"/>
      <c r="L31" s="14"/>
      <c r="M31" s="14"/>
      <c r="N31" s="14"/>
      <c r="O31" s="14"/>
      <c r="P31" s="14"/>
      <c r="Q31" s="14"/>
      <c r="R31" s="14"/>
      <c r="S31" s="13"/>
      <c r="T31" s="13"/>
      <c r="U31" s="116">
        <f t="shared" ca="1" si="6"/>
        <v>0</v>
      </c>
      <c r="V31" s="13" t="str">
        <f t="shared" ca="1" si="7"/>
        <v/>
      </c>
      <c r="W31" s="14"/>
      <c r="X31" s="115"/>
      <c r="Y31" s="130" t="b">
        <v>0</v>
      </c>
      <c r="Z31" s="115"/>
      <c r="AA31" s="130" t="b">
        <v>0</v>
      </c>
      <c r="AB31" s="115"/>
      <c r="AC31" s="130" t="b">
        <v>0</v>
      </c>
      <c r="AD31" s="13"/>
      <c r="AE31" s="13"/>
      <c r="AF31" s="130" t="b">
        <v>0</v>
      </c>
      <c r="AG31" s="13"/>
      <c r="AH31" s="130" t="b">
        <v>0</v>
      </c>
      <c r="AI31" s="13"/>
      <c r="AJ31" s="130" t="b">
        <v>0</v>
      </c>
      <c r="AK31" s="13"/>
      <c r="AL31" s="130" t="b">
        <v>0</v>
      </c>
      <c r="AM31" s="13"/>
      <c r="AN31" s="13"/>
      <c r="AO31" s="130" t="b">
        <v>0</v>
      </c>
      <c r="AP31" s="130" t="b">
        <v>0</v>
      </c>
      <c r="AQ31" s="130" t="b">
        <v>0</v>
      </c>
      <c r="AR31" s="130" t="b">
        <v>0</v>
      </c>
      <c r="AS31" s="130" t="b">
        <v>0</v>
      </c>
      <c r="AT31" s="11"/>
      <c r="AU31" s="11"/>
      <c r="AV31" s="11"/>
      <c r="AW31" s="11"/>
      <c r="AX31" s="11"/>
      <c r="AY31" s="107"/>
      <c r="AZ31" s="97"/>
      <c r="BA31" s="97"/>
      <c r="BB31" s="13"/>
      <c r="BC31" s="108"/>
      <c r="BD31" s="108"/>
      <c r="BE31" s="15"/>
      <c r="BF31" s="18"/>
      <c r="BG31" s="18"/>
      <c r="BH31" s="16"/>
      <c r="BI31" s="19"/>
      <c r="BJ31" s="19"/>
      <c r="BK31" s="20"/>
      <c r="BL31" s="21"/>
      <c r="BM31" s="111"/>
      <c r="BN31" s="112"/>
      <c r="BP31" s="27">
        <f t="shared" si="26"/>
        <v>0</v>
      </c>
      <c r="BQ31" s="28">
        <f t="shared" si="26"/>
        <v>0</v>
      </c>
      <c r="BR31" s="28">
        <f t="shared" si="26"/>
        <v>0</v>
      </c>
      <c r="BS31" s="28">
        <f t="shared" si="26"/>
        <v>0</v>
      </c>
      <c r="BT31" s="28">
        <f t="shared" si="26"/>
        <v>0</v>
      </c>
      <c r="BU31" s="28">
        <f t="shared" si="26"/>
        <v>0</v>
      </c>
      <c r="BV31" s="28">
        <f t="shared" si="26"/>
        <v>0</v>
      </c>
      <c r="BW31" s="28">
        <f t="shared" si="26"/>
        <v>0</v>
      </c>
      <c r="BX31" s="28">
        <f t="shared" si="26"/>
        <v>0</v>
      </c>
      <c r="BY31" s="28">
        <f t="shared" si="26"/>
        <v>0</v>
      </c>
      <c r="BZ31" s="28">
        <f t="shared" si="26"/>
        <v>0</v>
      </c>
      <c r="CA31" s="29">
        <f t="shared" si="26"/>
        <v>0</v>
      </c>
      <c r="CB31" s="30">
        <f t="shared" si="14"/>
        <v>0</v>
      </c>
      <c r="CD31" s="27">
        <f t="shared" si="27"/>
        <v>0</v>
      </c>
      <c r="CE31" s="28">
        <f t="shared" si="27"/>
        <v>0</v>
      </c>
      <c r="CF31" s="28">
        <f t="shared" si="27"/>
        <v>0</v>
      </c>
      <c r="CG31" s="28">
        <f t="shared" si="27"/>
        <v>0</v>
      </c>
      <c r="CH31" s="28">
        <f t="shared" si="27"/>
        <v>0</v>
      </c>
      <c r="CI31" s="28">
        <f t="shared" si="27"/>
        <v>0</v>
      </c>
      <c r="CJ31" s="28">
        <f t="shared" si="27"/>
        <v>0</v>
      </c>
      <c r="CK31" s="28">
        <f t="shared" si="27"/>
        <v>0</v>
      </c>
      <c r="CL31" s="28">
        <f t="shared" si="27"/>
        <v>0</v>
      </c>
      <c r="CM31" s="28">
        <f t="shared" si="27"/>
        <v>0</v>
      </c>
      <c r="CN31" s="28">
        <f t="shared" si="27"/>
        <v>0</v>
      </c>
      <c r="CO31" s="29">
        <f t="shared" si="27"/>
        <v>0</v>
      </c>
      <c r="CP31" s="30">
        <f t="shared" si="16"/>
        <v>0</v>
      </c>
      <c r="CR31" s="27">
        <f t="shared" si="28"/>
        <v>0</v>
      </c>
      <c r="CS31" s="28">
        <f t="shared" si="28"/>
        <v>0</v>
      </c>
      <c r="CT31" s="28">
        <f t="shared" si="28"/>
        <v>0</v>
      </c>
      <c r="CU31" s="28">
        <f t="shared" si="28"/>
        <v>0</v>
      </c>
      <c r="CV31" s="28">
        <f t="shared" si="28"/>
        <v>0</v>
      </c>
      <c r="CW31" s="28">
        <f t="shared" si="28"/>
        <v>0</v>
      </c>
      <c r="CX31" s="28">
        <f t="shared" si="28"/>
        <v>0</v>
      </c>
      <c r="CY31" s="28">
        <f t="shared" si="28"/>
        <v>0</v>
      </c>
      <c r="CZ31" s="28">
        <f t="shared" si="28"/>
        <v>0</v>
      </c>
      <c r="DA31" s="28">
        <f t="shared" si="28"/>
        <v>0</v>
      </c>
      <c r="DB31" s="28">
        <f t="shared" si="28"/>
        <v>0</v>
      </c>
      <c r="DC31" s="29">
        <f t="shared" si="28"/>
        <v>0</v>
      </c>
      <c r="DD31" s="30">
        <f t="shared" si="18"/>
        <v>0</v>
      </c>
      <c r="DF31" s="27">
        <f t="shared" si="29"/>
        <v>0</v>
      </c>
      <c r="DG31" s="28">
        <f t="shared" si="29"/>
        <v>0</v>
      </c>
      <c r="DH31" s="28">
        <f t="shared" si="29"/>
        <v>0</v>
      </c>
      <c r="DI31" s="28">
        <f t="shared" si="29"/>
        <v>0</v>
      </c>
      <c r="DJ31" s="28">
        <f t="shared" si="29"/>
        <v>0</v>
      </c>
      <c r="DK31" s="28">
        <f t="shared" si="29"/>
        <v>0</v>
      </c>
      <c r="DL31" s="28">
        <f t="shared" si="29"/>
        <v>0</v>
      </c>
      <c r="DM31" s="28">
        <f t="shared" si="29"/>
        <v>0</v>
      </c>
      <c r="DN31" s="28">
        <f t="shared" si="29"/>
        <v>0</v>
      </c>
      <c r="DO31" s="28">
        <f t="shared" si="29"/>
        <v>0</v>
      </c>
      <c r="DP31" s="28">
        <f t="shared" si="29"/>
        <v>0</v>
      </c>
      <c r="DQ31" s="29">
        <f t="shared" si="29"/>
        <v>0</v>
      </c>
      <c r="DR31" s="30">
        <f t="shared" si="20"/>
        <v>0</v>
      </c>
    </row>
    <row r="32" spans="1:122" x14ac:dyDescent="0.2">
      <c r="A32">
        <f t="shared" si="5"/>
        <v>12</v>
      </c>
      <c r="B32" s="49" t="str">
        <f>_xlfn.XLOOKUP(D32,Códigos_Propuestas!$B$4:$B$10,Códigos_Propuestas!$C$4:$C$10,"!",0,1)&amp;"__"&amp;
_xlfn.XLOOKUP(G32,Códigos_Propuestas!$E$4:$E$76,Códigos_Propuestas!$F$4:$F$76,"!",1)&amp;"__"&amp;
_xlfn.XLOOKUP(K32,Códigos_Propuestas!$I$4:$I$7,Códigos_Propuestas!$J$4:$J$7,"!",1)&amp;"__"&amp;
_xlfn.XLOOKUP(L32,Códigos_Propuestas!$O$4:$O$11,Códigos_Propuestas!$Q$4:$Q$11,"!",1)&amp;"__"&amp;
_xlfn.XLOOKUP(E32,Códigos_Propuestas!$BF:$BF,Códigos_Propuestas!$BH:$BH,"!",0,1)</f>
        <v>!__!__!__!__</v>
      </c>
      <c r="C32" s="47"/>
      <c r="D32" s="11"/>
      <c r="E32" s="12"/>
      <c r="F32" s="12"/>
      <c r="G32" s="13"/>
      <c r="H32" s="13"/>
      <c r="I32" s="13"/>
      <c r="J32" s="17"/>
      <c r="K32" s="13"/>
      <c r="L32" s="14"/>
      <c r="M32" s="14"/>
      <c r="N32" s="14"/>
      <c r="O32" s="14"/>
      <c r="P32" s="14"/>
      <c r="Q32" s="14"/>
      <c r="R32" s="14"/>
      <c r="S32" s="13"/>
      <c r="T32" s="13"/>
      <c r="U32" s="116">
        <f t="shared" ca="1" si="6"/>
        <v>0</v>
      </c>
      <c r="V32" s="13" t="str">
        <f t="shared" ca="1" si="7"/>
        <v/>
      </c>
      <c r="W32" s="14"/>
      <c r="X32" s="115"/>
      <c r="Y32" s="130" t="b">
        <v>0</v>
      </c>
      <c r="Z32" s="115"/>
      <c r="AA32" s="130" t="b">
        <v>0</v>
      </c>
      <c r="AB32" s="115"/>
      <c r="AC32" s="130" t="b">
        <v>0</v>
      </c>
      <c r="AD32" s="13"/>
      <c r="AE32" s="13"/>
      <c r="AF32" s="130" t="b">
        <v>0</v>
      </c>
      <c r="AG32" s="13"/>
      <c r="AH32" s="130" t="b">
        <v>0</v>
      </c>
      <c r="AI32" s="13"/>
      <c r="AJ32" s="130" t="b">
        <v>0</v>
      </c>
      <c r="AK32" s="13"/>
      <c r="AL32" s="130" t="b">
        <v>0</v>
      </c>
      <c r="AM32" s="13"/>
      <c r="AN32" s="13"/>
      <c r="AO32" s="130" t="b">
        <v>0</v>
      </c>
      <c r="AP32" s="130" t="b">
        <v>0</v>
      </c>
      <c r="AQ32" s="130" t="b">
        <v>0</v>
      </c>
      <c r="AR32" s="130" t="b">
        <v>0</v>
      </c>
      <c r="AS32" s="130" t="b">
        <v>0</v>
      </c>
      <c r="AT32" s="11"/>
      <c r="AU32" s="11"/>
      <c r="AV32" s="11"/>
      <c r="AW32" s="11"/>
      <c r="AX32" s="11"/>
      <c r="AY32" s="107"/>
      <c r="AZ32" s="97"/>
      <c r="BA32" s="97"/>
      <c r="BB32" s="13"/>
      <c r="BC32" s="108"/>
      <c r="BD32" s="108"/>
      <c r="BE32" s="15"/>
      <c r="BF32" s="18"/>
      <c r="BG32" s="18"/>
      <c r="BH32" s="16"/>
      <c r="BI32" s="19"/>
      <c r="BJ32" s="19"/>
      <c r="BK32" s="20"/>
      <c r="BL32" s="21"/>
      <c r="BM32" s="111"/>
      <c r="BN32" s="112"/>
      <c r="BP32" s="27">
        <f t="shared" si="26"/>
        <v>0</v>
      </c>
      <c r="BQ32" s="28">
        <f t="shared" si="26"/>
        <v>0</v>
      </c>
      <c r="BR32" s="28">
        <f t="shared" si="26"/>
        <v>0</v>
      </c>
      <c r="BS32" s="28">
        <f t="shared" si="26"/>
        <v>0</v>
      </c>
      <c r="BT32" s="28">
        <f t="shared" si="26"/>
        <v>0</v>
      </c>
      <c r="BU32" s="28">
        <f t="shared" si="26"/>
        <v>0</v>
      </c>
      <c r="BV32" s="28">
        <f t="shared" si="26"/>
        <v>0</v>
      </c>
      <c r="BW32" s="28">
        <f t="shared" si="26"/>
        <v>0</v>
      </c>
      <c r="BX32" s="28">
        <f t="shared" si="26"/>
        <v>0</v>
      </c>
      <c r="BY32" s="28">
        <f t="shared" si="26"/>
        <v>0</v>
      </c>
      <c r="BZ32" s="28">
        <f t="shared" si="26"/>
        <v>0</v>
      </c>
      <c r="CA32" s="29">
        <f t="shared" si="26"/>
        <v>0</v>
      </c>
      <c r="CB32" s="30">
        <f t="shared" si="14"/>
        <v>0</v>
      </c>
      <c r="CD32" s="27">
        <f t="shared" si="27"/>
        <v>0</v>
      </c>
      <c r="CE32" s="28">
        <f t="shared" si="27"/>
        <v>0</v>
      </c>
      <c r="CF32" s="28">
        <f t="shared" si="27"/>
        <v>0</v>
      </c>
      <c r="CG32" s="28">
        <f t="shared" si="27"/>
        <v>0</v>
      </c>
      <c r="CH32" s="28">
        <f t="shared" si="27"/>
        <v>0</v>
      </c>
      <c r="CI32" s="28">
        <f t="shared" si="27"/>
        <v>0</v>
      </c>
      <c r="CJ32" s="28">
        <f t="shared" si="27"/>
        <v>0</v>
      </c>
      <c r="CK32" s="28">
        <f t="shared" si="27"/>
        <v>0</v>
      </c>
      <c r="CL32" s="28">
        <f t="shared" si="27"/>
        <v>0</v>
      </c>
      <c r="CM32" s="28">
        <f t="shared" si="27"/>
        <v>0</v>
      </c>
      <c r="CN32" s="28">
        <f t="shared" si="27"/>
        <v>0</v>
      </c>
      <c r="CO32" s="29">
        <f t="shared" si="27"/>
        <v>0</v>
      </c>
      <c r="CP32" s="30">
        <f t="shared" si="16"/>
        <v>0</v>
      </c>
      <c r="CR32" s="27">
        <f t="shared" si="28"/>
        <v>0</v>
      </c>
      <c r="CS32" s="28">
        <f t="shared" si="28"/>
        <v>0</v>
      </c>
      <c r="CT32" s="28">
        <f t="shared" si="28"/>
        <v>0</v>
      </c>
      <c r="CU32" s="28">
        <f t="shared" si="28"/>
        <v>0</v>
      </c>
      <c r="CV32" s="28">
        <f t="shared" si="28"/>
        <v>0</v>
      </c>
      <c r="CW32" s="28">
        <f t="shared" si="28"/>
        <v>0</v>
      </c>
      <c r="CX32" s="28">
        <f t="shared" si="28"/>
        <v>0</v>
      </c>
      <c r="CY32" s="28">
        <f t="shared" si="28"/>
        <v>0</v>
      </c>
      <c r="CZ32" s="28">
        <f t="shared" si="28"/>
        <v>0</v>
      </c>
      <c r="DA32" s="28">
        <f t="shared" si="28"/>
        <v>0</v>
      </c>
      <c r="DB32" s="28">
        <f t="shared" si="28"/>
        <v>0</v>
      </c>
      <c r="DC32" s="29">
        <f t="shared" si="28"/>
        <v>0</v>
      </c>
      <c r="DD32" s="30">
        <f t="shared" si="18"/>
        <v>0</v>
      </c>
      <c r="DF32" s="27">
        <f t="shared" si="29"/>
        <v>0</v>
      </c>
      <c r="DG32" s="28">
        <f t="shared" si="29"/>
        <v>0</v>
      </c>
      <c r="DH32" s="28">
        <f t="shared" si="29"/>
        <v>0</v>
      </c>
      <c r="DI32" s="28">
        <f t="shared" si="29"/>
        <v>0</v>
      </c>
      <c r="DJ32" s="28">
        <f t="shared" si="29"/>
        <v>0</v>
      </c>
      <c r="DK32" s="28">
        <f t="shared" si="29"/>
        <v>0</v>
      </c>
      <c r="DL32" s="28">
        <f t="shared" si="29"/>
        <v>0</v>
      </c>
      <c r="DM32" s="28">
        <f t="shared" si="29"/>
        <v>0</v>
      </c>
      <c r="DN32" s="28">
        <f t="shared" si="29"/>
        <v>0</v>
      </c>
      <c r="DO32" s="28">
        <f t="shared" si="29"/>
        <v>0</v>
      </c>
      <c r="DP32" s="28">
        <f t="shared" si="29"/>
        <v>0</v>
      </c>
      <c r="DQ32" s="29">
        <f t="shared" si="29"/>
        <v>0</v>
      </c>
      <c r="DR32" s="30">
        <f t="shared" si="20"/>
        <v>0</v>
      </c>
    </row>
    <row r="33" spans="1:122" x14ac:dyDescent="0.2">
      <c r="A33">
        <f t="shared" si="5"/>
        <v>12</v>
      </c>
      <c r="B33" s="49" t="str">
        <f>_xlfn.XLOOKUP(D33,Códigos_Propuestas!$B$4:$B$10,Códigos_Propuestas!$C$4:$C$10,"!",0,1)&amp;"__"&amp;
_xlfn.XLOOKUP(G33,Códigos_Propuestas!$E$4:$E$76,Códigos_Propuestas!$F$4:$F$76,"!",1)&amp;"__"&amp;
_xlfn.XLOOKUP(K33,Códigos_Propuestas!$I$4:$I$7,Códigos_Propuestas!$J$4:$J$7,"!",1)&amp;"__"&amp;
_xlfn.XLOOKUP(L33,Códigos_Propuestas!$O$4:$O$11,Códigos_Propuestas!$Q$4:$Q$11,"!",1)&amp;"__"&amp;
_xlfn.XLOOKUP(E33,Códigos_Propuestas!$BF:$BF,Códigos_Propuestas!$BH:$BH,"!",0,1)</f>
        <v>!__!__!__!__</v>
      </c>
      <c r="C33" s="47"/>
      <c r="D33" s="11"/>
      <c r="E33" s="12"/>
      <c r="F33" s="12"/>
      <c r="G33" s="13"/>
      <c r="H33" s="13"/>
      <c r="I33" s="13"/>
      <c r="J33" s="17"/>
      <c r="K33" s="13"/>
      <c r="L33" s="14"/>
      <c r="M33" s="14"/>
      <c r="N33" s="14"/>
      <c r="O33" s="14"/>
      <c r="P33" s="14"/>
      <c r="Q33" s="14"/>
      <c r="R33" s="14"/>
      <c r="S33" s="13"/>
      <c r="T33" s="13"/>
      <c r="U33" s="116">
        <f t="shared" ca="1" si="6"/>
        <v>0</v>
      </c>
      <c r="V33" s="13" t="str">
        <f t="shared" ca="1" si="7"/>
        <v/>
      </c>
      <c r="W33" s="14"/>
      <c r="X33" s="115"/>
      <c r="Y33" s="130" t="b">
        <v>0</v>
      </c>
      <c r="Z33" s="115"/>
      <c r="AA33" s="130" t="b">
        <v>0</v>
      </c>
      <c r="AB33" s="115"/>
      <c r="AC33" s="130" t="b">
        <v>0</v>
      </c>
      <c r="AD33" s="13"/>
      <c r="AE33" s="13"/>
      <c r="AF33" s="130" t="b">
        <v>0</v>
      </c>
      <c r="AG33" s="13"/>
      <c r="AH33" s="130" t="b">
        <v>0</v>
      </c>
      <c r="AI33" s="13"/>
      <c r="AJ33" s="130" t="b">
        <v>0</v>
      </c>
      <c r="AK33" s="13"/>
      <c r="AL33" s="130" t="b">
        <v>0</v>
      </c>
      <c r="AM33" s="13"/>
      <c r="AN33" s="13"/>
      <c r="AO33" s="130" t="b">
        <v>0</v>
      </c>
      <c r="AP33" s="130" t="b">
        <v>0</v>
      </c>
      <c r="AQ33" s="130" t="b">
        <v>0</v>
      </c>
      <c r="AR33" s="130" t="b">
        <v>0</v>
      </c>
      <c r="AS33" s="130" t="b">
        <v>0</v>
      </c>
      <c r="AT33" s="11"/>
      <c r="AU33" s="11"/>
      <c r="AV33" s="11"/>
      <c r="AW33" s="11"/>
      <c r="AX33" s="11"/>
      <c r="AY33" s="107"/>
      <c r="AZ33" s="97"/>
      <c r="BA33" s="97"/>
      <c r="BB33" s="13"/>
      <c r="BC33" s="108"/>
      <c r="BD33" s="108"/>
      <c r="BE33" s="15"/>
      <c r="BF33" s="18"/>
      <c r="BG33" s="18"/>
      <c r="BH33" s="16"/>
      <c r="BI33" s="19"/>
      <c r="BJ33" s="19"/>
      <c r="BK33" s="20"/>
      <c r="BL33" s="21"/>
      <c r="BM33" s="111"/>
      <c r="BN33" s="112"/>
      <c r="BP33" s="27">
        <f t="shared" si="26"/>
        <v>0</v>
      </c>
      <c r="BQ33" s="28">
        <f t="shared" si="26"/>
        <v>0</v>
      </c>
      <c r="BR33" s="28">
        <f t="shared" si="26"/>
        <v>0</v>
      </c>
      <c r="BS33" s="28">
        <f t="shared" si="26"/>
        <v>0</v>
      </c>
      <c r="BT33" s="28">
        <f t="shared" si="26"/>
        <v>0</v>
      </c>
      <c r="BU33" s="28">
        <f t="shared" si="26"/>
        <v>0</v>
      </c>
      <c r="BV33" s="28">
        <f t="shared" si="26"/>
        <v>0</v>
      </c>
      <c r="BW33" s="28">
        <f t="shared" si="26"/>
        <v>0</v>
      </c>
      <c r="BX33" s="28">
        <f t="shared" si="26"/>
        <v>0</v>
      </c>
      <c r="BY33" s="28">
        <f t="shared" si="26"/>
        <v>0</v>
      </c>
      <c r="BZ33" s="28">
        <f t="shared" si="26"/>
        <v>0</v>
      </c>
      <c r="CA33" s="29">
        <f t="shared" si="26"/>
        <v>0</v>
      </c>
      <c r="CB33" s="30">
        <f t="shared" si="14"/>
        <v>0</v>
      </c>
      <c r="CD33" s="27">
        <f t="shared" si="27"/>
        <v>0</v>
      </c>
      <c r="CE33" s="28">
        <f t="shared" si="27"/>
        <v>0</v>
      </c>
      <c r="CF33" s="28">
        <f t="shared" si="27"/>
        <v>0</v>
      </c>
      <c r="CG33" s="28">
        <f t="shared" si="27"/>
        <v>0</v>
      </c>
      <c r="CH33" s="28">
        <f t="shared" si="27"/>
        <v>0</v>
      </c>
      <c r="CI33" s="28">
        <f t="shared" si="27"/>
        <v>0</v>
      </c>
      <c r="CJ33" s="28">
        <f t="shared" si="27"/>
        <v>0</v>
      </c>
      <c r="CK33" s="28">
        <f t="shared" si="27"/>
        <v>0</v>
      </c>
      <c r="CL33" s="28">
        <f t="shared" si="27"/>
        <v>0</v>
      </c>
      <c r="CM33" s="28">
        <f t="shared" si="27"/>
        <v>0</v>
      </c>
      <c r="CN33" s="28">
        <f t="shared" si="27"/>
        <v>0</v>
      </c>
      <c r="CO33" s="29">
        <f t="shared" si="27"/>
        <v>0</v>
      </c>
      <c r="CP33" s="30">
        <f t="shared" si="16"/>
        <v>0</v>
      </c>
      <c r="CR33" s="27">
        <f t="shared" si="28"/>
        <v>0</v>
      </c>
      <c r="CS33" s="28">
        <f t="shared" si="28"/>
        <v>0</v>
      </c>
      <c r="CT33" s="28">
        <f t="shared" si="28"/>
        <v>0</v>
      </c>
      <c r="CU33" s="28">
        <f t="shared" si="28"/>
        <v>0</v>
      </c>
      <c r="CV33" s="28">
        <f t="shared" si="28"/>
        <v>0</v>
      </c>
      <c r="CW33" s="28">
        <f t="shared" si="28"/>
        <v>0</v>
      </c>
      <c r="CX33" s="28">
        <f t="shared" si="28"/>
        <v>0</v>
      </c>
      <c r="CY33" s="28">
        <f t="shared" si="28"/>
        <v>0</v>
      </c>
      <c r="CZ33" s="28">
        <f t="shared" si="28"/>
        <v>0</v>
      </c>
      <c r="DA33" s="28">
        <f t="shared" si="28"/>
        <v>0</v>
      </c>
      <c r="DB33" s="28">
        <f t="shared" si="28"/>
        <v>0</v>
      </c>
      <c r="DC33" s="29">
        <f t="shared" si="28"/>
        <v>0</v>
      </c>
      <c r="DD33" s="30">
        <f t="shared" si="18"/>
        <v>0</v>
      </c>
      <c r="DF33" s="27">
        <f t="shared" si="29"/>
        <v>0</v>
      </c>
      <c r="DG33" s="28">
        <f t="shared" si="29"/>
        <v>0</v>
      </c>
      <c r="DH33" s="28">
        <f t="shared" si="29"/>
        <v>0</v>
      </c>
      <c r="DI33" s="28">
        <f t="shared" si="29"/>
        <v>0</v>
      </c>
      <c r="DJ33" s="28">
        <f t="shared" si="29"/>
        <v>0</v>
      </c>
      <c r="DK33" s="28">
        <f t="shared" si="29"/>
        <v>0</v>
      </c>
      <c r="DL33" s="28">
        <f t="shared" si="29"/>
        <v>0</v>
      </c>
      <c r="DM33" s="28">
        <f t="shared" si="29"/>
        <v>0</v>
      </c>
      <c r="DN33" s="28">
        <f t="shared" si="29"/>
        <v>0</v>
      </c>
      <c r="DO33" s="28">
        <f t="shared" si="29"/>
        <v>0</v>
      </c>
      <c r="DP33" s="28">
        <f t="shared" si="29"/>
        <v>0</v>
      </c>
      <c r="DQ33" s="29">
        <f t="shared" si="29"/>
        <v>0</v>
      </c>
      <c r="DR33" s="30">
        <f t="shared" si="20"/>
        <v>0</v>
      </c>
    </row>
    <row r="34" spans="1:122" x14ac:dyDescent="0.2">
      <c r="A34">
        <f>LEN(B34)</f>
        <v>12</v>
      </c>
      <c r="B34" s="49" t="str">
        <f>_xlfn.XLOOKUP(D34,Códigos_Propuestas!$B$4:$B$10,Códigos_Propuestas!$C$4:$C$10,"!",0,1)&amp;"__"&amp;
_xlfn.XLOOKUP(G34,Códigos_Propuestas!$E$4:$E$76,Códigos_Propuestas!$F$4:$F$76,"!",1)&amp;"__"&amp;
_xlfn.XLOOKUP(K34,Códigos_Propuestas!$I$4:$I$7,Códigos_Propuestas!$J$4:$J$7,"!",1)&amp;"__"&amp;
_xlfn.XLOOKUP(L34,Códigos_Propuestas!$O$4:$O$11,Códigos_Propuestas!$Q$4:$Q$11,"!",1)&amp;"__"&amp;
_xlfn.XLOOKUP(E34,Códigos_Propuestas!$BF:$BF,Códigos_Propuestas!$BH:$BH,"!",0,1)</f>
        <v>!__!__!__!__</v>
      </c>
      <c r="C34" s="47"/>
      <c r="D34" s="11"/>
      <c r="E34" s="12"/>
      <c r="F34" s="12"/>
      <c r="G34" s="13"/>
      <c r="H34" s="13"/>
      <c r="I34" s="13"/>
      <c r="J34" s="17"/>
      <c r="K34" s="13"/>
      <c r="L34" s="14"/>
      <c r="M34" s="14"/>
      <c r="N34" s="14"/>
      <c r="O34" s="14"/>
      <c r="P34" s="14"/>
      <c r="Q34" s="14"/>
      <c r="R34" s="14"/>
      <c r="S34" s="13"/>
      <c r="T34" s="13"/>
      <c r="U34" s="116">
        <f t="shared" ca="1" si="6"/>
        <v>0</v>
      </c>
      <c r="V34" s="13" t="str">
        <f t="shared" ca="1" si="7"/>
        <v/>
      </c>
      <c r="W34" s="14"/>
      <c r="X34" s="115"/>
      <c r="Y34" s="130" t="b">
        <v>0</v>
      </c>
      <c r="Z34" s="115"/>
      <c r="AA34" s="130" t="b">
        <v>0</v>
      </c>
      <c r="AB34" s="115"/>
      <c r="AC34" s="130" t="b">
        <v>0</v>
      </c>
      <c r="AD34" s="13"/>
      <c r="AE34" s="13"/>
      <c r="AF34" s="130" t="b">
        <v>0</v>
      </c>
      <c r="AG34" s="13"/>
      <c r="AH34" s="130" t="b">
        <v>0</v>
      </c>
      <c r="AI34" s="13"/>
      <c r="AJ34" s="130" t="b">
        <v>0</v>
      </c>
      <c r="AK34" s="13"/>
      <c r="AL34" s="130" t="b">
        <v>0</v>
      </c>
      <c r="AM34" s="13"/>
      <c r="AN34" s="13"/>
      <c r="AO34" s="130" t="b">
        <v>0</v>
      </c>
      <c r="AP34" s="130" t="b">
        <v>0</v>
      </c>
      <c r="AQ34" s="130" t="b">
        <v>0</v>
      </c>
      <c r="AR34" s="130" t="b">
        <v>0</v>
      </c>
      <c r="AS34" s="130" t="b">
        <v>0</v>
      </c>
      <c r="AT34" s="11"/>
      <c r="AU34" s="11"/>
      <c r="AV34" s="11"/>
      <c r="AW34" s="11"/>
      <c r="AX34" s="11"/>
      <c r="AY34" s="107"/>
      <c r="AZ34" s="97"/>
      <c r="BA34" s="97"/>
      <c r="BB34" s="13"/>
      <c r="BC34" s="108"/>
      <c r="BD34" s="108"/>
      <c r="BE34" s="15"/>
      <c r="BF34" s="18"/>
      <c r="BG34" s="18"/>
      <c r="BH34" s="16"/>
      <c r="BI34" s="19"/>
      <c r="BJ34" s="19"/>
      <c r="BK34" s="20"/>
      <c r="BL34" s="21"/>
      <c r="BM34" s="111"/>
      <c r="BN34" s="112"/>
      <c r="BP34" s="27">
        <f t="shared" si="26"/>
        <v>0</v>
      </c>
      <c r="BQ34" s="28">
        <f t="shared" si="26"/>
        <v>0</v>
      </c>
      <c r="BR34" s="28">
        <f t="shared" si="26"/>
        <v>0</v>
      </c>
      <c r="BS34" s="28">
        <f t="shared" si="26"/>
        <v>0</v>
      </c>
      <c r="BT34" s="28">
        <f t="shared" si="26"/>
        <v>0</v>
      </c>
      <c r="BU34" s="28">
        <f t="shared" si="26"/>
        <v>0</v>
      </c>
      <c r="BV34" s="28">
        <f t="shared" si="26"/>
        <v>0</v>
      </c>
      <c r="BW34" s="28">
        <f t="shared" si="26"/>
        <v>0</v>
      </c>
      <c r="BX34" s="28">
        <f t="shared" si="26"/>
        <v>0</v>
      </c>
      <c r="BY34" s="28">
        <f t="shared" si="26"/>
        <v>0</v>
      </c>
      <c r="BZ34" s="28">
        <f t="shared" si="26"/>
        <v>0</v>
      </c>
      <c r="CA34" s="29">
        <f t="shared" si="26"/>
        <v>0</v>
      </c>
      <c r="CB34" s="30">
        <f t="shared" si="14"/>
        <v>0</v>
      </c>
      <c r="CD34" s="27">
        <f t="shared" si="27"/>
        <v>0</v>
      </c>
      <c r="CE34" s="28">
        <f t="shared" si="27"/>
        <v>0</v>
      </c>
      <c r="CF34" s="28">
        <f t="shared" si="27"/>
        <v>0</v>
      </c>
      <c r="CG34" s="28">
        <f t="shared" si="27"/>
        <v>0</v>
      </c>
      <c r="CH34" s="28">
        <f t="shared" si="27"/>
        <v>0</v>
      </c>
      <c r="CI34" s="28">
        <f t="shared" si="27"/>
        <v>0</v>
      </c>
      <c r="CJ34" s="28">
        <f t="shared" si="27"/>
        <v>0</v>
      </c>
      <c r="CK34" s="28">
        <f t="shared" si="27"/>
        <v>0</v>
      </c>
      <c r="CL34" s="28">
        <f t="shared" si="27"/>
        <v>0</v>
      </c>
      <c r="CM34" s="28">
        <f t="shared" si="27"/>
        <v>0</v>
      </c>
      <c r="CN34" s="28">
        <f t="shared" si="27"/>
        <v>0</v>
      </c>
      <c r="CO34" s="29">
        <f t="shared" si="27"/>
        <v>0</v>
      </c>
      <c r="CP34" s="30">
        <f t="shared" si="16"/>
        <v>0</v>
      </c>
      <c r="CR34" s="27">
        <f t="shared" si="28"/>
        <v>0</v>
      </c>
      <c r="CS34" s="28">
        <f t="shared" si="28"/>
        <v>0</v>
      </c>
      <c r="CT34" s="28">
        <f t="shared" si="28"/>
        <v>0</v>
      </c>
      <c r="CU34" s="28">
        <f t="shared" si="28"/>
        <v>0</v>
      </c>
      <c r="CV34" s="28">
        <f t="shared" si="28"/>
        <v>0</v>
      </c>
      <c r="CW34" s="28">
        <f t="shared" si="28"/>
        <v>0</v>
      </c>
      <c r="CX34" s="28">
        <f t="shared" si="28"/>
        <v>0</v>
      </c>
      <c r="CY34" s="28">
        <f t="shared" si="28"/>
        <v>0</v>
      </c>
      <c r="CZ34" s="28">
        <f t="shared" si="28"/>
        <v>0</v>
      </c>
      <c r="DA34" s="28">
        <f t="shared" si="28"/>
        <v>0</v>
      </c>
      <c r="DB34" s="28">
        <f t="shared" si="28"/>
        <v>0</v>
      </c>
      <c r="DC34" s="29">
        <f t="shared" si="28"/>
        <v>0</v>
      </c>
      <c r="DD34" s="30">
        <f t="shared" si="18"/>
        <v>0</v>
      </c>
      <c r="DF34" s="27">
        <f t="shared" si="29"/>
        <v>0</v>
      </c>
      <c r="DG34" s="28">
        <f t="shared" si="29"/>
        <v>0</v>
      </c>
      <c r="DH34" s="28">
        <f t="shared" si="29"/>
        <v>0</v>
      </c>
      <c r="DI34" s="28">
        <f t="shared" si="29"/>
        <v>0</v>
      </c>
      <c r="DJ34" s="28">
        <f t="shared" si="29"/>
        <v>0</v>
      </c>
      <c r="DK34" s="28">
        <f t="shared" si="29"/>
        <v>0</v>
      </c>
      <c r="DL34" s="28">
        <f t="shared" si="29"/>
        <v>0</v>
      </c>
      <c r="DM34" s="28">
        <f t="shared" si="29"/>
        <v>0</v>
      </c>
      <c r="DN34" s="28">
        <f t="shared" si="29"/>
        <v>0</v>
      </c>
      <c r="DO34" s="28">
        <f t="shared" si="29"/>
        <v>0</v>
      </c>
      <c r="DP34" s="28">
        <f t="shared" si="29"/>
        <v>0</v>
      </c>
      <c r="DQ34" s="29">
        <f t="shared" si="29"/>
        <v>0</v>
      </c>
      <c r="DR34" s="30">
        <f t="shared" si="20"/>
        <v>0</v>
      </c>
    </row>
    <row r="35" spans="1:122" x14ac:dyDescent="0.2">
      <c r="A35">
        <f t="shared" si="5"/>
        <v>12</v>
      </c>
      <c r="B35" s="49" t="str">
        <f>_xlfn.XLOOKUP(D35,Códigos_Propuestas!$B$4:$B$10,Códigos_Propuestas!$C$4:$C$10,"!",0,1)&amp;"__"&amp;
_xlfn.XLOOKUP(G35,Códigos_Propuestas!$E$4:$E$76,Códigos_Propuestas!$F$4:$F$76,"!",1)&amp;"__"&amp;
_xlfn.XLOOKUP(K35,Códigos_Propuestas!$I$4:$I$7,Códigos_Propuestas!$J$4:$J$7,"!",1)&amp;"__"&amp;
_xlfn.XLOOKUP(L35,Códigos_Propuestas!$O$4:$O$11,Códigos_Propuestas!$Q$4:$Q$11,"!",1)&amp;"__"&amp;
_xlfn.XLOOKUP(E35,Códigos_Propuestas!$BF:$BF,Códigos_Propuestas!$BH:$BH,"!",0,1)</f>
        <v>!__!__!__!__</v>
      </c>
      <c r="C35" s="47"/>
      <c r="D35" s="11"/>
      <c r="E35" s="12"/>
      <c r="F35" s="12"/>
      <c r="G35" s="13"/>
      <c r="H35" s="13"/>
      <c r="I35" s="13"/>
      <c r="J35" s="17"/>
      <c r="K35" s="13"/>
      <c r="L35" s="14"/>
      <c r="M35" s="14"/>
      <c r="N35" s="14"/>
      <c r="O35" s="14"/>
      <c r="P35" s="14"/>
      <c r="Q35" s="14"/>
      <c r="R35" s="14"/>
      <c r="S35" s="13"/>
      <c r="T35" s="13"/>
      <c r="U35" s="116">
        <f t="shared" ca="1" si="6"/>
        <v>0</v>
      </c>
      <c r="V35" s="13" t="str">
        <f t="shared" ca="1" si="7"/>
        <v/>
      </c>
      <c r="W35" s="14"/>
      <c r="X35" s="115"/>
      <c r="Y35" s="130" t="b">
        <v>0</v>
      </c>
      <c r="Z35" s="115"/>
      <c r="AA35" s="130" t="b">
        <v>0</v>
      </c>
      <c r="AB35" s="115"/>
      <c r="AC35" s="130" t="b">
        <v>0</v>
      </c>
      <c r="AD35" s="13"/>
      <c r="AE35" s="13"/>
      <c r="AF35" s="130" t="b">
        <v>0</v>
      </c>
      <c r="AG35" s="13"/>
      <c r="AH35" s="130" t="b">
        <v>0</v>
      </c>
      <c r="AI35" s="13"/>
      <c r="AJ35" s="130" t="b">
        <v>0</v>
      </c>
      <c r="AK35" s="13"/>
      <c r="AL35" s="130" t="b">
        <v>0</v>
      </c>
      <c r="AM35" s="13"/>
      <c r="AN35" s="13"/>
      <c r="AO35" s="130" t="b">
        <v>0</v>
      </c>
      <c r="AP35" s="130" t="b">
        <v>0</v>
      </c>
      <c r="AQ35" s="130" t="b">
        <v>0</v>
      </c>
      <c r="AR35" s="130" t="b">
        <v>0</v>
      </c>
      <c r="AS35" s="130" t="b">
        <v>0</v>
      </c>
      <c r="AT35" s="11"/>
      <c r="AU35" s="11"/>
      <c r="AV35" s="11"/>
      <c r="AW35" s="11"/>
      <c r="AX35" s="11"/>
      <c r="AY35" s="107"/>
      <c r="AZ35" s="97"/>
      <c r="BA35" s="97"/>
      <c r="BB35" s="13"/>
      <c r="BC35" s="108"/>
      <c r="BD35" s="108"/>
      <c r="BE35" s="15"/>
      <c r="BF35" s="18"/>
      <c r="BG35" s="18"/>
      <c r="BH35" s="16"/>
      <c r="BI35" s="19"/>
      <c r="BJ35" s="19"/>
      <c r="BK35" s="20"/>
      <c r="BL35" s="21"/>
      <c r="BM35" s="111"/>
      <c r="BN35" s="112"/>
      <c r="BP35" s="27">
        <f t="shared" si="26"/>
        <v>0</v>
      </c>
      <c r="BQ35" s="28">
        <f t="shared" si="26"/>
        <v>0</v>
      </c>
      <c r="BR35" s="28">
        <f t="shared" si="26"/>
        <v>0</v>
      </c>
      <c r="BS35" s="28">
        <f t="shared" si="26"/>
        <v>0</v>
      </c>
      <c r="BT35" s="28">
        <f t="shared" si="26"/>
        <v>0</v>
      </c>
      <c r="BU35" s="28">
        <f t="shared" si="26"/>
        <v>0</v>
      </c>
      <c r="BV35" s="28">
        <f t="shared" si="26"/>
        <v>0</v>
      </c>
      <c r="BW35" s="28">
        <f t="shared" si="26"/>
        <v>0</v>
      </c>
      <c r="BX35" s="28">
        <f t="shared" si="26"/>
        <v>0</v>
      </c>
      <c r="BY35" s="28">
        <f t="shared" si="26"/>
        <v>0</v>
      </c>
      <c r="BZ35" s="28">
        <f t="shared" si="26"/>
        <v>0</v>
      </c>
      <c r="CA35" s="29">
        <f t="shared" si="26"/>
        <v>0</v>
      </c>
      <c r="CB35" s="30">
        <f t="shared" si="14"/>
        <v>0</v>
      </c>
      <c r="CD35" s="27">
        <f t="shared" si="27"/>
        <v>0</v>
      </c>
      <c r="CE35" s="28">
        <f t="shared" si="27"/>
        <v>0</v>
      </c>
      <c r="CF35" s="28">
        <f t="shared" si="27"/>
        <v>0</v>
      </c>
      <c r="CG35" s="28">
        <f t="shared" si="27"/>
        <v>0</v>
      </c>
      <c r="CH35" s="28">
        <f t="shared" si="27"/>
        <v>0</v>
      </c>
      <c r="CI35" s="28">
        <f t="shared" si="27"/>
        <v>0</v>
      </c>
      <c r="CJ35" s="28">
        <f t="shared" si="27"/>
        <v>0</v>
      </c>
      <c r="CK35" s="28">
        <f t="shared" si="27"/>
        <v>0</v>
      </c>
      <c r="CL35" s="28">
        <f t="shared" si="27"/>
        <v>0</v>
      </c>
      <c r="CM35" s="28">
        <f t="shared" si="27"/>
        <v>0</v>
      </c>
      <c r="CN35" s="28">
        <f t="shared" si="27"/>
        <v>0</v>
      </c>
      <c r="CO35" s="29">
        <f t="shared" si="27"/>
        <v>0</v>
      </c>
      <c r="CP35" s="30">
        <f t="shared" si="16"/>
        <v>0</v>
      </c>
      <c r="CR35" s="27">
        <f t="shared" si="28"/>
        <v>0</v>
      </c>
      <c r="CS35" s="28">
        <f t="shared" si="28"/>
        <v>0</v>
      </c>
      <c r="CT35" s="28">
        <f t="shared" si="28"/>
        <v>0</v>
      </c>
      <c r="CU35" s="28">
        <f t="shared" si="28"/>
        <v>0</v>
      </c>
      <c r="CV35" s="28">
        <f t="shared" si="28"/>
        <v>0</v>
      </c>
      <c r="CW35" s="28">
        <f t="shared" si="28"/>
        <v>0</v>
      </c>
      <c r="CX35" s="28">
        <f t="shared" si="28"/>
        <v>0</v>
      </c>
      <c r="CY35" s="28">
        <f t="shared" si="28"/>
        <v>0</v>
      </c>
      <c r="CZ35" s="28">
        <f t="shared" si="28"/>
        <v>0</v>
      </c>
      <c r="DA35" s="28">
        <f t="shared" si="28"/>
        <v>0</v>
      </c>
      <c r="DB35" s="28">
        <f t="shared" si="28"/>
        <v>0</v>
      </c>
      <c r="DC35" s="29">
        <f t="shared" si="28"/>
        <v>0</v>
      </c>
      <c r="DD35" s="30">
        <f t="shared" si="18"/>
        <v>0</v>
      </c>
      <c r="DF35" s="27">
        <f t="shared" si="29"/>
        <v>0</v>
      </c>
      <c r="DG35" s="28">
        <f t="shared" si="29"/>
        <v>0</v>
      </c>
      <c r="DH35" s="28">
        <f t="shared" si="29"/>
        <v>0</v>
      </c>
      <c r="DI35" s="28">
        <f t="shared" si="29"/>
        <v>0</v>
      </c>
      <c r="DJ35" s="28">
        <f t="shared" si="29"/>
        <v>0</v>
      </c>
      <c r="DK35" s="28">
        <f t="shared" si="29"/>
        <v>0</v>
      </c>
      <c r="DL35" s="28">
        <f t="shared" si="29"/>
        <v>0</v>
      </c>
      <c r="DM35" s="28">
        <f t="shared" si="29"/>
        <v>0</v>
      </c>
      <c r="DN35" s="28">
        <f t="shared" si="29"/>
        <v>0</v>
      </c>
      <c r="DO35" s="28">
        <f t="shared" si="29"/>
        <v>0</v>
      </c>
      <c r="DP35" s="28">
        <f t="shared" si="29"/>
        <v>0</v>
      </c>
      <c r="DQ35" s="29">
        <f t="shared" si="29"/>
        <v>0</v>
      </c>
      <c r="DR35" s="30">
        <f t="shared" si="20"/>
        <v>0</v>
      </c>
    </row>
    <row r="36" spans="1:122" x14ac:dyDescent="0.2">
      <c r="A36">
        <f t="shared" si="5"/>
        <v>12</v>
      </c>
      <c r="B36" s="49" t="str">
        <f>_xlfn.XLOOKUP(D36,Códigos_Propuestas!$B$4:$B$10,Códigos_Propuestas!$C$4:$C$10,"!",0,1)&amp;"__"&amp;
_xlfn.XLOOKUP(G36,Códigos_Propuestas!$E$4:$E$76,Códigos_Propuestas!$F$4:$F$76,"!",1)&amp;"__"&amp;
_xlfn.XLOOKUP(K36,Códigos_Propuestas!$I$4:$I$7,Códigos_Propuestas!$J$4:$J$7,"!",1)&amp;"__"&amp;
_xlfn.XLOOKUP(L36,Códigos_Propuestas!$O$4:$O$11,Códigos_Propuestas!$Q$4:$Q$11,"!",1)&amp;"__"&amp;
_xlfn.XLOOKUP(E36,Códigos_Propuestas!$BF:$BF,Códigos_Propuestas!$BH:$BH,"!",0,1)</f>
        <v>!__!__!__!__</v>
      </c>
      <c r="C36" s="47"/>
      <c r="D36" s="11"/>
      <c r="E36" s="12"/>
      <c r="F36" s="12"/>
      <c r="G36" s="13"/>
      <c r="H36" s="13"/>
      <c r="I36" s="13"/>
      <c r="J36" s="17"/>
      <c r="K36" s="13"/>
      <c r="L36" s="14"/>
      <c r="M36" s="14"/>
      <c r="N36" s="14"/>
      <c r="O36" s="14"/>
      <c r="P36" s="14"/>
      <c r="Q36" s="14"/>
      <c r="R36" s="14"/>
      <c r="S36" s="13"/>
      <c r="T36" s="13"/>
      <c r="U36" s="116">
        <f t="shared" ca="1" si="6"/>
        <v>0</v>
      </c>
      <c r="V36" s="13" t="str">
        <f t="shared" ca="1" si="7"/>
        <v/>
      </c>
      <c r="W36" s="14"/>
      <c r="X36" s="115"/>
      <c r="Y36" s="130" t="b">
        <v>0</v>
      </c>
      <c r="Z36" s="115"/>
      <c r="AA36" s="130" t="b">
        <v>0</v>
      </c>
      <c r="AB36" s="115"/>
      <c r="AC36" s="130" t="b">
        <v>0</v>
      </c>
      <c r="AD36" s="13"/>
      <c r="AE36" s="13"/>
      <c r="AF36" s="130" t="b">
        <v>0</v>
      </c>
      <c r="AG36" s="13"/>
      <c r="AH36" s="130" t="b">
        <v>0</v>
      </c>
      <c r="AI36" s="13"/>
      <c r="AJ36" s="130" t="b">
        <v>0</v>
      </c>
      <c r="AK36" s="13"/>
      <c r="AL36" s="130" t="b">
        <v>0</v>
      </c>
      <c r="AM36" s="13"/>
      <c r="AN36" s="13"/>
      <c r="AO36" s="130" t="b">
        <v>0</v>
      </c>
      <c r="AP36" s="130" t="b">
        <v>0</v>
      </c>
      <c r="AQ36" s="130" t="b">
        <v>0</v>
      </c>
      <c r="AR36" s="130" t="b">
        <v>0</v>
      </c>
      <c r="AS36" s="130" t="b">
        <v>0</v>
      </c>
      <c r="AT36" s="11"/>
      <c r="AU36" s="11"/>
      <c r="AV36" s="11"/>
      <c r="AW36" s="11"/>
      <c r="AX36" s="11"/>
      <c r="AY36" s="107"/>
      <c r="AZ36" s="97"/>
      <c r="BA36" s="97"/>
      <c r="BB36" s="13"/>
      <c r="BC36" s="108"/>
      <c r="BD36" s="108"/>
      <c r="BE36" s="15"/>
      <c r="BF36" s="18"/>
      <c r="BG36" s="18"/>
      <c r="BH36" s="16"/>
      <c r="BI36" s="19"/>
      <c r="BJ36" s="19"/>
      <c r="BK36" s="20"/>
      <c r="BL36" s="21"/>
      <c r="BM36" s="111"/>
      <c r="BN36" s="112"/>
      <c r="BP36" s="27">
        <f t="shared" ref="BP36:CA50" si="30">IFERROR(IF(AND(BP$2&gt;=$BM36,BP$2&lt;=$BN36),$AZ36/$BB36,0),0)</f>
        <v>0</v>
      </c>
      <c r="BQ36" s="28">
        <f t="shared" si="30"/>
        <v>0</v>
      </c>
      <c r="BR36" s="28">
        <f t="shared" si="30"/>
        <v>0</v>
      </c>
      <c r="BS36" s="28">
        <f t="shared" si="30"/>
        <v>0</v>
      </c>
      <c r="BT36" s="28">
        <f t="shared" si="30"/>
        <v>0</v>
      </c>
      <c r="BU36" s="28">
        <f t="shared" si="30"/>
        <v>0</v>
      </c>
      <c r="BV36" s="28">
        <f t="shared" si="30"/>
        <v>0</v>
      </c>
      <c r="BW36" s="28">
        <f t="shared" si="30"/>
        <v>0</v>
      </c>
      <c r="BX36" s="28">
        <f t="shared" si="30"/>
        <v>0</v>
      </c>
      <c r="BY36" s="28">
        <f t="shared" si="30"/>
        <v>0</v>
      </c>
      <c r="BZ36" s="28">
        <f t="shared" si="30"/>
        <v>0</v>
      </c>
      <c r="CA36" s="29">
        <f t="shared" si="30"/>
        <v>0</v>
      </c>
      <c r="CB36" s="30">
        <f t="shared" si="14"/>
        <v>0</v>
      </c>
      <c r="CD36" s="27">
        <f t="shared" ref="CD36:CO50" si="31">IFERROR(IF(AND(CD$2&gt;=$BM36,CD$2&lt;=$BN36),$BI36/$BB36,0),0)</f>
        <v>0</v>
      </c>
      <c r="CE36" s="28">
        <f t="shared" si="31"/>
        <v>0</v>
      </c>
      <c r="CF36" s="28">
        <f t="shared" si="31"/>
        <v>0</v>
      </c>
      <c r="CG36" s="28">
        <f t="shared" si="31"/>
        <v>0</v>
      </c>
      <c r="CH36" s="28">
        <f t="shared" si="31"/>
        <v>0</v>
      </c>
      <c r="CI36" s="28">
        <f t="shared" si="31"/>
        <v>0</v>
      </c>
      <c r="CJ36" s="28">
        <f t="shared" si="31"/>
        <v>0</v>
      </c>
      <c r="CK36" s="28">
        <f t="shared" si="31"/>
        <v>0</v>
      </c>
      <c r="CL36" s="28">
        <f t="shared" si="31"/>
        <v>0</v>
      </c>
      <c r="CM36" s="28">
        <f t="shared" si="31"/>
        <v>0</v>
      </c>
      <c r="CN36" s="28">
        <f t="shared" si="31"/>
        <v>0</v>
      </c>
      <c r="CO36" s="29">
        <f t="shared" si="31"/>
        <v>0</v>
      </c>
      <c r="CP36" s="30">
        <f t="shared" si="16"/>
        <v>0</v>
      </c>
      <c r="CR36" s="27">
        <f t="shared" ref="CR36:DC50" si="32">IFERROR(IF(AND(CR$2&gt;=$BM36,CR$2&lt;=$BN36),$BA36/$BB36,0),0)</f>
        <v>0</v>
      </c>
      <c r="CS36" s="28">
        <f t="shared" si="32"/>
        <v>0</v>
      </c>
      <c r="CT36" s="28">
        <f t="shared" si="32"/>
        <v>0</v>
      </c>
      <c r="CU36" s="28">
        <f t="shared" si="32"/>
        <v>0</v>
      </c>
      <c r="CV36" s="28">
        <f t="shared" si="32"/>
        <v>0</v>
      </c>
      <c r="CW36" s="28">
        <f t="shared" si="32"/>
        <v>0</v>
      </c>
      <c r="CX36" s="28">
        <f t="shared" si="32"/>
        <v>0</v>
      </c>
      <c r="CY36" s="28">
        <f t="shared" si="32"/>
        <v>0</v>
      </c>
      <c r="CZ36" s="28">
        <f t="shared" si="32"/>
        <v>0</v>
      </c>
      <c r="DA36" s="28">
        <f t="shared" si="32"/>
        <v>0</v>
      </c>
      <c r="DB36" s="28">
        <f t="shared" si="32"/>
        <v>0</v>
      </c>
      <c r="DC36" s="29">
        <f t="shared" si="32"/>
        <v>0</v>
      </c>
      <c r="DD36" s="30">
        <f t="shared" si="18"/>
        <v>0</v>
      </c>
      <c r="DF36" s="27">
        <f t="shared" ref="DF36:DQ50" si="33">IFERROR(IF(AND(DF$2&gt;=$BM36,DF$2&lt;=$BN36),$BJ36/$BB36,0),0)</f>
        <v>0</v>
      </c>
      <c r="DG36" s="28">
        <f t="shared" si="33"/>
        <v>0</v>
      </c>
      <c r="DH36" s="28">
        <f t="shared" si="33"/>
        <v>0</v>
      </c>
      <c r="DI36" s="28">
        <f t="shared" si="33"/>
        <v>0</v>
      </c>
      <c r="DJ36" s="28">
        <f t="shared" si="33"/>
        <v>0</v>
      </c>
      <c r="DK36" s="28">
        <f t="shared" si="33"/>
        <v>0</v>
      </c>
      <c r="DL36" s="28">
        <f t="shared" si="33"/>
        <v>0</v>
      </c>
      <c r="DM36" s="28">
        <f t="shared" si="33"/>
        <v>0</v>
      </c>
      <c r="DN36" s="28">
        <f t="shared" si="33"/>
        <v>0</v>
      </c>
      <c r="DO36" s="28">
        <f t="shared" si="33"/>
        <v>0</v>
      </c>
      <c r="DP36" s="28">
        <f t="shared" si="33"/>
        <v>0</v>
      </c>
      <c r="DQ36" s="29">
        <f t="shared" si="33"/>
        <v>0</v>
      </c>
      <c r="DR36" s="30">
        <f t="shared" si="20"/>
        <v>0</v>
      </c>
    </row>
    <row r="37" spans="1:122" x14ac:dyDescent="0.2">
      <c r="A37">
        <f t="shared" si="5"/>
        <v>12</v>
      </c>
      <c r="B37" s="49" t="str">
        <f>_xlfn.XLOOKUP(D37,Códigos_Propuestas!$B$4:$B$10,Códigos_Propuestas!$C$4:$C$10,"!",0,1)&amp;"__"&amp;
_xlfn.XLOOKUP(G37,Códigos_Propuestas!$E$4:$E$76,Códigos_Propuestas!$F$4:$F$76,"!",1)&amp;"__"&amp;
_xlfn.XLOOKUP(K37,Códigos_Propuestas!$I$4:$I$7,Códigos_Propuestas!$J$4:$J$7,"!",1)&amp;"__"&amp;
_xlfn.XLOOKUP(L37,Códigos_Propuestas!$O$4:$O$11,Códigos_Propuestas!$Q$4:$Q$11,"!",1)&amp;"__"&amp;
_xlfn.XLOOKUP(E37,Códigos_Propuestas!$BF:$BF,Códigos_Propuestas!$BH:$BH,"!",0,1)</f>
        <v>!__!__!__!__</v>
      </c>
      <c r="C37" s="47"/>
      <c r="D37" s="11"/>
      <c r="E37" s="12"/>
      <c r="F37" s="12"/>
      <c r="G37" s="13"/>
      <c r="H37" s="13"/>
      <c r="I37" s="13"/>
      <c r="J37" s="17"/>
      <c r="K37" s="13"/>
      <c r="L37" s="14"/>
      <c r="M37" s="14"/>
      <c r="N37" s="14"/>
      <c r="O37" s="14"/>
      <c r="P37" s="14"/>
      <c r="Q37" s="14"/>
      <c r="R37" s="14"/>
      <c r="S37" s="13"/>
      <c r="T37" s="13"/>
      <c r="U37" s="116">
        <f t="shared" ca="1" si="6"/>
        <v>0</v>
      </c>
      <c r="V37" s="13" t="str">
        <f t="shared" ca="1" si="7"/>
        <v/>
      </c>
      <c r="W37" s="14"/>
      <c r="X37" s="115"/>
      <c r="Y37" s="130" t="b">
        <v>0</v>
      </c>
      <c r="Z37" s="115"/>
      <c r="AA37" s="130" t="b">
        <v>0</v>
      </c>
      <c r="AB37" s="115"/>
      <c r="AC37" s="130" t="b">
        <v>0</v>
      </c>
      <c r="AD37" s="13"/>
      <c r="AE37" s="13"/>
      <c r="AF37" s="130" t="b">
        <v>0</v>
      </c>
      <c r="AG37" s="13"/>
      <c r="AH37" s="130" t="b">
        <v>0</v>
      </c>
      <c r="AI37" s="13"/>
      <c r="AJ37" s="130" t="b">
        <v>0</v>
      </c>
      <c r="AK37" s="13"/>
      <c r="AL37" s="130" t="b">
        <v>0</v>
      </c>
      <c r="AM37" s="13"/>
      <c r="AN37" s="13"/>
      <c r="AO37" s="130" t="b">
        <v>0</v>
      </c>
      <c r="AP37" s="130" t="b">
        <v>0</v>
      </c>
      <c r="AQ37" s="130" t="b">
        <v>0</v>
      </c>
      <c r="AR37" s="130" t="b">
        <v>0</v>
      </c>
      <c r="AS37" s="130" t="b">
        <v>0</v>
      </c>
      <c r="AT37" s="11"/>
      <c r="AU37" s="11"/>
      <c r="AV37" s="11"/>
      <c r="AW37" s="11"/>
      <c r="AX37" s="11"/>
      <c r="AY37" s="107"/>
      <c r="AZ37" s="97"/>
      <c r="BA37" s="97"/>
      <c r="BB37" s="13"/>
      <c r="BC37" s="108"/>
      <c r="BD37" s="108"/>
      <c r="BE37" s="15"/>
      <c r="BF37" s="18"/>
      <c r="BG37" s="18"/>
      <c r="BH37" s="16"/>
      <c r="BI37" s="19"/>
      <c r="BJ37" s="19"/>
      <c r="BK37" s="20"/>
      <c r="BL37" s="21"/>
      <c r="BM37" s="111"/>
      <c r="BN37" s="112"/>
      <c r="BP37" s="27">
        <f t="shared" si="30"/>
        <v>0</v>
      </c>
      <c r="BQ37" s="28">
        <f t="shared" si="30"/>
        <v>0</v>
      </c>
      <c r="BR37" s="28">
        <f t="shared" si="30"/>
        <v>0</v>
      </c>
      <c r="BS37" s="28">
        <f t="shared" si="30"/>
        <v>0</v>
      </c>
      <c r="BT37" s="28">
        <f t="shared" si="30"/>
        <v>0</v>
      </c>
      <c r="BU37" s="28">
        <f t="shared" si="30"/>
        <v>0</v>
      </c>
      <c r="BV37" s="28">
        <f t="shared" si="30"/>
        <v>0</v>
      </c>
      <c r="BW37" s="28">
        <f t="shared" si="30"/>
        <v>0</v>
      </c>
      <c r="BX37" s="28">
        <f t="shared" si="30"/>
        <v>0</v>
      </c>
      <c r="BY37" s="28">
        <f t="shared" si="30"/>
        <v>0</v>
      </c>
      <c r="BZ37" s="28">
        <f t="shared" si="30"/>
        <v>0</v>
      </c>
      <c r="CA37" s="29">
        <f t="shared" si="30"/>
        <v>0</v>
      </c>
      <c r="CB37" s="30">
        <f t="shared" si="14"/>
        <v>0</v>
      </c>
      <c r="CD37" s="27">
        <f t="shared" si="31"/>
        <v>0</v>
      </c>
      <c r="CE37" s="28">
        <f t="shared" si="31"/>
        <v>0</v>
      </c>
      <c r="CF37" s="28">
        <f t="shared" si="31"/>
        <v>0</v>
      </c>
      <c r="CG37" s="28">
        <f t="shared" si="31"/>
        <v>0</v>
      </c>
      <c r="CH37" s="28">
        <f t="shared" si="31"/>
        <v>0</v>
      </c>
      <c r="CI37" s="28">
        <f t="shared" si="31"/>
        <v>0</v>
      </c>
      <c r="CJ37" s="28">
        <f t="shared" si="31"/>
        <v>0</v>
      </c>
      <c r="CK37" s="28">
        <f t="shared" si="31"/>
        <v>0</v>
      </c>
      <c r="CL37" s="28">
        <f t="shared" si="31"/>
        <v>0</v>
      </c>
      <c r="CM37" s="28">
        <f t="shared" si="31"/>
        <v>0</v>
      </c>
      <c r="CN37" s="28">
        <f t="shared" si="31"/>
        <v>0</v>
      </c>
      <c r="CO37" s="29">
        <f t="shared" si="31"/>
        <v>0</v>
      </c>
      <c r="CP37" s="30">
        <f t="shared" si="16"/>
        <v>0</v>
      </c>
      <c r="CR37" s="27">
        <f t="shared" si="32"/>
        <v>0</v>
      </c>
      <c r="CS37" s="28">
        <f t="shared" si="32"/>
        <v>0</v>
      </c>
      <c r="CT37" s="28">
        <f t="shared" si="32"/>
        <v>0</v>
      </c>
      <c r="CU37" s="28">
        <f t="shared" si="32"/>
        <v>0</v>
      </c>
      <c r="CV37" s="28">
        <f t="shared" si="32"/>
        <v>0</v>
      </c>
      <c r="CW37" s="28">
        <f t="shared" si="32"/>
        <v>0</v>
      </c>
      <c r="CX37" s="28">
        <f t="shared" si="32"/>
        <v>0</v>
      </c>
      <c r="CY37" s="28">
        <f t="shared" si="32"/>
        <v>0</v>
      </c>
      <c r="CZ37" s="28">
        <f t="shared" si="32"/>
        <v>0</v>
      </c>
      <c r="DA37" s="28">
        <f t="shared" si="32"/>
        <v>0</v>
      </c>
      <c r="DB37" s="28">
        <f t="shared" si="32"/>
        <v>0</v>
      </c>
      <c r="DC37" s="29">
        <f t="shared" si="32"/>
        <v>0</v>
      </c>
      <c r="DD37" s="30">
        <f t="shared" si="18"/>
        <v>0</v>
      </c>
      <c r="DF37" s="27">
        <f t="shared" si="33"/>
        <v>0</v>
      </c>
      <c r="DG37" s="28">
        <f t="shared" si="33"/>
        <v>0</v>
      </c>
      <c r="DH37" s="28">
        <f t="shared" si="33"/>
        <v>0</v>
      </c>
      <c r="DI37" s="28">
        <f t="shared" si="33"/>
        <v>0</v>
      </c>
      <c r="DJ37" s="28">
        <f t="shared" si="33"/>
        <v>0</v>
      </c>
      <c r="DK37" s="28">
        <f t="shared" si="33"/>
        <v>0</v>
      </c>
      <c r="DL37" s="28">
        <f t="shared" si="33"/>
        <v>0</v>
      </c>
      <c r="DM37" s="28">
        <f t="shared" si="33"/>
        <v>0</v>
      </c>
      <c r="DN37" s="28">
        <f t="shared" si="33"/>
        <v>0</v>
      </c>
      <c r="DO37" s="28">
        <f t="shared" si="33"/>
        <v>0</v>
      </c>
      <c r="DP37" s="28">
        <f t="shared" si="33"/>
        <v>0</v>
      </c>
      <c r="DQ37" s="29">
        <f t="shared" si="33"/>
        <v>0</v>
      </c>
      <c r="DR37" s="30">
        <f t="shared" si="20"/>
        <v>0</v>
      </c>
    </row>
    <row r="38" spans="1:122" x14ac:dyDescent="0.2">
      <c r="A38">
        <f t="shared" si="5"/>
        <v>12</v>
      </c>
      <c r="B38" s="49" t="str">
        <f>_xlfn.XLOOKUP(D38,Códigos_Propuestas!$B$4:$B$10,Códigos_Propuestas!$C$4:$C$10,"!",0,1)&amp;"__"&amp;
_xlfn.XLOOKUP(G38,Códigos_Propuestas!$E$4:$E$76,Códigos_Propuestas!$F$4:$F$76,"!",1)&amp;"__"&amp;
_xlfn.XLOOKUP(K38,Códigos_Propuestas!$I$4:$I$7,Códigos_Propuestas!$J$4:$J$7,"!",1)&amp;"__"&amp;
_xlfn.XLOOKUP(L38,Códigos_Propuestas!$O$4:$O$11,Códigos_Propuestas!$Q$4:$Q$11,"!",1)&amp;"__"&amp;
_xlfn.XLOOKUP(E38,Códigos_Propuestas!$BF:$BF,Códigos_Propuestas!$BH:$BH,"!",0,1)</f>
        <v>!__!__!__!__</v>
      </c>
      <c r="C38" s="47"/>
      <c r="D38" s="11"/>
      <c r="E38" s="12"/>
      <c r="F38" s="12"/>
      <c r="G38" s="13"/>
      <c r="H38" s="13"/>
      <c r="I38" s="13"/>
      <c r="J38" s="17"/>
      <c r="K38" s="13"/>
      <c r="L38" s="14"/>
      <c r="M38" s="14"/>
      <c r="N38" s="14"/>
      <c r="O38" s="14"/>
      <c r="P38" s="14"/>
      <c r="Q38" s="14"/>
      <c r="R38" s="14"/>
      <c r="S38" s="13"/>
      <c r="T38" s="13"/>
      <c r="U38" s="116">
        <f t="shared" ca="1" si="6"/>
        <v>0</v>
      </c>
      <c r="V38" s="13" t="str">
        <f t="shared" ca="1" si="7"/>
        <v/>
      </c>
      <c r="W38" s="14"/>
      <c r="X38" s="115"/>
      <c r="Y38" s="130" t="b">
        <v>0</v>
      </c>
      <c r="Z38" s="115"/>
      <c r="AA38" s="130" t="b">
        <v>0</v>
      </c>
      <c r="AB38" s="115"/>
      <c r="AC38" s="130" t="b">
        <v>0</v>
      </c>
      <c r="AD38" s="13"/>
      <c r="AE38" s="13"/>
      <c r="AF38" s="130" t="b">
        <v>0</v>
      </c>
      <c r="AG38" s="13"/>
      <c r="AH38" s="130" t="b">
        <v>0</v>
      </c>
      <c r="AI38" s="13"/>
      <c r="AJ38" s="130" t="b">
        <v>0</v>
      </c>
      <c r="AK38" s="13"/>
      <c r="AL38" s="130" t="b">
        <v>0</v>
      </c>
      <c r="AM38" s="13"/>
      <c r="AN38" s="13"/>
      <c r="AO38" s="130" t="b">
        <v>0</v>
      </c>
      <c r="AP38" s="130" t="b">
        <v>0</v>
      </c>
      <c r="AQ38" s="130" t="b">
        <v>0</v>
      </c>
      <c r="AR38" s="130" t="b">
        <v>0</v>
      </c>
      <c r="AS38" s="130" t="b">
        <v>0</v>
      </c>
      <c r="AT38" s="11"/>
      <c r="AU38" s="11"/>
      <c r="AV38" s="11"/>
      <c r="AW38" s="11"/>
      <c r="AX38" s="11"/>
      <c r="AY38" s="107"/>
      <c r="AZ38" s="97"/>
      <c r="BA38" s="97"/>
      <c r="BB38" s="13"/>
      <c r="BC38" s="108"/>
      <c r="BD38" s="108"/>
      <c r="BE38" s="15"/>
      <c r="BF38" s="18"/>
      <c r="BG38" s="18"/>
      <c r="BH38" s="16"/>
      <c r="BI38" s="19"/>
      <c r="BJ38" s="19"/>
      <c r="BK38" s="20"/>
      <c r="BL38" s="21"/>
      <c r="BM38" s="111"/>
      <c r="BN38" s="112"/>
      <c r="BP38" s="27">
        <f t="shared" si="30"/>
        <v>0</v>
      </c>
      <c r="BQ38" s="28">
        <f t="shared" si="30"/>
        <v>0</v>
      </c>
      <c r="BR38" s="28">
        <f t="shared" si="30"/>
        <v>0</v>
      </c>
      <c r="BS38" s="28">
        <f t="shared" si="30"/>
        <v>0</v>
      </c>
      <c r="BT38" s="28">
        <f t="shared" si="30"/>
        <v>0</v>
      </c>
      <c r="BU38" s="28">
        <f t="shared" si="30"/>
        <v>0</v>
      </c>
      <c r="BV38" s="28">
        <f t="shared" si="30"/>
        <v>0</v>
      </c>
      <c r="BW38" s="28">
        <f t="shared" si="30"/>
        <v>0</v>
      </c>
      <c r="BX38" s="28">
        <f t="shared" si="30"/>
        <v>0</v>
      </c>
      <c r="BY38" s="28">
        <f t="shared" si="30"/>
        <v>0</v>
      </c>
      <c r="BZ38" s="28">
        <f t="shared" si="30"/>
        <v>0</v>
      </c>
      <c r="CA38" s="29">
        <f t="shared" si="30"/>
        <v>0</v>
      </c>
      <c r="CB38" s="30">
        <f t="shared" si="14"/>
        <v>0</v>
      </c>
      <c r="CD38" s="27">
        <f t="shared" si="31"/>
        <v>0</v>
      </c>
      <c r="CE38" s="28">
        <f t="shared" si="31"/>
        <v>0</v>
      </c>
      <c r="CF38" s="28">
        <f t="shared" si="31"/>
        <v>0</v>
      </c>
      <c r="CG38" s="28">
        <f t="shared" si="31"/>
        <v>0</v>
      </c>
      <c r="CH38" s="28">
        <f t="shared" si="31"/>
        <v>0</v>
      </c>
      <c r="CI38" s="28">
        <f t="shared" si="31"/>
        <v>0</v>
      </c>
      <c r="CJ38" s="28">
        <f t="shared" si="31"/>
        <v>0</v>
      </c>
      <c r="CK38" s="28">
        <f t="shared" si="31"/>
        <v>0</v>
      </c>
      <c r="CL38" s="28">
        <f t="shared" si="31"/>
        <v>0</v>
      </c>
      <c r="CM38" s="28">
        <f t="shared" si="31"/>
        <v>0</v>
      </c>
      <c r="CN38" s="28">
        <f t="shared" si="31"/>
        <v>0</v>
      </c>
      <c r="CO38" s="29">
        <f t="shared" si="31"/>
        <v>0</v>
      </c>
      <c r="CP38" s="30">
        <f t="shared" si="16"/>
        <v>0</v>
      </c>
      <c r="CR38" s="27">
        <f t="shared" si="32"/>
        <v>0</v>
      </c>
      <c r="CS38" s="28">
        <f t="shared" si="32"/>
        <v>0</v>
      </c>
      <c r="CT38" s="28">
        <f t="shared" si="32"/>
        <v>0</v>
      </c>
      <c r="CU38" s="28">
        <f t="shared" si="32"/>
        <v>0</v>
      </c>
      <c r="CV38" s="28">
        <f t="shared" si="32"/>
        <v>0</v>
      </c>
      <c r="CW38" s="28">
        <f t="shared" si="32"/>
        <v>0</v>
      </c>
      <c r="CX38" s="28">
        <f t="shared" si="32"/>
        <v>0</v>
      </c>
      <c r="CY38" s="28">
        <f t="shared" si="32"/>
        <v>0</v>
      </c>
      <c r="CZ38" s="28">
        <f t="shared" si="32"/>
        <v>0</v>
      </c>
      <c r="DA38" s="28">
        <f t="shared" si="32"/>
        <v>0</v>
      </c>
      <c r="DB38" s="28">
        <f t="shared" si="32"/>
        <v>0</v>
      </c>
      <c r="DC38" s="29">
        <f t="shared" si="32"/>
        <v>0</v>
      </c>
      <c r="DD38" s="30">
        <f t="shared" si="18"/>
        <v>0</v>
      </c>
      <c r="DF38" s="27">
        <f t="shared" si="33"/>
        <v>0</v>
      </c>
      <c r="DG38" s="28">
        <f t="shared" si="33"/>
        <v>0</v>
      </c>
      <c r="DH38" s="28">
        <f t="shared" si="33"/>
        <v>0</v>
      </c>
      <c r="DI38" s="28">
        <f t="shared" si="33"/>
        <v>0</v>
      </c>
      <c r="DJ38" s="28">
        <f t="shared" si="33"/>
        <v>0</v>
      </c>
      <c r="DK38" s="28">
        <f t="shared" si="33"/>
        <v>0</v>
      </c>
      <c r="DL38" s="28">
        <f t="shared" si="33"/>
        <v>0</v>
      </c>
      <c r="DM38" s="28">
        <f t="shared" si="33"/>
        <v>0</v>
      </c>
      <c r="DN38" s="28">
        <f t="shared" si="33"/>
        <v>0</v>
      </c>
      <c r="DO38" s="28">
        <f t="shared" si="33"/>
        <v>0</v>
      </c>
      <c r="DP38" s="28">
        <f t="shared" si="33"/>
        <v>0</v>
      </c>
      <c r="DQ38" s="29">
        <f t="shared" si="33"/>
        <v>0</v>
      </c>
      <c r="DR38" s="30">
        <f t="shared" si="20"/>
        <v>0</v>
      </c>
    </row>
    <row r="39" spans="1:122" x14ac:dyDescent="0.2">
      <c r="A39">
        <f t="shared" si="5"/>
        <v>12</v>
      </c>
      <c r="B39" s="49" t="str">
        <f>_xlfn.XLOOKUP(D39,Códigos_Propuestas!$B$4:$B$10,Códigos_Propuestas!$C$4:$C$10,"!",0,1)&amp;"__"&amp;
_xlfn.XLOOKUP(G39,Códigos_Propuestas!$E$4:$E$76,Códigos_Propuestas!$F$4:$F$76,"!",1)&amp;"__"&amp;
_xlfn.XLOOKUP(K39,Códigos_Propuestas!$I$4:$I$7,Códigos_Propuestas!$J$4:$J$7,"!",1)&amp;"__"&amp;
_xlfn.XLOOKUP(L39,Códigos_Propuestas!$O$4:$O$11,Códigos_Propuestas!$Q$4:$Q$11,"!",1)&amp;"__"&amp;
_xlfn.XLOOKUP(E39,Códigos_Propuestas!$BF:$BF,Códigos_Propuestas!$BH:$BH,"!",0,1)</f>
        <v>!__!__!__!__</v>
      </c>
      <c r="C39" s="47"/>
      <c r="D39" s="11"/>
      <c r="E39" s="12"/>
      <c r="F39" s="12"/>
      <c r="G39" s="13"/>
      <c r="H39" s="13"/>
      <c r="I39" s="13"/>
      <c r="J39" s="17"/>
      <c r="K39" s="13"/>
      <c r="L39" s="14"/>
      <c r="M39" s="14"/>
      <c r="N39" s="14"/>
      <c r="O39" s="14"/>
      <c r="P39" s="14"/>
      <c r="Q39" s="14"/>
      <c r="R39" s="14"/>
      <c r="S39" s="13"/>
      <c r="T39" s="13"/>
      <c r="U39" s="116">
        <f t="shared" ca="1" si="6"/>
        <v>0</v>
      </c>
      <c r="V39" s="13" t="str">
        <f t="shared" ca="1" si="7"/>
        <v/>
      </c>
      <c r="W39" s="14"/>
      <c r="X39" s="115"/>
      <c r="Y39" s="130" t="b">
        <v>0</v>
      </c>
      <c r="Z39" s="115"/>
      <c r="AA39" s="130" t="b">
        <v>0</v>
      </c>
      <c r="AB39" s="115"/>
      <c r="AC39" s="130" t="b">
        <v>0</v>
      </c>
      <c r="AD39" s="13"/>
      <c r="AE39" s="13"/>
      <c r="AF39" s="130" t="b">
        <v>0</v>
      </c>
      <c r="AG39" s="13"/>
      <c r="AH39" s="130" t="b">
        <v>0</v>
      </c>
      <c r="AI39" s="13"/>
      <c r="AJ39" s="130" t="b">
        <v>0</v>
      </c>
      <c r="AK39" s="13"/>
      <c r="AL39" s="130" t="b">
        <v>0</v>
      </c>
      <c r="AM39" s="13"/>
      <c r="AN39" s="13"/>
      <c r="AO39" s="130" t="b">
        <v>0</v>
      </c>
      <c r="AP39" s="130" t="b">
        <v>0</v>
      </c>
      <c r="AQ39" s="130" t="b">
        <v>0</v>
      </c>
      <c r="AR39" s="130" t="b">
        <v>0</v>
      </c>
      <c r="AS39" s="130" t="b">
        <v>0</v>
      </c>
      <c r="AT39" s="11"/>
      <c r="AU39" s="11"/>
      <c r="AV39" s="11"/>
      <c r="AW39" s="11"/>
      <c r="AX39" s="11"/>
      <c r="AY39" s="107"/>
      <c r="AZ39" s="97"/>
      <c r="BA39" s="97"/>
      <c r="BB39" s="13"/>
      <c r="BC39" s="108"/>
      <c r="BD39" s="108"/>
      <c r="BE39" s="15"/>
      <c r="BF39" s="18"/>
      <c r="BG39" s="18"/>
      <c r="BH39" s="16"/>
      <c r="BI39" s="19"/>
      <c r="BJ39" s="19"/>
      <c r="BK39" s="20"/>
      <c r="BL39" s="21"/>
      <c r="BM39" s="111"/>
      <c r="BN39" s="112"/>
      <c r="BP39" s="27">
        <f t="shared" si="30"/>
        <v>0</v>
      </c>
      <c r="BQ39" s="28">
        <f t="shared" si="30"/>
        <v>0</v>
      </c>
      <c r="BR39" s="28">
        <f t="shared" si="30"/>
        <v>0</v>
      </c>
      <c r="BS39" s="28">
        <f t="shared" si="30"/>
        <v>0</v>
      </c>
      <c r="BT39" s="28">
        <f t="shared" si="30"/>
        <v>0</v>
      </c>
      <c r="BU39" s="28">
        <f t="shared" si="30"/>
        <v>0</v>
      </c>
      <c r="BV39" s="28">
        <f t="shared" si="30"/>
        <v>0</v>
      </c>
      <c r="BW39" s="28">
        <f t="shared" si="30"/>
        <v>0</v>
      </c>
      <c r="BX39" s="28">
        <f t="shared" si="30"/>
        <v>0</v>
      </c>
      <c r="BY39" s="28">
        <f t="shared" si="30"/>
        <v>0</v>
      </c>
      <c r="BZ39" s="28">
        <f t="shared" si="30"/>
        <v>0</v>
      </c>
      <c r="CA39" s="29">
        <f t="shared" si="30"/>
        <v>0</v>
      </c>
      <c r="CB39" s="30">
        <f t="shared" si="14"/>
        <v>0</v>
      </c>
      <c r="CD39" s="27">
        <f t="shared" si="31"/>
        <v>0</v>
      </c>
      <c r="CE39" s="28">
        <f t="shared" si="31"/>
        <v>0</v>
      </c>
      <c r="CF39" s="28">
        <f t="shared" si="31"/>
        <v>0</v>
      </c>
      <c r="CG39" s="28">
        <f t="shared" si="31"/>
        <v>0</v>
      </c>
      <c r="CH39" s="28">
        <f t="shared" si="31"/>
        <v>0</v>
      </c>
      <c r="CI39" s="28">
        <f t="shared" si="31"/>
        <v>0</v>
      </c>
      <c r="CJ39" s="28">
        <f t="shared" si="31"/>
        <v>0</v>
      </c>
      <c r="CK39" s="28">
        <f t="shared" si="31"/>
        <v>0</v>
      </c>
      <c r="CL39" s="28">
        <f t="shared" si="31"/>
        <v>0</v>
      </c>
      <c r="CM39" s="28">
        <f t="shared" si="31"/>
        <v>0</v>
      </c>
      <c r="CN39" s="28">
        <f t="shared" si="31"/>
        <v>0</v>
      </c>
      <c r="CO39" s="29">
        <f t="shared" si="31"/>
        <v>0</v>
      </c>
      <c r="CP39" s="30">
        <f t="shared" si="16"/>
        <v>0</v>
      </c>
      <c r="CR39" s="27">
        <f t="shared" si="32"/>
        <v>0</v>
      </c>
      <c r="CS39" s="28">
        <f t="shared" si="32"/>
        <v>0</v>
      </c>
      <c r="CT39" s="28">
        <f t="shared" si="32"/>
        <v>0</v>
      </c>
      <c r="CU39" s="28">
        <f t="shared" si="32"/>
        <v>0</v>
      </c>
      <c r="CV39" s="28">
        <f t="shared" si="32"/>
        <v>0</v>
      </c>
      <c r="CW39" s="28">
        <f t="shared" si="32"/>
        <v>0</v>
      </c>
      <c r="CX39" s="28">
        <f t="shared" si="32"/>
        <v>0</v>
      </c>
      <c r="CY39" s="28">
        <f t="shared" si="32"/>
        <v>0</v>
      </c>
      <c r="CZ39" s="28">
        <f t="shared" si="32"/>
        <v>0</v>
      </c>
      <c r="DA39" s="28">
        <f t="shared" si="32"/>
        <v>0</v>
      </c>
      <c r="DB39" s="28">
        <f t="shared" si="32"/>
        <v>0</v>
      </c>
      <c r="DC39" s="29">
        <f t="shared" si="32"/>
        <v>0</v>
      </c>
      <c r="DD39" s="30">
        <f t="shared" si="18"/>
        <v>0</v>
      </c>
      <c r="DF39" s="27">
        <f t="shared" si="33"/>
        <v>0</v>
      </c>
      <c r="DG39" s="28">
        <f t="shared" si="33"/>
        <v>0</v>
      </c>
      <c r="DH39" s="28">
        <f t="shared" si="33"/>
        <v>0</v>
      </c>
      <c r="DI39" s="28">
        <f t="shared" si="33"/>
        <v>0</v>
      </c>
      <c r="DJ39" s="28">
        <f t="shared" si="33"/>
        <v>0</v>
      </c>
      <c r="DK39" s="28">
        <f t="shared" si="33"/>
        <v>0</v>
      </c>
      <c r="DL39" s="28">
        <f t="shared" si="33"/>
        <v>0</v>
      </c>
      <c r="DM39" s="28">
        <f t="shared" si="33"/>
        <v>0</v>
      </c>
      <c r="DN39" s="28">
        <f t="shared" si="33"/>
        <v>0</v>
      </c>
      <c r="DO39" s="28">
        <f t="shared" si="33"/>
        <v>0</v>
      </c>
      <c r="DP39" s="28">
        <f t="shared" si="33"/>
        <v>0</v>
      </c>
      <c r="DQ39" s="29">
        <f t="shared" si="33"/>
        <v>0</v>
      </c>
      <c r="DR39" s="30">
        <f t="shared" si="20"/>
        <v>0</v>
      </c>
    </row>
    <row r="40" spans="1:122" x14ac:dyDescent="0.2">
      <c r="A40">
        <f t="shared" si="5"/>
        <v>12</v>
      </c>
      <c r="B40" s="49" t="str">
        <f>_xlfn.XLOOKUP(D40,Códigos_Propuestas!$B$4:$B$10,Códigos_Propuestas!$C$4:$C$10,"!",0,1)&amp;"__"&amp;
_xlfn.XLOOKUP(G40,Códigos_Propuestas!$E$4:$E$76,Códigos_Propuestas!$F$4:$F$76,"!",1)&amp;"__"&amp;
_xlfn.XLOOKUP(K40,Códigos_Propuestas!$I$4:$I$7,Códigos_Propuestas!$J$4:$J$7,"!",1)&amp;"__"&amp;
_xlfn.XLOOKUP(L40,Códigos_Propuestas!$O$4:$O$11,Códigos_Propuestas!$Q$4:$Q$11,"!",1)&amp;"__"&amp;
_xlfn.XLOOKUP(E40,Códigos_Propuestas!$BF:$BF,Códigos_Propuestas!$BH:$BH,"!",0,1)</f>
        <v>!__!__!__!__</v>
      </c>
      <c r="C40" s="47"/>
      <c r="D40" s="11"/>
      <c r="E40" s="12"/>
      <c r="F40" s="12"/>
      <c r="G40" s="13"/>
      <c r="H40" s="13"/>
      <c r="I40" s="13"/>
      <c r="J40" s="17"/>
      <c r="K40" s="13"/>
      <c r="L40" s="14"/>
      <c r="M40" s="14"/>
      <c r="N40" s="14"/>
      <c r="O40" s="14"/>
      <c r="P40" s="14"/>
      <c r="Q40" s="14"/>
      <c r="R40" s="14"/>
      <c r="S40" s="13"/>
      <c r="T40" s="13"/>
      <c r="U40" s="116">
        <f t="shared" ca="1" si="6"/>
        <v>0</v>
      </c>
      <c r="V40" s="13" t="str">
        <f t="shared" ca="1" si="7"/>
        <v/>
      </c>
      <c r="W40" s="14"/>
      <c r="X40" s="115"/>
      <c r="Y40" s="130" t="b">
        <v>0</v>
      </c>
      <c r="Z40" s="115"/>
      <c r="AA40" s="130" t="b">
        <v>0</v>
      </c>
      <c r="AB40" s="115"/>
      <c r="AC40" s="130" t="b">
        <v>0</v>
      </c>
      <c r="AD40" s="13"/>
      <c r="AE40" s="13"/>
      <c r="AF40" s="130" t="b">
        <v>0</v>
      </c>
      <c r="AG40" s="13"/>
      <c r="AH40" s="130" t="b">
        <v>0</v>
      </c>
      <c r="AI40" s="13"/>
      <c r="AJ40" s="130" t="b">
        <v>0</v>
      </c>
      <c r="AK40" s="13"/>
      <c r="AL40" s="130" t="b">
        <v>0</v>
      </c>
      <c r="AM40" s="13"/>
      <c r="AN40" s="13"/>
      <c r="AO40" s="130" t="b">
        <v>0</v>
      </c>
      <c r="AP40" s="130" t="b">
        <v>0</v>
      </c>
      <c r="AQ40" s="130" t="b">
        <v>0</v>
      </c>
      <c r="AR40" s="130" t="b">
        <v>0</v>
      </c>
      <c r="AS40" s="130" t="b">
        <v>0</v>
      </c>
      <c r="AT40" s="11"/>
      <c r="AU40" s="11"/>
      <c r="AV40" s="11"/>
      <c r="AW40" s="11"/>
      <c r="AX40" s="11"/>
      <c r="AY40" s="107"/>
      <c r="AZ40" s="97"/>
      <c r="BA40" s="97"/>
      <c r="BB40" s="13"/>
      <c r="BC40" s="108"/>
      <c r="BD40" s="108"/>
      <c r="BE40" s="15"/>
      <c r="BF40" s="18"/>
      <c r="BG40" s="18"/>
      <c r="BH40" s="16"/>
      <c r="BI40" s="19"/>
      <c r="BJ40" s="19"/>
      <c r="BK40" s="20"/>
      <c r="BL40" s="21"/>
      <c r="BM40" s="111"/>
      <c r="BN40" s="112"/>
      <c r="BP40" s="27">
        <f t="shared" si="30"/>
        <v>0</v>
      </c>
      <c r="BQ40" s="28">
        <f t="shared" si="30"/>
        <v>0</v>
      </c>
      <c r="BR40" s="28">
        <f t="shared" si="30"/>
        <v>0</v>
      </c>
      <c r="BS40" s="28">
        <f t="shared" si="30"/>
        <v>0</v>
      </c>
      <c r="BT40" s="28">
        <f t="shared" si="30"/>
        <v>0</v>
      </c>
      <c r="BU40" s="28">
        <f t="shared" si="30"/>
        <v>0</v>
      </c>
      <c r="BV40" s="28">
        <f t="shared" si="30"/>
        <v>0</v>
      </c>
      <c r="BW40" s="28">
        <f t="shared" si="30"/>
        <v>0</v>
      </c>
      <c r="BX40" s="28">
        <f t="shared" si="30"/>
        <v>0</v>
      </c>
      <c r="BY40" s="28">
        <f t="shared" si="30"/>
        <v>0</v>
      </c>
      <c r="BZ40" s="28">
        <f t="shared" si="30"/>
        <v>0</v>
      </c>
      <c r="CA40" s="29">
        <f t="shared" si="30"/>
        <v>0</v>
      </c>
      <c r="CB40" s="30">
        <f t="shared" si="14"/>
        <v>0</v>
      </c>
      <c r="CD40" s="27">
        <f t="shared" si="31"/>
        <v>0</v>
      </c>
      <c r="CE40" s="28">
        <f t="shared" si="31"/>
        <v>0</v>
      </c>
      <c r="CF40" s="28">
        <f t="shared" si="31"/>
        <v>0</v>
      </c>
      <c r="CG40" s="28">
        <f t="shared" si="31"/>
        <v>0</v>
      </c>
      <c r="CH40" s="28">
        <f t="shared" si="31"/>
        <v>0</v>
      </c>
      <c r="CI40" s="28">
        <f t="shared" si="31"/>
        <v>0</v>
      </c>
      <c r="CJ40" s="28">
        <f t="shared" si="31"/>
        <v>0</v>
      </c>
      <c r="CK40" s="28">
        <f t="shared" si="31"/>
        <v>0</v>
      </c>
      <c r="CL40" s="28">
        <f t="shared" si="31"/>
        <v>0</v>
      </c>
      <c r="CM40" s="28">
        <f t="shared" si="31"/>
        <v>0</v>
      </c>
      <c r="CN40" s="28">
        <f t="shared" si="31"/>
        <v>0</v>
      </c>
      <c r="CO40" s="29">
        <f t="shared" si="31"/>
        <v>0</v>
      </c>
      <c r="CP40" s="30">
        <f t="shared" si="16"/>
        <v>0</v>
      </c>
      <c r="CR40" s="27">
        <f t="shared" si="32"/>
        <v>0</v>
      </c>
      <c r="CS40" s="28">
        <f t="shared" si="32"/>
        <v>0</v>
      </c>
      <c r="CT40" s="28">
        <f t="shared" si="32"/>
        <v>0</v>
      </c>
      <c r="CU40" s="28">
        <f t="shared" si="32"/>
        <v>0</v>
      </c>
      <c r="CV40" s="28">
        <f t="shared" si="32"/>
        <v>0</v>
      </c>
      <c r="CW40" s="28">
        <f t="shared" si="32"/>
        <v>0</v>
      </c>
      <c r="CX40" s="28">
        <f t="shared" si="32"/>
        <v>0</v>
      </c>
      <c r="CY40" s="28">
        <f t="shared" si="32"/>
        <v>0</v>
      </c>
      <c r="CZ40" s="28">
        <f t="shared" si="32"/>
        <v>0</v>
      </c>
      <c r="DA40" s="28">
        <f t="shared" si="32"/>
        <v>0</v>
      </c>
      <c r="DB40" s="28">
        <f t="shared" si="32"/>
        <v>0</v>
      </c>
      <c r="DC40" s="29">
        <f t="shared" si="32"/>
        <v>0</v>
      </c>
      <c r="DD40" s="30">
        <f t="shared" si="18"/>
        <v>0</v>
      </c>
      <c r="DF40" s="27">
        <f t="shared" si="33"/>
        <v>0</v>
      </c>
      <c r="DG40" s="28">
        <f t="shared" si="33"/>
        <v>0</v>
      </c>
      <c r="DH40" s="28">
        <f t="shared" si="33"/>
        <v>0</v>
      </c>
      <c r="DI40" s="28">
        <f t="shared" si="33"/>
        <v>0</v>
      </c>
      <c r="DJ40" s="28">
        <f t="shared" si="33"/>
        <v>0</v>
      </c>
      <c r="DK40" s="28">
        <f t="shared" si="33"/>
        <v>0</v>
      </c>
      <c r="DL40" s="28">
        <f t="shared" si="33"/>
        <v>0</v>
      </c>
      <c r="DM40" s="28">
        <f t="shared" si="33"/>
        <v>0</v>
      </c>
      <c r="DN40" s="28">
        <f t="shared" si="33"/>
        <v>0</v>
      </c>
      <c r="DO40" s="28">
        <f t="shared" si="33"/>
        <v>0</v>
      </c>
      <c r="DP40" s="28">
        <f t="shared" si="33"/>
        <v>0</v>
      </c>
      <c r="DQ40" s="29">
        <f t="shared" si="33"/>
        <v>0</v>
      </c>
      <c r="DR40" s="30">
        <f t="shared" si="20"/>
        <v>0</v>
      </c>
    </row>
    <row r="41" spans="1:122" x14ac:dyDescent="0.2">
      <c r="A41">
        <f t="shared" si="5"/>
        <v>12</v>
      </c>
      <c r="B41" s="49" t="str">
        <f>_xlfn.XLOOKUP(D41,Códigos_Propuestas!$B$4:$B$10,Códigos_Propuestas!$C$4:$C$10,"!",0,1)&amp;"__"&amp;
_xlfn.XLOOKUP(G41,Códigos_Propuestas!$E$4:$E$76,Códigos_Propuestas!$F$4:$F$76,"!",1)&amp;"__"&amp;
_xlfn.XLOOKUP(K41,Códigos_Propuestas!$I$4:$I$7,Códigos_Propuestas!$J$4:$J$7,"!",1)&amp;"__"&amp;
_xlfn.XLOOKUP(L41,Códigos_Propuestas!$O$4:$O$11,Códigos_Propuestas!$Q$4:$Q$11,"!",1)&amp;"__"&amp;
_xlfn.XLOOKUP(E41,Códigos_Propuestas!$BF:$BF,Códigos_Propuestas!$BH:$BH,"!",0,1)</f>
        <v>!__!__!__!__</v>
      </c>
      <c r="C41" s="47"/>
      <c r="D41" s="11"/>
      <c r="E41" s="12"/>
      <c r="F41" s="12"/>
      <c r="G41" s="13"/>
      <c r="H41" s="13"/>
      <c r="I41" s="13"/>
      <c r="J41" s="17"/>
      <c r="K41" s="13"/>
      <c r="L41" s="14"/>
      <c r="M41" s="14"/>
      <c r="N41" s="14"/>
      <c r="O41" s="14"/>
      <c r="P41" s="14"/>
      <c r="Q41" s="14"/>
      <c r="R41" s="14"/>
      <c r="S41" s="13"/>
      <c r="T41" s="13"/>
      <c r="U41" s="116">
        <f t="shared" ca="1" si="6"/>
        <v>0</v>
      </c>
      <c r="V41" s="13" t="str">
        <f t="shared" ca="1" si="7"/>
        <v/>
      </c>
      <c r="W41" s="14"/>
      <c r="X41" s="115"/>
      <c r="Y41" s="130" t="b">
        <v>0</v>
      </c>
      <c r="Z41" s="115"/>
      <c r="AA41" s="130" t="b">
        <v>0</v>
      </c>
      <c r="AB41" s="115"/>
      <c r="AC41" s="130" t="b">
        <v>0</v>
      </c>
      <c r="AD41" s="13"/>
      <c r="AE41" s="13"/>
      <c r="AF41" s="130" t="b">
        <v>0</v>
      </c>
      <c r="AG41" s="13"/>
      <c r="AH41" s="130" t="b">
        <v>0</v>
      </c>
      <c r="AI41" s="13"/>
      <c r="AJ41" s="130" t="b">
        <v>0</v>
      </c>
      <c r="AK41" s="13"/>
      <c r="AL41" s="130" t="b">
        <v>0</v>
      </c>
      <c r="AM41" s="13"/>
      <c r="AN41" s="13"/>
      <c r="AO41" s="130" t="b">
        <v>0</v>
      </c>
      <c r="AP41" s="130" t="b">
        <v>0</v>
      </c>
      <c r="AQ41" s="130" t="b">
        <v>0</v>
      </c>
      <c r="AR41" s="130" t="b">
        <v>0</v>
      </c>
      <c r="AS41" s="130" t="b">
        <v>0</v>
      </c>
      <c r="AT41" s="11"/>
      <c r="AU41" s="11"/>
      <c r="AV41" s="11"/>
      <c r="AW41" s="11"/>
      <c r="AX41" s="11"/>
      <c r="AY41" s="107"/>
      <c r="AZ41" s="97"/>
      <c r="BA41" s="97"/>
      <c r="BB41" s="13"/>
      <c r="BC41" s="108"/>
      <c r="BD41" s="108"/>
      <c r="BE41" s="15"/>
      <c r="BF41" s="18"/>
      <c r="BG41" s="18"/>
      <c r="BH41" s="16"/>
      <c r="BI41" s="19"/>
      <c r="BJ41" s="19"/>
      <c r="BK41" s="20"/>
      <c r="BL41" s="21"/>
      <c r="BM41" s="111"/>
      <c r="BN41" s="112"/>
      <c r="BP41" s="27">
        <f t="shared" si="30"/>
        <v>0</v>
      </c>
      <c r="BQ41" s="28">
        <f t="shared" si="30"/>
        <v>0</v>
      </c>
      <c r="BR41" s="28">
        <f t="shared" si="30"/>
        <v>0</v>
      </c>
      <c r="BS41" s="28">
        <f t="shared" si="30"/>
        <v>0</v>
      </c>
      <c r="BT41" s="28">
        <f t="shared" si="30"/>
        <v>0</v>
      </c>
      <c r="BU41" s="28">
        <f t="shared" si="30"/>
        <v>0</v>
      </c>
      <c r="BV41" s="28">
        <f t="shared" si="30"/>
        <v>0</v>
      </c>
      <c r="BW41" s="28">
        <f t="shared" si="30"/>
        <v>0</v>
      </c>
      <c r="BX41" s="28">
        <f t="shared" si="30"/>
        <v>0</v>
      </c>
      <c r="BY41" s="28">
        <f t="shared" si="30"/>
        <v>0</v>
      </c>
      <c r="BZ41" s="28">
        <f t="shared" si="30"/>
        <v>0</v>
      </c>
      <c r="CA41" s="29">
        <f t="shared" si="30"/>
        <v>0</v>
      </c>
      <c r="CB41" s="30">
        <f t="shared" si="14"/>
        <v>0</v>
      </c>
      <c r="CD41" s="27">
        <f t="shared" si="31"/>
        <v>0</v>
      </c>
      <c r="CE41" s="28">
        <f t="shared" si="31"/>
        <v>0</v>
      </c>
      <c r="CF41" s="28">
        <f t="shared" si="31"/>
        <v>0</v>
      </c>
      <c r="CG41" s="28">
        <f t="shared" si="31"/>
        <v>0</v>
      </c>
      <c r="CH41" s="28">
        <f t="shared" si="31"/>
        <v>0</v>
      </c>
      <c r="CI41" s="28">
        <f t="shared" si="31"/>
        <v>0</v>
      </c>
      <c r="CJ41" s="28">
        <f t="shared" si="31"/>
        <v>0</v>
      </c>
      <c r="CK41" s="28">
        <f t="shared" si="31"/>
        <v>0</v>
      </c>
      <c r="CL41" s="28">
        <f t="shared" si="31"/>
        <v>0</v>
      </c>
      <c r="CM41" s="28">
        <f t="shared" si="31"/>
        <v>0</v>
      </c>
      <c r="CN41" s="28">
        <f t="shared" si="31"/>
        <v>0</v>
      </c>
      <c r="CO41" s="29">
        <f t="shared" si="31"/>
        <v>0</v>
      </c>
      <c r="CP41" s="30">
        <f t="shared" si="16"/>
        <v>0</v>
      </c>
      <c r="CR41" s="27">
        <f t="shared" si="32"/>
        <v>0</v>
      </c>
      <c r="CS41" s="28">
        <f t="shared" si="32"/>
        <v>0</v>
      </c>
      <c r="CT41" s="28">
        <f t="shared" si="32"/>
        <v>0</v>
      </c>
      <c r="CU41" s="28">
        <f t="shared" si="32"/>
        <v>0</v>
      </c>
      <c r="CV41" s="28">
        <f t="shared" si="32"/>
        <v>0</v>
      </c>
      <c r="CW41" s="28">
        <f t="shared" si="32"/>
        <v>0</v>
      </c>
      <c r="CX41" s="28">
        <f t="shared" si="32"/>
        <v>0</v>
      </c>
      <c r="CY41" s="28">
        <f t="shared" si="32"/>
        <v>0</v>
      </c>
      <c r="CZ41" s="28">
        <f t="shared" si="32"/>
        <v>0</v>
      </c>
      <c r="DA41" s="28">
        <f t="shared" si="32"/>
        <v>0</v>
      </c>
      <c r="DB41" s="28">
        <f t="shared" si="32"/>
        <v>0</v>
      </c>
      <c r="DC41" s="29">
        <f t="shared" si="32"/>
        <v>0</v>
      </c>
      <c r="DD41" s="30">
        <f t="shared" si="18"/>
        <v>0</v>
      </c>
      <c r="DF41" s="27">
        <f t="shared" si="33"/>
        <v>0</v>
      </c>
      <c r="DG41" s="28">
        <f t="shared" si="33"/>
        <v>0</v>
      </c>
      <c r="DH41" s="28">
        <f t="shared" si="33"/>
        <v>0</v>
      </c>
      <c r="DI41" s="28">
        <f t="shared" si="33"/>
        <v>0</v>
      </c>
      <c r="DJ41" s="28">
        <f t="shared" si="33"/>
        <v>0</v>
      </c>
      <c r="DK41" s="28">
        <f t="shared" si="33"/>
        <v>0</v>
      </c>
      <c r="DL41" s="28">
        <f t="shared" si="33"/>
        <v>0</v>
      </c>
      <c r="DM41" s="28">
        <f t="shared" si="33"/>
        <v>0</v>
      </c>
      <c r="DN41" s="28">
        <f t="shared" si="33"/>
        <v>0</v>
      </c>
      <c r="DO41" s="28">
        <f t="shared" si="33"/>
        <v>0</v>
      </c>
      <c r="DP41" s="28">
        <f t="shared" si="33"/>
        <v>0</v>
      </c>
      <c r="DQ41" s="29">
        <f t="shared" si="33"/>
        <v>0</v>
      </c>
      <c r="DR41" s="30">
        <f t="shared" si="20"/>
        <v>0</v>
      </c>
    </row>
    <row r="42" spans="1:122" x14ac:dyDescent="0.2">
      <c r="A42">
        <f t="shared" si="5"/>
        <v>12</v>
      </c>
      <c r="B42" s="49" t="str">
        <f>_xlfn.XLOOKUP(D42,Códigos_Propuestas!$B$4:$B$10,Códigos_Propuestas!$C$4:$C$10,"!",0,1)&amp;"__"&amp;
_xlfn.XLOOKUP(G42,Códigos_Propuestas!$E$4:$E$76,Códigos_Propuestas!$F$4:$F$76,"!",1)&amp;"__"&amp;
_xlfn.XLOOKUP(K42,Códigos_Propuestas!$I$4:$I$7,Códigos_Propuestas!$J$4:$J$7,"!",1)&amp;"__"&amp;
_xlfn.XLOOKUP(L42,Códigos_Propuestas!$O$4:$O$11,Códigos_Propuestas!$Q$4:$Q$11,"!",1)&amp;"__"&amp;
_xlfn.XLOOKUP(E42,Códigos_Propuestas!$BF:$BF,Códigos_Propuestas!$BH:$BH,"!",0,1)</f>
        <v>!__!__!__!__</v>
      </c>
      <c r="C42" s="47"/>
      <c r="D42" s="11"/>
      <c r="E42" s="12"/>
      <c r="F42" s="12"/>
      <c r="G42" s="13"/>
      <c r="H42" s="13"/>
      <c r="I42" s="13"/>
      <c r="J42" s="17"/>
      <c r="K42" s="13"/>
      <c r="L42" s="14"/>
      <c r="M42" s="14"/>
      <c r="N42" s="14"/>
      <c r="O42" s="14"/>
      <c r="P42" s="14"/>
      <c r="Q42" s="14"/>
      <c r="R42" s="14"/>
      <c r="S42" s="13"/>
      <c r="T42" s="13"/>
      <c r="U42" s="116">
        <f t="shared" ca="1" si="6"/>
        <v>0</v>
      </c>
      <c r="V42" s="13" t="str">
        <f t="shared" ca="1" si="7"/>
        <v/>
      </c>
      <c r="W42" s="14"/>
      <c r="X42" s="115"/>
      <c r="Y42" s="130" t="b">
        <v>0</v>
      </c>
      <c r="Z42" s="115"/>
      <c r="AA42" s="130" t="b">
        <v>0</v>
      </c>
      <c r="AB42" s="115"/>
      <c r="AC42" s="130" t="b">
        <v>0</v>
      </c>
      <c r="AD42" s="13"/>
      <c r="AE42" s="13"/>
      <c r="AF42" s="130" t="b">
        <v>0</v>
      </c>
      <c r="AG42" s="13"/>
      <c r="AH42" s="130" t="b">
        <v>0</v>
      </c>
      <c r="AI42" s="13"/>
      <c r="AJ42" s="130" t="b">
        <v>0</v>
      </c>
      <c r="AK42" s="13"/>
      <c r="AL42" s="130" t="b">
        <v>0</v>
      </c>
      <c r="AM42" s="13"/>
      <c r="AN42" s="13"/>
      <c r="AO42" s="130" t="b">
        <v>0</v>
      </c>
      <c r="AP42" s="130" t="b">
        <v>0</v>
      </c>
      <c r="AQ42" s="130" t="b">
        <v>0</v>
      </c>
      <c r="AR42" s="130" t="b">
        <v>0</v>
      </c>
      <c r="AS42" s="130" t="b">
        <v>0</v>
      </c>
      <c r="AT42" s="11"/>
      <c r="AU42" s="11"/>
      <c r="AV42" s="11"/>
      <c r="AW42" s="11"/>
      <c r="AX42" s="11"/>
      <c r="AY42" s="107"/>
      <c r="AZ42" s="97"/>
      <c r="BA42" s="97"/>
      <c r="BB42" s="13"/>
      <c r="BC42" s="108"/>
      <c r="BD42" s="108"/>
      <c r="BE42" s="15"/>
      <c r="BF42" s="18"/>
      <c r="BG42" s="18"/>
      <c r="BH42" s="16"/>
      <c r="BI42" s="19"/>
      <c r="BJ42" s="19"/>
      <c r="BK42" s="20"/>
      <c r="BL42" s="21"/>
      <c r="BM42" s="111"/>
      <c r="BN42" s="112"/>
      <c r="BO42"/>
      <c r="BP42" s="27">
        <f t="shared" si="30"/>
        <v>0</v>
      </c>
      <c r="BQ42" s="28">
        <f t="shared" si="30"/>
        <v>0</v>
      </c>
      <c r="BR42" s="28">
        <f t="shared" si="30"/>
        <v>0</v>
      </c>
      <c r="BS42" s="28">
        <f t="shared" si="30"/>
        <v>0</v>
      </c>
      <c r="BT42" s="28">
        <f t="shared" si="30"/>
        <v>0</v>
      </c>
      <c r="BU42" s="28">
        <f t="shared" si="30"/>
        <v>0</v>
      </c>
      <c r="BV42" s="28">
        <f t="shared" si="30"/>
        <v>0</v>
      </c>
      <c r="BW42" s="28">
        <f t="shared" si="30"/>
        <v>0</v>
      </c>
      <c r="BX42" s="28">
        <f t="shared" si="30"/>
        <v>0</v>
      </c>
      <c r="BY42" s="28">
        <f t="shared" si="30"/>
        <v>0</v>
      </c>
      <c r="BZ42" s="28">
        <f t="shared" si="30"/>
        <v>0</v>
      </c>
      <c r="CA42" s="29">
        <f t="shared" si="30"/>
        <v>0</v>
      </c>
      <c r="CB42" s="30">
        <f t="shared" si="14"/>
        <v>0</v>
      </c>
      <c r="CD42" s="27">
        <f t="shared" si="31"/>
        <v>0</v>
      </c>
      <c r="CE42" s="28">
        <f t="shared" si="31"/>
        <v>0</v>
      </c>
      <c r="CF42" s="28">
        <f t="shared" si="31"/>
        <v>0</v>
      </c>
      <c r="CG42" s="28">
        <f t="shared" si="31"/>
        <v>0</v>
      </c>
      <c r="CH42" s="28">
        <f t="shared" si="31"/>
        <v>0</v>
      </c>
      <c r="CI42" s="28">
        <f t="shared" si="31"/>
        <v>0</v>
      </c>
      <c r="CJ42" s="28">
        <f t="shared" si="31"/>
        <v>0</v>
      </c>
      <c r="CK42" s="28">
        <f t="shared" si="31"/>
        <v>0</v>
      </c>
      <c r="CL42" s="28">
        <f t="shared" si="31"/>
        <v>0</v>
      </c>
      <c r="CM42" s="28">
        <f t="shared" si="31"/>
        <v>0</v>
      </c>
      <c r="CN42" s="28">
        <f t="shared" si="31"/>
        <v>0</v>
      </c>
      <c r="CO42" s="29">
        <f t="shared" si="31"/>
        <v>0</v>
      </c>
      <c r="CP42" s="30">
        <f t="shared" si="16"/>
        <v>0</v>
      </c>
      <c r="CR42" s="27">
        <f t="shared" si="32"/>
        <v>0</v>
      </c>
      <c r="CS42" s="28">
        <f t="shared" si="32"/>
        <v>0</v>
      </c>
      <c r="CT42" s="28">
        <f t="shared" si="32"/>
        <v>0</v>
      </c>
      <c r="CU42" s="28">
        <f t="shared" si="32"/>
        <v>0</v>
      </c>
      <c r="CV42" s="28">
        <f t="shared" si="32"/>
        <v>0</v>
      </c>
      <c r="CW42" s="28">
        <f t="shared" si="32"/>
        <v>0</v>
      </c>
      <c r="CX42" s="28">
        <f t="shared" si="32"/>
        <v>0</v>
      </c>
      <c r="CY42" s="28">
        <f t="shared" si="32"/>
        <v>0</v>
      </c>
      <c r="CZ42" s="28">
        <f t="shared" si="32"/>
        <v>0</v>
      </c>
      <c r="DA42" s="28">
        <f t="shared" si="32"/>
        <v>0</v>
      </c>
      <c r="DB42" s="28">
        <f t="shared" si="32"/>
        <v>0</v>
      </c>
      <c r="DC42" s="29">
        <f t="shared" si="32"/>
        <v>0</v>
      </c>
      <c r="DD42" s="30">
        <f t="shared" si="18"/>
        <v>0</v>
      </c>
      <c r="DF42" s="27">
        <f t="shared" si="33"/>
        <v>0</v>
      </c>
      <c r="DG42" s="28">
        <f t="shared" si="33"/>
        <v>0</v>
      </c>
      <c r="DH42" s="28">
        <f t="shared" si="33"/>
        <v>0</v>
      </c>
      <c r="DI42" s="28">
        <f t="shared" si="33"/>
        <v>0</v>
      </c>
      <c r="DJ42" s="28">
        <f t="shared" si="33"/>
        <v>0</v>
      </c>
      <c r="DK42" s="28">
        <f t="shared" si="33"/>
        <v>0</v>
      </c>
      <c r="DL42" s="28">
        <f t="shared" si="33"/>
        <v>0</v>
      </c>
      <c r="DM42" s="28">
        <f t="shared" si="33"/>
        <v>0</v>
      </c>
      <c r="DN42" s="28">
        <f t="shared" si="33"/>
        <v>0</v>
      </c>
      <c r="DO42" s="28">
        <f t="shared" si="33"/>
        <v>0</v>
      </c>
      <c r="DP42" s="28">
        <f t="shared" si="33"/>
        <v>0</v>
      </c>
      <c r="DQ42" s="29">
        <f t="shared" si="33"/>
        <v>0</v>
      </c>
      <c r="DR42" s="30">
        <f t="shared" si="20"/>
        <v>0</v>
      </c>
    </row>
    <row r="43" spans="1:122" x14ac:dyDescent="0.2">
      <c r="A43">
        <f t="shared" si="5"/>
        <v>12</v>
      </c>
      <c r="B43" s="49" t="str">
        <f>_xlfn.XLOOKUP(D43,Códigos_Propuestas!$B$4:$B$10,Códigos_Propuestas!$C$4:$C$10,"!",0,1)&amp;"__"&amp;
_xlfn.XLOOKUP(G43,Códigos_Propuestas!$E$4:$E$76,Códigos_Propuestas!$F$4:$F$76,"!",1)&amp;"__"&amp;
_xlfn.XLOOKUP(K43,Códigos_Propuestas!$I$4:$I$7,Códigos_Propuestas!$J$4:$J$7,"!",1)&amp;"__"&amp;
_xlfn.XLOOKUP(L43,Códigos_Propuestas!$O$4:$O$11,Códigos_Propuestas!$Q$4:$Q$11,"!",1)&amp;"__"&amp;
_xlfn.XLOOKUP(E43,Códigos_Propuestas!$BF:$BF,Códigos_Propuestas!$BH:$BH,"!",0,1)</f>
        <v>!__!__!__!__</v>
      </c>
      <c r="C43" s="47"/>
      <c r="D43" s="11"/>
      <c r="E43" s="12"/>
      <c r="F43" s="12"/>
      <c r="G43" s="13"/>
      <c r="H43" s="13"/>
      <c r="I43" s="13"/>
      <c r="J43" s="17"/>
      <c r="K43" s="13"/>
      <c r="L43" s="14"/>
      <c r="M43" s="14"/>
      <c r="N43" s="14"/>
      <c r="O43" s="14"/>
      <c r="P43" s="14"/>
      <c r="Q43" s="14"/>
      <c r="R43" s="14"/>
      <c r="S43" s="13"/>
      <c r="T43" s="13"/>
      <c r="U43" s="116">
        <f t="shared" ca="1" si="6"/>
        <v>0</v>
      </c>
      <c r="V43" s="13" t="str">
        <f t="shared" ca="1" si="7"/>
        <v/>
      </c>
      <c r="W43" s="14"/>
      <c r="X43" s="115"/>
      <c r="Y43" s="130" t="b">
        <v>0</v>
      </c>
      <c r="Z43" s="115"/>
      <c r="AA43" s="130" t="b">
        <v>0</v>
      </c>
      <c r="AB43" s="115"/>
      <c r="AC43" s="130" t="b">
        <v>0</v>
      </c>
      <c r="AD43" s="13"/>
      <c r="AE43" s="13"/>
      <c r="AF43" s="130" t="b">
        <v>0</v>
      </c>
      <c r="AG43" s="13"/>
      <c r="AH43" s="130" t="b">
        <v>0</v>
      </c>
      <c r="AI43" s="13"/>
      <c r="AJ43" s="130" t="b">
        <v>0</v>
      </c>
      <c r="AK43" s="13"/>
      <c r="AL43" s="130" t="b">
        <v>0</v>
      </c>
      <c r="AM43" s="13"/>
      <c r="AN43" s="13"/>
      <c r="AO43" s="130" t="b">
        <v>0</v>
      </c>
      <c r="AP43" s="130" t="b">
        <v>0</v>
      </c>
      <c r="AQ43" s="130" t="b">
        <v>0</v>
      </c>
      <c r="AR43" s="130" t="b">
        <v>0</v>
      </c>
      <c r="AS43" s="130" t="b">
        <v>0</v>
      </c>
      <c r="AT43" s="11"/>
      <c r="AU43" s="11"/>
      <c r="AV43" s="11"/>
      <c r="AW43" s="11"/>
      <c r="AX43" s="11"/>
      <c r="AY43" s="107"/>
      <c r="AZ43" s="97"/>
      <c r="BA43" s="97"/>
      <c r="BB43" s="13"/>
      <c r="BC43" s="108"/>
      <c r="BD43" s="108"/>
      <c r="BE43" s="15"/>
      <c r="BF43" s="18"/>
      <c r="BG43" s="18"/>
      <c r="BH43" s="16"/>
      <c r="BI43" s="19"/>
      <c r="BJ43" s="19"/>
      <c r="BK43" s="20"/>
      <c r="BL43" s="21"/>
      <c r="BM43" s="111"/>
      <c r="BN43" s="112"/>
      <c r="BO43"/>
      <c r="BP43" s="27">
        <f t="shared" si="30"/>
        <v>0</v>
      </c>
      <c r="BQ43" s="28">
        <f t="shared" si="30"/>
        <v>0</v>
      </c>
      <c r="BR43" s="28">
        <f t="shared" si="30"/>
        <v>0</v>
      </c>
      <c r="BS43" s="28">
        <f t="shared" si="30"/>
        <v>0</v>
      </c>
      <c r="BT43" s="28">
        <f t="shared" si="30"/>
        <v>0</v>
      </c>
      <c r="BU43" s="28">
        <f t="shared" si="30"/>
        <v>0</v>
      </c>
      <c r="BV43" s="28">
        <f t="shared" si="30"/>
        <v>0</v>
      </c>
      <c r="BW43" s="28">
        <f t="shared" si="30"/>
        <v>0</v>
      </c>
      <c r="BX43" s="28">
        <f t="shared" si="30"/>
        <v>0</v>
      </c>
      <c r="BY43" s="28">
        <f t="shared" si="30"/>
        <v>0</v>
      </c>
      <c r="BZ43" s="28">
        <f t="shared" si="30"/>
        <v>0</v>
      </c>
      <c r="CA43" s="29">
        <f t="shared" si="30"/>
        <v>0</v>
      </c>
      <c r="CB43" s="30">
        <f t="shared" si="14"/>
        <v>0</v>
      </c>
      <c r="CD43" s="27">
        <f t="shared" si="31"/>
        <v>0</v>
      </c>
      <c r="CE43" s="28">
        <f t="shared" si="31"/>
        <v>0</v>
      </c>
      <c r="CF43" s="28">
        <f t="shared" si="31"/>
        <v>0</v>
      </c>
      <c r="CG43" s="28">
        <f t="shared" si="31"/>
        <v>0</v>
      </c>
      <c r="CH43" s="28">
        <f t="shared" si="31"/>
        <v>0</v>
      </c>
      <c r="CI43" s="28">
        <f t="shared" si="31"/>
        <v>0</v>
      </c>
      <c r="CJ43" s="28">
        <f t="shared" si="31"/>
        <v>0</v>
      </c>
      <c r="CK43" s="28">
        <f t="shared" si="31"/>
        <v>0</v>
      </c>
      <c r="CL43" s="28">
        <f t="shared" si="31"/>
        <v>0</v>
      </c>
      <c r="CM43" s="28">
        <f t="shared" si="31"/>
        <v>0</v>
      </c>
      <c r="CN43" s="28">
        <f t="shared" si="31"/>
        <v>0</v>
      </c>
      <c r="CO43" s="29">
        <f t="shared" si="31"/>
        <v>0</v>
      </c>
      <c r="CP43" s="30">
        <f t="shared" si="16"/>
        <v>0</v>
      </c>
      <c r="CR43" s="27">
        <f t="shared" si="32"/>
        <v>0</v>
      </c>
      <c r="CS43" s="28">
        <f t="shared" si="32"/>
        <v>0</v>
      </c>
      <c r="CT43" s="28">
        <f t="shared" si="32"/>
        <v>0</v>
      </c>
      <c r="CU43" s="28">
        <f t="shared" si="32"/>
        <v>0</v>
      </c>
      <c r="CV43" s="28">
        <f t="shared" si="32"/>
        <v>0</v>
      </c>
      <c r="CW43" s="28">
        <f t="shared" si="32"/>
        <v>0</v>
      </c>
      <c r="CX43" s="28">
        <f t="shared" si="32"/>
        <v>0</v>
      </c>
      <c r="CY43" s="28">
        <f t="shared" si="32"/>
        <v>0</v>
      </c>
      <c r="CZ43" s="28">
        <f t="shared" si="32"/>
        <v>0</v>
      </c>
      <c r="DA43" s="28">
        <f t="shared" si="32"/>
        <v>0</v>
      </c>
      <c r="DB43" s="28">
        <f t="shared" si="32"/>
        <v>0</v>
      </c>
      <c r="DC43" s="29">
        <f t="shared" si="32"/>
        <v>0</v>
      </c>
      <c r="DD43" s="30">
        <f t="shared" si="18"/>
        <v>0</v>
      </c>
      <c r="DF43" s="27">
        <f t="shared" si="33"/>
        <v>0</v>
      </c>
      <c r="DG43" s="28">
        <f t="shared" si="33"/>
        <v>0</v>
      </c>
      <c r="DH43" s="28">
        <f t="shared" si="33"/>
        <v>0</v>
      </c>
      <c r="DI43" s="28">
        <f t="shared" si="33"/>
        <v>0</v>
      </c>
      <c r="DJ43" s="28">
        <f t="shared" si="33"/>
        <v>0</v>
      </c>
      <c r="DK43" s="28">
        <f t="shared" si="33"/>
        <v>0</v>
      </c>
      <c r="DL43" s="28">
        <f t="shared" si="33"/>
        <v>0</v>
      </c>
      <c r="DM43" s="28">
        <f t="shared" si="33"/>
        <v>0</v>
      </c>
      <c r="DN43" s="28">
        <f t="shared" si="33"/>
        <v>0</v>
      </c>
      <c r="DO43" s="28">
        <f t="shared" si="33"/>
        <v>0</v>
      </c>
      <c r="DP43" s="28">
        <f t="shared" si="33"/>
        <v>0</v>
      </c>
      <c r="DQ43" s="29">
        <f t="shared" si="33"/>
        <v>0</v>
      </c>
      <c r="DR43" s="30">
        <f t="shared" si="20"/>
        <v>0</v>
      </c>
    </row>
    <row r="44" spans="1:122" x14ac:dyDescent="0.2">
      <c r="A44">
        <f t="shared" si="5"/>
        <v>12</v>
      </c>
      <c r="B44" s="49" t="str">
        <f>_xlfn.XLOOKUP(D44,Códigos_Propuestas!$B$4:$B$10,Códigos_Propuestas!$C$4:$C$10,"!",0,1)&amp;"__"&amp;
_xlfn.XLOOKUP(G44,Códigos_Propuestas!$E$4:$E$76,Códigos_Propuestas!$F$4:$F$76,"!",1)&amp;"__"&amp;
_xlfn.XLOOKUP(K44,Códigos_Propuestas!$I$4:$I$7,Códigos_Propuestas!$J$4:$J$7,"!",1)&amp;"__"&amp;
_xlfn.XLOOKUP(L44,Códigos_Propuestas!$O$4:$O$11,Códigos_Propuestas!$Q$4:$Q$11,"!",1)&amp;"__"&amp;
_xlfn.XLOOKUP(E44,Códigos_Propuestas!$BF:$BF,Códigos_Propuestas!$BH:$BH,"!",0,1)</f>
        <v>!__!__!__!__</v>
      </c>
      <c r="C44" s="47"/>
      <c r="D44" s="11"/>
      <c r="E44" s="12"/>
      <c r="F44" s="12"/>
      <c r="G44" s="13"/>
      <c r="H44" s="13"/>
      <c r="I44" s="13"/>
      <c r="J44" s="17"/>
      <c r="K44" s="13"/>
      <c r="L44" s="14"/>
      <c r="M44" s="14"/>
      <c r="N44" s="14"/>
      <c r="O44" s="14"/>
      <c r="P44" s="14"/>
      <c r="Q44" s="14"/>
      <c r="R44" s="14"/>
      <c r="S44" s="13"/>
      <c r="T44" s="13"/>
      <c r="U44" s="116">
        <f t="shared" ca="1" si="6"/>
        <v>0</v>
      </c>
      <c r="V44" s="13" t="str">
        <f t="shared" ca="1" si="7"/>
        <v/>
      </c>
      <c r="W44" s="14"/>
      <c r="X44" s="115"/>
      <c r="Y44" s="130" t="b">
        <v>0</v>
      </c>
      <c r="Z44" s="115"/>
      <c r="AA44" s="130" t="b">
        <v>0</v>
      </c>
      <c r="AB44" s="115"/>
      <c r="AC44" s="130" t="b">
        <v>0</v>
      </c>
      <c r="AD44" s="13"/>
      <c r="AE44" s="13"/>
      <c r="AF44" s="130" t="b">
        <v>0</v>
      </c>
      <c r="AG44" s="13"/>
      <c r="AH44" s="130" t="b">
        <v>0</v>
      </c>
      <c r="AI44" s="13"/>
      <c r="AJ44" s="130" t="b">
        <v>0</v>
      </c>
      <c r="AK44" s="13"/>
      <c r="AL44" s="130" t="b">
        <v>0</v>
      </c>
      <c r="AM44" s="13"/>
      <c r="AN44" s="13"/>
      <c r="AO44" s="130" t="b">
        <v>0</v>
      </c>
      <c r="AP44" s="130" t="b">
        <v>0</v>
      </c>
      <c r="AQ44" s="130" t="b">
        <v>0</v>
      </c>
      <c r="AR44" s="130" t="b">
        <v>0</v>
      </c>
      <c r="AS44" s="130" t="b">
        <v>0</v>
      </c>
      <c r="AT44" s="11"/>
      <c r="AU44" s="11"/>
      <c r="AV44" s="11"/>
      <c r="AW44" s="11"/>
      <c r="AX44" s="11"/>
      <c r="AY44" s="107"/>
      <c r="AZ44" s="97"/>
      <c r="BA44" s="97"/>
      <c r="BB44" s="13"/>
      <c r="BC44" s="108"/>
      <c r="BD44" s="108"/>
      <c r="BE44" s="15"/>
      <c r="BF44" s="18"/>
      <c r="BG44" s="18"/>
      <c r="BH44" s="16"/>
      <c r="BI44" s="19"/>
      <c r="BJ44" s="19"/>
      <c r="BK44" s="20"/>
      <c r="BL44" s="21"/>
      <c r="BM44" s="111"/>
      <c r="BN44" s="112"/>
      <c r="BO44"/>
      <c r="BP44" s="27">
        <f t="shared" si="30"/>
        <v>0</v>
      </c>
      <c r="BQ44" s="28">
        <f t="shared" si="30"/>
        <v>0</v>
      </c>
      <c r="BR44" s="28">
        <f t="shared" si="30"/>
        <v>0</v>
      </c>
      <c r="BS44" s="28">
        <f t="shared" si="30"/>
        <v>0</v>
      </c>
      <c r="BT44" s="28">
        <f t="shared" si="30"/>
        <v>0</v>
      </c>
      <c r="BU44" s="28">
        <f t="shared" si="30"/>
        <v>0</v>
      </c>
      <c r="BV44" s="28">
        <f t="shared" si="30"/>
        <v>0</v>
      </c>
      <c r="BW44" s="28">
        <f t="shared" si="30"/>
        <v>0</v>
      </c>
      <c r="BX44" s="28">
        <f t="shared" si="30"/>
        <v>0</v>
      </c>
      <c r="BY44" s="28">
        <f t="shared" si="30"/>
        <v>0</v>
      </c>
      <c r="BZ44" s="28">
        <f t="shared" si="30"/>
        <v>0</v>
      </c>
      <c r="CA44" s="29">
        <f t="shared" si="30"/>
        <v>0</v>
      </c>
      <c r="CB44" s="30">
        <f t="shared" si="14"/>
        <v>0</v>
      </c>
      <c r="CD44" s="27">
        <f t="shared" si="31"/>
        <v>0</v>
      </c>
      <c r="CE44" s="28">
        <f t="shared" si="31"/>
        <v>0</v>
      </c>
      <c r="CF44" s="28">
        <f t="shared" si="31"/>
        <v>0</v>
      </c>
      <c r="CG44" s="28">
        <f t="shared" si="31"/>
        <v>0</v>
      </c>
      <c r="CH44" s="28">
        <f t="shared" si="31"/>
        <v>0</v>
      </c>
      <c r="CI44" s="28">
        <f t="shared" si="31"/>
        <v>0</v>
      </c>
      <c r="CJ44" s="28">
        <f t="shared" si="31"/>
        <v>0</v>
      </c>
      <c r="CK44" s="28">
        <f t="shared" si="31"/>
        <v>0</v>
      </c>
      <c r="CL44" s="28">
        <f t="shared" si="31"/>
        <v>0</v>
      </c>
      <c r="CM44" s="28">
        <f t="shared" si="31"/>
        <v>0</v>
      </c>
      <c r="CN44" s="28">
        <f t="shared" si="31"/>
        <v>0</v>
      </c>
      <c r="CO44" s="29">
        <f t="shared" si="31"/>
        <v>0</v>
      </c>
      <c r="CP44" s="30">
        <f t="shared" si="16"/>
        <v>0</v>
      </c>
      <c r="CR44" s="27">
        <f t="shared" si="32"/>
        <v>0</v>
      </c>
      <c r="CS44" s="28">
        <f t="shared" si="32"/>
        <v>0</v>
      </c>
      <c r="CT44" s="28">
        <f t="shared" si="32"/>
        <v>0</v>
      </c>
      <c r="CU44" s="28">
        <f t="shared" si="32"/>
        <v>0</v>
      </c>
      <c r="CV44" s="28">
        <f t="shared" si="32"/>
        <v>0</v>
      </c>
      <c r="CW44" s="28">
        <f t="shared" si="32"/>
        <v>0</v>
      </c>
      <c r="CX44" s="28">
        <f t="shared" si="32"/>
        <v>0</v>
      </c>
      <c r="CY44" s="28">
        <f t="shared" si="32"/>
        <v>0</v>
      </c>
      <c r="CZ44" s="28">
        <f t="shared" si="32"/>
        <v>0</v>
      </c>
      <c r="DA44" s="28">
        <f t="shared" si="32"/>
        <v>0</v>
      </c>
      <c r="DB44" s="28">
        <f t="shared" si="32"/>
        <v>0</v>
      </c>
      <c r="DC44" s="29">
        <f t="shared" si="32"/>
        <v>0</v>
      </c>
      <c r="DD44" s="30">
        <f t="shared" si="18"/>
        <v>0</v>
      </c>
      <c r="DF44" s="27">
        <f t="shared" si="33"/>
        <v>0</v>
      </c>
      <c r="DG44" s="28">
        <f t="shared" si="33"/>
        <v>0</v>
      </c>
      <c r="DH44" s="28">
        <f t="shared" si="33"/>
        <v>0</v>
      </c>
      <c r="DI44" s="28">
        <f t="shared" si="33"/>
        <v>0</v>
      </c>
      <c r="DJ44" s="28">
        <f t="shared" si="33"/>
        <v>0</v>
      </c>
      <c r="DK44" s="28">
        <f t="shared" si="33"/>
        <v>0</v>
      </c>
      <c r="DL44" s="28">
        <f t="shared" si="33"/>
        <v>0</v>
      </c>
      <c r="DM44" s="28">
        <f t="shared" si="33"/>
        <v>0</v>
      </c>
      <c r="DN44" s="28">
        <f t="shared" si="33"/>
        <v>0</v>
      </c>
      <c r="DO44" s="28">
        <f t="shared" si="33"/>
        <v>0</v>
      </c>
      <c r="DP44" s="28">
        <f t="shared" si="33"/>
        <v>0</v>
      </c>
      <c r="DQ44" s="29">
        <f t="shared" si="33"/>
        <v>0</v>
      </c>
      <c r="DR44" s="30">
        <f t="shared" si="20"/>
        <v>0</v>
      </c>
    </row>
    <row r="45" spans="1:122" x14ac:dyDescent="0.2">
      <c r="A45">
        <f t="shared" si="5"/>
        <v>12</v>
      </c>
      <c r="B45" s="49" t="str">
        <f>_xlfn.XLOOKUP(D45,Códigos_Propuestas!$B$4:$B$10,Códigos_Propuestas!$C$4:$C$10,"!",0,1)&amp;"__"&amp;
_xlfn.XLOOKUP(G45,Códigos_Propuestas!$E$4:$E$76,Códigos_Propuestas!$F$4:$F$76,"!",1)&amp;"__"&amp;
_xlfn.XLOOKUP(K45,Códigos_Propuestas!$I$4:$I$7,Códigos_Propuestas!$J$4:$J$7,"!",1)&amp;"__"&amp;
_xlfn.XLOOKUP(L45,Códigos_Propuestas!$O$4:$O$11,Códigos_Propuestas!$Q$4:$Q$11,"!",1)&amp;"__"&amp;
_xlfn.XLOOKUP(E45,Códigos_Propuestas!$BF:$BF,Códigos_Propuestas!$BH:$BH,"!",0,1)</f>
        <v>!__!__!__!__</v>
      </c>
      <c r="C45" s="47"/>
      <c r="D45" s="11"/>
      <c r="E45" s="12"/>
      <c r="F45" s="12"/>
      <c r="G45" s="13"/>
      <c r="H45" s="13"/>
      <c r="I45" s="13"/>
      <c r="J45" s="17"/>
      <c r="K45" s="13"/>
      <c r="L45" s="14"/>
      <c r="M45" s="14"/>
      <c r="N45" s="14"/>
      <c r="O45" s="14"/>
      <c r="P45" s="14"/>
      <c r="Q45" s="14"/>
      <c r="R45" s="14"/>
      <c r="S45" s="13"/>
      <c r="T45" s="13"/>
      <c r="U45" s="116">
        <f t="shared" ca="1" si="6"/>
        <v>0</v>
      </c>
      <c r="V45" s="13" t="str">
        <f t="shared" ca="1" si="7"/>
        <v/>
      </c>
      <c r="W45" s="14"/>
      <c r="X45" s="115"/>
      <c r="Y45" s="130" t="b">
        <v>0</v>
      </c>
      <c r="Z45" s="115"/>
      <c r="AA45" s="130" t="b">
        <v>0</v>
      </c>
      <c r="AB45" s="115"/>
      <c r="AC45" s="130" t="b">
        <v>0</v>
      </c>
      <c r="AD45" s="13"/>
      <c r="AE45" s="13"/>
      <c r="AF45" s="130" t="b">
        <v>0</v>
      </c>
      <c r="AG45" s="13"/>
      <c r="AH45" s="130" t="b">
        <v>0</v>
      </c>
      <c r="AI45" s="13"/>
      <c r="AJ45" s="130" t="b">
        <v>0</v>
      </c>
      <c r="AK45" s="13"/>
      <c r="AL45" s="130" t="b">
        <v>0</v>
      </c>
      <c r="AM45" s="13"/>
      <c r="AN45" s="13"/>
      <c r="AO45" s="130" t="b">
        <v>0</v>
      </c>
      <c r="AP45" s="130" t="b">
        <v>0</v>
      </c>
      <c r="AQ45" s="130" t="b">
        <v>0</v>
      </c>
      <c r="AR45" s="130" t="b">
        <v>0</v>
      </c>
      <c r="AS45" s="130" t="b">
        <v>0</v>
      </c>
      <c r="AT45" s="11"/>
      <c r="AU45" s="11"/>
      <c r="AV45" s="11"/>
      <c r="AW45" s="11"/>
      <c r="AX45" s="11"/>
      <c r="AY45" s="107"/>
      <c r="AZ45" s="97"/>
      <c r="BA45" s="97"/>
      <c r="BB45" s="13"/>
      <c r="BC45" s="108"/>
      <c r="BD45" s="108"/>
      <c r="BE45" s="15"/>
      <c r="BF45" s="18"/>
      <c r="BG45" s="18"/>
      <c r="BH45" s="16"/>
      <c r="BI45" s="19"/>
      <c r="BJ45" s="19"/>
      <c r="BK45" s="20"/>
      <c r="BL45" s="21"/>
      <c r="BM45" s="111"/>
      <c r="BN45" s="112"/>
      <c r="BO45"/>
      <c r="BP45" s="27">
        <f t="shared" si="30"/>
        <v>0</v>
      </c>
      <c r="BQ45" s="28">
        <f t="shared" si="30"/>
        <v>0</v>
      </c>
      <c r="BR45" s="28">
        <f t="shared" si="30"/>
        <v>0</v>
      </c>
      <c r="BS45" s="28">
        <f t="shared" si="30"/>
        <v>0</v>
      </c>
      <c r="BT45" s="28">
        <f t="shared" si="30"/>
        <v>0</v>
      </c>
      <c r="BU45" s="28">
        <f t="shared" si="30"/>
        <v>0</v>
      </c>
      <c r="BV45" s="28">
        <f t="shared" si="30"/>
        <v>0</v>
      </c>
      <c r="BW45" s="28">
        <f t="shared" si="30"/>
        <v>0</v>
      </c>
      <c r="BX45" s="28">
        <f t="shared" si="30"/>
        <v>0</v>
      </c>
      <c r="BY45" s="28">
        <f t="shared" si="30"/>
        <v>0</v>
      </c>
      <c r="BZ45" s="28">
        <f t="shared" si="30"/>
        <v>0</v>
      </c>
      <c r="CA45" s="29">
        <f t="shared" si="30"/>
        <v>0</v>
      </c>
      <c r="CB45" s="30">
        <f t="shared" si="14"/>
        <v>0</v>
      </c>
      <c r="CD45" s="27">
        <f t="shared" si="31"/>
        <v>0</v>
      </c>
      <c r="CE45" s="28">
        <f t="shared" si="31"/>
        <v>0</v>
      </c>
      <c r="CF45" s="28">
        <f t="shared" si="31"/>
        <v>0</v>
      </c>
      <c r="CG45" s="28">
        <f t="shared" si="31"/>
        <v>0</v>
      </c>
      <c r="CH45" s="28">
        <f t="shared" si="31"/>
        <v>0</v>
      </c>
      <c r="CI45" s="28">
        <f t="shared" si="31"/>
        <v>0</v>
      </c>
      <c r="CJ45" s="28">
        <f t="shared" si="31"/>
        <v>0</v>
      </c>
      <c r="CK45" s="28">
        <f t="shared" si="31"/>
        <v>0</v>
      </c>
      <c r="CL45" s="28">
        <f t="shared" si="31"/>
        <v>0</v>
      </c>
      <c r="CM45" s="28">
        <f t="shared" si="31"/>
        <v>0</v>
      </c>
      <c r="CN45" s="28">
        <f t="shared" si="31"/>
        <v>0</v>
      </c>
      <c r="CO45" s="29">
        <f t="shared" si="31"/>
        <v>0</v>
      </c>
      <c r="CP45" s="30">
        <f t="shared" si="16"/>
        <v>0</v>
      </c>
      <c r="CR45" s="27">
        <f t="shared" si="32"/>
        <v>0</v>
      </c>
      <c r="CS45" s="28">
        <f t="shared" si="32"/>
        <v>0</v>
      </c>
      <c r="CT45" s="28">
        <f t="shared" si="32"/>
        <v>0</v>
      </c>
      <c r="CU45" s="28">
        <f t="shared" si="32"/>
        <v>0</v>
      </c>
      <c r="CV45" s="28">
        <f t="shared" si="32"/>
        <v>0</v>
      </c>
      <c r="CW45" s="28">
        <f t="shared" si="32"/>
        <v>0</v>
      </c>
      <c r="CX45" s="28">
        <f t="shared" si="32"/>
        <v>0</v>
      </c>
      <c r="CY45" s="28">
        <f t="shared" si="32"/>
        <v>0</v>
      </c>
      <c r="CZ45" s="28">
        <f t="shared" si="32"/>
        <v>0</v>
      </c>
      <c r="DA45" s="28">
        <f t="shared" si="32"/>
        <v>0</v>
      </c>
      <c r="DB45" s="28">
        <f t="shared" si="32"/>
        <v>0</v>
      </c>
      <c r="DC45" s="29">
        <f t="shared" si="32"/>
        <v>0</v>
      </c>
      <c r="DD45" s="30">
        <f t="shared" si="18"/>
        <v>0</v>
      </c>
      <c r="DF45" s="27">
        <f t="shared" si="33"/>
        <v>0</v>
      </c>
      <c r="DG45" s="28">
        <f t="shared" si="33"/>
        <v>0</v>
      </c>
      <c r="DH45" s="28">
        <f t="shared" si="33"/>
        <v>0</v>
      </c>
      <c r="DI45" s="28">
        <f t="shared" si="33"/>
        <v>0</v>
      </c>
      <c r="DJ45" s="28">
        <f t="shared" si="33"/>
        <v>0</v>
      </c>
      <c r="DK45" s="28">
        <f t="shared" si="33"/>
        <v>0</v>
      </c>
      <c r="DL45" s="28">
        <f t="shared" si="33"/>
        <v>0</v>
      </c>
      <c r="DM45" s="28">
        <f t="shared" si="33"/>
        <v>0</v>
      </c>
      <c r="DN45" s="28">
        <f t="shared" si="33"/>
        <v>0</v>
      </c>
      <c r="DO45" s="28">
        <f t="shared" si="33"/>
        <v>0</v>
      </c>
      <c r="DP45" s="28">
        <f t="shared" si="33"/>
        <v>0</v>
      </c>
      <c r="DQ45" s="29">
        <f t="shared" si="33"/>
        <v>0</v>
      </c>
      <c r="DR45" s="30">
        <f t="shared" si="20"/>
        <v>0</v>
      </c>
    </row>
    <row r="46" spans="1:122" x14ac:dyDescent="0.2">
      <c r="A46">
        <f t="shared" si="5"/>
        <v>12</v>
      </c>
      <c r="B46" s="49" t="str">
        <f>_xlfn.XLOOKUP(D46,Códigos_Propuestas!$B$4:$B$10,Códigos_Propuestas!$C$4:$C$10,"!",0,1)&amp;"__"&amp;
_xlfn.XLOOKUP(G46,Códigos_Propuestas!$E$4:$E$76,Códigos_Propuestas!$F$4:$F$76,"!",1)&amp;"__"&amp;
_xlfn.XLOOKUP(K46,Códigos_Propuestas!$I$4:$I$7,Códigos_Propuestas!$J$4:$J$7,"!",1)&amp;"__"&amp;
_xlfn.XLOOKUP(L46,Códigos_Propuestas!$O$4:$O$11,Códigos_Propuestas!$Q$4:$Q$11,"!",1)&amp;"__"&amp;
_xlfn.XLOOKUP(E46,Códigos_Propuestas!$BF:$BF,Códigos_Propuestas!$BH:$BH,"!",0,1)</f>
        <v>!__!__!__!__</v>
      </c>
      <c r="C46" s="47"/>
      <c r="D46" s="11"/>
      <c r="E46" s="12"/>
      <c r="F46" s="12"/>
      <c r="G46" s="13"/>
      <c r="H46" s="13"/>
      <c r="I46" s="13"/>
      <c r="J46" s="17"/>
      <c r="K46" s="13"/>
      <c r="L46" s="14"/>
      <c r="M46" s="14"/>
      <c r="N46" s="14"/>
      <c r="O46" s="14"/>
      <c r="P46" s="14"/>
      <c r="Q46" s="14"/>
      <c r="R46" s="14"/>
      <c r="S46" s="13"/>
      <c r="T46" s="13"/>
      <c r="U46" s="116">
        <f t="shared" ca="1" si="6"/>
        <v>0</v>
      </c>
      <c r="V46" s="13" t="str">
        <f t="shared" ca="1" si="7"/>
        <v/>
      </c>
      <c r="W46" s="14"/>
      <c r="X46" s="115"/>
      <c r="Y46" s="130" t="b">
        <v>0</v>
      </c>
      <c r="Z46" s="115"/>
      <c r="AA46" s="130" t="b">
        <v>0</v>
      </c>
      <c r="AB46" s="115"/>
      <c r="AC46" s="130" t="b">
        <v>0</v>
      </c>
      <c r="AD46" s="13"/>
      <c r="AE46" s="13"/>
      <c r="AF46" s="130" t="b">
        <v>0</v>
      </c>
      <c r="AG46" s="13"/>
      <c r="AH46" s="130" t="b">
        <v>0</v>
      </c>
      <c r="AI46" s="13"/>
      <c r="AJ46" s="130" t="b">
        <v>0</v>
      </c>
      <c r="AK46" s="13"/>
      <c r="AL46" s="130" t="b">
        <v>0</v>
      </c>
      <c r="AM46" s="13"/>
      <c r="AN46" s="13"/>
      <c r="AO46" s="130" t="b">
        <v>0</v>
      </c>
      <c r="AP46" s="130" t="b">
        <v>0</v>
      </c>
      <c r="AQ46" s="130" t="b">
        <v>0</v>
      </c>
      <c r="AR46" s="130" t="b">
        <v>0</v>
      </c>
      <c r="AS46" s="130" t="b">
        <v>0</v>
      </c>
      <c r="AT46" s="11"/>
      <c r="AU46" s="11"/>
      <c r="AV46" s="11"/>
      <c r="AW46" s="11"/>
      <c r="AX46" s="11"/>
      <c r="AY46" s="107"/>
      <c r="AZ46" s="97"/>
      <c r="BA46" s="97"/>
      <c r="BB46" s="13"/>
      <c r="BC46" s="108"/>
      <c r="BD46" s="108"/>
      <c r="BE46" s="15"/>
      <c r="BF46" s="18"/>
      <c r="BG46" s="18"/>
      <c r="BH46" s="16"/>
      <c r="BI46" s="19"/>
      <c r="BJ46" s="19"/>
      <c r="BK46" s="20"/>
      <c r="BL46" s="21"/>
      <c r="BM46" s="111"/>
      <c r="BN46" s="112"/>
      <c r="BO46"/>
      <c r="BP46" s="27">
        <f t="shared" si="30"/>
        <v>0</v>
      </c>
      <c r="BQ46" s="28">
        <f t="shared" si="30"/>
        <v>0</v>
      </c>
      <c r="BR46" s="28">
        <f t="shared" si="30"/>
        <v>0</v>
      </c>
      <c r="BS46" s="28">
        <f t="shared" si="30"/>
        <v>0</v>
      </c>
      <c r="BT46" s="28">
        <f t="shared" si="30"/>
        <v>0</v>
      </c>
      <c r="BU46" s="28">
        <f t="shared" si="30"/>
        <v>0</v>
      </c>
      <c r="BV46" s="28">
        <f t="shared" si="30"/>
        <v>0</v>
      </c>
      <c r="BW46" s="28">
        <f t="shared" si="30"/>
        <v>0</v>
      </c>
      <c r="BX46" s="28">
        <f t="shared" si="30"/>
        <v>0</v>
      </c>
      <c r="BY46" s="28">
        <f t="shared" si="30"/>
        <v>0</v>
      </c>
      <c r="BZ46" s="28">
        <f t="shared" si="30"/>
        <v>0</v>
      </c>
      <c r="CA46" s="29">
        <f t="shared" si="30"/>
        <v>0</v>
      </c>
      <c r="CB46" s="30">
        <f t="shared" si="14"/>
        <v>0</v>
      </c>
      <c r="CD46" s="27">
        <f t="shared" si="31"/>
        <v>0</v>
      </c>
      <c r="CE46" s="28">
        <f t="shared" si="31"/>
        <v>0</v>
      </c>
      <c r="CF46" s="28">
        <f t="shared" si="31"/>
        <v>0</v>
      </c>
      <c r="CG46" s="28">
        <f t="shared" si="31"/>
        <v>0</v>
      </c>
      <c r="CH46" s="28">
        <f t="shared" si="31"/>
        <v>0</v>
      </c>
      <c r="CI46" s="28">
        <f t="shared" si="31"/>
        <v>0</v>
      </c>
      <c r="CJ46" s="28">
        <f t="shared" si="31"/>
        <v>0</v>
      </c>
      <c r="CK46" s="28">
        <f t="shared" si="31"/>
        <v>0</v>
      </c>
      <c r="CL46" s="28">
        <f t="shared" si="31"/>
        <v>0</v>
      </c>
      <c r="CM46" s="28">
        <f t="shared" si="31"/>
        <v>0</v>
      </c>
      <c r="CN46" s="28">
        <f t="shared" si="31"/>
        <v>0</v>
      </c>
      <c r="CO46" s="29">
        <f t="shared" si="31"/>
        <v>0</v>
      </c>
      <c r="CP46" s="30">
        <f t="shared" si="16"/>
        <v>0</v>
      </c>
      <c r="CR46" s="27">
        <f t="shared" si="32"/>
        <v>0</v>
      </c>
      <c r="CS46" s="28">
        <f t="shared" si="32"/>
        <v>0</v>
      </c>
      <c r="CT46" s="28">
        <f t="shared" si="32"/>
        <v>0</v>
      </c>
      <c r="CU46" s="28">
        <f t="shared" si="32"/>
        <v>0</v>
      </c>
      <c r="CV46" s="28">
        <f t="shared" si="32"/>
        <v>0</v>
      </c>
      <c r="CW46" s="28">
        <f t="shared" si="32"/>
        <v>0</v>
      </c>
      <c r="CX46" s="28">
        <f t="shared" si="32"/>
        <v>0</v>
      </c>
      <c r="CY46" s="28">
        <f t="shared" si="32"/>
        <v>0</v>
      </c>
      <c r="CZ46" s="28">
        <f t="shared" si="32"/>
        <v>0</v>
      </c>
      <c r="DA46" s="28">
        <f t="shared" si="32"/>
        <v>0</v>
      </c>
      <c r="DB46" s="28">
        <f t="shared" si="32"/>
        <v>0</v>
      </c>
      <c r="DC46" s="29">
        <f t="shared" si="32"/>
        <v>0</v>
      </c>
      <c r="DD46" s="30">
        <f t="shared" si="18"/>
        <v>0</v>
      </c>
      <c r="DF46" s="27">
        <f t="shared" si="33"/>
        <v>0</v>
      </c>
      <c r="DG46" s="28">
        <f t="shared" si="33"/>
        <v>0</v>
      </c>
      <c r="DH46" s="28">
        <f t="shared" si="33"/>
        <v>0</v>
      </c>
      <c r="DI46" s="28">
        <f t="shared" si="33"/>
        <v>0</v>
      </c>
      <c r="DJ46" s="28">
        <f t="shared" si="33"/>
        <v>0</v>
      </c>
      <c r="DK46" s="28">
        <f t="shared" si="33"/>
        <v>0</v>
      </c>
      <c r="DL46" s="28">
        <f t="shared" si="33"/>
        <v>0</v>
      </c>
      <c r="DM46" s="28">
        <f t="shared" si="33"/>
        <v>0</v>
      </c>
      <c r="DN46" s="28">
        <f t="shared" si="33"/>
        <v>0</v>
      </c>
      <c r="DO46" s="28">
        <f t="shared" si="33"/>
        <v>0</v>
      </c>
      <c r="DP46" s="28">
        <f t="shared" si="33"/>
        <v>0</v>
      </c>
      <c r="DQ46" s="29">
        <f t="shared" si="33"/>
        <v>0</v>
      </c>
      <c r="DR46" s="30">
        <f t="shared" si="20"/>
        <v>0</v>
      </c>
    </row>
    <row r="47" spans="1:122" x14ac:dyDescent="0.2">
      <c r="A47">
        <f t="shared" si="5"/>
        <v>12</v>
      </c>
      <c r="B47" s="49" t="str">
        <f>_xlfn.XLOOKUP(D47,Códigos_Propuestas!$B$4:$B$10,Códigos_Propuestas!$C$4:$C$10,"!",0,1)&amp;"__"&amp;
_xlfn.XLOOKUP(G47,Códigos_Propuestas!$E$4:$E$76,Códigos_Propuestas!$F$4:$F$76,"!",1)&amp;"__"&amp;
_xlfn.XLOOKUP(K47,Códigos_Propuestas!$I$4:$I$7,Códigos_Propuestas!$J$4:$J$7,"!",1)&amp;"__"&amp;
_xlfn.XLOOKUP(L47,Códigos_Propuestas!$O$4:$O$11,Códigos_Propuestas!$Q$4:$Q$11,"!",1)&amp;"__"&amp;
_xlfn.XLOOKUP(E47,Códigos_Propuestas!$BF:$BF,Códigos_Propuestas!$BH:$BH,"!",0,1)</f>
        <v>!__!__!__!__</v>
      </c>
      <c r="C47" s="47"/>
      <c r="D47" s="11"/>
      <c r="E47" s="12"/>
      <c r="F47" s="12"/>
      <c r="G47" s="13"/>
      <c r="H47" s="13"/>
      <c r="I47" s="13"/>
      <c r="J47" s="17"/>
      <c r="K47" s="13"/>
      <c r="L47" s="14"/>
      <c r="M47" s="14"/>
      <c r="N47" s="14"/>
      <c r="O47" s="14"/>
      <c r="P47" s="14"/>
      <c r="Q47" s="14"/>
      <c r="R47" s="14"/>
      <c r="S47" s="13"/>
      <c r="T47" s="13"/>
      <c r="U47" s="116">
        <f t="shared" ca="1" si="6"/>
        <v>0</v>
      </c>
      <c r="V47" s="13" t="str">
        <f t="shared" ca="1" si="7"/>
        <v/>
      </c>
      <c r="W47" s="14"/>
      <c r="X47" s="115"/>
      <c r="Y47" s="130" t="b">
        <v>0</v>
      </c>
      <c r="Z47" s="115"/>
      <c r="AA47" s="130" t="b">
        <v>0</v>
      </c>
      <c r="AB47" s="115"/>
      <c r="AC47" s="130" t="b">
        <v>0</v>
      </c>
      <c r="AD47" s="13"/>
      <c r="AE47" s="13"/>
      <c r="AF47" s="130" t="b">
        <v>0</v>
      </c>
      <c r="AG47" s="13"/>
      <c r="AH47" s="130" t="b">
        <v>0</v>
      </c>
      <c r="AI47" s="13"/>
      <c r="AJ47" s="130" t="b">
        <v>0</v>
      </c>
      <c r="AK47" s="13"/>
      <c r="AL47" s="130" t="b">
        <v>0</v>
      </c>
      <c r="AM47" s="13"/>
      <c r="AN47" s="13"/>
      <c r="AO47" s="130" t="b">
        <v>0</v>
      </c>
      <c r="AP47" s="130" t="b">
        <v>0</v>
      </c>
      <c r="AQ47" s="130" t="b">
        <v>0</v>
      </c>
      <c r="AR47" s="130" t="b">
        <v>0</v>
      </c>
      <c r="AS47" s="130" t="b">
        <v>0</v>
      </c>
      <c r="AT47" s="11"/>
      <c r="AU47" s="11"/>
      <c r="AV47" s="11"/>
      <c r="AW47" s="11"/>
      <c r="AX47" s="11"/>
      <c r="AY47" s="107"/>
      <c r="AZ47" s="97"/>
      <c r="BA47" s="97"/>
      <c r="BB47" s="13"/>
      <c r="BC47" s="108"/>
      <c r="BD47" s="108"/>
      <c r="BE47" s="15"/>
      <c r="BF47" s="18"/>
      <c r="BG47" s="18"/>
      <c r="BH47" s="16"/>
      <c r="BI47" s="19"/>
      <c r="BJ47" s="19"/>
      <c r="BK47" s="20"/>
      <c r="BL47" s="21"/>
      <c r="BM47" s="111"/>
      <c r="BN47" s="112"/>
      <c r="BO47"/>
      <c r="BP47" s="27">
        <f t="shared" si="30"/>
        <v>0</v>
      </c>
      <c r="BQ47" s="28">
        <f t="shared" si="30"/>
        <v>0</v>
      </c>
      <c r="BR47" s="28">
        <f t="shared" si="30"/>
        <v>0</v>
      </c>
      <c r="BS47" s="28">
        <f t="shared" si="30"/>
        <v>0</v>
      </c>
      <c r="BT47" s="28">
        <f t="shared" si="30"/>
        <v>0</v>
      </c>
      <c r="BU47" s="28">
        <f t="shared" si="30"/>
        <v>0</v>
      </c>
      <c r="BV47" s="28">
        <f t="shared" si="30"/>
        <v>0</v>
      </c>
      <c r="BW47" s="28">
        <f t="shared" si="30"/>
        <v>0</v>
      </c>
      <c r="BX47" s="28">
        <f t="shared" si="30"/>
        <v>0</v>
      </c>
      <c r="BY47" s="28">
        <f t="shared" si="30"/>
        <v>0</v>
      </c>
      <c r="BZ47" s="28">
        <f t="shared" si="30"/>
        <v>0</v>
      </c>
      <c r="CA47" s="29">
        <f t="shared" si="30"/>
        <v>0</v>
      </c>
      <c r="CB47" s="30">
        <f t="shared" si="14"/>
        <v>0</v>
      </c>
      <c r="CD47" s="27">
        <f t="shared" si="31"/>
        <v>0</v>
      </c>
      <c r="CE47" s="28">
        <f t="shared" si="31"/>
        <v>0</v>
      </c>
      <c r="CF47" s="28">
        <f t="shared" si="31"/>
        <v>0</v>
      </c>
      <c r="CG47" s="28">
        <f t="shared" si="31"/>
        <v>0</v>
      </c>
      <c r="CH47" s="28">
        <f t="shared" si="31"/>
        <v>0</v>
      </c>
      <c r="CI47" s="28">
        <f t="shared" si="31"/>
        <v>0</v>
      </c>
      <c r="CJ47" s="28">
        <f t="shared" si="31"/>
        <v>0</v>
      </c>
      <c r="CK47" s="28">
        <f t="shared" si="31"/>
        <v>0</v>
      </c>
      <c r="CL47" s="28">
        <f t="shared" si="31"/>
        <v>0</v>
      </c>
      <c r="CM47" s="28">
        <f t="shared" si="31"/>
        <v>0</v>
      </c>
      <c r="CN47" s="28">
        <f t="shared" si="31"/>
        <v>0</v>
      </c>
      <c r="CO47" s="29">
        <f t="shared" si="31"/>
        <v>0</v>
      </c>
      <c r="CP47" s="30">
        <f t="shared" si="16"/>
        <v>0</v>
      </c>
      <c r="CR47" s="27">
        <f t="shared" si="32"/>
        <v>0</v>
      </c>
      <c r="CS47" s="28">
        <f t="shared" si="32"/>
        <v>0</v>
      </c>
      <c r="CT47" s="28">
        <f t="shared" si="32"/>
        <v>0</v>
      </c>
      <c r="CU47" s="28">
        <f t="shared" si="32"/>
        <v>0</v>
      </c>
      <c r="CV47" s="28">
        <f t="shared" si="32"/>
        <v>0</v>
      </c>
      <c r="CW47" s="28">
        <f t="shared" si="32"/>
        <v>0</v>
      </c>
      <c r="CX47" s="28">
        <f t="shared" si="32"/>
        <v>0</v>
      </c>
      <c r="CY47" s="28">
        <f t="shared" si="32"/>
        <v>0</v>
      </c>
      <c r="CZ47" s="28">
        <f t="shared" si="32"/>
        <v>0</v>
      </c>
      <c r="DA47" s="28">
        <f t="shared" si="32"/>
        <v>0</v>
      </c>
      <c r="DB47" s="28">
        <f t="shared" si="32"/>
        <v>0</v>
      </c>
      <c r="DC47" s="29">
        <f t="shared" si="32"/>
        <v>0</v>
      </c>
      <c r="DD47" s="30">
        <f t="shared" si="18"/>
        <v>0</v>
      </c>
      <c r="DF47" s="27">
        <f t="shared" si="33"/>
        <v>0</v>
      </c>
      <c r="DG47" s="28">
        <f t="shared" si="33"/>
        <v>0</v>
      </c>
      <c r="DH47" s="28">
        <f t="shared" si="33"/>
        <v>0</v>
      </c>
      <c r="DI47" s="28">
        <f t="shared" si="33"/>
        <v>0</v>
      </c>
      <c r="DJ47" s="28">
        <f t="shared" si="33"/>
        <v>0</v>
      </c>
      <c r="DK47" s="28">
        <f t="shared" si="33"/>
        <v>0</v>
      </c>
      <c r="DL47" s="28">
        <f t="shared" si="33"/>
        <v>0</v>
      </c>
      <c r="DM47" s="28">
        <f t="shared" si="33"/>
        <v>0</v>
      </c>
      <c r="DN47" s="28">
        <f t="shared" si="33"/>
        <v>0</v>
      </c>
      <c r="DO47" s="28">
        <f t="shared" si="33"/>
        <v>0</v>
      </c>
      <c r="DP47" s="28">
        <f t="shared" si="33"/>
        <v>0</v>
      </c>
      <c r="DQ47" s="29">
        <f t="shared" si="33"/>
        <v>0</v>
      </c>
      <c r="DR47" s="30">
        <f t="shared" si="20"/>
        <v>0</v>
      </c>
    </row>
    <row r="48" spans="1:122" x14ac:dyDescent="0.2">
      <c r="A48">
        <f t="shared" si="5"/>
        <v>12</v>
      </c>
      <c r="B48" s="49" t="str">
        <f>_xlfn.XLOOKUP(D48,Códigos_Propuestas!$B$4:$B$10,Códigos_Propuestas!$C$4:$C$10,"!",0,1)&amp;"__"&amp;
_xlfn.XLOOKUP(G48,Códigos_Propuestas!$E$4:$E$76,Códigos_Propuestas!$F$4:$F$76,"!",1)&amp;"__"&amp;
_xlfn.XLOOKUP(K48,Códigos_Propuestas!$I$4:$I$7,Códigos_Propuestas!$J$4:$J$7,"!",1)&amp;"__"&amp;
_xlfn.XLOOKUP(L48,Códigos_Propuestas!$O$4:$O$11,Códigos_Propuestas!$Q$4:$Q$11,"!",1)&amp;"__"&amp;
_xlfn.XLOOKUP(E48,Códigos_Propuestas!$BF:$BF,Códigos_Propuestas!$BH:$BH,"!",0,1)</f>
        <v>!__!__!__!__</v>
      </c>
      <c r="C48" s="47"/>
      <c r="D48" s="11"/>
      <c r="E48" s="12"/>
      <c r="F48" s="12"/>
      <c r="G48" s="13"/>
      <c r="H48" s="13"/>
      <c r="I48" s="13"/>
      <c r="J48" s="17"/>
      <c r="K48" s="13"/>
      <c r="L48" s="14"/>
      <c r="M48" s="14"/>
      <c r="N48" s="14"/>
      <c r="O48" s="14"/>
      <c r="P48" s="14"/>
      <c r="Q48" s="14"/>
      <c r="R48" s="14"/>
      <c r="S48" s="13"/>
      <c r="T48" s="13"/>
      <c r="U48" s="116">
        <f t="shared" ca="1" si="6"/>
        <v>0</v>
      </c>
      <c r="V48" s="13" t="str">
        <f t="shared" ca="1" si="7"/>
        <v/>
      </c>
      <c r="W48" s="14"/>
      <c r="X48" s="115"/>
      <c r="Y48" s="130" t="b">
        <v>0</v>
      </c>
      <c r="Z48" s="115"/>
      <c r="AA48" s="130" t="b">
        <v>0</v>
      </c>
      <c r="AB48" s="115"/>
      <c r="AC48" s="130" t="b">
        <v>0</v>
      </c>
      <c r="AD48" s="13"/>
      <c r="AE48" s="13"/>
      <c r="AF48" s="130" t="b">
        <v>0</v>
      </c>
      <c r="AG48" s="13"/>
      <c r="AH48" s="130" t="b">
        <v>0</v>
      </c>
      <c r="AI48" s="13"/>
      <c r="AJ48" s="130" t="b">
        <v>0</v>
      </c>
      <c r="AK48" s="13"/>
      <c r="AL48" s="130" t="b">
        <v>0</v>
      </c>
      <c r="AM48" s="13"/>
      <c r="AN48" s="13"/>
      <c r="AO48" s="130" t="b">
        <v>0</v>
      </c>
      <c r="AP48" s="130" t="b">
        <v>0</v>
      </c>
      <c r="AQ48" s="130" t="b">
        <v>0</v>
      </c>
      <c r="AR48" s="130" t="b">
        <v>0</v>
      </c>
      <c r="AS48" s="130" t="b">
        <v>0</v>
      </c>
      <c r="AT48" s="11"/>
      <c r="AU48" s="11"/>
      <c r="AV48" s="11"/>
      <c r="AW48" s="11"/>
      <c r="AX48" s="11"/>
      <c r="AY48" s="107"/>
      <c r="AZ48" s="97"/>
      <c r="BA48" s="97"/>
      <c r="BB48" s="13"/>
      <c r="BC48" s="108"/>
      <c r="BD48" s="108"/>
      <c r="BE48" s="15"/>
      <c r="BF48" s="18"/>
      <c r="BG48" s="18"/>
      <c r="BH48" s="16"/>
      <c r="BI48" s="19"/>
      <c r="BJ48" s="19"/>
      <c r="BK48" s="20"/>
      <c r="BL48" s="21"/>
      <c r="BM48" s="111"/>
      <c r="BN48" s="112"/>
      <c r="BO48"/>
      <c r="BP48" s="27">
        <f t="shared" si="30"/>
        <v>0</v>
      </c>
      <c r="BQ48" s="28">
        <f t="shared" si="30"/>
        <v>0</v>
      </c>
      <c r="BR48" s="28">
        <f t="shared" si="30"/>
        <v>0</v>
      </c>
      <c r="BS48" s="28">
        <f t="shared" si="30"/>
        <v>0</v>
      </c>
      <c r="BT48" s="28">
        <f t="shared" si="30"/>
        <v>0</v>
      </c>
      <c r="BU48" s="28">
        <f t="shared" si="30"/>
        <v>0</v>
      </c>
      <c r="BV48" s="28">
        <f t="shared" si="30"/>
        <v>0</v>
      </c>
      <c r="BW48" s="28">
        <f t="shared" si="30"/>
        <v>0</v>
      </c>
      <c r="BX48" s="28">
        <f t="shared" si="30"/>
        <v>0</v>
      </c>
      <c r="BY48" s="28">
        <f t="shared" si="30"/>
        <v>0</v>
      </c>
      <c r="BZ48" s="28">
        <f t="shared" si="30"/>
        <v>0</v>
      </c>
      <c r="CA48" s="29">
        <f t="shared" si="30"/>
        <v>0</v>
      </c>
      <c r="CB48" s="30">
        <f t="shared" si="14"/>
        <v>0</v>
      </c>
      <c r="CD48" s="27">
        <f t="shared" si="31"/>
        <v>0</v>
      </c>
      <c r="CE48" s="28">
        <f t="shared" si="31"/>
        <v>0</v>
      </c>
      <c r="CF48" s="28">
        <f t="shared" si="31"/>
        <v>0</v>
      </c>
      <c r="CG48" s="28">
        <f t="shared" si="31"/>
        <v>0</v>
      </c>
      <c r="CH48" s="28">
        <f t="shared" si="31"/>
        <v>0</v>
      </c>
      <c r="CI48" s="28">
        <f t="shared" si="31"/>
        <v>0</v>
      </c>
      <c r="CJ48" s="28">
        <f t="shared" si="31"/>
        <v>0</v>
      </c>
      <c r="CK48" s="28">
        <f t="shared" si="31"/>
        <v>0</v>
      </c>
      <c r="CL48" s="28">
        <f t="shared" si="31"/>
        <v>0</v>
      </c>
      <c r="CM48" s="28">
        <f t="shared" si="31"/>
        <v>0</v>
      </c>
      <c r="CN48" s="28">
        <f t="shared" si="31"/>
        <v>0</v>
      </c>
      <c r="CO48" s="29">
        <f t="shared" si="31"/>
        <v>0</v>
      </c>
      <c r="CP48" s="30">
        <f t="shared" si="16"/>
        <v>0</v>
      </c>
      <c r="CR48" s="27">
        <f t="shared" si="32"/>
        <v>0</v>
      </c>
      <c r="CS48" s="28">
        <f t="shared" si="32"/>
        <v>0</v>
      </c>
      <c r="CT48" s="28">
        <f t="shared" si="32"/>
        <v>0</v>
      </c>
      <c r="CU48" s="28">
        <f t="shared" si="32"/>
        <v>0</v>
      </c>
      <c r="CV48" s="28">
        <f t="shared" si="32"/>
        <v>0</v>
      </c>
      <c r="CW48" s="28">
        <f t="shared" si="32"/>
        <v>0</v>
      </c>
      <c r="CX48" s="28">
        <f t="shared" si="32"/>
        <v>0</v>
      </c>
      <c r="CY48" s="28">
        <f t="shared" si="32"/>
        <v>0</v>
      </c>
      <c r="CZ48" s="28">
        <f t="shared" si="32"/>
        <v>0</v>
      </c>
      <c r="DA48" s="28">
        <f t="shared" si="32"/>
        <v>0</v>
      </c>
      <c r="DB48" s="28">
        <f t="shared" si="32"/>
        <v>0</v>
      </c>
      <c r="DC48" s="29">
        <f t="shared" si="32"/>
        <v>0</v>
      </c>
      <c r="DD48" s="30">
        <f t="shared" si="18"/>
        <v>0</v>
      </c>
      <c r="DF48" s="27">
        <f t="shared" si="33"/>
        <v>0</v>
      </c>
      <c r="DG48" s="28">
        <f t="shared" si="33"/>
        <v>0</v>
      </c>
      <c r="DH48" s="28">
        <f t="shared" si="33"/>
        <v>0</v>
      </c>
      <c r="DI48" s="28">
        <f t="shared" si="33"/>
        <v>0</v>
      </c>
      <c r="DJ48" s="28">
        <f t="shared" si="33"/>
        <v>0</v>
      </c>
      <c r="DK48" s="28">
        <f t="shared" si="33"/>
        <v>0</v>
      </c>
      <c r="DL48" s="28">
        <f t="shared" si="33"/>
        <v>0</v>
      </c>
      <c r="DM48" s="28">
        <f t="shared" si="33"/>
        <v>0</v>
      </c>
      <c r="DN48" s="28">
        <f t="shared" si="33"/>
        <v>0</v>
      </c>
      <c r="DO48" s="28">
        <f t="shared" si="33"/>
        <v>0</v>
      </c>
      <c r="DP48" s="28">
        <f t="shared" si="33"/>
        <v>0</v>
      </c>
      <c r="DQ48" s="29">
        <f t="shared" si="33"/>
        <v>0</v>
      </c>
      <c r="DR48" s="30">
        <f t="shared" si="20"/>
        <v>0</v>
      </c>
    </row>
    <row r="49" spans="1:122" x14ac:dyDescent="0.2">
      <c r="A49">
        <f t="shared" si="5"/>
        <v>12</v>
      </c>
      <c r="B49" s="49" t="str">
        <f>_xlfn.XLOOKUP(D49,Códigos_Propuestas!$B$4:$B$10,Códigos_Propuestas!$C$4:$C$10,"!",0,1)&amp;"__"&amp;
_xlfn.XLOOKUP(G49,Códigos_Propuestas!$E$4:$E$76,Códigos_Propuestas!$F$4:$F$76,"!",1)&amp;"__"&amp;
_xlfn.XLOOKUP(K49,Códigos_Propuestas!$I$4:$I$7,Códigos_Propuestas!$J$4:$J$7,"!",1)&amp;"__"&amp;
_xlfn.XLOOKUP(L49,Códigos_Propuestas!$O$4:$O$11,Códigos_Propuestas!$Q$4:$Q$11,"!",1)&amp;"__"&amp;
_xlfn.XLOOKUP(E49,Códigos_Propuestas!$BF:$BF,Códigos_Propuestas!$BH:$BH,"!",0,1)</f>
        <v>!__!__!__!__</v>
      </c>
      <c r="C49" s="47"/>
      <c r="D49" s="11"/>
      <c r="E49" s="12"/>
      <c r="F49" s="12"/>
      <c r="G49" s="13"/>
      <c r="H49" s="13"/>
      <c r="I49" s="13"/>
      <c r="J49" s="17"/>
      <c r="K49" s="13"/>
      <c r="L49" s="14"/>
      <c r="M49" s="14"/>
      <c r="N49" s="14"/>
      <c r="T49" s="13"/>
      <c r="U49" s="116">
        <f t="shared" ca="1" si="6"/>
        <v>0</v>
      </c>
      <c r="V49" s="13" t="str">
        <f t="shared" ca="1" si="7"/>
        <v/>
      </c>
      <c r="W49" s="14"/>
      <c r="X49" s="115"/>
      <c r="Y49" s="130" t="b">
        <v>0</v>
      </c>
      <c r="Z49" s="115"/>
      <c r="AA49" s="130" t="b">
        <v>0</v>
      </c>
      <c r="AB49" s="115"/>
      <c r="AC49" s="130" t="b">
        <v>0</v>
      </c>
      <c r="AD49" s="13"/>
      <c r="AE49" s="13"/>
      <c r="AF49" s="130" t="b">
        <v>0</v>
      </c>
      <c r="AG49" s="13"/>
      <c r="AH49" s="130" t="b">
        <v>0</v>
      </c>
      <c r="AI49" s="13"/>
      <c r="AJ49" s="130" t="b">
        <v>0</v>
      </c>
      <c r="AK49" s="13"/>
      <c r="AL49" s="130" t="b">
        <v>0</v>
      </c>
      <c r="AM49" s="13"/>
      <c r="AN49" s="13"/>
      <c r="AO49" s="130" t="b">
        <v>0</v>
      </c>
      <c r="AP49" s="130" t="b">
        <v>0</v>
      </c>
      <c r="AQ49" s="130" t="b">
        <v>0</v>
      </c>
      <c r="AR49" s="130" t="b">
        <v>0</v>
      </c>
      <c r="AS49" s="130" t="b">
        <v>0</v>
      </c>
      <c r="AT49" s="11"/>
      <c r="AU49" s="11"/>
      <c r="AV49" s="11"/>
      <c r="AW49" s="11"/>
      <c r="AX49" s="11"/>
      <c r="AY49" s="107"/>
      <c r="AZ49" s="97"/>
      <c r="BA49" s="97"/>
      <c r="BB49" s="13"/>
      <c r="BC49" s="108"/>
      <c r="BD49" s="108"/>
      <c r="BE49" s="15"/>
      <c r="BF49" s="18"/>
      <c r="BG49" s="18"/>
      <c r="BH49" s="16"/>
      <c r="BI49" s="19"/>
      <c r="BJ49" s="19"/>
      <c r="BK49" s="20"/>
      <c r="BL49" s="21"/>
      <c r="BM49" s="111"/>
      <c r="BN49" s="112"/>
      <c r="BO49"/>
      <c r="BP49" s="27">
        <f t="shared" si="30"/>
        <v>0</v>
      </c>
      <c r="BQ49" s="28">
        <f t="shared" si="30"/>
        <v>0</v>
      </c>
      <c r="BR49" s="28">
        <f t="shared" si="30"/>
        <v>0</v>
      </c>
      <c r="BS49" s="28">
        <f t="shared" si="30"/>
        <v>0</v>
      </c>
      <c r="BT49" s="28">
        <f t="shared" si="30"/>
        <v>0</v>
      </c>
      <c r="BU49" s="28">
        <f t="shared" si="30"/>
        <v>0</v>
      </c>
      <c r="BV49" s="28">
        <f t="shared" si="30"/>
        <v>0</v>
      </c>
      <c r="BW49" s="28">
        <f t="shared" si="30"/>
        <v>0</v>
      </c>
      <c r="BX49" s="28">
        <f t="shared" si="30"/>
        <v>0</v>
      </c>
      <c r="BY49" s="28">
        <f t="shared" si="30"/>
        <v>0</v>
      </c>
      <c r="BZ49" s="28">
        <f t="shared" si="30"/>
        <v>0</v>
      </c>
      <c r="CA49" s="29">
        <f t="shared" si="30"/>
        <v>0</v>
      </c>
      <c r="CB49" s="30">
        <f t="shared" si="14"/>
        <v>0</v>
      </c>
      <c r="CD49" s="27">
        <f t="shared" si="31"/>
        <v>0</v>
      </c>
      <c r="CE49" s="28">
        <f t="shared" si="31"/>
        <v>0</v>
      </c>
      <c r="CF49" s="28">
        <f t="shared" si="31"/>
        <v>0</v>
      </c>
      <c r="CG49" s="28">
        <f t="shared" si="31"/>
        <v>0</v>
      </c>
      <c r="CH49" s="28">
        <f t="shared" si="31"/>
        <v>0</v>
      </c>
      <c r="CI49" s="28">
        <f t="shared" si="31"/>
        <v>0</v>
      </c>
      <c r="CJ49" s="28">
        <f t="shared" si="31"/>
        <v>0</v>
      </c>
      <c r="CK49" s="28">
        <f t="shared" si="31"/>
        <v>0</v>
      </c>
      <c r="CL49" s="28">
        <f t="shared" si="31"/>
        <v>0</v>
      </c>
      <c r="CM49" s="28">
        <f t="shared" si="31"/>
        <v>0</v>
      </c>
      <c r="CN49" s="28">
        <f t="shared" si="31"/>
        <v>0</v>
      </c>
      <c r="CO49" s="29">
        <f t="shared" si="31"/>
        <v>0</v>
      </c>
      <c r="CP49" s="30">
        <f t="shared" si="16"/>
        <v>0</v>
      </c>
      <c r="CR49" s="27">
        <f t="shared" si="32"/>
        <v>0</v>
      </c>
      <c r="CS49" s="28">
        <f t="shared" si="32"/>
        <v>0</v>
      </c>
      <c r="CT49" s="28">
        <f t="shared" si="32"/>
        <v>0</v>
      </c>
      <c r="CU49" s="28">
        <f t="shared" si="32"/>
        <v>0</v>
      </c>
      <c r="CV49" s="28">
        <f t="shared" si="32"/>
        <v>0</v>
      </c>
      <c r="CW49" s="28">
        <f t="shared" si="32"/>
        <v>0</v>
      </c>
      <c r="CX49" s="28">
        <f t="shared" si="32"/>
        <v>0</v>
      </c>
      <c r="CY49" s="28">
        <f t="shared" si="32"/>
        <v>0</v>
      </c>
      <c r="CZ49" s="28">
        <f t="shared" si="32"/>
        <v>0</v>
      </c>
      <c r="DA49" s="28">
        <f t="shared" si="32"/>
        <v>0</v>
      </c>
      <c r="DB49" s="28">
        <f t="shared" si="32"/>
        <v>0</v>
      </c>
      <c r="DC49" s="29">
        <f t="shared" si="32"/>
        <v>0</v>
      </c>
      <c r="DD49" s="30">
        <f t="shared" si="18"/>
        <v>0</v>
      </c>
      <c r="DF49" s="27">
        <f t="shared" si="33"/>
        <v>0</v>
      </c>
      <c r="DG49" s="28">
        <f t="shared" si="33"/>
        <v>0</v>
      </c>
      <c r="DH49" s="28">
        <f t="shared" si="33"/>
        <v>0</v>
      </c>
      <c r="DI49" s="28">
        <f t="shared" si="33"/>
        <v>0</v>
      </c>
      <c r="DJ49" s="28">
        <f t="shared" si="33"/>
        <v>0</v>
      </c>
      <c r="DK49" s="28">
        <f t="shared" si="33"/>
        <v>0</v>
      </c>
      <c r="DL49" s="28">
        <f t="shared" si="33"/>
        <v>0</v>
      </c>
      <c r="DM49" s="28">
        <f t="shared" si="33"/>
        <v>0</v>
      </c>
      <c r="DN49" s="28">
        <f t="shared" si="33"/>
        <v>0</v>
      </c>
      <c r="DO49" s="28">
        <f t="shared" si="33"/>
        <v>0</v>
      </c>
      <c r="DP49" s="28">
        <f t="shared" si="33"/>
        <v>0</v>
      </c>
      <c r="DQ49" s="29">
        <f t="shared" si="33"/>
        <v>0</v>
      </c>
      <c r="DR49" s="30">
        <f t="shared" si="20"/>
        <v>0</v>
      </c>
    </row>
    <row r="50" spans="1:122" ht="16" thickBot="1" x14ac:dyDescent="0.25">
      <c r="A50">
        <f t="shared" si="5"/>
        <v>12</v>
      </c>
      <c r="B50" s="49" t="str">
        <f>_xlfn.XLOOKUP(D50,Códigos_Propuestas!$B$4:$B$10,Códigos_Propuestas!$C$4:$C$10,"!",0,1)&amp;"__"&amp;
_xlfn.XLOOKUP(G50,Códigos_Propuestas!$E$4:$E$76,Códigos_Propuestas!$F$4:$F$76,"!",1)&amp;"__"&amp;
_xlfn.XLOOKUP(K50,Códigos_Propuestas!$I$4:$I$7,Códigos_Propuestas!$J$4:$J$7,"!",1)&amp;"__"&amp;
_xlfn.XLOOKUP(L50,Códigos_Propuestas!$O$4:$O$11,Códigos_Propuestas!$Q$4:$Q$11,"!",1)&amp;"__"&amp;
_xlfn.XLOOKUP(E50,Códigos_Propuestas!$BF:$BF,Códigos_Propuestas!$BH:$BH,"!",0,1)</f>
        <v>!__!__!__!__</v>
      </c>
      <c r="C50" s="47"/>
      <c r="D50" s="11"/>
      <c r="E50" s="12"/>
      <c r="F50" s="12"/>
      <c r="G50" s="13"/>
      <c r="H50" s="13"/>
      <c r="I50" s="13"/>
      <c r="J50" s="17"/>
      <c r="K50" s="13"/>
      <c r="L50" s="14"/>
      <c r="M50" s="14"/>
      <c r="N50" s="14"/>
      <c r="T50" s="13"/>
      <c r="U50" s="116">
        <f t="shared" ca="1" si="6"/>
        <v>0</v>
      </c>
      <c r="V50" s="13" t="str">
        <f t="shared" ca="1" si="7"/>
        <v/>
      </c>
      <c r="W50" s="14"/>
      <c r="X50" s="115"/>
      <c r="Y50" s="130" t="b">
        <v>0</v>
      </c>
      <c r="Z50" s="115"/>
      <c r="AA50" s="130" t="b">
        <v>0</v>
      </c>
      <c r="AB50" s="115"/>
      <c r="AC50" s="130" t="b">
        <v>0</v>
      </c>
      <c r="AD50" s="13"/>
      <c r="AE50" s="13"/>
      <c r="AF50" s="130" t="b">
        <v>0</v>
      </c>
      <c r="AG50" s="13"/>
      <c r="AH50" s="130" t="b">
        <v>0</v>
      </c>
      <c r="AI50" s="13"/>
      <c r="AJ50" s="130" t="b">
        <v>0</v>
      </c>
      <c r="AK50" s="13"/>
      <c r="AL50" s="130" t="b">
        <v>0</v>
      </c>
      <c r="AM50" s="13"/>
      <c r="AN50" s="13"/>
      <c r="AO50" s="130" t="b">
        <v>0</v>
      </c>
      <c r="AP50" s="130" t="b">
        <v>0</v>
      </c>
      <c r="AQ50" s="130" t="b">
        <v>0</v>
      </c>
      <c r="AR50" s="130" t="b">
        <v>0</v>
      </c>
      <c r="AS50" s="130" t="b">
        <v>0</v>
      </c>
      <c r="AT50" s="11"/>
      <c r="AU50" s="11"/>
      <c r="AV50" s="11"/>
      <c r="AW50" s="11"/>
      <c r="AX50" s="11"/>
      <c r="AY50" s="107"/>
      <c r="AZ50" s="97"/>
      <c r="BA50" s="97"/>
      <c r="BB50" s="13"/>
      <c r="BC50" s="108"/>
      <c r="BD50" s="108"/>
      <c r="BE50" s="15"/>
      <c r="BF50" s="18"/>
      <c r="BG50" s="18"/>
      <c r="BH50" s="16"/>
      <c r="BI50" s="19"/>
      <c r="BJ50" s="19"/>
      <c r="BK50" s="20"/>
      <c r="BL50" s="21"/>
      <c r="BM50" s="111"/>
      <c r="BN50" s="112"/>
      <c r="BO50"/>
      <c r="BP50" s="34">
        <f t="shared" si="30"/>
        <v>0</v>
      </c>
      <c r="BQ50" s="35">
        <f t="shared" si="30"/>
        <v>0</v>
      </c>
      <c r="BR50" s="35">
        <f t="shared" si="30"/>
        <v>0</v>
      </c>
      <c r="BS50" s="35">
        <f t="shared" si="30"/>
        <v>0</v>
      </c>
      <c r="BT50" s="35">
        <f t="shared" si="30"/>
        <v>0</v>
      </c>
      <c r="BU50" s="35">
        <f t="shared" si="30"/>
        <v>0</v>
      </c>
      <c r="BV50" s="35">
        <f t="shared" si="30"/>
        <v>0</v>
      </c>
      <c r="BW50" s="35">
        <f t="shared" si="30"/>
        <v>0</v>
      </c>
      <c r="BX50" s="35">
        <f t="shared" si="30"/>
        <v>0</v>
      </c>
      <c r="BY50" s="35">
        <f t="shared" si="30"/>
        <v>0</v>
      </c>
      <c r="BZ50" s="35">
        <f t="shared" si="30"/>
        <v>0</v>
      </c>
      <c r="CA50" s="36">
        <f t="shared" si="30"/>
        <v>0</v>
      </c>
      <c r="CB50" s="37">
        <f t="shared" si="14"/>
        <v>0</v>
      </c>
      <c r="CD50" s="34">
        <f t="shared" si="31"/>
        <v>0</v>
      </c>
      <c r="CE50" s="35">
        <f t="shared" si="31"/>
        <v>0</v>
      </c>
      <c r="CF50" s="35">
        <f t="shared" si="31"/>
        <v>0</v>
      </c>
      <c r="CG50" s="35">
        <f t="shared" si="31"/>
        <v>0</v>
      </c>
      <c r="CH50" s="35">
        <f t="shared" si="31"/>
        <v>0</v>
      </c>
      <c r="CI50" s="35">
        <f t="shared" si="31"/>
        <v>0</v>
      </c>
      <c r="CJ50" s="35">
        <f t="shared" si="31"/>
        <v>0</v>
      </c>
      <c r="CK50" s="35">
        <f t="shared" si="31"/>
        <v>0</v>
      </c>
      <c r="CL50" s="35">
        <f t="shared" si="31"/>
        <v>0</v>
      </c>
      <c r="CM50" s="35">
        <f t="shared" si="31"/>
        <v>0</v>
      </c>
      <c r="CN50" s="35">
        <f t="shared" si="31"/>
        <v>0</v>
      </c>
      <c r="CO50" s="36">
        <f t="shared" si="31"/>
        <v>0</v>
      </c>
      <c r="CP50" s="37">
        <f t="shared" si="16"/>
        <v>0</v>
      </c>
      <c r="CR50" s="34">
        <f t="shared" si="32"/>
        <v>0</v>
      </c>
      <c r="CS50" s="35">
        <f t="shared" si="32"/>
        <v>0</v>
      </c>
      <c r="CT50" s="35">
        <f t="shared" si="32"/>
        <v>0</v>
      </c>
      <c r="CU50" s="35">
        <f t="shared" si="32"/>
        <v>0</v>
      </c>
      <c r="CV50" s="35">
        <f t="shared" si="32"/>
        <v>0</v>
      </c>
      <c r="CW50" s="35">
        <f t="shared" si="32"/>
        <v>0</v>
      </c>
      <c r="CX50" s="35">
        <f t="shared" si="32"/>
        <v>0</v>
      </c>
      <c r="CY50" s="35">
        <f t="shared" si="32"/>
        <v>0</v>
      </c>
      <c r="CZ50" s="35">
        <f t="shared" si="32"/>
        <v>0</v>
      </c>
      <c r="DA50" s="35">
        <f t="shared" si="32"/>
        <v>0</v>
      </c>
      <c r="DB50" s="35">
        <f t="shared" si="32"/>
        <v>0</v>
      </c>
      <c r="DC50" s="36">
        <f t="shared" si="32"/>
        <v>0</v>
      </c>
      <c r="DD50" s="37">
        <f t="shared" si="18"/>
        <v>0</v>
      </c>
      <c r="DF50" s="34">
        <f t="shared" si="33"/>
        <v>0</v>
      </c>
      <c r="DG50" s="35">
        <f t="shared" si="33"/>
        <v>0</v>
      </c>
      <c r="DH50" s="35">
        <f t="shared" si="33"/>
        <v>0</v>
      </c>
      <c r="DI50" s="35">
        <f t="shared" si="33"/>
        <v>0</v>
      </c>
      <c r="DJ50" s="35">
        <f t="shared" si="33"/>
        <v>0</v>
      </c>
      <c r="DK50" s="35">
        <f t="shared" si="33"/>
        <v>0</v>
      </c>
      <c r="DL50" s="35">
        <f t="shared" si="33"/>
        <v>0</v>
      </c>
      <c r="DM50" s="35">
        <f t="shared" si="33"/>
        <v>0</v>
      </c>
      <c r="DN50" s="35">
        <f t="shared" si="33"/>
        <v>0</v>
      </c>
      <c r="DO50" s="35">
        <f t="shared" si="33"/>
        <v>0</v>
      </c>
      <c r="DP50" s="35">
        <f t="shared" si="33"/>
        <v>0</v>
      </c>
      <c r="DQ50" s="36">
        <f t="shared" si="33"/>
        <v>0</v>
      </c>
      <c r="DR50" s="37">
        <f t="shared" si="20"/>
        <v>0</v>
      </c>
    </row>
    <row r="51" spans="1:122" x14ac:dyDescent="0.2">
      <c r="BO51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9">
        <f>+SUM(CB3:CB50)</f>
        <v>7630800.666666667</v>
      </c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9">
        <f>+SUM(CP3:CP50)</f>
        <v>1709600</v>
      </c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9">
        <f>+SUM(DD3:DD50)</f>
        <v>3205815.6666666665</v>
      </c>
      <c r="DF51" s="38"/>
      <c r="DG51" s="38"/>
      <c r="DH51" s="38"/>
      <c r="DI51" s="38"/>
      <c r="DJ51" s="38"/>
      <c r="DK51" s="38"/>
      <c r="DL51" s="38"/>
      <c r="DM51" s="38"/>
      <c r="DN51" s="38"/>
      <c r="DO51" s="38"/>
      <c r="DP51" s="38"/>
      <c r="DQ51" s="38"/>
      <c r="DR51" s="39">
        <f>+SUM(DR3:DR50)</f>
        <v>698990</v>
      </c>
    </row>
  </sheetData>
  <dataConsolidate/>
  <mergeCells count="12">
    <mergeCell ref="DF1:DR1"/>
    <mergeCell ref="E1:N1"/>
    <mergeCell ref="O1:R1"/>
    <mergeCell ref="T1:V1"/>
    <mergeCell ref="X1:AC1"/>
    <mergeCell ref="AE1:AM1"/>
    <mergeCell ref="AO1:AS1"/>
    <mergeCell ref="AU1:AX1"/>
    <mergeCell ref="AZ1:BN1"/>
    <mergeCell ref="BP1:CB1"/>
    <mergeCell ref="CD1:CP1"/>
    <mergeCell ref="CR1:DD1"/>
  </mergeCells>
  <conditionalFormatting sqref="A2:A1048576">
    <cfRule type="cellIs" dxfId="23" priority="3" operator="equal">
      <formula>22</formula>
    </cfRule>
    <cfRule type="cellIs" dxfId="22" priority="4" operator="notEqual">
      <formula>22</formula>
    </cfRule>
  </conditionalFormatting>
  <conditionalFormatting sqref="V3:V50">
    <cfRule type="containsText" dxfId="21" priority="2" operator="containsText" text="!">
      <formula>NOT(ISERROR(SEARCH("!",V3)))</formula>
    </cfRule>
  </conditionalFormatting>
  <conditionalFormatting sqref="I3:I1048576">
    <cfRule type="containsText" dxfId="20" priority="1" operator="containsText" text="Propuesta">
      <formula>NOT(ISERROR(SEARCH("Propuesta",I3)))</formula>
    </cfRule>
  </conditionalFormatting>
  <dataValidations count="1">
    <dataValidation allowBlank="1" showInputMessage="1" showErrorMessage="1" error="Probabilidad debe ser entre 0 y 100" sqref="J2 BB2:BH2" xr:uid="{163CDADC-412C-44DF-91AC-AA2F7EEFAE82}"/>
  </dataValidations>
  <pageMargins left="0.7" right="0.7" top="0.75" bottom="0.75" header="0.3" footer="0.3"/>
  <pageSetup paperSize="9" orientation="portrait" horizontalDpi="4294967295" verticalDpi="4294967295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 xr:uid="{E4F0A4B4-B16A-4C40-A3FC-7514D89DF713}">
          <x14:formula1>
            <xm:f>Códigos_Propuestas!$AL$4:$AL$7</xm:f>
          </x14:formula1>
          <xm:sqref>M3:M50</xm:sqref>
        </x14:dataValidation>
        <x14:dataValidation type="list" allowBlank="1" showInputMessage="1" showErrorMessage="1" xr:uid="{3CE1F8D2-EC6A-4BE8-927F-0260AEDC21A9}">
          <x14:formula1>
            <xm:f>Códigos_Propuestas!$AE$4:$AE$7</xm:f>
          </x14:formula1>
          <xm:sqref>AV3:AV50</xm:sqref>
        </x14:dataValidation>
        <x14:dataValidation type="list" allowBlank="1" showInputMessage="1" showErrorMessage="1" xr:uid="{8AF972DC-D28C-4D47-A02B-AD2AF238E56C}">
          <x14:formula1>
            <xm:f>Códigos_Propuestas!$AB$4:$AB$7</xm:f>
          </x14:formula1>
          <xm:sqref>AU3:AU50</xm:sqref>
        </x14:dataValidation>
        <x14:dataValidation type="list" allowBlank="1" showInputMessage="1" showErrorMessage="1" xr:uid="{4A075E97-05C7-46E5-B7FF-5F766A44DBBF}">
          <x14:formula1>
            <xm:f>Códigos_Propuestas!$L$4:$L$14</xm:f>
          </x14:formula1>
          <xm:sqref>O3:R48</xm:sqref>
        </x14:dataValidation>
        <x14:dataValidation type="list" allowBlank="1" showInputMessage="1" showErrorMessage="1" xr:uid="{E5EA697B-2FBE-4BC1-912E-208F0F938596}">
          <x14:formula1>
            <xm:f>Códigos_Propuestas!$AJ$4:$AJ$5</xm:f>
          </x14:formula1>
          <xm:sqref>AX3:AX50</xm:sqref>
        </x14:dataValidation>
        <x14:dataValidation type="list" allowBlank="1" showInputMessage="1" showErrorMessage="1" xr:uid="{86AC9052-7182-414A-BE9E-7C9C0F59BB4D}">
          <x14:formula1>
            <xm:f>Códigos_Propuestas!$AH$4:$AH$5</xm:f>
          </x14:formula1>
          <xm:sqref>AW3:AW50</xm:sqref>
        </x14:dataValidation>
        <x14:dataValidation type="list" allowBlank="1" showInputMessage="1" showErrorMessage="1" xr:uid="{8C739CD3-C566-47CF-97E9-8F8B234B642B}">
          <x14:formula1>
            <xm:f>Códigos_Propuestas!$Z$4:$Z$6</xm:f>
          </x14:formula1>
          <xm:sqref>J3:J50</xm:sqref>
        </x14:dataValidation>
        <x14:dataValidation type="list" allowBlank="1" showInputMessage="1" showErrorMessage="1" xr:uid="{71442780-D2AD-4FE4-92EB-BC8695557F12}">
          <x14:formula1>
            <xm:f>Códigos_Propuestas!$BD$4:$BD$5</xm:f>
          </x14:formula1>
          <xm:sqref>AM3:AM50</xm:sqref>
        </x14:dataValidation>
        <x14:dataValidation type="list" allowBlank="1" showInputMessage="1" showErrorMessage="1" xr:uid="{FD364F30-497D-48EA-B863-3108FC52B7B4}">
          <x14:formula1>
            <xm:f>Códigos_Propuestas!$V$4:$V$5</xm:f>
          </x14:formula1>
          <xm:sqref>I3:I50</xm:sqref>
        </x14:dataValidation>
        <x14:dataValidation type="list" allowBlank="1" showInputMessage="1" showErrorMessage="1" xr:uid="{FBF603AE-0FCC-4CA3-96BA-7762DC1AA6A0}">
          <x14:formula1>
            <xm:f>Códigos_Propuestas!$X$4:$X$6</xm:f>
          </x14:formula1>
          <xm:sqref>K27:K29</xm:sqref>
        </x14:dataValidation>
        <x14:dataValidation type="list" allowBlank="1" showInputMessage="1" showErrorMessage="1" xr:uid="{A1D3DC3E-367A-4302-B06D-D17540257772}">
          <x14:formula1>
            <xm:f>Códigos_Propuestas!$X$4:$X$7</xm:f>
          </x14:formula1>
          <xm:sqref>K3:K26 K30:K42</xm:sqref>
        </x14:dataValidation>
        <x14:dataValidation type="list" allowBlank="1" showInputMessage="1" showErrorMessage="1" xr:uid="{BBED5D43-28BE-443E-8B86-084B2939ADB0}">
          <x14:formula1>
            <xm:f>Códigos_Propuestas!$I$4:$I$7</xm:f>
          </x14:formula1>
          <xm:sqref>K35:K38 K40:K41 K3:K33</xm:sqref>
        </x14:dataValidation>
        <x14:dataValidation type="list" allowBlank="1" showInputMessage="1" showErrorMessage="1" xr:uid="{87E5D135-112B-42B5-9DEE-AC1413A3CBE7}">
          <x14:formula1>
            <xm:f>Códigos_Propuestas!$O$4:$O$15</xm:f>
          </x14:formula1>
          <xm:sqref>L3:L4</xm:sqref>
        </x14:dataValidation>
        <x14:dataValidation type="list" allowBlank="1" showInputMessage="1" showErrorMessage="1" xr:uid="{3E80F0E6-E11D-4F5D-A35C-24752E5F77CF}">
          <x14:formula1>
            <xm:f>Códigos_Propuestas!$O$4:$O$30</xm:f>
          </x14:formula1>
          <xm:sqref>L5:L50</xm:sqref>
        </x14:dataValidation>
        <x14:dataValidation type="list" allowBlank="1" showInputMessage="1" showErrorMessage="1" xr:uid="{04B9F531-5F4E-470A-8D06-E99040634843}">
          <x14:formula1>
            <xm:f>Códigos_Propuestas!$O$4:$O$11</xm:f>
          </x14:formula1>
          <xm:sqref>W3:W42 AY3:AY42 AT3:AT42</xm:sqref>
        </x14:dataValidation>
        <x14:dataValidation type="list" allowBlank="1" showInputMessage="1" showErrorMessage="1" xr:uid="{06194A97-85F5-41A3-9F09-EDB55451363C}">
          <x14:formula1>
            <xm:f>Códigos_Propuestas!$B$4:$B$10</xm:f>
          </x14:formula1>
          <xm:sqref>D3:D42</xm:sqref>
        </x14:dataValidation>
        <x14:dataValidation type="list" allowBlank="1" showInputMessage="1" showErrorMessage="1" xr:uid="{61E59295-FEDA-4AD6-9704-087A83EC487F}">
          <x14:formula1>
            <xm:f>Códigos_Propuestas!$AP$4:$AP$7</xm:f>
          </x14:formula1>
          <xm:sqref>O49:R50 N3:N50</xm:sqref>
        </x14:dataValidation>
        <x14:dataValidation type="list" allowBlank="1" showInputMessage="1" showErrorMessage="1" xr:uid="{5B858C22-5DD2-4FA1-937E-B60E8A883C2C}">
          <x14:formula1>
            <xm:f>Códigos_Propuestas!$E$4:$E$1048576</xm:f>
          </x14:formula1>
          <xm:sqref>G3:G50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DB32F-6325-41A8-86AC-DD8B05CF6037}">
  <sheetPr filterMode="1"/>
  <dimension ref="A1:XAE4414"/>
  <sheetViews>
    <sheetView workbookViewId="0">
      <selection activeCell="C10" sqref="C10"/>
    </sheetView>
  </sheetViews>
  <sheetFormatPr baseColWidth="10" defaultColWidth="8.5" defaultRowHeight="15" outlineLevelCol="1" x14ac:dyDescent="0.2"/>
  <cols>
    <col min="1" max="1" width="8.5" style="187"/>
    <col min="2" max="2" width="13.5" style="188" customWidth="1"/>
    <col min="3" max="3" width="69.5" style="189" customWidth="1"/>
    <col min="4" max="4" width="9.83203125" style="187" customWidth="1"/>
    <col min="5" max="5" width="16.33203125" style="187" bestFit="1" customWidth="1"/>
    <col min="6" max="6" width="11.1640625" style="187" customWidth="1"/>
    <col min="7" max="7" width="13.5" style="187" customWidth="1"/>
    <col min="8" max="8" width="19.5" style="187" customWidth="1"/>
    <col min="9" max="9" width="11.83203125" style="187" customWidth="1" outlineLevel="1"/>
    <col min="10" max="10" width="13.83203125" style="187" customWidth="1" outlineLevel="1"/>
    <col min="11" max="11" width="11.5" style="187" customWidth="1" outlineLevel="1"/>
  </cols>
  <sheetData>
    <row r="1" spans="1:50" ht="24" x14ac:dyDescent="0.2">
      <c r="A1" s="2" t="s">
        <v>626</v>
      </c>
      <c r="B1" s="2" t="s">
        <v>625</v>
      </c>
      <c r="C1" s="2" t="s">
        <v>0</v>
      </c>
      <c r="D1" s="2" t="s">
        <v>757</v>
      </c>
      <c r="E1" s="2" t="s">
        <v>451</v>
      </c>
      <c r="F1" s="1" t="s">
        <v>452</v>
      </c>
      <c r="G1" s="1" t="s">
        <v>379</v>
      </c>
      <c r="H1" s="1" t="s">
        <v>22</v>
      </c>
      <c r="I1" s="1" t="s">
        <v>482</v>
      </c>
      <c r="J1" s="1" t="s">
        <v>484</v>
      </c>
      <c r="K1" s="1" t="s">
        <v>487</v>
      </c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</row>
    <row r="2" spans="1:50" hidden="1" x14ac:dyDescent="0.2">
      <c r="A2" s="32" t="s">
        <v>88</v>
      </c>
      <c r="B2" s="32" t="s">
        <v>88</v>
      </c>
      <c r="C2" s="194" t="s">
        <v>212</v>
      </c>
      <c r="D2" s="174">
        <v>3</v>
      </c>
      <c r="E2" s="174" t="s">
        <v>202</v>
      </c>
      <c r="F2" s="174" t="s">
        <v>524</v>
      </c>
      <c r="G2" s="174" t="s">
        <v>97</v>
      </c>
      <c r="H2" s="32" t="s">
        <v>51</v>
      </c>
      <c r="I2" s="19">
        <v>190000</v>
      </c>
      <c r="J2" s="174">
        <v>3</v>
      </c>
      <c r="K2" s="18">
        <v>45989</v>
      </c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</row>
    <row r="3" spans="1:50" hidden="1" x14ac:dyDescent="0.2">
      <c r="A3" s="174" t="s">
        <v>62</v>
      </c>
      <c r="B3" s="32" t="s">
        <v>62</v>
      </c>
      <c r="C3" s="194" t="s">
        <v>172</v>
      </c>
      <c r="D3" s="174">
        <v>3</v>
      </c>
      <c r="E3" s="174" t="s">
        <v>292</v>
      </c>
      <c r="F3" s="174" t="s">
        <v>530</v>
      </c>
      <c r="G3" s="174" t="s">
        <v>97</v>
      </c>
      <c r="H3" s="32" t="s">
        <v>103</v>
      </c>
      <c r="I3" s="19">
        <v>48000</v>
      </c>
      <c r="J3" s="174">
        <v>1</v>
      </c>
      <c r="K3" s="18">
        <v>45975</v>
      </c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</row>
    <row r="4" spans="1:50" hidden="1" x14ac:dyDescent="0.2">
      <c r="A4" s="174" t="s">
        <v>88</v>
      </c>
      <c r="B4" s="32" t="s">
        <v>88</v>
      </c>
      <c r="C4" s="26" t="s">
        <v>533</v>
      </c>
      <c r="D4" s="32">
        <v>3</v>
      </c>
      <c r="E4" s="174" t="s">
        <v>305</v>
      </c>
      <c r="F4" s="174" t="s">
        <v>534</v>
      </c>
      <c r="G4" s="174" t="s">
        <v>97</v>
      </c>
      <c r="H4" s="32" t="s">
        <v>689</v>
      </c>
      <c r="I4" s="19">
        <v>226344</v>
      </c>
      <c r="J4" s="174">
        <v>3.5</v>
      </c>
      <c r="K4" s="18">
        <v>46008</v>
      </c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</row>
    <row r="5" spans="1:50" x14ac:dyDescent="0.2">
      <c r="A5" s="174" t="s">
        <v>88</v>
      </c>
      <c r="B5" s="32" t="s">
        <v>88</v>
      </c>
      <c r="C5" s="194" t="s">
        <v>539</v>
      </c>
      <c r="D5" s="174">
        <v>1</v>
      </c>
      <c r="E5" s="174" t="s">
        <v>297</v>
      </c>
      <c r="F5" s="174" t="s">
        <v>540</v>
      </c>
      <c r="G5" s="174" t="s">
        <v>97</v>
      </c>
      <c r="H5" s="32" t="s">
        <v>690</v>
      </c>
      <c r="I5" s="19">
        <v>359678</v>
      </c>
      <c r="J5" s="32">
        <v>4</v>
      </c>
      <c r="K5" s="182">
        <v>46029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</row>
    <row r="6" spans="1:50" x14ac:dyDescent="0.2">
      <c r="A6" s="174" t="s">
        <v>62</v>
      </c>
      <c r="B6" s="32" t="s">
        <v>62</v>
      </c>
      <c r="C6" s="194" t="s">
        <v>543</v>
      </c>
      <c r="D6" s="174">
        <v>2</v>
      </c>
      <c r="E6" s="174" t="s">
        <v>358</v>
      </c>
      <c r="F6" s="174" t="s">
        <v>544</v>
      </c>
      <c r="G6" s="174" t="s">
        <v>97</v>
      </c>
      <c r="H6" s="32" t="s">
        <v>103</v>
      </c>
      <c r="I6" s="19">
        <v>144820</v>
      </c>
      <c r="J6" s="174">
        <v>4</v>
      </c>
      <c r="K6" s="18">
        <v>46035</v>
      </c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</row>
    <row r="7" spans="1:50" x14ac:dyDescent="0.2">
      <c r="A7" s="32" t="s">
        <v>32</v>
      </c>
      <c r="B7" s="32" t="s">
        <v>32</v>
      </c>
      <c r="C7" s="194" t="s">
        <v>545</v>
      </c>
      <c r="D7" s="174">
        <v>2</v>
      </c>
      <c r="E7" s="174" t="s">
        <v>181</v>
      </c>
      <c r="F7" s="174" t="s">
        <v>546</v>
      </c>
      <c r="G7" s="174" t="s">
        <v>97</v>
      </c>
      <c r="H7" s="32" t="s">
        <v>144</v>
      </c>
      <c r="I7" s="19">
        <v>235707</v>
      </c>
      <c r="J7" s="174">
        <v>6</v>
      </c>
      <c r="K7" s="18">
        <v>46057</v>
      </c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</row>
    <row r="8" spans="1:50" hidden="1" x14ac:dyDescent="0.2">
      <c r="A8" s="32" t="s">
        <v>62</v>
      </c>
      <c r="B8" s="32" t="s">
        <v>62</v>
      </c>
      <c r="C8" s="194" t="s">
        <v>554</v>
      </c>
      <c r="D8" s="174">
        <v>3</v>
      </c>
      <c r="E8" s="174" t="s">
        <v>360</v>
      </c>
      <c r="F8" s="174" t="s">
        <v>555</v>
      </c>
      <c r="G8" s="174" t="s">
        <v>97</v>
      </c>
      <c r="H8" s="32" t="s">
        <v>103</v>
      </c>
      <c r="I8" s="19">
        <v>80000</v>
      </c>
      <c r="J8" s="174">
        <v>3</v>
      </c>
      <c r="K8" s="18">
        <v>46050</v>
      </c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</row>
    <row r="9" spans="1:50" hidden="1" x14ac:dyDescent="0.2">
      <c r="A9" s="32" t="s">
        <v>32</v>
      </c>
      <c r="B9" s="32" t="s">
        <v>32</v>
      </c>
      <c r="C9" s="194" t="s">
        <v>565</v>
      </c>
      <c r="D9" s="174">
        <v>3</v>
      </c>
      <c r="E9" s="174" t="s">
        <v>250</v>
      </c>
      <c r="F9" s="174" t="s">
        <v>566</v>
      </c>
      <c r="G9" s="174" t="s">
        <v>97</v>
      </c>
      <c r="H9" s="32" t="s">
        <v>103</v>
      </c>
      <c r="I9" s="19">
        <v>204000</v>
      </c>
      <c r="J9" s="174">
        <v>3</v>
      </c>
      <c r="K9" s="18">
        <v>46050</v>
      </c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</row>
    <row r="10" spans="1:50" x14ac:dyDescent="0.2">
      <c r="A10" s="32" t="s">
        <v>62</v>
      </c>
      <c r="B10" s="32" t="s">
        <v>62</v>
      </c>
      <c r="C10" s="194" t="s">
        <v>571</v>
      </c>
      <c r="D10" s="174">
        <v>2</v>
      </c>
      <c r="E10" s="174" t="s">
        <v>284</v>
      </c>
      <c r="F10" s="174" t="s">
        <v>572</v>
      </c>
      <c r="G10" s="174" t="s">
        <v>97</v>
      </c>
      <c r="H10" s="32" t="s">
        <v>144</v>
      </c>
      <c r="I10" s="19">
        <v>543586</v>
      </c>
      <c r="J10" s="174">
        <v>8</v>
      </c>
      <c r="K10" s="18">
        <v>46078</v>
      </c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</row>
    <row r="11" spans="1:50" hidden="1" x14ac:dyDescent="0.2">
      <c r="A11" s="32" t="s">
        <v>88</v>
      </c>
      <c r="B11" s="32" t="s">
        <v>88</v>
      </c>
      <c r="C11" s="194" t="s">
        <v>581</v>
      </c>
      <c r="D11" s="174">
        <v>3</v>
      </c>
      <c r="E11" s="174" t="s">
        <v>199</v>
      </c>
      <c r="F11" s="174" t="s">
        <v>576</v>
      </c>
      <c r="G11" s="174" t="s">
        <v>97</v>
      </c>
      <c r="H11" s="32" t="s">
        <v>103</v>
      </c>
      <c r="I11" s="19">
        <v>1150000</v>
      </c>
      <c r="J11" s="174">
        <v>13</v>
      </c>
      <c r="K11" s="18">
        <v>46063</v>
      </c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</row>
    <row r="12" spans="1:50" x14ac:dyDescent="0.2">
      <c r="A12" s="32" t="s">
        <v>32</v>
      </c>
      <c r="B12" s="32" t="s">
        <v>32</v>
      </c>
      <c r="C12" s="194" t="s">
        <v>694</v>
      </c>
      <c r="D12" s="174">
        <v>2</v>
      </c>
      <c r="E12" s="174" t="s">
        <v>372</v>
      </c>
      <c r="F12" s="174" t="s">
        <v>584</v>
      </c>
      <c r="G12" s="174" t="s">
        <v>97</v>
      </c>
      <c r="H12" s="32" t="s">
        <v>103</v>
      </c>
      <c r="I12" s="19">
        <v>625205</v>
      </c>
      <c r="J12" s="174"/>
      <c r="K12" s="18">
        <v>46072</v>
      </c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</row>
    <row r="13" spans="1:50" hidden="1" x14ac:dyDescent="0.2">
      <c r="A13" s="32" t="s">
        <v>62</v>
      </c>
      <c r="B13" s="32" t="s">
        <v>62</v>
      </c>
      <c r="C13" s="194" t="s">
        <v>585</v>
      </c>
      <c r="D13" s="174">
        <v>3</v>
      </c>
      <c r="E13" s="174" t="s">
        <v>303</v>
      </c>
      <c r="F13" s="174"/>
      <c r="G13" s="174" t="s">
        <v>97</v>
      </c>
      <c r="H13" s="32" t="s">
        <v>689</v>
      </c>
      <c r="I13" s="19">
        <v>65000</v>
      </c>
      <c r="J13" s="174">
        <v>1.5</v>
      </c>
      <c r="K13" s="18">
        <v>46066</v>
      </c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</row>
    <row r="14" spans="1:50" hidden="1" x14ac:dyDescent="0.2">
      <c r="A14" s="174" t="s">
        <v>62</v>
      </c>
      <c r="B14" s="32" t="s">
        <v>62</v>
      </c>
      <c r="C14" s="194" t="s">
        <v>587</v>
      </c>
      <c r="D14" s="174">
        <v>3</v>
      </c>
      <c r="E14" s="174" t="s">
        <v>284</v>
      </c>
      <c r="F14" s="174"/>
      <c r="G14" s="174" t="s">
        <v>97</v>
      </c>
      <c r="H14" s="32" t="s">
        <v>103</v>
      </c>
      <c r="I14" s="19">
        <v>695520</v>
      </c>
      <c r="J14" s="174">
        <v>9</v>
      </c>
      <c r="K14" s="18">
        <v>46080</v>
      </c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</row>
    <row r="15" spans="1:50" x14ac:dyDescent="0.2">
      <c r="A15" s="174" t="s">
        <v>32</v>
      </c>
      <c r="B15" s="32" t="s">
        <v>32</v>
      </c>
      <c r="C15" s="194" t="s">
        <v>590</v>
      </c>
      <c r="D15" s="174">
        <v>1</v>
      </c>
      <c r="E15" s="174" t="s">
        <v>90</v>
      </c>
      <c r="F15" s="174" t="s">
        <v>496</v>
      </c>
      <c r="G15" s="174" t="s">
        <v>43</v>
      </c>
      <c r="H15" s="32" t="s">
        <v>689</v>
      </c>
      <c r="I15" s="19">
        <v>1550000</v>
      </c>
      <c r="J15" s="174">
        <v>6</v>
      </c>
      <c r="K15" s="18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</row>
    <row r="16" spans="1:50" hidden="1" x14ac:dyDescent="0.2">
      <c r="A16" s="174" t="s">
        <v>32</v>
      </c>
      <c r="B16" s="32" t="s">
        <v>32</v>
      </c>
      <c r="C16" s="194" t="s">
        <v>591</v>
      </c>
      <c r="D16" s="174">
        <v>3</v>
      </c>
      <c r="E16" s="174" t="s">
        <v>90</v>
      </c>
      <c r="F16" s="174" t="s">
        <v>550</v>
      </c>
      <c r="G16" s="174" t="s">
        <v>97</v>
      </c>
      <c r="H16" s="32" t="s">
        <v>144</v>
      </c>
      <c r="I16" s="19">
        <v>274370</v>
      </c>
      <c r="J16" s="174">
        <v>8.5</v>
      </c>
      <c r="K16" s="18">
        <v>46087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</row>
    <row r="17" spans="1:50" hidden="1" x14ac:dyDescent="0.2">
      <c r="A17" s="174" t="s">
        <v>62</v>
      </c>
      <c r="B17" s="32" t="s">
        <v>62</v>
      </c>
      <c r="C17" s="194" t="s">
        <v>594</v>
      </c>
      <c r="D17" s="174">
        <v>3</v>
      </c>
      <c r="E17" s="174" t="s">
        <v>213</v>
      </c>
      <c r="F17" s="174" t="s">
        <v>595</v>
      </c>
      <c r="G17" s="174" t="s">
        <v>97</v>
      </c>
      <c r="H17" s="32" t="s">
        <v>674</v>
      </c>
      <c r="I17" s="19">
        <v>54890</v>
      </c>
      <c r="J17" s="174">
        <v>1</v>
      </c>
      <c r="K17" s="18">
        <v>46077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</row>
    <row r="18" spans="1:50" hidden="1" x14ac:dyDescent="0.2">
      <c r="A18" s="174" t="s">
        <v>62</v>
      </c>
      <c r="B18" s="32" t="s">
        <v>62</v>
      </c>
      <c r="C18" s="196" t="s">
        <v>633</v>
      </c>
      <c r="D18" s="223">
        <v>3</v>
      </c>
      <c r="E18" s="174" t="s">
        <v>323</v>
      </c>
      <c r="F18" s="174" t="s">
        <v>664</v>
      </c>
      <c r="G18" s="174" t="s">
        <v>97</v>
      </c>
      <c r="H18" s="32" t="s">
        <v>144</v>
      </c>
      <c r="I18" s="19">
        <v>347308</v>
      </c>
      <c r="J18" s="174">
        <v>6</v>
      </c>
      <c r="K18" s="18">
        <v>46099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</row>
    <row r="19" spans="1:50" x14ac:dyDescent="0.2">
      <c r="A19" s="174" t="s">
        <v>32</v>
      </c>
      <c r="B19" s="32" t="s">
        <v>639</v>
      </c>
      <c r="C19" s="196" t="s">
        <v>635</v>
      </c>
      <c r="D19" s="223">
        <v>2</v>
      </c>
      <c r="E19" s="174" t="s">
        <v>320</v>
      </c>
      <c r="F19" s="174" t="s">
        <v>642</v>
      </c>
      <c r="G19" s="174" t="s">
        <v>97</v>
      </c>
      <c r="H19" s="32" t="s">
        <v>144</v>
      </c>
      <c r="I19" s="19">
        <v>392680</v>
      </c>
      <c r="J19" s="174">
        <v>6</v>
      </c>
      <c r="K19" s="18">
        <v>46101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</row>
    <row r="20" spans="1:50" hidden="1" x14ac:dyDescent="0.2">
      <c r="A20" s="174" t="s">
        <v>112</v>
      </c>
      <c r="B20" s="32" t="s">
        <v>112</v>
      </c>
      <c r="C20" s="194" t="s">
        <v>666</v>
      </c>
      <c r="D20" s="174">
        <v>3</v>
      </c>
      <c r="E20" s="174" t="s">
        <v>651</v>
      </c>
      <c r="F20" s="174" t="s">
        <v>653</v>
      </c>
      <c r="G20" s="174" t="s">
        <v>97</v>
      </c>
      <c r="H20" s="32" t="s">
        <v>103</v>
      </c>
      <c r="I20" s="19">
        <v>400000</v>
      </c>
      <c r="J20" s="174">
        <v>7</v>
      </c>
      <c r="K20" s="18">
        <v>46087</v>
      </c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0" x14ac:dyDescent="0.2">
      <c r="A21" s="174" t="s">
        <v>62</v>
      </c>
      <c r="B21" s="32" t="s">
        <v>62</v>
      </c>
      <c r="C21" s="194" t="s">
        <v>656</v>
      </c>
      <c r="D21" s="174">
        <v>1</v>
      </c>
      <c r="E21" s="174" t="s">
        <v>654</v>
      </c>
      <c r="F21" s="174"/>
      <c r="G21" s="174" t="s">
        <v>97</v>
      </c>
      <c r="H21" s="32" t="s">
        <v>103</v>
      </c>
      <c r="I21" s="19">
        <v>113485</v>
      </c>
      <c r="J21" s="174">
        <v>4</v>
      </c>
      <c r="K21" s="18">
        <v>46099</v>
      </c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0" x14ac:dyDescent="0.2">
      <c r="A22" s="174" t="s">
        <v>62</v>
      </c>
      <c r="B22" s="32" t="s">
        <v>62</v>
      </c>
      <c r="C22" s="194" t="s">
        <v>657</v>
      </c>
      <c r="D22" s="174">
        <v>1</v>
      </c>
      <c r="E22" s="174" t="s">
        <v>654</v>
      </c>
      <c r="F22" s="174"/>
      <c r="G22" s="174" t="s">
        <v>97</v>
      </c>
      <c r="H22" s="32" t="s">
        <v>103</v>
      </c>
      <c r="I22" s="19">
        <v>78211</v>
      </c>
      <c r="J22" s="174">
        <v>3</v>
      </c>
      <c r="K22" s="18">
        <v>46099</v>
      </c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</row>
    <row r="23" spans="1:50" hidden="1" x14ac:dyDescent="0.2">
      <c r="A23" s="174" t="s">
        <v>62</v>
      </c>
      <c r="B23" s="32" t="s">
        <v>62</v>
      </c>
      <c r="C23" s="194" t="s">
        <v>658</v>
      </c>
      <c r="D23" s="174">
        <v>3</v>
      </c>
      <c r="E23" s="174" t="s">
        <v>284</v>
      </c>
      <c r="F23" s="174" t="s">
        <v>659</v>
      </c>
      <c r="G23" s="174" t="s">
        <v>43</v>
      </c>
      <c r="H23" s="32" t="s">
        <v>103</v>
      </c>
      <c r="I23" s="19">
        <v>58500</v>
      </c>
      <c r="J23" s="174">
        <v>1.5</v>
      </c>
      <c r="K23" s="18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</row>
    <row r="24" spans="1:50" hidden="1" x14ac:dyDescent="0.2">
      <c r="A24" s="174" t="s">
        <v>62</v>
      </c>
      <c r="B24" s="32" t="s">
        <v>62</v>
      </c>
      <c r="C24" s="194" t="s">
        <v>662</v>
      </c>
      <c r="D24" s="174">
        <v>3</v>
      </c>
      <c r="E24" s="174" t="s">
        <v>323</v>
      </c>
      <c r="F24" s="174" t="s">
        <v>663</v>
      </c>
      <c r="G24" s="174" t="s">
        <v>97</v>
      </c>
      <c r="H24" s="32" t="s">
        <v>103</v>
      </c>
      <c r="I24" s="19">
        <v>40080</v>
      </c>
      <c r="J24" s="174">
        <v>1.5</v>
      </c>
      <c r="K24" s="18">
        <v>46093</v>
      </c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</row>
    <row r="25" spans="1:50" hidden="1" x14ac:dyDescent="0.2">
      <c r="A25" s="174" t="s">
        <v>112</v>
      </c>
      <c r="B25" s="174" t="s">
        <v>112</v>
      </c>
      <c r="C25" s="194" t="s">
        <v>671</v>
      </c>
      <c r="D25" s="174">
        <v>3</v>
      </c>
      <c r="E25" s="174"/>
      <c r="F25" s="174" t="s">
        <v>672</v>
      </c>
      <c r="G25" s="174" t="s">
        <v>97</v>
      </c>
      <c r="H25" s="32" t="s">
        <v>127</v>
      </c>
      <c r="I25" s="19">
        <v>40000</v>
      </c>
      <c r="J25" s="174"/>
      <c r="K25" s="18">
        <v>46091</v>
      </c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</row>
    <row r="26" spans="1:50" hidden="1" x14ac:dyDescent="0.2">
      <c r="A26" s="174" t="s">
        <v>112</v>
      </c>
      <c r="B26" s="174" t="s">
        <v>112</v>
      </c>
      <c r="C26" s="194" t="s">
        <v>673</v>
      </c>
      <c r="D26" s="174">
        <v>3</v>
      </c>
      <c r="E26" s="174" t="s">
        <v>293</v>
      </c>
      <c r="F26" s="174"/>
      <c r="G26" s="174" t="s">
        <v>97</v>
      </c>
      <c r="H26" s="32" t="s">
        <v>103</v>
      </c>
      <c r="I26" s="19">
        <v>275980</v>
      </c>
      <c r="J26" s="174">
        <v>6</v>
      </c>
      <c r="K26" s="18">
        <v>46092</v>
      </c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</row>
    <row r="27" spans="1:50" ht="15.5" hidden="1" customHeight="1" x14ac:dyDescent="0.2">
      <c r="A27" s="174" t="s">
        <v>88</v>
      </c>
      <c r="B27" s="174" t="s">
        <v>88</v>
      </c>
      <c r="C27" s="194" t="s">
        <v>691</v>
      </c>
      <c r="D27" s="174">
        <v>3</v>
      </c>
      <c r="E27" s="174" t="s">
        <v>297</v>
      </c>
      <c r="F27" s="174" t="s">
        <v>520</v>
      </c>
      <c r="G27" s="174" t="s">
        <v>97</v>
      </c>
      <c r="H27" s="32" t="s">
        <v>690</v>
      </c>
      <c r="I27" s="19">
        <v>70659</v>
      </c>
      <c r="J27" s="174">
        <v>3</v>
      </c>
      <c r="K27" s="18">
        <v>46104</v>
      </c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</row>
    <row r="28" spans="1:50" hidden="1" x14ac:dyDescent="0.2">
      <c r="A28" s="174" t="s">
        <v>112</v>
      </c>
      <c r="B28" s="32" t="s">
        <v>112</v>
      </c>
      <c r="C28" s="194" t="s">
        <v>702</v>
      </c>
      <c r="D28" s="174">
        <v>3</v>
      </c>
      <c r="E28" s="174" t="s">
        <v>293</v>
      </c>
      <c r="F28" s="174"/>
      <c r="G28" s="174" t="s">
        <v>97</v>
      </c>
      <c r="H28" s="32" t="s">
        <v>689</v>
      </c>
      <c r="I28" s="19">
        <v>144000</v>
      </c>
      <c r="J28" s="174">
        <v>4</v>
      </c>
      <c r="K28" s="18">
        <v>46101</v>
      </c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</row>
    <row r="29" spans="1:50" hidden="1" x14ac:dyDescent="0.2">
      <c r="A29" s="174" t="s">
        <v>32</v>
      </c>
      <c r="B29" s="32" t="s">
        <v>32</v>
      </c>
      <c r="C29" s="26" t="s">
        <v>696</v>
      </c>
      <c r="D29" s="32">
        <v>3</v>
      </c>
      <c r="E29" s="174" t="s">
        <v>162</v>
      </c>
      <c r="F29" s="174" t="s">
        <v>693</v>
      </c>
      <c r="G29" s="174" t="s">
        <v>97</v>
      </c>
      <c r="H29" s="32" t="s">
        <v>689</v>
      </c>
      <c r="I29" s="19">
        <v>64866</v>
      </c>
      <c r="J29" s="174">
        <v>3</v>
      </c>
      <c r="K29" s="18">
        <v>46098</v>
      </c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</row>
    <row r="30" spans="1:50" hidden="1" x14ac:dyDescent="0.2">
      <c r="A30" s="174" t="s">
        <v>62</v>
      </c>
      <c r="B30" s="32" t="s">
        <v>62</v>
      </c>
      <c r="C30" s="194" t="s">
        <v>721</v>
      </c>
      <c r="D30" s="174">
        <v>3</v>
      </c>
      <c r="E30" s="174" t="s">
        <v>723</v>
      </c>
      <c r="F30" s="174" t="s">
        <v>724</v>
      </c>
      <c r="G30" s="174" t="s">
        <v>97</v>
      </c>
      <c r="H30" s="32" t="s">
        <v>690</v>
      </c>
      <c r="I30" s="19">
        <v>54980</v>
      </c>
      <c r="J30" s="32">
        <v>1.5</v>
      </c>
      <c r="K30" s="18">
        <v>46113</v>
      </c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</row>
    <row r="31" spans="1:50" x14ac:dyDescent="0.2">
      <c r="A31" s="174" t="s">
        <v>136</v>
      </c>
      <c r="B31" s="32" t="s">
        <v>680</v>
      </c>
      <c r="C31" s="194" t="s">
        <v>737</v>
      </c>
      <c r="D31" s="174">
        <v>1</v>
      </c>
      <c r="E31" s="174" t="s">
        <v>735</v>
      </c>
      <c r="F31" s="174" t="s">
        <v>736</v>
      </c>
      <c r="G31" s="174" t="s">
        <v>97</v>
      </c>
      <c r="H31" s="32" t="s">
        <v>690</v>
      </c>
      <c r="I31" s="19">
        <v>133000</v>
      </c>
      <c r="J31" s="174">
        <v>2</v>
      </c>
      <c r="K31" s="18">
        <v>46107</v>
      </c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</row>
    <row r="32" spans="1:50" ht="24" hidden="1" x14ac:dyDescent="0.2">
      <c r="A32" s="174" t="s">
        <v>62</v>
      </c>
      <c r="B32" s="32" t="s">
        <v>62</v>
      </c>
      <c r="C32" s="196" t="s">
        <v>744</v>
      </c>
      <c r="D32" s="223">
        <v>3</v>
      </c>
      <c r="E32" s="174" t="s">
        <v>284</v>
      </c>
      <c r="F32" s="174" t="s">
        <v>740</v>
      </c>
      <c r="G32" s="174" t="s">
        <v>97</v>
      </c>
      <c r="H32" s="32" t="s">
        <v>690</v>
      </c>
      <c r="I32" s="19">
        <v>60000</v>
      </c>
      <c r="J32" s="174">
        <v>2.5</v>
      </c>
      <c r="K32" s="18">
        <v>46113</v>
      </c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</row>
    <row r="33" spans="1:50" hidden="1" x14ac:dyDescent="0.2">
      <c r="A33" s="32" t="s">
        <v>62</v>
      </c>
      <c r="B33" s="32" t="s">
        <v>62</v>
      </c>
      <c r="C33" s="220" t="s">
        <v>742</v>
      </c>
      <c r="D33" s="224">
        <v>3</v>
      </c>
      <c r="E33" s="32" t="s">
        <v>213</v>
      </c>
      <c r="F33" s="32" t="s">
        <v>741</v>
      </c>
      <c r="G33" s="174" t="s">
        <v>43</v>
      </c>
      <c r="H33" s="32" t="s">
        <v>690</v>
      </c>
      <c r="I33" s="19">
        <v>0</v>
      </c>
      <c r="J33" s="174"/>
      <c r="K33" s="18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</row>
    <row r="34" spans="1:50" hidden="1" x14ac:dyDescent="0.2">
      <c r="A34" s="174" t="s">
        <v>32</v>
      </c>
      <c r="B34" s="32" t="s">
        <v>32</v>
      </c>
      <c r="C34" s="196" t="s">
        <v>743</v>
      </c>
      <c r="D34" s="223">
        <v>3</v>
      </c>
      <c r="E34" s="174" t="s">
        <v>181</v>
      </c>
      <c r="F34" s="174" t="s">
        <v>546</v>
      </c>
      <c r="G34" s="174" t="s">
        <v>97</v>
      </c>
      <c r="H34" s="32" t="s">
        <v>690</v>
      </c>
      <c r="I34" s="19">
        <v>331400</v>
      </c>
      <c r="J34" s="174">
        <v>4</v>
      </c>
      <c r="K34" s="18">
        <v>46111</v>
      </c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</row>
    <row r="35" spans="1:50" hidden="1" x14ac:dyDescent="0.2">
      <c r="A35" s="174" t="s">
        <v>62</v>
      </c>
      <c r="B35" s="32" t="s">
        <v>62</v>
      </c>
      <c r="C35" s="196" t="s">
        <v>745</v>
      </c>
      <c r="D35" s="223">
        <v>3</v>
      </c>
      <c r="E35" s="174" t="s">
        <v>213</v>
      </c>
      <c r="F35" s="174" t="s">
        <v>746</v>
      </c>
      <c r="G35" s="174" t="s">
        <v>43</v>
      </c>
      <c r="H35" s="32" t="s">
        <v>674</v>
      </c>
      <c r="I35" s="19">
        <v>150000</v>
      </c>
      <c r="J35" s="174">
        <v>3</v>
      </c>
      <c r="K35" s="18">
        <v>46139</v>
      </c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</row>
    <row r="36" spans="1:50" x14ac:dyDescent="0.2">
      <c r="A36" s="174" t="s">
        <v>62</v>
      </c>
      <c r="B36" s="32" t="s">
        <v>62</v>
      </c>
      <c r="C36" s="194" t="s">
        <v>750</v>
      </c>
      <c r="D36" s="174">
        <v>2</v>
      </c>
      <c r="E36" s="174" t="s">
        <v>221</v>
      </c>
      <c r="F36" s="174" t="s">
        <v>221</v>
      </c>
      <c r="G36" s="174" t="s">
        <v>43</v>
      </c>
      <c r="H36" s="32" t="s">
        <v>674</v>
      </c>
      <c r="I36" s="19">
        <v>220000</v>
      </c>
      <c r="J36" s="174"/>
      <c r="K36" s="18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</row>
    <row r="37" spans="1:50" x14ac:dyDescent="0.2">
      <c r="A37" s="174" t="s">
        <v>62</v>
      </c>
      <c r="B37" s="32" t="s">
        <v>62</v>
      </c>
      <c r="C37" s="194" t="s">
        <v>753</v>
      </c>
      <c r="D37" s="174">
        <v>2</v>
      </c>
      <c r="E37" s="174" t="s">
        <v>253</v>
      </c>
      <c r="F37" s="174"/>
      <c r="G37" s="174" t="s">
        <v>43</v>
      </c>
      <c r="H37" s="32" t="s">
        <v>690</v>
      </c>
      <c r="I37" s="19">
        <v>120000</v>
      </c>
      <c r="J37" s="174">
        <v>2</v>
      </c>
      <c r="K37" s="18">
        <v>46118</v>
      </c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</row>
    <row r="38" spans="1:50" hidden="1" x14ac:dyDescent="0.2">
      <c r="A38" s="174" t="s">
        <v>32</v>
      </c>
      <c r="B38" s="32" t="s">
        <v>32</v>
      </c>
      <c r="C38" s="194" t="s">
        <v>755</v>
      </c>
      <c r="D38" s="174">
        <v>3</v>
      </c>
      <c r="E38" s="174" t="s">
        <v>181</v>
      </c>
      <c r="F38" s="174" t="s">
        <v>668</v>
      </c>
      <c r="G38" s="174" t="s">
        <v>43</v>
      </c>
      <c r="H38" s="32" t="s">
        <v>690</v>
      </c>
      <c r="I38" s="19">
        <v>120000</v>
      </c>
      <c r="J38" s="174">
        <v>6</v>
      </c>
      <c r="K38" s="18">
        <v>46125</v>
      </c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</row>
    <row r="39" spans="1:50" x14ac:dyDescent="0.2">
      <c r="A39" s="174"/>
      <c r="B39" s="32"/>
      <c r="C39" s="194"/>
      <c r="D39" s="174"/>
      <c r="E39" s="174"/>
      <c r="F39" s="174"/>
      <c r="G39" s="225"/>
      <c r="H39" s="32"/>
      <c r="I39" s="19"/>
      <c r="J39" s="47"/>
      <c r="K39" s="18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</row>
    <row r="40" spans="1:50" x14ac:dyDescent="0.2">
      <c r="A40" s="174"/>
      <c r="B40" s="32"/>
      <c r="C40" s="194"/>
      <c r="D40" s="174"/>
      <c r="E40" s="174"/>
      <c r="F40" s="174"/>
      <c r="G40" s="225"/>
      <c r="H40" s="32"/>
      <c r="I40" s="19"/>
      <c r="J40" s="47"/>
      <c r="K40" s="18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</row>
    <row r="41" spans="1:50" x14ac:dyDescent="0.2">
      <c r="A41" s="174"/>
      <c r="B41" s="32"/>
      <c r="C41" s="194"/>
      <c r="D41" s="174"/>
      <c r="E41" s="174"/>
      <c r="F41" s="174"/>
      <c r="G41" s="225"/>
      <c r="H41" s="32"/>
      <c r="I41" s="19"/>
      <c r="J41" s="47"/>
      <c r="K41" s="18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</row>
    <row r="42" spans="1:50" x14ac:dyDescent="0.2">
      <c r="A42" s="174"/>
      <c r="B42" s="32"/>
      <c r="C42" s="194"/>
      <c r="D42" s="174"/>
      <c r="E42" s="174"/>
      <c r="F42" s="174"/>
      <c r="G42" s="225"/>
      <c r="H42" s="32"/>
      <c r="I42" s="19"/>
      <c r="J42" s="47"/>
      <c r="K42" s="18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</row>
    <row r="43" spans="1:50" x14ac:dyDescent="0.2">
      <c r="A43" s="174"/>
      <c r="B43" s="32"/>
      <c r="C43" s="194"/>
      <c r="D43" s="174"/>
      <c r="E43" s="174"/>
      <c r="F43" s="174"/>
      <c r="G43" s="225"/>
      <c r="H43" s="32"/>
      <c r="I43" s="19"/>
      <c r="J43" s="47"/>
      <c r="K43" s="18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</row>
    <row r="44" spans="1:50" x14ac:dyDescent="0.2">
      <c r="A44" s="174"/>
      <c r="B44" s="32"/>
      <c r="C44" s="194"/>
      <c r="D44" s="174"/>
      <c r="E44" s="174"/>
      <c r="F44" s="174"/>
      <c r="G44" s="225"/>
      <c r="H44" s="32"/>
      <c r="I44" s="19"/>
      <c r="J44" s="47"/>
      <c r="K44" s="18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</row>
    <row r="45" spans="1:50" x14ac:dyDescent="0.2">
      <c r="A45" s="174"/>
      <c r="B45" s="32"/>
      <c r="C45" s="194"/>
      <c r="D45" s="174"/>
      <c r="E45" s="174"/>
      <c r="F45" s="174"/>
      <c r="G45" s="225"/>
      <c r="H45" s="32"/>
      <c r="I45" s="19"/>
      <c r="J45" s="47"/>
      <c r="K45" s="18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</row>
    <row r="46" spans="1:50" x14ac:dyDescent="0.2">
      <c r="A46" s="174"/>
      <c r="B46" s="32"/>
      <c r="C46" s="194"/>
      <c r="D46" s="174"/>
      <c r="E46" s="174"/>
      <c r="F46" s="174"/>
      <c r="G46" s="225"/>
      <c r="H46" s="32"/>
      <c r="I46" s="19"/>
      <c r="J46" s="47"/>
      <c r="K46" s="18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</row>
    <row r="47" spans="1:50" x14ac:dyDescent="0.2">
      <c r="A47" s="174"/>
      <c r="B47" s="32"/>
      <c r="C47" s="194"/>
      <c r="D47" s="174"/>
      <c r="E47" s="174"/>
      <c r="F47" s="174"/>
      <c r="G47" s="225"/>
      <c r="H47" s="32"/>
      <c r="I47" s="19"/>
      <c r="J47" s="47"/>
      <c r="K47" s="18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</row>
    <row r="48" spans="1:50" x14ac:dyDescent="0.2">
      <c r="A48" s="174"/>
      <c r="B48" s="32"/>
      <c r="C48" s="194"/>
      <c r="D48" s="174"/>
      <c r="E48" s="174"/>
      <c r="F48" s="174"/>
      <c r="G48" s="225"/>
      <c r="H48" s="32"/>
      <c r="I48" s="19"/>
      <c r="J48" s="47"/>
      <c r="K48" s="18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</row>
    <row r="49" spans="1:50" x14ac:dyDescent="0.2">
      <c r="A49" s="174"/>
      <c r="B49" s="32"/>
      <c r="C49" s="194"/>
      <c r="D49" s="174"/>
      <c r="E49" s="174"/>
      <c r="F49" s="174"/>
      <c r="G49" s="225"/>
      <c r="H49" s="32"/>
      <c r="I49" s="19"/>
      <c r="J49" s="47"/>
      <c r="K49" s="18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</row>
    <row r="50" spans="1:50" x14ac:dyDescent="0.2">
      <c r="A50" s="174"/>
      <c r="B50" s="32"/>
      <c r="C50" s="194"/>
      <c r="D50" s="174"/>
      <c r="E50" s="174"/>
      <c r="F50" s="174"/>
      <c r="G50" s="225"/>
      <c r="H50" s="32"/>
      <c r="I50" s="19"/>
      <c r="J50" s="47"/>
      <c r="K50" s="18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</row>
    <row r="51" spans="1:50" x14ac:dyDescent="0.2">
      <c r="A51" s="174"/>
      <c r="B51" s="32"/>
      <c r="C51" s="194"/>
      <c r="D51" s="174"/>
      <c r="E51" s="174"/>
      <c r="F51" s="174"/>
      <c r="G51" s="225"/>
      <c r="H51" s="32"/>
      <c r="I51" s="19"/>
      <c r="J51" s="47"/>
      <c r="K51" s="18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</row>
    <row r="52" spans="1:50" x14ac:dyDescent="0.2">
      <c r="A52" s="174"/>
      <c r="B52" s="32"/>
      <c r="C52" s="194"/>
      <c r="D52" s="174"/>
      <c r="E52" s="174"/>
      <c r="F52" s="174"/>
      <c r="G52" s="225"/>
      <c r="H52" s="32"/>
      <c r="I52" s="19"/>
      <c r="J52" s="47"/>
      <c r="K52" s="18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</row>
    <row r="53" spans="1:50" x14ac:dyDescent="0.2">
      <c r="A53" s="174"/>
      <c r="B53" s="32"/>
      <c r="C53" s="194"/>
      <c r="D53" s="174"/>
      <c r="E53" s="174"/>
      <c r="F53" s="174"/>
      <c r="G53" s="225"/>
      <c r="H53" s="32"/>
      <c r="I53" s="19"/>
      <c r="J53" s="47"/>
      <c r="K53" s="18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</row>
    <row r="54" spans="1:50" x14ac:dyDescent="0.2">
      <c r="A54" s="174"/>
      <c r="B54" s="32"/>
      <c r="C54" s="194"/>
      <c r="D54" s="174"/>
      <c r="E54" s="174"/>
      <c r="F54" s="174"/>
      <c r="G54" s="225"/>
      <c r="H54" s="32"/>
      <c r="I54" s="19"/>
      <c r="J54" s="47"/>
      <c r="K54" s="18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</row>
    <row r="55" spans="1:50" x14ac:dyDescent="0.2">
      <c r="A55" s="174"/>
      <c r="B55" s="32"/>
      <c r="C55" s="194"/>
      <c r="D55" s="174"/>
      <c r="E55" s="174"/>
      <c r="F55" s="174"/>
      <c r="G55" s="225"/>
      <c r="H55" s="32"/>
      <c r="I55" s="19"/>
      <c r="J55" s="47"/>
      <c r="K55" s="18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</row>
    <row r="56" spans="1:50" x14ac:dyDescent="0.2">
      <c r="A56" s="174"/>
      <c r="B56" s="32"/>
      <c r="C56" s="194"/>
      <c r="D56" s="174"/>
      <c r="E56" s="174"/>
      <c r="F56" s="174"/>
      <c r="G56" s="225"/>
      <c r="H56" s="32"/>
      <c r="I56" s="19"/>
      <c r="J56" s="47"/>
      <c r="K56" s="18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</row>
    <row r="57" spans="1:50" x14ac:dyDescent="0.2">
      <c r="A57" s="174"/>
      <c r="B57" s="32"/>
      <c r="C57" s="194"/>
      <c r="D57" s="174"/>
      <c r="E57" s="174"/>
      <c r="F57" s="174"/>
      <c r="G57" s="225"/>
      <c r="H57" s="32"/>
      <c r="I57" s="19"/>
      <c r="J57" s="47"/>
      <c r="K57" s="18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</row>
    <row r="58" spans="1:50" x14ac:dyDescent="0.2">
      <c r="A58" s="174"/>
      <c r="B58" s="32"/>
      <c r="C58" s="194"/>
      <c r="D58" s="174"/>
      <c r="E58" s="174"/>
      <c r="F58" s="174"/>
      <c r="G58" s="225"/>
      <c r="H58" s="32"/>
      <c r="I58" s="19"/>
      <c r="J58" s="47"/>
      <c r="K58" s="18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</row>
    <row r="59" spans="1:50" x14ac:dyDescent="0.2">
      <c r="A59" s="174"/>
      <c r="B59" s="32"/>
      <c r="C59" s="194"/>
      <c r="D59" s="174"/>
      <c r="E59" s="174"/>
      <c r="F59" s="174"/>
      <c r="G59" s="225"/>
      <c r="H59" s="32"/>
      <c r="I59" s="19"/>
      <c r="J59" s="47"/>
      <c r="K59" s="18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</row>
    <row r="60" spans="1:50" x14ac:dyDescent="0.2">
      <c r="A60" s="174"/>
      <c r="B60" s="32"/>
      <c r="C60" s="194"/>
      <c r="D60" s="174"/>
      <c r="E60" s="174"/>
      <c r="F60" s="174"/>
      <c r="G60" s="225"/>
      <c r="H60" s="32"/>
      <c r="I60" s="19"/>
      <c r="J60" s="47"/>
      <c r="K60" s="18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</row>
    <row r="61" spans="1:50" x14ac:dyDescent="0.2">
      <c r="A61" s="174"/>
      <c r="B61" s="32"/>
      <c r="C61" s="194"/>
      <c r="D61" s="174"/>
      <c r="E61" s="174"/>
      <c r="F61" s="174"/>
      <c r="G61" s="225"/>
      <c r="H61" s="32"/>
      <c r="I61" s="19"/>
      <c r="J61" s="47"/>
      <c r="K61" s="18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</row>
    <row r="62" spans="1:50" x14ac:dyDescent="0.2">
      <c r="A62" s="174"/>
      <c r="B62" s="32"/>
      <c r="C62" s="194"/>
      <c r="D62" s="174"/>
      <c r="E62" s="174"/>
      <c r="F62" s="174"/>
      <c r="G62" s="225"/>
      <c r="H62" s="32"/>
      <c r="I62" s="19"/>
      <c r="J62" s="47"/>
      <c r="K62" s="18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</row>
    <row r="63" spans="1:50" x14ac:dyDescent="0.2">
      <c r="A63" s="174"/>
      <c r="B63" s="32"/>
      <c r="C63" s="194"/>
      <c r="D63" s="174"/>
      <c r="E63" s="174"/>
      <c r="F63" s="174"/>
      <c r="G63" s="225"/>
      <c r="H63" s="32"/>
      <c r="I63" s="19"/>
      <c r="J63" s="47"/>
      <c r="K63" s="18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</row>
    <row r="64" spans="1:50" x14ac:dyDescent="0.2">
      <c r="A64" s="174"/>
      <c r="B64" s="32"/>
      <c r="C64" s="194"/>
      <c r="D64" s="174"/>
      <c r="E64" s="174"/>
      <c r="F64" s="174"/>
      <c r="G64" s="225"/>
      <c r="H64" s="32"/>
      <c r="I64" s="19"/>
      <c r="J64" s="47"/>
      <c r="K64" s="18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</row>
    <row r="65" spans="1:50" x14ac:dyDescent="0.2">
      <c r="A65" s="174"/>
      <c r="B65" s="32"/>
      <c r="C65" s="194"/>
      <c r="D65" s="174"/>
      <c r="E65" s="174"/>
      <c r="F65" s="174"/>
      <c r="G65" s="225"/>
      <c r="H65" s="32"/>
      <c r="I65" s="19"/>
      <c r="J65" s="47"/>
      <c r="K65" s="18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</row>
    <row r="66" spans="1:50" x14ac:dyDescent="0.2">
      <c r="A66" s="174"/>
      <c r="B66" s="32"/>
      <c r="C66" s="194"/>
      <c r="D66" s="174"/>
      <c r="E66" s="174"/>
      <c r="F66" s="174"/>
      <c r="G66" s="225"/>
      <c r="H66" s="32"/>
      <c r="I66" s="19"/>
      <c r="J66" s="47"/>
      <c r="K66" s="18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</row>
    <row r="67" spans="1:50" x14ac:dyDescent="0.2">
      <c r="A67" s="174"/>
      <c r="B67" s="32"/>
      <c r="C67" s="194"/>
      <c r="D67" s="174"/>
      <c r="E67" s="174"/>
      <c r="F67" s="174"/>
      <c r="G67" s="225"/>
      <c r="H67" s="32"/>
      <c r="I67" s="19"/>
      <c r="J67" s="47"/>
      <c r="K67" s="18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</row>
    <row r="68" spans="1:50" x14ac:dyDescent="0.2">
      <c r="A68" s="174"/>
      <c r="B68" s="32"/>
      <c r="C68" s="194"/>
      <c r="D68" s="174"/>
      <c r="E68" s="174"/>
      <c r="F68" s="174"/>
      <c r="G68" s="225"/>
      <c r="H68" s="32"/>
      <c r="I68" s="19"/>
      <c r="J68" s="47"/>
      <c r="K68" s="18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</row>
    <row r="69" spans="1:50" x14ac:dyDescent="0.2">
      <c r="A69" s="174"/>
      <c r="B69" s="32"/>
      <c r="C69" s="194"/>
      <c r="D69" s="174"/>
      <c r="E69" s="174"/>
      <c r="F69" s="174"/>
      <c r="G69" s="225"/>
      <c r="H69" s="32"/>
      <c r="I69" s="19"/>
      <c r="J69" s="47"/>
      <c r="K69" s="18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</row>
    <row r="70" spans="1:50" x14ac:dyDescent="0.2">
      <c r="A70" s="174"/>
      <c r="B70" s="32"/>
      <c r="C70" s="194"/>
      <c r="D70" s="174"/>
      <c r="E70" s="174"/>
      <c r="F70" s="174"/>
      <c r="G70" s="225"/>
      <c r="H70" s="32"/>
      <c r="I70" s="19"/>
      <c r="J70" s="47"/>
      <c r="K70" s="18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</row>
    <row r="71" spans="1:50" x14ac:dyDescent="0.2">
      <c r="A71" s="174"/>
      <c r="B71" s="32"/>
      <c r="C71" s="194"/>
      <c r="D71" s="174"/>
      <c r="E71" s="174"/>
      <c r="F71" s="174"/>
      <c r="G71" s="225"/>
      <c r="H71" s="32"/>
      <c r="I71" s="19"/>
      <c r="J71" s="47"/>
      <c r="K71" s="18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</row>
    <row r="72" spans="1:50" x14ac:dyDescent="0.2">
      <c r="A72" s="174"/>
      <c r="B72" s="32"/>
      <c r="C72" s="194"/>
      <c r="D72" s="174"/>
      <c r="E72" s="174"/>
      <c r="F72" s="174"/>
      <c r="G72" s="225"/>
      <c r="H72" s="32"/>
      <c r="I72" s="19"/>
      <c r="J72" s="47"/>
      <c r="K72" s="18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</row>
    <row r="73" spans="1:50" x14ac:dyDescent="0.2">
      <c r="A73" s="174"/>
      <c r="B73" s="32"/>
      <c r="C73" s="194"/>
      <c r="D73" s="174"/>
      <c r="E73" s="174"/>
      <c r="F73" s="174"/>
      <c r="G73" s="225"/>
      <c r="H73" s="32"/>
      <c r="I73" s="19"/>
      <c r="J73" s="47"/>
      <c r="K73" s="18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</row>
    <row r="74" spans="1:50" x14ac:dyDescent="0.2">
      <c r="A74" s="174"/>
      <c r="B74" s="32"/>
      <c r="C74" s="194"/>
      <c r="D74" s="174"/>
      <c r="E74" s="174"/>
      <c r="F74" s="174"/>
      <c r="G74" s="225"/>
      <c r="H74" s="32"/>
      <c r="I74" s="19"/>
      <c r="J74" s="47"/>
      <c r="K74" s="18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</row>
    <row r="75" spans="1:50" x14ac:dyDescent="0.2">
      <c r="A75" s="174"/>
      <c r="B75" s="32"/>
      <c r="C75" s="194"/>
      <c r="D75" s="174"/>
      <c r="E75" s="174"/>
      <c r="F75" s="174"/>
      <c r="G75" s="225"/>
      <c r="H75" s="32"/>
      <c r="I75" s="19"/>
      <c r="J75" s="47"/>
      <c r="K75" s="18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</row>
    <row r="76" spans="1:50" x14ac:dyDescent="0.2">
      <c r="A76" s="174"/>
      <c r="B76" s="32"/>
      <c r="C76" s="194"/>
      <c r="D76" s="174"/>
      <c r="E76" s="174"/>
      <c r="F76" s="174"/>
      <c r="G76" s="225"/>
      <c r="H76" s="32"/>
      <c r="I76" s="19"/>
      <c r="J76" s="47"/>
      <c r="K76" s="18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</row>
    <row r="77" spans="1:50" x14ac:dyDescent="0.2">
      <c r="A77" s="174"/>
      <c r="B77" s="32"/>
      <c r="C77" s="194"/>
      <c r="D77" s="174"/>
      <c r="E77" s="174"/>
      <c r="F77" s="174"/>
      <c r="G77" s="225"/>
      <c r="H77" s="32"/>
      <c r="I77" s="19"/>
      <c r="J77" s="47"/>
      <c r="K77" s="18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</row>
    <row r="78" spans="1:50" x14ac:dyDescent="0.2">
      <c r="A78" s="174"/>
      <c r="B78" s="32"/>
      <c r="C78" s="194"/>
      <c r="D78" s="174"/>
      <c r="E78" s="174"/>
      <c r="F78" s="174"/>
      <c r="G78" s="225"/>
      <c r="H78" s="32"/>
      <c r="I78" s="19"/>
      <c r="J78" s="47"/>
      <c r="K78" s="18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</row>
    <row r="79" spans="1:50" x14ac:dyDescent="0.2">
      <c r="A79" s="174"/>
      <c r="B79" s="32"/>
      <c r="C79" s="194"/>
      <c r="D79" s="174"/>
      <c r="E79" s="174"/>
      <c r="F79" s="174"/>
      <c r="G79" s="225"/>
      <c r="H79" s="32"/>
      <c r="I79" s="19"/>
      <c r="J79" s="47"/>
      <c r="K79" s="18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</row>
    <row r="80" spans="1:50" x14ac:dyDescent="0.2">
      <c r="A80" s="174"/>
      <c r="B80" s="32"/>
      <c r="C80" s="194"/>
      <c r="D80" s="174"/>
      <c r="E80" s="174"/>
      <c r="F80" s="174"/>
      <c r="G80" s="225"/>
      <c r="H80" s="32"/>
      <c r="I80" s="19"/>
      <c r="J80" s="47"/>
      <c r="K80" s="18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</row>
    <row r="81" spans="1:50 16237:16255" x14ac:dyDescent="0.2">
      <c r="A81" s="174"/>
      <c r="B81" s="32"/>
      <c r="C81" s="194"/>
      <c r="D81" s="174"/>
      <c r="E81" s="174"/>
      <c r="F81" s="174"/>
      <c r="G81" s="225"/>
      <c r="H81" s="32"/>
      <c r="I81" s="19"/>
      <c r="J81" s="47"/>
      <c r="K81" s="18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</row>
    <row r="82" spans="1:50 16237:16255" x14ac:dyDescent="0.2">
      <c r="A82" s="174"/>
      <c r="B82" s="32"/>
      <c r="C82" s="194"/>
      <c r="D82" s="174"/>
      <c r="E82" s="174"/>
      <c r="F82" s="174"/>
      <c r="G82" s="225"/>
      <c r="H82" s="32"/>
      <c r="I82" s="19"/>
      <c r="J82" s="47"/>
      <c r="K82" s="18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</row>
    <row r="83" spans="1:50 16237:16255" x14ac:dyDescent="0.2">
      <c r="A83" s="174"/>
      <c r="B83" s="32"/>
      <c r="C83" s="194"/>
      <c r="D83" s="174"/>
      <c r="E83" s="174"/>
      <c r="F83" s="174"/>
      <c r="G83" s="225"/>
      <c r="H83" s="32"/>
      <c r="I83" s="19"/>
      <c r="J83" s="47"/>
      <c r="K83" s="18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</row>
    <row r="84" spans="1:50 16237:16255" x14ac:dyDescent="0.2">
      <c r="A84" s="174"/>
      <c r="B84" s="32"/>
      <c r="C84" s="194"/>
      <c r="D84" s="174"/>
      <c r="E84" s="174"/>
      <c r="F84" s="174"/>
      <c r="G84" s="225"/>
      <c r="H84" s="32"/>
      <c r="I84" s="19"/>
      <c r="J84" s="47"/>
      <c r="K84" s="18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</row>
    <row r="85" spans="1:50 16237:16255" x14ac:dyDescent="0.2">
      <c r="H85" s="195"/>
      <c r="I85" s="195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</row>
    <row r="86" spans="1:50 16237:16255" x14ac:dyDescent="0.2">
      <c r="A86" s="174"/>
      <c r="B86" s="32"/>
      <c r="C86" s="194"/>
      <c r="D86" s="174"/>
      <c r="E86" s="174"/>
      <c r="F86" s="174"/>
      <c r="G86" s="225"/>
      <c r="H86" s="32"/>
      <c r="I86" s="19"/>
      <c r="J86" s="47"/>
      <c r="K86" s="18"/>
      <c r="L86" s="7"/>
      <c r="M86" s="7"/>
      <c r="N86" s="7"/>
      <c r="O86" s="7"/>
      <c r="P86" s="7"/>
      <c r="Q86" s="7"/>
      <c r="R86" s="7"/>
      <c r="S86" s="7"/>
      <c r="T86" s="7"/>
      <c r="WZM86" s="187"/>
      <c r="WZN86" s="191"/>
      <c r="WZO86" s="47"/>
      <c r="WZP86" s="174"/>
      <c r="WZQ86" s="32"/>
      <c r="WZR86" s="194"/>
      <c r="WZS86" s="174"/>
      <c r="WZT86" s="174"/>
      <c r="WZU86" s="174"/>
      <c r="WZV86" s="47"/>
      <c r="WZW86" s="181"/>
      <c r="WZX86" s="174"/>
      <c r="WZY86" s="186"/>
      <c r="WZZ86" s="181"/>
      <c r="XAA86" s="181"/>
      <c r="XAB86" s="181"/>
      <c r="XAC86" s="181"/>
      <c r="XAD86" s="174"/>
      <c r="XAE86" s="174"/>
    </row>
    <row r="87" spans="1:50 16237:16255" x14ac:dyDescent="0.2">
      <c r="A87" s="174"/>
      <c r="B87" s="32"/>
      <c r="C87" s="194"/>
      <c r="D87" s="174"/>
      <c r="E87" s="174"/>
      <c r="F87" s="174"/>
      <c r="G87" s="225"/>
      <c r="H87" s="32"/>
      <c r="I87" s="19"/>
      <c r="J87" s="47"/>
      <c r="K87" s="18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</row>
    <row r="88" spans="1:50 16237:16255" x14ac:dyDescent="0.2">
      <c r="B88" s="187"/>
      <c r="H88" s="195"/>
      <c r="I88" s="195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</row>
    <row r="89" spans="1:50 16237:16255" x14ac:dyDescent="0.2">
      <c r="B89" s="187"/>
      <c r="H89" s="195"/>
      <c r="I89" s="195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</row>
    <row r="90" spans="1:50 16237:16255" x14ac:dyDescent="0.2">
      <c r="B90" s="187"/>
      <c r="H90" s="195"/>
      <c r="I90" s="195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</row>
    <row r="91" spans="1:50 16237:16255" x14ac:dyDescent="0.2">
      <c r="B91" s="187"/>
      <c r="H91" s="195"/>
      <c r="I91" s="195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</row>
    <row r="92" spans="1:50 16237:16255" x14ac:dyDescent="0.2">
      <c r="B92" s="187"/>
      <c r="H92" s="195"/>
      <c r="I92" s="195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</row>
    <row r="93" spans="1:50 16237:16255" x14ac:dyDescent="0.2">
      <c r="B93" s="187"/>
      <c r="H93" s="195"/>
      <c r="I93" s="195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</row>
    <row r="94" spans="1:50 16237:16255" x14ac:dyDescent="0.2">
      <c r="B94" s="187"/>
      <c r="H94" s="195"/>
      <c r="I94" s="195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</row>
    <row r="95" spans="1:50 16237:16255" x14ac:dyDescent="0.2">
      <c r="B95" s="187"/>
      <c r="H95" s="195"/>
      <c r="I95" s="195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</row>
    <row r="96" spans="1:50 16237:16255" x14ac:dyDescent="0.2">
      <c r="B96" s="18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</row>
    <row r="97" spans="2:50" x14ac:dyDescent="0.2">
      <c r="B97" s="18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</row>
    <row r="98" spans="2:50" x14ac:dyDescent="0.2">
      <c r="B98" s="18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</row>
    <row r="99" spans="2:50" x14ac:dyDescent="0.2">
      <c r="B99" s="18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</row>
    <row r="100" spans="2:50" x14ac:dyDescent="0.2">
      <c r="B100" s="18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</row>
    <row r="101" spans="2:50" x14ac:dyDescent="0.2">
      <c r="B101" s="18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</row>
    <row r="102" spans="2:50" x14ac:dyDescent="0.2">
      <c r="B102" s="18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</row>
    <row r="103" spans="2:50" x14ac:dyDescent="0.2">
      <c r="B103" s="18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</row>
    <row r="104" spans="2:50" x14ac:dyDescent="0.2">
      <c r="B104" s="18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</row>
    <row r="105" spans="2:50" x14ac:dyDescent="0.2">
      <c r="B105" s="18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</row>
    <row r="106" spans="2:50" x14ac:dyDescent="0.2">
      <c r="B106" s="18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</row>
    <row r="107" spans="2:50" x14ac:dyDescent="0.2">
      <c r="B107" s="18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</row>
    <row r="108" spans="2:50" x14ac:dyDescent="0.2">
      <c r="B108" s="18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</row>
    <row r="109" spans="2:50" x14ac:dyDescent="0.2">
      <c r="B109" s="18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</row>
    <row r="110" spans="2:50" x14ac:dyDescent="0.2">
      <c r="B110" s="18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</row>
    <row r="111" spans="2:50" x14ac:dyDescent="0.2">
      <c r="B111" s="18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</row>
    <row r="112" spans="2:50" x14ac:dyDescent="0.2">
      <c r="B112" s="18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</row>
    <row r="113" spans="2:50" x14ac:dyDescent="0.2">
      <c r="B113" s="18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</row>
    <row r="114" spans="2:50" x14ac:dyDescent="0.2">
      <c r="B114" s="18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</row>
    <row r="115" spans="2:50" x14ac:dyDescent="0.2">
      <c r="B115" s="18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</row>
    <row r="116" spans="2:50" x14ac:dyDescent="0.2">
      <c r="B116" s="18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</row>
    <row r="117" spans="2:50" x14ac:dyDescent="0.2">
      <c r="B117" s="18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</row>
    <row r="118" spans="2:50" x14ac:dyDescent="0.2">
      <c r="B118" s="18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</row>
    <row r="119" spans="2:50" x14ac:dyDescent="0.2">
      <c r="B119" s="18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</row>
    <row r="120" spans="2:50" x14ac:dyDescent="0.2">
      <c r="B120" s="18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</row>
    <row r="121" spans="2:50" x14ac:dyDescent="0.2">
      <c r="B121" s="18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</row>
    <row r="122" spans="2:50" x14ac:dyDescent="0.2">
      <c r="B122" s="18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</row>
    <row r="123" spans="2:50" x14ac:dyDescent="0.2">
      <c r="B123" s="18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</row>
    <row r="124" spans="2:50" x14ac:dyDescent="0.2">
      <c r="B124" s="18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</row>
    <row r="125" spans="2:50" x14ac:dyDescent="0.2">
      <c r="B125" s="18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</row>
    <row r="126" spans="2:50" x14ac:dyDescent="0.2">
      <c r="B126" s="18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</row>
    <row r="127" spans="2:50" x14ac:dyDescent="0.2">
      <c r="B127" s="18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</row>
    <row r="128" spans="2:50" x14ac:dyDescent="0.2">
      <c r="B128" s="18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</row>
    <row r="129" spans="2:50" x14ac:dyDescent="0.2">
      <c r="B129" s="18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</row>
    <row r="130" spans="2:50" x14ac:dyDescent="0.2">
      <c r="B130" s="18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</row>
    <row r="131" spans="2:50" x14ac:dyDescent="0.2">
      <c r="B131" s="18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</row>
    <row r="132" spans="2:50" x14ac:dyDescent="0.2">
      <c r="B132" s="18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</row>
    <row r="133" spans="2:50" x14ac:dyDescent="0.2">
      <c r="B133" s="18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</row>
    <row r="134" spans="2:50" x14ac:dyDescent="0.2">
      <c r="B134" s="18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</row>
    <row r="135" spans="2:50" x14ac:dyDescent="0.2">
      <c r="B135" s="18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</row>
    <row r="136" spans="2:50" x14ac:dyDescent="0.2">
      <c r="B136" s="18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</row>
    <row r="137" spans="2:50" x14ac:dyDescent="0.2">
      <c r="B137" s="18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</row>
    <row r="138" spans="2:50" x14ac:dyDescent="0.2">
      <c r="B138" s="18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</row>
    <row r="139" spans="2:50" x14ac:dyDescent="0.2">
      <c r="B139" s="18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</row>
    <row r="140" spans="2:50" x14ac:dyDescent="0.2">
      <c r="B140" s="18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</row>
    <row r="141" spans="2:50" x14ac:dyDescent="0.2">
      <c r="B141" s="18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</row>
    <row r="142" spans="2:50" x14ac:dyDescent="0.2">
      <c r="B142" s="18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</row>
    <row r="143" spans="2:50" x14ac:dyDescent="0.2">
      <c r="B143" s="18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</row>
    <row r="144" spans="2:50" x14ac:dyDescent="0.2">
      <c r="B144" s="18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</row>
    <row r="145" spans="2:50" x14ac:dyDescent="0.2">
      <c r="B145" s="18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</row>
    <row r="146" spans="2:50" x14ac:dyDescent="0.2">
      <c r="B146" s="18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</row>
    <row r="147" spans="2:50" x14ac:dyDescent="0.2">
      <c r="B147" s="18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</row>
    <row r="148" spans="2:50" x14ac:dyDescent="0.2">
      <c r="B148" s="18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</row>
    <row r="149" spans="2:50" x14ac:dyDescent="0.2">
      <c r="B149" s="18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</row>
    <row r="150" spans="2:50" x14ac:dyDescent="0.2">
      <c r="B150" s="18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</row>
    <row r="151" spans="2:50" x14ac:dyDescent="0.2">
      <c r="B151" s="18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</row>
    <row r="152" spans="2:50" x14ac:dyDescent="0.2">
      <c r="B152" s="18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</row>
    <row r="153" spans="2:50" x14ac:dyDescent="0.2">
      <c r="B153" s="18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</row>
    <row r="154" spans="2:50" x14ac:dyDescent="0.2">
      <c r="B154" s="18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</row>
    <row r="155" spans="2:50" x14ac:dyDescent="0.2">
      <c r="B155" s="18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</row>
    <row r="156" spans="2:50" x14ac:dyDescent="0.2">
      <c r="B156" s="18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</row>
    <row r="157" spans="2:50" x14ac:dyDescent="0.2">
      <c r="B157" s="18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</row>
    <row r="158" spans="2:50" x14ac:dyDescent="0.2">
      <c r="B158" s="18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</row>
    <row r="159" spans="2:50" x14ac:dyDescent="0.2">
      <c r="B159" s="18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</row>
    <row r="160" spans="2:50" x14ac:dyDescent="0.2">
      <c r="B160" s="18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</row>
    <row r="161" spans="2:50" x14ac:dyDescent="0.2">
      <c r="B161" s="18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</row>
    <row r="162" spans="2:50" x14ac:dyDescent="0.2">
      <c r="B162" s="18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</row>
    <row r="163" spans="2:50" x14ac:dyDescent="0.2">
      <c r="B163" s="18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</row>
    <row r="164" spans="2:50" x14ac:dyDescent="0.2">
      <c r="B164" s="18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</row>
    <row r="165" spans="2:50" x14ac:dyDescent="0.2">
      <c r="B165" s="18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</row>
    <row r="166" spans="2:50" x14ac:dyDescent="0.2">
      <c r="B166" s="18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</row>
    <row r="167" spans="2:50" x14ac:dyDescent="0.2">
      <c r="B167" s="18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</row>
    <row r="168" spans="2:50" x14ac:dyDescent="0.2">
      <c r="B168" s="18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</row>
    <row r="169" spans="2:50" x14ac:dyDescent="0.2">
      <c r="B169" s="18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</row>
    <row r="170" spans="2:50" x14ac:dyDescent="0.2">
      <c r="B170" s="18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</row>
    <row r="171" spans="2:50" x14ac:dyDescent="0.2">
      <c r="B171" s="18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</row>
    <row r="172" spans="2:50" x14ac:dyDescent="0.2">
      <c r="B172" s="18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</row>
    <row r="173" spans="2:50" x14ac:dyDescent="0.2">
      <c r="B173" s="18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</row>
    <row r="174" spans="2:50" x14ac:dyDescent="0.2">
      <c r="B174" s="18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</row>
    <row r="175" spans="2:50" x14ac:dyDescent="0.2">
      <c r="B175" s="18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</row>
    <row r="176" spans="2:50" x14ac:dyDescent="0.2">
      <c r="B176" s="18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</row>
    <row r="177" spans="2:50" x14ac:dyDescent="0.2">
      <c r="B177" s="18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</row>
    <row r="178" spans="2:50" x14ac:dyDescent="0.2">
      <c r="B178" s="18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</row>
    <row r="179" spans="2:50" x14ac:dyDescent="0.2">
      <c r="B179" s="18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</row>
    <row r="180" spans="2:50" x14ac:dyDescent="0.2">
      <c r="B180" s="18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</row>
    <row r="181" spans="2:50" x14ac:dyDescent="0.2">
      <c r="B181" s="18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</row>
    <row r="182" spans="2:50" x14ac:dyDescent="0.2">
      <c r="B182" s="18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</row>
    <row r="183" spans="2:50" x14ac:dyDescent="0.2">
      <c r="B183" s="18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</row>
    <row r="184" spans="2:50" x14ac:dyDescent="0.2">
      <c r="B184" s="18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</row>
    <row r="185" spans="2:50" x14ac:dyDescent="0.2">
      <c r="B185" s="18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</row>
    <row r="186" spans="2:50" x14ac:dyDescent="0.2">
      <c r="B186" s="18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</row>
    <row r="187" spans="2:50" x14ac:dyDescent="0.2">
      <c r="B187" s="18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</row>
    <row r="188" spans="2:50" x14ac:dyDescent="0.2">
      <c r="B188" s="18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</row>
    <row r="189" spans="2:50" x14ac:dyDescent="0.2">
      <c r="B189" s="18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</row>
    <row r="190" spans="2:50" x14ac:dyDescent="0.2">
      <c r="B190" s="18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</row>
    <row r="191" spans="2:50" x14ac:dyDescent="0.2">
      <c r="B191" s="18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</row>
    <row r="192" spans="2:50" x14ac:dyDescent="0.2">
      <c r="B192" s="18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</row>
    <row r="193" spans="2:50" x14ac:dyDescent="0.2">
      <c r="B193" s="18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</row>
    <row r="194" spans="2:50" x14ac:dyDescent="0.2">
      <c r="B194" s="18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</row>
    <row r="195" spans="2:50" x14ac:dyDescent="0.2">
      <c r="B195" s="18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</row>
    <row r="196" spans="2:50" x14ac:dyDescent="0.2">
      <c r="B196" s="18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</row>
    <row r="197" spans="2:50" x14ac:dyDescent="0.2">
      <c r="B197" s="18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</row>
    <row r="198" spans="2:50" x14ac:dyDescent="0.2">
      <c r="B198" s="18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</row>
    <row r="199" spans="2:50" x14ac:dyDescent="0.2">
      <c r="B199" s="18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</row>
    <row r="200" spans="2:50" x14ac:dyDescent="0.2">
      <c r="B200" s="18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</row>
    <row r="201" spans="2:50" x14ac:dyDescent="0.2">
      <c r="B201" s="18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</row>
    <row r="202" spans="2:50" x14ac:dyDescent="0.2">
      <c r="B202" s="18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</row>
    <row r="203" spans="2:50" x14ac:dyDescent="0.2">
      <c r="B203" s="18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</row>
    <row r="204" spans="2:50" x14ac:dyDescent="0.2">
      <c r="B204" s="18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</row>
    <row r="205" spans="2:50" x14ac:dyDescent="0.2">
      <c r="B205" s="18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</row>
    <row r="206" spans="2:50" x14ac:dyDescent="0.2">
      <c r="B206" s="18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</row>
    <row r="207" spans="2:50" x14ac:dyDescent="0.2">
      <c r="B207" s="18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</row>
    <row r="208" spans="2:50" x14ac:dyDescent="0.2">
      <c r="B208" s="18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</row>
    <row r="209" spans="2:50" x14ac:dyDescent="0.2">
      <c r="B209" s="18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</row>
    <row r="210" spans="2:50" x14ac:dyDescent="0.2">
      <c r="B210" s="18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</row>
    <row r="211" spans="2:50" x14ac:dyDescent="0.2">
      <c r="B211" s="18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</row>
    <row r="212" spans="2:50" x14ac:dyDescent="0.2">
      <c r="B212" s="18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</row>
    <row r="213" spans="2:50" x14ac:dyDescent="0.2">
      <c r="B213" s="18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</row>
    <row r="214" spans="2:50" x14ac:dyDescent="0.2">
      <c r="B214" s="18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</row>
    <row r="215" spans="2:50" x14ac:dyDescent="0.2">
      <c r="B215" s="18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</row>
    <row r="216" spans="2:50" x14ac:dyDescent="0.2">
      <c r="B216" s="18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</row>
    <row r="217" spans="2:50" x14ac:dyDescent="0.2">
      <c r="B217" s="18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</row>
    <row r="218" spans="2:50" x14ac:dyDescent="0.2">
      <c r="B218" s="18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</row>
    <row r="219" spans="2:50" x14ac:dyDescent="0.2">
      <c r="B219" s="18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</row>
    <row r="220" spans="2:50" x14ac:dyDescent="0.2">
      <c r="B220" s="18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</row>
    <row r="221" spans="2:50" x14ac:dyDescent="0.2">
      <c r="B221" s="18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</row>
    <row r="222" spans="2:50" x14ac:dyDescent="0.2">
      <c r="B222" s="18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</row>
    <row r="223" spans="2:50" x14ac:dyDescent="0.2">
      <c r="B223" s="18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</row>
    <row r="224" spans="2:50" x14ac:dyDescent="0.2">
      <c r="B224" s="18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</row>
    <row r="225" spans="2:50" x14ac:dyDescent="0.2">
      <c r="B225" s="18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</row>
    <row r="226" spans="2:50" x14ac:dyDescent="0.2">
      <c r="B226" s="18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</row>
    <row r="227" spans="2:50" x14ac:dyDescent="0.2">
      <c r="B227" s="18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</row>
    <row r="228" spans="2:50" x14ac:dyDescent="0.2">
      <c r="B228" s="18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</row>
    <row r="229" spans="2:50" x14ac:dyDescent="0.2">
      <c r="B229" s="18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</row>
    <row r="230" spans="2:50" x14ac:dyDescent="0.2">
      <c r="B230" s="18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</row>
    <row r="231" spans="2:50" x14ac:dyDescent="0.2">
      <c r="B231" s="18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</row>
    <row r="232" spans="2:50" x14ac:dyDescent="0.2">
      <c r="B232" s="18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</row>
    <row r="233" spans="2:50" x14ac:dyDescent="0.2">
      <c r="B233" s="18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</row>
    <row r="234" spans="2:50" x14ac:dyDescent="0.2">
      <c r="B234" s="18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</row>
    <row r="235" spans="2:50" x14ac:dyDescent="0.2">
      <c r="B235" s="18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</row>
    <row r="236" spans="2:50" x14ac:dyDescent="0.2">
      <c r="B236" s="18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</row>
    <row r="237" spans="2:50" x14ac:dyDescent="0.2">
      <c r="B237" s="18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</row>
    <row r="238" spans="2:50" x14ac:dyDescent="0.2">
      <c r="B238" s="18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</row>
    <row r="239" spans="2:50" x14ac:dyDescent="0.2">
      <c r="B239" s="18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</row>
    <row r="240" spans="2:50" x14ac:dyDescent="0.2">
      <c r="B240" s="18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</row>
    <row r="241" spans="2:50" x14ac:dyDescent="0.2">
      <c r="B241" s="18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</row>
    <row r="242" spans="2:50" x14ac:dyDescent="0.2">
      <c r="B242" s="18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</row>
    <row r="243" spans="2:50" x14ac:dyDescent="0.2">
      <c r="B243" s="18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</row>
    <row r="244" spans="2:50" x14ac:dyDescent="0.2">
      <c r="B244" s="18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</row>
    <row r="245" spans="2:50" x14ac:dyDescent="0.2">
      <c r="B245" s="18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</row>
    <row r="246" spans="2:50" x14ac:dyDescent="0.2">
      <c r="B246" s="18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</row>
    <row r="247" spans="2:50" x14ac:dyDescent="0.2">
      <c r="B247" s="18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</row>
    <row r="248" spans="2:50" x14ac:dyDescent="0.2">
      <c r="B248" s="18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</row>
    <row r="249" spans="2:50" x14ac:dyDescent="0.2">
      <c r="B249" s="18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</row>
    <row r="250" spans="2:50" x14ac:dyDescent="0.2">
      <c r="B250" s="18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</row>
    <row r="251" spans="2:50" x14ac:dyDescent="0.2">
      <c r="B251" s="18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</row>
    <row r="252" spans="2:50" x14ac:dyDescent="0.2">
      <c r="B252" s="18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</row>
    <row r="253" spans="2:50" x14ac:dyDescent="0.2">
      <c r="B253" s="18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</row>
    <row r="254" spans="2:50" x14ac:dyDescent="0.2">
      <c r="B254" s="18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</row>
    <row r="255" spans="2:50" x14ac:dyDescent="0.2">
      <c r="B255" s="18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</row>
    <row r="256" spans="2:50" x14ac:dyDescent="0.2">
      <c r="B256" s="18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</row>
    <row r="257" spans="2:50" x14ac:dyDescent="0.2">
      <c r="B257" s="18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</row>
    <row r="258" spans="2:50" x14ac:dyDescent="0.2">
      <c r="B258" s="18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</row>
    <row r="259" spans="2:50" x14ac:dyDescent="0.2">
      <c r="B259" s="18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</row>
    <row r="260" spans="2:50" x14ac:dyDescent="0.2">
      <c r="B260" s="18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</row>
    <row r="261" spans="2:50" x14ac:dyDescent="0.2">
      <c r="B261" s="18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</row>
    <row r="262" spans="2:50" x14ac:dyDescent="0.2">
      <c r="B262" s="18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</row>
    <row r="263" spans="2:50" x14ac:dyDescent="0.2">
      <c r="B263" s="18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</row>
    <row r="264" spans="2:50" x14ac:dyDescent="0.2">
      <c r="B264" s="18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</row>
    <row r="265" spans="2:50" x14ac:dyDescent="0.2">
      <c r="B265" s="18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</row>
    <row r="266" spans="2:50" x14ac:dyDescent="0.2">
      <c r="B266" s="18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</row>
    <row r="267" spans="2:50" x14ac:dyDescent="0.2">
      <c r="B267" s="18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</row>
    <row r="268" spans="2:50" x14ac:dyDescent="0.2">
      <c r="B268" s="18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</row>
    <row r="269" spans="2:50" x14ac:dyDescent="0.2">
      <c r="B269" s="18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</row>
    <row r="270" spans="2:50" x14ac:dyDescent="0.2">
      <c r="B270" s="18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</row>
    <row r="271" spans="2:50" x14ac:dyDescent="0.2">
      <c r="B271" s="18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</row>
    <row r="272" spans="2:50" x14ac:dyDescent="0.2">
      <c r="B272" s="18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</row>
    <row r="273" spans="2:50" x14ac:dyDescent="0.2">
      <c r="B273" s="18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</row>
    <row r="274" spans="2:50" x14ac:dyDescent="0.2">
      <c r="B274" s="18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</row>
    <row r="275" spans="2:50" x14ac:dyDescent="0.2">
      <c r="B275" s="18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</row>
    <row r="276" spans="2:50" x14ac:dyDescent="0.2">
      <c r="B276" s="18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</row>
    <row r="277" spans="2:50" x14ac:dyDescent="0.2">
      <c r="B277" s="18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</row>
    <row r="278" spans="2:50" x14ac:dyDescent="0.2">
      <c r="B278" s="18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</row>
    <row r="279" spans="2:50" x14ac:dyDescent="0.2">
      <c r="B279" s="18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</row>
    <row r="280" spans="2:50" x14ac:dyDescent="0.2">
      <c r="B280" s="18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</row>
    <row r="281" spans="2:50" x14ac:dyDescent="0.2">
      <c r="B281" s="18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</row>
    <row r="282" spans="2:50" x14ac:dyDescent="0.2">
      <c r="B282" s="18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</row>
    <row r="283" spans="2:50" x14ac:dyDescent="0.2">
      <c r="B283" s="18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</row>
    <row r="284" spans="2:50" x14ac:dyDescent="0.2">
      <c r="B284" s="18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</row>
    <row r="285" spans="2:50" x14ac:dyDescent="0.2">
      <c r="B285" s="18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</row>
    <row r="286" spans="2:50" x14ac:dyDescent="0.2">
      <c r="B286" s="18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</row>
    <row r="287" spans="2:50" x14ac:dyDescent="0.2">
      <c r="B287" s="18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</row>
    <row r="288" spans="2:50" x14ac:dyDescent="0.2">
      <c r="B288" s="18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</row>
    <row r="289" spans="2:50" x14ac:dyDescent="0.2">
      <c r="B289" s="18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</row>
    <row r="290" spans="2:50" x14ac:dyDescent="0.2">
      <c r="B290" s="18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</row>
    <row r="291" spans="2:50" x14ac:dyDescent="0.2">
      <c r="B291" s="18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</row>
    <row r="292" spans="2:50" x14ac:dyDescent="0.2">
      <c r="B292" s="18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</row>
    <row r="293" spans="2:50" x14ac:dyDescent="0.2">
      <c r="B293" s="18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</row>
    <row r="294" spans="2:50" x14ac:dyDescent="0.2">
      <c r="B294" s="18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</row>
    <row r="295" spans="2:50" x14ac:dyDescent="0.2">
      <c r="B295" s="18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</row>
    <row r="296" spans="2:50" x14ac:dyDescent="0.2">
      <c r="B296" s="18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</row>
    <row r="297" spans="2:50" x14ac:dyDescent="0.2">
      <c r="B297" s="18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</row>
    <row r="298" spans="2:50" x14ac:dyDescent="0.2">
      <c r="B298" s="18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</row>
    <row r="299" spans="2:50" x14ac:dyDescent="0.2">
      <c r="B299" s="18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</row>
    <row r="300" spans="2:50" x14ac:dyDescent="0.2">
      <c r="B300" s="18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</row>
    <row r="301" spans="2:50" x14ac:dyDescent="0.2">
      <c r="B301" s="18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</row>
    <row r="302" spans="2:50" x14ac:dyDescent="0.2">
      <c r="B302" s="18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</row>
    <row r="303" spans="2:50" x14ac:dyDescent="0.2">
      <c r="B303" s="18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</row>
    <row r="304" spans="2:50" x14ac:dyDescent="0.2">
      <c r="B304" s="18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</row>
    <row r="305" spans="2:50" x14ac:dyDescent="0.2">
      <c r="B305" s="18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</row>
    <row r="306" spans="2:50" x14ac:dyDescent="0.2">
      <c r="B306" s="18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</row>
    <row r="307" spans="2:50" x14ac:dyDescent="0.2">
      <c r="B307" s="18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</row>
    <row r="308" spans="2:50" x14ac:dyDescent="0.2">
      <c r="B308" s="18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</row>
    <row r="309" spans="2:50" x14ac:dyDescent="0.2">
      <c r="B309" s="18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</row>
    <row r="310" spans="2:50" x14ac:dyDescent="0.2">
      <c r="B310" s="18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</row>
    <row r="311" spans="2:50" x14ac:dyDescent="0.2">
      <c r="B311" s="18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</row>
    <row r="312" spans="2:50" x14ac:dyDescent="0.2">
      <c r="B312" s="18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</row>
    <row r="313" spans="2:50" x14ac:dyDescent="0.2">
      <c r="B313" s="18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</row>
    <row r="314" spans="2:50" x14ac:dyDescent="0.2">
      <c r="B314" s="18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</row>
    <row r="315" spans="2:50" x14ac:dyDescent="0.2">
      <c r="B315" s="18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</row>
    <row r="316" spans="2:50" x14ac:dyDescent="0.2">
      <c r="B316" s="18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</row>
    <row r="317" spans="2:50" x14ac:dyDescent="0.2">
      <c r="B317" s="18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</row>
    <row r="318" spans="2:50" x14ac:dyDescent="0.2">
      <c r="B318" s="18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</row>
    <row r="319" spans="2:50" x14ac:dyDescent="0.2">
      <c r="B319" s="18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</row>
    <row r="320" spans="2:50" x14ac:dyDescent="0.2">
      <c r="B320" s="18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</row>
    <row r="321" spans="2:50" x14ac:dyDescent="0.2">
      <c r="B321" s="18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</row>
    <row r="322" spans="2:50" x14ac:dyDescent="0.2">
      <c r="B322" s="18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</row>
    <row r="323" spans="2:50" x14ac:dyDescent="0.2">
      <c r="B323" s="18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</row>
    <row r="324" spans="2:50" x14ac:dyDescent="0.2">
      <c r="B324" s="18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</row>
    <row r="325" spans="2:50" x14ac:dyDescent="0.2">
      <c r="B325" s="18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</row>
    <row r="326" spans="2:50" x14ac:dyDescent="0.2">
      <c r="B326" s="18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</row>
    <row r="327" spans="2:50" x14ac:dyDescent="0.2">
      <c r="B327" s="18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</row>
    <row r="328" spans="2:50" x14ac:dyDescent="0.2">
      <c r="B328" s="18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</row>
    <row r="329" spans="2:50" x14ac:dyDescent="0.2">
      <c r="B329" s="18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</row>
    <row r="330" spans="2:50" x14ac:dyDescent="0.2">
      <c r="B330" s="18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</row>
    <row r="331" spans="2:50" x14ac:dyDescent="0.2">
      <c r="B331" s="18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</row>
    <row r="332" spans="2:50" x14ac:dyDescent="0.2">
      <c r="B332" s="18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</row>
    <row r="333" spans="2:50" x14ac:dyDescent="0.2">
      <c r="B333" s="18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</row>
    <row r="334" spans="2:50" x14ac:dyDescent="0.2">
      <c r="B334" s="18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</row>
    <row r="335" spans="2:50" x14ac:dyDescent="0.2">
      <c r="B335" s="18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</row>
    <row r="336" spans="2:50" x14ac:dyDescent="0.2">
      <c r="B336" s="18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</row>
    <row r="337" spans="2:50" x14ac:dyDescent="0.2">
      <c r="B337" s="18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</row>
    <row r="338" spans="2:50" x14ac:dyDescent="0.2">
      <c r="B338" s="18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</row>
    <row r="339" spans="2:50" x14ac:dyDescent="0.2">
      <c r="B339" s="18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</row>
    <row r="340" spans="2:50" x14ac:dyDescent="0.2">
      <c r="B340" s="18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</row>
    <row r="341" spans="2:50" x14ac:dyDescent="0.2">
      <c r="B341" s="18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</row>
    <row r="342" spans="2:50" x14ac:dyDescent="0.2">
      <c r="B342" s="18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</row>
    <row r="343" spans="2:50" x14ac:dyDescent="0.2">
      <c r="B343" s="18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</row>
    <row r="344" spans="2:50" x14ac:dyDescent="0.2">
      <c r="B344" s="18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</row>
    <row r="345" spans="2:50" x14ac:dyDescent="0.2">
      <c r="B345" s="18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</row>
    <row r="346" spans="2:50" x14ac:dyDescent="0.2">
      <c r="B346" s="18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</row>
    <row r="347" spans="2:50" x14ac:dyDescent="0.2">
      <c r="B347" s="18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</row>
    <row r="348" spans="2:50" x14ac:dyDescent="0.2">
      <c r="B348" s="18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</row>
    <row r="349" spans="2:50" x14ac:dyDescent="0.2">
      <c r="B349" s="18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</row>
    <row r="350" spans="2:50" x14ac:dyDescent="0.2">
      <c r="B350" s="18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</row>
    <row r="351" spans="2:50" x14ac:dyDescent="0.2">
      <c r="B351" s="18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</row>
    <row r="352" spans="2:50" x14ac:dyDescent="0.2">
      <c r="B352" s="18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</row>
    <row r="353" spans="2:50" x14ac:dyDescent="0.2">
      <c r="B353" s="18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</row>
    <row r="354" spans="2:50" x14ac:dyDescent="0.2">
      <c r="B354" s="18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</row>
    <row r="355" spans="2:50" x14ac:dyDescent="0.2">
      <c r="B355" s="18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</row>
    <row r="356" spans="2:50" x14ac:dyDescent="0.2">
      <c r="B356" s="18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</row>
    <row r="357" spans="2:50" x14ac:dyDescent="0.2">
      <c r="B357" s="18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</row>
    <row r="358" spans="2:50" x14ac:dyDescent="0.2">
      <c r="B358" s="18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</row>
    <row r="359" spans="2:50" x14ac:dyDescent="0.2">
      <c r="B359" s="18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</row>
    <row r="360" spans="2:50" x14ac:dyDescent="0.2">
      <c r="B360" s="18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</row>
    <row r="361" spans="2:50" x14ac:dyDescent="0.2">
      <c r="B361" s="18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</row>
    <row r="362" spans="2:50" x14ac:dyDescent="0.2">
      <c r="B362" s="18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</row>
    <row r="363" spans="2:50" x14ac:dyDescent="0.2">
      <c r="B363" s="18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</row>
    <row r="364" spans="2:50" x14ac:dyDescent="0.2">
      <c r="B364" s="18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</row>
    <row r="365" spans="2:50" x14ac:dyDescent="0.2">
      <c r="B365" s="18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</row>
    <row r="366" spans="2:50" x14ac:dyDescent="0.2">
      <c r="B366" s="18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</row>
    <row r="367" spans="2:50" x14ac:dyDescent="0.2">
      <c r="B367" s="18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</row>
    <row r="368" spans="2:50" x14ac:dyDescent="0.2">
      <c r="B368" s="18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</row>
    <row r="369" spans="2:50" x14ac:dyDescent="0.2">
      <c r="B369" s="18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</row>
    <row r="370" spans="2:50" x14ac:dyDescent="0.2">
      <c r="B370" s="18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</row>
    <row r="371" spans="2:50" x14ac:dyDescent="0.2">
      <c r="B371" s="18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</row>
    <row r="372" spans="2:50" x14ac:dyDescent="0.2">
      <c r="B372" s="18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</row>
    <row r="373" spans="2:50" x14ac:dyDescent="0.2">
      <c r="B373" s="18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</row>
    <row r="374" spans="2:50" x14ac:dyDescent="0.2">
      <c r="B374" s="18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</row>
    <row r="375" spans="2:50" x14ac:dyDescent="0.2">
      <c r="B375" s="18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</row>
    <row r="376" spans="2:50" x14ac:dyDescent="0.2">
      <c r="B376" s="18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</row>
    <row r="377" spans="2:50" x14ac:dyDescent="0.2">
      <c r="B377" s="18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</row>
    <row r="378" spans="2:50" x14ac:dyDescent="0.2">
      <c r="B378" s="18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</row>
    <row r="379" spans="2:50" x14ac:dyDescent="0.2">
      <c r="B379" s="18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</row>
    <row r="380" spans="2:50" x14ac:dyDescent="0.2">
      <c r="B380" s="18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</row>
    <row r="381" spans="2:50" x14ac:dyDescent="0.2">
      <c r="B381" s="18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</row>
    <row r="382" spans="2:50" x14ac:dyDescent="0.2">
      <c r="B382" s="18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</row>
    <row r="383" spans="2:50" x14ac:dyDescent="0.2">
      <c r="B383" s="18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</row>
    <row r="384" spans="2:50" x14ac:dyDescent="0.2">
      <c r="B384" s="18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</row>
    <row r="385" spans="2:50" x14ac:dyDescent="0.2">
      <c r="B385" s="18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</row>
    <row r="386" spans="2:50" x14ac:dyDescent="0.2">
      <c r="B386" s="18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</row>
    <row r="387" spans="2:50" x14ac:dyDescent="0.2">
      <c r="B387" s="18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</row>
    <row r="388" spans="2:50" x14ac:dyDescent="0.2">
      <c r="B388" s="18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</row>
    <row r="389" spans="2:50" x14ac:dyDescent="0.2">
      <c r="B389" s="18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</row>
    <row r="390" spans="2:50" x14ac:dyDescent="0.2">
      <c r="B390" s="18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</row>
    <row r="391" spans="2:50" x14ac:dyDescent="0.2">
      <c r="B391" s="18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</row>
    <row r="392" spans="2:50" x14ac:dyDescent="0.2">
      <c r="B392" s="18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</row>
    <row r="393" spans="2:50" x14ac:dyDescent="0.2">
      <c r="B393" s="18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</row>
    <row r="394" spans="2:50" x14ac:dyDescent="0.2">
      <c r="B394" s="18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</row>
    <row r="395" spans="2:50" x14ac:dyDescent="0.2">
      <c r="B395" s="18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</row>
    <row r="396" spans="2:50" x14ac:dyDescent="0.2">
      <c r="B396" s="18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</row>
    <row r="397" spans="2:50" x14ac:dyDescent="0.2">
      <c r="B397" s="18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</row>
    <row r="398" spans="2:50" x14ac:dyDescent="0.2">
      <c r="B398" s="18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</row>
    <row r="399" spans="2:50" x14ac:dyDescent="0.2">
      <c r="B399" s="18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</row>
    <row r="400" spans="2:50" x14ac:dyDescent="0.2">
      <c r="B400" s="18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</row>
    <row r="401" spans="2:50" x14ac:dyDescent="0.2">
      <c r="B401" s="18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</row>
    <row r="402" spans="2:50" x14ac:dyDescent="0.2">
      <c r="B402" s="18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</row>
    <row r="403" spans="2:50" x14ac:dyDescent="0.2">
      <c r="B403" s="18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</row>
    <row r="404" spans="2:50" x14ac:dyDescent="0.2">
      <c r="B404" s="18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</row>
    <row r="405" spans="2:50" x14ac:dyDescent="0.2">
      <c r="B405" s="18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</row>
    <row r="406" spans="2:50" x14ac:dyDescent="0.2">
      <c r="B406" s="18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</row>
    <row r="407" spans="2:50" x14ac:dyDescent="0.2">
      <c r="B407" s="18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</row>
    <row r="408" spans="2:50" x14ac:dyDescent="0.2">
      <c r="B408" s="18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</row>
    <row r="409" spans="2:50" x14ac:dyDescent="0.2">
      <c r="B409" s="18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</row>
    <row r="410" spans="2:50" x14ac:dyDescent="0.2">
      <c r="B410" s="18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</row>
    <row r="411" spans="2:50" x14ac:dyDescent="0.2">
      <c r="B411" s="18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</row>
    <row r="412" spans="2:50" x14ac:dyDescent="0.2">
      <c r="B412" s="18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</row>
    <row r="413" spans="2:50" x14ac:dyDescent="0.2">
      <c r="B413" s="18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</row>
    <row r="414" spans="2:50" x14ac:dyDescent="0.2">
      <c r="B414" s="18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</row>
    <row r="415" spans="2:50" x14ac:dyDescent="0.2">
      <c r="B415" s="18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</row>
    <row r="416" spans="2:50" x14ac:dyDescent="0.2">
      <c r="B416" s="18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</row>
    <row r="417" spans="2:50" x14ac:dyDescent="0.2">
      <c r="B417" s="18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</row>
    <row r="418" spans="2:50" x14ac:dyDescent="0.2">
      <c r="B418" s="18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</row>
    <row r="419" spans="2:50" x14ac:dyDescent="0.2">
      <c r="B419" s="18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</row>
    <row r="420" spans="2:50" x14ac:dyDescent="0.2">
      <c r="B420" s="18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</row>
    <row r="421" spans="2:50" x14ac:dyDescent="0.2">
      <c r="B421" s="18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</row>
    <row r="422" spans="2:50" x14ac:dyDescent="0.2">
      <c r="B422" s="18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</row>
    <row r="423" spans="2:50" x14ac:dyDescent="0.2">
      <c r="B423" s="18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</row>
    <row r="424" spans="2:50" x14ac:dyDescent="0.2">
      <c r="B424" s="18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</row>
    <row r="425" spans="2:50" x14ac:dyDescent="0.2">
      <c r="B425" s="18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</row>
    <row r="426" spans="2:50" x14ac:dyDescent="0.2">
      <c r="B426" s="18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</row>
    <row r="427" spans="2:50" x14ac:dyDescent="0.2">
      <c r="B427" s="18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</row>
    <row r="428" spans="2:50" x14ac:dyDescent="0.2">
      <c r="B428" s="18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</row>
    <row r="429" spans="2:50" x14ac:dyDescent="0.2">
      <c r="B429" s="18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</row>
    <row r="430" spans="2:50" x14ac:dyDescent="0.2">
      <c r="B430" s="18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</row>
    <row r="431" spans="2:50" x14ac:dyDescent="0.2">
      <c r="B431" s="18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</row>
    <row r="432" spans="2:50" x14ac:dyDescent="0.2">
      <c r="B432" s="18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</row>
    <row r="433" spans="2:50" x14ac:dyDescent="0.2">
      <c r="B433" s="18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</row>
    <row r="434" spans="2:50" x14ac:dyDescent="0.2">
      <c r="B434" s="18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</row>
    <row r="435" spans="2:50" x14ac:dyDescent="0.2">
      <c r="B435" s="18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</row>
    <row r="436" spans="2:50" x14ac:dyDescent="0.2">
      <c r="B436" s="18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</row>
    <row r="437" spans="2:50" x14ac:dyDescent="0.2">
      <c r="B437" s="18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</row>
    <row r="438" spans="2:50" x14ac:dyDescent="0.2">
      <c r="B438" s="18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</row>
    <row r="439" spans="2:50" x14ac:dyDescent="0.2">
      <c r="B439" s="18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</row>
    <row r="440" spans="2:50" x14ac:dyDescent="0.2">
      <c r="B440" s="18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</row>
    <row r="441" spans="2:50" x14ac:dyDescent="0.2">
      <c r="B441" s="18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</row>
    <row r="442" spans="2:50" x14ac:dyDescent="0.2">
      <c r="B442" s="18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</row>
    <row r="443" spans="2:50" x14ac:dyDescent="0.2">
      <c r="B443" s="18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</row>
    <row r="444" spans="2:50" x14ac:dyDescent="0.2">
      <c r="B444" s="18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</row>
    <row r="445" spans="2:50" x14ac:dyDescent="0.2">
      <c r="B445" s="18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</row>
    <row r="446" spans="2:50" x14ac:dyDescent="0.2">
      <c r="B446" s="18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</row>
    <row r="447" spans="2:50" x14ac:dyDescent="0.2">
      <c r="B447" s="18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</row>
    <row r="448" spans="2:50" x14ac:dyDescent="0.2">
      <c r="B448" s="18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</row>
    <row r="449" spans="2:50" x14ac:dyDescent="0.2">
      <c r="B449" s="18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</row>
    <row r="450" spans="2:50" x14ac:dyDescent="0.2">
      <c r="B450" s="18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</row>
    <row r="451" spans="2:50" x14ac:dyDescent="0.2">
      <c r="B451" s="18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</row>
    <row r="452" spans="2:50" x14ac:dyDescent="0.2">
      <c r="B452" s="18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</row>
    <row r="453" spans="2:50" x14ac:dyDescent="0.2">
      <c r="B453" s="18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</row>
    <row r="454" spans="2:50" x14ac:dyDescent="0.2">
      <c r="B454" s="18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</row>
    <row r="455" spans="2:50" x14ac:dyDescent="0.2">
      <c r="B455" s="18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</row>
    <row r="456" spans="2:50" x14ac:dyDescent="0.2">
      <c r="B456" s="18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</row>
    <row r="457" spans="2:50" x14ac:dyDescent="0.2">
      <c r="B457" s="18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</row>
    <row r="458" spans="2:50" x14ac:dyDescent="0.2">
      <c r="B458" s="18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</row>
    <row r="459" spans="2:50" x14ac:dyDescent="0.2">
      <c r="B459" s="18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</row>
    <row r="460" spans="2:50" x14ac:dyDescent="0.2">
      <c r="B460" s="18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</row>
    <row r="461" spans="2:50" x14ac:dyDescent="0.2">
      <c r="B461" s="18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</row>
    <row r="462" spans="2:50" x14ac:dyDescent="0.2">
      <c r="B462" s="18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</row>
    <row r="463" spans="2:50" x14ac:dyDescent="0.2">
      <c r="B463" s="18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</row>
    <row r="464" spans="2:50" x14ac:dyDescent="0.2">
      <c r="B464" s="18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</row>
    <row r="465" spans="2:50" x14ac:dyDescent="0.2">
      <c r="B465" s="18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</row>
    <row r="466" spans="2:50" x14ac:dyDescent="0.2">
      <c r="B466" s="18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</row>
    <row r="467" spans="2:50" x14ac:dyDescent="0.2">
      <c r="B467" s="18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</row>
    <row r="468" spans="2:50" x14ac:dyDescent="0.2">
      <c r="B468" s="18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</row>
    <row r="469" spans="2:50" x14ac:dyDescent="0.2">
      <c r="B469" s="18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</row>
    <row r="470" spans="2:50" x14ac:dyDescent="0.2">
      <c r="B470" s="18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</row>
    <row r="471" spans="2:50" x14ac:dyDescent="0.2">
      <c r="B471" s="18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</row>
    <row r="472" spans="2:50" x14ac:dyDescent="0.2">
      <c r="B472" s="18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</row>
    <row r="473" spans="2:50" x14ac:dyDescent="0.2">
      <c r="B473" s="18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</row>
    <row r="474" spans="2:50" x14ac:dyDescent="0.2">
      <c r="B474" s="18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</row>
    <row r="475" spans="2:50" x14ac:dyDescent="0.2">
      <c r="B475" s="18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</row>
    <row r="476" spans="2:50" x14ac:dyDescent="0.2">
      <c r="B476" s="18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</row>
    <row r="477" spans="2:50" x14ac:dyDescent="0.2">
      <c r="B477" s="18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</row>
    <row r="478" spans="2:50" x14ac:dyDescent="0.2">
      <c r="B478" s="18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</row>
    <row r="479" spans="2:50" x14ac:dyDescent="0.2">
      <c r="B479" s="18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</row>
    <row r="480" spans="2:50" x14ac:dyDescent="0.2">
      <c r="B480" s="18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</row>
    <row r="481" spans="2:50" x14ac:dyDescent="0.2">
      <c r="B481" s="18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  <c r="AI481" s="7"/>
      <c r="AJ481" s="7"/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</row>
    <row r="482" spans="2:50" x14ac:dyDescent="0.2">
      <c r="B482" s="18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</row>
    <row r="483" spans="2:50" x14ac:dyDescent="0.2">
      <c r="B483" s="18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</row>
    <row r="484" spans="2:50" x14ac:dyDescent="0.2">
      <c r="B484" s="18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</row>
    <row r="485" spans="2:50" x14ac:dyDescent="0.2">
      <c r="B485" s="18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</row>
    <row r="486" spans="2:50" x14ac:dyDescent="0.2">
      <c r="B486" s="18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</row>
    <row r="487" spans="2:50" x14ac:dyDescent="0.2">
      <c r="B487" s="187"/>
    </row>
    <row r="488" spans="2:50" x14ac:dyDescent="0.2">
      <c r="B488" s="187"/>
    </row>
    <row r="489" spans="2:50" x14ac:dyDescent="0.2">
      <c r="B489" s="187"/>
    </row>
    <row r="490" spans="2:50" x14ac:dyDescent="0.2">
      <c r="B490" s="187"/>
    </row>
    <row r="491" spans="2:50" x14ac:dyDescent="0.2">
      <c r="B491" s="187"/>
    </row>
    <row r="492" spans="2:50" x14ac:dyDescent="0.2">
      <c r="B492" s="187"/>
    </row>
    <row r="493" spans="2:50" x14ac:dyDescent="0.2">
      <c r="B493" s="187"/>
    </row>
    <row r="494" spans="2:50" x14ac:dyDescent="0.2">
      <c r="B494" s="187"/>
    </row>
    <row r="495" spans="2:50" x14ac:dyDescent="0.2">
      <c r="B495" s="187"/>
    </row>
    <row r="496" spans="2:50" x14ac:dyDescent="0.2">
      <c r="B496" s="187"/>
    </row>
    <row r="497" spans="2:2" x14ac:dyDescent="0.2">
      <c r="B497" s="187"/>
    </row>
    <row r="498" spans="2:2" x14ac:dyDescent="0.2">
      <c r="B498" s="187"/>
    </row>
    <row r="499" spans="2:2" x14ac:dyDescent="0.2">
      <c r="B499" s="187"/>
    </row>
    <row r="500" spans="2:2" x14ac:dyDescent="0.2">
      <c r="B500" s="187"/>
    </row>
    <row r="501" spans="2:2" x14ac:dyDescent="0.2">
      <c r="B501" s="187"/>
    </row>
    <row r="502" spans="2:2" x14ac:dyDescent="0.2">
      <c r="B502" s="187"/>
    </row>
    <row r="503" spans="2:2" x14ac:dyDescent="0.2">
      <c r="B503" s="187"/>
    </row>
    <row r="504" spans="2:2" x14ac:dyDescent="0.2">
      <c r="B504" s="187"/>
    </row>
    <row r="505" spans="2:2" x14ac:dyDescent="0.2">
      <c r="B505" s="187"/>
    </row>
    <row r="506" spans="2:2" x14ac:dyDescent="0.2">
      <c r="B506" s="187"/>
    </row>
    <row r="507" spans="2:2" x14ac:dyDescent="0.2">
      <c r="B507" s="187"/>
    </row>
    <row r="508" spans="2:2" x14ac:dyDescent="0.2">
      <c r="B508" s="187"/>
    </row>
    <row r="509" spans="2:2" x14ac:dyDescent="0.2">
      <c r="B509" s="187"/>
    </row>
    <row r="510" spans="2:2" x14ac:dyDescent="0.2">
      <c r="B510" s="187"/>
    </row>
    <row r="511" spans="2:2" x14ac:dyDescent="0.2">
      <c r="B511" s="187"/>
    </row>
    <row r="512" spans="2:2" x14ac:dyDescent="0.2">
      <c r="B512" s="187"/>
    </row>
    <row r="513" spans="2:2" x14ac:dyDescent="0.2">
      <c r="B513" s="187"/>
    </row>
    <row r="514" spans="2:2" x14ac:dyDescent="0.2">
      <c r="B514" s="187"/>
    </row>
    <row r="515" spans="2:2" x14ac:dyDescent="0.2">
      <c r="B515" s="187"/>
    </row>
    <row r="516" spans="2:2" x14ac:dyDescent="0.2">
      <c r="B516" s="187"/>
    </row>
    <row r="517" spans="2:2" x14ac:dyDescent="0.2">
      <c r="B517" s="187"/>
    </row>
    <row r="518" spans="2:2" x14ac:dyDescent="0.2">
      <c r="B518" s="187"/>
    </row>
    <row r="519" spans="2:2" x14ac:dyDescent="0.2">
      <c r="B519" s="187"/>
    </row>
    <row r="520" spans="2:2" x14ac:dyDescent="0.2">
      <c r="B520" s="187"/>
    </row>
    <row r="521" spans="2:2" x14ac:dyDescent="0.2">
      <c r="B521" s="187"/>
    </row>
    <row r="522" spans="2:2" x14ac:dyDescent="0.2">
      <c r="B522" s="187"/>
    </row>
    <row r="523" spans="2:2" x14ac:dyDescent="0.2">
      <c r="B523" s="187"/>
    </row>
    <row r="524" spans="2:2" x14ac:dyDescent="0.2">
      <c r="B524" s="187"/>
    </row>
    <row r="525" spans="2:2" x14ac:dyDescent="0.2">
      <c r="B525" s="187"/>
    </row>
    <row r="526" spans="2:2" x14ac:dyDescent="0.2">
      <c r="B526" s="187"/>
    </row>
    <row r="527" spans="2:2" x14ac:dyDescent="0.2">
      <c r="B527" s="187"/>
    </row>
    <row r="528" spans="2:2" x14ac:dyDescent="0.2">
      <c r="B528" s="187"/>
    </row>
    <row r="529" spans="2:2" x14ac:dyDescent="0.2">
      <c r="B529" s="187"/>
    </row>
    <row r="530" spans="2:2" x14ac:dyDescent="0.2">
      <c r="B530" s="187"/>
    </row>
    <row r="531" spans="2:2" x14ac:dyDescent="0.2">
      <c r="B531" s="187"/>
    </row>
    <row r="532" spans="2:2" x14ac:dyDescent="0.2">
      <c r="B532" s="187"/>
    </row>
    <row r="533" spans="2:2" x14ac:dyDescent="0.2">
      <c r="B533" s="187"/>
    </row>
    <row r="534" spans="2:2" x14ac:dyDescent="0.2">
      <c r="B534" s="187"/>
    </row>
    <row r="535" spans="2:2" x14ac:dyDescent="0.2">
      <c r="B535" s="187"/>
    </row>
    <row r="536" spans="2:2" x14ac:dyDescent="0.2">
      <c r="B536" s="187"/>
    </row>
    <row r="537" spans="2:2" x14ac:dyDescent="0.2">
      <c r="B537" s="187"/>
    </row>
    <row r="538" spans="2:2" x14ac:dyDescent="0.2">
      <c r="B538" s="187"/>
    </row>
    <row r="539" spans="2:2" x14ac:dyDescent="0.2">
      <c r="B539" s="187"/>
    </row>
    <row r="540" spans="2:2" x14ac:dyDescent="0.2">
      <c r="B540" s="187"/>
    </row>
    <row r="541" spans="2:2" x14ac:dyDescent="0.2">
      <c r="B541" s="187"/>
    </row>
    <row r="542" spans="2:2" x14ac:dyDescent="0.2">
      <c r="B542" s="187"/>
    </row>
    <row r="543" spans="2:2" x14ac:dyDescent="0.2">
      <c r="B543" s="187"/>
    </row>
    <row r="544" spans="2:2" x14ac:dyDescent="0.2">
      <c r="B544" s="187"/>
    </row>
    <row r="545" spans="2:2" x14ac:dyDescent="0.2">
      <c r="B545" s="187"/>
    </row>
    <row r="546" spans="2:2" x14ac:dyDescent="0.2">
      <c r="B546" s="187"/>
    </row>
    <row r="547" spans="2:2" x14ac:dyDescent="0.2">
      <c r="B547" s="187"/>
    </row>
    <row r="548" spans="2:2" x14ac:dyDescent="0.2">
      <c r="B548" s="187"/>
    </row>
    <row r="549" spans="2:2" x14ac:dyDescent="0.2">
      <c r="B549" s="187"/>
    </row>
    <row r="550" spans="2:2" x14ac:dyDescent="0.2">
      <c r="B550" s="187"/>
    </row>
    <row r="551" spans="2:2" x14ac:dyDescent="0.2">
      <c r="B551" s="187"/>
    </row>
    <row r="552" spans="2:2" x14ac:dyDescent="0.2">
      <c r="B552" s="187"/>
    </row>
    <row r="553" spans="2:2" x14ac:dyDescent="0.2">
      <c r="B553" s="187"/>
    </row>
    <row r="554" spans="2:2" x14ac:dyDescent="0.2">
      <c r="B554" s="187"/>
    </row>
    <row r="555" spans="2:2" x14ac:dyDescent="0.2">
      <c r="B555" s="187"/>
    </row>
    <row r="556" spans="2:2" x14ac:dyDescent="0.2">
      <c r="B556" s="187"/>
    </row>
    <row r="557" spans="2:2" x14ac:dyDescent="0.2">
      <c r="B557" s="187"/>
    </row>
    <row r="558" spans="2:2" x14ac:dyDescent="0.2">
      <c r="B558" s="187"/>
    </row>
    <row r="559" spans="2:2" x14ac:dyDescent="0.2">
      <c r="B559" s="187"/>
    </row>
    <row r="560" spans="2:2" x14ac:dyDescent="0.2">
      <c r="B560" s="187"/>
    </row>
    <row r="561" spans="2:2" x14ac:dyDescent="0.2">
      <c r="B561" s="187"/>
    </row>
    <row r="562" spans="2:2" x14ac:dyDescent="0.2">
      <c r="B562" s="187"/>
    </row>
    <row r="563" spans="2:2" x14ac:dyDescent="0.2">
      <c r="B563" s="187"/>
    </row>
    <row r="564" spans="2:2" x14ac:dyDescent="0.2">
      <c r="B564" s="187"/>
    </row>
    <row r="565" spans="2:2" x14ac:dyDescent="0.2">
      <c r="B565" s="187"/>
    </row>
    <row r="566" spans="2:2" x14ac:dyDescent="0.2">
      <c r="B566" s="187"/>
    </row>
    <row r="567" spans="2:2" x14ac:dyDescent="0.2">
      <c r="B567" s="187"/>
    </row>
    <row r="568" spans="2:2" x14ac:dyDescent="0.2">
      <c r="B568" s="187"/>
    </row>
    <row r="569" spans="2:2" x14ac:dyDescent="0.2">
      <c r="B569" s="187"/>
    </row>
    <row r="570" spans="2:2" x14ac:dyDescent="0.2">
      <c r="B570" s="187"/>
    </row>
    <row r="571" spans="2:2" x14ac:dyDescent="0.2">
      <c r="B571" s="187"/>
    </row>
    <row r="572" spans="2:2" x14ac:dyDescent="0.2">
      <c r="B572" s="187"/>
    </row>
    <row r="573" spans="2:2" x14ac:dyDescent="0.2">
      <c r="B573" s="187"/>
    </row>
    <row r="574" spans="2:2" x14ac:dyDescent="0.2">
      <c r="B574" s="187"/>
    </row>
    <row r="575" spans="2:2" x14ac:dyDescent="0.2">
      <c r="B575" s="187"/>
    </row>
    <row r="576" spans="2:2" x14ac:dyDescent="0.2">
      <c r="B576" s="187"/>
    </row>
    <row r="577" spans="2:2" x14ac:dyDescent="0.2">
      <c r="B577" s="187"/>
    </row>
    <row r="578" spans="2:2" x14ac:dyDescent="0.2">
      <c r="B578" s="187"/>
    </row>
    <row r="579" spans="2:2" x14ac:dyDescent="0.2">
      <c r="B579" s="187"/>
    </row>
    <row r="580" spans="2:2" x14ac:dyDescent="0.2">
      <c r="B580" s="187"/>
    </row>
    <row r="581" spans="2:2" x14ac:dyDescent="0.2">
      <c r="B581" s="187"/>
    </row>
    <row r="582" spans="2:2" x14ac:dyDescent="0.2">
      <c r="B582" s="187"/>
    </row>
    <row r="583" spans="2:2" x14ac:dyDescent="0.2">
      <c r="B583" s="187"/>
    </row>
    <row r="584" spans="2:2" x14ac:dyDescent="0.2">
      <c r="B584" s="187"/>
    </row>
    <row r="585" spans="2:2" x14ac:dyDescent="0.2">
      <c r="B585" s="187"/>
    </row>
    <row r="586" spans="2:2" x14ac:dyDescent="0.2">
      <c r="B586" s="187"/>
    </row>
    <row r="587" spans="2:2" x14ac:dyDescent="0.2">
      <c r="B587" s="187"/>
    </row>
    <row r="588" spans="2:2" x14ac:dyDescent="0.2">
      <c r="B588" s="187"/>
    </row>
    <row r="589" spans="2:2" x14ac:dyDescent="0.2">
      <c r="B589" s="187"/>
    </row>
    <row r="590" spans="2:2" x14ac:dyDescent="0.2">
      <c r="B590" s="187"/>
    </row>
    <row r="591" spans="2:2" x14ac:dyDescent="0.2">
      <c r="B591" s="187"/>
    </row>
    <row r="592" spans="2:2" x14ac:dyDescent="0.2">
      <c r="B592" s="187"/>
    </row>
    <row r="593" spans="2:2" x14ac:dyDescent="0.2">
      <c r="B593" s="187"/>
    </row>
    <row r="594" spans="2:2" x14ac:dyDescent="0.2">
      <c r="B594" s="187"/>
    </row>
    <row r="595" spans="2:2" x14ac:dyDescent="0.2">
      <c r="B595" s="187"/>
    </row>
    <row r="596" spans="2:2" x14ac:dyDescent="0.2">
      <c r="B596" s="187"/>
    </row>
    <row r="597" spans="2:2" x14ac:dyDescent="0.2">
      <c r="B597" s="187"/>
    </row>
    <row r="598" spans="2:2" x14ac:dyDescent="0.2">
      <c r="B598" s="187"/>
    </row>
    <row r="599" spans="2:2" x14ac:dyDescent="0.2">
      <c r="B599" s="187"/>
    </row>
    <row r="600" spans="2:2" x14ac:dyDescent="0.2">
      <c r="B600" s="187"/>
    </row>
    <row r="601" spans="2:2" x14ac:dyDescent="0.2">
      <c r="B601" s="187"/>
    </row>
    <row r="602" spans="2:2" x14ac:dyDescent="0.2">
      <c r="B602" s="187"/>
    </row>
    <row r="603" spans="2:2" x14ac:dyDescent="0.2">
      <c r="B603" s="187"/>
    </row>
    <row r="604" spans="2:2" x14ac:dyDescent="0.2">
      <c r="B604" s="187"/>
    </row>
    <row r="605" spans="2:2" x14ac:dyDescent="0.2">
      <c r="B605" s="187"/>
    </row>
    <row r="606" spans="2:2" x14ac:dyDescent="0.2">
      <c r="B606" s="187"/>
    </row>
    <row r="607" spans="2:2" x14ac:dyDescent="0.2">
      <c r="B607" s="187"/>
    </row>
    <row r="608" spans="2:2" x14ac:dyDescent="0.2">
      <c r="B608" s="187"/>
    </row>
    <row r="609" spans="2:2" x14ac:dyDescent="0.2">
      <c r="B609" s="187"/>
    </row>
    <row r="610" spans="2:2" x14ac:dyDescent="0.2">
      <c r="B610" s="187"/>
    </row>
    <row r="611" spans="2:2" x14ac:dyDescent="0.2">
      <c r="B611" s="187"/>
    </row>
    <row r="612" spans="2:2" x14ac:dyDescent="0.2">
      <c r="B612" s="187"/>
    </row>
    <row r="613" spans="2:2" x14ac:dyDescent="0.2">
      <c r="B613" s="187"/>
    </row>
    <row r="614" spans="2:2" x14ac:dyDescent="0.2">
      <c r="B614" s="187"/>
    </row>
    <row r="615" spans="2:2" x14ac:dyDescent="0.2">
      <c r="B615" s="187"/>
    </row>
    <row r="616" spans="2:2" x14ac:dyDescent="0.2">
      <c r="B616" s="187"/>
    </row>
    <row r="617" spans="2:2" x14ac:dyDescent="0.2">
      <c r="B617" s="187"/>
    </row>
    <row r="618" spans="2:2" x14ac:dyDescent="0.2">
      <c r="B618" s="187"/>
    </row>
    <row r="619" spans="2:2" x14ac:dyDescent="0.2">
      <c r="B619" s="187"/>
    </row>
    <row r="620" spans="2:2" x14ac:dyDescent="0.2">
      <c r="B620" s="187"/>
    </row>
    <row r="621" spans="2:2" x14ac:dyDescent="0.2">
      <c r="B621" s="187"/>
    </row>
    <row r="622" spans="2:2" x14ac:dyDescent="0.2">
      <c r="B622" s="187"/>
    </row>
    <row r="623" spans="2:2" x14ac:dyDescent="0.2">
      <c r="B623" s="187"/>
    </row>
    <row r="624" spans="2:2" x14ac:dyDescent="0.2">
      <c r="B624" s="187"/>
    </row>
    <row r="625" spans="2:2" x14ac:dyDescent="0.2">
      <c r="B625" s="187"/>
    </row>
    <row r="626" spans="2:2" x14ac:dyDescent="0.2">
      <c r="B626" s="187"/>
    </row>
    <row r="627" spans="2:2" x14ac:dyDescent="0.2">
      <c r="B627" s="187"/>
    </row>
    <row r="628" spans="2:2" x14ac:dyDescent="0.2">
      <c r="B628" s="187"/>
    </row>
    <row r="629" spans="2:2" x14ac:dyDescent="0.2">
      <c r="B629" s="187"/>
    </row>
    <row r="630" spans="2:2" x14ac:dyDescent="0.2">
      <c r="B630" s="187"/>
    </row>
    <row r="631" spans="2:2" x14ac:dyDescent="0.2">
      <c r="B631" s="187"/>
    </row>
    <row r="632" spans="2:2" x14ac:dyDescent="0.2">
      <c r="B632" s="187"/>
    </row>
    <row r="633" spans="2:2" x14ac:dyDescent="0.2">
      <c r="B633" s="187"/>
    </row>
    <row r="634" spans="2:2" x14ac:dyDescent="0.2">
      <c r="B634" s="187"/>
    </row>
    <row r="635" spans="2:2" x14ac:dyDescent="0.2">
      <c r="B635" s="187"/>
    </row>
    <row r="636" spans="2:2" x14ac:dyDescent="0.2">
      <c r="B636" s="187"/>
    </row>
    <row r="637" spans="2:2" x14ac:dyDescent="0.2">
      <c r="B637" s="187"/>
    </row>
    <row r="638" spans="2:2" x14ac:dyDescent="0.2">
      <c r="B638" s="187"/>
    </row>
    <row r="639" spans="2:2" x14ac:dyDescent="0.2">
      <c r="B639" s="187"/>
    </row>
    <row r="640" spans="2:2" x14ac:dyDescent="0.2">
      <c r="B640" s="187"/>
    </row>
    <row r="641" spans="2:2" x14ac:dyDescent="0.2">
      <c r="B641" s="187"/>
    </row>
    <row r="642" spans="2:2" x14ac:dyDescent="0.2">
      <c r="B642" s="187"/>
    </row>
    <row r="643" spans="2:2" x14ac:dyDescent="0.2">
      <c r="B643" s="187"/>
    </row>
    <row r="644" spans="2:2" x14ac:dyDescent="0.2">
      <c r="B644" s="187"/>
    </row>
    <row r="645" spans="2:2" x14ac:dyDescent="0.2">
      <c r="B645" s="187"/>
    </row>
    <row r="646" spans="2:2" x14ac:dyDescent="0.2">
      <c r="B646" s="187"/>
    </row>
    <row r="647" spans="2:2" x14ac:dyDescent="0.2">
      <c r="B647" s="187"/>
    </row>
    <row r="648" spans="2:2" x14ac:dyDescent="0.2">
      <c r="B648" s="187"/>
    </row>
    <row r="649" spans="2:2" x14ac:dyDescent="0.2">
      <c r="B649" s="187"/>
    </row>
    <row r="650" spans="2:2" x14ac:dyDescent="0.2">
      <c r="B650" s="187"/>
    </row>
    <row r="651" spans="2:2" x14ac:dyDescent="0.2">
      <c r="B651" s="187"/>
    </row>
    <row r="652" spans="2:2" x14ac:dyDescent="0.2">
      <c r="B652" s="187"/>
    </row>
    <row r="653" spans="2:2" x14ac:dyDescent="0.2">
      <c r="B653" s="187"/>
    </row>
    <row r="654" spans="2:2" x14ac:dyDescent="0.2">
      <c r="B654" s="187"/>
    </row>
    <row r="655" spans="2:2" x14ac:dyDescent="0.2">
      <c r="B655" s="187"/>
    </row>
    <row r="656" spans="2:2" x14ac:dyDescent="0.2">
      <c r="B656" s="187"/>
    </row>
    <row r="657" spans="2:2" x14ac:dyDescent="0.2">
      <c r="B657" s="187"/>
    </row>
    <row r="658" spans="2:2" x14ac:dyDescent="0.2">
      <c r="B658" s="187"/>
    </row>
    <row r="659" spans="2:2" x14ac:dyDescent="0.2">
      <c r="B659" s="187"/>
    </row>
    <row r="660" spans="2:2" x14ac:dyDescent="0.2">
      <c r="B660" s="187"/>
    </row>
    <row r="661" spans="2:2" x14ac:dyDescent="0.2">
      <c r="B661" s="187"/>
    </row>
    <row r="662" spans="2:2" x14ac:dyDescent="0.2">
      <c r="B662" s="187"/>
    </row>
    <row r="663" spans="2:2" x14ac:dyDescent="0.2">
      <c r="B663" s="187"/>
    </row>
    <row r="664" spans="2:2" x14ac:dyDescent="0.2">
      <c r="B664" s="187"/>
    </row>
    <row r="665" spans="2:2" x14ac:dyDescent="0.2">
      <c r="B665" s="187"/>
    </row>
    <row r="666" spans="2:2" x14ac:dyDescent="0.2">
      <c r="B666" s="187"/>
    </row>
    <row r="667" spans="2:2" x14ac:dyDescent="0.2">
      <c r="B667" s="187"/>
    </row>
    <row r="668" spans="2:2" x14ac:dyDescent="0.2">
      <c r="B668" s="187"/>
    </row>
    <row r="669" spans="2:2" x14ac:dyDescent="0.2">
      <c r="B669" s="187"/>
    </row>
    <row r="670" spans="2:2" x14ac:dyDescent="0.2">
      <c r="B670" s="187"/>
    </row>
    <row r="671" spans="2:2" x14ac:dyDescent="0.2">
      <c r="B671" s="187"/>
    </row>
    <row r="672" spans="2:2" x14ac:dyDescent="0.2">
      <c r="B672" s="187"/>
    </row>
    <row r="673" spans="2:2" x14ac:dyDescent="0.2">
      <c r="B673" s="187"/>
    </row>
    <row r="674" spans="2:2" x14ac:dyDescent="0.2">
      <c r="B674" s="187"/>
    </row>
    <row r="675" spans="2:2" x14ac:dyDescent="0.2">
      <c r="B675" s="187"/>
    </row>
    <row r="676" spans="2:2" x14ac:dyDescent="0.2">
      <c r="B676" s="187"/>
    </row>
    <row r="677" spans="2:2" x14ac:dyDescent="0.2">
      <c r="B677" s="187"/>
    </row>
    <row r="678" spans="2:2" x14ac:dyDescent="0.2">
      <c r="B678" s="187"/>
    </row>
    <row r="679" spans="2:2" x14ac:dyDescent="0.2">
      <c r="B679" s="187"/>
    </row>
    <row r="680" spans="2:2" x14ac:dyDescent="0.2">
      <c r="B680" s="187"/>
    </row>
    <row r="681" spans="2:2" x14ac:dyDescent="0.2">
      <c r="B681" s="187"/>
    </row>
    <row r="682" spans="2:2" x14ac:dyDescent="0.2">
      <c r="B682" s="187"/>
    </row>
    <row r="683" spans="2:2" x14ac:dyDescent="0.2">
      <c r="B683" s="187"/>
    </row>
    <row r="684" spans="2:2" x14ac:dyDescent="0.2">
      <c r="B684" s="187"/>
    </row>
    <row r="685" spans="2:2" x14ac:dyDescent="0.2">
      <c r="B685" s="187"/>
    </row>
    <row r="686" spans="2:2" x14ac:dyDescent="0.2">
      <c r="B686" s="187"/>
    </row>
    <row r="687" spans="2:2" x14ac:dyDescent="0.2">
      <c r="B687" s="187"/>
    </row>
    <row r="688" spans="2:2" x14ac:dyDescent="0.2">
      <c r="B688" s="187"/>
    </row>
    <row r="689" spans="2:2" x14ac:dyDescent="0.2">
      <c r="B689" s="187"/>
    </row>
    <row r="690" spans="2:2" x14ac:dyDescent="0.2">
      <c r="B690" s="187"/>
    </row>
    <row r="691" spans="2:2" x14ac:dyDescent="0.2">
      <c r="B691" s="187"/>
    </row>
    <row r="692" spans="2:2" x14ac:dyDescent="0.2">
      <c r="B692" s="187"/>
    </row>
    <row r="693" spans="2:2" x14ac:dyDescent="0.2">
      <c r="B693" s="187"/>
    </row>
    <row r="694" spans="2:2" x14ac:dyDescent="0.2">
      <c r="B694" s="187"/>
    </row>
    <row r="695" spans="2:2" x14ac:dyDescent="0.2">
      <c r="B695" s="187"/>
    </row>
    <row r="696" spans="2:2" x14ac:dyDescent="0.2">
      <c r="B696" s="187"/>
    </row>
    <row r="697" spans="2:2" x14ac:dyDescent="0.2">
      <c r="B697" s="187"/>
    </row>
    <row r="698" spans="2:2" x14ac:dyDescent="0.2">
      <c r="B698" s="187"/>
    </row>
    <row r="699" spans="2:2" x14ac:dyDescent="0.2">
      <c r="B699" s="187"/>
    </row>
    <row r="700" spans="2:2" x14ac:dyDescent="0.2">
      <c r="B700" s="187"/>
    </row>
    <row r="701" spans="2:2" x14ac:dyDescent="0.2">
      <c r="B701" s="187"/>
    </row>
    <row r="702" spans="2:2" x14ac:dyDescent="0.2">
      <c r="B702" s="187"/>
    </row>
    <row r="703" spans="2:2" x14ac:dyDescent="0.2">
      <c r="B703" s="187"/>
    </row>
    <row r="704" spans="2:2" x14ac:dyDescent="0.2">
      <c r="B704" s="187"/>
    </row>
    <row r="705" spans="2:2" x14ac:dyDescent="0.2">
      <c r="B705" s="187"/>
    </row>
    <row r="706" spans="2:2" x14ac:dyDescent="0.2">
      <c r="B706" s="187"/>
    </row>
    <row r="707" spans="2:2" x14ac:dyDescent="0.2">
      <c r="B707" s="187"/>
    </row>
    <row r="708" spans="2:2" x14ac:dyDescent="0.2">
      <c r="B708" s="187"/>
    </row>
    <row r="709" spans="2:2" x14ac:dyDescent="0.2">
      <c r="B709" s="187"/>
    </row>
    <row r="710" spans="2:2" x14ac:dyDescent="0.2">
      <c r="B710" s="187"/>
    </row>
    <row r="711" spans="2:2" x14ac:dyDescent="0.2">
      <c r="B711" s="187"/>
    </row>
    <row r="712" spans="2:2" x14ac:dyDescent="0.2">
      <c r="B712" s="187"/>
    </row>
    <row r="713" spans="2:2" x14ac:dyDescent="0.2">
      <c r="B713" s="187"/>
    </row>
    <row r="714" spans="2:2" x14ac:dyDescent="0.2">
      <c r="B714" s="187"/>
    </row>
    <row r="715" spans="2:2" x14ac:dyDescent="0.2">
      <c r="B715" s="187"/>
    </row>
    <row r="716" spans="2:2" x14ac:dyDescent="0.2">
      <c r="B716" s="187"/>
    </row>
    <row r="717" spans="2:2" x14ac:dyDescent="0.2">
      <c r="B717" s="187"/>
    </row>
    <row r="718" spans="2:2" x14ac:dyDescent="0.2">
      <c r="B718" s="187"/>
    </row>
    <row r="719" spans="2:2" x14ac:dyDescent="0.2">
      <c r="B719" s="187"/>
    </row>
    <row r="720" spans="2:2" x14ac:dyDescent="0.2">
      <c r="B720" s="187"/>
    </row>
    <row r="721" spans="2:2" x14ac:dyDescent="0.2">
      <c r="B721" s="187"/>
    </row>
    <row r="722" spans="2:2" x14ac:dyDescent="0.2">
      <c r="B722" s="187"/>
    </row>
    <row r="723" spans="2:2" x14ac:dyDescent="0.2">
      <c r="B723" s="187"/>
    </row>
    <row r="724" spans="2:2" x14ac:dyDescent="0.2">
      <c r="B724" s="187"/>
    </row>
    <row r="725" spans="2:2" x14ac:dyDescent="0.2">
      <c r="B725" s="187"/>
    </row>
    <row r="726" spans="2:2" x14ac:dyDescent="0.2">
      <c r="B726" s="187"/>
    </row>
    <row r="727" spans="2:2" x14ac:dyDescent="0.2">
      <c r="B727" s="187"/>
    </row>
    <row r="728" spans="2:2" x14ac:dyDescent="0.2">
      <c r="B728" s="187"/>
    </row>
    <row r="729" spans="2:2" x14ac:dyDescent="0.2">
      <c r="B729" s="187"/>
    </row>
    <row r="730" spans="2:2" x14ac:dyDescent="0.2">
      <c r="B730" s="187"/>
    </row>
    <row r="731" spans="2:2" x14ac:dyDescent="0.2">
      <c r="B731" s="187"/>
    </row>
    <row r="732" spans="2:2" x14ac:dyDescent="0.2">
      <c r="B732" s="187"/>
    </row>
    <row r="733" spans="2:2" x14ac:dyDescent="0.2">
      <c r="B733" s="187"/>
    </row>
    <row r="734" spans="2:2" x14ac:dyDescent="0.2">
      <c r="B734" s="187"/>
    </row>
    <row r="735" spans="2:2" x14ac:dyDescent="0.2">
      <c r="B735" s="187"/>
    </row>
    <row r="736" spans="2:2" x14ac:dyDescent="0.2">
      <c r="B736" s="187"/>
    </row>
    <row r="737" spans="2:2" x14ac:dyDescent="0.2">
      <c r="B737" s="187"/>
    </row>
    <row r="738" spans="2:2" x14ac:dyDescent="0.2">
      <c r="B738" s="187"/>
    </row>
    <row r="739" spans="2:2" x14ac:dyDescent="0.2">
      <c r="B739" s="187"/>
    </row>
    <row r="740" spans="2:2" x14ac:dyDescent="0.2">
      <c r="B740" s="187"/>
    </row>
    <row r="741" spans="2:2" x14ac:dyDescent="0.2">
      <c r="B741" s="187"/>
    </row>
    <row r="742" spans="2:2" x14ac:dyDescent="0.2">
      <c r="B742" s="187"/>
    </row>
    <row r="743" spans="2:2" x14ac:dyDescent="0.2">
      <c r="B743" s="187"/>
    </row>
    <row r="744" spans="2:2" x14ac:dyDescent="0.2">
      <c r="B744" s="187"/>
    </row>
    <row r="745" spans="2:2" x14ac:dyDescent="0.2">
      <c r="B745" s="187"/>
    </row>
    <row r="746" spans="2:2" x14ac:dyDescent="0.2">
      <c r="B746" s="187"/>
    </row>
    <row r="747" spans="2:2" x14ac:dyDescent="0.2">
      <c r="B747" s="187"/>
    </row>
    <row r="748" spans="2:2" x14ac:dyDescent="0.2">
      <c r="B748" s="187"/>
    </row>
    <row r="749" spans="2:2" x14ac:dyDescent="0.2">
      <c r="B749" s="187"/>
    </row>
    <row r="750" spans="2:2" x14ac:dyDescent="0.2">
      <c r="B750" s="187"/>
    </row>
    <row r="751" spans="2:2" x14ac:dyDescent="0.2">
      <c r="B751" s="187"/>
    </row>
    <row r="752" spans="2:2" x14ac:dyDescent="0.2">
      <c r="B752" s="187"/>
    </row>
    <row r="753" spans="2:2" x14ac:dyDescent="0.2">
      <c r="B753" s="187"/>
    </row>
    <row r="754" spans="2:2" x14ac:dyDescent="0.2">
      <c r="B754" s="187"/>
    </row>
    <row r="755" spans="2:2" x14ac:dyDescent="0.2">
      <c r="B755" s="187"/>
    </row>
    <row r="756" spans="2:2" x14ac:dyDescent="0.2">
      <c r="B756" s="187"/>
    </row>
    <row r="757" spans="2:2" x14ac:dyDescent="0.2">
      <c r="B757" s="187"/>
    </row>
    <row r="758" spans="2:2" x14ac:dyDescent="0.2">
      <c r="B758" s="187"/>
    </row>
    <row r="759" spans="2:2" x14ac:dyDescent="0.2">
      <c r="B759" s="187"/>
    </row>
    <row r="760" spans="2:2" x14ac:dyDescent="0.2">
      <c r="B760" s="187"/>
    </row>
    <row r="761" spans="2:2" x14ac:dyDescent="0.2">
      <c r="B761" s="187"/>
    </row>
    <row r="762" spans="2:2" x14ac:dyDescent="0.2">
      <c r="B762" s="187"/>
    </row>
    <row r="763" spans="2:2" x14ac:dyDescent="0.2">
      <c r="B763" s="187"/>
    </row>
    <row r="764" spans="2:2" x14ac:dyDescent="0.2">
      <c r="B764" s="187"/>
    </row>
    <row r="765" spans="2:2" x14ac:dyDescent="0.2">
      <c r="B765" s="187"/>
    </row>
    <row r="766" spans="2:2" x14ac:dyDescent="0.2">
      <c r="B766" s="187"/>
    </row>
    <row r="767" spans="2:2" x14ac:dyDescent="0.2">
      <c r="B767" s="187"/>
    </row>
    <row r="768" spans="2:2" x14ac:dyDescent="0.2">
      <c r="B768" s="187"/>
    </row>
    <row r="769" spans="2:2" x14ac:dyDescent="0.2">
      <c r="B769" s="187"/>
    </row>
    <row r="770" spans="2:2" x14ac:dyDescent="0.2">
      <c r="B770" s="187"/>
    </row>
    <row r="771" spans="2:2" x14ac:dyDescent="0.2">
      <c r="B771" s="187"/>
    </row>
    <row r="772" spans="2:2" x14ac:dyDescent="0.2">
      <c r="B772" s="187"/>
    </row>
    <row r="773" spans="2:2" x14ac:dyDescent="0.2">
      <c r="B773" s="187"/>
    </row>
    <row r="774" spans="2:2" x14ac:dyDescent="0.2">
      <c r="B774" s="187"/>
    </row>
    <row r="775" spans="2:2" x14ac:dyDescent="0.2">
      <c r="B775" s="187"/>
    </row>
    <row r="776" spans="2:2" x14ac:dyDescent="0.2">
      <c r="B776" s="187"/>
    </row>
    <row r="777" spans="2:2" x14ac:dyDescent="0.2">
      <c r="B777" s="187"/>
    </row>
    <row r="778" spans="2:2" x14ac:dyDescent="0.2">
      <c r="B778" s="187"/>
    </row>
    <row r="779" spans="2:2" x14ac:dyDescent="0.2">
      <c r="B779" s="187"/>
    </row>
    <row r="780" spans="2:2" x14ac:dyDescent="0.2">
      <c r="B780" s="187"/>
    </row>
    <row r="781" spans="2:2" x14ac:dyDescent="0.2">
      <c r="B781" s="187"/>
    </row>
    <row r="782" spans="2:2" x14ac:dyDescent="0.2">
      <c r="B782" s="187"/>
    </row>
    <row r="783" spans="2:2" x14ac:dyDescent="0.2">
      <c r="B783" s="187"/>
    </row>
    <row r="784" spans="2:2" x14ac:dyDescent="0.2">
      <c r="B784" s="187"/>
    </row>
    <row r="785" spans="2:2" x14ac:dyDescent="0.2">
      <c r="B785" s="187"/>
    </row>
    <row r="786" spans="2:2" x14ac:dyDescent="0.2">
      <c r="B786" s="187"/>
    </row>
    <row r="787" spans="2:2" x14ac:dyDescent="0.2">
      <c r="B787" s="187"/>
    </row>
    <row r="788" spans="2:2" x14ac:dyDescent="0.2">
      <c r="B788" s="187"/>
    </row>
    <row r="789" spans="2:2" x14ac:dyDescent="0.2">
      <c r="B789" s="187"/>
    </row>
    <row r="790" spans="2:2" x14ac:dyDescent="0.2">
      <c r="B790" s="187"/>
    </row>
    <row r="791" spans="2:2" x14ac:dyDescent="0.2">
      <c r="B791" s="187"/>
    </row>
    <row r="792" spans="2:2" x14ac:dyDescent="0.2">
      <c r="B792" s="187"/>
    </row>
    <row r="793" spans="2:2" x14ac:dyDescent="0.2">
      <c r="B793" s="187"/>
    </row>
    <row r="794" spans="2:2" x14ac:dyDescent="0.2">
      <c r="B794" s="187"/>
    </row>
    <row r="795" spans="2:2" x14ac:dyDescent="0.2">
      <c r="B795" s="187"/>
    </row>
    <row r="796" spans="2:2" x14ac:dyDescent="0.2">
      <c r="B796" s="187"/>
    </row>
    <row r="797" spans="2:2" x14ac:dyDescent="0.2">
      <c r="B797" s="187"/>
    </row>
    <row r="798" spans="2:2" x14ac:dyDescent="0.2">
      <c r="B798" s="187"/>
    </row>
    <row r="799" spans="2:2" x14ac:dyDescent="0.2">
      <c r="B799" s="187"/>
    </row>
    <row r="800" spans="2:2" x14ac:dyDescent="0.2">
      <c r="B800" s="187"/>
    </row>
    <row r="801" spans="2:2" x14ac:dyDescent="0.2">
      <c r="B801" s="187"/>
    </row>
    <row r="802" spans="2:2" x14ac:dyDescent="0.2">
      <c r="B802" s="187"/>
    </row>
    <row r="803" spans="2:2" x14ac:dyDescent="0.2">
      <c r="B803" s="187"/>
    </row>
    <row r="804" spans="2:2" x14ac:dyDescent="0.2">
      <c r="B804" s="187"/>
    </row>
    <row r="805" spans="2:2" x14ac:dyDescent="0.2">
      <c r="B805" s="187"/>
    </row>
    <row r="806" spans="2:2" x14ac:dyDescent="0.2">
      <c r="B806" s="187"/>
    </row>
    <row r="807" spans="2:2" x14ac:dyDescent="0.2">
      <c r="B807" s="187"/>
    </row>
    <row r="808" spans="2:2" x14ac:dyDescent="0.2">
      <c r="B808" s="187"/>
    </row>
    <row r="809" spans="2:2" x14ac:dyDescent="0.2">
      <c r="B809" s="187"/>
    </row>
    <row r="810" spans="2:2" x14ac:dyDescent="0.2">
      <c r="B810" s="187"/>
    </row>
    <row r="811" spans="2:2" x14ac:dyDescent="0.2">
      <c r="B811" s="187"/>
    </row>
    <row r="812" spans="2:2" x14ac:dyDescent="0.2">
      <c r="B812" s="187"/>
    </row>
    <row r="813" spans="2:2" x14ac:dyDescent="0.2">
      <c r="B813" s="187"/>
    </row>
    <row r="814" spans="2:2" x14ac:dyDescent="0.2">
      <c r="B814" s="187"/>
    </row>
    <row r="815" spans="2:2" x14ac:dyDescent="0.2">
      <c r="B815" s="187"/>
    </row>
    <row r="816" spans="2:2" x14ac:dyDescent="0.2">
      <c r="B816" s="187"/>
    </row>
    <row r="817" spans="2:2" x14ac:dyDescent="0.2">
      <c r="B817" s="187"/>
    </row>
    <row r="818" spans="2:2" x14ac:dyDescent="0.2">
      <c r="B818" s="187"/>
    </row>
    <row r="819" spans="2:2" x14ac:dyDescent="0.2">
      <c r="B819" s="187"/>
    </row>
    <row r="820" spans="2:2" x14ac:dyDescent="0.2">
      <c r="B820" s="187"/>
    </row>
    <row r="821" spans="2:2" x14ac:dyDescent="0.2">
      <c r="B821" s="187"/>
    </row>
    <row r="822" spans="2:2" x14ac:dyDescent="0.2">
      <c r="B822" s="187"/>
    </row>
    <row r="823" spans="2:2" x14ac:dyDescent="0.2">
      <c r="B823" s="187"/>
    </row>
    <row r="824" spans="2:2" x14ac:dyDescent="0.2">
      <c r="B824" s="187"/>
    </row>
    <row r="825" spans="2:2" x14ac:dyDescent="0.2">
      <c r="B825" s="187"/>
    </row>
    <row r="826" spans="2:2" x14ac:dyDescent="0.2">
      <c r="B826" s="187"/>
    </row>
    <row r="827" spans="2:2" x14ac:dyDescent="0.2">
      <c r="B827" s="187"/>
    </row>
    <row r="828" spans="2:2" x14ac:dyDescent="0.2">
      <c r="B828" s="187"/>
    </row>
    <row r="829" spans="2:2" x14ac:dyDescent="0.2">
      <c r="B829" s="187"/>
    </row>
    <row r="830" spans="2:2" x14ac:dyDescent="0.2">
      <c r="B830" s="187"/>
    </row>
    <row r="831" spans="2:2" x14ac:dyDescent="0.2">
      <c r="B831" s="187"/>
    </row>
    <row r="832" spans="2:2" x14ac:dyDescent="0.2">
      <c r="B832" s="187"/>
    </row>
    <row r="833" spans="2:2" x14ac:dyDescent="0.2">
      <c r="B833" s="187"/>
    </row>
    <row r="834" spans="2:2" x14ac:dyDescent="0.2">
      <c r="B834" s="187"/>
    </row>
    <row r="835" spans="2:2" x14ac:dyDescent="0.2">
      <c r="B835" s="187"/>
    </row>
    <row r="836" spans="2:2" x14ac:dyDescent="0.2">
      <c r="B836" s="187"/>
    </row>
    <row r="837" spans="2:2" x14ac:dyDescent="0.2">
      <c r="B837" s="187"/>
    </row>
    <row r="838" spans="2:2" x14ac:dyDescent="0.2">
      <c r="B838" s="187"/>
    </row>
    <row r="839" spans="2:2" x14ac:dyDescent="0.2">
      <c r="B839" s="187"/>
    </row>
    <row r="840" spans="2:2" x14ac:dyDescent="0.2">
      <c r="B840" s="187"/>
    </row>
    <row r="841" spans="2:2" x14ac:dyDescent="0.2">
      <c r="B841" s="187"/>
    </row>
    <row r="842" spans="2:2" x14ac:dyDescent="0.2">
      <c r="B842" s="187"/>
    </row>
    <row r="843" spans="2:2" x14ac:dyDescent="0.2">
      <c r="B843" s="187"/>
    </row>
    <row r="844" spans="2:2" x14ac:dyDescent="0.2">
      <c r="B844" s="187"/>
    </row>
    <row r="845" spans="2:2" x14ac:dyDescent="0.2">
      <c r="B845" s="187"/>
    </row>
    <row r="846" spans="2:2" x14ac:dyDescent="0.2">
      <c r="B846" s="187"/>
    </row>
    <row r="847" spans="2:2" x14ac:dyDescent="0.2">
      <c r="B847" s="187"/>
    </row>
    <row r="848" spans="2:2" x14ac:dyDescent="0.2">
      <c r="B848" s="187"/>
    </row>
    <row r="849" spans="2:2" x14ac:dyDescent="0.2">
      <c r="B849" s="187"/>
    </row>
    <row r="850" spans="2:2" x14ac:dyDescent="0.2">
      <c r="B850" s="187"/>
    </row>
    <row r="851" spans="2:2" x14ac:dyDescent="0.2">
      <c r="B851" s="187"/>
    </row>
    <row r="852" spans="2:2" x14ac:dyDescent="0.2">
      <c r="B852" s="187"/>
    </row>
    <row r="853" spans="2:2" x14ac:dyDescent="0.2">
      <c r="B853" s="187"/>
    </row>
    <row r="854" spans="2:2" x14ac:dyDescent="0.2">
      <c r="B854" s="187"/>
    </row>
    <row r="855" spans="2:2" x14ac:dyDescent="0.2">
      <c r="B855" s="187"/>
    </row>
    <row r="856" spans="2:2" x14ac:dyDescent="0.2">
      <c r="B856" s="187"/>
    </row>
    <row r="857" spans="2:2" x14ac:dyDescent="0.2">
      <c r="B857" s="187"/>
    </row>
    <row r="858" spans="2:2" x14ac:dyDescent="0.2">
      <c r="B858" s="187"/>
    </row>
    <row r="859" spans="2:2" x14ac:dyDescent="0.2">
      <c r="B859" s="187"/>
    </row>
    <row r="860" spans="2:2" x14ac:dyDescent="0.2">
      <c r="B860" s="187"/>
    </row>
    <row r="861" spans="2:2" x14ac:dyDescent="0.2">
      <c r="B861" s="187"/>
    </row>
    <row r="862" spans="2:2" x14ac:dyDescent="0.2">
      <c r="B862" s="187"/>
    </row>
    <row r="863" spans="2:2" x14ac:dyDescent="0.2">
      <c r="B863" s="187"/>
    </row>
    <row r="864" spans="2:2" x14ac:dyDescent="0.2">
      <c r="B864" s="187"/>
    </row>
    <row r="865" spans="2:2" x14ac:dyDescent="0.2">
      <c r="B865" s="187"/>
    </row>
    <row r="866" spans="2:2" x14ac:dyDescent="0.2">
      <c r="B866" s="187"/>
    </row>
    <row r="867" spans="2:2" x14ac:dyDescent="0.2">
      <c r="B867" s="187"/>
    </row>
    <row r="868" spans="2:2" x14ac:dyDescent="0.2">
      <c r="B868" s="187"/>
    </row>
    <row r="869" spans="2:2" x14ac:dyDescent="0.2">
      <c r="B869" s="187"/>
    </row>
    <row r="870" spans="2:2" x14ac:dyDescent="0.2">
      <c r="B870" s="187"/>
    </row>
    <row r="871" spans="2:2" x14ac:dyDescent="0.2">
      <c r="B871" s="187"/>
    </row>
    <row r="872" spans="2:2" x14ac:dyDescent="0.2">
      <c r="B872" s="187"/>
    </row>
    <row r="873" spans="2:2" x14ac:dyDescent="0.2">
      <c r="B873" s="187"/>
    </row>
    <row r="874" spans="2:2" x14ac:dyDescent="0.2">
      <c r="B874" s="187"/>
    </row>
    <row r="875" spans="2:2" x14ac:dyDescent="0.2">
      <c r="B875" s="187"/>
    </row>
    <row r="876" spans="2:2" x14ac:dyDescent="0.2">
      <c r="B876" s="187"/>
    </row>
    <row r="877" spans="2:2" x14ac:dyDescent="0.2">
      <c r="B877" s="187"/>
    </row>
    <row r="878" spans="2:2" x14ac:dyDescent="0.2">
      <c r="B878" s="187"/>
    </row>
    <row r="879" spans="2:2" x14ac:dyDescent="0.2">
      <c r="B879" s="187"/>
    </row>
    <row r="880" spans="2:2" x14ac:dyDescent="0.2">
      <c r="B880" s="187"/>
    </row>
    <row r="881" spans="2:2" x14ac:dyDescent="0.2">
      <c r="B881" s="187"/>
    </row>
    <row r="882" spans="2:2" x14ac:dyDescent="0.2">
      <c r="B882" s="187"/>
    </row>
    <row r="883" spans="2:2" x14ac:dyDescent="0.2">
      <c r="B883" s="187"/>
    </row>
    <row r="884" spans="2:2" x14ac:dyDescent="0.2">
      <c r="B884" s="187"/>
    </row>
    <row r="885" spans="2:2" x14ac:dyDescent="0.2">
      <c r="B885" s="187"/>
    </row>
    <row r="886" spans="2:2" x14ac:dyDescent="0.2">
      <c r="B886" s="187"/>
    </row>
    <row r="887" spans="2:2" x14ac:dyDescent="0.2">
      <c r="B887" s="187"/>
    </row>
    <row r="888" spans="2:2" x14ac:dyDescent="0.2">
      <c r="B888" s="187"/>
    </row>
    <row r="889" spans="2:2" x14ac:dyDescent="0.2">
      <c r="B889" s="187"/>
    </row>
    <row r="890" spans="2:2" x14ac:dyDescent="0.2">
      <c r="B890" s="187"/>
    </row>
    <row r="891" spans="2:2" x14ac:dyDescent="0.2">
      <c r="B891" s="187"/>
    </row>
    <row r="892" spans="2:2" x14ac:dyDescent="0.2">
      <c r="B892" s="187"/>
    </row>
    <row r="893" spans="2:2" x14ac:dyDescent="0.2">
      <c r="B893" s="187"/>
    </row>
    <row r="894" spans="2:2" x14ac:dyDescent="0.2">
      <c r="B894" s="187"/>
    </row>
    <row r="895" spans="2:2" x14ac:dyDescent="0.2">
      <c r="B895" s="187"/>
    </row>
    <row r="896" spans="2:2" x14ac:dyDescent="0.2">
      <c r="B896" s="187"/>
    </row>
    <row r="897" spans="2:2" x14ac:dyDescent="0.2">
      <c r="B897" s="187"/>
    </row>
    <row r="898" spans="2:2" x14ac:dyDescent="0.2">
      <c r="B898" s="187"/>
    </row>
    <row r="899" spans="2:2" x14ac:dyDescent="0.2">
      <c r="B899" s="187"/>
    </row>
    <row r="900" spans="2:2" x14ac:dyDescent="0.2">
      <c r="B900" s="187"/>
    </row>
    <row r="901" spans="2:2" x14ac:dyDescent="0.2">
      <c r="B901" s="187"/>
    </row>
    <row r="902" spans="2:2" x14ac:dyDescent="0.2">
      <c r="B902" s="187"/>
    </row>
    <row r="903" spans="2:2" x14ac:dyDescent="0.2">
      <c r="B903" s="187"/>
    </row>
    <row r="904" spans="2:2" x14ac:dyDescent="0.2">
      <c r="B904" s="187"/>
    </row>
    <row r="905" spans="2:2" x14ac:dyDescent="0.2">
      <c r="B905" s="187"/>
    </row>
    <row r="906" spans="2:2" x14ac:dyDescent="0.2">
      <c r="B906" s="187"/>
    </row>
    <row r="907" spans="2:2" x14ac:dyDescent="0.2">
      <c r="B907" s="187"/>
    </row>
    <row r="908" spans="2:2" x14ac:dyDescent="0.2">
      <c r="B908" s="187"/>
    </row>
    <row r="909" spans="2:2" x14ac:dyDescent="0.2">
      <c r="B909" s="187"/>
    </row>
    <row r="910" spans="2:2" x14ac:dyDescent="0.2">
      <c r="B910" s="187"/>
    </row>
    <row r="911" spans="2:2" x14ac:dyDescent="0.2">
      <c r="B911" s="187"/>
    </row>
    <row r="912" spans="2:2" x14ac:dyDescent="0.2">
      <c r="B912" s="187"/>
    </row>
    <row r="913" spans="2:2" x14ac:dyDescent="0.2">
      <c r="B913" s="187"/>
    </row>
    <row r="914" spans="2:2" x14ac:dyDescent="0.2">
      <c r="B914" s="187"/>
    </row>
    <row r="915" spans="2:2" x14ac:dyDescent="0.2">
      <c r="B915" s="187"/>
    </row>
    <row r="916" spans="2:2" x14ac:dyDescent="0.2">
      <c r="B916" s="187"/>
    </row>
    <row r="917" spans="2:2" x14ac:dyDescent="0.2">
      <c r="B917" s="187"/>
    </row>
    <row r="918" spans="2:2" x14ac:dyDescent="0.2">
      <c r="B918" s="187"/>
    </row>
    <row r="919" spans="2:2" x14ac:dyDescent="0.2">
      <c r="B919" s="187"/>
    </row>
    <row r="920" spans="2:2" x14ac:dyDescent="0.2">
      <c r="B920" s="187"/>
    </row>
    <row r="921" spans="2:2" x14ac:dyDescent="0.2">
      <c r="B921" s="187"/>
    </row>
    <row r="922" spans="2:2" x14ac:dyDescent="0.2">
      <c r="B922" s="187"/>
    </row>
    <row r="923" spans="2:2" x14ac:dyDescent="0.2">
      <c r="B923" s="187"/>
    </row>
    <row r="924" spans="2:2" x14ac:dyDescent="0.2">
      <c r="B924" s="187"/>
    </row>
    <row r="925" spans="2:2" x14ac:dyDescent="0.2">
      <c r="B925" s="187"/>
    </row>
    <row r="926" spans="2:2" x14ac:dyDescent="0.2">
      <c r="B926" s="187"/>
    </row>
    <row r="927" spans="2:2" x14ac:dyDescent="0.2">
      <c r="B927" s="187"/>
    </row>
    <row r="928" spans="2:2" x14ac:dyDescent="0.2">
      <c r="B928" s="187"/>
    </row>
    <row r="929" spans="2:2" x14ac:dyDescent="0.2">
      <c r="B929" s="187"/>
    </row>
    <row r="930" spans="2:2" x14ac:dyDescent="0.2">
      <c r="B930" s="187"/>
    </row>
    <row r="931" spans="2:2" x14ac:dyDescent="0.2">
      <c r="B931" s="187"/>
    </row>
    <row r="932" spans="2:2" x14ac:dyDescent="0.2">
      <c r="B932" s="187"/>
    </row>
    <row r="933" spans="2:2" x14ac:dyDescent="0.2">
      <c r="B933" s="187"/>
    </row>
    <row r="934" spans="2:2" x14ac:dyDescent="0.2">
      <c r="B934" s="187"/>
    </row>
    <row r="935" spans="2:2" x14ac:dyDescent="0.2">
      <c r="B935" s="187"/>
    </row>
    <row r="936" spans="2:2" x14ac:dyDescent="0.2">
      <c r="B936" s="187"/>
    </row>
    <row r="937" spans="2:2" x14ac:dyDescent="0.2">
      <c r="B937" s="187"/>
    </row>
    <row r="938" spans="2:2" x14ac:dyDescent="0.2">
      <c r="B938" s="187"/>
    </row>
    <row r="939" spans="2:2" x14ac:dyDescent="0.2">
      <c r="B939" s="187"/>
    </row>
    <row r="940" spans="2:2" x14ac:dyDescent="0.2">
      <c r="B940" s="187"/>
    </row>
    <row r="941" spans="2:2" x14ac:dyDescent="0.2">
      <c r="B941" s="187"/>
    </row>
    <row r="942" spans="2:2" x14ac:dyDescent="0.2">
      <c r="B942" s="187"/>
    </row>
    <row r="943" spans="2:2" x14ac:dyDescent="0.2">
      <c r="B943" s="187"/>
    </row>
    <row r="944" spans="2:2" x14ac:dyDescent="0.2">
      <c r="B944" s="187"/>
    </row>
    <row r="945" spans="2:2" x14ac:dyDescent="0.2">
      <c r="B945" s="187"/>
    </row>
    <row r="946" spans="2:2" x14ac:dyDescent="0.2">
      <c r="B946" s="187"/>
    </row>
    <row r="947" spans="2:2" x14ac:dyDescent="0.2">
      <c r="B947" s="187"/>
    </row>
    <row r="948" spans="2:2" x14ac:dyDescent="0.2">
      <c r="B948" s="187"/>
    </row>
    <row r="949" spans="2:2" x14ac:dyDescent="0.2">
      <c r="B949" s="187"/>
    </row>
    <row r="950" spans="2:2" x14ac:dyDescent="0.2">
      <c r="B950" s="187"/>
    </row>
    <row r="951" spans="2:2" x14ac:dyDescent="0.2">
      <c r="B951" s="187"/>
    </row>
    <row r="952" spans="2:2" x14ac:dyDescent="0.2">
      <c r="B952" s="187"/>
    </row>
    <row r="953" spans="2:2" x14ac:dyDescent="0.2">
      <c r="B953" s="187"/>
    </row>
    <row r="954" spans="2:2" x14ac:dyDescent="0.2">
      <c r="B954" s="187"/>
    </row>
    <row r="955" spans="2:2" x14ac:dyDescent="0.2">
      <c r="B955" s="187"/>
    </row>
    <row r="956" spans="2:2" x14ac:dyDescent="0.2">
      <c r="B956" s="187"/>
    </row>
    <row r="957" spans="2:2" x14ac:dyDescent="0.2">
      <c r="B957" s="187"/>
    </row>
    <row r="958" spans="2:2" x14ac:dyDescent="0.2">
      <c r="B958" s="187"/>
    </row>
    <row r="959" spans="2:2" x14ac:dyDescent="0.2">
      <c r="B959" s="187"/>
    </row>
    <row r="960" spans="2:2" x14ac:dyDescent="0.2">
      <c r="B960" s="187"/>
    </row>
    <row r="961" spans="2:2" x14ac:dyDescent="0.2">
      <c r="B961" s="187"/>
    </row>
    <row r="962" spans="2:2" x14ac:dyDescent="0.2">
      <c r="B962" s="187"/>
    </row>
    <row r="963" spans="2:2" x14ac:dyDescent="0.2">
      <c r="B963" s="187"/>
    </row>
    <row r="964" spans="2:2" x14ac:dyDescent="0.2">
      <c r="B964" s="187"/>
    </row>
    <row r="965" spans="2:2" x14ac:dyDescent="0.2">
      <c r="B965" s="187"/>
    </row>
    <row r="966" spans="2:2" x14ac:dyDescent="0.2">
      <c r="B966" s="187"/>
    </row>
    <row r="967" spans="2:2" x14ac:dyDescent="0.2">
      <c r="B967" s="187"/>
    </row>
    <row r="968" spans="2:2" x14ac:dyDescent="0.2">
      <c r="B968" s="187"/>
    </row>
    <row r="969" spans="2:2" x14ac:dyDescent="0.2">
      <c r="B969" s="187"/>
    </row>
    <row r="970" spans="2:2" x14ac:dyDescent="0.2">
      <c r="B970" s="187"/>
    </row>
    <row r="971" spans="2:2" x14ac:dyDescent="0.2">
      <c r="B971" s="187"/>
    </row>
    <row r="972" spans="2:2" x14ac:dyDescent="0.2">
      <c r="B972" s="187"/>
    </row>
    <row r="973" spans="2:2" x14ac:dyDescent="0.2">
      <c r="B973" s="187"/>
    </row>
    <row r="974" spans="2:2" x14ac:dyDescent="0.2">
      <c r="B974" s="187"/>
    </row>
    <row r="975" spans="2:2" x14ac:dyDescent="0.2">
      <c r="B975" s="187"/>
    </row>
    <row r="976" spans="2:2" x14ac:dyDescent="0.2">
      <c r="B976" s="187"/>
    </row>
    <row r="977" spans="2:2" x14ac:dyDescent="0.2">
      <c r="B977" s="187"/>
    </row>
    <row r="978" spans="2:2" x14ac:dyDescent="0.2">
      <c r="B978" s="187"/>
    </row>
    <row r="979" spans="2:2" x14ac:dyDescent="0.2">
      <c r="B979" s="187"/>
    </row>
    <row r="980" spans="2:2" x14ac:dyDescent="0.2">
      <c r="B980" s="187"/>
    </row>
    <row r="981" spans="2:2" x14ac:dyDescent="0.2">
      <c r="B981" s="187"/>
    </row>
    <row r="982" spans="2:2" x14ac:dyDescent="0.2">
      <c r="B982" s="187"/>
    </row>
    <row r="983" spans="2:2" x14ac:dyDescent="0.2">
      <c r="B983" s="187"/>
    </row>
    <row r="984" spans="2:2" x14ac:dyDescent="0.2">
      <c r="B984" s="187"/>
    </row>
    <row r="985" spans="2:2" x14ac:dyDescent="0.2">
      <c r="B985" s="187"/>
    </row>
    <row r="986" spans="2:2" x14ac:dyDescent="0.2">
      <c r="B986" s="187"/>
    </row>
    <row r="987" spans="2:2" x14ac:dyDescent="0.2">
      <c r="B987" s="187"/>
    </row>
    <row r="988" spans="2:2" x14ac:dyDescent="0.2">
      <c r="B988" s="187"/>
    </row>
    <row r="989" spans="2:2" x14ac:dyDescent="0.2">
      <c r="B989" s="187"/>
    </row>
    <row r="990" spans="2:2" x14ac:dyDescent="0.2">
      <c r="B990" s="187"/>
    </row>
    <row r="991" spans="2:2" x14ac:dyDescent="0.2">
      <c r="B991" s="187"/>
    </row>
    <row r="992" spans="2:2" x14ac:dyDescent="0.2">
      <c r="B992" s="187"/>
    </row>
    <row r="993" spans="2:2" x14ac:dyDescent="0.2">
      <c r="B993" s="187"/>
    </row>
    <row r="994" spans="2:2" x14ac:dyDescent="0.2">
      <c r="B994" s="187"/>
    </row>
    <row r="995" spans="2:2" x14ac:dyDescent="0.2">
      <c r="B995" s="187"/>
    </row>
    <row r="996" spans="2:2" x14ac:dyDescent="0.2">
      <c r="B996" s="187"/>
    </row>
    <row r="997" spans="2:2" x14ac:dyDescent="0.2">
      <c r="B997" s="187"/>
    </row>
    <row r="998" spans="2:2" x14ac:dyDescent="0.2">
      <c r="B998" s="187"/>
    </row>
    <row r="999" spans="2:2" x14ac:dyDescent="0.2">
      <c r="B999" s="187"/>
    </row>
    <row r="1000" spans="2:2" x14ac:dyDescent="0.2">
      <c r="B1000" s="187"/>
    </row>
    <row r="1001" spans="2:2" x14ac:dyDescent="0.2">
      <c r="B1001" s="187"/>
    </row>
    <row r="1002" spans="2:2" x14ac:dyDescent="0.2">
      <c r="B1002" s="187"/>
    </row>
    <row r="1003" spans="2:2" x14ac:dyDescent="0.2">
      <c r="B1003" s="187"/>
    </row>
    <row r="1004" spans="2:2" x14ac:dyDescent="0.2">
      <c r="B1004" s="187"/>
    </row>
    <row r="1005" spans="2:2" x14ac:dyDescent="0.2">
      <c r="B1005" s="187"/>
    </row>
    <row r="1006" spans="2:2" x14ac:dyDescent="0.2">
      <c r="B1006" s="187"/>
    </row>
    <row r="1007" spans="2:2" x14ac:dyDescent="0.2">
      <c r="B1007" s="187"/>
    </row>
    <row r="1008" spans="2:2" x14ac:dyDescent="0.2">
      <c r="B1008" s="187"/>
    </row>
    <row r="1009" spans="2:2" x14ac:dyDescent="0.2">
      <c r="B1009" s="187"/>
    </row>
    <row r="1010" spans="2:2" x14ac:dyDescent="0.2">
      <c r="B1010" s="187"/>
    </row>
    <row r="1011" spans="2:2" x14ac:dyDescent="0.2">
      <c r="B1011" s="187"/>
    </row>
    <row r="1012" spans="2:2" x14ac:dyDescent="0.2">
      <c r="B1012" s="187"/>
    </row>
    <row r="1013" spans="2:2" x14ac:dyDescent="0.2">
      <c r="B1013" s="187"/>
    </row>
    <row r="1014" spans="2:2" x14ac:dyDescent="0.2">
      <c r="B1014" s="187"/>
    </row>
    <row r="1015" spans="2:2" x14ac:dyDescent="0.2">
      <c r="B1015" s="187"/>
    </row>
    <row r="1016" spans="2:2" x14ac:dyDescent="0.2">
      <c r="B1016" s="187"/>
    </row>
    <row r="1017" spans="2:2" x14ac:dyDescent="0.2">
      <c r="B1017" s="187"/>
    </row>
    <row r="1018" spans="2:2" x14ac:dyDescent="0.2">
      <c r="B1018" s="187"/>
    </row>
    <row r="1019" spans="2:2" x14ac:dyDescent="0.2">
      <c r="B1019" s="187"/>
    </row>
    <row r="1020" spans="2:2" x14ac:dyDescent="0.2">
      <c r="B1020" s="187"/>
    </row>
    <row r="1021" spans="2:2" x14ac:dyDescent="0.2">
      <c r="B1021" s="187"/>
    </row>
    <row r="1022" spans="2:2" x14ac:dyDescent="0.2">
      <c r="B1022" s="187"/>
    </row>
    <row r="1023" spans="2:2" x14ac:dyDescent="0.2">
      <c r="B1023" s="187"/>
    </row>
    <row r="1024" spans="2:2" x14ac:dyDescent="0.2">
      <c r="B1024" s="187"/>
    </row>
    <row r="1025" spans="2:2" x14ac:dyDescent="0.2">
      <c r="B1025" s="187"/>
    </row>
    <row r="1026" spans="2:2" x14ac:dyDescent="0.2">
      <c r="B1026" s="187"/>
    </row>
    <row r="1027" spans="2:2" x14ac:dyDescent="0.2">
      <c r="B1027" s="187"/>
    </row>
    <row r="1028" spans="2:2" x14ac:dyDescent="0.2">
      <c r="B1028" s="187"/>
    </row>
    <row r="1029" spans="2:2" x14ac:dyDescent="0.2">
      <c r="B1029" s="187"/>
    </row>
    <row r="1030" spans="2:2" x14ac:dyDescent="0.2">
      <c r="B1030" s="187"/>
    </row>
    <row r="1031" spans="2:2" x14ac:dyDescent="0.2">
      <c r="B1031" s="187"/>
    </row>
    <row r="1032" spans="2:2" x14ac:dyDescent="0.2">
      <c r="B1032" s="187"/>
    </row>
    <row r="1033" spans="2:2" x14ac:dyDescent="0.2">
      <c r="B1033" s="187"/>
    </row>
    <row r="1034" spans="2:2" x14ac:dyDescent="0.2">
      <c r="B1034" s="187"/>
    </row>
    <row r="1035" spans="2:2" x14ac:dyDescent="0.2">
      <c r="B1035" s="187"/>
    </row>
    <row r="1036" spans="2:2" x14ac:dyDescent="0.2">
      <c r="B1036" s="187"/>
    </row>
    <row r="1037" spans="2:2" x14ac:dyDescent="0.2">
      <c r="B1037" s="187"/>
    </row>
    <row r="1038" spans="2:2" x14ac:dyDescent="0.2">
      <c r="B1038" s="187"/>
    </row>
    <row r="1039" spans="2:2" x14ac:dyDescent="0.2">
      <c r="B1039" s="187"/>
    </row>
    <row r="1040" spans="2:2" x14ac:dyDescent="0.2">
      <c r="B1040" s="187"/>
    </row>
    <row r="1041" spans="2:2" x14ac:dyDescent="0.2">
      <c r="B1041" s="187"/>
    </row>
    <row r="1042" spans="2:2" x14ac:dyDescent="0.2">
      <c r="B1042" s="187"/>
    </row>
    <row r="1043" spans="2:2" x14ac:dyDescent="0.2">
      <c r="B1043" s="187"/>
    </row>
    <row r="1044" spans="2:2" x14ac:dyDescent="0.2">
      <c r="B1044" s="187"/>
    </row>
    <row r="1045" spans="2:2" x14ac:dyDescent="0.2">
      <c r="B1045" s="187"/>
    </row>
    <row r="1046" spans="2:2" x14ac:dyDescent="0.2">
      <c r="B1046" s="187"/>
    </row>
    <row r="1047" spans="2:2" x14ac:dyDescent="0.2">
      <c r="B1047" s="187"/>
    </row>
    <row r="1048" spans="2:2" x14ac:dyDescent="0.2">
      <c r="B1048" s="187"/>
    </row>
    <row r="1049" spans="2:2" x14ac:dyDescent="0.2">
      <c r="B1049" s="187"/>
    </row>
    <row r="1050" spans="2:2" x14ac:dyDescent="0.2">
      <c r="B1050" s="187"/>
    </row>
    <row r="1051" spans="2:2" x14ac:dyDescent="0.2">
      <c r="B1051" s="187"/>
    </row>
    <row r="1052" spans="2:2" x14ac:dyDescent="0.2">
      <c r="B1052" s="187"/>
    </row>
    <row r="1053" spans="2:2" x14ac:dyDescent="0.2">
      <c r="B1053" s="187"/>
    </row>
    <row r="1054" spans="2:2" x14ac:dyDescent="0.2">
      <c r="B1054" s="187"/>
    </row>
    <row r="1055" spans="2:2" x14ac:dyDescent="0.2">
      <c r="B1055" s="187"/>
    </row>
    <row r="1056" spans="2:2" x14ac:dyDescent="0.2">
      <c r="B1056" s="187"/>
    </row>
    <row r="1057" spans="2:2" x14ac:dyDescent="0.2">
      <c r="B1057" s="187"/>
    </row>
    <row r="1058" spans="2:2" x14ac:dyDescent="0.2">
      <c r="B1058" s="187"/>
    </row>
    <row r="1059" spans="2:2" x14ac:dyDescent="0.2">
      <c r="B1059" s="187"/>
    </row>
    <row r="1060" spans="2:2" x14ac:dyDescent="0.2">
      <c r="B1060" s="187"/>
    </row>
    <row r="1061" spans="2:2" x14ac:dyDescent="0.2">
      <c r="B1061" s="187"/>
    </row>
    <row r="1062" spans="2:2" x14ac:dyDescent="0.2">
      <c r="B1062" s="187"/>
    </row>
    <row r="1063" spans="2:2" x14ac:dyDescent="0.2">
      <c r="B1063" s="187"/>
    </row>
    <row r="1064" spans="2:2" x14ac:dyDescent="0.2">
      <c r="B1064" s="187"/>
    </row>
    <row r="1065" spans="2:2" x14ac:dyDescent="0.2">
      <c r="B1065" s="187"/>
    </row>
    <row r="1066" spans="2:2" x14ac:dyDescent="0.2">
      <c r="B1066" s="187"/>
    </row>
    <row r="1067" spans="2:2" x14ac:dyDescent="0.2">
      <c r="B1067" s="187"/>
    </row>
    <row r="1068" spans="2:2" x14ac:dyDescent="0.2">
      <c r="B1068" s="187"/>
    </row>
    <row r="1069" spans="2:2" x14ac:dyDescent="0.2">
      <c r="B1069" s="187"/>
    </row>
    <row r="1070" spans="2:2" x14ac:dyDescent="0.2">
      <c r="B1070" s="187"/>
    </row>
    <row r="1071" spans="2:2" x14ac:dyDescent="0.2">
      <c r="B1071" s="187"/>
    </row>
    <row r="1072" spans="2:2" x14ac:dyDescent="0.2">
      <c r="B1072" s="187"/>
    </row>
    <row r="1073" spans="2:2" x14ac:dyDescent="0.2">
      <c r="B1073" s="187"/>
    </row>
    <row r="1074" spans="2:2" x14ac:dyDescent="0.2">
      <c r="B1074" s="187"/>
    </row>
    <row r="1075" spans="2:2" x14ac:dyDescent="0.2">
      <c r="B1075" s="187"/>
    </row>
    <row r="1076" spans="2:2" x14ac:dyDescent="0.2">
      <c r="B1076" s="187"/>
    </row>
    <row r="1077" spans="2:2" x14ac:dyDescent="0.2">
      <c r="B1077" s="187"/>
    </row>
    <row r="1078" spans="2:2" x14ac:dyDescent="0.2">
      <c r="B1078" s="187"/>
    </row>
    <row r="1079" spans="2:2" x14ac:dyDescent="0.2">
      <c r="B1079" s="187"/>
    </row>
    <row r="1080" spans="2:2" x14ac:dyDescent="0.2">
      <c r="B1080" s="187"/>
    </row>
    <row r="1081" spans="2:2" x14ac:dyDescent="0.2">
      <c r="B1081" s="187"/>
    </row>
    <row r="1082" spans="2:2" x14ac:dyDescent="0.2">
      <c r="B1082" s="187"/>
    </row>
    <row r="1083" spans="2:2" x14ac:dyDescent="0.2">
      <c r="B1083" s="187"/>
    </row>
    <row r="1084" spans="2:2" x14ac:dyDescent="0.2">
      <c r="B1084" s="187"/>
    </row>
    <row r="1085" spans="2:2" x14ac:dyDescent="0.2">
      <c r="B1085" s="187"/>
    </row>
    <row r="1086" spans="2:2" x14ac:dyDescent="0.2">
      <c r="B1086" s="187"/>
    </row>
    <row r="1087" spans="2:2" x14ac:dyDescent="0.2">
      <c r="B1087" s="187"/>
    </row>
    <row r="1088" spans="2:2" x14ac:dyDescent="0.2">
      <c r="B1088" s="187"/>
    </row>
    <row r="1089" spans="2:2" x14ac:dyDescent="0.2">
      <c r="B1089" s="187"/>
    </row>
    <row r="1090" spans="2:2" x14ac:dyDescent="0.2">
      <c r="B1090" s="187"/>
    </row>
    <row r="1091" spans="2:2" x14ac:dyDescent="0.2">
      <c r="B1091" s="187"/>
    </row>
    <row r="1092" spans="2:2" x14ac:dyDescent="0.2">
      <c r="B1092" s="187"/>
    </row>
    <row r="1093" spans="2:2" x14ac:dyDescent="0.2">
      <c r="B1093" s="187"/>
    </row>
    <row r="1094" spans="2:2" x14ac:dyDescent="0.2">
      <c r="B1094" s="187"/>
    </row>
    <row r="1095" spans="2:2" x14ac:dyDescent="0.2">
      <c r="B1095" s="187"/>
    </row>
    <row r="1096" spans="2:2" x14ac:dyDescent="0.2">
      <c r="B1096" s="187"/>
    </row>
    <row r="1097" spans="2:2" x14ac:dyDescent="0.2">
      <c r="B1097" s="187"/>
    </row>
    <row r="1098" spans="2:2" x14ac:dyDescent="0.2">
      <c r="B1098" s="187"/>
    </row>
    <row r="1099" spans="2:2" x14ac:dyDescent="0.2">
      <c r="B1099" s="187"/>
    </row>
    <row r="1100" spans="2:2" x14ac:dyDescent="0.2">
      <c r="B1100" s="187"/>
    </row>
    <row r="1101" spans="2:2" x14ac:dyDescent="0.2">
      <c r="B1101" s="187"/>
    </row>
    <row r="1102" spans="2:2" x14ac:dyDescent="0.2">
      <c r="B1102" s="187"/>
    </row>
    <row r="1103" spans="2:2" x14ac:dyDescent="0.2">
      <c r="B1103" s="187"/>
    </row>
    <row r="1104" spans="2:2" x14ac:dyDescent="0.2">
      <c r="B1104" s="187"/>
    </row>
    <row r="1105" spans="2:2" x14ac:dyDescent="0.2">
      <c r="B1105" s="187"/>
    </row>
    <row r="1106" spans="2:2" x14ac:dyDescent="0.2">
      <c r="B1106" s="187"/>
    </row>
    <row r="1107" spans="2:2" x14ac:dyDescent="0.2">
      <c r="B1107" s="187"/>
    </row>
    <row r="1108" spans="2:2" x14ac:dyDescent="0.2">
      <c r="B1108" s="187"/>
    </row>
    <row r="1109" spans="2:2" x14ac:dyDescent="0.2">
      <c r="B1109" s="187"/>
    </row>
    <row r="1110" spans="2:2" x14ac:dyDescent="0.2">
      <c r="B1110" s="187"/>
    </row>
    <row r="1111" spans="2:2" x14ac:dyDescent="0.2">
      <c r="B1111" s="187"/>
    </row>
    <row r="1112" spans="2:2" x14ac:dyDescent="0.2">
      <c r="B1112" s="187"/>
    </row>
    <row r="1113" spans="2:2" x14ac:dyDescent="0.2">
      <c r="B1113" s="187"/>
    </row>
    <row r="1114" spans="2:2" x14ac:dyDescent="0.2">
      <c r="B1114" s="187"/>
    </row>
    <row r="1115" spans="2:2" x14ac:dyDescent="0.2">
      <c r="B1115" s="187"/>
    </row>
    <row r="1116" spans="2:2" x14ac:dyDescent="0.2">
      <c r="B1116" s="187"/>
    </row>
    <row r="1117" spans="2:2" x14ac:dyDescent="0.2">
      <c r="B1117" s="187"/>
    </row>
    <row r="1118" spans="2:2" x14ac:dyDescent="0.2">
      <c r="B1118" s="187"/>
    </row>
    <row r="1119" spans="2:2" x14ac:dyDescent="0.2">
      <c r="B1119" s="187"/>
    </row>
    <row r="1120" spans="2:2" x14ac:dyDescent="0.2">
      <c r="B1120" s="187"/>
    </row>
    <row r="1121" spans="2:2" x14ac:dyDescent="0.2">
      <c r="B1121" s="187"/>
    </row>
    <row r="1122" spans="2:2" x14ac:dyDescent="0.2">
      <c r="B1122" s="187"/>
    </row>
    <row r="1123" spans="2:2" x14ac:dyDescent="0.2">
      <c r="B1123" s="187"/>
    </row>
    <row r="1124" spans="2:2" x14ac:dyDescent="0.2">
      <c r="B1124" s="187"/>
    </row>
    <row r="1125" spans="2:2" x14ac:dyDescent="0.2">
      <c r="B1125" s="187"/>
    </row>
    <row r="1126" spans="2:2" x14ac:dyDescent="0.2">
      <c r="B1126" s="187"/>
    </row>
    <row r="1127" spans="2:2" x14ac:dyDescent="0.2">
      <c r="B1127" s="187"/>
    </row>
    <row r="1128" spans="2:2" x14ac:dyDescent="0.2">
      <c r="B1128" s="187"/>
    </row>
    <row r="1129" spans="2:2" x14ac:dyDescent="0.2">
      <c r="B1129" s="187"/>
    </row>
    <row r="1130" spans="2:2" x14ac:dyDescent="0.2">
      <c r="B1130" s="187"/>
    </row>
    <row r="1131" spans="2:2" x14ac:dyDescent="0.2">
      <c r="B1131" s="187"/>
    </row>
    <row r="1132" spans="2:2" x14ac:dyDescent="0.2">
      <c r="B1132" s="187"/>
    </row>
    <row r="1133" spans="2:2" x14ac:dyDescent="0.2">
      <c r="B1133" s="187"/>
    </row>
    <row r="1134" spans="2:2" x14ac:dyDescent="0.2">
      <c r="B1134" s="187"/>
    </row>
    <row r="1135" spans="2:2" x14ac:dyDescent="0.2">
      <c r="B1135" s="187"/>
    </row>
    <row r="1136" spans="2:2" x14ac:dyDescent="0.2">
      <c r="B1136" s="187"/>
    </row>
    <row r="1137" spans="2:2" x14ac:dyDescent="0.2">
      <c r="B1137" s="187"/>
    </row>
    <row r="1138" spans="2:2" x14ac:dyDescent="0.2">
      <c r="B1138" s="187"/>
    </row>
    <row r="1139" spans="2:2" x14ac:dyDescent="0.2">
      <c r="B1139" s="187"/>
    </row>
    <row r="1140" spans="2:2" x14ac:dyDescent="0.2">
      <c r="B1140" s="187"/>
    </row>
    <row r="1141" spans="2:2" x14ac:dyDescent="0.2">
      <c r="B1141" s="187"/>
    </row>
    <row r="1142" spans="2:2" x14ac:dyDescent="0.2">
      <c r="B1142" s="187"/>
    </row>
    <row r="1143" spans="2:2" x14ac:dyDescent="0.2">
      <c r="B1143" s="187"/>
    </row>
    <row r="1144" spans="2:2" x14ac:dyDescent="0.2">
      <c r="B1144" s="187"/>
    </row>
    <row r="1145" spans="2:2" x14ac:dyDescent="0.2">
      <c r="B1145" s="187"/>
    </row>
    <row r="1146" spans="2:2" x14ac:dyDescent="0.2">
      <c r="B1146" s="187"/>
    </row>
    <row r="1147" spans="2:2" x14ac:dyDescent="0.2">
      <c r="B1147" s="187"/>
    </row>
    <row r="1148" spans="2:2" x14ac:dyDescent="0.2">
      <c r="B1148" s="187"/>
    </row>
    <row r="1149" spans="2:2" x14ac:dyDescent="0.2">
      <c r="B1149" s="187"/>
    </row>
    <row r="1150" spans="2:2" x14ac:dyDescent="0.2">
      <c r="B1150" s="187"/>
    </row>
    <row r="1151" spans="2:2" x14ac:dyDescent="0.2">
      <c r="B1151" s="187"/>
    </row>
    <row r="1152" spans="2:2" x14ac:dyDescent="0.2">
      <c r="B1152" s="187"/>
    </row>
    <row r="1153" spans="2:2" x14ac:dyDescent="0.2">
      <c r="B1153" s="187"/>
    </row>
    <row r="1154" spans="2:2" x14ac:dyDescent="0.2">
      <c r="B1154" s="187"/>
    </row>
    <row r="1155" spans="2:2" x14ac:dyDescent="0.2">
      <c r="B1155" s="187"/>
    </row>
    <row r="1156" spans="2:2" x14ac:dyDescent="0.2">
      <c r="B1156" s="187"/>
    </row>
    <row r="1157" spans="2:2" x14ac:dyDescent="0.2">
      <c r="B1157" s="187"/>
    </row>
    <row r="1158" spans="2:2" x14ac:dyDescent="0.2">
      <c r="B1158" s="187"/>
    </row>
    <row r="1159" spans="2:2" x14ac:dyDescent="0.2">
      <c r="B1159" s="187"/>
    </row>
    <row r="1160" spans="2:2" x14ac:dyDescent="0.2">
      <c r="B1160" s="187"/>
    </row>
    <row r="1161" spans="2:2" x14ac:dyDescent="0.2">
      <c r="B1161" s="187"/>
    </row>
    <row r="1162" spans="2:2" x14ac:dyDescent="0.2">
      <c r="B1162" s="187"/>
    </row>
    <row r="1163" spans="2:2" x14ac:dyDescent="0.2">
      <c r="B1163" s="187"/>
    </row>
    <row r="1164" spans="2:2" x14ac:dyDescent="0.2">
      <c r="B1164" s="187"/>
    </row>
    <row r="1165" spans="2:2" x14ac:dyDescent="0.2">
      <c r="B1165" s="187"/>
    </row>
    <row r="1166" spans="2:2" x14ac:dyDescent="0.2">
      <c r="B1166" s="187"/>
    </row>
    <row r="1167" spans="2:2" x14ac:dyDescent="0.2">
      <c r="B1167" s="187"/>
    </row>
    <row r="1168" spans="2:2" x14ac:dyDescent="0.2">
      <c r="B1168" s="187"/>
    </row>
    <row r="1169" spans="2:2" x14ac:dyDescent="0.2">
      <c r="B1169" s="187"/>
    </row>
    <row r="1170" spans="2:2" x14ac:dyDescent="0.2">
      <c r="B1170" s="187"/>
    </row>
    <row r="1171" spans="2:2" x14ac:dyDescent="0.2">
      <c r="B1171" s="187"/>
    </row>
    <row r="1172" spans="2:2" x14ac:dyDescent="0.2">
      <c r="B1172" s="187"/>
    </row>
    <row r="1173" spans="2:2" x14ac:dyDescent="0.2">
      <c r="B1173" s="187"/>
    </row>
    <row r="1174" spans="2:2" x14ac:dyDescent="0.2">
      <c r="B1174" s="187"/>
    </row>
    <row r="1175" spans="2:2" x14ac:dyDescent="0.2">
      <c r="B1175" s="187"/>
    </row>
    <row r="1176" spans="2:2" x14ac:dyDescent="0.2">
      <c r="B1176" s="187"/>
    </row>
    <row r="1177" spans="2:2" x14ac:dyDescent="0.2">
      <c r="B1177" s="187"/>
    </row>
    <row r="1178" spans="2:2" x14ac:dyDescent="0.2">
      <c r="B1178" s="187"/>
    </row>
    <row r="1179" spans="2:2" x14ac:dyDescent="0.2">
      <c r="B1179" s="187"/>
    </row>
    <row r="1180" spans="2:2" x14ac:dyDescent="0.2">
      <c r="B1180" s="187"/>
    </row>
    <row r="1181" spans="2:2" x14ac:dyDescent="0.2">
      <c r="B1181" s="187"/>
    </row>
    <row r="1182" spans="2:2" x14ac:dyDescent="0.2">
      <c r="B1182" s="187"/>
    </row>
    <row r="1183" spans="2:2" x14ac:dyDescent="0.2">
      <c r="B1183" s="187"/>
    </row>
    <row r="1184" spans="2:2" x14ac:dyDescent="0.2">
      <c r="B1184" s="187"/>
    </row>
    <row r="1185" spans="2:2" x14ac:dyDescent="0.2">
      <c r="B1185" s="187"/>
    </row>
    <row r="1186" spans="2:2" x14ac:dyDescent="0.2">
      <c r="B1186" s="187"/>
    </row>
    <row r="1187" spans="2:2" x14ac:dyDescent="0.2">
      <c r="B1187" s="187"/>
    </row>
    <row r="1188" spans="2:2" x14ac:dyDescent="0.2">
      <c r="B1188" s="187"/>
    </row>
    <row r="1189" spans="2:2" x14ac:dyDescent="0.2">
      <c r="B1189" s="187"/>
    </row>
    <row r="1190" spans="2:2" x14ac:dyDescent="0.2">
      <c r="B1190" s="187"/>
    </row>
    <row r="1191" spans="2:2" x14ac:dyDescent="0.2">
      <c r="B1191" s="187"/>
    </row>
    <row r="1192" spans="2:2" x14ac:dyDescent="0.2">
      <c r="B1192" s="187"/>
    </row>
    <row r="1193" spans="2:2" x14ac:dyDescent="0.2">
      <c r="B1193" s="187"/>
    </row>
    <row r="1194" spans="2:2" x14ac:dyDescent="0.2">
      <c r="B1194" s="187"/>
    </row>
    <row r="1195" spans="2:2" x14ac:dyDescent="0.2">
      <c r="B1195" s="187"/>
    </row>
    <row r="1196" spans="2:2" x14ac:dyDescent="0.2">
      <c r="B1196" s="187"/>
    </row>
    <row r="1197" spans="2:2" x14ac:dyDescent="0.2">
      <c r="B1197" s="187"/>
    </row>
    <row r="1198" spans="2:2" x14ac:dyDescent="0.2">
      <c r="B1198" s="187"/>
    </row>
    <row r="1199" spans="2:2" x14ac:dyDescent="0.2">
      <c r="B1199" s="187"/>
    </row>
    <row r="1200" spans="2:2" x14ac:dyDescent="0.2">
      <c r="B1200" s="187"/>
    </row>
    <row r="1201" spans="2:2" x14ac:dyDescent="0.2">
      <c r="B1201" s="187"/>
    </row>
    <row r="1202" spans="2:2" x14ac:dyDescent="0.2">
      <c r="B1202" s="187"/>
    </row>
    <row r="1203" spans="2:2" x14ac:dyDescent="0.2">
      <c r="B1203" s="187"/>
    </row>
    <row r="1204" spans="2:2" x14ac:dyDescent="0.2">
      <c r="B1204" s="187"/>
    </row>
    <row r="1205" spans="2:2" x14ac:dyDescent="0.2">
      <c r="B1205" s="187"/>
    </row>
    <row r="1206" spans="2:2" x14ac:dyDescent="0.2">
      <c r="B1206" s="187"/>
    </row>
    <row r="1207" spans="2:2" x14ac:dyDescent="0.2">
      <c r="B1207" s="187"/>
    </row>
    <row r="1208" spans="2:2" x14ac:dyDescent="0.2">
      <c r="B1208" s="187"/>
    </row>
    <row r="1209" spans="2:2" x14ac:dyDescent="0.2">
      <c r="B1209" s="187"/>
    </row>
    <row r="1210" spans="2:2" x14ac:dyDescent="0.2">
      <c r="B1210" s="187"/>
    </row>
    <row r="1211" spans="2:2" x14ac:dyDescent="0.2">
      <c r="B1211" s="187"/>
    </row>
    <row r="1212" spans="2:2" x14ac:dyDescent="0.2">
      <c r="B1212" s="187"/>
    </row>
    <row r="1213" spans="2:2" x14ac:dyDescent="0.2">
      <c r="B1213" s="187"/>
    </row>
    <row r="1214" spans="2:2" x14ac:dyDescent="0.2">
      <c r="B1214" s="187"/>
    </row>
    <row r="1215" spans="2:2" x14ac:dyDescent="0.2">
      <c r="B1215" s="187"/>
    </row>
    <row r="1216" spans="2:2" x14ac:dyDescent="0.2">
      <c r="B1216" s="187"/>
    </row>
    <row r="1217" spans="2:2" x14ac:dyDescent="0.2">
      <c r="B1217" s="187"/>
    </row>
    <row r="1218" spans="2:2" x14ac:dyDescent="0.2">
      <c r="B1218" s="187"/>
    </row>
    <row r="1219" spans="2:2" x14ac:dyDescent="0.2">
      <c r="B1219" s="187"/>
    </row>
    <row r="1220" spans="2:2" x14ac:dyDescent="0.2">
      <c r="B1220" s="187"/>
    </row>
    <row r="1221" spans="2:2" x14ac:dyDescent="0.2">
      <c r="B1221" s="187"/>
    </row>
    <row r="1222" spans="2:2" x14ac:dyDescent="0.2">
      <c r="B1222" s="187"/>
    </row>
    <row r="1223" spans="2:2" x14ac:dyDescent="0.2">
      <c r="B1223" s="187"/>
    </row>
    <row r="1224" spans="2:2" x14ac:dyDescent="0.2">
      <c r="B1224" s="187"/>
    </row>
    <row r="1225" spans="2:2" x14ac:dyDescent="0.2">
      <c r="B1225" s="187"/>
    </row>
    <row r="1226" spans="2:2" x14ac:dyDescent="0.2">
      <c r="B1226" s="187"/>
    </row>
    <row r="1227" spans="2:2" x14ac:dyDescent="0.2">
      <c r="B1227" s="187"/>
    </row>
    <row r="1228" spans="2:2" x14ac:dyDescent="0.2">
      <c r="B1228" s="187"/>
    </row>
    <row r="1229" spans="2:2" x14ac:dyDescent="0.2">
      <c r="B1229" s="187"/>
    </row>
    <row r="1230" spans="2:2" x14ac:dyDescent="0.2">
      <c r="B1230" s="187"/>
    </row>
    <row r="1231" spans="2:2" x14ac:dyDescent="0.2">
      <c r="B1231" s="187"/>
    </row>
    <row r="1232" spans="2:2" x14ac:dyDescent="0.2">
      <c r="B1232" s="187"/>
    </row>
    <row r="1233" spans="2:2" x14ac:dyDescent="0.2">
      <c r="B1233" s="187"/>
    </row>
    <row r="1234" spans="2:2" x14ac:dyDescent="0.2">
      <c r="B1234" s="187"/>
    </row>
    <row r="1235" spans="2:2" x14ac:dyDescent="0.2">
      <c r="B1235" s="187"/>
    </row>
    <row r="1236" spans="2:2" x14ac:dyDescent="0.2">
      <c r="B1236" s="187"/>
    </row>
    <row r="1237" spans="2:2" x14ac:dyDescent="0.2">
      <c r="B1237" s="187"/>
    </row>
    <row r="1238" spans="2:2" x14ac:dyDescent="0.2">
      <c r="B1238" s="187"/>
    </row>
    <row r="1239" spans="2:2" x14ac:dyDescent="0.2">
      <c r="B1239" s="187"/>
    </row>
    <row r="1240" spans="2:2" x14ac:dyDescent="0.2">
      <c r="B1240" s="187"/>
    </row>
    <row r="1241" spans="2:2" x14ac:dyDescent="0.2">
      <c r="B1241" s="187"/>
    </row>
    <row r="1242" spans="2:2" x14ac:dyDescent="0.2">
      <c r="B1242" s="187"/>
    </row>
    <row r="1243" spans="2:2" x14ac:dyDescent="0.2">
      <c r="B1243" s="187"/>
    </row>
    <row r="1244" spans="2:2" x14ac:dyDescent="0.2">
      <c r="B1244" s="187"/>
    </row>
    <row r="1245" spans="2:2" x14ac:dyDescent="0.2">
      <c r="B1245" s="187"/>
    </row>
    <row r="1246" spans="2:2" x14ac:dyDescent="0.2">
      <c r="B1246" s="187"/>
    </row>
    <row r="1247" spans="2:2" x14ac:dyDescent="0.2">
      <c r="B1247" s="187"/>
    </row>
    <row r="1248" spans="2:2" x14ac:dyDescent="0.2">
      <c r="B1248" s="187"/>
    </row>
    <row r="1249" spans="2:2" x14ac:dyDescent="0.2">
      <c r="B1249" s="187"/>
    </row>
    <row r="1250" spans="2:2" x14ac:dyDescent="0.2">
      <c r="B1250" s="187"/>
    </row>
    <row r="1251" spans="2:2" x14ac:dyDescent="0.2">
      <c r="B1251" s="187"/>
    </row>
    <row r="1252" spans="2:2" x14ac:dyDescent="0.2">
      <c r="B1252" s="187"/>
    </row>
    <row r="1253" spans="2:2" x14ac:dyDescent="0.2">
      <c r="B1253" s="187"/>
    </row>
    <row r="1254" spans="2:2" x14ac:dyDescent="0.2">
      <c r="B1254" s="187"/>
    </row>
    <row r="1255" spans="2:2" x14ac:dyDescent="0.2">
      <c r="B1255" s="187"/>
    </row>
    <row r="1256" spans="2:2" x14ac:dyDescent="0.2">
      <c r="B1256" s="187"/>
    </row>
    <row r="1257" spans="2:2" x14ac:dyDescent="0.2">
      <c r="B1257" s="187"/>
    </row>
    <row r="1258" spans="2:2" x14ac:dyDescent="0.2">
      <c r="B1258" s="187"/>
    </row>
    <row r="1259" spans="2:2" x14ac:dyDescent="0.2">
      <c r="B1259" s="187"/>
    </row>
    <row r="1260" spans="2:2" x14ac:dyDescent="0.2">
      <c r="B1260" s="187"/>
    </row>
    <row r="1261" spans="2:2" x14ac:dyDescent="0.2">
      <c r="B1261" s="187"/>
    </row>
    <row r="1262" spans="2:2" x14ac:dyDescent="0.2">
      <c r="B1262" s="187"/>
    </row>
    <row r="1263" spans="2:2" x14ac:dyDescent="0.2">
      <c r="B1263" s="187"/>
    </row>
    <row r="1264" spans="2:2" x14ac:dyDescent="0.2">
      <c r="B1264" s="187"/>
    </row>
    <row r="1265" spans="2:2" x14ac:dyDescent="0.2">
      <c r="B1265" s="187"/>
    </row>
    <row r="1266" spans="2:2" x14ac:dyDescent="0.2">
      <c r="B1266" s="187"/>
    </row>
    <row r="1267" spans="2:2" x14ac:dyDescent="0.2">
      <c r="B1267" s="187"/>
    </row>
    <row r="1268" spans="2:2" x14ac:dyDescent="0.2">
      <c r="B1268" s="187"/>
    </row>
    <row r="1269" spans="2:2" x14ac:dyDescent="0.2">
      <c r="B1269" s="187"/>
    </row>
    <row r="1270" spans="2:2" x14ac:dyDescent="0.2">
      <c r="B1270" s="187"/>
    </row>
    <row r="1271" spans="2:2" x14ac:dyDescent="0.2">
      <c r="B1271" s="187"/>
    </row>
    <row r="1272" spans="2:2" x14ac:dyDescent="0.2">
      <c r="B1272" s="187"/>
    </row>
    <row r="1273" spans="2:2" x14ac:dyDescent="0.2">
      <c r="B1273" s="187"/>
    </row>
    <row r="1274" spans="2:2" x14ac:dyDescent="0.2">
      <c r="B1274" s="187"/>
    </row>
    <row r="1275" spans="2:2" x14ac:dyDescent="0.2">
      <c r="B1275" s="187"/>
    </row>
    <row r="1276" spans="2:2" x14ac:dyDescent="0.2">
      <c r="B1276" s="187"/>
    </row>
    <row r="1277" spans="2:2" x14ac:dyDescent="0.2">
      <c r="B1277" s="187"/>
    </row>
    <row r="1278" spans="2:2" x14ac:dyDescent="0.2">
      <c r="B1278" s="187"/>
    </row>
    <row r="1279" spans="2:2" x14ac:dyDescent="0.2">
      <c r="B1279" s="187"/>
    </row>
    <row r="1280" spans="2:2" x14ac:dyDescent="0.2">
      <c r="B1280" s="187"/>
    </row>
    <row r="1281" spans="2:2" x14ac:dyDescent="0.2">
      <c r="B1281" s="187"/>
    </row>
    <row r="1282" spans="2:2" x14ac:dyDescent="0.2">
      <c r="B1282" s="187"/>
    </row>
    <row r="1283" spans="2:2" x14ac:dyDescent="0.2">
      <c r="B1283" s="187"/>
    </row>
    <row r="1284" spans="2:2" x14ac:dyDescent="0.2">
      <c r="B1284" s="187"/>
    </row>
    <row r="1285" spans="2:2" x14ac:dyDescent="0.2">
      <c r="B1285" s="187"/>
    </row>
    <row r="1286" spans="2:2" x14ac:dyDescent="0.2">
      <c r="B1286" s="187"/>
    </row>
    <row r="1287" spans="2:2" x14ac:dyDescent="0.2">
      <c r="B1287" s="187"/>
    </row>
    <row r="1288" spans="2:2" x14ac:dyDescent="0.2">
      <c r="B1288" s="187"/>
    </row>
    <row r="1289" spans="2:2" x14ac:dyDescent="0.2">
      <c r="B1289" s="187"/>
    </row>
    <row r="1290" spans="2:2" x14ac:dyDescent="0.2">
      <c r="B1290" s="187"/>
    </row>
    <row r="1291" spans="2:2" x14ac:dyDescent="0.2">
      <c r="B1291" s="187"/>
    </row>
    <row r="1292" spans="2:2" x14ac:dyDescent="0.2">
      <c r="B1292" s="187"/>
    </row>
    <row r="1293" spans="2:2" x14ac:dyDescent="0.2">
      <c r="B1293" s="187"/>
    </row>
    <row r="1294" spans="2:2" x14ac:dyDescent="0.2">
      <c r="B1294" s="187"/>
    </row>
    <row r="1295" spans="2:2" x14ac:dyDescent="0.2">
      <c r="B1295" s="187"/>
    </row>
    <row r="1296" spans="2:2" x14ac:dyDescent="0.2">
      <c r="B1296" s="187"/>
    </row>
    <row r="1297" spans="2:2" x14ac:dyDescent="0.2">
      <c r="B1297" s="187"/>
    </row>
    <row r="1298" spans="2:2" x14ac:dyDescent="0.2">
      <c r="B1298" s="187"/>
    </row>
    <row r="1299" spans="2:2" x14ac:dyDescent="0.2">
      <c r="B1299" s="187"/>
    </row>
    <row r="1300" spans="2:2" x14ac:dyDescent="0.2">
      <c r="B1300" s="187"/>
    </row>
    <row r="1301" spans="2:2" x14ac:dyDescent="0.2">
      <c r="B1301" s="187"/>
    </row>
    <row r="1302" spans="2:2" x14ac:dyDescent="0.2">
      <c r="B1302" s="187"/>
    </row>
    <row r="1303" spans="2:2" x14ac:dyDescent="0.2">
      <c r="B1303" s="187"/>
    </row>
    <row r="1304" spans="2:2" x14ac:dyDescent="0.2">
      <c r="B1304" s="187"/>
    </row>
    <row r="1305" spans="2:2" x14ac:dyDescent="0.2">
      <c r="B1305" s="187"/>
    </row>
    <row r="1306" spans="2:2" x14ac:dyDescent="0.2">
      <c r="B1306" s="187"/>
    </row>
    <row r="1307" spans="2:2" x14ac:dyDescent="0.2">
      <c r="B1307" s="187"/>
    </row>
    <row r="1308" spans="2:2" x14ac:dyDescent="0.2">
      <c r="B1308" s="187"/>
    </row>
    <row r="1309" spans="2:2" x14ac:dyDescent="0.2">
      <c r="B1309" s="187"/>
    </row>
    <row r="1310" spans="2:2" x14ac:dyDescent="0.2">
      <c r="B1310" s="187"/>
    </row>
    <row r="1311" spans="2:2" x14ac:dyDescent="0.2">
      <c r="B1311" s="187"/>
    </row>
    <row r="1312" spans="2:2" x14ac:dyDescent="0.2">
      <c r="B1312" s="187"/>
    </row>
    <row r="1313" spans="2:2" x14ac:dyDescent="0.2">
      <c r="B1313" s="187"/>
    </row>
    <row r="1314" spans="2:2" x14ac:dyDescent="0.2">
      <c r="B1314" s="187"/>
    </row>
    <row r="1315" spans="2:2" x14ac:dyDescent="0.2">
      <c r="B1315" s="187"/>
    </row>
    <row r="1316" spans="2:2" x14ac:dyDescent="0.2">
      <c r="B1316" s="187"/>
    </row>
    <row r="1317" spans="2:2" x14ac:dyDescent="0.2">
      <c r="B1317" s="187"/>
    </row>
    <row r="1318" spans="2:2" x14ac:dyDescent="0.2">
      <c r="B1318" s="187"/>
    </row>
    <row r="1319" spans="2:2" x14ac:dyDescent="0.2">
      <c r="B1319" s="187"/>
    </row>
    <row r="1320" spans="2:2" x14ac:dyDescent="0.2">
      <c r="B1320" s="187"/>
    </row>
    <row r="1321" spans="2:2" x14ac:dyDescent="0.2">
      <c r="B1321" s="187"/>
    </row>
    <row r="1322" spans="2:2" x14ac:dyDescent="0.2">
      <c r="B1322" s="187"/>
    </row>
    <row r="1323" spans="2:2" x14ac:dyDescent="0.2">
      <c r="B1323" s="187"/>
    </row>
    <row r="1324" spans="2:2" x14ac:dyDescent="0.2">
      <c r="B1324" s="187"/>
    </row>
    <row r="1325" spans="2:2" x14ac:dyDescent="0.2">
      <c r="B1325" s="187"/>
    </row>
    <row r="1326" spans="2:2" x14ac:dyDescent="0.2">
      <c r="B1326" s="187"/>
    </row>
    <row r="1327" spans="2:2" x14ac:dyDescent="0.2">
      <c r="B1327" s="187"/>
    </row>
    <row r="1328" spans="2:2" x14ac:dyDescent="0.2">
      <c r="B1328" s="187"/>
    </row>
    <row r="1329" spans="2:2" x14ac:dyDescent="0.2">
      <c r="B1329" s="187"/>
    </row>
    <row r="1330" spans="2:2" x14ac:dyDescent="0.2">
      <c r="B1330" s="187"/>
    </row>
    <row r="1331" spans="2:2" x14ac:dyDescent="0.2">
      <c r="B1331" s="187"/>
    </row>
    <row r="1332" spans="2:2" x14ac:dyDescent="0.2">
      <c r="B1332" s="187"/>
    </row>
    <row r="1333" spans="2:2" x14ac:dyDescent="0.2">
      <c r="B1333" s="187"/>
    </row>
    <row r="1334" spans="2:2" x14ac:dyDescent="0.2">
      <c r="B1334" s="187"/>
    </row>
    <row r="1335" spans="2:2" x14ac:dyDescent="0.2">
      <c r="B1335" s="187"/>
    </row>
    <row r="1336" spans="2:2" x14ac:dyDescent="0.2">
      <c r="B1336" s="187"/>
    </row>
    <row r="1337" spans="2:2" x14ac:dyDescent="0.2">
      <c r="B1337" s="187"/>
    </row>
    <row r="1338" spans="2:2" x14ac:dyDescent="0.2">
      <c r="B1338" s="187"/>
    </row>
    <row r="1339" spans="2:2" x14ac:dyDescent="0.2">
      <c r="B1339" s="187"/>
    </row>
    <row r="1340" spans="2:2" x14ac:dyDescent="0.2">
      <c r="B1340" s="187"/>
    </row>
    <row r="1341" spans="2:2" x14ac:dyDescent="0.2">
      <c r="B1341" s="187"/>
    </row>
    <row r="1342" spans="2:2" x14ac:dyDescent="0.2">
      <c r="B1342" s="187"/>
    </row>
    <row r="1343" spans="2:2" x14ac:dyDescent="0.2">
      <c r="B1343" s="187"/>
    </row>
    <row r="1344" spans="2:2" x14ac:dyDescent="0.2">
      <c r="B1344" s="187"/>
    </row>
    <row r="1345" spans="2:2" x14ac:dyDescent="0.2">
      <c r="B1345" s="187"/>
    </row>
    <row r="1346" spans="2:2" x14ac:dyDescent="0.2">
      <c r="B1346" s="187"/>
    </row>
    <row r="1347" spans="2:2" x14ac:dyDescent="0.2">
      <c r="B1347" s="187"/>
    </row>
    <row r="1348" spans="2:2" x14ac:dyDescent="0.2">
      <c r="B1348" s="187"/>
    </row>
    <row r="1349" spans="2:2" x14ac:dyDescent="0.2">
      <c r="B1349" s="187"/>
    </row>
    <row r="1350" spans="2:2" x14ac:dyDescent="0.2">
      <c r="B1350" s="187"/>
    </row>
    <row r="1351" spans="2:2" x14ac:dyDescent="0.2">
      <c r="B1351" s="187"/>
    </row>
    <row r="1352" spans="2:2" x14ac:dyDescent="0.2">
      <c r="B1352" s="187"/>
    </row>
    <row r="1353" spans="2:2" x14ac:dyDescent="0.2">
      <c r="B1353" s="187"/>
    </row>
    <row r="1354" spans="2:2" x14ac:dyDescent="0.2">
      <c r="B1354" s="187"/>
    </row>
    <row r="1355" spans="2:2" x14ac:dyDescent="0.2">
      <c r="B1355" s="187"/>
    </row>
    <row r="1356" spans="2:2" x14ac:dyDescent="0.2">
      <c r="B1356" s="187"/>
    </row>
    <row r="1357" spans="2:2" x14ac:dyDescent="0.2">
      <c r="B1357" s="187"/>
    </row>
    <row r="1358" spans="2:2" x14ac:dyDescent="0.2">
      <c r="B1358" s="187"/>
    </row>
    <row r="1359" spans="2:2" x14ac:dyDescent="0.2">
      <c r="B1359" s="187"/>
    </row>
    <row r="1360" spans="2:2" x14ac:dyDescent="0.2">
      <c r="B1360" s="187"/>
    </row>
    <row r="1361" spans="2:2" x14ac:dyDescent="0.2">
      <c r="B1361" s="187"/>
    </row>
    <row r="1362" spans="2:2" x14ac:dyDescent="0.2">
      <c r="B1362" s="187"/>
    </row>
    <row r="1363" spans="2:2" x14ac:dyDescent="0.2">
      <c r="B1363" s="187"/>
    </row>
    <row r="1364" spans="2:2" x14ac:dyDescent="0.2">
      <c r="B1364" s="187"/>
    </row>
    <row r="1365" spans="2:2" x14ac:dyDescent="0.2">
      <c r="B1365" s="187"/>
    </row>
    <row r="1366" spans="2:2" x14ac:dyDescent="0.2">
      <c r="B1366" s="187"/>
    </row>
    <row r="1367" spans="2:2" x14ac:dyDescent="0.2">
      <c r="B1367" s="187"/>
    </row>
    <row r="1368" spans="2:2" x14ac:dyDescent="0.2">
      <c r="B1368" s="187"/>
    </row>
    <row r="1369" spans="2:2" x14ac:dyDescent="0.2">
      <c r="B1369" s="187"/>
    </row>
    <row r="1370" spans="2:2" x14ac:dyDescent="0.2">
      <c r="B1370" s="187"/>
    </row>
    <row r="1371" spans="2:2" x14ac:dyDescent="0.2">
      <c r="B1371" s="187"/>
    </row>
    <row r="1372" spans="2:2" x14ac:dyDescent="0.2">
      <c r="B1372" s="187"/>
    </row>
    <row r="1373" spans="2:2" x14ac:dyDescent="0.2">
      <c r="B1373" s="187"/>
    </row>
    <row r="1374" spans="2:2" x14ac:dyDescent="0.2">
      <c r="B1374" s="187"/>
    </row>
    <row r="1375" spans="2:2" x14ac:dyDescent="0.2">
      <c r="B1375" s="187"/>
    </row>
    <row r="1376" spans="2:2" x14ac:dyDescent="0.2">
      <c r="B1376" s="187"/>
    </row>
    <row r="1377" spans="2:2" x14ac:dyDescent="0.2">
      <c r="B1377" s="187"/>
    </row>
    <row r="1378" spans="2:2" x14ac:dyDescent="0.2">
      <c r="B1378" s="187"/>
    </row>
    <row r="1379" spans="2:2" x14ac:dyDescent="0.2">
      <c r="B1379" s="187"/>
    </row>
    <row r="1380" spans="2:2" x14ac:dyDescent="0.2">
      <c r="B1380" s="187"/>
    </row>
    <row r="1381" spans="2:2" x14ac:dyDescent="0.2">
      <c r="B1381" s="187"/>
    </row>
    <row r="1382" spans="2:2" x14ac:dyDescent="0.2">
      <c r="B1382" s="187"/>
    </row>
    <row r="1383" spans="2:2" x14ac:dyDescent="0.2">
      <c r="B1383" s="187"/>
    </row>
    <row r="1384" spans="2:2" x14ac:dyDescent="0.2">
      <c r="B1384" s="187"/>
    </row>
    <row r="1385" spans="2:2" x14ac:dyDescent="0.2">
      <c r="B1385" s="187"/>
    </row>
    <row r="1386" spans="2:2" x14ac:dyDescent="0.2">
      <c r="B1386" s="187"/>
    </row>
    <row r="1387" spans="2:2" x14ac:dyDescent="0.2">
      <c r="B1387" s="187"/>
    </row>
    <row r="1388" spans="2:2" x14ac:dyDescent="0.2">
      <c r="B1388" s="187"/>
    </row>
    <row r="1389" spans="2:2" x14ac:dyDescent="0.2">
      <c r="B1389" s="187"/>
    </row>
    <row r="1390" spans="2:2" x14ac:dyDescent="0.2">
      <c r="B1390" s="187"/>
    </row>
    <row r="1391" spans="2:2" x14ac:dyDescent="0.2">
      <c r="B1391" s="187"/>
    </row>
    <row r="1392" spans="2:2" x14ac:dyDescent="0.2">
      <c r="B1392" s="187"/>
    </row>
    <row r="1393" spans="2:2" x14ac:dyDescent="0.2">
      <c r="B1393" s="187"/>
    </row>
    <row r="1394" spans="2:2" x14ac:dyDescent="0.2">
      <c r="B1394" s="187"/>
    </row>
    <row r="1395" spans="2:2" x14ac:dyDescent="0.2">
      <c r="B1395" s="187"/>
    </row>
    <row r="1396" spans="2:2" x14ac:dyDescent="0.2">
      <c r="B1396" s="187"/>
    </row>
    <row r="1397" spans="2:2" x14ac:dyDescent="0.2">
      <c r="B1397" s="187"/>
    </row>
    <row r="1398" spans="2:2" x14ac:dyDescent="0.2">
      <c r="B1398" s="187"/>
    </row>
    <row r="1399" spans="2:2" x14ac:dyDescent="0.2">
      <c r="B1399" s="187"/>
    </row>
    <row r="1400" spans="2:2" x14ac:dyDescent="0.2">
      <c r="B1400" s="187"/>
    </row>
    <row r="1401" spans="2:2" x14ac:dyDescent="0.2">
      <c r="B1401" s="187"/>
    </row>
    <row r="1402" spans="2:2" x14ac:dyDescent="0.2">
      <c r="B1402" s="187"/>
    </row>
    <row r="1403" spans="2:2" x14ac:dyDescent="0.2">
      <c r="B1403" s="187"/>
    </row>
    <row r="1404" spans="2:2" x14ac:dyDescent="0.2">
      <c r="B1404" s="187"/>
    </row>
    <row r="1405" spans="2:2" x14ac:dyDescent="0.2">
      <c r="B1405" s="187"/>
    </row>
    <row r="1406" spans="2:2" x14ac:dyDescent="0.2">
      <c r="B1406" s="187"/>
    </row>
    <row r="1407" spans="2:2" x14ac:dyDescent="0.2">
      <c r="B1407" s="187"/>
    </row>
    <row r="1408" spans="2:2" x14ac:dyDescent="0.2">
      <c r="B1408" s="187"/>
    </row>
    <row r="1409" spans="2:2" x14ac:dyDescent="0.2">
      <c r="B1409" s="187"/>
    </row>
    <row r="1410" spans="2:2" x14ac:dyDescent="0.2">
      <c r="B1410" s="187"/>
    </row>
    <row r="1411" spans="2:2" x14ac:dyDescent="0.2">
      <c r="B1411" s="187"/>
    </row>
    <row r="1412" spans="2:2" x14ac:dyDescent="0.2">
      <c r="B1412" s="187"/>
    </row>
    <row r="1413" spans="2:2" x14ac:dyDescent="0.2">
      <c r="B1413" s="187"/>
    </row>
    <row r="1414" spans="2:2" x14ac:dyDescent="0.2">
      <c r="B1414" s="187"/>
    </row>
    <row r="1415" spans="2:2" x14ac:dyDescent="0.2">
      <c r="B1415" s="187"/>
    </row>
    <row r="1416" spans="2:2" x14ac:dyDescent="0.2">
      <c r="B1416" s="187"/>
    </row>
    <row r="1417" spans="2:2" x14ac:dyDescent="0.2">
      <c r="B1417" s="187"/>
    </row>
    <row r="1418" spans="2:2" x14ac:dyDescent="0.2">
      <c r="B1418" s="187"/>
    </row>
    <row r="1419" spans="2:2" x14ac:dyDescent="0.2">
      <c r="B1419" s="187"/>
    </row>
    <row r="1420" spans="2:2" x14ac:dyDescent="0.2">
      <c r="B1420" s="187"/>
    </row>
    <row r="1421" spans="2:2" x14ac:dyDescent="0.2">
      <c r="B1421" s="187"/>
    </row>
    <row r="1422" spans="2:2" x14ac:dyDescent="0.2">
      <c r="B1422" s="187"/>
    </row>
    <row r="1423" spans="2:2" x14ac:dyDescent="0.2">
      <c r="B1423" s="187"/>
    </row>
    <row r="1424" spans="2:2" x14ac:dyDescent="0.2">
      <c r="B1424" s="187"/>
    </row>
    <row r="1425" spans="2:2" x14ac:dyDescent="0.2">
      <c r="B1425" s="187"/>
    </row>
    <row r="1426" spans="2:2" x14ac:dyDescent="0.2">
      <c r="B1426" s="187"/>
    </row>
    <row r="1427" spans="2:2" x14ac:dyDescent="0.2">
      <c r="B1427" s="187"/>
    </row>
    <row r="1428" spans="2:2" x14ac:dyDescent="0.2">
      <c r="B1428" s="187"/>
    </row>
    <row r="1429" spans="2:2" x14ac:dyDescent="0.2">
      <c r="B1429" s="187"/>
    </row>
    <row r="1430" spans="2:2" x14ac:dyDescent="0.2">
      <c r="B1430" s="187"/>
    </row>
    <row r="1431" spans="2:2" x14ac:dyDescent="0.2">
      <c r="B1431" s="187"/>
    </row>
    <row r="1432" spans="2:2" x14ac:dyDescent="0.2">
      <c r="B1432" s="187"/>
    </row>
    <row r="1433" spans="2:2" x14ac:dyDescent="0.2">
      <c r="B1433" s="187"/>
    </row>
    <row r="1434" spans="2:2" x14ac:dyDescent="0.2">
      <c r="B1434" s="187"/>
    </row>
    <row r="1435" spans="2:2" x14ac:dyDescent="0.2">
      <c r="B1435" s="187"/>
    </row>
    <row r="1436" spans="2:2" x14ac:dyDescent="0.2">
      <c r="B1436" s="187"/>
    </row>
    <row r="1437" spans="2:2" x14ac:dyDescent="0.2">
      <c r="B1437" s="187"/>
    </row>
    <row r="1438" spans="2:2" x14ac:dyDescent="0.2">
      <c r="B1438" s="187"/>
    </row>
    <row r="1439" spans="2:2" x14ac:dyDescent="0.2">
      <c r="B1439" s="187"/>
    </row>
    <row r="1440" spans="2:2" x14ac:dyDescent="0.2">
      <c r="B1440" s="187"/>
    </row>
    <row r="1441" spans="2:2" x14ac:dyDescent="0.2">
      <c r="B1441" s="187"/>
    </row>
    <row r="1442" spans="2:2" x14ac:dyDescent="0.2">
      <c r="B1442" s="187"/>
    </row>
    <row r="1443" spans="2:2" x14ac:dyDescent="0.2">
      <c r="B1443" s="187"/>
    </row>
    <row r="1444" spans="2:2" x14ac:dyDescent="0.2">
      <c r="B1444" s="187"/>
    </row>
    <row r="1445" spans="2:2" x14ac:dyDescent="0.2">
      <c r="B1445" s="187"/>
    </row>
    <row r="1446" spans="2:2" x14ac:dyDescent="0.2">
      <c r="B1446" s="187"/>
    </row>
    <row r="1447" spans="2:2" x14ac:dyDescent="0.2">
      <c r="B1447" s="187"/>
    </row>
    <row r="1448" spans="2:2" x14ac:dyDescent="0.2">
      <c r="B1448" s="187"/>
    </row>
    <row r="1449" spans="2:2" x14ac:dyDescent="0.2">
      <c r="B1449" s="187"/>
    </row>
    <row r="1450" spans="2:2" x14ac:dyDescent="0.2">
      <c r="B1450" s="187"/>
    </row>
    <row r="1451" spans="2:2" x14ac:dyDescent="0.2">
      <c r="B1451" s="187"/>
    </row>
    <row r="1452" spans="2:2" x14ac:dyDescent="0.2">
      <c r="B1452" s="187"/>
    </row>
    <row r="1453" spans="2:2" x14ac:dyDescent="0.2">
      <c r="B1453" s="187"/>
    </row>
    <row r="1454" spans="2:2" x14ac:dyDescent="0.2">
      <c r="B1454" s="187"/>
    </row>
    <row r="1455" spans="2:2" x14ac:dyDescent="0.2">
      <c r="B1455" s="187"/>
    </row>
    <row r="1456" spans="2:2" x14ac:dyDescent="0.2">
      <c r="B1456" s="187"/>
    </row>
    <row r="1457" spans="2:2" x14ac:dyDescent="0.2">
      <c r="B1457" s="187"/>
    </row>
    <row r="1458" spans="2:2" x14ac:dyDescent="0.2">
      <c r="B1458" s="187"/>
    </row>
    <row r="1459" spans="2:2" x14ac:dyDescent="0.2">
      <c r="B1459" s="187"/>
    </row>
    <row r="1460" spans="2:2" x14ac:dyDescent="0.2">
      <c r="B1460" s="187"/>
    </row>
    <row r="1461" spans="2:2" x14ac:dyDescent="0.2">
      <c r="B1461" s="187"/>
    </row>
    <row r="1462" spans="2:2" x14ac:dyDescent="0.2">
      <c r="B1462" s="187"/>
    </row>
    <row r="1463" spans="2:2" x14ac:dyDescent="0.2">
      <c r="B1463" s="187"/>
    </row>
    <row r="1464" spans="2:2" x14ac:dyDescent="0.2">
      <c r="B1464" s="187"/>
    </row>
    <row r="1465" spans="2:2" x14ac:dyDescent="0.2">
      <c r="B1465" s="187"/>
    </row>
    <row r="1466" spans="2:2" x14ac:dyDescent="0.2">
      <c r="B1466" s="187"/>
    </row>
    <row r="1467" spans="2:2" x14ac:dyDescent="0.2">
      <c r="B1467" s="187"/>
    </row>
    <row r="1468" spans="2:2" x14ac:dyDescent="0.2">
      <c r="B1468" s="187"/>
    </row>
    <row r="1469" spans="2:2" x14ac:dyDescent="0.2">
      <c r="B1469" s="187"/>
    </row>
    <row r="1470" spans="2:2" x14ac:dyDescent="0.2">
      <c r="B1470" s="187"/>
    </row>
    <row r="1471" spans="2:2" x14ac:dyDescent="0.2">
      <c r="B1471" s="187"/>
    </row>
    <row r="1472" spans="2:2" x14ac:dyDescent="0.2">
      <c r="B1472" s="187"/>
    </row>
    <row r="1473" spans="2:2" x14ac:dyDescent="0.2">
      <c r="B1473" s="187"/>
    </row>
    <row r="1474" spans="2:2" x14ac:dyDescent="0.2">
      <c r="B1474" s="187"/>
    </row>
    <row r="1475" spans="2:2" x14ac:dyDescent="0.2">
      <c r="B1475" s="187"/>
    </row>
    <row r="1476" spans="2:2" x14ac:dyDescent="0.2">
      <c r="B1476" s="187"/>
    </row>
    <row r="1477" spans="2:2" x14ac:dyDescent="0.2">
      <c r="B1477" s="187"/>
    </row>
    <row r="1478" spans="2:2" x14ac:dyDescent="0.2">
      <c r="B1478" s="187"/>
    </row>
    <row r="1479" spans="2:2" x14ac:dyDescent="0.2">
      <c r="B1479" s="187"/>
    </row>
    <row r="1480" spans="2:2" x14ac:dyDescent="0.2">
      <c r="B1480" s="187"/>
    </row>
    <row r="1481" spans="2:2" x14ac:dyDescent="0.2">
      <c r="B1481" s="187"/>
    </row>
    <row r="1482" spans="2:2" x14ac:dyDescent="0.2">
      <c r="B1482" s="187"/>
    </row>
    <row r="1483" spans="2:2" x14ac:dyDescent="0.2">
      <c r="B1483" s="187"/>
    </row>
    <row r="1484" spans="2:2" x14ac:dyDescent="0.2">
      <c r="B1484" s="187"/>
    </row>
    <row r="1485" spans="2:2" x14ac:dyDescent="0.2">
      <c r="B1485" s="187"/>
    </row>
    <row r="1486" spans="2:2" x14ac:dyDescent="0.2">
      <c r="B1486" s="187"/>
    </row>
    <row r="1487" spans="2:2" x14ac:dyDescent="0.2">
      <c r="B1487" s="187"/>
    </row>
    <row r="1488" spans="2:2" x14ac:dyDescent="0.2">
      <c r="B1488" s="187"/>
    </row>
    <row r="1489" spans="2:2" x14ac:dyDescent="0.2">
      <c r="B1489" s="187"/>
    </row>
    <row r="1490" spans="2:2" x14ac:dyDescent="0.2">
      <c r="B1490" s="187"/>
    </row>
    <row r="1491" spans="2:2" x14ac:dyDescent="0.2">
      <c r="B1491" s="187"/>
    </row>
    <row r="1492" spans="2:2" x14ac:dyDescent="0.2">
      <c r="B1492" s="187"/>
    </row>
    <row r="1493" spans="2:2" x14ac:dyDescent="0.2">
      <c r="B1493" s="187"/>
    </row>
    <row r="1494" spans="2:2" x14ac:dyDescent="0.2">
      <c r="B1494" s="187"/>
    </row>
    <row r="1495" spans="2:2" x14ac:dyDescent="0.2">
      <c r="B1495" s="187"/>
    </row>
    <row r="1496" spans="2:2" x14ac:dyDescent="0.2">
      <c r="B1496" s="187"/>
    </row>
    <row r="1497" spans="2:2" x14ac:dyDescent="0.2">
      <c r="B1497" s="187"/>
    </row>
    <row r="1498" spans="2:2" x14ac:dyDescent="0.2">
      <c r="B1498" s="187"/>
    </row>
    <row r="1499" spans="2:2" x14ac:dyDescent="0.2">
      <c r="B1499" s="187"/>
    </row>
    <row r="1500" spans="2:2" x14ac:dyDescent="0.2">
      <c r="B1500" s="187"/>
    </row>
    <row r="1501" spans="2:2" x14ac:dyDescent="0.2">
      <c r="B1501" s="187"/>
    </row>
    <row r="1502" spans="2:2" x14ac:dyDescent="0.2">
      <c r="B1502" s="187"/>
    </row>
    <row r="1503" spans="2:2" x14ac:dyDescent="0.2">
      <c r="B1503" s="187"/>
    </row>
    <row r="1504" spans="2:2" x14ac:dyDescent="0.2">
      <c r="B1504" s="187"/>
    </row>
    <row r="1505" spans="2:2" x14ac:dyDescent="0.2">
      <c r="B1505" s="187"/>
    </row>
    <row r="1506" spans="2:2" x14ac:dyDescent="0.2">
      <c r="B1506" s="187"/>
    </row>
    <row r="1507" spans="2:2" x14ac:dyDescent="0.2">
      <c r="B1507" s="187"/>
    </row>
    <row r="1508" spans="2:2" x14ac:dyDescent="0.2">
      <c r="B1508" s="187"/>
    </row>
    <row r="1509" spans="2:2" x14ac:dyDescent="0.2">
      <c r="B1509" s="187"/>
    </row>
    <row r="1510" spans="2:2" x14ac:dyDescent="0.2">
      <c r="B1510" s="187"/>
    </row>
    <row r="1511" spans="2:2" x14ac:dyDescent="0.2">
      <c r="B1511" s="187"/>
    </row>
    <row r="1512" spans="2:2" x14ac:dyDescent="0.2">
      <c r="B1512" s="187"/>
    </row>
    <row r="1513" spans="2:2" x14ac:dyDescent="0.2">
      <c r="B1513" s="187"/>
    </row>
    <row r="1514" spans="2:2" x14ac:dyDescent="0.2">
      <c r="B1514" s="187"/>
    </row>
    <row r="1515" spans="2:2" x14ac:dyDescent="0.2">
      <c r="B1515" s="187"/>
    </row>
    <row r="1516" spans="2:2" x14ac:dyDescent="0.2">
      <c r="B1516" s="187"/>
    </row>
    <row r="1517" spans="2:2" x14ac:dyDescent="0.2">
      <c r="B1517" s="187"/>
    </row>
    <row r="1518" spans="2:2" x14ac:dyDescent="0.2">
      <c r="B1518" s="187"/>
    </row>
    <row r="1519" spans="2:2" x14ac:dyDescent="0.2">
      <c r="B1519" s="187"/>
    </row>
    <row r="1520" spans="2:2" x14ac:dyDescent="0.2">
      <c r="B1520" s="187"/>
    </row>
    <row r="1521" spans="2:2" x14ac:dyDescent="0.2">
      <c r="B1521" s="187"/>
    </row>
    <row r="1522" spans="2:2" x14ac:dyDescent="0.2">
      <c r="B1522" s="187"/>
    </row>
    <row r="1523" spans="2:2" x14ac:dyDescent="0.2">
      <c r="B1523" s="187"/>
    </row>
    <row r="1524" spans="2:2" x14ac:dyDescent="0.2">
      <c r="B1524" s="187"/>
    </row>
    <row r="1525" spans="2:2" x14ac:dyDescent="0.2">
      <c r="B1525" s="187"/>
    </row>
    <row r="1526" spans="2:2" x14ac:dyDescent="0.2">
      <c r="B1526" s="187"/>
    </row>
    <row r="1527" spans="2:2" x14ac:dyDescent="0.2">
      <c r="B1527" s="187"/>
    </row>
    <row r="1528" spans="2:2" x14ac:dyDescent="0.2">
      <c r="B1528" s="187"/>
    </row>
    <row r="1529" spans="2:2" x14ac:dyDescent="0.2">
      <c r="B1529" s="187"/>
    </row>
    <row r="1530" spans="2:2" x14ac:dyDescent="0.2">
      <c r="B1530" s="187"/>
    </row>
    <row r="1531" spans="2:2" x14ac:dyDescent="0.2">
      <c r="B1531" s="187"/>
    </row>
    <row r="1532" spans="2:2" x14ac:dyDescent="0.2">
      <c r="B1532" s="187"/>
    </row>
    <row r="1533" spans="2:2" x14ac:dyDescent="0.2">
      <c r="B1533" s="187"/>
    </row>
    <row r="1534" spans="2:2" x14ac:dyDescent="0.2">
      <c r="B1534" s="187"/>
    </row>
    <row r="1535" spans="2:2" x14ac:dyDescent="0.2">
      <c r="B1535" s="187"/>
    </row>
    <row r="1536" spans="2:2" x14ac:dyDescent="0.2">
      <c r="B1536" s="187"/>
    </row>
    <row r="1537" spans="2:2" x14ac:dyDescent="0.2">
      <c r="B1537" s="187"/>
    </row>
    <row r="1538" spans="2:2" x14ac:dyDescent="0.2">
      <c r="B1538" s="187"/>
    </row>
    <row r="1539" spans="2:2" x14ac:dyDescent="0.2">
      <c r="B1539" s="187"/>
    </row>
    <row r="1540" spans="2:2" x14ac:dyDescent="0.2">
      <c r="B1540" s="187"/>
    </row>
    <row r="1541" spans="2:2" x14ac:dyDescent="0.2">
      <c r="B1541" s="187"/>
    </row>
    <row r="1542" spans="2:2" x14ac:dyDescent="0.2">
      <c r="B1542" s="187"/>
    </row>
    <row r="1543" spans="2:2" x14ac:dyDescent="0.2">
      <c r="B1543" s="187"/>
    </row>
    <row r="1544" spans="2:2" x14ac:dyDescent="0.2">
      <c r="B1544" s="187"/>
    </row>
    <row r="1545" spans="2:2" x14ac:dyDescent="0.2">
      <c r="B1545" s="187"/>
    </row>
    <row r="1546" spans="2:2" x14ac:dyDescent="0.2">
      <c r="B1546" s="187"/>
    </row>
    <row r="1547" spans="2:2" x14ac:dyDescent="0.2">
      <c r="B1547" s="187"/>
    </row>
    <row r="1548" spans="2:2" x14ac:dyDescent="0.2">
      <c r="B1548" s="187"/>
    </row>
    <row r="1549" spans="2:2" x14ac:dyDescent="0.2">
      <c r="B1549" s="187"/>
    </row>
    <row r="1550" spans="2:2" x14ac:dyDescent="0.2">
      <c r="B1550" s="187"/>
    </row>
    <row r="1551" spans="2:2" x14ac:dyDescent="0.2">
      <c r="B1551" s="187"/>
    </row>
    <row r="1552" spans="2:2" x14ac:dyDescent="0.2">
      <c r="B1552" s="187"/>
    </row>
    <row r="1553" spans="2:2" x14ac:dyDescent="0.2">
      <c r="B1553" s="187"/>
    </row>
    <row r="1554" spans="2:2" x14ac:dyDescent="0.2">
      <c r="B1554" s="187"/>
    </row>
    <row r="1555" spans="2:2" x14ac:dyDescent="0.2">
      <c r="B1555" s="187"/>
    </row>
    <row r="1556" spans="2:2" x14ac:dyDescent="0.2">
      <c r="B1556" s="187"/>
    </row>
    <row r="1557" spans="2:2" x14ac:dyDescent="0.2">
      <c r="B1557" s="187"/>
    </row>
    <row r="1558" spans="2:2" x14ac:dyDescent="0.2">
      <c r="B1558" s="187"/>
    </row>
    <row r="1559" spans="2:2" x14ac:dyDescent="0.2">
      <c r="B1559" s="187"/>
    </row>
    <row r="1560" spans="2:2" x14ac:dyDescent="0.2">
      <c r="B1560" s="187"/>
    </row>
    <row r="1561" spans="2:2" x14ac:dyDescent="0.2">
      <c r="B1561" s="187"/>
    </row>
    <row r="1562" spans="2:2" x14ac:dyDescent="0.2">
      <c r="B1562" s="187"/>
    </row>
    <row r="1563" spans="2:2" x14ac:dyDescent="0.2">
      <c r="B1563" s="187"/>
    </row>
    <row r="1564" spans="2:2" x14ac:dyDescent="0.2">
      <c r="B1564" s="187"/>
    </row>
    <row r="1565" spans="2:2" x14ac:dyDescent="0.2">
      <c r="B1565" s="187"/>
    </row>
    <row r="1566" spans="2:2" x14ac:dyDescent="0.2">
      <c r="B1566" s="187"/>
    </row>
    <row r="1567" spans="2:2" x14ac:dyDescent="0.2">
      <c r="B1567" s="187"/>
    </row>
    <row r="1568" spans="2:2" x14ac:dyDescent="0.2">
      <c r="B1568" s="187"/>
    </row>
    <row r="1569" spans="2:2" x14ac:dyDescent="0.2">
      <c r="B1569" s="187"/>
    </row>
    <row r="1570" spans="2:2" x14ac:dyDescent="0.2">
      <c r="B1570" s="187"/>
    </row>
    <row r="1571" spans="2:2" x14ac:dyDescent="0.2">
      <c r="B1571" s="187"/>
    </row>
    <row r="1572" spans="2:2" x14ac:dyDescent="0.2">
      <c r="B1572" s="187"/>
    </row>
    <row r="1573" spans="2:2" x14ac:dyDescent="0.2">
      <c r="B1573" s="187"/>
    </row>
    <row r="1574" spans="2:2" x14ac:dyDescent="0.2">
      <c r="B1574" s="187"/>
    </row>
    <row r="1575" spans="2:2" x14ac:dyDescent="0.2">
      <c r="B1575" s="187"/>
    </row>
    <row r="1576" spans="2:2" x14ac:dyDescent="0.2">
      <c r="B1576" s="187"/>
    </row>
    <row r="1577" spans="2:2" x14ac:dyDescent="0.2">
      <c r="B1577" s="187"/>
    </row>
    <row r="1578" spans="2:2" x14ac:dyDescent="0.2">
      <c r="B1578" s="187"/>
    </row>
    <row r="1579" spans="2:2" x14ac:dyDescent="0.2">
      <c r="B1579" s="187"/>
    </row>
    <row r="1580" spans="2:2" x14ac:dyDescent="0.2">
      <c r="B1580" s="187"/>
    </row>
    <row r="1581" spans="2:2" x14ac:dyDescent="0.2">
      <c r="B1581" s="187"/>
    </row>
    <row r="1582" spans="2:2" x14ac:dyDescent="0.2">
      <c r="B1582" s="187"/>
    </row>
    <row r="1583" spans="2:2" x14ac:dyDescent="0.2">
      <c r="B1583" s="187"/>
    </row>
    <row r="1584" spans="2:2" x14ac:dyDescent="0.2">
      <c r="B1584" s="187"/>
    </row>
    <row r="1585" spans="2:2" x14ac:dyDescent="0.2">
      <c r="B1585" s="187"/>
    </row>
    <row r="1586" spans="2:2" x14ac:dyDescent="0.2">
      <c r="B1586" s="187"/>
    </row>
    <row r="1587" spans="2:2" x14ac:dyDescent="0.2">
      <c r="B1587" s="187"/>
    </row>
    <row r="1588" spans="2:2" x14ac:dyDescent="0.2">
      <c r="B1588" s="187"/>
    </row>
    <row r="1589" spans="2:2" x14ac:dyDescent="0.2">
      <c r="B1589" s="187"/>
    </row>
    <row r="1590" spans="2:2" x14ac:dyDescent="0.2">
      <c r="B1590" s="187"/>
    </row>
    <row r="1591" spans="2:2" x14ac:dyDescent="0.2">
      <c r="B1591" s="187"/>
    </row>
    <row r="1592" spans="2:2" x14ac:dyDescent="0.2">
      <c r="B1592" s="187"/>
    </row>
    <row r="1593" spans="2:2" x14ac:dyDescent="0.2">
      <c r="B1593" s="187"/>
    </row>
    <row r="1594" spans="2:2" x14ac:dyDescent="0.2">
      <c r="B1594" s="187"/>
    </row>
    <row r="1595" spans="2:2" x14ac:dyDescent="0.2">
      <c r="B1595" s="187"/>
    </row>
    <row r="1596" spans="2:2" x14ac:dyDescent="0.2">
      <c r="B1596" s="187"/>
    </row>
    <row r="1597" spans="2:2" x14ac:dyDescent="0.2">
      <c r="B1597" s="187"/>
    </row>
    <row r="1598" spans="2:2" x14ac:dyDescent="0.2">
      <c r="B1598" s="187"/>
    </row>
    <row r="1599" spans="2:2" x14ac:dyDescent="0.2">
      <c r="B1599" s="187"/>
    </row>
    <row r="1600" spans="2:2" x14ac:dyDescent="0.2">
      <c r="B1600" s="187"/>
    </row>
    <row r="1601" spans="2:2" x14ac:dyDescent="0.2">
      <c r="B1601" s="187"/>
    </row>
    <row r="1602" spans="2:2" x14ac:dyDescent="0.2">
      <c r="B1602" s="187"/>
    </row>
    <row r="1603" spans="2:2" x14ac:dyDescent="0.2">
      <c r="B1603" s="187"/>
    </row>
    <row r="1604" spans="2:2" x14ac:dyDescent="0.2">
      <c r="B1604" s="187"/>
    </row>
    <row r="1605" spans="2:2" x14ac:dyDescent="0.2">
      <c r="B1605" s="187"/>
    </row>
    <row r="1606" spans="2:2" x14ac:dyDescent="0.2">
      <c r="B1606" s="187"/>
    </row>
    <row r="1607" spans="2:2" x14ac:dyDescent="0.2">
      <c r="B1607" s="187"/>
    </row>
    <row r="1608" spans="2:2" x14ac:dyDescent="0.2">
      <c r="B1608" s="187"/>
    </row>
    <row r="1609" spans="2:2" x14ac:dyDescent="0.2">
      <c r="B1609" s="187"/>
    </row>
    <row r="1610" spans="2:2" x14ac:dyDescent="0.2">
      <c r="B1610" s="187"/>
    </row>
    <row r="1611" spans="2:2" x14ac:dyDescent="0.2">
      <c r="B1611" s="187"/>
    </row>
    <row r="1612" spans="2:2" x14ac:dyDescent="0.2">
      <c r="B1612" s="187"/>
    </row>
    <row r="1613" spans="2:2" x14ac:dyDescent="0.2">
      <c r="B1613" s="187"/>
    </row>
    <row r="1614" spans="2:2" x14ac:dyDescent="0.2">
      <c r="B1614" s="187"/>
    </row>
    <row r="1615" spans="2:2" x14ac:dyDescent="0.2">
      <c r="B1615" s="187"/>
    </row>
    <row r="1616" spans="2:2" x14ac:dyDescent="0.2">
      <c r="B1616" s="187"/>
    </row>
    <row r="1617" spans="2:2" x14ac:dyDescent="0.2">
      <c r="B1617" s="187"/>
    </row>
    <row r="1618" spans="2:2" x14ac:dyDescent="0.2">
      <c r="B1618" s="187"/>
    </row>
    <row r="1619" spans="2:2" x14ac:dyDescent="0.2">
      <c r="B1619" s="187"/>
    </row>
    <row r="1620" spans="2:2" x14ac:dyDescent="0.2">
      <c r="B1620" s="187"/>
    </row>
    <row r="1621" spans="2:2" x14ac:dyDescent="0.2">
      <c r="B1621" s="187"/>
    </row>
    <row r="1622" spans="2:2" x14ac:dyDescent="0.2">
      <c r="B1622" s="187"/>
    </row>
    <row r="1623" spans="2:2" x14ac:dyDescent="0.2">
      <c r="B1623" s="187"/>
    </row>
    <row r="1624" spans="2:2" x14ac:dyDescent="0.2">
      <c r="B1624" s="187"/>
    </row>
    <row r="1625" spans="2:2" x14ac:dyDescent="0.2">
      <c r="B1625" s="187"/>
    </row>
    <row r="1626" spans="2:2" x14ac:dyDescent="0.2">
      <c r="B1626" s="187"/>
    </row>
    <row r="1627" spans="2:2" x14ac:dyDescent="0.2">
      <c r="B1627" s="187"/>
    </row>
    <row r="1628" spans="2:2" x14ac:dyDescent="0.2">
      <c r="B1628" s="187"/>
    </row>
    <row r="1629" spans="2:2" x14ac:dyDescent="0.2">
      <c r="B1629" s="187"/>
    </row>
    <row r="1630" spans="2:2" x14ac:dyDescent="0.2">
      <c r="B1630" s="187"/>
    </row>
    <row r="1631" spans="2:2" x14ac:dyDescent="0.2">
      <c r="B1631" s="187"/>
    </row>
    <row r="1632" spans="2:2" x14ac:dyDescent="0.2">
      <c r="B1632" s="187"/>
    </row>
    <row r="1633" spans="2:2" x14ac:dyDescent="0.2">
      <c r="B1633" s="187"/>
    </row>
    <row r="1634" spans="2:2" x14ac:dyDescent="0.2">
      <c r="B1634" s="187"/>
    </row>
    <row r="1635" spans="2:2" x14ac:dyDescent="0.2">
      <c r="B1635" s="187"/>
    </row>
    <row r="1636" spans="2:2" x14ac:dyDescent="0.2">
      <c r="B1636" s="187"/>
    </row>
    <row r="1637" spans="2:2" x14ac:dyDescent="0.2">
      <c r="B1637" s="187"/>
    </row>
    <row r="1638" spans="2:2" x14ac:dyDescent="0.2">
      <c r="B1638" s="187"/>
    </row>
    <row r="1639" spans="2:2" x14ac:dyDescent="0.2">
      <c r="B1639" s="187"/>
    </row>
    <row r="1640" spans="2:2" x14ac:dyDescent="0.2">
      <c r="B1640" s="187"/>
    </row>
    <row r="1641" spans="2:2" x14ac:dyDescent="0.2">
      <c r="B1641" s="187"/>
    </row>
    <row r="1642" spans="2:2" x14ac:dyDescent="0.2">
      <c r="B1642" s="187"/>
    </row>
    <row r="1643" spans="2:2" x14ac:dyDescent="0.2">
      <c r="B1643" s="187"/>
    </row>
    <row r="1644" spans="2:2" x14ac:dyDescent="0.2">
      <c r="B1644" s="187"/>
    </row>
    <row r="1645" spans="2:2" x14ac:dyDescent="0.2">
      <c r="B1645" s="187"/>
    </row>
    <row r="1646" spans="2:2" x14ac:dyDescent="0.2">
      <c r="B1646" s="187"/>
    </row>
    <row r="1647" spans="2:2" x14ac:dyDescent="0.2">
      <c r="B1647" s="187"/>
    </row>
    <row r="1648" spans="2:2" x14ac:dyDescent="0.2">
      <c r="B1648" s="187"/>
    </row>
    <row r="1649" spans="2:2" x14ac:dyDescent="0.2">
      <c r="B1649" s="187"/>
    </row>
    <row r="1650" spans="2:2" x14ac:dyDescent="0.2">
      <c r="B1650" s="187"/>
    </row>
    <row r="1651" spans="2:2" x14ac:dyDescent="0.2">
      <c r="B1651" s="187"/>
    </row>
    <row r="1652" spans="2:2" x14ac:dyDescent="0.2">
      <c r="B1652" s="187"/>
    </row>
    <row r="1653" spans="2:2" x14ac:dyDescent="0.2">
      <c r="B1653" s="187"/>
    </row>
    <row r="1654" spans="2:2" x14ac:dyDescent="0.2">
      <c r="B1654" s="187"/>
    </row>
    <row r="1655" spans="2:2" x14ac:dyDescent="0.2">
      <c r="B1655" s="187"/>
    </row>
    <row r="1656" spans="2:2" x14ac:dyDescent="0.2">
      <c r="B1656" s="187"/>
    </row>
    <row r="1657" spans="2:2" x14ac:dyDescent="0.2">
      <c r="B1657" s="187"/>
    </row>
    <row r="1658" spans="2:2" x14ac:dyDescent="0.2">
      <c r="B1658" s="187"/>
    </row>
    <row r="1659" spans="2:2" x14ac:dyDescent="0.2">
      <c r="B1659" s="187"/>
    </row>
    <row r="1660" spans="2:2" x14ac:dyDescent="0.2">
      <c r="B1660" s="187"/>
    </row>
    <row r="1661" spans="2:2" x14ac:dyDescent="0.2">
      <c r="B1661" s="187"/>
    </row>
    <row r="1662" spans="2:2" x14ac:dyDescent="0.2">
      <c r="B1662" s="187"/>
    </row>
    <row r="1663" spans="2:2" x14ac:dyDescent="0.2">
      <c r="B1663" s="187"/>
    </row>
    <row r="1664" spans="2:2" x14ac:dyDescent="0.2">
      <c r="B1664" s="187"/>
    </row>
    <row r="1665" spans="2:2" x14ac:dyDescent="0.2">
      <c r="B1665" s="187"/>
    </row>
    <row r="1666" spans="2:2" x14ac:dyDescent="0.2">
      <c r="B1666" s="187"/>
    </row>
    <row r="1667" spans="2:2" x14ac:dyDescent="0.2">
      <c r="B1667" s="187"/>
    </row>
    <row r="1668" spans="2:2" x14ac:dyDescent="0.2">
      <c r="B1668" s="187"/>
    </row>
    <row r="1669" spans="2:2" x14ac:dyDescent="0.2">
      <c r="B1669" s="187"/>
    </row>
    <row r="1670" spans="2:2" x14ac:dyDescent="0.2">
      <c r="B1670" s="187"/>
    </row>
    <row r="1671" spans="2:2" x14ac:dyDescent="0.2">
      <c r="B1671" s="187"/>
    </row>
    <row r="1672" spans="2:2" x14ac:dyDescent="0.2">
      <c r="B1672" s="187"/>
    </row>
    <row r="1673" spans="2:2" x14ac:dyDescent="0.2">
      <c r="B1673" s="187"/>
    </row>
    <row r="1674" spans="2:2" x14ac:dyDescent="0.2">
      <c r="B1674" s="187"/>
    </row>
    <row r="1675" spans="2:2" x14ac:dyDescent="0.2">
      <c r="B1675" s="187"/>
    </row>
    <row r="1676" spans="2:2" x14ac:dyDescent="0.2">
      <c r="B1676" s="187"/>
    </row>
    <row r="1677" spans="2:2" x14ac:dyDescent="0.2">
      <c r="B1677" s="187"/>
    </row>
    <row r="1678" spans="2:2" x14ac:dyDescent="0.2">
      <c r="B1678" s="187"/>
    </row>
    <row r="1679" spans="2:2" x14ac:dyDescent="0.2">
      <c r="B1679" s="187"/>
    </row>
    <row r="1680" spans="2:2" x14ac:dyDescent="0.2">
      <c r="B1680" s="187"/>
    </row>
    <row r="1681" spans="2:2" x14ac:dyDescent="0.2">
      <c r="B1681" s="187"/>
    </row>
    <row r="1682" spans="2:2" x14ac:dyDescent="0.2">
      <c r="B1682" s="187"/>
    </row>
    <row r="1683" spans="2:2" x14ac:dyDescent="0.2">
      <c r="B1683" s="187"/>
    </row>
    <row r="1684" spans="2:2" x14ac:dyDescent="0.2">
      <c r="B1684" s="187"/>
    </row>
    <row r="1685" spans="2:2" x14ac:dyDescent="0.2">
      <c r="B1685" s="187"/>
    </row>
    <row r="1686" spans="2:2" x14ac:dyDescent="0.2">
      <c r="B1686" s="187"/>
    </row>
    <row r="1687" spans="2:2" x14ac:dyDescent="0.2">
      <c r="B1687" s="187"/>
    </row>
    <row r="1688" spans="2:2" x14ac:dyDescent="0.2">
      <c r="B1688" s="187"/>
    </row>
    <row r="1689" spans="2:2" x14ac:dyDescent="0.2">
      <c r="B1689" s="187"/>
    </row>
    <row r="1690" spans="2:2" x14ac:dyDescent="0.2">
      <c r="B1690" s="187"/>
    </row>
    <row r="1691" spans="2:2" x14ac:dyDescent="0.2">
      <c r="B1691" s="187"/>
    </row>
    <row r="1692" spans="2:2" x14ac:dyDescent="0.2">
      <c r="B1692" s="187"/>
    </row>
    <row r="1693" spans="2:2" x14ac:dyDescent="0.2">
      <c r="B1693" s="187"/>
    </row>
    <row r="1694" spans="2:2" x14ac:dyDescent="0.2">
      <c r="B1694" s="187"/>
    </row>
    <row r="1695" spans="2:2" x14ac:dyDescent="0.2">
      <c r="B1695" s="187"/>
    </row>
    <row r="1696" spans="2:2" x14ac:dyDescent="0.2">
      <c r="B1696" s="187"/>
    </row>
    <row r="1697" spans="2:2" x14ac:dyDescent="0.2">
      <c r="B1697" s="187"/>
    </row>
    <row r="1698" spans="2:2" x14ac:dyDescent="0.2">
      <c r="B1698" s="187"/>
    </row>
    <row r="1699" spans="2:2" x14ac:dyDescent="0.2">
      <c r="B1699" s="187"/>
    </row>
    <row r="1700" spans="2:2" x14ac:dyDescent="0.2">
      <c r="B1700" s="187"/>
    </row>
    <row r="1701" spans="2:2" x14ac:dyDescent="0.2">
      <c r="B1701" s="187"/>
    </row>
    <row r="1702" spans="2:2" x14ac:dyDescent="0.2">
      <c r="B1702" s="187"/>
    </row>
    <row r="1703" spans="2:2" x14ac:dyDescent="0.2">
      <c r="B1703" s="187"/>
    </row>
    <row r="1704" spans="2:2" x14ac:dyDescent="0.2">
      <c r="B1704" s="187"/>
    </row>
    <row r="1705" spans="2:2" x14ac:dyDescent="0.2">
      <c r="B1705" s="187"/>
    </row>
    <row r="1706" spans="2:2" x14ac:dyDescent="0.2">
      <c r="B1706" s="187"/>
    </row>
    <row r="1707" spans="2:2" x14ac:dyDescent="0.2">
      <c r="B1707" s="187"/>
    </row>
    <row r="1708" spans="2:2" x14ac:dyDescent="0.2">
      <c r="B1708" s="187"/>
    </row>
    <row r="1709" spans="2:2" x14ac:dyDescent="0.2">
      <c r="B1709" s="187"/>
    </row>
    <row r="1710" spans="2:2" x14ac:dyDescent="0.2">
      <c r="B1710" s="187"/>
    </row>
    <row r="1711" spans="2:2" x14ac:dyDescent="0.2">
      <c r="B1711" s="187"/>
    </row>
    <row r="1712" spans="2:2" x14ac:dyDescent="0.2">
      <c r="B1712" s="187"/>
    </row>
    <row r="1713" spans="2:2" x14ac:dyDescent="0.2">
      <c r="B1713" s="187"/>
    </row>
    <row r="1714" spans="2:2" x14ac:dyDescent="0.2">
      <c r="B1714" s="187"/>
    </row>
    <row r="1715" spans="2:2" x14ac:dyDescent="0.2">
      <c r="B1715" s="187"/>
    </row>
    <row r="1716" spans="2:2" x14ac:dyDescent="0.2">
      <c r="B1716" s="187"/>
    </row>
    <row r="1717" spans="2:2" x14ac:dyDescent="0.2">
      <c r="B1717" s="187"/>
    </row>
    <row r="1718" spans="2:2" x14ac:dyDescent="0.2">
      <c r="B1718" s="187"/>
    </row>
    <row r="1719" spans="2:2" x14ac:dyDescent="0.2">
      <c r="B1719" s="187"/>
    </row>
    <row r="1720" spans="2:2" x14ac:dyDescent="0.2">
      <c r="B1720" s="187"/>
    </row>
    <row r="1721" spans="2:2" x14ac:dyDescent="0.2">
      <c r="B1721" s="187"/>
    </row>
    <row r="1722" spans="2:2" x14ac:dyDescent="0.2">
      <c r="B1722" s="187"/>
    </row>
    <row r="1723" spans="2:2" x14ac:dyDescent="0.2">
      <c r="B1723" s="187"/>
    </row>
    <row r="1724" spans="2:2" x14ac:dyDescent="0.2">
      <c r="B1724" s="187"/>
    </row>
    <row r="1725" spans="2:2" x14ac:dyDescent="0.2">
      <c r="B1725" s="187"/>
    </row>
    <row r="1726" spans="2:2" x14ac:dyDescent="0.2">
      <c r="B1726" s="187"/>
    </row>
    <row r="1727" spans="2:2" x14ac:dyDescent="0.2">
      <c r="B1727" s="187"/>
    </row>
    <row r="1728" spans="2:2" x14ac:dyDescent="0.2">
      <c r="B1728" s="187"/>
    </row>
    <row r="1729" spans="2:2" x14ac:dyDescent="0.2">
      <c r="B1729" s="187"/>
    </row>
    <row r="1730" spans="2:2" x14ac:dyDescent="0.2">
      <c r="B1730" s="187"/>
    </row>
    <row r="1731" spans="2:2" x14ac:dyDescent="0.2">
      <c r="B1731" s="187"/>
    </row>
    <row r="1732" spans="2:2" x14ac:dyDescent="0.2">
      <c r="B1732" s="187"/>
    </row>
    <row r="1733" spans="2:2" x14ac:dyDescent="0.2">
      <c r="B1733" s="187"/>
    </row>
    <row r="1734" spans="2:2" x14ac:dyDescent="0.2">
      <c r="B1734" s="187"/>
    </row>
    <row r="1735" spans="2:2" x14ac:dyDescent="0.2">
      <c r="B1735" s="187"/>
    </row>
    <row r="1736" spans="2:2" x14ac:dyDescent="0.2">
      <c r="B1736" s="187"/>
    </row>
    <row r="1737" spans="2:2" x14ac:dyDescent="0.2">
      <c r="B1737" s="187"/>
    </row>
    <row r="1738" spans="2:2" x14ac:dyDescent="0.2">
      <c r="B1738" s="187"/>
    </row>
    <row r="1739" spans="2:2" x14ac:dyDescent="0.2">
      <c r="B1739" s="187"/>
    </row>
    <row r="1740" spans="2:2" x14ac:dyDescent="0.2">
      <c r="B1740" s="187"/>
    </row>
    <row r="1741" spans="2:2" x14ac:dyDescent="0.2">
      <c r="B1741" s="187"/>
    </row>
    <row r="1742" spans="2:2" x14ac:dyDescent="0.2">
      <c r="B1742" s="187"/>
    </row>
    <row r="1743" spans="2:2" x14ac:dyDescent="0.2">
      <c r="B1743" s="187"/>
    </row>
    <row r="1744" spans="2:2" x14ac:dyDescent="0.2">
      <c r="B1744" s="187"/>
    </row>
    <row r="1745" spans="2:2" x14ac:dyDescent="0.2">
      <c r="B1745" s="187"/>
    </row>
    <row r="1746" spans="2:2" x14ac:dyDescent="0.2">
      <c r="B1746" s="187"/>
    </row>
    <row r="1747" spans="2:2" x14ac:dyDescent="0.2">
      <c r="B1747" s="187"/>
    </row>
    <row r="1748" spans="2:2" x14ac:dyDescent="0.2">
      <c r="B1748" s="187"/>
    </row>
    <row r="1749" spans="2:2" x14ac:dyDescent="0.2">
      <c r="B1749" s="187"/>
    </row>
    <row r="1750" spans="2:2" x14ac:dyDescent="0.2">
      <c r="B1750" s="187"/>
    </row>
    <row r="1751" spans="2:2" x14ac:dyDescent="0.2">
      <c r="B1751" s="187"/>
    </row>
    <row r="1752" spans="2:2" x14ac:dyDescent="0.2">
      <c r="B1752" s="187"/>
    </row>
    <row r="1753" spans="2:2" x14ac:dyDescent="0.2">
      <c r="B1753" s="187"/>
    </row>
    <row r="1754" spans="2:2" x14ac:dyDescent="0.2">
      <c r="B1754" s="187"/>
    </row>
    <row r="1755" spans="2:2" x14ac:dyDescent="0.2">
      <c r="B1755" s="187"/>
    </row>
    <row r="1756" spans="2:2" x14ac:dyDescent="0.2">
      <c r="B1756" s="187"/>
    </row>
    <row r="1757" spans="2:2" x14ac:dyDescent="0.2">
      <c r="B1757" s="187"/>
    </row>
    <row r="1758" spans="2:2" x14ac:dyDescent="0.2">
      <c r="B1758" s="187"/>
    </row>
    <row r="1759" spans="2:2" x14ac:dyDescent="0.2">
      <c r="B1759" s="187"/>
    </row>
    <row r="1760" spans="2:2" x14ac:dyDescent="0.2">
      <c r="B1760" s="187"/>
    </row>
    <row r="1761" spans="2:2" x14ac:dyDescent="0.2">
      <c r="B1761" s="187"/>
    </row>
    <row r="1762" spans="2:2" x14ac:dyDescent="0.2">
      <c r="B1762" s="187"/>
    </row>
    <row r="1763" spans="2:2" x14ac:dyDescent="0.2">
      <c r="B1763" s="187"/>
    </row>
    <row r="1764" spans="2:2" x14ac:dyDescent="0.2">
      <c r="B1764" s="187"/>
    </row>
    <row r="1765" spans="2:2" x14ac:dyDescent="0.2">
      <c r="B1765" s="187"/>
    </row>
    <row r="1766" spans="2:2" x14ac:dyDescent="0.2">
      <c r="B1766" s="187"/>
    </row>
    <row r="1767" spans="2:2" x14ac:dyDescent="0.2">
      <c r="B1767" s="187"/>
    </row>
    <row r="1768" spans="2:2" x14ac:dyDescent="0.2">
      <c r="B1768" s="187"/>
    </row>
    <row r="1769" spans="2:2" x14ac:dyDescent="0.2">
      <c r="B1769" s="187"/>
    </row>
    <row r="1770" spans="2:2" x14ac:dyDescent="0.2">
      <c r="B1770" s="187"/>
    </row>
    <row r="1771" spans="2:2" x14ac:dyDescent="0.2">
      <c r="B1771" s="187"/>
    </row>
    <row r="1772" spans="2:2" x14ac:dyDescent="0.2">
      <c r="B1772" s="187"/>
    </row>
    <row r="1773" spans="2:2" x14ac:dyDescent="0.2">
      <c r="B1773" s="187"/>
    </row>
    <row r="1774" spans="2:2" x14ac:dyDescent="0.2">
      <c r="B1774" s="187"/>
    </row>
    <row r="1775" spans="2:2" x14ac:dyDescent="0.2">
      <c r="B1775" s="187"/>
    </row>
    <row r="1776" spans="2:2" x14ac:dyDescent="0.2">
      <c r="B1776" s="187"/>
    </row>
    <row r="1777" spans="2:2" x14ac:dyDescent="0.2">
      <c r="B1777" s="187"/>
    </row>
    <row r="1778" spans="2:2" x14ac:dyDescent="0.2">
      <c r="B1778" s="187"/>
    </row>
    <row r="1779" spans="2:2" x14ac:dyDescent="0.2">
      <c r="B1779" s="187"/>
    </row>
    <row r="1780" spans="2:2" x14ac:dyDescent="0.2">
      <c r="B1780" s="187"/>
    </row>
    <row r="1781" spans="2:2" x14ac:dyDescent="0.2">
      <c r="B1781" s="187"/>
    </row>
    <row r="1782" spans="2:2" x14ac:dyDescent="0.2">
      <c r="B1782" s="187"/>
    </row>
    <row r="1783" spans="2:2" x14ac:dyDescent="0.2">
      <c r="B1783" s="187"/>
    </row>
    <row r="1784" spans="2:2" x14ac:dyDescent="0.2">
      <c r="B1784" s="187"/>
    </row>
    <row r="1785" spans="2:2" x14ac:dyDescent="0.2">
      <c r="B1785" s="187"/>
    </row>
    <row r="1786" spans="2:2" x14ac:dyDescent="0.2">
      <c r="B1786" s="187"/>
    </row>
    <row r="1787" spans="2:2" x14ac:dyDescent="0.2">
      <c r="B1787" s="187"/>
    </row>
    <row r="1788" spans="2:2" x14ac:dyDescent="0.2">
      <c r="B1788" s="187"/>
    </row>
    <row r="1789" spans="2:2" x14ac:dyDescent="0.2">
      <c r="B1789" s="187"/>
    </row>
    <row r="1790" spans="2:2" x14ac:dyDescent="0.2">
      <c r="B1790" s="187"/>
    </row>
    <row r="1791" spans="2:2" x14ac:dyDescent="0.2">
      <c r="B1791" s="187"/>
    </row>
    <row r="1792" spans="2:2" x14ac:dyDescent="0.2">
      <c r="B1792" s="187"/>
    </row>
    <row r="1793" spans="2:2" x14ac:dyDescent="0.2">
      <c r="B1793" s="187"/>
    </row>
    <row r="1794" spans="2:2" x14ac:dyDescent="0.2">
      <c r="B1794" s="187"/>
    </row>
    <row r="1795" spans="2:2" x14ac:dyDescent="0.2">
      <c r="B1795" s="187"/>
    </row>
    <row r="1796" spans="2:2" x14ac:dyDescent="0.2">
      <c r="B1796" s="187"/>
    </row>
    <row r="1797" spans="2:2" x14ac:dyDescent="0.2">
      <c r="B1797" s="187"/>
    </row>
    <row r="1798" spans="2:2" x14ac:dyDescent="0.2">
      <c r="B1798" s="187"/>
    </row>
    <row r="1799" spans="2:2" x14ac:dyDescent="0.2">
      <c r="B1799" s="187"/>
    </row>
    <row r="1800" spans="2:2" x14ac:dyDescent="0.2">
      <c r="B1800" s="187"/>
    </row>
    <row r="1801" spans="2:2" x14ac:dyDescent="0.2">
      <c r="B1801" s="187"/>
    </row>
    <row r="1802" spans="2:2" x14ac:dyDescent="0.2">
      <c r="B1802" s="187"/>
    </row>
    <row r="1803" spans="2:2" x14ac:dyDescent="0.2">
      <c r="B1803" s="187"/>
    </row>
    <row r="1804" spans="2:2" x14ac:dyDescent="0.2">
      <c r="B1804" s="187"/>
    </row>
    <row r="1805" spans="2:2" x14ac:dyDescent="0.2">
      <c r="B1805" s="187"/>
    </row>
    <row r="1806" spans="2:2" x14ac:dyDescent="0.2">
      <c r="B1806" s="187"/>
    </row>
    <row r="1807" spans="2:2" x14ac:dyDescent="0.2">
      <c r="B1807" s="187"/>
    </row>
    <row r="1808" spans="2:2" x14ac:dyDescent="0.2">
      <c r="B1808" s="187"/>
    </row>
    <row r="1809" spans="2:2" x14ac:dyDescent="0.2">
      <c r="B1809" s="187"/>
    </row>
    <row r="1810" spans="2:2" x14ac:dyDescent="0.2">
      <c r="B1810" s="187"/>
    </row>
    <row r="1811" spans="2:2" x14ac:dyDescent="0.2">
      <c r="B1811" s="187"/>
    </row>
    <row r="1812" spans="2:2" x14ac:dyDescent="0.2">
      <c r="B1812" s="187"/>
    </row>
    <row r="1813" spans="2:2" x14ac:dyDescent="0.2">
      <c r="B1813" s="187"/>
    </row>
    <row r="1814" spans="2:2" x14ac:dyDescent="0.2">
      <c r="B1814" s="187"/>
    </row>
    <row r="1815" spans="2:2" x14ac:dyDescent="0.2">
      <c r="B1815" s="187"/>
    </row>
    <row r="1816" spans="2:2" x14ac:dyDescent="0.2">
      <c r="B1816" s="187"/>
    </row>
    <row r="1817" spans="2:2" x14ac:dyDescent="0.2">
      <c r="B1817" s="187"/>
    </row>
    <row r="1818" spans="2:2" x14ac:dyDescent="0.2">
      <c r="B1818" s="187"/>
    </row>
    <row r="1819" spans="2:2" x14ac:dyDescent="0.2">
      <c r="B1819" s="187"/>
    </row>
    <row r="1820" spans="2:2" x14ac:dyDescent="0.2">
      <c r="B1820" s="187"/>
    </row>
    <row r="1821" spans="2:2" x14ac:dyDescent="0.2">
      <c r="B1821" s="187"/>
    </row>
    <row r="1822" spans="2:2" x14ac:dyDescent="0.2">
      <c r="B1822" s="187"/>
    </row>
    <row r="1823" spans="2:2" x14ac:dyDescent="0.2">
      <c r="B1823" s="187"/>
    </row>
    <row r="1824" spans="2:2" x14ac:dyDescent="0.2">
      <c r="B1824" s="187"/>
    </row>
    <row r="1825" spans="2:2" x14ac:dyDescent="0.2">
      <c r="B1825" s="187"/>
    </row>
    <row r="1826" spans="2:2" x14ac:dyDescent="0.2">
      <c r="B1826" s="187"/>
    </row>
    <row r="1827" spans="2:2" x14ac:dyDescent="0.2">
      <c r="B1827" s="187"/>
    </row>
    <row r="1828" spans="2:2" x14ac:dyDescent="0.2">
      <c r="B1828" s="187"/>
    </row>
    <row r="1829" spans="2:2" x14ac:dyDescent="0.2">
      <c r="B1829" s="187"/>
    </row>
    <row r="1830" spans="2:2" x14ac:dyDescent="0.2">
      <c r="B1830" s="187"/>
    </row>
    <row r="1831" spans="2:2" x14ac:dyDescent="0.2">
      <c r="B1831" s="187"/>
    </row>
    <row r="1832" spans="2:2" x14ac:dyDescent="0.2">
      <c r="B1832" s="187"/>
    </row>
    <row r="1833" spans="2:2" x14ac:dyDescent="0.2">
      <c r="B1833" s="187"/>
    </row>
    <row r="1834" spans="2:2" x14ac:dyDescent="0.2">
      <c r="B1834" s="187"/>
    </row>
    <row r="1835" spans="2:2" x14ac:dyDescent="0.2">
      <c r="B1835" s="187"/>
    </row>
    <row r="1836" spans="2:2" x14ac:dyDescent="0.2">
      <c r="B1836" s="187"/>
    </row>
    <row r="1837" spans="2:2" x14ac:dyDescent="0.2">
      <c r="B1837" s="187"/>
    </row>
    <row r="1838" spans="2:2" x14ac:dyDescent="0.2">
      <c r="B1838" s="187"/>
    </row>
    <row r="1839" spans="2:2" x14ac:dyDescent="0.2">
      <c r="B1839" s="187"/>
    </row>
    <row r="1840" spans="2:2" x14ac:dyDescent="0.2">
      <c r="B1840" s="187"/>
    </row>
    <row r="1841" spans="2:2" x14ac:dyDescent="0.2">
      <c r="B1841" s="187"/>
    </row>
    <row r="1842" spans="2:2" x14ac:dyDescent="0.2">
      <c r="B1842" s="187"/>
    </row>
    <row r="1843" spans="2:2" x14ac:dyDescent="0.2">
      <c r="B1843" s="187"/>
    </row>
    <row r="1844" spans="2:2" x14ac:dyDescent="0.2">
      <c r="B1844" s="187"/>
    </row>
    <row r="1845" spans="2:2" x14ac:dyDescent="0.2">
      <c r="B1845" s="187"/>
    </row>
    <row r="1846" spans="2:2" x14ac:dyDescent="0.2">
      <c r="B1846" s="187"/>
    </row>
    <row r="1847" spans="2:2" x14ac:dyDescent="0.2">
      <c r="B1847" s="187"/>
    </row>
    <row r="1848" spans="2:2" x14ac:dyDescent="0.2">
      <c r="B1848" s="187"/>
    </row>
    <row r="1849" spans="2:2" x14ac:dyDescent="0.2">
      <c r="B1849" s="187"/>
    </row>
    <row r="1850" spans="2:2" x14ac:dyDescent="0.2">
      <c r="B1850" s="187"/>
    </row>
    <row r="1851" spans="2:2" x14ac:dyDescent="0.2">
      <c r="B1851" s="187"/>
    </row>
    <row r="1852" spans="2:2" x14ac:dyDescent="0.2">
      <c r="B1852" s="187"/>
    </row>
    <row r="1853" spans="2:2" x14ac:dyDescent="0.2">
      <c r="B1853" s="187"/>
    </row>
    <row r="1854" spans="2:2" x14ac:dyDescent="0.2">
      <c r="B1854" s="187"/>
    </row>
    <row r="1855" spans="2:2" x14ac:dyDescent="0.2">
      <c r="B1855" s="187"/>
    </row>
    <row r="1856" spans="2:2" x14ac:dyDescent="0.2">
      <c r="B1856" s="187"/>
    </row>
    <row r="1857" spans="2:2" x14ac:dyDescent="0.2">
      <c r="B1857" s="187"/>
    </row>
    <row r="1858" spans="2:2" x14ac:dyDescent="0.2">
      <c r="B1858" s="187"/>
    </row>
    <row r="1859" spans="2:2" x14ac:dyDescent="0.2">
      <c r="B1859" s="187"/>
    </row>
    <row r="1860" spans="2:2" x14ac:dyDescent="0.2">
      <c r="B1860" s="187"/>
    </row>
    <row r="1861" spans="2:2" x14ac:dyDescent="0.2">
      <c r="B1861" s="187"/>
    </row>
    <row r="1862" spans="2:2" x14ac:dyDescent="0.2">
      <c r="B1862" s="187"/>
    </row>
    <row r="1863" spans="2:2" x14ac:dyDescent="0.2">
      <c r="B1863" s="187"/>
    </row>
    <row r="1864" spans="2:2" x14ac:dyDescent="0.2">
      <c r="B1864" s="187"/>
    </row>
    <row r="1865" spans="2:2" x14ac:dyDescent="0.2">
      <c r="B1865" s="187"/>
    </row>
    <row r="1866" spans="2:2" x14ac:dyDescent="0.2">
      <c r="B1866" s="187"/>
    </row>
    <row r="1867" spans="2:2" x14ac:dyDescent="0.2">
      <c r="B1867" s="187"/>
    </row>
    <row r="1868" spans="2:2" x14ac:dyDescent="0.2">
      <c r="B1868" s="187"/>
    </row>
    <row r="1869" spans="2:2" x14ac:dyDescent="0.2">
      <c r="B1869" s="187"/>
    </row>
    <row r="1870" spans="2:2" x14ac:dyDescent="0.2">
      <c r="B1870" s="187"/>
    </row>
    <row r="1871" spans="2:2" x14ac:dyDescent="0.2">
      <c r="B1871" s="187"/>
    </row>
    <row r="1872" spans="2:2" x14ac:dyDescent="0.2">
      <c r="B1872" s="187"/>
    </row>
    <row r="1873" spans="2:2" x14ac:dyDescent="0.2">
      <c r="B1873" s="187"/>
    </row>
    <row r="1874" spans="2:2" x14ac:dyDescent="0.2">
      <c r="B1874" s="187"/>
    </row>
    <row r="1875" spans="2:2" x14ac:dyDescent="0.2">
      <c r="B1875" s="187"/>
    </row>
    <row r="1876" spans="2:2" x14ac:dyDescent="0.2">
      <c r="B1876" s="187"/>
    </row>
    <row r="1877" spans="2:2" x14ac:dyDescent="0.2">
      <c r="B1877" s="187"/>
    </row>
    <row r="1878" spans="2:2" x14ac:dyDescent="0.2">
      <c r="B1878" s="187"/>
    </row>
    <row r="1879" spans="2:2" x14ac:dyDescent="0.2">
      <c r="B1879" s="187"/>
    </row>
    <row r="1880" spans="2:2" x14ac:dyDescent="0.2">
      <c r="B1880" s="187"/>
    </row>
    <row r="1881" spans="2:2" x14ac:dyDescent="0.2">
      <c r="B1881" s="187"/>
    </row>
    <row r="1882" spans="2:2" x14ac:dyDescent="0.2">
      <c r="B1882" s="187"/>
    </row>
    <row r="1883" spans="2:2" x14ac:dyDescent="0.2">
      <c r="B1883" s="187"/>
    </row>
    <row r="1884" spans="2:2" x14ac:dyDescent="0.2">
      <c r="B1884" s="187"/>
    </row>
    <row r="1885" spans="2:2" x14ac:dyDescent="0.2">
      <c r="B1885" s="187"/>
    </row>
    <row r="1886" spans="2:2" x14ac:dyDescent="0.2">
      <c r="B1886" s="187"/>
    </row>
    <row r="1887" spans="2:2" x14ac:dyDescent="0.2">
      <c r="B1887" s="187"/>
    </row>
    <row r="1888" spans="2:2" x14ac:dyDescent="0.2">
      <c r="B1888" s="187"/>
    </row>
    <row r="1889" spans="2:2" x14ac:dyDescent="0.2">
      <c r="B1889" s="187"/>
    </row>
    <row r="1890" spans="2:2" x14ac:dyDescent="0.2">
      <c r="B1890" s="187"/>
    </row>
    <row r="1891" spans="2:2" x14ac:dyDescent="0.2">
      <c r="B1891" s="187"/>
    </row>
    <row r="1892" spans="2:2" x14ac:dyDescent="0.2">
      <c r="B1892" s="187"/>
    </row>
    <row r="1893" spans="2:2" x14ac:dyDescent="0.2">
      <c r="B1893" s="187"/>
    </row>
    <row r="1894" spans="2:2" x14ac:dyDescent="0.2">
      <c r="B1894" s="187"/>
    </row>
    <row r="1895" spans="2:2" x14ac:dyDescent="0.2">
      <c r="B1895" s="187"/>
    </row>
    <row r="1896" spans="2:2" x14ac:dyDescent="0.2">
      <c r="B1896" s="187"/>
    </row>
    <row r="1897" spans="2:2" x14ac:dyDescent="0.2">
      <c r="B1897" s="187"/>
    </row>
    <row r="1898" spans="2:2" x14ac:dyDescent="0.2">
      <c r="B1898" s="187"/>
    </row>
    <row r="1899" spans="2:2" x14ac:dyDescent="0.2">
      <c r="B1899" s="187"/>
    </row>
    <row r="1900" spans="2:2" x14ac:dyDescent="0.2">
      <c r="B1900" s="187"/>
    </row>
    <row r="1901" spans="2:2" x14ac:dyDescent="0.2">
      <c r="B1901" s="187"/>
    </row>
    <row r="1902" spans="2:2" x14ac:dyDescent="0.2">
      <c r="B1902" s="187"/>
    </row>
    <row r="1903" spans="2:2" x14ac:dyDescent="0.2">
      <c r="B1903" s="187"/>
    </row>
    <row r="1904" spans="2:2" x14ac:dyDescent="0.2">
      <c r="B1904" s="187"/>
    </row>
    <row r="1905" spans="2:2" x14ac:dyDescent="0.2">
      <c r="B1905" s="187"/>
    </row>
    <row r="1906" spans="2:2" x14ac:dyDescent="0.2">
      <c r="B1906" s="187"/>
    </row>
    <row r="1907" spans="2:2" x14ac:dyDescent="0.2">
      <c r="B1907" s="187"/>
    </row>
    <row r="1908" spans="2:2" x14ac:dyDescent="0.2">
      <c r="B1908" s="187"/>
    </row>
    <row r="1909" spans="2:2" x14ac:dyDescent="0.2">
      <c r="B1909" s="187"/>
    </row>
    <row r="1910" spans="2:2" x14ac:dyDescent="0.2">
      <c r="B1910" s="187"/>
    </row>
    <row r="1911" spans="2:2" x14ac:dyDescent="0.2">
      <c r="B1911" s="187"/>
    </row>
    <row r="1912" spans="2:2" x14ac:dyDescent="0.2">
      <c r="B1912" s="187"/>
    </row>
    <row r="1913" spans="2:2" x14ac:dyDescent="0.2">
      <c r="B1913" s="187"/>
    </row>
    <row r="1914" spans="2:2" x14ac:dyDescent="0.2">
      <c r="B1914" s="187"/>
    </row>
    <row r="1915" spans="2:2" x14ac:dyDescent="0.2">
      <c r="B1915" s="187"/>
    </row>
    <row r="1916" spans="2:2" x14ac:dyDescent="0.2">
      <c r="B1916" s="187"/>
    </row>
    <row r="1917" spans="2:2" x14ac:dyDescent="0.2">
      <c r="B1917" s="187"/>
    </row>
    <row r="1918" spans="2:2" x14ac:dyDescent="0.2">
      <c r="B1918" s="187"/>
    </row>
    <row r="1919" spans="2:2" x14ac:dyDescent="0.2">
      <c r="B1919" s="187"/>
    </row>
    <row r="1920" spans="2:2" x14ac:dyDescent="0.2">
      <c r="B1920" s="187"/>
    </row>
    <row r="1921" spans="2:2" x14ac:dyDescent="0.2">
      <c r="B1921" s="187"/>
    </row>
    <row r="1922" spans="2:2" x14ac:dyDescent="0.2">
      <c r="B1922" s="187"/>
    </row>
    <row r="1923" spans="2:2" x14ac:dyDescent="0.2">
      <c r="B1923" s="187"/>
    </row>
    <row r="1924" spans="2:2" x14ac:dyDescent="0.2">
      <c r="B1924" s="187"/>
    </row>
    <row r="1925" spans="2:2" x14ac:dyDescent="0.2">
      <c r="B1925" s="187"/>
    </row>
    <row r="1926" spans="2:2" x14ac:dyDescent="0.2">
      <c r="B1926" s="187"/>
    </row>
    <row r="1927" spans="2:2" x14ac:dyDescent="0.2">
      <c r="B1927" s="187"/>
    </row>
    <row r="1928" spans="2:2" x14ac:dyDescent="0.2">
      <c r="B1928" s="187"/>
    </row>
    <row r="1929" spans="2:2" x14ac:dyDescent="0.2">
      <c r="B1929" s="187"/>
    </row>
    <row r="1930" spans="2:2" x14ac:dyDescent="0.2">
      <c r="B1930" s="187"/>
    </row>
    <row r="1931" spans="2:2" x14ac:dyDescent="0.2">
      <c r="B1931" s="187"/>
    </row>
    <row r="1932" spans="2:2" x14ac:dyDescent="0.2">
      <c r="B1932" s="187"/>
    </row>
    <row r="1933" spans="2:2" x14ac:dyDescent="0.2">
      <c r="B1933" s="187"/>
    </row>
    <row r="1934" spans="2:2" x14ac:dyDescent="0.2">
      <c r="B1934" s="187"/>
    </row>
    <row r="1935" spans="2:2" x14ac:dyDescent="0.2">
      <c r="B1935" s="187"/>
    </row>
    <row r="1936" spans="2:2" x14ac:dyDescent="0.2">
      <c r="B1936" s="187"/>
    </row>
    <row r="1937" spans="2:2" x14ac:dyDescent="0.2">
      <c r="B1937" s="187"/>
    </row>
    <row r="1938" spans="2:2" x14ac:dyDescent="0.2">
      <c r="B1938" s="187"/>
    </row>
    <row r="1939" spans="2:2" x14ac:dyDescent="0.2">
      <c r="B1939" s="187"/>
    </row>
    <row r="1940" spans="2:2" x14ac:dyDescent="0.2">
      <c r="B1940" s="187"/>
    </row>
    <row r="1941" spans="2:2" x14ac:dyDescent="0.2">
      <c r="B1941" s="187"/>
    </row>
    <row r="1942" spans="2:2" x14ac:dyDescent="0.2">
      <c r="B1942" s="187"/>
    </row>
    <row r="1943" spans="2:2" x14ac:dyDescent="0.2">
      <c r="B1943" s="187"/>
    </row>
    <row r="1944" spans="2:2" x14ac:dyDescent="0.2">
      <c r="B1944" s="187"/>
    </row>
    <row r="1945" spans="2:2" x14ac:dyDescent="0.2">
      <c r="B1945" s="187"/>
    </row>
    <row r="1946" spans="2:2" x14ac:dyDescent="0.2">
      <c r="B1946" s="187"/>
    </row>
    <row r="1947" spans="2:2" x14ac:dyDescent="0.2">
      <c r="B1947" s="187"/>
    </row>
    <row r="1948" spans="2:2" x14ac:dyDescent="0.2">
      <c r="B1948" s="187"/>
    </row>
    <row r="1949" spans="2:2" x14ac:dyDescent="0.2">
      <c r="B1949" s="187"/>
    </row>
    <row r="1950" spans="2:2" x14ac:dyDescent="0.2">
      <c r="B1950" s="187"/>
    </row>
    <row r="1951" spans="2:2" x14ac:dyDescent="0.2">
      <c r="B1951" s="187"/>
    </row>
    <row r="1952" spans="2:2" x14ac:dyDescent="0.2">
      <c r="B1952" s="187"/>
    </row>
    <row r="1953" spans="2:2" x14ac:dyDescent="0.2">
      <c r="B1953" s="187"/>
    </row>
    <row r="1954" spans="2:2" x14ac:dyDescent="0.2">
      <c r="B1954" s="187"/>
    </row>
    <row r="1955" spans="2:2" x14ac:dyDescent="0.2">
      <c r="B1955" s="187"/>
    </row>
    <row r="1956" spans="2:2" x14ac:dyDescent="0.2">
      <c r="B1956" s="187"/>
    </row>
    <row r="1957" spans="2:2" x14ac:dyDescent="0.2">
      <c r="B1957" s="187"/>
    </row>
    <row r="1958" spans="2:2" x14ac:dyDescent="0.2">
      <c r="B1958" s="187"/>
    </row>
    <row r="1959" spans="2:2" x14ac:dyDescent="0.2">
      <c r="B1959" s="187"/>
    </row>
    <row r="1960" spans="2:2" x14ac:dyDescent="0.2">
      <c r="B1960" s="187"/>
    </row>
    <row r="1961" spans="2:2" x14ac:dyDescent="0.2">
      <c r="B1961" s="187"/>
    </row>
    <row r="1962" spans="2:2" x14ac:dyDescent="0.2">
      <c r="B1962" s="187"/>
    </row>
    <row r="1963" spans="2:2" x14ac:dyDescent="0.2">
      <c r="B1963" s="187"/>
    </row>
    <row r="1964" spans="2:2" x14ac:dyDescent="0.2">
      <c r="B1964" s="187"/>
    </row>
    <row r="1965" spans="2:2" x14ac:dyDescent="0.2">
      <c r="B1965" s="187"/>
    </row>
    <row r="1966" spans="2:2" x14ac:dyDescent="0.2">
      <c r="B1966" s="187"/>
    </row>
    <row r="1967" spans="2:2" x14ac:dyDescent="0.2">
      <c r="B1967" s="187"/>
    </row>
    <row r="1968" spans="2:2" x14ac:dyDescent="0.2">
      <c r="B1968" s="187"/>
    </row>
    <row r="1969" spans="2:2" x14ac:dyDescent="0.2">
      <c r="B1969" s="187"/>
    </row>
    <row r="1970" spans="2:2" x14ac:dyDescent="0.2">
      <c r="B1970" s="187"/>
    </row>
    <row r="1971" spans="2:2" x14ac:dyDescent="0.2">
      <c r="B1971" s="187"/>
    </row>
    <row r="1972" spans="2:2" x14ac:dyDescent="0.2">
      <c r="B1972" s="187"/>
    </row>
    <row r="1973" spans="2:2" x14ac:dyDescent="0.2">
      <c r="B1973" s="187"/>
    </row>
    <row r="1974" spans="2:2" x14ac:dyDescent="0.2">
      <c r="B1974" s="187"/>
    </row>
    <row r="1975" spans="2:2" x14ac:dyDescent="0.2">
      <c r="B1975" s="187"/>
    </row>
    <row r="1976" spans="2:2" x14ac:dyDescent="0.2">
      <c r="B1976" s="187"/>
    </row>
    <row r="1977" spans="2:2" x14ac:dyDescent="0.2">
      <c r="B1977" s="187"/>
    </row>
    <row r="1978" spans="2:2" x14ac:dyDescent="0.2">
      <c r="B1978" s="187"/>
    </row>
    <row r="1979" spans="2:2" x14ac:dyDescent="0.2">
      <c r="B1979" s="187"/>
    </row>
    <row r="1980" spans="2:2" x14ac:dyDescent="0.2">
      <c r="B1980" s="187"/>
    </row>
    <row r="1981" spans="2:2" x14ac:dyDescent="0.2">
      <c r="B1981" s="187"/>
    </row>
    <row r="1982" spans="2:2" x14ac:dyDescent="0.2">
      <c r="B1982" s="187"/>
    </row>
    <row r="1983" spans="2:2" x14ac:dyDescent="0.2">
      <c r="B1983" s="187"/>
    </row>
    <row r="1984" spans="2:2" x14ac:dyDescent="0.2">
      <c r="B1984" s="187"/>
    </row>
    <row r="1985" spans="2:2" x14ac:dyDescent="0.2">
      <c r="B1985" s="187"/>
    </row>
    <row r="1986" spans="2:2" x14ac:dyDescent="0.2">
      <c r="B1986" s="187"/>
    </row>
    <row r="1987" spans="2:2" x14ac:dyDescent="0.2">
      <c r="B1987" s="187"/>
    </row>
    <row r="1988" spans="2:2" x14ac:dyDescent="0.2">
      <c r="B1988" s="187"/>
    </row>
    <row r="1989" spans="2:2" x14ac:dyDescent="0.2">
      <c r="B1989" s="187"/>
    </row>
    <row r="1990" spans="2:2" x14ac:dyDescent="0.2">
      <c r="B1990" s="187"/>
    </row>
    <row r="1991" spans="2:2" x14ac:dyDescent="0.2">
      <c r="B1991" s="187"/>
    </row>
    <row r="1992" spans="2:2" x14ac:dyDescent="0.2">
      <c r="B1992" s="187"/>
    </row>
    <row r="1993" spans="2:2" x14ac:dyDescent="0.2">
      <c r="B1993" s="187"/>
    </row>
    <row r="1994" spans="2:2" x14ac:dyDescent="0.2">
      <c r="B1994" s="187"/>
    </row>
    <row r="1995" spans="2:2" x14ac:dyDescent="0.2">
      <c r="B1995" s="187"/>
    </row>
    <row r="1996" spans="2:2" x14ac:dyDescent="0.2">
      <c r="B1996" s="187"/>
    </row>
    <row r="1997" spans="2:2" x14ac:dyDescent="0.2">
      <c r="B1997" s="187"/>
    </row>
    <row r="1998" spans="2:2" x14ac:dyDescent="0.2">
      <c r="B1998" s="187"/>
    </row>
    <row r="1999" spans="2:2" x14ac:dyDescent="0.2">
      <c r="B1999" s="187"/>
    </row>
    <row r="2000" spans="2:2" x14ac:dyDescent="0.2">
      <c r="B2000" s="187"/>
    </row>
    <row r="2001" spans="2:2" x14ac:dyDescent="0.2">
      <c r="B2001" s="187"/>
    </row>
    <row r="2002" spans="2:2" x14ac:dyDescent="0.2">
      <c r="B2002" s="187"/>
    </row>
    <row r="2003" spans="2:2" x14ac:dyDescent="0.2">
      <c r="B2003" s="187"/>
    </row>
    <row r="2004" spans="2:2" x14ac:dyDescent="0.2">
      <c r="B2004" s="187"/>
    </row>
    <row r="2005" spans="2:2" x14ac:dyDescent="0.2">
      <c r="B2005" s="187"/>
    </row>
    <row r="2006" spans="2:2" x14ac:dyDescent="0.2">
      <c r="B2006" s="187"/>
    </row>
    <row r="2007" spans="2:2" x14ac:dyDescent="0.2">
      <c r="B2007" s="187"/>
    </row>
    <row r="2008" spans="2:2" x14ac:dyDescent="0.2">
      <c r="B2008" s="187"/>
    </row>
    <row r="2009" spans="2:2" x14ac:dyDescent="0.2">
      <c r="B2009" s="187"/>
    </row>
    <row r="2010" spans="2:2" x14ac:dyDescent="0.2">
      <c r="B2010" s="187"/>
    </row>
    <row r="2011" spans="2:2" x14ac:dyDescent="0.2">
      <c r="B2011" s="187"/>
    </row>
    <row r="2012" spans="2:2" x14ac:dyDescent="0.2">
      <c r="B2012" s="187"/>
    </row>
    <row r="2013" spans="2:2" x14ac:dyDescent="0.2">
      <c r="B2013" s="187"/>
    </row>
    <row r="2014" spans="2:2" x14ac:dyDescent="0.2">
      <c r="B2014" s="187"/>
    </row>
    <row r="2015" spans="2:2" x14ac:dyDescent="0.2">
      <c r="B2015" s="187"/>
    </row>
    <row r="2016" spans="2:2" x14ac:dyDescent="0.2">
      <c r="B2016" s="187"/>
    </row>
    <row r="2017" spans="2:2" x14ac:dyDescent="0.2">
      <c r="B2017" s="187"/>
    </row>
    <row r="2018" spans="2:2" x14ac:dyDescent="0.2">
      <c r="B2018" s="187"/>
    </row>
    <row r="2019" spans="2:2" x14ac:dyDescent="0.2">
      <c r="B2019" s="187"/>
    </row>
    <row r="2020" spans="2:2" x14ac:dyDescent="0.2">
      <c r="B2020" s="187"/>
    </row>
    <row r="2021" spans="2:2" x14ac:dyDescent="0.2">
      <c r="B2021" s="187"/>
    </row>
    <row r="2022" spans="2:2" x14ac:dyDescent="0.2">
      <c r="B2022" s="187"/>
    </row>
    <row r="2023" spans="2:2" x14ac:dyDescent="0.2">
      <c r="B2023" s="187"/>
    </row>
    <row r="2024" spans="2:2" x14ac:dyDescent="0.2">
      <c r="B2024" s="187"/>
    </row>
    <row r="2025" spans="2:2" x14ac:dyDescent="0.2">
      <c r="B2025" s="187"/>
    </row>
    <row r="2026" spans="2:2" x14ac:dyDescent="0.2">
      <c r="B2026" s="187"/>
    </row>
    <row r="2027" spans="2:2" x14ac:dyDescent="0.2">
      <c r="B2027" s="187"/>
    </row>
    <row r="2028" spans="2:2" x14ac:dyDescent="0.2">
      <c r="B2028" s="187"/>
    </row>
    <row r="2029" spans="2:2" x14ac:dyDescent="0.2">
      <c r="B2029" s="187"/>
    </row>
    <row r="2030" spans="2:2" x14ac:dyDescent="0.2">
      <c r="B2030" s="187"/>
    </row>
    <row r="2031" spans="2:2" x14ac:dyDescent="0.2">
      <c r="B2031" s="187"/>
    </row>
    <row r="2032" spans="2:2" x14ac:dyDescent="0.2">
      <c r="B2032" s="187"/>
    </row>
    <row r="2033" spans="2:2" x14ac:dyDescent="0.2">
      <c r="B2033" s="187"/>
    </row>
    <row r="2034" spans="2:2" x14ac:dyDescent="0.2">
      <c r="B2034" s="187"/>
    </row>
    <row r="2035" spans="2:2" x14ac:dyDescent="0.2">
      <c r="B2035" s="187"/>
    </row>
    <row r="2036" spans="2:2" x14ac:dyDescent="0.2">
      <c r="B2036" s="187"/>
    </row>
    <row r="2037" spans="2:2" x14ac:dyDescent="0.2">
      <c r="B2037" s="187"/>
    </row>
    <row r="2038" spans="2:2" x14ac:dyDescent="0.2">
      <c r="B2038" s="187"/>
    </row>
    <row r="2039" spans="2:2" x14ac:dyDescent="0.2">
      <c r="B2039" s="187"/>
    </row>
    <row r="2040" spans="2:2" x14ac:dyDescent="0.2">
      <c r="B2040" s="187"/>
    </row>
    <row r="2041" spans="2:2" x14ac:dyDescent="0.2">
      <c r="B2041" s="187"/>
    </row>
    <row r="2042" spans="2:2" x14ac:dyDescent="0.2">
      <c r="B2042" s="187"/>
    </row>
    <row r="2043" spans="2:2" x14ac:dyDescent="0.2">
      <c r="B2043" s="187"/>
    </row>
    <row r="2044" spans="2:2" x14ac:dyDescent="0.2">
      <c r="B2044" s="187"/>
    </row>
    <row r="2045" spans="2:2" x14ac:dyDescent="0.2">
      <c r="B2045" s="187"/>
    </row>
    <row r="2046" spans="2:2" x14ac:dyDescent="0.2">
      <c r="B2046" s="187"/>
    </row>
    <row r="2047" spans="2:2" x14ac:dyDescent="0.2">
      <c r="B2047" s="187"/>
    </row>
    <row r="2048" spans="2:2" x14ac:dyDescent="0.2">
      <c r="B2048" s="187"/>
    </row>
    <row r="2049" spans="2:2" x14ac:dyDescent="0.2">
      <c r="B2049" s="187"/>
    </row>
    <row r="2050" spans="2:2" x14ac:dyDescent="0.2">
      <c r="B2050" s="187"/>
    </row>
    <row r="2051" spans="2:2" x14ac:dyDescent="0.2">
      <c r="B2051" s="187"/>
    </row>
    <row r="2052" spans="2:2" x14ac:dyDescent="0.2">
      <c r="B2052" s="187"/>
    </row>
    <row r="2053" spans="2:2" x14ac:dyDescent="0.2">
      <c r="B2053" s="187"/>
    </row>
    <row r="2054" spans="2:2" x14ac:dyDescent="0.2">
      <c r="B2054" s="187"/>
    </row>
    <row r="2055" spans="2:2" x14ac:dyDescent="0.2">
      <c r="B2055" s="187"/>
    </row>
    <row r="2056" spans="2:2" x14ac:dyDescent="0.2">
      <c r="B2056" s="187"/>
    </row>
    <row r="2057" spans="2:2" x14ac:dyDescent="0.2">
      <c r="B2057" s="187"/>
    </row>
    <row r="2058" spans="2:2" x14ac:dyDescent="0.2">
      <c r="B2058" s="187"/>
    </row>
    <row r="2059" spans="2:2" x14ac:dyDescent="0.2">
      <c r="B2059" s="187"/>
    </row>
    <row r="2060" spans="2:2" x14ac:dyDescent="0.2">
      <c r="B2060" s="187"/>
    </row>
    <row r="2061" spans="2:2" x14ac:dyDescent="0.2">
      <c r="B2061" s="187"/>
    </row>
    <row r="2062" spans="2:2" x14ac:dyDescent="0.2">
      <c r="B2062" s="187"/>
    </row>
    <row r="2063" spans="2:2" x14ac:dyDescent="0.2">
      <c r="B2063" s="187"/>
    </row>
    <row r="2064" spans="2:2" x14ac:dyDescent="0.2">
      <c r="B2064" s="187"/>
    </row>
    <row r="2065" spans="2:2" x14ac:dyDescent="0.2">
      <c r="B2065" s="187"/>
    </row>
    <row r="2066" spans="2:2" x14ac:dyDescent="0.2">
      <c r="B2066" s="187"/>
    </row>
    <row r="2067" spans="2:2" x14ac:dyDescent="0.2">
      <c r="B2067" s="187"/>
    </row>
    <row r="2068" spans="2:2" x14ac:dyDescent="0.2">
      <c r="B2068" s="187"/>
    </row>
    <row r="2069" spans="2:2" x14ac:dyDescent="0.2">
      <c r="B2069" s="187"/>
    </row>
    <row r="2070" spans="2:2" x14ac:dyDescent="0.2">
      <c r="B2070" s="187"/>
    </row>
    <row r="2071" spans="2:2" x14ac:dyDescent="0.2">
      <c r="B2071" s="187"/>
    </row>
    <row r="2072" spans="2:2" x14ac:dyDescent="0.2">
      <c r="B2072" s="187"/>
    </row>
    <row r="2073" spans="2:2" x14ac:dyDescent="0.2">
      <c r="B2073" s="187"/>
    </row>
    <row r="2074" spans="2:2" x14ac:dyDescent="0.2">
      <c r="B2074" s="187"/>
    </row>
    <row r="2075" spans="2:2" x14ac:dyDescent="0.2">
      <c r="B2075" s="187"/>
    </row>
    <row r="2076" spans="2:2" x14ac:dyDescent="0.2">
      <c r="B2076" s="187"/>
    </row>
    <row r="2077" spans="2:2" x14ac:dyDescent="0.2">
      <c r="B2077" s="187"/>
    </row>
    <row r="2078" spans="2:2" x14ac:dyDescent="0.2">
      <c r="B2078" s="187"/>
    </row>
    <row r="2079" spans="2:2" x14ac:dyDescent="0.2">
      <c r="B2079" s="187"/>
    </row>
    <row r="2080" spans="2:2" x14ac:dyDescent="0.2">
      <c r="B2080" s="187"/>
    </row>
    <row r="2081" spans="2:2" x14ac:dyDescent="0.2">
      <c r="B2081" s="187"/>
    </row>
    <row r="2082" spans="2:2" x14ac:dyDescent="0.2">
      <c r="B2082" s="187"/>
    </row>
    <row r="2083" spans="2:2" x14ac:dyDescent="0.2">
      <c r="B2083" s="187"/>
    </row>
    <row r="2084" spans="2:2" x14ac:dyDescent="0.2">
      <c r="B2084" s="187"/>
    </row>
    <row r="2085" spans="2:2" x14ac:dyDescent="0.2">
      <c r="B2085" s="187"/>
    </row>
    <row r="2086" spans="2:2" x14ac:dyDescent="0.2">
      <c r="B2086" s="187"/>
    </row>
    <row r="2087" spans="2:2" x14ac:dyDescent="0.2">
      <c r="B2087" s="187"/>
    </row>
    <row r="2088" spans="2:2" x14ac:dyDescent="0.2">
      <c r="B2088" s="187"/>
    </row>
    <row r="2089" spans="2:2" x14ac:dyDescent="0.2">
      <c r="B2089" s="187"/>
    </row>
    <row r="2090" spans="2:2" x14ac:dyDescent="0.2">
      <c r="B2090" s="187"/>
    </row>
    <row r="2091" spans="2:2" x14ac:dyDescent="0.2">
      <c r="B2091" s="187"/>
    </row>
    <row r="2092" spans="2:2" x14ac:dyDescent="0.2">
      <c r="B2092" s="187"/>
    </row>
    <row r="2093" spans="2:2" x14ac:dyDescent="0.2">
      <c r="B2093" s="187"/>
    </row>
    <row r="2094" spans="2:2" x14ac:dyDescent="0.2">
      <c r="B2094" s="187"/>
    </row>
    <row r="2095" spans="2:2" x14ac:dyDescent="0.2">
      <c r="B2095" s="187"/>
    </row>
    <row r="2096" spans="2:2" x14ac:dyDescent="0.2">
      <c r="B2096" s="187"/>
    </row>
    <row r="2097" spans="2:2" x14ac:dyDescent="0.2">
      <c r="B2097" s="187"/>
    </row>
    <row r="2098" spans="2:2" x14ac:dyDescent="0.2">
      <c r="B2098" s="187"/>
    </row>
    <row r="2099" spans="2:2" x14ac:dyDescent="0.2">
      <c r="B2099" s="187"/>
    </row>
    <row r="2100" spans="2:2" x14ac:dyDescent="0.2">
      <c r="B2100" s="187"/>
    </row>
    <row r="2101" spans="2:2" x14ac:dyDescent="0.2">
      <c r="B2101" s="187"/>
    </row>
    <row r="2102" spans="2:2" x14ac:dyDescent="0.2">
      <c r="B2102" s="187"/>
    </row>
    <row r="2103" spans="2:2" x14ac:dyDescent="0.2">
      <c r="B2103" s="187"/>
    </row>
    <row r="2104" spans="2:2" x14ac:dyDescent="0.2">
      <c r="B2104" s="187"/>
    </row>
    <row r="2105" spans="2:2" x14ac:dyDescent="0.2">
      <c r="B2105" s="187"/>
    </row>
    <row r="2106" spans="2:2" x14ac:dyDescent="0.2">
      <c r="B2106" s="187"/>
    </row>
    <row r="2107" spans="2:2" x14ac:dyDescent="0.2">
      <c r="B2107" s="187"/>
    </row>
    <row r="2108" spans="2:2" x14ac:dyDescent="0.2">
      <c r="B2108" s="187"/>
    </row>
    <row r="2109" spans="2:2" x14ac:dyDescent="0.2">
      <c r="B2109" s="187"/>
    </row>
    <row r="2110" spans="2:2" x14ac:dyDescent="0.2">
      <c r="B2110" s="187"/>
    </row>
    <row r="2111" spans="2:2" x14ac:dyDescent="0.2">
      <c r="B2111" s="187"/>
    </row>
    <row r="2112" spans="2:2" x14ac:dyDescent="0.2">
      <c r="B2112" s="187"/>
    </row>
    <row r="2113" spans="2:2" x14ac:dyDescent="0.2">
      <c r="B2113" s="187"/>
    </row>
    <row r="2114" spans="2:2" x14ac:dyDescent="0.2">
      <c r="B2114" s="187"/>
    </row>
    <row r="2115" spans="2:2" x14ac:dyDescent="0.2">
      <c r="B2115" s="187"/>
    </row>
    <row r="2116" spans="2:2" x14ac:dyDescent="0.2">
      <c r="B2116" s="187"/>
    </row>
    <row r="2117" spans="2:2" x14ac:dyDescent="0.2">
      <c r="B2117" s="187"/>
    </row>
    <row r="2118" spans="2:2" x14ac:dyDescent="0.2">
      <c r="B2118" s="187"/>
    </row>
    <row r="2119" spans="2:2" x14ac:dyDescent="0.2">
      <c r="B2119" s="187"/>
    </row>
    <row r="2120" spans="2:2" x14ac:dyDescent="0.2">
      <c r="B2120" s="187"/>
    </row>
    <row r="2121" spans="2:2" x14ac:dyDescent="0.2">
      <c r="B2121" s="187"/>
    </row>
    <row r="2122" spans="2:2" x14ac:dyDescent="0.2">
      <c r="B2122" s="187"/>
    </row>
    <row r="2123" spans="2:2" x14ac:dyDescent="0.2">
      <c r="B2123" s="187"/>
    </row>
    <row r="2124" spans="2:2" x14ac:dyDescent="0.2">
      <c r="B2124" s="187"/>
    </row>
    <row r="2125" spans="2:2" x14ac:dyDescent="0.2">
      <c r="B2125" s="187"/>
    </row>
    <row r="2126" spans="2:2" x14ac:dyDescent="0.2">
      <c r="B2126" s="187"/>
    </row>
    <row r="2127" spans="2:2" x14ac:dyDescent="0.2">
      <c r="B2127" s="187"/>
    </row>
    <row r="2128" spans="2:2" x14ac:dyDescent="0.2">
      <c r="B2128" s="187"/>
    </row>
    <row r="2129" spans="2:2" x14ac:dyDescent="0.2">
      <c r="B2129" s="187"/>
    </row>
    <row r="2130" spans="2:2" x14ac:dyDescent="0.2">
      <c r="B2130" s="187"/>
    </row>
    <row r="2131" spans="2:2" x14ac:dyDescent="0.2">
      <c r="B2131" s="187"/>
    </row>
    <row r="2132" spans="2:2" x14ac:dyDescent="0.2">
      <c r="B2132" s="187"/>
    </row>
    <row r="2133" spans="2:2" x14ac:dyDescent="0.2">
      <c r="B2133" s="187"/>
    </row>
    <row r="2134" spans="2:2" x14ac:dyDescent="0.2">
      <c r="B2134" s="187"/>
    </row>
    <row r="2135" spans="2:2" x14ac:dyDescent="0.2">
      <c r="B2135" s="187"/>
    </row>
    <row r="2136" spans="2:2" x14ac:dyDescent="0.2">
      <c r="B2136" s="187"/>
    </row>
    <row r="2137" spans="2:2" x14ac:dyDescent="0.2">
      <c r="B2137" s="187"/>
    </row>
    <row r="2138" spans="2:2" x14ac:dyDescent="0.2">
      <c r="B2138" s="187"/>
    </row>
    <row r="2139" spans="2:2" x14ac:dyDescent="0.2">
      <c r="B2139" s="187"/>
    </row>
    <row r="2140" spans="2:2" x14ac:dyDescent="0.2">
      <c r="B2140" s="187"/>
    </row>
    <row r="2141" spans="2:2" x14ac:dyDescent="0.2">
      <c r="B2141" s="187"/>
    </row>
    <row r="2142" spans="2:2" x14ac:dyDescent="0.2">
      <c r="B2142" s="187"/>
    </row>
    <row r="2143" spans="2:2" x14ac:dyDescent="0.2">
      <c r="B2143" s="187"/>
    </row>
    <row r="2144" spans="2:2" x14ac:dyDescent="0.2">
      <c r="B2144" s="187"/>
    </row>
    <row r="2145" spans="2:2" x14ac:dyDescent="0.2">
      <c r="B2145" s="187"/>
    </row>
    <row r="2146" spans="2:2" x14ac:dyDescent="0.2">
      <c r="B2146" s="187"/>
    </row>
    <row r="2147" spans="2:2" x14ac:dyDescent="0.2">
      <c r="B2147" s="187"/>
    </row>
    <row r="2148" spans="2:2" x14ac:dyDescent="0.2">
      <c r="B2148" s="187"/>
    </row>
    <row r="2149" spans="2:2" x14ac:dyDescent="0.2">
      <c r="B2149" s="187"/>
    </row>
    <row r="2150" spans="2:2" x14ac:dyDescent="0.2">
      <c r="B2150" s="187"/>
    </row>
    <row r="2151" spans="2:2" x14ac:dyDescent="0.2">
      <c r="B2151" s="187"/>
    </row>
    <row r="2152" spans="2:2" x14ac:dyDescent="0.2">
      <c r="B2152" s="187"/>
    </row>
    <row r="2153" spans="2:2" x14ac:dyDescent="0.2">
      <c r="B2153" s="187"/>
    </row>
    <row r="2154" spans="2:2" x14ac:dyDescent="0.2">
      <c r="B2154" s="187"/>
    </row>
    <row r="2155" spans="2:2" x14ac:dyDescent="0.2">
      <c r="B2155" s="187"/>
    </row>
    <row r="2156" spans="2:2" x14ac:dyDescent="0.2">
      <c r="B2156" s="187"/>
    </row>
    <row r="2157" spans="2:2" x14ac:dyDescent="0.2">
      <c r="B2157" s="187"/>
    </row>
    <row r="2158" spans="2:2" x14ac:dyDescent="0.2">
      <c r="B2158" s="187"/>
    </row>
    <row r="2159" spans="2:2" x14ac:dyDescent="0.2">
      <c r="B2159" s="187"/>
    </row>
    <row r="2160" spans="2:2" x14ac:dyDescent="0.2">
      <c r="B2160" s="187"/>
    </row>
    <row r="2161" spans="2:2" x14ac:dyDescent="0.2">
      <c r="B2161" s="187"/>
    </row>
    <row r="2162" spans="2:2" x14ac:dyDescent="0.2">
      <c r="B2162" s="187"/>
    </row>
    <row r="2163" spans="2:2" x14ac:dyDescent="0.2">
      <c r="B2163" s="187"/>
    </row>
    <row r="2164" spans="2:2" x14ac:dyDescent="0.2">
      <c r="B2164" s="187"/>
    </row>
    <row r="2165" spans="2:2" x14ac:dyDescent="0.2">
      <c r="B2165" s="187"/>
    </row>
    <row r="2166" spans="2:2" x14ac:dyDescent="0.2">
      <c r="B2166" s="187"/>
    </row>
    <row r="2167" spans="2:2" x14ac:dyDescent="0.2">
      <c r="B2167" s="187"/>
    </row>
    <row r="2168" spans="2:2" x14ac:dyDescent="0.2">
      <c r="B2168" s="187"/>
    </row>
    <row r="2169" spans="2:2" x14ac:dyDescent="0.2">
      <c r="B2169" s="187"/>
    </row>
    <row r="2170" spans="2:2" x14ac:dyDescent="0.2">
      <c r="B2170" s="187"/>
    </row>
    <row r="2171" spans="2:2" x14ac:dyDescent="0.2">
      <c r="B2171" s="187"/>
    </row>
    <row r="2172" spans="2:2" x14ac:dyDescent="0.2">
      <c r="B2172" s="187"/>
    </row>
    <row r="2173" spans="2:2" x14ac:dyDescent="0.2">
      <c r="B2173" s="187"/>
    </row>
    <row r="2174" spans="2:2" x14ac:dyDescent="0.2">
      <c r="B2174" s="187"/>
    </row>
    <row r="2175" spans="2:2" x14ac:dyDescent="0.2">
      <c r="B2175" s="187"/>
    </row>
    <row r="2176" spans="2:2" x14ac:dyDescent="0.2">
      <c r="B2176" s="187"/>
    </row>
    <row r="2177" spans="2:2" x14ac:dyDescent="0.2">
      <c r="B2177" s="187"/>
    </row>
    <row r="2178" spans="2:2" x14ac:dyDescent="0.2">
      <c r="B2178" s="187"/>
    </row>
    <row r="2179" spans="2:2" x14ac:dyDescent="0.2">
      <c r="B2179" s="187"/>
    </row>
    <row r="2180" spans="2:2" x14ac:dyDescent="0.2">
      <c r="B2180" s="187"/>
    </row>
    <row r="2181" spans="2:2" x14ac:dyDescent="0.2">
      <c r="B2181" s="187"/>
    </row>
    <row r="2182" spans="2:2" x14ac:dyDescent="0.2">
      <c r="B2182" s="187"/>
    </row>
    <row r="2183" spans="2:2" x14ac:dyDescent="0.2">
      <c r="B2183" s="187"/>
    </row>
    <row r="2184" spans="2:2" x14ac:dyDescent="0.2">
      <c r="B2184" s="187"/>
    </row>
    <row r="2185" spans="2:2" x14ac:dyDescent="0.2">
      <c r="B2185" s="187"/>
    </row>
    <row r="2186" spans="2:2" x14ac:dyDescent="0.2">
      <c r="B2186" s="187"/>
    </row>
    <row r="2187" spans="2:2" x14ac:dyDescent="0.2">
      <c r="B2187" s="187"/>
    </row>
    <row r="2188" spans="2:2" x14ac:dyDescent="0.2">
      <c r="B2188" s="187"/>
    </row>
    <row r="2189" spans="2:2" x14ac:dyDescent="0.2">
      <c r="B2189" s="187"/>
    </row>
    <row r="2190" spans="2:2" x14ac:dyDescent="0.2">
      <c r="B2190" s="187"/>
    </row>
    <row r="2191" spans="2:2" x14ac:dyDescent="0.2">
      <c r="B2191" s="187"/>
    </row>
    <row r="2192" spans="2:2" x14ac:dyDescent="0.2">
      <c r="B2192" s="187"/>
    </row>
    <row r="2193" spans="2:2" x14ac:dyDescent="0.2">
      <c r="B2193" s="187"/>
    </row>
    <row r="2194" spans="2:2" x14ac:dyDescent="0.2">
      <c r="B2194" s="187"/>
    </row>
    <row r="2195" spans="2:2" x14ac:dyDescent="0.2">
      <c r="B2195" s="187"/>
    </row>
    <row r="2196" spans="2:2" x14ac:dyDescent="0.2">
      <c r="B2196" s="187"/>
    </row>
    <row r="2197" spans="2:2" x14ac:dyDescent="0.2">
      <c r="B2197" s="187"/>
    </row>
    <row r="2198" spans="2:2" x14ac:dyDescent="0.2">
      <c r="B2198" s="187"/>
    </row>
    <row r="2199" spans="2:2" x14ac:dyDescent="0.2">
      <c r="B2199" s="187"/>
    </row>
    <row r="2200" spans="2:2" x14ac:dyDescent="0.2">
      <c r="B2200" s="187"/>
    </row>
    <row r="2201" spans="2:2" x14ac:dyDescent="0.2">
      <c r="B2201" s="187"/>
    </row>
    <row r="2202" spans="2:2" x14ac:dyDescent="0.2">
      <c r="B2202" s="187"/>
    </row>
    <row r="2203" spans="2:2" x14ac:dyDescent="0.2">
      <c r="B2203" s="187"/>
    </row>
    <row r="2204" spans="2:2" x14ac:dyDescent="0.2">
      <c r="B2204" s="187"/>
    </row>
    <row r="2205" spans="2:2" x14ac:dyDescent="0.2">
      <c r="B2205" s="187"/>
    </row>
    <row r="2206" spans="2:2" x14ac:dyDescent="0.2">
      <c r="B2206" s="187"/>
    </row>
    <row r="2207" spans="2:2" x14ac:dyDescent="0.2">
      <c r="B2207" s="187"/>
    </row>
    <row r="2208" spans="2:2" x14ac:dyDescent="0.2">
      <c r="B2208" s="187"/>
    </row>
    <row r="2209" spans="2:2" x14ac:dyDescent="0.2">
      <c r="B2209" s="187"/>
    </row>
    <row r="2210" spans="2:2" x14ac:dyDescent="0.2">
      <c r="B2210" s="187"/>
    </row>
    <row r="2211" spans="2:2" x14ac:dyDescent="0.2">
      <c r="B2211" s="187"/>
    </row>
    <row r="2212" spans="2:2" x14ac:dyDescent="0.2">
      <c r="B2212" s="187"/>
    </row>
    <row r="2213" spans="2:2" x14ac:dyDescent="0.2">
      <c r="B2213" s="187"/>
    </row>
    <row r="2214" spans="2:2" x14ac:dyDescent="0.2">
      <c r="B2214" s="187"/>
    </row>
    <row r="2215" spans="2:2" x14ac:dyDescent="0.2">
      <c r="B2215" s="187"/>
    </row>
    <row r="2216" spans="2:2" x14ac:dyDescent="0.2">
      <c r="B2216" s="187"/>
    </row>
    <row r="2217" spans="2:2" x14ac:dyDescent="0.2">
      <c r="B2217" s="187"/>
    </row>
    <row r="2218" spans="2:2" x14ac:dyDescent="0.2">
      <c r="B2218" s="187"/>
    </row>
    <row r="2219" spans="2:2" x14ac:dyDescent="0.2">
      <c r="B2219" s="187"/>
    </row>
    <row r="2220" spans="2:2" x14ac:dyDescent="0.2">
      <c r="B2220" s="187"/>
    </row>
    <row r="2221" spans="2:2" x14ac:dyDescent="0.2">
      <c r="B2221" s="187"/>
    </row>
    <row r="2222" spans="2:2" x14ac:dyDescent="0.2">
      <c r="B2222" s="187"/>
    </row>
    <row r="2223" spans="2:2" x14ac:dyDescent="0.2">
      <c r="B2223" s="187"/>
    </row>
    <row r="2224" spans="2:2" x14ac:dyDescent="0.2">
      <c r="B2224" s="187"/>
    </row>
    <row r="2225" spans="2:2" x14ac:dyDescent="0.2">
      <c r="B2225" s="187"/>
    </row>
    <row r="2226" spans="2:2" x14ac:dyDescent="0.2">
      <c r="B2226" s="187"/>
    </row>
    <row r="2227" spans="2:2" x14ac:dyDescent="0.2">
      <c r="B2227" s="187"/>
    </row>
    <row r="2228" spans="2:2" x14ac:dyDescent="0.2">
      <c r="B2228" s="187"/>
    </row>
    <row r="2229" spans="2:2" x14ac:dyDescent="0.2">
      <c r="B2229" s="187"/>
    </row>
    <row r="2230" spans="2:2" x14ac:dyDescent="0.2">
      <c r="B2230" s="187"/>
    </row>
    <row r="2231" spans="2:2" x14ac:dyDescent="0.2">
      <c r="B2231" s="187"/>
    </row>
    <row r="2232" spans="2:2" x14ac:dyDescent="0.2">
      <c r="B2232" s="187"/>
    </row>
    <row r="2233" spans="2:2" x14ac:dyDescent="0.2">
      <c r="B2233" s="187"/>
    </row>
    <row r="2234" spans="2:2" x14ac:dyDescent="0.2">
      <c r="B2234" s="187"/>
    </row>
    <row r="2235" spans="2:2" x14ac:dyDescent="0.2">
      <c r="B2235" s="187"/>
    </row>
    <row r="2236" spans="2:2" x14ac:dyDescent="0.2">
      <c r="B2236" s="187"/>
    </row>
    <row r="2237" spans="2:2" x14ac:dyDescent="0.2">
      <c r="B2237" s="187"/>
    </row>
    <row r="2238" spans="2:2" x14ac:dyDescent="0.2">
      <c r="B2238" s="187"/>
    </row>
    <row r="2239" spans="2:2" x14ac:dyDescent="0.2">
      <c r="B2239" s="187"/>
    </row>
    <row r="2240" spans="2:2" x14ac:dyDescent="0.2">
      <c r="B2240" s="187"/>
    </row>
    <row r="2241" spans="2:2" x14ac:dyDescent="0.2">
      <c r="B2241" s="187"/>
    </row>
    <row r="2242" spans="2:2" x14ac:dyDescent="0.2">
      <c r="B2242" s="187"/>
    </row>
    <row r="2243" spans="2:2" x14ac:dyDescent="0.2">
      <c r="B2243" s="187"/>
    </row>
    <row r="2244" spans="2:2" x14ac:dyDescent="0.2">
      <c r="B2244" s="187"/>
    </row>
    <row r="2245" spans="2:2" x14ac:dyDescent="0.2">
      <c r="B2245" s="187"/>
    </row>
    <row r="2246" spans="2:2" x14ac:dyDescent="0.2">
      <c r="B2246" s="187"/>
    </row>
    <row r="2247" spans="2:2" x14ac:dyDescent="0.2">
      <c r="B2247" s="187"/>
    </row>
    <row r="2248" spans="2:2" x14ac:dyDescent="0.2">
      <c r="B2248" s="187"/>
    </row>
    <row r="2249" spans="2:2" x14ac:dyDescent="0.2">
      <c r="B2249" s="187"/>
    </row>
    <row r="2250" spans="2:2" x14ac:dyDescent="0.2">
      <c r="B2250" s="187"/>
    </row>
    <row r="2251" spans="2:2" x14ac:dyDescent="0.2">
      <c r="B2251" s="187"/>
    </row>
    <row r="2252" spans="2:2" x14ac:dyDescent="0.2">
      <c r="B2252" s="187"/>
    </row>
    <row r="2253" spans="2:2" x14ac:dyDescent="0.2">
      <c r="B2253" s="187"/>
    </row>
    <row r="2254" spans="2:2" x14ac:dyDescent="0.2">
      <c r="B2254" s="187"/>
    </row>
    <row r="2255" spans="2:2" x14ac:dyDescent="0.2">
      <c r="B2255" s="187"/>
    </row>
    <row r="2256" spans="2:2" x14ac:dyDescent="0.2">
      <c r="B2256" s="187"/>
    </row>
    <row r="2257" spans="2:2" x14ac:dyDescent="0.2">
      <c r="B2257" s="187"/>
    </row>
    <row r="2258" spans="2:2" x14ac:dyDescent="0.2">
      <c r="B2258" s="187"/>
    </row>
    <row r="2259" spans="2:2" x14ac:dyDescent="0.2">
      <c r="B2259" s="187"/>
    </row>
    <row r="2260" spans="2:2" x14ac:dyDescent="0.2">
      <c r="B2260" s="187"/>
    </row>
    <row r="2261" spans="2:2" x14ac:dyDescent="0.2">
      <c r="B2261" s="187"/>
    </row>
    <row r="2262" spans="2:2" x14ac:dyDescent="0.2">
      <c r="B2262" s="187"/>
    </row>
    <row r="2263" spans="2:2" x14ac:dyDescent="0.2">
      <c r="B2263" s="187"/>
    </row>
    <row r="2264" spans="2:2" x14ac:dyDescent="0.2">
      <c r="B2264" s="187"/>
    </row>
    <row r="2265" spans="2:2" x14ac:dyDescent="0.2">
      <c r="B2265" s="187"/>
    </row>
    <row r="2266" spans="2:2" x14ac:dyDescent="0.2">
      <c r="B2266" s="187"/>
    </row>
    <row r="2267" spans="2:2" x14ac:dyDescent="0.2">
      <c r="B2267" s="187"/>
    </row>
    <row r="2268" spans="2:2" x14ac:dyDescent="0.2">
      <c r="B2268" s="187"/>
    </row>
    <row r="2269" spans="2:2" x14ac:dyDescent="0.2">
      <c r="B2269" s="187"/>
    </row>
    <row r="2270" spans="2:2" x14ac:dyDescent="0.2">
      <c r="B2270" s="187"/>
    </row>
    <row r="2271" spans="2:2" x14ac:dyDescent="0.2">
      <c r="B2271" s="187"/>
    </row>
    <row r="2272" spans="2:2" x14ac:dyDescent="0.2">
      <c r="B2272" s="187"/>
    </row>
    <row r="2273" spans="2:2" x14ac:dyDescent="0.2">
      <c r="B2273" s="187"/>
    </row>
    <row r="2274" spans="2:2" x14ac:dyDescent="0.2">
      <c r="B2274" s="187"/>
    </row>
    <row r="2275" spans="2:2" x14ac:dyDescent="0.2">
      <c r="B2275" s="187"/>
    </row>
    <row r="2276" spans="2:2" x14ac:dyDescent="0.2">
      <c r="B2276" s="187"/>
    </row>
    <row r="2277" spans="2:2" x14ac:dyDescent="0.2">
      <c r="B2277" s="187"/>
    </row>
    <row r="2278" spans="2:2" x14ac:dyDescent="0.2">
      <c r="B2278" s="187"/>
    </row>
    <row r="2279" spans="2:2" x14ac:dyDescent="0.2">
      <c r="B2279" s="187"/>
    </row>
    <row r="2280" spans="2:2" x14ac:dyDescent="0.2">
      <c r="B2280" s="187"/>
    </row>
    <row r="2281" spans="2:2" x14ac:dyDescent="0.2">
      <c r="B2281" s="187"/>
    </row>
    <row r="2282" spans="2:2" x14ac:dyDescent="0.2">
      <c r="B2282" s="187"/>
    </row>
    <row r="2283" spans="2:2" x14ac:dyDescent="0.2">
      <c r="B2283" s="187"/>
    </row>
    <row r="2284" spans="2:2" x14ac:dyDescent="0.2">
      <c r="B2284" s="187"/>
    </row>
    <row r="2285" spans="2:2" x14ac:dyDescent="0.2">
      <c r="B2285" s="187"/>
    </row>
    <row r="2286" spans="2:2" x14ac:dyDescent="0.2">
      <c r="B2286" s="187"/>
    </row>
    <row r="2287" spans="2:2" x14ac:dyDescent="0.2">
      <c r="B2287" s="187"/>
    </row>
    <row r="2288" spans="2:2" x14ac:dyDescent="0.2">
      <c r="B2288" s="187"/>
    </row>
    <row r="2289" spans="2:2" x14ac:dyDescent="0.2">
      <c r="B2289" s="187"/>
    </row>
    <row r="2290" spans="2:2" x14ac:dyDescent="0.2">
      <c r="B2290" s="187"/>
    </row>
    <row r="2291" spans="2:2" x14ac:dyDescent="0.2">
      <c r="B2291" s="187"/>
    </row>
    <row r="2292" spans="2:2" x14ac:dyDescent="0.2">
      <c r="B2292" s="187"/>
    </row>
    <row r="2293" spans="2:2" x14ac:dyDescent="0.2">
      <c r="B2293" s="187"/>
    </row>
    <row r="2294" spans="2:2" x14ac:dyDescent="0.2">
      <c r="B2294" s="187"/>
    </row>
    <row r="2295" spans="2:2" x14ac:dyDescent="0.2">
      <c r="B2295" s="187"/>
    </row>
    <row r="2296" spans="2:2" x14ac:dyDescent="0.2">
      <c r="B2296" s="187"/>
    </row>
    <row r="2297" spans="2:2" x14ac:dyDescent="0.2">
      <c r="B2297" s="187"/>
    </row>
    <row r="2298" spans="2:2" x14ac:dyDescent="0.2">
      <c r="B2298" s="187"/>
    </row>
    <row r="2299" spans="2:2" x14ac:dyDescent="0.2">
      <c r="B2299" s="187"/>
    </row>
    <row r="2300" spans="2:2" x14ac:dyDescent="0.2">
      <c r="B2300" s="187"/>
    </row>
    <row r="2301" spans="2:2" x14ac:dyDescent="0.2">
      <c r="B2301" s="187"/>
    </row>
    <row r="2302" spans="2:2" x14ac:dyDescent="0.2">
      <c r="B2302" s="187"/>
    </row>
    <row r="2303" spans="2:2" x14ac:dyDescent="0.2">
      <c r="B2303" s="187"/>
    </row>
    <row r="2304" spans="2:2" x14ac:dyDescent="0.2">
      <c r="B2304" s="187"/>
    </row>
    <row r="2305" spans="2:2" x14ac:dyDescent="0.2">
      <c r="B2305" s="187"/>
    </row>
    <row r="2306" spans="2:2" x14ac:dyDescent="0.2">
      <c r="B2306" s="187"/>
    </row>
    <row r="2307" spans="2:2" x14ac:dyDescent="0.2">
      <c r="B2307" s="187"/>
    </row>
    <row r="2308" spans="2:2" x14ac:dyDescent="0.2">
      <c r="B2308" s="187"/>
    </row>
    <row r="2309" spans="2:2" x14ac:dyDescent="0.2">
      <c r="B2309" s="187"/>
    </row>
    <row r="2310" spans="2:2" x14ac:dyDescent="0.2">
      <c r="B2310" s="187"/>
    </row>
    <row r="2311" spans="2:2" x14ac:dyDescent="0.2">
      <c r="B2311" s="187"/>
    </row>
    <row r="2312" spans="2:2" x14ac:dyDescent="0.2">
      <c r="B2312" s="187"/>
    </row>
    <row r="2313" spans="2:2" x14ac:dyDescent="0.2">
      <c r="B2313" s="187"/>
    </row>
    <row r="2314" spans="2:2" x14ac:dyDescent="0.2">
      <c r="B2314" s="187"/>
    </row>
    <row r="2315" spans="2:2" x14ac:dyDescent="0.2">
      <c r="B2315" s="187"/>
    </row>
    <row r="2316" spans="2:2" x14ac:dyDescent="0.2">
      <c r="B2316" s="187"/>
    </row>
    <row r="2317" spans="2:2" x14ac:dyDescent="0.2">
      <c r="B2317" s="187"/>
    </row>
    <row r="2318" spans="2:2" x14ac:dyDescent="0.2">
      <c r="B2318" s="187"/>
    </row>
    <row r="2319" spans="2:2" x14ac:dyDescent="0.2">
      <c r="B2319" s="187"/>
    </row>
    <row r="2320" spans="2:2" x14ac:dyDescent="0.2">
      <c r="B2320" s="187"/>
    </row>
    <row r="2321" spans="2:2" x14ac:dyDescent="0.2">
      <c r="B2321" s="187"/>
    </row>
    <row r="2322" spans="2:2" x14ac:dyDescent="0.2">
      <c r="B2322" s="187"/>
    </row>
    <row r="2323" spans="2:2" x14ac:dyDescent="0.2">
      <c r="B2323" s="187"/>
    </row>
    <row r="2324" spans="2:2" x14ac:dyDescent="0.2">
      <c r="B2324" s="187"/>
    </row>
    <row r="2325" spans="2:2" x14ac:dyDescent="0.2">
      <c r="B2325" s="187"/>
    </row>
    <row r="2326" spans="2:2" x14ac:dyDescent="0.2">
      <c r="B2326" s="187"/>
    </row>
    <row r="2327" spans="2:2" x14ac:dyDescent="0.2">
      <c r="B2327" s="187"/>
    </row>
    <row r="2328" spans="2:2" x14ac:dyDescent="0.2">
      <c r="B2328" s="187"/>
    </row>
    <row r="2329" spans="2:2" x14ac:dyDescent="0.2">
      <c r="B2329" s="187"/>
    </row>
    <row r="2330" spans="2:2" x14ac:dyDescent="0.2">
      <c r="B2330" s="187"/>
    </row>
    <row r="2331" spans="2:2" x14ac:dyDescent="0.2">
      <c r="B2331" s="187"/>
    </row>
    <row r="2332" spans="2:2" x14ac:dyDescent="0.2">
      <c r="B2332" s="187"/>
    </row>
    <row r="2333" spans="2:2" x14ac:dyDescent="0.2">
      <c r="B2333" s="187"/>
    </row>
    <row r="2334" spans="2:2" x14ac:dyDescent="0.2">
      <c r="B2334" s="187"/>
    </row>
    <row r="2335" spans="2:2" x14ac:dyDescent="0.2">
      <c r="B2335" s="187"/>
    </row>
    <row r="2336" spans="2:2" x14ac:dyDescent="0.2">
      <c r="B2336" s="187"/>
    </row>
    <row r="2337" spans="2:2" x14ac:dyDescent="0.2">
      <c r="B2337" s="187"/>
    </row>
    <row r="2338" spans="2:2" x14ac:dyDescent="0.2">
      <c r="B2338" s="187"/>
    </row>
    <row r="2339" spans="2:2" x14ac:dyDescent="0.2">
      <c r="B2339" s="187"/>
    </row>
    <row r="2340" spans="2:2" x14ac:dyDescent="0.2">
      <c r="B2340" s="187"/>
    </row>
    <row r="2341" spans="2:2" x14ac:dyDescent="0.2">
      <c r="B2341" s="187"/>
    </row>
    <row r="2342" spans="2:2" x14ac:dyDescent="0.2">
      <c r="B2342" s="187"/>
    </row>
    <row r="2343" spans="2:2" x14ac:dyDescent="0.2">
      <c r="B2343" s="187"/>
    </row>
    <row r="2344" spans="2:2" x14ac:dyDescent="0.2">
      <c r="B2344" s="187"/>
    </row>
    <row r="2345" spans="2:2" x14ac:dyDescent="0.2">
      <c r="B2345" s="187"/>
    </row>
    <row r="2346" spans="2:2" x14ac:dyDescent="0.2">
      <c r="B2346" s="187"/>
    </row>
    <row r="2347" spans="2:2" x14ac:dyDescent="0.2">
      <c r="B2347" s="187"/>
    </row>
    <row r="2348" spans="2:2" x14ac:dyDescent="0.2">
      <c r="B2348" s="187"/>
    </row>
    <row r="2349" spans="2:2" x14ac:dyDescent="0.2">
      <c r="B2349" s="187"/>
    </row>
    <row r="2350" spans="2:2" x14ac:dyDescent="0.2">
      <c r="B2350" s="187"/>
    </row>
    <row r="2351" spans="2:2" x14ac:dyDescent="0.2">
      <c r="B2351" s="187"/>
    </row>
    <row r="2352" spans="2:2" x14ac:dyDescent="0.2">
      <c r="B2352" s="187"/>
    </row>
    <row r="2353" spans="2:2" x14ac:dyDescent="0.2">
      <c r="B2353" s="187"/>
    </row>
    <row r="2354" spans="2:2" x14ac:dyDescent="0.2">
      <c r="B2354" s="187"/>
    </row>
    <row r="2355" spans="2:2" x14ac:dyDescent="0.2">
      <c r="B2355" s="187"/>
    </row>
    <row r="2356" spans="2:2" x14ac:dyDescent="0.2">
      <c r="B2356" s="187"/>
    </row>
    <row r="2357" spans="2:2" x14ac:dyDescent="0.2">
      <c r="B2357" s="187"/>
    </row>
    <row r="2358" spans="2:2" x14ac:dyDescent="0.2">
      <c r="B2358" s="187"/>
    </row>
    <row r="2359" spans="2:2" x14ac:dyDescent="0.2">
      <c r="B2359" s="187"/>
    </row>
    <row r="2360" spans="2:2" x14ac:dyDescent="0.2">
      <c r="B2360" s="187"/>
    </row>
    <row r="2361" spans="2:2" x14ac:dyDescent="0.2">
      <c r="B2361" s="187"/>
    </row>
    <row r="2362" spans="2:2" x14ac:dyDescent="0.2">
      <c r="B2362" s="187"/>
    </row>
    <row r="2363" spans="2:2" x14ac:dyDescent="0.2">
      <c r="B2363" s="187"/>
    </row>
    <row r="2364" spans="2:2" x14ac:dyDescent="0.2">
      <c r="B2364" s="187"/>
    </row>
    <row r="2365" spans="2:2" x14ac:dyDescent="0.2">
      <c r="B2365" s="187"/>
    </row>
    <row r="2366" spans="2:2" x14ac:dyDescent="0.2">
      <c r="B2366" s="187"/>
    </row>
    <row r="2367" spans="2:2" x14ac:dyDescent="0.2">
      <c r="B2367" s="187"/>
    </row>
    <row r="2368" spans="2:2" x14ac:dyDescent="0.2">
      <c r="B2368" s="187"/>
    </row>
    <row r="2369" spans="2:2" x14ac:dyDescent="0.2">
      <c r="B2369" s="187"/>
    </row>
    <row r="2370" spans="2:2" x14ac:dyDescent="0.2">
      <c r="B2370" s="187"/>
    </row>
    <row r="2371" spans="2:2" x14ac:dyDescent="0.2">
      <c r="B2371" s="187"/>
    </row>
    <row r="2372" spans="2:2" x14ac:dyDescent="0.2">
      <c r="B2372" s="187"/>
    </row>
    <row r="2373" spans="2:2" x14ac:dyDescent="0.2">
      <c r="B2373" s="187"/>
    </row>
    <row r="2374" spans="2:2" x14ac:dyDescent="0.2">
      <c r="B2374" s="187"/>
    </row>
    <row r="2375" spans="2:2" x14ac:dyDescent="0.2">
      <c r="B2375" s="187"/>
    </row>
    <row r="2376" spans="2:2" x14ac:dyDescent="0.2">
      <c r="B2376" s="187"/>
    </row>
    <row r="2377" spans="2:2" x14ac:dyDescent="0.2">
      <c r="B2377" s="187"/>
    </row>
    <row r="2378" spans="2:2" x14ac:dyDescent="0.2">
      <c r="B2378" s="187"/>
    </row>
    <row r="2379" spans="2:2" x14ac:dyDescent="0.2">
      <c r="B2379" s="187"/>
    </row>
    <row r="2380" spans="2:2" x14ac:dyDescent="0.2">
      <c r="B2380" s="187"/>
    </row>
    <row r="2381" spans="2:2" x14ac:dyDescent="0.2">
      <c r="B2381" s="187"/>
    </row>
    <row r="2382" spans="2:2" x14ac:dyDescent="0.2">
      <c r="B2382" s="187"/>
    </row>
    <row r="2383" spans="2:2" x14ac:dyDescent="0.2">
      <c r="B2383" s="187"/>
    </row>
    <row r="2384" spans="2:2" x14ac:dyDescent="0.2">
      <c r="B2384" s="187"/>
    </row>
    <row r="2385" spans="2:2" x14ac:dyDescent="0.2">
      <c r="B2385" s="187"/>
    </row>
    <row r="2386" spans="2:2" x14ac:dyDescent="0.2">
      <c r="B2386" s="187"/>
    </row>
    <row r="2387" spans="2:2" x14ac:dyDescent="0.2">
      <c r="B2387" s="187"/>
    </row>
    <row r="2388" spans="2:2" x14ac:dyDescent="0.2">
      <c r="B2388" s="187"/>
    </row>
    <row r="2389" spans="2:2" x14ac:dyDescent="0.2">
      <c r="B2389" s="187"/>
    </row>
    <row r="2390" spans="2:2" x14ac:dyDescent="0.2">
      <c r="B2390" s="187"/>
    </row>
    <row r="2391" spans="2:2" x14ac:dyDescent="0.2">
      <c r="B2391" s="187"/>
    </row>
    <row r="2392" spans="2:2" x14ac:dyDescent="0.2">
      <c r="B2392" s="187"/>
    </row>
    <row r="2393" spans="2:2" x14ac:dyDescent="0.2">
      <c r="B2393" s="187"/>
    </row>
    <row r="2394" spans="2:2" x14ac:dyDescent="0.2">
      <c r="B2394" s="187"/>
    </row>
    <row r="2395" spans="2:2" x14ac:dyDescent="0.2">
      <c r="B2395" s="187"/>
    </row>
    <row r="2396" spans="2:2" x14ac:dyDescent="0.2">
      <c r="B2396" s="187"/>
    </row>
    <row r="2397" spans="2:2" x14ac:dyDescent="0.2">
      <c r="B2397" s="187"/>
    </row>
    <row r="2398" spans="2:2" x14ac:dyDescent="0.2">
      <c r="B2398" s="187"/>
    </row>
    <row r="2399" spans="2:2" x14ac:dyDescent="0.2">
      <c r="B2399" s="187"/>
    </row>
    <row r="2400" spans="2:2" x14ac:dyDescent="0.2">
      <c r="B2400" s="187"/>
    </row>
    <row r="2401" spans="2:2" x14ac:dyDescent="0.2">
      <c r="B2401" s="187"/>
    </row>
    <row r="2402" spans="2:2" x14ac:dyDescent="0.2">
      <c r="B2402" s="187"/>
    </row>
    <row r="2403" spans="2:2" x14ac:dyDescent="0.2">
      <c r="B2403" s="187"/>
    </row>
    <row r="2404" spans="2:2" x14ac:dyDescent="0.2">
      <c r="B2404" s="187"/>
    </row>
    <row r="2405" spans="2:2" x14ac:dyDescent="0.2">
      <c r="B2405" s="187"/>
    </row>
    <row r="2406" spans="2:2" x14ac:dyDescent="0.2">
      <c r="B2406" s="187"/>
    </row>
    <row r="2407" spans="2:2" x14ac:dyDescent="0.2">
      <c r="B2407" s="187"/>
    </row>
    <row r="2408" spans="2:2" x14ac:dyDescent="0.2">
      <c r="B2408" s="187"/>
    </row>
    <row r="2409" spans="2:2" x14ac:dyDescent="0.2">
      <c r="B2409" s="187"/>
    </row>
    <row r="2410" spans="2:2" x14ac:dyDescent="0.2">
      <c r="B2410" s="187"/>
    </row>
    <row r="2411" spans="2:2" x14ac:dyDescent="0.2">
      <c r="B2411" s="187"/>
    </row>
    <row r="2412" spans="2:2" x14ac:dyDescent="0.2">
      <c r="B2412" s="187"/>
    </row>
    <row r="2413" spans="2:2" x14ac:dyDescent="0.2">
      <c r="B2413" s="187"/>
    </row>
    <row r="2414" spans="2:2" x14ac:dyDescent="0.2">
      <c r="B2414" s="187"/>
    </row>
    <row r="2415" spans="2:2" x14ac:dyDescent="0.2">
      <c r="B2415" s="187"/>
    </row>
    <row r="2416" spans="2:2" x14ac:dyDescent="0.2">
      <c r="B2416" s="187"/>
    </row>
    <row r="2417" spans="2:2" x14ac:dyDescent="0.2">
      <c r="B2417" s="187"/>
    </row>
    <row r="2418" spans="2:2" x14ac:dyDescent="0.2">
      <c r="B2418" s="187"/>
    </row>
    <row r="2419" spans="2:2" x14ac:dyDescent="0.2">
      <c r="B2419" s="187"/>
    </row>
    <row r="2420" spans="2:2" x14ac:dyDescent="0.2">
      <c r="B2420" s="187"/>
    </row>
    <row r="2421" spans="2:2" x14ac:dyDescent="0.2">
      <c r="B2421" s="187"/>
    </row>
    <row r="2422" spans="2:2" x14ac:dyDescent="0.2">
      <c r="B2422" s="187"/>
    </row>
    <row r="2423" spans="2:2" x14ac:dyDescent="0.2">
      <c r="B2423" s="187"/>
    </row>
    <row r="2424" spans="2:2" x14ac:dyDescent="0.2">
      <c r="B2424" s="187"/>
    </row>
    <row r="2425" spans="2:2" x14ac:dyDescent="0.2">
      <c r="B2425" s="187"/>
    </row>
    <row r="2426" spans="2:2" x14ac:dyDescent="0.2">
      <c r="B2426" s="187"/>
    </row>
    <row r="2427" spans="2:2" x14ac:dyDescent="0.2">
      <c r="B2427" s="187"/>
    </row>
    <row r="2428" spans="2:2" x14ac:dyDescent="0.2">
      <c r="B2428" s="187"/>
    </row>
    <row r="2429" spans="2:2" x14ac:dyDescent="0.2">
      <c r="B2429" s="187"/>
    </row>
    <row r="2430" spans="2:2" x14ac:dyDescent="0.2">
      <c r="B2430" s="187"/>
    </row>
    <row r="2431" spans="2:2" x14ac:dyDescent="0.2">
      <c r="B2431" s="187"/>
    </row>
    <row r="2432" spans="2:2" x14ac:dyDescent="0.2">
      <c r="B2432" s="187"/>
    </row>
    <row r="2433" spans="2:2" x14ac:dyDescent="0.2">
      <c r="B2433" s="187"/>
    </row>
    <row r="2434" spans="2:2" x14ac:dyDescent="0.2">
      <c r="B2434" s="187"/>
    </row>
    <row r="2435" spans="2:2" x14ac:dyDescent="0.2">
      <c r="B2435" s="187"/>
    </row>
    <row r="2436" spans="2:2" x14ac:dyDescent="0.2">
      <c r="B2436" s="187"/>
    </row>
    <row r="2437" spans="2:2" x14ac:dyDescent="0.2">
      <c r="B2437" s="187"/>
    </row>
    <row r="2438" spans="2:2" x14ac:dyDescent="0.2">
      <c r="B2438" s="187"/>
    </row>
    <row r="2439" spans="2:2" x14ac:dyDescent="0.2">
      <c r="B2439" s="187"/>
    </row>
    <row r="2440" spans="2:2" x14ac:dyDescent="0.2">
      <c r="B2440" s="187"/>
    </row>
    <row r="2441" spans="2:2" x14ac:dyDescent="0.2">
      <c r="B2441" s="187"/>
    </row>
    <row r="2442" spans="2:2" x14ac:dyDescent="0.2">
      <c r="B2442" s="187"/>
    </row>
    <row r="2443" spans="2:2" x14ac:dyDescent="0.2">
      <c r="B2443" s="187"/>
    </row>
    <row r="2444" spans="2:2" x14ac:dyDescent="0.2">
      <c r="B2444" s="187"/>
    </row>
    <row r="2445" spans="2:2" x14ac:dyDescent="0.2">
      <c r="B2445" s="187"/>
    </row>
    <row r="2446" spans="2:2" x14ac:dyDescent="0.2">
      <c r="B2446" s="187"/>
    </row>
    <row r="2447" spans="2:2" x14ac:dyDescent="0.2">
      <c r="B2447" s="187"/>
    </row>
    <row r="2448" spans="2:2" x14ac:dyDescent="0.2">
      <c r="B2448" s="187"/>
    </row>
    <row r="2449" spans="2:2" x14ac:dyDescent="0.2">
      <c r="B2449" s="187"/>
    </row>
    <row r="2450" spans="2:2" x14ac:dyDescent="0.2">
      <c r="B2450" s="187"/>
    </row>
    <row r="2451" spans="2:2" x14ac:dyDescent="0.2">
      <c r="B2451" s="187"/>
    </row>
    <row r="2452" spans="2:2" x14ac:dyDescent="0.2">
      <c r="B2452" s="187"/>
    </row>
    <row r="2453" spans="2:2" x14ac:dyDescent="0.2">
      <c r="B2453" s="187"/>
    </row>
    <row r="2454" spans="2:2" x14ac:dyDescent="0.2">
      <c r="B2454" s="187"/>
    </row>
    <row r="2455" spans="2:2" x14ac:dyDescent="0.2">
      <c r="B2455" s="187"/>
    </row>
    <row r="2456" spans="2:2" x14ac:dyDescent="0.2">
      <c r="B2456" s="187"/>
    </row>
    <row r="2457" spans="2:2" x14ac:dyDescent="0.2">
      <c r="B2457" s="187"/>
    </row>
    <row r="2458" spans="2:2" x14ac:dyDescent="0.2">
      <c r="B2458" s="187"/>
    </row>
    <row r="2459" spans="2:2" x14ac:dyDescent="0.2">
      <c r="B2459" s="187"/>
    </row>
    <row r="2460" spans="2:2" x14ac:dyDescent="0.2">
      <c r="B2460" s="187"/>
    </row>
    <row r="2461" spans="2:2" x14ac:dyDescent="0.2">
      <c r="B2461" s="187"/>
    </row>
    <row r="2462" spans="2:2" x14ac:dyDescent="0.2">
      <c r="B2462" s="187"/>
    </row>
    <row r="2463" spans="2:2" x14ac:dyDescent="0.2">
      <c r="B2463" s="187"/>
    </row>
    <row r="2464" spans="2:2" x14ac:dyDescent="0.2">
      <c r="B2464" s="187"/>
    </row>
    <row r="2465" spans="2:2" x14ac:dyDescent="0.2">
      <c r="B2465" s="187"/>
    </row>
    <row r="2466" spans="2:2" x14ac:dyDescent="0.2">
      <c r="B2466" s="187"/>
    </row>
    <row r="2467" spans="2:2" x14ac:dyDescent="0.2">
      <c r="B2467" s="187"/>
    </row>
    <row r="2468" spans="2:2" x14ac:dyDescent="0.2">
      <c r="B2468" s="187"/>
    </row>
    <row r="2469" spans="2:2" x14ac:dyDescent="0.2">
      <c r="B2469" s="187"/>
    </row>
    <row r="2470" spans="2:2" x14ac:dyDescent="0.2">
      <c r="B2470" s="187"/>
    </row>
    <row r="2471" spans="2:2" x14ac:dyDescent="0.2">
      <c r="B2471" s="187"/>
    </row>
    <row r="2472" spans="2:2" x14ac:dyDescent="0.2">
      <c r="B2472" s="187"/>
    </row>
    <row r="2473" spans="2:2" x14ac:dyDescent="0.2">
      <c r="B2473" s="187"/>
    </row>
    <row r="2474" spans="2:2" x14ac:dyDescent="0.2">
      <c r="B2474" s="187"/>
    </row>
    <row r="2475" spans="2:2" x14ac:dyDescent="0.2">
      <c r="B2475" s="187"/>
    </row>
    <row r="2476" spans="2:2" x14ac:dyDescent="0.2">
      <c r="B2476" s="187"/>
    </row>
    <row r="2477" spans="2:2" x14ac:dyDescent="0.2">
      <c r="B2477" s="187"/>
    </row>
    <row r="2478" spans="2:2" x14ac:dyDescent="0.2">
      <c r="B2478" s="187"/>
    </row>
    <row r="2479" spans="2:2" x14ac:dyDescent="0.2">
      <c r="B2479" s="187"/>
    </row>
    <row r="2480" spans="2:2" x14ac:dyDescent="0.2">
      <c r="B2480" s="187"/>
    </row>
    <row r="2481" spans="2:2" x14ac:dyDescent="0.2">
      <c r="B2481" s="187"/>
    </row>
    <row r="2482" spans="2:2" x14ac:dyDescent="0.2">
      <c r="B2482" s="187"/>
    </row>
    <row r="2483" spans="2:2" x14ac:dyDescent="0.2">
      <c r="B2483" s="187"/>
    </row>
    <row r="2484" spans="2:2" x14ac:dyDescent="0.2">
      <c r="B2484" s="187"/>
    </row>
    <row r="2485" spans="2:2" x14ac:dyDescent="0.2">
      <c r="B2485" s="187"/>
    </row>
    <row r="2486" spans="2:2" x14ac:dyDescent="0.2">
      <c r="B2486" s="187"/>
    </row>
    <row r="2487" spans="2:2" x14ac:dyDescent="0.2">
      <c r="B2487" s="187"/>
    </row>
    <row r="2488" spans="2:2" x14ac:dyDescent="0.2">
      <c r="B2488" s="187"/>
    </row>
    <row r="2489" spans="2:2" x14ac:dyDescent="0.2">
      <c r="B2489" s="187"/>
    </row>
    <row r="2490" spans="2:2" x14ac:dyDescent="0.2">
      <c r="B2490" s="187"/>
    </row>
    <row r="2491" spans="2:2" x14ac:dyDescent="0.2">
      <c r="B2491" s="187"/>
    </row>
    <row r="2492" spans="2:2" x14ac:dyDescent="0.2">
      <c r="B2492" s="187"/>
    </row>
    <row r="2493" spans="2:2" x14ac:dyDescent="0.2">
      <c r="B2493" s="187"/>
    </row>
    <row r="2494" spans="2:2" x14ac:dyDescent="0.2">
      <c r="B2494" s="187"/>
    </row>
    <row r="2495" spans="2:2" x14ac:dyDescent="0.2">
      <c r="B2495" s="187"/>
    </row>
    <row r="2496" spans="2:2" x14ac:dyDescent="0.2">
      <c r="B2496" s="187"/>
    </row>
    <row r="2497" spans="2:2" x14ac:dyDescent="0.2">
      <c r="B2497" s="187"/>
    </row>
    <row r="2498" spans="2:2" x14ac:dyDescent="0.2">
      <c r="B2498" s="187"/>
    </row>
    <row r="2499" spans="2:2" x14ac:dyDescent="0.2">
      <c r="B2499" s="187"/>
    </row>
    <row r="2500" spans="2:2" x14ac:dyDescent="0.2">
      <c r="B2500" s="187"/>
    </row>
    <row r="2501" spans="2:2" x14ac:dyDescent="0.2">
      <c r="B2501" s="187"/>
    </row>
    <row r="2502" spans="2:2" x14ac:dyDescent="0.2">
      <c r="B2502" s="187"/>
    </row>
    <row r="2503" spans="2:2" x14ac:dyDescent="0.2">
      <c r="B2503" s="187"/>
    </row>
    <row r="2504" spans="2:2" x14ac:dyDescent="0.2">
      <c r="B2504" s="187"/>
    </row>
    <row r="2505" spans="2:2" x14ac:dyDescent="0.2">
      <c r="B2505" s="187"/>
    </row>
    <row r="2506" spans="2:2" x14ac:dyDescent="0.2">
      <c r="B2506" s="187"/>
    </row>
    <row r="2507" spans="2:2" x14ac:dyDescent="0.2">
      <c r="B2507" s="187"/>
    </row>
    <row r="2508" spans="2:2" x14ac:dyDescent="0.2">
      <c r="B2508" s="187"/>
    </row>
    <row r="2509" spans="2:2" x14ac:dyDescent="0.2">
      <c r="B2509" s="187"/>
    </row>
    <row r="2510" spans="2:2" x14ac:dyDescent="0.2">
      <c r="B2510" s="187"/>
    </row>
    <row r="2511" spans="2:2" x14ac:dyDescent="0.2">
      <c r="B2511" s="187"/>
    </row>
    <row r="2512" spans="2:2" x14ac:dyDescent="0.2">
      <c r="B2512" s="187"/>
    </row>
    <row r="2513" spans="2:2" x14ac:dyDescent="0.2">
      <c r="B2513" s="187"/>
    </row>
    <row r="2514" spans="2:2" x14ac:dyDescent="0.2">
      <c r="B2514" s="187"/>
    </row>
    <row r="2515" spans="2:2" x14ac:dyDescent="0.2">
      <c r="B2515" s="187"/>
    </row>
    <row r="2516" spans="2:2" x14ac:dyDescent="0.2">
      <c r="B2516" s="187"/>
    </row>
    <row r="2517" spans="2:2" x14ac:dyDescent="0.2">
      <c r="B2517" s="187"/>
    </row>
    <row r="2518" spans="2:2" x14ac:dyDescent="0.2">
      <c r="B2518" s="187"/>
    </row>
    <row r="2519" spans="2:2" x14ac:dyDescent="0.2">
      <c r="B2519" s="187"/>
    </row>
    <row r="2520" spans="2:2" x14ac:dyDescent="0.2">
      <c r="B2520" s="187"/>
    </row>
    <row r="2521" spans="2:2" x14ac:dyDescent="0.2">
      <c r="B2521" s="187"/>
    </row>
    <row r="2522" spans="2:2" x14ac:dyDescent="0.2">
      <c r="B2522" s="187"/>
    </row>
    <row r="2523" spans="2:2" x14ac:dyDescent="0.2">
      <c r="B2523" s="187"/>
    </row>
    <row r="2524" spans="2:2" x14ac:dyDescent="0.2">
      <c r="B2524" s="187"/>
    </row>
    <row r="2525" spans="2:2" x14ac:dyDescent="0.2">
      <c r="B2525" s="187"/>
    </row>
    <row r="2526" spans="2:2" x14ac:dyDescent="0.2">
      <c r="B2526" s="187"/>
    </row>
    <row r="2527" spans="2:2" x14ac:dyDescent="0.2">
      <c r="B2527" s="187"/>
    </row>
    <row r="2528" spans="2:2" x14ac:dyDescent="0.2">
      <c r="B2528" s="187"/>
    </row>
    <row r="2529" spans="2:2" x14ac:dyDescent="0.2">
      <c r="B2529" s="187"/>
    </row>
    <row r="2530" spans="2:2" x14ac:dyDescent="0.2">
      <c r="B2530" s="187"/>
    </row>
    <row r="2531" spans="2:2" x14ac:dyDescent="0.2">
      <c r="B2531" s="187"/>
    </row>
    <row r="2532" spans="2:2" x14ac:dyDescent="0.2">
      <c r="B2532" s="187"/>
    </row>
    <row r="2533" spans="2:2" x14ac:dyDescent="0.2">
      <c r="B2533" s="187"/>
    </row>
    <row r="2534" spans="2:2" x14ac:dyDescent="0.2">
      <c r="B2534" s="187"/>
    </row>
    <row r="2535" spans="2:2" x14ac:dyDescent="0.2">
      <c r="B2535" s="187"/>
    </row>
    <row r="2536" spans="2:2" x14ac:dyDescent="0.2">
      <c r="B2536" s="187"/>
    </row>
    <row r="2537" spans="2:2" x14ac:dyDescent="0.2">
      <c r="B2537" s="187"/>
    </row>
    <row r="2538" spans="2:2" x14ac:dyDescent="0.2">
      <c r="B2538" s="187"/>
    </row>
    <row r="2539" spans="2:2" x14ac:dyDescent="0.2">
      <c r="B2539" s="187"/>
    </row>
    <row r="2540" spans="2:2" x14ac:dyDescent="0.2">
      <c r="B2540" s="187"/>
    </row>
    <row r="2541" spans="2:2" x14ac:dyDescent="0.2">
      <c r="B2541" s="187"/>
    </row>
    <row r="2542" spans="2:2" x14ac:dyDescent="0.2">
      <c r="B2542" s="187"/>
    </row>
    <row r="2543" spans="2:2" x14ac:dyDescent="0.2">
      <c r="B2543" s="187"/>
    </row>
    <row r="2544" spans="2:2" x14ac:dyDescent="0.2">
      <c r="B2544" s="187"/>
    </row>
    <row r="2545" spans="2:2" x14ac:dyDescent="0.2">
      <c r="B2545" s="187"/>
    </row>
    <row r="2546" spans="2:2" x14ac:dyDescent="0.2">
      <c r="B2546" s="187"/>
    </row>
    <row r="2547" spans="2:2" x14ac:dyDescent="0.2">
      <c r="B2547" s="187"/>
    </row>
    <row r="2548" spans="2:2" x14ac:dyDescent="0.2">
      <c r="B2548" s="187"/>
    </row>
    <row r="2549" spans="2:2" x14ac:dyDescent="0.2">
      <c r="B2549" s="187"/>
    </row>
    <row r="2550" spans="2:2" x14ac:dyDescent="0.2">
      <c r="B2550" s="187"/>
    </row>
    <row r="2551" spans="2:2" x14ac:dyDescent="0.2">
      <c r="B2551" s="187"/>
    </row>
    <row r="2552" spans="2:2" x14ac:dyDescent="0.2">
      <c r="B2552" s="187"/>
    </row>
    <row r="2553" spans="2:2" x14ac:dyDescent="0.2">
      <c r="B2553" s="187"/>
    </row>
    <row r="2554" spans="2:2" x14ac:dyDescent="0.2">
      <c r="B2554" s="187"/>
    </row>
    <row r="2555" spans="2:2" x14ac:dyDescent="0.2">
      <c r="B2555" s="187"/>
    </row>
    <row r="2556" spans="2:2" x14ac:dyDescent="0.2">
      <c r="B2556" s="187"/>
    </row>
    <row r="2557" spans="2:2" x14ac:dyDescent="0.2">
      <c r="B2557" s="187"/>
    </row>
    <row r="2558" spans="2:2" x14ac:dyDescent="0.2">
      <c r="B2558" s="187"/>
    </row>
    <row r="2559" spans="2:2" x14ac:dyDescent="0.2">
      <c r="B2559" s="187"/>
    </row>
    <row r="2560" spans="2:2" x14ac:dyDescent="0.2">
      <c r="B2560" s="187"/>
    </row>
    <row r="2561" spans="2:2" x14ac:dyDescent="0.2">
      <c r="B2561" s="187"/>
    </row>
    <row r="2562" spans="2:2" x14ac:dyDescent="0.2">
      <c r="B2562" s="187"/>
    </row>
    <row r="2563" spans="2:2" x14ac:dyDescent="0.2">
      <c r="B2563" s="187"/>
    </row>
    <row r="2564" spans="2:2" x14ac:dyDescent="0.2">
      <c r="B2564" s="187"/>
    </row>
    <row r="2565" spans="2:2" x14ac:dyDescent="0.2">
      <c r="B2565" s="187"/>
    </row>
    <row r="2566" spans="2:2" x14ac:dyDescent="0.2">
      <c r="B2566" s="187"/>
    </row>
    <row r="2567" spans="2:2" x14ac:dyDescent="0.2">
      <c r="B2567" s="187"/>
    </row>
    <row r="2568" spans="2:2" x14ac:dyDescent="0.2">
      <c r="B2568" s="187"/>
    </row>
    <row r="2569" spans="2:2" x14ac:dyDescent="0.2">
      <c r="B2569" s="187"/>
    </row>
    <row r="2570" spans="2:2" x14ac:dyDescent="0.2">
      <c r="B2570" s="187"/>
    </row>
    <row r="2571" spans="2:2" x14ac:dyDescent="0.2">
      <c r="B2571" s="187"/>
    </row>
    <row r="2572" spans="2:2" x14ac:dyDescent="0.2">
      <c r="B2572" s="187"/>
    </row>
    <row r="2573" spans="2:2" x14ac:dyDescent="0.2">
      <c r="B2573" s="187"/>
    </row>
    <row r="2574" spans="2:2" x14ac:dyDescent="0.2">
      <c r="B2574" s="187"/>
    </row>
    <row r="2575" spans="2:2" x14ac:dyDescent="0.2">
      <c r="B2575" s="187"/>
    </row>
    <row r="2576" spans="2:2" x14ac:dyDescent="0.2">
      <c r="B2576" s="187"/>
    </row>
    <row r="2577" spans="2:2" x14ac:dyDescent="0.2">
      <c r="B2577" s="187"/>
    </row>
    <row r="2578" spans="2:2" x14ac:dyDescent="0.2">
      <c r="B2578" s="187"/>
    </row>
    <row r="2579" spans="2:2" x14ac:dyDescent="0.2">
      <c r="B2579" s="187"/>
    </row>
    <row r="2580" spans="2:2" x14ac:dyDescent="0.2">
      <c r="B2580" s="187"/>
    </row>
    <row r="2581" spans="2:2" x14ac:dyDescent="0.2">
      <c r="B2581" s="187"/>
    </row>
    <row r="2582" spans="2:2" x14ac:dyDescent="0.2">
      <c r="B2582" s="187"/>
    </row>
    <row r="2583" spans="2:2" x14ac:dyDescent="0.2">
      <c r="B2583" s="187"/>
    </row>
    <row r="2584" spans="2:2" x14ac:dyDescent="0.2">
      <c r="B2584" s="187"/>
    </row>
    <row r="2585" spans="2:2" x14ac:dyDescent="0.2">
      <c r="B2585" s="187"/>
    </row>
    <row r="2586" spans="2:2" x14ac:dyDescent="0.2">
      <c r="B2586" s="187"/>
    </row>
    <row r="2587" spans="2:2" x14ac:dyDescent="0.2">
      <c r="B2587" s="187"/>
    </row>
    <row r="2588" spans="2:2" x14ac:dyDescent="0.2">
      <c r="B2588" s="187"/>
    </row>
    <row r="2589" spans="2:2" x14ac:dyDescent="0.2">
      <c r="B2589" s="187"/>
    </row>
    <row r="2590" spans="2:2" x14ac:dyDescent="0.2">
      <c r="B2590" s="187"/>
    </row>
    <row r="2591" spans="2:2" x14ac:dyDescent="0.2">
      <c r="B2591" s="187"/>
    </row>
    <row r="2592" spans="2:2" x14ac:dyDescent="0.2">
      <c r="B2592" s="187"/>
    </row>
    <row r="2593" spans="2:2" x14ac:dyDescent="0.2">
      <c r="B2593" s="187"/>
    </row>
    <row r="2594" spans="2:2" x14ac:dyDescent="0.2">
      <c r="B2594" s="187"/>
    </row>
    <row r="2595" spans="2:2" x14ac:dyDescent="0.2">
      <c r="B2595" s="187"/>
    </row>
    <row r="2596" spans="2:2" x14ac:dyDescent="0.2">
      <c r="B2596" s="187"/>
    </row>
    <row r="2597" spans="2:2" x14ac:dyDescent="0.2">
      <c r="B2597" s="187"/>
    </row>
    <row r="2598" spans="2:2" x14ac:dyDescent="0.2">
      <c r="B2598" s="187"/>
    </row>
    <row r="2599" spans="2:2" x14ac:dyDescent="0.2">
      <c r="B2599" s="187"/>
    </row>
    <row r="2600" spans="2:2" x14ac:dyDescent="0.2">
      <c r="B2600" s="187"/>
    </row>
    <row r="2601" spans="2:2" x14ac:dyDescent="0.2">
      <c r="B2601" s="187"/>
    </row>
    <row r="2602" spans="2:2" x14ac:dyDescent="0.2">
      <c r="B2602" s="187"/>
    </row>
    <row r="2603" spans="2:2" x14ac:dyDescent="0.2">
      <c r="B2603" s="187"/>
    </row>
    <row r="2604" spans="2:2" x14ac:dyDescent="0.2">
      <c r="B2604" s="187"/>
    </row>
    <row r="2605" spans="2:2" x14ac:dyDescent="0.2">
      <c r="B2605" s="187"/>
    </row>
    <row r="2606" spans="2:2" x14ac:dyDescent="0.2">
      <c r="B2606" s="187"/>
    </row>
    <row r="2607" spans="2:2" x14ac:dyDescent="0.2">
      <c r="B2607" s="187"/>
    </row>
    <row r="2608" spans="2:2" x14ac:dyDescent="0.2">
      <c r="B2608" s="187"/>
    </row>
    <row r="2609" spans="2:2" x14ac:dyDescent="0.2">
      <c r="B2609" s="187"/>
    </row>
    <row r="2610" spans="2:2" x14ac:dyDescent="0.2">
      <c r="B2610" s="187"/>
    </row>
    <row r="2611" spans="2:2" x14ac:dyDescent="0.2">
      <c r="B2611" s="187"/>
    </row>
    <row r="2612" spans="2:2" x14ac:dyDescent="0.2">
      <c r="B2612" s="187"/>
    </row>
    <row r="2613" spans="2:2" x14ac:dyDescent="0.2">
      <c r="B2613" s="187"/>
    </row>
    <row r="2614" spans="2:2" x14ac:dyDescent="0.2">
      <c r="B2614" s="187"/>
    </row>
    <row r="2615" spans="2:2" x14ac:dyDescent="0.2">
      <c r="B2615" s="187"/>
    </row>
    <row r="2616" spans="2:2" x14ac:dyDescent="0.2">
      <c r="B2616" s="187"/>
    </row>
    <row r="2617" spans="2:2" x14ac:dyDescent="0.2">
      <c r="B2617" s="187"/>
    </row>
    <row r="2618" spans="2:2" x14ac:dyDescent="0.2">
      <c r="B2618" s="187"/>
    </row>
    <row r="2619" spans="2:2" x14ac:dyDescent="0.2">
      <c r="B2619" s="187"/>
    </row>
    <row r="2620" spans="2:2" x14ac:dyDescent="0.2">
      <c r="B2620" s="187"/>
    </row>
    <row r="2621" spans="2:2" x14ac:dyDescent="0.2">
      <c r="B2621" s="187"/>
    </row>
    <row r="2622" spans="2:2" x14ac:dyDescent="0.2">
      <c r="B2622" s="187"/>
    </row>
    <row r="2623" spans="2:2" x14ac:dyDescent="0.2">
      <c r="B2623" s="187"/>
    </row>
    <row r="2624" spans="2:2" x14ac:dyDescent="0.2">
      <c r="B2624" s="187"/>
    </row>
    <row r="2625" spans="2:2" x14ac:dyDescent="0.2">
      <c r="B2625" s="187"/>
    </row>
    <row r="2626" spans="2:2" x14ac:dyDescent="0.2">
      <c r="B2626" s="187"/>
    </row>
    <row r="2627" spans="2:2" x14ac:dyDescent="0.2">
      <c r="B2627" s="187"/>
    </row>
    <row r="2628" spans="2:2" x14ac:dyDescent="0.2">
      <c r="B2628" s="187"/>
    </row>
    <row r="2629" spans="2:2" x14ac:dyDescent="0.2">
      <c r="B2629" s="187"/>
    </row>
    <row r="2630" spans="2:2" x14ac:dyDescent="0.2">
      <c r="B2630" s="187"/>
    </row>
    <row r="2631" spans="2:2" x14ac:dyDescent="0.2">
      <c r="B2631" s="187"/>
    </row>
    <row r="2632" spans="2:2" x14ac:dyDescent="0.2">
      <c r="B2632" s="187"/>
    </row>
    <row r="2633" spans="2:2" x14ac:dyDescent="0.2">
      <c r="B2633" s="187"/>
    </row>
    <row r="2634" spans="2:2" x14ac:dyDescent="0.2">
      <c r="B2634" s="187"/>
    </row>
    <row r="2635" spans="2:2" x14ac:dyDescent="0.2">
      <c r="B2635" s="187"/>
    </row>
    <row r="2636" spans="2:2" x14ac:dyDescent="0.2">
      <c r="B2636" s="187"/>
    </row>
    <row r="2637" spans="2:2" x14ac:dyDescent="0.2">
      <c r="B2637" s="187"/>
    </row>
    <row r="2638" spans="2:2" x14ac:dyDescent="0.2">
      <c r="B2638" s="187"/>
    </row>
    <row r="2639" spans="2:2" x14ac:dyDescent="0.2">
      <c r="B2639" s="187"/>
    </row>
    <row r="2640" spans="2:2" x14ac:dyDescent="0.2">
      <c r="B2640" s="187"/>
    </row>
    <row r="2641" spans="2:2" x14ac:dyDescent="0.2">
      <c r="B2641" s="187"/>
    </row>
    <row r="2642" spans="2:2" x14ac:dyDescent="0.2">
      <c r="B2642" s="187"/>
    </row>
    <row r="2643" spans="2:2" x14ac:dyDescent="0.2">
      <c r="B2643" s="187"/>
    </row>
    <row r="2644" spans="2:2" x14ac:dyDescent="0.2">
      <c r="B2644" s="187"/>
    </row>
    <row r="2645" spans="2:2" x14ac:dyDescent="0.2">
      <c r="B2645" s="187"/>
    </row>
    <row r="2646" spans="2:2" x14ac:dyDescent="0.2">
      <c r="B2646" s="187"/>
    </row>
    <row r="2647" spans="2:2" x14ac:dyDescent="0.2">
      <c r="B2647" s="187"/>
    </row>
    <row r="2648" spans="2:2" x14ac:dyDescent="0.2">
      <c r="B2648" s="187"/>
    </row>
    <row r="2649" spans="2:2" x14ac:dyDescent="0.2">
      <c r="B2649" s="187"/>
    </row>
    <row r="2650" spans="2:2" x14ac:dyDescent="0.2">
      <c r="B2650" s="187"/>
    </row>
    <row r="2651" spans="2:2" x14ac:dyDescent="0.2">
      <c r="B2651" s="187"/>
    </row>
    <row r="2652" spans="2:2" x14ac:dyDescent="0.2">
      <c r="B2652" s="187"/>
    </row>
    <row r="2653" spans="2:2" x14ac:dyDescent="0.2">
      <c r="B2653" s="187"/>
    </row>
    <row r="2654" spans="2:2" x14ac:dyDescent="0.2">
      <c r="B2654" s="187"/>
    </row>
    <row r="2655" spans="2:2" x14ac:dyDescent="0.2">
      <c r="B2655" s="187"/>
    </row>
    <row r="2656" spans="2:2" x14ac:dyDescent="0.2">
      <c r="B2656" s="187"/>
    </row>
    <row r="2657" spans="2:2" x14ac:dyDescent="0.2">
      <c r="B2657" s="187"/>
    </row>
    <row r="2658" spans="2:2" x14ac:dyDescent="0.2">
      <c r="B2658" s="187"/>
    </row>
    <row r="2659" spans="2:2" x14ac:dyDescent="0.2">
      <c r="B2659" s="187"/>
    </row>
    <row r="2660" spans="2:2" x14ac:dyDescent="0.2">
      <c r="B2660" s="187"/>
    </row>
    <row r="2661" spans="2:2" x14ac:dyDescent="0.2">
      <c r="B2661" s="187"/>
    </row>
    <row r="2662" spans="2:2" x14ac:dyDescent="0.2">
      <c r="B2662" s="187"/>
    </row>
    <row r="2663" spans="2:2" x14ac:dyDescent="0.2">
      <c r="B2663" s="187"/>
    </row>
    <row r="2664" spans="2:2" x14ac:dyDescent="0.2">
      <c r="B2664" s="187"/>
    </row>
    <row r="2665" spans="2:2" x14ac:dyDescent="0.2">
      <c r="B2665" s="187"/>
    </row>
    <row r="2666" spans="2:2" x14ac:dyDescent="0.2">
      <c r="B2666" s="187"/>
    </row>
    <row r="2667" spans="2:2" x14ac:dyDescent="0.2">
      <c r="B2667" s="187"/>
    </row>
    <row r="2668" spans="2:2" x14ac:dyDescent="0.2">
      <c r="B2668" s="187"/>
    </row>
    <row r="2669" spans="2:2" x14ac:dyDescent="0.2">
      <c r="B2669" s="187"/>
    </row>
    <row r="2670" spans="2:2" x14ac:dyDescent="0.2">
      <c r="B2670" s="187"/>
    </row>
    <row r="2671" spans="2:2" x14ac:dyDescent="0.2">
      <c r="B2671" s="187"/>
    </row>
    <row r="2672" spans="2:2" x14ac:dyDescent="0.2">
      <c r="B2672" s="187"/>
    </row>
    <row r="2673" spans="2:2" x14ac:dyDescent="0.2">
      <c r="B2673" s="187"/>
    </row>
    <row r="2674" spans="2:2" x14ac:dyDescent="0.2">
      <c r="B2674" s="187"/>
    </row>
    <row r="2675" spans="2:2" x14ac:dyDescent="0.2">
      <c r="B2675" s="187"/>
    </row>
    <row r="2676" spans="2:2" x14ac:dyDescent="0.2">
      <c r="B2676" s="187"/>
    </row>
    <row r="2677" spans="2:2" x14ac:dyDescent="0.2">
      <c r="B2677" s="187"/>
    </row>
    <row r="2678" spans="2:2" x14ac:dyDescent="0.2">
      <c r="B2678" s="187"/>
    </row>
    <row r="2679" spans="2:2" x14ac:dyDescent="0.2">
      <c r="B2679" s="187"/>
    </row>
    <row r="2680" spans="2:2" x14ac:dyDescent="0.2">
      <c r="B2680" s="187"/>
    </row>
    <row r="2681" spans="2:2" x14ac:dyDescent="0.2">
      <c r="B2681" s="187"/>
    </row>
    <row r="2682" spans="2:2" x14ac:dyDescent="0.2">
      <c r="B2682" s="187"/>
    </row>
    <row r="2683" spans="2:2" x14ac:dyDescent="0.2">
      <c r="B2683" s="187"/>
    </row>
    <row r="2684" spans="2:2" x14ac:dyDescent="0.2">
      <c r="B2684" s="187"/>
    </row>
    <row r="2685" spans="2:2" x14ac:dyDescent="0.2">
      <c r="B2685" s="187"/>
    </row>
    <row r="2686" spans="2:2" x14ac:dyDescent="0.2">
      <c r="B2686" s="187"/>
    </row>
    <row r="2687" spans="2:2" x14ac:dyDescent="0.2">
      <c r="B2687" s="187"/>
    </row>
    <row r="2688" spans="2:2" x14ac:dyDescent="0.2">
      <c r="B2688" s="187"/>
    </row>
    <row r="2689" spans="2:2" x14ac:dyDescent="0.2">
      <c r="B2689" s="187"/>
    </row>
    <row r="2690" spans="2:2" x14ac:dyDescent="0.2">
      <c r="B2690" s="187"/>
    </row>
    <row r="2691" spans="2:2" x14ac:dyDescent="0.2">
      <c r="B2691" s="187"/>
    </row>
    <row r="2692" spans="2:2" x14ac:dyDescent="0.2">
      <c r="B2692" s="187"/>
    </row>
    <row r="2693" spans="2:2" x14ac:dyDescent="0.2">
      <c r="B2693" s="187"/>
    </row>
    <row r="2694" spans="2:2" x14ac:dyDescent="0.2">
      <c r="B2694" s="187"/>
    </row>
    <row r="2695" spans="2:2" x14ac:dyDescent="0.2">
      <c r="B2695" s="187"/>
    </row>
    <row r="2696" spans="2:2" x14ac:dyDescent="0.2">
      <c r="B2696" s="187"/>
    </row>
    <row r="2697" spans="2:2" x14ac:dyDescent="0.2">
      <c r="B2697" s="187"/>
    </row>
    <row r="2698" spans="2:2" x14ac:dyDescent="0.2">
      <c r="B2698" s="187"/>
    </row>
    <row r="2699" spans="2:2" x14ac:dyDescent="0.2">
      <c r="B2699" s="187"/>
    </row>
    <row r="2700" spans="2:2" x14ac:dyDescent="0.2">
      <c r="B2700" s="187"/>
    </row>
    <row r="2701" spans="2:2" x14ac:dyDescent="0.2">
      <c r="B2701" s="187"/>
    </row>
    <row r="2702" spans="2:2" x14ac:dyDescent="0.2">
      <c r="B2702" s="187"/>
    </row>
    <row r="2703" spans="2:2" x14ac:dyDescent="0.2">
      <c r="B2703" s="187"/>
    </row>
    <row r="2704" spans="2:2" x14ac:dyDescent="0.2">
      <c r="B2704" s="187"/>
    </row>
    <row r="2705" spans="2:2" x14ac:dyDescent="0.2">
      <c r="B2705" s="187"/>
    </row>
    <row r="2706" spans="2:2" x14ac:dyDescent="0.2">
      <c r="B2706" s="187"/>
    </row>
    <row r="2707" spans="2:2" x14ac:dyDescent="0.2">
      <c r="B2707" s="187"/>
    </row>
    <row r="2708" spans="2:2" x14ac:dyDescent="0.2">
      <c r="B2708" s="187"/>
    </row>
    <row r="2709" spans="2:2" x14ac:dyDescent="0.2">
      <c r="B2709" s="187"/>
    </row>
    <row r="2710" spans="2:2" x14ac:dyDescent="0.2">
      <c r="B2710" s="187"/>
    </row>
    <row r="2711" spans="2:2" x14ac:dyDescent="0.2">
      <c r="B2711" s="187"/>
    </row>
    <row r="2712" spans="2:2" x14ac:dyDescent="0.2">
      <c r="B2712" s="187"/>
    </row>
    <row r="2713" spans="2:2" x14ac:dyDescent="0.2">
      <c r="B2713" s="187"/>
    </row>
    <row r="2714" spans="2:2" x14ac:dyDescent="0.2">
      <c r="B2714" s="187"/>
    </row>
    <row r="2715" spans="2:2" x14ac:dyDescent="0.2">
      <c r="B2715" s="187"/>
    </row>
    <row r="2716" spans="2:2" x14ac:dyDescent="0.2">
      <c r="B2716" s="187"/>
    </row>
    <row r="2717" spans="2:2" x14ac:dyDescent="0.2">
      <c r="B2717" s="187"/>
    </row>
    <row r="2718" spans="2:2" x14ac:dyDescent="0.2">
      <c r="B2718" s="187"/>
    </row>
    <row r="2719" spans="2:2" x14ac:dyDescent="0.2">
      <c r="B2719" s="187"/>
    </row>
    <row r="2720" spans="2:2" x14ac:dyDescent="0.2">
      <c r="B2720" s="187"/>
    </row>
    <row r="2721" spans="2:2" x14ac:dyDescent="0.2">
      <c r="B2721" s="187"/>
    </row>
    <row r="2722" spans="2:2" x14ac:dyDescent="0.2">
      <c r="B2722" s="187"/>
    </row>
    <row r="2723" spans="2:2" x14ac:dyDescent="0.2">
      <c r="B2723" s="187"/>
    </row>
    <row r="2724" spans="2:2" x14ac:dyDescent="0.2">
      <c r="B2724" s="187"/>
    </row>
    <row r="2725" spans="2:2" x14ac:dyDescent="0.2">
      <c r="B2725" s="187"/>
    </row>
    <row r="2726" spans="2:2" x14ac:dyDescent="0.2">
      <c r="B2726" s="187"/>
    </row>
    <row r="2727" spans="2:2" x14ac:dyDescent="0.2">
      <c r="B2727" s="187"/>
    </row>
    <row r="2728" spans="2:2" x14ac:dyDescent="0.2">
      <c r="B2728" s="187"/>
    </row>
    <row r="2729" spans="2:2" x14ac:dyDescent="0.2">
      <c r="B2729" s="187"/>
    </row>
    <row r="2730" spans="2:2" x14ac:dyDescent="0.2">
      <c r="B2730" s="187"/>
    </row>
    <row r="2731" spans="2:2" x14ac:dyDescent="0.2">
      <c r="B2731" s="187"/>
    </row>
    <row r="2732" spans="2:2" x14ac:dyDescent="0.2">
      <c r="B2732" s="187"/>
    </row>
    <row r="2733" spans="2:2" x14ac:dyDescent="0.2">
      <c r="B2733" s="187"/>
    </row>
    <row r="2734" spans="2:2" x14ac:dyDescent="0.2">
      <c r="B2734" s="187"/>
    </row>
    <row r="2735" spans="2:2" x14ac:dyDescent="0.2">
      <c r="B2735" s="187"/>
    </row>
    <row r="2736" spans="2:2" x14ac:dyDescent="0.2">
      <c r="B2736" s="187"/>
    </row>
    <row r="2737" spans="2:2" x14ac:dyDescent="0.2">
      <c r="B2737" s="187"/>
    </row>
    <row r="2738" spans="2:2" x14ac:dyDescent="0.2">
      <c r="B2738" s="187"/>
    </row>
    <row r="2739" spans="2:2" x14ac:dyDescent="0.2">
      <c r="B2739" s="187"/>
    </row>
    <row r="2740" spans="2:2" x14ac:dyDescent="0.2">
      <c r="B2740" s="187"/>
    </row>
    <row r="2741" spans="2:2" x14ac:dyDescent="0.2">
      <c r="B2741" s="187"/>
    </row>
    <row r="2742" spans="2:2" x14ac:dyDescent="0.2">
      <c r="B2742" s="187"/>
    </row>
    <row r="2743" spans="2:2" x14ac:dyDescent="0.2">
      <c r="B2743" s="187"/>
    </row>
    <row r="2744" spans="2:2" x14ac:dyDescent="0.2">
      <c r="B2744" s="187"/>
    </row>
    <row r="2745" spans="2:2" x14ac:dyDescent="0.2">
      <c r="B2745" s="187"/>
    </row>
    <row r="2746" spans="2:2" x14ac:dyDescent="0.2">
      <c r="B2746" s="187"/>
    </row>
    <row r="2747" spans="2:2" x14ac:dyDescent="0.2">
      <c r="B2747" s="187"/>
    </row>
    <row r="2748" spans="2:2" x14ac:dyDescent="0.2">
      <c r="B2748" s="187"/>
    </row>
    <row r="2749" spans="2:2" x14ac:dyDescent="0.2">
      <c r="B2749" s="187"/>
    </row>
    <row r="2750" spans="2:2" x14ac:dyDescent="0.2">
      <c r="B2750" s="187"/>
    </row>
    <row r="2751" spans="2:2" x14ac:dyDescent="0.2">
      <c r="B2751" s="187"/>
    </row>
    <row r="2752" spans="2:2" x14ac:dyDescent="0.2">
      <c r="B2752" s="187"/>
    </row>
    <row r="2753" spans="2:2" x14ac:dyDescent="0.2">
      <c r="B2753" s="187"/>
    </row>
    <row r="2754" spans="2:2" x14ac:dyDescent="0.2">
      <c r="B2754" s="187"/>
    </row>
    <row r="2755" spans="2:2" x14ac:dyDescent="0.2">
      <c r="B2755" s="187"/>
    </row>
    <row r="2756" spans="2:2" x14ac:dyDescent="0.2">
      <c r="B2756" s="187"/>
    </row>
    <row r="2757" spans="2:2" x14ac:dyDescent="0.2">
      <c r="B2757" s="187"/>
    </row>
    <row r="2758" spans="2:2" x14ac:dyDescent="0.2">
      <c r="B2758" s="187"/>
    </row>
    <row r="2759" spans="2:2" x14ac:dyDescent="0.2">
      <c r="B2759" s="187"/>
    </row>
    <row r="2760" spans="2:2" x14ac:dyDescent="0.2">
      <c r="B2760" s="187"/>
    </row>
    <row r="2761" spans="2:2" x14ac:dyDescent="0.2">
      <c r="B2761" s="187"/>
    </row>
    <row r="2762" spans="2:2" x14ac:dyDescent="0.2">
      <c r="B2762" s="187"/>
    </row>
    <row r="2763" spans="2:2" x14ac:dyDescent="0.2">
      <c r="B2763" s="187"/>
    </row>
    <row r="2764" spans="2:2" x14ac:dyDescent="0.2">
      <c r="B2764" s="187"/>
    </row>
    <row r="2765" spans="2:2" x14ac:dyDescent="0.2">
      <c r="B2765" s="187"/>
    </row>
    <row r="2766" spans="2:2" x14ac:dyDescent="0.2">
      <c r="B2766" s="187"/>
    </row>
    <row r="2767" spans="2:2" x14ac:dyDescent="0.2">
      <c r="B2767" s="187"/>
    </row>
    <row r="2768" spans="2:2" x14ac:dyDescent="0.2">
      <c r="B2768" s="187"/>
    </row>
    <row r="2769" spans="2:2" x14ac:dyDescent="0.2">
      <c r="B2769" s="187"/>
    </row>
    <row r="2770" spans="2:2" x14ac:dyDescent="0.2">
      <c r="B2770" s="187"/>
    </row>
    <row r="2771" spans="2:2" x14ac:dyDescent="0.2">
      <c r="B2771" s="187"/>
    </row>
    <row r="2772" spans="2:2" x14ac:dyDescent="0.2">
      <c r="B2772" s="187"/>
    </row>
    <row r="2773" spans="2:2" x14ac:dyDescent="0.2">
      <c r="B2773" s="187"/>
    </row>
    <row r="2774" spans="2:2" x14ac:dyDescent="0.2">
      <c r="B2774" s="187"/>
    </row>
    <row r="2775" spans="2:2" x14ac:dyDescent="0.2">
      <c r="B2775" s="187"/>
    </row>
    <row r="2776" spans="2:2" x14ac:dyDescent="0.2">
      <c r="B2776" s="187"/>
    </row>
    <row r="2777" spans="2:2" x14ac:dyDescent="0.2">
      <c r="B2777" s="187"/>
    </row>
    <row r="2778" spans="2:2" x14ac:dyDescent="0.2">
      <c r="B2778" s="187"/>
    </row>
    <row r="2779" spans="2:2" x14ac:dyDescent="0.2">
      <c r="B2779" s="187"/>
    </row>
    <row r="2780" spans="2:2" x14ac:dyDescent="0.2">
      <c r="B2780" s="187"/>
    </row>
    <row r="2781" spans="2:2" x14ac:dyDescent="0.2">
      <c r="B2781" s="187"/>
    </row>
    <row r="2782" spans="2:2" x14ac:dyDescent="0.2">
      <c r="B2782" s="187"/>
    </row>
    <row r="2783" spans="2:2" x14ac:dyDescent="0.2">
      <c r="B2783" s="187"/>
    </row>
    <row r="2784" spans="2:2" x14ac:dyDescent="0.2">
      <c r="B2784" s="187"/>
    </row>
    <row r="2785" spans="2:2" x14ac:dyDescent="0.2">
      <c r="B2785" s="187"/>
    </row>
    <row r="2786" spans="2:2" x14ac:dyDescent="0.2">
      <c r="B2786" s="187"/>
    </row>
    <row r="2787" spans="2:2" x14ac:dyDescent="0.2">
      <c r="B2787" s="187"/>
    </row>
    <row r="2788" spans="2:2" x14ac:dyDescent="0.2">
      <c r="B2788" s="187"/>
    </row>
    <row r="2789" spans="2:2" x14ac:dyDescent="0.2">
      <c r="B2789" s="187"/>
    </row>
    <row r="2790" spans="2:2" x14ac:dyDescent="0.2">
      <c r="B2790" s="187"/>
    </row>
    <row r="2791" spans="2:2" x14ac:dyDescent="0.2">
      <c r="B2791" s="187"/>
    </row>
    <row r="2792" spans="2:2" x14ac:dyDescent="0.2">
      <c r="B2792" s="187"/>
    </row>
    <row r="2793" spans="2:2" x14ac:dyDescent="0.2">
      <c r="B2793" s="187"/>
    </row>
    <row r="2794" spans="2:2" x14ac:dyDescent="0.2">
      <c r="B2794" s="187"/>
    </row>
    <row r="2795" spans="2:2" x14ac:dyDescent="0.2">
      <c r="B2795" s="187"/>
    </row>
    <row r="2796" spans="2:2" x14ac:dyDescent="0.2">
      <c r="B2796" s="187"/>
    </row>
    <row r="2797" spans="2:2" x14ac:dyDescent="0.2">
      <c r="B2797" s="187"/>
    </row>
    <row r="2798" spans="2:2" x14ac:dyDescent="0.2">
      <c r="B2798" s="187"/>
    </row>
    <row r="2799" spans="2:2" x14ac:dyDescent="0.2">
      <c r="B2799" s="187"/>
    </row>
    <row r="2800" spans="2:2" x14ac:dyDescent="0.2">
      <c r="B2800" s="187"/>
    </row>
    <row r="2801" spans="2:2" x14ac:dyDescent="0.2">
      <c r="B2801" s="187"/>
    </row>
    <row r="2802" spans="2:2" x14ac:dyDescent="0.2">
      <c r="B2802" s="187"/>
    </row>
    <row r="2803" spans="2:2" x14ac:dyDescent="0.2">
      <c r="B2803" s="187"/>
    </row>
    <row r="2804" spans="2:2" x14ac:dyDescent="0.2">
      <c r="B2804" s="187"/>
    </row>
    <row r="2805" spans="2:2" x14ac:dyDescent="0.2">
      <c r="B2805" s="187"/>
    </row>
    <row r="2806" spans="2:2" x14ac:dyDescent="0.2">
      <c r="B2806" s="187"/>
    </row>
    <row r="2807" spans="2:2" x14ac:dyDescent="0.2">
      <c r="B2807" s="187"/>
    </row>
    <row r="2808" spans="2:2" x14ac:dyDescent="0.2">
      <c r="B2808" s="187"/>
    </row>
    <row r="2809" spans="2:2" x14ac:dyDescent="0.2">
      <c r="B2809" s="187"/>
    </row>
    <row r="2810" spans="2:2" x14ac:dyDescent="0.2">
      <c r="B2810" s="187"/>
    </row>
    <row r="2811" spans="2:2" x14ac:dyDescent="0.2">
      <c r="B2811" s="187"/>
    </row>
    <row r="2812" spans="2:2" x14ac:dyDescent="0.2">
      <c r="B2812" s="187"/>
    </row>
    <row r="2813" spans="2:2" x14ac:dyDescent="0.2">
      <c r="B2813" s="187"/>
    </row>
    <row r="2814" spans="2:2" x14ac:dyDescent="0.2">
      <c r="B2814" s="187"/>
    </row>
    <row r="2815" spans="2:2" x14ac:dyDescent="0.2">
      <c r="B2815" s="187"/>
    </row>
    <row r="2816" spans="2:2" x14ac:dyDescent="0.2">
      <c r="B2816" s="187"/>
    </row>
    <row r="2817" spans="2:2" x14ac:dyDescent="0.2">
      <c r="B2817" s="187"/>
    </row>
    <row r="2818" spans="2:2" x14ac:dyDescent="0.2">
      <c r="B2818" s="187"/>
    </row>
    <row r="2819" spans="2:2" x14ac:dyDescent="0.2">
      <c r="B2819" s="187"/>
    </row>
    <row r="2820" spans="2:2" x14ac:dyDescent="0.2">
      <c r="B2820" s="187"/>
    </row>
    <row r="2821" spans="2:2" x14ac:dyDescent="0.2">
      <c r="B2821" s="187"/>
    </row>
    <row r="2822" spans="2:2" x14ac:dyDescent="0.2">
      <c r="B2822" s="187"/>
    </row>
    <row r="2823" spans="2:2" x14ac:dyDescent="0.2">
      <c r="B2823" s="187"/>
    </row>
    <row r="2824" spans="2:2" x14ac:dyDescent="0.2">
      <c r="B2824" s="187"/>
    </row>
    <row r="2825" spans="2:2" x14ac:dyDescent="0.2">
      <c r="B2825" s="187"/>
    </row>
    <row r="2826" spans="2:2" x14ac:dyDescent="0.2">
      <c r="B2826" s="187"/>
    </row>
    <row r="2827" spans="2:2" x14ac:dyDescent="0.2">
      <c r="B2827" s="187"/>
    </row>
    <row r="2828" spans="2:2" x14ac:dyDescent="0.2">
      <c r="B2828" s="187"/>
    </row>
    <row r="2829" spans="2:2" x14ac:dyDescent="0.2">
      <c r="B2829" s="187"/>
    </row>
    <row r="2830" spans="2:2" x14ac:dyDescent="0.2">
      <c r="B2830" s="187"/>
    </row>
    <row r="2831" spans="2:2" x14ac:dyDescent="0.2">
      <c r="B2831" s="187"/>
    </row>
    <row r="2832" spans="2:2" x14ac:dyDescent="0.2">
      <c r="B2832" s="187"/>
    </row>
    <row r="2833" spans="2:2" x14ac:dyDescent="0.2">
      <c r="B2833" s="187"/>
    </row>
    <row r="2834" spans="2:2" x14ac:dyDescent="0.2">
      <c r="B2834" s="187"/>
    </row>
    <row r="2835" spans="2:2" x14ac:dyDescent="0.2">
      <c r="B2835" s="187"/>
    </row>
    <row r="2836" spans="2:2" x14ac:dyDescent="0.2">
      <c r="B2836" s="187"/>
    </row>
    <row r="2837" spans="2:2" x14ac:dyDescent="0.2">
      <c r="B2837" s="187"/>
    </row>
    <row r="2838" spans="2:2" x14ac:dyDescent="0.2">
      <c r="B2838" s="187"/>
    </row>
    <row r="2839" spans="2:2" x14ac:dyDescent="0.2">
      <c r="B2839" s="187"/>
    </row>
    <row r="2840" spans="2:2" x14ac:dyDescent="0.2">
      <c r="B2840" s="187"/>
    </row>
    <row r="2841" spans="2:2" x14ac:dyDescent="0.2">
      <c r="B2841" s="187"/>
    </row>
    <row r="2842" spans="2:2" x14ac:dyDescent="0.2">
      <c r="B2842" s="187"/>
    </row>
    <row r="2843" spans="2:2" x14ac:dyDescent="0.2">
      <c r="B2843" s="187"/>
    </row>
    <row r="2844" spans="2:2" x14ac:dyDescent="0.2">
      <c r="B2844" s="187"/>
    </row>
    <row r="2845" spans="2:2" x14ac:dyDescent="0.2">
      <c r="B2845" s="187"/>
    </row>
    <row r="2846" spans="2:2" x14ac:dyDescent="0.2">
      <c r="B2846" s="187"/>
    </row>
    <row r="2847" spans="2:2" x14ac:dyDescent="0.2">
      <c r="B2847" s="187"/>
    </row>
    <row r="2848" spans="2:2" x14ac:dyDescent="0.2">
      <c r="B2848" s="187"/>
    </row>
    <row r="2849" spans="2:2" x14ac:dyDescent="0.2">
      <c r="B2849" s="187"/>
    </row>
    <row r="2850" spans="2:2" x14ac:dyDescent="0.2">
      <c r="B2850" s="187"/>
    </row>
    <row r="2851" spans="2:2" x14ac:dyDescent="0.2">
      <c r="B2851" s="187"/>
    </row>
    <row r="2852" spans="2:2" x14ac:dyDescent="0.2">
      <c r="B2852" s="187"/>
    </row>
    <row r="2853" spans="2:2" x14ac:dyDescent="0.2">
      <c r="B2853" s="187"/>
    </row>
    <row r="2854" spans="2:2" x14ac:dyDescent="0.2">
      <c r="B2854" s="187"/>
    </row>
    <row r="2855" spans="2:2" x14ac:dyDescent="0.2">
      <c r="B2855" s="187"/>
    </row>
    <row r="2856" spans="2:2" x14ac:dyDescent="0.2">
      <c r="B2856" s="187"/>
    </row>
    <row r="2857" spans="2:2" x14ac:dyDescent="0.2">
      <c r="B2857" s="187"/>
    </row>
    <row r="2858" spans="2:2" x14ac:dyDescent="0.2">
      <c r="B2858" s="187"/>
    </row>
    <row r="2859" spans="2:2" x14ac:dyDescent="0.2">
      <c r="B2859" s="187"/>
    </row>
    <row r="2860" spans="2:2" x14ac:dyDescent="0.2">
      <c r="B2860" s="187"/>
    </row>
    <row r="2861" spans="2:2" x14ac:dyDescent="0.2">
      <c r="B2861" s="187"/>
    </row>
    <row r="2862" spans="2:2" x14ac:dyDescent="0.2">
      <c r="B2862" s="187"/>
    </row>
    <row r="2863" spans="2:2" x14ac:dyDescent="0.2">
      <c r="B2863" s="187"/>
    </row>
    <row r="2864" spans="2:2" x14ac:dyDescent="0.2">
      <c r="B2864" s="187"/>
    </row>
    <row r="2865" spans="2:2" x14ac:dyDescent="0.2">
      <c r="B2865" s="187"/>
    </row>
    <row r="2866" spans="2:2" x14ac:dyDescent="0.2">
      <c r="B2866" s="187"/>
    </row>
    <row r="2867" spans="2:2" x14ac:dyDescent="0.2">
      <c r="B2867" s="187"/>
    </row>
    <row r="2868" spans="2:2" x14ac:dyDescent="0.2">
      <c r="B2868" s="187"/>
    </row>
    <row r="2869" spans="2:2" x14ac:dyDescent="0.2">
      <c r="B2869" s="187"/>
    </row>
    <row r="2870" spans="2:2" x14ac:dyDescent="0.2">
      <c r="B2870" s="187"/>
    </row>
    <row r="2871" spans="2:2" x14ac:dyDescent="0.2">
      <c r="B2871" s="187"/>
    </row>
    <row r="2872" spans="2:2" x14ac:dyDescent="0.2">
      <c r="B2872" s="187"/>
    </row>
    <row r="2873" spans="2:2" x14ac:dyDescent="0.2">
      <c r="B2873" s="187"/>
    </row>
    <row r="2874" spans="2:2" x14ac:dyDescent="0.2">
      <c r="B2874" s="187"/>
    </row>
    <row r="2875" spans="2:2" x14ac:dyDescent="0.2">
      <c r="B2875" s="187"/>
    </row>
    <row r="2876" spans="2:2" x14ac:dyDescent="0.2">
      <c r="B2876" s="187"/>
    </row>
    <row r="2877" spans="2:2" x14ac:dyDescent="0.2">
      <c r="B2877" s="187"/>
    </row>
    <row r="2878" spans="2:2" x14ac:dyDescent="0.2">
      <c r="B2878" s="187"/>
    </row>
    <row r="2879" spans="2:2" x14ac:dyDescent="0.2">
      <c r="B2879" s="187"/>
    </row>
    <row r="2880" spans="2:2" x14ac:dyDescent="0.2">
      <c r="B2880" s="187"/>
    </row>
    <row r="2881" spans="2:2" x14ac:dyDescent="0.2">
      <c r="B2881" s="187"/>
    </row>
    <row r="2882" spans="2:2" x14ac:dyDescent="0.2">
      <c r="B2882" s="187"/>
    </row>
    <row r="2883" spans="2:2" x14ac:dyDescent="0.2">
      <c r="B2883" s="187"/>
    </row>
    <row r="2884" spans="2:2" x14ac:dyDescent="0.2">
      <c r="B2884" s="187"/>
    </row>
    <row r="2885" spans="2:2" x14ac:dyDescent="0.2">
      <c r="B2885" s="187"/>
    </row>
    <row r="2886" spans="2:2" x14ac:dyDescent="0.2">
      <c r="B2886" s="187"/>
    </row>
    <row r="2887" spans="2:2" x14ac:dyDescent="0.2">
      <c r="B2887" s="187"/>
    </row>
    <row r="2888" spans="2:2" x14ac:dyDescent="0.2">
      <c r="B2888" s="187"/>
    </row>
    <row r="2889" spans="2:2" x14ac:dyDescent="0.2">
      <c r="B2889" s="187"/>
    </row>
    <row r="2890" spans="2:2" x14ac:dyDescent="0.2">
      <c r="B2890" s="187"/>
    </row>
    <row r="2891" spans="2:2" x14ac:dyDescent="0.2">
      <c r="B2891" s="187"/>
    </row>
    <row r="2892" spans="2:2" x14ac:dyDescent="0.2">
      <c r="B2892" s="187"/>
    </row>
    <row r="2893" spans="2:2" x14ac:dyDescent="0.2">
      <c r="B2893" s="187"/>
    </row>
    <row r="2894" spans="2:2" x14ac:dyDescent="0.2">
      <c r="B2894" s="187"/>
    </row>
    <row r="2895" spans="2:2" x14ac:dyDescent="0.2">
      <c r="B2895" s="187"/>
    </row>
    <row r="2896" spans="2:2" x14ac:dyDescent="0.2">
      <c r="B2896" s="187"/>
    </row>
    <row r="2897" spans="2:2" x14ac:dyDescent="0.2">
      <c r="B2897" s="187"/>
    </row>
    <row r="2898" spans="2:2" x14ac:dyDescent="0.2">
      <c r="B2898" s="187"/>
    </row>
    <row r="2899" spans="2:2" x14ac:dyDescent="0.2">
      <c r="B2899" s="187"/>
    </row>
    <row r="2900" spans="2:2" x14ac:dyDescent="0.2">
      <c r="B2900" s="187"/>
    </row>
    <row r="2901" spans="2:2" x14ac:dyDescent="0.2">
      <c r="B2901" s="187"/>
    </row>
    <row r="2902" spans="2:2" x14ac:dyDescent="0.2">
      <c r="B2902" s="187"/>
    </row>
    <row r="2903" spans="2:2" x14ac:dyDescent="0.2">
      <c r="B2903" s="187"/>
    </row>
    <row r="2904" spans="2:2" x14ac:dyDescent="0.2">
      <c r="B2904" s="187"/>
    </row>
    <row r="2905" spans="2:2" x14ac:dyDescent="0.2">
      <c r="B2905" s="187"/>
    </row>
    <row r="2906" spans="2:2" x14ac:dyDescent="0.2">
      <c r="B2906" s="187"/>
    </row>
    <row r="2907" spans="2:2" x14ac:dyDescent="0.2">
      <c r="B2907" s="187"/>
    </row>
    <row r="2908" spans="2:2" x14ac:dyDescent="0.2">
      <c r="B2908" s="187"/>
    </row>
    <row r="2909" spans="2:2" x14ac:dyDescent="0.2">
      <c r="B2909" s="187"/>
    </row>
    <row r="2910" spans="2:2" x14ac:dyDescent="0.2">
      <c r="B2910" s="187"/>
    </row>
    <row r="2911" spans="2:2" x14ac:dyDescent="0.2">
      <c r="B2911" s="187"/>
    </row>
    <row r="2912" spans="2:2" x14ac:dyDescent="0.2">
      <c r="B2912" s="187"/>
    </row>
    <row r="2913" spans="2:2" x14ac:dyDescent="0.2">
      <c r="B2913" s="187"/>
    </row>
    <row r="2914" spans="2:2" x14ac:dyDescent="0.2">
      <c r="B2914" s="187"/>
    </row>
    <row r="2915" spans="2:2" x14ac:dyDescent="0.2">
      <c r="B2915" s="187"/>
    </row>
    <row r="2916" spans="2:2" x14ac:dyDescent="0.2">
      <c r="B2916" s="187"/>
    </row>
    <row r="2917" spans="2:2" x14ac:dyDescent="0.2">
      <c r="B2917" s="187"/>
    </row>
    <row r="2918" spans="2:2" x14ac:dyDescent="0.2">
      <c r="B2918" s="187"/>
    </row>
    <row r="2919" spans="2:2" x14ac:dyDescent="0.2">
      <c r="B2919" s="187"/>
    </row>
    <row r="2920" spans="2:2" x14ac:dyDescent="0.2">
      <c r="B2920" s="187"/>
    </row>
    <row r="2921" spans="2:2" x14ac:dyDescent="0.2">
      <c r="B2921" s="187"/>
    </row>
    <row r="2922" spans="2:2" x14ac:dyDescent="0.2">
      <c r="B2922" s="187"/>
    </row>
    <row r="2923" spans="2:2" x14ac:dyDescent="0.2">
      <c r="B2923" s="187"/>
    </row>
    <row r="2924" spans="2:2" x14ac:dyDescent="0.2">
      <c r="B2924" s="187"/>
    </row>
    <row r="2925" spans="2:2" x14ac:dyDescent="0.2">
      <c r="B2925" s="187"/>
    </row>
    <row r="2926" spans="2:2" x14ac:dyDescent="0.2">
      <c r="B2926" s="187"/>
    </row>
    <row r="2927" spans="2:2" x14ac:dyDescent="0.2">
      <c r="B2927" s="187"/>
    </row>
    <row r="2928" spans="2:2" x14ac:dyDescent="0.2">
      <c r="B2928" s="187"/>
    </row>
    <row r="2929" spans="2:2" x14ac:dyDescent="0.2">
      <c r="B2929" s="187"/>
    </row>
    <row r="2930" spans="2:2" x14ac:dyDescent="0.2">
      <c r="B2930" s="187"/>
    </row>
    <row r="2931" spans="2:2" x14ac:dyDescent="0.2">
      <c r="B2931" s="187"/>
    </row>
    <row r="2932" spans="2:2" x14ac:dyDescent="0.2">
      <c r="B2932" s="187"/>
    </row>
    <row r="2933" spans="2:2" x14ac:dyDescent="0.2">
      <c r="B2933" s="187"/>
    </row>
    <row r="2934" spans="2:2" x14ac:dyDescent="0.2">
      <c r="B2934" s="187"/>
    </row>
    <row r="2935" spans="2:2" x14ac:dyDescent="0.2">
      <c r="B2935" s="187"/>
    </row>
    <row r="2936" spans="2:2" x14ac:dyDescent="0.2">
      <c r="B2936" s="187"/>
    </row>
    <row r="2937" spans="2:2" x14ac:dyDescent="0.2">
      <c r="B2937" s="187"/>
    </row>
    <row r="2938" spans="2:2" x14ac:dyDescent="0.2">
      <c r="B2938" s="187"/>
    </row>
    <row r="2939" spans="2:2" x14ac:dyDescent="0.2">
      <c r="B2939" s="187"/>
    </row>
    <row r="2940" spans="2:2" x14ac:dyDescent="0.2">
      <c r="B2940" s="187"/>
    </row>
    <row r="2941" spans="2:2" x14ac:dyDescent="0.2">
      <c r="B2941" s="187"/>
    </row>
    <row r="2942" spans="2:2" x14ac:dyDescent="0.2">
      <c r="B2942" s="187"/>
    </row>
    <row r="2943" spans="2:2" x14ac:dyDescent="0.2">
      <c r="B2943" s="187"/>
    </row>
    <row r="2944" spans="2:2" x14ac:dyDescent="0.2">
      <c r="B2944" s="187"/>
    </row>
    <row r="2945" spans="2:2" x14ac:dyDescent="0.2">
      <c r="B2945" s="187"/>
    </row>
    <row r="2946" spans="2:2" x14ac:dyDescent="0.2">
      <c r="B2946" s="187"/>
    </row>
    <row r="2947" spans="2:2" x14ac:dyDescent="0.2">
      <c r="B2947" s="187"/>
    </row>
    <row r="2948" spans="2:2" x14ac:dyDescent="0.2">
      <c r="B2948" s="187"/>
    </row>
    <row r="2949" spans="2:2" x14ac:dyDescent="0.2">
      <c r="B2949" s="187"/>
    </row>
    <row r="2950" spans="2:2" x14ac:dyDescent="0.2">
      <c r="B2950" s="187"/>
    </row>
    <row r="2951" spans="2:2" x14ac:dyDescent="0.2">
      <c r="B2951" s="187"/>
    </row>
    <row r="2952" spans="2:2" x14ac:dyDescent="0.2">
      <c r="B2952" s="187"/>
    </row>
    <row r="2953" spans="2:2" x14ac:dyDescent="0.2">
      <c r="B2953" s="187"/>
    </row>
    <row r="2954" spans="2:2" x14ac:dyDescent="0.2">
      <c r="B2954" s="187"/>
    </row>
    <row r="2955" spans="2:2" x14ac:dyDescent="0.2">
      <c r="B2955" s="187"/>
    </row>
    <row r="2956" spans="2:2" x14ac:dyDescent="0.2">
      <c r="B2956" s="187"/>
    </row>
    <row r="2957" spans="2:2" x14ac:dyDescent="0.2">
      <c r="B2957" s="187"/>
    </row>
    <row r="2958" spans="2:2" x14ac:dyDescent="0.2">
      <c r="B2958" s="187"/>
    </row>
    <row r="2959" spans="2:2" x14ac:dyDescent="0.2">
      <c r="B2959" s="187"/>
    </row>
    <row r="2960" spans="2:2" x14ac:dyDescent="0.2">
      <c r="B2960" s="187"/>
    </row>
    <row r="2961" spans="2:2" x14ac:dyDescent="0.2">
      <c r="B2961" s="187"/>
    </row>
    <row r="2962" spans="2:2" x14ac:dyDescent="0.2">
      <c r="B2962" s="187"/>
    </row>
    <row r="2963" spans="2:2" x14ac:dyDescent="0.2">
      <c r="B2963" s="187"/>
    </row>
    <row r="2964" spans="2:2" x14ac:dyDescent="0.2">
      <c r="B2964" s="187"/>
    </row>
    <row r="2965" spans="2:2" x14ac:dyDescent="0.2">
      <c r="B2965" s="187"/>
    </row>
    <row r="2966" spans="2:2" x14ac:dyDescent="0.2">
      <c r="B2966" s="187"/>
    </row>
    <row r="2967" spans="2:2" x14ac:dyDescent="0.2">
      <c r="B2967" s="187"/>
    </row>
    <row r="2968" spans="2:2" x14ac:dyDescent="0.2">
      <c r="B2968" s="187"/>
    </row>
    <row r="2969" spans="2:2" x14ac:dyDescent="0.2">
      <c r="B2969" s="187"/>
    </row>
    <row r="2970" spans="2:2" x14ac:dyDescent="0.2">
      <c r="B2970" s="187"/>
    </row>
    <row r="2971" spans="2:2" x14ac:dyDescent="0.2">
      <c r="B2971" s="187"/>
    </row>
    <row r="2972" spans="2:2" x14ac:dyDescent="0.2">
      <c r="B2972" s="187"/>
    </row>
    <row r="2973" spans="2:2" x14ac:dyDescent="0.2">
      <c r="B2973" s="187"/>
    </row>
    <row r="2974" spans="2:2" x14ac:dyDescent="0.2">
      <c r="B2974" s="187"/>
    </row>
    <row r="2975" spans="2:2" x14ac:dyDescent="0.2">
      <c r="B2975" s="187"/>
    </row>
    <row r="2976" spans="2:2" x14ac:dyDescent="0.2">
      <c r="B2976" s="187"/>
    </row>
    <row r="2977" spans="2:2" x14ac:dyDescent="0.2">
      <c r="B2977" s="187"/>
    </row>
    <row r="2978" spans="2:2" x14ac:dyDescent="0.2">
      <c r="B2978" s="187"/>
    </row>
    <row r="2979" spans="2:2" x14ac:dyDescent="0.2">
      <c r="B2979" s="187"/>
    </row>
    <row r="2980" spans="2:2" x14ac:dyDescent="0.2">
      <c r="B2980" s="187"/>
    </row>
    <row r="2981" spans="2:2" x14ac:dyDescent="0.2">
      <c r="B2981" s="187"/>
    </row>
    <row r="2982" spans="2:2" x14ac:dyDescent="0.2">
      <c r="B2982" s="187"/>
    </row>
    <row r="2983" spans="2:2" x14ac:dyDescent="0.2">
      <c r="B2983" s="187"/>
    </row>
    <row r="2984" spans="2:2" x14ac:dyDescent="0.2">
      <c r="B2984" s="187"/>
    </row>
    <row r="2985" spans="2:2" x14ac:dyDescent="0.2">
      <c r="B2985" s="187"/>
    </row>
    <row r="2986" spans="2:2" x14ac:dyDescent="0.2">
      <c r="B2986" s="187"/>
    </row>
    <row r="2987" spans="2:2" x14ac:dyDescent="0.2">
      <c r="B2987" s="187"/>
    </row>
    <row r="2988" spans="2:2" x14ac:dyDescent="0.2">
      <c r="B2988" s="187"/>
    </row>
    <row r="2989" spans="2:2" x14ac:dyDescent="0.2">
      <c r="B2989" s="187"/>
    </row>
    <row r="2990" spans="2:2" x14ac:dyDescent="0.2">
      <c r="B2990" s="187"/>
    </row>
    <row r="2991" spans="2:2" x14ac:dyDescent="0.2">
      <c r="B2991" s="187"/>
    </row>
    <row r="2992" spans="2:2" x14ac:dyDescent="0.2">
      <c r="B2992" s="187"/>
    </row>
    <row r="2993" spans="2:2" x14ac:dyDescent="0.2">
      <c r="B2993" s="187"/>
    </row>
    <row r="2994" spans="2:2" x14ac:dyDescent="0.2">
      <c r="B2994" s="187"/>
    </row>
    <row r="2995" spans="2:2" x14ac:dyDescent="0.2">
      <c r="B2995" s="187"/>
    </row>
    <row r="2996" spans="2:2" x14ac:dyDescent="0.2">
      <c r="B2996" s="187"/>
    </row>
    <row r="2997" spans="2:2" x14ac:dyDescent="0.2">
      <c r="B2997" s="187"/>
    </row>
    <row r="2998" spans="2:2" x14ac:dyDescent="0.2">
      <c r="B2998" s="187"/>
    </row>
    <row r="2999" spans="2:2" x14ac:dyDescent="0.2">
      <c r="B2999" s="187"/>
    </row>
    <row r="3000" spans="2:2" x14ac:dyDescent="0.2">
      <c r="B3000" s="187"/>
    </row>
    <row r="3001" spans="2:2" x14ac:dyDescent="0.2">
      <c r="B3001" s="187"/>
    </row>
    <row r="3002" spans="2:2" x14ac:dyDescent="0.2">
      <c r="B3002" s="187"/>
    </row>
    <row r="3003" spans="2:2" x14ac:dyDescent="0.2">
      <c r="B3003" s="187"/>
    </row>
    <row r="3004" spans="2:2" x14ac:dyDescent="0.2">
      <c r="B3004" s="187"/>
    </row>
    <row r="3005" spans="2:2" x14ac:dyDescent="0.2">
      <c r="B3005" s="187"/>
    </row>
    <row r="3006" spans="2:2" x14ac:dyDescent="0.2">
      <c r="B3006" s="187"/>
    </row>
    <row r="3007" spans="2:2" x14ac:dyDescent="0.2">
      <c r="B3007" s="187"/>
    </row>
    <row r="3008" spans="2:2" x14ac:dyDescent="0.2">
      <c r="B3008" s="187"/>
    </row>
    <row r="3009" spans="2:2" x14ac:dyDescent="0.2">
      <c r="B3009" s="187"/>
    </row>
    <row r="3010" spans="2:2" x14ac:dyDescent="0.2">
      <c r="B3010" s="187"/>
    </row>
    <row r="3011" spans="2:2" x14ac:dyDescent="0.2">
      <c r="B3011" s="187"/>
    </row>
    <row r="3012" spans="2:2" x14ac:dyDescent="0.2">
      <c r="B3012" s="187"/>
    </row>
    <row r="3013" spans="2:2" x14ac:dyDescent="0.2">
      <c r="B3013" s="187"/>
    </row>
    <row r="3014" spans="2:2" x14ac:dyDescent="0.2">
      <c r="B3014" s="187"/>
    </row>
    <row r="3015" spans="2:2" x14ac:dyDescent="0.2">
      <c r="B3015" s="187"/>
    </row>
    <row r="3016" spans="2:2" x14ac:dyDescent="0.2">
      <c r="B3016" s="187"/>
    </row>
    <row r="3017" spans="2:2" x14ac:dyDescent="0.2">
      <c r="B3017" s="187"/>
    </row>
    <row r="3018" spans="2:2" x14ac:dyDescent="0.2">
      <c r="B3018" s="187"/>
    </row>
    <row r="3019" spans="2:2" x14ac:dyDescent="0.2">
      <c r="B3019" s="187"/>
    </row>
    <row r="3020" spans="2:2" x14ac:dyDescent="0.2">
      <c r="B3020" s="187"/>
    </row>
    <row r="3021" spans="2:2" x14ac:dyDescent="0.2">
      <c r="B3021" s="187"/>
    </row>
    <row r="3022" spans="2:2" x14ac:dyDescent="0.2">
      <c r="B3022" s="187"/>
    </row>
    <row r="3023" spans="2:2" x14ac:dyDescent="0.2">
      <c r="B3023" s="187"/>
    </row>
    <row r="3024" spans="2:2" x14ac:dyDescent="0.2">
      <c r="B3024" s="187"/>
    </row>
    <row r="3025" spans="2:2" x14ac:dyDescent="0.2">
      <c r="B3025" s="187"/>
    </row>
    <row r="3026" spans="2:2" x14ac:dyDescent="0.2">
      <c r="B3026" s="187"/>
    </row>
    <row r="3027" spans="2:2" x14ac:dyDescent="0.2">
      <c r="B3027" s="187"/>
    </row>
    <row r="3028" spans="2:2" x14ac:dyDescent="0.2">
      <c r="B3028" s="187"/>
    </row>
    <row r="3029" spans="2:2" x14ac:dyDescent="0.2">
      <c r="B3029" s="187"/>
    </row>
    <row r="3030" spans="2:2" x14ac:dyDescent="0.2">
      <c r="B3030" s="187"/>
    </row>
    <row r="3031" spans="2:2" x14ac:dyDescent="0.2">
      <c r="B3031" s="187"/>
    </row>
    <row r="3032" spans="2:2" x14ac:dyDescent="0.2">
      <c r="B3032" s="187"/>
    </row>
    <row r="3033" spans="2:2" x14ac:dyDescent="0.2">
      <c r="B3033" s="187"/>
    </row>
    <row r="3034" spans="2:2" x14ac:dyDescent="0.2">
      <c r="B3034" s="187"/>
    </row>
    <row r="3035" spans="2:2" x14ac:dyDescent="0.2">
      <c r="B3035" s="187"/>
    </row>
    <row r="3036" spans="2:2" x14ac:dyDescent="0.2">
      <c r="B3036" s="187"/>
    </row>
    <row r="3037" spans="2:2" x14ac:dyDescent="0.2">
      <c r="B3037" s="187"/>
    </row>
    <row r="3038" spans="2:2" x14ac:dyDescent="0.2">
      <c r="B3038" s="187"/>
    </row>
    <row r="3039" spans="2:2" x14ac:dyDescent="0.2">
      <c r="B3039" s="187"/>
    </row>
    <row r="3040" spans="2:2" x14ac:dyDescent="0.2">
      <c r="B3040" s="187"/>
    </row>
    <row r="3041" spans="2:2" x14ac:dyDescent="0.2">
      <c r="B3041" s="187"/>
    </row>
    <row r="3042" spans="2:2" x14ac:dyDescent="0.2">
      <c r="B3042" s="187"/>
    </row>
    <row r="3043" spans="2:2" x14ac:dyDescent="0.2">
      <c r="B3043" s="187"/>
    </row>
    <row r="3044" spans="2:2" x14ac:dyDescent="0.2">
      <c r="B3044" s="187"/>
    </row>
    <row r="3045" spans="2:2" x14ac:dyDescent="0.2">
      <c r="B3045" s="187"/>
    </row>
    <row r="3046" spans="2:2" x14ac:dyDescent="0.2">
      <c r="B3046" s="187"/>
    </row>
    <row r="3047" spans="2:2" x14ac:dyDescent="0.2">
      <c r="B3047" s="187"/>
    </row>
    <row r="3048" spans="2:2" x14ac:dyDescent="0.2">
      <c r="B3048" s="187"/>
    </row>
    <row r="3049" spans="2:2" x14ac:dyDescent="0.2">
      <c r="B3049" s="187"/>
    </row>
    <row r="3050" spans="2:2" x14ac:dyDescent="0.2">
      <c r="B3050" s="187"/>
    </row>
    <row r="3051" spans="2:2" x14ac:dyDescent="0.2">
      <c r="B3051" s="187"/>
    </row>
    <row r="3052" spans="2:2" x14ac:dyDescent="0.2">
      <c r="B3052" s="187"/>
    </row>
    <row r="3053" spans="2:2" x14ac:dyDescent="0.2">
      <c r="B3053" s="187"/>
    </row>
    <row r="3054" spans="2:2" x14ac:dyDescent="0.2">
      <c r="B3054" s="187"/>
    </row>
    <row r="3055" spans="2:2" x14ac:dyDescent="0.2">
      <c r="B3055" s="187"/>
    </row>
    <row r="3056" spans="2:2" x14ac:dyDescent="0.2">
      <c r="B3056" s="187"/>
    </row>
    <row r="3057" spans="2:2" x14ac:dyDescent="0.2">
      <c r="B3057" s="187"/>
    </row>
    <row r="3058" spans="2:2" x14ac:dyDescent="0.2">
      <c r="B3058" s="187"/>
    </row>
    <row r="3059" spans="2:2" x14ac:dyDescent="0.2">
      <c r="B3059" s="187"/>
    </row>
    <row r="3060" spans="2:2" x14ac:dyDescent="0.2">
      <c r="B3060" s="187"/>
    </row>
    <row r="3061" spans="2:2" x14ac:dyDescent="0.2">
      <c r="B3061" s="187"/>
    </row>
    <row r="3062" spans="2:2" x14ac:dyDescent="0.2">
      <c r="B3062" s="187"/>
    </row>
    <row r="3063" spans="2:2" x14ac:dyDescent="0.2">
      <c r="B3063" s="187"/>
    </row>
    <row r="3064" spans="2:2" x14ac:dyDescent="0.2">
      <c r="B3064" s="187"/>
    </row>
    <row r="3065" spans="2:2" x14ac:dyDescent="0.2">
      <c r="B3065" s="187"/>
    </row>
    <row r="3066" spans="2:2" x14ac:dyDescent="0.2">
      <c r="B3066" s="187"/>
    </row>
    <row r="3067" spans="2:2" x14ac:dyDescent="0.2">
      <c r="B3067" s="187"/>
    </row>
    <row r="3068" spans="2:2" x14ac:dyDescent="0.2">
      <c r="B3068" s="187"/>
    </row>
    <row r="3069" spans="2:2" x14ac:dyDescent="0.2">
      <c r="B3069" s="187"/>
    </row>
    <row r="3070" spans="2:2" x14ac:dyDescent="0.2">
      <c r="B3070" s="187"/>
    </row>
    <row r="3071" spans="2:2" x14ac:dyDescent="0.2">
      <c r="B3071" s="187"/>
    </row>
    <row r="3072" spans="2:2" x14ac:dyDescent="0.2">
      <c r="B3072" s="187"/>
    </row>
    <row r="3073" spans="2:2" x14ac:dyDescent="0.2">
      <c r="B3073" s="187"/>
    </row>
    <row r="3074" spans="2:2" x14ac:dyDescent="0.2">
      <c r="B3074" s="187"/>
    </row>
    <row r="3075" spans="2:2" x14ac:dyDescent="0.2">
      <c r="B3075" s="187"/>
    </row>
    <row r="3076" spans="2:2" x14ac:dyDescent="0.2">
      <c r="B3076" s="187"/>
    </row>
    <row r="3077" spans="2:2" x14ac:dyDescent="0.2">
      <c r="B3077" s="187"/>
    </row>
    <row r="3078" spans="2:2" x14ac:dyDescent="0.2">
      <c r="B3078" s="187"/>
    </row>
    <row r="3079" spans="2:2" x14ac:dyDescent="0.2">
      <c r="B3079" s="187"/>
    </row>
    <row r="3080" spans="2:2" x14ac:dyDescent="0.2">
      <c r="B3080" s="187"/>
    </row>
    <row r="3081" spans="2:2" x14ac:dyDescent="0.2">
      <c r="B3081" s="187"/>
    </row>
    <row r="3082" spans="2:2" x14ac:dyDescent="0.2">
      <c r="B3082" s="187"/>
    </row>
    <row r="3083" spans="2:2" x14ac:dyDescent="0.2">
      <c r="B3083" s="187"/>
    </row>
    <row r="3084" spans="2:2" x14ac:dyDescent="0.2">
      <c r="B3084" s="187"/>
    </row>
    <row r="3085" spans="2:2" x14ac:dyDescent="0.2">
      <c r="B3085" s="187"/>
    </row>
    <row r="3086" spans="2:2" x14ac:dyDescent="0.2">
      <c r="B3086" s="187"/>
    </row>
    <row r="3087" spans="2:2" x14ac:dyDescent="0.2">
      <c r="B3087" s="187"/>
    </row>
    <row r="3088" spans="2:2" x14ac:dyDescent="0.2">
      <c r="B3088" s="187"/>
    </row>
    <row r="3089" spans="2:2" x14ac:dyDescent="0.2">
      <c r="B3089" s="187"/>
    </row>
    <row r="3090" spans="2:2" x14ac:dyDescent="0.2">
      <c r="B3090" s="187"/>
    </row>
    <row r="3091" spans="2:2" x14ac:dyDescent="0.2">
      <c r="B3091" s="187"/>
    </row>
    <row r="3092" spans="2:2" x14ac:dyDescent="0.2">
      <c r="B3092" s="187"/>
    </row>
    <row r="3093" spans="2:2" x14ac:dyDescent="0.2">
      <c r="B3093" s="187"/>
    </row>
    <row r="3094" spans="2:2" x14ac:dyDescent="0.2">
      <c r="B3094" s="187"/>
    </row>
    <row r="3095" spans="2:2" x14ac:dyDescent="0.2">
      <c r="B3095" s="187"/>
    </row>
    <row r="3096" spans="2:2" x14ac:dyDescent="0.2">
      <c r="B3096" s="187"/>
    </row>
    <row r="3097" spans="2:2" x14ac:dyDescent="0.2">
      <c r="B3097" s="187"/>
    </row>
    <row r="3098" spans="2:2" x14ac:dyDescent="0.2">
      <c r="B3098" s="187"/>
    </row>
    <row r="3099" spans="2:2" x14ac:dyDescent="0.2">
      <c r="B3099" s="187"/>
    </row>
    <row r="3100" spans="2:2" x14ac:dyDescent="0.2">
      <c r="B3100" s="187"/>
    </row>
    <row r="3101" spans="2:2" x14ac:dyDescent="0.2">
      <c r="B3101" s="187"/>
    </row>
    <row r="3102" spans="2:2" x14ac:dyDescent="0.2">
      <c r="B3102" s="187"/>
    </row>
    <row r="3103" spans="2:2" x14ac:dyDescent="0.2">
      <c r="B3103" s="187"/>
    </row>
    <row r="3104" spans="2:2" x14ac:dyDescent="0.2">
      <c r="B3104" s="187"/>
    </row>
    <row r="3105" spans="2:2" x14ac:dyDescent="0.2">
      <c r="B3105" s="187"/>
    </row>
    <row r="3106" spans="2:2" x14ac:dyDescent="0.2">
      <c r="B3106" s="187"/>
    </row>
    <row r="3107" spans="2:2" x14ac:dyDescent="0.2">
      <c r="B3107" s="187"/>
    </row>
    <row r="3108" spans="2:2" x14ac:dyDescent="0.2">
      <c r="B3108" s="187"/>
    </row>
    <row r="3109" spans="2:2" x14ac:dyDescent="0.2">
      <c r="B3109" s="187"/>
    </row>
    <row r="3110" spans="2:2" x14ac:dyDescent="0.2">
      <c r="B3110" s="187"/>
    </row>
    <row r="3111" spans="2:2" x14ac:dyDescent="0.2">
      <c r="B3111" s="187"/>
    </row>
    <row r="3112" spans="2:2" x14ac:dyDescent="0.2">
      <c r="B3112" s="187"/>
    </row>
    <row r="3113" spans="2:2" x14ac:dyDescent="0.2">
      <c r="B3113" s="187"/>
    </row>
    <row r="3114" spans="2:2" x14ac:dyDescent="0.2">
      <c r="B3114" s="187"/>
    </row>
    <row r="3115" spans="2:2" x14ac:dyDescent="0.2">
      <c r="B3115" s="187"/>
    </row>
    <row r="3116" spans="2:2" x14ac:dyDescent="0.2">
      <c r="B3116" s="187"/>
    </row>
    <row r="3117" spans="2:2" x14ac:dyDescent="0.2">
      <c r="B3117" s="187"/>
    </row>
    <row r="3118" spans="2:2" x14ac:dyDescent="0.2">
      <c r="B3118" s="187"/>
    </row>
    <row r="3119" spans="2:2" x14ac:dyDescent="0.2">
      <c r="B3119" s="187"/>
    </row>
    <row r="3120" spans="2:2" x14ac:dyDescent="0.2">
      <c r="B3120" s="187"/>
    </row>
    <row r="3121" spans="2:2" x14ac:dyDescent="0.2">
      <c r="B3121" s="187"/>
    </row>
    <row r="3122" spans="2:2" x14ac:dyDescent="0.2">
      <c r="B3122" s="187"/>
    </row>
    <row r="3123" spans="2:2" x14ac:dyDescent="0.2">
      <c r="B3123" s="187"/>
    </row>
    <row r="3124" spans="2:2" x14ac:dyDescent="0.2">
      <c r="B3124" s="187"/>
    </row>
    <row r="3125" spans="2:2" x14ac:dyDescent="0.2">
      <c r="B3125" s="187"/>
    </row>
    <row r="3126" spans="2:2" x14ac:dyDescent="0.2">
      <c r="B3126" s="187"/>
    </row>
    <row r="3127" spans="2:2" x14ac:dyDescent="0.2">
      <c r="B3127" s="187"/>
    </row>
    <row r="3128" spans="2:2" x14ac:dyDescent="0.2">
      <c r="B3128" s="187"/>
    </row>
    <row r="3129" spans="2:2" x14ac:dyDescent="0.2">
      <c r="B3129" s="187"/>
    </row>
    <row r="3130" spans="2:2" x14ac:dyDescent="0.2">
      <c r="B3130" s="187"/>
    </row>
    <row r="3131" spans="2:2" x14ac:dyDescent="0.2">
      <c r="B3131" s="187"/>
    </row>
    <row r="3132" spans="2:2" x14ac:dyDescent="0.2">
      <c r="B3132" s="187"/>
    </row>
    <row r="3133" spans="2:2" x14ac:dyDescent="0.2">
      <c r="B3133" s="187"/>
    </row>
    <row r="3134" spans="2:2" x14ac:dyDescent="0.2">
      <c r="B3134" s="187"/>
    </row>
    <row r="3135" spans="2:2" x14ac:dyDescent="0.2">
      <c r="B3135" s="187"/>
    </row>
    <row r="3136" spans="2:2" x14ac:dyDescent="0.2">
      <c r="B3136" s="187"/>
    </row>
    <row r="3137" spans="2:2" x14ac:dyDescent="0.2">
      <c r="B3137" s="187"/>
    </row>
    <row r="3138" spans="2:2" x14ac:dyDescent="0.2">
      <c r="B3138" s="187"/>
    </row>
    <row r="3139" spans="2:2" x14ac:dyDescent="0.2">
      <c r="B3139" s="187"/>
    </row>
    <row r="3140" spans="2:2" x14ac:dyDescent="0.2">
      <c r="B3140" s="187"/>
    </row>
    <row r="3141" spans="2:2" x14ac:dyDescent="0.2">
      <c r="B3141" s="187"/>
    </row>
    <row r="3142" spans="2:2" x14ac:dyDescent="0.2">
      <c r="B3142" s="187"/>
    </row>
    <row r="3143" spans="2:2" x14ac:dyDescent="0.2">
      <c r="B3143" s="187"/>
    </row>
    <row r="3144" spans="2:2" x14ac:dyDescent="0.2">
      <c r="B3144" s="187"/>
    </row>
    <row r="3145" spans="2:2" x14ac:dyDescent="0.2">
      <c r="B3145" s="187"/>
    </row>
    <row r="3146" spans="2:2" x14ac:dyDescent="0.2">
      <c r="B3146" s="187"/>
    </row>
    <row r="3147" spans="2:2" x14ac:dyDescent="0.2">
      <c r="B3147" s="187"/>
    </row>
    <row r="3148" spans="2:2" x14ac:dyDescent="0.2">
      <c r="B3148" s="187"/>
    </row>
    <row r="3149" spans="2:2" x14ac:dyDescent="0.2">
      <c r="B3149" s="187"/>
    </row>
    <row r="3150" spans="2:2" x14ac:dyDescent="0.2">
      <c r="B3150" s="187"/>
    </row>
    <row r="3151" spans="2:2" x14ac:dyDescent="0.2">
      <c r="B3151" s="187"/>
    </row>
    <row r="3152" spans="2:2" x14ac:dyDescent="0.2">
      <c r="B3152" s="187"/>
    </row>
    <row r="3153" spans="2:2" x14ac:dyDescent="0.2">
      <c r="B3153" s="187"/>
    </row>
    <row r="3154" spans="2:2" x14ac:dyDescent="0.2">
      <c r="B3154" s="187"/>
    </row>
    <row r="3155" spans="2:2" x14ac:dyDescent="0.2">
      <c r="B3155" s="187"/>
    </row>
    <row r="3156" spans="2:2" x14ac:dyDescent="0.2">
      <c r="B3156" s="187"/>
    </row>
    <row r="3157" spans="2:2" x14ac:dyDescent="0.2">
      <c r="B3157" s="187"/>
    </row>
    <row r="3158" spans="2:2" x14ac:dyDescent="0.2">
      <c r="B3158" s="187"/>
    </row>
    <row r="3159" spans="2:2" x14ac:dyDescent="0.2">
      <c r="B3159" s="187"/>
    </row>
    <row r="3160" spans="2:2" x14ac:dyDescent="0.2">
      <c r="B3160" s="187"/>
    </row>
    <row r="3161" spans="2:2" x14ac:dyDescent="0.2">
      <c r="B3161" s="187"/>
    </row>
    <row r="3162" spans="2:2" x14ac:dyDescent="0.2">
      <c r="B3162" s="187"/>
    </row>
    <row r="3163" spans="2:2" x14ac:dyDescent="0.2">
      <c r="B3163" s="187"/>
    </row>
    <row r="3164" spans="2:2" x14ac:dyDescent="0.2">
      <c r="B3164" s="187"/>
    </row>
    <row r="3165" spans="2:2" x14ac:dyDescent="0.2">
      <c r="B3165" s="187"/>
    </row>
    <row r="3166" spans="2:2" x14ac:dyDescent="0.2">
      <c r="B3166" s="187"/>
    </row>
    <row r="3167" spans="2:2" x14ac:dyDescent="0.2">
      <c r="B3167" s="187"/>
    </row>
    <row r="3168" spans="2:2" x14ac:dyDescent="0.2">
      <c r="B3168" s="187"/>
    </row>
    <row r="3169" spans="2:2" x14ac:dyDescent="0.2">
      <c r="B3169" s="187"/>
    </row>
    <row r="3170" spans="2:2" x14ac:dyDescent="0.2">
      <c r="B3170" s="187"/>
    </row>
    <row r="3171" spans="2:2" x14ac:dyDescent="0.2">
      <c r="B3171" s="187"/>
    </row>
    <row r="3172" spans="2:2" x14ac:dyDescent="0.2">
      <c r="B3172" s="187"/>
    </row>
    <row r="3173" spans="2:2" x14ac:dyDescent="0.2">
      <c r="B3173" s="187"/>
    </row>
    <row r="3174" spans="2:2" x14ac:dyDescent="0.2">
      <c r="B3174" s="187"/>
    </row>
    <row r="3175" spans="2:2" x14ac:dyDescent="0.2">
      <c r="B3175" s="187"/>
    </row>
    <row r="3176" spans="2:2" x14ac:dyDescent="0.2">
      <c r="B3176" s="187"/>
    </row>
    <row r="3177" spans="2:2" x14ac:dyDescent="0.2">
      <c r="B3177" s="187"/>
    </row>
    <row r="3178" spans="2:2" x14ac:dyDescent="0.2">
      <c r="B3178" s="187"/>
    </row>
    <row r="3179" spans="2:2" x14ac:dyDescent="0.2">
      <c r="B3179" s="187"/>
    </row>
    <row r="3180" spans="2:2" x14ac:dyDescent="0.2">
      <c r="B3180" s="187"/>
    </row>
    <row r="3181" spans="2:2" x14ac:dyDescent="0.2">
      <c r="B3181" s="187"/>
    </row>
    <row r="3182" spans="2:2" x14ac:dyDescent="0.2">
      <c r="B3182" s="187"/>
    </row>
    <row r="3183" spans="2:2" x14ac:dyDescent="0.2">
      <c r="B3183" s="187"/>
    </row>
    <row r="3184" spans="2:2" x14ac:dyDescent="0.2">
      <c r="B3184" s="187"/>
    </row>
    <row r="3185" spans="2:2" x14ac:dyDescent="0.2">
      <c r="B3185" s="187"/>
    </row>
    <row r="3186" spans="2:2" x14ac:dyDescent="0.2">
      <c r="B3186" s="187"/>
    </row>
    <row r="3187" spans="2:2" x14ac:dyDescent="0.2">
      <c r="B3187" s="187"/>
    </row>
    <row r="3188" spans="2:2" x14ac:dyDescent="0.2">
      <c r="B3188" s="187"/>
    </row>
    <row r="3189" spans="2:2" x14ac:dyDescent="0.2">
      <c r="B3189" s="187"/>
    </row>
    <row r="3190" spans="2:2" x14ac:dyDescent="0.2">
      <c r="B3190" s="187"/>
    </row>
    <row r="3191" spans="2:2" x14ac:dyDescent="0.2">
      <c r="B3191" s="187"/>
    </row>
    <row r="3192" spans="2:2" x14ac:dyDescent="0.2">
      <c r="B3192" s="187"/>
    </row>
    <row r="3193" spans="2:2" x14ac:dyDescent="0.2">
      <c r="B3193" s="187"/>
    </row>
    <row r="3194" spans="2:2" x14ac:dyDescent="0.2">
      <c r="B3194" s="187"/>
    </row>
    <row r="3195" spans="2:2" x14ac:dyDescent="0.2">
      <c r="B3195" s="187"/>
    </row>
    <row r="3196" spans="2:2" x14ac:dyDescent="0.2">
      <c r="B3196" s="187"/>
    </row>
    <row r="3197" spans="2:2" x14ac:dyDescent="0.2">
      <c r="B3197" s="187"/>
    </row>
    <row r="3198" spans="2:2" x14ac:dyDescent="0.2">
      <c r="B3198" s="187"/>
    </row>
    <row r="3199" spans="2:2" x14ac:dyDescent="0.2">
      <c r="B3199" s="187"/>
    </row>
    <row r="3200" spans="2:2" x14ac:dyDescent="0.2">
      <c r="B3200" s="187"/>
    </row>
    <row r="3201" spans="2:2" x14ac:dyDescent="0.2">
      <c r="B3201" s="187"/>
    </row>
    <row r="3202" spans="2:2" x14ac:dyDescent="0.2">
      <c r="B3202" s="187"/>
    </row>
    <row r="3203" spans="2:2" x14ac:dyDescent="0.2">
      <c r="B3203" s="187"/>
    </row>
    <row r="3204" spans="2:2" x14ac:dyDescent="0.2">
      <c r="B3204" s="187"/>
    </row>
    <row r="3205" spans="2:2" x14ac:dyDescent="0.2">
      <c r="B3205" s="187"/>
    </row>
    <row r="3206" spans="2:2" x14ac:dyDescent="0.2">
      <c r="B3206" s="187"/>
    </row>
    <row r="3207" spans="2:2" x14ac:dyDescent="0.2">
      <c r="B3207" s="187"/>
    </row>
    <row r="3208" spans="2:2" x14ac:dyDescent="0.2">
      <c r="B3208" s="187"/>
    </row>
    <row r="3209" spans="2:2" x14ac:dyDescent="0.2">
      <c r="B3209" s="187"/>
    </row>
    <row r="3210" spans="2:2" x14ac:dyDescent="0.2">
      <c r="B3210" s="187"/>
    </row>
    <row r="3211" spans="2:2" x14ac:dyDescent="0.2">
      <c r="B3211" s="187"/>
    </row>
    <row r="3212" spans="2:2" x14ac:dyDescent="0.2">
      <c r="B3212" s="187"/>
    </row>
    <row r="3213" spans="2:2" x14ac:dyDescent="0.2">
      <c r="B3213" s="187"/>
    </row>
    <row r="3214" spans="2:2" x14ac:dyDescent="0.2">
      <c r="B3214" s="187"/>
    </row>
    <row r="3215" spans="2:2" x14ac:dyDescent="0.2">
      <c r="B3215" s="187"/>
    </row>
    <row r="3216" spans="2:2" x14ac:dyDescent="0.2">
      <c r="B3216" s="187"/>
    </row>
    <row r="3217" spans="2:2" x14ac:dyDescent="0.2">
      <c r="B3217" s="187"/>
    </row>
    <row r="3218" spans="2:2" x14ac:dyDescent="0.2">
      <c r="B3218" s="187"/>
    </row>
    <row r="3219" spans="2:2" x14ac:dyDescent="0.2">
      <c r="B3219" s="187"/>
    </row>
    <row r="3220" spans="2:2" x14ac:dyDescent="0.2">
      <c r="B3220" s="187"/>
    </row>
    <row r="3221" spans="2:2" x14ac:dyDescent="0.2">
      <c r="B3221" s="187"/>
    </row>
    <row r="3222" spans="2:2" x14ac:dyDescent="0.2">
      <c r="B3222" s="187"/>
    </row>
    <row r="3223" spans="2:2" x14ac:dyDescent="0.2">
      <c r="B3223" s="187"/>
    </row>
    <row r="3224" spans="2:2" x14ac:dyDescent="0.2">
      <c r="B3224" s="187"/>
    </row>
    <row r="3225" spans="2:2" x14ac:dyDescent="0.2">
      <c r="B3225" s="187"/>
    </row>
    <row r="3226" spans="2:2" x14ac:dyDescent="0.2">
      <c r="B3226" s="187"/>
    </row>
    <row r="3227" spans="2:2" x14ac:dyDescent="0.2">
      <c r="B3227" s="187"/>
    </row>
    <row r="3228" spans="2:2" x14ac:dyDescent="0.2">
      <c r="B3228" s="187"/>
    </row>
    <row r="3229" spans="2:2" x14ac:dyDescent="0.2">
      <c r="B3229" s="187"/>
    </row>
    <row r="3230" spans="2:2" x14ac:dyDescent="0.2">
      <c r="B3230" s="187"/>
    </row>
    <row r="3231" spans="2:2" x14ac:dyDescent="0.2">
      <c r="B3231" s="187"/>
    </row>
    <row r="3232" spans="2:2" x14ac:dyDescent="0.2">
      <c r="B3232" s="187"/>
    </row>
    <row r="3233" spans="2:2" x14ac:dyDescent="0.2">
      <c r="B3233" s="187"/>
    </row>
    <row r="3234" spans="2:2" x14ac:dyDescent="0.2">
      <c r="B3234" s="187"/>
    </row>
    <row r="3235" spans="2:2" x14ac:dyDescent="0.2">
      <c r="B3235" s="187"/>
    </row>
    <row r="3236" spans="2:2" x14ac:dyDescent="0.2">
      <c r="B3236" s="187"/>
    </row>
    <row r="3237" spans="2:2" x14ac:dyDescent="0.2">
      <c r="B3237" s="187"/>
    </row>
    <row r="3238" spans="2:2" x14ac:dyDescent="0.2">
      <c r="B3238" s="187"/>
    </row>
    <row r="3239" spans="2:2" x14ac:dyDescent="0.2">
      <c r="B3239" s="187"/>
    </row>
    <row r="3240" spans="2:2" x14ac:dyDescent="0.2">
      <c r="B3240" s="187"/>
    </row>
    <row r="3241" spans="2:2" x14ac:dyDescent="0.2">
      <c r="B3241" s="187"/>
    </row>
    <row r="3242" spans="2:2" x14ac:dyDescent="0.2">
      <c r="B3242" s="187"/>
    </row>
    <row r="3243" spans="2:2" x14ac:dyDescent="0.2">
      <c r="B3243" s="187"/>
    </row>
    <row r="3244" spans="2:2" x14ac:dyDescent="0.2">
      <c r="B3244" s="187"/>
    </row>
    <row r="3245" spans="2:2" x14ac:dyDescent="0.2">
      <c r="B3245" s="187"/>
    </row>
    <row r="3246" spans="2:2" x14ac:dyDescent="0.2">
      <c r="B3246" s="187"/>
    </row>
    <row r="3247" spans="2:2" x14ac:dyDescent="0.2">
      <c r="B3247" s="187"/>
    </row>
    <row r="3248" spans="2:2" x14ac:dyDescent="0.2">
      <c r="B3248" s="187"/>
    </row>
    <row r="3249" spans="2:2" x14ac:dyDescent="0.2">
      <c r="B3249" s="187"/>
    </row>
    <row r="3250" spans="2:2" x14ac:dyDescent="0.2">
      <c r="B3250" s="187"/>
    </row>
    <row r="3251" spans="2:2" x14ac:dyDescent="0.2">
      <c r="B3251" s="187"/>
    </row>
    <row r="3252" spans="2:2" x14ac:dyDescent="0.2">
      <c r="B3252" s="187"/>
    </row>
    <row r="3253" spans="2:2" x14ac:dyDescent="0.2">
      <c r="B3253" s="187"/>
    </row>
    <row r="3254" spans="2:2" x14ac:dyDescent="0.2">
      <c r="B3254" s="187"/>
    </row>
    <row r="3255" spans="2:2" x14ac:dyDescent="0.2">
      <c r="B3255" s="187"/>
    </row>
    <row r="3256" spans="2:2" x14ac:dyDescent="0.2">
      <c r="B3256" s="187"/>
    </row>
    <row r="3257" spans="2:2" x14ac:dyDescent="0.2">
      <c r="B3257" s="187"/>
    </row>
    <row r="3258" spans="2:2" x14ac:dyDescent="0.2">
      <c r="B3258" s="187"/>
    </row>
    <row r="3259" spans="2:2" x14ac:dyDescent="0.2">
      <c r="B3259" s="187"/>
    </row>
    <row r="3260" spans="2:2" x14ac:dyDescent="0.2">
      <c r="B3260" s="187"/>
    </row>
    <row r="3261" spans="2:2" x14ac:dyDescent="0.2">
      <c r="B3261" s="187"/>
    </row>
    <row r="3262" spans="2:2" x14ac:dyDescent="0.2">
      <c r="B3262" s="187"/>
    </row>
    <row r="3263" spans="2:2" x14ac:dyDescent="0.2">
      <c r="B3263" s="187"/>
    </row>
    <row r="3264" spans="2:2" x14ac:dyDescent="0.2">
      <c r="B3264" s="187"/>
    </row>
    <row r="3265" spans="2:2" x14ac:dyDescent="0.2">
      <c r="B3265" s="187"/>
    </row>
    <row r="3266" spans="2:2" x14ac:dyDescent="0.2">
      <c r="B3266" s="187"/>
    </row>
    <row r="3267" spans="2:2" x14ac:dyDescent="0.2">
      <c r="B3267" s="187"/>
    </row>
    <row r="3268" spans="2:2" x14ac:dyDescent="0.2">
      <c r="B3268" s="187"/>
    </row>
    <row r="3269" spans="2:2" x14ac:dyDescent="0.2">
      <c r="B3269" s="187"/>
    </row>
    <row r="3270" spans="2:2" x14ac:dyDescent="0.2">
      <c r="B3270" s="187"/>
    </row>
    <row r="3271" spans="2:2" x14ac:dyDescent="0.2">
      <c r="B3271" s="187"/>
    </row>
    <row r="3272" spans="2:2" x14ac:dyDescent="0.2">
      <c r="B3272" s="187"/>
    </row>
    <row r="3273" spans="2:2" x14ac:dyDescent="0.2">
      <c r="B3273" s="187"/>
    </row>
    <row r="3274" spans="2:2" x14ac:dyDescent="0.2">
      <c r="B3274" s="187"/>
    </row>
    <row r="3275" spans="2:2" x14ac:dyDescent="0.2">
      <c r="B3275" s="187"/>
    </row>
    <row r="3276" spans="2:2" x14ac:dyDescent="0.2">
      <c r="B3276" s="187"/>
    </row>
    <row r="3277" spans="2:2" x14ac:dyDescent="0.2">
      <c r="B3277" s="187"/>
    </row>
    <row r="3278" spans="2:2" x14ac:dyDescent="0.2">
      <c r="B3278" s="187"/>
    </row>
    <row r="3279" spans="2:2" x14ac:dyDescent="0.2">
      <c r="B3279" s="187"/>
    </row>
    <row r="3280" spans="2:2" x14ac:dyDescent="0.2">
      <c r="B3280" s="187"/>
    </row>
    <row r="3281" spans="2:2" x14ac:dyDescent="0.2">
      <c r="B3281" s="187"/>
    </row>
    <row r="3282" spans="2:2" x14ac:dyDescent="0.2">
      <c r="B3282" s="187"/>
    </row>
    <row r="3283" spans="2:2" x14ac:dyDescent="0.2">
      <c r="B3283" s="187"/>
    </row>
    <row r="3284" spans="2:2" x14ac:dyDescent="0.2">
      <c r="B3284" s="187"/>
    </row>
    <row r="3285" spans="2:2" x14ac:dyDescent="0.2">
      <c r="B3285" s="187"/>
    </row>
    <row r="3286" spans="2:2" x14ac:dyDescent="0.2">
      <c r="B3286" s="187"/>
    </row>
    <row r="3287" spans="2:2" x14ac:dyDescent="0.2">
      <c r="B3287" s="187"/>
    </row>
    <row r="3288" spans="2:2" x14ac:dyDescent="0.2">
      <c r="B3288" s="187"/>
    </row>
    <row r="3289" spans="2:2" x14ac:dyDescent="0.2">
      <c r="B3289" s="187"/>
    </row>
    <row r="3290" spans="2:2" x14ac:dyDescent="0.2">
      <c r="B3290" s="187"/>
    </row>
    <row r="3291" spans="2:2" x14ac:dyDescent="0.2">
      <c r="B3291" s="187"/>
    </row>
    <row r="3292" spans="2:2" x14ac:dyDescent="0.2">
      <c r="B3292" s="187"/>
    </row>
    <row r="3293" spans="2:2" x14ac:dyDescent="0.2">
      <c r="B3293" s="187"/>
    </row>
    <row r="3294" spans="2:2" x14ac:dyDescent="0.2">
      <c r="B3294" s="187"/>
    </row>
    <row r="3295" spans="2:2" x14ac:dyDescent="0.2">
      <c r="B3295" s="187"/>
    </row>
    <row r="3296" spans="2:2" x14ac:dyDescent="0.2">
      <c r="B3296" s="187"/>
    </row>
    <row r="3297" spans="2:2" x14ac:dyDescent="0.2">
      <c r="B3297" s="187"/>
    </row>
    <row r="3298" spans="2:2" x14ac:dyDescent="0.2">
      <c r="B3298" s="187"/>
    </row>
    <row r="3299" spans="2:2" x14ac:dyDescent="0.2">
      <c r="B3299" s="187"/>
    </row>
    <row r="3300" spans="2:2" x14ac:dyDescent="0.2">
      <c r="B3300" s="187"/>
    </row>
    <row r="3301" spans="2:2" x14ac:dyDescent="0.2">
      <c r="B3301" s="187"/>
    </row>
    <row r="3302" spans="2:2" x14ac:dyDescent="0.2">
      <c r="B3302" s="187"/>
    </row>
    <row r="3303" spans="2:2" x14ac:dyDescent="0.2">
      <c r="B3303" s="187"/>
    </row>
    <row r="3304" spans="2:2" x14ac:dyDescent="0.2">
      <c r="B3304" s="187"/>
    </row>
    <row r="3305" spans="2:2" x14ac:dyDescent="0.2">
      <c r="B3305" s="187"/>
    </row>
    <row r="3306" spans="2:2" x14ac:dyDescent="0.2">
      <c r="B3306" s="187"/>
    </row>
    <row r="3307" spans="2:2" x14ac:dyDescent="0.2">
      <c r="B3307" s="187"/>
    </row>
    <row r="3308" spans="2:2" x14ac:dyDescent="0.2">
      <c r="B3308" s="187"/>
    </row>
    <row r="3309" spans="2:2" x14ac:dyDescent="0.2">
      <c r="B3309" s="187"/>
    </row>
    <row r="3310" spans="2:2" x14ac:dyDescent="0.2">
      <c r="B3310" s="187"/>
    </row>
    <row r="3311" spans="2:2" x14ac:dyDescent="0.2">
      <c r="B3311" s="187"/>
    </row>
    <row r="3312" spans="2:2" x14ac:dyDescent="0.2">
      <c r="B3312" s="187"/>
    </row>
    <row r="3313" spans="2:2" x14ac:dyDescent="0.2">
      <c r="B3313" s="187"/>
    </row>
    <row r="3314" spans="2:2" x14ac:dyDescent="0.2">
      <c r="B3314" s="187"/>
    </row>
    <row r="3315" spans="2:2" x14ac:dyDescent="0.2">
      <c r="B3315" s="187"/>
    </row>
    <row r="3316" spans="2:2" x14ac:dyDescent="0.2">
      <c r="B3316" s="187"/>
    </row>
    <row r="3317" spans="2:2" x14ac:dyDescent="0.2">
      <c r="B3317" s="187"/>
    </row>
    <row r="3318" spans="2:2" x14ac:dyDescent="0.2">
      <c r="B3318" s="187"/>
    </row>
    <row r="3319" spans="2:2" x14ac:dyDescent="0.2">
      <c r="B3319" s="187"/>
    </row>
    <row r="3320" spans="2:2" x14ac:dyDescent="0.2">
      <c r="B3320" s="187"/>
    </row>
    <row r="3321" spans="2:2" x14ac:dyDescent="0.2">
      <c r="B3321" s="187"/>
    </row>
    <row r="3322" spans="2:2" x14ac:dyDescent="0.2">
      <c r="B3322" s="187"/>
    </row>
    <row r="3323" spans="2:2" x14ac:dyDescent="0.2">
      <c r="B3323" s="187"/>
    </row>
    <row r="3324" spans="2:2" x14ac:dyDescent="0.2">
      <c r="B3324" s="187"/>
    </row>
    <row r="3325" spans="2:2" x14ac:dyDescent="0.2">
      <c r="B3325" s="187"/>
    </row>
    <row r="3326" spans="2:2" x14ac:dyDescent="0.2">
      <c r="B3326" s="187"/>
    </row>
    <row r="3327" spans="2:2" x14ac:dyDescent="0.2">
      <c r="B3327" s="187"/>
    </row>
    <row r="3328" spans="2:2" x14ac:dyDescent="0.2">
      <c r="B3328" s="187"/>
    </row>
    <row r="3329" spans="2:2" x14ac:dyDescent="0.2">
      <c r="B3329" s="187"/>
    </row>
    <row r="3330" spans="2:2" x14ac:dyDescent="0.2">
      <c r="B3330" s="187"/>
    </row>
    <row r="3331" spans="2:2" x14ac:dyDescent="0.2">
      <c r="B3331" s="187"/>
    </row>
    <row r="3332" spans="2:2" x14ac:dyDescent="0.2">
      <c r="B3332" s="187"/>
    </row>
    <row r="3333" spans="2:2" x14ac:dyDescent="0.2">
      <c r="B3333" s="187"/>
    </row>
    <row r="3334" spans="2:2" x14ac:dyDescent="0.2">
      <c r="B3334" s="187"/>
    </row>
    <row r="3335" spans="2:2" x14ac:dyDescent="0.2">
      <c r="B3335" s="187"/>
    </row>
    <row r="3336" spans="2:2" x14ac:dyDescent="0.2">
      <c r="B3336" s="187"/>
    </row>
    <row r="3337" spans="2:2" x14ac:dyDescent="0.2">
      <c r="B3337" s="187"/>
    </row>
    <row r="3338" spans="2:2" x14ac:dyDescent="0.2">
      <c r="B3338" s="187"/>
    </row>
    <row r="3339" spans="2:2" x14ac:dyDescent="0.2">
      <c r="B3339" s="187"/>
    </row>
    <row r="3340" spans="2:2" x14ac:dyDescent="0.2">
      <c r="B3340" s="187"/>
    </row>
    <row r="3341" spans="2:2" x14ac:dyDescent="0.2">
      <c r="B3341" s="187"/>
    </row>
    <row r="3342" spans="2:2" x14ac:dyDescent="0.2">
      <c r="B3342" s="187"/>
    </row>
    <row r="3343" spans="2:2" x14ac:dyDescent="0.2">
      <c r="B3343" s="187"/>
    </row>
    <row r="3344" spans="2:2" x14ac:dyDescent="0.2">
      <c r="B3344" s="187"/>
    </row>
    <row r="3345" spans="2:2" x14ac:dyDescent="0.2">
      <c r="B3345" s="187"/>
    </row>
    <row r="3346" spans="2:2" x14ac:dyDescent="0.2">
      <c r="B3346" s="187"/>
    </row>
    <row r="3347" spans="2:2" x14ac:dyDescent="0.2">
      <c r="B3347" s="187"/>
    </row>
    <row r="3348" spans="2:2" x14ac:dyDescent="0.2">
      <c r="B3348" s="187"/>
    </row>
    <row r="3349" spans="2:2" x14ac:dyDescent="0.2">
      <c r="B3349" s="187"/>
    </row>
    <row r="3350" spans="2:2" x14ac:dyDescent="0.2">
      <c r="B3350" s="187"/>
    </row>
    <row r="3351" spans="2:2" x14ac:dyDescent="0.2">
      <c r="B3351" s="187"/>
    </row>
    <row r="3352" spans="2:2" x14ac:dyDescent="0.2">
      <c r="B3352" s="187"/>
    </row>
    <row r="3353" spans="2:2" x14ac:dyDescent="0.2">
      <c r="B3353" s="187"/>
    </row>
    <row r="3354" spans="2:2" x14ac:dyDescent="0.2">
      <c r="B3354" s="187"/>
    </row>
    <row r="3355" spans="2:2" x14ac:dyDescent="0.2">
      <c r="B3355" s="187"/>
    </row>
    <row r="3356" spans="2:2" x14ac:dyDescent="0.2">
      <c r="B3356" s="187"/>
    </row>
    <row r="3357" spans="2:2" x14ac:dyDescent="0.2">
      <c r="B3357" s="187"/>
    </row>
    <row r="3358" spans="2:2" x14ac:dyDescent="0.2">
      <c r="B3358" s="187"/>
    </row>
    <row r="3359" spans="2:2" x14ac:dyDescent="0.2">
      <c r="B3359" s="187"/>
    </row>
    <row r="3360" spans="2:2" x14ac:dyDescent="0.2">
      <c r="B3360" s="187"/>
    </row>
    <row r="3361" spans="2:2" x14ac:dyDescent="0.2">
      <c r="B3361" s="187"/>
    </row>
    <row r="3362" spans="2:2" x14ac:dyDescent="0.2">
      <c r="B3362" s="187"/>
    </row>
    <row r="3363" spans="2:2" x14ac:dyDescent="0.2">
      <c r="B3363" s="187"/>
    </row>
    <row r="3364" spans="2:2" x14ac:dyDescent="0.2">
      <c r="B3364" s="187"/>
    </row>
    <row r="3365" spans="2:2" x14ac:dyDescent="0.2">
      <c r="B3365" s="187"/>
    </row>
    <row r="3366" spans="2:2" x14ac:dyDescent="0.2">
      <c r="B3366" s="187"/>
    </row>
    <row r="3367" spans="2:2" x14ac:dyDescent="0.2">
      <c r="B3367" s="187"/>
    </row>
    <row r="3368" spans="2:2" x14ac:dyDescent="0.2">
      <c r="B3368" s="187"/>
    </row>
    <row r="3369" spans="2:2" x14ac:dyDescent="0.2">
      <c r="B3369" s="187"/>
    </row>
    <row r="3370" spans="2:2" x14ac:dyDescent="0.2">
      <c r="B3370" s="187"/>
    </row>
    <row r="3371" spans="2:2" x14ac:dyDescent="0.2">
      <c r="B3371" s="187"/>
    </row>
    <row r="3372" spans="2:2" x14ac:dyDescent="0.2">
      <c r="B3372" s="187"/>
    </row>
    <row r="3373" spans="2:2" x14ac:dyDescent="0.2">
      <c r="B3373" s="187"/>
    </row>
    <row r="3374" spans="2:2" x14ac:dyDescent="0.2">
      <c r="B3374" s="187"/>
    </row>
    <row r="3375" spans="2:2" x14ac:dyDescent="0.2">
      <c r="B3375" s="187"/>
    </row>
    <row r="3376" spans="2:2" x14ac:dyDescent="0.2">
      <c r="B3376" s="187"/>
    </row>
    <row r="3377" spans="2:2" x14ac:dyDescent="0.2">
      <c r="B3377" s="187"/>
    </row>
    <row r="3378" spans="2:2" x14ac:dyDescent="0.2">
      <c r="B3378" s="187"/>
    </row>
    <row r="3379" spans="2:2" x14ac:dyDescent="0.2">
      <c r="B3379" s="187"/>
    </row>
    <row r="3380" spans="2:2" x14ac:dyDescent="0.2">
      <c r="B3380" s="187"/>
    </row>
    <row r="3381" spans="2:2" x14ac:dyDescent="0.2">
      <c r="B3381" s="187"/>
    </row>
    <row r="3382" spans="2:2" x14ac:dyDescent="0.2">
      <c r="B3382" s="187"/>
    </row>
    <row r="3383" spans="2:2" x14ac:dyDescent="0.2">
      <c r="B3383" s="187"/>
    </row>
    <row r="3384" spans="2:2" x14ac:dyDescent="0.2">
      <c r="B3384" s="187"/>
    </row>
    <row r="3385" spans="2:2" x14ac:dyDescent="0.2">
      <c r="B3385" s="187"/>
    </row>
    <row r="3386" spans="2:2" x14ac:dyDescent="0.2">
      <c r="B3386" s="187"/>
    </row>
    <row r="3387" spans="2:2" x14ac:dyDescent="0.2">
      <c r="B3387" s="187"/>
    </row>
    <row r="3388" spans="2:2" x14ac:dyDescent="0.2">
      <c r="B3388" s="187"/>
    </row>
    <row r="3389" spans="2:2" x14ac:dyDescent="0.2">
      <c r="B3389" s="187"/>
    </row>
    <row r="3390" spans="2:2" x14ac:dyDescent="0.2">
      <c r="B3390" s="187"/>
    </row>
    <row r="3391" spans="2:2" x14ac:dyDescent="0.2">
      <c r="B3391" s="187"/>
    </row>
    <row r="3392" spans="2:2" x14ac:dyDescent="0.2">
      <c r="B3392" s="187"/>
    </row>
    <row r="3393" spans="2:2" x14ac:dyDescent="0.2">
      <c r="B3393" s="187"/>
    </row>
    <row r="3394" spans="2:2" x14ac:dyDescent="0.2">
      <c r="B3394" s="187"/>
    </row>
    <row r="3395" spans="2:2" x14ac:dyDescent="0.2">
      <c r="B3395" s="187"/>
    </row>
    <row r="3396" spans="2:2" x14ac:dyDescent="0.2">
      <c r="B3396" s="187"/>
    </row>
    <row r="3397" spans="2:2" x14ac:dyDescent="0.2">
      <c r="B3397" s="187"/>
    </row>
    <row r="3398" spans="2:2" x14ac:dyDescent="0.2">
      <c r="B3398" s="187"/>
    </row>
    <row r="3399" spans="2:2" x14ac:dyDescent="0.2">
      <c r="B3399" s="187"/>
    </row>
    <row r="3400" spans="2:2" x14ac:dyDescent="0.2">
      <c r="B3400" s="187"/>
    </row>
    <row r="3401" spans="2:2" x14ac:dyDescent="0.2">
      <c r="B3401" s="187"/>
    </row>
    <row r="3402" spans="2:2" x14ac:dyDescent="0.2">
      <c r="B3402" s="187"/>
    </row>
    <row r="3403" spans="2:2" x14ac:dyDescent="0.2">
      <c r="B3403" s="187"/>
    </row>
    <row r="3404" spans="2:2" x14ac:dyDescent="0.2">
      <c r="B3404" s="187"/>
    </row>
    <row r="3405" spans="2:2" x14ac:dyDescent="0.2">
      <c r="B3405" s="187"/>
    </row>
    <row r="3406" spans="2:2" x14ac:dyDescent="0.2">
      <c r="B3406" s="187"/>
    </row>
    <row r="3407" spans="2:2" x14ac:dyDescent="0.2">
      <c r="B3407" s="187"/>
    </row>
    <row r="3408" spans="2:2" x14ac:dyDescent="0.2">
      <c r="B3408" s="187"/>
    </row>
    <row r="3409" spans="2:2" x14ac:dyDescent="0.2">
      <c r="B3409" s="187"/>
    </row>
    <row r="3410" spans="2:2" x14ac:dyDescent="0.2">
      <c r="B3410" s="187"/>
    </row>
    <row r="3411" spans="2:2" x14ac:dyDescent="0.2">
      <c r="B3411" s="187"/>
    </row>
    <row r="3412" spans="2:2" x14ac:dyDescent="0.2">
      <c r="B3412" s="187"/>
    </row>
    <row r="3413" spans="2:2" x14ac:dyDescent="0.2">
      <c r="B3413" s="187"/>
    </row>
    <row r="3414" spans="2:2" x14ac:dyDescent="0.2">
      <c r="B3414" s="187"/>
    </row>
    <row r="3415" spans="2:2" x14ac:dyDescent="0.2">
      <c r="B3415" s="187"/>
    </row>
    <row r="3416" spans="2:2" x14ac:dyDescent="0.2">
      <c r="B3416" s="187"/>
    </row>
    <row r="3417" spans="2:2" x14ac:dyDescent="0.2">
      <c r="B3417" s="187"/>
    </row>
    <row r="3418" spans="2:2" x14ac:dyDescent="0.2">
      <c r="B3418" s="187"/>
    </row>
    <row r="3419" spans="2:2" x14ac:dyDescent="0.2">
      <c r="B3419" s="187"/>
    </row>
    <row r="3420" spans="2:2" x14ac:dyDescent="0.2">
      <c r="B3420" s="187"/>
    </row>
    <row r="3421" spans="2:2" x14ac:dyDescent="0.2">
      <c r="B3421" s="187"/>
    </row>
    <row r="3422" spans="2:2" x14ac:dyDescent="0.2">
      <c r="B3422" s="187"/>
    </row>
    <row r="3423" spans="2:2" x14ac:dyDescent="0.2">
      <c r="B3423" s="187"/>
    </row>
    <row r="3424" spans="2:2" x14ac:dyDescent="0.2">
      <c r="B3424" s="187"/>
    </row>
    <row r="3425" spans="2:2" x14ac:dyDescent="0.2">
      <c r="B3425" s="187"/>
    </row>
    <row r="3426" spans="2:2" x14ac:dyDescent="0.2">
      <c r="B3426" s="187"/>
    </row>
    <row r="3427" spans="2:2" x14ac:dyDescent="0.2">
      <c r="B3427" s="187"/>
    </row>
    <row r="3428" spans="2:2" x14ac:dyDescent="0.2">
      <c r="B3428" s="187"/>
    </row>
    <row r="3429" spans="2:2" x14ac:dyDescent="0.2">
      <c r="B3429" s="187"/>
    </row>
    <row r="3430" spans="2:2" x14ac:dyDescent="0.2">
      <c r="B3430" s="187"/>
    </row>
    <row r="3431" spans="2:2" x14ac:dyDescent="0.2">
      <c r="B3431" s="187"/>
    </row>
    <row r="3432" spans="2:2" x14ac:dyDescent="0.2">
      <c r="B3432" s="187"/>
    </row>
    <row r="3433" spans="2:2" x14ac:dyDescent="0.2">
      <c r="B3433" s="187"/>
    </row>
    <row r="3434" spans="2:2" x14ac:dyDescent="0.2">
      <c r="B3434" s="187"/>
    </row>
    <row r="3435" spans="2:2" x14ac:dyDescent="0.2">
      <c r="B3435" s="187"/>
    </row>
    <row r="3436" spans="2:2" x14ac:dyDescent="0.2">
      <c r="B3436" s="187"/>
    </row>
    <row r="3437" spans="2:2" x14ac:dyDescent="0.2">
      <c r="B3437" s="187"/>
    </row>
    <row r="3438" spans="2:2" x14ac:dyDescent="0.2">
      <c r="B3438" s="187"/>
    </row>
    <row r="3439" spans="2:2" x14ac:dyDescent="0.2">
      <c r="B3439" s="187"/>
    </row>
    <row r="3440" spans="2:2" x14ac:dyDescent="0.2">
      <c r="B3440" s="187"/>
    </row>
    <row r="3441" spans="2:2" x14ac:dyDescent="0.2">
      <c r="B3441" s="187"/>
    </row>
    <row r="3442" spans="2:2" x14ac:dyDescent="0.2">
      <c r="B3442" s="187"/>
    </row>
    <row r="3443" spans="2:2" x14ac:dyDescent="0.2">
      <c r="B3443" s="187"/>
    </row>
    <row r="3444" spans="2:2" x14ac:dyDescent="0.2">
      <c r="B3444" s="187"/>
    </row>
    <row r="3445" spans="2:2" x14ac:dyDescent="0.2">
      <c r="B3445" s="187"/>
    </row>
    <row r="3446" spans="2:2" x14ac:dyDescent="0.2">
      <c r="B3446" s="187"/>
    </row>
    <row r="3447" spans="2:2" x14ac:dyDescent="0.2">
      <c r="B3447" s="187"/>
    </row>
    <row r="3448" spans="2:2" x14ac:dyDescent="0.2">
      <c r="B3448" s="187"/>
    </row>
    <row r="3449" spans="2:2" x14ac:dyDescent="0.2">
      <c r="B3449" s="187"/>
    </row>
    <row r="3450" spans="2:2" x14ac:dyDescent="0.2">
      <c r="B3450" s="187"/>
    </row>
    <row r="3451" spans="2:2" x14ac:dyDescent="0.2">
      <c r="B3451" s="187"/>
    </row>
    <row r="3452" spans="2:2" x14ac:dyDescent="0.2">
      <c r="B3452" s="187"/>
    </row>
    <row r="3453" spans="2:2" x14ac:dyDescent="0.2">
      <c r="B3453" s="187"/>
    </row>
    <row r="3454" spans="2:2" x14ac:dyDescent="0.2">
      <c r="B3454" s="187"/>
    </row>
    <row r="3455" spans="2:2" x14ac:dyDescent="0.2">
      <c r="B3455" s="187"/>
    </row>
    <row r="3456" spans="2:2" x14ac:dyDescent="0.2">
      <c r="B3456" s="187"/>
    </row>
    <row r="3457" spans="2:2" x14ac:dyDescent="0.2">
      <c r="B3457" s="187"/>
    </row>
    <row r="3458" spans="2:2" x14ac:dyDescent="0.2">
      <c r="B3458" s="187"/>
    </row>
    <row r="3459" spans="2:2" x14ac:dyDescent="0.2">
      <c r="B3459" s="187"/>
    </row>
    <row r="3460" spans="2:2" x14ac:dyDescent="0.2">
      <c r="B3460" s="187"/>
    </row>
    <row r="3461" spans="2:2" x14ac:dyDescent="0.2">
      <c r="B3461" s="187"/>
    </row>
    <row r="3462" spans="2:2" x14ac:dyDescent="0.2">
      <c r="B3462" s="187"/>
    </row>
    <row r="3463" spans="2:2" x14ac:dyDescent="0.2">
      <c r="B3463" s="187"/>
    </row>
    <row r="3464" spans="2:2" x14ac:dyDescent="0.2">
      <c r="B3464" s="187"/>
    </row>
    <row r="3465" spans="2:2" x14ac:dyDescent="0.2">
      <c r="B3465" s="187"/>
    </row>
    <row r="3466" spans="2:2" x14ac:dyDescent="0.2">
      <c r="B3466" s="187"/>
    </row>
    <row r="3467" spans="2:2" x14ac:dyDescent="0.2">
      <c r="B3467" s="187"/>
    </row>
    <row r="3468" spans="2:2" x14ac:dyDescent="0.2">
      <c r="B3468" s="187"/>
    </row>
    <row r="3469" spans="2:2" x14ac:dyDescent="0.2">
      <c r="B3469" s="187"/>
    </row>
    <row r="3470" spans="2:2" x14ac:dyDescent="0.2">
      <c r="B3470" s="187"/>
    </row>
    <row r="3471" spans="2:2" x14ac:dyDescent="0.2">
      <c r="B3471" s="187"/>
    </row>
    <row r="3472" spans="2:2" x14ac:dyDescent="0.2">
      <c r="B3472" s="187"/>
    </row>
    <row r="3473" spans="2:2" x14ac:dyDescent="0.2">
      <c r="B3473" s="187"/>
    </row>
    <row r="3474" spans="2:2" x14ac:dyDescent="0.2">
      <c r="B3474" s="187"/>
    </row>
    <row r="3475" spans="2:2" x14ac:dyDescent="0.2">
      <c r="B3475" s="187"/>
    </row>
    <row r="3476" spans="2:2" x14ac:dyDescent="0.2">
      <c r="B3476" s="187"/>
    </row>
    <row r="3477" spans="2:2" x14ac:dyDescent="0.2">
      <c r="B3477" s="187"/>
    </row>
    <row r="3478" spans="2:2" x14ac:dyDescent="0.2">
      <c r="B3478" s="187"/>
    </row>
    <row r="3479" spans="2:2" x14ac:dyDescent="0.2">
      <c r="B3479" s="187"/>
    </row>
    <row r="3480" spans="2:2" x14ac:dyDescent="0.2">
      <c r="B3480" s="187"/>
    </row>
    <row r="3481" spans="2:2" x14ac:dyDescent="0.2">
      <c r="B3481" s="187"/>
    </row>
    <row r="3482" spans="2:2" x14ac:dyDescent="0.2">
      <c r="B3482" s="187"/>
    </row>
    <row r="3483" spans="2:2" x14ac:dyDescent="0.2">
      <c r="B3483" s="187"/>
    </row>
    <row r="3484" spans="2:2" x14ac:dyDescent="0.2">
      <c r="B3484" s="187"/>
    </row>
    <row r="3485" spans="2:2" x14ac:dyDescent="0.2">
      <c r="B3485" s="187"/>
    </row>
    <row r="3486" spans="2:2" x14ac:dyDescent="0.2">
      <c r="B3486" s="187"/>
    </row>
    <row r="3487" spans="2:2" x14ac:dyDescent="0.2">
      <c r="B3487" s="187"/>
    </row>
    <row r="3488" spans="2:2" x14ac:dyDescent="0.2">
      <c r="B3488" s="187"/>
    </row>
    <row r="3489" spans="2:2" x14ac:dyDescent="0.2">
      <c r="B3489" s="187"/>
    </row>
    <row r="3490" spans="2:2" x14ac:dyDescent="0.2">
      <c r="B3490" s="187"/>
    </row>
    <row r="3491" spans="2:2" x14ac:dyDescent="0.2">
      <c r="B3491" s="187"/>
    </row>
    <row r="3492" spans="2:2" x14ac:dyDescent="0.2">
      <c r="B3492" s="187"/>
    </row>
    <row r="3493" spans="2:2" x14ac:dyDescent="0.2">
      <c r="B3493" s="187"/>
    </row>
    <row r="3494" spans="2:2" x14ac:dyDescent="0.2">
      <c r="B3494" s="187"/>
    </row>
    <row r="3495" spans="2:2" x14ac:dyDescent="0.2">
      <c r="B3495" s="187"/>
    </row>
    <row r="3496" spans="2:2" x14ac:dyDescent="0.2">
      <c r="B3496" s="187"/>
    </row>
    <row r="3497" spans="2:2" x14ac:dyDescent="0.2">
      <c r="B3497" s="187"/>
    </row>
    <row r="3498" spans="2:2" x14ac:dyDescent="0.2">
      <c r="B3498" s="187"/>
    </row>
    <row r="3499" spans="2:2" x14ac:dyDescent="0.2">
      <c r="B3499" s="187"/>
    </row>
    <row r="3500" spans="2:2" x14ac:dyDescent="0.2">
      <c r="B3500" s="187"/>
    </row>
    <row r="3501" spans="2:2" x14ac:dyDescent="0.2">
      <c r="B3501" s="187"/>
    </row>
    <row r="3502" spans="2:2" x14ac:dyDescent="0.2">
      <c r="B3502" s="187"/>
    </row>
    <row r="3503" spans="2:2" x14ac:dyDescent="0.2">
      <c r="B3503" s="187"/>
    </row>
    <row r="3504" spans="2:2" x14ac:dyDescent="0.2">
      <c r="B3504" s="187"/>
    </row>
    <row r="3505" spans="2:2" x14ac:dyDescent="0.2">
      <c r="B3505" s="187"/>
    </row>
    <row r="3506" spans="2:2" x14ac:dyDescent="0.2">
      <c r="B3506" s="187"/>
    </row>
    <row r="3507" spans="2:2" x14ac:dyDescent="0.2">
      <c r="B3507" s="187"/>
    </row>
    <row r="3508" spans="2:2" x14ac:dyDescent="0.2">
      <c r="B3508" s="187"/>
    </row>
    <row r="3509" spans="2:2" x14ac:dyDescent="0.2">
      <c r="B3509" s="187"/>
    </row>
    <row r="3510" spans="2:2" x14ac:dyDescent="0.2">
      <c r="B3510" s="187"/>
    </row>
    <row r="3511" spans="2:2" x14ac:dyDescent="0.2">
      <c r="B3511" s="187"/>
    </row>
    <row r="3512" spans="2:2" x14ac:dyDescent="0.2">
      <c r="B3512" s="187"/>
    </row>
    <row r="3513" spans="2:2" x14ac:dyDescent="0.2">
      <c r="B3513" s="187"/>
    </row>
    <row r="3514" spans="2:2" x14ac:dyDescent="0.2">
      <c r="B3514" s="187"/>
    </row>
    <row r="3515" spans="2:2" x14ac:dyDescent="0.2">
      <c r="B3515" s="187"/>
    </row>
    <row r="3516" spans="2:2" x14ac:dyDescent="0.2">
      <c r="B3516" s="187"/>
    </row>
    <row r="3517" spans="2:2" x14ac:dyDescent="0.2">
      <c r="B3517" s="187"/>
    </row>
    <row r="3518" spans="2:2" x14ac:dyDescent="0.2">
      <c r="B3518" s="187"/>
    </row>
    <row r="3519" spans="2:2" x14ac:dyDescent="0.2">
      <c r="B3519" s="187"/>
    </row>
    <row r="3520" spans="2:2" x14ac:dyDescent="0.2">
      <c r="B3520" s="187"/>
    </row>
    <row r="3521" spans="2:2" x14ac:dyDescent="0.2">
      <c r="B3521" s="187"/>
    </row>
    <row r="3522" spans="2:2" x14ac:dyDescent="0.2">
      <c r="B3522" s="187"/>
    </row>
    <row r="3523" spans="2:2" x14ac:dyDescent="0.2">
      <c r="B3523" s="187"/>
    </row>
    <row r="3524" spans="2:2" x14ac:dyDescent="0.2">
      <c r="B3524" s="187"/>
    </row>
    <row r="3525" spans="2:2" x14ac:dyDescent="0.2">
      <c r="B3525" s="187"/>
    </row>
    <row r="3526" spans="2:2" x14ac:dyDescent="0.2">
      <c r="B3526" s="187"/>
    </row>
    <row r="3527" spans="2:2" x14ac:dyDescent="0.2">
      <c r="B3527" s="187"/>
    </row>
    <row r="3528" spans="2:2" x14ac:dyDescent="0.2">
      <c r="B3528" s="187"/>
    </row>
    <row r="3529" spans="2:2" x14ac:dyDescent="0.2">
      <c r="B3529" s="187"/>
    </row>
    <row r="3530" spans="2:2" x14ac:dyDescent="0.2">
      <c r="B3530" s="187"/>
    </row>
    <row r="3531" spans="2:2" x14ac:dyDescent="0.2">
      <c r="B3531" s="187"/>
    </row>
    <row r="3532" spans="2:2" x14ac:dyDescent="0.2">
      <c r="B3532" s="187"/>
    </row>
    <row r="3533" spans="2:2" x14ac:dyDescent="0.2">
      <c r="B3533" s="187"/>
    </row>
    <row r="3534" spans="2:2" x14ac:dyDescent="0.2">
      <c r="B3534" s="187"/>
    </row>
    <row r="3535" spans="2:2" x14ac:dyDescent="0.2">
      <c r="B3535" s="187"/>
    </row>
    <row r="3536" spans="2:2" x14ac:dyDescent="0.2">
      <c r="B3536" s="187"/>
    </row>
    <row r="3537" spans="2:2" x14ac:dyDescent="0.2">
      <c r="B3537" s="187"/>
    </row>
    <row r="3538" spans="2:2" x14ac:dyDescent="0.2">
      <c r="B3538" s="187"/>
    </row>
    <row r="3539" spans="2:2" x14ac:dyDescent="0.2">
      <c r="B3539" s="187"/>
    </row>
    <row r="3540" spans="2:2" x14ac:dyDescent="0.2">
      <c r="B3540" s="187"/>
    </row>
    <row r="3541" spans="2:2" x14ac:dyDescent="0.2">
      <c r="B3541" s="187"/>
    </row>
    <row r="3542" spans="2:2" x14ac:dyDescent="0.2">
      <c r="B3542" s="187"/>
    </row>
    <row r="3543" spans="2:2" x14ac:dyDescent="0.2">
      <c r="B3543" s="187"/>
    </row>
    <row r="3544" spans="2:2" x14ac:dyDescent="0.2">
      <c r="B3544" s="187"/>
    </row>
    <row r="3545" spans="2:2" x14ac:dyDescent="0.2">
      <c r="B3545" s="187"/>
    </row>
    <row r="3546" spans="2:2" x14ac:dyDescent="0.2">
      <c r="B3546" s="187"/>
    </row>
    <row r="3547" spans="2:2" x14ac:dyDescent="0.2">
      <c r="B3547" s="187"/>
    </row>
    <row r="3548" spans="2:2" x14ac:dyDescent="0.2">
      <c r="B3548" s="187"/>
    </row>
    <row r="3549" spans="2:2" x14ac:dyDescent="0.2">
      <c r="B3549" s="187"/>
    </row>
    <row r="3550" spans="2:2" x14ac:dyDescent="0.2">
      <c r="B3550" s="187"/>
    </row>
    <row r="3551" spans="2:2" x14ac:dyDescent="0.2">
      <c r="B3551" s="187"/>
    </row>
    <row r="3552" spans="2:2" x14ac:dyDescent="0.2">
      <c r="B3552" s="187"/>
    </row>
    <row r="3553" spans="2:2" x14ac:dyDescent="0.2">
      <c r="B3553" s="187"/>
    </row>
    <row r="3554" spans="2:2" x14ac:dyDescent="0.2">
      <c r="B3554" s="187"/>
    </row>
    <row r="3555" spans="2:2" x14ac:dyDescent="0.2">
      <c r="B3555" s="187"/>
    </row>
    <row r="3556" spans="2:2" x14ac:dyDescent="0.2">
      <c r="B3556" s="187"/>
    </row>
    <row r="3557" spans="2:2" x14ac:dyDescent="0.2">
      <c r="B3557" s="187"/>
    </row>
    <row r="3558" spans="2:2" x14ac:dyDescent="0.2">
      <c r="B3558" s="187"/>
    </row>
    <row r="3559" spans="2:2" x14ac:dyDescent="0.2">
      <c r="B3559" s="187"/>
    </row>
    <row r="3560" spans="2:2" x14ac:dyDescent="0.2">
      <c r="B3560" s="187"/>
    </row>
    <row r="3561" spans="2:2" x14ac:dyDescent="0.2">
      <c r="B3561" s="187"/>
    </row>
    <row r="3562" spans="2:2" x14ac:dyDescent="0.2">
      <c r="B3562" s="187"/>
    </row>
    <row r="3563" spans="2:2" x14ac:dyDescent="0.2">
      <c r="B3563" s="187"/>
    </row>
    <row r="3564" spans="2:2" x14ac:dyDescent="0.2">
      <c r="B3564" s="187"/>
    </row>
    <row r="3565" spans="2:2" x14ac:dyDescent="0.2">
      <c r="B3565" s="187"/>
    </row>
    <row r="3566" spans="2:2" x14ac:dyDescent="0.2">
      <c r="B3566" s="187"/>
    </row>
    <row r="3567" spans="2:2" x14ac:dyDescent="0.2">
      <c r="B3567" s="187"/>
    </row>
    <row r="3568" spans="2:2" x14ac:dyDescent="0.2">
      <c r="B3568" s="187"/>
    </row>
    <row r="3569" spans="2:2" x14ac:dyDescent="0.2">
      <c r="B3569" s="187"/>
    </row>
    <row r="3570" spans="2:2" x14ac:dyDescent="0.2">
      <c r="B3570" s="187"/>
    </row>
    <row r="3571" spans="2:2" x14ac:dyDescent="0.2">
      <c r="B3571" s="187"/>
    </row>
    <row r="3572" spans="2:2" x14ac:dyDescent="0.2">
      <c r="B3572" s="187"/>
    </row>
    <row r="3573" spans="2:2" x14ac:dyDescent="0.2">
      <c r="B3573" s="187"/>
    </row>
    <row r="3574" spans="2:2" x14ac:dyDescent="0.2">
      <c r="B3574" s="187"/>
    </row>
    <row r="3575" spans="2:2" x14ac:dyDescent="0.2">
      <c r="B3575" s="187"/>
    </row>
    <row r="3576" spans="2:2" x14ac:dyDescent="0.2">
      <c r="B3576" s="187"/>
    </row>
    <row r="3577" spans="2:2" x14ac:dyDescent="0.2">
      <c r="B3577" s="187"/>
    </row>
    <row r="3578" spans="2:2" x14ac:dyDescent="0.2">
      <c r="B3578" s="187"/>
    </row>
    <row r="3579" spans="2:2" x14ac:dyDescent="0.2">
      <c r="B3579" s="187"/>
    </row>
    <row r="3580" spans="2:2" x14ac:dyDescent="0.2">
      <c r="B3580" s="187"/>
    </row>
    <row r="3581" spans="2:2" x14ac:dyDescent="0.2">
      <c r="B3581" s="187"/>
    </row>
    <row r="3582" spans="2:2" x14ac:dyDescent="0.2">
      <c r="B3582" s="187"/>
    </row>
    <row r="3583" spans="2:2" x14ac:dyDescent="0.2">
      <c r="B3583" s="187"/>
    </row>
    <row r="3584" spans="2:2" x14ac:dyDescent="0.2">
      <c r="B3584" s="187"/>
    </row>
    <row r="3585" spans="2:2" x14ac:dyDescent="0.2">
      <c r="B3585" s="187"/>
    </row>
    <row r="3586" spans="2:2" x14ac:dyDescent="0.2">
      <c r="B3586" s="187"/>
    </row>
    <row r="3587" spans="2:2" x14ac:dyDescent="0.2">
      <c r="B3587" s="187"/>
    </row>
    <row r="3588" spans="2:2" x14ac:dyDescent="0.2">
      <c r="B3588" s="187"/>
    </row>
    <row r="3589" spans="2:2" x14ac:dyDescent="0.2">
      <c r="B3589" s="187"/>
    </row>
    <row r="3590" spans="2:2" x14ac:dyDescent="0.2">
      <c r="B3590" s="187"/>
    </row>
    <row r="3591" spans="2:2" x14ac:dyDescent="0.2">
      <c r="B3591" s="187"/>
    </row>
    <row r="3592" spans="2:2" x14ac:dyDescent="0.2">
      <c r="B3592" s="187"/>
    </row>
    <row r="3593" spans="2:2" x14ac:dyDescent="0.2">
      <c r="B3593" s="187"/>
    </row>
    <row r="3594" spans="2:2" x14ac:dyDescent="0.2">
      <c r="B3594" s="187"/>
    </row>
    <row r="3595" spans="2:2" x14ac:dyDescent="0.2">
      <c r="B3595" s="187"/>
    </row>
    <row r="3596" spans="2:2" x14ac:dyDescent="0.2">
      <c r="B3596" s="187"/>
    </row>
    <row r="3597" spans="2:2" x14ac:dyDescent="0.2">
      <c r="B3597" s="187"/>
    </row>
    <row r="3598" spans="2:2" x14ac:dyDescent="0.2">
      <c r="B3598" s="187"/>
    </row>
    <row r="3599" spans="2:2" x14ac:dyDescent="0.2">
      <c r="B3599" s="187"/>
    </row>
    <row r="3600" spans="2:2" x14ac:dyDescent="0.2">
      <c r="B3600" s="187"/>
    </row>
    <row r="3601" spans="2:2" x14ac:dyDescent="0.2">
      <c r="B3601" s="187"/>
    </row>
    <row r="3602" spans="2:2" x14ac:dyDescent="0.2">
      <c r="B3602" s="187"/>
    </row>
    <row r="3603" spans="2:2" x14ac:dyDescent="0.2">
      <c r="B3603" s="187"/>
    </row>
    <row r="3604" spans="2:2" x14ac:dyDescent="0.2">
      <c r="B3604" s="187"/>
    </row>
    <row r="3605" spans="2:2" x14ac:dyDescent="0.2">
      <c r="B3605" s="187"/>
    </row>
    <row r="3606" spans="2:2" x14ac:dyDescent="0.2">
      <c r="B3606" s="187"/>
    </row>
    <row r="3607" spans="2:2" x14ac:dyDescent="0.2">
      <c r="B3607" s="187"/>
    </row>
    <row r="3608" spans="2:2" x14ac:dyDescent="0.2">
      <c r="B3608" s="187"/>
    </row>
    <row r="3609" spans="2:2" x14ac:dyDescent="0.2">
      <c r="B3609" s="187"/>
    </row>
    <row r="3610" spans="2:2" x14ac:dyDescent="0.2">
      <c r="B3610" s="187"/>
    </row>
    <row r="3611" spans="2:2" x14ac:dyDescent="0.2">
      <c r="B3611" s="187"/>
    </row>
    <row r="3612" spans="2:2" x14ac:dyDescent="0.2">
      <c r="B3612" s="187"/>
    </row>
    <row r="3613" spans="2:2" x14ac:dyDescent="0.2">
      <c r="B3613" s="187"/>
    </row>
    <row r="3614" spans="2:2" x14ac:dyDescent="0.2">
      <c r="B3614" s="187"/>
    </row>
    <row r="3615" spans="2:2" x14ac:dyDescent="0.2">
      <c r="B3615" s="187"/>
    </row>
    <row r="3616" spans="2:2" x14ac:dyDescent="0.2">
      <c r="B3616" s="187"/>
    </row>
    <row r="3617" spans="2:2" x14ac:dyDescent="0.2">
      <c r="B3617" s="187"/>
    </row>
    <row r="3618" spans="2:2" x14ac:dyDescent="0.2">
      <c r="B3618" s="187"/>
    </row>
    <row r="3619" spans="2:2" x14ac:dyDescent="0.2">
      <c r="B3619" s="187"/>
    </row>
    <row r="3620" spans="2:2" x14ac:dyDescent="0.2">
      <c r="B3620" s="187"/>
    </row>
    <row r="3621" spans="2:2" x14ac:dyDescent="0.2">
      <c r="B3621" s="187"/>
    </row>
    <row r="3622" spans="2:2" x14ac:dyDescent="0.2">
      <c r="B3622" s="187"/>
    </row>
    <row r="3623" spans="2:2" x14ac:dyDescent="0.2">
      <c r="B3623" s="187"/>
    </row>
    <row r="3624" spans="2:2" x14ac:dyDescent="0.2">
      <c r="B3624" s="187"/>
    </row>
    <row r="3625" spans="2:2" x14ac:dyDescent="0.2">
      <c r="B3625" s="187"/>
    </row>
    <row r="3626" spans="2:2" x14ac:dyDescent="0.2">
      <c r="B3626" s="187"/>
    </row>
    <row r="3627" spans="2:2" x14ac:dyDescent="0.2">
      <c r="B3627" s="187"/>
    </row>
    <row r="3628" spans="2:2" x14ac:dyDescent="0.2">
      <c r="B3628" s="187"/>
    </row>
    <row r="3629" spans="2:2" x14ac:dyDescent="0.2">
      <c r="B3629" s="187"/>
    </row>
    <row r="3630" spans="2:2" x14ac:dyDescent="0.2">
      <c r="B3630" s="187"/>
    </row>
    <row r="3631" spans="2:2" x14ac:dyDescent="0.2">
      <c r="B3631" s="187"/>
    </row>
    <row r="3632" spans="2:2" x14ac:dyDescent="0.2">
      <c r="B3632" s="187"/>
    </row>
    <row r="3633" spans="2:2" x14ac:dyDescent="0.2">
      <c r="B3633" s="187"/>
    </row>
    <row r="3634" spans="2:2" x14ac:dyDescent="0.2">
      <c r="B3634" s="187"/>
    </row>
    <row r="3635" spans="2:2" x14ac:dyDescent="0.2">
      <c r="B3635" s="187"/>
    </row>
    <row r="3636" spans="2:2" x14ac:dyDescent="0.2">
      <c r="B3636" s="187"/>
    </row>
    <row r="3637" spans="2:2" x14ac:dyDescent="0.2">
      <c r="B3637" s="187"/>
    </row>
    <row r="3638" spans="2:2" x14ac:dyDescent="0.2">
      <c r="B3638" s="187"/>
    </row>
    <row r="3639" spans="2:2" x14ac:dyDescent="0.2">
      <c r="B3639" s="187"/>
    </row>
    <row r="3640" spans="2:2" x14ac:dyDescent="0.2">
      <c r="B3640" s="187"/>
    </row>
    <row r="3641" spans="2:2" x14ac:dyDescent="0.2">
      <c r="B3641" s="187"/>
    </row>
    <row r="3642" spans="2:2" x14ac:dyDescent="0.2">
      <c r="B3642" s="187"/>
    </row>
    <row r="3643" spans="2:2" x14ac:dyDescent="0.2">
      <c r="B3643" s="187"/>
    </row>
    <row r="3644" spans="2:2" x14ac:dyDescent="0.2">
      <c r="B3644" s="187"/>
    </row>
    <row r="3645" spans="2:2" x14ac:dyDescent="0.2">
      <c r="B3645" s="187"/>
    </row>
    <row r="3646" spans="2:2" x14ac:dyDescent="0.2">
      <c r="B3646" s="187"/>
    </row>
    <row r="3647" spans="2:2" x14ac:dyDescent="0.2">
      <c r="B3647" s="187"/>
    </row>
    <row r="3648" spans="2:2" x14ac:dyDescent="0.2">
      <c r="B3648" s="187"/>
    </row>
    <row r="3649" spans="2:2" x14ac:dyDescent="0.2">
      <c r="B3649" s="187"/>
    </row>
    <row r="3650" spans="2:2" x14ac:dyDescent="0.2">
      <c r="B3650" s="187"/>
    </row>
    <row r="3651" spans="2:2" x14ac:dyDescent="0.2">
      <c r="B3651" s="187"/>
    </row>
    <row r="3652" spans="2:2" x14ac:dyDescent="0.2">
      <c r="B3652" s="187"/>
    </row>
    <row r="3653" spans="2:2" x14ac:dyDescent="0.2">
      <c r="B3653" s="187"/>
    </row>
    <row r="3654" spans="2:2" x14ac:dyDescent="0.2">
      <c r="B3654" s="187"/>
    </row>
    <row r="3655" spans="2:2" x14ac:dyDescent="0.2">
      <c r="B3655" s="187"/>
    </row>
    <row r="3656" spans="2:2" x14ac:dyDescent="0.2">
      <c r="B3656" s="187"/>
    </row>
    <row r="3657" spans="2:2" x14ac:dyDescent="0.2">
      <c r="B3657" s="187"/>
    </row>
    <row r="3658" spans="2:2" x14ac:dyDescent="0.2">
      <c r="B3658" s="187"/>
    </row>
    <row r="3659" spans="2:2" x14ac:dyDescent="0.2">
      <c r="B3659" s="187"/>
    </row>
    <row r="3660" spans="2:2" x14ac:dyDescent="0.2">
      <c r="B3660" s="187"/>
    </row>
    <row r="3661" spans="2:2" x14ac:dyDescent="0.2">
      <c r="B3661" s="187"/>
    </row>
    <row r="3662" spans="2:2" x14ac:dyDescent="0.2">
      <c r="B3662" s="187"/>
    </row>
    <row r="3663" spans="2:2" x14ac:dyDescent="0.2">
      <c r="B3663" s="187"/>
    </row>
    <row r="3664" spans="2:2" x14ac:dyDescent="0.2">
      <c r="B3664" s="187"/>
    </row>
    <row r="3665" spans="2:2" x14ac:dyDescent="0.2">
      <c r="B3665" s="187"/>
    </row>
    <row r="3666" spans="2:2" x14ac:dyDescent="0.2">
      <c r="B3666" s="187"/>
    </row>
    <row r="3667" spans="2:2" x14ac:dyDescent="0.2">
      <c r="B3667" s="187"/>
    </row>
    <row r="3668" spans="2:2" x14ac:dyDescent="0.2">
      <c r="B3668" s="187"/>
    </row>
    <row r="3669" spans="2:2" x14ac:dyDescent="0.2">
      <c r="B3669" s="187"/>
    </row>
    <row r="3670" spans="2:2" x14ac:dyDescent="0.2">
      <c r="B3670" s="187"/>
    </row>
    <row r="3671" spans="2:2" x14ac:dyDescent="0.2">
      <c r="B3671" s="187"/>
    </row>
    <row r="3672" spans="2:2" x14ac:dyDescent="0.2">
      <c r="B3672" s="187"/>
    </row>
    <row r="3673" spans="2:2" x14ac:dyDescent="0.2">
      <c r="B3673" s="187"/>
    </row>
    <row r="3674" spans="2:2" x14ac:dyDescent="0.2">
      <c r="B3674" s="187"/>
    </row>
    <row r="3675" spans="2:2" x14ac:dyDescent="0.2">
      <c r="B3675" s="187"/>
    </row>
    <row r="3676" spans="2:2" x14ac:dyDescent="0.2">
      <c r="B3676" s="187"/>
    </row>
    <row r="3677" spans="2:2" x14ac:dyDescent="0.2">
      <c r="B3677" s="187"/>
    </row>
    <row r="3678" spans="2:2" x14ac:dyDescent="0.2">
      <c r="B3678" s="187"/>
    </row>
    <row r="3679" spans="2:2" x14ac:dyDescent="0.2">
      <c r="B3679" s="187"/>
    </row>
    <row r="3680" spans="2:2" x14ac:dyDescent="0.2">
      <c r="B3680" s="187"/>
    </row>
    <row r="3681" spans="2:2" x14ac:dyDescent="0.2">
      <c r="B3681" s="187"/>
    </row>
    <row r="3682" spans="2:2" x14ac:dyDescent="0.2">
      <c r="B3682" s="187"/>
    </row>
    <row r="3683" spans="2:2" x14ac:dyDescent="0.2">
      <c r="B3683" s="187"/>
    </row>
    <row r="3684" spans="2:2" x14ac:dyDescent="0.2">
      <c r="B3684" s="187"/>
    </row>
    <row r="3685" spans="2:2" x14ac:dyDescent="0.2">
      <c r="B3685" s="187"/>
    </row>
    <row r="3686" spans="2:2" x14ac:dyDescent="0.2">
      <c r="B3686" s="187"/>
    </row>
    <row r="3687" spans="2:2" x14ac:dyDescent="0.2">
      <c r="B3687" s="187"/>
    </row>
    <row r="3688" spans="2:2" x14ac:dyDescent="0.2">
      <c r="B3688" s="187"/>
    </row>
    <row r="3689" spans="2:2" x14ac:dyDescent="0.2">
      <c r="B3689" s="187"/>
    </row>
    <row r="3690" spans="2:2" x14ac:dyDescent="0.2">
      <c r="B3690" s="187"/>
    </row>
    <row r="3691" spans="2:2" x14ac:dyDescent="0.2">
      <c r="B3691" s="187"/>
    </row>
    <row r="3692" spans="2:2" x14ac:dyDescent="0.2">
      <c r="B3692" s="187"/>
    </row>
    <row r="3693" spans="2:2" x14ac:dyDescent="0.2">
      <c r="B3693" s="187"/>
    </row>
    <row r="3694" spans="2:2" x14ac:dyDescent="0.2">
      <c r="B3694" s="187"/>
    </row>
    <row r="3695" spans="2:2" x14ac:dyDescent="0.2">
      <c r="B3695" s="187"/>
    </row>
    <row r="3696" spans="2:2" x14ac:dyDescent="0.2">
      <c r="B3696" s="187"/>
    </row>
    <row r="3697" spans="2:2" x14ac:dyDescent="0.2">
      <c r="B3697" s="187"/>
    </row>
    <row r="3698" spans="2:2" x14ac:dyDescent="0.2">
      <c r="B3698" s="187"/>
    </row>
    <row r="3699" spans="2:2" x14ac:dyDescent="0.2">
      <c r="B3699" s="187"/>
    </row>
    <row r="3700" spans="2:2" x14ac:dyDescent="0.2">
      <c r="B3700" s="187"/>
    </row>
    <row r="3701" spans="2:2" x14ac:dyDescent="0.2">
      <c r="B3701" s="187"/>
    </row>
    <row r="3702" spans="2:2" x14ac:dyDescent="0.2">
      <c r="B3702" s="187"/>
    </row>
    <row r="3703" spans="2:2" x14ac:dyDescent="0.2">
      <c r="B3703" s="187"/>
    </row>
    <row r="3704" spans="2:2" x14ac:dyDescent="0.2">
      <c r="B3704" s="187"/>
    </row>
    <row r="3705" spans="2:2" x14ac:dyDescent="0.2">
      <c r="B3705" s="187"/>
    </row>
    <row r="3706" spans="2:2" x14ac:dyDescent="0.2">
      <c r="B3706" s="187"/>
    </row>
    <row r="3707" spans="2:2" x14ac:dyDescent="0.2">
      <c r="B3707" s="187"/>
    </row>
    <row r="3708" spans="2:2" x14ac:dyDescent="0.2">
      <c r="B3708" s="187"/>
    </row>
    <row r="3709" spans="2:2" x14ac:dyDescent="0.2">
      <c r="B3709" s="187"/>
    </row>
    <row r="3710" spans="2:2" x14ac:dyDescent="0.2">
      <c r="B3710" s="187"/>
    </row>
    <row r="3711" spans="2:2" x14ac:dyDescent="0.2">
      <c r="B3711" s="187"/>
    </row>
    <row r="3712" spans="2:2" x14ac:dyDescent="0.2">
      <c r="B3712" s="187"/>
    </row>
    <row r="3713" spans="2:2" x14ac:dyDescent="0.2">
      <c r="B3713" s="187"/>
    </row>
    <row r="3714" spans="2:2" x14ac:dyDescent="0.2">
      <c r="B3714" s="187"/>
    </row>
    <row r="3715" spans="2:2" x14ac:dyDescent="0.2">
      <c r="B3715" s="187"/>
    </row>
    <row r="3716" spans="2:2" x14ac:dyDescent="0.2">
      <c r="B3716" s="187"/>
    </row>
    <row r="3717" spans="2:2" x14ac:dyDescent="0.2">
      <c r="B3717" s="187"/>
    </row>
    <row r="3718" spans="2:2" x14ac:dyDescent="0.2">
      <c r="B3718" s="187"/>
    </row>
    <row r="3719" spans="2:2" x14ac:dyDescent="0.2">
      <c r="B3719" s="187"/>
    </row>
    <row r="3720" spans="2:2" x14ac:dyDescent="0.2">
      <c r="B3720" s="187"/>
    </row>
    <row r="3721" spans="2:2" x14ac:dyDescent="0.2">
      <c r="B3721" s="187"/>
    </row>
    <row r="3722" spans="2:2" x14ac:dyDescent="0.2">
      <c r="B3722" s="187"/>
    </row>
    <row r="3723" spans="2:2" x14ac:dyDescent="0.2">
      <c r="B3723" s="187"/>
    </row>
    <row r="3724" spans="2:2" x14ac:dyDescent="0.2">
      <c r="B3724" s="187"/>
    </row>
    <row r="3725" spans="2:2" x14ac:dyDescent="0.2">
      <c r="B3725" s="187"/>
    </row>
    <row r="3726" spans="2:2" x14ac:dyDescent="0.2">
      <c r="B3726" s="187"/>
    </row>
    <row r="3727" spans="2:2" x14ac:dyDescent="0.2">
      <c r="B3727" s="187"/>
    </row>
    <row r="3728" spans="2:2" x14ac:dyDescent="0.2">
      <c r="B3728" s="187"/>
    </row>
    <row r="3729" spans="2:2" x14ac:dyDescent="0.2">
      <c r="B3729" s="187"/>
    </row>
    <row r="3730" spans="2:2" x14ac:dyDescent="0.2">
      <c r="B3730" s="187"/>
    </row>
    <row r="3731" spans="2:2" x14ac:dyDescent="0.2">
      <c r="B3731" s="187"/>
    </row>
    <row r="3732" spans="2:2" x14ac:dyDescent="0.2">
      <c r="B3732" s="187"/>
    </row>
    <row r="3733" spans="2:2" x14ac:dyDescent="0.2">
      <c r="B3733" s="187"/>
    </row>
    <row r="3734" spans="2:2" x14ac:dyDescent="0.2">
      <c r="B3734" s="187"/>
    </row>
    <row r="3735" spans="2:2" x14ac:dyDescent="0.2">
      <c r="B3735" s="187"/>
    </row>
    <row r="3736" spans="2:2" x14ac:dyDescent="0.2">
      <c r="B3736" s="187"/>
    </row>
    <row r="3737" spans="2:2" x14ac:dyDescent="0.2">
      <c r="B3737" s="187"/>
    </row>
    <row r="3738" spans="2:2" x14ac:dyDescent="0.2">
      <c r="B3738" s="187"/>
    </row>
    <row r="3739" spans="2:2" x14ac:dyDescent="0.2">
      <c r="B3739" s="187"/>
    </row>
    <row r="3740" spans="2:2" x14ac:dyDescent="0.2">
      <c r="B3740" s="187"/>
    </row>
    <row r="3741" spans="2:2" x14ac:dyDescent="0.2">
      <c r="B3741" s="187"/>
    </row>
    <row r="3742" spans="2:2" x14ac:dyDescent="0.2">
      <c r="B3742" s="187"/>
    </row>
    <row r="3743" spans="2:2" x14ac:dyDescent="0.2">
      <c r="B3743" s="187"/>
    </row>
    <row r="3744" spans="2:2" x14ac:dyDescent="0.2">
      <c r="B3744" s="187"/>
    </row>
    <row r="3745" spans="2:2" x14ac:dyDescent="0.2">
      <c r="B3745" s="187"/>
    </row>
    <row r="3746" spans="2:2" x14ac:dyDescent="0.2">
      <c r="B3746" s="187"/>
    </row>
    <row r="3747" spans="2:2" x14ac:dyDescent="0.2">
      <c r="B3747" s="187"/>
    </row>
    <row r="3748" spans="2:2" x14ac:dyDescent="0.2">
      <c r="B3748" s="187"/>
    </row>
    <row r="3749" spans="2:2" x14ac:dyDescent="0.2">
      <c r="B3749" s="187"/>
    </row>
    <row r="3750" spans="2:2" x14ac:dyDescent="0.2">
      <c r="B3750" s="187"/>
    </row>
    <row r="3751" spans="2:2" x14ac:dyDescent="0.2">
      <c r="B3751" s="187"/>
    </row>
    <row r="3752" spans="2:2" x14ac:dyDescent="0.2">
      <c r="B3752" s="187"/>
    </row>
    <row r="3753" spans="2:2" x14ac:dyDescent="0.2">
      <c r="B3753" s="187"/>
    </row>
    <row r="3754" spans="2:2" x14ac:dyDescent="0.2">
      <c r="B3754" s="187"/>
    </row>
    <row r="3755" spans="2:2" x14ac:dyDescent="0.2">
      <c r="B3755" s="187"/>
    </row>
    <row r="3756" spans="2:2" x14ac:dyDescent="0.2">
      <c r="B3756" s="187"/>
    </row>
    <row r="3757" spans="2:2" x14ac:dyDescent="0.2">
      <c r="B3757" s="187"/>
    </row>
    <row r="3758" spans="2:2" x14ac:dyDescent="0.2">
      <c r="B3758" s="187"/>
    </row>
    <row r="3759" spans="2:2" x14ac:dyDescent="0.2">
      <c r="B3759" s="187"/>
    </row>
    <row r="3760" spans="2:2" x14ac:dyDescent="0.2">
      <c r="B3760" s="187"/>
    </row>
    <row r="3761" spans="2:2" x14ac:dyDescent="0.2">
      <c r="B3761" s="187"/>
    </row>
    <row r="3762" spans="2:2" x14ac:dyDescent="0.2">
      <c r="B3762" s="187"/>
    </row>
    <row r="3763" spans="2:2" x14ac:dyDescent="0.2">
      <c r="B3763" s="187"/>
    </row>
    <row r="3764" spans="2:2" x14ac:dyDescent="0.2">
      <c r="B3764" s="187"/>
    </row>
    <row r="3765" spans="2:2" x14ac:dyDescent="0.2">
      <c r="B3765" s="187"/>
    </row>
    <row r="3766" spans="2:2" x14ac:dyDescent="0.2">
      <c r="B3766" s="187"/>
    </row>
    <row r="3767" spans="2:2" x14ac:dyDescent="0.2">
      <c r="B3767" s="187"/>
    </row>
    <row r="3768" spans="2:2" x14ac:dyDescent="0.2">
      <c r="B3768" s="187"/>
    </row>
    <row r="3769" spans="2:2" x14ac:dyDescent="0.2">
      <c r="B3769" s="187"/>
    </row>
    <row r="3770" spans="2:2" x14ac:dyDescent="0.2">
      <c r="B3770" s="187"/>
    </row>
    <row r="3771" spans="2:2" x14ac:dyDescent="0.2">
      <c r="B3771" s="187"/>
    </row>
    <row r="3772" spans="2:2" x14ac:dyDescent="0.2">
      <c r="B3772" s="187"/>
    </row>
    <row r="3773" spans="2:2" x14ac:dyDescent="0.2">
      <c r="B3773" s="187"/>
    </row>
    <row r="3774" spans="2:2" x14ac:dyDescent="0.2">
      <c r="B3774" s="187"/>
    </row>
    <row r="3775" spans="2:2" x14ac:dyDescent="0.2">
      <c r="B3775" s="187"/>
    </row>
    <row r="3776" spans="2:2" x14ac:dyDescent="0.2">
      <c r="B3776" s="187"/>
    </row>
    <row r="3777" spans="2:2" x14ac:dyDescent="0.2">
      <c r="B3777" s="187"/>
    </row>
    <row r="3778" spans="2:2" x14ac:dyDescent="0.2">
      <c r="B3778" s="187"/>
    </row>
    <row r="3779" spans="2:2" x14ac:dyDescent="0.2">
      <c r="B3779" s="187"/>
    </row>
    <row r="3780" spans="2:2" x14ac:dyDescent="0.2">
      <c r="B3780" s="187"/>
    </row>
    <row r="3781" spans="2:2" x14ac:dyDescent="0.2">
      <c r="B3781" s="187"/>
    </row>
    <row r="3782" spans="2:2" x14ac:dyDescent="0.2">
      <c r="B3782" s="187"/>
    </row>
    <row r="3783" spans="2:2" x14ac:dyDescent="0.2">
      <c r="B3783" s="187"/>
    </row>
    <row r="3784" spans="2:2" x14ac:dyDescent="0.2">
      <c r="B3784" s="187"/>
    </row>
    <row r="3785" spans="2:2" x14ac:dyDescent="0.2">
      <c r="B3785" s="187"/>
    </row>
    <row r="3786" spans="2:2" x14ac:dyDescent="0.2">
      <c r="B3786" s="187"/>
    </row>
    <row r="3787" spans="2:2" x14ac:dyDescent="0.2">
      <c r="B3787" s="187"/>
    </row>
    <row r="3788" spans="2:2" x14ac:dyDescent="0.2">
      <c r="B3788" s="187"/>
    </row>
    <row r="3789" spans="2:2" x14ac:dyDescent="0.2">
      <c r="B3789" s="187"/>
    </row>
    <row r="3790" spans="2:2" x14ac:dyDescent="0.2">
      <c r="B3790" s="187"/>
    </row>
    <row r="3791" spans="2:2" x14ac:dyDescent="0.2">
      <c r="B3791" s="187"/>
    </row>
    <row r="3792" spans="2:2" x14ac:dyDescent="0.2">
      <c r="B3792" s="187"/>
    </row>
    <row r="3793" spans="2:2" x14ac:dyDescent="0.2">
      <c r="B3793" s="187"/>
    </row>
    <row r="3794" spans="2:2" x14ac:dyDescent="0.2">
      <c r="B3794" s="187"/>
    </row>
    <row r="3795" spans="2:2" x14ac:dyDescent="0.2">
      <c r="B3795" s="187"/>
    </row>
    <row r="3796" spans="2:2" x14ac:dyDescent="0.2">
      <c r="B3796" s="187"/>
    </row>
    <row r="3797" spans="2:2" x14ac:dyDescent="0.2">
      <c r="B3797" s="187"/>
    </row>
    <row r="3798" spans="2:2" x14ac:dyDescent="0.2">
      <c r="B3798" s="187"/>
    </row>
    <row r="3799" spans="2:2" x14ac:dyDescent="0.2">
      <c r="B3799" s="187"/>
    </row>
    <row r="3800" spans="2:2" x14ac:dyDescent="0.2">
      <c r="B3800" s="187"/>
    </row>
    <row r="3801" spans="2:2" x14ac:dyDescent="0.2">
      <c r="B3801" s="187"/>
    </row>
    <row r="3802" spans="2:2" x14ac:dyDescent="0.2">
      <c r="B3802" s="187"/>
    </row>
    <row r="3803" spans="2:2" x14ac:dyDescent="0.2">
      <c r="B3803" s="187"/>
    </row>
    <row r="3804" spans="2:2" x14ac:dyDescent="0.2">
      <c r="B3804" s="187"/>
    </row>
    <row r="3805" spans="2:2" x14ac:dyDescent="0.2">
      <c r="B3805" s="187"/>
    </row>
    <row r="3806" spans="2:2" x14ac:dyDescent="0.2">
      <c r="B3806" s="187"/>
    </row>
    <row r="3807" spans="2:2" x14ac:dyDescent="0.2">
      <c r="B3807" s="187"/>
    </row>
    <row r="3808" spans="2:2" x14ac:dyDescent="0.2">
      <c r="B3808" s="187"/>
    </row>
    <row r="3809" spans="2:2" x14ac:dyDescent="0.2">
      <c r="B3809" s="187"/>
    </row>
    <row r="3810" spans="2:2" x14ac:dyDescent="0.2">
      <c r="B3810" s="187"/>
    </row>
    <row r="3811" spans="2:2" x14ac:dyDescent="0.2">
      <c r="B3811" s="187"/>
    </row>
    <row r="3812" spans="2:2" x14ac:dyDescent="0.2">
      <c r="B3812" s="187"/>
    </row>
    <row r="3813" spans="2:2" x14ac:dyDescent="0.2">
      <c r="B3813" s="187"/>
    </row>
    <row r="3814" spans="2:2" x14ac:dyDescent="0.2">
      <c r="B3814" s="187"/>
    </row>
    <row r="3815" spans="2:2" x14ac:dyDescent="0.2">
      <c r="B3815" s="187"/>
    </row>
    <row r="3816" spans="2:2" x14ac:dyDescent="0.2">
      <c r="B3816" s="187"/>
    </row>
    <row r="3817" spans="2:2" x14ac:dyDescent="0.2">
      <c r="B3817" s="187"/>
    </row>
    <row r="3818" spans="2:2" x14ac:dyDescent="0.2">
      <c r="B3818" s="187"/>
    </row>
    <row r="3819" spans="2:2" x14ac:dyDescent="0.2">
      <c r="B3819" s="187"/>
    </row>
    <row r="3820" spans="2:2" x14ac:dyDescent="0.2">
      <c r="B3820" s="187"/>
    </row>
    <row r="3821" spans="2:2" x14ac:dyDescent="0.2">
      <c r="B3821" s="187"/>
    </row>
    <row r="3822" spans="2:2" x14ac:dyDescent="0.2">
      <c r="B3822" s="187"/>
    </row>
    <row r="3823" spans="2:2" x14ac:dyDescent="0.2">
      <c r="B3823" s="187"/>
    </row>
    <row r="3824" spans="2:2" x14ac:dyDescent="0.2">
      <c r="B3824" s="187"/>
    </row>
    <row r="3825" spans="2:2" x14ac:dyDescent="0.2">
      <c r="B3825" s="187"/>
    </row>
    <row r="3826" spans="2:2" x14ac:dyDescent="0.2">
      <c r="B3826" s="187"/>
    </row>
    <row r="3827" spans="2:2" x14ac:dyDescent="0.2">
      <c r="B3827" s="187"/>
    </row>
    <row r="3828" spans="2:2" x14ac:dyDescent="0.2">
      <c r="B3828" s="187"/>
    </row>
    <row r="3829" spans="2:2" x14ac:dyDescent="0.2">
      <c r="B3829" s="187"/>
    </row>
    <row r="3830" spans="2:2" x14ac:dyDescent="0.2">
      <c r="B3830" s="187"/>
    </row>
    <row r="3831" spans="2:2" x14ac:dyDescent="0.2">
      <c r="B3831" s="187"/>
    </row>
    <row r="3832" spans="2:2" x14ac:dyDescent="0.2">
      <c r="B3832" s="187"/>
    </row>
    <row r="3833" spans="2:2" x14ac:dyDescent="0.2">
      <c r="B3833" s="187"/>
    </row>
    <row r="3834" spans="2:2" x14ac:dyDescent="0.2">
      <c r="B3834" s="187"/>
    </row>
    <row r="3835" spans="2:2" x14ac:dyDescent="0.2">
      <c r="B3835" s="187"/>
    </row>
    <row r="3836" spans="2:2" x14ac:dyDescent="0.2">
      <c r="B3836" s="187"/>
    </row>
    <row r="3837" spans="2:2" x14ac:dyDescent="0.2">
      <c r="B3837" s="187"/>
    </row>
    <row r="3838" spans="2:2" x14ac:dyDescent="0.2">
      <c r="B3838" s="187"/>
    </row>
    <row r="3839" spans="2:2" x14ac:dyDescent="0.2">
      <c r="B3839" s="187"/>
    </row>
    <row r="3840" spans="2:2" x14ac:dyDescent="0.2">
      <c r="B3840" s="187"/>
    </row>
    <row r="3841" spans="2:2" x14ac:dyDescent="0.2">
      <c r="B3841" s="187"/>
    </row>
    <row r="3842" spans="2:2" x14ac:dyDescent="0.2">
      <c r="B3842" s="187"/>
    </row>
    <row r="3843" spans="2:2" x14ac:dyDescent="0.2">
      <c r="B3843" s="187"/>
    </row>
    <row r="3844" spans="2:2" x14ac:dyDescent="0.2">
      <c r="B3844" s="187"/>
    </row>
    <row r="3845" spans="2:2" x14ac:dyDescent="0.2">
      <c r="B3845" s="187"/>
    </row>
    <row r="3846" spans="2:2" x14ac:dyDescent="0.2">
      <c r="B3846" s="187"/>
    </row>
    <row r="3847" spans="2:2" x14ac:dyDescent="0.2">
      <c r="B3847" s="187"/>
    </row>
    <row r="3848" spans="2:2" x14ac:dyDescent="0.2">
      <c r="B3848" s="187"/>
    </row>
    <row r="3849" spans="2:2" x14ac:dyDescent="0.2">
      <c r="B3849" s="187"/>
    </row>
    <row r="3850" spans="2:2" x14ac:dyDescent="0.2">
      <c r="B3850" s="187"/>
    </row>
    <row r="3851" spans="2:2" x14ac:dyDescent="0.2">
      <c r="B3851" s="187"/>
    </row>
    <row r="3852" spans="2:2" x14ac:dyDescent="0.2">
      <c r="B3852" s="187"/>
    </row>
    <row r="3853" spans="2:2" x14ac:dyDescent="0.2">
      <c r="B3853" s="187"/>
    </row>
    <row r="3854" spans="2:2" x14ac:dyDescent="0.2">
      <c r="B3854" s="187"/>
    </row>
    <row r="3855" spans="2:2" x14ac:dyDescent="0.2">
      <c r="B3855" s="187"/>
    </row>
    <row r="3856" spans="2:2" x14ac:dyDescent="0.2">
      <c r="B3856" s="187"/>
    </row>
    <row r="3857" spans="2:2" x14ac:dyDescent="0.2">
      <c r="B3857" s="187"/>
    </row>
    <row r="3858" spans="2:2" x14ac:dyDescent="0.2">
      <c r="B3858" s="187"/>
    </row>
    <row r="3859" spans="2:2" x14ac:dyDescent="0.2">
      <c r="B3859" s="187"/>
    </row>
    <row r="3860" spans="2:2" x14ac:dyDescent="0.2">
      <c r="B3860" s="187"/>
    </row>
    <row r="3861" spans="2:2" x14ac:dyDescent="0.2">
      <c r="B3861" s="187"/>
    </row>
    <row r="3862" spans="2:2" x14ac:dyDescent="0.2">
      <c r="B3862" s="187"/>
    </row>
    <row r="3863" spans="2:2" x14ac:dyDescent="0.2">
      <c r="B3863" s="187"/>
    </row>
    <row r="3864" spans="2:2" x14ac:dyDescent="0.2">
      <c r="B3864" s="187"/>
    </row>
    <row r="3865" spans="2:2" x14ac:dyDescent="0.2">
      <c r="B3865" s="187"/>
    </row>
    <row r="3866" spans="2:2" x14ac:dyDescent="0.2">
      <c r="B3866" s="187"/>
    </row>
    <row r="3867" spans="2:2" x14ac:dyDescent="0.2">
      <c r="B3867" s="187"/>
    </row>
    <row r="3868" spans="2:2" x14ac:dyDescent="0.2">
      <c r="B3868" s="187"/>
    </row>
    <row r="3869" spans="2:2" x14ac:dyDescent="0.2">
      <c r="B3869" s="187"/>
    </row>
    <row r="3870" spans="2:2" x14ac:dyDescent="0.2">
      <c r="B3870" s="187"/>
    </row>
    <row r="3871" spans="2:2" x14ac:dyDescent="0.2">
      <c r="B3871" s="187"/>
    </row>
    <row r="3872" spans="2:2" x14ac:dyDescent="0.2">
      <c r="B3872" s="187"/>
    </row>
    <row r="3873" spans="2:2" x14ac:dyDescent="0.2">
      <c r="B3873" s="187"/>
    </row>
    <row r="3874" spans="2:2" x14ac:dyDescent="0.2">
      <c r="B3874" s="187"/>
    </row>
    <row r="3875" spans="2:2" x14ac:dyDescent="0.2">
      <c r="B3875" s="187"/>
    </row>
    <row r="3876" spans="2:2" x14ac:dyDescent="0.2">
      <c r="B3876" s="187"/>
    </row>
    <row r="3877" spans="2:2" x14ac:dyDescent="0.2">
      <c r="B3877" s="187"/>
    </row>
    <row r="3878" spans="2:2" x14ac:dyDescent="0.2">
      <c r="B3878" s="187"/>
    </row>
    <row r="3879" spans="2:2" x14ac:dyDescent="0.2">
      <c r="B3879" s="187"/>
    </row>
    <row r="3880" spans="2:2" x14ac:dyDescent="0.2">
      <c r="B3880" s="187"/>
    </row>
    <row r="3881" spans="2:2" x14ac:dyDescent="0.2">
      <c r="B3881" s="187"/>
    </row>
    <row r="3882" spans="2:2" x14ac:dyDescent="0.2">
      <c r="B3882" s="187"/>
    </row>
    <row r="3883" spans="2:2" x14ac:dyDescent="0.2">
      <c r="B3883" s="187"/>
    </row>
    <row r="3884" spans="2:2" x14ac:dyDescent="0.2">
      <c r="B3884" s="187"/>
    </row>
    <row r="3885" spans="2:2" x14ac:dyDescent="0.2">
      <c r="B3885" s="187"/>
    </row>
    <row r="3886" spans="2:2" x14ac:dyDescent="0.2">
      <c r="B3886" s="187"/>
    </row>
    <row r="3887" spans="2:2" x14ac:dyDescent="0.2">
      <c r="B3887" s="187"/>
    </row>
    <row r="3888" spans="2:2" x14ac:dyDescent="0.2">
      <c r="B3888" s="187"/>
    </row>
    <row r="3889" spans="2:2" x14ac:dyDescent="0.2">
      <c r="B3889" s="187"/>
    </row>
    <row r="3890" spans="2:2" x14ac:dyDescent="0.2">
      <c r="B3890" s="187"/>
    </row>
    <row r="3891" spans="2:2" x14ac:dyDescent="0.2">
      <c r="B3891" s="187"/>
    </row>
    <row r="3892" spans="2:2" x14ac:dyDescent="0.2">
      <c r="B3892" s="187"/>
    </row>
    <row r="3893" spans="2:2" x14ac:dyDescent="0.2">
      <c r="B3893" s="187"/>
    </row>
    <row r="3894" spans="2:2" x14ac:dyDescent="0.2">
      <c r="B3894" s="187"/>
    </row>
    <row r="3895" spans="2:2" x14ac:dyDescent="0.2">
      <c r="B3895" s="187"/>
    </row>
    <row r="3896" spans="2:2" x14ac:dyDescent="0.2">
      <c r="B3896" s="187"/>
    </row>
    <row r="3897" spans="2:2" x14ac:dyDescent="0.2">
      <c r="B3897" s="187"/>
    </row>
    <row r="3898" spans="2:2" x14ac:dyDescent="0.2">
      <c r="B3898" s="187"/>
    </row>
    <row r="3899" spans="2:2" x14ac:dyDescent="0.2">
      <c r="B3899" s="187"/>
    </row>
    <row r="3900" spans="2:2" x14ac:dyDescent="0.2">
      <c r="B3900" s="187"/>
    </row>
    <row r="3901" spans="2:2" x14ac:dyDescent="0.2">
      <c r="B3901" s="187"/>
    </row>
    <row r="3902" spans="2:2" x14ac:dyDescent="0.2">
      <c r="B3902" s="187"/>
    </row>
    <row r="3903" spans="2:2" x14ac:dyDescent="0.2">
      <c r="B3903" s="187"/>
    </row>
    <row r="3904" spans="2:2" x14ac:dyDescent="0.2">
      <c r="B3904" s="187"/>
    </row>
    <row r="3905" spans="2:2" x14ac:dyDescent="0.2">
      <c r="B3905" s="187"/>
    </row>
    <row r="3906" spans="2:2" x14ac:dyDescent="0.2">
      <c r="B3906" s="187"/>
    </row>
    <row r="3907" spans="2:2" x14ac:dyDescent="0.2">
      <c r="B3907" s="187"/>
    </row>
    <row r="3908" spans="2:2" x14ac:dyDescent="0.2">
      <c r="B3908" s="187"/>
    </row>
    <row r="3909" spans="2:2" x14ac:dyDescent="0.2">
      <c r="B3909" s="187"/>
    </row>
    <row r="3910" spans="2:2" x14ac:dyDescent="0.2">
      <c r="B3910" s="187"/>
    </row>
    <row r="3911" spans="2:2" x14ac:dyDescent="0.2">
      <c r="B3911" s="187"/>
    </row>
    <row r="3912" spans="2:2" x14ac:dyDescent="0.2">
      <c r="B3912" s="187"/>
    </row>
    <row r="3913" spans="2:2" x14ac:dyDescent="0.2">
      <c r="B3913" s="187"/>
    </row>
    <row r="3914" spans="2:2" x14ac:dyDescent="0.2">
      <c r="B3914" s="187"/>
    </row>
    <row r="3915" spans="2:2" x14ac:dyDescent="0.2">
      <c r="B3915" s="187"/>
    </row>
    <row r="3916" spans="2:2" x14ac:dyDescent="0.2">
      <c r="B3916" s="187"/>
    </row>
    <row r="3917" spans="2:2" x14ac:dyDescent="0.2">
      <c r="B3917" s="187"/>
    </row>
    <row r="3918" spans="2:2" x14ac:dyDescent="0.2">
      <c r="B3918" s="187"/>
    </row>
    <row r="3919" spans="2:2" x14ac:dyDescent="0.2">
      <c r="B3919" s="187"/>
    </row>
    <row r="3920" spans="2:2" x14ac:dyDescent="0.2">
      <c r="B3920" s="187"/>
    </row>
    <row r="3921" spans="2:2" x14ac:dyDescent="0.2">
      <c r="B3921" s="187"/>
    </row>
    <row r="3922" spans="2:2" x14ac:dyDescent="0.2">
      <c r="B3922" s="187"/>
    </row>
    <row r="3923" spans="2:2" x14ac:dyDescent="0.2">
      <c r="B3923" s="187"/>
    </row>
    <row r="3924" spans="2:2" x14ac:dyDescent="0.2">
      <c r="B3924" s="187"/>
    </row>
    <row r="3925" spans="2:2" x14ac:dyDescent="0.2">
      <c r="B3925" s="187"/>
    </row>
    <row r="3926" spans="2:2" x14ac:dyDescent="0.2">
      <c r="B3926" s="187"/>
    </row>
    <row r="3927" spans="2:2" x14ac:dyDescent="0.2">
      <c r="B3927" s="187"/>
    </row>
    <row r="3928" spans="2:2" x14ac:dyDescent="0.2">
      <c r="B3928" s="187"/>
    </row>
    <row r="3929" spans="2:2" x14ac:dyDescent="0.2">
      <c r="B3929" s="187"/>
    </row>
    <row r="3930" spans="2:2" x14ac:dyDescent="0.2">
      <c r="B3930" s="187"/>
    </row>
    <row r="3931" spans="2:2" x14ac:dyDescent="0.2">
      <c r="B3931" s="187"/>
    </row>
    <row r="3932" spans="2:2" x14ac:dyDescent="0.2">
      <c r="B3932" s="187"/>
    </row>
    <row r="3933" spans="2:2" x14ac:dyDescent="0.2">
      <c r="B3933" s="187"/>
    </row>
    <row r="3934" spans="2:2" x14ac:dyDescent="0.2">
      <c r="B3934" s="187"/>
    </row>
    <row r="3935" spans="2:2" x14ac:dyDescent="0.2">
      <c r="B3935" s="187"/>
    </row>
    <row r="3936" spans="2:2" x14ac:dyDescent="0.2">
      <c r="B3936" s="187"/>
    </row>
    <row r="3937" spans="2:2" x14ac:dyDescent="0.2">
      <c r="B3937" s="187"/>
    </row>
    <row r="3938" spans="2:2" x14ac:dyDescent="0.2">
      <c r="B3938" s="187"/>
    </row>
    <row r="3939" spans="2:2" x14ac:dyDescent="0.2">
      <c r="B3939" s="187"/>
    </row>
    <row r="3940" spans="2:2" x14ac:dyDescent="0.2">
      <c r="B3940" s="187"/>
    </row>
    <row r="3941" spans="2:2" x14ac:dyDescent="0.2">
      <c r="B3941" s="187"/>
    </row>
    <row r="3942" spans="2:2" x14ac:dyDescent="0.2">
      <c r="B3942" s="187"/>
    </row>
    <row r="3943" spans="2:2" x14ac:dyDescent="0.2">
      <c r="B3943" s="187"/>
    </row>
    <row r="3944" spans="2:2" x14ac:dyDescent="0.2">
      <c r="B3944" s="187"/>
    </row>
    <row r="3945" spans="2:2" x14ac:dyDescent="0.2">
      <c r="B3945" s="187"/>
    </row>
    <row r="3946" spans="2:2" x14ac:dyDescent="0.2">
      <c r="B3946" s="187"/>
    </row>
    <row r="3947" spans="2:2" x14ac:dyDescent="0.2">
      <c r="B3947" s="187"/>
    </row>
    <row r="3948" spans="2:2" x14ac:dyDescent="0.2">
      <c r="B3948" s="187"/>
    </row>
    <row r="3949" spans="2:2" x14ac:dyDescent="0.2">
      <c r="B3949" s="187"/>
    </row>
    <row r="3950" spans="2:2" x14ac:dyDescent="0.2">
      <c r="B3950" s="187"/>
    </row>
    <row r="3951" spans="2:2" x14ac:dyDescent="0.2">
      <c r="B3951" s="187"/>
    </row>
    <row r="3952" spans="2:2" x14ac:dyDescent="0.2">
      <c r="B3952" s="187"/>
    </row>
    <row r="3953" spans="2:2" x14ac:dyDescent="0.2">
      <c r="B3953" s="187"/>
    </row>
    <row r="3954" spans="2:2" x14ac:dyDescent="0.2">
      <c r="B3954" s="187"/>
    </row>
    <row r="3955" spans="2:2" x14ac:dyDescent="0.2">
      <c r="B3955" s="187"/>
    </row>
    <row r="3956" spans="2:2" x14ac:dyDescent="0.2">
      <c r="B3956" s="187"/>
    </row>
    <row r="3957" spans="2:2" x14ac:dyDescent="0.2">
      <c r="B3957" s="187"/>
    </row>
    <row r="3958" spans="2:2" x14ac:dyDescent="0.2">
      <c r="B3958" s="187"/>
    </row>
    <row r="3959" spans="2:2" x14ac:dyDescent="0.2">
      <c r="B3959" s="187"/>
    </row>
    <row r="3960" spans="2:2" x14ac:dyDescent="0.2">
      <c r="B3960" s="187"/>
    </row>
    <row r="3961" spans="2:2" x14ac:dyDescent="0.2">
      <c r="B3961" s="187"/>
    </row>
    <row r="3962" spans="2:2" x14ac:dyDescent="0.2">
      <c r="B3962" s="187"/>
    </row>
    <row r="3963" spans="2:2" x14ac:dyDescent="0.2">
      <c r="B3963" s="187"/>
    </row>
    <row r="3964" spans="2:2" x14ac:dyDescent="0.2">
      <c r="B3964" s="187"/>
    </row>
    <row r="3965" spans="2:2" x14ac:dyDescent="0.2">
      <c r="B3965" s="187"/>
    </row>
    <row r="3966" spans="2:2" x14ac:dyDescent="0.2">
      <c r="B3966" s="187"/>
    </row>
    <row r="3967" spans="2:2" x14ac:dyDescent="0.2">
      <c r="B3967" s="187"/>
    </row>
    <row r="3968" spans="2:2" x14ac:dyDescent="0.2">
      <c r="B3968" s="187"/>
    </row>
    <row r="3969" spans="2:2" x14ac:dyDescent="0.2">
      <c r="B3969" s="187"/>
    </row>
    <row r="3970" spans="2:2" x14ac:dyDescent="0.2">
      <c r="B3970" s="187"/>
    </row>
    <row r="3971" spans="2:2" x14ac:dyDescent="0.2">
      <c r="B3971" s="187"/>
    </row>
    <row r="3972" spans="2:2" x14ac:dyDescent="0.2">
      <c r="B3972" s="187"/>
    </row>
    <row r="3973" spans="2:2" x14ac:dyDescent="0.2">
      <c r="B3973" s="187"/>
    </row>
    <row r="3974" spans="2:2" x14ac:dyDescent="0.2">
      <c r="B3974" s="187"/>
    </row>
    <row r="3975" spans="2:2" x14ac:dyDescent="0.2">
      <c r="B3975" s="187"/>
    </row>
    <row r="3976" spans="2:2" x14ac:dyDescent="0.2">
      <c r="B3976" s="187"/>
    </row>
    <row r="3977" spans="2:2" x14ac:dyDescent="0.2">
      <c r="B3977" s="187"/>
    </row>
    <row r="3978" spans="2:2" x14ac:dyDescent="0.2">
      <c r="B3978" s="187"/>
    </row>
    <row r="3979" spans="2:2" x14ac:dyDescent="0.2">
      <c r="B3979" s="187"/>
    </row>
    <row r="3980" spans="2:2" x14ac:dyDescent="0.2">
      <c r="B3980" s="187"/>
    </row>
    <row r="3981" spans="2:2" x14ac:dyDescent="0.2">
      <c r="B3981" s="187"/>
    </row>
    <row r="3982" spans="2:2" x14ac:dyDescent="0.2">
      <c r="B3982" s="187"/>
    </row>
    <row r="3983" spans="2:2" x14ac:dyDescent="0.2">
      <c r="B3983" s="187"/>
    </row>
    <row r="3984" spans="2:2" x14ac:dyDescent="0.2">
      <c r="B3984" s="187"/>
    </row>
    <row r="3985" spans="2:2" x14ac:dyDescent="0.2">
      <c r="B3985" s="187"/>
    </row>
    <row r="3986" spans="2:2" x14ac:dyDescent="0.2">
      <c r="B3986" s="187"/>
    </row>
    <row r="3987" spans="2:2" x14ac:dyDescent="0.2">
      <c r="B3987" s="187"/>
    </row>
    <row r="3988" spans="2:2" x14ac:dyDescent="0.2">
      <c r="B3988" s="187"/>
    </row>
    <row r="3989" spans="2:2" x14ac:dyDescent="0.2">
      <c r="B3989" s="187"/>
    </row>
    <row r="3990" spans="2:2" x14ac:dyDescent="0.2">
      <c r="B3990" s="187"/>
    </row>
    <row r="3991" spans="2:2" x14ac:dyDescent="0.2">
      <c r="B3991" s="187"/>
    </row>
    <row r="3992" spans="2:2" x14ac:dyDescent="0.2">
      <c r="B3992" s="187"/>
    </row>
    <row r="3993" spans="2:2" x14ac:dyDescent="0.2">
      <c r="B3993" s="187"/>
    </row>
    <row r="3994" spans="2:2" x14ac:dyDescent="0.2">
      <c r="B3994" s="187"/>
    </row>
    <row r="3995" spans="2:2" x14ac:dyDescent="0.2">
      <c r="B3995" s="187"/>
    </row>
    <row r="3996" spans="2:2" x14ac:dyDescent="0.2">
      <c r="B3996" s="187"/>
    </row>
    <row r="3997" spans="2:2" x14ac:dyDescent="0.2">
      <c r="B3997" s="187"/>
    </row>
    <row r="3998" spans="2:2" x14ac:dyDescent="0.2">
      <c r="B3998" s="187"/>
    </row>
    <row r="3999" spans="2:2" x14ac:dyDescent="0.2">
      <c r="B3999" s="187"/>
    </row>
    <row r="4000" spans="2:2" x14ac:dyDescent="0.2">
      <c r="B4000" s="187"/>
    </row>
    <row r="4001" spans="2:2" x14ac:dyDescent="0.2">
      <c r="B4001" s="187"/>
    </row>
    <row r="4002" spans="2:2" x14ac:dyDescent="0.2">
      <c r="B4002" s="187"/>
    </row>
    <row r="4003" spans="2:2" x14ac:dyDescent="0.2">
      <c r="B4003" s="187"/>
    </row>
    <row r="4004" spans="2:2" x14ac:dyDescent="0.2">
      <c r="B4004" s="187"/>
    </row>
    <row r="4005" spans="2:2" x14ac:dyDescent="0.2">
      <c r="B4005" s="187"/>
    </row>
    <row r="4006" spans="2:2" x14ac:dyDescent="0.2">
      <c r="B4006" s="187"/>
    </row>
    <row r="4007" spans="2:2" x14ac:dyDescent="0.2">
      <c r="B4007" s="187"/>
    </row>
    <row r="4008" spans="2:2" x14ac:dyDescent="0.2">
      <c r="B4008" s="187"/>
    </row>
    <row r="4009" spans="2:2" x14ac:dyDescent="0.2">
      <c r="B4009" s="187"/>
    </row>
    <row r="4010" spans="2:2" x14ac:dyDescent="0.2">
      <c r="B4010" s="187"/>
    </row>
    <row r="4011" spans="2:2" x14ac:dyDescent="0.2">
      <c r="B4011" s="187"/>
    </row>
    <row r="4012" spans="2:2" x14ac:dyDescent="0.2">
      <c r="B4012" s="187"/>
    </row>
    <row r="4013" spans="2:2" x14ac:dyDescent="0.2">
      <c r="B4013" s="187"/>
    </row>
    <row r="4014" spans="2:2" x14ac:dyDescent="0.2">
      <c r="B4014" s="187"/>
    </row>
    <row r="4015" spans="2:2" x14ac:dyDescent="0.2">
      <c r="B4015" s="187"/>
    </row>
    <row r="4016" spans="2:2" x14ac:dyDescent="0.2">
      <c r="B4016" s="187"/>
    </row>
    <row r="4017" spans="2:2" x14ac:dyDescent="0.2">
      <c r="B4017" s="187"/>
    </row>
    <row r="4018" spans="2:2" x14ac:dyDescent="0.2">
      <c r="B4018" s="187"/>
    </row>
    <row r="4019" spans="2:2" x14ac:dyDescent="0.2">
      <c r="B4019" s="187"/>
    </row>
    <row r="4020" spans="2:2" x14ac:dyDescent="0.2">
      <c r="B4020" s="187"/>
    </row>
    <row r="4021" spans="2:2" x14ac:dyDescent="0.2">
      <c r="B4021" s="187"/>
    </row>
    <row r="4022" spans="2:2" x14ac:dyDescent="0.2">
      <c r="B4022" s="187"/>
    </row>
    <row r="4023" spans="2:2" x14ac:dyDescent="0.2">
      <c r="B4023" s="187"/>
    </row>
    <row r="4024" spans="2:2" x14ac:dyDescent="0.2">
      <c r="B4024" s="187"/>
    </row>
    <row r="4025" spans="2:2" x14ac:dyDescent="0.2">
      <c r="B4025" s="187"/>
    </row>
    <row r="4026" spans="2:2" x14ac:dyDescent="0.2">
      <c r="B4026" s="187"/>
    </row>
    <row r="4027" spans="2:2" x14ac:dyDescent="0.2">
      <c r="B4027" s="187"/>
    </row>
    <row r="4028" spans="2:2" x14ac:dyDescent="0.2">
      <c r="B4028" s="187"/>
    </row>
    <row r="4029" spans="2:2" x14ac:dyDescent="0.2">
      <c r="B4029" s="187"/>
    </row>
    <row r="4030" spans="2:2" x14ac:dyDescent="0.2">
      <c r="B4030" s="187"/>
    </row>
    <row r="4031" spans="2:2" x14ac:dyDescent="0.2">
      <c r="B4031" s="187"/>
    </row>
    <row r="4032" spans="2:2" x14ac:dyDescent="0.2">
      <c r="B4032" s="187"/>
    </row>
    <row r="4033" spans="2:2" x14ac:dyDescent="0.2">
      <c r="B4033" s="187"/>
    </row>
    <row r="4034" spans="2:2" x14ac:dyDescent="0.2">
      <c r="B4034" s="187"/>
    </row>
    <row r="4035" spans="2:2" x14ac:dyDescent="0.2">
      <c r="B4035" s="187"/>
    </row>
    <row r="4036" spans="2:2" x14ac:dyDescent="0.2">
      <c r="B4036" s="187"/>
    </row>
    <row r="4037" spans="2:2" x14ac:dyDescent="0.2">
      <c r="B4037" s="187"/>
    </row>
    <row r="4038" spans="2:2" x14ac:dyDescent="0.2">
      <c r="B4038" s="187"/>
    </row>
    <row r="4039" spans="2:2" x14ac:dyDescent="0.2">
      <c r="B4039" s="187"/>
    </row>
    <row r="4040" spans="2:2" x14ac:dyDescent="0.2">
      <c r="B4040" s="187"/>
    </row>
    <row r="4041" spans="2:2" x14ac:dyDescent="0.2">
      <c r="B4041" s="187"/>
    </row>
    <row r="4042" spans="2:2" x14ac:dyDescent="0.2">
      <c r="B4042" s="187"/>
    </row>
    <row r="4043" spans="2:2" x14ac:dyDescent="0.2">
      <c r="B4043" s="187"/>
    </row>
    <row r="4044" spans="2:2" x14ac:dyDescent="0.2">
      <c r="B4044" s="187"/>
    </row>
    <row r="4045" spans="2:2" x14ac:dyDescent="0.2">
      <c r="B4045" s="187"/>
    </row>
    <row r="4046" spans="2:2" x14ac:dyDescent="0.2">
      <c r="B4046" s="187"/>
    </row>
    <row r="4047" spans="2:2" x14ac:dyDescent="0.2">
      <c r="B4047" s="187"/>
    </row>
    <row r="4048" spans="2:2" x14ac:dyDescent="0.2">
      <c r="B4048" s="187"/>
    </row>
    <row r="4049" spans="2:2" x14ac:dyDescent="0.2">
      <c r="B4049" s="187"/>
    </row>
    <row r="4050" spans="2:2" x14ac:dyDescent="0.2">
      <c r="B4050" s="187"/>
    </row>
    <row r="4051" spans="2:2" x14ac:dyDescent="0.2">
      <c r="B4051" s="187"/>
    </row>
    <row r="4052" spans="2:2" x14ac:dyDescent="0.2">
      <c r="B4052" s="187"/>
    </row>
    <row r="4053" spans="2:2" x14ac:dyDescent="0.2">
      <c r="B4053" s="187"/>
    </row>
    <row r="4054" spans="2:2" x14ac:dyDescent="0.2">
      <c r="B4054" s="187"/>
    </row>
    <row r="4055" spans="2:2" x14ac:dyDescent="0.2">
      <c r="B4055" s="187"/>
    </row>
    <row r="4056" spans="2:2" x14ac:dyDescent="0.2">
      <c r="B4056" s="187"/>
    </row>
    <row r="4057" spans="2:2" x14ac:dyDescent="0.2">
      <c r="B4057" s="187"/>
    </row>
    <row r="4058" spans="2:2" x14ac:dyDescent="0.2">
      <c r="B4058" s="187"/>
    </row>
    <row r="4059" spans="2:2" x14ac:dyDescent="0.2">
      <c r="B4059" s="187"/>
    </row>
    <row r="4060" spans="2:2" x14ac:dyDescent="0.2">
      <c r="B4060" s="187"/>
    </row>
    <row r="4061" spans="2:2" x14ac:dyDescent="0.2">
      <c r="B4061" s="187"/>
    </row>
    <row r="4062" spans="2:2" x14ac:dyDescent="0.2">
      <c r="B4062" s="187"/>
    </row>
    <row r="4063" spans="2:2" x14ac:dyDescent="0.2">
      <c r="B4063" s="187"/>
    </row>
    <row r="4064" spans="2:2" x14ac:dyDescent="0.2">
      <c r="B4064" s="187"/>
    </row>
    <row r="4065" spans="2:2" x14ac:dyDescent="0.2">
      <c r="B4065" s="187"/>
    </row>
    <row r="4066" spans="2:2" x14ac:dyDescent="0.2">
      <c r="B4066" s="187"/>
    </row>
    <row r="4067" spans="2:2" x14ac:dyDescent="0.2">
      <c r="B4067" s="187"/>
    </row>
    <row r="4068" spans="2:2" x14ac:dyDescent="0.2">
      <c r="B4068" s="187"/>
    </row>
    <row r="4069" spans="2:2" x14ac:dyDescent="0.2">
      <c r="B4069" s="187"/>
    </row>
    <row r="4070" spans="2:2" x14ac:dyDescent="0.2">
      <c r="B4070" s="187"/>
    </row>
    <row r="4071" spans="2:2" x14ac:dyDescent="0.2">
      <c r="B4071" s="187"/>
    </row>
    <row r="4072" spans="2:2" x14ac:dyDescent="0.2">
      <c r="B4072" s="187"/>
    </row>
    <row r="4073" spans="2:2" x14ac:dyDescent="0.2">
      <c r="B4073" s="187"/>
    </row>
    <row r="4074" spans="2:2" x14ac:dyDescent="0.2">
      <c r="B4074" s="187"/>
    </row>
    <row r="4075" spans="2:2" x14ac:dyDescent="0.2">
      <c r="B4075" s="187"/>
    </row>
    <row r="4076" spans="2:2" x14ac:dyDescent="0.2">
      <c r="B4076" s="187"/>
    </row>
    <row r="4077" spans="2:2" x14ac:dyDescent="0.2">
      <c r="B4077" s="187"/>
    </row>
    <row r="4078" spans="2:2" x14ac:dyDescent="0.2">
      <c r="B4078" s="187"/>
    </row>
    <row r="4079" spans="2:2" x14ac:dyDescent="0.2">
      <c r="B4079" s="187"/>
    </row>
    <row r="4080" spans="2:2" x14ac:dyDescent="0.2">
      <c r="B4080" s="187"/>
    </row>
    <row r="4081" spans="2:2" x14ac:dyDescent="0.2">
      <c r="B4081" s="187"/>
    </row>
    <row r="4082" spans="2:2" x14ac:dyDescent="0.2">
      <c r="B4082" s="187"/>
    </row>
    <row r="4083" spans="2:2" x14ac:dyDescent="0.2">
      <c r="B4083" s="187"/>
    </row>
    <row r="4084" spans="2:2" x14ac:dyDescent="0.2">
      <c r="B4084" s="187"/>
    </row>
    <row r="4085" spans="2:2" x14ac:dyDescent="0.2">
      <c r="B4085" s="187"/>
    </row>
    <row r="4086" spans="2:2" x14ac:dyDescent="0.2">
      <c r="B4086" s="187"/>
    </row>
    <row r="4087" spans="2:2" x14ac:dyDescent="0.2">
      <c r="B4087" s="187"/>
    </row>
    <row r="4088" spans="2:2" x14ac:dyDescent="0.2">
      <c r="B4088" s="187"/>
    </row>
    <row r="4089" spans="2:2" x14ac:dyDescent="0.2">
      <c r="B4089" s="187"/>
    </row>
    <row r="4090" spans="2:2" x14ac:dyDescent="0.2">
      <c r="B4090" s="187"/>
    </row>
    <row r="4091" spans="2:2" x14ac:dyDescent="0.2">
      <c r="B4091" s="187"/>
    </row>
    <row r="4092" spans="2:2" x14ac:dyDescent="0.2">
      <c r="B4092" s="187"/>
    </row>
    <row r="4093" spans="2:2" x14ac:dyDescent="0.2">
      <c r="B4093" s="187"/>
    </row>
    <row r="4094" spans="2:2" x14ac:dyDescent="0.2">
      <c r="B4094" s="187"/>
    </row>
    <row r="4095" spans="2:2" x14ac:dyDescent="0.2">
      <c r="B4095" s="187"/>
    </row>
    <row r="4096" spans="2:2" x14ac:dyDescent="0.2">
      <c r="B4096" s="187"/>
    </row>
    <row r="4097" spans="2:2" x14ac:dyDescent="0.2">
      <c r="B4097" s="187"/>
    </row>
    <row r="4098" spans="2:2" x14ac:dyDescent="0.2">
      <c r="B4098" s="187"/>
    </row>
    <row r="4099" spans="2:2" x14ac:dyDescent="0.2">
      <c r="B4099" s="187"/>
    </row>
    <row r="4100" spans="2:2" x14ac:dyDescent="0.2">
      <c r="B4100" s="187"/>
    </row>
    <row r="4101" spans="2:2" x14ac:dyDescent="0.2">
      <c r="B4101" s="187"/>
    </row>
    <row r="4102" spans="2:2" x14ac:dyDescent="0.2">
      <c r="B4102" s="187"/>
    </row>
    <row r="4103" spans="2:2" x14ac:dyDescent="0.2">
      <c r="B4103" s="187"/>
    </row>
    <row r="4104" spans="2:2" x14ac:dyDescent="0.2">
      <c r="B4104" s="187"/>
    </row>
    <row r="4105" spans="2:2" x14ac:dyDescent="0.2">
      <c r="B4105" s="187"/>
    </row>
    <row r="4106" spans="2:2" x14ac:dyDescent="0.2">
      <c r="B4106" s="187"/>
    </row>
    <row r="4107" spans="2:2" x14ac:dyDescent="0.2">
      <c r="B4107" s="187"/>
    </row>
    <row r="4108" spans="2:2" x14ac:dyDescent="0.2">
      <c r="B4108" s="187"/>
    </row>
    <row r="4109" spans="2:2" x14ac:dyDescent="0.2">
      <c r="B4109" s="187"/>
    </row>
    <row r="4110" spans="2:2" x14ac:dyDescent="0.2">
      <c r="B4110" s="187"/>
    </row>
    <row r="4111" spans="2:2" x14ac:dyDescent="0.2">
      <c r="B4111" s="187"/>
    </row>
    <row r="4112" spans="2:2" x14ac:dyDescent="0.2">
      <c r="B4112" s="187"/>
    </row>
    <row r="4113" spans="2:2" x14ac:dyDescent="0.2">
      <c r="B4113" s="187"/>
    </row>
    <row r="4114" spans="2:2" x14ac:dyDescent="0.2">
      <c r="B4114" s="187"/>
    </row>
    <row r="4115" spans="2:2" x14ac:dyDescent="0.2">
      <c r="B4115" s="187"/>
    </row>
    <row r="4116" spans="2:2" x14ac:dyDescent="0.2">
      <c r="B4116" s="187"/>
    </row>
    <row r="4117" spans="2:2" x14ac:dyDescent="0.2">
      <c r="B4117" s="187"/>
    </row>
    <row r="4118" spans="2:2" x14ac:dyDescent="0.2">
      <c r="B4118" s="187"/>
    </row>
    <row r="4119" spans="2:2" x14ac:dyDescent="0.2">
      <c r="B4119" s="187"/>
    </row>
    <row r="4120" spans="2:2" x14ac:dyDescent="0.2">
      <c r="B4120" s="187"/>
    </row>
    <row r="4121" spans="2:2" x14ac:dyDescent="0.2">
      <c r="B4121" s="187"/>
    </row>
    <row r="4122" spans="2:2" x14ac:dyDescent="0.2">
      <c r="B4122" s="187"/>
    </row>
    <row r="4123" spans="2:2" x14ac:dyDescent="0.2">
      <c r="B4123" s="187"/>
    </row>
    <row r="4124" spans="2:2" x14ac:dyDescent="0.2">
      <c r="B4124" s="187"/>
    </row>
    <row r="4125" spans="2:2" x14ac:dyDescent="0.2">
      <c r="B4125" s="187"/>
    </row>
    <row r="4126" spans="2:2" x14ac:dyDescent="0.2">
      <c r="B4126" s="187"/>
    </row>
    <row r="4127" spans="2:2" x14ac:dyDescent="0.2">
      <c r="B4127" s="187"/>
    </row>
    <row r="4128" spans="2:2" x14ac:dyDescent="0.2">
      <c r="B4128" s="187"/>
    </row>
    <row r="4129" spans="2:2" x14ac:dyDescent="0.2">
      <c r="B4129" s="187"/>
    </row>
    <row r="4130" spans="2:2" x14ac:dyDescent="0.2">
      <c r="B4130" s="187"/>
    </row>
    <row r="4131" spans="2:2" x14ac:dyDescent="0.2">
      <c r="B4131" s="187"/>
    </row>
    <row r="4132" spans="2:2" x14ac:dyDescent="0.2">
      <c r="B4132" s="187"/>
    </row>
    <row r="4133" spans="2:2" x14ac:dyDescent="0.2">
      <c r="B4133" s="187"/>
    </row>
    <row r="4134" spans="2:2" x14ac:dyDescent="0.2">
      <c r="B4134" s="187"/>
    </row>
    <row r="4135" spans="2:2" x14ac:dyDescent="0.2">
      <c r="B4135" s="187"/>
    </row>
    <row r="4136" spans="2:2" x14ac:dyDescent="0.2">
      <c r="B4136" s="187"/>
    </row>
    <row r="4137" spans="2:2" x14ac:dyDescent="0.2">
      <c r="B4137" s="187"/>
    </row>
    <row r="4138" spans="2:2" x14ac:dyDescent="0.2">
      <c r="B4138" s="187"/>
    </row>
    <row r="4139" spans="2:2" x14ac:dyDescent="0.2">
      <c r="B4139" s="187"/>
    </row>
    <row r="4140" spans="2:2" x14ac:dyDescent="0.2">
      <c r="B4140" s="187"/>
    </row>
    <row r="4141" spans="2:2" x14ac:dyDescent="0.2">
      <c r="B4141" s="187"/>
    </row>
    <row r="4142" spans="2:2" x14ac:dyDescent="0.2">
      <c r="B4142" s="187"/>
    </row>
    <row r="4143" spans="2:2" x14ac:dyDescent="0.2">
      <c r="B4143" s="187"/>
    </row>
    <row r="4144" spans="2:2" x14ac:dyDescent="0.2">
      <c r="B4144" s="187"/>
    </row>
    <row r="4145" spans="2:2" x14ac:dyDescent="0.2">
      <c r="B4145" s="187"/>
    </row>
    <row r="4146" spans="2:2" x14ac:dyDescent="0.2">
      <c r="B4146" s="187"/>
    </row>
    <row r="4147" spans="2:2" x14ac:dyDescent="0.2">
      <c r="B4147" s="187"/>
    </row>
    <row r="4148" spans="2:2" x14ac:dyDescent="0.2">
      <c r="B4148" s="187"/>
    </row>
    <row r="4149" spans="2:2" x14ac:dyDescent="0.2">
      <c r="B4149" s="187"/>
    </row>
    <row r="4150" spans="2:2" x14ac:dyDescent="0.2">
      <c r="B4150" s="187"/>
    </row>
    <row r="4151" spans="2:2" x14ac:dyDescent="0.2">
      <c r="B4151" s="187"/>
    </row>
    <row r="4152" spans="2:2" x14ac:dyDescent="0.2">
      <c r="B4152" s="187"/>
    </row>
    <row r="4153" spans="2:2" x14ac:dyDescent="0.2">
      <c r="B4153" s="187"/>
    </row>
    <row r="4154" spans="2:2" x14ac:dyDescent="0.2">
      <c r="B4154" s="187"/>
    </row>
    <row r="4155" spans="2:2" x14ac:dyDescent="0.2">
      <c r="B4155" s="187"/>
    </row>
    <row r="4156" spans="2:2" x14ac:dyDescent="0.2">
      <c r="B4156" s="187"/>
    </row>
    <row r="4157" spans="2:2" x14ac:dyDescent="0.2">
      <c r="B4157" s="187"/>
    </row>
    <row r="4158" spans="2:2" x14ac:dyDescent="0.2">
      <c r="B4158" s="187"/>
    </row>
    <row r="4159" spans="2:2" x14ac:dyDescent="0.2">
      <c r="B4159" s="187"/>
    </row>
    <row r="4160" spans="2:2" x14ac:dyDescent="0.2">
      <c r="B4160" s="187"/>
    </row>
    <row r="4161" spans="2:2" x14ac:dyDescent="0.2">
      <c r="B4161" s="187"/>
    </row>
    <row r="4162" spans="2:2" x14ac:dyDescent="0.2">
      <c r="B4162" s="187"/>
    </row>
    <row r="4163" spans="2:2" x14ac:dyDescent="0.2">
      <c r="B4163" s="187"/>
    </row>
    <row r="4164" spans="2:2" x14ac:dyDescent="0.2">
      <c r="B4164" s="187"/>
    </row>
    <row r="4165" spans="2:2" x14ac:dyDescent="0.2">
      <c r="B4165" s="187"/>
    </row>
    <row r="4166" spans="2:2" x14ac:dyDescent="0.2">
      <c r="B4166" s="187"/>
    </row>
    <row r="4167" spans="2:2" x14ac:dyDescent="0.2">
      <c r="B4167" s="187"/>
    </row>
    <row r="4168" spans="2:2" x14ac:dyDescent="0.2">
      <c r="B4168" s="187"/>
    </row>
    <row r="4169" spans="2:2" x14ac:dyDescent="0.2">
      <c r="B4169" s="187"/>
    </row>
    <row r="4170" spans="2:2" x14ac:dyDescent="0.2">
      <c r="B4170" s="187"/>
    </row>
    <row r="4171" spans="2:2" x14ac:dyDescent="0.2">
      <c r="B4171" s="187"/>
    </row>
    <row r="4172" spans="2:2" x14ac:dyDescent="0.2">
      <c r="B4172" s="187"/>
    </row>
    <row r="4173" spans="2:2" x14ac:dyDescent="0.2">
      <c r="B4173" s="187"/>
    </row>
    <row r="4174" spans="2:2" x14ac:dyDescent="0.2">
      <c r="B4174" s="187"/>
    </row>
    <row r="4175" spans="2:2" x14ac:dyDescent="0.2">
      <c r="B4175" s="187"/>
    </row>
    <row r="4176" spans="2:2" x14ac:dyDescent="0.2">
      <c r="B4176" s="187"/>
    </row>
    <row r="4177" spans="2:2" x14ac:dyDescent="0.2">
      <c r="B4177" s="187"/>
    </row>
    <row r="4178" spans="2:2" x14ac:dyDescent="0.2">
      <c r="B4178" s="187"/>
    </row>
    <row r="4179" spans="2:2" x14ac:dyDescent="0.2">
      <c r="B4179" s="187"/>
    </row>
    <row r="4180" spans="2:2" x14ac:dyDescent="0.2">
      <c r="B4180" s="187"/>
    </row>
    <row r="4181" spans="2:2" x14ac:dyDescent="0.2">
      <c r="B4181" s="187"/>
    </row>
    <row r="4182" spans="2:2" x14ac:dyDescent="0.2">
      <c r="B4182" s="187"/>
    </row>
    <row r="4183" spans="2:2" x14ac:dyDescent="0.2">
      <c r="B4183" s="187"/>
    </row>
    <row r="4184" spans="2:2" x14ac:dyDescent="0.2">
      <c r="B4184" s="187"/>
    </row>
    <row r="4185" spans="2:2" x14ac:dyDescent="0.2">
      <c r="B4185" s="187"/>
    </row>
    <row r="4186" spans="2:2" x14ac:dyDescent="0.2">
      <c r="B4186" s="187"/>
    </row>
    <row r="4187" spans="2:2" x14ac:dyDescent="0.2">
      <c r="B4187" s="187"/>
    </row>
    <row r="4188" spans="2:2" x14ac:dyDescent="0.2">
      <c r="B4188" s="187"/>
    </row>
    <row r="4189" spans="2:2" x14ac:dyDescent="0.2">
      <c r="B4189" s="187"/>
    </row>
    <row r="4190" spans="2:2" x14ac:dyDescent="0.2">
      <c r="B4190" s="187"/>
    </row>
    <row r="4191" spans="2:2" x14ac:dyDescent="0.2">
      <c r="B4191" s="187"/>
    </row>
    <row r="4192" spans="2:2" x14ac:dyDescent="0.2">
      <c r="B4192" s="187"/>
    </row>
    <row r="4193" spans="2:2" x14ac:dyDescent="0.2">
      <c r="B4193" s="187"/>
    </row>
    <row r="4194" spans="2:2" x14ac:dyDescent="0.2">
      <c r="B4194" s="187"/>
    </row>
    <row r="4195" spans="2:2" x14ac:dyDescent="0.2">
      <c r="B4195" s="187"/>
    </row>
    <row r="4196" spans="2:2" x14ac:dyDescent="0.2">
      <c r="B4196" s="187"/>
    </row>
    <row r="4197" spans="2:2" x14ac:dyDescent="0.2">
      <c r="B4197" s="187"/>
    </row>
    <row r="4198" spans="2:2" x14ac:dyDescent="0.2">
      <c r="B4198" s="187"/>
    </row>
    <row r="4199" spans="2:2" x14ac:dyDescent="0.2">
      <c r="B4199" s="187"/>
    </row>
    <row r="4200" spans="2:2" x14ac:dyDescent="0.2">
      <c r="B4200" s="187"/>
    </row>
    <row r="4201" spans="2:2" x14ac:dyDescent="0.2">
      <c r="B4201" s="187"/>
    </row>
    <row r="4202" spans="2:2" x14ac:dyDescent="0.2">
      <c r="B4202" s="187"/>
    </row>
    <row r="4203" spans="2:2" x14ac:dyDescent="0.2">
      <c r="B4203" s="187"/>
    </row>
    <row r="4204" spans="2:2" x14ac:dyDescent="0.2">
      <c r="B4204" s="187"/>
    </row>
    <row r="4205" spans="2:2" x14ac:dyDescent="0.2">
      <c r="B4205" s="187"/>
    </row>
    <row r="4206" spans="2:2" x14ac:dyDescent="0.2">
      <c r="B4206" s="187"/>
    </row>
    <row r="4207" spans="2:2" x14ac:dyDescent="0.2">
      <c r="B4207" s="187"/>
    </row>
    <row r="4208" spans="2:2" x14ac:dyDescent="0.2">
      <c r="B4208" s="187"/>
    </row>
    <row r="4209" spans="2:2" x14ac:dyDescent="0.2">
      <c r="B4209" s="187"/>
    </row>
    <row r="4210" spans="2:2" x14ac:dyDescent="0.2">
      <c r="B4210" s="187"/>
    </row>
    <row r="4211" spans="2:2" x14ac:dyDescent="0.2">
      <c r="B4211" s="187"/>
    </row>
    <row r="4212" spans="2:2" x14ac:dyDescent="0.2">
      <c r="B4212" s="187"/>
    </row>
    <row r="4213" spans="2:2" x14ac:dyDescent="0.2">
      <c r="B4213" s="187"/>
    </row>
    <row r="4214" spans="2:2" x14ac:dyDescent="0.2">
      <c r="B4214" s="187"/>
    </row>
    <row r="4215" spans="2:2" x14ac:dyDescent="0.2">
      <c r="B4215" s="187"/>
    </row>
    <row r="4216" spans="2:2" x14ac:dyDescent="0.2">
      <c r="B4216" s="187"/>
    </row>
    <row r="4217" spans="2:2" x14ac:dyDescent="0.2">
      <c r="B4217" s="187"/>
    </row>
    <row r="4218" spans="2:2" x14ac:dyDescent="0.2">
      <c r="B4218" s="187"/>
    </row>
    <row r="4219" spans="2:2" x14ac:dyDescent="0.2">
      <c r="B4219" s="187"/>
    </row>
    <row r="4220" spans="2:2" x14ac:dyDescent="0.2">
      <c r="B4220" s="187"/>
    </row>
    <row r="4221" spans="2:2" x14ac:dyDescent="0.2">
      <c r="B4221" s="187"/>
    </row>
    <row r="4222" spans="2:2" x14ac:dyDescent="0.2">
      <c r="B4222" s="187"/>
    </row>
    <row r="4223" spans="2:2" x14ac:dyDescent="0.2">
      <c r="B4223" s="187"/>
    </row>
    <row r="4224" spans="2:2" x14ac:dyDescent="0.2">
      <c r="B4224" s="187"/>
    </row>
    <row r="4225" spans="2:2" x14ac:dyDescent="0.2">
      <c r="B4225" s="187"/>
    </row>
    <row r="4226" spans="2:2" x14ac:dyDescent="0.2">
      <c r="B4226" s="187"/>
    </row>
    <row r="4227" spans="2:2" x14ac:dyDescent="0.2">
      <c r="B4227" s="187"/>
    </row>
    <row r="4228" spans="2:2" x14ac:dyDescent="0.2">
      <c r="B4228" s="187"/>
    </row>
    <row r="4229" spans="2:2" x14ac:dyDescent="0.2">
      <c r="B4229" s="187"/>
    </row>
    <row r="4230" spans="2:2" x14ac:dyDescent="0.2">
      <c r="B4230" s="187"/>
    </row>
    <row r="4231" spans="2:2" x14ac:dyDescent="0.2">
      <c r="B4231" s="187"/>
    </row>
    <row r="4232" spans="2:2" x14ac:dyDescent="0.2">
      <c r="B4232" s="187"/>
    </row>
    <row r="4233" spans="2:2" x14ac:dyDescent="0.2">
      <c r="B4233" s="187"/>
    </row>
    <row r="4234" spans="2:2" x14ac:dyDescent="0.2">
      <c r="B4234" s="187"/>
    </row>
    <row r="4235" spans="2:2" x14ac:dyDescent="0.2">
      <c r="B4235" s="187"/>
    </row>
    <row r="4236" spans="2:2" x14ac:dyDescent="0.2">
      <c r="B4236" s="187"/>
    </row>
    <row r="4237" spans="2:2" x14ac:dyDescent="0.2">
      <c r="B4237" s="187"/>
    </row>
    <row r="4238" spans="2:2" x14ac:dyDescent="0.2">
      <c r="B4238" s="187"/>
    </row>
    <row r="4239" spans="2:2" x14ac:dyDescent="0.2">
      <c r="B4239" s="187"/>
    </row>
    <row r="4240" spans="2:2" x14ac:dyDescent="0.2">
      <c r="B4240" s="187"/>
    </row>
    <row r="4241" spans="2:2" x14ac:dyDescent="0.2">
      <c r="B4241" s="187"/>
    </row>
    <row r="4242" spans="2:2" x14ac:dyDescent="0.2">
      <c r="B4242" s="187"/>
    </row>
    <row r="4243" spans="2:2" x14ac:dyDescent="0.2">
      <c r="B4243" s="187"/>
    </row>
    <row r="4244" spans="2:2" x14ac:dyDescent="0.2">
      <c r="B4244" s="187"/>
    </row>
    <row r="4245" spans="2:2" x14ac:dyDescent="0.2">
      <c r="B4245" s="187"/>
    </row>
    <row r="4246" spans="2:2" x14ac:dyDescent="0.2">
      <c r="B4246" s="187"/>
    </row>
    <row r="4247" spans="2:2" x14ac:dyDescent="0.2">
      <c r="B4247" s="187"/>
    </row>
    <row r="4248" spans="2:2" x14ac:dyDescent="0.2">
      <c r="B4248" s="187"/>
    </row>
    <row r="4249" spans="2:2" x14ac:dyDescent="0.2">
      <c r="B4249" s="187"/>
    </row>
    <row r="4250" spans="2:2" x14ac:dyDescent="0.2">
      <c r="B4250" s="187"/>
    </row>
    <row r="4251" spans="2:2" x14ac:dyDescent="0.2">
      <c r="B4251" s="187"/>
    </row>
    <row r="4252" spans="2:2" x14ac:dyDescent="0.2">
      <c r="B4252" s="187"/>
    </row>
    <row r="4253" spans="2:2" x14ac:dyDescent="0.2">
      <c r="B4253" s="187"/>
    </row>
    <row r="4254" spans="2:2" x14ac:dyDescent="0.2">
      <c r="B4254" s="187"/>
    </row>
    <row r="4255" spans="2:2" x14ac:dyDescent="0.2">
      <c r="B4255" s="187"/>
    </row>
    <row r="4256" spans="2:2" x14ac:dyDescent="0.2">
      <c r="B4256" s="187"/>
    </row>
    <row r="4257" spans="2:2" x14ac:dyDescent="0.2">
      <c r="B4257" s="187"/>
    </row>
    <row r="4258" spans="2:2" x14ac:dyDescent="0.2">
      <c r="B4258" s="187"/>
    </row>
    <row r="4259" spans="2:2" x14ac:dyDescent="0.2">
      <c r="B4259" s="187"/>
    </row>
    <row r="4260" spans="2:2" x14ac:dyDescent="0.2">
      <c r="B4260" s="187"/>
    </row>
    <row r="4261" spans="2:2" x14ac:dyDescent="0.2">
      <c r="B4261" s="187"/>
    </row>
    <row r="4262" spans="2:2" x14ac:dyDescent="0.2">
      <c r="B4262" s="187"/>
    </row>
    <row r="4263" spans="2:2" x14ac:dyDescent="0.2">
      <c r="B4263" s="187"/>
    </row>
    <row r="4264" spans="2:2" x14ac:dyDescent="0.2">
      <c r="B4264" s="187"/>
    </row>
    <row r="4265" spans="2:2" x14ac:dyDescent="0.2">
      <c r="B4265" s="187"/>
    </row>
    <row r="4266" spans="2:2" x14ac:dyDescent="0.2">
      <c r="B4266" s="187"/>
    </row>
    <row r="4267" spans="2:2" x14ac:dyDescent="0.2">
      <c r="B4267" s="187"/>
    </row>
    <row r="4268" spans="2:2" x14ac:dyDescent="0.2">
      <c r="B4268" s="187"/>
    </row>
    <row r="4269" spans="2:2" x14ac:dyDescent="0.2">
      <c r="B4269" s="187"/>
    </row>
    <row r="4270" spans="2:2" x14ac:dyDescent="0.2">
      <c r="B4270" s="187"/>
    </row>
    <row r="4271" spans="2:2" x14ac:dyDescent="0.2">
      <c r="B4271" s="187"/>
    </row>
    <row r="4272" spans="2:2" x14ac:dyDescent="0.2">
      <c r="B4272" s="187"/>
    </row>
    <row r="4273" spans="2:2" x14ac:dyDescent="0.2">
      <c r="B4273" s="187"/>
    </row>
    <row r="4274" spans="2:2" x14ac:dyDescent="0.2">
      <c r="B4274" s="187"/>
    </row>
    <row r="4275" spans="2:2" x14ac:dyDescent="0.2">
      <c r="B4275" s="187"/>
    </row>
    <row r="4276" spans="2:2" x14ac:dyDescent="0.2">
      <c r="B4276" s="187"/>
    </row>
    <row r="4277" spans="2:2" x14ac:dyDescent="0.2">
      <c r="B4277" s="187"/>
    </row>
    <row r="4278" spans="2:2" x14ac:dyDescent="0.2">
      <c r="B4278" s="187"/>
    </row>
    <row r="4279" spans="2:2" x14ac:dyDescent="0.2">
      <c r="B4279" s="187"/>
    </row>
    <row r="4280" spans="2:2" x14ac:dyDescent="0.2">
      <c r="B4280" s="187"/>
    </row>
    <row r="4281" spans="2:2" x14ac:dyDescent="0.2">
      <c r="B4281" s="187"/>
    </row>
    <row r="4282" spans="2:2" x14ac:dyDescent="0.2">
      <c r="B4282" s="187"/>
    </row>
    <row r="4283" spans="2:2" x14ac:dyDescent="0.2">
      <c r="B4283" s="187"/>
    </row>
    <row r="4284" spans="2:2" x14ac:dyDescent="0.2">
      <c r="B4284" s="187"/>
    </row>
    <row r="4285" spans="2:2" x14ac:dyDescent="0.2">
      <c r="B4285" s="187"/>
    </row>
    <row r="4286" spans="2:2" x14ac:dyDescent="0.2">
      <c r="B4286" s="187"/>
    </row>
    <row r="4287" spans="2:2" x14ac:dyDescent="0.2">
      <c r="B4287" s="187"/>
    </row>
    <row r="4288" spans="2:2" x14ac:dyDescent="0.2">
      <c r="B4288" s="187"/>
    </row>
    <row r="4289" spans="2:2" x14ac:dyDescent="0.2">
      <c r="B4289" s="187"/>
    </row>
    <row r="4290" spans="2:2" x14ac:dyDescent="0.2">
      <c r="B4290" s="187"/>
    </row>
    <row r="4291" spans="2:2" x14ac:dyDescent="0.2">
      <c r="B4291" s="187"/>
    </row>
    <row r="4292" spans="2:2" x14ac:dyDescent="0.2">
      <c r="B4292" s="187"/>
    </row>
    <row r="4293" spans="2:2" x14ac:dyDescent="0.2">
      <c r="B4293" s="187"/>
    </row>
    <row r="4294" spans="2:2" x14ac:dyDescent="0.2">
      <c r="B4294" s="187"/>
    </row>
    <row r="4295" spans="2:2" x14ac:dyDescent="0.2">
      <c r="B4295" s="187"/>
    </row>
    <row r="4296" spans="2:2" x14ac:dyDescent="0.2">
      <c r="B4296" s="187"/>
    </row>
    <row r="4297" spans="2:2" x14ac:dyDescent="0.2">
      <c r="B4297" s="187"/>
    </row>
    <row r="4298" spans="2:2" x14ac:dyDescent="0.2">
      <c r="B4298" s="187"/>
    </row>
    <row r="4299" spans="2:2" x14ac:dyDescent="0.2">
      <c r="B4299" s="187"/>
    </row>
    <row r="4300" spans="2:2" x14ac:dyDescent="0.2">
      <c r="B4300" s="187"/>
    </row>
    <row r="4301" spans="2:2" x14ac:dyDescent="0.2">
      <c r="B4301" s="187"/>
    </row>
    <row r="4302" spans="2:2" x14ac:dyDescent="0.2">
      <c r="B4302" s="187"/>
    </row>
    <row r="4303" spans="2:2" x14ac:dyDescent="0.2">
      <c r="B4303" s="187"/>
    </row>
    <row r="4304" spans="2:2" x14ac:dyDescent="0.2">
      <c r="B4304" s="187"/>
    </row>
    <row r="4305" spans="2:2" x14ac:dyDescent="0.2">
      <c r="B4305" s="187"/>
    </row>
    <row r="4306" spans="2:2" x14ac:dyDescent="0.2">
      <c r="B4306" s="187"/>
    </row>
    <row r="4307" spans="2:2" x14ac:dyDescent="0.2">
      <c r="B4307" s="187"/>
    </row>
    <row r="4308" spans="2:2" x14ac:dyDescent="0.2">
      <c r="B4308" s="187"/>
    </row>
    <row r="4309" spans="2:2" x14ac:dyDescent="0.2">
      <c r="B4309" s="187"/>
    </row>
    <row r="4310" spans="2:2" x14ac:dyDescent="0.2">
      <c r="B4310" s="187"/>
    </row>
    <row r="4311" spans="2:2" x14ac:dyDescent="0.2">
      <c r="B4311" s="187"/>
    </row>
    <row r="4312" spans="2:2" x14ac:dyDescent="0.2">
      <c r="B4312" s="187"/>
    </row>
    <row r="4313" spans="2:2" x14ac:dyDescent="0.2">
      <c r="B4313" s="187"/>
    </row>
    <row r="4314" spans="2:2" x14ac:dyDescent="0.2">
      <c r="B4314" s="187"/>
    </row>
    <row r="4315" spans="2:2" x14ac:dyDescent="0.2">
      <c r="B4315" s="187"/>
    </row>
    <row r="4316" spans="2:2" x14ac:dyDescent="0.2">
      <c r="B4316" s="187"/>
    </row>
    <row r="4317" spans="2:2" x14ac:dyDescent="0.2">
      <c r="B4317" s="187"/>
    </row>
    <row r="4318" spans="2:2" x14ac:dyDescent="0.2">
      <c r="B4318" s="187"/>
    </row>
    <row r="4319" spans="2:2" x14ac:dyDescent="0.2">
      <c r="B4319" s="187"/>
    </row>
    <row r="4320" spans="2:2" x14ac:dyDescent="0.2">
      <c r="B4320" s="187"/>
    </row>
    <row r="4321" spans="2:2" x14ac:dyDescent="0.2">
      <c r="B4321" s="187"/>
    </row>
    <row r="4322" spans="2:2" x14ac:dyDescent="0.2">
      <c r="B4322" s="187"/>
    </row>
    <row r="4323" spans="2:2" x14ac:dyDescent="0.2">
      <c r="B4323" s="187"/>
    </row>
    <row r="4324" spans="2:2" x14ac:dyDescent="0.2">
      <c r="B4324" s="187"/>
    </row>
    <row r="4325" spans="2:2" x14ac:dyDescent="0.2">
      <c r="B4325" s="187"/>
    </row>
    <row r="4326" spans="2:2" x14ac:dyDescent="0.2">
      <c r="B4326" s="187"/>
    </row>
    <row r="4327" spans="2:2" x14ac:dyDescent="0.2">
      <c r="B4327" s="187"/>
    </row>
    <row r="4328" spans="2:2" x14ac:dyDescent="0.2">
      <c r="B4328" s="187"/>
    </row>
    <row r="4329" spans="2:2" x14ac:dyDescent="0.2">
      <c r="B4329" s="187"/>
    </row>
    <row r="4330" spans="2:2" x14ac:dyDescent="0.2">
      <c r="B4330" s="187"/>
    </row>
    <row r="4331" spans="2:2" x14ac:dyDescent="0.2">
      <c r="B4331" s="187"/>
    </row>
    <row r="4332" spans="2:2" x14ac:dyDescent="0.2">
      <c r="B4332" s="187"/>
    </row>
    <row r="4333" spans="2:2" x14ac:dyDescent="0.2">
      <c r="B4333" s="187"/>
    </row>
    <row r="4334" spans="2:2" x14ac:dyDescent="0.2">
      <c r="B4334" s="187"/>
    </row>
    <row r="4335" spans="2:2" x14ac:dyDescent="0.2">
      <c r="B4335" s="187"/>
    </row>
    <row r="4336" spans="2:2" x14ac:dyDescent="0.2">
      <c r="B4336" s="187"/>
    </row>
    <row r="4337" spans="2:2" x14ac:dyDescent="0.2">
      <c r="B4337" s="187"/>
    </row>
    <row r="4338" spans="2:2" x14ac:dyDescent="0.2">
      <c r="B4338" s="187"/>
    </row>
    <row r="4339" spans="2:2" x14ac:dyDescent="0.2">
      <c r="B4339" s="187"/>
    </row>
    <row r="4340" spans="2:2" x14ac:dyDescent="0.2">
      <c r="B4340" s="187"/>
    </row>
    <row r="4341" spans="2:2" x14ac:dyDescent="0.2">
      <c r="B4341" s="187"/>
    </row>
    <row r="4342" spans="2:2" x14ac:dyDescent="0.2">
      <c r="B4342" s="187"/>
    </row>
    <row r="4343" spans="2:2" x14ac:dyDescent="0.2">
      <c r="B4343" s="187"/>
    </row>
    <row r="4344" spans="2:2" x14ac:dyDescent="0.2">
      <c r="B4344" s="187"/>
    </row>
    <row r="4345" spans="2:2" x14ac:dyDescent="0.2">
      <c r="B4345" s="187"/>
    </row>
    <row r="4346" spans="2:2" x14ac:dyDescent="0.2">
      <c r="B4346" s="187"/>
    </row>
    <row r="4347" spans="2:2" x14ac:dyDescent="0.2">
      <c r="B4347" s="187"/>
    </row>
    <row r="4348" spans="2:2" x14ac:dyDescent="0.2">
      <c r="B4348" s="187"/>
    </row>
    <row r="4349" spans="2:2" x14ac:dyDescent="0.2">
      <c r="B4349" s="187"/>
    </row>
    <row r="4350" spans="2:2" x14ac:dyDescent="0.2">
      <c r="B4350" s="187"/>
    </row>
    <row r="4351" spans="2:2" x14ac:dyDescent="0.2">
      <c r="B4351" s="187"/>
    </row>
    <row r="4352" spans="2:2" x14ac:dyDescent="0.2">
      <c r="B4352" s="187"/>
    </row>
    <row r="4353" spans="2:2" x14ac:dyDescent="0.2">
      <c r="B4353" s="187"/>
    </row>
    <row r="4354" spans="2:2" x14ac:dyDescent="0.2">
      <c r="B4354" s="187"/>
    </row>
    <row r="4355" spans="2:2" x14ac:dyDescent="0.2">
      <c r="B4355" s="187"/>
    </row>
    <row r="4356" spans="2:2" x14ac:dyDescent="0.2">
      <c r="B4356" s="187"/>
    </row>
    <row r="4357" spans="2:2" x14ac:dyDescent="0.2">
      <c r="B4357" s="187"/>
    </row>
    <row r="4358" spans="2:2" x14ac:dyDescent="0.2">
      <c r="B4358" s="187"/>
    </row>
    <row r="4359" spans="2:2" x14ac:dyDescent="0.2">
      <c r="B4359" s="187"/>
    </row>
    <row r="4360" spans="2:2" x14ac:dyDescent="0.2">
      <c r="B4360" s="187"/>
    </row>
    <row r="4361" spans="2:2" x14ac:dyDescent="0.2">
      <c r="B4361" s="187"/>
    </row>
    <row r="4362" spans="2:2" x14ac:dyDescent="0.2">
      <c r="B4362" s="187"/>
    </row>
    <row r="4363" spans="2:2" x14ac:dyDescent="0.2">
      <c r="B4363" s="187"/>
    </row>
    <row r="4364" spans="2:2" x14ac:dyDescent="0.2">
      <c r="B4364" s="187"/>
    </row>
    <row r="4365" spans="2:2" x14ac:dyDescent="0.2">
      <c r="B4365" s="187"/>
    </row>
    <row r="4366" spans="2:2" x14ac:dyDescent="0.2">
      <c r="B4366" s="187"/>
    </row>
    <row r="4367" spans="2:2" x14ac:dyDescent="0.2">
      <c r="B4367" s="187"/>
    </row>
    <row r="4368" spans="2:2" x14ac:dyDescent="0.2">
      <c r="B4368" s="187"/>
    </row>
    <row r="4369" spans="2:2" x14ac:dyDescent="0.2">
      <c r="B4369" s="187"/>
    </row>
    <row r="4370" spans="2:2" x14ac:dyDescent="0.2">
      <c r="B4370" s="187"/>
    </row>
    <row r="4371" spans="2:2" x14ac:dyDescent="0.2">
      <c r="B4371" s="187"/>
    </row>
    <row r="4372" spans="2:2" x14ac:dyDescent="0.2">
      <c r="B4372" s="187"/>
    </row>
    <row r="4373" spans="2:2" x14ac:dyDescent="0.2">
      <c r="B4373" s="187"/>
    </row>
    <row r="4374" spans="2:2" x14ac:dyDescent="0.2">
      <c r="B4374" s="187"/>
    </row>
    <row r="4375" spans="2:2" x14ac:dyDescent="0.2">
      <c r="B4375" s="187"/>
    </row>
    <row r="4376" spans="2:2" x14ac:dyDescent="0.2">
      <c r="B4376" s="187"/>
    </row>
    <row r="4377" spans="2:2" x14ac:dyDescent="0.2">
      <c r="B4377" s="187"/>
    </row>
    <row r="4378" spans="2:2" x14ac:dyDescent="0.2">
      <c r="B4378" s="187"/>
    </row>
    <row r="4379" spans="2:2" x14ac:dyDescent="0.2">
      <c r="B4379" s="187"/>
    </row>
    <row r="4380" spans="2:2" x14ac:dyDescent="0.2">
      <c r="B4380" s="187"/>
    </row>
    <row r="4381" spans="2:2" x14ac:dyDescent="0.2">
      <c r="B4381" s="187"/>
    </row>
    <row r="4382" spans="2:2" x14ac:dyDescent="0.2">
      <c r="B4382" s="187"/>
    </row>
    <row r="4383" spans="2:2" x14ac:dyDescent="0.2">
      <c r="B4383" s="187"/>
    </row>
    <row r="4384" spans="2:2" x14ac:dyDescent="0.2">
      <c r="B4384" s="187"/>
    </row>
    <row r="4385" spans="2:2" x14ac:dyDescent="0.2">
      <c r="B4385" s="187"/>
    </row>
    <row r="4386" spans="2:2" x14ac:dyDescent="0.2">
      <c r="B4386" s="187"/>
    </row>
    <row r="4387" spans="2:2" x14ac:dyDescent="0.2">
      <c r="B4387" s="187"/>
    </row>
    <row r="4388" spans="2:2" x14ac:dyDescent="0.2">
      <c r="B4388" s="187"/>
    </row>
    <row r="4389" spans="2:2" x14ac:dyDescent="0.2">
      <c r="B4389" s="187"/>
    </row>
    <row r="4390" spans="2:2" x14ac:dyDescent="0.2">
      <c r="B4390" s="187"/>
    </row>
    <row r="4391" spans="2:2" x14ac:dyDescent="0.2">
      <c r="B4391" s="187"/>
    </row>
    <row r="4392" spans="2:2" x14ac:dyDescent="0.2">
      <c r="B4392" s="187"/>
    </row>
    <row r="4393" spans="2:2" x14ac:dyDescent="0.2">
      <c r="B4393" s="187"/>
    </row>
    <row r="4394" spans="2:2" x14ac:dyDescent="0.2">
      <c r="B4394" s="187"/>
    </row>
    <row r="4395" spans="2:2" x14ac:dyDescent="0.2">
      <c r="B4395" s="187"/>
    </row>
    <row r="4396" spans="2:2" x14ac:dyDescent="0.2">
      <c r="B4396" s="187"/>
    </row>
    <row r="4397" spans="2:2" x14ac:dyDescent="0.2">
      <c r="B4397" s="187"/>
    </row>
    <row r="4398" spans="2:2" x14ac:dyDescent="0.2">
      <c r="B4398" s="187"/>
    </row>
    <row r="4399" spans="2:2" x14ac:dyDescent="0.2">
      <c r="B4399" s="187"/>
    </row>
    <row r="4400" spans="2:2" x14ac:dyDescent="0.2">
      <c r="B4400" s="187"/>
    </row>
    <row r="4401" spans="2:2" x14ac:dyDescent="0.2">
      <c r="B4401" s="187"/>
    </row>
    <row r="4402" spans="2:2" x14ac:dyDescent="0.2">
      <c r="B4402" s="187"/>
    </row>
    <row r="4403" spans="2:2" x14ac:dyDescent="0.2">
      <c r="B4403" s="187"/>
    </row>
    <row r="4404" spans="2:2" x14ac:dyDescent="0.2">
      <c r="B4404" s="187"/>
    </row>
    <row r="4405" spans="2:2" x14ac:dyDescent="0.2">
      <c r="B4405" s="187"/>
    </row>
    <row r="4406" spans="2:2" x14ac:dyDescent="0.2">
      <c r="B4406" s="187"/>
    </row>
    <row r="4407" spans="2:2" x14ac:dyDescent="0.2">
      <c r="B4407" s="187"/>
    </row>
    <row r="4408" spans="2:2" x14ac:dyDescent="0.2">
      <c r="B4408" s="187"/>
    </row>
    <row r="4409" spans="2:2" x14ac:dyDescent="0.2">
      <c r="B4409" s="187"/>
    </row>
    <row r="4410" spans="2:2" x14ac:dyDescent="0.2">
      <c r="B4410" s="187"/>
    </row>
    <row r="4411" spans="2:2" x14ac:dyDescent="0.2">
      <c r="B4411" s="187"/>
    </row>
    <row r="4412" spans="2:2" x14ac:dyDescent="0.2">
      <c r="B4412" s="187"/>
    </row>
    <row r="4413" spans="2:2" x14ac:dyDescent="0.2">
      <c r="B4413" s="187"/>
    </row>
    <row r="4414" spans="2:2" x14ac:dyDescent="0.2">
      <c r="B4414" s="187"/>
    </row>
  </sheetData>
  <autoFilter ref="A1:K38" xr:uid="{F5ADB32F-6325-41A8-86AC-DD8B05CF6037}">
    <filterColumn colId="3">
      <filters>
        <filter val="1"/>
        <filter val="2"/>
      </filters>
    </filterColumn>
  </autoFilter>
  <conditionalFormatting sqref="G2:G90">
    <cfRule type="containsText" dxfId="19" priority="10" operator="containsText" text="Propuesta">
      <formula>NOT(ISERROR(SEARCH("Propuesta",G2)))</formula>
    </cfRule>
  </conditionalFormatting>
  <conditionalFormatting sqref="C32:D34">
    <cfRule type="expression" dxfId="18" priority="7">
      <formula>#REF!="Adjudicada"</formula>
    </cfRule>
    <cfRule type="expression" dxfId="17" priority="8">
      <formula>#REF!="Desarrollo"</formula>
    </cfRule>
    <cfRule type="expression" dxfId="16" priority="9">
      <formula>#REF!="Enviada"</formula>
    </cfRule>
  </conditionalFormatting>
  <conditionalFormatting sqref="C35:D35">
    <cfRule type="expression" dxfId="15" priority="4">
      <formula>#REF!="Adjudicada"</formula>
    </cfRule>
    <cfRule type="expression" dxfId="14" priority="5">
      <formula>#REF!="Desarrollo"</formula>
    </cfRule>
    <cfRule type="expression" dxfId="13" priority="6">
      <formula>#REF!="Enviada"</formula>
    </cfRule>
  </conditionalFormatting>
  <conditionalFormatting sqref="WZU86">
    <cfRule type="containsText" dxfId="12" priority="3" operator="containsText" text="Propuesta">
      <formula>NOT(ISERROR(SEARCH("Propuesta",WZU86)))</formula>
    </cfRule>
  </conditionalFormatting>
  <conditionalFormatting sqref="WZM86">
    <cfRule type="cellIs" dxfId="11" priority="1" operator="equal">
      <formula>22</formula>
    </cfRule>
    <cfRule type="cellIs" dxfId="10" priority="2" operator="notEqual">
      <formula>22</formula>
    </cfRule>
  </conditionalFormatting>
  <dataValidations count="1">
    <dataValidation allowBlank="1" showInputMessage="1" showErrorMessage="1" error="Probabilidad debe ser entre 0 y 100" sqref="J1:K1" xr:uid="{29650953-F08F-47B8-9D00-EC628B3F268D}"/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C5B5D6C0-06B3-4C5F-99A3-964A0E93445F}">
          <x14:formula1>
            <xm:f>Códigos_Propuestas!$AL$4:$AL$8</xm:f>
          </x14:formula1>
          <xm:sqref>H86:H87 H2:H84</xm:sqref>
        </x14:dataValidation>
        <x14:dataValidation type="list" allowBlank="1" showInputMessage="1" showErrorMessage="1" xr:uid="{0C5A5245-0178-4A47-83F1-0DB65BCD9CA7}">
          <x14:formula1>
            <xm:f>Códigos_Propuestas!$X$4:$X$8</xm:f>
          </x14:formula1>
          <xm:sqref>G86:G87 G2:G84</xm:sqref>
        </x14:dataValidation>
        <x14:dataValidation type="list" allowBlank="1" showInputMessage="1" showErrorMessage="1" xr:uid="{786B7127-E6DF-4041-996A-7015A1794FAE}">
          <x14:formula1>
            <xm:f>Códigos_Propuestas!$E$4:$E$85</xm:f>
          </x14:formula1>
          <xm:sqref>E2</xm:sqref>
        </x14:dataValidation>
        <x14:dataValidation type="list" allowBlank="1" showInputMessage="1" showErrorMessage="1" xr:uid="{5CB6FFB2-F2A6-426A-87FB-11D4858D9629}">
          <x14:formula1>
            <xm:f>Códigos_Propuestas!$E$4:$E$86</xm:f>
          </x14:formula1>
          <xm:sqref>E3:E5</xm:sqref>
        </x14:dataValidation>
        <x14:dataValidation type="list" allowBlank="1" showInputMessage="1" showErrorMessage="1" xr:uid="{B067CAB1-72E9-4F68-B5FF-BE1ABFDC8600}">
          <x14:formula1>
            <xm:f>Códigos_Propuestas!$B$4:$B$10</xm:f>
          </x14:formula1>
          <xm:sqref>A2:A9</xm:sqref>
        </x14:dataValidation>
        <x14:dataValidation type="list" allowBlank="1" showInputMessage="1" showErrorMessage="1" xr:uid="{5808533E-5F50-4F8C-8BCA-A5830CCFB1A8}">
          <x14:formula1>
            <xm:f>Códigos_Propuestas!$E$4:$E$113</xm:f>
          </x14:formula1>
          <xm:sqref>E86:E87 E6:E84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F3965-6B47-4751-90C2-E6DB86946223}">
  <sheetPr codeName="Hoja11"/>
  <dimension ref="A1:DU49"/>
  <sheetViews>
    <sheetView topLeftCell="A16" workbookViewId="0">
      <selection activeCell="C46" sqref="C46"/>
    </sheetView>
  </sheetViews>
  <sheetFormatPr baseColWidth="10" defaultColWidth="8.5" defaultRowHeight="15" outlineLevelCol="1" x14ac:dyDescent="0.2"/>
  <cols>
    <col min="1" max="1" width="23.5" bestFit="1" customWidth="1"/>
    <col min="2" max="2" width="26.5" style="49" bestFit="1" customWidth="1"/>
    <col min="3" max="3" width="26.5" customWidth="1"/>
    <col min="4" max="4" width="3.5" bestFit="1" customWidth="1"/>
    <col min="5" max="5" width="4.5" customWidth="1"/>
    <col min="6" max="6" width="72.33203125" bestFit="1" customWidth="1"/>
    <col min="7" max="7" width="72.33203125" hidden="1" customWidth="1"/>
    <col min="8" max="8" width="19.5" bestFit="1" customWidth="1"/>
    <col min="9" max="9" width="11.5" bestFit="1" customWidth="1"/>
    <col min="10" max="10" width="22.33203125" bestFit="1" customWidth="1"/>
    <col min="12" max="12" width="10.5" bestFit="1" customWidth="1"/>
    <col min="13" max="14" width="22.5" customWidth="1"/>
    <col min="15" max="15" width="18.1640625" customWidth="1"/>
    <col min="16" max="17" width="22.5" customWidth="1"/>
    <col min="18" max="21" width="13.1640625" customWidth="1" outlineLevel="1"/>
    <col min="22" max="22" width="2.5" customWidth="1"/>
    <col min="23" max="25" width="22.5" customWidth="1" outlineLevel="1"/>
    <col min="26" max="26" width="2.5" hidden="1" customWidth="1"/>
    <col min="27" max="27" width="18.33203125" customWidth="1" outlineLevel="1"/>
    <col min="28" max="28" width="14.1640625" customWidth="1" outlineLevel="1"/>
    <col min="29" max="29" width="15.5" customWidth="1" outlineLevel="1"/>
    <col min="30" max="30" width="11.33203125" customWidth="1" outlineLevel="1"/>
    <col min="31" max="31" width="15" customWidth="1" outlineLevel="1"/>
    <col min="32" max="32" width="10.5" customWidth="1" outlineLevel="1"/>
    <col min="33" max="33" width="2.5" hidden="1" customWidth="1"/>
    <col min="34" max="34" width="12.83203125" customWidth="1" outlineLevel="1"/>
    <col min="35" max="35" width="17.33203125" customWidth="1" outlineLevel="1"/>
    <col min="36" max="36" width="12.83203125" customWidth="1" outlineLevel="1"/>
    <col min="37" max="37" width="17.33203125" customWidth="1" outlineLevel="1"/>
    <col min="38" max="38" width="12.83203125" customWidth="1" outlineLevel="1"/>
    <col min="39" max="39" width="17.33203125" customWidth="1" outlineLevel="1"/>
    <col min="40" max="40" width="12.83203125" customWidth="1" outlineLevel="1"/>
    <col min="41" max="41" width="17.33203125" customWidth="1" outlineLevel="1"/>
    <col min="42" max="42" width="12.5" customWidth="1" outlineLevel="1"/>
    <col min="43" max="43" width="2.5" customWidth="1"/>
    <col min="44" max="44" width="9.83203125" customWidth="1" outlineLevel="1" collapsed="1"/>
    <col min="45" max="48" width="9.83203125" customWidth="1" outlineLevel="1"/>
    <col min="49" max="49" width="2.5" customWidth="1"/>
    <col min="50" max="50" width="22.5" customWidth="1" outlineLevel="1" collapsed="1"/>
    <col min="51" max="53" width="22.5" customWidth="1" outlineLevel="1"/>
    <col min="54" max="54" width="2.5" customWidth="1"/>
    <col min="55" max="59" width="9" customWidth="1" outlineLevel="1"/>
    <col min="60" max="60" width="9.33203125" customWidth="1" outlineLevel="1"/>
    <col min="61" max="63" width="16" customWidth="1" outlineLevel="1"/>
    <col min="64" max="65" width="9" customWidth="1" outlineLevel="1"/>
    <col min="66" max="66" width="13.5" customWidth="1" outlineLevel="1"/>
    <col min="67" max="69" width="14.5" customWidth="1" outlineLevel="1"/>
    <col min="70" max="70" width="3.5" style="7" customWidth="1"/>
    <col min="71" max="82" width="9" bestFit="1" customWidth="1"/>
    <col min="83" max="83" width="10.83203125" customWidth="1"/>
    <col min="97" max="97" width="10.5" bestFit="1" customWidth="1"/>
    <col min="98" max="98" width="10.5" customWidth="1"/>
    <col min="111" max="111" width="10.5" bestFit="1" customWidth="1"/>
    <col min="125" max="125" width="10.5" bestFit="1" customWidth="1"/>
  </cols>
  <sheetData>
    <row r="1" spans="1:125" ht="38.5" customHeight="1" thickBot="1" x14ac:dyDescent="0.25">
      <c r="B1"/>
      <c r="F1" s="260" t="s">
        <v>436</v>
      </c>
      <c r="G1" s="252"/>
      <c r="H1" s="252"/>
      <c r="I1" s="252"/>
      <c r="J1" s="252"/>
      <c r="K1" s="252"/>
      <c r="L1" s="252"/>
      <c r="M1" s="252"/>
      <c r="N1" s="252"/>
      <c r="O1" s="252"/>
      <c r="P1" s="252"/>
      <c r="Q1" s="253"/>
      <c r="R1" s="267" t="s">
        <v>437</v>
      </c>
      <c r="S1" s="268"/>
      <c r="T1" s="268"/>
      <c r="U1" s="269"/>
      <c r="V1" s="143"/>
      <c r="W1" s="258" t="s">
        <v>438</v>
      </c>
      <c r="X1" s="259"/>
      <c r="Y1" s="259"/>
      <c r="Z1" s="120"/>
      <c r="AA1" s="261" t="s">
        <v>439</v>
      </c>
      <c r="AB1" s="262"/>
      <c r="AC1" s="262"/>
      <c r="AD1" s="262"/>
      <c r="AE1" s="262"/>
      <c r="AF1" s="263"/>
      <c r="AG1" s="120"/>
      <c r="AH1" s="264" t="s">
        <v>440</v>
      </c>
      <c r="AI1" s="265"/>
      <c r="AJ1" s="265"/>
      <c r="AK1" s="265"/>
      <c r="AL1" s="265"/>
      <c r="AM1" s="265"/>
      <c r="AN1" s="265"/>
      <c r="AO1" s="265"/>
      <c r="AP1" s="266"/>
      <c r="AQ1" s="126"/>
      <c r="AR1" s="244" t="s">
        <v>441</v>
      </c>
      <c r="AS1" s="244"/>
      <c r="AT1" s="244"/>
      <c r="AU1" s="244"/>
      <c r="AV1" s="244"/>
      <c r="AW1" s="121"/>
      <c r="AX1" s="245" t="s">
        <v>21</v>
      </c>
      <c r="AY1" s="245"/>
      <c r="AZ1" s="245"/>
      <c r="BA1" s="245"/>
      <c r="BB1" s="122"/>
      <c r="BC1" s="257" t="s">
        <v>442</v>
      </c>
      <c r="BD1" s="257"/>
      <c r="BE1" s="257"/>
      <c r="BF1" s="257"/>
      <c r="BG1" s="257"/>
      <c r="BH1" s="257"/>
      <c r="BI1" s="257"/>
      <c r="BJ1" s="257"/>
      <c r="BK1" s="257"/>
      <c r="BL1" s="257"/>
      <c r="BM1" s="257"/>
      <c r="BN1" s="257"/>
      <c r="BO1" s="257"/>
      <c r="BP1" s="257"/>
      <c r="BQ1" s="257"/>
      <c r="BR1" s="131"/>
      <c r="BS1" s="254" t="s">
        <v>443</v>
      </c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6"/>
      <c r="CG1" s="254" t="s">
        <v>444</v>
      </c>
      <c r="CH1" s="255"/>
      <c r="CI1" s="255"/>
      <c r="CJ1" s="255"/>
      <c r="CK1" s="255"/>
      <c r="CL1" s="255"/>
      <c r="CM1" s="255"/>
      <c r="CN1" s="255"/>
      <c r="CO1" s="255"/>
      <c r="CP1" s="255"/>
      <c r="CQ1" s="255"/>
      <c r="CR1" s="255"/>
      <c r="CS1" s="256"/>
      <c r="CU1" s="254" t="s">
        <v>445</v>
      </c>
      <c r="CV1" s="255"/>
      <c r="CW1" s="255"/>
      <c r="CX1" s="255"/>
      <c r="CY1" s="255"/>
      <c r="CZ1" s="255"/>
      <c r="DA1" s="255"/>
      <c r="DB1" s="255"/>
      <c r="DC1" s="255"/>
      <c r="DD1" s="255"/>
      <c r="DE1" s="255"/>
      <c r="DF1" s="255"/>
      <c r="DG1" s="256"/>
      <c r="DI1" s="254" t="s">
        <v>446</v>
      </c>
      <c r="DJ1" s="255"/>
      <c r="DK1" s="255"/>
      <c r="DL1" s="255"/>
      <c r="DM1" s="255"/>
      <c r="DN1" s="255"/>
      <c r="DO1" s="255"/>
      <c r="DP1" s="255"/>
      <c r="DQ1" s="255"/>
      <c r="DR1" s="255"/>
      <c r="DS1" s="255"/>
      <c r="DT1" s="255"/>
      <c r="DU1" s="256"/>
    </row>
    <row r="2" spans="1:125" ht="37" thickBot="1" x14ac:dyDescent="0.25">
      <c r="A2" s="45" t="s">
        <v>447</v>
      </c>
      <c r="B2" s="48" t="s">
        <v>448</v>
      </c>
      <c r="C2" s="167"/>
      <c r="D2" s="46" t="s">
        <v>449</v>
      </c>
      <c r="E2" s="1" t="s">
        <v>4</v>
      </c>
      <c r="F2" s="2" t="s">
        <v>0</v>
      </c>
      <c r="G2" s="2" t="s">
        <v>450</v>
      </c>
      <c r="H2" s="1" t="s">
        <v>451</v>
      </c>
      <c r="I2" s="1" t="s">
        <v>452</v>
      </c>
      <c r="J2" s="137" t="s">
        <v>379</v>
      </c>
      <c r="K2" s="4" t="s">
        <v>16</v>
      </c>
      <c r="L2" s="2" t="s">
        <v>453</v>
      </c>
      <c r="M2" s="166" t="s">
        <v>11</v>
      </c>
      <c r="N2" s="3" t="s">
        <v>12</v>
      </c>
      <c r="O2" s="3" t="s">
        <v>24</v>
      </c>
      <c r="P2" s="3" t="s">
        <v>22</v>
      </c>
      <c r="Q2" s="141" t="s">
        <v>23</v>
      </c>
      <c r="R2" s="125" t="s">
        <v>437</v>
      </c>
      <c r="S2" s="125" t="s">
        <v>454</v>
      </c>
      <c r="T2" s="125" t="s">
        <v>455</v>
      </c>
      <c r="U2" s="125" t="s">
        <v>456</v>
      </c>
      <c r="V2" s="144"/>
      <c r="W2" s="114" t="s">
        <v>457</v>
      </c>
      <c r="X2" s="114" t="s">
        <v>458</v>
      </c>
      <c r="Y2" s="114" t="s">
        <v>459</v>
      </c>
      <c r="Z2" s="123"/>
      <c r="AA2" s="138" t="s">
        <v>460</v>
      </c>
      <c r="AB2" s="124" t="s">
        <v>461</v>
      </c>
      <c r="AC2" s="138" t="s">
        <v>462</v>
      </c>
      <c r="AD2" s="124" t="s">
        <v>463</v>
      </c>
      <c r="AE2" s="138" t="s">
        <v>464</v>
      </c>
      <c r="AF2" s="124" t="s">
        <v>465</v>
      </c>
      <c r="AG2" s="119"/>
      <c r="AH2" s="139" t="s">
        <v>466</v>
      </c>
      <c r="AI2" s="125" t="s">
        <v>467</v>
      </c>
      <c r="AJ2" s="139" t="s">
        <v>468</v>
      </c>
      <c r="AK2" s="125" t="s">
        <v>469</v>
      </c>
      <c r="AL2" s="139" t="s">
        <v>470</v>
      </c>
      <c r="AM2" s="125" t="s">
        <v>471</v>
      </c>
      <c r="AN2" s="139" t="s">
        <v>472</v>
      </c>
      <c r="AO2" s="125" t="s">
        <v>473</v>
      </c>
      <c r="AP2" s="126" t="s">
        <v>474</v>
      </c>
      <c r="AQ2" s="125"/>
      <c r="AR2" s="105" t="s">
        <v>475</v>
      </c>
      <c r="AS2" s="105" t="s">
        <v>476</v>
      </c>
      <c r="AT2" s="105" t="s">
        <v>477</v>
      </c>
      <c r="AU2" s="105" t="s">
        <v>478</v>
      </c>
      <c r="AV2" s="105" t="s">
        <v>479</v>
      </c>
      <c r="AW2" s="105"/>
      <c r="AX2" s="106" t="s">
        <v>17</v>
      </c>
      <c r="AY2" s="106" t="s">
        <v>19</v>
      </c>
      <c r="AZ2" s="106" t="s">
        <v>480</v>
      </c>
      <c r="BA2" s="106" t="s">
        <v>481</v>
      </c>
      <c r="BB2" s="106"/>
      <c r="BC2" s="104" t="s">
        <v>482</v>
      </c>
      <c r="BD2" s="100" t="s">
        <v>483</v>
      </c>
      <c r="BE2" s="103" t="s">
        <v>484</v>
      </c>
      <c r="BF2" s="99" t="s">
        <v>380</v>
      </c>
      <c r="BG2" s="99" t="s">
        <v>381</v>
      </c>
      <c r="BH2" s="103" t="s">
        <v>485</v>
      </c>
      <c r="BI2" s="102" t="s">
        <v>486</v>
      </c>
      <c r="BJ2" s="102" t="s">
        <v>487</v>
      </c>
      <c r="BK2" s="102" t="s">
        <v>488</v>
      </c>
      <c r="BL2" s="2" t="s">
        <v>489</v>
      </c>
      <c r="BM2" s="101" t="s">
        <v>490</v>
      </c>
      <c r="BN2" s="5" t="s">
        <v>491</v>
      </c>
      <c r="BO2" s="6" t="s">
        <v>492</v>
      </c>
      <c r="BP2" s="109" t="s">
        <v>493</v>
      </c>
      <c r="BQ2" s="110" t="s">
        <v>494</v>
      </c>
      <c r="BR2" s="131"/>
      <c r="BS2" s="8">
        <v>46023</v>
      </c>
      <c r="BT2" s="9">
        <v>46054</v>
      </c>
      <c r="BU2" s="9">
        <v>46082</v>
      </c>
      <c r="BV2" s="9">
        <v>46113</v>
      </c>
      <c r="BW2" s="9">
        <v>46143</v>
      </c>
      <c r="BX2" s="9">
        <v>46174</v>
      </c>
      <c r="BY2" s="9">
        <v>46204</v>
      </c>
      <c r="BZ2" s="9">
        <v>46235</v>
      </c>
      <c r="CA2" s="9">
        <v>46266</v>
      </c>
      <c r="CB2" s="9">
        <v>46296</v>
      </c>
      <c r="CC2" s="9">
        <v>46327</v>
      </c>
      <c r="CD2" s="9">
        <v>46357</v>
      </c>
      <c r="CE2" s="10" t="s">
        <v>495</v>
      </c>
      <c r="CG2" s="8">
        <v>46023</v>
      </c>
      <c r="CH2" s="9">
        <v>46054</v>
      </c>
      <c r="CI2" s="9">
        <v>46082</v>
      </c>
      <c r="CJ2" s="9">
        <v>46113</v>
      </c>
      <c r="CK2" s="9">
        <v>46143</v>
      </c>
      <c r="CL2" s="9">
        <v>46174</v>
      </c>
      <c r="CM2" s="9">
        <v>46204</v>
      </c>
      <c r="CN2" s="9">
        <v>46235</v>
      </c>
      <c r="CO2" s="9">
        <v>46266</v>
      </c>
      <c r="CP2" s="9">
        <v>46296</v>
      </c>
      <c r="CQ2" s="9">
        <v>46327</v>
      </c>
      <c r="CR2" s="9">
        <v>46357</v>
      </c>
      <c r="CS2" s="10" t="s">
        <v>495</v>
      </c>
      <c r="CU2" s="8">
        <v>46023</v>
      </c>
      <c r="CV2" s="9">
        <v>46054</v>
      </c>
      <c r="CW2" s="9">
        <v>46082</v>
      </c>
      <c r="CX2" s="9">
        <v>46113</v>
      </c>
      <c r="CY2" s="9">
        <v>46143</v>
      </c>
      <c r="CZ2" s="9">
        <v>46174</v>
      </c>
      <c r="DA2" s="9">
        <v>46204</v>
      </c>
      <c r="DB2" s="9">
        <v>46235</v>
      </c>
      <c r="DC2" s="9">
        <v>46266</v>
      </c>
      <c r="DD2" s="9">
        <v>46296</v>
      </c>
      <c r="DE2" s="9">
        <v>46327</v>
      </c>
      <c r="DF2" s="9">
        <v>46357</v>
      </c>
      <c r="DG2" s="10" t="s">
        <v>495</v>
      </c>
      <c r="DI2" s="8">
        <v>46023</v>
      </c>
      <c r="DJ2" s="9">
        <v>46054</v>
      </c>
      <c r="DK2" s="9">
        <v>46082</v>
      </c>
      <c r="DL2" s="9">
        <v>46113</v>
      </c>
      <c r="DM2" s="9">
        <v>46143</v>
      </c>
      <c r="DN2" s="9">
        <v>46174</v>
      </c>
      <c r="DO2" s="9">
        <v>46204</v>
      </c>
      <c r="DP2" s="9">
        <v>46235</v>
      </c>
      <c r="DQ2" s="9">
        <v>46266</v>
      </c>
      <c r="DR2" s="9">
        <v>46296</v>
      </c>
      <c r="DS2" s="9">
        <v>46327</v>
      </c>
      <c r="DT2" s="9">
        <v>46357</v>
      </c>
      <c r="DU2" s="10" t="s">
        <v>495</v>
      </c>
    </row>
    <row r="3" spans="1:125" x14ac:dyDescent="0.2">
      <c r="A3">
        <f>LEN(B3)</f>
        <v>19</v>
      </c>
      <c r="B3" s="49" t="str">
        <f>_xlfn.XLOOKUP(E3,Códigos_Propuestas!$B$4:$B$10,Códigos_Propuestas!$C$4:$C$10,"!",0,1)&amp;"__"&amp;
_xlfn.XLOOKUP(H3,Códigos_Propuestas!$E$4:$E$76,Códigos_Propuestas!$F$4:$F$76,"!",1)&amp;"__"&amp;
_xlfn.XLOOKUP(L3,Códigos_Propuestas!$I$4:$I$7,Códigos_Propuestas!$J$4:$J$7,"!",1)&amp;"__"&amp;
_xlfn.XLOOKUP(M3,Códigos_Propuestas!$O$4:$O$11,Códigos_Propuestas!$Q$4:$Q$11,"!",1)&amp;"__"&amp;
_xlfn.XLOOKUP(F3,Códigos_Propuestas!$BF:$BF,Códigos_Propuestas!$BH:$BH,"!",0,1)</f>
        <v>BR__VAL__UG__!__001</v>
      </c>
      <c r="C3" t="b">
        <f>F3=[1]CRM!C2</f>
        <v>1</v>
      </c>
      <c r="D3" s="47">
        <v>1</v>
      </c>
      <c r="E3" s="11" t="s">
        <v>88</v>
      </c>
      <c r="F3" s="12" t="s">
        <v>3</v>
      </c>
      <c r="G3" s="12" t="s">
        <v>3</v>
      </c>
      <c r="H3" s="13" t="s">
        <v>218</v>
      </c>
      <c r="I3" s="13" t="s">
        <v>516</v>
      </c>
      <c r="J3" s="13" t="s">
        <v>97</v>
      </c>
      <c r="K3" s="17" t="s">
        <v>44</v>
      </c>
      <c r="L3" s="13" t="s">
        <v>65</v>
      </c>
      <c r="M3" s="14"/>
      <c r="N3" s="14" t="str">
        <f>_xlfn.XLOOKUP(M3,Códigos_Propuestas!$O$4:$O$15,Códigos_Propuestas!$P$4:$P$15,"!",0,1)</f>
        <v>R+</v>
      </c>
      <c r="O3" s="14"/>
      <c r="P3" s="14"/>
      <c r="Q3" s="14"/>
      <c r="R3" s="14"/>
      <c r="S3" s="14"/>
      <c r="T3" s="14"/>
      <c r="U3" s="14"/>
      <c r="V3" s="13"/>
      <c r="W3" s="115"/>
      <c r="X3" s="116">
        <f ca="1">IF(ISBLANK(W3),0,TODAY()-W3)</f>
        <v>0</v>
      </c>
      <c r="Y3" s="13" t="str">
        <f ca="1">IF(X3&gt;=30,"!","")</f>
        <v/>
      </c>
      <c r="Z3" s="13"/>
      <c r="AA3" s="115"/>
      <c r="AB3" s="130" t="b">
        <v>0</v>
      </c>
      <c r="AC3" s="115"/>
      <c r="AD3" s="130" t="b">
        <v>0</v>
      </c>
      <c r="AE3" s="115"/>
      <c r="AF3" s="130" t="b">
        <v>0</v>
      </c>
      <c r="AG3" s="13"/>
      <c r="AH3" s="13"/>
      <c r="AI3" s="130" t="b">
        <v>0</v>
      </c>
      <c r="AJ3" s="13"/>
      <c r="AK3" s="130" t="b">
        <v>0</v>
      </c>
      <c r="AL3" s="13"/>
      <c r="AM3" s="130" t="b">
        <v>0</v>
      </c>
      <c r="AN3" s="13"/>
      <c r="AO3" s="130" t="b">
        <v>0</v>
      </c>
      <c r="AP3" s="13"/>
      <c r="AQ3" s="13"/>
      <c r="AR3" s="130" t="b">
        <v>0</v>
      </c>
      <c r="AS3" s="130" t="b">
        <v>0</v>
      </c>
      <c r="AT3" s="130" t="b">
        <v>0</v>
      </c>
      <c r="AU3" s="130" t="b">
        <v>0</v>
      </c>
      <c r="AV3" s="130" t="b">
        <v>0</v>
      </c>
      <c r="AW3" s="11"/>
      <c r="AX3" s="11"/>
      <c r="AY3" s="11"/>
      <c r="AZ3" s="11"/>
      <c r="BA3" s="11"/>
      <c r="BB3" s="28"/>
      <c r="BC3" s="97">
        <v>390000</v>
      </c>
      <c r="BD3" s="97"/>
      <c r="BE3" s="13">
        <v>5</v>
      </c>
      <c r="BF3" s="134">
        <f>_xlfn.XLOOKUP($J3,'Criterios GoGet'!$B$3:$B$8,'Criterios GoGet'!$C$3:$C$8,0,0,1)</f>
        <v>0.8</v>
      </c>
      <c r="BG3" s="134"/>
      <c r="BH3" s="15">
        <f>BG3*BF3</f>
        <v>0</v>
      </c>
      <c r="BI3" s="18"/>
      <c r="BJ3" s="18">
        <v>45814</v>
      </c>
      <c r="BK3" s="16"/>
      <c r="BL3" s="19">
        <f t="shared" ref="BL3:BL49" si="0">+BH3*BC3</f>
        <v>0</v>
      </c>
      <c r="BM3" s="19">
        <f>BD3*BH3</f>
        <v>0</v>
      </c>
      <c r="BN3" s="20">
        <f>IFERROR(EOMONTH(BK3+60,-1)+1,"")</f>
        <v>32</v>
      </c>
      <c r="BO3" s="21">
        <f>IFERROR(EOMONTH(EDATE(BN3,BE3),-2)+1,"")</f>
        <v>153</v>
      </c>
      <c r="BP3" s="111">
        <f t="shared" ref="BP3:BQ42" si="1">IFERROR(EOMONTH(BN3,-1)+1,"")</f>
        <v>32</v>
      </c>
      <c r="BQ3" s="112">
        <f t="shared" si="1"/>
        <v>153</v>
      </c>
      <c r="BS3" s="28">
        <f t="shared" ref="BS3:CD24" si="2">IF($BE3&lt;1,IF(BS$2=$BP3,$BC3,0),IFERROR(IF(AND(BS$2&gt;=$BP3,BS$2&lt;=$BQ3),$BC3/$BE3,0),0))</f>
        <v>0</v>
      </c>
      <c r="BT3" s="28">
        <f t="shared" si="2"/>
        <v>0</v>
      </c>
      <c r="BU3" s="28">
        <f t="shared" si="2"/>
        <v>0</v>
      </c>
      <c r="BV3" s="28">
        <f t="shared" si="2"/>
        <v>0</v>
      </c>
      <c r="BW3" s="28">
        <f t="shared" si="2"/>
        <v>0</v>
      </c>
      <c r="BX3" s="28">
        <f t="shared" si="2"/>
        <v>0</v>
      </c>
      <c r="BY3" s="28">
        <f t="shared" si="2"/>
        <v>0</v>
      </c>
      <c r="BZ3" s="28">
        <f t="shared" si="2"/>
        <v>0</v>
      </c>
      <c r="CA3" s="28">
        <f t="shared" si="2"/>
        <v>0</v>
      </c>
      <c r="CB3" s="28">
        <f t="shared" si="2"/>
        <v>0</v>
      </c>
      <c r="CC3" s="28">
        <f t="shared" si="2"/>
        <v>0</v>
      </c>
      <c r="CD3" s="28">
        <f t="shared" si="2"/>
        <v>0</v>
      </c>
      <c r="CE3" s="25">
        <f>SUM(BS3:CD3)</f>
        <v>0</v>
      </c>
      <c r="CG3" s="22">
        <f>IF($BE3&lt;1,IF(CG$2=$BP3,$BL3,0),IFERROR(IF(AND(CG$2&gt;=$BP3,CG$2&lt;=$BQ3),$BL3/$BE3,0),0))</f>
        <v>0</v>
      </c>
      <c r="CH3" s="23">
        <f t="shared" ref="CH3:CR18" si="3">IF($BE3&lt;1,IF(CH$2=$BP3,$BL3,0),IFERROR(IF(AND(CH$2&gt;=$BP3,CH$2&lt;=$BQ3),$BL3/$BE3,0),0))</f>
        <v>0</v>
      </c>
      <c r="CI3" s="23">
        <f t="shared" si="3"/>
        <v>0</v>
      </c>
      <c r="CJ3" s="23">
        <f t="shared" si="3"/>
        <v>0</v>
      </c>
      <c r="CK3" s="23">
        <f t="shared" si="3"/>
        <v>0</v>
      </c>
      <c r="CL3" s="23">
        <f t="shared" si="3"/>
        <v>0</v>
      </c>
      <c r="CM3" s="23">
        <f t="shared" si="3"/>
        <v>0</v>
      </c>
      <c r="CN3" s="23">
        <f t="shared" si="3"/>
        <v>0</v>
      </c>
      <c r="CO3" s="23">
        <f t="shared" si="3"/>
        <v>0</v>
      </c>
      <c r="CP3" s="23">
        <f t="shared" si="3"/>
        <v>0</v>
      </c>
      <c r="CQ3" s="23">
        <f t="shared" si="3"/>
        <v>0</v>
      </c>
      <c r="CR3" s="24">
        <f t="shared" si="3"/>
        <v>0</v>
      </c>
      <c r="CS3" s="25">
        <f>SUM(CG3:CR3)</f>
        <v>0</v>
      </c>
      <c r="CU3" s="22">
        <f>IF($BE3&lt;1,IF(CU$2=$BP3,$BD3,0),IFERROR(IF(AND(CU$2&gt;=$BP3,CU$2&lt;=$BQ3),$BD3/$BE3,0),0))</f>
        <v>0</v>
      </c>
      <c r="CV3" s="23">
        <f t="shared" ref="CV3:DF18" si="4">IF($BE3&lt;1,IF(CV$2=$BP3,$BD3,0),IFERROR(IF(AND(CV$2&gt;=$BP3,CV$2&lt;=$BQ3),$BD3/$BE3,0),0))</f>
        <v>0</v>
      </c>
      <c r="CW3" s="23">
        <f t="shared" si="4"/>
        <v>0</v>
      </c>
      <c r="CX3" s="23">
        <f t="shared" si="4"/>
        <v>0</v>
      </c>
      <c r="CY3" s="23">
        <f t="shared" si="4"/>
        <v>0</v>
      </c>
      <c r="CZ3" s="23">
        <f t="shared" si="4"/>
        <v>0</v>
      </c>
      <c r="DA3" s="23">
        <f t="shared" si="4"/>
        <v>0</v>
      </c>
      <c r="DB3" s="23">
        <f t="shared" si="4"/>
        <v>0</v>
      </c>
      <c r="DC3" s="23">
        <f t="shared" si="4"/>
        <v>0</v>
      </c>
      <c r="DD3" s="23">
        <f t="shared" si="4"/>
        <v>0</v>
      </c>
      <c r="DE3" s="23">
        <f t="shared" si="4"/>
        <v>0</v>
      </c>
      <c r="DF3" s="24">
        <f t="shared" si="4"/>
        <v>0</v>
      </c>
      <c r="DG3" s="25">
        <f>SUM(CU3:DF3)</f>
        <v>0</v>
      </c>
      <c r="DI3" s="22">
        <f>IF($BE3&lt;1,IF(DI$2=$BP3,$BM3,0),IFERROR(IF(AND(DI$2&gt;=$BP3,DI$2&lt;=$BQ3),$BM3/$BE3,0),0))</f>
        <v>0</v>
      </c>
      <c r="DJ3" s="23">
        <f t="shared" ref="DJ3:DT18" si="5">IF($BE3&lt;1,IF(DJ$2=$BP3,$BM3,0),IFERROR(IF(AND(DJ$2&gt;=$BP3,DJ$2&lt;=$BQ3),$BM3/$BE3,0),0))</f>
        <v>0</v>
      </c>
      <c r="DK3" s="23">
        <f t="shared" si="5"/>
        <v>0</v>
      </c>
      <c r="DL3" s="23">
        <f t="shared" si="5"/>
        <v>0</v>
      </c>
      <c r="DM3" s="23">
        <f t="shared" si="5"/>
        <v>0</v>
      </c>
      <c r="DN3" s="23">
        <f t="shared" si="5"/>
        <v>0</v>
      </c>
      <c r="DO3" s="23">
        <f t="shared" si="5"/>
        <v>0</v>
      </c>
      <c r="DP3" s="23">
        <f t="shared" si="5"/>
        <v>0</v>
      </c>
      <c r="DQ3" s="23">
        <f t="shared" si="5"/>
        <v>0</v>
      </c>
      <c r="DR3" s="23">
        <f t="shared" si="5"/>
        <v>0</v>
      </c>
      <c r="DS3" s="23">
        <f t="shared" si="5"/>
        <v>0</v>
      </c>
      <c r="DT3" s="24">
        <f t="shared" si="5"/>
        <v>0</v>
      </c>
      <c r="DU3" s="25">
        <f>SUM(DI3:DT3)</f>
        <v>0</v>
      </c>
    </row>
    <row r="4" spans="1:125" x14ac:dyDescent="0.2">
      <c r="A4">
        <f t="shared" ref="A4:A49" si="6">LEN(B4)</f>
        <v>18</v>
      </c>
      <c r="B4" s="49" t="str">
        <f>_xlfn.XLOOKUP(E4,Códigos_Propuestas!$B$4:$B$10,Códigos_Propuestas!$C$4:$C$10,"!",0,1)&amp;"__"&amp;
_xlfn.XLOOKUP(H4,Códigos_Propuestas!$E$4:$E$76,Códigos_Propuestas!$F$4:$F$76,"!",1)&amp;"__"&amp;
_xlfn.XLOOKUP(L4,Códigos_Propuestas!$I$4:$I$7,Códigos_Propuestas!$J$4:$J$7,"!",1)&amp;"__"&amp;
_xlfn.XLOOKUP(M4,Códigos_Propuestas!$O$4:$O$11,Códigos_Propuestas!$Q$4:$Q$11,"!",1)&amp;"__"&amp;
_xlfn.XLOOKUP(F4,Códigos_Propuestas!$BF:$BF,Códigos_Propuestas!$BH:$BH,"!",0,1)</f>
        <v>USA__GLE__UG__!__!</v>
      </c>
      <c r="C4" t="b">
        <f>F4=[1]CRM!C3</f>
        <v>1</v>
      </c>
      <c r="D4" s="47">
        <f>+D3+1</f>
        <v>2</v>
      </c>
      <c r="E4" s="11" t="s">
        <v>136</v>
      </c>
      <c r="F4" s="26" t="s">
        <v>517</v>
      </c>
      <c r="G4" s="26" t="s">
        <v>517</v>
      </c>
      <c r="H4" s="13" t="s">
        <v>353</v>
      </c>
      <c r="I4" s="11" t="s">
        <v>518</v>
      </c>
      <c r="J4" s="13" t="s">
        <v>122</v>
      </c>
      <c r="K4" s="17" t="s">
        <v>44</v>
      </c>
      <c r="L4" s="13" t="s">
        <v>65</v>
      </c>
      <c r="M4" s="14"/>
      <c r="N4" s="14" t="str">
        <f>_xlfn.XLOOKUP(M4,Códigos_Propuestas!$O$4:$O$15,Códigos_Propuestas!$P$4:$P$15,"!",0,1)</f>
        <v>R+</v>
      </c>
      <c r="O4" s="14"/>
      <c r="P4" s="14"/>
      <c r="Q4" s="14"/>
      <c r="R4" s="14"/>
      <c r="S4" s="14"/>
      <c r="T4" s="14"/>
      <c r="U4" s="14"/>
      <c r="V4" s="13"/>
      <c r="W4" s="115"/>
      <c r="X4" s="116">
        <f t="shared" ref="X4:X42" ca="1" si="7">IF(ISBLANK(W4),0,TODAY()-W4)</f>
        <v>0</v>
      </c>
      <c r="Y4" s="13" t="str">
        <f t="shared" ref="Y4:Y42" ca="1" si="8">IF(X4&gt;=30,"!","")</f>
        <v/>
      </c>
      <c r="Z4" s="13"/>
      <c r="AA4" s="115"/>
      <c r="AB4" s="130" t="b">
        <v>0</v>
      </c>
      <c r="AC4" s="115"/>
      <c r="AD4" s="130" t="b">
        <v>0</v>
      </c>
      <c r="AE4" s="115"/>
      <c r="AF4" s="130" t="b">
        <v>0</v>
      </c>
      <c r="AG4" s="13"/>
      <c r="AH4" s="13"/>
      <c r="AI4" s="130" t="b">
        <v>0</v>
      </c>
      <c r="AJ4" s="13"/>
      <c r="AK4" s="130" t="b">
        <v>0</v>
      </c>
      <c r="AL4" s="13"/>
      <c r="AM4" s="130" t="b">
        <v>0</v>
      </c>
      <c r="AN4" s="13"/>
      <c r="AO4" s="130" t="b">
        <v>0</v>
      </c>
      <c r="AP4" s="13"/>
      <c r="AQ4" s="13"/>
      <c r="AR4" s="130" t="b">
        <v>0</v>
      </c>
      <c r="AS4" s="130" t="b">
        <v>0</v>
      </c>
      <c r="AT4" s="130" t="b">
        <v>0</v>
      </c>
      <c r="AU4" s="130" t="b">
        <v>0</v>
      </c>
      <c r="AV4" s="130" t="b">
        <v>0</v>
      </c>
      <c r="AW4" s="11"/>
      <c r="AX4" s="11"/>
      <c r="AY4" s="11"/>
      <c r="AZ4" s="11"/>
      <c r="BA4" s="11"/>
      <c r="BB4" s="28"/>
      <c r="BC4" s="98">
        <v>499000</v>
      </c>
      <c r="BD4" s="98">
        <f>BC4*0.5</f>
        <v>249500</v>
      </c>
      <c r="BE4" s="11">
        <v>4</v>
      </c>
      <c r="BF4" s="134">
        <f>_xlfn.XLOOKUP($J4,'Criterios GoGet'!$B$3:$B$8,'Criterios GoGet'!$C$3:$C$8,0,0,1)</f>
        <v>1</v>
      </c>
      <c r="BG4" s="134">
        <v>1</v>
      </c>
      <c r="BH4" s="15">
        <f t="shared" ref="BH4:BH49" si="9">BG4*BF4</f>
        <v>1</v>
      </c>
      <c r="BI4" s="18"/>
      <c r="BJ4" s="18">
        <v>45985</v>
      </c>
      <c r="BK4" s="16">
        <v>46038</v>
      </c>
      <c r="BL4" s="19">
        <f t="shared" si="0"/>
        <v>499000</v>
      </c>
      <c r="BM4" s="19">
        <f t="shared" ref="BM4:BM49" si="10">BD4*BH4</f>
        <v>249500</v>
      </c>
      <c r="BN4" s="20">
        <f t="shared" ref="BN4:BN46" si="11">IFERROR(EOMONTH(BK4+60,-1)+1,"")</f>
        <v>46082</v>
      </c>
      <c r="BO4" s="21">
        <f t="shared" ref="BO4:BO49" si="12">IFERROR(EOMONTH(EDATE(BN4,BE4),-2)+1,"")</f>
        <v>46174</v>
      </c>
      <c r="BP4" s="111">
        <f t="shared" si="1"/>
        <v>46082</v>
      </c>
      <c r="BQ4" s="112">
        <f t="shared" si="1"/>
        <v>46174</v>
      </c>
      <c r="BS4" s="28">
        <f t="shared" si="2"/>
        <v>0</v>
      </c>
      <c r="BT4" s="28">
        <f t="shared" si="2"/>
        <v>0</v>
      </c>
      <c r="BU4" s="28">
        <f>IF($BE4&lt;1,IF(BU$2=$BP4,$BC4,0),IFERROR(IF(AND(BU$2&gt;=$BP4,BU$2&lt;=$BQ4),$BC4/$BE4,0),0))</f>
        <v>124750</v>
      </c>
      <c r="BV4" s="28">
        <f t="shared" si="2"/>
        <v>124750</v>
      </c>
      <c r="BW4" s="28">
        <f t="shared" si="2"/>
        <v>124750</v>
      </c>
      <c r="BX4" s="28">
        <f t="shared" si="2"/>
        <v>124750</v>
      </c>
      <c r="BY4" s="28">
        <f t="shared" si="2"/>
        <v>0</v>
      </c>
      <c r="BZ4" s="28">
        <f t="shared" si="2"/>
        <v>0</v>
      </c>
      <c r="CA4" s="28">
        <f t="shared" si="2"/>
        <v>0</v>
      </c>
      <c r="CB4" s="28">
        <f t="shared" si="2"/>
        <v>0</v>
      </c>
      <c r="CC4" s="28">
        <f t="shared" si="2"/>
        <v>0</v>
      </c>
      <c r="CD4" s="28">
        <f t="shared" si="2"/>
        <v>0</v>
      </c>
      <c r="CE4" s="30">
        <f t="shared" ref="CE4:CE42" si="13">SUM(BS4:CD4)</f>
        <v>499000</v>
      </c>
      <c r="CG4" s="27">
        <f t="shared" ref="CG4:CR19" si="14">IF($BE4&lt;1,IF(CG$2=$BP4,$BL4,0),IFERROR(IF(AND(CG$2&gt;=$BP4,CG$2&lt;=$BQ4),$BL4/$BE4,0),0))</f>
        <v>0</v>
      </c>
      <c r="CH4" s="28">
        <f t="shared" si="3"/>
        <v>0</v>
      </c>
      <c r="CI4" s="28">
        <f t="shared" si="3"/>
        <v>124750</v>
      </c>
      <c r="CJ4" s="28">
        <f t="shared" si="3"/>
        <v>124750</v>
      </c>
      <c r="CK4" s="28">
        <f t="shared" si="3"/>
        <v>124750</v>
      </c>
      <c r="CL4" s="28">
        <f t="shared" si="3"/>
        <v>124750</v>
      </c>
      <c r="CM4" s="28">
        <f t="shared" si="3"/>
        <v>0</v>
      </c>
      <c r="CN4" s="28">
        <f t="shared" si="3"/>
        <v>0</v>
      </c>
      <c r="CO4" s="28">
        <f t="shared" si="3"/>
        <v>0</v>
      </c>
      <c r="CP4" s="28">
        <f t="shared" si="3"/>
        <v>0</v>
      </c>
      <c r="CQ4" s="28">
        <f t="shared" si="3"/>
        <v>0</v>
      </c>
      <c r="CR4" s="29">
        <f t="shared" si="3"/>
        <v>0</v>
      </c>
      <c r="CS4" s="30">
        <f t="shared" ref="CS4:CS42" si="15">SUM(CG4:CR4)</f>
        <v>499000</v>
      </c>
      <c r="CU4" s="27">
        <f t="shared" ref="CU4:DF19" si="16">IF($BE4&lt;1,IF(CU$2=$BP4,$BD4,0),IFERROR(IF(AND(CU$2&gt;=$BP4,CU$2&lt;=$BQ4),$BD4/$BE4,0),0))</f>
        <v>0</v>
      </c>
      <c r="CV4" s="28">
        <f t="shared" si="4"/>
        <v>0</v>
      </c>
      <c r="CW4" s="28">
        <f>IF($BE4&lt;1,IF(CW$2=$BP4,$BD4,0),IFERROR(IF(AND(CW$2&gt;=$BP4,CW$2&lt;=$BQ4),$BD4/$BE4,0),0))</f>
        <v>62375</v>
      </c>
      <c r="CX4" s="28">
        <f t="shared" si="4"/>
        <v>62375</v>
      </c>
      <c r="CY4" s="28">
        <f t="shared" si="4"/>
        <v>62375</v>
      </c>
      <c r="CZ4" s="28">
        <f t="shared" si="4"/>
        <v>62375</v>
      </c>
      <c r="DA4" s="28">
        <f t="shared" si="4"/>
        <v>0</v>
      </c>
      <c r="DB4" s="28">
        <f t="shared" si="4"/>
        <v>0</v>
      </c>
      <c r="DC4" s="28">
        <f t="shared" si="4"/>
        <v>0</v>
      </c>
      <c r="DD4" s="28">
        <f t="shared" si="4"/>
        <v>0</v>
      </c>
      <c r="DE4" s="28">
        <f t="shared" si="4"/>
        <v>0</v>
      </c>
      <c r="DF4" s="29">
        <f t="shared" si="4"/>
        <v>0</v>
      </c>
      <c r="DG4" s="30">
        <f t="shared" ref="DG4:DG42" si="17">SUM(CU4:DF4)</f>
        <v>249500</v>
      </c>
      <c r="DI4" s="27">
        <f t="shared" ref="DI4:DT19" si="18">IF($BE4&lt;1,IF(DI$2=$BP4,$BM4,0),IFERROR(IF(AND(DI$2&gt;=$BP4,DI$2&lt;=$BQ4),$BM4/$BE4,0),0))</f>
        <v>0</v>
      </c>
      <c r="DJ4" s="28">
        <f t="shared" si="5"/>
        <v>0</v>
      </c>
      <c r="DK4" s="28">
        <f t="shared" si="5"/>
        <v>62375</v>
      </c>
      <c r="DL4" s="28">
        <f t="shared" si="5"/>
        <v>62375</v>
      </c>
      <c r="DM4" s="28">
        <f t="shared" si="5"/>
        <v>62375</v>
      </c>
      <c r="DN4" s="28">
        <f t="shared" si="5"/>
        <v>62375</v>
      </c>
      <c r="DO4" s="28">
        <f t="shared" si="5"/>
        <v>0</v>
      </c>
      <c r="DP4" s="28">
        <f t="shared" si="5"/>
        <v>0</v>
      </c>
      <c r="DQ4" s="28">
        <f t="shared" si="5"/>
        <v>0</v>
      </c>
      <c r="DR4" s="28">
        <f t="shared" si="5"/>
        <v>0</v>
      </c>
      <c r="DS4" s="28">
        <f t="shared" si="5"/>
        <v>0</v>
      </c>
      <c r="DT4" s="29">
        <f t="shared" si="5"/>
        <v>0</v>
      </c>
      <c r="DU4" s="30">
        <f t="shared" ref="DU4:DU42" si="19">SUM(DI4:DT4)</f>
        <v>249500</v>
      </c>
    </row>
    <row r="5" spans="1:125" x14ac:dyDescent="0.2">
      <c r="A5">
        <f t="shared" si="6"/>
        <v>19</v>
      </c>
      <c r="B5" s="49" t="str">
        <f>_xlfn.XLOOKUP(E5,Códigos_Propuestas!$B$4:$B$10,Códigos_Propuestas!$C$4:$C$10,"!",0,1)&amp;"__"&amp;
_xlfn.XLOOKUP(H5,Códigos_Propuestas!$E$4:$E$76,Códigos_Propuestas!$F$4:$F$76,"!",1)&amp;"__"&amp;
_xlfn.XLOOKUP(L5,Códigos_Propuestas!$I$4:$I$7,Códigos_Propuestas!$J$4:$J$7,"!",1)&amp;"__"&amp;
_xlfn.XLOOKUP(M5,Códigos_Propuestas!$O$4:$O$11,Códigos_Propuestas!$Q$4:$Q$11,"!",1)&amp;"__"&amp;
_xlfn.XLOOKUP(F5,Códigos_Propuestas!$BF:$BF,Códigos_Propuestas!$BH:$BH,"!",0,1)</f>
        <v>BR__ERC__OU__!__010</v>
      </c>
      <c r="C5" t="b">
        <f>F5=[1]CRM!C4</f>
        <v>1</v>
      </c>
      <c r="D5" s="47">
        <f t="shared" ref="D5:D49" si="20">+D4+1</f>
        <v>3</v>
      </c>
      <c r="E5" s="11" t="s">
        <v>88</v>
      </c>
      <c r="F5" s="12" t="s">
        <v>180</v>
      </c>
      <c r="G5" s="12" t="s">
        <v>180</v>
      </c>
      <c r="H5" s="13" t="s">
        <v>297</v>
      </c>
      <c r="I5" s="13" t="s">
        <v>519</v>
      </c>
      <c r="J5" s="13" t="s">
        <v>97</v>
      </c>
      <c r="K5" s="17" t="s">
        <v>98</v>
      </c>
      <c r="L5" s="13" t="s">
        <v>116</v>
      </c>
      <c r="M5" s="14"/>
      <c r="N5" s="14" t="str">
        <f>_xlfn.XLOOKUP(M5,Códigos_Propuestas!$O$4:$O$15,Códigos_Propuestas!$P$4:$P$15,"!",0,1)</f>
        <v>R+</v>
      </c>
      <c r="O5" s="14"/>
      <c r="P5" s="14"/>
      <c r="Q5" s="14"/>
      <c r="R5" s="14"/>
      <c r="S5" s="14"/>
      <c r="T5" s="14"/>
      <c r="U5" s="14"/>
      <c r="V5" s="13"/>
      <c r="W5" s="115"/>
      <c r="X5" s="116">
        <f t="shared" ca="1" si="7"/>
        <v>0</v>
      </c>
      <c r="Y5" s="13" t="str">
        <f t="shared" ca="1" si="8"/>
        <v/>
      </c>
      <c r="Z5" s="13"/>
      <c r="AA5" s="115"/>
      <c r="AB5" s="130" t="b">
        <v>0</v>
      </c>
      <c r="AC5" s="115"/>
      <c r="AD5" s="130" t="b">
        <v>0</v>
      </c>
      <c r="AE5" s="115"/>
      <c r="AF5" s="130" t="b">
        <v>0</v>
      </c>
      <c r="AG5" s="13"/>
      <c r="AH5" s="13"/>
      <c r="AI5" s="130" t="b">
        <v>0</v>
      </c>
      <c r="AJ5" s="13"/>
      <c r="AK5" s="130" t="b">
        <v>0</v>
      </c>
      <c r="AL5" s="13"/>
      <c r="AM5" s="130" t="b">
        <v>0</v>
      </c>
      <c r="AN5" s="13"/>
      <c r="AO5" s="130" t="b">
        <v>0</v>
      </c>
      <c r="AP5" s="13"/>
      <c r="AQ5" s="13"/>
      <c r="AR5" s="130" t="b">
        <v>0</v>
      </c>
      <c r="AS5" s="130" t="b">
        <v>0</v>
      </c>
      <c r="AT5" s="130" t="b">
        <v>0</v>
      </c>
      <c r="AU5" s="130" t="b">
        <v>0</v>
      </c>
      <c r="AV5" s="130" t="b">
        <v>0</v>
      </c>
      <c r="AW5" s="11"/>
      <c r="AX5" s="11"/>
      <c r="AY5" s="11"/>
      <c r="AZ5" s="11"/>
      <c r="BA5" s="11"/>
      <c r="BB5" s="28"/>
      <c r="BC5" s="97">
        <v>120000</v>
      </c>
      <c r="BD5" s="97"/>
      <c r="BE5" s="13">
        <v>6</v>
      </c>
      <c r="BF5" s="134">
        <f>_xlfn.XLOOKUP($J5,'Criterios GoGet'!$B$3:$B$8,'Criterios GoGet'!$C$3:$C$8,0,0,1)</f>
        <v>0.8</v>
      </c>
      <c r="BG5" s="134"/>
      <c r="BH5" s="15">
        <f t="shared" si="9"/>
        <v>0</v>
      </c>
      <c r="BI5" s="18"/>
      <c r="BJ5" s="18">
        <v>45986</v>
      </c>
      <c r="BK5" s="16"/>
      <c r="BL5" s="19">
        <f t="shared" si="0"/>
        <v>0</v>
      </c>
      <c r="BM5" s="19">
        <f t="shared" si="10"/>
        <v>0</v>
      </c>
      <c r="BN5" s="20">
        <f t="shared" si="11"/>
        <v>32</v>
      </c>
      <c r="BO5" s="21">
        <f t="shared" si="12"/>
        <v>183</v>
      </c>
      <c r="BP5" s="111">
        <f t="shared" si="1"/>
        <v>32</v>
      </c>
      <c r="BQ5" s="112">
        <f t="shared" si="1"/>
        <v>183</v>
      </c>
      <c r="BS5" s="28">
        <f t="shared" si="2"/>
        <v>0</v>
      </c>
      <c r="BT5" s="28">
        <f t="shared" si="2"/>
        <v>0</v>
      </c>
      <c r="BU5" s="28">
        <f t="shared" si="2"/>
        <v>0</v>
      </c>
      <c r="BV5" s="28">
        <f t="shared" si="2"/>
        <v>0</v>
      </c>
      <c r="BW5" s="28">
        <f t="shared" si="2"/>
        <v>0</v>
      </c>
      <c r="BX5" s="28">
        <f t="shared" si="2"/>
        <v>0</v>
      </c>
      <c r="BY5" s="28">
        <f t="shared" si="2"/>
        <v>0</v>
      </c>
      <c r="BZ5" s="28">
        <f t="shared" si="2"/>
        <v>0</v>
      </c>
      <c r="CA5" s="28">
        <f t="shared" si="2"/>
        <v>0</v>
      </c>
      <c r="CB5" s="28">
        <f t="shared" si="2"/>
        <v>0</v>
      </c>
      <c r="CC5" s="28">
        <f t="shared" si="2"/>
        <v>0</v>
      </c>
      <c r="CD5" s="28">
        <f t="shared" si="2"/>
        <v>0</v>
      </c>
      <c r="CE5" s="30">
        <f t="shared" si="13"/>
        <v>0</v>
      </c>
      <c r="CG5" s="27">
        <f t="shared" si="14"/>
        <v>0</v>
      </c>
      <c r="CH5" s="28">
        <f t="shared" si="3"/>
        <v>0</v>
      </c>
      <c r="CI5" s="28">
        <f t="shared" si="3"/>
        <v>0</v>
      </c>
      <c r="CJ5" s="28">
        <f t="shared" si="3"/>
        <v>0</v>
      </c>
      <c r="CK5" s="28">
        <f t="shared" si="3"/>
        <v>0</v>
      </c>
      <c r="CL5" s="28">
        <f t="shared" si="3"/>
        <v>0</v>
      </c>
      <c r="CM5" s="28">
        <f t="shared" si="3"/>
        <v>0</v>
      </c>
      <c r="CN5" s="28">
        <f t="shared" si="3"/>
        <v>0</v>
      </c>
      <c r="CO5" s="28">
        <f t="shared" si="3"/>
        <v>0</v>
      </c>
      <c r="CP5" s="28">
        <f t="shared" si="3"/>
        <v>0</v>
      </c>
      <c r="CQ5" s="28">
        <f t="shared" si="3"/>
        <v>0</v>
      </c>
      <c r="CR5" s="29">
        <f t="shared" si="3"/>
        <v>0</v>
      </c>
      <c r="CS5" s="30">
        <f t="shared" si="15"/>
        <v>0</v>
      </c>
      <c r="CU5" s="27">
        <f t="shared" si="16"/>
        <v>0</v>
      </c>
      <c r="CV5" s="28">
        <f t="shared" si="4"/>
        <v>0</v>
      </c>
      <c r="CW5" s="28">
        <f t="shared" si="4"/>
        <v>0</v>
      </c>
      <c r="CX5" s="28">
        <f t="shared" si="4"/>
        <v>0</v>
      </c>
      <c r="CY5" s="28">
        <f t="shared" si="4"/>
        <v>0</v>
      </c>
      <c r="CZ5" s="28">
        <f t="shared" si="4"/>
        <v>0</v>
      </c>
      <c r="DA5" s="28">
        <f t="shared" si="4"/>
        <v>0</v>
      </c>
      <c r="DB5" s="28">
        <f t="shared" si="4"/>
        <v>0</v>
      </c>
      <c r="DC5" s="28">
        <f t="shared" si="4"/>
        <v>0</v>
      </c>
      <c r="DD5" s="28">
        <f t="shared" si="4"/>
        <v>0</v>
      </c>
      <c r="DE5" s="28">
        <f t="shared" si="4"/>
        <v>0</v>
      </c>
      <c r="DF5" s="29">
        <f t="shared" si="4"/>
        <v>0</v>
      </c>
      <c r="DG5" s="30">
        <f t="shared" si="17"/>
        <v>0</v>
      </c>
      <c r="DI5" s="27">
        <f t="shared" si="18"/>
        <v>0</v>
      </c>
      <c r="DJ5" s="28">
        <f t="shared" si="5"/>
        <v>0</v>
      </c>
      <c r="DK5" s="28">
        <f t="shared" si="5"/>
        <v>0</v>
      </c>
      <c r="DL5" s="28">
        <f t="shared" si="5"/>
        <v>0</v>
      </c>
      <c r="DM5" s="28">
        <f t="shared" si="5"/>
        <v>0</v>
      </c>
      <c r="DN5" s="28">
        <f t="shared" si="5"/>
        <v>0</v>
      </c>
      <c r="DO5" s="28">
        <f t="shared" si="5"/>
        <v>0</v>
      </c>
      <c r="DP5" s="28">
        <f t="shared" si="5"/>
        <v>0</v>
      </c>
      <c r="DQ5" s="28">
        <f t="shared" si="5"/>
        <v>0</v>
      </c>
      <c r="DR5" s="28">
        <f t="shared" si="5"/>
        <v>0</v>
      </c>
      <c r="DS5" s="28">
        <f t="shared" si="5"/>
        <v>0</v>
      </c>
      <c r="DT5" s="29">
        <f t="shared" si="5"/>
        <v>0</v>
      </c>
      <c r="DU5" s="30">
        <f t="shared" si="19"/>
        <v>0</v>
      </c>
    </row>
    <row r="6" spans="1:125" x14ac:dyDescent="0.2">
      <c r="A6">
        <f t="shared" si="6"/>
        <v>19</v>
      </c>
      <c r="B6" s="49" t="str">
        <f>_xlfn.XLOOKUP(E6,Códigos_Propuestas!$B$4:$B$10,Códigos_Propuestas!$C$4:$C$10,"!",0,1)&amp;"__"&amp;
_xlfn.XLOOKUP(H6,Códigos_Propuestas!$E$4:$E$76,Códigos_Propuestas!$F$4:$F$76,"!",1)&amp;"__"&amp;
_xlfn.XLOOKUP(L6,Códigos_Propuestas!$I$4:$I$7,Códigos_Propuestas!$J$4:$J$7,"!",1)&amp;"__"&amp;
_xlfn.XLOOKUP(M6,Códigos_Propuestas!$O$4:$O$11,Códigos_Propuestas!$Q$4:$Q$11,"!",1)&amp;"__"&amp;
_xlfn.XLOOKUP(F6,Códigos_Propuestas!$BF:$BF,Códigos_Propuestas!$BH:$BH,"!",0,1)</f>
        <v>BR__ERC__UG__!__011</v>
      </c>
      <c r="C6" t="b">
        <f>F6=[1]CRM!C5</f>
        <v>1</v>
      </c>
      <c r="D6" s="47">
        <f t="shared" si="20"/>
        <v>4</v>
      </c>
      <c r="E6" s="11" t="s">
        <v>88</v>
      </c>
      <c r="F6" s="31" t="s">
        <v>187</v>
      </c>
      <c r="G6" s="31" t="s">
        <v>187</v>
      </c>
      <c r="H6" s="13" t="s">
        <v>297</v>
      </c>
      <c r="I6" s="13" t="s">
        <v>520</v>
      </c>
      <c r="J6" s="13" t="s">
        <v>97</v>
      </c>
      <c r="K6" s="17" t="s">
        <v>98</v>
      </c>
      <c r="L6" s="13" t="s">
        <v>65</v>
      </c>
      <c r="M6" s="14"/>
      <c r="N6" s="14" t="str">
        <f>_xlfn.XLOOKUP(M6,Códigos_Propuestas!$O$4:$O$15,Códigos_Propuestas!$P$4:$P$15,"!",0,1)</f>
        <v>R+</v>
      </c>
      <c r="O6" s="14"/>
      <c r="P6" s="14"/>
      <c r="Q6" s="14"/>
      <c r="R6" s="14"/>
      <c r="S6" s="14"/>
      <c r="T6" s="14"/>
      <c r="U6" s="14"/>
      <c r="V6" s="13"/>
      <c r="W6" s="115"/>
      <c r="X6" s="116">
        <f t="shared" ca="1" si="7"/>
        <v>0</v>
      </c>
      <c r="Y6" s="13" t="str">
        <f t="shared" ca="1" si="8"/>
        <v/>
      </c>
      <c r="Z6" s="13"/>
      <c r="AA6" s="115"/>
      <c r="AB6" s="130" t="b">
        <v>0</v>
      </c>
      <c r="AC6" s="115"/>
      <c r="AD6" s="130" t="b">
        <v>0</v>
      </c>
      <c r="AE6" s="115"/>
      <c r="AF6" s="130" t="b">
        <v>0</v>
      </c>
      <c r="AG6" s="13"/>
      <c r="AH6" s="13"/>
      <c r="AI6" s="130" t="b">
        <v>0</v>
      </c>
      <c r="AJ6" s="13"/>
      <c r="AK6" s="130" t="b">
        <v>0</v>
      </c>
      <c r="AL6" s="13"/>
      <c r="AM6" s="130" t="b">
        <v>0</v>
      </c>
      <c r="AN6" s="13"/>
      <c r="AO6" s="130" t="b">
        <v>0</v>
      </c>
      <c r="AP6" s="13"/>
      <c r="AQ6" s="13"/>
      <c r="AR6" s="130" t="b">
        <v>0</v>
      </c>
      <c r="AS6" s="130" t="b">
        <v>0</v>
      </c>
      <c r="AT6" s="130" t="b">
        <v>0</v>
      </c>
      <c r="AU6" s="130" t="b">
        <v>0</v>
      </c>
      <c r="AV6" s="130" t="b">
        <v>0</v>
      </c>
      <c r="AW6" s="11"/>
      <c r="AX6" s="11"/>
      <c r="AY6" s="11"/>
      <c r="AZ6" s="11"/>
      <c r="BA6" s="11"/>
      <c r="BB6" s="28"/>
      <c r="BC6" s="97">
        <v>254000</v>
      </c>
      <c r="BD6" s="97"/>
      <c r="BE6" s="13">
        <v>3</v>
      </c>
      <c r="BF6" s="134">
        <f>_xlfn.XLOOKUP($J6,'Criterios GoGet'!$B$3:$B$8,'Criterios GoGet'!$C$3:$C$8,0,0,1)</f>
        <v>0.8</v>
      </c>
      <c r="BG6" s="134"/>
      <c r="BH6" s="15">
        <f t="shared" si="9"/>
        <v>0</v>
      </c>
      <c r="BI6" s="18"/>
      <c r="BJ6" s="18">
        <v>45986</v>
      </c>
      <c r="BK6" s="16"/>
      <c r="BL6" s="19">
        <f t="shared" si="0"/>
        <v>0</v>
      </c>
      <c r="BM6" s="19">
        <f t="shared" si="10"/>
        <v>0</v>
      </c>
      <c r="BN6" s="20">
        <f t="shared" si="11"/>
        <v>32</v>
      </c>
      <c r="BO6" s="21">
        <f t="shared" si="12"/>
        <v>92</v>
      </c>
      <c r="BP6" s="111">
        <f t="shared" si="1"/>
        <v>32</v>
      </c>
      <c r="BQ6" s="112">
        <f t="shared" si="1"/>
        <v>92</v>
      </c>
      <c r="BS6" s="28">
        <f t="shared" si="2"/>
        <v>0</v>
      </c>
      <c r="BT6" s="28">
        <f t="shared" si="2"/>
        <v>0</v>
      </c>
      <c r="BU6" s="28">
        <f t="shared" si="2"/>
        <v>0</v>
      </c>
      <c r="BV6" s="28">
        <f t="shared" si="2"/>
        <v>0</v>
      </c>
      <c r="BW6" s="28">
        <f t="shared" si="2"/>
        <v>0</v>
      </c>
      <c r="BX6" s="28">
        <f t="shared" si="2"/>
        <v>0</v>
      </c>
      <c r="BY6" s="28">
        <f t="shared" si="2"/>
        <v>0</v>
      </c>
      <c r="BZ6" s="28">
        <f t="shared" si="2"/>
        <v>0</v>
      </c>
      <c r="CA6" s="28">
        <f t="shared" si="2"/>
        <v>0</v>
      </c>
      <c r="CB6" s="28">
        <f t="shared" si="2"/>
        <v>0</v>
      </c>
      <c r="CC6" s="28">
        <f t="shared" si="2"/>
        <v>0</v>
      </c>
      <c r="CD6" s="28">
        <f t="shared" si="2"/>
        <v>0</v>
      </c>
      <c r="CE6" s="30">
        <f t="shared" si="13"/>
        <v>0</v>
      </c>
      <c r="CG6" s="27">
        <f t="shared" si="14"/>
        <v>0</v>
      </c>
      <c r="CH6" s="28">
        <f t="shared" si="3"/>
        <v>0</v>
      </c>
      <c r="CI6" s="28">
        <f t="shared" si="3"/>
        <v>0</v>
      </c>
      <c r="CJ6" s="28">
        <f t="shared" si="3"/>
        <v>0</v>
      </c>
      <c r="CK6" s="28">
        <f t="shared" si="3"/>
        <v>0</v>
      </c>
      <c r="CL6" s="28">
        <f t="shared" si="3"/>
        <v>0</v>
      </c>
      <c r="CM6" s="28">
        <f t="shared" si="3"/>
        <v>0</v>
      </c>
      <c r="CN6" s="28">
        <f t="shared" si="3"/>
        <v>0</v>
      </c>
      <c r="CO6" s="28">
        <f t="shared" si="3"/>
        <v>0</v>
      </c>
      <c r="CP6" s="28">
        <f t="shared" si="3"/>
        <v>0</v>
      </c>
      <c r="CQ6" s="28">
        <f t="shared" si="3"/>
        <v>0</v>
      </c>
      <c r="CR6" s="29">
        <f t="shared" si="3"/>
        <v>0</v>
      </c>
      <c r="CS6" s="30">
        <f t="shared" si="15"/>
        <v>0</v>
      </c>
      <c r="CU6" s="27">
        <f t="shared" si="16"/>
        <v>0</v>
      </c>
      <c r="CV6" s="28">
        <f t="shared" si="4"/>
        <v>0</v>
      </c>
      <c r="CW6" s="28">
        <f t="shared" si="4"/>
        <v>0</v>
      </c>
      <c r="CX6" s="28">
        <f t="shared" si="4"/>
        <v>0</v>
      </c>
      <c r="CY6" s="28">
        <f t="shared" si="4"/>
        <v>0</v>
      </c>
      <c r="CZ6" s="28">
        <f t="shared" si="4"/>
        <v>0</v>
      </c>
      <c r="DA6" s="28">
        <f t="shared" si="4"/>
        <v>0</v>
      </c>
      <c r="DB6" s="28">
        <f t="shared" si="4"/>
        <v>0</v>
      </c>
      <c r="DC6" s="28">
        <f t="shared" si="4"/>
        <v>0</v>
      </c>
      <c r="DD6" s="28">
        <f t="shared" si="4"/>
        <v>0</v>
      </c>
      <c r="DE6" s="28">
        <f t="shared" si="4"/>
        <v>0</v>
      </c>
      <c r="DF6" s="29">
        <f t="shared" si="4"/>
        <v>0</v>
      </c>
      <c r="DG6" s="30">
        <f t="shared" si="17"/>
        <v>0</v>
      </c>
      <c r="DI6" s="27">
        <f t="shared" si="18"/>
        <v>0</v>
      </c>
      <c r="DJ6" s="28">
        <f t="shared" si="5"/>
        <v>0</v>
      </c>
      <c r="DK6" s="28">
        <f t="shared" si="5"/>
        <v>0</v>
      </c>
      <c r="DL6" s="28">
        <f t="shared" si="5"/>
        <v>0</v>
      </c>
      <c r="DM6" s="28">
        <f t="shared" si="5"/>
        <v>0</v>
      </c>
      <c r="DN6" s="28">
        <f t="shared" si="5"/>
        <v>0</v>
      </c>
      <c r="DO6" s="28">
        <f t="shared" si="5"/>
        <v>0</v>
      </c>
      <c r="DP6" s="28">
        <f t="shared" si="5"/>
        <v>0</v>
      </c>
      <c r="DQ6" s="28">
        <f t="shared" si="5"/>
        <v>0</v>
      </c>
      <c r="DR6" s="28">
        <f t="shared" si="5"/>
        <v>0</v>
      </c>
      <c r="DS6" s="28">
        <f t="shared" si="5"/>
        <v>0</v>
      </c>
      <c r="DT6" s="29">
        <f t="shared" si="5"/>
        <v>0</v>
      </c>
      <c r="DU6" s="30">
        <f t="shared" si="19"/>
        <v>0</v>
      </c>
    </row>
    <row r="7" spans="1:125" x14ac:dyDescent="0.2">
      <c r="A7">
        <f t="shared" si="6"/>
        <v>20</v>
      </c>
      <c r="B7" s="49" t="str">
        <f>_xlfn.XLOOKUP(E7,Códigos_Propuestas!$B$4:$B$10,Códigos_Propuestas!$C$4:$C$10,"!",0,1)&amp;"__"&amp;
_xlfn.XLOOKUP(H7,Códigos_Propuestas!$E$4:$E$76,Códigos_Propuestas!$F$4:$F$76,"!",1)&amp;"__"&amp;
_xlfn.XLOOKUP(L7,Códigos_Propuestas!$I$4:$I$7,Códigos_Propuestas!$J$4:$J$7,"!",1)&amp;"__"&amp;
_xlfn.XLOOKUP(M7,Códigos_Propuestas!$O$4:$O$11,Códigos_Propuestas!$Q$4:$Q$11,"!",1)&amp;"__"&amp;
_xlfn.XLOOKUP(F7,Códigos_Propuestas!$BF:$BF,Códigos_Propuestas!$BH:$BH,"!",0,1)</f>
        <v>USA__BRR__OP__!__027</v>
      </c>
      <c r="C7" t="b">
        <f>F7=[1]CRM!C6</f>
        <v>1</v>
      </c>
      <c r="D7" s="47">
        <f t="shared" si="20"/>
        <v>5</v>
      </c>
      <c r="E7" s="11" t="s">
        <v>136</v>
      </c>
      <c r="F7" s="12" t="s">
        <v>238</v>
      </c>
      <c r="G7" s="12" t="s">
        <v>238</v>
      </c>
      <c r="H7" s="13" t="s">
        <v>325</v>
      </c>
      <c r="I7" s="13" t="s">
        <v>521</v>
      </c>
      <c r="J7" s="13" t="s">
        <v>122</v>
      </c>
      <c r="K7" s="17" t="s">
        <v>44</v>
      </c>
      <c r="L7" s="13" t="s">
        <v>92</v>
      </c>
      <c r="M7" s="14"/>
      <c r="N7" s="14" t="str">
        <f>_xlfn.XLOOKUP(M7,Códigos_Propuestas!$O$4:$O$15,Códigos_Propuestas!$P$4:$P$15,"!",0,1)</f>
        <v>R+</v>
      </c>
      <c r="O7" s="14"/>
      <c r="P7" s="14"/>
      <c r="Q7" s="14"/>
      <c r="R7" s="14"/>
      <c r="S7" s="14"/>
      <c r="T7" s="14"/>
      <c r="U7" s="14"/>
      <c r="V7" s="13"/>
      <c r="W7" s="115"/>
      <c r="X7" s="116">
        <f t="shared" ca="1" si="7"/>
        <v>0</v>
      </c>
      <c r="Y7" s="13" t="str">
        <f t="shared" ca="1" si="8"/>
        <v/>
      </c>
      <c r="Z7" s="13"/>
      <c r="AA7" s="115"/>
      <c r="AB7" s="130" t="b">
        <v>0</v>
      </c>
      <c r="AC7" s="115"/>
      <c r="AD7" s="130" t="b">
        <v>0</v>
      </c>
      <c r="AE7" s="115"/>
      <c r="AF7" s="130" t="b">
        <v>0</v>
      </c>
      <c r="AG7" s="13"/>
      <c r="AH7" s="13"/>
      <c r="AI7" s="130" t="b">
        <v>0</v>
      </c>
      <c r="AJ7" s="13"/>
      <c r="AK7" s="130" t="b">
        <v>0</v>
      </c>
      <c r="AL7" s="13"/>
      <c r="AM7" s="130" t="b">
        <v>0</v>
      </c>
      <c r="AN7" s="13"/>
      <c r="AO7" s="130" t="b">
        <v>0</v>
      </c>
      <c r="AP7" s="13"/>
      <c r="AQ7" s="13"/>
      <c r="AR7" s="130" t="b">
        <v>0</v>
      </c>
      <c r="AS7" s="130" t="b">
        <v>0</v>
      </c>
      <c r="AT7" s="130" t="b">
        <v>0</v>
      </c>
      <c r="AU7" s="130" t="b">
        <v>0</v>
      </c>
      <c r="AV7" s="130" t="b">
        <v>0</v>
      </c>
      <c r="AW7" s="11"/>
      <c r="AX7" s="11"/>
      <c r="AY7" s="11"/>
      <c r="AZ7" s="11"/>
      <c r="BA7" s="11"/>
      <c r="BB7" s="28"/>
      <c r="BC7" s="97">
        <v>75000</v>
      </c>
      <c r="BD7" s="97">
        <f>BC7*0.21</f>
        <v>15750</v>
      </c>
      <c r="BE7" s="13">
        <v>3</v>
      </c>
      <c r="BF7" s="134">
        <f>_xlfn.XLOOKUP($J7,'Criterios GoGet'!$B$3:$B$8,'Criterios GoGet'!$C$3:$C$8,0,0,1)</f>
        <v>1</v>
      </c>
      <c r="BG7" s="134">
        <v>1</v>
      </c>
      <c r="BH7" s="15">
        <f t="shared" si="9"/>
        <v>1</v>
      </c>
      <c r="BI7" s="18"/>
      <c r="BJ7" s="18">
        <v>46008</v>
      </c>
      <c r="BK7" s="140">
        <v>46035</v>
      </c>
      <c r="BL7" s="19">
        <f t="shared" si="0"/>
        <v>75000</v>
      </c>
      <c r="BM7" s="19">
        <f t="shared" si="10"/>
        <v>15750</v>
      </c>
      <c r="BN7" s="20">
        <f t="shared" si="11"/>
        <v>46082</v>
      </c>
      <c r="BO7" s="21">
        <f t="shared" si="12"/>
        <v>46143</v>
      </c>
      <c r="BP7" s="111">
        <f t="shared" si="1"/>
        <v>46082</v>
      </c>
      <c r="BQ7" s="112">
        <f t="shared" si="1"/>
        <v>46143</v>
      </c>
      <c r="BS7" s="28">
        <f t="shared" si="2"/>
        <v>0</v>
      </c>
      <c r="BT7" s="28">
        <f t="shared" si="2"/>
        <v>0</v>
      </c>
      <c r="BU7" s="28">
        <f t="shared" si="2"/>
        <v>25000</v>
      </c>
      <c r="BV7" s="28">
        <f t="shared" si="2"/>
        <v>25000</v>
      </c>
      <c r="BW7" s="28">
        <f t="shared" si="2"/>
        <v>25000</v>
      </c>
      <c r="BX7" s="28">
        <f t="shared" si="2"/>
        <v>0</v>
      </c>
      <c r="BY7" s="28">
        <f t="shared" si="2"/>
        <v>0</v>
      </c>
      <c r="BZ7" s="28">
        <f t="shared" si="2"/>
        <v>0</v>
      </c>
      <c r="CA7" s="28">
        <f t="shared" si="2"/>
        <v>0</v>
      </c>
      <c r="CB7" s="28">
        <f t="shared" si="2"/>
        <v>0</v>
      </c>
      <c r="CC7" s="28">
        <f t="shared" si="2"/>
        <v>0</v>
      </c>
      <c r="CD7" s="28">
        <f t="shared" si="2"/>
        <v>0</v>
      </c>
      <c r="CE7" s="30">
        <f t="shared" si="13"/>
        <v>75000</v>
      </c>
      <c r="CG7" s="27">
        <f t="shared" si="14"/>
        <v>0</v>
      </c>
      <c r="CH7" s="28">
        <f t="shared" si="3"/>
        <v>0</v>
      </c>
      <c r="CI7" s="28">
        <f t="shared" si="3"/>
        <v>25000</v>
      </c>
      <c r="CJ7" s="28">
        <f t="shared" si="3"/>
        <v>25000</v>
      </c>
      <c r="CK7" s="28">
        <f t="shared" si="3"/>
        <v>25000</v>
      </c>
      <c r="CL7" s="28">
        <f t="shared" si="3"/>
        <v>0</v>
      </c>
      <c r="CM7" s="28">
        <f t="shared" si="3"/>
        <v>0</v>
      </c>
      <c r="CN7" s="28">
        <f t="shared" si="3"/>
        <v>0</v>
      </c>
      <c r="CO7" s="28">
        <f t="shared" si="3"/>
        <v>0</v>
      </c>
      <c r="CP7" s="28">
        <f t="shared" si="3"/>
        <v>0</v>
      </c>
      <c r="CQ7" s="28">
        <f t="shared" si="3"/>
        <v>0</v>
      </c>
      <c r="CR7" s="29">
        <f t="shared" si="3"/>
        <v>0</v>
      </c>
      <c r="CS7" s="30">
        <f t="shared" si="15"/>
        <v>75000</v>
      </c>
      <c r="CU7" s="27">
        <f t="shared" si="16"/>
        <v>0</v>
      </c>
      <c r="CV7" s="28">
        <f t="shared" si="4"/>
        <v>0</v>
      </c>
      <c r="CW7" s="28">
        <f t="shared" si="4"/>
        <v>5250</v>
      </c>
      <c r="CX7" s="28">
        <f t="shared" si="4"/>
        <v>5250</v>
      </c>
      <c r="CY7" s="28">
        <f t="shared" si="4"/>
        <v>5250</v>
      </c>
      <c r="CZ7" s="28">
        <f t="shared" si="4"/>
        <v>0</v>
      </c>
      <c r="DA7" s="28">
        <f t="shared" si="4"/>
        <v>0</v>
      </c>
      <c r="DB7" s="28">
        <f t="shared" si="4"/>
        <v>0</v>
      </c>
      <c r="DC7" s="28">
        <f t="shared" si="4"/>
        <v>0</v>
      </c>
      <c r="DD7" s="28">
        <f t="shared" si="4"/>
        <v>0</v>
      </c>
      <c r="DE7" s="28">
        <f t="shared" si="4"/>
        <v>0</v>
      </c>
      <c r="DF7" s="29">
        <f t="shared" si="4"/>
        <v>0</v>
      </c>
      <c r="DG7" s="30">
        <f t="shared" si="17"/>
        <v>15750</v>
      </c>
      <c r="DI7" s="27">
        <f t="shared" si="18"/>
        <v>0</v>
      </c>
      <c r="DJ7" s="28">
        <f t="shared" si="5"/>
        <v>0</v>
      </c>
      <c r="DK7" s="28">
        <f t="shared" si="5"/>
        <v>5250</v>
      </c>
      <c r="DL7" s="28">
        <f t="shared" si="5"/>
        <v>5250</v>
      </c>
      <c r="DM7" s="28">
        <f t="shared" si="5"/>
        <v>5250</v>
      </c>
      <c r="DN7" s="28">
        <f t="shared" si="5"/>
        <v>0</v>
      </c>
      <c r="DO7" s="28">
        <f t="shared" si="5"/>
        <v>0</v>
      </c>
      <c r="DP7" s="28">
        <f t="shared" si="5"/>
        <v>0</v>
      </c>
      <c r="DQ7" s="28">
        <f t="shared" si="5"/>
        <v>0</v>
      </c>
      <c r="DR7" s="28">
        <f t="shared" si="5"/>
        <v>0</v>
      </c>
      <c r="DS7" s="28">
        <f t="shared" si="5"/>
        <v>0</v>
      </c>
      <c r="DT7" s="29">
        <f t="shared" si="5"/>
        <v>0</v>
      </c>
      <c r="DU7" s="30">
        <f t="shared" si="19"/>
        <v>15750</v>
      </c>
    </row>
    <row r="8" spans="1:125" x14ac:dyDescent="0.2">
      <c r="A8">
        <f t="shared" si="6"/>
        <v>19</v>
      </c>
      <c r="B8" s="49" t="str">
        <f>_xlfn.XLOOKUP(E8,Códigos_Propuestas!$B$4:$B$10,Códigos_Propuestas!$C$4:$C$10,"!",0,1)&amp;"__"&amp;
_xlfn.XLOOKUP(H8,Códigos_Propuestas!$E$4:$E$76,Códigos_Propuestas!$F$4:$F$76,"!",1)&amp;"__"&amp;
_xlfn.XLOOKUP(L8,Códigos_Propuestas!$I$4:$I$7,Códigos_Propuestas!$J$4:$J$7,"!",1)&amp;"__"&amp;
_xlfn.XLOOKUP(M8,Códigos_Propuestas!$O$4:$O$11,Códigos_Propuestas!$Q$4:$Q$11,"!",1)&amp;"__"&amp;
_xlfn.XLOOKUP(F8,Códigos_Propuestas!$BF:$BF,Códigos_Propuestas!$BH:$BH,"!",0,1)</f>
        <v>BR__CBM__OP__!__012</v>
      </c>
      <c r="C8" t="b">
        <f>F8=[1]CRM!C7</f>
        <v>1</v>
      </c>
      <c r="D8" s="47">
        <f t="shared" si="20"/>
        <v>6</v>
      </c>
      <c r="E8" s="11" t="s">
        <v>88</v>
      </c>
      <c r="F8" s="12" t="s">
        <v>192</v>
      </c>
      <c r="G8" s="12" t="s">
        <v>192</v>
      </c>
      <c r="H8" s="13" t="s">
        <v>307</v>
      </c>
      <c r="I8" s="13"/>
      <c r="J8" s="13" t="s">
        <v>97</v>
      </c>
      <c r="K8" s="17" t="s">
        <v>98</v>
      </c>
      <c r="L8" s="13" t="s">
        <v>92</v>
      </c>
      <c r="M8" s="14"/>
      <c r="N8" s="14" t="str">
        <f>_xlfn.XLOOKUP(M8,Códigos_Propuestas!$O$4:$O$15,Códigos_Propuestas!$P$4:$P$15,"!",0,1)</f>
        <v>R+</v>
      </c>
      <c r="O8" s="14"/>
      <c r="P8" s="14"/>
      <c r="Q8" s="14"/>
      <c r="R8" s="14"/>
      <c r="S8" s="14"/>
      <c r="T8" s="14"/>
      <c r="U8" s="14"/>
      <c r="V8" s="13"/>
      <c r="W8" s="115"/>
      <c r="X8" s="116">
        <f t="shared" ca="1" si="7"/>
        <v>0</v>
      </c>
      <c r="Y8" s="13" t="str">
        <f t="shared" ca="1" si="8"/>
        <v/>
      </c>
      <c r="Z8" s="13"/>
      <c r="AA8" s="115"/>
      <c r="AB8" s="130" t="b">
        <v>0</v>
      </c>
      <c r="AC8" s="115"/>
      <c r="AD8" s="130" t="b">
        <v>0</v>
      </c>
      <c r="AE8" s="115"/>
      <c r="AF8" s="130" t="b">
        <v>0</v>
      </c>
      <c r="AG8" s="13"/>
      <c r="AH8" s="13"/>
      <c r="AI8" s="130" t="b">
        <v>0</v>
      </c>
      <c r="AJ8" s="13"/>
      <c r="AK8" s="130" t="b">
        <v>0</v>
      </c>
      <c r="AL8" s="13"/>
      <c r="AM8" s="130" t="b">
        <v>0</v>
      </c>
      <c r="AN8" s="13"/>
      <c r="AO8" s="130" t="b">
        <v>0</v>
      </c>
      <c r="AP8" s="13"/>
      <c r="AQ8" s="13"/>
      <c r="AR8" s="130" t="b">
        <v>0</v>
      </c>
      <c r="AS8" s="130" t="b">
        <v>0</v>
      </c>
      <c r="AT8" s="130" t="b">
        <v>0</v>
      </c>
      <c r="AU8" s="130" t="b">
        <v>0</v>
      </c>
      <c r="AV8" s="130" t="b">
        <v>0</v>
      </c>
      <c r="AW8" s="11"/>
      <c r="AX8" s="11"/>
      <c r="AY8" s="11"/>
      <c r="AZ8" s="11"/>
      <c r="BA8" s="11"/>
      <c r="BB8" s="28"/>
      <c r="BC8" s="97">
        <v>90000</v>
      </c>
      <c r="BD8" s="97"/>
      <c r="BE8" s="13">
        <v>3</v>
      </c>
      <c r="BF8" s="134">
        <f>_xlfn.XLOOKUP($J8,'Criterios GoGet'!$B$3:$B$8,'Criterios GoGet'!$C$3:$C$8,0,0,1)</f>
        <v>0.8</v>
      </c>
      <c r="BG8" s="134"/>
      <c r="BH8" s="15">
        <f t="shared" si="9"/>
        <v>0</v>
      </c>
      <c r="BI8" s="18"/>
      <c r="BJ8" s="18">
        <v>45979</v>
      </c>
      <c r="BK8" s="16"/>
      <c r="BL8" s="19">
        <f t="shared" si="0"/>
        <v>0</v>
      </c>
      <c r="BM8" s="19">
        <f t="shared" si="10"/>
        <v>0</v>
      </c>
      <c r="BN8" s="20">
        <f t="shared" si="11"/>
        <v>32</v>
      </c>
      <c r="BO8" s="21">
        <f t="shared" si="12"/>
        <v>92</v>
      </c>
      <c r="BP8" s="111">
        <f t="shared" si="1"/>
        <v>32</v>
      </c>
      <c r="BQ8" s="112">
        <f t="shared" si="1"/>
        <v>92</v>
      </c>
      <c r="BS8" s="28">
        <f t="shared" si="2"/>
        <v>0</v>
      </c>
      <c r="BT8" s="28">
        <f t="shared" si="2"/>
        <v>0</v>
      </c>
      <c r="BU8" s="28">
        <f t="shared" si="2"/>
        <v>0</v>
      </c>
      <c r="BV8" s="28">
        <f t="shared" si="2"/>
        <v>0</v>
      </c>
      <c r="BW8" s="28">
        <f t="shared" si="2"/>
        <v>0</v>
      </c>
      <c r="BX8" s="28">
        <f t="shared" si="2"/>
        <v>0</v>
      </c>
      <c r="BY8" s="28">
        <f t="shared" si="2"/>
        <v>0</v>
      </c>
      <c r="BZ8" s="28">
        <f t="shared" si="2"/>
        <v>0</v>
      </c>
      <c r="CA8" s="28">
        <f t="shared" si="2"/>
        <v>0</v>
      </c>
      <c r="CB8" s="28">
        <f t="shared" si="2"/>
        <v>0</v>
      </c>
      <c r="CC8" s="28">
        <f t="shared" si="2"/>
        <v>0</v>
      </c>
      <c r="CD8" s="28">
        <f t="shared" si="2"/>
        <v>0</v>
      </c>
      <c r="CE8" s="30">
        <f t="shared" si="13"/>
        <v>0</v>
      </c>
      <c r="CG8" s="27">
        <f t="shared" si="14"/>
        <v>0</v>
      </c>
      <c r="CH8" s="28">
        <f t="shared" si="3"/>
        <v>0</v>
      </c>
      <c r="CI8" s="28">
        <f t="shared" si="3"/>
        <v>0</v>
      </c>
      <c r="CJ8" s="28">
        <f t="shared" si="3"/>
        <v>0</v>
      </c>
      <c r="CK8" s="28">
        <f t="shared" si="3"/>
        <v>0</v>
      </c>
      <c r="CL8" s="28">
        <f t="shared" si="3"/>
        <v>0</v>
      </c>
      <c r="CM8" s="28">
        <f t="shared" si="3"/>
        <v>0</v>
      </c>
      <c r="CN8" s="28">
        <f t="shared" si="3"/>
        <v>0</v>
      </c>
      <c r="CO8" s="28">
        <f t="shared" si="3"/>
        <v>0</v>
      </c>
      <c r="CP8" s="28">
        <f t="shared" si="3"/>
        <v>0</v>
      </c>
      <c r="CQ8" s="28">
        <f t="shared" si="3"/>
        <v>0</v>
      </c>
      <c r="CR8" s="29">
        <f t="shared" si="3"/>
        <v>0</v>
      </c>
      <c r="CS8" s="30">
        <f t="shared" si="15"/>
        <v>0</v>
      </c>
      <c r="CU8" s="27">
        <f t="shared" si="16"/>
        <v>0</v>
      </c>
      <c r="CV8" s="28">
        <f t="shared" si="4"/>
        <v>0</v>
      </c>
      <c r="CW8" s="28">
        <f t="shared" si="4"/>
        <v>0</v>
      </c>
      <c r="CX8" s="28">
        <f t="shared" si="4"/>
        <v>0</v>
      </c>
      <c r="CY8" s="28">
        <f t="shared" si="4"/>
        <v>0</v>
      </c>
      <c r="CZ8" s="28">
        <f t="shared" si="4"/>
        <v>0</v>
      </c>
      <c r="DA8" s="28">
        <f t="shared" si="4"/>
        <v>0</v>
      </c>
      <c r="DB8" s="28">
        <f t="shared" si="4"/>
        <v>0</v>
      </c>
      <c r="DC8" s="28">
        <f t="shared" si="4"/>
        <v>0</v>
      </c>
      <c r="DD8" s="28">
        <f t="shared" si="4"/>
        <v>0</v>
      </c>
      <c r="DE8" s="28">
        <f t="shared" si="4"/>
        <v>0</v>
      </c>
      <c r="DF8" s="29">
        <f t="shared" si="4"/>
        <v>0</v>
      </c>
      <c r="DG8" s="30">
        <f t="shared" si="17"/>
        <v>0</v>
      </c>
      <c r="DI8" s="27">
        <f t="shared" si="18"/>
        <v>0</v>
      </c>
      <c r="DJ8" s="28">
        <f t="shared" si="5"/>
        <v>0</v>
      </c>
      <c r="DK8" s="28">
        <f t="shared" si="5"/>
        <v>0</v>
      </c>
      <c r="DL8" s="28">
        <f t="shared" si="5"/>
        <v>0</v>
      </c>
      <c r="DM8" s="28">
        <f t="shared" si="5"/>
        <v>0</v>
      </c>
      <c r="DN8" s="28">
        <f t="shared" si="5"/>
        <v>0</v>
      </c>
      <c r="DO8" s="28">
        <f t="shared" si="5"/>
        <v>0</v>
      </c>
      <c r="DP8" s="28">
        <f t="shared" si="5"/>
        <v>0</v>
      </c>
      <c r="DQ8" s="28">
        <f t="shared" si="5"/>
        <v>0</v>
      </c>
      <c r="DR8" s="28">
        <f t="shared" si="5"/>
        <v>0</v>
      </c>
      <c r="DS8" s="28">
        <f t="shared" si="5"/>
        <v>0</v>
      </c>
      <c r="DT8" s="29">
        <f t="shared" si="5"/>
        <v>0</v>
      </c>
      <c r="DU8" s="30">
        <f t="shared" si="19"/>
        <v>0</v>
      </c>
    </row>
    <row r="9" spans="1:125" x14ac:dyDescent="0.2">
      <c r="A9">
        <f t="shared" si="6"/>
        <v>19</v>
      </c>
      <c r="B9" s="49" t="str">
        <f>_xlfn.XLOOKUP(E9,Códigos_Propuestas!$B$4:$B$10,Códigos_Propuestas!$C$4:$C$10,"!",0,1)&amp;"__"&amp;
_xlfn.XLOOKUP(H9,Códigos_Propuestas!$E$4:$E$76,Códigos_Propuestas!$F$4:$F$76,"!",1)&amp;"__"&amp;
_xlfn.XLOOKUP(L9,Códigos_Propuestas!$I$4:$I$7,Códigos_Propuestas!$J$4:$J$7,"!",1)&amp;"__"&amp;
_xlfn.XLOOKUP(M9,Códigos_Propuestas!$O$4:$O$11,Códigos_Propuestas!$Q$4:$Q$11,"!",1)&amp;"__"&amp;
_xlfn.XLOOKUP(F9,Códigos_Propuestas!$BF:$BF,Códigos_Propuestas!$BH:$BH,"!",0,1)</f>
        <v>BR__JAG__UG__!__014</v>
      </c>
      <c r="C9" t="b">
        <f>F9=[1]CRM!C8</f>
        <v>1</v>
      </c>
      <c r="D9" s="47">
        <f t="shared" si="20"/>
        <v>7</v>
      </c>
      <c r="E9" s="11" t="s">
        <v>88</v>
      </c>
      <c r="F9" s="12" t="s">
        <v>201</v>
      </c>
      <c r="G9" s="12" t="s">
        <v>201</v>
      </c>
      <c r="H9" s="13" t="s">
        <v>329</v>
      </c>
      <c r="I9" s="13"/>
      <c r="J9" s="13" t="s">
        <v>97</v>
      </c>
      <c r="K9" s="17" t="s">
        <v>72</v>
      </c>
      <c r="L9" s="13" t="s">
        <v>65</v>
      </c>
      <c r="M9" s="14"/>
      <c r="N9" s="14" t="str">
        <f>_xlfn.XLOOKUP(M9,Códigos_Propuestas!$O$4:$O$15,Códigos_Propuestas!$P$4:$P$15,"!",0,1)</f>
        <v>R+</v>
      </c>
      <c r="O9" s="14"/>
      <c r="P9" s="14"/>
      <c r="Q9" s="14"/>
      <c r="R9" s="14"/>
      <c r="S9" s="14"/>
      <c r="T9" s="14"/>
      <c r="U9" s="14"/>
      <c r="V9" s="13"/>
      <c r="W9" s="115"/>
      <c r="X9" s="116">
        <f t="shared" ca="1" si="7"/>
        <v>0</v>
      </c>
      <c r="Y9" s="13" t="str">
        <f t="shared" ca="1" si="8"/>
        <v/>
      </c>
      <c r="Z9" s="13"/>
      <c r="AA9" s="115"/>
      <c r="AB9" s="130" t="b">
        <v>0</v>
      </c>
      <c r="AC9" s="115"/>
      <c r="AD9" s="130" t="b">
        <v>0</v>
      </c>
      <c r="AE9" s="115"/>
      <c r="AF9" s="130" t="b">
        <v>0</v>
      </c>
      <c r="AG9" s="13"/>
      <c r="AH9" s="13"/>
      <c r="AI9" s="130" t="b">
        <v>0</v>
      </c>
      <c r="AJ9" s="13"/>
      <c r="AK9" s="130" t="b">
        <v>0</v>
      </c>
      <c r="AL9" s="13"/>
      <c r="AM9" s="130" t="b">
        <v>0</v>
      </c>
      <c r="AN9" s="13"/>
      <c r="AO9" s="130" t="b">
        <v>0</v>
      </c>
      <c r="AP9" s="13"/>
      <c r="AQ9" s="13"/>
      <c r="AR9" s="130" t="b">
        <v>0</v>
      </c>
      <c r="AS9" s="130" t="b">
        <v>0</v>
      </c>
      <c r="AT9" s="130" t="b">
        <v>0</v>
      </c>
      <c r="AU9" s="130" t="b">
        <v>0</v>
      </c>
      <c r="AV9" s="130" t="b">
        <v>0</v>
      </c>
      <c r="AW9" s="11"/>
      <c r="AX9" s="11"/>
      <c r="AY9" s="11"/>
      <c r="AZ9" s="11"/>
      <c r="BA9" s="11"/>
      <c r="BB9" s="28"/>
      <c r="BC9" s="97">
        <v>303000</v>
      </c>
      <c r="BD9" s="97"/>
      <c r="BE9" s="13">
        <v>4</v>
      </c>
      <c r="BF9" s="134">
        <f>_xlfn.XLOOKUP($J9,'Criterios GoGet'!$B$3:$B$8,'Criterios GoGet'!$C$3:$C$8,0,0,1)</f>
        <v>0.8</v>
      </c>
      <c r="BG9" s="134"/>
      <c r="BH9" s="15">
        <f t="shared" si="9"/>
        <v>0</v>
      </c>
      <c r="BI9" s="18"/>
      <c r="BJ9" s="18">
        <v>45986</v>
      </c>
      <c r="BK9" s="16"/>
      <c r="BL9" s="19">
        <f t="shared" si="0"/>
        <v>0</v>
      </c>
      <c r="BM9" s="19">
        <f t="shared" si="10"/>
        <v>0</v>
      </c>
      <c r="BN9" s="20">
        <f t="shared" si="11"/>
        <v>32</v>
      </c>
      <c r="BO9" s="21">
        <f t="shared" si="12"/>
        <v>122</v>
      </c>
      <c r="BP9" s="111">
        <f t="shared" si="1"/>
        <v>32</v>
      </c>
      <c r="BQ9" s="112">
        <f t="shared" si="1"/>
        <v>122</v>
      </c>
      <c r="BS9" s="28">
        <f t="shared" si="2"/>
        <v>0</v>
      </c>
      <c r="BT9" s="28">
        <f t="shared" si="2"/>
        <v>0</v>
      </c>
      <c r="BU9" s="28">
        <f t="shared" si="2"/>
        <v>0</v>
      </c>
      <c r="BV9" s="28">
        <f t="shared" si="2"/>
        <v>0</v>
      </c>
      <c r="BW9" s="28">
        <f t="shared" si="2"/>
        <v>0</v>
      </c>
      <c r="BX9" s="28">
        <f t="shared" si="2"/>
        <v>0</v>
      </c>
      <c r="BY9" s="28">
        <f t="shared" si="2"/>
        <v>0</v>
      </c>
      <c r="BZ9" s="28">
        <f t="shared" si="2"/>
        <v>0</v>
      </c>
      <c r="CA9" s="28">
        <f t="shared" si="2"/>
        <v>0</v>
      </c>
      <c r="CB9" s="28">
        <f t="shared" si="2"/>
        <v>0</v>
      </c>
      <c r="CC9" s="28">
        <f t="shared" si="2"/>
        <v>0</v>
      </c>
      <c r="CD9" s="28">
        <f t="shared" si="2"/>
        <v>0</v>
      </c>
      <c r="CE9" s="30">
        <f t="shared" si="13"/>
        <v>0</v>
      </c>
      <c r="CG9" s="27">
        <f t="shared" si="14"/>
        <v>0</v>
      </c>
      <c r="CH9" s="28">
        <f t="shared" si="3"/>
        <v>0</v>
      </c>
      <c r="CI9" s="28">
        <f t="shared" si="3"/>
        <v>0</v>
      </c>
      <c r="CJ9" s="28">
        <f t="shared" si="3"/>
        <v>0</v>
      </c>
      <c r="CK9" s="28">
        <f t="shared" si="3"/>
        <v>0</v>
      </c>
      <c r="CL9" s="28">
        <f t="shared" si="3"/>
        <v>0</v>
      </c>
      <c r="CM9" s="28">
        <f t="shared" si="3"/>
        <v>0</v>
      </c>
      <c r="CN9" s="28">
        <f t="shared" si="3"/>
        <v>0</v>
      </c>
      <c r="CO9" s="28">
        <f t="shared" si="3"/>
        <v>0</v>
      </c>
      <c r="CP9" s="28">
        <f t="shared" si="3"/>
        <v>0</v>
      </c>
      <c r="CQ9" s="28">
        <f t="shared" si="3"/>
        <v>0</v>
      </c>
      <c r="CR9" s="29">
        <f t="shared" si="3"/>
        <v>0</v>
      </c>
      <c r="CS9" s="30">
        <f t="shared" si="15"/>
        <v>0</v>
      </c>
      <c r="CU9" s="27">
        <f t="shared" si="16"/>
        <v>0</v>
      </c>
      <c r="CV9" s="28">
        <f t="shared" si="4"/>
        <v>0</v>
      </c>
      <c r="CW9" s="28">
        <f t="shared" si="4"/>
        <v>0</v>
      </c>
      <c r="CX9" s="28">
        <f t="shared" si="4"/>
        <v>0</v>
      </c>
      <c r="CY9" s="28">
        <f t="shared" si="4"/>
        <v>0</v>
      </c>
      <c r="CZ9" s="28">
        <f t="shared" si="4"/>
        <v>0</v>
      </c>
      <c r="DA9" s="28">
        <f t="shared" si="4"/>
        <v>0</v>
      </c>
      <c r="DB9" s="28">
        <f t="shared" si="4"/>
        <v>0</v>
      </c>
      <c r="DC9" s="28">
        <f t="shared" si="4"/>
        <v>0</v>
      </c>
      <c r="DD9" s="28">
        <f t="shared" si="4"/>
        <v>0</v>
      </c>
      <c r="DE9" s="28">
        <f t="shared" si="4"/>
        <v>0</v>
      </c>
      <c r="DF9" s="29">
        <f t="shared" si="4"/>
        <v>0</v>
      </c>
      <c r="DG9" s="30">
        <f t="shared" si="17"/>
        <v>0</v>
      </c>
      <c r="DI9" s="27">
        <f t="shared" si="18"/>
        <v>0</v>
      </c>
      <c r="DJ9" s="28">
        <f t="shared" si="5"/>
        <v>0</v>
      </c>
      <c r="DK9" s="28">
        <f t="shared" si="5"/>
        <v>0</v>
      </c>
      <c r="DL9" s="28">
        <f t="shared" si="5"/>
        <v>0</v>
      </c>
      <c r="DM9" s="28">
        <f t="shared" si="5"/>
        <v>0</v>
      </c>
      <c r="DN9" s="28">
        <f t="shared" si="5"/>
        <v>0</v>
      </c>
      <c r="DO9" s="28">
        <f t="shared" si="5"/>
        <v>0</v>
      </c>
      <c r="DP9" s="28">
        <f t="shared" si="5"/>
        <v>0</v>
      </c>
      <c r="DQ9" s="28">
        <f t="shared" si="5"/>
        <v>0</v>
      </c>
      <c r="DR9" s="28">
        <f t="shared" si="5"/>
        <v>0</v>
      </c>
      <c r="DS9" s="28">
        <f t="shared" si="5"/>
        <v>0</v>
      </c>
      <c r="DT9" s="29">
        <f t="shared" si="5"/>
        <v>0</v>
      </c>
      <c r="DU9" s="30">
        <f t="shared" si="19"/>
        <v>0</v>
      </c>
    </row>
    <row r="10" spans="1:125" x14ac:dyDescent="0.2">
      <c r="A10">
        <f t="shared" si="6"/>
        <v>17</v>
      </c>
      <c r="B10" s="49" t="str">
        <f>_xlfn.XLOOKUP(E10,Códigos_Propuestas!$B$4:$B$10,Códigos_Propuestas!$C$4:$C$10,"!",0,1)&amp;"__"&amp;
_xlfn.XLOOKUP(H10,Códigos_Propuestas!$E$4:$E$76,Códigos_Propuestas!$F$4:$F$76,"!",1)&amp;"__"&amp;
_xlfn.XLOOKUP(L10,Códigos_Propuestas!$I$4:$I$7,Códigos_Propuestas!$J$4:$J$7,"!",1)&amp;"__"&amp;
_xlfn.XLOOKUP(M10,Códigos_Propuestas!$O$4:$O$11,Códigos_Propuestas!$Q$4:$Q$11,"!",1)&amp;"__"&amp;
_xlfn.XLOOKUP(F10,Códigos_Propuestas!$BF:$BF,Códigos_Propuestas!$BH:$BH,"!",0,1)</f>
        <v>CH__CAP__OU__!__!</v>
      </c>
      <c r="C10" t="b">
        <f>F10=[1]CRM!C9</f>
        <v>1</v>
      </c>
      <c r="D10" s="47">
        <f t="shared" si="20"/>
        <v>8</v>
      </c>
      <c r="E10" s="11" t="s">
        <v>32</v>
      </c>
      <c r="F10" s="12" t="s">
        <v>522</v>
      </c>
      <c r="G10" s="12" t="s">
        <v>522</v>
      </c>
      <c r="H10" s="13" t="s">
        <v>319</v>
      </c>
      <c r="I10" s="13" t="s">
        <v>523</v>
      </c>
      <c r="J10" s="13" t="s">
        <v>97</v>
      </c>
      <c r="K10" s="17" t="s">
        <v>72</v>
      </c>
      <c r="L10" s="13" t="s">
        <v>116</v>
      </c>
      <c r="M10" s="14"/>
      <c r="N10" s="14" t="str">
        <f>_xlfn.XLOOKUP(M10,Códigos_Propuestas!$O$4:$O$15,Códigos_Propuestas!$P$4:$P$15,"!",0,1)</f>
        <v>R+</v>
      </c>
      <c r="O10" s="14"/>
      <c r="P10" s="14"/>
      <c r="Q10" s="14"/>
      <c r="R10" s="14"/>
      <c r="S10" s="14"/>
      <c r="T10" s="14"/>
      <c r="U10" s="14"/>
      <c r="V10" s="13"/>
      <c r="W10" s="115"/>
      <c r="X10" s="116">
        <f t="shared" ca="1" si="7"/>
        <v>0</v>
      </c>
      <c r="Y10" s="13" t="str">
        <f t="shared" ca="1" si="8"/>
        <v/>
      </c>
      <c r="Z10" s="13"/>
      <c r="AA10" s="115"/>
      <c r="AB10" s="130" t="b">
        <v>0</v>
      </c>
      <c r="AC10" s="115"/>
      <c r="AD10" s="130" t="b">
        <v>0</v>
      </c>
      <c r="AE10" s="115"/>
      <c r="AF10" s="130" t="b">
        <v>0</v>
      </c>
      <c r="AG10" s="13"/>
      <c r="AH10" s="13"/>
      <c r="AI10" s="130" t="b">
        <v>0</v>
      </c>
      <c r="AJ10" s="13"/>
      <c r="AK10" s="130" t="b">
        <v>0</v>
      </c>
      <c r="AL10" s="13"/>
      <c r="AM10" s="130" t="b">
        <v>0</v>
      </c>
      <c r="AN10" s="13"/>
      <c r="AO10" s="130" t="b">
        <v>0</v>
      </c>
      <c r="AP10" s="13"/>
      <c r="AQ10" s="13"/>
      <c r="AR10" s="130" t="b">
        <v>0</v>
      </c>
      <c r="AS10" s="130" t="b">
        <v>0</v>
      </c>
      <c r="AT10" s="130" t="b">
        <v>0</v>
      </c>
      <c r="AU10" s="130" t="b">
        <v>0</v>
      </c>
      <c r="AV10" s="130" t="b">
        <v>0</v>
      </c>
      <c r="AW10" s="11"/>
      <c r="AX10" s="11"/>
      <c r="AY10" s="11"/>
      <c r="AZ10" s="11"/>
      <c r="BA10" s="11"/>
      <c r="BB10" s="28"/>
      <c r="BC10" s="97">
        <v>140000</v>
      </c>
      <c r="BD10" s="97"/>
      <c r="BE10" s="13">
        <v>1.5</v>
      </c>
      <c r="BF10" s="134">
        <f>_xlfn.XLOOKUP($J10,'Criterios GoGet'!$B$3:$B$8,'Criterios GoGet'!$C$3:$C$8,0,0,1)</f>
        <v>0.8</v>
      </c>
      <c r="BG10" s="134"/>
      <c r="BH10" s="15">
        <f t="shared" si="9"/>
        <v>0</v>
      </c>
      <c r="BI10" s="18"/>
      <c r="BJ10" s="18">
        <v>45883</v>
      </c>
      <c r="BK10" s="16"/>
      <c r="BL10" s="19">
        <f t="shared" si="0"/>
        <v>0</v>
      </c>
      <c r="BM10" s="19">
        <f t="shared" si="10"/>
        <v>0</v>
      </c>
      <c r="BN10" s="20">
        <f t="shared" si="11"/>
        <v>32</v>
      </c>
      <c r="BO10" s="21">
        <f t="shared" si="12"/>
        <v>32</v>
      </c>
      <c r="BP10" s="111">
        <f t="shared" si="1"/>
        <v>32</v>
      </c>
      <c r="BQ10" s="112">
        <f t="shared" si="1"/>
        <v>32</v>
      </c>
      <c r="BS10" s="28">
        <f t="shared" si="2"/>
        <v>0</v>
      </c>
      <c r="BT10" s="28">
        <f t="shared" si="2"/>
        <v>0</v>
      </c>
      <c r="BU10" s="28">
        <f t="shared" si="2"/>
        <v>0</v>
      </c>
      <c r="BV10" s="28">
        <f t="shared" si="2"/>
        <v>0</v>
      </c>
      <c r="BW10" s="28">
        <f t="shared" si="2"/>
        <v>0</v>
      </c>
      <c r="BX10" s="28">
        <f t="shared" si="2"/>
        <v>0</v>
      </c>
      <c r="BY10" s="28">
        <f t="shared" si="2"/>
        <v>0</v>
      </c>
      <c r="BZ10" s="28">
        <f t="shared" si="2"/>
        <v>0</v>
      </c>
      <c r="CA10" s="28">
        <f t="shared" si="2"/>
        <v>0</v>
      </c>
      <c r="CB10" s="28">
        <f t="shared" si="2"/>
        <v>0</v>
      </c>
      <c r="CC10" s="28">
        <f t="shared" si="2"/>
        <v>0</v>
      </c>
      <c r="CD10" s="28">
        <f t="shared" si="2"/>
        <v>0</v>
      </c>
      <c r="CE10" s="30">
        <f t="shared" si="13"/>
        <v>0</v>
      </c>
      <c r="CG10" s="27">
        <f t="shared" si="14"/>
        <v>0</v>
      </c>
      <c r="CH10" s="28">
        <f t="shared" si="3"/>
        <v>0</v>
      </c>
      <c r="CI10" s="28">
        <f t="shared" si="3"/>
        <v>0</v>
      </c>
      <c r="CJ10" s="28">
        <f t="shared" si="3"/>
        <v>0</v>
      </c>
      <c r="CK10" s="28">
        <f t="shared" si="3"/>
        <v>0</v>
      </c>
      <c r="CL10" s="28">
        <f t="shared" si="3"/>
        <v>0</v>
      </c>
      <c r="CM10" s="28">
        <f t="shared" si="3"/>
        <v>0</v>
      </c>
      <c r="CN10" s="28">
        <f t="shared" si="3"/>
        <v>0</v>
      </c>
      <c r="CO10" s="28">
        <f t="shared" si="3"/>
        <v>0</v>
      </c>
      <c r="CP10" s="28">
        <f t="shared" si="3"/>
        <v>0</v>
      </c>
      <c r="CQ10" s="28">
        <f t="shared" si="3"/>
        <v>0</v>
      </c>
      <c r="CR10" s="29">
        <f t="shared" si="3"/>
        <v>0</v>
      </c>
      <c r="CS10" s="30">
        <f t="shared" si="15"/>
        <v>0</v>
      </c>
      <c r="CU10" s="27">
        <f t="shared" si="16"/>
        <v>0</v>
      </c>
      <c r="CV10" s="28">
        <f t="shared" si="4"/>
        <v>0</v>
      </c>
      <c r="CW10" s="28">
        <f t="shared" si="4"/>
        <v>0</v>
      </c>
      <c r="CX10" s="28">
        <f t="shared" si="4"/>
        <v>0</v>
      </c>
      <c r="CY10" s="28">
        <f t="shared" si="4"/>
        <v>0</v>
      </c>
      <c r="CZ10" s="28">
        <f t="shared" si="4"/>
        <v>0</v>
      </c>
      <c r="DA10" s="28">
        <f t="shared" si="4"/>
        <v>0</v>
      </c>
      <c r="DB10" s="28">
        <f t="shared" si="4"/>
        <v>0</v>
      </c>
      <c r="DC10" s="28">
        <f t="shared" si="4"/>
        <v>0</v>
      </c>
      <c r="DD10" s="28">
        <f t="shared" si="4"/>
        <v>0</v>
      </c>
      <c r="DE10" s="28">
        <f t="shared" si="4"/>
        <v>0</v>
      </c>
      <c r="DF10" s="29">
        <f t="shared" si="4"/>
        <v>0</v>
      </c>
      <c r="DG10" s="30">
        <f t="shared" si="17"/>
        <v>0</v>
      </c>
      <c r="DI10" s="27">
        <f t="shared" si="18"/>
        <v>0</v>
      </c>
      <c r="DJ10" s="28">
        <f t="shared" si="5"/>
        <v>0</v>
      </c>
      <c r="DK10" s="28">
        <f t="shared" si="5"/>
        <v>0</v>
      </c>
      <c r="DL10" s="28">
        <f t="shared" si="5"/>
        <v>0</v>
      </c>
      <c r="DM10" s="28">
        <f t="shared" si="5"/>
        <v>0</v>
      </c>
      <c r="DN10" s="28">
        <f t="shared" si="5"/>
        <v>0</v>
      </c>
      <c r="DO10" s="28">
        <f t="shared" si="5"/>
        <v>0</v>
      </c>
      <c r="DP10" s="28">
        <f t="shared" si="5"/>
        <v>0</v>
      </c>
      <c r="DQ10" s="28">
        <f t="shared" si="5"/>
        <v>0</v>
      </c>
      <c r="DR10" s="28">
        <f t="shared" si="5"/>
        <v>0</v>
      </c>
      <c r="DS10" s="28">
        <f t="shared" si="5"/>
        <v>0</v>
      </c>
      <c r="DT10" s="29">
        <f t="shared" si="5"/>
        <v>0</v>
      </c>
      <c r="DU10" s="30">
        <f t="shared" si="19"/>
        <v>0</v>
      </c>
    </row>
    <row r="11" spans="1:125" x14ac:dyDescent="0.2">
      <c r="A11">
        <f t="shared" si="6"/>
        <v>19</v>
      </c>
      <c r="B11" s="49" t="str">
        <f>_xlfn.XLOOKUP(E11,Códigos_Propuestas!$B$4:$B$10,Códigos_Propuestas!$C$4:$C$10,"!",0,1)&amp;"__"&amp;
_xlfn.XLOOKUP(H11,Códigos_Propuestas!$E$4:$E$76,Códigos_Propuestas!$F$4:$F$76,"!",1)&amp;"__"&amp;
_xlfn.XLOOKUP(L11,Códigos_Propuestas!$I$4:$I$7,Códigos_Propuestas!$J$4:$J$7,"!",1)&amp;"__"&amp;
_xlfn.XLOOKUP(M11,Códigos_Propuestas!$O$4:$O$11,Códigos_Propuestas!$Q$4:$Q$11,"!",1)&amp;"__"&amp;
_xlfn.XLOOKUP(F11,Códigos_Propuestas!$BF:$BF,Códigos_Propuestas!$BH:$BH,"!",0,1)</f>
        <v>BR__NEX__UG__!__018</v>
      </c>
      <c r="C11" t="b">
        <f>F11=[1]CRM!C10</f>
        <v>1</v>
      </c>
      <c r="D11" s="47">
        <f t="shared" si="20"/>
        <v>9</v>
      </c>
      <c r="E11" s="11" t="s">
        <v>88</v>
      </c>
      <c r="F11" s="12" t="s">
        <v>212</v>
      </c>
      <c r="G11" s="12" t="s">
        <v>212</v>
      </c>
      <c r="H11" s="13" t="s">
        <v>202</v>
      </c>
      <c r="I11" s="13" t="s">
        <v>524</v>
      </c>
      <c r="J11" s="13" t="s">
        <v>97</v>
      </c>
      <c r="K11" s="17" t="s">
        <v>44</v>
      </c>
      <c r="L11" s="13" t="s">
        <v>65</v>
      </c>
      <c r="M11" s="14"/>
      <c r="N11" s="14" t="str">
        <f>_xlfn.XLOOKUP(M11,Códigos_Propuestas!$O$4:$O$15,Códigos_Propuestas!$P$4:$P$15,"!",0,1)</f>
        <v>R+</v>
      </c>
      <c r="O11" s="14"/>
      <c r="P11" s="14"/>
      <c r="Q11" s="14"/>
      <c r="R11" s="14"/>
      <c r="S11" s="14"/>
      <c r="T11" s="14"/>
      <c r="U11" s="14"/>
      <c r="V11" s="13"/>
      <c r="W11" s="115"/>
      <c r="X11" s="116">
        <f t="shared" ca="1" si="7"/>
        <v>0</v>
      </c>
      <c r="Y11" s="13" t="str">
        <f t="shared" ca="1" si="8"/>
        <v/>
      </c>
      <c r="Z11" s="13"/>
      <c r="AA11" s="115"/>
      <c r="AB11" s="130" t="b">
        <v>0</v>
      </c>
      <c r="AC11" s="115"/>
      <c r="AD11" s="130" t="b">
        <v>0</v>
      </c>
      <c r="AE11" s="115"/>
      <c r="AF11" s="130" t="b">
        <v>0</v>
      </c>
      <c r="AG11" s="13"/>
      <c r="AH11" s="13"/>
      <c r="AI11" s="130" t="b">
        <v>0</v>
      </c>
      <c r="AJ11" s="13"/>
      <c r="AK11" s="130" t="b">
        <v>0</v>
      </c>
      <c r="AL11" s="13"/>
      <c r="AM11" s="130" t="b">
        <v>0</v>
      </c>
      <c r="AN11" s="13"/>
      <c r="AO11" s="130" t="b">
        <v>0</v>
      </c>
      <c r="AP11" s="13"/>
      <c r="AQ11" s="13"/>
      <c r="AR11" s="130" t="b">
        <v>0</v>
      </c>
      <c r="AS11" s="130" t="b">
        <v>0</v>
      </c>
      <c r="AT11" s="130" t="b">
        <v>0</v>
      </c>
      <c r="AU11" s="130" t="b">
        <v>0</v>
      </c>
      <c r="AV11" s="130" t="b">
        <v>0</v>
      </c>
      <c r="AW11" s="11"/>
      <c r="AX11" s="11"/>
      <c r="AY11" s="11"/>
      <c r="AZ11" s="11"/>
      <c r="BA11" s="11"/>
      <c r="BB11" s="28"/>
      <c r="BC11" s="97">
        <v>190000</v>
      </c>
      <c r="BD11" s="97"/>
      <c r="BE11" s="13">
        <v>3</v>
      </c>
      <c r="BF11" s="134">
        <f>_xlfn.XLOOKUP($J11,'Criterios GoGet'!$B$3:$B$8,'Criterios GoGet'!$C$3:$C$8,0,0,1)</f>
        <v>0.8</v>
      </c>
      <c r="BG11" s="134"/>
      <c r="BH11" s="15">
        <f t="shared" si="9"/>
        <v>0</v>
      </c>
      <c r="BI11" s="18"/>
      <c r="BJ11" s="18">
        <v>45989</v>
      </c>
      <c r="BK11" s="16"/>
      <c r="BL11" s="19">
        <f t="shared" si="0"/>
        <v>0</v>
      </c>
      <c r="BM11" s="19">
        <f t="shared" si="10"/>
        <v>0</v>
      </c>
      <c r="BN11" s="20">
        <f t="shared" si="11"/>
        <v>32</v>
      </c>
      <c r="BO11" s="21">
        <f t="shared" si="12"/>
        <v>92</v>
      </c>
      <c r="BP11" s="111">
        <f t="shared" si="1"/>
        <v>32</v>
      </c>
      <c r="BQ11" s="112">
        <f t="shared" si="1"/>
        <v>92</v>
      </c>
      <c r="BS11" s="28">
        <f t="shared" si="2"/>
        <v>0</v>
      </c>
      <c r="BT11" s="28">
        <f t="shared" si="2"/>
        <v>0</v>
      </c>
      <c r="BU11" s="28">
        <f t="shared" si="2"/>
        <v>0</v>
      </c>
      <c r="BV11" s="28">
        <f t="shared" si="2"/>
        <v>0</v>
      </c>
      <c r="BW11" s="28">
        <f t="shared" si="2"/>
        <v>0</v>
      </c>
      <c r="BX11" s="28">
        <f t="shared" si="2"/>
        <v>0</v>
      </c>
      <c r="BY11" s="28">
        <f t="shared" si="2"/>
        <v>0</v>
      </c>
      <c r="BZ11" s="28">
        <f t="shared" si="2"/>
        <v>0</v>
      </c>
      <c r="CA11" s="28">
        <f t="shared" si="2"/>
        <v>0</v>
      </c>
      <c r="CB11" s="28">
        <f t="shared" si="2"/>
        <v>0</v>
      </c>
      <c r="CC11" s="28">
        <f t="shared" si="2"/>
        <v>0</v>
      </c>
      <c r="CD11" s="28">
        <f t="shared" si="2"/>
        <v>0</v>
      </c>
      <c r="CE11" s="30">
        <f t="shared" si="13"/>
        <v>0</v>
      </c>
      <c r="CG11" s="27">
        <f t="shared" si="14"/>
        <v>0</v>
      </c>
      <c r="CH11" s="28">
        <f t="shared" si="3"/>
        <v>0</v>
      </c>
      <c r="CI11" s="28">
        <f t="shared" si="3"/>
        <v>0</v>
      </c>
      <c r="CJ11" s="28">
        <f t="shared" si="3"/>
        <v>0</v>
      </c>
      <c r="CK11" s="28">
        <f t="shared" si="3"/>
        <v>0</v>
      </c>
      <c r="CL11" s="28">
        <f t="shared" si="3"/>
        <v>0</v>
      </c>
      <c r="CM11" s="28">
        <f t="shared" si="3"/>
        <v>0</v>
      </c>
      <c r="CN11" s="28">
        <f t="shared" si="3"/>
        <v>0</v>
      </c>
      <c r="CO11" s="28">
        <f t="shared" si="3"/>
        <v>0</v>
      </c>
      <c r="CP11" s="28">
        <f t="shared" si="3"/>
        <v>0</v>
      </c>
      <c r="CQ11" s="28">
        <f t="shared" si="3"/>
        <v>0</v>
      </c>
      <c r="CR11" s="29">
        <f t="shared" si="3"/>
        <v>0</v>
      </c>
      <c r="CS11" s="30">
        <f t="shared" si="15"/>
        <v>0</v>
      </c>
      <c r="CU11" s="27">
        <f t="shared" si="16"/>
        <v>0</v>
      </c>
      <c r="CV11" s="28">
        <f t="shared" si="4"/>
        <v>0</v>
      </c>
      <c r="CW11" s="28">
        <f t="shared" si="4"/>
        <v>0</v>
      </c>
      <c r="CX11" s="28">
        <f t="shared" si="4"/>
        <v>0</v>
      </c>
      <c r="CY11" s="28">
        <f t="shared" si="4"/>
        <v>0</v>
      </c>
      <c r="CZ11" s="28">
        <f t="shared" si="4"/>
        <v>0</v>
      </c>
      <c r="DA11" s="28">
        <f t="shared" si="4"/>
        <v>0</v>
      </c>
      <c r="DB11" s="28">
        <f t="shared" si="4"/>
        <v>0</v>
      </c>
      <c r="DC11" s="28">
        <f t="shared" si="4"/>
        <v>0</v>
      </c>
      <c r="DD11" s="28">
        <f t="shared" si="4"/>
        <v>0</v>
      </c>
      <c r="DE11" s="28">
        <f t="shared" si="4"/>
        <v>0</v>
      </c>
      <c r="DF11" s="29">
        <f t="shared" si="4"/>
        <v>0</v>
      </c>
      <c r="DG11" s="30">
        <f t="shared" si="17"/>
        <v>0</v>
      </c>
      <c r="DI11" s="27">
        <f t="shared" si="18"/>
        <v>0</v>
      </c>
      <c r="DJ11" s="28">
        <f t="shared" si="5"/>
        <v>0</v>
      </c>
      <c r="DK11" s="28">
        <f t="shared" si="5"/>
        <v>0</v>
      </c>
      <c r="DL11" s="28">
        <f t="shared" si="5"/>
        <v>0</v>
      </c>
      <c r="DM11" s="28">
        <f t="shared" si="5"/>
        <v>0</v>
      </c>
      <c r="DN11" s="28">
        <f t="shared" si="5"/>
        <v>0</v>
      </c>
      <c r="DO11" s="28">
        <f t="shared" si="5"/>
        <v>0</v>
      </c>
      <c r="DP11" s="28">
        <f t="shared" si="5"/>
        <v>0</v>
      </c>
      <c r="DQ11" s="28">
        <f t="shared" si="5"/>
        <v>0</v>
      </c>
      <c r="DR11" s="28">
        <f t="shared" si="5"/>
        <v>0</v>
      </c>
      <c r="DS11" s="28">
        <f t="shared" si="5"/>
        <v>0</v>
      </c>
      <c r="DT11" s="29">
        <f t="shared" si="5"/>
        <v>0</v>
      </c>
      <c r="DU11" s="30">
        <f t="shared" si="19"/>
        <v>0</v>
      </c>
    </row>
    <row r="12" spans="1:125" x14ac:dyDescent="0.2">
      <c r="A12">
        <f t="shared" si="6"/>
        <v>19</v>
      </c>
      <c r="B12" s="49" t="str">
        <f>_xlfn.XLOOKUP(E12,Códigos_Propuestas!$B$4:$B$10,Códigos_Propuestas!$C$4:$C$10,"!",0,1)&amp;"__"&amp;
_xlfn.XLOOKUP(H12,Códigos_Propuestas!$E$4:$E$76,Códigos_Propuestas!$F$4:$F$76,"!",1)&amp;"__"&amp;
_xlfn.XLOOKUP(L12,Códigos_Propuestas!$I$4:$I$7,Códigos_Propuestas!$J$4:$J$7,"!",1)&amp;"__"&amp;
_xlfn.XLOOKUP(M12,Códigos_Propuestas!$O$4:$O$11,Códigos_Propuestas!$Q$4:$Q$11,"!",1)&amp;"__"&amp;
_xlfn.XLOOKUP(F12,Códigos_Propuestas!$BF:$BF,Códigos_Propuestas!$BH:$BH,"!",0,1)</f>
        <v>CH__MIA__OU__!__005</v>
      </c>
      <c r="C12" t="b">
        <f>F12=[1]CRM!C11</f>
        <v>1</v>
      </c>
      <c r="D12" s="47">
        <f t="shared" si="20"/>
        <v>10</v>
      </c>
      <c r="E12" s="11" t="s">
        <v>32</v>
      </c>
      <c r="F12" s="12" t="s">
        <v>111</v>
      </c>
      <c r="G12" s="12" t="s">
        <v>111</v>
      </c>
      <c r="H12" s="13" t="s">
        <v>327</v>
      </c>
      <c r="I12" s="13" t="s">
        <v>525</v>
      </c>
      <c r="J12" s="13" t="s">
        <v>97</v>
      </c>
      <c r="K12" s="17" t="s">
        <v>72</v>
      </c>
      <c r="L12" s="13" t="s">
        <v>116</v>
      </c>
      <c r="M12" s="14"/>
      <c r="N12" s="14" t="str">
        <f>_xlfn.XLOOKUP(M12,Códigos_Propuestas!$O$4:$O$15,Códigos_Propuestas!$P$4:$P$15,"!",0,1)</f>
        <v>R+</v>
      </c>
      <c r="O12" s="14"/>
      <c r="P12" s="14"/>
      <c r="Q12" s="14"/>
      <c r="R12" s="14"/>
      <c r="S12" s="14"/>
      <c r="T12" s="14"/>
      <c r="U12" s="14"/>
      <c r="V12" s="13"/>
      <c r="W12" s="115"/>
      <c r="X12" s="116">
        <f t="shared" ca="1" si="7"/>
        <v>0</v>
      </c>
      <c r="Y12" s="13" t="str">
        <f t="shared" ca="1" si="8"/>
        <v/>
      </c>
      <c r="Z12" s="13"/>
      <c r="AA12" s="115"/>
      <c r="AB12" s="130" t="b">
        <v>0</v>
      </c>
      <c r="AC12" s="115"/>
      <c r="AD12" s="130" t="b">
        <v>0</v>
      </c>
      <c r="AE12" s="115"/>
      <c r="AF12" s="130" t="b">
        <v>0</v>
      </c>
      <c r="AG12" s="13"/>
      <c r="AH12" s="13"/>
      <c r="AI12" s="130" t="b">
        <v>0</v>
      </c>
      <c r="AJ12" s="13"/>
      <c r="AK12" s="130" t="b">
        <v>0</v>
      </c>
      <c r="AL12" s="13"/>
      <c r="AM12" s="130" t="b">
        <v>0</v>
      </c>
      <c r="AN12" s="13"/>
      <c r="AO12" s="130" t="b">
        <v>0</v>
      </c>
      <c r="AP12" s="13"/>
      <c r="AQ12" s="13"/>
      <c r="AR12" s="130" t="b">
        <v>0</v>
      </c>
      <c r="AS12" s="130" t="b">
        <v>0</v>
      </c>
      <c r="AT12" s="130" t="b">
        <v>0</v>
      </c>
      <c r="AU12" s="130" t="b">
        <v>0</v>
      </c>
      <c r="AV12" s="130" t="b">
        <v>0</v>
      </c>
      <c r="AW12" s="11"/>
      <c r="AX12" s="11"/>
      <c r="AY12" s="11"/>
      <c r="AZ12" s="11"/>
      <c r="BA12" s="11"/>
      <c r="BB12" s="28"/>
      <c r="BC12" s="97">
        <v>200000</v>
      </c>
      <c r="BD12" s="97"/>
      <c r="BE12" s="13">
        <v>3</v>
      </c>
      <c r="BF12" s="134">
        <f>_xlfn.XLOOKUP($J12,'Criterios GoGet'!$B$3:$B$8,'Criterios GoGet'!$C$3:$C$8,0,0,1)</f>
        <v>0.8</v>
      </c>
      <c r="BG12" s="134"/>
      <c r="BH12" s="15">
        <f t="shared" si="9"/>
        <v>0</v>
      </c>
      <c r="BI12" s="18"/>
      <c r="BJ12" s="18">
        <v>45923</v>
      </c>
      <c r="BK12" s="16"/>
      <c r="BL12" s="19">
        <f t="shared" si="0"/>
        <v>0</v>
      </c>
      <c r="BM12" s="19">
        <f t="shared" si="10"/>
        <v>0</v>
      </c>
      <c r="BN12" s="20">
        <f t="shared" si="11"/>
        <v>32</v>
      </c>
      <c r="BO12" s="21">
        <f t="shared" si="12"/>
        <v>92</v>
      </c>
      <c r="BP12" s="111">
        <f t="shared" si="1"/>
        <v>32</v>
      </c>
      <c r="BQ12" s="112">
        <f t="shared" si="1"/>
        <v>92</v>
      </c>
      <c r="BS12" s="28">
        <f t="shared" si="2"/>
        <v>0</v>
      </c>
      <c r="BT12" s="28">
        <f t="shared" si="2"/>
        <v>0</v>
      </c>
      <c r="BU12" s="28">
        <f t="shared" si="2"/>
        <v>0</v>
      </c>
      <c r="BV12" s="28">
        <f t="shared" si="2"/>
        <v>0</v>
      </c>
      <c r="BW12" s="28">
        <f t="shared" si="2"/>
        <v>0</v>
      </c>
      <c r="BX12" s="28">
        <f t="shared" si="2"/>
        <v>0</v>
      </c>
      <c r="BY12" s="28">
        <f t="shared" si="2"/>
        <v>0</v>
      </c>
      <c r="BZ12" s="28">
        <f t="shared" si="2"/>
        <v>0</v>
      </c>
      <c r="CA12" s="28">
        <f t="shared" si="2"/>
        <v>0</v>
      </c>
      <c r="CB12" s="28">
        <f t="shared" si="2"/>
        <v>0</v>
      </c>
      <c r="CC12" s="28">
        <f t="shared" si="2"/>
        <v>0</v>
      </c>
      <c r="CD12" s="28">
        <f t="shared" si="2"/>
        <v>0</v>
      </c>
      <c r="CE12" s="30">
        <f t="shared" si="13"/>
        <v>0</v>
      </c>
      <c r="CG12" s="27">
        <f t="shared" si="14"/>
        <v>0</v>
      </c>
      <c r="CH12" s="28">
        <f t="shared" si="3"/>
        <v>0</v>
      </c>
      <c r="CI12" s="28">
        <f t="shared" si="3"/>
        <v>0</v>
      </c>
      <c r="CJ12" s="28">
        <f t="shared" si="3"/>
        <v>0</v>
      </c>
      <c r="CK12" s="28">
        <f t="shared" si="3"/>
        <v>0</v>
      </c>
      <c r="CL12" s="28">
        <f t="shared" si="3"/>
        <v>0</v>
      </c>
      <c r="CM12" s="28">
        <f t="shared" si="3"/>
        <v>0</v>
      </c>
      <c r="CN12" s="28">
        <f t="shared" si="3"/>
        <v>0</v>
      </c>
      <c r="CO12" s="28">
        <f t="shared" si="3"/>
        <v>0</v>
      </c>
      <c r="CP12" s="28">
        <f t="shared" si="3"/>
        <v>0</v>
      </c>
      <c r="CQ12" s="28">
        <f t="shared" si="3"/>
        <v>0</v>
      </c>
      <c r="CR12" s="29">
        <f t="shared" si="3"/>
        <v>0</v>
      </c>
      <c r="CS12" s="30">
        <f t="shared" si="15"/>
        <v>0</v>
      </c>
      <c r="CU12" s="27">
        <f t="shared" si="16"/>
        <v>0</v>
      </c>
      <c r="CV12" s="28">
        <f t="shared" si="4"/>
        <v>0</v>
      </c>
      <c r="CW12" s="28">
        <f t="shared" si="4"/>
        <v>0</v>
      </c>
      <c r="CX12" s="28">
        <f t="shared" si="4"/>
        <v>0</v>
      </c>
      <c r="CY12" s="28">
        <f t="shared" si="4"/>
        <v>0</v>
      </c>
      <c r="CZ12" s="28">
        <f t="shared" si="4"/>
        <v>0</v>
      </c>
      <c r="DA12" s="28">
        <f t="shared" si="4"/>
        <v>0</v>
      </c>
      <c r="DB12" s="28">
        <f t="shared" si="4"/>
        <v>0</v>
      </c>
      <c r="DC12" s="28">
        <f t="shared" si="4"/>
        <v>0</v>
      </c>
      <c r="DD12" s="28">
        <f t="shared" si="4"/>
        <v>0</v>
      </c>
      <c r="DE12" s="28">
        <f t="shared" si="4"/>
        <v>0</v>
      </c>
      <c r="DF12" s="29">
        <f t="shared" si="4"/>
        <v>0</v>
      </c>
      <c r="DG12" s="30">
        <f t="shared" si="17"/>
        <v>0</v>
      </c>
      <c r="DI12" s="27">
        <f t="shared" si="18"/>
        <v>0</v>
      </c>
      <c r="DJ12" s="28">
        <f t="shared" si="5"/>
        <v>0</v>
      </c>
      <c r="DK12" s="28">
        <f t="shared" si="5"/>
        <v>0</v>
      </c>
      <c r="DL12" s="28">
        <f t="shared" si="5"/>
        <v>0</v>
      </c>
      <c r="DM12" s="28">
        <f t="shared" si="5"/>
        <v>0</v>
      </c>
      <c r="DN12" s="28">
        <f t="shared" si="5"/>
        <v>0</v>
      </c>
      <c r="DO12" s="28">
        <f t="shared" si="5"/>
        <v>0</v>
      </c>
      <c r="DP12" s="28">
        <f t="shared" si="5"/>
        <v>0</v>
      </c>
      <c r="DQ12" s="28">
        <f t="shared" si="5"/>
        <v>0</v>
      </c>
      <c r="DR12" s="28">
        <f t="shared" si="5"/>
        <v>0</v>
      </c>
      <c r="DS12" s="28">
        <f t="shared" si="5"/>
        <v>0</v>
      </c>
      <c r="DT12" s="29">
        <f t="shared" si="5"/>
        <v>0</v>
      </c>
      <c r="DU12" s="30">
        <f t="shared" si="19"/>
        <v>0</v>
      </c>
    </row>
    <row r="13" spans="1:125" x14ac:dyDescent="0.2">
      <c r="A13">
        <f t="shared" si="6"/>
        <v>19</v>
      </c>
      <c r="B13" s="49" t="str">
        <f>_xlfn.XLOOKUP(E13,Códigos_Propuestas!$B$4:$B$10,Códigos_Propuestas!$C$4:$C$10,"!",0,1)&amp;"__"&amp;
_xlfn.XLOOKUP(H13,Códigos_Propuestas!$E$4:$E$76,Códigos_Propuestas!$F$4:$F$76,"!",1)&amp;"__"&amp;
_xlfn.XLOOKUP(L13,Códigos_Propuestas!$I$4:$I$7,Códigos_Propuestas!$J$4:$J$7,"!",1)&amp;"__"&amp;
_xlfn.XLOOKUP(M13,Códigos_Propuestas!$O$4:$O$11,Códigos_Propuestas!$Q$4:$Q$11,"!",1)&amp;"__"&amp;
_xlfn.XLOOKUP(F13,Códigos_Propuestas!$BF:$BF,Códigos_Propuestas!$BH:$BH,"!",0,1)</f>
        <v>PE__NEX__UG__!__034</v>
      </c>
      <c r="C13" t="b">
        <f>F13=[1]CRM!C12</f>
        <v>1</v>
      </c>
      <c r="D13" s="47">
        <f t="shared" si="20"/>
        <v>11</v>
      </c>
      <c r="E13" s="13" t="s">
        <v>62</v>
      </c>
      <c r="F13" s="12" t="s">
        <v>258</v>
      </c>
      <c r="G13" s="12" t="s">
        <v>258</v>
      </c>
      <c r="H13" s="13" t="s">
        <v>202</v>
      </c>
      <c r="I13" s="13" t="s">
        <v>526</v>
      </c>
      <c r="J13" s="13" t="s">
        <v>97</v>
      </c>
      <c r="K13" s="17" t="s">
        <v>44</v>
      </c>
      <c r="L13" s="13" t="s">
        <v>65</v>
      </c>
      <c r="M13" s="14"/>
      <c r="N13" s="14" t="str">
        <f>_xlfn.XLOOKUP(M13,Códigos_Propuestas!$O$4:$O$15,Códigos_Propuestas!$P$4:$P$15,"!",0,1)</f>
        <v>R+</v>
      </c>
      <c r="O13" s="14"/>
      <c r="P13" s="14"/>
      <c r="Q13" s="14"/>
      <c r="R13" s="14"/>
      <c r="S13" s="14"/>
      <c r="T13" s="14"/>
      <c r="U13" s="14"/>
      <c r="V13" s="13"/>
      <c r="W13" s="115"/>
      <c r="X13" s="116">
        <f t="shared" ca="1" si="7"/>
        <v>0</v>
      </c>
      <c r="Y13" s="13" t="str">
        <f t="shared" ca="1" si="8"/>
        <v/>
      </c>
      <c r="Z13" s="13"/>
      <c r="AA13" s="115"/>
      <c r="AB13" s="130" t="b">
        <v>0</v>
      </c>
      <c r="AC13" s="115"/>
      <c r="AD13" s="130" t="b">
        <v>0</v>
      </c>
      <c r="AE13" s="115"/>
      <c r="AF13" s="130" t="b">
        <v>0</v>
      </c>
      <c r="AG13" s="13"/>
      <c r="AH13" s="13"/>
      <c r="AI13" s="130" t="b">
        <v>0</v>
      </c>
      <c r="AJ13" s="13"/>
      <c r="AK13" s="130" t="b">
        <v>0</v>
      </c>
      <c r="AL13" s="13"/>
      <c r="AM13" s="130" t="b">
        <v>0</v>
      </c>
      <c r="AN13" s="13"/>
      <c r="AO13" s="130" t="b">
        <v>0</v>
      </c>
      <c r="AP13" s="13"/>
      <c r="AQ13" s="13"/>
      <c r="AR13" s="130" t="b">
        <v>0</v>
      </c>
      <c r="AS13" s="130" t="b">
        <v>0</v>
      </c>
      <c r="AT13" s="130" t="b">
        <v>0</v>
      </c>
      <c r="AU13" s="130" t="b">
        <v>0</v>
      </c>
      <c r="AV13" s="130" t="b">
        <v>0</v>
      </c>
      <c r="AW13" s="11"/>
      <c r="AX13" s="11"/>
      <c r="AY13" s="11"/>
      <c r="AZ13" s="11"/>
      <c r="BA13" s="11"/>
      <c r="BB13" s="28"/>
      <c r="BC13" s="97">
        <v>161180</v>
      </c>
      <c r="BD13" s="97"/>
      <c r="BE13" s="13">
        <v>4</v>
      </c>
      <c r="BF13" s="134">
        <f>_xlfn.XLOOKUP($J13,'Criterios GoGet'!$B$3:$B$8,'Criterios GoGet'!$C$3:$C$8,0,0,1)</f>
        <v>0.8</v>
      </c>
      <c r="BG13" s="134"/>
      <c r="BH13" s="15">
        <f t="shared" si="9"/>
        <v>0</v>
      </c>
      <c r="BI13" s="18"/>
      <c r="BJ13" s="18">
        <v>46038</v>
      </c>
      <c r="BK13" s="16"/>
      <c r="BL13" s="19">
        <f t="shared" si="0"/>
        <v>0</v>
      </c>
      <c r="BM13" s="19">
        <f t="shared" si="10"/>
        <v>0</v>
      </c>
      <c r="BN13" s="20">
        <f t="shared" si="11"/>
        <v>32</v>
      </c>
      <c r="BO13" s="21">
        <f t="shared" si="12"/>
        <v>122</v>
      </c>
      <c r="BP13" s="111">
        <f t="shared" si="1"/>
        <v>32</v>
      </c>
      <c r="BQ13" s="112">
        <f t="shared" si="1"/>
        <v>122</v>
      </c>
      <c r="BS13" s="28">
        <f t="shared" si="2"/>
        <v>0</v>
      </c>
      <c r="BT13" s="28">
        <f t="shared" si="2"/>
        <v>0</v>
      </c>
      <c r="BU13" s="28">
        <f t="shared" si="2"/>
        <v>0</v>
      </c>
      <c r="BV13" s="28">
        <f t="shared" si="2"/>
        <v>0</v>
      </c>
      <c r="BW13" s="28">
        <f t="shared" si="2"/>
        <v>0</v>
      </c>
      <c r="BX13" s="28">
        <f t="shared" si="2"/>
        <v>0</v>
      </c>
      <c r="BY13" s="28">
        <f t="shared" si="2"/>
        <v>0</v>
      </c>
      <c r="BZ13" s="28">
        <f t="shared" si="2"/>
        <v>0</v>
      </c>
      <c r="CA13" s="28">
        <f t="shared" si="2"/>
        <v>0</v>
      </c>
      <c r="CB13" s="28">
        <f t="shared" si="2"/>
        <v>0</v>
      </c>
      <c r="CC13" s="28">
        <f t="shared" si="2"/>
        <v>0</v>
      </c>
      <c r="CD13" s="28">
        <f t="shared" si="2"/>
        <v>0</v>
      </c>
      <c r="CE13" s="30">
        <f t="shared" si="13"/>
        <v>0</v>
      </c>
      <c r="CG13" s="27">
        <f t="shared" si="14"/>
        <v>0</v>
      </c>
      <c r="CH13" s="28">
        <f t="shared" si="3"/>
        <v>0</v>
      </c>
      <c r="CI13" s="28">
        <f t="shared" si="3"/>
        <v>0</v>
      </c>
      <c r="CJ13" s="28">
        <f t="shared" si="3"/>
        <v>0</v>
      </c>
      <c r="CK13" s="28">
        <f t="shared" si="3"/>
        <v>0</v>
      </c>
      <c r="CL13" s="28">
        <f t="shared" si="3"/>
        <v>0</v>
      </c>
      <c r="CM13" s="28">
        <f t="shared" si="3"/>
        <v>0</v>
      </c>
      <c r="CN13" s="28">
        <f t="shared" si="3"/>
        <v>0</v>
      </c>
      <c r="CO13" s="28">
        <f t="shared" si="3"/>
        <v>0</v>
      </c>
      <c r="CP13" s="28">
        <f t="shared" si="3"/>
        <v>0</v>
      </c>
      <c r="CQ13" s="28">
        <f t="shared" si="3"/>
        <v>0</v>
      </c>
      <c r="CR13" s="29">
        <f t="shared" si="3"/>
        <v>0</v>
      </c>
      <c r="CS13" s="30">
        <f t="shared" si="15"/>
        <v>0</v>
      </c>
      <c r="CU13" s="27">
        <f t="shared" si="16"/>
        <v>0</v>
      </c>
      <c r="CV13" s="28">
        <f t="shared" si="4"/>
        <v>0</v>
      </c>
      <c r="CW13" s="28">
        <f t="shared" si="4"/>
        <v>0</v>
      </c>
      <c r="CX13" s="28">
        <f t="shared" si="4"/>
        <v>0</v>
      </c>
      <c r="CY13" s="28">
        <f t="shared" si="4"/>
        <v>0</v>
      </c>
      <c r="CZ13" s="28">
        <f t="shared" si="4"/>
        <v>0</v>
      </c>
      <c r="DA13" s="28">
        <f t="shared" si="4"/>
        <v>0</v>
      </c>
      <c r="DB13" s="28">
        <f t="shared" si="4"/>
        <v>0</v>
      </c>
      <c r="DC13" s="28">
        <f t="shared" si="4"/>
        <v>0</v>
      </c>
      <c r="DD13" s="28">
        <f t="shared" si="4"/>
        <v>0</v>
      </c>
      <c r="DE13" s="28">
        <f t="shared" si="4"/>
        <v>0</v>
      </c>
      <c r="DF13" s="29">
        <f t="shared" si="4"/>
        <v>0</v>
      </c>
      <c r="DG13" s="30">
        <f t="shared" si="17"/>
        <v>0</v>
      </c>
      <c r="DI13" s="27">
        <f t="shared" si="18"/>
        <v>0</v>
      </c>
      <c r="DJ13" s="28">
        <f t="shared" si="5"/>
        <v>0</v>
      </c>
      <c r="DK13" s="28">
        <f t="shared" si="5"/>
        <v>0</v>
      </c>
      <c r="DL13" s="28">
        <f t="shared" si="5"/>
        <v>0</v>
      </c>
      <c r="DM13" s="28">
        <f t="shared" si="5"/>
        <v>0</v>
      </c>
      <c r="DN13" s="28">
        <f t="shared" si="5"/>
        <v>0</v>
      </c>
      <c r="DO13" s="28">
        <f t="shared" si="5"/>
        <v>0</v>
      </c>
      <c r="DP13" s="28">
        <f t="shared" si="5"/>
        <v>0</v>
      </c>
      <c r="DQ13" s="28">
        <f t="shared" si="5"/>
        <v>0</v>
      </c>
      <c r="DR13" s="28">
        <f t="shared" si="5"/>
        <v>0</v>
      </c>
      <c r="DS13" s="28">
        <f t="shared" si="5"/>
        <v>0</v>
      </c>
      <c r="DT13" s="29">
        <f t="shared" si="5"/>
        <v>0</v>
      </c>
      <c r="DU13" s="30">
        <f t="shared" si="19"/>
        <v>0</v>
      </c>
    </row>
    <row r="14" spans="1:125" x14ac:dyDescent="0.2">
      <c r="A14">
        <f t="shared" si="6"/>
        <v>19</v>
      </c>
      <c r="B14" s="49" t="str">
        <f>_xlfn.XLOOKUP(E14,Códigos_Propuestas!$B$4:$B$10,Códigos_Propuestas!$C$4:$C$10,"!",0,1)&amp;"__"&amp;
_xlfn.XLOOKUP(H14,Códigos_Propuestas!$E$4:$E$76,Códigos_Propuestas!$F$4:$F$76,"!",1)&amp;"__"&amp;
_xlfn.XLOOKUP(L14,Códigos_Propuestas!$I$4:$I$7,Códigos_Propuestas!$J$4:$J$7,"!",1)&amp;"__"&amp;
_xlfn.XLOOKUP(M14,Códigos_Propuestas!$O$4:$O$11,Códigos_Propuestas!$Q$4:$Q$11,"!",1)&amp;"__"&amp;
_xlfn.XLOOKUP(F14,Códigos_Propuestas!$BF:$BF,Códigos_Propuestas!$BH:$BH,"!",0,1)</f>
        <v>CH__CMP__OP__!__007</v>
      </c>
      <c r="C14" t="b">
        <f>F14=[1]CRM!C13</f>
        <v>1</v>
      </c>
      <c r="D14" s="47">
        <f t="shared" si="20"/>
        <v>12</v>
      </c>
      <c r="E14" s="13" t="s">
        <v>32</v>
      </c>
      <c r="F14" s="12" t="s">
        <v>148</v>
      </c>
      <c r="G14" s="12" t="s">
        <v>148</v>
      </c>
      <c r="H14" s="13" t="s">
        <v>34</v>
      </c>
      <c r="I14" s="13" t="s">
        <v>527</v>
      </c>
      <c r="J14" s="13" t="s">
        <v>143</v>
      </c>
      <c r="K14" s="17" t="s">
        <v>98</v>
      </c>
      <c r="L14" s="13" t="s">
        <v>92</v>
      </c>
      <c r="M14" s="14"/>
      <c r="N14" s="14" t="str">
        <f>_xlfn.XLOOKUP(M14,Códigos_Propuestas!$O$4:$O$15,Códigos_Propuestas!$P$4:$P$15,"!",0,1)</f>
        <v>R+</v>
      </c>
      <c r="O14" s="14"/>
      <c r="P14" s="14"/>
      <c r="Q14" s="14" t="s">
        <v>52</v>
      </c>
      <c r="R14" s="14"/>
      <c r="S14" s="14"/>
      <c r="T14" s="14"/>
      <c r="U14" s="14"/>
      <c r="V14" s="13"/>
      <c r="W14" s="115"/>
      <c r="X14" s="116">
        <f t="shared" ca="1" si="7"/>
        <v>0</v>
      </c>
      <c r="Y14" s="13" t="str">
        <f t="shared" ca="1" si="8"/>
        <v/>
      </c>
      <c r="Z14" s="13"/>
      <c r="AA14" s="115"/>
      <c r="AB14" s="130" t="b">
        <v>0</v>
      </c>
      <c r="AC14" s="115"/>
      <c r="AD14" s="130" t="b">
        <v>0</v>
      </c>
      <c r="AE14" s="115"/>
      <c r="AF14" s="130" t="b">
        <v>0</v>
      </c>
      <c r="AG14" s="13"/>
      <c r="AH14" s="13"/>
      <c r="AI14" s="130" t="b">
        <v>0</v>
      </c>
      <c r="AJ14" s="13"/>
      <c r="AK14" s="130" t="b">
        <v>0</v>
      </c>
      <c r="AL14" s="13"/>
      <c r="AM14" s="130" t="b">
        <v>0</v>
      </c>
      <c r="AN14" s="13"/>
      <c r="AO14" s="130" t="b">
        <v>0</v>
      </c>
      <c r="AP14" s="13"/>
      <c r="AQ14" s="13"/>
      <c r="AR14" s="130" t="b">
        <v>0</v>
      </c>
      <c r="AS14" s="130" t="b">
        <v>0</v>
      </c>
      <c r="AT14" s="130" t="b">
        <v>0</v>
      </c>
      <c r="AU14" s="130" t="b">
        <v>0</v>
      </c>
      <c r="AV14" s="130" t="b">
        <v>0</v>
      </c>
      <c r="AW14" s="11"/>
      <c r="AX14" s="11"/>
      <c r="AY14" s="11"/>
      <c r="AZ14" s="11"/>
      <c r="BA14" s="11"/>
      <c r="BB14" s="28"/>
      <c r="BC14" s="97">
        <v>900000</v>
      </c>
      <c r="BD14" s="97"/>
      <c r="BE14" s="13"/>
      <c r="BF14" s="134">
        <f>_xlfn.XLOOKUP($J14,'Criterios GoGet'!$B$3:$B$8,'Criterios GoGet'!$C$3:$C$8,0,0,1)</f>
        <v>1</v>
      </c>
      <c r="BG14" s="134"/>
      <c r="BH14" s="15">
        <f t="shared" si="9"/>
        <v>0</v>
      </c>
      <c r="BI14" s="18"/>
      <c r="BJ14" s="18">
        <v>45968</v>
      </c>
      <c r="BK14" s="16"/>
      <c r="BL14" s="19">
        <f t="shared" si="0"/>
        <v>0</v>
      </c>
      <c r="BM14" s="19">
        <f t="shared" si="10"/>
        <v>0</v>
      </c>
      <c r="BN14" s="20">
        <f t="shared" si="11"/>
        <v>32</v>
      </c>
      <c r="BO14" s="21" t="str">
        <f t="shared" si="12"/>
        <v/>
      </c>
      <c r="BP14" s="111">
        <f t="shared" si="1"/>
        <v>32</v>
      </c>
      <c r="BQ14" s="112" t="str">
        <f t="shared" si="1"/>
        <v/>
      </c>
      <c r="BS14" s="28">
        <f t="shared" si="2"/>
        <v>0</v>
      </c>
      <c r="BT14" s="28">
        <f t="shared" si="2"/>
        <v>0</v>
      </c>
      <c r="BU14" s="28">
        <f t="shared" si="2"/>
        <v>0</v>
      </c>
      <c r="BV14" s="28">
        <f t="shared" si="2"/>
        <v>0</v>
      </c>
      <c r="BW14" s="28">
        <f t="shared" si="2"/>
        <v>0</v>
      </c>
      <c r="BX14" s="28">
        <f t="shared" si="2"/>
        <v>0</v>
      </c>
      <c r="BY14" s="28">
        <f t="shared" si="2"/>
        <v>0</v>
      </c>
      <c r="BZ14" s="28">
        <f t="shared" si="2"/>
        <v>0</v>
      </c>
      <c r="CA14" s="28">
        <f t="shared" si="2"/>
        <v>0</v>
      </c>
      <c r="CB14" s="28">
        <f t="shared" si="2"/>
        <v>0</v>
      </c>
      <c r="CC14" s="28">
        <f t="shared" si="2"/>
        <v>0</v>
      </c>
      <c r="CD14" s="28">
        <f t="shared" si="2"/>
        <v>0</v>
      </c>
      <c r="CE14" s="30">
        <f t="shared" si="13"/>
        <v>0</v>
      </c>
      <c r="CG14" s="27">
        <f t="shared" si="14"/>
        <v>0</v>
      </c>
      <c r="CH14" s="28">
        <f t="shared" si="3"/>
        <v>0</v>
      </c>
      <c r="CI14" s="28">
        <f t="shared" si="3"/>
        <v>0</v>
      </c>
      <c r="CJ14" s="28">
        <f t="shared" si="3"/>
        <v>0</v>
      </c>
      <c r="CK14" s="28">
        <f t="shared" si="3"/>
        <v>0</v>
      </c>
      <c r="CL14" s="28">
        <f t="shared" si="3"/>
        <v>0</v>
      </c>
      <c r="CM14" s="28">
        <f t="shared" si="3"/>
        <v>0</v>
      </c>
      <c r="CN14" s="28">
        <f t="shared" si="3"/>
        <v>0</v>
      </c>
      <c r="CO14" s="28">
        <f t="shared" si="3"/>
        <v>0</v>
      </c>
      <c r="CP14" s="28">
        <f t="shared" si="3"/>
        <v>0</v>
      </c>
      <c r="CQ14" s="28">
        <f t="shared" si="3"/>
        <v>0</v>
      </c>
      <c r="CR14" s="29">
        <f t="shared" si="3"/>
        <v>0</v>
      </c>
      <c r="CS14" s="30">
        <f t="shared" si="15"/>
        <v>0</v>
      </c>
      <c r="CU14" s="27">
        <f t="shared" si="16"/>
        <v>0</v>
      </c>
      <c r="CV14" s="28">
        <f t="shared" si="4"/>
        <v>0</v>
      </c>
      <c r="CW14" s="28">
        <f t="shared" si="4"/>
        <v>0</v>
      </c>
      <c r="CX14" s="28">
        <f t="shared" si="4"/>
        <v>0</v>
      </c>
      <c r="CY14" s="28">
        <f t="shared" si="4"/>
        <v>0</v>
      </c>
      <c r="CZ14" s="28">
        <f t="shared" si="4"/>
        <v>0</v>
      </c>
      <c r="DA14" s="28">
        <f t="shared" si="4"/>
        <v>0</v>
      </c>
      <c r="DB14" s="28">
        <f t="shared" si="4"/>
        <v>0</v>
      </c>
      <c r="DC14" s="28">
        <f t="shared" si="4"/>
        <v>0</v>
      </c>
      <c r="DD14" s="28">
        <f t="shared" si="4"/>
        <v>0</v>
      </c>
      <c r="DE14" s="28">
        <f t="shared" si="4"/>
        <v>0</v>
      </c>
      <c r="DF14" s="29">
        <f t="shared" si="4"/>
        <v>0</v>
      </c>
      <c r="DG14" s="30">
        <f t="shared" si="17"/>
        <v>0</v>
      </c>
      <c r="DI14" s="27">
        <f t="shared" si="18"/>
        <v>0</v>
      </c>
      <c r="DJ14" s="28">
        <f t="shared" si="5"/>
        <v>0</v>
      </c>
      <c r="DK14" s="28">
        <f t="shared" si="5"/>
        <v>0</v>
      </c>
      <c r="DL14" s="28">
        <f t="shared" si="5"/>
        <v>0</v>
      </c>
      <c r="DM14" s="28">
        <f t="shared" si="5"/>
        <v>0</v>
      </c>
      <c r="DN14" s="28">
        <f t="shared" si="5"/>
        <v>0</v>
      </c>
      <c r="DO14" s="28">
        <f t="shared" si="5"/>
        <v>0</v>
      </c>
      <c r="DP14" s="28">
        <f t="shared" si="5"/>
        <v>0</v>
      </c>
      <c r="DQ14" s="28">
        <f t="shared" si="5"/>
        <v>0</v>
      </c>
      <c r="DR14" s="28">
        <f t="shared" si="5"/>
        <v>0</v>
      </c>
      <c r="DS14" s="28">
        <f t="shared" si="5"/>
        <v>0</v>
      </c>
      <c r="DT14" s="29">
        <f t="shared" si="5"/>
        <v>0</v>
      </c>
      <c r="DU14" s="30">
        <f t="shared" si="19"/>
        <v>0</v>
      </c>
    </row>
    <row r="15" spans="1:125" x14ac:dyDescent="0.2">
      <c r="A15">
        <f t="shared" si="6"/>
        <v>19</v>
      </c>
      <c r="B15" s="49" t="str">
        <f>_xlfn.XLOOKUP(E15,Códigos_Propuestas!$B$4:$B$10,Códigos_Propuestas!$C$4:$C$10,"!",0,1)&amp;"__"&amp;
_xlfn.XLOOKUP(H15,Códigos_Propuestas!$E$4:$E$76,Códigos_Propuestas!$F$4:$F$76,"!",1)&amp;"__"&amp;
_xlfn.XLOOKUP(L15,Códigos_Propuestas!$I$4:$I$7,Códigos_Propuestas!$J$4:$J$7,"!",1)&amp;"__"&amp;
_xlfn.XLOOKUP(M15,Códigos_Propuestas!$O$4:$O$11,Códigos_Propuestas!$Q$4:$Q$11,"!",1)&amp;"__"&amp;
_xlfn.XLOOKUP(F15,Códigos_Propuestas!$BF:$BF,Códigos_Propuestas!$BH:$BH,"!",0,1)</f>
        <v>PE__ANT__OP__!__013</v>
      </c>
      <c r="C15" t="b">
        <f>F15=[1]CRM!C14</f>
        <v>1</v>
      </c>
      <c r="D15" s="47">
        <f t="shared" si="20"/>
        <v>13</v>
      </c>
      <c r="E15" s="13" t="s">
        <v>62</v>
      </c>
      <c r="F15" s="12" t="s">
        <v>198</v>
      </c>
      <c r="G15" s="12" t="s">
        <v>198</v>
      </c>
      <c r="H15" s="13" t="s">
        <v>236</v>
      </c>
      <c r="I15" s="13" t="s">
        <v>236</v>
      </c>
      <c r="J15" s="13" t="s">
        <v>97</v>
      </c>
      <c r="K15" s="17" t="s">
        <v>44</v>
      </c>
      <c r="L15" s="13" t="s">
        <v>92</v>
      </c>
      <c r="M15" s="14"/>
      <c r="N15" s="14" t="str">
        <f>_xlfn.XLOOKUP(M15,Códigos_Propuestas!$O$4:$O$15,Códigos_Propuestas!$P$4:$P$15,"!",0,1)</f>
        <v>R+</v>
      </c>
      <c r="O15" s="14"/>
      <c r="P15" s="14"/>
      <c r="Q15" s="14"/>
      <c r="R15" s="14"/>
      <c r="S15" s="14"/>
      <c r="T15" s="14"/>
      <c r="U15" s="14"/>
      <c r="V15" s="13"/>
      <c r="W15" s="115"/>
      <c r="X15" s="116">
        <f t="shared" ca="1" si="7"/>
        <v>0</v>
      </c>
      <c r="Y15" s="13" t="str">
        <f t="shared" ca="1" si="8"/>
        <v/>
      </c>
      <c r="Z15" s="13"/>
      <c r="AA15" s="115"/>
      <c r="AB15" s="130" t="b">
        <v>0</v>
      </c>
      <c r="AC15" s="115"/>
      <c r="AD15" s="130" t="b">
        <v>0</v>
      </c>
      <c r="AE15" s="115"/>
      <c r="AF15" s="130" t="b">
        <v>0</v>
      </c>
      <c r="AG15" s="13"/>
      <c r="AH15" s="13"/>
      <c r="AI15" s="130" t="b">
        <v>0</v>
      </c>
      <c r="AJ15" s="13"/>
      <c r="AK15" s="130" t="b">
        <v>0</v>
      </c>
      <c r="AL15" s="13"/>
      <c r="AM15" s="130" t="b">
        <v>0</v>
      </c>
      <c r="AN15" s="13"/>
      <c r="AO15" s="130" t="b">
        <v>0</v>
      </c>
      <c r="AP15" s="13"/>
      <c r="AQ15" s="13"/>
      <c r="AR15" s="130" t="b">
        <v>0</v>
      </c>
      <c r="AS15" s="130" t="b">
        <v>0</v>
      </c>
      <c r="AT15" s="130" t="b">
        <v>0</v>
      </c>
      <c r="AU15" s="130" t="b">
        <v>0</v>
      </c>
      <c r="AV15" s="130" t="b">
        <v>0</v>
      </c>
      <c r="AW15" s="11"/>
      <c r="AX15" s="11"/>
      <c r="AY15" s="11"/>
      <c r="AZ15" s="11"/>
      <c r="BA15" s="11"/>
      <c r="BB15" s="28"/>
      <c r="BC15" s="97">
        <v>235000</v>
      </c>
      <c r="BD15" s="97"/>
      <c r="BE15" s="13">
        <v>3</v>
      </c>
      <c r="BF15" s="134">
        <f>_xlfn.XLOOKUP($J15,'Criterios GoGet'!$B$3:$B$8,'Criterios GoGet'!$C$3:$C$8,0,0,1)</f>
        <v>0.8</v>
      </c>
      <c r="BG15" s="134"/>
      <c r="BH15" s="15">
        <f t="shared" si="9"/>
        <v>0</v>
      </c>
      <c r="BI15" s="18"/>
      <c r="BJ15" s="18">
        <v>46000</v>
      </c>
      <c r="BK15" s="16"/>
      <c r="BL15" s="19">
        <f t="shared" si="0"/>
        <v>0</v>
      </c>
      <c r="BM15" s="19">
        <f t="shared" si="10"/>
        <v>0</v>
      </c>
      <c r="BN15" s="20">
        <f t="shared" si="11"/>
        <v>32</v>
      </c>
      <c r="BO15" s="21">
        <f t="shared" si="12"/>
        <v>92</v>
      </c>
      <c r="BP15" s="111">
        <f t="shared" si="1"/>
        <v>32</v>
      </c>
      <c r="BQ15" s="112">
        <f t="shared" si="1"/>
        <v>92</v>
      </c>
      <c r="BS15" s="28">
        <f t="shared" si="2"/>
        <v>0</v>
      </c>
      <c r="BT15" s="28">
        <f t="shared" si="2"/>
        <v>0</v>
      </c>
      <c r="BU15" s="28">
        <f t="shared" si="2"/>
        <v>0</v>
      </c>
      <c r="BV15" s="28">
        <f t="shared" si="2"/>
        <v>0</v>
      </c>
      <c r="BW15" s="28">
        <f t="shared" si="2"/>
        <v>0</v>
      </c>
      <c r="BX15" s="28">
        <f t="shared" si="2"/>
        <v>0</v>
      </c>
      <c r="BY15" s="28">
        <f t="shared" si="2"/>
        <v>0</v>
      </c>
      <c r="BZ15" s="28">
        <f t="shared" si="2"/>
        <v>0</v>
      </c>
      <c r="CA15" s="28">
        <f t="shared" si="2"/>
        <v>0</v>
      </c>
      <c r="CB15" s="28">
        <f t="shared" si="2"/>
        <v>0</v>
      </c>
      <c r="CC15" s="28">
        <f t="shared" si="2"/>
        <v>0</v>
      </c>
      <c r="CD15" s="28">
        <f t="shared" si="2"/>
        <v>0</v>
      </c>
      <c r="CE15" s="30">
        <f t="shared" si="13"/>
        <v>0</v>
      </c>
      <c r="CG15" s="27">
        <f t="shared" si="14"/>
        <v>0</v>
      </c>
      <c r="CH15" s="28">
        <f t="shared" si="3"/>
        <v>0</v>
      </c>
      <c r="CI15" s="28">
        <f t="shared" si="3"/>
        <v>0</v>
      </c>
      <c r="CJ15" s="28">
        <f t="shared" si="3"/>
        <v>0</v>
      </c>
      <c r="CK15" s="28">
        <f t="shared" si="3"/>
        <v>0</v>
      </c>
      <c r="CL15" s="28">
        <f t="shared" si="3"/>
        <v>0</v>
      </c>
      <c r="CM15" s="28">
        <f t="shared" si="3"/>
        <v>0</v>
      </c>
      <c r="CN15" s="28">
        <f t="shared" si="3"/>
        <v>0</v>
      </c>
      <c r="CO15" s="28">
        <f t="shared" si="3"/>
        <v>0</v>
      </c>
      <c r="CP15" s="28">
        <f t="shared" si="3"/>
        <v>0</v>
      </c>
      <c r="CQ15" s="28">
        <f t="shared" si="3"/>
        <v>0</v>
      </c>
      <c r="CR15" s="29">
        <f t="shared" si="3"/>
        <v>0</v>
      </c>
      <c r="CS15" s="30">
        <f t="shared" si="15"/>
        <v>0</v>
      </c>
      <c r="CU15" s="27">
        <f t="shared" si="16"/>
        <v>0</v>
      </c>
      <c r="CV15" s="28">
        <f t="shared" si="4"/>
        <v>0</v>
      </c>
      <c r="CW15" s="28">
        <f t="shared" si="4"/>
        <v>0</v>
      </c>
      <c r="CX15" s="28">
        <f t="shared" si="4"/>
        <v>0</v>
      </c>
      <c r="CY15" s="28">
        <f t="shared" si="4"/>
        <v>0</v>
      </c>
      <c r="CZ15" s="28">
        <f t="shared" si="4"/>
        <v>0</v>
      </c>
      <c r="DA15" s="28">
        <f t="shared" si="4"/>
        <v>0</v>
      </c>
      <c r="DB15" s="28">
        <f t="shared" si="4"/>
        <v>0</v>
      </c>
      <c r="DC15" s="28">
        <f t="shared" si="4"/>
        <v>0</v>
      </c>
      <c r="DD15" s="28">
        <f t="shared" si="4"/>
        <v>0</v>
      </c>
      <c r="DE15" s="28">
        <f t="shared" si="4"/>
        <v>0</v>
      </c>
      <c r="DF15" s="29">
        <f t="shared" si="4"/>
        <v>0</v>
      </c>
      <c r="DG15" s="30">
        <f t="shared" si="17"/>
        <v>0</v>
      </c>
      <c r="DI15" s="27">
        <f t="shared" si="18"/>
        <v>0</v>
      </c>
      <c r="DJ15" s="28">
        <f t="shared" si="5"/>
        <v>0</v>
      </c>
      <c r="DK15" s="28">
        <f t="shared" si="5"/>
        <v>0</v>
      </c>
      <c r="DL15" s="28">
        <f t="shared" si="5"/>
        <v>0</v>
      </c>
      <c r="DM15" s="28">
        <f t="shared" si="5"/>
        <v>0</v>
      </c>
      <c r="DN15" s="28">
        <f t="shared" si="5"/>
        <v>0</v>
      </c>
      <c r="DO15" s="28">
        <f t="shared" si="5"/>
        <v>0</v>
      </c>
      <c r="DP15" s="28">
        <f t="shared" si="5"/>
        <v>0</v>
      </c>
      <c r="DQ15" s="28">
        <f t="shared" si="5"/>
        <v>0</v>
      </c>
      <c r="DR15" s="28">
        <f t="shared" si="5"/>
        <v>0</v>
      </c>
      <c r="DS15" s="28">
        <f t="shared" si="5"/>
        <v>0</v>
      </c>
      <c r="DT15" s="29">
        <f t="shared" si="5"/>
        <v>0</v>
      </c>
      <c r="DU15" s="30">
        <f t="shared" si="19"/>
        <v>0</v>
      </c>
    </row>
    <row r="16" spans="1:125" x14ac:dyDescent="0.2">
      <c r="A16">
        <f t="shared" si="6"/>
        <v>19</v>
      </c>
      <c r="B16" s="49" t="str">
        <f>_xlfn.XLOOKUP(E16,Códigos_Propuestas!$B$4:$B$10,Códigos_Propuestas!$C$4:$C$10,"!",0,1)&amp;"__"&amp;
_xlfn.XLOOKUP(H16,Códigos_Propuestas!$E$4:$E$76,Códigos_Propuestas!$F$4:$F$76,"!",1)&amp;"__"&amp;
_xlfn.XLOOKUP(L16,Códigos_Propuestas!$I$4:$I$7,Códigos_Propuestas!$J$4:$J$7,"!",1)&amp;"__"&amp;
_xlfn.XLOOKUP(M16,Códigos_Propuestas!$O$4:$O$11,Códigos_Propuestas!$Q$4:$Q$11,"!",1)&amp;"__"&amp;
_xlfn.XLOOKUP(F16,Códigos_Propuestas!$BF:$BF,Códigos_Propuestas!$BH:$BH,"!",0,1)</f>
        <v>PE__CMH__UG__!__020</v>
      </c>
      <c r="C16" t="b">
        <f>F16=[1]CRM!C15</f>
        <v>1</v>
      </c>
      <c r="D16" s="47">
        <f t="shared" si="20"/>
        <v>14</v>
      </c>
      <c r="E16" s="13" t="s">
        <v>62</v>
      </c>
      <c r="F16" s="12" t="s">
        <v>217</v>
      </c>
      <c r="G16" s="12" t="s">
        <v>217</v>
      </c>
      <c r="H16" s="13" t="s">
        <v>331</v>
      </c>
      <c r="I16" s="13"/>
      <c r="J16" s="13" t="s">
        <v>143</v>
      </c>
      <c r="K16" s="17" t="s">
        <v>72</v>
      </c>
      <c r="L16" s="13" t="s">
        <v>65</v>
      </c>
      <c r="M16" s="14"/>
      <c r="N16" s="14" t="str">
        <f>_xlfn.XLOOKUP(M16,Códigos_Propuestas!$O$4:$O$15,Códigos_Propuestas!$P$4:$P$15,"!",0,1)</f>
        <v>R+</v>
      </c>
      <c r="O16" s="14"/>
      <c r="P16" s="14"/>
      <c r="Q16" s="14" t="s">
        <v>79</v>
      </c>
      <c r="R16" s="14"/>
      <c r="S16" s="14"/>
      <c r="T16" s="14"/>
      <c r="U16" s="14"/>
      <c r="V16" s="13"/>
      <c r="W16" s="115"/>
      <c r="X16" s="116">
        <f t="shared" ca="1" si="7"/>
        <v>0</v>
      </c>
      <c r="Y16" s="13" t="str">
        <f t="shared" ca="1" si="8"/>
        <v/>
      </c>
      <c r="Z16" s="13"/>
      <c r="AA16" s="115"/>
      <c r="AB16" s="130" t="b">
        <v>0</v>
      </c>
      <c r="AC16" s="115"/>
      <c r="AD16" s="130" t="b">
        <v>0</v>
      </c>
      <c r="AE16" s="115"/>
      <c r="AF16" s="130" t="b">
        <v>0</v>
      </c>
      <c r="AG16" s="13"/>
      <c r="AH16" s="13"/>
      <c r="AI16" s="130" t="b">
        <v>0</v>
      </c>
      <c r="AJ16" s="13"/>
      <c r="AK16" s="130" t="b">
        <v>0</v>
      </c>
      <c r="AL16" s="13"/>
      <c r="AM16" s="130" t="b">
        <v>0</v>
      </c>
      <c r="AN16" s="13"/>
      <c r="AO16" s="130" t="b">
        <v>0</v>
      </c>
      <c r="AP16" s="13"/>
      <c r="AQ16" s="13"/>
      <c r="AR16" s="130" t="b">
        <v>0</v>
      </c>
      <c r="AS16" s="130" t="b">
        <v>0</v>
      </c>
      <c r="AT16" s="130" t="b">
        <v>0</v>
      </c>
      <c r="AU16" s="130" t="b">
        <v>0</v>
      </c>
      <c r="AV16" s="130" t="b">
        <v>0</v>
      </c>
      <c r="AW16" s="11"/>
      <c r="AX16" s="11"/>
      <c r="AY16" s="11"/>
      <c r="AZ16" s="11"/>
      <c r="BA16" s="11"/>
      <c r="BB16" s="28"/>
      <c r="BC16" s="97">
        <v>83000</v>
      </c>
      <c r="BD16" s="97"/>
      <c r="BE16" s="13">
        <v>2</v>
      </c>
      <c r="BF16" s="134">
        <f>_xlfn.XLOOKUP($J16,'Criterios GoGet'!$B$3:$B$8,'Criterios GoGet'!$C$3:$C$8,0,0,1)</f>
        <v>1</v>
      </c>
      <c r="BG16" s="134"/>
      <c r="BH16" s="15">
        <f t="shared" si="9"/>
        <v>0</v>
      </c>
      <c r="BI16" s="18"/>
      <c r="BJ16" s="18">
        <v>46003</v>
      </c>
      <c r="BK16" s="16"/>
      <c r="BL16" s="19">
        <f t="shared" si="0"/>
        <v>0</v>
      </c>
      <c r="BM16" s="19">
        <f t="shared" si="10"/>
        <v>0</v>
      </c>
      <c r="BN16" s="20">
        <f t="shared" si="11"/>
        <v>32</v>
      </c>
      <c r="BO16" s="21">
        <f t="shared" si="12"/>
        <v>60</v>
      </c>
      <c r="BP16" s="111">
        <f t="shared" si="1"/>
        <v>32</v>
      </c>
      <c r="BQ16" s="112">
        <f t="shared" si="1"/>
        <v>32</v>
      </c>
      <c r="BS16" s="28">
        <f t="shared" si="2"/>
        <v>0</v>
      </c>
      <c r="BT16" s="28">
        <f t="shared" si="2"/>
        <v>0</v>
      </c>
      <c r="BU16" s="28">
        <f t="shared" si="2"/>
        <v>0</v>
      </c>
      <c r="BV16" s="28">
        <f t="shared" si="2"/>
        <v>0</v>
      </c>
      <c r="BW16" s="28">
        <f t="shared" si="2"/>
        <v>0</v>
      </c>
      <c r="BX16" s="28">
        <f t="shared" si="2"/>
        <v>0</v>
      </c>
      <c r="BY16" s="28">
        <f t="shared" si="2"/>
        <v>0</v>
      </c>
      <c r="BZ16" s="28">
        <f t="shared" si="2"/>
        <v>0</v>
      </c>
      <c r="CA16" s="28">
        <f t="shared" si="2"/>
        <v>0</v>
      </c>
      <c r="CB16" s="28">
        <f t="shared" si="2"/>
        <v>0</v>
      </c>
      <c r="CC16" s="28">
        <f t="shared" si="2"/>
        <v>0</v>
      </c>
      <c r="CD16" s="28">
        <f t="shared" si="2"/>
        <v>0</v>
      </c>
      <c r="CE16" s="30">
        <f t="shared" si="13"/>
        <v>0</v>
      </c>
      <c r="CG16" s="27">
        <f t="shared" si="14"/>
        <v>0</v>
      </c>
      <c r="CH16" s="28">
        <f t="shared" si="3"/>
        <v>0</v>
      </c>
      <c r="CI16" s="28">
        <f t="shared" si="3"/>
        <v>0</v>
      </c>
      <c r="CJ16" s="28">
        <f t="shared" si="3"/>
        <v>0</v>
      </c>
      <c r="CK16" s="28">
        <f t="shared" si="3"/>
        <v>0</v>
      </c>
      <c r="CL16" s="28">
        <f t="shared" si="3"/>
        <v>0</v>
      </c>
      <c r="CM16" s="28">
        <f t="shared" si="3"/>
        <v>0</v>
      </c>
      <c r="CN16" s="28">
        <f t="shared" si="3"/>
        <v>0</v>
      </c>
      <c r="CO16" s="28">
        <f t="shared" si="3"/>
        <v>0</v>
      </c>
      <c r="CP16" s="28">
        <f t="shared" si="3"/>
        <v>0</v>
      </c>
      <c r="CQ16" s="28">
        <f t="shared" si="3"/>
        <v>0</v>
      </c>
      <c r="CR16" s="29">
        <f t="shared" si="3"/>
        <v>0</v>
      </c>
      <c r="CS16" s="30">
        <f t="shared" si="15"/>
        <v>0</v>
      </c>
      <c r="CU16" s="27">
        <f t="shared" si="16"/>
        <v>0</v>
      </c>
      <c r="CV16" s="28">
        <f t="shared" si="4"/>
        <v>0</v>
      </c>
      <c r="CW16" s="28">
        <f t="shared" si="4"/>
        <v>0</v>
      </c>
      <c r="CX16" s="28">
        <f t="shared" si="4"/>
        <v>0</v>
      </c>
      <c r="CY16" s="28">
        <f t="shared" si="4"/>
        <v>0</v>
      </c>
      <c r="CZ16" s="28">
        <f t="shared" si="4"/>
        <v>0</v>
      </c>
      <c r="DA16" s="28">
        <f t="shared" si="4"/>
        <v>0</v>
      </c>
      <c r="DB16" s="28">
        <f t="shared" si="4"/>
        <v>0</v>
      </c>
      <c r="DC16" s="28">
        <f t="shared" si="4"/>
        <v>0</v>
      </c>
      <c r="DD16" s="28">
        <f t="shared" si="4"/>
        <v>0</v>
      </c>
      <c r="DE16" s="28">
        <f t="shared" si="4"/>
        <v>0</v>
      </c>
      <c r="DF16" s="29">
        <f t="shared" si="4"/>
        <v>0</v>
      </c>
      <c r="DG16" s="30">
        <f t="shared" si="17"/>
        <v>0</v>
      </c>
      <c r="DI16" s="27">
        <f t="shared" si="18"/>
        <v>0</v>
      </c>
      <c r="DJ16" s="28">
        <f t="shared" si="5"/>
        <v>0</v>
      </c>
      <c r="DK16" s="28">
        <f t="shared" si="5"/>
        <v>0</v>
      </c>
      <c r="DL16" s="28">
        <f t="shared" si="5"/>
        <v>0</v>
      </c>
      <c r="DM16" s="28">
        <f t="shared" si="5"/>
        <v>0</v>
      </c>
      <c r="DN16" s="28">
        <f t="shared" si="5"/>
        <v>0</v>
      </c>
      <c r="DO16" s="28">
        <f t="shared" si="5"/>
        <v>0</v>
      </c>
      <c r="DP16" s="28">
        <f t="shared" si="5"/>
        <v>0</v>
      </c>
      <c r="DQ16" s="28">
        <f t="shared" si="5"/>
        <v>0</v>
      </c>
      <c r="DR16" s="28">
        <f t="shared" si="5"/>
        <v>0</v>
      </c>
      <c r="DS16" s="28">
        <f t="shared" si="5"/>
        <v>0</v>
      </c>
      <c r="DT16" s="29">
        <f t="shared" si="5"/>
        <v>0</v>
      </c>
      <c r="DU16" s="30">
        <f t="shared" si="19"/>
        <v>0</v>
      </c>
    </row>
    <row r="17" spans="1:125" x14ac:dyDescent="0.2">
      <c r="A17">
        <f t="shared" si="6"/>
        <v>19</v>
      </c>
      <c r="B17" s="49" t="str">
        <f>_xlfn.XLOOKUP(E17,Códigos_Propuestas!$B$4:$B$10,Códigos_Propuestas!$C$4:$C$10,"!",0,1)&amp;"__"&amp;
_xlfn.XLOOKUP(H17,Códigos_Propuestas!$E$4:$E$76,Códigos_Propuestas!$F$4:$F$76,"!",1)&amp;"__"&amp;
_xlfn.XLOOKUP(L17,Códigos_Propuestas!$I$4:$I$7,Códigos_Propuestas!$J$4:$J$7,"!",1)&amp;"__"&amp;
_xlfn.XLOOKUP(M17,Códigos_Propuestas!$O$4:$O$11,Códigos_Propuestas!$Q$4:$Q$11,"!",1)&amp;"__"&amp;
_xlfn.XLOOKUP(F17,Códigos_Propuestas!$BF:$BF,Códigos_Propuestas!$BH:$BH,"!",0,1)</f>
        <v>CH__AMS__OP__!__021</v>
      </c>
      <c r="C17" t="b">
        <f>F17=[1]CRM!C16</f>
        <v>1</v>
      </c>
      <c r="D17" s="47">
        <f t="shared" si="20"/>
        <v>15</v>
      </c>
      <c r="E17" s="13" t="s">
        <v>32</v>
      </c>
      <c r="F17" s="12" t="s">
        <v>220</v>
      </c>
      <c r="G17" s="12" t="s">
        <v>220</v>
      </c>
      <c r="H17" s="13" t="s">
        <v>162</v>
      </c>
      <c r="I17" s="13"/>
      <c r="J17" s="13" t="s">
        <v>143</v>
      </c>
      <c r="K17" s="17" t="s">
        <v>98</v>
      </c>
      <c r="L17" s="13" t="s">
        <v>92</v>
      </c>
      <c r="M17" s="14"/>
      <c r="N17" s="14" t="str">
        <f>_xlfn.XLOOKUP(M17,Códigos_Propuestas!$O$4:$O$15,Códigos_Propuestas!$P$4:$P$15,"!",0,1)</f>
        <v>R+</v>
      </c>
      <c r="O17" s="14"/>
      <c r="P17" s="14"/>
      <c r="Q17" s="14"/>
      <c r="R17" s="14"/>
      <c r="S17" s="14"/>
      <c r="T17" s="14"/>
      <c r="U17" s="14"/>
      <c r="V17" s="13"/>
      <c r="W17" s="115"/>
      <c r="X17" s="116">
        <f t="shared" ca="1" si="7"/>
        <v>0</v>
      </c>
      <c r="Y17" s="13" t="str">
        <f t="shared" ca="1" si="8"/>
        <v/>
      </c>
      <c r="Z17" s="13"/>
      <c r="AA17" s="115"/>
      <c r="AB17" s="130" t="b">
        <v>0</v>
      </c>
      <c r="AC17" s="115"/>
      <c r="AD17" s="130" t="b">
        <v>0</v>
      </c>
      <c r="AE17" s="115"/>
      <c r="AF17" s="130" t="b">
        <v>0</v>
      </c>
      <c r="AG17" s="13"/>
      <c r="AH17" s="13"/>
      <c r="AI17" s="130" t="b">
        <v>0</v>
      </c>
      <c r="AJ17" s="13"/>
      <c r="AK17" s="130" t="b">
        <v>0</v>
      </c>
      <c r="AL17" s="13"/>
      <c r="AM17" s="130" t="b">
        <v>0</v>
      </c>
      <c r="AN17" s="13"/>
      <c r="AO17" s="130" t="b">
        <v>0</v>
      </c>
      <c r="AP17" s="13"/>
      <c r="AQ17" s="13"/>
      <c r="AR17" s="130" t="b">
        <v>0</v>
      </c>
      <c r="AS17" s="130" t="b">
        <v>0</v>
      </c>
      <c r="AT17" s="130" t="b">
        <v>0</v>
      </c>
      <c r="AU17" s="130" t="b">
        <v>0</v>
      </c>
      <c r="AV17" s="130" t="b">
        <v>0</v>
      </c>
      <c r="AW17" s="11"/>
      <c r="AX17" s="11"/>
      <c r="AY17" s="11"/>
      <c r="AZ17" s="11"/>
      <c r="BA17" s="11"/>
      <c r="BB17" s="28"/>
      <c r="BC17" s="97">
        <v>120000</v>
      </c>
      <c r="BD17" s="97"/>
      <c r="BE17" s="13">
        <v>3</v>
      </c>
      <c r="BF17" s="134">
        <f>_xlfn.XLOOKUP($J17,'Criterios GoGet'!$B$3:$B$8,'Criterios GoGet'!$C$3:$C$8,0,0,1)</f>
        <v>1</v>
      </c>
      <c r="BG17" s="134"/>
      <c r="BH17" s="15">
        <f t="shared" si="9"/>
        <v>0</v>
      </c>
      <c r="BI17" s="18"/>
      <c r="BJ17" s="18">
        <v>46001</v>
      </c>
      <c r="BK17" s="16"/>
      <c r="BL17" s="19">
        <f t="shared" si="0"/>
        <v>0</v>
      </c>
      <c r="BM17" s="19">
        <f t="shared" si="10"/>
        <v>0</v>
      </c>
      <c r="BN17" s="20">
        <f t="shared" si="11"/>
        <v>32</v>
      </c>
      <c r="BO17" s="21">
        <f t="shared" si="12"/>
        <v>92</v>
      </c>
      <c r="BP17" s="111">
        <f t="shared" si="1"/>
        <v>32</v>
      </c>
      <c r="BQ17" s="112">
        <f t="shared" si="1"/>
        <v>92</v>
      </c>
      <c r="BS17" s="28">
        <f t="shared" si="2"/>
        <v>0</v>
      </c>
      <c r="BT17" s="28">
        <f t="shared" si="2"/>
        <v>0</v>
      </c>
      <c r="BU17" s="28">
        <f t="shared" si="2"/>
        <v>0</v>
      </c>
      <c r="BV17" s="28">
        <f t="shared" si="2"/>
        <v>0</v>
      </c>
      <c r="BW17" s="28">
        <f t="shared" si="2"/>
        <v>0</v>
      </c>
      <c r="BX17" s="28">
        <f t="shared" si="2"/>
        <v>0</v>
      </c>
      <c r="BY17" s="28">
        <f t="shared" si="2"/>
        <v>0</v>
      </c>
      <c r="BZ17" s="28">
        <f t="shared" si="2"/>
        <v>0</v>
      </c>
      <c r="CA17" s="28">
        <f t="shared" si="2"/>
        <v>0</v>
      </c>
      <c r="CB17" s="28">
        <f t="shared" si="2"/>
        <v>0</v>
      </c>
      <c r="CC17" s="28">
        <f t="shared" si="2"/>
        <v>0</v>
      </c>
      <c r="CD17" s="28">
        <f t="shared" si="2"/>
        <v>0</v>
      </c>
      <c r="CE17" s="30">
        <f t="shared" si="13"/>
        <v>0</v>
      </c>
      <c r="CG17" s="27">
        <f t="shared" si="14"/>
        <v>0</v>
      </c>
      <c r="CH17" s="28">
        <f t="shared" si="3"/>
        <v>0</v>
      </c>
      <c r="CI17" s="28">
        <f t="shared" si="3"/>
        <v>0</v>
      </c>
      <c r="CJ17" s="28">
        <f t="shared" si="3"/>
        <v>0</v>
      </c>
      <c r="CK17" s="28">
        <f t="shared" si="3"/>
        <v>0</v>
      </c>
      <c r="CL17" s="28">
        <f t="shared" si="3"/>
        <v>0</v>
      </c>
      <c r="CM17" s="28">
        <f t="shared" si="3"/>
        <v>0</v>
      </c>
      <c r="CN17" s="28">
        <f t="shared" si="3"/>
        <v>0</v>
      </c>
      <c r="CO17" s="28">
        <f t="shared" si="3"/>
        <v>0</v>
      </c>
      <c r="CP17" s="28">
        <f t="shared" si="3"/>
        <v>0</v>
      </c>
      <c r="CQ17" s="28">
        <f t="shared" si="3"/>
        <v>0</v>
      </c>
      <c r="CR17" s="29">
        <f t="shared" si="3"/>
        <v>0</v>
      </c>
      <c r="CS17" s="30">
        <f t="shared" si="15"/>
        <v>0</v>
      </c>
      <c r="CU17" s="27">
        <f t="shared" si="16"/>
        <v>0</v>
      </c>
      <c r="CV17" s="28">
        <f t="shared" si="4"/>
        <v>0</v>
      </c>
      <c r="CW17" s="28">
        <f t="shared" si="4"/>
        <v>0</v>
      </c>
      <c r="CX17" s="28">
        <f t="shared" si="4"/>
        <v>0</v>
      </c>
      <c r="CY17" s="28">
        <f t="shared" si="4"/>
        <v>0</v>
      </c>
      <c r="CZ17" s="28">
        <f t="shared" si="4"/>
        <v>0</v>
      </c>
      <c r="DA17" s="28">
        <f t="shared" si="4"/>
        <v>0</v>
      </c>
      <c r="DB17" s="28">
        <f t="shared" si="4"/>
        <v>0</v>
      </c>
      <c r="DC17" s="28">
        <f t="shared" si="4"/>
        <v>0</v>
      </c>
      <c r="DD17" s="28">
        <f t="shared" si="4"/>
        <v>0</v>
      </c>
      <c r="DE17" s="28">
        <f t="shared" si="4"/>
        <v>0</v>
      </c>
      <c r="DF17" s="29">
        <f t="shared" si="4"/>
        <v>0</v>
      </c>
      <c r="DG17" s="30">
        <f t="shared" si="17"/>
        <v>0</v>
      </c>
      <c r="DI17" s="27">
        <f t="shared" si="18"/>
        <v>0</v>
      </c>
      <c r="DJ17" s="28">
        <f t="shared" si="5"/>
        <v>0</v>
      </c>
      <c r="DK17" s="28">
        <f t="shared" si="5"/>
        <v>0</v>
      </c>
      <c r="DL17" s="28">
        <f t="shared" si="5"/>
        <v>0</v>
      </c>
      <c r="DM17" s="28">
        <f t="shared" si="5"/>
        <v>0</v>
      </c>
      <c r="DN17" s="28">
        <f t="shared" si="5"/>
        <v>0</v>
      </c>
      <c r="DO17" s="28">
        <f t="shared" si="5"/>
        <v>0</v>
      </c>
      <c r="DP17" s="28">
        <f t="shared" si="5"/>
        <v>0</v>
      </c>
      <c r="DQ17" s="28">
        <f t="shared" si="5"/>
        <v>0</v>
      </c>
      <c r="DR17" s="28">
        <f t="shared" si="5"/>
        <v>0</v>
      </c>
      <c r="DS17" s="28">
        <f t="shared" si="5"/>
        <v>0</v>
      </c>
      <c r="DT17" s="29">
        <f t="shared" si="5"/>
        <v>0</v>
      </c>
      <c r="DU17" s="30">
        <f t="shared" si="19"/>
        <v>0</v>
      </c>
    </row>
    <row r="18" spans="1:125" x14ac:dyDescent="0.2">
      <c r="A18">
        <f t="shared" si="6"/>
        <v>19</v>
      </c>
      <c r="B18" s="49" t="str">
        <f>_xlfn.XLOOKUP(E18,Códigos_Propuestas!$B$4:$B$10,Códigos_Propuestas!$C$4:$C$10,"!",0,1)&amp;"__"&amp;
_xlfn.XLOOKUP(H18,Códigos_Propuestas!$E$4:$E$76,Códigos_Propuestas!$F$4:$F$76,"!",1)&amp;"__"&amp;
_xlfn.XLOOKUP(L18,Códigos_Propuestas!$I$4:$I$7,Códigos_Propuestas!$J$4:$J$7,"!",1)&amp;"__"&amp;
_xlfn.XLOOKUP(M18,Códigos_Propuestas!$O$4:$O$11,Códigos_Propuestas!$Q$4:$Q$11,"!",1)&amp;"__"&amp;
_xlfn.XLOOKUP(F18,Códigos_Propuestas!$BF:$BF,Códigos_Propuestas!$BH:$BH,"!",0,1)</f>
        <v>PE__MMA__UG__!__002</v>
      </c>
      <c r="C18" t="b">
        <f>F18=[1]CRM!C17</f>
        <v>1</v>
      </c>
      <c r="D18" s="47">
        <f t="shared" si="20"/>
        <v>16</v>
      </c>
      <c r="E18" s="12" t="s">
        <v>62</v>
      </c>
      <c r="F18" s="12" t="s">
        <v>31</v>
      </c>
      <c r="G18" s="12" t="s">
        <v>31</v>
      </c>
      <c r="H18" s="13" t="s">
        <v>221</v>
      </c>
      <c r="I18" s="13" t="s">
        <v>221</v>
      </c>
      <c r="J18" s="13" t="s">
        <v>122</v>
      </c>
      <c r="K18" s="17" t="s">
        <v>44</v>
      </c>
      <c r="L18" s="13" t="s">
        <v>65</v>
      </c>
      <c r="M18" s="14"/>
      <c r="N18" s="14" t="str">
        <f>_xlfn.XLOOKUP(M18,Códigos_Propuestas!$O$4:$O$15,Códigos_Propuestas!$P$4:$P$15,"!",0,1)</f>
        <v>R+</v>
      </c>
      <c r="O18" s="14"/>
      <c r="P18" s="14"/>
      <c r="Q18" s="14"/>
      <c r="R18" s="14"/>
      <c r="S18" s="14"/>
      <c r="T18" s="14"/>
      <c r="U18" s="14"/>
      <c r="V18" s="13"/>
      <c r="W18" s="115"/>
      <c r="X18" s="116">
        <f t="shared" ca="1" si="7"/>
        <v>0</v>
      </c>
      <c r="Y18" s="13" t="str">
        <f t="shared" ca="1" si="8"/>
        <v/>
      </c>
      <c r="Z18" s="13"/>
      <c r="AA18" s="115"/>
      <c r="AB18" s="130" t="b">
        <v>0</v>
      </c>
      <c r="AC18" s="115"/>
      <c r="AD18" s="130" t="b">
        <v>0</v>
      </c>
      <c r="AE18" s="115"/>
      <c r="AF18" s="130" t="b">
        <v>0</v>
      </c>
      <c r="AG18" s="13"/>
      <c r="AH18" s="13"/>
      <c r="AI18" s="130" t="b">
        <v>0</v>
      </c>
      <c r="AJ18" s="13"/>
      <c r="AK18" s="130" t="b">
        <v>0</v>
      </c>
      <c r="AL18" s="13"/>
      <c r="AM18" s="130" t="b">
        <v>0</v>
      </c>
      <c r="AN18" s="13"/>
      <c r="AO18" s="130" t="b">
        <v>0</v>
      </c>
      <c r="AP18" s="13"/>
      <c r="AQ18" s="13"/>
      <c r="AR18" s="130" t="b">
        <v>0</v>
      </c>
      <c r="AS18" s="130" t="b">
        <v>0</v>
      </c>
      <c r="AT18" s="130" t="b">
        <v>0</v>
      </c>
      <c r="AU18" s="130" t="b">
        <v>0</v>
      </c>
      <c r="AV18" s="130" t="b">
        <v>0</v>
      </c>
      <c r="AW18" s="11"/>
      <c r="AX18" s="11"/>
      <c r="AY18" s="11"/>
      <c r="AZ18" s="11"/>
      <c r="BA18" s="11"/>
      <c r="BB18" s="28"/>
      <c r="BC18" s="97">
        <v>400000</v>
      </c>
      <c r="BD18" s="97">
        <v>160000</v>
      </c>
      <c r="BE18" s="146">
        <v>24</v>
      </c>
      <c r="BF18" s="134">
        <f>_xlfn.XLOOKUP($J18,'Criterios GoGet'!$B$3:$B$8,'Criterios GoGet'!$C$3:$C$8,0,0,1)</f>
        <v>1</v>
      </c>
      <c r="BG18" s="134">
        <v>1</v>
      </c>
      <c r="BH18" s="15">
        <f t="shared" si="9"/>
        <v>1</v>
      </c>
      <c r="BI18" s="18"/>
      <c r="BJ18" s="18">
        <v>45835</v>
      </c>
      <c r="BK18" s="140">
        <v>46035</v>
      </c>
      <c r="BL18" s="19">
        <f t="shared" si="0"/>
        <v>400000</v>
      </c>
      <c r="BM18" s="19">
        <f t="shared" si="10"/>
        <v>160000</v>
      </c>
      <c r="BN18" s="20">
        <f t="shared" si="11"/>
        <v>46082</v>
      </c>
      <c r="BO18" s="21">
        <f t="shared" si="12"/>
        <v>46784</v>
      </c>
      <c r="BP18" s="111">
        <f t="shared" si="1"/>
        <v>46082</v>
      </c>
      <c r="BQ18" s="112">
        <f t="shared" si="1"/>
        <v>46784</v>
      </c>
      <c r="BS18" s="28">
        <f t="shared" si="2"/>
        <v>0</v>
      </c>
      <c r="BT18" s="28">
        <f t="shared" si="2"/>
        <v>0</v>
      </c>
      <c r="BU18" s="28">
        <f t="shared" si="2"/>
        <v>16666.666666666668</v>
      </c>
      <c r="BV18" s="28">
        <f t="shared" si="2"/>
        <v>16666.666666666668</v>
      </c>
      <c r="BW18" s="28">
        <f t="shared" si="2"/>
        <v>16666.666666666668</v>
      </c>
      <c r="BX18" s="28">
        <f t="shared" si="2"/>
        <v>16666.666666666668</v>
      </c>
      <c r="BY18" s="28">
        <f t="shared" si="2"/>
        <v>16666.666666666668</v>
      </c>
      <c r="BZ18" s="28">
        <f t="shared" si="2"/>
        <v>16666.666666666668</v>
      </c>
      <c r="CA18" s="28">
        <f t="shared" si="2"/>
        <v>16666.666666666668</v>
      </c>
      <c r="CB18" s="28">
        <f t="shared" si="2"/>
        <v>16666.666666666668</v>
      </c>
      <c r="CC18" s="28">
        <f t="shared" si="2"/>
        <v>16666.666666666668</v>
      </c>
      <c r="CD18" s="28">
        <f>IF($BE18&lt;1,IF(CD$2=$BP18,$BC18,0),IFERROR(IF(AND(CD$2&gt;=$BP18,CD$2&lt;=$BQ18),$BC18/$BE18,0),0))</f>
        <v>16666.666666666668</v>
      </c>
      <c r="CE18" s="30">
        <f t="shared" si="13"/>
        <v>166666.66666666666</v>
      </c>
      <c r="CG18" s="27">
        <f t="shared" si="14"/>
        <v>0</v>
      </c>
      <c r="CH18" s="28">
        <f t="shared" si="3"/>
        <v>0</v>
      </c>
      <c r="CI18" s="28">
        <f t="shared" si="3"/>
        <v>16666.666666666668</v>
      </c>
      <c r="CJ18" s="28">
        <f t="shared" si="3"/>
        <v>16666.666666666668</v>
      </c>
      <c r="CK18" s="28">
        <f t="shared" si="3"/>
        <v>16666.666666666668</v>
      </c>
      <c r="CL18" s="28">
        <f t="shared" si="3"/>
        <v>16666.666666666668</v>
      </c>
      <c r="CM18" s="28">
        <f t="shared" si="3"/>
        <v>16666.666666666668</v>
      </c>
      <c r="CN18" s="28">
        <f t="shared" si="3"/>
        <v>16666.666666666668</v>
      </c>
      <c r="CO18" s="28">
        <f t="shared" si="3"/>
        <v>16666.666666666668</v>
      </c>
      <c r="CP18" s="28">
        <f t="shared" si="3"/>
        <v>16666.666666666668</v>
      </c>
      <c r="CQ18" s="28">
        <f t="shared" si="3"/>
        <v>16666.666666666668</v>
      </c>
      <c r="CR18" s="29">
        <f t="shared" si="3"/>
        <v>16666.666666666668</v>
      </c>
      <c r="CS18" s="30">
        <f t="shared" si="15"/>
        <v>166666.66666666666</v>
      </c>
      <c r="CU18" s="27">
        <f t="shared" si="16"/>
        <v>0</v>
      </c>
      <c r="CV18" s="28">
        <f t="shared" si="4"/>
        <v>0</v>
      </c>
      <c r="CW18" s="28">
        <f t="shared" si="4"/>
        <v>6666.666666666667</v>
      </c>
      <c r="CX18" s="28">
        <f t="shared" si="4"/>
        <v>6666.666666666667</v>
      </c>
      <c r="CY18" s="28">
        <f t="shared" si="4"/>
        <v>6666.666666666667</v>
      </c>
      <c r="CZ18" s="28">
        <f t="shared" si="4"/>
        <v>6666.666666666667</v>
      </c>
      <c r="DA18" s="28">
        <f t="shared" si="4"/>
        <v>6666.666666666667</v>
      </c>
      <c r="DB18" s="28">
        <f t="shared" si="4"/>
        <v>6666.666666666667</v>
      </c>
      <c r="DC18" s="28">
        <f t="shared" si="4"/>
        <v>6666.666666666667</v>
      </c>
      <c r="DD18" s="28">
        <f t="shared" si="4"/>
        <v>6666.666666666667</v>
      </c>
      <c r="DE18" s="28">
        <f t="shared" si="4"/>
        <v>6666.666666666667</v>
      </c>
      <c r="DF18" s="29">
        <f t="shared" si="4"/>
        <v>6666.666666666667</v>
      </c>
      <c r="DG18" s="30">
        <f t="shared" si="17"/>
        <v>66666.666666666657</v>
      </c>
      <c r="DI18" s="27">
        <f t="shared" si="18"/>
        <v>0</v>
      </c>
      <c r="DJ18" s="28">
        <f t="shared" si="5"/>
        <v>0</v>
      </c>
      <c r="DK18" s="28">
        <f t="shared" si="5"/>
        <v>6666.666666666667</v>
      </c>
      <c r="DL18" s="28">
        <f t="shared" si="5"/>
        <v>6666.666666666667</v>
      </c>
      <c r="DM18" s="28">
        <f t="shared" si="5"/>
        <v>6666.666666666667</v>
      </c>
      <c r="DN18" s="28">
        <f t="shared" si="5"/>
        <v>6666.666666666667</v>
      </c>
      <c r="DO18" s="28">
        <f t="shared" si="5"/>
        <v>6666.666666666667</v>
      </c>
      <c r="DP18" s="28">
        <f t="shared" si="5"/>
        <v>6666.666666666667</v>
      </c>
      <c r="DQ18" s="28">
        <f t="shared" si="5"/>
        <v>6666.666666666667</v>
      </c>
      <c r="DR18" s="28">
        <f t="shared" si="5"/>
        <v>6666.666666666667</v>
      </c>
      <c r="DS18" s="28">
        <f t="shared" si="5"/>
        <v>6666.666666666667</v>
      </c>
      <c r="DT18" s="29">
        <f t="shared" si="5"/>
        <v>6666.666666666667</v>
      </c>
      <c r="DU18" s="30">
        <f t="shared" si="19"/>
        <v>66666.666666666657</v>
      </c>
    </row>
    <row r="19" spans="1:125" x14ac:dyDescent="0.2">
      <c r="A19">
        <f t="shared" si="6"/>
        <v>19</v>
      </c>
      <c r="B19" s="49" t="str">
        <f>_xlfn.XLOOKUP(E19,Códigos_Propuestas!$B$4:$B$10,Códigos_Propuestas!$C$4:$C$10,"!",0,1)&amp;"__"&amp;
_xlfn.XLOOKUP(H19,Códigos_Propuestas!$E$4:$E$76,Códigos_Propuestas!$F$4:$F$76,"!",1)&amp;"__"&amp;
_xlfn.XLOOKUP(L19,Códigos_Propuestas!$I$4:$I$7,Códigos_Propuestas!$J$4:$J$7,"!",1)&amp;"__"&amp;
_xlfn.XLOOKUP(M19,Códigos_Propuestas!$O$4:$O$11,Códigos_Propuestas!$Q$4:$Q$11,"!",1)&amp;"__"&amp;
_xlfn.XLOOKUP(F19,Códigos_Propuestas!$BF:$BF,Códigos_Propuestas!$BH:$BH,"!",0,1)</f>
        <v>PE__HCS__UG__!__006</v>
      </c>
      <c r="C19" t="b">
        <f>F19=[1]CRM!C18</f>
        <v>1</v>
      </c>
      <c r="D19" s="47">
        <f t="shared" si="20"/>
        <v>17</v>
      </c>
      <c r="E19" s="13" t="s">
        <v>62</v>
      </c>
      <c r="F19" s="12" t="s">
        <v>135</v>
      </c>
      <c r="G19" s="12" t="s">
        <v>135</v>
      </c>
      <c r="H19" s="13" t="s">
        <v>323</v>
      </c>
      <c r="I19" s="13" t="s">
        <v>528</v>
      </c>
      <c r="J19" s="13" t="s">
        <v>143</v>
      </c>
      <c r="K19" s="17" t="s">
        <v>72</v>
      </c>
      <c r="L19" s="13" t="s">
        <v>65</v>
      </c>
      <c r="M19" s="14"/>
      <c r="N19" s="14" t="str">
        <f>_xlfn.XLOOKUP(M19,Códigos_Propuestas!$O$4:$O$15,Códigos_Propuestas!$P$4:$P$15,"!",0,1)</f>
        <v>R+</v>
      </c>
      <c r="O19" s="14"/>
      <c r="P19" s="14"/>
      <c r="Q19" s="14"/>
      <c r="R19" s="14"/>
      <c r="S19" s="14"/>
      <c r="T19" s="14"/>
      <c r="U19" s="14"/>
      <c r="V19" s="13"/>
      <c r="W19" s="13"/>
      <c r="X19" s="116">
        <f t="shared" ca="1" si="7"/>
        <v>0</v>
      </c>
      <c r="Y19" s="13" t="str">
        <f t="shared" ca="1" si="8"/>
        <v/>
      </c>
      <c r="Z19" s="13"/>
      <c r="AA19" s="115"/>
      <c r="AB19" s="130" t="b">
        <v>0</v>
      </c>
      <c r="AC19" s="115"/>
      <c r="AD19" s="130" t="b">
        <v>0</v>
      </c>
      <c r="AE19" s="115"/>
      <c r="AF19" s="130" t="b">
        <v>0</v>
      </c>
      <c r="AG19" s="13"/>
      <c r="AH19" s="13"/>
      <c r="AI19" s="130" t="b">
        <v>0</v>
      </c>
      <c r="AJ19" s="13"/>
      <c r="AK19" s="130" t="b">
        <v>0</v>
      </c>
      <c r="AL19" s="13"/>
      <c r="AM19" s="130" t="b">
        <v>0</v>
      </c>
      <c r="AN19" s="13"/>
      <c r="AO19" s="130" t="b">
        <v>0</v>
      </c>
      <c r="AP19" s="13"/>
      <c r="AQ19" s="13"/>
      <c r="AR19" s="130" t="b">
        <v>0</v>
      </c>
      <c r="AS19" s="130" t="b">
        <v>0</v>
      </c>
      <c r="AT19" s="130" t="b">
        <v>0</v>
      </c>
      <c r="AU19" s="130" t="b">
        <v>0</v>
      </c>
      <c r="AV19" s="130" t="b">
        <v>0</v>
      </c>
      <c r="AW19" s="11"/>
      <c r="AX19" s="11"/>
      <c r="AY19" s="11"/>
      <c r="AZ19" s="11"/>
      <c r="BA19" s="11"/>
      <c r="BB19" s="28"/>
      <c r="BC19" s="97">
        <v>65000</v>
      </c>
      <c r="BD19" s="97"/>
      <c r="BE19" s="13">
        <v>3</v>
      </c>
      <c r="BF19" s="134">
        <f>_xlfn.XLOOKUP($J19,'Criterios GoGet'!$B$3:$B$8,'Criterios GoGet'!$C$3:$C$8,0,0,1)</f>
        <v>1</v>
      </c>
      <c r="BG19" s="134"/>
      <c r="BH19" s="15">
        <f t="shared" si="9"/>
        <v>0</v>
      </c>
      <c r="BI19" s="18"/>
      <c r="BJ19" s="18">
        <v>45937</v>
      </c>
      <c r="BK19" s="16"/>
      <c r="BL19" s="19">
        <f t="shared" si="0"/>
        <v>0</v>
      </c>
      <c r="BM19" s="19">
        <f t="shared" si="10"/>
        <v>0</v>
      </c>
      <c r="BN19" s="20">
        <f t="shared" si="11"/>
        <v>32</v>
      </c>
      <c r="BO19" s="21">
        <f t="shared" si="12"/>
        <v>92</v>
      </c>
      <c r="BP19" s="111">
        <f t="shared" si="1"/>
        <v>32</v>
      </c>
      <c r="BQ19" s="112">
        <f t="shared" si="1"/>
        <v>92</v>
      </c>
      <c r="BS19" s="28">
        <f t="shared" si="2"/>
        <v>0</v>
      </c>
      <c r="BT19" s="28">
        <f t="shared" si="2"/>
        <v>0</v>
      </c>
      <c r="BU19" s="28">
        <f t="shared" si="2"/>
        <v>0</v>
      </c>
      <c r="BV19" s="28">
        <f t="shared" si="2"/>
        <v>0</v>
      </c>
      <c r="BW19" s="28">
        <f t="shared" si="2"/>
        <v>0</v>
      </c>
      <c r="BX19" s="28">
        <f t="shared" si="2"/>
        <v>0</v>
      </c>
      <c r="BY19" s="28">
        <f t="shared" si="2"/>
        <v>0</v>
      </c>
      <c r="BZ19" s="28">
        <f t="shared" si="2"/>
        <v>0</v>
      </c>
      <c r="CA19" s="28">
        <f t="shared" si="2"/>
        <v>0</v>
      </c>
      <c r="CB19" s="28">
        <f t="shared" si="2"/>
        <v>0</v>
      </c>
      <c r="CC19" s="28">
        <f t="shared" si="2"/>
        <v>0</v>
      </c>
      <c r="CD19" s="28">
        <f>IF($BE19&lt;1,IF(CD$2=$BP19,$BC19,0),IFERROR(IF(AND(CD$2&gt;=$BP19,CD$2&lt;=$BQ19),$BC19/$BE19,0),0))</f>
        <v>0</v>
      </c>
      <c r="CE19" s="30">
        <f t="shared" si="13"/>
        <v>0</v>
      </c>
      <c r="CG19" s="27">
        <f t="shared" si="14"/>
        <v>0</v>
      </c>
      <c r="CH19" s="28">
        <f t="shared" si="14"/>
        <v>0</v>
      </c>
      <c r="CI19" s="28">
        <f t="shared" si="14"/>
        <v>0</v>
      </c>
      <c r="CJ19" s="28">
        <f t="shared" si="14"/>
        <v>0</v>
      </c>
      <c r="CK19" s="28">
        <f t="shared" si="14"/>
        <v>0</v>
      </c>
      <c r="CL19" s="28">
        <f t="shared" si="14"/>
        <v>0</v>
      </c>
      <c r="CM19" s="28">
        <f t="shared" si="14"/>
        <v>0</v>
      </c>
      <c r="CN19" s="28">
        <f t="shared" si="14"/>
        <v>0</v>
      </c>
      <c r="CO19" s="28">
        <f t="shared" si="14"/>
        <v>0</v>
      </c>
      <c r="CP19" s="28">
        <f t="shared" si="14"/>
        <v>0</v>
      </c>
      <c r="CQ19" s="28">
        <f t="shared" si="14"/>
        <v>0</v>
      </c>
      <c r="CR19" s="29">
        <f t="shared" si="14"/>
        <v>0</v>
      </c>
      <c r="CS19" s="30">
        <f t="shared" si="15"/>
        <v>0</v>
      </c>
      <c r="CU19" s="27">
        <f t="shared" si="16"/>
        <v>0</v>
      </c>
      <c r="CV19" s="28">
        <f t="shared" si="16"/>
        <v>0</v>
      </c>
      <c r="CW19" s="28">
        <f t="shared" si="16"/>
        <v>0</v>
      </c>
      <c r="CX19" s="28">
        <f t="shared" si="16"/>
        <v>0</v>
      </c>
      <c r="CY19" s="28">
        <f t="shared" si="16"/>
        <v>0</v>
      </c>
      <c r="CZ19" s="28">
        <f t="shared" si="16"/>
        <v>0</v>
      </c>
      <c r="DA19" s="28">
        <f t="shared" si="16"/>
        <v>0</v>
      </c>
      <c r="DB19" s="28">
        <f t="shared" si="16"/>
        <v>0</v>
      </c>
      <c r="DC19" s="28">
        <f t="shared" si="16"/>
        <v>0</v>
      </c>
      <c r="DD19" s="28">
        <f t="shared" si="16"/>
        <v>0</v>
      </c>
      <c r="DE19" s="28">
        <f t="shared" si="16"/>
        <v>0</v>
      </c>
      <c r="DF19" s="29">
        <f t="shared" si="16"/>
        <v>0</v>
      </c>
      <c r="DG19" s="30">
        <f t="shared" si="17"/>
        <v>0</v>
      </c>
      <c r="DI19" s="27">
        <f t="shared" si="18"/>
        <v>0</v>
      </c>
      <c r="DJ19" s="28">
        <f t="shared" si="18"/>
        <v>0</v>
      </c>
      <c r="DK19" s="28">
        <f t="shared" si="18"/>
        <v>0</v>
      </c>
      <c r="DL19" s="28">
        <f t="shared" si="18"/>
        <v>0</v>
      </c>
      <c r="DM19" s="28">
        <f t="shared" si="18"/>
        <v>0</v>
      </c>
      <c r="DN19" s="28">
        <f t="shared" si="18"/>
        <v>0</v>
      </c>
      <c r="DO19" s="28">
        <f t="shared" si="18"/>
        <v>0</v>
      </c>
      <c r="DP19" s="28">
        <f t="shared" si="18"/>
        <v>0</v>
      </c>
      <c r="DQ19" s="28">
        <f t="shared" si="18"/>
        <v>0</v>
      </c>
      <c r="DR19" s="28">
        <f t="shared" si="18"/>
        <v>0</v>
      </c>
      <c r="DS19" s="28">
        <f t="shared" si="18"/>
        <v>0</v>
      </c>
      <c r="DT19" s="29">
        <f t="shared" si="18"/>
        <v>0</v>
      </c>
      <c r="DU19" s="30">
        <f t="shared" si="19"/>
        <v>0</v>
      </c>
    </row>
    <row r="20" spans="1:125" x14ac:dyDescent="0.2">
      <c r="A20">
        <f t="shared" si="6"/>
        <v>19</v>
      </c>
      <c r="B20" s="49" t="str">
        <f>_xlfn.XLOOKUP(E20,Códigos_Propuestas!$B$4:$B$10,Códigos_Propuestas!$C$4:$C$10,"!",0,1)&amp;"__"&amp;
_xlfn.XLOOKUP(H20,Códigos_Propuestas!$E$4:$E$76,Códigos_Propuestas!$F$4:$F$76,"!",1)&amp;"__"&amp;
_xlfn.XLOOKUP(L20,Códigos_Propuestas!$I$4:$I$7,Códigos_Propuestas!$J$4:$J$7,"!",1)&amp;"__"&amp;
_xlfn.XLOOKUP(M20,Códigos_Propuestas!$O$4:$O$11,Códigos_Propuestas!$Q$4:$Q$11,"!",1)&amp;"__"&amp;
_xlfn.XLOOKUP(F20,Códigos_Propuestas!$BF:$BF,Códigos_Propuestas!$BH:$BH,"!",0,1)</f>
        <v>PE__NEX__OP__!__008</v>
      </c>
      <c r="C20" s="44" t="b">
        <f>F20=[1]CRM!C19</f>
        <v>0</v>
      </c>
      <c r="D20" s="47">
        <f t="shared" si="20"/>
        <v>18</v>
      </c>
      <c r="E20" s="13" t="s">
        <v>62</v>
      </c>
      <c r="F20" s="12" t="s">
        <v>161</v>
      </c>
      <c r="G20" s="12" t="s">
        <v>161</v>
      </c>
      <c r="H20" s="13" t="s">
        <v>202</v>
      </c>
      <c r="I20" s="13" t="s">
        <v>526</v>
      </c>
      <c r="J20" s="13" t="s">
        <v>143</v>
      </c>
      <c r="K20" s="17" t="s">
        <v>44</v>
      </c>
      <c r="L20" s="13" t="s">
        <v>92</v>
      </c>
      <c r="M20" s="14"/>
      <c r="N20" s="14" t="str">
        <f>_xlfn.XLOOKUP(M20,Códigos_Propuestas!$O$4:$O$15,Códigos_Propuestas!$P$4:$P$15,"!",0,1)</f>
        <v>R+</v>
      </c>
      <c r="O20" s="14"/>
      <c r="P20" s="14"/>
      <c r="Q20" s="14"/>
      <c r="R20" s="14"/>
      <c r="S20" s="14"/>
      <c r="T20" s="14"/>
      <c r="U20" s="14"/>
      <c r="V20" s="13"/>
      <c r="W20" s="13"/>
      <c r="X20" s="116">
        <f t="shared" ca="1" si="7"/>
        <v>0</v>
      </c>
      <c r="Y20" s="13" t="str">
        <f t="shared" ca="1" si="8"/>
        <v/>
      </c>
      <c r="Z20" s="13"/>
      <c r="AA20" s="115"/>
      <c r="AB20" s="130" t="b">
        <v>0</v>
      </c>
      <c r="AC20" s="115"/>
      <c r="AD20" s="130" t="b">
        <v>0</v>
      </c>
      <c r="AE20" s="115"/>
      <c r="AF20" s="130" t="b">
        <v>0</v>
      </c>
      <c r="AG20" s="13"/>
      <c r="AH20" s="13"/>
      <c r="AI20" s="130" t="b">
        <v>0</v>
      </c>
      <c r="AJ20" s="13"/>
      <c r="AK20" s="130" t="b">
        <v>0</v>
      </c>
      <c r="AL20" s="13"/>
      <c r="AM20" s="130" t="b">
        <v>0</v>
      </c>
      <c r="AN20" s="13"/>
      <c r="AO20" s="130" t="b">
        <v>0</v>
      </c>
      <c r="AP20" s="13"/>
      <c r="AQ20" s="13"/>
      <c r="AR20" s="130" t="b">
        <v>0</v>
      </c>
      <c r="AS20" s="130" t="b">
        <v>0</v>
      </c>
      <c r="AT20" s="130" t="b">
        <v>0</v>
      </c>
      <c r="AU20" s="130" t="b">
        <v>0</v>
      </c>
      <c r="AV20" s="130" t="b">
        <v>0</v>
      </c>
      <c r="AW20" s="11"/>
      <c r="AX20" s="11"/>
      <c r="AY20" s="11"/>
      <c r="AZ20" s="11"/>
      <c r="BA20" s="11"/>
      <c r="BB20" s="28"/>
      <c r="BC20" s="97">
        <v>161000</v>
      </c>
      <c r="BD20" s="97"/>
      <c r="BE20" s="13">
        <v>5</v>
      </c>
      <c r="BF20" s="134">
        <f>_xlfn.XLOOKUP($J20,'Criterios GoGet'!$B$3:$B$8,'Criterios GoGet'!$C$3:$C$8,0,0,1)</f>
        <v>1</v>
      </c>
      <c r="BG20" s="134"/>
      <c r="BH20" s="15">
        <f t="shared" si="9"/>
        <v>0</v>
      </c>
      <c r="BI20" s="18"/>
      <c r="BJ20" s="18">
        <v>46038</v>
      </c>
      <c r="BK20" s="16"/>
      <c r="BL20" s="19">
        <f t="shared" si="0"/>
        <v>0</v>
      </c>
      <c r="BM20" s="19">
        <f t="shared" si="10"/>
        <v>0</v>
      </c>
      <c r="BN20" s="20">
        <f t="shared" si="11"/>
        <v>32</v>
      </c>
      <c r="BO20" s="21">
        <f t="shared" si="12"/>
        <v>153</v>
      </c>
      <c r="BP20" s="111">
        <f t="shared" si="1"/>
        <v>32</v>
      </c>
      <c r="BQ20" s="112">
        <f t="shared" si="1"/>
        <v>153</v>
      </c>
      <c r="BS20" s="28">
        <f t="shared" si="2"/>
        <v>0</v>
      </c>
      <c r="BT20" s="28">
        <f t="shared" si="2"/>
        <v>0</v>
      </c>
      <c r="BU20" s="28">
        <f t="shared" si="2"/>
        <v>0</v>
      </c>
      <c r="BV20" s="28">
        <f t="shared" si="2"/>
        <v>0</v>
      </c>
      <c r="BW20" s="28">
        <f t="shared" si="2"/>
        <v>0</v>
      </c>
      <c r="BX20" s="28">
        <f t="shared" si="2"/>
        <v>0</v>
      </c>
      <c r="BY20" s="28">
        <f t="shared" si="2"/>
        <v>0</v>
      </c>
      <c r="BZ20" s="28">
        <f t="shared" si="2"/>
        <v>0</v>
      </c>
      <c r="CA20" s="28">
        <f t="shared" si="2"/>
        <v>0</v>
      </c>
      <c r="CB20" s="28">
        <f t="shared" si="2"/>
        <v>0</v>
      </c>
      <c r="CC20" s="28">
        <f t="shared" si="2"/>
        <v>0</v>
      </c>
      <c r="CD20" s="28">
        <f t="shared" si="2"/>
        <v>0</v>
      </c>
      <c r="CE20" s="30">
        <f t="shared" si="13"/>
        <v>0</v>
      </c>
      <c r="CG20" s="27">
        <f t="shared" ref="CG20:CR35" si="21">IF($BE20&lt;1,IF(CG$2=$BP20,$BL20,0),IFERROR(IF(AND(CG$2&gt;=$BP20,CG$2&lt;=$BQ20),$BL20/$BE20,0),0))</f>
        <v>0</v>
      </c>
      <c r="CH20" s="28">
        <f t="shared" si="21"/>
        <v>0</v>
      </c>
      <c r="CI20" s="28">
        <f t="shared" si="21"/>
        <v>0</v>
      </c>
      <c r="CJ20" s="28">
        <f t="shared" si="21"/>
        <v>0</v>
      </c>
      <c r="CK20" s="28">
        <f t="shared" si="21"/>
        <v>0</v>
      </c>
      <c r="CL20" s="28">
        <f t="shared" si="21"/>
        <v>0</v>
      </c>
      <c r="CM20" s="28">
        <f t="shared" si="21"/>
        <v>0</v>
      </c>
      <c r="CN20" s="28">
        <f t="shared" si="21"/>
        <v>0</v>
      </c>
      <c r="CO20" s="28">
        <f t="shared" si="21"/>
        <v>0</v>
      </c>
      <c r="CP20" s="28">
        <f t="shared" si="21"/>
        <v>0</v>
      </c>
      <c r="CQ20" s="28">
        <f t="shared" si="21"/>
        <v>0</v>
      </c>
      <c r="CR20" s="29">
        <f t="shared" si="21"/>
        <v>0</v>
      </c>
      <c r="CS20" s="30">
        <f t="shared" si="15"/>
        <v>0</v>
      </c>
      <c r="CU20" s="27">
        <f t="shared" ref="CU20:DF35" si="22">IF($BE20&lt;1,IF(CU$2=$BP20,$BD20,0),IFERROR(IF(AND(CU$2&gt;=$BP20,CU$2&lt;=$BQ20),$BD20/$BE20,0),0))</f>
        <v>0</v>
      </c>
      <c r="CV20" s="28">
        <f t="shared" si="22"/>
        <v>0</v>
      </c>
      <c r="CW20" s="28">
        <f t="shared" si="22"/>
        <v>0</v>
      </c>
      <c r="CX20" s="28">
        <f t="shared" si="22"/>
        <v>0</v>
      </c>
      <c r="CY20" s="28">
        <f t="shared" si="22"/>
        <v>0</v>
      </c>
      <c r="CZ20" s="28">
        <f t="shared" si="22"/>
        <v>0</v>
      </c>
      <c r="DA20" s="28">
        <f t="shared" si="22"/>
        <v>0</v>
      </c>
      <c r="DB20" s="28">
        <f t="shared" si="22"/>
        <v>0</v>
      </c>
      <c r="DC20" s="28">
        <f t="shared" si="22"/>
        <v>0</v>
      </c>
      <c r="DD20" s="28">
        <f t="shared" si="22"/>
        <v>0</v>
      </c>
      <c r="DE20" s="28">
        <f t="shared" si="22"/>
        <v>0</v>
      </c>
      <c r="DF20" s="29">
        <f t="shared" si="22"/>
        <v>0</v>
      </c>
      <c r="DG20" s="30">
        <f t="shared" si="17"/>
        <v>0</v>
      </c>
      <c r="DI20" s="27">
        <f t="shared" ref="DI20:DT35" si="23">IF($BE20&lt;1,IF(DI$2=$BP20,$BM20,0),IFERROR(IF(AND(DI$2&gt;=$BP20,DI$2&lt;=$BQ20),$BM20/$BE20,0),0))</f>
        <v>0</v>
      </c>
      <c r="DJ20" s="28">
        <f t="shared" si="23"/>
        <v>0</v>
      </c>
      <c r="DK20" s="28">
        <f t="shared" si="23"/>
        <v>0</v>
      </c>
      <c r="DL20" s="28">
        <f t="shared" si="23"/>
        <v>0</v>
      </c>
      <c r="DM20" s="28">
        <f t="shared" si="23"/>
        <v>0</v>
      </c>
      <c r="DN20" s="28">
        <f t="shared" si="23"/>
        <v>0</v>
      </c>
      <c r="DO20" s="28">
        <f t="shared" si="23"/>
        <v>0</v>
      </c>
      <c r="DP20" s="28">
        <f t="shared" si="23"/>
        <v>0</v>
      </c>
      <c r="DQ20" s="28">
        <f t="shared" si="23"/>
        <v>0</v>
      </c>
      <c r="DR20" s="28">
        <f t="shared" si="23"/>
        <v>0</v>
      </c>
      <c r="DS20" s="28">
        <f t="shared" si="23"/>
        <v>0</v>
      </c>
      <c r="DT20" s="29">
        <f t="shared" si="23"/>
        <v>0</v>
      </c>
      <c r="DU20" s="30">
        <f t="shared" si="19"/>
        <v>0</v>
      </c>
    </row>
    <row r="21" spans="1:125" x14ac:dyDescent="0.2">
      <c r="A21">
        <f t="shared" si="6"/>
        <v>19</v>
      </c>
      <c r="B21" s="49" t="str">
        <f>_xlfn.XLOOKUP(E21,Códigos_Propuestas!$B$4:$B$10,Códigos_Propuestas!$C$4:$C$10,"!",0,1)&amp;"__"&amp;
_xlfn.XLOOKUP(H21,Códigos_Propuestas!$E$4:$E$76,Códigos_Propuestas!$F$4:$F$76,"!",1)&amp;"__"&amp;
_xlfn.XLOOKUP(L21,Códigos_Propuestas!$I$4:$I$7,Códigos_Propuestas!$J$4:$J$7,"!",1)&amp;"__"&amp;
_xlfn.XLOOKUP(M21,Códigos_Propuestas!$O$4:$O$11,Códigos_Propuestas!$Q$4:$Q$11,"!",1)&amp;"__"&amp;
_xlfn.XLOOKUP(F21,Códigos_Propuestas!$BF:$BF,Códigos_Propuestas!$BH:$BH,"!",0,1)</f>
        <v>PE__OCP__UG__!__009</v>
      </c>
      <c r="C21" t="b">
        <f>F21=[1]CRM!C20</f>
        <v>1</v>
      </c>
      <c r="D21" s="47">
        <f t="shared" si="20"/>
        <v>19</v>
      </c>
      <c r="E21" s="13" t="s">
        <v>62</v>
      </c>
      <c r="F21" s="12" t="s">
        <v>172</v>
      </c>
      <c r="G21" s="12" t="s">
        <v>172</v>
      </c>
      <c r="H21" s="13" t="s">
        <v>292</v>
      </c>
      <c r="I21" s="13" t="s">
        <v>530</v>
      </c>
      <c r="J21" s="13" t="s">
        <v>97</v>
      </c>
      <c r="K21" s="17" t="s">
        <v>72</v>
      </c>
      <c r="L21" s="13" t="s">
        <v>65</v>
      </c>
      <c r="M21" s="14"/>
      <c r="N21" s="14" t="str">
        <f>_xlfn.XLOOKUP(M21,Códigos_Propuestas!$O$4:$O$15,Códigos_Propuestas!$P$4:$P$15,"!",0,1)</f>
        <v>R+</v>
      </c>
      <c r="O21" s="14"/>
      <c r="P21" s="14"/>
      <c r="Q21" s="14"/>
      <c r="R21" s="14"/>
      <c r="S21" s="14"/>
      <c r="T21" s="14"/>
      <c r="U21" s="14"/>
      <c r="V21" s="13"/>
      <c r="W21" s="13"/>
      <c r="X21" s="116">
        <f t="shared" ca="1" si="7"/>
        <v>0</v>
      </c>
      <c r="Y21" s="13" t="str">
        <f t="shared" ca="1" si="8"/>
        <v/>
      </c>
      <c r="Z21" s="13"/>
      <c r="AA21" s="115"/>
      <c r="AB21" s="130" t="b">
        <v>0</v>
      </c>
      <c r="AC21" s="115"/>
      <c r="AD21" s="130" t="b">
        <v>0</v>
      </c>
      <c r="AE21" s="115"/>
      <c r="AF21" s="130" t="b">
        <v>0</v>
      </c>
      <c r="AG21" s="13"/>
      <c r="AH21" s="13"/>
      <c r="AI21" s="130" t="b">
        <v>0</v>
      </c>
      <c r="AJ21" s="13"/>
      <c r="AK21" s="130" t="b">
        <v>0</v>
      </c>
      <c r="AL21" s="13"/>
      <c r="AM21" s="130" t="b">
        <v>0</v>
      </c>
      <c r="AN21" s="13"/>
      <c r="AO21" s="130" t="b">
        <v>0</v>
      </c>
      <c r="AP21" s="13"/>
      <c r="AQ21" s="13"/>
      <c r="AR21" s="130" t="b">
        <v>0</v>
      </c>
      <c r="AS21" s="130" t="b">
        <v>0</v>
      </c>
      <c r="AT21" s="130" t="b">
        <v>0</v>
      </c>
      <c r="AU21" s="130" t="b">
        <v>0</v>
      </c>
      <c r="AV21" s="130" t="b">
        <v>0</v>
      </c>
      <c r="AW21" s="11"/>
      <c r="AX21" s="11"/>
      <c r="AY21" s="11"/>
      <c r="AZ21" s="11"/>
      <c r="BA21" s="11"/>
      <c r="BB21" s="28"/>
      <c r="BC21" s="97">
        <v>48000</v>
      </c>
      <c r="BD21" s="97"/>
      <c r="BE21" s="13">
        <v>1</v>
      </c>
      <c r="BF21" s="134">
        <f>_xlfn.XLOOKUP($J21,'Criterios GoGet'!$B$3:$B$8,'Criterios GoGet'!$C$3:$C$8,0,0,1)</f>
        <v>0.8</v>
      </c>
      <c r="BG21" s="134"/>
      <c r="BH21" s="15">
        <f t="shared" si="9"/>
        <v>0</v>
      </c>
      <c r="BI21" s="18"/>
      <c r="BJ21" s="18">
        <v>45975</v>
      </c>
      <c r="BK21" s="16"/>
      <c r="BL21" s="19">
        <f t="shared" si="0"/>
        <v>0</v>
      </c>
      <c r="BM21" s="19">
        <f t="shared" si="10"/>
        <v>0</v>
      </c>
      <c r="BN21" s="20">
        <f t="shared" si="11"/>
        <v>32</v>
      </c>
      <c r="BO21" s="21">
        <f t="shared" si="12"/>
        <v>32</v>
      </c>
      <c r="BP21" s="111">
        <f t="shared" si="1"/>
        <v>32</v>
      </c>
      <c r="BQ21" s="112">
        <f t="shared" si="1"/>
        <v>32</v>
      </c>
      <c r="BS21" s="28">
        <f t="shared" si="2"/>
        <v>0</v>
      </c>
      <c r="BT21" s="28">
        <f t="shared" si="2"/>
        <v>0</v>
      </c>
      <c r="BU21" s="28">
        <f t="shared" si="2"/>
        <v>0</v>
      </c>
      <c r="BV21" s="28">
        <f t="shared" si="2"/>
        <v>0</v>
      </c>
      <c r="BW21" s="28">
        <f t="shared" si="2"/>
        <v>0</v>
      </c>
      <c r="BX21" s="28">
        <f t="shared" si="2"/>
        <v>0</v>
      </c>
      <c r="BY21" s="28">
        <f t="shared" si="2"/>
        <v>0</v>
      </c>
      <c r="BZ21" s="28">
        <f t="shared" si="2"/>
        <v>0</v>
      </c>
      <c r="CA21" s="28">
        <f t="shared" si="2"/>
        <v>0</v>
      </c>
      <c r="CB21" s="28">
        <f t="shared" si="2"/>
        <v>0</v>
      </c>
      <c r="CC21" s="28">
        <f t="shared" si="2"/>
        <v>0</v>
      </c>
      <c r="CD21" s="28">
        <f t="shared" si="2"/>
        <v>0</v>
      </c>
      <c r="CE21" s="30">
        <f t="shared" si="13"/>
        <v>0</v>
      </c>
      <c r="CG21" s="27">
        <f t="shared" si="21"/>
        <v>0</v>
      </c>
      <c r="CH21" s="28">
        <f t="shared" si="21"/>
        <v>0</v>
      </c>
      <c r="CI21" s="28">
        <f t="shared" si="21"/>
        <v>0</v>
      </c>
      <c r="CJ21" s="28">
        <f t="shared" si="21"/>
        <v>0</v>
      </c>
      <c r="CK21" s="28">
        <f t="shared" si="21"/>
        <v>0</v>
      </c>
      <c r="CL21" s="28">
        <f t="shared" si="21"/>
        <v>0</v>
      </c>
      <c r="CM21" s="28">
        <f t="shared" si="21"/>
        <v>0</v>
      </c>
      <c r="CN21" s="28">
        <f t="shared" si="21"/>
        <v>0</v>
      </c>
      <c r="CO21" s="28">
        <f t="shared" si="21"/>
        <v>0</v>
      </c>
      <c r="CP21" s="28">
        <f t="shared" si="21"/>
        <v>0</v>
      </c>
      <c r="CQ21" s="28">
        <f t="shared" si="21"/>
        <v>0</v>
      </c>
      <c r="CR21" s="29">
        <f t="shared" si="21"/>
        <v>0</v>
      </c>
      <c r="CS21" s="30">
        <f t="shared" si="15"/>
        <v>0</v>
      </c>
      <c r="CU21" s="27">
        <f t="shared" si="22"/>
        <v>0</v>
      </c>
      <c r="CV21" s="28">
        <f t="shared" si="22"/>
        <v>0</v>
      </c>
      <c r="CW21" s="28">
        <f t="shared" si="22"/>
        <v>0</v>
      </c>
      <c r="CX21" s="28">
        <f t="shared" si="22"/>
        <v>0</v>
      </c>
      <c r="CY21" s="28">
        <f t="shared" si="22"/>
        <v>0</v>
      </c>
      <c r="CZ21" s="28">
        <f t="shared" si="22"/>
        <v>0</v>
      </c>
      <c r="DA21" s="28">
        <f t="shared" si="22"/>
        <v>0</v>
      </c>
      <c r="DB21" s="28">
        <f t="shared" si="22"/>
        <v>0</v>
      </c>
      <c r="DC21" s="28">
        <f t="shared" si="22"/>
        <v>0</v>
      </c>
      <c r="DD21" s="28">
        <f t="shared" si="22"/>
        <v>0</v>
      </c>
      <c r="DE21" s="28">
        <f t="shared" si="22"/>
        <v>0</v>
      </c>
      <c r="DF21" s="29">
        <f t="shared" si="22"/>
        <v>0</v>
      </c>
      <c r="DG21" s="30">
        <f t="shared" si="17"/>
        <v>0</v>
      </c>
      <c r="DI21" s="27">
        <f t="shared" si="23"/>
        <v>0</v>
      </c>
      <c r="DJ21" s="28">
        <f t="shared" si="23"/>
        <v>0</v>
      </c>
      <c r="DK21" s="28">
        <f t="shared" si="23"/>
        <v>0</v>
      </c>
      <c r="DL21" s="28">
        <f t="shared" si="23"/>
        <v>0</v>
      </c>
      <c r="DM21" s="28">
        <f t="shared" si="23"/>
        <v>0</v>
      </c>
      <c r="DN21" s="28">
        <f t="shared" si="23"/>
        <v>0</v>
      </c>
      <c r="DO21" s="28">
        <f t="shared" si="23"/>
        <v>0</v>
      </c>
      <c r="DP21" s="28">
        <f t="shared" si="23"/>
        <v>0</v>
      </c>
      <c r="DQ21" s="28">
        <f t="shared" si="23"/>
        <v>0</v>
      </c>
      <c r="DR21" s="28">
        <f t="shared" si="23"/>
        <v>0</v>
      </c>
      <c r="DS21" s="28">
        <f t="shared" si="23"/>
        <v>0</v>
      </c>
      <c r="DT21" s="29">
        <f t="shared" si="23"/>
        <v>0</v>
      </c>
      <c r="DU21" s="30">
        <f t="shared" si="19"/>
        <v>0</v>
      </c>
    </row>
    <row r="22" spans="1:125" x14ac:dyDescent="0.2">
      <c r="A22">
        <f t="shared" si="6"/>
        <v>19</v>
      </c>
      <c r="B22" s="49" t="str">
        <f>_xlfn.XLOOKUP(E22,Códigos_Propuestas!$B$4:$B$10,Códigos_Propuestas!$C$4:$C$10,"!",0,1)&amp;"__"&amp;
_xlfn.XLOOKUP(H22,Códigos_Propuestas!$E$4:$E$76,Códigos_Propuestas!$F$4:$F$76,"!",1)&amp;"__"&amp;
_xlfn.XLOOKUP(L22,Códigos_Propuestas!$I$4:$I$7,Códigos_Propuestas!$J$4:$J$7,"!",1)&amp;"__"&amp;
_xlfn.XLOOKUP(M22,Códigos_Propuestas!$O$4:$O$11,Códigos_Propuestas!$Q$4:$Q$11,"!",1)&amp;"__"&amp;
_xlfn.XLOOKUP(F22,Códigos_Propuestas!$BF:$BF,Códigos_Propuestas!$BH:$BH,"!",0,1)</f>
        <v>CH__BCG__OU__!__022</v>
      </c>
      <c r="C22" t="b">
        <f>F22=[1]CRM!C21</f>
        <v>1</v>
      </c>
      <c r="D22" s="47">
        <f t="shared" si="20"/>
        <v>20</v>
      </c>
      <c r="E22" s="13" t="s">
        <v>32</v>
      </c>
      <c r="F22" s="12" t="s">
        <v>223</v>
      </c>
      <c r="G22" s="12" t="s">
        <v>223</v>
      </c>
      <c r="H22" s="13" t="s">
        <v>333</v>
      </c>
      <c r="I22" s="13" t="s">
        <v>181</v>
      </c>
      <c r="J22" s="13" t="s">
        <v>97</v>
      </c>
      <c r="K22" s="17" t="s">
        <v>72</v>
      </c>
      <c r="L22" s="13" t="s">
        <v>116</v>
      </c>
      <c r="M22" s="14"/>
      <c r="N22" s="14" t="str">
        <f>_xlfn.XLOOKUP(M22,Códigos_Propuestas!$O$4:$O$15,Códigos_Propuestas!$P$4:$P$15,"!",0,1)</f>
        <v>R+</v>
      </c>
      <c r="O22" s="14"/>
      <c r="P22" s="14"/>
      <c r="Q22" s="14"/>
      <c r="R22" s="14"/>
      <c r="S22" s="14"/>
      <c r="T22" s="14"/>
      <c r="U22" s="14"/>
      <c r="V22" s="13"/>
      <c r="W22" s="13"/>
      <c r="X22" s="116">
        <f t="shared" ca="1" si="7"/>
        <v>0</v>
      </c>
      <c r="Y22" s="13" t="str">
        <f t="shared" ca="1" si="8"/>
        <v/>
      </c>
      <c r="Z22" s="13"/>
      <c r="AA22" s="115"/>
      <c r="AB22" s="130" t="b">
        <v>0</v>
      </c>
      <c r="AC22" s="115"/>
      <c r="AD22" s="130" t="b">
        <v>0</v>
      </c>
      <c r="AE22" s="115"/>
      <c r="AF22" s="130" t="b">
        <v>0</v>
      </c>
      <c r="AG22" s="13"/>
      <c r="AH22" s="13"/>
      <c r="AI22" s="130" t="b">
        <v>0</v>
      </c>
      <c r="AJ22" s="13"/>
      <c r="AK22" s="130" t="b">
        <v>0</v>
      </c>
      <c r="AL22" s="13"/>
      <c r="AM22" s="130" t="b">
        <v>0</v>
      </c>
      <c r="AN22" s="13"/>
      <c r="AO22" s="130" t="b">
        <v>0</v>
      </c>
      <c r="AP22" s="13"/>
      <c r="AQ22" s="13"/>
      <c r="AR22" s="130" t="b">
        <v>0</v>
      </c>
      <c r="AS22" s="130" t="b">
        <v>0</v>
      </c>
      <c r="AT22" s="130" t="b">
        <v>0</v>
      </c>
      <c r="AU22" s="130" t="b">
        <v>0</v>
      </c>
      <c r="AV22" s="130" t="b">
        <v>0</v>
      </c>
      <c r="AW22" s="11"/>
      <c r="AX22" s="11"/>
      <c r="AY22" s="11"/>
      <c r="AZ22" s="11"/>
      <c r="BA22" s="11"/>
      <c r="BB22" s="28"/>
      <c r="BC22" s="97">
        <v>490000</v>
      </c>
      <c r="BD22" s="97"/>
      <c r="BE22" s="13">
        <v>6</v>
      </c>
      <c r="BF22" s="134">
        <f>_xlfn.XLOOKUP($J22,'Criterios GoGet'!$B$3:$B$8,'Criterios GoGet'!$C$3:$C$8,0,0,1)</f>
        <v>0.8</v>
      </c>
      <c r="BG22" s="134"/>
      <c r="BH22" s="15">
        <f t="shared" si="9"/>
        <v>0</v>
      </c>
      <c r="BI22" s="18"/>
      <c r="BJ22" s="18">
        <v>46001</v>
      </c>
      <c r="BK22" s="16"/>
      <c r="BL22" s="19">
        <f t="shared" si="0"/>
        <v>0</v>
      </c>
      <c r="BM22" s="19">
        <f t="shared" si="10"/>
        <v>0</v>
      </c>
      <c r="BN22" s="20">
        <f t="shared" si="11"/>
        <v>32</v>
      </c>
      <c r="BO22" s="21">
        <f t="shared" si="12"/>
        <v>183</v>
      </c>
      <c r="BP22" s="111">
        <f t="shared" si="1"/>
        <v>32</v>
      </c>
      <c r="BQ22" s="112">
        <f t="shared" si="1"/>
        <v>183</v>
      </c>
      <c r="BS22" s="28">
        <f t="shared" si="2"/>
        <v>0</v>
      </c>
      <c r="BT22" s="28">
        <f t="shared" si="2"/>
        <v>0</v>
      </c>
      <c r="BU22" s="28">
        <f t="shared" si="2"/>
        <v>0</v>
      </c>
      <c r="BV22" s="28">
        <f t="shared" si="2"/>
        <v>0</v>
      </c>
      <c r="BW22" s="28">
        <f t="shared" si="2"/>
        <v>0</v>
      </c>
      <c r="BX22" s="28">
        <f t="shared" si="2"/>
        <v>0</v>
      </c>
      <c r="BY22" s="28">
        <f t="shared" si="2"/>
        <v>0</v>
      </c>
      <c r="BZ22" s="28">
        <f t="shared" si="2"/>
        <v>0</v>
      </c>
      <c r="CA22" s="28">
        <f t="shared" si="2"/>
        <v>0</v>
      </c>
      <c r="CB22" s="28">
        <f t="shared" si="2"/>
        <v>0</v>
      </c>
      <c r="CC22" s="28">
        <f t="shared" si="2"/>
        <v>0</v>
      </c>
      <c r="CD22" s="28">
        <f t="shared" si="2"/>
        <v>0</v>
      </c>
      <c r="CE22" s="30">
        <f t="shared" si="13"/>
        <v>0</v>
      </c>
      <c r="CG22" s="27">
        <f t="shared" si="21"/>
        <v>0</v>
      </c>
      <c r="CH22" s="28">
        <f t="shared" si="21"/>
        <v>0</v>
      </c>
      <c r="CI22" s="28">
        <f t="shared" si="21"/>
        <v>0</v>
      </c>
      <c r="CJ22" s="28">
        <f t="shared" si="21"/>
        <v>0</v>
      </c>
      <c r="CK22" s="28">
        <f t="shared" si="21"/>
        <v>0</v>
      </c>
      <c r="CL22" s="28">
        <f t="shared" si="21"/>
        <v>0</v>
      </c>
      <c r="CM22" s="28">
        <f t="shared" si="21"/>
        <v>0</v>
      </c>
      <c r="CN22" s="28">
        <f t="shared" si="21"/>
        <v>0</v>
      </c>
      <c r="CO22" s="28">
        <f t="shared" si="21"/>
        <v>0</v>
      </c>
      <c r="CP22" s="28">
        <f t="shared" si="21"/>
        <v>0</v>
      </c>
      <c r="CQ22" s="28">
        <f t="shared" si="21"/>
        <v>0</v>
      </c>
      <c r="CR22" s="29">
        <f t="shared" si="21"/>
        <v>0</v>
      </c>
      <c r="CS22" s="30">
        <f t="shared" si="15"/>
        <v>0</v>
      </c>
      <c r="CU22" s="27">
        <f t="shared" si="22"/>
        <v>0</v>
      </c>
      <c r="CV22" s="28">
        <f t="shared" si="22"/>
        <v>0</v>
      </c>
      <c r="CW22" s="28">
        <f t="shared" si="22"/>
        <v>0</v>
      </c>
      <c r="CX22" s="28">
        <f t="shared" si="22"/>
        <v>0</v>
      </c>
      <c r="CY22" s="28">
        <f t="shared" si="22"/>
        <v>0</v>
      </c>
      <c r="CZ22" s="28">
        <f t="shared" si="22"/>
        <v>0</v>
      </c>
      <c r="DA22" s="28">
        <f t="shared" si="22"/>
        <v>0</v>
      </c>
      <c r="DB22" s="28">
        <f t="shared" si="22"/>
        <v>0</v>
      </c>
      <c r="DC22" s="28">
        <f t="shared" si="22"/>
        <v>0</v>
      </c>
      <c r="DD22" s="28">
        <f t="shared" si="22"/>
        <v>0</v>
      </c>
      <c r="DE22" s="28">
        <f t="shared" si="22"/>
        <v>0</v>
      </c>
      <c r="DF22" s="29">
        <f t="shared" si="22"/>
        <v>0</v>
      </c>
      <c r="DG22" s="30">
        <f t="shared" si="17"/>
        <v>0</v>
      </c>
      <c r="DI22" s="27">
        <f t="shared" si="23"/>
        <v>0</v>
      </c>
      <c r="DJ22" s="28">
        <f t="shared" si="23"/>
        <v>0</v>
      </c>
      <c r="DK22" s="28">
        <f t="shared" si="23"/>
        <v>0</v>
      </c>
      <c r="DL22" s="28">
        <f t="shared" si="23"/>
        <v>0</v>
      </c>
      <c r="DM22" s="28">
        <f t="shared" si="23"/>
        <v>0</v>
      </c>
      <c r="DN22" s="28">
        <f t="shared" si="23"/>
        <v>0</v>
      </c>
      <c r="DO22" s="28">
        <f t="shared" si="23"/>
        <v>0</v>
      </c>
      <c r="DP22" s="28">
        <f t="shared" si="23"/>
        <v>0</v>
      </c>
      <c r="DQ22" s="28">
        <f t="shared" si="23"/>
        <v>0</v>
      </c>
      <c r="DR22" s="28">
        <f t="shared" si="23"/>
        <v>0</v>
      </c>
      <c r="DS22" s="28">
        <f t="shared" si="23"/>
        <v>0</v>
      </c>
      <c r="DT22" s="29">
        <f t="shared" si="23"/>
        <v>0</v>
      </c>
      <c r="DU22" s="30">
        <f t="shared" si="19"/>
        <v>0</v>
      </c>
    </row>
    <row r="23" spans="1:125" x14ac:dyDescent="0.2">
      <c r="A23">
        <f t="shared" si="6"/>
        <v>16</v>
      </c>
      <c r="B23" s="49" t="str">
        <f>_xlfn.XLOOKUP(E23,Códigos_Propuestas!$B$4:$B$10,Códigos_Propuestas!$C$4:$C$10,"!",0,1)&amp;"__"&amp;
_xlfn.XLOOKUP(H23,Códigos_Propuestas!$E$4:$E$76,Códigos_Propuestas!$F$4:$F$76,"!",1)&amp;"__"&amp;
_xlfn.XLOOKUP(L23,Códigos_Propuestas!$I$4:$I$7,Códigos_Propuestas!$J$4:$J$7,"!",1)&amp;"__"&amp;
_xlfn.XLOOKUP(M23,Códigos_Propuestas!$O$4:$O$11,Códigos_Propuestas!$Q$4:$Q$11,"!",1)&amp;"__"&amp;
_xlfn.XLOOKUP(F23,Códigos_Propuestas!$BF:$BF,Códigos_Propuestas!$BH:$BH,"!",0,1)</f>
        <v>PE__CMH__!__!__!</v>
      </c>
      <c r="C23" t="b">
        <f>F23=[1]CRM!C22</f>
        <v>1</v>
      </c>
      <c r="D23" s="47">
        <f t="shared" si="20"/>
        <v>21</v>
      </c>
      <c r="E23" s="12" t="s">
        <v>62</v>
      </c>
      <c r="F23" s="12" t="s">
        <v>531</v>
      </c>
      <c r="G23" s="12" t="s">
        <v>531</v>
      </c>
      <c r="H23" s="13" t="s">
        <v>331</v>
      </c>
      <c r="I23" s="13" t="s">
        <v>532</v>
      </c>
      <c r="J23" s="13" t="s">
        <v>97</v>
      </c>
      <c r="K23" s="17" t="s">
        <v>72</v>
      </c>
      <c r="L23" s="13"/>
      <c r="M23" s="14"/>
      <c r="N23" s="14" t="str">
        <f>_xlfn.XLOOKUP(M23,Códigos_Propuestas!$O$4:$O$15,Códigos_Propuestas!$P$4:$P$15,"!",0,1)</f>
        <v>R+</v>
      </c>
      <c r="O23" s="14"/>
      <c r="P23" s="14"/>
      <c r="Q23" s="14"/>
      <c r="R23" s="14"/>
      <c r="S23" s="14"/>
      <c r="T23" s="14"/>
      <c r="U23" s="14"/>
      <c r="V23" s="13"/>
      <c r="W23" s="13"/>
      <c r="X23" s="116">
        <f t="shared" ca="1" si="7"/>
        <v>0</v>
      </c>
      <c r="Y23" s="13" t="str">
        <f t="shared" ca="1" si="8"/>
        <v/>
      </c>
      <c r="Z23" s="13"/>
      <c r="AA23" s="115"/>
      <c r="AB23" s="130" t="b">
        <v>0</v>
      </c>
      <c r="AC23" s="115"/>
      <c r="AD23" s="130" t="b">
        <v>0</v>
      </c>
      <c r="AE23" s="115"/>
      <c r="AF23" s="130" t="b">
        <v>0</v>
      </c>
      <c r="AG23" s="13"/>
      <c r="AH23" s="13"/>
      <c r="AI23" s="130" t="b">
        <v>0</v>
      </c>
      <c r="AJ23" s="13"/>
      <c r="AK23" s="130" t="b">
        <v>0</v>
      </c>
      <c r="AL23" s="13"/>
      <c r="AM23" s="130" t="b">
        <v>0</v>
      </c>
      <c r="AN23" s="13"/>
      <c r="AO23" s="130" t="b">
        <v>0</v>
      </c>
      <c r="AP23" s="13"/>
      <c r="AQ23" s="13"/>
      <c r="AR23" s="130" t="b">
        <v>0</v>
      </c>
      <c r="AS23" s="130" t="b">
        <v>0</v>
      </c>
      <c r="AT23" s="130" t="b">
        <v>0</v>
      </c>
      <c r="AU23" s="130" t="b">
        <v>0</v>
      </c>
      <c r="AV23" s="130" t="b">
        <v>0</v>
      </c>
      <c r="AW23" s="11"/>
      <c r="AX23" s="11"/>
      <c r="AY23" s="11"/>
      <c r="AZ23" s="11"/>
      <c r="BA23" s="11"/>
      <c r="BB23" s="28"/>
      <c r="BC23" s="97">
        <v>126590</v>
      </c>
      <c r="BD23" s="97"/>
      <c r="BE23" s="13">
        <v>2</v>
      </c>
      <c r="BF23" s="134">
        <f>_xlfn.XLOOKUP($J23,'Criterios GoGet'!$B$3:$B$8,'Criterios GoGet'!$C$3:$C$8,0,0,1)</f>
        <v>0.8</v>
      </c>
      <c r="BG23" s="134"/>
      <c r="BH23" s="15">
        <f t="shared" si="9"/>
        <v>0</v>
      </c>
      <c r="BI23" s="18"/>
      <c r="BJ23" s="18">
        <v>46034</v>
      </c>
      <c r="BK23" s="16"/>
      <c r="BL23" s="19">
        <f t="shared" si="0"/>
        <v>0</v>
      </c>
      <c r="BM23" s="19">
        <f t="shared" si="10"/>
        <v>0</v>
      </c>
      <c r="BN23" s="20">
        <f t="shared" si="11"/>
        <v>32</v>
      </c>
      <c r="BO23" s="21">
        <f t="shared" si="12"/>
        <v>60</v>
      </c>
      <c r="BP23" s="111">
        <f t="shared" si="1"/>
        <v>32</v>
      </c>
      <c r="BQ23" s="112">
        <f t="shared" si="1"/>
        <v>32</v>
      </c>
      <c r="BS23" s="28">
        <f t="shared" si="2"/>
        <v>0</v>
      </c>
      <c r="BT23" s="28">
        <f t="shared" si="2"/>
        <v>0</v>
      </c>
      <c r="BU23" s="28">
        <f t="shared" si="2"/>
        <v>0</v>
      </c>
      <c r="BV23" s="28">
        <f t="shared" si="2"/>
        <v>0</v>
      </c>
      <c r="BW23" s="28">
        <f t="shared" si="2"/>
        <v>0</v>
      </c>
      <c r="BX23" s="28">
        <f t="shared" si="2"/>
        <v>0</v>
      </c>
      <c r="BY23" s="28">
        <f t="shared" si="2"/>
        <v>0</v>
      </c>
      <c r="BZ23" s="28">
        <f t="shared" si="2"/>
        <v>0</v>
      </c>
      <c r="CA23" s="28">
        <f t="shared" si="2"/>
        <v>0</v>
      </c>
      <c r="CB23" s="28">
        <f t="shared" si="2"/>
        <v>0</v>
      </c>
      <c r="CC23" s="28">
        <f t="shared" si="2"/>
        <v>0</v>
      </c>
      <c r="CD23" s="28">
        <f t="shared" si="2"/>
        <v>0</v>
      </c>
      <c r="CE23" s="30">
        <f t="shared" si="13"/>
        <v>0</v>
      </c>
      <c r="CG23" s="27">
        <f t="shared" si="21"/>
        <v>0</v>
      </c>
      <c r="CH23" s="28">
        <f t="shared" si="21"/>
        <v>0</v>
      </c>
      <c r="CI23" s="28">
        <f t="shared" si="21"/>
        <v>0</v>
      </c>
      <c r="CJ23" s="28">
        <f t="shared" si="21"/>
        <v>0</v>
      </c>
      <c r="CK23" s="28">
        <f t="shared" si="21"/>
        <v>0</v>
      </c>
      <c r="CL23" s="28">
        <f t="shared" si="21"/>
        <v>0</v>
      </c>
      <c r="CM23" s="28">
        <f t="shared" si="21"/>
        <v>0</v>
      </c>
      <c r="CN23" s="28">
        <f t="shared" si="21"/>
        <v>0</v>
      </c>
      <c r="CO23" s="28">
        <f t="shared" si="21"/>
        <v>0</v>
      </c>
      <c r="CP23" s="28">
        <f t="shared" si="21"/>
        <v>0</v>
      </c>
      <c r="CQ23" s="28">
        <f t="shared" si="21"/>
        <v>0</v>
      </c>
      <c r="CR23" s="29">
        <f t="shared" si="21"/>
        <v>0</v>
      </c>
      <c r="CS23" s="30">
        <f t="shared" si="15"/>
        <v>0</v>
      </c>
      <c r="CU23" s="27">
        <f t="shared" si="22"/>
        <v>0</v>
      </c>
      <c r="CV23" s="28">
        <f t="shared" si="22"/>
        <v>0</v>
      </c>
      <c r="CW23" s="28">
        <f t="shared" si="22"/>
        <v>0</v>
      </c>
      <c r="CX23" s="28">
        <f t="shared" si="22"/>
        <v>0</v>
      </c>
      <c r="CY23" s="28">
        <f t="shared" si="22"/>
        <v>0</v>
      </c>
      <c r="CZ23" s="28">
        <f t="shared" si="22"/>
        <v>0</v>
      </c>
      <c r="DA23" s="28">
        <f t="shared" si="22"/>
        <v>0</v>
      </c>
      <c r="DB23" s="28">
        <f t="shared" si="22"/>
        <v>0</v>
      </c>
      <c r="DC23" s="28">
        <f t="shared" si="22"/>
        <v>0</v>
      </c>
      <c r="DD23" s="28">
        <f t="shared" si="22"/>
        <v>0</v>
      </c>
      <c r="DE23" s="28">
        <f t="shared" si="22"/>
        <v>0</v>
      </c>
      <c r="DF23" s="29">
        <f t="shared" si="22"/>
        <v>0</v>
      </c>
      <c r="DG23" s="30">
        <f t="shared" si="17"/>
        <v>0</v>
      </c>
      <c r="DI23" s="27">
        <f t="shared" si="23"/>
        <v>0</v>
      </c>
      <c r="DJ23" s="28">
        <f t="shared" si="23"/>
        <v>0</v>
      </c>
      <c r="DK23" s="28">
        <f t="shared" si="23"/>
        <v>0</v>
      </c>
      <c r="DL23" s="28">
        <f t="shared" si="23"/>
        <v>0</v>
      </c>
      <c r="DM23" s="28">
        <f t="shared" si="23"/>
        <v>0</v>
      </c>
      <c r="DN23" s="28">
        <f t="shared" si="23"/>
        <v>0</v>
      </c>
      <c r="DO23" s="28">
        <f t="shared" si="23"/>
        <v>0</v>
      </c>
      <c r="DP23" s="28">
        <f t="shared" si="23"/>
        <v>0</v>
      </c>
      <c r="DQ23" s="28">
        <f t="shared" si="23"/>
        <v>0</v>
      </c>
      <c r="DR23" s="28">
        <f t="shared" si="23"/>
        <v>0</v>
      </c>
      <c r="DS23" s="28">
        <f t="shared" si="23"/>
        <v>0</v>
      </c>
      <c r="DT23" s="29">
        <f t="shared" si="23"/>
        <v>0</v>
      </c>
      <c r="DU23" s="30">
        <f t="shared" si="19"/>
        <v>0</v>
      </c>
    </row>
    <row r="24" spans="1:125" x14ac:dyDescent="0.2">
      <c r="A24">
        <f t="shared" si="6"/>
        <v>19</v>
      </c>
      <c r="B24" s="49" t="str">
        <f>_xlfn.XLOOKUP(E24,Códigos_Propuestas!$B$4:$B$10,Códigos_Propuestas!$C$4:$C$10,"!",0,1)&amp;"__"&amp;
_xlfn.XLOOKUP(H24,Códigos_Propuestas!$E$4:$E$76,Códigos_Propuestas!$F$4:$F$76,"!",1)&amp;"__"&amp;
_xlfn.XLOOKUP(L24,Códigos_Propuestas!$I$4:$I$7,Códigos_Propuestas!$J$4:$J$7,"!",1)&amp;"__"&amp;
_xlfn.XLOOKUP(M24,Códigos_Propuestas!$O$4:$O$11,Códigos_Propuestas!$Q$4:$Q$11,"!",1)&amp;"__"&amp;
_xlfn.XLOOKUP(F24,Códigos_Propuestas!$BF:$BF,Códigos_Propuestas!$BH:$BH,"!",0,1)</f>
        <v>BR__LHG__UG__!__023</v>
      </c>
      <c r="C24" s="44" t="b">
        <f>F24=[1]CRM!C23</f>
        <v>0</v>
      </c>
      <c r="D24" s="47">
        <f t="shared" si="20"/>
        <v>22</v>
      </c>
      <c r="E24" s="13" t="s">
        <v>88</v>
      </c>
      <c r="F24" s="12" t="s">
        <v>226</v>
      </c>
      <c r="G24" s="12" t="s">
        <v>226</v>
      </c>
      <c r="H24" s="13" t="s">
        <v>305</v>
      </c>
      <c r="I24" s="13" t="s">
        <v>534</v>
      </c>
      <c r="J24" s="13" t="s">
        <v>143</v>
      </c>
      <c r="K24" s="17" t="s">
        <v>72</v>
      </c>
      <c r="L24" s="13" t="s">
        <v>65</v>
      </c>
      <c r="M24" s="14"/>
      <c r="N24" s="14" t="str">
        <f>_xlfn.XLOOKUP(M24,Códigos_Propuestas!$O$4:$O$15,Códigos_Propuestas!$P$4:$P$15,"!",0,1)</f>
        <v>R+</v>
      </c>
      <c r="O24" s="14"/>
      <c r="P24" s="14"/>
      <c r="Q24" s="14" t="s">
        <v>79</v>
      </c>
      <c r="R24" s="14"/>
      <c r="S24" s="14"/>
      <c r="T24" s="14"/>
      <c r="U24" s="14"/>
      <c r="V24" s="13"/>
      <c r="W24" s="13"/>
      <c r="X24" s="116">
        <f t="shared" ca="1" si="7"/>
        <v>0</v>
      </c>
      <c r="Y24" s="13" t="str">
        <f t="shared" ca="1" si="8"/>
        <v/>
      </c>
      <c r="Z24" s="13"/>
      <c r="AA24" s="115"/>
      <c r="AB24" s="130" t="b">
        <v>0</v>
      </c>
      <c r="AC24" s="115"/>
      <c r="AD24" s="130" t="b">
        <v>0</v>
      </c>
      <c r="AE24" s="115"/>
      <c r="AF24" s="130" t="b">
        <v>0</v>
      </c>
      <c r="AG24" s="13"/>
      <c r="AH24" s="13"/>
      <c r="AI24" s="130" t="b">
        <v>0</v>
      </c>
      <c r="AJ24" s="13"/>
      <c r="AK24" s="130" t="b">
        <v>0</v>
      </c>
      <c r="AL24" s="13"/>
      <c r="AM24" s="130" t="b">
        <v>0</v>
      </c>
      <c r="AN24" s="13"/>
      <c r="AO24" s="130" t="b">
        <v>0</v>
      </c>
      <c r="AP24" s="13"/>
      <c r="AQ24" s="13"/>
      <c r="AR24" s="130" t="b">
        <v>0</v>
      </c>
      <c r="AS24" s="130" t="b">
        <v>0</v>
      </c>
      <c r="AT24" s="130" t="b">
        <v>0</v>
      </c>
      <c r="AU24" s="130" t="b">
        <v>0</v>
      </c>
      <c r="AV24" s="130" t="b">
        <v>0</v>
      </c>
      <c r="AW24" s="11"/>
      <c r="AX24" s="11"/>
      <c r="AY24" s="11"/>
      <c r="AZ24" s="11"/>
      <c r="BA24" s="11"/>
      <c r="BB24" s="28"/>
      <c r="BC24" s="97">
        <v>95000</v>
      </c>
      <c r="BD24" s="97"/>
      <c r="BE24" s="13">
        <v>2</v>
      </c>
      <c r="BF24" s="134">
        <f>_xlfn.XLOOKUP($J24,'Criterios GoGet'!$B$3:$B$8,'Criterios GoGet'!$C$3:$C$8,0,0,1)</f>
        <v>1</v>
      </c>
      <c r="BG24" s="134"/>
      <c r="BH24" s="15">
        <f t="shared" si="9"/>
        <v>0</v>
      </c>
      <c r="BI24" s="18"/>
      <c r="BJ24" s="18">
        <v>46008</v>
      </c>
      <c r="BK24" s="16"/>
      <c r="BL24" s="19">
        <f t="shared" si="0"/>
        <v>0</v>
      </c>
      <c r="BM24" s="19">
        <f t="shared" si="10"/>
        <v>0</v>
      </c>
      <c r="BN24" s="20">
        <f t="shared" si="11"/>
        <v>32</v>
      </c>
      <c r="BO24" s="21">
        <f t="shared" si="12"/>
        <v>60</v>
      </c>
      <c r="BP24" s="111">
        <f t="shared" si="1"/>
        <v>32</v>
      </c>
      <c r="BQ24" s="112">
        <f t="shared" si="1"/>
        <v>32</v>
      </c>
      <c r="BS24" s="28">
        <f t="shared" si="2"/>
        <v>0</v>
      </c>
      <c r="BT24" s="28">
        <f t="shared" si="2"/>
        <v>0</v>
      </c>
      <c r="BU24" s="28">
        <f t="shared" si="2"/>
        <v>0</v>
      </c>
      <c r="BV24" s="28">
        <f t="shared" si="2"/>
        <v>0</v>
      </c>
      <c r="BW24" s="28">
        <f t="shared" si="2"/>
        <v>0</v>
      </c>
      <c r="BX24" s="28">
        <f t="shared" si="2"/>
        <v>0</v>
      </c>
      <c r="BY24" s="28">
        <f t="shared" ref="BT24:CD47" si="24">IF($BE24&lt;1,IF(BY$2=$BP24,$BC24,0),IFERROR(IF(AND(BY$2&gt;=$BP24,BY$2&lt;=$BQ24),$BC24/$BE24,0),0))</f>
        <v>0</v>
      </c>
      <c r="BZ24" s="28">
        <f t="shared" si="24"/>
        <v>0</v>
      </c>
      <c r="CA24" s="28">
        <f t="shared" si="24"/>
        <v>0</v>
      </c>
      <c r="CB24" s="28">
        <f t="shared" si="24"/>
        <v>0</v>
      </c>
      <c r="CC24" s="28">
        <f t="shared" si="24"/>
        <v>0</v>
      </c>
      <c r="CD24" s="28">
        <f t="shared" si="24"/>
        <v>0</v>
      </c>
      <c r="CE24" s="30">
        <f t="shared" si="13"/>
        <v>0</v>
      </c>
      <c r="CG24" s="27">
        <f t="shared" si="21"/>
        <v>0</v>
      </c>
      <c r="CH24" s="28">
        <f t="shared" si="21"/>
        <v>0</v>
      </c>
      <c r="CI24" s="28">
        <f t="shared" si="21"/>
        <v>0</v>
      </c>
      <c r="CJ24" s="28">
        <f t="shared" si="21"/>
        <v>0</v>
      </c>
      <c r="CK24" s="28">
        <f t="shared" si="21"/>
        <v>0</v>
      </c>
      <c r="CL24" s="28">
        <f t="shared" si="21"/>
        <v>0</v>
      </c>
      <c r="CM24" s="28">
        <f t="shared" si="21"/>
        <v>0</v>
      </c>
      <c r="CN24" s="28">
        <f t="shared" si="21"/>
        <v>0</v>
      </c>
      <c r="CO24" s="28">
        <f t="shared" si="21"/>
        <v>0</v>
      </c>
      <c r="CP24" s="28">
        <f t="shared" si="21"/>
        <v>0</v>
      </c>
      <c r="CQ24" s="28">
        <f t="shared" si="21"/>
        <v>0</v>
      </c>
      <c r="CR24" s="29">
        <f t="shared" si="21"/>
        <v>0</v>
      </c>
      <c r="CS24" s="30">
        <f t="shared" si="15"/>
        <v>0</v>
      </c>
      <c r="CU24" s="27">
        <f t="shared" si="22"/>
        <v>0</v>
      </c>
      <c r="CV24" s="28">
        <f t="shared" si="22"/>
        <v>0</v>
      </c>
      <c r="CW24" s="28">
        <f t="shared" si="22"/>
        <v>0</v>
      </c>
      <c r="CX24" s="28">
        <f t="shared" si="22"/>
        <v>0</v>
      </c>
      <c r="CY24" s="28">
        <f t="shared" si="22"/>
        <v>0</v>
      </c>
      <c r="CZ24" s="28">
        <f t="shared" si="22"/>
        <v>0</v>
      </c>
      <c r="DA24" s="28">
        <f t="shared" si="22"/>
        <v>0</v>
      </c>
      <c r="DB24" s="28">
        <f t="shared" si="22"/>
        <v>0</v>
      </c>
      <c r="DC24" s="28">
        <f t="shared" si="22"/>
        <v>0</v>
      </c>
      <c r="DD24" s="28">
        <f t="shared" si="22"/>
        <v>0</v>
      </c>
      <c r="DE24" s="28">
        <f t="shared" si="22"/>
        <v>0</v>
      </c>
      <c r="DF24" s="29">
        <f t="shared" si="22"/>
        <v>0</v>
      </c>
      <c r="DG24" s="30">
        <f t="shared" si="17"/>
        <v>0</v>
      </c>
      <c r="DI24" s="27">
        <f t="shared" si="23"/>
        <v>0</v>
      </c>
      <c r="DJ24" s="28">
        <f t="shared" si="23"/>
        <v>0</v>
      </c>
      <c r="DK24" s="28">
        <f t="shared" si="23"/>
        <v>0</v>
      </c>
      <c r="DL24" s="28">
        <f t="shared" si="23"/>
        <v>0</v>
      </c>
      <c r="DM24" s="28">
        <f t="shared" si="23"/>
        <v>0</v>
      </c>
      <c r="DN24" s="28">
        <f t="shared" si="23"/>
        <v>0</v>
      </c>
      <c r="DO24" s="28">
        <f t="shared" si="23"/>
        <v>0</v>
      </c>
      <c r="DP24" s="28">
        <f t="shared" si="23"/>
        <v>0</v>
      </c>
      <c r="DQ24" s="28">
        <f t="shared" si="23"/>
        <v>0</v>
      </c>
      <c r="DR24" s="28">
        <f t="shared" si="23"/>
        <v>0</v>
      </c>
      <c r="DS24" s="28">
        <f t="shared" si="23"/>
        <v>0</v>
      </c>
      <c r="DT24" s="29">
        <f t="shared" si="23"/>
        <v>0</v>
      </c>
      <c r="DU24" s="30">
        <f t="shared" si="19"/>
        <v>0</v>
      </c>
    </row>
    <row r="25" spans="1:125" x14ac:dyDescent="0.2">
      <c r="A25">
        <f t="shared" si="6"/>
        <v>19</v>
      </c>
      <c r="B25" s="49" t="str">
        <f>_xlfn.XLOOKUP(E25,Códigos_Propuestas!$B$4:$B$10,Códigos_Propuestas!$C$4:$C$10,"!",0,1)&amp;"__"&amp;
_xlfn.XLOOKUP(H25,Códigos_Propuestas!$E$4:$E$76,Códigos_Propuestas!$F$4:$F$76,"!",1)&amp;"__"&amp;
_xlfn.XLOOKUP(L25,Códigos_Propuestas!$I$4:$I$7,Códigos_Propuestas!$J$4:$J$7,"!",1)&amp;"__"&amp;
_xlfn.XLOOKUP(M25,Códigos_Propuestas!$O$4:$O$11,Códigos_Propuestas!$Q$4:$Q$11,"!",1)&amp;"__"&amp;
_xlfn.XLOOKUP(F25,Códigos_Propuestas!$BF:$BF,Códigos_Propuestas!$BH:$BH,"!",0,1)</f>
        <v>PE__NEX__UG__!__024</v>
      </c>
      <c r="C25" s="44" t="b">
        <f>F25=[1]CRM!C24</f>
        <v>0</v>
      </c>
      <c r="D25" s="47">
        <f t="shared" si="20"/>
        <v>23</v>
      </c>
      <c r="E25" s="13" t="s">
        <v>62</v>
      </c>
      <c r="F25" s="12" t="s">
        <v>229</v>
      </c>
      <c r="G25" s="12" t="s">
        <v>229</v>
      </c>
      <c r="H25" s="13" t="s">
        <v>202</v>
      </c>
      <c r="I25" s="13" t="s">
        <v>526</v>
      </c>
      <c r="J25" s="13" t="s">
        <v>97</v>
      </c>
      <c r="K25" s="17" t="s">
        <v>44</v>
      </c>
      <c r="L25" s="13" t="s">
        <v>65</v>
      </c>
      <c r="M25" s="14"/>
      <c r="N25" s="14" t="str">
        <f>_xlfn.XLOOKUP(M25,Códigos_Propuestas!$O$4:$O$15,Códigos_Propuestas!$P$4:$P$15,"!",0,1)</f>
        <v>R+</v>
      </c>
      <c r="O25" s="14"/>
      <c r="P25" s="14"/>
      <c r="Q25" s="14"/>
      <c r="R25" s="14"/>
      <c r="S25" s="14"/>
      <c r="T25" s="14"/>
      <c r="U25" s="14"/>
      <c r="V25" s="13"/>
      <c r="W25" s="13"/>
      <c r="X25" s="116">
        <f t="shared" ca="1" si="7"/>
        <v>0</v>
      </c>
      <c r="Y25" s="13" t="str">
        <f t="shared" ca="1" si="8"/>
        <v/>
      </c>
      <c r="Z25" s="13"/>
      <c r="AA25" s="115"/>
      <c r="AB25" s="130" t="b">
        <v>0</v>
      </c>
      <c r="AC25" s="115"/>
      <c r="AD25" s="130" t="b">
        <v>0</v>
      </c>
      <c r="AE25" s="115"/>
      <c r="AF25" s="130" t="b">
        <v>0</v>
      </c>
      <c r="AG25" s="13"/>
      <c r="AH25" s="13"/>
      <c r="AI25" s="130" t="b">
        <v>0</v>
      </c>
      <c r="AJ25" s="13"/>
      <c r="AK25" s="130" t="b">
        <v>0</v>
      </c>
      <c r="AL25" s="13"/>
      <c r="AM25" s="130" t="b">
        <v>0</v>
      </c>
      <c r="AN25" s="13"/>
      <c r="AO25" s="130" t="b">
        <v>0</v>
      </c>
      <c r="AP25" s="13"/>
      <c r="AQ25" s="13"/>
      <c r="AR25" s="130" t="b">
        <v>0</v>
      </c>
      <c r="AS25" s="130" t="b">
        <v>0</v>
      </c>
      <c r="AT25" s="130" t="b">
        <v>0</v>
      </c>
      <c r="AU25" s="130" t="b">
        <v>0</v>
      </c>
      <c r="AV25" s="130" t="b">
        <v>0</v>
      </c>
      <c r="AW25" s="11"/>
      <c r="AX25" s="11"/>
      <c r="AY25" s="11"/>
      <c r="AZ25" s="11"/>
      <c r="BA25" s="11"/>
      <c r="BB25" s="28"/>
      <c r="BC25" s="97">
        <v>45000</v>
      </c>
      <c r="BD25" s="97"/>
      <c r="BE25" s="13">
        <v>2</v>
      </c>
      <c r="BF25" s="134">
        <f>_xlfn.XLOOKUP($J25,'Criterios GoGet'!$B$3:$B$8,'Criterios GoGet'!$C$3:$C$8,0,0,1)</f>
        <v>0.8</v>
      </c>
      <c r="BG25" s="134"/>
      <c r="BH25" s="15">
        <f t="shared" si="9"/>
        <v>0</v>
      </c>
      <c r="BI25" s="18"/>
      <c r="BJ25" s="18">
        <v>46000</v>
      </c>
      <c r="BK25" s="16"/>
      <c r="BL25" s="19">
        <f t="shared" si="0"/>
        <v>0</v>
      </c>
      <c r="BM25" s="19">
        <f t="shared" si="10"/>
        <v>0</v>
      </c>
      <c r="BN25" s="20">
        <f t="shared" si="11"/>
        <v>32</v>
      </c>
      <c r="BO25" s="21">
        <f t="shared" si="12"/>
        <v>60</v>
      </c>
      <c r="BP25" s="111">
        <f t="shared" si="1"/>
        <v>32</v>
      </c>
      <c r="BQ25" s="112">
        <f t="shared" si="1"/>
        <v>32</v>
      </c>
      <c r="BS25" s="28">
        <f t="shared" ref="BS25:BS32" si="25">IF($BE25&lt;1,IF(BS$2=$BP25,$BC25,0),IFERROR(IF(AND(BS$2&gt;=$BP25,BS$2&lt;=$BQ25),$BC25/$BE25,0),0))</f>
        <v>0</v>
      </c>
      <c r="BT25" s="28">
        <f t="shared" si="24"/>
        <v>0</v>
      </c>
      <c r="BU25" s="28">
        <f t="shared" si="24"/>
        <v>0</v>
      </c>
      <c r="BV25" s="28">
        <f t="shared" si="24"/>
        <v>0</v>
      </c>
      <c r="BW25" s="28">
        <f t="shared" si="24"/>
        <v>0</v>
      </c>
      <c r="BX25" s="28">
        <f t="shared" si="24"/>
        <v>0</v>
      </c>
      <c r="BY25" s="28">
        <f t="shared" si="24"/>
        <v>0</v>
      </c>
      <c r="BZ25" s="28">
        <f t="shared" si="24"/>
        <v>0</v>
      </c>
      <c r="CA25" s="28">
        <f t="shared" si="24"/>
        <v>0</v>
      </c>
      <c r="CB25" s="28">
        <f t="shared" si="24"/>
        <v>0</v>
      </c>
      <c r="CC25" s="28">
        <f t="shared" si="24"/>
        <v>0</v>
      </c>
      <c r="CD25" s="28">
        <f t="shared" si="24"/>
        <v>0</v>
      </c>
      <c r="CE25" s="30">
        <f t="shared" si="13"/>
        <v>0</v>
      </c>
      <c r="CG25" s="27">
        <f t="shared" si="21"/>
        <v>0</v>
      </c>
      <c r="CH25" s="28">
        <f t="shared" si="21"/>
        <v>0</v>
      </c>
      <c r="CI25" s="28">
        <f t="shared" si="21"/>
        <v>0</v>
      </c>
      <c r="CJ25" s="28">
        <f t="shared" si="21"/>
        <v>0</v>
      </c>
      <c r="CK25" s="28">
        <f t="shared" si="21"/>
        <v>0</v>
      </c>
      <c r="CL25" s="28">
        <f t="shared" si="21"/>
        <v>0</v>
      </c>
      <c r="CM25" s="28">
        <f t="shared" si="21"/>
        <v>0</v>
      </c>
      <c r="CN25" s="28">
        <f t="shared" si="21"/>
        <v>0</v>
      </c>
      <c r="CO25" s="28">
        <f t="shared" si="21"/>
        <v>0</v>
      </c>
      <c r="CP25" s="28">
        <f t="shared" si="21"/>
        <v>0</v>
      </c>
      <c r="CQ25" s="28">
        <f t="shared" si="21"/>
        <v>0</v>
      </c>
      <c r="CR25" s="29">
        <f t="shared" si="21"/>
        <v>0</v>
      </c>
      <c r="CS25" s="30">
        <f t="shared" si="15"/>
        <v>0</v>
      </c>
      <c r="CU25" s="27">
        <f t="shared" si="22"/>
        <v>0</v>
      </c>
      <c r="CV25" s="28">
        <f t="shared" si="22"/>
        <v>0</v>
      </c>
      <c r="CW25" s="28">
        <f t="shared" si="22"/>
        <v>0</v>
      </c>
      <c r="CX25" s="28">
        <f t="shared" si="22"/>
        <v>0</v>
      </c>
      <c r="CY25" s="28">
        <f t="shared" si="22"/>
        <v>0</v>
      </c>
      <c r="CZ25" s="28">
        <f t="shared" si="22"/>
        <v>0</v>
      </c>
      <c r="DA25" s="28">
        <f t="shared" si="22"/>
        <v>0</v>
      </c>
      <c r="DB25" s="28">
        <f t="shared" si="22"/>
        <v>0</v>
      </c>
      <c r="DC25" s="28">
        <f t="shared" si="22"/>
        <v>0</v>
      </c>
      <c r="DD25" s="28">
        <f t="shared" si="22"/>
        <v>0</v>
      </c>
      <c r="DE25" s="28">
        <f t="shared" si="22"/>
        <v>0</v>
      </c>
      <c r="DF25" s="29">
        <f t="shared" si="22"/>
        <v>0</v>
      </c>
      <c r="DG25" s="30">
        <f t="shared" si="17"/>
        <v>0</v>
      </c>
      <c r="DI25" s="27">
        <f t="shared" si="23"/>
        <v>0</v>
      </c>
      <c r="DJ25" s="28">
        <f t="shared" si="23"/>
        <v>0</v>
      </c>
      <c r="DK25" s="28">
        <f t="shared" si="23"/>
        <v>0</v>
      </c>
      <c r="DL25" s="28">
        <f t="shared" si="23"/>
        <v>0</v>
      </c>
      <c r="DM25" s="28">
        <f t="shared" si="23"/>
        <v>0</v>
      </c>
      <c r="DN25" s="28">
        <f t="shared" si="23"/>
        <v>0</v>
      </c>
      <c r="DO25" s="28">
        <f t="shared" si="23"/>
        <v>0</v>
      </c>
      <c r="DP25" s="28">
        <f t="shared" si="23"/>
        <v>0</v>
      </c>
      <c r="DQ25" s="28">
        <f t="shared" si="23"/>
        <v>0</v>
      </c>
      <c r="DR25" s="28">
        <f t="shared" si="23"/>
        <v>0</v>
      </c>
      <c r="DS25" s="28">
        <f t="shared" si="23"/>
        <v>0</v>
      </c>
      <c r="DT25" s="29">
        <f t="shared" si="23"/>
        <v>0</v>
      </c>
      <c r="DU25" s="30">
        <f t="shared" si="19"/>
        <v>0</v>
      </c>
    </row>
    <row r="26" spans="1:125" x14ac:dyDescent="0.2">
      <c r="A26">
        <f t="shared" si="6"/>
        <v>19</v>
      </c>
      <c r="B26" s="49" t="str">
        <f>_xlfn.XLOOKUP(E26,Códigos_Propuestas!$B$4:$B$10,Códigos_Propuestas!$C$4:$C$10,"!",0,1)&amp;"__"&amp;
_xlfn.XLOOKUP(H26,Códigos_Propuestas!$E$4:$E$76,Códigos_Propuestas!$F$4:$F$76,"!",1)&amp;"__"&amp;
_xlfn.XLOOKUP(L26,Códigos_Propuestas!$I$4:$I$7,Códigos_Propuestas!$J$4:$J$7,"!",1)&amp;"__"&amp;
_xlfn.XLOOKUP(M26,Códigos_Propuestas!$O$4:$O$11,Códigos_Propuestas!$Q$4:$Q$11,"!",1)&amp;"__"&amp;
_xlfn.XLOOKUP(F26,Códigos_Propuestas!$BF:$BF,Códigos_Propuestas!$BH:$BH,"!",0,1)</f>
        <v>CH__COL__OP__!__026</v>
      </c>
      <c r="C26" t="b">
        <f>F26=[1]CRM!C25</f>
        <v>1</v>
      </c>
      <c r="D26" s="47">
        <f t="shared" si="20"/>
        <v>24</v>
      </c>
      <c r="E26" s="13" t="s">
        <v>32</v>
      </c>
      <c r="F26" s="12" t="s">
        <v>235</v>
      </c>
      <c r="G26" s="12" t="s">
        <v>235</v>
      </c>
      <c r="H26" s="13" t="s">
        <v>315</v>
      </c>
      <c r="I26" s="13" t="s">
        <v>536</v>
      </c>
      <c r="J26" s="13" t="s">
        <v>122</v>
      </c>
      <c r="K26" s="17" t="s">
        <v>44</v>
      </c>
      <c r="L26" s="13" t="s">
        <v>92</v>
      </c>
      <c r="M26" s="14"/>
      <c r="N26" s="14" t="str">
        <f>_xlfn.XLOOKUP(M26,Códigos_Propuestas!$O$4:$O$15,Códigos_Propuestas!$P$4:$P$15,"!",0,1)</f>
        <v>R+</v>
      </c>
      <c r="O26" s="14"/>
      <c r="P26" s="14"/>
      <c r="Q26" s="14"/>
      <c r="R26" s="14"/>
      <c r="S26" s="14"/>
      <c r="T26" s="14"/>
      <c r="U26" s="14"/>
      <c r="V26" s="13"/>
      <c r="W26" s="13"/>
      <c r="X26" s="116">
        <f t="shared" ca="1" si="7"/>
        <v>0</v>
      </c>
      <c r="Y26" s="13" t="str">
        <f t="shared" ca="1" si="8"/>
        <v/>
      </c>
      <c r="Z26" s="13"/>
      <c r="AA26" s="115"/>
      <c r="AB26" s="130" t="b">
        <v>0</v>
      </c>
      <c r="AC26" s="115"/>
      <c r="AD26" s="130" t="b">
        <v>0</v>
      </c>
      <c r="AE26" s="115"/>
      <c r="AF26" s="130" t="b">
        <v>0</v>
      </c>
      <c r="AG26" s="13"/>
      <c r="AH26" s="13"/>
      <c r="AI26" s="130" t="b">
        <v>0</v>
      </c>
      <c r="AJ26" s="13"/>
      <c r="AK26" s="130" t="b">
        <v>0</v>
      </c>
      <c r="AL26" s="13"/>
      <c r="AM26" s="130" t="b">
        <v>0</v>
      </c>
      <c r="AN26" s="13"/>
      <c r="AO26" s="130" t="b">
        <v>0</v>
      </c>
      <c r="AP26" s="13"/>
      <c r="AQ26" s="13"/>
      <c r="AR26" s="130" t="b">
        <v>0</v>
      </c>
      <c r="AS26" s="130" t="b">
        <v>0</v>
      </c>
      <c r="AT26" s="130" t="b">
        <v>0</v>
      </c>
      <c r="AU26" s="130" t="b">
        <v>0</v>
      </c>
      <c r="AV26" s="130" t="b">
        <v>0</v>
      </c>
      <c r="AW26" s="11"/>
      <c r="AX26" s="11"/>
      <c r="AY26" s="11"/>
      <c r="AZ26" s="11"/>
      <c r="BA26" s="11"/>
      <c r="BB26" s="28"/>
      <c r="BC26" s="97">
        <v>54000</v>
      </c>
      <c r="BD26" s="97">
        <f>BC26*0.5</f>
        <v>27000</v>
      </c>
      <c r="BE26" s="13">
        <v>3</v>
      </c>
      <c r="BF26" s="134">
        <f>_xlfn.XLOOKUP($J26,'Criterios GoGet'!$B$3:$B$8,'Criterios GoGet'!$C$3:$C$8,0,0,1)</f>
        <v>1</v>
      </c>
      <c r="BG26" s="134">
        <v>1</v>
      </c>
      <c r="BH26" s="15">
        <f t="shared" si="9"/>
        <v>1</v>
      </c>
      <c r="BI26" s="18"/>
      <c r="BJ26" s="18">
        <v>46006</v>
      </c>
      <c r="BK26" s="16">
        <v>46041</v>
      </c>
      <c r="BL26" s="19">
        <f t="shared" si="0"/>
        <v>54000</v>
      </c>
      <c r="BM26" s="19">
        <f t="shared" si="10"/>
        <v>27000</v>
      </c>
      <c r="BN26" s="20">
        <f t="shared" si="11"/>
        <v>46082</v>
      </c>
      <c r="BO26" s="21">
        <f t="shared" si="12"/>
        <v>46143</v>
      </c>
      <c r="BP26" s="111">
        <f t="shared" si="1"/>
        <v>46082</v>
      </c>
      <c r="BQ26" s="112">
        <f t="shared" si="1"/>
        <v>46143</v>
      </c>
      <c r="BS26" s="28">
        <f t="shared" si="25"/>
        <v>0</v>
      </c>
      <c r="BT26" s="28">
        <f t="shared" si="24"/>
        <v>0</v>
      </c>
      <c r="BU26" s="28">
        <f t="shared" si="24"/>
        <v>18000</v>
      </c>
      <c r="BV26" s="28">
        <f t="shared" si="24"/>
        <v>18000</v>
      </c>
      <c r="BW26" s="28">
        <f t="shared" si="24"/>
        <v>18000</v>
      </c>
      <c r="BX26" s="28">
        <f t="shared" si="24"/>
        <v>0</v>
      </c>
      <c r="BY26" s="28">
        <f t="shared" si="24"/>
        <v>0</v>
      </c>
      <c r="BZ26" s="28">
        <f t="shared" si="24"/>
        <v>0</v>
      </c>
      <c r="CA26" s="28">
        <f t="shared" si="24"/>
        <v>0</v>
      </c>
      <c r="CB26" s="28">
        <f t="shared" si="24"/>
        <v>0</v>
      </c>
      <c r="CC26" s="28">
        <f t="shared" si="24"/>
        <v>0</v>
      </c>
      <c r="CD26" s="28">
        <f t="shared" si="24"/>
        <v>0</v>
      </c>
      <c r="CE26" s="30">
        <f t="shared" si="13"/>
        <v>54000</v>
      </c>
      <c r="CG26" s="27">
        <f t="shared" si="21"/>
        <v>0</v>
      </c>
      <c r="CH26" s="28">
        <f t="shared" si="21"/>
        <v>0</v>
      </c>
      <c r="CI26" s="28">
        <f t="shared" si="21"/>
        <v>18000</v>
      </c>
      <c r="CJ26" s="28">
        <f t="shared" si="21"/>
        <v>18000</v>
      </c>
      <c r="CK26" s="28">
        <f t="shared" si="21"/>
        <v>18000</v>
      </c>
      <c r="CL26" s="28">
        <f t="shared" si="21"/>
        <v>0</v>
      </c>
      <c r="CM26" s="28">
        <f t="shared" si="21"/>
        <v>0</v>
      </c>
      <c r="CN26" s="28">
        <f t="shared" si="21"/>
        <v>0</v>
      </c>
      <c r="CO26" s="28">
        <f t="shared" si="21"/>
        <v>0</v>
      </c>
      <c r="CP26" s="28">
        <f t="shared" si="21"/>
        <v>0</v>
      </c>
      <c r="CQ26" s="28">
        <f t="shared" si="21"/>
        <v>0</v>
      </c>
      <c r="CR26" s="29">
        <f t="shared" si="21"/>
        <v>0</v>
      </c>
      <c r="CS26" s="30">
        <f t="shared" si="15"/>
        <v>54000</v>
      </c>
      <c r="CU26" s="27">
        <f t="shared" si="22"/>
        <v>0</v>
      </c>
      <c r="CV26" s="28">
        <f t="shared" si="22"/>
        <v>0</v>
      </c>
      <c r="CW26" s="28">
        <f t="shared" si="22"/>
        <v>9000</v>
      </c>
      <c r="CX26" s="28">
        <f t="shared" si="22"/>
        <v>9000</v>
      </c>
      <c r="CY26" s="28">
        <f t="shared" si="22"/>
        <v>9000</v>
      </c>
      <c r="CZ26" s="28">
        <f t="shared" si="22"/>
        <v>0</v>
      </c>
      <c r="DA26" s="28">
        <f t="shared" si="22"/>
        <v>0</v>
      </c>
      <c r="DB26" s="28">
        <f t="shared" si="22"/>
        <v>0</v>
      </c>
      <c r="DC26" s="28">
        <f t="shared" si="22"/>
        <v>0</v>
      </c>
      <c r="DD26" s="28">
        <f t="shared" si="22"/>
        <v>0</v>
      </c>
      <c r="DE26" s="28">
        <f t="shared" si="22"/>
        <v>0</v>
      </c>
      <c r="DF26" s="29">
        <f t="shared" si="22"/>
        <v>0</v>
      </c>
      <c r="DG26" s="30">
        <f t="shared" si="17"/>
        <v>27000</v>
      </c>
      <c r="DI26" s="27">
        <f t="shared" si="23"/>
        <v>0</v>
      </c>
      <c r="DJ26" s="28">
        <f t="shared" si="23"/>
        <v>0</v>
      </c>
      <c r="DK26" s="28">
        <f t="shared" si="23"/>
        <v>9000</v>
      </c>
      <c r="DL26" s="28">
        <f t="shared" si="23"/>
        <v>9000</v>
      </c>
      <c r="DM26" s="28">
        <f t="shared" si="23"/>
        <v>9000</v>
      </c>
      <c r="DN26" s="28">
        <f t="shared" si="23"/>
        <v>0</v>
      </c>
      <c r="DO26" s="28">
        <f t="shared" si="23"/>
        <v>0</v>
      </c>
      <c r="DP26" s="28">
        <f t="shared" si="23"/>
        <v>0</v>
      </c>
      <c r="DQ26" s="28">
        <f t="shared" si="23"/>
        <v>0</v>
      </c>
      <c r="DR26" s="28">
        <f t="shared" si="23"/>
        <v>0</v>
      </c>
      <c r="DS26" s="28">
        <f t="shared" si="23"/>
        <v>0</v>
      </c>
      <c r="DT26" s="29">
        <f t="shared" si="23"/>
        <v>0</v>
      </c>
      <c r="DU26" s="30">
        <f t="shared" si="19"/>
        <v>27000</v>
      </c>
    </row>
    <row r="27" spans="1:125" x14ac:dyDescent="0.2">
      <c r="A27">
        <f t="shared" si="6"/>
        <v>17</v>
      </c>
      <c r="B27" s="49" t="str">
        <f>_xlfn.XLOOKUP(E27,Códigos_Propuestas!$B$4:$B$10,Códigos_Propuestas!$C$4:$C$10,"!",0,1)&amp;"__"&amp;
_xlfn.XLOOKUP(H27,Códigos_Propuestas!$E$4:$E$76,Códigos_Propuestas!$F$4:$F$76,"!",1)&amp;"__"&amp;
_xlfn.XLOOKUP(L27,Códigos_Propuestas!$I$4:$I$7,Códigos_Propuestas!$J$4:$J$7,"!",1)&amp;"__"&amp;
_xlfn.XLOOKUP(M27,Códigos_Propuestas!$O$4:$O$11,Códigos_Propuestas!$Q$4:$Q$11,"!",1)&amp;"__"&amp;
_xlfn.XLOOKUP(F27,Códigos_Propuestas!$BF:$BF,Códigos_Propuestas!$BH:$BH,"!",0,1)</f>
        <v>RU__POL__OP__!__!</v>
      </c>
      <c r="C27" t="b">
        <f>F27=[1]CRM!C26</f>
        <v>1</v>
      </c>
      <c r="D27" s="47">
        <f t="shared" si="20"/>
        <v>25</v>
      </c>
      <c r="E27" s="12" t="s">
        <v>112</v>
      </c>
      <c r="F27" s="12" t="s">
        <v>537</v>
      </c>
      <c r="G27" s="12" t="s">
        <v>537</v>
      </c>
      <c r="H27" s="13" t="s">
        <v>295</v>
      </c>
      <c r="I27" s="13"/>
      <c r="J27" s="13" t="s">
        <v>143</v>
      </c>
      <c r="K27" s="17" t="s">
        <v>44</v>
      </c>
      <c r="L27" s="13" t="s">
        <v>92</v>
      </c>
      <c r="M27" s="14"/>
      <c r="N27" s="14" t="str">
        <f>_xlfn.XLOOKUP(M27,Códigos_Propuestas!$O$4:$O$15,Códigos_Propuestas!$P$4:$P$15,"!",0,1)</f>
        <v>R+</v>
      </c>
      <c r="O27" s="14"/>
      <c r="P27" s="14"/>
      <c r="Q27" s="14" t="s">
        <v>79</v>
      </c>
      <c r="R27" s="14"/>
      <c r="S27" s="14"/>
      <c r="T27" s="14"/>
      <c r="U27" s="14"/>
      <c r="V27" s="13"/>
      <c r="W27" s="13"/>
      <c r="X27" s="116">
        <f t="shared" ca="1" si="7"/>
        <v>0</v>
      </c>
      <c r="Y27" s="13" t="str">
        <f t="shared" ca="1" si="8"/>
        <v/>
      </c>
      <c r="Z27" s="13"/>
      <c r="AA27" s="115"/>
      <c r="AB27" s="130" t="b">
        <v>0</v>
      </c>
      <c r="AC27" s="115"/>
      <c r="AD27" s="130" t="b">
        <v>0</v>
      </c>
      <c r="AE27" s="115"/>
      <c r="AF27" s="130" t="b">
        <v>0</v>
      </c>
      <c r="AG27" s="13"/>
      <c r="AH27" s="13"/>
      <c r="AI27" s="130" t="b">
        <v>0</v>
      </c>
      <c r="AJ27" s="13"/>
      <c r="AK27" s="130" t="b">
        <v>0</v>
      </c>
      <c r="AL27" s="13"/>
      <c r="AM27" s="130" t="b">
        <v>0</v>
      </c>
      <c r="AN27" s="13"/>
      <c r="AO27" s="130" t="b">
        <v>0</v>
      </c>
      <c r="AP27" s="13"/>
      <c r="AQ27" s="13"/>
      <c r="AR27" s="130" t="b">
        <v>0</v>
      </c>
      <c r="AS27" s="130" t="b">
        <v>0</v>
      </c>
      <c r="AT27" s="130" t="b">
        <v>0</v>
      </c>
      <c r="AU27" s="130" t="b">
        <v>0</v>
      </c>
      <c r="AV27" s="130" t="b">
        <v>0</v>
      </c>
      <c r="AW27" s="11"/>
      <c r="AX27" s="11"/>
      <c r="AY27" s="11"/>
      <c r="AZ27" s="11"/>
      <c r="BA27" s="11"/>
      <c r="BB27" s="28"/>
      <c r="BC27" s="97">
        <v>270000</v>
      </c>
      <c r="BD27" s="97"/>
      <c r="BE27" s="13">
        <v>3</v>
      </c>
      <c r="BF27" s="134">
        <f>_xlfn.XLOOKUP($J27,'Criterios GoGet'!$B$3:$B$8,'Criterios GoGet'!$C$3:$C$8,0,0,1)</f>
        <v>1</v>
      </c>
      <c r="BG27" s="134"/>
      <c r="BH27" s="15">
        <f t="shared" si="9"/>
        <v>0</v>
      </c>
      <c r="BI27" s="18"/>
      <c r="BJ27" s="18">
        <v>45911</v>
      </c>
      <c r="BK27" s="18"/>
      <c r="BL27" s="19">
        <f t="shared" si="0"/>
        <v>0</v>
      </c>
      <c r="BM27" s="19">
        <f t="shared" si="10"/>
        <v>0</v>
      </c>
      <c r="BN27" s="20">
        <f t="shared" si="11"/>
        <v>32</v>
      </c>
      <c r="BO27" s="21">
        <f t="shared" si="12"/>
        <v>92</v>
      </c>
      <c r="BP27" s="111">
        <f t="shared" si="1"/>
        <v>32</v>
      </c>
      <c r="BQ27" s="112">
        <f t="shared" si="1"/>
        <v>92</v>
      </c>
      <c r="BS27" s="28">
        <f t="shared" si="25"/>
        <v>0</v>
      </c>
      <c r="BT27" s="28">
        <f t="shared" si="24"/>
        <v>0</v>
      </c>
      <c r="BU27" s="28">
        <f t="shared" si="24"/>
        <v>0</v>
      </c>
      <c r="BV27" s="28">
        <f t="shared" si="24"/>
        <v>0</v>
      </c>
      <c r="BW27" s="28">
        <f t="shared" si="24"/>
        <v>0</v>
      </c>
      <c r="BX27" s="28">
        <f t="shared" si="24"/>
        <v>0</v>
      </c>
      <c r="BY27" s="28">
        <f t="shared" si="24"/>
        <v>0</v>
      </c>
      <c r="BZ27" s="28">
        <f t="shared" si="24"/>
        <v>0</v>
      </c>
      <c r="CA27" s="28">
        <f t="shared" si="24"/>
        <v>0</v>
      </c>
      <c r="CB27" s="28">
        <f t="shared" si="24"/>
        <v>0</v>
      </c>
      <c r="CC27" s="28">
        <f t="shared" si="24"/>
        <v>0</v>
      </c>
      <c r="CD27" s="28">
        <f t="shared" si="24"/>
        <v>0</v>
      </c>
      <c r="CE27" s="30">
        <f t="shared" si="13"/>
        <v>0</v>
      </c>
      <c r="CF27" s="94"/>
      <c r="CG27" s="27">
        <f t="shared" si="21"/>
        <v>0</v>
      </c>
      <c r="CH27" s="28">
        <f t="shared" si="21"/>
        <v>0</v>
      </c>
      <c r="CI27" s="28">
        <f t="shared" si="21"/>
        <v>0</v>
      </c>
      <c r="CJ27" s="28">
        <f t="shared" si="21"/>
        <v>0</v>
      </c>
      <c r="CK27" s="28">
        <f t="shared" si="21"/>
        <v>0</v>
      </c>
      <c r="CL27" s="28">
        <f t="shared" si="21"/>
        <v>0</v>
      </c>
      <c r="CM27" s="28">
        <f t="shared" si="21"/>
        <v>0</v>
      </c>
      <c r="CN27" s="28">
        <f t="shared" si="21"/>
        <v>0</v>
      </c>
      <c r="CO27" s="28">
        <f t="shared" si="21"/>
        <v>0</v>
      </c>
      <c r="CP27" s="28">
        <f t="shared" si="21"/>
        <v>0</v>
      </c>
      <c r="CQ27" s="28">
        <f t="shared" si="21"/>
        <v>0</v>
      </c>
      <c r="CR27" s="29">
        <f t="shared" si="21"/>
        <v>0</v>
      </c>
      <c r="CS27" s="30">
        <f t="shared" si="15"/>
        <v>0</v>
      </c>
      <c r="CU27" s="27">
        <f t="shared" si="22"/>
        <v>0</v>
      </c>
      <c r="CV27" s="28">
        <f t="shared" si="22"/>
        <v>0</v>
      </c>
      <c r="CW27" s="28">
        <f t="shared" si="22"/>
        <v>0</v>
      </c>
      <c r="CX27" s="28">
        <f t="shared" si="22"/>
        <v>0</v>
      </c>
      <c r="CY27" s="28">
        <f t="shared" si="22"/>
        <v>0</v>
      </c>
      <c r="CZ27" s="28">
        <f t="shared" si="22"/>
        <v>0</v>
      </c>
      <c r="DA27" s="28">
        <f t="shared" si="22"/>
        <v>0</v>
      </c>
      <c r="DB27" s="28">
        <f t="shared" si="22"/>
        <v>0</v>
      </c>
      <c r="DC27" s="28">
        <f t="shared" si="22"/>
        <v>0</v>
      </c>
      <c r="DD27" s="28">
        <f t="shared" si="22"/>
        <v>0</v>
      </c>
      <c r="DE27" s="28">
        <f t="shared" si="22"/>
        <v>0</v>
      </c>
      <c r="DF27" s="29">
        <f t="shared" si="22"/>
        <v>0</v>
      </c>
      <c r="DG27" s="30">
        <f t="shared" si="17"/>
        <v>0</v>
      </c>
      <c r="DI27" s="27">
        <f t="shared" si="23"/>
        <v>0</v>
      </c>
      <c r="DJ27" s="28">
        <f t="shared" si="23"/>
        <v>0</v>
      </c>
      <c r="DK27" s="28">
        <f t="shared" si="23"/>
        <v>0</v>
      </c>
      <c r="DL27" s="28">
        <f t="shared" si="23"/>
        <v>0</v>
      </c>
      <c r="DM27" s="28">
        <f t="shared" si="23"/>
        <v>0</v>
      </c>
      <c r="DN27" s="28">
        <f t="shared" si="23"/>
        <v>0</v>
      </c>
      <c r="DO27" s="28">
        <f t="shared" si="23"/>
        <v>0</v>
      </c>
      <c r="DP27" s="28">
        <f t="shared" si="23"/>
        <v>0</v>
      </c>
      <c r="DQ27" s="28">
        <f t="shared" si="23"/>
        <v>0</v>
      </c>
      <c r="DR27" s="28">
        <f t="shared" si="23"/>
        <v>0</v>
      </c>
      <c r="DS27" s="28">
        <f t="shared" si="23"/>
        <v>0</v>
      </c>
      <c r="DT27" s="29">
        <f t="shared" si="23"/>
        <v>0</v>
      </c>
      <c r="DU27" s="30">
        <f t="shared" si="19"/>
        <v>0</v>
      </c>
    </row>
    <row r="28" spans="1:125" x14ac:dyDescent="0.2">
      <c r="A28">
        <f t="shared" si="6"/>
        <v>17</v>
      </c>
      <c r="B28" s="49" t="str">
        <f>_xlfn.XLOOKUP(E28,Códigos_Propuestas!$B$4:$B$10,Códigos_Propuestas!$C$4:$C$10,"!",0,1)&amp;"__"&amp;
_xlfn.XLOOKUP(H28,Códigos_Propuestas!$E$4:$E$76,Códigos_Propuestas!$F$4:$F$76,"!",1)&amp;"__"&amp;
_xlfn.XLOOKUP(L28,Códigos_Propuestas!$I$4:$I$7,Códigos_Propuestas!$J$4:$J$7,"!",1)&amp;"__"&amp;
_xlfn.XLOOKUP(M28,Códigos_Propuestas!$O$4:$O$11,Códigos_Propuestas!$Q$4:$Q$11,"!",1)&amp;"__"&amp;
_xlfn.XLOOKUP(F28,Códigos_Propuestas!$BF:$BF,Códigos_Propuestas!$BH:$BH,"!",0,1)</f>
        <v>BR__VAL__OU__!__!</v>
      </c>
      <c r="C28" t="b">
        <f>F28=[1]CRM!C27</f>
        <v>1</v>
      </c>
      <c r="D28" s="47">
        <f t="shared" si="20"/>
        <v>26</v>
      </c>
      <c r="E28" s="12" t="s">
        <v>88</v>
      </c>
      <c r="F28" s="12" t="s">
        <v>538</v>
      </c>
      <c r="G28" s="12" t="s">
        <v>538</v>
      </c>
      <c r="H28" s="13" t="s">
        <v>218</v>
      </c>
      <c r="I28" s="13"/>
      <c r="J28" s="13" t="s">
        <v>97</v>
      </c>
      <c r="K28" s="17" t="s">
        <v>44</v>
      </c>
      <c r="L28" s="13" t="s">
        <v>116</v>
      </c>
      <c r="M28" s="14"/>
      <c r="N28" s="14" t="str">
        <f>_xlfn.XLOOKUP(M28,Códigos_Propuestas!$O$4:$O$15,Códigos_Propuestas!$P$4:$P$15,"!",0,1)</f>
        <v>R+</v>
      </c>
      <c r="O28" s="14"/>
      <c r="P28" s="14"/>
      <c r="Q28" s="14"/>
      <c r="R28" s="14"/>
      <c r="S28" s="14"/>
      <c r="T28" s="14"/>
      <c r="U28" s="14"/>
      <c r="V28" s="13"/>
      <c r="W28" s="13"/>
      <c r="X28" s="116">
        <f t="shared" ca="1" si="7"/>
        <v>0</v>
      </c>
      <c r="Y28" s="13" t="str">
        <f t="shared" ca="1" si="8"/>
        <v/>
      </c>
      <c r="Z28" s="13"/>
      <c r="AA28" s="115"/>
      <c r="AB28" s="130" t="b">
        <v>0</v>
      </c>
      <c r="AC28" s="115"/>
      <c r="AD28" s="130" t="b">
        <v>0</v>
      </c>
      <c r="AE28" s="115"/>
      <c r="AF28" s="130" t="b">
        <v>0</v>
      </c>
      <c r="AG28" s="13"/>
      <c r="AH28" s="13"/>
      <c r="AI28" s="130" t="b">
        <v>0</v>
      </c>
      <c r="AJ28" s="13"/>
      <c r="AK28" s="130" t="b">
        <v>0</v>
      </c>
      <c r="AL28" s="13"/>
      <c r="AM28" s="130" t="b">
        <v>0</v>
      </c>
      <c r="AN28" s="13"/>
      <c r="AO28" s="130" t="b">
        <v>0</v>
      </c>
      <c r="AP28" s="13"/>
      <c r="AQ28" s="13"/>
      <c r="AR28" s="130" t="b">
        <v>0</v>
      </c>
      <c r="AS28" s="130" t="b">
        <v>0</v>
      </c>
      <c r="AT28" s="130" t="b">
        <v>0</v>
      </c>
      <c r="AU28" s="130" t="b">
        <v>0</v>
      </c>
      <c r="AV28" s="130" t="b">
        <v>0</v>
      </c>
      <c r="AW28" s="11"/>
      <c r="AX28" s="11"/>
      <c r="AY28" s="11"/>
      <c r="AZ28" s="11"/>
      <c r="BA28" s="11"/>
      <c r="BB28" s="28"/>
      <c r="BC28" s="97">
        <v>500000</v>
      </c>
      <c r="BD28" s="97"/>
      <c r="BE28" s="13">
        <v>10</v>
      </c>
      <c r="BF28" s="134">
        <f>_xlfn.XLOOKUP($J28,'Criterios GoGet'!$B$3:$B$8,'Criterios GoGet'!$C$3:$C$8,0,0,1)</f>
        <v>0.8</v>
      </c>
      <c r="BG28" s="134"/>
      <c r="BH28" s="15">
        <f t="shared" si="9"/>
        <v>0</v>
      </c>
      <c r="BI28" s="18"/>
      <c r="BJ28" s="18">
        <v>46017</v>
      </c>
      <c r="BK28" s="18"/>
      <c r="BL28" s="19">
        <f t="shared" si="0"/>
        <v>0</v>
      </c>
      <c r="BM28" s="19">
        <f t="shared" si="10"/>
        <v>0</v>
      </c>
      <c r="BN28" s="20">
        <f t="shared" si="11"/>
        <v>32</v>
      </c>
      <c r="BO28" s="21">
        <f t="shared" si="12"/>
        <v>306</v>
      </c>
      <c r="BP28" s="111">
        <f t="shared" si="1"/>
        <v>32</v>
      </c>
      <c r="BQ28" s="112">
        <f t="shared" si="1"/>
        <v>306</v>
      </c>
      <c r="BS28" s="28">
        <f t="shared" si="25"/>
        <v>0</v>
      </c>
      <c r="BT28" s="28">
        <f t="shared" si="24"/>
        <v>0</v>
      </c>
      <c r="BU28" s="28">
        <f t="shared" si="24"/>
        <v>0</v>
      </c>
      <c r="BV28" s="28">
        <f t="shared" si="24"/>
        <v>0</v>
      </c>
      <c r="BW28" s="28">
        <f t="shared" si="24"/>
        <v>0</v>
      </c>
      <c r="BX28" s="28">
        <f t="shared" si="24"/>
        <v>0</v>
      </c>
      <c r="BY28" s="28">
        <f t="shared" si="24"/>
        <v>0</v>
      </c>
      <c r="BZ28" s="28">
        <f t="shared" si="24"/>
        <v>0</v>
      </c>
      <c r="CA28" s="28">
        <f t="shared" si="24"/>
        <v>0</v>
      </c>
      <c r="CB28" s="28">
        <f t="shared" si="24"/>
        <v>0</v>
      </c>
      <c r="CC28" s="28">
        <f t="shared" si="24"/>
        <v>0</v>
      </c>
      <c r="CD28" s="28">
        <f t="shared" si="24"/>
        <v>0</v>
      </c>
      <c r="CE28" s="30">
        <f>SUM(BS28:CD28)</f>
        <v>0</v>
      </c>
      <c r="CF28" s="94"/>
      <c r="CG28" s="27">
        <f t="shared" si="21"/>
        <v>0</v>
      </c>
      <c r="CH28" s="28">
        <f t="shared" si="21"/>
        <v>0</v>
      </c>
      <c r="CI28" s="28">
        <f t="shared" si="21"/>
        <v>0</v>
      </c>
      <c r="CJ28" s="28">
        <f t="shared" si="21"/>
        <v>0</v>
      </c>
      <c r="CK28" s="28">
        <f t="shared" si="21"/>
        <v>0</v>
      </c>
      <c r="CL28" s="28">
        <f t="shared" si="21"/>
        <v>0</v>
      </c>
      <c r="CM28" s="28">
        <f t="shared" si="21"/>
        <v>0</v>
      </c>
      <c r="CN28" s="28">
        <f t="shared" si="21"/>
        <v>0</v>
      </c>
      <c r="CO28" s="28">
        <f t="shared" si="21"/>
        <v>0</v>
      </c>
      <c r="CP28" s="28">
        <f t="shared" si="21"/>
        <v>0</v>
      </c>
      <c r="CQ28" s="28">
        <f t="shared" si="21"/>
        <v>0</v>
      </c>
      <c r="CR28" s="29">
        <f t="shared" si="21"/>
        <v>0</v>
      </c>
      <c r="CS28" s="30">
        <f t="shared" si="15"/>
        <v>0</v>
      </c>
      <c r="CU28" s="27">
        <f t="shared" si="22"/>
        <v>0</v>
      </c>
      <c r="CV28" s="28">
        <f t="shared" si="22"/>
        <v>0</v>
      </c>
      <c r="CW28" s="28">
        <f t="shared" si="22"/>
        <v>0</v>
      </c>
      <c r="CX28" s="28">
        <f t="shared" si="22"/>
        <v>0</v>
      </c>
      <c r="CY28" s="28">
        <f t="shared" si="22"/>
        <v>0</v>
      </c>
      <c r="CZ28" s="28">
        <f t="shared" si="22"/>
        <v>0</v>
      </c>
      <c r="DA28" s="28">
        <f t="shared" si="22"/>
        <v>0</v>
      </c>
      <c r="DB28" s="28">
        <f t="shared" si="22"/>
        <v>0</v>
      </c>
      <c r="DC28" s="28">
        <f t="shared" si="22"/>
        <v>0</v>
      </c>
      <c r="DD28" s="28">
        <f t="shared" si="22"/>
        <v>0</v>
      </c>
      <c r="DE28" s="28">
        <f t="shared" si="22"/>
        <v>0</v>
      </c>
      <c r="DF28" s="29">
        <f t="shared" si="22"/>
        <v>0</v>
      </c>
      <c r="DG28" s="30">
        <f t="shared" si="17"/>
        <v>0</v>
      </c>
      <c r="DI28" s="27">
        <f t="shared" si="23"/>
        <v>0</v>
      </c>
      <c r="DJ28" s="28">
        <f t="shared" si="23"/>
        <v>0</v>
      </c>
      <c r="DK28" s="28">
        <f t="shared" si="23"/>
        <v>0</v>
      </c>
      <c r="DL28" s="28">
        <f t="shared" si="23"/>
        <v>0</v>
      </c>
      <c r="DM28" s="28">
        <f t="shared" si="23"/>
        <v>0</v>
      </c>
      <c r="DN28" s="28">
        <f t="shared" si="23"/>
        <v>0</v>
      </c>
      <c r="DO28" s="28">
        <f t="shared" si="23"/>
        <v>0</v>
      </c>
      <c r="DP28" s="28">
        <f t="shared" si="23"/>
        <v>0</v>
      </c>
      <c r="DQ28" s="28">
        <f t="shared" si="23"/>
        <v>0</v>
      </c>
      <c r="DR28" s="28">
        <f t="shared" si="23"/>
        <v>0</v>
      </c>
      <c r="DS28" s="28">
        <f t="shared" si="23"/>
        <v>0</v>
      </c>
      <c r="DT28" s="29">
        <f t="shared" si="23"/>
        <v>0</v>
      </c>
      <c r="DU28" s="30">
        <f t="shared" si="19"/>
        <v>0</v>
      </c>
    </row>
    <row r="29" spans="1:125" x14ac:dyDescent="0.2">
      <c r="A29">
        <f t="shared" si="6"/>
        <v>17</v>
      </c>
      <c r="B29" s="49" t="str">
        <f>_xlfn.XLOOKUP(E29,Códigos_Propuestas!$B$4:$B$10,Códigos_Propuestas!$C$4:$C$10,"!",0,1)&amp;"__"&amp;
_xlfn.XLOOKUP(H29,Códigos_Propuestas!$E$4:$E$76,Códigos_Propuestas!$F$4:$F$76,"!",1)&amp;"__"&amp;
_xlfn.XLOOKUP(L29,Códigos_Propuestas!$I$4:$I$7,Códigos_Propuestas!$J$4:$J$7,"!",1)&amp;"__"&amp;
_xlfn.XLOOKUP(M29,Códigos_Propuestas!$O$4:$O$11,Códigos_Propuestas!$Q$4:$Q$11,"!",1)&amp;"__"&amp;
_xlfn.XLOOKUP(F29,Códigos_Propuestas!$BF:$BF,Códigos_Propuestas!$BH:$BH,"!",0,1)</f>
        <v>BR__ERC__UG__!__!</v>
      </c>
      <c r="C29" t="b">
        <f>F29=[1]CRM!C28</f>
        <v>1</v>
      </c>
      <c r="D29" s="47">
        <f t="shared" si="20"/>
        <v>27</v>
      </c>
      <c r="E29" s="12" t="s">
        <v>88</v>
      </c>
      <c r="F29" s="12" t="s">
        <v>539</v>
      </c>
      <c r="G29" s="12" t="s">
        <v>539</v>
      </c>
      <c r="H29" s="13" t="s">
        <v>297</v>
      </c>
      <c r="I29" s="13" t="s">
        <v>540</v>
      </c>
      <c r="J29" s="13" t="s">
        <v>97</v>
      </c>
      <c r="K29" s="17" t="s">
        <v>44</v>
      </c>
      <c r="L29" s="13" t="s">
        <v>65</v>
      </c>
      <c r="M29" s="14"/>
      <c r="N29" s="14" t="str">
        <f>_xlfn.XLOOKUP(M29,Códigos_Propuestas!$O$4:$O$15,Códigos_Propuestas!$P$4:$P$15,"!",0,1)</f>
        <v>R+</v>
      </c>
      <c r="O29" s="14"/>
      <c r="P29" s="14"/>
      <c r="Q29" s="14"/>
      <c r="R29" s="14"/>
      <c r="S29" s="14"/>
      <c r="T29" s="14"/>
      <c r="U29" s="14"/>
      <c r="V29" s="13"/>
      <c r="W29" s="13"/>
      <c r="X29" s="116">
        <f t="shared" ca="1" si="7"/>
        <v>0</v>
      </c>
      <c r="Y29" s="13" t="str">
        <f t="shared" ca="1" si="8"/>
        <v/>
      </c>
      <c r="Z29" s="13"/>
      <c r="AA29" s="115"/>
      <c r="AB29" s="130" t="b">
        <v>0</v>
      </c>
      <c r="AC29" s="115"/>
      <c r="AD29" s="130" t="b">
        <v>0</v>
      </c>
      <c r="AE29" s="115"/>
      <c r="AF29" s="130" t="b">
        <v>0</v>
      </c>
      <c r="AG29" s="13"/>
      <c r="AH29" s="13"/>
      <c r="AI29" s="130" t="b">
        <v>0</v>
      </c>
      <c r="AJ29" s="13"/>
      <c r="AK29" s="130" t="b">
        <v>0</v>
      </c>
      <c r="AL29" s="13"/>
      <c r="AM29" s="130" t="b">
        <v>0</v>
      </c>
      <c r="AN29" s="13"/>
      <c r="AO29" s="130" t="b">
        <v>0</v>
      </c>
      <c r="AP29" s="13"/>
      <c r="AQ29" s="13"/>
      <c r="AR29" s="130" t="b">
        <v>0</v>
      </c>
      <c r="AS29" s="130" t="b">
        <v>0</v>
      </c>
      <c r="AT29" s="130" t="b">
        <v>0</v>
      </c>
      <c r="AU29" s="130" t="b">
        <v>0</v>
      </c>
      <c r="AV29" s="130" t="b">
        <v>0</v>
      </c>
      <c r="AW29" s="11"/>
      <c r="AX29" s="11"/>
      <c r="AY29" s="11"/>
      <c r="AZ29" s="11"/>
      <c r="BA29" s="11"/>
      <c r="BB29" s="28"/>
      <c r="BC29" s="97">
        <v>395250</v>
      </c>
      <c r="BD29" s="97"/>
      <c r="BE29" s="11">
        <v>6</v>
      </c>
      <c r="BF29" s="134">
        <f>_xlfn.XLOOKUP($J29,'Criterios GoGet'!$B$3:$B$8,'Criterios GoGet'!$C$3:$C$8,0,0,1)</f>
        <v>0.8</v>
      </c>
      <c r="BG29" s="134"/>
      <c r="BH29" s="15">
        <f t="shared" si="9"/>
        <v>0</v>
      </c>
      <c r="BI29" s="18"/>
      <c r="BJ29" s="18">
        <v>46031</v>
      </c>
      <c r="BK29" s="18"/>
      <c r="BL29" s="19">
        <f t="shared" si="0"/>
        <v>0</v>
      </c>
      <c r="BM29" s="19">
        <f t="shared" si="10"/>
        <v>0</v>
      </c>
      <c r="BN29" s="20">
        <f t="shared" si="11"/>
        <v>32</v>
      </c>
      <c r="BO29" s="21">
        <f t="shared" si="12"/>
        <v>183</v>
      </c>
      <c r="BP29" s="111">
        <f t="shared" si="1"/>
        <v>32</v>
      </c>
      <c r="BQ29" s="112">
        <f t="shared" si="1"/>
        <v>183</v>
      </c>
      <c r="BS29" s="28">
        <f t="shared" si="25"/>
        <v>0</v>
      </c>
      <c r="BT29" s="28">
        <f t="shared" si="24"/>
        <v>0</v>
      </c>
      <c r="BU29" s="28">
        <f t="shared" si="24"/>
        <v>0</v>
      </c>
      <c r="BV29" s="28">
        <f t="shared" si="24"/>
        <v>0</v>
      </c>
      <c r="BW29" s="28">
        <f t="shared" si="24"/>
        <v>0</v>
      </c>
      <c r="BX29" s="28">
        <f t="shared" si="24"/>
        <v>0</v>
      </c>
      <c r="BY29" s="28">
        <f t="shared" si="24"/>
        <v>0</v>
      </c>
      <c r="BZ29" s="28">
        <f t="shared" si="24"/>
        <v>0</v>
      </c>
      <c r="CA29" s="28">
        <f t="shared" si="24"/>
        <v>0</v>
      </c>
      <c r="CB29" s="28">
        <f t="shared" si="24"/>
        <v>0</v>
      </c>
      <c r="CC29" s="28">
        <f t="shared" si="24"/>
        <v>0</v>
      </c>
      <c r="CD29" s="28">
        <f t="shared" si="24"/>
        <v>0</v>
      </c>
      <c r="CE29" s="30">
        <f t="shared" si="13"/>
        <v>0</v>
      </c>
      <c r="CF29" s="94"/>
      <c r="CG29" s="27">
        <f t="shared" si="21"/>
        <v>0</v>
      </c>
      <c r="CH29" s="28">
        <f t="shared" si="21"/>
        <v>0</v>
      </c>
      <c r="CI29" s="28">
        <f t="shared" si="21"/>
        <v>0</v>
      </c>
      <c r="CJ29" s="28">
        <f t="shared" si="21"/>
        <v>0</v>
      </c>
      <c r="CK29" s="28">
        <f t="shared" si="21"/>
        <v>0</v>
      </c>
      <c r="CL29" s="28">
        <f t="shared" si="21"/>
        <v>0</v>
      </c>
      <c r="CM29" s="28">
        <f t="shared" si="21"/>
        <v>0</v>
      </c>
      <c r="CN29" s="28">
        <f t="shared" si="21"/>
        <v>0</v>
      </c>
      <c r="CO29" s="28">
        <f t="shared" si="21"/>
        <v>0</v>
      </c>
      <c r="CP29" s="28">
        <f t="shared" si="21"/>
        <v>0</v>
      </c>
      <c r="CQ29" s="28">
        <f t="shared" si="21"/>
        <v>0</v>
      </c>
      <c r="CR29" s="29">
        <f t="shared" si="21"/>
        <v>0</v>
      </c>
      <c r="CS29" s="30">
        <f t="shared" si="15"/>
        <v>0</v>
      </c>
      <c r="CU29" s="27">
        <f t="shared" si="22"/>
        <v>0</v>
      </c>
      <c r="CV29" s="28">
        <f t="shared" si="22"/>
        <v>0</v>
      </c>
      <c r="CW29" s="28">
        <f t="shared" si="22"/>
        <v>0</v>
      </c>
      <c r="CX29" s="28">
        <f t="shared" si="22"/>
        <v>0</v>
      </c>
      <c r="CY29" s="28">
        <f t="shared" si="22"/>
        <v>0</v>
      </c>
      <c r="CZ29" s="28">
        <f t="shared" si="22"/>
        <v>0</v>
      </c>
      <c r="DA29" s="28">
        <f t="shared" si="22"/>
        <v>0</v>
      </c>
      <c r="DB29" s="28">
        <f t="shared" si="22"/>
        <v>0</v>
      </c>
      <c r="DC29" s="28">
        <f t="shared" si="22"/>
        <v>0</v>
      </c>
      <c r="DD29" s="28">
        <f t="shared" si="22"/>
        <v>0</v>
      </c>
      <c r="DE29" s="28">
        <f t="shared" si="22"/>
        <v>0</v>
      </c>
      <c r="DF29" s="29">
        <f t="shared" si="22"/>
        <v>0</v>
      </c>
      <c r="DG29" s="30">
        <f t="shared" si="17"/>
        <v>0</v>
      </c>
      <c r="DI29" s="27">
        <f t="shared" si="23"/>
        <v>0</v>
      </c>
      <c r="DJ29" s="28">
        <f t="shared" si="23"/>
        <v>0</v>
      </c>
      <c r="DK29" s="28">
        <f t="shared" si="23"/>
        <v>0</v>
      </c>
      <c r="DL29" s="28">
        <f t="shared" si="23"/>
        <v>0</v>
      </c>
      <c r="DM29" s="28">
        <f t="shared" si="23"/>
        <v>0</v>
      </c>
      <c r="DN29" s="28">
        <f t="shared" si="23"/>
        <v>0</v>
      </c>
      <c r="DO29" s="28">
        <f t="shared" si="23"/>
        <v>0</v>
      </c>
      <c r="DP29" s="28">
        <f t="shared" si="23"/>
        <v>0</v>
      </c>
      <c r="DQ29" s="28">
        <f t="shared" si="23"/>
        <v>0</v>
      </c>
      <c r="DR29" s="28">
        <f t="shared" si="23"/>
        <v>0</v>
      </c>
      <c r="DS29" s="28">
        <f t="shared" si="23"/>
        <v>0</v>
      </c>
      <c r="DT29" s="29">
        <f t="shared" si="23"/>
        <v>0</v>
      </c>
      <c r="DU29" s="30">
        <f t="shared" si="19"/>
        <v>0</v>
      </c>
    </row>
    <row r="30" spans="1:125" x14ac:dyDescent="0.2">
      <c r="A30">
        <f t="shared" si="6"/>
        <v>17</v>
      </c>
      <c r="B30" s="49" t="str">
        <f>_xlfn.XLOOKUP(E30,Códigos_Propuestas!$B$4:$B$10,Códigos_Propuestas!$C$4:$C$10,"!",0,1)&amp;"__"&amp;
_xlfn.XLOOKUP(H30,Códigos_Propuestas!$E$4:$E$76,Códigos_Propuestas!$F$4:$F$76,"!",1)&amp;"__"&amp;
_xlfn.XLOOKUP(L30,Códigos_Propuestas!$I$4:$I$7,Códigos_Propuestas!$J$4:$J$7,"!",1)&amp;"__"&amp;
_xlfn.XLOOKUP(M30,Códigos_Propuestas!$O$4:$O$11,Códigos_Propuestas!$Q$4:$Q$11,"!",1)&amp;"__"&amp;
_xlfn.XLOOKUP(F30,Códigos_Propuestas!$BF:$BF,Códigos_Propuestas!$BH:$BH,"!",0,1)</f>
        <v>PE__RED__OU__!__!</v>
      </c>
      <c r="C30" t="b">
        <f>F30=[1]CRM!C29</f>
        <v>1</v>
      </c>
      <c r="D30" s="47">
        <f t="shared" si="20"/>
        <v>28</v>
      </c>
      <c r="E30" s="13" t="s">
        <v>62</v>
      </c>
      <c r="F30" s="12" t="s">
        <v>541</v>
      </c>
      <c r="G30" s="12" t="s">
        <v>541</v>
      </c>
      <c r="H30" s="13" t="s">
        <v>356</v>
      </c>
      <c r="I30" s="13" t="s">
        <v>542</v>
      </c>
      <c r="J30" s="13" t="s">
        <v>97</v>
      </c>
      <c r="K30" s="17" t="s">
        <v>72</v>
      </c>
      <c r="L30" s="13" t="s">
        <v>116</v>
      </c>
      <c r="M30" s="14"/>
      <c r="N30" s="14" t="str">
        <f>_xlfn.XLOOKUP(M30,Códigos_Propuestas!$O$4:$O$15,Códigos_Propuestas!$P$4:$P$15,"!",0,1)</f>
        <v>R+</v>
      </c>
      <c r="O30" s="14"/>
      <c r="P30" s="14"/>
      <c r="Q30" s="14"/>
      <c r="R30" s="14"/>
      <c r="S30" s="14"/>
      <c r="T30" s="14"/>
      <c r="U30" s="14"/>
      <c r="V30" s="13"/>
      <c r="W30" s="13"/>
      <c r="X30" s="116">
        <f t="shared" ca="1" si="7"/>
        <v>0</v>
      </c>
      <c r="Y30" s="13" t="str">
        <f t="shared" ca="1" si="8"/>
        <v/>
      </c>
      <c r="Z30" s="13"/>
      <c r="AA30" s="115"/>
      <c r="AB30" s="130" t="b">
        <v>0</v>
      </c>
      <c r="AC30" s="115"/>
      <c r="AD30" s="130" t="b">
        <v>0</v>
      </c>
      <c r="AE30" s="115"/>
      <c r="AF30" s="130" t="b">
        <v>0</v>
      </c>
      <c r="AG30" s="13"/>
      <c r="AH30" s="13"/>
      <c r="AI30" s="130" t="b">
        <v>0</v>
      </c>
      <c r="AJ30" s="13"/>
      <c r="AK30" s="130" t="b">
        <v>0</v>
      </c>
      <c r="AL30" s="13"/>
      <c r="AM30" s="130" t="b">
        <v>0</v>
      </c>
      <c r="AN30" s="13"/>
      <c r="AO30" s="130" t="b">
        <v>0</v>
      </c>
      <c r="AP30" s="13"/>
      <c r="AQ30" s="13"/>
      <c r="AR30" s="130" t="b">
        <v>0</v>
      </c>
      <c r="AS30" s="130" t="b">
        <v>0</v>
      </c>
      <c r="AT30" s="130" t="b">
        <v>0</v>
      </c>
      <c r="AU30" s="130" t="b">
        <v>0</v>
      </c>
      <c r="AV30" s="130" t="b">
        <v>0</v>
      </c>
      <c r="AW30" s="11"/>
      <c r="AX30" s="11"/>
      <c r="AY30" s="11"/>
      <c r="AZ30" s="11"/>
      <c r="BA30" s="11"/>
      <c r="BB30" s="28"/>
      <c r="BC30" s="97">
        <v>379990</v>
      </c>
      <c r="BD30" s="97"/>
      <c r="BE30" s="13">
        <v>4</v>
      </c>
      <c r="BF30" s="134">
        <f>_xlfn.XLOOKUP($J30,'Criterios GoGet'!$B$3:$B$8,'Criterios GoGet'!$C$3:$C$8,0,0,1)</f>
        <v>0.8</v>
      </c>
      <c r="BG30" s="134"/>
      <c r="BH30" s="15">
        <f t="shared" si="9"/>
        <v>0</v>
      </c>
      <c r="BI30" s="32"/>
      <c r="BJ30" s="18">
        <v>46031</v>
      </c>
      <c r="BK30" s="18"/>
      <c r="BL30" s="19">
        <f t="shared" si="0"/>
        <v>0</v>
      </c>
      <c r="BM30" s="19">
        <f t="shared" si="10"/>
        <v>0</v>
      </c>
      <c r="BN30" s="20">
        <f t="shared" si="11"/>
        <v>32</v>
      </c>
      <c r="BO30" s="21">
        <f t="shared" si="12"/>
        <v>122</v>
      </c>
      <c r="BP30" s="111">
        <f t="shared" si="1"/>
        <v>32</v>
      </c>
      <c r="BQ30" s="112">
        <f t="shared" si="1"/>
        <v>122</v>
      </c>
      <c r="BS30" s="28">
        <f t="shared" si="25"/>
        <v>0</v>
      </c>
      <c r="BT30" s="28">
        <f t="shared" si="24"/>
        <v>0</v>
      </c>
      <c r="BU30" s="28">
        <f t="shared" si="24"/>
        <v>0</v>
      </c>
      <c r="BV30" s="28">
        <f t="shared" si="24"/>
        <v>0</v>
      </c>
      <c r="BW30" s="28">
        <f t="shared" si="24"/>
        <v>0</v>
      </c>
      <c r="BX30" s="28">
        <f t="shared" si="24"/>
        <v>0</v>
      </c>
      <c r="BY30" s="28">
        <f t="shared" si="24"/>
        <v>0</v>
      </c>
      <c r="BZ30" s="28">
        <f t="shared" si="24"/>
        <v>0</v>
      </c>
      <c r="CA30" s="28">
        <f t="shared" si="24"/>
        <v>0</v>
      </c>
      <c r="CB30" s="28">
        <f t="shared" si="24"/>
        <v>0</v>
      </c>
      <c r="CC30" s="28">
        <f t="shared" si="24"/>
        <v>0</v>
      </c>
      <c r="CD30" s="28">
        <f t="shared" si="24"/>
        <v>0</v>
      </c>
      <c r="CE30" s="30">
        <f t="shared" si="13"/>
        <v>0</v>
      </c>
      <c r="CG30" s="27">
        <f t="shared" si="21"/>
        <v>0</v>
      </c>
      <c r="CH30" s="28">
        <f t="shared" si="21"/>
        <v>0</v>
      </c>
      <c r="CI30" s="28">
        <f t="shared" si="21"/>
        <v>0</v>
      </c>
      <c r="CJ30" s="28">
        <f t="shared" si="21"/>
        <v>0</v>
      </c>
      <c r="CK30" s="28">
        <f t="shared" si="21"/>
        <v>0</v>
      </c>
      <c r="CL30" s="28">
        <f t="shared" si="21"/>
        <v>0</v>
      </c>
      <c r="CM30" s="28">
        <f t="shared" si="21"/>
        <v>0</v>
      </c>
      <c r="CN30" s="28">
        <f t="shared" si="21"/>
        <v>0</v>
      </c>
      <c r="CO30" s="28">
        <f t="shared" si="21"/>
        <v>0</v>
      </c>
      <c r="CP30" s="28">
        <f t="shared" si="21"/>
        <v>0</v>
      </c>
      <c r="CQ30" s="28">
        <f t="shared" si="21"/>
        <v>0</v>
      </c>
      <c r="CR30" s="29">
        <f t="shared" si="21"/>
        <v>0</v>
      </c>
      <c r="CS30" s="30">
        <f t="shared" si="15"/>
        <v>0</v>
      </c>
      <c r="CU30" s="27">
        <f t="shared" si="22"/>
        <v>0</v>
      </c>
      <c r="CV30" s="28">
        <f t="shared" si="22"/>
        <v>0</v>
      </c>
      <c r="CW30" s="28">
        <f t="shared" si="22"/>
        <v>0</v>
      </c>
      <c r="CX30" s="28">
        <f t="shared" si="22"/>
        <v>0</v>
      </c>
      <c r="CY30" s="28">
        <f t="shared" si="22"/>
        <v>0</v>
      </c>
      <c r="CZ30" s="28">
        <f t="shared" si="22"/>
        <v>0</v>
      </c>
      <c r="DA30" s="28">
        <f t="shared" si="22"/>
        <v>0</v>
      </c>
      <c r="DB30" s="28">
        <f t="shared" si="22"/>
        <v>0</v>
      </c>
      <c r="DC30" s="28">
        <f t="shared" si="22"/>
        <v>0</v>
      </c>
      <c r="DD30" s="28">
        <f t="shared" si="22"/>
        <v>0</v>
      </c>
      <c r="DE30" s="28">
        <f t="shared" si="22"/>
        <v>0</v>
      </c>
      <c r="DF30" s="29">
        <f t="shared" si="22"/>
        <v>0</v>
      </c>
      <c r="DG30" s="30">
        <f t="shared" si="17"/>
        <v>0</v>
      </c>
      <c r="DI30" s="27">
        <f t="shared" si="23"/>
        <v>0</v>
      </c>
      <c r="DJ30" s="28">
        <f t="shared" si="23"/>
        <v>0</v>
      </c>
      <c r="DK30" s="28">
        <f t="shared" si="23"/>
        <v>0</v>
      </c>
      <c r="DL30" s="28">
        <f t="shared" si="23"/>
        <v>0</v>
      </c>
      <c r="DM30" s="28">
        <f t="shared" si="23"/>
        <v>0</v>
      </c>
      <c r="DN30" s="28">
        <f t="shared" si="23"/>
        <v>0</v>
      </c>
      <c r="DO30" s="28">
        <f t="shared" si="23"/>
        <v>0</v>
      </c>
      <c r="DP30" s="28">
        <f t="shared" si="23"/>
        <v>0</v>
      </c>
      <c r="DQ30" s="28">
        <f t="shared" si="23"/>
        <v>0</v>
      </c>
      <c r="DR30" s="28">
        <f t="shared" si="23"/>
        <v>0</v>
      </c>
      <c r="DS30" s="28">
        <f t="shared" si="23"/>
        <v>0</v>
      </c>
      <c r="DT30" s="29">
        <f t="shared" si="23"/>
        <v>0</v>
      </c>
      <c r="DU30" s="30">
        <f t="shared" si="19"/>
        <v>0</v>
      </c>
    </row>
    <row r="31" spans="1:125" x14ac:dyDescent="0.2">
      <c r="A31">
        <f t="shared" si="6"/>
        <v>17</v>
      </c>
      <c r="B31" s="49" t="str">
        <f>_xlfn.XLOOKUP(E31,Códigos_Propuestas!$B$4:$B$10,Códigos_Propuestas!$C$4:$C$10,"!",0,1)&amp;"__"&amp;
_xlfn.XLOOKUP(H31,Códigos_Propuestas!$E$4:$E$76,Códigos_Propuestas!$F$4:$F$76,"!",1)&amp;"__"&amp;
_xlfn.XLOOKUP(L31,Códigos_Propuestas!$I$4:$I$7,Códigos_Propuestas!$J$4:$J$7,"!",1)&amp;"__"&amp;
_xlfn.XLOOKUP(M31,Códigos_Propuestas!$O$4:$O$11,Códigos_Propuestas!$Q$4:$Q$11,"!",1)&amp;"__"&amp;
_xlfn.XLOOKUP(F31,Códigos_Propuestas!$BF:$BF,Códigos_Propuestas!$BH:$BH,"!",0,1)</f>
        <v>PE__MIA__UG__!__!</v>
      </c>
      <c r="C31" t="b">
        <f>F31=[1]CRM!C30</f>
        <v>1</v>
      </c>
      <c r="D31" s="47">
        <f t="shared" si="20"/>
        <v>29</v>
      </c>
      <c r="E31" s="13" t="s">
        <v>62</v>
      </c>
      <c r="F31" s="12" t="s">
        <v>543</v>
      </c>
      <c r="G31" s="12" t="s">
        <v>543</v>
      </c>
      <c r="H31" s="13" t="s">
        <v>358</v>
      </c>
      <c r="I31" s="13" t="s">
        <v>544</v>
      </c>
      <c r="J31" s="13" t="s">
        <v>97</v>
      </c>
      <c r="K31" s="17" t="s">
        <v>72</v>
      </c>
      <c r="L31" s="13" t="s">
        <v>65</v>
      </c>
      <c r="M31" s="14"/>
      <c r="N31" s="14" t="str">
        <f>_xlfn.XLOOKUP(M31,Códigos_Propuestas!$O$4:$O$15,Códigos_Propuestas!$P$4:$P$15,"!",0,1)</f>
        <v>R+</v>
      </c>
      <c r="O31" s="14"/>
      <c r="P31" s="14"/>
      <c r="Q31" s="14"/>
      <c r="R31" s="14"/>
      <c r="S31" s="14"/>
      <c r="T31" s="14"/>
      <c r="U31" s="14"/>
      <c r="V31" s="13"/>
      <c r="W31" s="13"/>
      <c r="X31" s="116">
        <f t="shared" ca="1" si="7"/>
        <v>0</v>
      </c>
      <c r="Y31" s="13" t="str">
        <f t="shared" ca="1" si="8"/>
        <v/>
      </c>
      <c r="Z31" s="13"/>
      <c r="AA31" s="115"/>
      <c r="AB31" s="130" t="b">
        <v>0</v>
      </c>
      <c r="AC31" s="115"/>
      <c r="AD31" s="130" t="b">
        <v>0</v>
      </c>
      <c r="AE31" s="115"/>
      <c r="AF31" s="130" t="b">
        <v>0</v>
      </c>
      <c r="AG31" s="13"/>
      <c r="AH31" s="13"/>
      <c r="AI31" s="130" t="b">
        <v>0</v>
      </c>
      <c r="AJ31" s="13"/>
      <c r="AK31" s="130" t="b">
        <v>0</v>
      </c>
      <c r="AL31" s="13"/>
      <c r="AM31" s="130" t="b">
        <v>0</v>
      </c>
      <c r="AN31" s="13"/>
      <c r="AO31" s="130" t="b">
        <v>0</v>
      </c>
      <c r="AP31" s="13"/>
      <c r="AQ31" s="13"/>
      <c r="AR31" s="130" t="b">
        <v>0</v>
      </c>
      <c r="AS31" s="130" t="b">
        <v>0</v>
      </c>
      <c r="AT31" s="130" t="b">
        <v>0</v>
      </c>
      <c r="AU31" s="130" t="b">
        <v>0</v>
      </c>
      <c r="AV31" s="130" t="b">
        <v>0</v>
      </c>
      <c r="AW31" s="11"/>
      <c r="AX31" s="11"/>
      <c r="AY31" s="11"/>
      <c r="AZ31" s="11"/>
      <c r="BA31" s="11"/>
      <c r="BB31" s="28"/>
      <c r="BC31" s="97">
        <v>144820</v>
      </c>
      <c r="BD31" s="97"/>
      <c r="BE31" s="13">
        <v>4</v>
      </c>
      <c r="BF31" s="134">
        <f>_xlfn.XLOOKUP($J31,'Criterios GoGet'!$B$3:$B$8,'Criterios GoGet'!$C$3:$C$8,0,0,1)</f>
        <v>0.8</v>
      </c>
      <c r="BG31" s="134"/>
      <c r="BH31" s="15">
        <f t="shared" si="9"/>
        <v>0</v>
      </c>
      <c r="BI31" s="32"/>
      <c r="BJ31" s="18">
        <v>46035</v>
      </c>
      <c r="BK31" s="18"/>
      <c r="BL31" s="19">
        <f t="shared" si="0"/>
        <v>0</v>
      </c>
      <c r="BM31" s="19">
        <f t="shared" si="10"/>
        <v>0</v>
      </c>
      <c r="BN31" s="20">
        <f t="shared" si="11"/>
        <v>32</v>
      </c>
      <c r="BO31" s="21">
        <f t="shared" si="12"/>
        <v>122</v>
      </c>
      <c r="BP31" s="111">
        <f t="shared" si="1"/>
        <v>32</v>
      </c>
      <c r="BQ31" s="112">
        <f t="shared" si="1"/>
        <v>122</v>
      </c>
      <c r="BS31" s="28">
        <f t="shared" si="25"/>
        <v>0</v>
      </c>
      <c r="BT31" s="28">
        <f t="shared" si="24"/>
        <v>0</v>
      </c>
      <c r="BU31" s="28">
        <f t="shared" si="24"/>
        <v>0</v>
      </c>
      <c r="BV31" s="28">
        <f t="shared" si="24"/>
        <v>0</v>
      </c>
      <c r="BW31" s="28">
        <f t="shared" si="24"/>
        <v>0</v>
      </c>
      <c r="BX31" s="28">
        <f t="shared" si="24"/>
        <v>0</v>
      </c>
      <c r="BY31" s="28">
        <f t="shared" si="24"/>
        <v>0</v>
      </c>
      <c r="BZ31" s="28">
        <f t="shared" si="24"/>
        <v>0</v>
      </c>
      <c r="CA31" s="28">
        <f t="shared" si="24"/>
        <v>0</v>
      </c>
      <c r="CB31" s="28">
        <f t="shared" si="24"/>
        <v>0</v>
      </c>
      <c r="CC31" s="28">
        <f t="shared" si="24"/>
        <v>0</v>
      </c>
      <c r="CD31" s="28">
        <f t="shared" si="24"/>
        <v>0</v>
      </c>
      <c r="CE31" s="30">
        <f t="shared" si="13"/>
        <v>0</v>
      </c>
      <c r="CG31" s="27">
        <f t="shared" si="21"/>
        <v>0</v>
      </c>
      <c r="CH31" s="28">
        <f t="shared" si="21"/>
        <v>0</v>
      </c>
      <c r="CI31" s="28">
        <f t="shared" si="21"/>
        <v>0</v>
      </c>
      <c r="CJ31" s="28">
        <f t="shared" si="21"/>
        <v>0</v>
      </c>
      <c r="CK31" s="28">
        <f t="shared" si="21"/>
        <v>0</v>
      </c>
      <c r="CL31" s="28">
        <f t="shared" si="21"/>
        <v>0</v>
      </c>
      <c r="CM31" s="28">
        <f t="shared" si="21"/>
        <v>0</v>
      </c>
      <c r="CN31" s="28">
        <f t="shared" si="21"/>
        <v>0</v>
      </c>
      <c r="CO31" s="28">
        <f t="shared" si="21"/>
        <v>0</v>
      </c>
      <c r="CP31" s="28">
        <f t="shared" si="21"/>
        <v>0</v>
      </c>
      <c r="CQ31" s="28">
        <f t="shared" si="21"/>
        <v>0</v>
      </c>
      <c r="CR31" s="29">
        <f t="shared" si="21"/>
        <v>0</v>
      </c>
      <c r="CS31" s="30">
        <f t="shared" si="15"/>
        <v>0</v>
      </c>
      <c r="CU31" s="27">
        <f t="shared" si="22"/>
        <v>0</v>
      </c>
      <c r="CV31" s="28">
        <f t="shared" si="22"/>
        <v>0</v>
      </c>
      <c r="CW31" s="28">
        <f t="shared" si="22"/>
        <v>0</v>
      </c>
      <c r="CX31" s="28">
        <f t="shared" si="22"/>
        <v>0</v>
      </c>
      <c r="CY31" s="28">
        <f t="shared" si="22"/>
        <v>0</v>
      </c>
      <c r="CZ31" s="28">
        <f t="shared" si="22"/>
        <v>0</v>
      </c>
      <c r="DA31" s="28">
        <f t="shared" si="22"/>
        <v>0</v>
      </c>
      <c r="DB31" s="28">
        <f t="shared" si="22"/>
        <v>0</v>
      </c>
      <c r="DC31" s="28">
        <f t="shared" si="22"/>
        <v>0</v>
      </c>
      <c r="DD31" s="28">
        <f t="shared" si="22"/>
        <v>0</v>
      </c>
      <c r="DE31" s="28">
        <f t="shared" si="22"/>
        <v>0</v>
      </c>
      <c r="DF31" s="29">
        <f t="shared" si="22"/>
        <v>0</v>
      </c>
      <c r="DG31" s="30">
        <f t="shared" si="17"/>
        <v>0</v>
      </c>
      <c r="DI31" s="27">
        <f t="shared" si="23"/>
        <v>0</v>
      </c>
      <c r="DJ31" s="28">
        <f t="shared" si="23"/>
        <v>0</v>
      </c>
      <c r="DK31" s="28">
        <f t="shared" si="23"/>
        <v>0</v>
      </c>
      <c r="DL31" s="28">
        <f t="shared" si="23"/>
        <v>0</v>
      </c>
      <c r="DM31" s="28">
        <f t="shared" si="23"/>
        <v>0</v>
      </c>
      <c r="DN31" s="28">
        <f t="shared" si="23"/>
        <v>0</v>
      </c>
      <c r="DO31" s="28">
        <f t="shared" si="23"/>
        <v>0</v>
      </c>
      <c r="DP31" s="28">
        <f t="shared" si="23"/>
        <v>0</v>
      </c>
      <c r="DQ31" s="28">
        <f t="shared" si="23"/>
        <v>0</v>
      </c>
      <c r="DR31" s="28">
        <f t="shared" si="23"/>
        <v>0</v>
      </c>
      <c r="DS31" s="28">
        <f t="shared" si="23"/>
        <v>0</v>
      </c>
      <c r="DT31" s="29">
        <f t="shared" si="23"/>
        <v>0</v>
      </c>
      <c r="DU31" s="30">
        <f t="shared" si="19"/>
        <v>0</v>
      </c>
    </row>
    <row r="32" spans="1:125" x14ac:dyDescent="0.2">
      <c r="A32">
        <f t="shared" si="6"/>
        <v>17</v>
      </c>
      <c r="B32" s="49" t="str">
        <f>_xlfn.XLOOKUP(E32,Códigos_Propuestas!$B$4:$B$10,Códigos_Propuestas!$C$4:$C$10,"!",0,1)&amp;"__"&amp;
_xlfn.XLOOKUP(H32,Códigos_Propuestas!$E$4:$E$76,Códigos_Propuestas!$F$4:$F$76,"!",1)&amp;"__"&amp;
_xlfn.XLOOKUP(L32,Códigos_Propuestas!$I$4:$I$7,Códigos_Propuestas!$J$4:$J$7,"!",1)&amp;"__"&amp;
_xlfn.XLOOKUP(M32,Códigos_Propuestas!$O$4:$O$11,Códigos_Propuestas!$Q$4:$Q$11,"!",1)&amp;"__"&amp;
_xlfn.XLOOKUP(F32,Códigos_Propuestas!$BF:$BF,Códigos_Propuestas!$BH:$BH,"!",0,1)</f>
        <v>CH__COD__OP__!__!</v>
      </c>
      <c r="C32" t="b">
        <f>F32=[1]CRM!C31</f>
        <v>1</v>
      </c>
      <c r="D32" s="47">
        <f t="shared" si="20"/>
        <v>30</v>
      </c>
      <c r="E32" s="11" t="s">
        <v>32</v>
      </c>
      <c r="F32" s="12" t="s">
        <v>545</v>
      </c>
      <c r="G32" s="12" t="s">
        <v>545</v>
      </c>
      <c r="H32" s="13" t="s">
        <v>181</v>
      </c>
      <c r="I32" s="13" t="s">
        <v>546</v>
      </c>
      <c r="J32" s="13" t="s">
        <v>602</v>
      </c>
      <c r="K32" s="17" t="s">
        <v>44</v>
      </c>
      <c r="L32" s="13" t="s">
        <v>92</v>
      </c>
      <c r="M32" s="14"/>
      <c r="N32" s="14" t="str">
        <f>_xlfn.XLOOKUP(M32,Códigos_Propuestas!$O$4:$O$15,Códigos_Propuestas!$P$4:$P$15,"!",0,1)</f>
        <v>R+</v>
      </c>
      <c r="O32" s="14"/>
      <c r="P32" s="14"/>
      <c r="Q32" s="14"/>
      <c r="R32" s="14"/>
      <c r="S32" s="14"/>
      <c r="T32" s="14"/>
      <c r="U32" s="14"/>
      <c r="V32" s="13"/>
      <c r="W32" s="13"/>
      <c r="X32" s="116">
        <f t="shared" ca="1" si="7"/>
        <v>0</v>
      </c>
      <c r="Y32" s="13" t="str">
        <f t="shared" ca="1" si="8"/>
        <v/>
      </c>
      <c r="Z32" s="13"/>
      <c r="AA32" s="115"/>
      <c r="AB32" s="130" t="b">
        <v>0</v>
      </c>
      <c r="AC32" s="115"/>
      <c r="AD32" s="130" t="b">
        <v>0</v>
      </c>
      <c r="AE32" s="115"/>
      <c r="AF32" s="130" t="b">
        <v>0</v>
      </c>
      <c r="AG32" s="13"/>
      <c r="AH32" s="13"/>
      <c r="AI32" s="130" t="b">
        <v>0</v>
      </c>
      <c r="AJ32" s="13"/>
      <c r="AK32" s="130" t="b">
        <v>0</v>
      </c>
      <c r="AL32" s="13"/>
      <c r="AM32" s="130" t="b">
        <v>0</v>
      </c>
      <c r="AN32" s="13"/>
      <c r="AO32" s="130" t="b">
        <v>0</v>
      </c>
      <c r="AP32" s="13"/>
      <c r="AQ32" s="13"/>
      <c r="AR32" s="130" t="b">
        <v>0</v>
      </c>
      <c r="AS32" s="130" t="b">
        <v>0</v>
      </c>
      <c r="AT32" s="130" t="b">
        <v>0</v>
      </c>
      <c r="AU32" s="130" t="b">
        <v>0</v>
      </c>
      <c r="AV32" s="130" t="b">
        <v>0</v>
      </c>
      <c r="AW32" s="11"/>
      <c r="AX32" s="11"/>
      <c r="AY32" s="11"/>
      <c r="AZ32" s="11"/>
      <c r="BA32" s="11"/>
      <c r="BB32" s="28"/>
      <c r="BC32" s="97">
        <v>250000</v>
      </c>
      <c r="BD32" s="97"/>
      <c r="BE32" s="13">
        <v>8</v>
      </c>
      <c r="BF32" s="134">
        <f>_xlfn.XLOOKUP($J32,'Criterios GoGet'!$B$3:$B$8,'Criterios GoGet'!$C$3:$C$8,0,0,1)</f>
        <v>0</v>
      </c>
      <c r="BG32" s="134"/>
      <c r="BH32" s="15">
        <f t="shared" si="9"/>
        <v>0</v>
      </c>
      <c r="BI32" s="32"/>
      <c r="BJ32" s="18">
        <v>45685</v>
      </c>
      <c r="BK32" s="18"/>
      <c r="BL32" s="19">
        <f t="shared" si="0"/>
        <v>0</v>
      </c>
      <c r="BM32" s="19">
        <f t="shared" si="10"/>
        <v>0</v>
      </c>
      <c r="BN32" s="20">
        <f t="shared" si="11"/>
        <v>32</v>
      </c>
      <c r="BO32" s="21">
        <f t="shared" si="12"/>
        <v>245</v>
      </c>
      <c r="BP32" s="111">
        <f t="shared" si="1"/>
        <v>32</v>
      </c>
      <c r="BQ32" s="112">
        <f t="shared" si="1"/>
        <v>245</v>
      </c>
      <c r="BS32" s="28">
        <f t="shared" si="25"/>
        <v>0</v>
      </c>
      <c r="BT32" s="28">
        <f t="shared" si="24"/>
        <v>0</v>
      </c>
      <c r="BU32" s="28">
        <f t="shared" si="24"/>
        <v>0</v>
      </c>
      <c r="BV32" s="28">
        <f t="shared" si="24"/>
        <v>0</v>
      </c>
      <c r="BW32" s="28">
        <f t="shared" si="24"/>
        <v>0</v>
      </c>
      <c r="BX32" s="28">
        <f t="shared" si="24"/>
        <v>0</v>
      </c>
      <c r="BY32" s="28">
        <f t="shared" si="24"/>
        <v>0</v>
      </c>
      <c r="BZ32" s="28">
        <f t="shared" si="24"/>
        <v>0</v>
      </c>
      <c r="CA32" s="28">
        <f t="shared" si="24"/>
        <v>0</v>
      </c>
      <c r="CB32" s="28">
        <f t="shared" si="24"/>
        <v>0</v>
      </c>
      <c r="CC32" s="28">
        <f t="shared" si="24"/>
        <v>0</v>
      </c>
      <c r="CD32" s="28">
        <f t="shared" si="24"/>
        <v>0</v>
      </c>
      <c r="CE32" s="30">
        <f t="shared" si="13"/>
        <v>0</v>
      </c>
      <c r="CG32" s="27">
        <f t="shared" si="21"/>
        <v>0</v>
      </c>
      <c r="CH32" s="28">
        <f t="shared" si="21"/>
        <v>0</v>
      </c>
      <c r="CI32" s="28">
        <f t="shared" si="21"/>
        <v>0</v>
      </c>
      <c r="CJ32" s="28">
        <f t="shared" si="21"/>
        <v>0</v>
      </c>
      <c r="CK32" s="28">
        <f t="shared" si="21"/>
        <v>0</v>
      </c>
      <c r="CL32" s="28">
        <f t="shared" si="21"/>
        <v>0</v>
      </c>
      <c r="CM32" s="28">
        <f t="shared" si="21"/>
        <v>0</v>
      </c>
      <c r="CN32" s="28">
        <f t="shared" si="21"/>
        <v>0</v>
      </c>
      <c r="CO32" s="28">
        <f t="shared" si="21"/>
        <v>0</v>
      </c>
      <c r="CP32" s="28">
        <f t="shared" si="21"/>
        <v>0</v>
      </c>
      <c r="CQ32" s="28">
        <f t="shared" si="21"/>
        <v>0</v>
      </c>
      <c r="CR32" s="29">
        <f t="shared" si="21"/>
        <v>0</v>
      </c>
      <c r="CS32" s="30">
        <f t="shared" si="15"/>
        <v>0</v>
      </c>
      <c r="CU32" s="27">
        <f t="shared" si="22"/>
        <v>0</v>
      </c>
      <c r="CV32" s="28">
        <f t="shared" si="22"/>
        <v>0</v>
      </c>
      <c r="CW32" s="28">
        <f t="shared" si="22"/>
        <v>0</v>
      </c>
      <c r="CX32" s="28">
        <f t="shared" si="22"/>
        <v>0</v>
      </c>
      <c r="CY32" s="28">
        <f t="shared" si="22"/>
        <v>0</v>
      </c>
      <c r="CZ32" s="28">
        <f t="shared" si="22"/>
        <v>0</v>
      </c>
      <c r="DA32" s="28">
        <f t="shared" si="22"/>
        <v>0</v>
      </c>
      <c r="DB32" s="28">
        <f t="shared" si="22"/>
        <v>0</v>
      </c>
      <c r="DC32" s="28">
        <f t="shared" si="22"/>
        <v>0</v>
      </c>
      <c r="DD32" s="28">
        <f t="shared" si="22"/>
        <v>0</v>
      </c>
      <c r="DE32" s="28">
        <f t="shared" si="22"/>
        <v>0</v>
      </c>
      <c r="DF32" s="29">
        <f t="shared" si="22"/>
        <v>0</v>
      </c>
      <c r="DG32" s="30">
        <f t="shared" si="17"/>
        <v>0</v>
      </c>
      <c r="DI32" s="27">
        <f t="shared" si="23"/>
        <v>0</v>
      </c>
      <c r="DJ32" s="28">
        <f t="shared" si="23"/>
        <v>0</v>
      </c>
      <c r="DK32" s="28">
        <f t="shared" si="23"/>
        <v>0</v>
      </c>
      <c r="DL32" s="28">
        <f t="shared" si="23"/>
        <v>0</v>
      </c>
      <c r="DM32" s="28">
        <f t="shared" si="23"/>
        <v>0</v>
      </c>
      <c r="DN32" s="28">
        <f t="shared" si="23"/>
        <v>0</v>
      </c>
      <c r="DO32" s="28">
        <f t="shared" si="23"/>
        <v>0</v>
      </c>
      <c r="DP32" s="28">
        <f t="shared" si="23"/>
        <v>0</v>
      </c>
      <c r="DQ32" s="28">
        <f t="shared" si="23"/>
        <v>0</v>
      </c>
      <c r="DR32" s="28">
        <f t="shared" si="23"/>
        <v>0</v>
      </c>
      <c r="DS32" s="28">
        <f t="shared" si="23"/>
        <v>0</v>
      </c>
      <c r="DT32" s="29">
        <f t="shared" si="23"/>
        <v>0</v>
      </c>
      <c r="DU32" s="30">
        <f t="shared" si="19"/>
        <v>0</v>
      </c>
    </row>
    <row r="33" spans="1:125" x14ac:dyDescent="0.2">
      <c r="A33">
        <f t="shared" si="6"/>
        <v>17</v>
      </c>
      <c r="B33" s="49" t="str">
        <f>_xlfn.XLOOKUP(E33,Códigos_Propuestas!$B$4:$B$10,Códigos_Propuestas!$C$4:$C$10,"!",0,1)&amp;"__"&amp;
_xlfn.XLOOKUP(H33,Códigos_Propuestas!$E$4:$E$76,Códigos_Propuestas!$F$4:$F$76,"!",1)&amp;"__"&amp;
_xlfn.XLOOKUP(L33,Códigos_Propuestas!$I$4:$I$7,Códigos_Propuestas!$J$4:$J$7,"!",1)&amp;"__"&amp;
_xlfn.XLOOKUP(M33,Códigos_Propuestas!$O$4:$O$11,Códigos_Propuestas!$Q$4:$Q$11,"!",1)&amp;"__"&amp;
_xlfn.XLOOKUP(F33,Códigos_Propuestas!$BF:$BF,Códigos_Propuestas!$BH:$BH,"!",0,1)</f>
        <v>PE__CSC__UG__!__!</v>
      </c>
      <c r="C33" t="b">
        <f>F33=[1]CRM!C32</f>
        <v>1</v>
      </c>
      <c r="D33" s="47">
        <f t="shared" si="20"/>
        <v>31</v>
      </c>
      <c r="E33" s="11" t="s">
        <v>62</v>
      </c>
      <c r="F33" s="12" t="s">
        <v>547</v>
      </c>
      <c r="G33" s="12" t="s">
        <v>547</v>
      </c>
      <c r="H33" s="13" t="s">
        <v>207</v>
      </c>
      <c r="I33" s="13" t="s">
        <v>548</v>
      </c>
      <c r="J33" s="13" t="s">
        <v>124</v>
      </c>
      <c r="K33" s="17" t="s">
        <v>98</v>
      </c>
      <c r="L33" s="13" t="s">
        <v>65</v>
      </c>
      <c r="M33" s="14"/>
      <c r="N33" s="14" t="str">
        <f>_xlfn.XLOOKUP(M33,Códigos_Propuestas!$O$4:$O$15,Códigos_Propuestas!$P$4:$P$15,"!",0,1)</f>
        <v>R+</v>
      </c>
      <c r="O33" s="14"/>
      <c r="P33" s="14"/>
      <c r="Q33" s="14"/>
      <c r="R33" s="14"/>
      <c r="S33" s="14"/>
      <c r="T33" s="14"/>
      <c r="U33" s="14"/>
      <c r="V33" s="13"/>
      <c r="W33" s="13"/>
      <c r="X33" s="116">
        <f t="shared" ca="1" si="7"/>
        <v>0</v>
      </c>
      <c r="Y33" s="13" t="str">
        <f t="shared" ca="1" si="8"/>
        <v/>
      </c>
      <c r="Z33" s="13"/>
      <c r="AA33" s="115"/>
      <c r="AB33" s="130" t="b">
        <v>0</v>
      </c>
      <c r="AC33" s="115"/>
      <c r="AD33" s="130" t="b">
        <v>0</v>
      </c>
      <c r="AE33" s="115"/>
      <c r="AF33" s="130" t="b">
        <v>0</v>
      </c>
      <c r="AG33" s="13"/>
      <c r="AH33" s="13"/>
      <c r="AI33" s="130" t="b">
        <v>0</v>
      </c>
      <c r="AJ33" s="13"/>
      <c r="AK33" s="130" t="b">
        <v>0</v>
      </c>
      <c r="AL33" s="13"/>
      <c r="AM33" s="130" t="b">
        <v>0</v>
      </c>
      <c r="AN33" s="13"/>
      <c r="AO33" s="130" t="b">
        <v>0</v>
      </c>
      <c r="AP33" s="13"/>
      <c r="AQ33" s="13"/>
      <c r="AR33" s="130" t="b">
        <v>0</v>
      </c>
      <c r="AS33" s="130" t="b">
        <v>0</v>
      </c>
      <c r="AT33" s="130" t="b">
        <v>0</v>
      </c>
      <c r="AU33" s="130" t="b">
        <v>0</v>
      </c>
      <c r="AV33" s="130" t="b">
        <v>0</v>
      </c>
      <c r="AW33" s="11"/>
      <c r="AX33" s="11"/>
      <c r="AY33" s="11"/>
      <c r="AZ33" s="11"/>
      <c r="BA33" s="11"/>
      <c r="BB33" s="28"/>
      <c r="BC33" s="97">
        <v>10000</v>
      </c>
      <c r="BD33" s="97"/>
      <c r="BE33" s="13">
        <v>0.1</v>
      </c>
      <c r="BF33" s="134">
        <f>_xlfn.XLOOKUP($J33,'Criterios GoGet'!$B$3:$B$8,'Criterios GoGet'!$C$3:$C$8,0,0,1)</f>
        <v>0</v>
      </c>
      <c r="BG33" s="134"/>
      <c r="BH33" s="15">
        <f t="shared" si="9"/>
        <v>0</v>
      </c>
      <c r="BI33" s="32"/>
      <c r="BJ33" s="18">
        <v>46036</v>
      </c>
      <c r="BK33" s="18">
        <v>46036</v>
      </c>
      <c r="BL33" s="19">
        <f t="shared" si="0"/>
        <v>0</v>
      </c>
      <c r="BM33" s="19">
        <f t="shared" si="10"/>
        <v>0</v>
      </c>
      <c r="BN33" s="20">
        <f t="shared" si="11"/>
        <v>46082</v>
      </c>
      <c r="BO33" s="21">
        <f t="shared" si="12"/>
        <v>46054</v>
      </c>
      <c r="BP33" s="111">
        <f t="shared" si="1"/>
        <v>46082</v>
      </c>
      <c r="BQ33" s="112">
        <f t="shared" si="1"/>
        <v>46054</v>
      </c>
      <c r="BS33" s="28">
        <f>IF($BE33&lt;1,IF(BS$2=$BP33,$BC33,0),IFERROR(IF(AND(BS$2&gt;=$BP33,BS$2&lt;=$BQ33),$BC33/$BE33,0),0))</f>
        <v>0</v>
      </c>
      <c r="BT33" s="28">
        <f t="shared" si="24"/>
        <v>0</v>
      </c>
      <c r="BU33" s="28">
        <f t="shared" si="24"/>
        <v>10000</v>
      </c>
      <c r="BV33" s="28">
        <f t="shared" si="24"/>
        <v>0</v>
      </c>
      <c r="BW33" s="28">
        <f t="shared" si="24"/>
        <v>0</v>
      </c>
      <c r="BX33" s="28">
        <f t="shared" si="24"/>
        <v>0</v>
      </c>
      <c r="BY33" s="28">
        <f t="shared" si="24"/>
        <v>0</v>
      </c>
      <c r="BZ33" s="28">
        <f t="shared" si="24"/>
        <v>0</v>
      </c>
      <c r="CA33" s="28">
        <f t="shared" si="24"/>
        <v>0</v>
      </c>
      <c r="CB33" s="28">
        <f t="shared" si="24"/>
        <v>0</v>
      </c>
      <c r="CC33" s="28">
        <f t="shared" si="24"/>
        <v>0</v>
      </c>
      <c r="CD33" s="28">
        <f t="shared" si="24"/>
        <v>0</v>
      </c>
      <c r="CE33" s="30">
        <f>SUM(BS33:CD33)</f>
        <v>10000</v>
      </c>
      <c r="CG33" s="28">
        <f>IF($BE33&lt;1,IF(CG$2=$BP33,$BL33,0),IFERROR(IF(AND(CG$2&gt;=$BP33,CG$2&lt;=$BQ33),$BL33/$BE33,0),0))</f>
        <v>0</v>
      </c>
      <c r="CH33" s="28">
        <f t="shared" si="21"/>
        <v>0</v>
      </c>
      <c r="CI33" s="28">
        <f t="shared" si="21"/>
        <v>0</v>
      </c>
      <c r="CJ33" s="28">
        <f t="shared" si="21"/>
        <v>0</v>
      </c>
      <c r="CK33" s="28">
        <f t="shared" si="21"/>
        <v>0</v>
      </c>
      <c r="CL33" s="28">
        <f t="shared" si="21"/>
        <v>0</v>
      </c>
      <c r="CM33" s="28">
        <f t="shared" si="21"/>
        <v>0</v>
      </c>
      <c r="CN33" s="28">
        <f t="shared" si="21"/>
        <v>0</v>
      </c>
      <c r="CO33" s="28">
        <f t="shared" si="21"/>
        <v>0</v>
      </c>
      <c r="CP33" s="28">
        <f t="shared" si="21"/>
        <v>0</v>
      </c>
      <c r="CQ33" s="28">
        <f t="shared" si="21"/>
        <v>0</v>
      </c>
      <c r="CR33" s="28">
        <f t="shared" si="21"/>
        <v>0</v>
      </c>
      <c r="CS33" s="28">
        <f>SUM(CG33:CR33)</f>
        <v>0</v>
      </c>
      <c r="CU33" s="28">
        <f t="shared" si="22"/>
        <v>0</v>
      </c>
      <c r="CV33" s="28">
        <f t="shared" si="22"/>
        <v>0</v>
      </c>
      <c r="CW33" s="28">
        <f t="shared" si="22"/>
        <v>0</v>
      </c>
      <c r="CX33" s="28">
        <f t="shared" si="22"/>
        <v>0</v>
      </c>
      <c r="CY33" s="28">
        <f t="shared" si="22"/>
        <v>0</v>
      </c>
      <c r="CZ33" s="28">
        <f t="shared" si="22"/>
        <v>0</v>
      </c>
      <c r="DA33" s="28">
        <f t="shared" si="22"/>
        <v>0</v>
      </c>
      <c r="DB33" s="28">
        <f t="shared" si="22"/>
        <v>0</v>
      </c>
      <c r="DC33" s="28">
        <f t="shared" si="22"/>
        <v>0</v>
      </c>
      <c r="DD33" s="28">
        <f t="shared" si="22"/>
        <v>0</v>
      </c>
      <c r="DE33" s="28">
        <f t="shared" si="22"/>
        <v>0</v>
      </c>
      <c r="DF33" s="28">
        <f t="shared" si="22"/>
        <v>0</v>
      </c>
      <c r="DG33" s="30">
        <f t="shared" si="17"/>
        <v>0</v>
      </c>
      <c r="DI33" s="28">
        <f t="shared" si="23"/>
        <v>0</v>
      </c>
      <c r="DJ33" s="28">
        <f t="shared" si="23"/>
        <v>0</v>
      </c>
      <c r="DK33" s="28">
        <f t="shared" si="23"/>
        <v>0</v>
      </c>
      <c r="DL33" s="28">
        <f t="shared" si="23"/>
        <v>0</v>
      </c>
      <c r="DM33" s="28">
        <f t="shared" si="23"/>
        <v>0</v>
      </c>
      <c r="DN33" s="28">
        <f t="shared" si="23"/>
        <v>0</v>
      </c>
      <c r="DO33" s="28">
        <f t="shared" si="23"/>
        <v>0</v>
      </c>
      <c r="DP33" s="28">
        <f t="shared" si="23"/>
        <v>0</v>
      </c>
      <c r="DQ33" s="28">
        <f t="shared" si="23"/>
        <v>0</v>
      </c>
      <c r="DR33" s="28">
        <f t="shared" si="23"/>
        <v>0</v>
      </c>
      <c r="DS33" s="28">
        <f t="shared" si="23"/>
        <v>0</v>
      </c>
      <c r="DT33" s="28">
        <f t="shared" si="23"/>
        <v>0</v>
      </c>
      <c r="DU33" s="30">
        <f t="shared" si="19"/>
        <v>0</v>
      </c>
    </row>
    <row r="34" spans="1:125" x14ac:dyDescent="0.2">
      <c r="A34">
        <f>LEN(B34)</f>
        <v>16</v>
      </c>
      <c r="B34" s="49" t="str">
        <f>_xlfn.XLOOKUP(E34,Códigos_Propuestas!$B$4:$B$10,Códigos_Propuestas!$C$4:$C$10,"!",0,1)&amp;"__"&amp;
_xlfn.XLOOKUP(H34,Códigos_Propuestas!$E$4:$E$76,Códigos_Propuestas!$F$4:$F$76,"!",1)&amp;"__"&amp;
_xlfn.XLOOKUP(L34,Códigos_Propuestas!$I$4:$I$7,Códigos_Propuestas!$J$4:$J$7,"!",1)&amp;"__"&amp;
_xlfn.XLOOKUP(M34,Códigos_Propuestas!$O$4:$O$11,Códigos_Propuestas!$Q$4:$Q$11,"!",1)&amp;"__"&amp;
_xlfn.XLOOKUP(F34,Códigos_Propuestas!$BF:$BF,Códigos_Propuestas!$BH:$BH,"!",0,1)</f>
        <v>CH__LUN__!__!__!</v>
      </c>
      <c r="C34" t="b">
        <f>F34=[1]CRM!C33</f>
        <v>1</v>
      </c>
      <c r="D34" s="47">
        <f t="shared" si="20"/>
        <v>32</v>
      </c>
      <c r="E34" s="11" t="s">
        <v>32</v>
      </c>
      <c r="F34" s="12" t="s">
        <v>549</v>
      </c>
      <c r="G34" s="12" t="s">
        <v>549</v>
      </c>
      <c r="H34" s="13" t="s">
        <v>90</v>
      </c>
      <c r="I34" s="13" t="s">
        <v>550</v>
      </c>
      <c r="J34" s="13" t="s">
        <v>551</v>
      </c>
      <c r="K34" s="17"/>
      <c r="L34" s="13"/>
      <c r="M34" s="14"/>
      <c r="N34" s="14" t="str">
        <f>_xlfn.XLOOKUP(M34,Códigos_Propuestas!$O$4:$O$15,Códigos_Propuestas!$P$4:$P$15,"!",0,1)</f>
        <v>R+</v>
      </c>
      <c r="O34" s="14"/>
      <c r="P34" s="14"/>
      <c r="Q34" s="14"/>
      <c r="R34" s="14"/>
      <c r="S34" s="14"/>
      <c r="T34" s="14"/>
      <c r="U34" s="14"/>
      <c r="V34" s="13"/>
      <c r="W34" s="13"/>
      <c r="X34" s="116">
        <f t="shared" ca="1" si="7"/>
        <v>0</v>
      </c>
      <c r="Y34" s="13" t="str">
        <f t="shared" ca="1" si="8"/>
        <v/>
      </c>
      <c r="Z34" s="13"/>
      <c r="AA34" s="115"/>
      <c r="AB34" s="130" t="b">
        <v>0</v>
      </c>
      <c r="AC34" s="115"/>
      <c r="AD34" s="130" t="b">
        <v>0</v>
      </c>
      <c r="AE34" s="115"/>
      <c r="AF34" s="130" t="b">
        <v>0</v>
      </c>
      <c r="AG34" s="13"/>
      <c r="AH34" s="13"/>
      <c r="AI34" s="130" t="b">
        <v>0</v>
      </c>
      <c r="AJ34" s="13"/>
      <c r="AK34" s="130" t="b">
        <v>0</v>
      </c>
      <c r="AL34" s="13"/>
      <c r="AM34" s="130" t="b">
        <v>0</v>
      </c>
      <c r="AN34" s="13"/>
      <c r="AO34" s="130" t="b">
        <v>0</v>
      </c>
      <c r="AP34" s="13"/>
      <c r="AQ34" s="13"/>
      <c r="AR34" s="130" t="b">
        <v>0</v>
      </c>
      <c r="AS34" s="130" t="b">
        <v>0</v>
      </c>
      <c r="AT34" s="130" t="b">
        <v>0</v>
      </c>
      <c r="AU34" s="130" t="b">
        <v>0</v>
      </c>
      <c r="AV34" s="130" t="b">
        <v>0</v>
      </c>
      <c r="AW34" s="11"/>
      <c r="AX34" s="11"/>
      <c r="AY34" s="11"/>
      <c r="AZ34" s="11"/>
      <c r="BA34" s="11"/>
      <c r="BB34" s="28"/>
      <c r="BC34" s="97">
        <v>150000</v>
      </c>
      <c r="BD34" s="97"/>
      <c r="BE34" s="13">
        <v>3</v>
      </c>
      <c r="BF34" s="134">
        <f>_xlfn.XLOOKUP($J34,'Criterios GoGet'!$B$3:$B$8,'Criterios GoGet'!$C$3:$C$8,0,0,1)</f>
        <v>0</v>
      </c>
      <c r="BG34" s="134"/>
      <c r="BH34" s="15">
        <f t="shared" si="9"/>
        <v>0</v>
      </c>
      <c r="BI34" s="32"/>
      <c r="BJ34" s="18"/>
      <c r="BK34" s="18"/>
      <c r="BL34" s="19">
        <f t="shared" si="0"/>
        <v>0</v>
      </c>
      <c r="BM34" s="19">
        <f t="shared" si="10"/>
        <v>0</v>
      </c>
      <c r="BN34" s="20">
        <f t="shared" si="11"/>
        <v>32</v>
      </c>
      <c r="BO34" s="21">
        <f t="shared" si="12"/>
        <v>92</v>
      </c>
      <c r="BP34" s="111">
        <f t="shared" si="1"/>
        <v>32</v>
      </c>
      <c r="BQ34" s="112">
        <f t="shared" si="1"/>
        <v>92</v>
      </c>
      <c r="BS34" s="28">
        <f t="shared" ref="BS34:CD49" si="26">IF($BE34&lt;1,IF(BS$2=$BP34,$BC34,0),IFERROR(IF(AND(BS$2&gt;=$BP34,BS$2&lt;=$BQ34),$BC34/$BE34,0),0))</f>
        <v>0</v>
      </c>
      <c r="BT34" s="28">
        <f t="shared" si="24"/>
        <v>0</v>
      </c>
      <c r="BU34" s="28">
        <f t="shared" si="24"/>
        <v>0</v>
      </c>
      <c r="BV34" s="28">
        <f t="shared" si="24"/>
        <v>0</v>
      </c>
      <c r="BW34" s="28">
        <f t="shared" si="24"/>
        <v>0</v>
      </c>
      <c r="BX34" s="28">
        <f t="shared" si="24"/>
        <v>0</v>
      </c>
      <c r="BY34" s="28">
        <f t="shared" si="24"/>
        <v>0</v>
      </c>
      <c r="BZ34" s="28">
        <f t="shared" si="24"/>
        <v>0</v>
      </c>
      <c r="CA34" s="28">
        <f t="shared" si="24"/>
        <v>0</v>
      </c>
      <c r="CB34" s="28">
        <f t="shared" si="24"/>
        <v>0</v>
      </c>
      <c r="CC34" s="28">
        <f t="shared" si="24"/>
        <v>0</v>
      </c>
      <c r="CD34" s="28">
        <f t="shared" si="24"/>
        <v>0</v>
      </c>
      <c r="CE34" s="30">
        <f t="shared" si="13"/>
        <v>0</v>
      </c>
      <c r="CG34" s="27">
        <f t="shared" si="21"/>
        <v>0</v>
      </c>
      <c r="CH34" s="28">
        <f t="shared" si="21"/>
        <v>0</v>
      </c>
      <c r="CI34" s="28">
        <f t="shared" si="21"/>
        <v>0</v>
      </c>
      <c r="CJ34" s="28">
        <f t="shared" si="21"/>
        <v>0</v>
      </c>
      <c r="CK34" s="28">
        <f t="shared" si="21"/>
        <v>0</v>
      </c>
      <c r="CL34" s="28">
        <f t="shared" si="21"/>
        <v>0</v>
      </c>
      <c r="CM34" s="28">
        <f t="shared" si="21"/>
        <v>0</v>
      </c>
      <c r="CN34" s="28">
        <f t="shared" si="21"/>
        <v>0</v>
      </c>
      <c r="CO34" s="28">
        <f t="shared" si="21"/>
        <v>0</v>
      </c>
      <c r="CP34" s="28">
        <f t="shared" si="21"/>
        <v>0</v>
      </c>
      <c r="CQ34" s="28">
        <f t="shared" si="21"/>
        <v>0</v>
      </c>
      <c r="CR34" s="29">
        <f t="shared" si="21"/>
        <v>0</v>
      </c>
      <c r="CS34" s="30">
        <f t="shared" si="15"/>
        <v>0</v>
      </c>
      <c r="CU34" s="27">
        <f t="shared" si="22"/>
        <v>0</v>
      </c>
      <c r="CV34" s="28">
        <f t="shared" si="22"/>
        <v>0</v>
      </c>
      <c r="CW34" s="28">
        <f t="shared" si="22"/>
        <v>0</v>
      </c>
      <c r="CX34" s="28">
        <f t="shared" si="22"/>
        <v>0</v>
      </c>
      <c r="CY34" s="28">
        <f t="shared" si="22"/>
        <v>0</v>
      </c>
      <c r="CZ34" s="28">
        <f t="shared" si="22"/>
        <v>0</v>
      </c>
      <c r="DA34" s="28">
        <f t="shared" si="22"/>
        <v>0</v>
      </c>
      <c r="DB34" s="28">
        <f t="shared" si="22"/>
        <v>0</v>
      </c>
      <c r="DC34" s="28">
        <f t="shared" si="22"/>
        <v>0</v>
      </c>
      <c r="DD34" s="28">
        <f t="shared" si="22"/>
        <v>0</v>
      </c>
      <c r="DE34" s="28">
        <f t="shared" si="22"/>
        <v>0</v>
      </c>
      <c r="DF34" s="29">
        <f t="shared" si="22"/>
        <v>0</v>
      </c>
      <c r="DG34" s="30">
        <f t="shared" si="17"/>
        <v>0</v>
      </c>
      <c r="DI34" s="27">
        <f t="shared" si="23"/>
        <v>0</v>
      </c>
      <c r="DJ34" s="28">
        <f t="shared" si="23"/>
        <v>0</v>
      </c>
      <c r="DK34" s="28">
        <f t="shared" si="23"/>
        <v>0</v>
      </c>
      <c r="DL34" s="28">
        <f t="shared" si="23"/>
        <v>0</v>
      </c>
      <c r="DM34" s="28">
        <f t="shared" si="23"/>
        <v>0</v>
      </c>
      <c r="DN34" s="28">
        <f t="shared" si="23"/>
        <v>0</v>
      </c>
      <c r="DO34" s="28">
        <f t="shared" si="23"/>
        <v>0</v>
      </c>
      <c r="DP34" s="28">
        <f t="shared" si="23"/>
        <v>0</v>
      </c>
      <c r="DQ34" s="28">
        <f t="shared" si="23"/>
        <v>0</v>
      </c>
      <c r="DR34" s="28">
        <f t="shared" si="23"/>
        <v>0</v>
      </c>
      <c r="DS34" s="28">
        <f t="shared" si="23"/>
        <v>0</v>
      </c>
      <c r="DT34" s="29">
        <f t="shared" si="23"/>
        <v>0</v>
      </c>
      <c r="DU34" s="30">
        <f t="shared" si="19"/>
        <v>0</v>
      </c>
    </row>
    <row r="35" spans="1:125" x14ac:dyDescent="0.2">
      <c r="A35">
        <f t="shared" si="6"/>
        <v>16</v>
      </c>
      <c r="B35" s="49" t="str">
        <f>_xlfn.XLOOKUP(E35,Códigos_Propuestas!$B$4:$B$10,Códigos_Propuestas!$C$4:$C$10,"!",0,1)&amp;"__"&amp;
_xlfn.XLOOKUP(H35,Códigos_Propuestas!$E$4:$E$76,Códigos_Propuestas!$F$4:$F$76,"!",1)&amp;"__"&amp;
_xlfn.XLOOKUP(L35,Códigos_Propuestas!$I$4:$I$7,Códigos_Propuestas!$J$4:$J$7,"!",1)&amp;"__"&amp;
_xlfn.XLOOKUP(M35,Códigos_Propuestas!$O$4:$O$11,Códigos_Propuestas!$Q$4:$Q$11,"!",1)&amp;"__"&amp;
_xlfn.XLOOKUP(F35,Códigos_Propuestas!$BF:$BF,Códigos_Propuestas!$BH:$BH,"!",0,1)</f>
        <v>CH__ECR__!__!__!</v>
      </c>
      <c r="C35" t="b">
        <f>F35=[1]CRM!C34</f>
        <v>1</v>
      </c>
      <c r="D35" s="47">
        <f t="shared" si="20"/>
        <v>33</v>
      </c>
      <c r="E35" s="11" t="s">
        <v>32</v>
      </c>
      <c r="F35" s="12" t="s">
        <v>552</v>
      </c>
      <c r="G35" s="12" t="s">
        <v>552</v>
      </c>
      <c r="H35" s="13" t="s">
        <v>339</v>
      </c>
      <c r="I35" s="13" t="s">
        <v>553</v>
      </c>
      <c r="J35" s="13" t="s">
        <v>143</v>
      </c>
      <c r="K35" s="17" t="s">
        <v>98</v>
      </c>
      <c r="L35" s="13"/>
      <c r="M35" s="14"/>
      <c r="N35" s="14" t="str">
        <f>_xlfn.XLOOKUP(M35,Códigos_Propuestas!$O$4:$O$15,Códigos_Propuestas!$P$4:$P$15,"!",0,1)</f>
        <v>R+</v>
      </c>
      <c r="O35" s="14"/>
      <c r="P35" s="14"/>
      <c r="Q35" s="14" t="s">
        <v>79</v>
      </c>
      <c r="R35" s="14"/>
      <c r="S35" s="14"/>
      <c r="T35" s="14"/>
      <c r="U35" s="14"/>
      <c r="V35" s="13"/>
      <c r="W35" s="13"/>
      <c r="X35" s="116">
        <f t="shared" ca="1" si="7"/>
        <v>0</v>
      </c>
      <c r="Y35" s="13" t="str">
        <f t="shared" ca="1" si="8"/>
        <v/>
      </c>
      <c r="Z35" s="13"/>
      <c r="AA35" s="115"/>
      <c r="AB35" s="130" t="b">
        <v>0</v>
      </c>
      <c r="AC35" s="115"/>
      <c r="AD35" s="130" t="b">
        <v>0</v>
      </c>
      <c r="AE35" s="115"/>
      <c r="AF35" s="130" t="b">
        <v>0</v>
      </c>
      <c r="AG35" s="13"/>
      <c r="AH35" s="13"/>
      <c r="AI35" s="130" t="b">
        <v>0</v>
      </c>
      <c r="AJ35" s="13"/>
      <c r="AK35" s="130" t="b">
        <v>0</v>
      </c>
      <c r="AL35" s="13"/>
      <c r="AM35" s="130" t="b">
        <v>0</v>
      </c>
      <c r="AN35" s="13"/>
      <c r="AO35" s="130" t="b">
        <v>0</v>
      </c>
      <c r="AP35" s="13"/>
      <c r="AQ35" s="13"/>
      <c r="AR35" s="130" t="b">
        <v>0</v>
      </c>
      <c r="AS35" s="130" t="b">
        <v>0</v>
      </c>
      <c r="AT35" s="130" t="b">
        <v>0</v>
      </c>
      <c r="AU35" s="130" t="b">
        <v>0</v>
      </c>
      <c r="AV35" s="130" t="b">
        <v>0</v>
      </c>
      <c r="AW35" s="11"/>
      <c r="AX35" s="11"/>
      <c r="AY35" s="11"/>
      <c r="AZ35" s="11"/>
      <c r="BA35" s="11"/>
      <c r="BB35" s="28"/>
      <c r="BC35" s="97">
        <v>425000</v>
      </c>
      <c r="BD35" s="97"/>
      <c r="BE35" s="13">
        <v>3</v>
      </c>
      <c r="BF35" s="134">
        <f>_xlfn.XLOOKUP($J35,'Criterios GoGet'!$B$3:$B$8,'Criterios GoGet'!$C$3:$C$8,0,0,1)</f>
        <v>1</v>
      </c>
      <c r="BG35" s="134"/>
      <c r="BH35" s="15">
        <f t="shared" si="9"/>
        <v>0</v>
      </c>
      <c r="BI35" s="32"/>
      <c r="BJ35" s="18">
        <v>46038</v>
      </c>
      <c r="BK35" s="18"/>
      <c r="BL35" s="19">
        <f t="shared" si="0"/>
        <v>0</v>
      </c>
      <c r="BM35" s="19">
        <f t="shared" si="10"/>
        <v>0</v>
      </c>
      <c r="BN35" s="20">
        <f t="shared" si="11"/>
        <v>32</v>
      </c>
      <c r="BO35" s="21">
        <f t="shared" si="12"/>
        <v>92</v>
      </c>
      <c r="BP35" s="111">
        <f t="shared" si="1"/>
        <v>32</v>
      </c>
      <c r="BQ35" s="112">
        <f t="shared" si="1"/>
        <v>92</v>
      </c>
      <c r="BS35" s="28">
        <f t="shared" si="26"/>
        <v>0</v>
      </c>
      <c r="BT35" s="28">
        <f t="shared" si="24"/>
        <v>0</v>
      </c>
      <c r="BU35" s="28">
        <f t="shared" si="24"/>
        <v>0</v>
      </c>
      <c r="BV35" s="28">
        <f t="shared" si="24"/>
        <v>0</v>
      </c>
      <c r="BW35" s="28">
        <f t="shared" si="24"/>
        <v>0</v>
      </c>
      <c r="BX35" s="28">
        <f t="shared" si="24"/>
        <v>0</v>
      </c>
      <c r="BY35" s="28">
        <f t="shared" si="24"/>
        <v>0</v>
      </c>
      <c r="BZ35" s="28">
        <f t="shared" si="24"/>
        <v>0</v>
      </c>
      <c r="CA35" s="28">
        <f t="shared" si="24"/>
        <v>0</v>
      </c>
      <c r="CB35" s="28">
        <f t="shared" si="24"/>
        <v>0</v>
      </c>
      <c r="CC35" s="28">
        <f t="shared" si="24"/>
        <v>0</v>
      </c>
      <c r="CD35" s="28">
        <f t="shared" si="24"/>
        <v>0</v>
      </c>
      <c r="CE35" s="30">
        <f t="shared" si="13"/>
        <v>0</v>
      </c>
      <c r="CG35" s="27">
        <f t="shared" si="21"/>
        <v>0</v>
      </c>
      <c r="CH35" s="28">
        <f t="shared" si="21"/>
        <v>0</v>
      </c>
      <c r="CI35" s="28">
        <f t="shared" si="21"/>
        <v>0</v>
      </c>
      <c r="CJ35" s="28">
        <f t="shared" si="21"/>
        <v>0</v>
      </c>
      <c r="CK35" s="28">
        <f t="shared" si="21"/>
        <v>0</v>
      </c>
      <c r="CL35" s="28">
        <f t="shared" si="21"/>
        <v>0</v>
      </c>
      <c r="CM35" s="28">
        <f t="shared" si="21"/>
        <v>0</v>
      </c>
      <c r="CN35" s="28">
        <f t="shared" si="21"/>
        <v>0</v>
      </c>
      <c r="CO35" s="28">
        <f t="shared" si="21"/>
        <v>0</v>
      </c>
      <c r="CP35" s="28">
        <f t="shared" si="21"/>
        <v>0</v>
      </c>
      <c r="CQ35" s="28">
        <f t="shared" si="21"/>
        <v>0</v>
      </c>
      <c r="CR35" s="29">
        <f t="shared" si="21"/>
        <v>0</v>
      </c>
      <c r="CS35" s="30">
        <f t="shared" si="15"/>
        <v>0</v>
      </c>
      <c r="CU35" s="27">
        <f t="shared" si="22"/>
        <v>0</v>
      </c>
      <c r="CV35" s="28">
        <f t="shared" si="22"/>
        <v>0</v>
      </c>
      <c r="CW35" s="28">
        <f t="shared" si="22"/>
        <v>0</v>
      </c>
      <c r="CX35" s="28">
        <f t="shared" si="22"/>
        <v>0</v>
      </c>
      <c r="CY35" s="28">
        <f t="shared" si="22"/>
        <v>0</v>
      </c>
      <c r="CZ35" s="28">
        <f t="shared" si="22"/>
        <v>0</v>
      </c>
      <c r="DA35" s="28">
        <f t="shared" si="22"/>
        <v>0</v>
      </c>
      <c r="DB35" s="28">
        <f t="shared" si="22"/>
        <v>0</v>
      </c>
      <c r="DC35" s="28">
        <f t="shared" si="22"/>
        <v>0</v>
      </c>
      <c r="DD35" s="28">
        <f t="shared" si="22"/>
        <v>0</v>
      </c>
      <c r="DE35" s="28">
        <f t="shared" si="22"/>
        <v>0</v>
      </c>
      <c r="DF35" s="29">
        <f t="shared" si="22"/>
        <v>0</v>
      </c>
      <c r="DG35" s="30">
        <f t="shared" si="17"/>
        <v>0</v>
      </c>
      <c r="DI35" s="27">
        <f t="shared" si="23"/>
        <v>0</v>
      </c>
      <c r="DJ35" s="28">
        <f t="shared" si="23"/>
        <v>0</v>
      </c>
      <c r="DK35" s="28">
        <f t="shared" si="23"/>
        <v>0</v>
      </c>
      <c r="DL35" s="28">
        <f t="shared" si="23"/>
        <v>0</v>
      </c>
      <c r="DM35" s="28">
        <f t="shared" si="23"/>
        <v>0</v>
      </c>
      <c r="DN35" s="28">
        <f t="shared" si="23"/>
        <v>0</v>
      </c>
      <c r="DO35" s="28">
        <f t="shared" si="23"/>
        <v>0</v>
      </c>
      <c r="DP35" s="28">
        <f t="shared" si="23"/>
        <v>0</v>
      </c>
      <c r="DQ35" s="28">
        <f t="shared" si="23"/>
        <v>0</v>
      </c>
      <c r="DR35" s="28">
        <f t="shared" si="23"/>
        <v>0</v>
      </c>
      <c r="DS35" s="28">
        <f t="shared" si="23"/>
        <v>0</v>
      </c>
      <c r="DT35" s="29">
        <f t="shared" si="23"/>
        <v>0</v>
      </c>
      <c r="DU35" s="30">
        <f t="shared" si="19"/>
        <v>0</v>
      </c>
    </row>
    <row r="36" spans="1:125" x14ac:dyDescent="0.2">
      <c r="A36">
        <f t="shared" si="6"/>
        <v>17</v>
      </c>
      <c r="B36" s="49" t="str">
        <f>_xlfn.XLOOKUP(E36,Códigos_Propuestas!$B$4:$B$10,Códigos_Propuestas!$C$4:$C$10,"!",0,1)&amp;"__"&amp;
_xlfn.XLOOKUP(H36,Códigos_Propuestas!$E$4:$E$76,Códigos_Propuestas!$F$4:$F$76,"!",1)&amp;"__"&amp;
_xlfn.XLOOKUP(L36,Códigos_Propuestas!$I$4:$I$7,Códigos_Propuestas!$J$4:$J$7,"!",1)&amp;"__"&amp;
_xlfn.XLOOKUP(M36,Códigos_Propuestas!$O$4:$O$11,Códigos_Propuestas!$Q$4:$Q$11,"!",1)&amp;"__"&amp;
_xlfn.XLOOKUP(F36,Códigos_Propuestas!$BF:$BF,Códigos_Propuestas!$BH:$BH,"!",0,1)</f>
        <v>PE__TWM__UG__!__!</v>
      </c>
      <c r="C36" t="b">
        <f>F36=[1]CRM!C35</f>
        <v>1</v>
      </c>
      <c r="D36" s="47">
        <f t="shared" si="20"/>
        <v>34</v>
      </c>
      <c r="E36" s="11" t="s">
        <v>62</v>
      </c>
      <c r="F36" s="12" t="s">
        <v>554</v>
      </c>
      <c r="G36" s="12" t="s">
        <v>554</v>
      </c>
      <c r="H36" s="13" t="s">
        <v>360</v>
      </c>
      <c r="I36" s="13" t="s">
        <v>555</v>
      </c>
      <c r="J36" s="13" t="s">
        <v>602</v>
      </c>
      <c r="K36" s="17" t="s">
        <v>72</v>
      </c>
      <c r="L36" s="13" t="s">
        <v>65</v>
      </c>
      <c r="M36" s="14"/>
      <c r="N36" s="14" t="str">
        <f>_xlfn.XLOOKUP(M36,Códigos_Propuestas!$O$4:$O$15,Códigos_Propuestas!$P$4:$P$15,"!",0,1)</f>
        <v>R+</v>
      </c>
      <c r="O36" s="14"/>
      <c r="P36" s="14"/>
      <c r="Q36" s="14"/>
      <c r="R36" s="14"/>
      <c r="S36" s="14"/>
      <c r="T36" s="14"/>
      <c r="U36" s="14"/>
      <c r="V36" s="13"/>
      <c r="W36" s="13"/>
      <c r="X36" s="116">
        <f t="shared" ca="1" si="7"/>
        <v>0</v>
      </c>
      <c r="Y36" s="13" t="str">
        <f t="shared" ca="1" si="8"/>
        <v/>
      </c>
      <c r="Z36" s="13"/>
      <c r="AA36" s="115"/>
      <c r="AB36" s="130" t="b">
        <v>0</v>
      </c>
      <c r="AC36" s="115"/>
      <c r="AD36" s="130" t="b">
        <v>0</v>
      </c>
      <c r="AE36" s="115"/>
      <c r="AF36" s="130" t="b">
        <v>0</v>
      </c>
      <c r="AG36" s="13"/>
      <c r="AH36" s="13"/>
      <c r="AI36" s="130" t="b">
        <v>0</v>
      </c>
      <c r="AJ36" s="13"/>
      <c r="AK36" s="130" t="b">
        <v>0</v>
      </c>
      <c r="AL36" s="13"/>
      <c r="AM36" s="130" t="b">
        <v>0</v>
      </c>
      <c r="AN36" s="13"/>
      <c r="AO36" s="130" t="b">
        <v>0</v>
      </c>
      <c r="AP36" s="13"/>
      <c r="AQ36" s="13"/>
      <c r="AR36" s="130" t="b">
        <v>0</v>
      </c>
      <c r="AS36" s="130" t="b">
        <v>0</v>
      </c>
      <c r="AT36" s="130" t="b">
        <v>0</v>
      </c>
      <c r="AU36" s="130" t="b">
        <v>0</v>
      </c>
      <c r="AV36" s="130" t="b">
        <v>0</v>
      </c>
      <c r="AW36" s="11"/>
      <c r="AX36" s="11"/>
      <c r="AY36" s="11"/>
      <c r="AZ36" s="11"/>
      <c r="BA36" s="11"/>
      <c r="BB36" s="28"/>
      <c r="BC36" s="97">
        <v>80000</v>
      </c>
      <c r="BD36" s="97"/>
      <c r="BE36" s="13">
        <v>3</v>
      </c>
      <c r="BF36" s="134">
        <f>_xlfn.XLOOKUP($J36,'Criterios GoGet'!$B$3:$B$8,'Criterios GoGet'!$C$3:$C$8,0,0,1)</f>
        <v>0</v>
      </c>
      <c r="BG36" s="134"/>
      <c r="BH36" s="15">
        <f t="shared" si="9"/>
        <v>0</v>
      </c>
      <c r="BI36" s="32"/>
      <c r="BJ36" s="18"/>
      <c r="BK36" s="18"/>
      <c r="BL36" s="19">
        <f t="shared" si="0"/>
        <v>0</v>
      </c>
      <c r="BM36" s="19">
        <f t="shared" si="10"/>
        <v>0</v>
      </c>
      <c r="BN36" s="20">
        <f t="shared" si="11"/>
        <v>32</v>
      </c>
      <c r="BO36" s="21">
        <f t="shared" si="12"/>
        <v>92</v>
      </c>
      <c r="BP36" s="111">
        <f t="shared" si="1"/>
        <v>32</v>
      </c>
      <c r="BQ36" s="112">
        <f>IFERROR(EOMONTH(BO36,-1)+1,"")</f>
        <v>92</v>
      </c>
      <c r="BS36" s="28">
        <f t="shared" si="26"/>
        <v>0</v>
      </c>
      <c r="BT36" s="28">
        <f t="shared" si="24"/>
        <v>0</v>
      </c>
      <c r="BU36" s="28">
        <f t="shared" si="24"/>
        <v>0</v>
      </c>
      <c r="BV36" s="28">
        <f t="shared" si="24"/>
        <v>0</v>
      </c>
      <c r="BW36" s="28">
        <f t="shared" si="24"/>
        <v>0</v>
      </c>
      <c r="BX36" s="28">
        <f t="shared" si="24"/>
        <v>0</v>
      </c>
      <c r="BY36" s="28">
        <f t="shared" si="24"/>
        <v>0</v>
      </c>
      <c r="BZ36" s="28">
        <f t="shared" si="24"/>
        <v>0</v>
      </c>
      <c r="CA36" s="28">
        <f t="shared" si="24"/>
        <v>0</v>
      </c>
      <c r="CB36" s="28">
        <f t="shared" si="24"/>
        <v>0</v>
      </c>
      <c r="CC36" s="28">
        <f t="shared" si="24"/>
        <v>0</v>
      </c>
      <c r="CD36" s="28">
        <f t="shared" si="24"/>
        <v>0</v>
      </c>
      <c r="CE36" s="30">
        <f t="shared" si="13"/>
        <v>0</v>
      </c>
      <c r="CG36" s="27">
        <f t="shared" ref="CG36:CR49" si="27">IF($BE36&lt;1,IF(CG$2=$BP36,$BL36,0),IFERROR(IF(AND(CG$2&gt;=$BP36,CG$2&lt;=$BQ36),$BL36/$BE36,0),0))</f>
        <v>0</v>
      </c>
      <c r="CH36" s="28">
        <f t="shared" si="27"/>
        <v>0</v>
      </c>
      <c r="CI36" s="28">
        <f t="shared" si="27"/>
        <v>0</v>
      </c>
      <c r="CJ36" s="28">
        <f t="shared" si="27"/>
        <v>0</v>
      </c>
      <c r="CK36" s="28">
        <f t="shared" si="27"/>
        <v>0</v>
      </c>
      <c r="CL36" s="28">
        <f t="shared" si="27"/>
        <v>0</v>
      </c>
      <c r="CM36" s="28">
        <f t="shared" si="27"/>
        <v>0</v>
      </c>
      <c r="CN36" s="28">
        <f t="shared" si="27"/>
        <v>0</v>
      </c>
      <c r="CO36" s="28">
        <f t="shared" si="27"/>
        <v>0</v>
      </c>
      <c r="CP36" s="28">
        <f t="shared" si="27"/>
        <v>0</v>
      </c>
      <c r="CQ36" s="28">
        <f t="shared" si="27"/>
        <v>0</v>
      </c>
      <c r="CR36" s="29">
        <f t="shared" si="27"/>
        <v>0</v>
      </c>
      <c r="CS36" s="30">
        <f t="shared" si="15"/>
        <v>0</v>
      </c>
      <c r="CU36" s="27">
        <f t="shared" ref="CU36:DF49" si="28">IF($BE36&lt;1,IF(CU$2=$BP36,$BD36,0),IFERROR(IF(AND(CU$2&gt;=$BP36,CU$2&lt;=$BQ36),$BD36/$BE36,0),0))</f>
        <v>0</v>
      </c>
      <c r="CV36" s="28">
        <f t="shared" si="28"/>
        <v>0</v>
      </c>
      <c r="CW36" s="28">
        <f t="shared" si="28"/>
        <v>0</v>
      </c>
      <c r="CX36" s="28">
        <f t="shared" si="28"/>
        <v>0</v>
      </c>
      <c r="CY36" s="28">
        <f t="shared" si="28"/>
        <v>0</v>
      </c>
      <c r="CZ36" s="28">
        <f t="shared" si="28"/>
        <v>0</v>
      </c>
      <c r="DA36" s="28">
        <f t="shared" si="28"/>
        <v>0</v>
      </c>
      <c r="DB36" s="28">
        <f t="shared" si="28"/>
        <v>0</v>
      </c>
      <c r="DC36" s="28">
        <f t="shared" si="28"/>
        <v>0</v>
      </c>
      <c r="DD36" s="28">
        <f t="shared" si="28"/>
        <v>0</v>
      </c>
      <c r="DE36" s="28">
        <f t="shared" si="28"/>
        <v>0</v>
      </c>
      <c r="DF36" s="29">
        <f t="shared" si="28"/>
        <v>0</v>
      </c>
      <c r="DG36" s="30">
        <f t="shared" si="17"/>
        <v>0</v>
      </c>
      <c r="DI36" s="27">
        <f t="shared" ref="DI36:DT49" si="29">IF($BE36&lt;1,IF(DI$2=$BP36,$BM36,0),IFERROR(IF(AND(DI$2&gt;=$BP36,DI$2&lt;=$BQ36),$BM36/$BE36,0),0))</f>
        <v>0</v>
      </c>
      <c r="DJ36" s="28">
        <f t="shared" si="29"/>
        <v>0</v>
      </c>
      <c r="DK36" s="28">
        <f t="shared" si="29"/>
        <v>0</v>
      </c>
      <c r="DL36" s="28">
        <f t="shared" si="29"/>
        <v>0</v>
      </c>
      <c r="DM36" s="28">
        <f t="shared" si="29"/>
        <v>0</v>
      </c>
      <c r="DN36" s="28">
        <f t="shared" si="29"/>
        <v>0</v>
      </c>
      <c r="DO36" s="28">
        <f t="shared" si="29"/>
        <v>0</v>
      </c>
      <c r="DP36" s="28">
        <f t="shared" si="29"/>
        <v>0</v>
      </c>
      <c r="DQ36" s="28">
        <f t="shared" si="29"/>
        <v>0</v>
      </c>
      <c r="DR36" s="28">
        <f t="shared" si="29"/>
        <v>0</v>
      </c>
      <c r="DS36" s="28">
        <f t="shared" si="29"/>
        <v>0</v>
      </c>
      <c r="DT36" s="29">
        <f t="shared" si="29"/>
        <v>0</v>
      </c>
      <c r="DU36" s="30">
        <f t="shared" si="19"/>
        <v>0</v>
      </c>
    </row>
    <row r="37" spans="1:125" x14ac:dyDescent="0.2">
      <c r="A37">
        <f t="shared" si="6"/>
        <v>17</v>
      </c>
      <c r="B37" s="49" t="str">
        <f>_xlfn.XLOOKUP(E37,Códigos_Propuestas!$B$4:$B$10,Códigos_Propuestas!$C$4:$C$10,"!",0,1)&amp;"__"&amp;
_xlfn.XLOOKUP(H37,Códigos_Propuestas!$E$4:$E$76,Códigos_Propuestas!$F$4:$F$76,"!",1)&amp;"__"&amp;
_xlfn.XLOOKUP(L37,Códigos_Propuestas!$I$4:$I$7,Códigos_Propuestas!$J$4:$J$7,"!",1)&amp;"__"&amp;
_xlfn.XLOOKUP(M37,Códigos_Propuestas!$O$4:$O$11,Códigos_Propuestas!$Q$4:$Q$11,"!",1)&amp;"__"&amp;
_xlfn.XLOOKUP(F37,Códigos_Propuestas!$BF:$BF,Códigos_Propuestas!$BH:$BH,"!",0,1)</f>
        <v>CH__BHP__OP__!__!</v>
      </c>
      <c r="C37" t="b">
        <f>F37=[1]CRM!C36</f>
        <v>1</v>
      </c>
      <c r="D37" s="47">
        <f t="shared" si="20"/>
        <v>35</v>
      </c>
      <c r="E37" s="11" t="s">
        <v>32</v>
      </c>
      <c r="F37" s="12" t="s">
        <v>556</v>
      </c>
      <c r="G37" s="12" t="s">
        <v>556</v>
      </c>
      <c r="H37" s="13" t="s">
        <v>64</v>
      </c>
      <c r="I37" s="13" t="s">
        <v>242</v>
      </c>
      <c r="J37" s="13" t="s">
        <v>551</v>
      </c>
      <c r="K37" s="17"/>
      <c r="L37" s="13" t="s">
        <v>92</v>
      </c>
      <c r="M37" s="14"/>
      <c r="N37" s="14" t="str">
        <f>_xlfn.XLOOKUP(M37,Códigos_Propuestas!$O$4:$O$15,Códigos_Propuestas!$P$4:$P$15,"!",0,1)</f>
        <v>R+</v>
      </c>
      <c r="O37" s="14"/>
      <c r="P37" s="14"/>
      <c r="Q37" s="14"/>
      <c r="R37" s="14"/>
      <c r="S37" s="14"/>
      <c r="T37" s="14"/>
      <c r="U37" s="14"/>
      <c r="V37" s="13"/>
      <c r="W37" s="13"/>
      <c r="X37" s="116">
        <f t="shared" ca="1" si="7"/>
        <v>0</v>
      </c>
      <c r="Y37" s="13" t="str">
        <f t="shared" ca="1" si="8"/>
        <v/>
      </c>
      <c r="Z37" s="13"/>
      <c r="AA37" s="115"/>
      <c r="AB37" s="130" t="b">
        <v>0</v>
      </c>
      <c r="AC37" s="115"/>
      <c r="AD37" s="130" t="b">
        <v>0</v>
      </c>
      <c r="AE37" s="115"/>
      <c r="AF37" s="130" t="b">
        <v>0</v>
      </c>
      <c r="AG37" s="13"/>
      <c r="AH37" s="13"/>
      <c r="AI37" s="130" t="b">
        <v>0</v>
      </c>
      <c r="AJ37" s="13"/>
      <c r="AK37" s="130" t="b">
        <v>0</v>
      </c>
      <c r="AL37" s="13"/>
      <c r="AM37" s="130" t="b">
        <v>0</v>
      </c>
      <c r="AN37" s="13"/>
      <c r="AO37" s="130" t="b">
        <v>0</v>
      </c>
      <c r="AP37" s="13"/>
      <c r="AQ37" s="13"/>
      <c r="AR37" s="130" t="b">
        <v>0</v>
      </c>
      <c r="AS37" s="130" t="b">
        <v>0</v>
      </c>
      <c r="AT37" s="130" t="b">
        <v>0</v>
      </c>
      <c r="AU37" s="130" t="b">
        <v>0</v>
      </c>
      <c r="AV37" s="130" t="b">
        <v>0</v>
      </c>
      <c r="AW37" s="11"/>
      <c r="AX37" s="11"/>
      <c r="AY37" s="11"/>
      <c r="AZ37" s="11"/>
      <c r="BA37" s="11"/>
      <c r="BB37" s="28"/>
      <c r="BC37" s="97">
        <v>120000</v>
      </c>
      <c r="BD37" s="97"/>
      <c r="BE37" s="13"/>
      <c r="BF37" s="134">
        <f>_xlfn.XLOOKUP($J37,'Criterios GoGet'!$B$3:$B$8,'Criterios GoGet'!$C$3:$C$8,0,0,1)</f>
        <v>0</v>
      </c>
      <c r="BG37" s="134"/>
      <c r="BH37" s="15">
        <f t="shared" si="9"/>
        <v>0</v>
      </c>
      <c r="BI37" s="32"/>
      <c r="BJ37" s="18"/>
      <c r="BK37" s="18"/>
      <c r="BL37" s="19">
        <f t="shared" si="0"/>
        <v>0</v>
      </c>
      <c r="BM37" s="19">
        <f t="shared" si="10"/>
        <v>0</v>
      </c>
      <c r="BN37" s="20">
        <f t="shared" si="11"/>
        <v>32</v>
      </c>
      <c r="BO37" s="21" t="str">
        <f t="shared" si="12"/>
        <v/>
      </c>
      <c r="BP37" s="111">
        <f t="shared" si="1"/>
        <v>32</v>
      </c>
      <c r="BQ37" s="112" t="str">
        <f t="shared" si="1"/>
        <v/>
      </c>
      <c r="BS37" s="28">
        <f t="shared" si="26"/>
        <v>0</v>
      </c>
      <c r="BT37" s="28">
        <f t="shared" si="24"/>
        <v>0</v>
      </c>
      <c r="BU37" s="28">
        <f t="shared" si="24"/>
        <v>0</v>
      </c>
      <c r="BV37" s="28">
        <f t="shared" si="24"/>
        <v>0</v>
      </c>
      <c r="BW37" s="28">
        <f t="shared" si="24"/>
        <v>0</v>
      </c>
      <c r="BX37" s="28">
        <f t="shared" si="24"/>
        <v>0</v>
      </c>
      <c r="BY37" s="28">
        <f t="shared" si="24"/>
        <v>0</v>
      </c>
      <c r="BZ37" s="28">
        <f t="shared" si="24"/>
        <v>0</v>
      </c>
      <c r="CA37" s="28">
        <f t="shared" si="24"/>
        <v>0</v>
      </c>
      <c r="CB37" s="28">
        <f t="shared" si="24"/>
        <v>0</v>
      </c>
      <c r="CC37" s="28">
        <f t="shared" si="24"/>
        <v>0</v>
      </c>
      <c r="CD37" s="28">
        <f t="shared" si="24"/>
        <v>0</v>
      </c>
      <c r="CE37" s="30">
        <f t="shared" si="13"/>
        <v>0</v>
      </c>
      <c r="CG37" s="27">
        <f t="shared" si="27"/>
        <v>0</v>
      </c>
      <c r="CH37" s="28">
        <f t="shared" si="27"/>
        <v>0</v>
      </c>
      <c r="CI37" s="28">
        <f t="shared" si="27"/>
        <v>0</v>
      </c>
      <c r="CJ37" s="28">
        <f t="shared" si="27"/>
        <v>0</v>
      </c>
      <c r="CK37" s="28">
        <f t="shared" si="27"/>
        <v>0</v>
      </c>
      <c r="CL37" s="28">
        <f t="shared" si="27"/>
        <v>0</v>
      </c>
      <c r="CM37" s="28">
        <f t="shared" si="27"/>
        <v>0</v>
      </c>
      <c r="CN37" s="28">
        <f t="shared" si="27"/>
        <v>0</v>
      </c>
      <c r="CO37" s="28">
        <f t="shared" si="27"/>
        <v>0</v>
      </c>
      <c r="CP37" s="28">
        <f t="shared" si="27"/>
        <v>0</v>
      </c>
      <c r="CQ37" s="28">
        <f t="shared" si="27"/>
        <v>0</v>
      </c>
      <c r="CR37" s="29">
        <f t="shared" si="27"/>
        <v>0</v>
      </c>
      <c r="CS37" s="30">
        <f t="shared" si="15"/>
        <v>0</v>
      </c>
      <c r="CU37" s="27">
        <f t="shared" si="28"/>
        <v>0</v>
      </c>
      <c r="CV37" s="28">
        <f t="shared" si="28"/>
        <v>0</v>
      </c>
      <c r="CW37" s="28">
        <f t="shared" si="28"/>
        <v>0</v>
      </c>
      <c r="CX37" s="28">
        <f t="shared" si="28"/>
        <v>0</v>
      </c>
      <c r="CY37" s="28">
        <f t="shared" si="28"/>
        <v>0</v>
      </c>
      <c r="CZ37" s="28">
        <f t="shared" si="28"/>
        <v>0</v>
      </c>
      <c r="DA37" s="28">
        <f t="shared" si="28"/>
        <v>0</v>
      </c>
      <c r="DB37" s="28">
        <f t="shared" si="28"/>
        <v>0</v>
      </c>
      <c r="DC37" s="28">
        <f t="shared" si="28"/>
        <v>0</v>
      </c>
      <c r="DD37" s="28">
        <f t="shared" si="28"/>
        <v>0</v>
      </c>
      <c r="DE37" s="28">
        <f t="shared" si="28"/>
        <v>0</v>
      </c>
      <c r="DF37" s="29">
        <f t="shared" si="28"/>
        <v>0</v>
      </c>
      <c r="DG37" s="30">
        <f t="shared" si="17"/>
        <v>0</v>
      </c>
      <c r="DI37" s="27">
        <f t="shared" si="29"/>
        <v>0</v>
      </c>
      <c r="DJ37" s="28">
        <f t="shared" si="29"/>
        <v>0</v>
      </c>
      <c r="DK37" s="28">
        <f t="shared" si="29"/>
        <v>0</v>
      </c>
      <c r="DL37" s="28">
        <f t="shared" si="29"/>
        <v>0</v>
      </c>
      <c r="DM37" s="28">
        <f t="shared" si="29"/>
        <v>0</v>
      </c>
      <c r="DN37" s="28">
        <f t="shared" si="29"/>
        <v>0</v>
      </c>
      <c r="DO37" s="28">
        <f t="shared" si="29"/>
        <v>0</v>
      </c>
      <c r="DP37" s="28">
        <f t="shared" si="29"/>
        <v>0</v>
      </c>
      <c r="DQ37" s="28">
        <f t="shared" si="29"/>
        <v>0</v>
      </c>
      <c r="DR37" s="28">
        <f t="shared" si="29"/>
        <v>0</v>
      </c>
      <c r="DS37" s="28">
        <f t="shared" si="29"/>
        <v>0</v>
      </c>
      <c r="DT37" s="29">
        <f t="shared" si="29"/>
        <v>0</v>
      </c>
      <c r="DU37" s="30">
        <f t="shared" si="19"/>
        <v>0</v>
      </c>
    </row>
    <row r="38" spans="1:125" x14ac:dyDescent="0.2">
      <c r="A38">
        <f t="shared" si="6"/>
        <v>17</v>
      </c>
      <c r="B38" s="49" t="str">
        <f>_xlfn.XLOOKUP(E38,Códigos_Propuestas!$B$4:$B$10,Códigos_Propuestas!$C$4:$C$10,"!",0,1)&amp;"__"&amp;
_xlfn.XLOOKUP(H38,Códigos_Propuestas!$E$4:$E$76,Códigos_Propuestas!$F$4:$F$76,"!",1)&amp;"__"&amp;
_xlfn.XLOOKUP(L38,Códigos_Propuestas!$I$4:$I$7,Códigos_Propuestas!$J$4:$J$7,"!",1)&amp;"__"&amp;
_xlfn.XLOOKUP(M38,Códigos_Propuestas!$O$4:$O$11,Códigos_Propuestas!$Q$4:$Q$11,"!",1)&amp;"__"&amp;
_xlfn.XLOOKUP(F38,Códigos_Propuestas!$BF:$BF,Códigos_Propuestas!$BH:$BH,"!",0,1)</f>
        <v>PE__ECR__UG__!__!</v>
      </c>
      <c r="C38" t="b">
        <f>F38=[1]CRM!C37</f>
        <v>1</v>
      </c>
      <c r="D38" s="47">
        <f t="shared" si="20"/>
        <v>36</v>
      </c>
      <c r="E38" s="11" t="s">
        <v>62</v>
      </c>
      <c r="F38" s="12" t="s">
        <v>557</v>
      </c>
      <c r="G38" s="12" t="s">
        <v>557</v>
      </c>
      <c r="H38" s="13" t="s">
        <v>321</v>
      </c>
      <c r="I38" s="13" t="s">
        <v>558</v>
      </c>
      <c r="J38" s="13" t="s">
        <v>122</v>
      </c>
      <c r="K38" s="17" t="s">
        <v>72</v>
      </c>
      <c r="L38" s="13" t="s">
        <v>65</v>
      </c>
      <c r="M38" s="14"/>
      <c r="N38" s="14" t="str">
        <f>_xlfn.XLOOKUP(M38,Códigos_Propuestas!$O$4:$O$15,Códigos_Propuestas!$P$4:$P$15,"!",0,1)</f>
        <v>R+</v>
      </c>
      <c r="O38" s="14"/>
      <c r="P38" s="14"/>
      <c r="Q38" s="14"/>
      <c r="R38" s="14"/>
      <c r="S38" s="14"/>
      <c r="T38" s="14"/>
      <c r="U38" s="14"/>
      <c r="V38" s="13"/>
      <c r="W38" s="13"/>
      <c r="X38" s="116">
        <f t="shared" ca="1" si="7"/>
        <v>0</v>
      </c>
      <c r="Y38" s="13" t="str">
        <f t="shared" ca="1" si="8"/>
        <v/>
      </c>
      <c r="Z38" s="13"/>
      <c r="AA38" s="115"/>
      <c r="AB38" s="130" t="b">
        <v>0</v>
      </c>
      <c r="AC38" s="115"/>
      <c r="AD38" s="130" t="b">
        <v>0</v>
      </c>
      <c r="AE38" s="115"/>
      <c r="AF38" s="130" t="b">
        <v>0</v>
      </c>
      <c r="AG38" s="13"/>
      <c r="AH38" s="13"/>
      <c r="AI38" s="130" t="b">
        <v>0</v>
      </c>
      <c r="AJ38" s="13"/>
      <c r="AK38" s="130" t="b">
        <v>0</v>
      </c>
      <c r="AL38" s="13"/>
      <c r="AM38" s="130" t="b">
        <v>0</v>
      </c>
      <c r="AN38" s="13"/>
      <c r="AO38" s="130" t="b">
        <v>0</v>
      </c>
      <c r="AP38" s="13"/>
      <c r="AQ38" s="13"/>
      <c r="AR38" s="130" t="b">
        <v>0</v>
      </c>
      <c r="AS38" s="130" t="b">
        <v>0</v>
      </c>
      <c r="AT38" s="130" t="b">
        <v>0</v>
      </c>
      <c r="AU38" s="130" t="b">
        <v>0</v>
      </c>
      <c r="AV38" s="130" t="b">
        <v>0</v>
      </c>
      <c r="AW38" s="11"/>
      <c r="AX38" s="11"/>
      <c r="AY38" s="11"/>
      <c r="AZ38" s="11"/>
      <c r="BA38" s="11"/>
      <c r="BB38" s="28"/>
      <c r="BC38" s="97">
        <v>168500</v>
      </c>
      <c r="BD38" s="97">
        <f>BC38*0.44</f>
        <v>74140</v>
      </c>
      <c r="BE38" s="13">
        <v>4</v>
      </c>
      <c r="BF38" s="134">
        <f>_xlfn.XLOOKUP($J38,'Criterios GoGet'!$B$3:$B$8,'Criterios GoGet'!$C$3:$C$8,0,0,1)</f>
        <v>1</v>
      </c>
      <c r="BG38" s="134">
        <v>1</v>
      </c>
      <c r="BH38" s="15">
        <f t="shared" si="9"/>
        <v>1</v>
      </c>
      <c r="BI38" s="32"/>
      <c r="BJ38" s="18">
        <v>46045</v>
      </c>
      <c r="BK38" s="140">
        <v>46035</v>
      </c>
      <c r="BL38" s="19">
        <f t="shared" si="0"/>
        <v>168500</v>
      </c>
      <c r="BM38" s="19">
        <f t="shared" si="10"/>
        <v>74140</v>
      </c>
      <c r="BN38" s="20">
        <f t="shared" si="11"/>
        <v>46082</v>
      </c>
      <c r="BO38" s="21">
        <f t="shared" si="12"/>
        <v>46174</v>
      </c>
      <c r="BP38" s="111">
        <f t="shared" si="1"/>
        <v>46082</v>
      </c>
      <c r="BQ38" s="112">
        <f t="shared" si="1"/>
        <v>46174</v>
      </c>
      <c r="BS38" s="28">
        <f t="shared" si="26"/>
        <v>0</v>
      </c>
      <c r="BT38" s="28">
        <f t="shared" si="24"/>
        <v>0</v>
      </c>
      <c r="BU38" s="28">
        <f t="shared" si="24"/>
        <v>42125</v>
      </c>
      <c r="BV38" s="28">
        <f t="shared" si="24"/>
        <v>42125</v>
      </c>
      <c r="BW38" s="28">
        <f t="shared" si="24"/>
        <v>42125</v>
      </c>
      <c r="BX38" s="28">
        <f t="shared" si="24"/>
        <v>42125</v>
      </c>
      <c r="BY38" s="28">
        <f t="shared" si="24"/>
        <v>0</v>
      </c>
      <c r="BZ38" s="28">
        <f t="shared" si="24"/>
        <v>0</v>
      </c>
      <c r="CA38" s="28">
        <f t="shared" si="24"/>
        <v>0</v>
      </c>
      <c r="CB38" s="28">
        <f t="shared" si="24"/>
        <v>0</v>
      </c>
      <c r="CC38" s="28">
        <f t="shared" si="24"/>
        <v>0</v>
      </c>
      <c r="CD38" s="28">
        <f t="shared" si="24"/>
        <v>0</v>
      </c>
      <c r="CE38" s="30">
        <f t="shared" si="13"/>
        <v>168500</v>
      </c>
      <c r="CG38" s="27">
        <f t="shared" si="27"/>
        <v>0</v>
      </c>
      <c r="CH38" s="28">
        <f t="shared" si="27"/>
        <v>0</v>
      </c>
      <c r="CI38" s="28">
        <f>IF($BE38&lt;1,IF(CI$2=$BP38,$BL38,0),IFERROR(IF(AND(CI$2&gt;=$BP38,CI$2&lt;=$BQ38),$BL38/$BE38,0),0))</f>
        <v>42125</v>
      </c>
      <c r="CJ38" s="28">
        <f t="shared" si="27"/>
        <v>42125</v>
      </c>
      <c r="CK38" s="28">
        <f t="shared" si="27"/>
        <v>42125</v>
      </c>
      <c r="CL38" s="28">
        <f t="shared" si="27"/>
        <v>42125</v>
      </c>
      <c r="CM38" s="28">
        <f t="shared" si="27"/>
        <v>0</v>
      </c>
      <c r="CN38" s="28">
        <f t="shared" si="27"/>
        <v>0</v>
      </c>
      <c r="CO38" s="28">
        <f t="shared" si="27"/>
        <v>0</v>
      </c>
      <c r="CP38" s="28">
        <f t="shared" si="27"/>
        <v>0</v>
      </c>
      <c r="CQ38" s="28">
        <f t="shared" si="27"/>
        <v>0</v>
      </c>
      <c r="CR38" s="29">
        <f t="shared" si="27"/>
        <v>0</v>
      </c>
      <c r="CS38" s="30">
        <f t="shared" si="15"/>
        <v>168500</v>
      </c>
      <c r="CU38" s="27">
        <f t="shared" si="28"/>
        <v>0</v>
      </c>
      <c r="CV38" s="28">
        <f t="shared" si="28"/>
        <v>0</v>
      </c>
      <c r="CW38" s="28">
        <f t="shared" si="28"/>
        <v>18535</v>
      </c>
      <c r="CX38" s="28">
        <f t="shared" si="28"/>
        <v>18535</v>
      </c>
      <c r="CY38" s="28">
        <f t="shared" si="28"/>
        <v>18535</v>
      </c>
      <c r="CZ38" s="28">
        <f t="shared" si="28"/>
        <v>18535</v>
      </c>
      <c r="DA38" s="28">
        <f t="shared" si="28"/>
        <v>0</v>
      </c>
      <c r="DB38" s="28">
        <f t="shared" si="28"/>
        <v>0</v>
      </c>
      <c r="DC38" s="28">
        <f t="shared" si="28"/>
        <v>0</v>
      </c>
      <c r="DD38" s="28">
        <f t="shared" si="28"/>
        <v>0</v>
      </c>
      <c r="DE38" s="28">
        <f t="shared" si="28"/>
        <v>0</v>
      </c>
      <c r="DF38" s="29">
        <f t="shared" si="28"/>
        <v>0</v>
      </c>
      <c r="DG38" s="30">
        <f t="shared" si="17"/>
        <v>74140</v>
      </c>
      <c r="DI38" s="27">
        <f t="shared" si="29"/>
        <v>0</v>
      </c>
      <c r="DJ38" s="28">
        <f t="shared" si="29"/>
        <v>0</v>
      </c>
      <c r="DK38" s="28">
        <f t="shared" si="29"/>
        <v>18535</v>
      </c>
      <c r="DL38" s="28">
        <f t="shared" si="29"/>
        <v>18535</v>
      </c>
      <c r="DM38" s="28">
        <f t="shared" si="29"/>
        <v>18535</v>
      </c>
      <c r="DN38" s="28">
        <f t="shared" si="29"/>
        <v>18535</v>
      </c>
      <c r="DO38" s="28">
        <f t="shared" si="29"/>
        <v>0</v>
      </c>
      <c r="DP38" s="28">
        <f t="shared" si="29"/>
        <v>0</v>
      </c>
      <c r="DQ38" s="28">
        <f t="shared" si="29"/>
        <v>0</v>
      </c>
      <c r="DR38" s="28">
        <f t="shared" si="29"/>
        <v>0</v>
      </c>
      <c r="DS38" s="28">
        <f t="shared" si="29"/>
        <v>0</v>
      </c>
      <c r="DT38" s="29">
        <f t="shared" si="29"/>
        <v>0</v>
      </c>
      <c r="DU38" s="30">
        <f t="shared" si="19"/>
        <v>74140</v>
      </c>
    </row>
    <row r="39" spans="1:125" x14ac:dyDescent="0.2">
      <c r="A39">
        <f t="shared" si="6"/>
        <v>17</v>
      </c>
      <c r="B39" s="49" t="str">
        <f>_xlfn.XLOOKUP(E39,Códigos_Propuestas!$B$4:$B$10,Códigos_Propuestas!$C$4:$C$10,"!",0,1)&amp;"__"&amp;
_xlfn.XLOOKUP(H39,Códigos_Propuestas!$E$4:$E$76,Códigos_Propuestas!$F$4:$F$76,"!",1)&amp;"__"&amp;
_xlfn.XLOOKUP(L39,Códigos_Propuestas!$I$4:$I$7,Códigos_Propuestas!$J$4:$J$7,"!",1)&amp;"__"&amp;
_xlfn.XLOOKUP(M39,Códigos_Propuestas!$O$4:$O$11,Códigos_Propuestas!$Q$4:$Q$11,"!",1)&amp;"__"&amp;
_xlfn.XLOOKUP(F39,Códigos_Propuestas!$BF:$BF,Códigos_Propuestas!$BH:$BH,"!",0,1)</f>
        <v>BR__VAL__OP__!__!</v>
      </c>
      <c r="C39" t="b">
        <f>F39=[1]CRM!C38</f>
        <v>1</v>
      </c>
      <c r="D39" s="47">
        <f t="shared" si="20"/>
        <v>37</v>
      </c>
      <c r="E39" s="11" t="s">
        <v>88</v>
      </c>
      <c r="F39" s="12" t="s">
        <v>559</v>
      </c>
      <c r="G39" s="12" t="s">
        <v>559</v>
      </c>
      <c r="H39" s="13" t="s">
        <v>362</v>
      </c>
      <c r="I39" s="13" t="s">
        <v>560</v>
      </c>
      <c r="J39" s="13" t="s">
        <v>97</v>
      </c>
      <c r="K39" s="17" t="s">
        <v>44</v>
      </c>
      <c r="L39" s="13" t="s">
        <v>92</v>
      </c>
      <c r="M39" s="14"/>
      <c r="N39" s="14" t="str">
        <f>_xlfn.XLOOKUP(M39,Códigos_Propuestas!$O$4:$O$15,Códigos_Propuestas!$P$4:$P$15,"!",0,1)</f>
        <v>R+</v>
      </c>
      <c r="O39" s="14"/>
      <c r="P39" s="14"/>
      <c r="Q39" s="14"/>
      <c r="R39" s="14"/>
      <c r="S39" s="14"/>
      <c r="T39" s="14"/>
      <c r="U39" s="14"/>
      <c r="V39" s="13"/>
      <c r="W39" s="13"/>
      <c r="X39" s="116">
        <f t="shared" ca="1" si="7"/>
        <v>0</v>
      </c>
      <c r="Y39" s="13" t="str">
        <f t="shared" ca="1" si="8"/>
        <v/>
      </c>
      <c r="Z39" s="13"/>
      <c r="AA39" s="115"/>
      <c r="AB39" s="130" t="b">
        <v>0</v>
      </c>
      <c r="AC39" s="115"/>
      <c r="AD39" s="130" t="b">
        <v>0</v>
      </c>
      <c r="AE39" s="115"/>
      <c r="AF39" s="130" t="b">
        <v>0</v>
      </c>
      <c r="AG39" s="13"/>
      <c r="AH39" s="13"/>
      <c r="AI39" s="130" t="b">
        <v>0</v>
      </c>
      <c r="AJ39" s="13"/>
      <c r="AK39" s="130" t="b">
        <v>0</v>
      </c>
      <c r="AL39" s="13"/>
      <c r="AM39" s="130" t="b">
        <v>0</v>
      </c>
      <c r="AN39" s="13"/>
      <c r="AO39" s="130" t="b">
        <v>0</v>
      </c>
      <c r="AP39" s="13"/>
      <c r="AQ39" s="13"/>
      <c r="AR39" s="130" t="b">
        <v>0</v>
      </c>
      <c r="AS39" s="130" t="b">
        <v>0</v>
      </c>
      <c r="AT39" s="130" t="b">
        <v>0</v>
      </c>
      <c r="AU39" s="130" t="b">
        <v>0</v>
      </c>
      <c r="AV39" s="130" t="b">
        <v>0</v>
      </c>
      <c r="AW39" s="11"/>
      <c r="AX39" s="11"/>
      <c r="AY39" s="11"/>
      <c r="AZ39" s="11"/>
      <c r="BA39" s="11"/>
      <c r="BB39" s="28"/>
      <c r="BC39" s="97">
        <v>194000</v>
      </c>
      <c r="BD39" s="97"/>
      <c r="BE39" s="13">
        <v>2</v>
      </c>
      <c r="BF39" s="134">
        <f>_xlfn.XLOOKUP($J39,'Criterios GoGet'!$B$3:$B$8,'Criterios GoGet'!$C$3:$C$8,0,0,1)</f>
        <v>0.8</v>
      </c>
      <c r="BG39" s="134"/>
      <c r="BH39" s="15">
        <f t="shared" si="9"/>
        <v>0</v>
      </c>
      <c r="BI39" s="32"/>
      <c r="BJ39" s="18">
        <v>46045</v>
      </c>
      <c r="BK39" s="18"/>
      <c r="BL39" s="19">
        <f t="shared" si="0"/>
        <v>0</v>
      </c>
      <c r="BM39" s="19">
        <f t="shared" si="10"/>
        <v>0</v>
      </c>
      <c r="BN39" s="20">
        <f t="shared" si="11"/>
        <v>32</v>
      </c>
      <c r="BO39" s="21">
        <f t="shared" si="12"/>
        <v>60</v>
      </c>
      <c r="BP39" s="111">
        <f t="shared" si="1"/>
        <v>32</v>
      </c>
      <c r="BQ39" s="112">
        <f t="shared" si="1"/>
        <v>32</v>
      </c>
      <c r="BS39" s="28">
        <f t="shared" si="26"/>
        <v>0</v>
      </c>
      <c r="BT39" s="28">
        <f t="shared" si="24"/>
        <v>0</v>
      </c>
      <c r="BU39" s="28">
        <f t="shared" si="24"/>
        <v>0</v>
      </c>
      <c r="BV39" s="28">
        <f t="shared" si="24"/>
        <v>0</v>
      </c>
      <c r="BW39" s="28">
        <f t="shared" si="24"/>
        <v>0</v>
      </c>
      <c r="BX39" s="28">
        <f t="shared" si="24"/>
        <v>0</v>
      </c>
      <c r="BY39" s="28">
        <f t="shared" si="24"/>
        <v>0</v>
      </c>
      <c r="BZ39" s="28">
        <f t="shared" si="24"/>
        <v>0</v>
      </c>
      <c r="CA39" s="28">
        <f t="shared" si="24"/>
        <v>0</v>
      </c>
      <c r="CB39" s="28">
        <f t="shared" si="24"/>
        <v>0</v>
      </c>
      <c r="CC39" s="28">
        <f t="shared" si="24"/>
        <v>0</v>
      </c>
      <c r="CD39" s="28">
        <f t="shared" si="24"/>
        <v>0</v>
      </c>
      <c r="CE39" s="30">
        <f t="shared" si="13"/>
        <v>0</v>
      </c>
      <c r="CG39" s="27">
        <f t="shared" si="27"/>
        <v>0</v>
      </c>
      <c r="CH39" s="28">
        <f t="shared" si="27"/>
        <v>0</v>
      </c>
      <c r="CI39" s="28">
        <f t="shared" si="27"/>
        <v>0</v>
      </c>
      <c r="CJ39" s="28">
        <f t="shared" si="27"/>
        <v>0</v>
      </c>
      <c r="CK39" s="28">
        <f t="shared" si="27"/>
        <v>0</v>
      </c>
      <c r="CL39" s="28">
        <f t="shared" si="27"/>
        <v>0</v>
      </c>
      <c r="CM39" s="28">
        <f t="shared" si="27"/>
        <v>0</v>
      </c>
      <c r="CN39" s="28">
        <f t="shared" si="27"/>
        <v>0</v>
      </c>
      <c r="CO39" s="28">
        <f t="shared" si="27"/>
        <v>0</v>
      </c>
      <c r="CP39" s="28">
        <f t="shared" si="27"/>
        <v>0</v>
      </c>
      <c r="CQ39" s="28">
        <f t="shared" si="27"/>
        <v>0</v>
      </c>
      <c r="CR39" s="29">
        <f t="shared" si="27"/>
        <v>0</v>
      </c>
      <c r="CS39" s="30">
        <f t="shared" si="15"/>
        <v>0</v>
      </c>
      <c r="CU39" s="27">
        <f t="shared" si="28"/>
        <v>0</v>
      </c>
      <c r="CV39" s="28">
        <f t="shared" si="28"/>
        <v>0</v>
      </c>
      <c r="CW39" s="28">
        <f t="shared" si="28"/>
        <v>0</v>
      </c>
      <c r="CX39" s="28">
        <f t="shared" si="28"/>
        <v>0</v>
      </c>
      <c r="CY39" s="28">
        <f t="shared" si="28"/>
        <v>0</v>
      </c>
      <c r="CZ39" s="28">
        <f t="shared" si="28"/>
        <v>0</v>
      </c>
      <c r="DA39" s="28">
        <f t="shared" si="28"/>
        <v>0</v>
      </c>
      <c r="DB39" s="28">
        <f t="shared" si="28"/>
        <v>0</v>
      </c>
      <c r="DC39" s="28">
        <f t="shared" si="28"/>
        <v>0</v>
      </c>
      <c r="DD39" s="28">
        <f t="shared" si="28"/>
        <v>0</v>
      </c>
      <c r="DE39" s="28">
        <f t="shared" si="28"/>
        <v>0</v>
      </c>
      <c r="DF39" s="29">
        <f t="shared" si="28"/>
        <v>0</v>
      </c>
      <c r="DG39" s="30">
        <f t="shared" si="17"/>
        <v>0</v>
      </c>
      <c r="DI39" s="27">
        <f t="shared" si="29"/>
        <v>0</v>
      </c>
      <c r="DJ39" s="28">
        <f t="shared" si="29"/>
        <v>0</v>
      </c>
      <c r="DK39" s="28">
        <f t="shared" si="29"/>
        <v>0</v>
      </c>
      <c r="DL39" s="28">
        <f t="shared" si="29"/>
        <v>0</v>
      </c>
      <c r="DM39" s="28">
        <f t="shared" si="29"/>
        <v>0</v>
      </c>
      <c r="DN39" s="28">
        <f t="shared" si="29"/>
        <v>0</v>
      </c>
      <c r="DO39" s="28">
        <f t="shared" si="29"/>
        <v>0</v>
      </c>
      <c r="DP39" s="28">
        <f t="shared" si="29"/>
        <v>0</v>
      </c>
      <c r="DQ39" s="28">
        <f t="shared" si="29"/>
        <v>0</v>
      </c>
      <c r="DR39" s="28">
        <f t="shared" si="29"/>
        <v>0</v>
      </c>
      <c r="DS39" s="28">
        <f t="shared" si="29"/>
        <v>0</v>
      </c>
      <c r="DT39" s="29">
        <f t="shared" si="29"/>
        <v>0</v>
      </c>
      <c r="DU39" s="30">
        <f t="shared" si="19"/>
        <v>0</v>
      </c>
    </row>
    <row r="40" spans="1:125" x14ac:dyDescent="0.2">
      <c r="A40">
        <f t="shared" si="6"/>
        <v>17</v>
      </c>
      <c r="B40" s="49" t="str">
        <f>_xlfn.XLOOKUP(E40,Códigos_Propuestas!$B$4:$B$10,Códigos_Propuestas!$C$4:$C$10,"!",0,1)&amp;"__"&amp;
_xlfn.XLOOKUP(H40,Códigos_Propuestas!$E$4:$E$76,Códigos_Propuestas!$F$4:$F$76,"!",1)&amp;"__"&amp;
_xlfn.XLOOKUP(L40,Códigos_Propuestas!$I$4:$I$7,Códigos_Propuestas!$J$4:$J$7,"!",1)&amp;"__"&amp;
_xlfn.XLOOKUP(M40,Códigos_Propuestas!$O$4:$O$11,Códigos_Propuestas!$Q$4:$Q$11,"!",1)&amp;"__"&amp;
_xlfn.XLOOKUP(F40,Códigos_Propuestas!$BF:$BF,Códigos_Propuestas!$BH:$BH,"!",0,1)</f>
        <v>BR__ERC__OP__!__!</v>
      </c>
      <c r="C40" t="b">
        <f>F40=[1]CRM!C39</f>
        <v>1</v>
      </c>
      <c r="D40" s="47">
        <f t="shared" si="20"/>
        <v>38</v>
      </c>
      <c r="E40" s="11" t="s">
        <v>88</v>
      </c>
      <c r="F40" s="12" t="s">
        <v>561</v>
      </c>
      <c r="G40" s="12" t="s">
        <v>561</v>
      </c>
      <c r="H40" s="13" t="s">
        <v>297</v>
      </c>
      <c r="I40" s="13" t="s">
        <v>562</v>
      </c>
      <c r="J40" s="13" t="s">
        <v>97</v>
      </c>
      <c r="K40" s="17" t="s">
        <v>44</v>
      </c>
      <c r="L40" s="13" t="s">
        <v>92</v>
      </c>
      <c r="M40" s="14"/>
      <c r="N40" s="14" t="str">
        <f>_xlfn.XLOOKUP(M40,Códigos_Propuestas!$O$4:$O$15,Códigos_Propuestas!$P$4:$P$15,"!",0,1)</f>
        <v>R+</v>
      </c>
      <c r="O40" s="14"/>
      <c r="P40" s="14"/>
      <c r="Q40" s="14"/>
      <c r="R40" s="14"/>
      <c r="S40" s="14"/>
      <c r="T40" s="14"/>
      <c r="U40" s="14"/>
      <c r="V40" s="13"/>
      <c r="W40" s="13"/>
      <c r="X40" s="116">
        <f t="shared" ca="1" si="7"/>
        <v>0</v>
      </c>
      <c r="Y40" s="13" t="str">
        <f t="shared" ca="1" si="8"/>
        <v/>
      </c>
      <c r="Z40" s="13"/>
      <c r="AA40" s="115"/>
      <c r="AB40" s="130" t="b">
        <v>0</v>
      </c>
      <c r="AC40" s="115"/>
      <c r="AD40" s="130" t="b">
        <v>0</v>
      </c>
      <c r="AE40" s="115"/>
      <c r="AF40" s="130" t="b">
        <v>0</v>
      </c>
      <c r="AG40" s="13"/>
      <c r="AH40" s="13"/>
      <c r="AI40" s="130" t="b">
        <v>0</v>
      </c>
      <c r="AJ40" s="13"/>
      <c r="AK40" s="130" t="b">
        <v>0</v>
      </c>
      <c r="AL40" s="13"/>
      <c r="AM40" s="130" t="b">
        <v>0</v>
      </c>
      <c r="AN40" s="13"/>
      <c r="AO40" s="130" t="b">
        <v>0</v>
      </c>
      <c r="AP40" s="13"/>
      <c r="AQ40" s="13"/>
      <c r="AR40" s="130" t="b">
        <v>0</v>
      </c>
      <c r="AS40" s="130" t="b">
        <v>0</v>
      </c>
      <c r="AT40" s="130" t="b">
        <v>0</v>
      </c>
      <c r="AU40" s="130" t="b">
        <v>0</v>
      </c>
      <c r="AV40" s="130" t="b">
        <v>0</v>
      </c>
      <c r="AW40" s="11"/>
      <c r="AX40" s="11"/>
      <c r="AY40" s="11"/>
      <c r="AZ40" s="11"/>
      <c r="BA40" s="11"/>
      <c r="BB40" s="28"/>
      <c r="BC40" s="97">
        <v>176000</v>
      </c>
      <c r="BD40" s="97"/>
      <c r="BE40" s="13">
        <v>4</v>
      </c>
      <c r="BF40" s="134">
        <f>_xlfn.XLOOKUP($J40,'Criterios GoGet'!$B$3:$B$8,'Criterios GoGet'!$C$3:$C$8,0,0,1)</f>
        <v>0.8</v>
      </c>
      <c r="BG40" s="134"/>
      <c r="BH40" s="15">
        <f t="shared" si="9"/>
        <v>0</v>
      </c>
      <c r="BI40" s="32"/>
      <c r="BJ40" s="18">
        <v>46045</v>
      </c>
      <c r="BK40" s="18"/>
      <c r="BL40" s="19">
        <f t="shared" si="0"/>
        <v>0</v>
      </c>
      <c r="BM40" s="19">
        <f t="shared" si="10"/>
        <v>0</v>
      </c>
      <c r="BN40" s="20">
        <f t="shared" si="11"/>
        <v>32</v>
      </c>
      <c r="BO40" s="21">
        <f t="shared" si="12"/>
        <v>122</v>
      </c>
      <c r="BP40" s="111">
        <f t="shared" si="1"/>
        <v>32</v>
      </c>
      <c r="BQ40" s="112">
        <f t="shared" si="1"/>
        <v>122</v>
      </c>
      <c r="BS40" s="28">
        <f t="shared" si="26"/>
        <v>0</v>
      </c>
      <c r="BT40" s="28">
        <f t="shared" si="24"/>
        <v>0</v>
      </c>
      <c r="BU40" s="28">
        <f t="shared" si="24"/>
        <v>0</v>
      </c>
      <c r="BV40" s="28">
        <f t="shared" si="24"/>
        <v>0</v>
      </c>
      <c r="BW40" s="28">
        <f t="shared" si="24"/>
        <v>0</v>
      </c>
      <c r="BX40" s="28">
        <f t="shared" si="24"/>
        <v>0</v>
      </c>
      <c r="BY40" s="28">
        <f t="shared" si="24"/>
        <v>0</v>
      </c>
      <c r="BZ40" s="28">
        <f t="shared" si="24"/>
        <v>0</v>
      </c>
      <c r="CA40" s="28">
        <f t="shared" si="24"/>
        <v>0</v>
      </c>
      <c r="CB40" s="28">
        <f t="shared" si="24"/>
        <v>0</v>
      </c>
      <c r="CC40" s="28">
        <f t="shared" si="24"/>
        <v>0</v>
      </c>
      <c r="CD40" s="28">
        <f t="shared" si="24"/>
        <v>0</v>
      </c>
      <c r="CE40" s="30">
        <f t="shared" si="13"/>
        <v>0</v>
      </c>
      <c r="CG40" s="27">
        <f t="shared" si="27"/>
        <v>0</v>
      </c>
      <c r="CH40" s="28">
        <f t="shared" si="27"/>
        <v>0</v>
      </c>
      <c r="CI40" s="28">
        <f t="shared" si="27"/>
        <v>0</v>
      </c>
      <c r="CJ40" s="28">
        <f t="shared" si="27"/>
        <v>0</v>
      </c>
      <c r="CK40" s="28">
        <f t="shared" si="27"/>
        <v>0</v>
      </c>
      <c r="CL40" s="28">
        <f t="shared" si="27"/>
        <v>0</v>
      </c>
      <c r="CM40" s="28">
        <f t="shared" si="27"/>
        <v>0</v>
      </c>
      <c r="CN40" s="28">
        <f t="shared" si="27"/>
        <v>0</v>
      </c>
      <c r="CO40" s="28">
        <f t="shared" si="27"/>
        <v>0</v>
      </c>
      <c r="CP40" s="28">
        <f t="shared" si="27"/>
        <v>0</v>
      </c>
      <c r="CQ40" s="28">
        <f t="shared" si="27"/>
        <v>0</v>
      </c>
      <c r="CR40" s="29">
        <f t="shared" si="27"/>
        <v>0</v>
      </c>
      <c r="CS40" s="30">
        <f t="shared" si="15"/>
        <v>0</v>
      </c>
      <c r="CU40" s="27">
        <f t="shared" si="28"/>
        <v>0</v>
      </c>
      <c r="CV40" s="28">
        <f t="shared" si="28"/>
        <v>0</v>
      </c>
      <c r="CW40" s="28">
        <f t="shared" si="28"/>
        <v>0</v>
      </c>
      <c r="CX40" s="28">
        <f t="shared" si="28"/>
        <v>0</v>
      </c>
      <c r="CY40" s="28">
        <f t="shared" si="28"/>
        <v>0</v>
      </c>
      <c r="CZ40" s="28">
        <f t="shared" si="28"/>
        <v>0</v>
      </c>
      <c r="DA40" s="28">
        <f t="shared" si="28"/>
        <v>0</v>
      </c>
      <c r="DB40" s="28">
        <f t="shared" si="28"/>
        <v>0</v>
      </c>
      <c r="DC40" s="28">
        <f t="shared" si="28"/>
        <v>0</v>
      </c>
      <c r="DD40" s="28">
        <f t="shared" si="28"/>
        <v>0</v>
      </c>
      <c r="DE40" s="28">
        <f t="shared" si="28"/>
        <v>0</v>
      </c>
      <c r="DF40" s="29">
        <f t="shared" si="28"/>
        <v>0</v>
      </c>
      <c r="DG40" s="30">
        <f t="shared" si="17"/>
        <v>0</v>
      </c>
      <c r="DI40" s="27">
        <f t="shared" si="29"/>
        <v>0</v>
      </c>
      <c r="DJ40" s="28">
        <f t="shared" si="29"/>
        <v>0</v>
      </c>
      <c r="DK40" s="28">
        <f t="shared" si="29"/>
        <v>0</v>
      </c>
      <c r="DL40" s="28">
        <f t="shared" si="29"/>
        <v>0</v>
      </c>
      <c r="DM40" s="28">
        <f t="shared" si="29"/>
        <v>0</v>
      </c>
      <c r="DN40" s="28">
        <f t="shared" si="29"/>
        <v>0</v>
      </c>
      <c r="DO40" s="28">
        <f t="shared" si="29"/>
        <v>0</v>
      </c>
      <c r="DP40" s="28">
        <f t="shared" si="29"/>
        <v>0</v>
      </c>
      <c r="DQ40" s="28">
        <f t="shared" si="29"/>
        <v>0</v>
      </c>
      <c r="DR40" s="28">
        <f t="shared" si="29"/>
        <v>0</v>
      </c>
      <c r="DS40" s="28">
        <f t="shared" si="29"/>
        <v>0</v>
      </c>
      <c r="DT40" s="29">
        <f t="shared" si="29"/>
        <v>0</v>
      </c>
      <c r="DU40" s="30">
        <f t="shared" si="19"/>
        <v>0</v>
      </c>
    </row>
    <row r="41" spans="1:125" x14ac:dyDescent="0.2">
      <c r="A41">
        <f t="shared" si="6"/>
        <v>17</v>
      </c>
      <c r="B41" s="49" t="str">
        <f>_xlfn.XLOOKUP(E41,Códigos_Propuestas!$B$4:$B$10,Códigos_Propuestas!$C$4:$C$10,"!",0,1)&amp;"__"&amp;
_xlfn.XLOOKUP(H41,Códigos_Propuestas!$E$4:$E$76,Códigos_Propuestas!$F$4:$F$76,"!",1)&amp;"__"&amp;
_xlfn.XLOOKUP(L41,Códigos_Propuestas!$I$4:$I$7,Códigos_Propuestas!$J$4:$J$7,"!",1)&amp;"__"&amp;
_xlfn.XLOOKUP(M41,Códigos_Propuestas!$O$4:$O$11,Códigos_Propuestas!$Q$4:$Q$11,"!",1)&amp;"__"&amp;
_xlfn.XLOOKUP(F41,Códigos_Propuestas!$BF:$BF,Códigos_Propuestas!$BH:$BH,"!",0,1)</f>
        <v>CH__CCO__UG__!__!</v>
      </c>
      <c r="C41" t="b">
        <f>F41=[1]CRM!C40</f>
        <v>1</v>
      </c>
      <c r="D41" s="47">
        <f t="shared" si="20"/>
        <v>39</v>
      </c>
      <c r="E41" s="11" t="s">
        <v>32</v>
      </c>
      <c r="F41" s="12" t="s">
        <v>563</v>
      </c>
      <c r="G41" s="12" t="s">
        <v>563</v>
      </c>
      <c r="H41" s="13" t="s">
        <v>250</v>
      </c>
      <c r="I41" s="13" t="s">
        <v>564</v>
      </c>
      <c r="J41" s="13" t="s">
        <v>97</v>
      </c>
      <c r="K41" s="17" t="s">
        <v>98</v>
      </c>
      <c r="L41" s="13" t="s">
        <v>65</v>
      </c>
      <c r="M41" s="14"/>
      <c r="N41" s="14" t="str">
        <f>_xlfn.XLOOKUP(M41,Códigos_Propuestas!$O$4:$O$15,Códigos_Propuestas!$P$4:$P$15,"!",0,1)</f>
        <v>R+</v>
      </c>
      <c r="O41" s="14"/>
      <c r="P41" s="14"/>
      <c r="Q41" s="14"/>
      <c r="R41" s="14"/>
      <c r="S41" s="14"/>
      <c r="T41" s="14"/>
      <c r="U41" s="14"/>
      <c r="V41" s="13"/>
      <c r="W41" s="13"/>
      <c r="X41" s="116">
        <f t="shared" ca="1" si="7"/>
        <v>0</v>
      </c>
      <c r="Y41" s="13" t="str">
        <f t="shared" ca="1" si="8"/>
        <v/>
      </c>
      <c r="Z41" s="13"/>
      <c r="AA41" s="115"/>
      <c r="AB41" s="130" t="b">
        <v>0</v>
      </c>
      <c r="AC41" s="115"/>
      <c r="AD41" s="130" t="b">
        <v>0</v>
      </c>
      <c r="AE41" s="115"/>
      <c r="AF41" s="130" t="b">
        <v>0</v>
      </c>
      <c r="AG41" s="13"/>
      <c r="AH41" s="13"/>
      <c r="AI41" s="130" t="b">
        <v>0</v>
      </c>
      <c r="AJ41" s="13"/>
      <c r="AK41" s="130" t="b">
        <v>0</v>
      </c>
      <c r="AL41" s="13"/>
      <c r="AM41" s="130" t="b">
        <v>0</v>
      </c>
      <c r="AN41" s="13"/>
      <c r="AO41" s="130" t="b">
        <v>0</v>
      </c>
      <c r="AP41" s="13"/>
      <c r="AQ41" s="13"/>
      <c r="AR41" s="130" t="b">
        <v>0</v>
      </c>
      <c r="AS41" s="130" t="b">
        <v>0</v>
      </c>
      <c r="AT41" s="130" t="b">
        <v>0</v>
      </c>
      <c r="AU41" s="130" t="b">
        <v>0</v>
      </c>
      <c r="AV41" s="130" t="b">
        <v>0</v>
      </c>
      <c r="AW41" s="11"/>
      <c r="AX41" s="11"/>
      <c r="AY41" s="11"/>
      <c r="AZ41" s="11"/>
      <c r="BA41" s="11"/>
      <c r="BB41" s="28"/>
      <c r="BC41" s="97">
        <v>207000</v>
      </c>
      <c r="BD41" s="97"/>
      <c r="BE41" s="13">
        <v>4</v>
      </c>
      <c r="BF41" s="134">
        <f>_xlfn.XLOOKUP($J41,'Criterios GoGet'!$B$3:$B$8,'Criterios GoGet'!$C$3:$C$8,0,0,1)</f>
        <v>0.8</v>
      </c>
      <c r="BG41" s="134"/>
      <c r="BH41" s="15">
        <f t="shared" si="9"/>
        <v>0</v>
      </c>
      <c r="BI41" s="32"/>
      <c r="BJ41" s="18">
        <v>46050</v>
      </c>
      <c r="BK41" s="18"/>
      <c r="BL41" s="19">
        <f t="shared" si="0"/>
        <v>0</v>
      </c>
      <c r="BM41" s="19">
        <f t="shared" si="10"/>
        <v>0</v>
      </c>
      <c r="BN41" s="20">
        <f t="shared" si="11"/>
        <v>32</v>
      </c>
      <c r="BO41" s="21">
        <f t="shared" si="12"/>
        <v>122</v>
      </c>
      <c r="BP41" s="111">
        <f t="shared" si="1"/>
        <v>32</v>
      </c>
      <c r="BQ41" s="112">
        <f t="shared" si="1"/>
        <v>122</v>
      </c>
      <c r="BS41" s="28">
        <f t="shared" si="26"/>
        <v>0</v>
      </c>
      <c r="BT41" s="28">
        <f t="shared" si="24"/>
        <v>0</v>
      </c>
      <c r="BU41" s="28">
        <f t="shared" si="24"/>
        <v>0</v>
      </c>
      <c r="BV41" s="28">
        <f t="shared" si="24"/>
        <v>0</v>
      </c>
      <c r="BW41" s="28">
        <f t="shared" si="24"/>
        <v>0</v>
      </c>
      <c r="BX41" s="28">
        <f t="shared" si="24"/>
        <v>0</v>
      </c>
      <c r="BY41" s="28">
        <f t="shared" si="24"/>
        <v>0</v>
      </c>
      <c r="BZ41" s="28">
        <f t="shared" si="24"/>
        <v>0</v>
      </c>
      <c r="CA41" s="28">
        <f t="shared" si="24"/>
        <v>0</v>
      </c>
      <c r="CB41" s="28">
        <f t="shared" si="24"/>
        <v>0</v>
      </c>
      <c r="CC41" s="28">
        <f t="shared" si="24"/>
        <v>0</v>
      </c>
      <c r="CD41" s="28">
        <f t="shared" si="24"/>
        <v>0</v>
      </c>
      <c r="CE41" s="30">
        <f t="shared" si="13"/>
        <v>0</v>
      </c>
      <c r="CG41" s="27">
        <f t="shared" si="27"/>
        <v>0</v>
      </c>
      <c r="CH41" s="28">
        <f t="shared" si="27"/>
        <v>0</v>
      </c>
      <c r="CI41" s="28">
        <f t="shared" si="27"/>
        <v>0</v>
      </c>
      <c r="CJ41" s="28">
        <f t="shared" si="27"/>
        <v>0</v>
      </c>
      <c r="CK41" s="28">
        <f t="shared" si="27"/>
        <v>0</v>
      </c>
      <c r="CL41" s="28">
        <f t="shared" si="27"/>
        <v>0</v>
      </c>
      <c r="CM41" s="28">
        <f t="shared" si="27"/>
        <v>0</v>
      </c>
      <c r="CN41" s="28">
        <f t="shared" si="27"/>
        <v>0</v>
      </c>
      <c r="CO41" s="28">
        <f t="shared" si="27"/>
        <v>0</v>
      </c>
      <c r="CP41" s="28">
        <f t="shared" si="27"/>
        <v>0</v>
      </c>
      <c r="CQ41" s="28">
        <f t="shared" si="27"/>
        <v>0</v>
      </c>
      <c r="CR41" s="29">
        <f t="shared" si="27"/>
        <v>0</v>
      </c>
      <c r="CS41" s="30">
        <f t="shared" si="15"/>
        <v>0</v>
      </c>
      <c r="CU41" s="27">
        <f t="shared" si="28"/>
        <v>0</v>
      </c>
      <c r="CV41" s="28">
        <f t="shared" si="28"/>
        <v>0</v>
      </c>
      <c r="CW41" s="28">
        <f t="shared" si="28"/>
        <v>0</v>
      </c>
      <c r="CX41" s="28">
        <f t="shared" si="28"/>
        <v>0</v>
      </c>
      <c r="CY41" s="28">
        <f t="shared" si="28"/>
        <v>0</v>
      </c>
      <c r="CZ41" s="28">
        <f t="shared" si="28"/>
        <v>0</v>
      </c>
      <c r="DA41" s="28">
        <f t="shared" si="28"/>
        <v>0</v>
      </c>
      <c r="DB41" s="28">
        <f t="shared" si="28"/>
        <v>0</v>
      </c>
      <c r="DC41" s="28">
        <f t="shared" si="28"/>
        <v>0</v>
      </c>
      <c r="DD41" s="28">
        <f t="shared" si="28"/>
        <v>0</v>
      </c>
      <c r="DE41" s="28">
        <f t="shared" si="28"/>
        <v>0</v>
      </c>
      <c r="DF41" s="29">
        <f t="shared" si="28"/>
        <v>0</v>
      </c>
      <c r="DG41" s="30">
        <f t="shared" si="17"/>
        <v>0</v>
      </c>
      <c r="DI41" s="27">
        <f t="shared" si="29"/>
        <v>0</v>
      </c>
      <c r="DJ41" s="28">
        <f t="shared" si="29"/>
        <v>0</v>
      </c>
      <c r="DK41" s="28">
        <f t="shared" si="29"/>
        <v>0</v>
      </c>
      <c r="DL41" s="28">
        <f t="shared" si="29"/>
        <v>0</v>
      </c>
      <c r="DM41" s="28">
        <f t="shared" si="29"/>
        <v>0</v>
      </c>
      <c r="DN41" s="28">
        <f t="shared" si="29"/>
        <v>0</v>
      </c>
      <c r="DO41" s="28">
        <f t="shared" si="29"/>
        <v>0</v>
      </c>
      <c r="DP41" s="28">
        <f t="shared" si="29"/>
        <v>0</v>
      </c>
      <c r="DQ41" s="28">
        <f t="shared" si="29"/>
        <v>0</v>
      </c>
      <c r="DR41" s="28">
        <f t="shared" si="29"/>
        <v>0</v>
      </c>
      <c r="DS41" s="28">
        <f t="shared" si="29"/>
        <v>0</v>
      </c>
      <c r="DT41" s="29">
        <f t="shared" si="29"/>
        <v>0</v>
      </c>
      <c r="DU41" s="30">
        <f t="shared" si="19"/>
        <v>0</v>
      </c>
    </row>
    <row r="42" spans="1:125" x14ac:dyDescent="0.2">
      <c r="A42">
        <f t="shared" si="6"/>
        <v>17</v>
      </c>
      <c r="B42" s="49" t="str">
        <f>_xlfn.XLOOKUP(E42,Códigos_Propuestas!$B$4:$B$10,Códigos_Propuestas!$C$4:$C$10,"!",0,1)&amp;"__"&amp;
_xlfn.XLOOKUP(H42,Códigos_Propuestas!$E$4:$E$76,Códigos_Propuestas!$F$4:$F$76,"!",1)&amp;"__"&amp;
_xlfn.XLOOKUP(L42,Códigos_Propuestas!$I$4:$I$7,Códigos_Propuestas!$J$4:$J$7,"!",1)&amp;"__"&amp;
_xlfn.XLOOKUP(M42,Códigos_Propuestas!$O$4:$O$11,Códigos_Propuestas!$Q$4:$Q$11,"!",1)&amp;"__"&amp;
_xlfn.XLOOKUP(F42,Códigos_Propuestas!$BF:$BF,Códigos_Propuestas!$BH:$BH,"!",0,1)</f>
        <v>CH__CCO__UG__!__!</v>
      </c>
      <c r="C42" t="b">
        <f>F42=[1]CRM!C41</f>
        <v>1</v>
      </c>
      <c r="D42" s="47">
        <f t="shared" si="20"/>
        <v>40</v>
      </c>
      <c r="E42" s="11" t="s">
        <v>32</v>
      </c>
      <c r="F42" s="12" t="s">
        <v>565</v>
      </c>
      <c r="G42" s="12" t="s">
        <v>565</v>
      </c>
      <c r="H42" s="13" t="s">
        <v>250</v>
      </c>
      <c r="I42" s="13" t="s">
        <v>566</v>
      </c>
      <c r="J42" s="13" t="s">
        <v>97</v>
      </c>
      <c r="K42" s="17" t="s">
        <v>98</v>
      </c>
      <c r="L42" s="13" t="s">
        <v>65</v>
      </c>
      <c r="M42" s="14"/>
      <c r="N42" s="14" t="str">
        <f>_xlfn.XLOOKUP(M42,Códigos_Propuestas!$O$4:$O$15,Códigos_Propuestas!$P$4:$P$15,"!",0,1)</f>
        <v>R+</v>
      </c>
      <c r="O42" s="14"/>
      <c r="P42" s="14"/>
      <c r="Q42" s="14"/>
      <c r="R42" s="14"/>
      <c r="S42" s="14"/>
      <c r="T42" s="14"/>
      <c r="U42" s="14"/>
      <c r="V42" s="13"/>
      <c r="W42" s="13"/>
      <c r="X42" s="116">
        <f t="shared" ca="1" si="7"/>
        <v>0</v>
      </c>
      <c r="Y42" s="13" t="str">
        <f t="shared" ca="1" si="8"/>
        <v/>
      </c>
      <c r="Z42" s="13"/>
      <c r="AA42" s="115"/>
      <c r="AB42" s="130" t="b">
        <v>0</v>
      </c>
      <c r="AC42" s="115"/>
      <c r="AD42" s="130" t="b">
        <v>0</v>
      </c>
      <c r="AE42" s="115"/>
      <c r="AF42" s="130" t="b">
        <v>0</v>
      </c>
      <c r="AG42" s="13"/>
      <c r="AH42" s="13"/>
      <c r="AI42" s="130" t="b">
        <v>0</v>
      </c>
      <c r="AJ42" s="13"/>
      <c r="AK42" s="130" t="b">
        <v>0</v>
      </c>
      <c r="AL42" s="13"/>
      <c r="AM42" s="130" t="b">
        <v>0</v>
      </c>
      <c r="AN42" s="13"/>
      <c r="AO42" s="130" t="b">
        <v>0</v>
      </c>
      <c r="AP42" s="13"/>
      <c r="AQ42" s="13"/>
      <c r="AR42" s="130" t="b">
        <v>0</v>
      </c>
      <c r="AS42" s="130" t="b">
        <v>0</v>
      </c>
      <c r="AT42" s="130" t="b">
        <v>0</v>
      </c>
      <c r="AU42" s="130" t="b">
        <v>0</v>
      </c>
      <c r="AV42" s="130" t="b">
        <v>0</v>
      </c>
      <c r="AW42" s="11"/>
      <c r="AX42" s="11"/>
      <c r="AY42" s="11"/>
      <c r="AZ42" s="11"/>
      <c r="BA42" s="11"/>
      <c r="BB42" s="28"/>
      <c r="BC42" s="97">
        <v>204000</v>
      </c>
      <c r="BD42" s="97"/>
      <c r="BE42" s="13">
        <v>3</v>
      </c>
      <c r="BF42" s="134">
        <f>_xlfn.XLOOKUP($J42,'Criterios GoGet'!$B$3:$B$8,'Criterios GoGet'!$C$3:$C$8,0,0,1)</f>
        <v>0.8</v>
      </c>
      <c r="BG42" s="134"/>
      <c r="BH42" s="15">
        <f t="shared" si="9"/>
        <v>0</v>
      </c>
      <c r="BI42" s="32"/>
      <c r="BJ42" s="18">
        <v>46050</v>
      </c>
      <c r="BK42" s="18"/>
      <c r="BL42" s="19">
        <f t="shared" si="0"/>
        <v>0</v>
      </c>
      <c r="BM42" s="19">
        <f t="shared" si="10"/>
        <v>0</v>
      </c>
      <c r="BN42" s="20">
        <f t="shared" si="11"/>
        <v>32</v>
      </c>
      <c r="BO42" s="21">
        <f t="shared" si="12"/>
        <v>92</v>
      </c>
      <c r="BP42" s="111">
        <f t="shared" si="1"/>
        <v>32</v>
      </c>
      <c r="BQ42" s="112">
        <f t="shared" si="1"/>
        <v>92</v>
      </c>
      <c r="BR42"/>
      <c r="BS42" s="28">
        <f t="shared" si="26"/>
        <v>0</v>
      </c>
      <c r="BT42" s="28">
        <f t="shared" si="24"/>
        <v>0</v>
      </c>
      <c r="BU42" s="28">
        <f t="shared" si="24"/>
        <v>0</v>
      </c>
      <c r="BV42" s="28">
        <f t="shared" si="24"/>
        <v>0</v>
      </c>
      <c r="BW42" s="28">
        <f t="shared" si="24"/>
        <v>0</v>
      </c>
      <c r="BX42" s="28">
        <f t="shared" si="24"/>
        <v>0</v>
      </c>
      <c r="BY42" s="28">
        <f t="shared" si="24"/>
        <v>0</v>
      </c>
      <c r="BZ42" s="28">
        <f t="shared" si="24"/>
        <v>0</v>
      </c>
      <c r="CA42" s="28">
        <f t="shared" si="24"/>
        <v>0</v>
      </c>
      <c r="CB42" s="28">
        <f t="shared" si="24"/>
        <v>0</v>
      </c>
      <c r="CC42" s="28">
        <f t="shared" si="24"/>
        <v>0</v>
      </c>
      <c r="CD42" s="28">
        <f t="shared" si="24"/>
        <v>0</v>
      </c>
      <c r="CE42" s="30">
        <f t="shared" si="13"/>
        <v>0</v>
      </c>
      <c r="CG42" s="27">
        <f t="shared" si="27"/>
        <v>0</v>
      </c>
      <c r="CH42" s="28">
        <f t="shared" si="27"/>
        <v>0</v>
      </c>
      <c r="CI42" s="28">
        <f t="shared" si="27"/>
        <v>0</v>
      </c>
      <c r="CJ42" s="28">
        <f t="shared" si="27"/>
        <v>0</v>
      </c>
      <c r="CK42" s="28">
        <f t="shared" si="27"/>
        <v>0</v>
      </c>
      <c r="CL42" s="28">
        <f t="shared" si="27"/>
        <v>0</v>
      </c>
      <c r="CM42" s="28">
        <f t="shared" si="27"/>
        <v>0</v>
      </c>
      <c r="CN42" s="28">
        <f t="shared" si="27"/>
        <v>0</v>
      </c>
      <c r="CO42" s="28">
        <f t="shared" si="27"/>
        <v>0</v>
      </c>
      <c r="CP42" s="28">
        <f t="shared" si="27"/>
        <v>0</v>
      </c>
      <c r="CQ42" s="28">
        <f t="shared" si="27"/>
        <v>0</v>
      </c>
      <c r="CR42" s="29">
        <f t="shared" si="27"/>
        <v>0</v>
      </c>
      <c r="CS42" s="30">
        <f t="shared" si="15"/>
        <v>0</v>
      </c>
      <c r="CU42" s="27">
        <f t="shared" si="28"/>
        <v>0</v>
      </c>
      <c r="CV42" s="28">
        <f t="shared" si="28"/>
        <v>0</v>
      </c>
      <c r="CW42" s="28">
        <f t="shared" si="28"/>
        <v>0</v>
      </c>
      <c r="CX42" s="28">
        <f t="shared" si="28"/>
        <v>0</v>
      </c>
      <c r="CY42" s="28">
        <f t="shared" si="28"/>
        <v>0</v>
      </c>
      <c r="CZ42" s="28">
        <f t="shared" si="28"/>
        <v>0</v>
      </c>
      <c r="DA42" s="28">
        <f t="shared" si="28"/>
        <v>0</v>
      </c>
      <c r="DB42" s="28">
        <f t="shared" si="28"/>
        <v>0</v>
      </c>
      <c r="DC42" s="28">
        <f t="shared" si="28"/>
        <v>0</v>
      </c>
      <c r="DD42" s="28">
        <f t="shared" si="28"/>
        <v>0</v>
      </c>
      <c r="DE42" s="28">
        <f t="shared" si="28"/>
        <v>0</v>
      </c>
      <c r="DF42" s="29">
        <f t="shared" si="28"/>
        <v>0</v>
      </c>
      <c r="DG42" s="30">
        <f t="shared" si="17"/>
        <v>0</v>
      </c>
      <c r="DI42" s="27">
        <f t="shared" si="29"/>
        <v>0</v>
      </c>
      <c r="DJ42" s="28">
        <f t="shared" si="29"/>
        <v>0</v>
      </c>
      <c r="DK42" s="28">
        <f t="shared" si="29"/>
        <v>0</v>
      </c>
      <c r="DL42" s="28">
        <f t="shared" si="29"/>
        <v>0</v>
      </c>
      <c r="DM42" s="28">
        <f t="shared" si="29"/>
        <v>0</v>
      </c>
      <c r="DN42" s="28">
        <f t="shared" si="29"/>
        <v>0</v>
      </c>
      <c r="DO42" s="28">
        <f t="shared" si="29"/>
        <v>0</v>
      </c>
      <c r="DP42" s="28">
        <f t="shared" si="29"/>
        <v>0</v>
      </c>
      <c r="DQ42" s="28">
        <f t="shared" si="29"/>
        <v>0</v>
      </c>
      <c r="DR42" s="28">
        <f t="shared" si="29"/>
        <v>0</v>
      </c>
      <c r="DS42" s="28">
        <f t="shared" si="29"/>
        <v>0</v>
      </c>
      <c r="DT42" s="29">
        <f t="shared" si="29"/>
        <v>0</v>
      </c>
      <c r="DU42" s="30">
        <f t="shared" si="19"/>
        <v>0</v>
      </c>
    </row>
    <row r="43" spans="1:125" x14ac:dyDescent="0.2">
      <c r="A43">
        <f t="shared" si="6"/>
        <v>17</v>
      </c>
      <c r="B43" s="49" t="str">
        <f>_xlfn.XLOOKUP(E43,Códigos_Propuestas!$B$4:$B$10,Códigos_Propuestas!$C$4:$C$10,"!",0,1)&amp;"__"&amp;
_xlfn.XLOOKUP(H43,Códigos_Propuestas!$E$4:$E$76,Códigos_Propuestas!$F$4:$F$76,"!",1)&amp;"__"&amp;
_xlfn.XLOOKUP(L43,Códigos_Propuestas!$I$4:$I$7,Códigos_Propuestas!$J$4:$J$7,"!",1)&amp;"__"&amp;
_xlfn.XLOOKUP(M43,Códigos_Propuestas!$O$4:$O$11,Códigos_Propuestas!$Q$4:$Q$11,"!",1)&amp;"__"&amp;
_xlfn.XLOOKUP(F43,Códigos_Propuestas!$BF:$BF,Códigos_Propuestas!$BH:$BH,"!",0,1)</f>
        <v>PE__HUD__UG__!__!</v>
      </c>
      <c r="C43" t="b">
        <f>F43=[1]CRM!C42</f>
        <v>1</v>
      </c>
      <c r="D43" s="47">
        <f t="shared" si="20"/>
        <v>41</v>
      </c>
      <c r="E43" s="11" t="s">
        <v>62</v>
      </c>
      <c r="F43" s="12" t="s">
        <v>567</v>
      </c>
      <c r="G43" s="12" t="s">
        <v>567</v>
      </c>
      <c r="H43" s="13" t="s">
        <v>270</v>
      </c>
      <c r="I43" s="13" t="s">
        <v>568</v>
      </c>
      <c r="J43" s="13" t="s">
        <v>602</v>
      </c>
      <c r="K43" s="17" t="s">
        <v>72</v>
      </c>
      <c r="L43" s="13" t="s">
        <v>65</v>
      </c>
      <c r="M43" s="14"/>
      <c r="N43" s="14" t="str">
        <f>_xlfn.XLOOKUP(M43,Códigos_Propuestas!$O$4:$O$15,Códigos_Propuestas!$P$4:$P$15,"!",0,1)</f>
        <v>R+</v>
      </c>
      <c r="O43" s="14"/>
      <c r="P43" s="14"/>
      <c r="Q43" s="14"/>
      <c r="R43" s="14"/>
      <c r="S43" s="14"/>
      <c r="T43" s="14"/>
      <c r="U43" s="14"/>
      <c r="V43" s="13"/>
      <c r="W43" s="13"/>
      <c r="X43" s="116"/>
      <c r="Y43" s="13"/>
      <c r="Z43" s="13"/>
      <c r="AA43" s="115"/>
      <c r="AB43" s="130" t="b">
        <v>0</v>
      </c>
      <c r="AC43" s="115"/>
      <c r="AD43" s="130" t="b">
        <v>0</v>
      </c>
      <c r="AE43" s="115"/>
      <c r="AF43" s="130" t="b">
        <v>0</v>
      </c>
      <c r="AG43" s="13"/>
      <c r="AH43" s="13"/>
      <c r="AI43" s="130" t="b">
        <v>0</v>
      </c>
      <c r="AJ43" s="13"/>
      <c r="AK43" s="130" t="b">
        <v>0</v>
      </c>
      <c r="AL43" s="13"/>
      <c r="AM43" s="130" t="b">
        <v>0</v>
      </c>
      <c r="AN43" s="13"/>
      <c r="AO43" s="130" t="b">
        <v>0</v>
      </c>
      <c r="AP43" s="13"/>
      <c r="AQ43" s="13"/>
      <c r="AR43" s="130" t="b">
        <v>0</v>
      </c>
      <c r="AS43" s="130" t="b">
        <v>0</v>
      </c>
      <c r="AT43" s="130" t="b">
        <v>0</v>
      </c>
      <c r="AU43" s="130" t="b">
        <v>0</v>
      </c>
      <c r="AV43" s="130" t="b">
        <v>0</v>
      </c>
      <c r="AW43" s="11"/>
      <c r="AX43" s="11"/>
      <c r="AY43" s="11"/>
      <c r="AZ43" s="11"/>
      <c r="BA43" s="11"/>
      <c r="BB43" s="28"/>
      <c r="BC43" s="97">
        <v>50000</v>
      </c>
      <c r="BD43" s="97"/>
      <c r="BE43" s="13">
        <v>1</v>
      </c>
      <c r="BF43" s="134">
        <f>_xlfn.XLOOKUP($J43,'Criterios GoGet'!$B$3:$B$8,'Criterios GoGet'!$C$3:$C$8,0,0,1)</f>
        <v>0</v>
      </c>
      <c r="BG43" s="134"/>
      <c r="BH43" s="15">
        <f t="shared" si="9"/>
        <v>0</v>
      </c>
      <c r="BI43" s="32"/>
      <c r="BJ43" s="18">
        <v>46051</v>
      </c>
      <c r="BK43" s="18"/>
      <c r="BL43" s="19">
        <f t="shared" si="0"/>
        <v>0</v>
      </c>
      <c r="BM43" s="19">
        <f t="shared" si="10"/>
        <v>0</v>
      </c>
      <c r="BN43" s="20">
        <f t="shared" si="11"/>
        <v>32</v>
      </c>
      <c r="BO43" s="21">
        <f t="shared" si="12"/>
        <v>32</v>
      </c>
      <c r="BP43" s="111">
        <f t="shared" ref="BP43:BQ49" si="30">IFERROR(EOMONTH(BN43,-1)+1,"")</f>
        <v>32</v>
      </c>
      <c r="BQ43" s="112">
        <f t="shared" si="30"/>
        <v>32</v>
      </c>
      <c r="BR43"/>
      <c r="BS43" s="28">
        <f t="shared" si="26"/>
        <v>0</v>
      </c>
      <c r="BT43" s="28">
        <f t="shared" si="24"/>
        <v>0</v>
      </c>
      <c r="BU43" s="28">
        <f t="shared" si="24"/>
        <v>0</v>
      </c>
      <c r="BV43" s="28">
        <f t="shared" si="24"/>
        <v>0</v>
      </c>
      <c r="BW43" s="28">
        <f t="shared" si="24"/>
        <v>0</v>
      </c>
      <c r="BX43" s="28">
        <f t="shared" si="24"/>
        <v>0</v>
      </c>
      <c r="BY43" s="28">
        <f t="shared" si="24"/>
        <v>0</v>
      </c>
      <c r="BZ43" s="28">
        <f t="shared" si="24"/>
        <v>0</v>
      </c>
      <c r="CA43" s="28">
        <f t="shared" si="24"/>
        <v>0</v>
      </c>
      <c r="CB43" s="28">
        <f t="shared" si="24"/>
        <v>0</v>
      </c>
      <c r="CC43" s="28">
        <f t="shared" si="24"/>
        <v>0</v>
      </c>
      <c r="CD43" s="28">
        <f t="shared" si="24"/>
        <v>0</v>
      </c>
      <c r="CE43" s="30">
        <f t="shared" ref="CE43:CE47" si="31">SUM(BS43:CD43)</f>
        <v>0</v>
      </c>
      <c r="CG43" s="27">
        <f t="shared" si="27"/>
        <v>0</v>
      </c>
      <c r="CH43" s="28">
        <f t="shared" si="27"/>
        <v>0</v>
      </c>
      <c r="CI43" s="28">
        <f t="shared" si="27"/>
        <v>0</v>
      </c>
      <c r="CJ43" s="28">
        <f t="shared" si="27"/>
        <v>0</v>
      </c>
      <c r="CK43" s="28">
        <f t="shared" si="27"/>
        <v>0</v>
      </c>
      <c r="CL43" s="28">
        <f t="shared" si="27"/>
        <v>0</v>
      </c>
      <c r="CM43" s="28">
        <f t="shared" si="27"/>
        <v>0</v>
      </c>
      <c r="CN43" s="28">
        <f t="shared" si="27"/>
        <v>0</v>
      </c>
      <c r="CO43" s="28">
        <f t="shared" si="27"/>
        <v>0</v>
      </c>
      <c r="CP43" s="28">
        <f t="shared" si="27"/>
        <v>0</v>
      </c>
      <c r="CQ43" s="28">
        <f t="shared" si="27"/>
        <v>0</v>
      </c>
      <c r="CR43" s="29">
        <f t="shared" si="27"/>
        <v>0</v>
      </c>
      <c r="CS43" s="30">
        <f t="shared" ref="CS43:CS46" si="32">SUM(CG43:CR43)</f>
        <v>0</v>
      </c>
      <c r="CU43" s="27">
        <f t="shared" si="28"/>
        <v>0</v>
      </c>
      <c r="CV43" s="28">
        <f t="shared" si="28"/>
        <v>0</v>
      </c>
      <c r="CW43" s="28">
        <f t="shared" si="28"/>
        <v>0</v>
      </c>
      <c r="CX43" s="28">
        <f t="shared" si="28"/>
        <v>0</v>
      </c>
      <c r="CY43" s="28">
        <f t="shared" si="28"/>
        <v>0</v>
      </c>
      <c r="CZ43" s="28">
        <f t="shared" si="28"/>
        <v>0</v>
      </c>
      <c r="DA43" s="28">
        <f t="shared" si="28"/>
        <v>0</v>
      </c>
      <c r="DB43" s="28">
        <f t="shared" si="28"/>
        <v>0</v>
      </c>
      <c r="DC43" s="28">
        <f t="shared" si="28"/>
        <v>0</v>
      </c>
      <c r="DD43" s="28">
        <f t="shared" si="28"/>
        <v>0</v>
      </c>
      <c r="DE43" s="28">
        <f t="shared" si="28"/>
        <v>0</v>
      </c>
      <c r="DF43" s="29">
        <f t="shared" si="28"/>
        <v>0</v>
      </c>
      <c r="DG43" s="30">
        <f t="shared" ref="DG43:DG46" si="33">SUM(CU43:DF43)</f>
        <v>0</v>
      </c>
      <c r="DI43" s="27">
        <f t="shared" si="29"/>
        <v>0</v>
      </c>
      <c r="DJ43" s="28">
        <f t="shared" si="29"/>
        <v>0</v>
      </c>
      <c r="DK43" s="28">
        <f t="shared" si="29"/>
        <v>0</v>
      </c>
      <c r="DL43" s="28">
        <f t="shared" si="29"/>
        <v>0</v>
      </c>
      <c r="DM43" s="28">
        <f t="shared" si="29"/>
        <v>0</v>
      </c>
      <c r="DN43" s="28">
        <f t="shared" si="29"/>
        <v>0</v>
      </c>
      <c r="DO43" s="28">
        <f t="shared" si="29"/>
        <v>0</v>
      </c>
      <c r="DP43" s="28">
        <f t="shared" si="29"/>
        <v>0</v>
      </c>
      <c r="DQ43" s="28">
        <f t="shared" si="29"/>
        <v>0</v>
      </c>
      <c r="DR43" s="28">
        <f t="shared" si="29"/>
        <v>0</v>
      </c>
      <c r="DS43" s="28">
        <f t="shared" si="29"/>
        <v>0</v>
      </c>
      <c r="DT43" s="29">
        <f t="shared" si="29"/>
        <v>0</v>
      </c>
      <c r="DU43" s="30">
        <f t="shared" ref="DU43:DU46" si="34">SUM(DI43:DT43)</f>
        <v>0</v>
      </c>
    </row>
    <row r="44" spans="1:125" x14ac:dyDescent="0.2">
      <c r="A44">
        <f t="shared" si="6"/>
        <v>17</v>
      </c>
      <c r="B44" s="49" t="str">
        <f>_xlfn.XLOOKUP(E44,Códigos_Propuestas!$B$4:$B$10,Códigos_Propuestas!$C$4:$C$10,"!",0,1)&amp;"__"&amp;
_xlfn.XLOOKUP(H44,Códigos_Propuestas!$E$4:$E$76,Códigos_Propuestas!$F$4:$F$76,"!",1)&amp;"__"&amp;
_xlfn.XLOOKUP(L44,Códigos_Propuestas!$I$4:$I$7,Códigos_Propuestas!$J$4:$J$7,"!",1)&amp;"__"&amp;
_xlfn.XLOOKUP(M44,Códigos_Propuestas!$O$4:$O$11,Códigos_Propuestas!$Q$4:$Q$11,"!",1)&amp;"__"&amp;
_xlfn.XLOOKUP(F44,Códigos_Propuestas!$BF:$BF,Códigos_Propuestas!$BH:$BH,"!",0,1)</f>
        <v>PE__VLC__UG__!__!</v>
      </c>
      <c r="C44" t="b">
        <f>F44=[1]CRM!C43</f>
        <v>1</v>
      </c>
      <c r="D44" s="47">
        <f t="shared" si="20"/>
        <v>42</v>
      </c>
      <c r="E44" s="11" t="s">
        <v>62</v>
      </c>
      <c r="F44" s="12" t="s">
        <v>569</v>
      </c>
      <c r="G44" s="12" t="s">
        <v>569</v>
      </c>
      <c r="H44" s="13" t="s">
        <v>284</v>
      </c>
      <c r="I44" s="13" t="s">
        <v>570</v>
      </c>
      <c r="J44" s="13" t="s">
        <v>602</v>
      </c>
      <c r="K44" s="17" t="s">
        <v>44</v>
      </c>
      <c r="L44" s="13" t="s">
        <v>65</v>
      </c>
      <c r="M44" s="14"/>
      <c r="N44" s="14" t="str">
        <f>_xlfn.XLOOKUP(M44,Códigos_Propuestas!$O$4:$O$15,Códigos_Propuestas!$P$4:$P$15,"!",0,1)</f>
        <v>R+</v>
      </c>
      <c r="O44" s="14"/>
      <c r="P44" s="14"/>
      <c r="Q44" s="14"/>
      <c r="R44" s="14"/>
      <c r="S44" s="14"/>
      <c r="T44" s="14"/>
      <c r="U44" s="14"/>
      <c r="V44" s="13"/>
      <c r="W44" s="13"/>
      <c r="X44" s="116"/>
      <c r="Y44" s="13"/>
      <c r="Z44" s="13"/>
      <c r="AA44" s="115"/>
      <c r="AB44" s="130" t="b">
        <v>0</v>
      </c>
      <c r="AC44" s="115"/>
      <c r="AD44" s="130" t="b">
        <v>0</v>
      </c>
      <c r="AE44" s="115"/>
      <c r="AF44" s="130" t="b">
        <v>0</v>
      </c>
      <c r="AG44" s="13"/>
      <c r="AH44" s="13"/>
      <c r="AI44" s="130" t="b">
        <v>0</v>
      </c>
      <c r="AJ44" s="13"/>
      <c r="AK44" s="130" t="b">
        <v>0</v>
      </c>
      <c r="AL44" s="13"/>
      <c r="AM44" s="130" t="b">
        <v>0</v>
      </c>
      <c r="AN44" s="13"/>
      <c r="AO44" s="130" t="b">
        <v>0</v>
      </c>
      <c r="AP44" s="13"/>
      <c r="AQ44" s="13"/>
      <c r="AR44" s="130" t="b">
        <v>0</v>
      </c>
      <c r="AS44" s="130" t="b">
        <v>0</v>
      </c>
      <c r="AT44" s="130" t="b">
        <v>0</v>
      </c>
      <c r="AU44" s="130" t="b">
        <v>0</v>
      </c>
      <c r="AV44" s="130" t="b">
        <v>0</v>
      </c>
      <c r="AW44" s="11"/>
      <c r="AX44" s="11"/>
      <c r="AY44" s="11"/>
      <c r="AZ44" s="11"/>
      <c r="BA44" s="11"/>
      <c r="BB44" s="28"/>
      <c r="BC44" s="97">
        <v>0</v>
      </c>
      <c r="BD44" s="97"/>
      <c r="BE44" s="13">
        <v>5</v>
      </c>
      <c r="BF44" s="134">
        <f>_xlfn.XLOOKUP($J44,'Criterios GoGet'!$B$3:$B$8,'Criterios GoGet'!$C$3:$C$8,0,0,1)</f>
        <v>0</v>
      </c>
      <c r="BG44" s="134"/>
      <c r="BH44" s="15">
        <f t="shared" si="9"/>
        <v>0</v>
      </c>
      <c r="BI44" s="32"/>
      <c r="BJ44" s="18">
        <v>46052</v>
      </c>
      <c r="BK44" s="18"/>
      <c r="BL44" s="19">
        <f t="shared" si="0"/>
        <v>0</v>
      </c>
      <c r="BM44" s="19">
        <f t="shared" si="10"/>
        <v>0</v>
      </c>
      <c r="BN44" s="20">
        <f t="shared" si="11"/>
        <v>32</v>
      </c>
      <c r="BO44" s="21">
        <f t="shared" si="12"/>
        <v>153</v>
      </c>
      <c r="BP44" s="111">
        <f t="shared" si="30"/>
        <v>32</v>
      </c>
      <c r="BQ44" s="112">
        <f t="shared" si="30"/>
        <v>153</v>
      </c>
      <c r="BR44"/>
      <c r="BS44" s="28">
        <f t="shared" si="26"/>
        <v>0</v>
      </c>
      <c r="BT44" s="28">
        <f t="shared" si="24"/>
        <v>0</v>
      </c>
      <c r="BU44" s="28">
        <f t="shared" si="24"/>
        <v>0</v>
      </c>
      <c r="BV44" s="28">
        <f t="shared" si="24"/>
        <v>0</v>
      </c>
      <c r="BW44" s="28">
        <f t="shared" si="24"/>
        <v>0</v>
      </c>
      <c r="BX44" s="28">
        <f t="shared" si="24"/>
        <v>0</v>
      </c>
      <c r="BY44" s="28">
        <f t="shared" si="24"/>
        <v>0</v>
      </c>
      <c r="BZ44" s="28">
        <f t="shared" si="24"/>
        <v>0</v>
      </c>
      <c r="CA44" s="28">
        <f t="shared" si="24"/>
        <v>0</v>
      </c>
      <c r="CB44" s="28">
        <f t="shared" si="24"/>
        <v>0</v>
      </c>
      <c r="CC44" s="28">
        <f t="shared" si="24"/>
        <v>0</v>
      </c>
      <c r="CD44" s="28">
        <f t="shared" si="24"/>
        <v>0</v>
      </c>
      <c r="CE44" s="30">
        <f t="shared" si="31"/>
        <v>0</v>
      </c>
      <c r="CG44" s="27">
        <f t="shared" si="27"/>
        <v>0</v>
      </c>
      <c r="CH44" s="28">
        <f t="shared" si="27"/>
        <v>0</v>
      </c>
      <c r="CI44" s="28">
        <f t="shared" si="27"/>
        <v>0</v>
      </c>
      <c r="CJ44" s="28">
        <f t="shared" si="27"/>
        <v>0</v>
      </c>
      <c r="CK44" s="28">
        <f t="shared" si="27"/>
        <v>0</v>
      </c>
      <c r="CL44" s="28">
        <f t="shared" si="27"/>
        <v>0</v>
      </c>
      <c r="CM44" s="28">
        <f t="shared" si="27"/>
        <v>0</v>
      </c>
      <c r="CN44" s="28">
        <f t="shared" si="27"/>
        <v>0</v>
      </c>
      <c r="CO44" s="28">
        <f t="shared" si="27"/>
        <v>0</v>
      </c>
      <c r="CP44" s="28">
        <f t="shared" si="27"/>
        <v>0</v>
      </c>
      <c r="CQ44" s="28">
        <f t="shared" si="27"/>
        <v>0</v>
      </c>
      <c r="CR44" s="29">
        <f t="shared" si="27"/>
        <v>0</v>
      </c>
      <c r="CS44" s="30">
        <f t="shared" si="32"/>
        <v>0</v>
      </c>
      <c r="CU44" s="27">
        <f t="shared" si="28"/>
        <v>0</v>
      </c>
      <c r="CV44" s="28">
        <f t="shared" si="28"/>
        <v>0</v>
      </c>
      <c r="CW44" s="28">
        <f t="shared" si="28"/>
        <v>0</v>
      </c>
      <c r="CX44" s="28">
        <f t="shared" si="28"/>
        <v>0</v>
      </c>
      <c r="CY44" s="28">
        <f t="shared" si="28"/>
        <v>0</v>
      </c>
      <c r="CZ44" s="28">
        <f t="shared" si="28"/>
        <v>0</v>
      </c>
      <c r="DA44" s="28">
        <f t="shared" si="28"/>
        <v>0</v>
      </c>
      <c r="DB44" s="28">
        <f t="shared" si="28"/>
        <v>0</v>
      </c>
      <c r="DC44" s="28">
        <f t="shared" si="28"/>
        <v>0</v>
      </c>
      <c r="DD44" s="28">
        <f t="shared" si="28"/>
        <v>0</v>
      </c>
      <c r="DE44" s="28">
        <f t="shared" si="28"/>
        <v>0</v>
      </c>
      <c r="DF44" s="29">
        <f t="shared" si="28"/>
        <v>0</v>
      </c>
      <c r="DG44" s="30">
        <f t="shared" si="33"/>
        <v>0</v>
      </c>
      <c r="DI44" s="27">
        <f t="shared" si="29"/>
        <v>0</v>
      </c>
      <c r="DJ44" s="28">
        <f t="shared" si="29"/>
        <v>0</v>
      </c>
      <c r="DK44" s="28">
        <f t="shared" si="29"/>
        <v>0</v>
      </c>
      <c r="DL44" s="28">
        <f t="shared" si="29"/>
        <v>0</v>
      </c>
      <c r="DM44" s="28">
        <f t="shared" si="29"/>
        <v>0</v>
      </c>
      <c r="DN44" s="28">
        <f t="shared" si="29"/>
        <v>0</v>
      </c>
      <c r="DO44" s="28">
        <f t="shared" si="29"/>
        <v>0</v>
      </c>
      <c r="DP44" s="28">
        <f t="shared" si="29"/>
        <v>0</v>
      </c>
      <c r="DQ44" s="28">
        <f t="shared" si="29"/>
        <v>0</v>
      </c>
      <c r="DR44" s="28">
        <f t="shared" si="29"/>
        <v>0</v>
      </c>
      <c r="DS44" s="28">
        <f t="shared" si="29"/>
        <v>0</v>
      </c>
      <c r="DT44" s="29">
        <f t="shared" si="29"/>
        <v>0</v>
      </c>
      <c r="DU44" s="30">
        <f t="shared" si="34"/>
        <v>0</v>
      </c>
    </row>
    <row r="45" spans="1:125" x14ac:dyDescent="0.2">
      <c r="A45">
        <f t="shared" si="6"/>
        <v>16</v>
      </c>
      <c r="B45" s="49" t="str">
        <f>_xlfn.XLOOKUP(E45,Códigos_Propuestas!$B$4:$B$10,Códigos_Propuestas!$C$4:$C$10,"!",0,1)&amp;"__"&amp;
_xlfn.XLOOKUP(H45,Códigos_Propuestas!$E$4:$E$76,Códigos_Propuestas!$F$4:$F$76,"!",1)&amp;"__"&amp;
_xlfn.XLOOKUP(L45,Códigos_Propuestas!$I$4:$I$7,Códigos_Propuestas!$J$4:$J$7,"!",1)&amp;"__"&amp;
_xlfn.XLOOKUP(M45,Códigos_Propuestas!$O$4:$O$11,Códigos_Propuestas!$Q$4:$Q$11,"!",1)&amp;"__"&amp;
_xlfn.XLOOKUP(F45,Códigos_Propuestas!$BF:$BF,Códigos_Propuestas!$BH:$BH,"!",0,1)</f>
        <v>PE__VLC__!__!__!</v>
      </c>
      <c r="C45" t="b">
        <f>F45=[1]CRM!C44</f>
        <v>1</v>
      </c>
      <c r="D45" s="47">
        <f t="shared" si="20"/>
        <v>43</v>
      </c>
      <c r="E45" s="11" t="s">
        <v>62</v>
      </c>
      <c r="F45" s="12" t="s">
        <v>571</v>
      </c>
      <c r="G45" s="12" t="s">
        <v>571</v>
      </c>
      <c r="H45" s="13" t="s">
        <v>284</v>
      </c>
      <c r="I45" s="13" t="s">
        <v>572</v>
      </c>
      <c r="J45" s="13" t="s">
        <v>602</v>
      </c>
      <c r="K45" s="17"/>
      <c r="L45" s="13"/>
      <c r="M45" s="14"/>
      <c r="N45" s="14" t="str">
        <f>_xlfn.XLOOKUP(M45,Códigos_Propuestas!$O$4:$O$15,Códigos_Propuestas!$P$4:$P$15,"!",0,1)</f>
        <v>R+</v>
      </c>
      <c r="O45" s="14"/>
      <c r="P45" s="14"/>
      <c r="Q45" s="14"/>
      <c r="R45" s="14"/>
      <c r="S45" s="14"/>
      <c r="T45" s="14"/>
      <c r="U45" s="14"/>
      <c r="V45" s="13"/>
      <c r="W45" s="13"/>
      <c r="X45" s="116"/>
      <c r="Y45" s="13"/>
      <c r="Z45" s="13"/>
      <c r="AA45" s="115"/>
      <c r="AB45" s="130" t="b">
        <v>0</v>
      </c>
      <c r="AC45" s="115"/>
      <c r="AD45" s="130" t="b">
        <v>0</v>
      </c>
      <c r="AE45" s="115"/>
      <c r="AF45" s="130" t="b">
        <v>0</v>
      </c>
      <c r="AG45" s="13"/>
      <c r="AH45" s="13"/>
      <c r="AI45" s="130" t="b">
        <v>0</v>
      </c>
      <c r="AJ45" s="13"/>
      <c r="AK45" s="130" t="b">
        <v>0</v>
      </c>
      <c r="AL45" s="13"/>
      <c r="AM45" s="130" t="b">
        <v>0</v>
      </c>
      <c r="AN45" s="13"/>
      <c r="AO45" s="130" t="b">
        <v>0</v>
      </c>
      <c r="AP45" s="13"/>
      <c r="AQ45" s="13"/>
      <c r="AR45" s="130" t="b">
        <v>0</v>
      </c>
      <c r="AS45" s="130" t="b">
        <v>0</v>
      </c>
      <c r="AT45" s="130" t="b">
        <v>0</v>
      </c>
      <c r="AU45" s="130" t="b">
        <v>0</v>
      </c>
      <c r="AV45" s="130" t="b">
        <v>0</v>
      </c>
      <c r="AW45" s="11"/>
      <c r="AX45" s="11"/>
      <c r="AY45" s="11"/>
      <c r="AZ45" s="11"/>
      <c r="BA45" s="11"/>
      <c r="BB45" s="28"/>
      <c r="BC45" s="97">
        <v>250000</v>
      </c>
      <c r="BD45" s="97"/>
      <c r="BE45" s="13">
        <v>4</v>
      </c>
      <c r="BF45" s="134">
        <f>_xlfn.XLOOKUP($J45,'Criterios GoGet'!$B$3:$B$8,'Criterios GoGet'!$C$3:$C$8,0,0,1)</f>
        <v>0</v>
      </c>
      <c r="BG45" s="134"/>
      <c r="BH45" s="15">
        <f t="shared" si="9"/>
        <v>0</v>
      </c>
      <c r="BI45" s="32"/>
      <c r="BJ45" s="18">
        <v>46053</v>
      </c>
      <c r="BK45" s="18"/>
      <c r="BL45" s="19">
        <f t="shared" si="0"/>
        <v>0</v>
      </c>
      <c r="BM45" s="19">
        <f t="shared" si="10"/>
        <v>0</v>
      </c>
      <c r="BN45" s="20">
        <f t="shared" si="11"/>
        <v>32</v>
      </c>
      <c r="BO45" s="21">
        <f t="shared" si="12"/>
        <v>122</v>
      </c>
      <c r="BP45" s="111">
        <f t="shared" si="30"/>
        <v>32</v>
      </c>
      <c r="BQ45" s="112">
        <f t="shared" si="30"/>
        <v>122</v>
      </c>
      <c r="BR45"/>
      <c r="BS45" s="28">
        <f t="shared" si="26"/>
        <v>0</v>
      </c>
      <c r="BT45" s="28">
        <f t="shared" si="24"/>
        <v>0</v>
      </c>
      <c r="BU45" s="28">
        <f t="shared" si="24"/>
        <v>0</v>
      </c>
      <c r="BV45" s="28">
        <f t="shared" si="24"/>
        <v>0</v>
      </c>
      <c r="BW45" s="28">
        <f t="shared" si="24"/>
        <v>0</v>
      </c>
      <c r="BX45" s="28">
        <f t="shared" si="24"/>
        <v>0</v>
      </c>
      <c r="BY45" s="28">
        <f t="shared" si="24"/>
        <v>0</v>
      </c>
      <c r="BZ45" s="28">
        <f t="shared" si="24"/>
        <v>0</v>
      </c>
      <c r="CA45" s="28">
        <f t="shared" si="24"/>
        <v>0</v>
      </c>
      <c r="CB45" s="28">
        <f t="shared" si="24"/>
        <v>0</v>
      </c>
      <c r="CC45" s="28">
        <f t="shared" si="24"/>
        <v>0</v>
      </c>
      <c r="CD45" s="28">
        <f t="shared" si="24"/>
        <v>0</v>
      </c>
      <c r="CE45" s="30">
        <f t="shared" si="31"/>
        <v>0</v>
      </c>
      <c r="CG45" s="27">
        <f t="shared" si="27"/>
        <v>0</v>
      </c>
      <c r="CH45" s="28">
        <f t="shared" si="27"/>
        <v>0</v>
      </c>
      <c r="CI45" s="28">
        <f t="shared" si="27"/>
        <v>0</v>
      </c>
      <c r="CJ45" s="28">
        <f t="shared" si="27"/>
        <v>0</v>
      </c>
      <c r="CK45" s="28">
        <f t="shared" si="27"/>
        <v>0</v>
      </c>
      <c r="CL45" s="28">
        <f t="shared" si="27"/>
        <v>0</v>
      </c>
      <c r="CM45" s="28">
        <f t="shared" si="27"/>
        <v>0</v>
      </c>
      <c r="CN45" s="28">
        <f t="shared" si="27"/>
        <v>0</v>
      </c>
      <c r="CO45" s="28">
        <f t="shared" si="27"/>
        <v>0</v>
      </c>
      <c r="CP45" s="28">
        <f t="shared" si="27"/>
        <v>0</v>
      </c>
      <c r="CQ45" s="28">
        <f t="shared" si="27"/>
        <v>0</v>
      </c>
      <c r="CR45" s="29">
        <f t="shared" si="27"/>
        <v>0</v>
      </c>
      <c r="CS45" s="30">
        <f t="shared" si="32"/>
        <v>0</v>
      </c>
      <c r="CU45" s="27">
        <f t="shared" si="28"/>
        <v>0</v>
      </c>
      <c r="CV45" s="28">
        <f t="shared" si="28"/>
        <v>0</v>
      </c>
      <c r="CW45" s="28">
        <f t="shared" si="28"/>
        <v>0</v>
      </c>
      <c r="CX45" s="28">
        <f t="shared" si="28"/>
        <v>0</v>
      </c>
      <c r="CY45" s="28">
        <f t="shared" si="28"/>
        <v>0</v>
      </c>
      <c r="CZ45" s="28">
        <f t="shared" si="28"/>
        <v>0</v>
      </c>
      <c r="DA45" s="28">
        <f t="shared" si="28"/>
        <v>0</v>
      </c>
      <c r="DB45" s="28">
        <f t="shared" si="28"/>
        <v>0</v>
      </c>
      <c r="DC45" s="28">
        <f t="shared" si="28"/>
        <v>0</v>
      </c>
      <c r="DD45" s="28">
        <f t="shared" si="28"/>
        <v>0</v>
      </c>
      <c r="DE45" s="28">
        <f t="shared" si="28"/>
        <v>0</v>
      </c>
      <c r="DF45" s="29">
        <f t="shared" si="28"/>
        <v>0</v>
      </c>
      <c r="DG45" s="30">
        <f t="shared" si="33"/>
        <v>0</v>
      </c>
      <c r="DI45" s="27">
        <f t="shared" si="29"/>
        <v>0</v>
      </c>
      <c r="DJ45" s="28">
        <f t="shared" si="29"/>
        <v>0</v>
      </c>
      <c r="DK45" s="28">
        <f t="shared" si="29"/>
        <v>0</v>
      </c>
      <c r="DL45" s="28">
        <f t="shared" si="29"/>
        <v>0</v>
      </c>
      <c r="DM45" s="28">
        <f t="shared" si="29"/>
        <v>0</v>
      </c>
      <c r="DN45" s="28">
        <f t="shared" si="29"/>
        <v>0</v>
      </c>
      <c r="DO45" s="28">
        <f t="shared" si="29"/>
        <v>0</v>
      </c>
      <c r="DP45" s="28">
        <f t="shared" si="29"/>
        <v>0</v>
      </c>
      <c r="DQ45" s="28">
        <f t="shared" si="29"/>
        <v>0</v>
      </c>
      <c r="DR45" s="28">
        <f t="shared" si="29"/>
        <v>0</v>
      </c>
      <c r="DS45" s="28">
        <f t="shared" si="29"/>
        <v>0</v>
      </c>
      <c r="DT45" s="29">
        <f t="shared" si="29"/>
        <v>0</v>
      </c>
      <c r="DU45" s="30">
        <f t="shared" si="34"/>
        <v>0</v>
      </c>
    </row>
    <row r="46" spans="1:125" x14ac:dyDescent="0.2">
      <c r="A46">
        <f t="shared" si="6"/>
        <v>17</v>
      </c>
      <c r="B46" s="49" t="str">
        <f>_xlfn.XLOOKUP(E46,Códigos_Propuestas!$B$4:$B$10,Códigos_Propuestas!$C$4:$C$10,"!",0,1)&amp;"__"&amp;
_xlfn.XLOOKUP(H46,Códigos_Propuestas!$E$4:$E$76,Códigos_Propuestas!$F$4:$F$76,"!",1)&amp;"__"&amp;
_xlfn.XLOOKUP(L46,Códigos_Propuestas!$I$4:$I$7,Códigos_Propuestas!$J$4:$J$7,"!",1)&amp;"__"&amp;
_xlfn.XLOOKUP(M46,Códigos_Propuestas!$O$4:$O$11,Códigos_Propuestas!$Q$4:$Q$11,"!",1)&amp;"__"&amp;
_xlfn.XLOOKUP(F46,Códigos_Propuestas!$BF:$BF,Códigos_Propuestas!$BH:$BH,"!",0,1)</f>
        <v>CH__AMS__OP__!__!</v>
      </c>
      <c r="C46" t="b">
        <f>F46=[1]CRM!C45</f>
        <v>1</v>
      </c>
      <c r="D46" s="47">
        <f t="shared" si="20"/>
        <v>44</v>
      </c>
      <c r="E46" s="11" t="s">
        <v>32</v>
      </c>
      <c r="F46" s="12" t="s">
        <v>573</v>
      </c>
      <c r="G46" s="12" t="s">
        <v>573</v>
      </c>
      <c r="H46" s="13" t="s">
        <v>162</v>
      </c>
      <c r="I46" s="13" t="s">
        <v>574</v>
      </c>
      <c r="J46" s="13" t="s">
        <v>602</v>
      </c>
      <c r="K46" s="17" t="s">
        <v>98</v>
      </c>
      <c r="L46" s="13" t="s">
        <v>92</v>
      </c>
      <c r="M46" s="14"/>
      <c r="N46" s="14" t="str">
        <f>_xlfn.XLOOKUP(M46,Códigos_Propuestas!$O$4:$O$15,Códigos_Propuestas!$P$4:$P$15,"!",0,1)</f>
        <v>R+</v>
      </c>
      <c r="O46" s="14"/>
      <c r="P46" s="14"/>
      <c r="Q46" s="14"/>
      <c r="R46" s="14"/>
      <c r="S46" s="14"/>
      <c r="T46" s="14"/>
      <c r="U46" s="14"/>
      <c r="V46" s="13"/>
      <c r="W46" s="13"/>
      <c r="X46" s="116"/>
      <c r="Y46" s="13"/>
      <c r="Z46" s="13"/>
      <c r="AA46" s="115"/>
      <c r="AB46" s="130" t="b">
        <v>0</v>
      </c>
      <c r="AC46" s="115"/>
      <c r="AD46" s="130" t="b">
        <v>0</v>
      </c>
      <c r="AE46" s="115"/>
      <c r="AF46" s="130" t="b">
        <v>0</v>
      </c>
      <c r="AG46" s="13"/>
      <c r="AH46" s="13"/>
      <c r="AI46" s="130" t="b">
        <v>0</v>
      </c>
      <c r="AJ46" s="13"/>
      <c r="AK46" s="130" t="b">
        <v>0</v>
      </c>
      <c r="AL46" s="13"/>
      <c r="AM46" s="130" t="b">
        <v>0</v>
      </c>
      <c r="AN46" s="13"/>
      <c r="AO46" s="130" t="b">
        <v>0</v>
      </c>
      <c r="AP46" s="13"/>
      <c r="AQ46" s="13"/>
      <c r="AR46" s="130" t="b">
        <v>0</v>
      </c>
      <c r="AS46" s="130" t="b">
        <v>0</v>
      </c>
      <c r="AT46" s="130" t="b">
        <v>0</v>
      </c>
      <c r="AU46" s="130" t="b">
        <v>0</v>
      </c>
      <c r="AV46" s="130" t="b">
        <v>0</v>
      </c>
      <c r="AW46" s="11"/>
      <c r="AX46" s="11"/>
      <c r="AY46" s="11"/>
      <c r="AZ46" s="11"/>
      <c r="BA46" s="11"/>
      <c r="BB46" s="28"/>
      <c r="BC46" s="97">
        <v>120000</v>
      </c>
      <c r="BD46" s="97"/>
      <c r="BE46" s="13">
        <v>3</v>
      </c>
      <c r="BF46" s="134">
        <f>_xlfn.XLOOKUP($J46,'Criterios GoGet'!$B$3:$B$8,'Criterios GoGet'!$C$3:$C$8,0,0,1)</f>
        <v>0</v>
      </c>
      <c r="BG46" s="134"/>
      <c r="BH46" s="15">
        <f t="shared" si="9"/>
        <v>0</v>
      </c>
      <c r="BI46" s="32"/>
      <c r="BJ46" s="18">
        <v>46054</v>
      </c>
      <c r="BK46" s="18"/>
      <c r="BL46" s="19">
        <f t="shared" si="0"/>
        <v>0</v>
      </c>
      <c r="BM46" s="19">
        <f t="shared" si="10"/>
        <v>0</v>
      </c>
      <c r="BN46" s="20">
        <f t="shared" si="11"/>
        <v>32</v>
      </c>
      <c r="BO46" s="21">
        <f t="shared" si="12"/>
        <v>92</v>
      </c>
      <c r="BP46" s="111">
        <f t="shared" si="30"/>
        <v>32</v>
      </c>
      <c r="BQ46" s="112">
        <f t="shared" si="30"/>
        <v>92</v>
      </c>
      <c r="BR46"/>
      <c r="BS46" s="28">
        <f t="shared" si="26"/>
        <v>0</v>
      </c>
      <c r="BT46" s="28">
        <f t="shared" si="24"/>
        <v>0</v>
      </c>
      <c r="BU46" s="28">
        <f t="shared" si="24"/>
        <v>0</v>
      </c>
      <c r="BV46" s="28">
        <f t="shared" si="24"/>
        <v>0</v>
      </c>
      <c r="BW46" s="28">
        <f t="shared" si="24"/>
        <v>0</v>
      </c>
      <c r="BX46" s="28">
        <f t="shared" si="24"/>
        <v>0</v>
      </c>
      <c r="BY46" s="28">
        <f t="shared" si="24"/>
        <v>0</v>
      </c>
      <c r="BZ46" s="28">
        <f t="shared" si="24"/>
        <v>0</v>
      </c>
      <c r="CA46" s="28">
        <f t="shared" si="24"/>
        <v>0</v>
      </c>
      <c r="CB46" s="28">
        <f t="shared" si="24"/>
        <v>0</v>
      </c>
      <c r="CC46" s="28">
        <f t="shared" si="24"/>
        <v>0</v>
      </c>
      <c r="CD46" s="28">
        <f t="shared" si="24"/>
        <v>0</v>
      </c>
      <c r="CE46" s="30">
        <f t="shared" si="31"/>
        <v>0</v>
      </c>
      <c r="CG46" s="27">
        <f t="shared" si="27"/>
        <v>0</v>
      </c>
      <c r="CH46" s="28">
        <f t="shared" si="27"/>
        <v>0</v>
      </c>
      <c r="CI46" s="28">
        <f t="shared" si="27"/>
        <v>0</v>
      </c>
      <c r="CJ46" s="28">
        <f t="shared" si="27"/>
        <v>0</v>
      </c>
      <c r="CK46" s="28">
        <f t="shared" si="27"/>
        <v>0</v>
      </c>
      <c r="CL46" s="28">
        <f t="shared" si="27"/>
        <v>0</v>
      </c>
      <c r="CM46" s="28">
        <f t="shared" si="27"/>
        <v>0</v>
      </c>
      <c r="CN46" s="28">
        <f t="shared" si="27"/>
        <v>0</v>
      </c>
      <c r="CO46" s="28">
        <f t="shared" si="27"/>
        <v>0</v>
      </c>
      <c r="CP46" s="28">
        <f t="shared" si="27"/>
        <v>0</v>
      </c>
      <c r="CQ46" s="28">
        <f t="shared" si="27"/>
        <v>0</v>
      </c>
      <c r="CR46" s="29">
        <f t="shared" si="27"/>
        <v>0</v>
      </c>
      <c r="CS46" s="30">
        <f t="shared" si="32"/>
        <v>0</v>
      </c>
      <c r="CU46" s="27">
        <f t="shared" si="28"/>
        <v>0</v>
      </c>
      <c r="CV46" s="28">
        <f t="shared" si="28"/>
        <v>0</v>
      </c>
      <c r="CW46" s="28">
        <f t="shared" si="28"/>
        <v>0</v>
      </c>
      <c r="CX46" s="28">
        <f t="shared" si="28"/>
        <v>0</v>
      </c>
      <c r="CY46" s="28">
        <f t="shared" si="28"/>
        <v>0</v>
      </c>
      <c r="CZ46" s="28">
        <f t="shared" si="28"/>
        <v>0</v>
      </c>
      <c r="DA46" s="28">
        <f t="shared" si="28"/>
        <v>0</v>
      </c>
      <c r="DB46" s="28">
        <f t="shared" si="28"/>
        <v>0</v>
      </c>
      <c r="DC46" s="28">
        <f t="shared" si="28"/>
        <v>0</v>
      </c>
      <c r="DD46" s="28">
        <f t="shared" si="28"/>
        <v>0</v>
      </c>
      <c r="DE46" s="28">
        <f t="shared" si="28"/>
        <v>0</v>
      </c>
      <c r="DF46" s="29">
        <f t="shared" si="28"/>
        <v>0</v>
      </c>
      <c r="DG46" s="30">
        <f t="shared" si="33"/>
        <v>0</v>
      </c>
      <c r="DI46" s="27">
        <f t="shared" si="29"/>
        <v>0</v>
      </c>
      <c r="DJ46" s="28">
        <f t="shared" si="29"/>
        <v>0</v>
      </c>
      <c r="DK46" s="28">
        <f t="shared" si="29"/>
        <v>0</v>
      </c>
      <c r="DL46" s="28">
        <f t="shared" si="29"/>
        <v>0</v>
      </c>
      <c r="DM46" s="28">
        <f t="shared" si="29"/>
        <v>0</v>
      </c>
      <c r="DN46" s="28">
        <f t="shared" si="29"/>
        <v>0</v>
      </c>
      <c r="DO46" s="28">
        <f t="shared" si="29"/>
        <v>0</v>
      </c>
      <c r="DP46" s="28">
        <f t="shared" si="29"/>
        <v>0</v>
      </c>
      <c r="DQ46" s="28">
        <f t="shared" si="29"/>
        <v>0</v>
      </c>
      <c r="DR46" s="28">
        <f t="shared" si="29"/>
        <v>0</v>
      </c>
      <c r="DS46" s="28">
        <f t="shared" si="29"/>
        <v>0</v>
      </c>
      <c r="DT46" s="29">
        <f t="shared" si="29"/>
        <v>0</v>
      </c>
      <c r="DU46" s="30">
        <f t="shared" si="34"/>
        <v>0</v>
      </c>
    </row>
    <row r="47" spans="1:125" x14ac:dyDescent="0.2">
      <c r="A47">
        <f t="shared" si="6"/>
        <v>17</v>
      </c>
      <c r="B47" s="49" t="str">
        <f>_xlfn.XLOOKUP(E47,Códigos_Propuestas!$B$4:$B$10,Códigos_Propuestas!$C$4:$C$10,"!",0,1)&amp;"__"&amp;
_xlfn.XLOOKUP(H47,Códigos_Propuestas!$E$4:$E$76,Códigos_Propuestas!$F$4:$F$76,"!",1)&amp;"__"&amp;
_xlfn.XLOOKUP(L47,Códigos_Propuestas!$I$4:$I$7,Códigos_Propuestas!$J$4:$J$7,"!",1)&amp;"__"&amp;
_xlfn.XLOOKUP(M47,Códigos_Propuestas!$O$4:$O$11,Códigos_Propuestas!$Q$4:$Q$11,"!",1)&amp;"__"&amp;
_xlfn.XLOOKUP(F47,Códigos_Propuestas!$BF:$BF,Códigos_Propuestas!$BH:$BH,"!",0,1)</f>
        <v>CH__ECR__OP__!__!</v>
      </c>
      <c r="C47" s="44" t="b">
        <f>F47=[1]CRM!C46</f>
        <v>0</v>
      </c>
      <c r="D47" s="47">
        <f t="shared" si="20"/>
        <v>45</v>
      </c>
      <c r="E47" s="11" t="s">
        <v>32</v>
      </c>
      <c r="F47" s="12" t="s">
        <v>498</v>
      </c>
      <c r="G47" s="12" t="s">
        <v>498</v>
      </c>
      <c r="H47" s="13" t="s">
        <v>339</v>
      </c>
      <c r="I47" s="13"/>
      <c r="J47" s="13" t="s">
        <v>43</v>
      </c>
      <c r="K47" s="17" t="s">
        <v>44</v>
      </c>
      <c r="L47" s="13" t="s">
        <v>92</v>
      </c>
      <c r="M47" s="14"/>
      <c r="N47" s="14" t="str">
        <f>_xlfn.XLOOKUP(M47,Códigos_Propuestas!$O$4:$O$15,Códigos_Propuestas!$P$4:$P$15,"!",0,1)</f>
        <v>R+</v>
      </c>
      <c r="O47" s="14"/>
      <c r="P47" s="14" t="s">
        <v>103</v>
      </c>
      <c r="Q47" s="14" t="s">
        <v>79</v>
      </c>
      <c r="R47" s="14" t="s">
        <v>37</v>
      </c>
      <c r="S47" s="14"/>
      <c r="T47" s="14"/>
      <c r="U47" s="14"/>
      <c r="V47" s="13"/>
      <c r="W47" s="13">
        <v>46027</v>
      </c>
      <c r="X47" s="116">
        <v>32</v>
      </c>
      <c r="Y47" s="13" t="s">
        <v>593</v>
      </c>
      <c r="Z47" s="13"/>
      <c r="AA47" s="115"/>
      <c r="AB47" s="130" t="b">
        <v>1</v>
      </c>
      <c r="AC47" s="115"/>
      <c r="AD47" s="130" t="b">
        <v>1</v>
      </c>
      <c r="AE47" s="115"/>
      <c r="AF47" s="130" t="b">
        <v>1</v>
      </c>
      <c r="AG47" s="13"/>
      <c r="AH47" s="13"/>
      <c r="AI47" s="130" t="b">
        <v>0</v>
      </c>
      <c r="AJ47" s="13"/>
      <c r="AK47" s="130" t="b">
        <v>0</v>
      </c>
      <c r="AL47" s="13"/>
      <c r="AM47" s="130" t="b">
        <v>0</v>
      </c>
      <c r="AN47" s="13"/>
      <c r="AO47" s="130" t="b">
        <v>0</v>
      </c>
      <c r="AP47" s="13"/>
      <c r="AQ47" s="13"/>
      <c r="AR47" s="130" t="b">
        <v>0</v>
      </c>
      <c r="AS47" s="130" t="b">
        <v>0</v>
      </c>
      <c r="AT47" s="130" t="b">
        <v>0</v>
      </c>
      <c r="AU47" s="130" t="b">
        <v>0</v>
      </c>
      <c r="AV47" s="130" t="b">
        <v>0</v>
      </c>
      <c r="AW47" s="11"/>
      <c r="AX47" s="11"/>
      <c r="AY47" s="11"/>
      <c r="AZ47" s="11"/>
      <c r="BA47" s="11"/>
      <c r="BB47" s="28"/>
      <c r="BC47" s="97">
        <v>423134</v>
      </c>
      <c r="BD47" s="97">
        <v>265249</v>
      </c>
      <c r="BE47" s="13">
        <v>3</v>
      </c>
      <c r="BF47" s="134">
        <f>_xlfn.XLOOKUP($J47,'Criterios GoGet'!$B$3:$B$8,'Criterios GoGet'!$C$3:$C$8,0,0,1)</f>
        <v>0.8</v>
      </c>
      <c r="BG47" s="134">
        <v>0</v>
      </c>
      <c r="BH47" s="15">
        <f t="shared" si="9"/>
        <v>0</v>
      </c>
      <c r="BI47" s="32"/>
      <c r="BJ47" s="18"/>
      <c r="BK47" s="18">
        <v>46046</v>
      </c>
      <c r="BL47" s="19">
        <f t="shared" si="0"/>
        <v>0</v>
      </c>
      <c r="BM47" s="19">
        <f t="shared" si="10"/>
        <v>0</v>
      </c>
      <c r="BN47" s="20">
        <f>IFERROR(EOMONTH(BK47+60,-1)+1,"")</f>
        <v>46082</v>
      </c>
      <c r="BO47" s="21">
        <f>IFERROR(EOMONTH(EDATE(BN47,BE47),-2)+1,"")</f>
        <v>46143</v>
      </c>
      <c r="BP47" s="111">
        <f t="shared" si="30"/>
        <v>46082</v>
      </c>
      <c r="BQ47" s="112">
        <f t="shared" si="30"/>
        <v>46143</v>
      </c>
      <c r="BR47"/>
      <c r="BS47" s="28">
        <f t="shared" si="26"/>
        <v>0</v>
      </c>
      <c r="BT47" s="28">
        <f t="shared" si="24"/>
        <v>0</v>
      </c>
      <c r="BU47" s="28">
        <f t="shared" si="24"/>
        <v>141044.66666666666</v>
      </c>
      <c r="BV47" s="28">
        <f t="shared" si="24"/>
        <v>141044.66666666666</v>
      </c>
      <c r="BW47" s="28">
        <f t="shared" si="24"/>
        <v>141044.66666666666</v>
      </c>
      <c r="BX47" s="28">
        <f t="shared" si="24"/>
        <v>0</v>
      </c>
      <c r="BY47" s="28">
        <f t="shared" si="24"/>
        <v>0</v>
      </c>
      <c r="BZ47" s="28">
        <f t="shared" si="24"/>
        <v>0</v>
      </c>
      <c r="CA47" s="28">
        <f t="shared" ref="CA47:CD47" si="35">IF($BE47&lt;1,IF(CA$2=$BP47,$BC47,0),IFERROR(IF(AND(CA$2&gt;=$BP47,CA$2&lt;=$BQ47),$BC47/$BE47,0),0))</f>
        <v>0</v>
      </c>
      <c r="CB47" s="28">
        <f t="shared" si="35"/>
        <v>0</v>
      </c>
      <c r="CC47" s="28">
        <f t="shared" si="35"/>
        <v>0</v>
      </c>
      <c r="CD47" s="28">
        <f t="shared" si="35"/>
        <v>0</v>
      </c>
      <c r="CE47" s="30">
        <f t="shared" si="31"/>
        <v>423134</v>
      </c>
      <c r="CG47" s="27">
        <f t="shared" si="27"/>
        <v>0</v>
      </c>
      <c r="CH47" s="28">
        <f t="shared" si="27"/>
        <v>0</v>
      </c>
      <c r="CI47" s="28">
        <f t="shared" si="27"/>
        <v>0</v>
      </c>
      <c r="CJ47" s="28">
        <f>IF($BE47&lt;1,IF(CJ$2=$BP47,$BL47,0),IFERROR(IF(AND(CJ$2&gt;=$BP47,CJ$2&lt;=$BQ47),$BL47/$BE47,0),0))</f>
        <v>0</v>
      </c>
      <c r="CK47" s="28">
        <f t="shared" si="27"/>
        <v>0</v>
      </c>
      <c r="CL47" s="28">
        <f t="shared" si="27"/>
        <v>0</v>
      </c>
      <c r="CM47" s="28">
        <f t="shared" si="27"/>
        <v>0</v>
      </c>
      <c r="CN47" s="28">
        <f t="shared" si="27"/>
        <v>0</v>
      </c>
      <c r="CO47" s="28">
        <f t="shared" si="27"/>
        <v>0</v>
      </c>
      <c r="CP47" s="28">
        <f t="shared" si="27"/>
        <v>0</v>
      </c>
      <c r="CQ47" s="28">
        <f t="shared" si="27"/>
        <v>0</v>
      </c>
      <c r="CR47" s="29">
        <f t="shared" si="27"/>
        <v>0</v>
      </c>
      <c r="CS47" s="30">
        <f t="shared" ref="CS47" si="36">SUM(CG47:CR47)</f>
        <v>0</v>
      </c>
      <c r="CU47" s="27">
        <f t="shared" si="28"/>
        <v>0</v>
      </c>
      <c r="CV47" s="28">
        <f t="shared" si="28"/>
        <v>0</v>
      </c>
      <c r="CW47" s="28">
        <f t="shared" si="28"/>
        <v>88416.333333333328</v>
      </c>
      <c r="CX47" s="28">
        <f t="shared" si="28"/>
        <v>88416.333333333328</v>
      </c>
      <c r="CY47" s="28">
        <f t="shared" si="28"/>
        <v>88416.333333333328</v>
      </c>
      <c r="CZ47" s="28">
        <f t="shared" si="28"/>
        <v>0</v>
      </c>
      <c r="DA47" s="28">
        <f t="shared" si="28"/>
        <v>0</v>
      </c>
      <c r="DB47" s="28">
        <f t="shared" si="28"/>
        <v>0</v>
      </c>
      <c r="DC47" s="28">
        <f t="shared" si="28"/>
        <v>0</v>
      </c>
      <c r="DD47" s="28">
        <f t="shared" si="28"/>
        <v>0</v>
      </c>
      <c r="DE47" s="28">
        <f t="shared" si="28"/>
        <v>0</v>
      </c>
      <c r="DF47" s="29">
        <f t="shared" si="28"/>
        <v>0</v>
      </c>
      <c r="DG47" s="30">
        <f t="shared" ref="DG47" si="37">SUM(CU47:DF47)</f>
        <v>265249</v>
      </c>
      <c r="DI47" s="27">
        <f t="shared" si="29"/>
        <v>0</v>
      </c>
      <c r="DJ47" s="28">
        <f t="shared" si="29"/>
        <v>0</v>
      </c>
      <c r="DK47" s="28">
        <f t="shared" si="29"/>
        <v>0</v>
      </c>
      <c r="DL47" s="28">
        <f t="shared" si="29"/>
        <v>0</v>
      </c>
      <c r="DM47" s="28">
        <f t="shared" si="29"/>
        <v>0</v>
      </c>
      <c r="DN47" s="28">
        <f t="shared" si="29"/>
        <v>0</v>
      </c>
      <c r="DO47" s="28">
        <f t="shared" si="29"/>
        <v>0</v>
      </c>
      <c r="DP47" s="28">
        <f t="shared" si="29"/>
        <v>0</v>
      </c>
      <c r="DQ47" s="28">
        <f t="shared" si="29"/>
        <v>0</v>
      </c>
      <c r="DR47" s="28">
        <f t="shared" si="29"/>
        <v>0</v>
      </c>
      <c r="DS47" s="28">
        <f t="shared" si="29"/>
        <v>0</v>
      </c>
      <c r="DT47" s="29">
        <f t="shared" si="29"/>
        <v>0</v>
      </c>
      <c r="DU47" s="30">
        <f t="shared" ref="DU47:DU49" si="38">SUM(DI47:DT47)</f>
        <v>0</v>
      </c>
    </row>
    <row r="48" spans="1:125" x14ac:dyDescent="0.2">
      <c r="A48">
        <f t="shared" si="6"/>
        <v>18</v>
      </c>
      <c r="B48" s="49" t="str">
        <f>_xlfn.XLOOKUP(E48,Códigos_Propuestas!$B$4:$B$10,Códigos_Propuestas!$C$4:$C$10,"!",0,1)&amp;"__"&amp;
_xlfn.XLOOKUP(H48,Códigos_Propuestas!$E$4:$E$76,Códigos_Propuestas!$F$4:$F$76,"!",1)&amp;"__"&amp;
_xlfn.XLOOKUP(L48,Códigos_Propuestas!$I$4:$I$7,Códigos_Propuestas!$J$4:$J$7,"!",1)&amp;"__"&amp;
_xlfn.XLOOKUP(M48,Códigos_Propuestas!$O$4:$O$11,Códigos_Propuestas!$Q$4:$Q$11,"!",1)&amp;"__"&amp;
_xlfn.XLOOKUP(F48,Códigos_Propuestas!$BF:$BF,Códigos_Propuestas!$BH:$BH,"!",0,1)</f>
        <v>USA__FNE__UG__!__!</v>
      </c>
      <c r="C48" s="44" t="b">
        <f>F48=[1]CRM!C47</f>
        <v>0</v>
      </c>
      <c r="D48" s="47">
        <f t="shared" si="20"/>
        <v>46</v>
      </c>
      <c r="E48" s="11" t="s">
        <v>136</v>
      </c>
      <c r="F48" s="12" t="s">
        <v>501</v>
      </c>
      <c r="G48" s="12" t="s">
        <v>501</v>
      </c>
      <c r="H48" s="13" t="s">
        <v>343</v>
      </c>
      <c r="I48" s="13"/>
      <c r="J48" s="13" t="s">
        <v>43</v>
      </c>
      <c r="K48" s="17" t="s">
        <v>44</v>
      </c>
      <c r="L48" s="13" t="s">
        <v>65</v>
      </c>
      <c r="M48" s="14"/>
      <c r="N48" s="14" t="str">
        <f>_xlfn.XLOOKUP(M48,Códigos_Propuestas!$O$4:$O$15,Códigos_Propuestas!$P$4:$P$15,"!",0,1)</f>
        <v>R+</v>
      </c>
      <c r="O48" s="14"/>
      <c r="P48" s="14"/>
      <c r="Q48" s="14"/>
      <c r="R48" s="14" t="s">
        <v>37</v>
      </c>
      <c r="S48" s="14" t="s">
        <v>66</v>
      </c>
      <c r="T48" s="14" t="s">
        <v>93</v>
      </c>
      <c r="U48" s="14"/>
      <c r="V48" s="13"/>
      <c r="W48" s="13"/>
      <c r="X48" s="116">
        <v>0</v>
      </c>
      <c r="Y48" s="13" t="s">
        <v>414</v>
      </c>
      <c r="Z48" s="13"/>
      <c r="AA48" s="115"/>
      <c r="AB48" s="130" t="b">
        <v>1</v>
      </c>
      <c r="AC48" s="115"/>
      <c r="AD48" s="130" t="b">
        <v>1</v>
      </c>
      <c r="AE48" s="115"/>
      <c r="AF48" s="130" t="b">
        <v>1</v>
      </c>
      <c r="AG48" s="13"/>
      <c r="AH48" s="13"/>
      <c r="AI48" s="130" t="b">
        <v>0</v>
      </c>
      <c r="AJ48" s="13"/>
      <c r="AK48" s="130" t="b">
        <v>0</v>
      </c>
      <c r="AL48" s="13"/>
      <c r="AM48" s="130" t="b">
        <v>0</v>
      </c>
      <c r="AN48" s="13"/>
      <c r="AO48" s="130" t="b">
        <v>0</v>
      </c>
      <c r="AP48" s="13"/>
      <c r="AQ48" s="13"/>
      <c r="AR48" s="130" t="b">
        <v>0</v>
      </c>
      <c r="AS48" s="130" t="b">
        <v>0</v>
      </c>
      <c r="AT48" s="130" t="b">
        <v>0</v>
      </c>
      <c r="AU48" s="130" t="b">
        <v>0</v>
      </c>
      <c r="AV48" s="130" t="b">
        <v>0</v>
      </c>
      <c r="AW48" s="11"/>
      <c r="AX48" s="11"/>
      <c r="AY48" s="11"/>
      <c r="AZ48" s="11"/>
      <c r="BA48" s="11"/>
      <c r="BB48" s="28"/>
      <c r="BC48" s="97">
        <v>500000</v>
      </c>
      <c r="BD48" s="97">
        <v>20000</v>
      </c>
      <c r="BE48" s="13">
        <v>5</v>
      </c>
      <c r="BF48" s="134">
        <f>_xlfn.XLOOKUP($J48,'Criterios GoGet'!$B$3:$B$8,'Criterios GoGet'!$C$3:$C$8,0,0,1)</f>
        <v>0.8</v>
      </c>
      <c r="BG48" s="134">
        <v>1</v>
      </c>
      <c r="BH48" s="15">
        <f t="shared" si="9"/>
        <v>0.8</v>
      </c>
      <c r="BI48" s="32"/>
      <c r="BJ48" s="18"/>
      <c r="BK48" s="18">
        <v>46359</v>
      </c>
      <c r="BL48" s="19">
        <f t="shared" si="0"/>
        <v>400000</v>
      </c>
      <c r="BM48" s="19">
        <f t="shared" si="10"/>
        <v>16000</v>
      </c>
      <c r="BN48" s="20">
        <f>IFERROR(EOMONTH(BK48+60,-1)+1,"")</f>
        <v>46419</v>
      </c>
      <c r="BO48" s="21">
        <f t="shared" si="12"/>
        <v>46539</v>
      </c>
      <c r="BP48" s="111">
        <f t="shared" si="30"/>
        <v>46419</v>
      </c>
      <c r="BQ48" s="112">
        <f t="shared" si="30"/>
        <v>46539</v>
      </c>
      <c r="BR48"/>
      <c r="BS48" s="28">
        <f t="shared" si="26"/>
        <v>0</v>
      </c>
      <c r="BT48" s="28">
        <f t="shared" si="26"/>
        <v>0</v>
      </c>
      <c r="BU48" s="28">
        <f t="shared" si="26"/>
        <v>0</v>
      </c>
      <c r="BV48" s="28">
        <f t="shared" si="26"/>
        <v>0</v>
      </c>
      <c r="BW48" s="28">
        <f t="shared" si="26"/>
        <v>0</v>
      </c>
      <c r="BX48" s="28">
        <f t="shared" si="26"/>
        <v>0</v>
      </c>
      <c r="BY48" s="28">
        <f t="shared" si="26"/>
        <v>0</v>
      </c>
      <c r="BZ48" s="28">
        <f t="shared" si="26"/>
        <v>0</v>
      </c>
      <c r="CA48" s="28">
        <f t="shared" si="26"/>
        <v>0</v>
      </c>
      <c r="CB48" s="28">
        <f t="shared" si="26"/>
        <v>0</v>
      </c>
      <c r="CC48" s="28">
        <f t="shared" si="26"/>
        <v>0</v>
      </c>
      <c r="CD48" s="28">
        <f t="shared" si="26"/>
        <v>0</v>
      </c>
      <c r="CE48" s="30">
        <f t="shared" ref="CE48" si="39">SUM(BS48:CD48)</f>
        <v>0</v>
      </c>
      <c r="CG48" s="27">
        <f t="shared" si="27"/>
        <v>0</v>
      </c>
      <c r="CH48" s="28">
        <f t="shared" si="27"/>
        <v>0</v>
      </c>
      <c r="CI48" s="28">
        <f t="shared" si="27"/>
        <v>0</v>
      </c>
      <c r="CJ48" s="28">
        <f t="shared" si="27"/>
        <v>0</v>
      </c>
      <c r="CK48" s="28">
        <f t="shared" si="27"/>
        <v>0</v>
      </c>
      <c r="CL48" s="28">
        <f t="shared" si="27"/>
        <v>0</v>
      </c>
      <c r="CM48" s="28">
        <f t="shared" si="27"/>
        <v>0</v>
      </c>
      <c r="CN48" s="28">
        <f t="shared" si="27"/>
        <v>0</v>
      </c>
      <c r="CO48" s="28">
        <f t="shared" si="27"/>
        <v>0</v>
      </c>
      <c r="CP48" s="28">
        <f t="shared" si="27"/>
        <v>0</v>
      </c>
      <c r="CQ48" s="28">
        <f t="shared" si="27"/>
        <v>0</v>
      </c>
      <c r="CR48" s="29">
        <f t="shared" si="27"/>
        <v>0</v>
      </c>
      <c r="CS48" s="30">
        <f t="shared" ref="CS48" si="40">SUM(CG48:CR48)</f>
        <v>0</v>
      </c>
      <c r="CU48" s="27">
        <f t="shared" si="28"/>
        <v>0</v>
      </c>
      <c r="CV48" s="28">
        <f t="shared" si="28"/>
        <v>0</v>
      </c>
      <c r="CW48" s="28">
        <f t="shared" si="28"/>
        <v>0</v>
      </c>
      <c r="CX48" s="28">
        <f t="shared" si="28"/>
        <v>0</v>
      </c>
      <c r="CY48" s="28">
        <f t="shared" si="28"/>
        <v>0</v>
      </c>
      <c r="CZ48" s="28">
        <f t="shared" si="28"/>
        <v>0</v>
      </c>
      <c r="DA48" s="28">
        <f t="shared" si="28"/>
        <v>0</v>
      </c>
      <c r="DB48" s="28">
        <f t="shared" si="28"/>
        <v>0</v>
      </c>
      <c r="DC48" s="28">
        <f t="shared" si="28"/>
        <v>0</v>
      </c>
      <c r="DD48" s="28">
        <f t="shared" si="28"/>
        <v>0</v>
      </c>
      <c r="DE48" s="28">
        <f t="shared" si="28"/>
        <v>0</v>
      </c>
      <c r="DF48" s="29">
        <f>IF($BE48&lt;1,IF(DF$2=$BP48,$BD48,0),IFERROR(IF(AND(DF$2&gt;=$BP48,DF$2&lt;=$BQ48),$BD48/$BE48,0),0))</f>
        <v>0</v>
      </c>
      <c r="DG48" s="30">
        <f t="shared" ref="DG48:DG49" si="41">SUM(CU48:DF48)</f>
        <v>0</v>
      </c>
      <c r="DI48" s="27">
        <f t="shared" si="29"/>
        <v>0</v>
      </c>
      <c r="DJ48" s="28">
        <f t="shared" si="29"/>
        <v>0</v>
      </c>
      <c r="DK48" s="28">
        <f t="shared" si="29"/>
        <v>0</v>
      </c>
      <c r="DL48" s="28">
        <f t="shared" si="29"/>
        <v>0</v>
      </c>
      <c r="DM48" s="28">
        <f t="shared" si="29"/>
        <v>0</v>
      </c>
      <c r="DN48" s="28">
        <f t="shared" si="29"/>
        <v>0</v>
      </c>
      <c r="DO48" s="28">
        <f t="shared" si="29"/>
        <v>0</v>
      </c>
      <c r="DP48" s="28">
        <f t="shared" si="29"/>
        <v>0</v>
      </c>
      <c r="DQ48" s="28">
        <f t="shared" si="29"/>
        <v>0</v>
      </c>
      <c r="DR48" s="28">
        <f t="shared" si="29"/>
        <v>0</v>
      </c>
      <c r="DS48" s="28">
        <f t="shared" si="29"/>
        <v>0</v>
      </c>
      <c r="DT48" s="29">
        <f t="shared" si="29"/>
        <v>0</v>
      </c>
      <c r="DU48" s="30">
        <f t="shared" si="38"/>
        <v>0</v>
      </c>
    </row>
    <row r="49" spans="1:125" x14ac:dyDescent="0.2">
      <c r="A49">
        <f t="shared" si="6"/>
        <v>18</v>
      </c>
      <c r="B49" s="49" t="str">
        <f>_xlfn.XLOOKUP(E49,Códigos_Propuestas!$B$4:$B$10,Códigos_Propuestas!$C$4:$C$10,"!",0,1)&amp;"__"&amp;
_xlfn.XLOOKUP(H49,Códigos_Propuestas!$E$4:$E$76,Códigos_Propuestas!$F$4:$F$76,"!",1)&amp;"__"&amp;
_xlfn.XLOOKUP(L49,Códigos_Propuestas!$I$4:$I$7,Códigos_Propuestas!$J$4:$J$7,"!",1)&amp;"__"&amp;
_xlfn.XLOOKUP(M49,Códigos_Propuestas!$O$4:$O$11,Códigos_Propuestas!$Q$4:$Q$11,"!",1)&amp;"__"&amp;
_xlfn.XLOOKUP(F49,Códigos_Propuestas!$BF:$BF,Códigos_Propuestas!$BH:$BH,"!",0,1)</f>
        <v>USA__IEL__UG__!__!</v>
      </c>
      <c r="C49" s="44" t="b">
        <f>F49=[1]CRM!C48</f>
        <v>0</v>
      </c>
      <c r="D49" s="47">
        <f t="shared" si="20"/>
        <v>47</v>
      </c>
      <c r="E49" s="11" t="s">
        <v>136</v>
      </c>
      <c r="F49" s="12" t="s">
        <v>512</v>
      </c>
      <c r="G49" s="12" t="s">
        <v>512</v>
      </c>
      <c r="H49" s="13" t="s">
        <v>368</v>
      </c>
      <c r="I49" s="13" t="s">
        <v>513</v>
      </c>
      <c r="J49" s="13" t="s">
        <v>43</v>
      </c>
      <c r="K49" s="17" t="s">
        <v>44</v>
      </c>
      <c r="L49" s="13" t="s">
        <v>65</v>
      </c>
      <c r="M49" s="14"/>
      <c r="N49" s="14" t="str">
        <f>_xlfn.XLOOKUP(M49,Códigos_Propuestas!$O$4:$O$15,Códigos_Propuestas!$P$4:$P$15,"!",0,1)</f>
        <v>R+</v>
      </c>
      <c r="O49" s="14"/>
      <c r="P49" s="14"/>
      <c r="Q49" s="14"/>
      <c r="R49" s="14"/>
      <c r="S49" s="14"/>
      <c r="T49" s="14"/>
      <c r="U49" s="14"/>
      <c r="V49" s="13"/>
      <c r="W49" s="13"/>
      <c r="X49" s="116">
        <v>0</v>
      </c>
      <c r="Y49" s="13" t="s">
        <v>414</v>
      </c>
      <c r="Z49" s="13"/>
      <c r="AA49" s="115"/>
      <c r="AB49" s="130" t="b">
        <v>1</v>
      </c>
      <c r="AC49" s="115"/>
      <c r="AD49" s="130" t="b">
        <v>0</v>
      </c>
      <c r="AE49" s="115"/>
      <c r="AF49" s="130" t="b">
        <v>0</v>
      </c>
      <c r="AG49" s="13"/>
      <c r="AH49" s="13"/>
      <c r="AI49" s="130" t="b">
        <v>0</v>
      </c>
      <c r="AJ49" s="13"/>
      <c r="AK49" s="130" t="b">
        <v>0</v>
      </c>
      <c r="AL49" s="13"/>
      <c r="AM49" s="130" t="b">
        <v>0</v>
      </c>
      <c r="AN49" s="13"/>
      <c r="AO49" s="130" t="b">
        <v>0</v>
      </c>
      <c r="AP49" s="13"/>
      <c r="AQ49" s="13"/>
      <c r="AR49" s="130" t="b">
        <v>0</v>
      </c>
      <c r="AS49" s="130" t="b">
        <v>0</v>
      </c>
      <c r="AT49" s="130" t="b">
        <v>0</v>
      </c>
      <c r="AU49" s="130" t="b">
        <v>0</v>
      </c>
      <c r="AV49" s="130" t="b">
        <v>0</v>
      </c>
      <c r="AW49" s="11"/>
      <c r="AX49" s="11"/>
      <c r="AY49" s="11"/>
      <c r="AZ49" s="11"/>
      <c r="BA49" s="11"/>
      <c r="BB49" s="28"/>
      <c r="BC49" s="97"/>
      <c r="BD49" s="97"/>
      <c r="BE49" s="13"/>
      <c r="BF49" s="134">
        <f>_xlfn.XLOOKUP($J49,'Criterios GoGet'!$B$3:$B$8,'Criterios GoGet'!$C$3:$C$8,0,0,1)</f>
        <v>0.8</v>
      </c>
      <c r="BG49" s="134"/>
      <c r="BH49" s="15">
        <f t="shared" si="9"/>
        <v>0</v>
      </c>
      <c r="BI49" s="32"/>
      <c r="BJ49" s="18"/>
      <c r="BK49" s="18"/>
      <c r="BL49" s="19">
        <f t="shared" si="0"/>
        <v>0</v>
      </c>
      <c r="BM49" s="19">
        <f t="shared" si="10"/>
        <v>0</v>
      </c>
      <c r="BN49" s="20">
        <f>IFERROR(EOMONTH(BK49+60,-1)+1,"")</f>
        <v>32</v>
      </c>
      <c r="BO49" s="21" t="str">
        <f t="shared" si="12"/>
        <v/>
      </c>
      <c r="BP49" s="111">
        <f t="shared" si="30"/>
        <v>32</v>
      </c>
      <c r="BQ49" s="112" t="str">
        <f t="shared" si="30"/>
        <v/>
      </c>
      <c r="BR49"/>
      <c r="BS49" s="28">
        <f t="shared" si="26"/>
        <v>0</v>
      </c>
      <c r="BT49" s="28">
        <f t="shared" si="26"/>
        <v>0</v>
      </c>
      <c r="BU49" s="28">
        <f t="shared" si="26"/>
        <v>0</v>
      </c>
      <c r="BV49" s="28">
        <f t="shared" si="26"/>
        <v>0</v>
      </c>
      <c r="BW49" s="28">
        <f t="shared" si="26"/>
        <v>0</v>
      </c>
      <c r="BX49" s="28">
        <f t="shared" si="26"/>
        <v>0</v>
      </c>
      <c r="BY49" s="28">
        <f t="shared" si="26"/>
        <v>0</v>
      </c>
      <c r="BZ49" s="28">
        <f t="shared" si="26"/>
        <v>0</v>
      </c>
      <c r="CA49" s="28">
        <f t="shared" si="26"/>
        <v>0</v>
      </c>
      <c r="CB49" s="28">
        <f t="shared" si="26"/>
        <v>0</v>
      </c>
      <c r="CC49" s="28">
        <f t="shared" si="26"/>
        <v>0</v>
      </c>
      <c r="CD49" s="28">
        <f t="shared" si="26"/>
        <v>0</v>
      </c>
      <c r="CE49" s="30">
        <f t="shared" ref="CE49" si="42">SUM(BS49:CD49)</f>
        <v>0</v>
      </c>
      <c r="CG49" s="27">
        <f t="shared" si="27"/>
        <v>0</v>
      </c>
      <c r="CH49" s="28">
        <f t="shared" si="27"/>
        <v>0</v>
      </c>
      <c r="CI49" s="28">
        <f t="shared" si="27"/>
        <v>0</v>
      </c>
      <c r="CJ49" s="28">
        <f t="shared" si="27"/>
        <v>0</v>
      </c>
      <c r="CK49" s="28">
        <f t="shared" si="27"/>
        <v>0</v>
      </c>
      <c r="CL49" s="28">
        <f t="shared" si="27"/>
        <v>0</v>
      </c>
      <c r="CM49" s="28">
        <f t="shared" si="27"/>
        <v>0</v>
      </c>
      <c r="CN49" s="28">
        <f t="shared" si="27"/>
        <v>0</v>
      </c>
      <c r="CO49" s="28">
        <f t="shared" si="27"/>
        <v>0</v>
      </c>
      <c r="CP49" s="28">
        <f t="shared" si="27"/>
        <v>0</v>
      </c>
      <c r="CQ49" s="28">
        <f t="shared" si="27"/>
        <v>0</v>
      </c>
      <c r="CR49" s="29">
        <f t="shared" si="27"/>
        <v>0</v>
      </c>
      <c r="CS49" s="30">
        <f t="shared" ref="CS49" si="43">SUM(CG49:CR49)</f>
        <v>0</v>
      </c>
      <c r="CU49" s="27">
        <f t="shared" si="28"/>
        <v>0</v>
      </c>
      <c r="CV49" s="28">
        <f t="shared" si="28"/>
        <v>0</v>
      </c>
      <c r="CW49" s="28">
        <f t="shared" si="28"/>
        <v>0</v>
      </c>
      <c r="CX49" s="28">
        <f t="shared" si="28"/>
        <v>0</v>
      </c>
      <c r="CY49" s="28">
        <f t="shared" si="28"/>
        <v>0</v>
      </c>
      <c r="CZ49" s="28">
        <f t="shared" si="28"/>
        <v>0</v>
      </c>
      <c r="DA49" s="28">
        <f t="shared" si="28"/>
        <v>0</v>
      </c>
      <c r="DB49" s="28">
        <f t="shared" si="28"/>
        <v>0</v>
      </c>
      <c r="DC49" s="28">
        <f t="shared" si="28"/>
        <v>0</v>
      </c>
      <c r="DD49" s="28">
        <f t="shared" si="28"/>
        <v>0</v>
      </c>
      <c r="DE49" s="28">
        <f t="shared" si="28"/>
        <v>0</v>
      </c>
      <c r="DF49" s="29">
        <f>IF($BE49&lt;1,IF(DF$2=$BP49,$BD49,0),IFERROR(IF(AND(DF$2&gt;=$BP49,DF$2&lt;=$BQ49),$BD49/$BE49,0),0))</f>
        <v>0</v>
      </c>
      <c r="DG49" s="30">
        <f t="shared" si="41"/>
        <v>0</v>
      </c>
      <c r="DI49" s="27">
        <f t="shared" si="29"/>
        <v>0</v>
      </c>
      <c r="DJ49" s="28">
        <f t="shared" si="29"/>
        <v>0</v>
      </c>
      <c r="DK49" s="28">
        <f t="shared" si="29"/>
        <v>0</v>
      </c>
      <c r="DL49" s="28">
        <f t="shared" si="29"/>
        <v>0</v>
      </c>
      <c r="DM49" s="28">
        <f t="shared" si="29"/>
        <v>0</v>
      </c>
      <c r="DN49" s="28">
        <f t="shared" si="29"/>
        <v>0</v>
      </c>
      <c r="DO49" s="28">
        <f t="shared" si="29"/>
        <v>0</v>
      </c>
      <c r="DP49" s="28">
        <f t="shared" si="29"/>
        <v>0</v>
      </c>
      <c r="DQ49" s="28">
        <f t="shared" si="29"/>
        <v>0</v>
      </c>
      <c r="DR49" s="28">
        <f t="shared" si="29"/>
        <v>0</v>
      </c>
      <c r="DS49" s="28">
        <f t="shared" si="29"/>
        <v>0</v>
      </c>
      <c r="DT49" s="29">
        <f t="shared" si="29"/>
        <v>0</v>
      </c>
      <c r="DU49" s="30">
        <f t="shared" si="38"/>
        <v>0</v>
      </c>
    </row>
  </sheetData>
  <mergeCells count="12">
    <mergeCell ref="DI1:DU1"/>
    <mergeCell ref="F1:Q1"/>
    <mergeCell ref="R1:U1"/>
    <mergeCell ref="W1:Y1"/>
    <mergeCell ref="AA1:AF1"/>
    <mergeCell ref="AH1:AP1"/>
    <mergeCell ref="AR1:AV1"/>
    <mergeCell ref="AX1:BA1"/>
    <mergeCell ref="BC1:BQ1"/>
    <mergeCell ref="BS1:CE1"/>
    <mergeCell ref="CG1:CS1"/>
    <mergeCell ref="CU1:DG1"/>
  </mergeCells>
  <conditionalFormatting sqref="A2:A1048576">
    <cfRule type="cellIs" dxfId="9" priority="6" operator="equal">
      <formula>22</formula>
    </cfRule>
    <cfRule type="cellIs" dxfId="8" priority="7" operator="notEqual">
      <formula>22</formula>
    </cfRule>
  </conditionalFormatting>
  <conditionalFormatting sqref="Y3:Y49">
    <cfRule type="containsText" dxfId="7" priority="5" operator="containsText" text="!">
      <formula>NOT(ISERROR(SEARCH("!",Y3)))</formula>
    </cfRule>
  </conditionalFormatting>
  <conditionalFormatting sqref="J43:J44">
    <cfRule type="containsText" dxfId="6" priority="4" operator="containsText" text="Propuesta">
      <formula>NOT(ISERROR(SEARCH("Propuesta",J43)))</formula>
    </cfRule>
  </conditionalFormatting>
  <conditionalFormatting sqref="J3:J150">
    <cfRule type="containsText" dxfId="5" priority="3" operator="containsText" text="Propuesta">
      <formula>NOT(ISERROR(SEARCH("Propuesta",J3)))</formula>
    </cfRule>
  </conditionalFormatting>
  <conditionalFormatting sqref="C1:C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allowBlank="1" showInputMessage="1" showErrorMessage="1" error="Probabilidad debe ser entre 0 y 100" sqref="K2 BE2:BK2" xr:uid="{85CC1538-205C-4C91-9476-0CDA70BBB975}"/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E9890667-78B1-4B73-96D1-3D2069EDC261}">
          <x14:formula1>
            <xm:f>Códigos_Propuestas!$AL$4:$AL$8</xm:f>
          </x14:formula1>
          <xm:sqref>P3:P49</xm:sqref>
        </x14:dataValidation>
        <x14:dataValidation type="list" allowBlank="1" showInputMessage="1" showErrorMessage="1" xr:uid="{BE77E1E1-5C79-49EA-AC2D-012D44B0DC48}">
          <x14:formula1>
            <xm:f>Códigos_Propuestas!$AH$4:$AH$5</xm:f>
          </x14:formula1>
          <xm:sqref>AZ3:AZ49</xm:sqref>
        </x14:dataValidation>
        <x14:dataValidation type="list" allowBlank="1" showInputMessage="1" showErrorMessage="1" xr:uid="{17B4BBE4-1402-4BB6-A313-34D9E3DD7D52}">
          <x14:formula1>
            <xm:f>Códigos_Propuestas!$AJ$4:$AJ$5</xm:f>
          </x14:formula1>
          <xm:sqref>BA3:BA49</xm:sqref>
        </x14:dataValidation>
        <x14:dataValidation type="list" allowBlank="1" showInputMessage="1" showErrorMessage="1" xr:uid="{5A7179F3-196E-4D49-AD7C-72E2B3217F63}">
          <x14:formula1>
            <xm:f>Códigos_Propuestas!$AE$4:$AE$7</xm:f>
          </x14:formula1>
          <xm:sqref>AY3:AY49</xm:sqref>
        </x14:dataValidation>
        <x14:dataValidation type="list" allowBlank="1" showInputMessage="1" showErrorMessage="1" xr:uid="{2B3D33C1-6ABF-4227-AD6B-447EC7045F19}">
          <x14:formula1>
            <xm:f>Códigos_Propuestas!$AB$4:$AB$7</xm:f>
          </x14:formula1>
          <xm:sqref>AX3:AX49</xm:sqref>
        </x14:dataValidation>
        <x14:dataValidation type="list" allowBlank="1" showInputMessage="1" showErrorMessage="1" xr:uid="{C9A7C135-9F11-483A-9DCC-BAC59B5C7C92}">
          <x14:formula1>
            <xm:f>Códigos_Propuestas!$L$4:$L$14</xm:f>
          </x14:formula1>
          <xm:sqref>R3:U49</xm:sqref>
        </x14:dataValidation>
        <x14:dataValidation type="list" allowBlank="1" showInputMessage="1" showErrorMessage="1" xr:uid="{2C9F787E-69DA-47E7-BE4E-871795851B83}">
          <x14:formula1>
            <xm:f>Códigos_Propuestas!$E$4:$E$86</xm:f>
          </x14:formula1>
          <xm:sqref>H12 H16:H29</xm:sqref>
        </x14:dataValidation>
        <x14:dataValidation type="list" allowBlank="1" showInputMessage="1" showErrorMessage="1" xr:uid="{B2BB79C9-2BE5-4B99-8424-A37DC4EA24BC}">
          <x14:formula1>
            <xm:f>Códigos_Propuestas!$E$4:$E$85</xm:f>
          </x14:formula1>
          <xm:sqref>H4 H13 H9:H11</xm:sqref>
        </x14:dataValidation>
        <x14:dataValidation type="list" allowBlank="1" showInputMessage="1" showErrorMessage="1" xr:uid="{9D31E2A2-7250-41D0-86C5-934D45526D52}">
          <x14:formula1>
            <xm:f>Códigos_Propuestas!$X$4:$X$8</xm:f>
          </x14:formula1>
          <xm:sqref>J3:J49</xm:sqref>
        </x14:dataValidation>
        <x14:dataValidation type="list" allowBlank="1" showInputMessage="1" showErrorMessage="1" xr:uid="{A9C634F2-9B3F-4921-879C-994F69B5BF58}">
          <x14:formula1>
            <xm:f>Códigos_Propuestas!$Z$4:$Z$6</xm:f>
          </x14:formula1>
          <xm:sqref>K3:K49</xm:sqref>
        </x14:dataValidation>
        <x14:dataValidation type="list" allowBlank="1" showInputMessage="1" showErrorMessage="1" xr:uid="{725798CD-5967-4FB6-87CB-E112BA307F24}">
          <x14:formula1>
            <xm:f>Códigos_Propuestas!$BD$4:$BD$5</xm:f>
          </x14:formula1>
          <xm:sqref>AP3:AP49</xm:sqref>
        </x14:dataValidation>
        <x14:dataValidation type="list" allowBlank="1" showInputMessage="1" showErrorMessage="1" xr:uid="{4193DC48-2F6F-4138-862C-3E3DDAB05F51}">
          <x14:formula1>
            <xm:f>Códigos_Propuestas!$I$4:$I$7</xm:f>
          </x14:formula1>
          <xm:sqref>L3:L49</xm:sqref>
        </x14:dataValidation>
        <x14:dataValidation type="list" allowBlank="1" showInputMessage="1" showErrorMessage="1" xr:uid="{AFF3410B-40D0-4340-AA1E-A687929620F4}">
          <x14:formula1>
            <xm:f>Códigos_Propuestas!$E$4:$E$69</xm:f>
          </x14:formula1>
          <xm:sqref>H14:H15 H5:H8 H3</xm:sqref>
        </x14:dataValidation>
        <x14:dataValidation type="list" allowBlank="1" showInputMessage="1" showErrorMessage="1" xr:uid="{98156695-E4F4-464C-9C94-7E79CA94B6D0}">
          <x14:formula1>
            <xm:f>Códigos_Propuestas!$O$4:$O$15</xm:f>
          </x14:formula1>
          <xm:sqref>M3:M49</xm:sqref>
        </x14:dataValidation>
        <x14:dataValidation type="list" allowBlank="1" showInputMessage="1" showErrorMessage="1" xr:uid="{37111D9B-E953-4FA4-8853-67782A47FDB8}">
          <x14:formula1>
            <xm:f>Códigos_Propuestas!$O$4:$O$11</xm:f>
          </x14:formula1>
          <xm:sqref>AW3:AW42</xm:sqref>
        </x14:dataValidation>
        <x14:dataValidation type="list" allowBlank="1" showInputMessage="1" showErrorMessage="1" xr:uid="{EDD34EAA-9675-4E34-AF4E-D9D0A7EFC733}">
          <x14:formula1>
            <xm:f>Códigos_Propuestas!$B$4:$B$10</xm:f>
          </x14:formula1>
          <xm:sqref>E3:E43</xm:sqref>
        </x14:dataValidation>
        <x14:dataValidation type="list" allowBlank="1" showInputMessage="1" showErrorMessage="1" xr:uid="{EDE3C9A2-A3F4-4E0C-82DB-179E7AB41E5C}">
          <x14:formula1>
            <xm:f>Códigos_Propuestas!$E$4:$E$113</xm:f>
          </x14:formula1>
          <xm:sqref>H30:H49</xm:sqref>
        </x14:dataValidation>
        <x14:dataValidation type="list" allowBlank="1" showInputMessage="1" showErrorMessage="1" xr:uid="{F8A2FCCE-D6FD-439F-B240-38D1E06B84FB}">
          <x14:formula1>
            <xm:f>Códigos_Propuestas!$AR$4:$AR$11</xm:f>
          </x14:formula1>
          <xm:sqref>O3:O49</xm:sqref>
        </x14:dataValidation>
        <x14:dataValidation type="list" allowBlank="1" showInputMessage="1" showErrorMessage="1" xr:uid="{22387B28-2181-4A7E-A456-3A5EB8929B3C}">
          <x14:formula1>
            <xm:f>Códigos_Propuestas!$AP$4:$AP$11</xm:f>
          </x14:formula1>
          <xm:sqref>Q3:Q49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BFFED-1096-4B24-83E4-DF23687E5DDB}">
  <sheetPr codeName="Hoja6"/>
  <dimension ref="B2:H9"/>
  <sheetViews>
    <sheetView workbookViewId="0">
      <selection activeCell="I12" sqref="I12"/>
    </sheetView>
  </sheetViews>
  <sheetFormatPr baseColWidth="10" defaultColWidth="11.5" defaultRowHeight="15" x14ac:dyDescent="0.2"/>
  <cols>
    <col min="2" max="2" width="16.5" bestFit="1" customWidth="1"/>
  </cols>
  <sheetData>
    <row r="2" spans="2:8" x14ac:dyDescent="0.2">
      <c r="B2" s="83" t="s">
        <v>603</v>
      </c>
      <c r="C2" s="83" t="s">
        <v>604</v>
      </c>
    </row>
    <row r="3" spans="2:8" x14ac:dyDescent="0.2">
      <c r="B3" s="13"/>
      <c r="C3" s="13" t="s">
        <v>43</v>
      </c>
    </row>
    <row r="4" spans="2:8" x14ac:dyDescent="0.2">
      <c r="B4" s="13"/>
      <c r="C4" s="163"/>
    </row>
    <row r="5" spans="2:8" x14ac:dyDescent="0.2">
      <c r="B5" s="13"/>
      <c r="C5" s="163" t="s">
        <v>97</v>
      </c>
    </row>
    <row r="6" spans="2:8" x14ac:dyDescent="0.2">
      <c r="B6" s="13"/>
      <c r="C6" s="13" t="s">
        <v>143</v>
      </c>
    </row>
    <row r="7" spans="2:8" x14ac:dyDescent="0.2">
      <c r="B7" s="13"/>
      <c r="C7" s="13" t="s">
        <v>122</v>
      </c>
      <c r="H7" s="148"/>
    </row>
    <row r="8" spans="2:8" x14ac:dyDescent="0.2">
      <c r="B8" s="13"/>
      <c r="C8" s="13"/>
      <c r="H8" s="148"/>
    </row>
    <row r="9" spans="2:8" x14ac:dyDescent="0.2">
      <c r="B9" s="136"/>
      <c r="C9" s="13"/>
    </row>
  </sheetData>
  <conditionalFormatting sqref="B9">
    <cfRule type="containsText" dxfId="4" priority="5" operator="containsText" text="Propuesta">
      <formula>NOT(ISERROR(SEARCH("Propuesta",B9)))</formula>
    </cfRule>
  </conditionalFormatting>
  <conditionalFormatting sqref="C3:C6">
    <cfRule type="containsText" dxfId="3" priority="4" operator="containsText" text="Propuesta">
      <formula>NOT(ISERROR(SEARCH("Propuesta",C3)))</formula>
    </cfRule>
  </conditionalFormatting>
  <conditionalFormatting sqref="C7">
    <cfRule type="containsText" dxfId="2" priority="3" operator="containsText" text="Propuesta">
      <formula>NOT(ISERROR(SEARCH("Propuesta",C7)))</formula>
    </cfRule>
  </conditionalFormatting>
  <conditionalFormatting sqref="C8">
    <cfRule type="containsText" dxfId="1" priority="2" operator="containsText" text="Propuesta">
      <formula>NOT(ISERROR(SEARCH("Propuesta",C8)))</formula>
    </cfRule>
  </conditionalFormatting>
  <conditionalFormatting sqref="C9">
    <cfRule type="containsText" dxfId="0" priority="1" operator="containsText" text="Propuesta">
      <formula>NOT(ISERROR(SEARCH("Propuesta",C9)))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355EC18-85BB-442D-97DE-6C06527F0FE2}">
          <x14:formula1>
            <xm:f>Códigos_Propuestas!$X$4:$X$8</xm:f>
          </x14:formula1>
          <xm:sqref>B3:C9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F73E3-6F73-42BD-9684-E2332922BCE4}">
  <sheetPr codeName="Hoja7">
    <tabColor theme="8" tint="-0.249977111117893"/>
  </sheetPr>
  <dimension ref="B1:AA54"/>
  <sheetViews>
    <sheetView workbookViewId="0">
      <selection activeCell="J18" sqref="J18"/>
    </sheetView>
  </sheetViews>
  <sheetFormatPr baseColWidth="10" defaultColWidth="11.5" defaultRowHeight="15" x14ac:dyDescent="0.2"/>
  <cols>
    <col min="2" max="2" width="14.5" bestFit="1" customWidth="1"/>
    <col min="3" max="3" width="14.5" customWidth="1"/>
    <col min="4" max="4" width="5.5" bestFit="1" customWidth="1"/>
    <col min="5" max="5" width="14.33203125" bestFit="1" customWidth="1"/>
    <col min="6" max="11" width="11.5" customWidth="1"/>
    <col min="12" max="12" width="11.83203125" customWidth="1"/>
    <col min="13" max="17" width="10.33203125" customWidth="1"/>
    <col min="18" max="18" width="13" bestFit="1" customWidth="1"/>
    <col min="19" max="19" width="10.83203125" bestFit="1" customWidth="1"/>
    <col min="20" max="20" width="9" bestFit="1" customWidth="1"/>
  </cols>
  <sheetData>
    <row r="1" spans="2:27" ht="24" x14ac:dyDescent="0.2">
      <c r="B1" s="54" t="s">
        <v>605</v>
      </c>
      <c r="C1" s="54" t="s">
        <v>606</v>
      </c>
      <c r="D1" s="54" t="s">
        <v>4</v>
      </c>
      <c r="E1" s="65" t="s">
        <v>607</v>
      </c>
      <c r="F1" s="71">
        <v>46023</v>
      </c>
      <c r="G1" s="72">
        <v>46054</v>
      </c>
      <c r="H1" s="72">
        <v>46082</v>
      </c>
      <c r="I1" s="72">
        <v>46113</v>
      </c>
      <c r="J1" s="72">
        <v>46143</v>
      </c>
      <c r="K1" s="72">
        <v>46174</v>
      </c>
      <c r="L1" s="72">
        <v>46204</v>
      </c>
      <c r="M1" s="72">
        <v>46235</v>
      </c>
      <c r="N1" s="72">
        <v>46266</v>
      </c>
      <c r="O1" s="72">
        <v>46296</v>
      </c>
      <c r="P1" s="72">
        <v>46327</v>
      </c>
      <c r="Q1" s="73">
        <v>46357</v>
      </c>
      <c r="R1" s="66" t="s">
        <v>608</v>
      </c>
      <c r="S1" s="54" t="s">
        <v>609</v>
      </c>
      <c r="T1" s="54" t="s">
        <v>610</v>
      </c>
      <c r="U1" s="54" t="s">
        <v>611</v>
      </c>
      <c r="V1" s="54" t="s">
        <v>612</v>
      </c>
      <c r="W1" s="54" t="s">
        <v>494</v>
      </c>
      <c r="X1" s="95" t="s">
        <v>613</v>
      </c>
      <c r="Y1" s="95" t="s">
        <v>380</v>
      </c>
      <c r="Z1" s="95" t="s">
        <v>381</v>
      </c>
      <c r="AA1" s="95" t="s">
        <v>614</v>
      </c>
    </row>
    <row r="2" spans="2:27" x14ac:dyDescent="0.2">
      <c r="B2" s="56" t="s">
        <v>496</v>
      </c>
      <c r="C2" t="s">
        <v>90</v>
      </c>
      <c r="D2" t="s">
        <v>32</v>
      </c>
      <c r="E2" s="57">
        <v>1770000</v>
      </c>
      <c r="F2" s="67">
        <f t="shared" ref="F2:F12" si="0">IF(AND($V2&lt;=F$1,F$1&lt;=$W2),$E2/$T2,0)</f>
        <v>0</v>
      </c>
      <c r="G2" s="57">
        <f t="shared" ref="G2:Q14" si="1">IF(AND($V2&lt;=G$1,G$1&lt;=$W2),$E2/$T2,0)</f>
        <v>0</v>
      </c>
      <c r="H2" s="57">
        <f t="shared" si="1"/>
        <v>177000</v>
      </c>
      <c r="I2" s="57">
        <f t="shared" si="1"/>
        <v>177000</v>
      </c>
      <c r="J2" s="57">
        <f t="shared" si="1"/>
        <v>177000</v>
      </c>
      <c r="K2" s="57">
        <f t="shared" si="1"/>
        <v>177000</v>
      </c>
      <c r="L2" s="57">
        <f t="shared" si="1"/>
        <v>177000</v>
      </c>
      <c r="M2" s="57">
        <f t="shared" si="1"/>
        <v>177000</v>
      </c>
      <c r="N2" s="57">
        <f t="shared" si="1"/>
        <v>177000</v>
      </c>
      <c r="O2" s="57">
        <f t="shared" si="1"/>
        <v>177000</v>
      </c>
      <c r="P2" s="57">
        <f t="shared" si="1"/>
        <v>177000</v>
      </c>
      <c r="Q2" s="68">
        <f t="shared" si="1"/>
        <v>177000</v>
      </c>
      <c r="R2" s="57">
        <f t="shared" ref="R2:R15" si="2">SUM(F2:Q2)</f>
        <v>1770000</v>
      </c>
      <c r="S2" s="58">
        <v>46096</v>
      </c>
      <c r="T2" s="59">
        <v>10</v>
      </c>
      <c r="U2" s="91">
        <f>IF(S2&lt;&gt;"",EDATE(S2,T2),"")</f>
        <v>46402</v>
      </c>
      <c r="V2" s="58">
        <f>EOMONTH(S2,-1)+1</f>
        <v>46082</v>
      </c>
      <c r="W2" s="58">
        <f>EOMONTH(U2,-2)+1</f>
        <v>46357</v>
      </c>
      <c r="X2" t="s">
        <v>615</v>
      </c>
      <c r="Y2" s="52">
        <v>0.7</v>
      </c>
      <c r="Z2" s="52">
        <v>0.5</v>
      </c>
      <c r="AA2" s="52">
        <f>+Y2*Z2</f>
        <v>0.35</v>
      </c>
    </row>
    <row r="3" spans="2:27" x14ac:dyDescent="0.2">
      <c r="B3" s="56" t="s">
        <v>497</v>
      </c>
      <c r="C3" t="s">
        <v>336</v>
      </c>
      <c r="D3" t="s">
        <v>32</v>
      </c>
      <c r="E3" s="57">
        <v>250000</v>
      </c>
      <c r="F3" s="67">
        <f t="shared" si="0"/>
        <v>0</v>
      </c>
      <c r="G3" s="57">
        <f>IF(AND($V3&lt;=G$1,G$1&lt;=$W3),$E3/$T3,0)</f>
        <v>0</v>
      </c>
      <c r="H3" s="57">
        <f t="shared" si="1"/>
        <v>83333.333333333328</v>
      </c>
      <c r="I3" s="57">
        <f t="shared" si="1"/>
        <v>83333.333333333328</v>
      </c>
      <c r="J3" s="57">
        <f t="shared" si="1"/>
        <v>83333.333333333328</v>
      </c>
      <c r="K3" s="57">
        <f t="shared" si="1"/>
        <v>0</v>
      </c>
      <c r="L3" s="57">
        <f t="shared" si="1"/>
        <v>0</v>
      </c>
      <c r="M3" s="57">
        <f t="shared" si="1"/>
        <v>0</v>
      </c>
      <c r="N3" s="57">
        <f t="shared" si="1"/>
        <v>0</v>
      </c>
      <c r="O3" s="57">
        <f t="shared" si="1"/>
        <v>0</v>
      </c>
      <c r="P3" s="57">
        <f t="shared" si="1"/>
        <v>0</v>
      </c>
      <c r="Q3" s="68">
        <f t="shared" si="1"/>
        <v>0</v>
      </c>
      <c r="R3" s="57">
        <f t="shared" si="2"/>
        <v>250000</v>
      </c>
      <c r="S3" s="58">
        <v>46096</v>
      </c>
      <c r="T3" s="59">
        <v>3</v>
      </c>
      <c r="U3" s="91">
        <f t="shared" ref="U3:U14" si="3">IF(S3&lt;&gt;"",EDATE(S3,T3),"")</f>
        <v>46188</v>
      </c>
      <c r="V3" s="58">
        <f t="shared" ref="V3:V14" si="4">EOMONTH(S3,-1)+1</f>
        <v>46082</v>
      </c>
      <c r="W3" s="58">
        <f t="shared" ref="W3:W14" si="5">EOMONTH(U3,-2)+1</f>
        <v>46143</v>
      </c>
      <c r="X3" t="s">
        <v>615</v>
      </c>
      <c r="Y3" s="52">
        <v>0.4</v>
      </c>
      <c r="Z3" s="52">
        <v>0.5</v>
      </c>
      <c r="AA3" s="52">
        <f t="shared" ref="AA3:AA13" si="6">+Y3*Z3</f>
        <v>0.2</v>
      </c>
    </row>
    <row r="4" spans="2:27" x14ac:dyDescent="0.2">
      <c r="B4" s="56" t="s">
        <v>498</v>
      </c>
      <c r="C4" t="s">
        <v>339</v>
      </c>
      <c r="D4" t="s">
        <v>32</v>
      </c>
      <c r="E4" s="57">
        <v>423134</v>
      </c>
      <c r="F4" s="67">
        <f t="shared" si="0"/>
        <v>0</v>
      </c>
      <c r="G4" s="57">
        <f t="shared" si="1"/>
        <v>0</v>
      </c>
      <c r="H4" s="57">
        <f t="shared" si="1"/>
        <v>141044.66666666666</v>
      </c>
      <c r="I4" s="57">
        <f t="shared" si="1"/>
        <v>141044.66666666666</v>
      </c>
      <c r="J4" s="57">
        <f t="shared" si="1"/>
        <v>141044.66666666666</v>
      </c>
      <c r="K4" s="57">
        <f t="shared" si="1"/>
        <v>0</v>
      </c>
      <c r="L4" s="57">
        <f t="shared" si="1"/>
        <v>0</v>
      </c>
      <c r="M4" s="57">
        <f t="shared" si="1"/>
        <v>0</v>
      </c>
      <c r="N4" s="57">
        <f t="shared" si="1"/>
        <v>0</v>
      </c>
      <c r="O4" s="57">
        <f t="shared" si="1"/>
        <v>0</v>
      </c>
      <c r="P4" s="57">
        <f t="shared" si="1"/>
        <v>0</v>
      </c>
      <c r="Q4" s="68">
        <f t="shared" si="1"/>
        <v>0</v>
      </c>
      <c r="R4" s="57">
        <f t="shared" si="2"/>
        <v>423134</v>
      </c>
      <c r="S4" s="58">
        <v>46054</v>
      </c>
      <c r="T4" s="59">
        <v>3</v>
      </c>
      <c r="U4" s="91">
        <f t="shared" si="3"/>
        <v>46143</v>
      </c>
      <c r="V4" s="58">
        <v>46081</v>
      </c>
      <c r="W4" s="58">
        <v>46143</v>
      </c>
      <c r="X4" t="s">
        <v>615</v>
      </c>
      <c r="Y4" s="52">
        <v>0.95</v>
      </c>
      <c r="Z4" s="52">
        <v>0.9</v>
      </c>
      <c r="AA4" s="52">
        <f t="shared" si="6"/>
        <v>0.85499999999999998</v>
      </c>
    </row>
    <row r="5" spans="2:27" x14ac:dyDescent="0.2">
      <c r="B5" s="56" t="s">
        <v>348</v>
      </c>
      <c r="D5" t="s">
        <v>62</v>
      </c>
      <c r="E5" s="57">
        <v>2000000</v>
      </c>
      <c r="F5" s="67">
        <f>IF(AND($V5&lt;=F$1,F$1&lt;=$W5),$E5/$T5,0)</f>
        <v>166666.66666666666</v>
      </c>
      <c r="G5" s="57">
        <f t="shared" si="1"/>
        <v>166666.66666666666</v>
      </c>
      <c r="H5" s="57">
        <f t="shared" si="1"/>
        <v>166666.66666666666</v>
      </c>
      <c r="I5" s="57">
        <f t="shared" si="1"/>
        <v>166666.66666666666</v>
      </c>
      <c r="J5" s="57">
        <f t="shared" si="1"/>
        <v>166666.66666666666</v>
      </c>
      <c r="K5" s="57">
        <f t="shared" si="1"/>
        <v>166666.66666666666</v>
      </c>
      <c r="L5" s="57">
        <f t="shared" si="1"/>
        <v>166666.66666666666</v>
      </c>
      <c r="M5" s="57">
        <f t="shared" si="1"/>
        <v>166666.66666666666</v>
      </c>
      <c r="N5" s="57">
        <f t="shared" si="1"/>
        <v>166666.66666666666</v>
      </c>
      <c r="O5" s="57">
        <f t="shared" si="1"/>
        <v>166666.66666666666</v>
      </c>
      <c r="P5" s="57">
        <f t="shared" si="1"/>
        <v>166666.66666666666</v>
      </c>
      <c r="Q5" s="68">
        <f t="shared" si="1"/>
        <v>166666.66666666666</v>
      </c>
      <c r="R5" s="57">
        <f t="shared" si="2"/>
        <v>2000000.0000000002</v>
      </c>
      <c r="S5" s="58">
        <v>46032</v>
      </c>
      <c r="T5" s="59">
        <v>12</v>
      </c>
      <c r="U5" s="91">
        <f t="shared" si="3"/>
        <v>46397</v>
      </c>
      <c r="V5" s="58">
        <f t="shared" si="4"/>
        <v>46023</v>
      </c>
      <c r="W5" s="58">
        <f t="shared" si="5"/>
        <v>46357</v>
      </c>
      <c r="X5" t="s">
        <v>615</v>
      </c>
      <c r="Y5" s="52">
        <v>0.5</v>
      </c>
      <c r="Z5" s="52">
        <v>0.8</v>
      </c>
      <c r="AA5" s="52">
        <f t="shared" si="6"/>
        <v>0.4</v>
      </c>
    </row>
    <row r="6" spans="2:27" x14ac:dyDescent="0.2">
      <c r="B6" s="56" t="s">
        <v>348</v>
      </c>
      <c r="D6" t="s">
        <v>88</v>
      </c>
      <c r="E6" s="57">
        <v>1500000</v>
      </c>
      <c r="F6" s="67">
        <f t="shared" si="0"/>
        <v>125000</v>
      </c>
      <c r="G6" s="57">
        <f t="shared" si="1"/>
        <v>125000</v>
      </c>
      <c r="H6" s="57">
        <f t="shared" si="1"/>
        <v>125000</v>
      </c>
      <c r="I6" s="57">
        <f t="shared" si="1"/>
        <v>125000</v>
      </c>
      <c r="J6" s="57">
        <f t="shared" si="1"/>
        <v>125000</v>
      </c>
      <c r="K6" s="57">
        <f t="shared" si="1"/>
        <v>125000</v>
      </c>
      <c r="L6" s="57">
        <f t="shared" si="1"/>
        <v>125000</v>
      </c>
      <c r="M6" s="57">
        <f t="shared" si="1"/>
        <v>125000</v>
      </c>
      <c r="N6" s="57">
        <f t="shared" si="1"/>
        <v>125000</v>
      </c>
      <c r="O6" s="57">
        <f t="shared" si="1"/>
        <v>125000</v>
      </c>
      <c r="P6" s="57">
        <f t="shared" si="1"/>
        <v>125000</v>
      </c>
      <c r="Q6" s="68">
        <f t="shared" si="1"/>
        <v>125000</v>
      </c>
      <c r="R6" s="57">
        <f t="shared" si="2"/>
        <v>1500000</v>
      </c>
      <c r="S6" s="58">
        <v>46032</v>
      </c>
      <c r="T6" s="59">
        <v>12</v>
      </c>
      <c r="U6" s="91">
        <f t="shared" si="3"/>
        <v>46397</v>
      </c>
      <c r="V6" s="58">
        <f t="shared" si="4"/>
        <v>46023</v>
      </c>
      <c r="W6" s="58">
        <f t="shared" si="5"/>
        <v>46357</v>
      </c>
      <c r="X6" t="s">
        <v>615</v>
      </c>
      <c r="Y6" s="52">
        <v>0.5</v>
      </c>
      <c r="Z6" s="52">
        <v>0.8</v>
      </c>
      <c r="AA6" s="52">
        <f t="shared" si="6"/>
        <v>0.4</v>
      </c>
    </row>
    <row r="7" spans="2:27" x14ac:dyDescent="0.2">
      <c r="B7" s="56" t="s">
        <v>348</v>
      </c>
      <c r="C7" t="s">
        <v>341</v>
      </c>
      <c r="D7" t="s">
        <v>136</v>
      </c>
      <c r="E7" s="57">
        <v>600000</v>
      </c>
      <c r="F7" s="67">
        <f t="shared" si="0"/>
        <v>0</v>
      </c>
      <c r="G7" s="57">
        <f t="shared" si="1"/>
        <v>0</v>
      </c>
      <c r="H7" s="57">
        <f t="shared" si="1"/>
        <v>0</v>
      </c>
      <c r="I7" s="57">
        <f>IF(AND($V7&lt;=I$1,I$1&lt;=$W7),$E7/$T7,0)</f>
        <v>120000</v>
      </c>
      <c r="J7" s="57">
        <f>IF(AND($V7&lt;=J$1,J$1&lt;=$W7),$E7/$T7,0)</f>
        <v>120000</v>
      </c>
      <c r="K7" s="57">
        <f>IF(AND($V7&lt;=K$1,K$1&lt;=$W7),$E7/$T7,0)</f>
        <v>120000</v>
      </c>
      <c r="L7" s="57">
        <f>IF(AND($V7&lt;=L$1,L$1&lt;=$W7),$E7/$T7,0)</f>
        <v>120000</v>
      </c>
      <c r="M7" s="57">
        <f t="shared" si="1"/>
        <v>120000</v>
      </c>
      <c r="N7" s="57">
        <f t="shared" si="1"/>
        <v>0</v>
      </c>
      <c r="O7" s="57">
        <f t="shared" si="1"/>
        <v>0</v>
      </c>
      <c r="P7" s="57">
        <f t="shared" si="1"/>
        <v>0</v>
      </c>
      <c r="Q7" s="68">
        <f t="shared" si="1"/>
        <v>0</v>
      </c>
      <c r="R7" s="57">
        <f t="shared" si="2"/>
        <v>600000</v>
      </c>
      <c r="S7" s="58">
        <v>46122</v>
      </c>
      <c r="T7" s="59">
        <v>5</v>
      </c>
      <c r="U7" s="91">
        <f t="shared" si="3"/>
        <v>46275</v>
      </c>
      <c r="V7" s="58">
        <f t="shared" si="4"/>
        <v>46113</v>
      </c>
      <c r="W7" s="58">
        <f t="shared" si="5"/>
        <v>46235</v>
      </c>
      <c r="X7" t="s">
        <v>615</v>
      </c>
      <c r="Y7" s="52">
        <v>0.5</v>
      </c>
      <c r="Z7" s="52">
        <v>0.5</v>
      </c>
      <c r="AA7" s="52">
        <f t="shared" si="6"/>
        <v>0.25</v>
      </c>
    </row>
    <row r="8" spans="2:27" x14ac:dyDescent="0.2">
      <c r="B8" s="56" t="s">
        <v>501</v>
      </c>
      <c r="C8" t="s">
        <v>343</v>
      </c>
      <c r="D8" t="s">
        <v>136</v>
      </c>
      <c r="E8" s="57">
        <v>500000</v>
      </c>
      <c r="F8" s="67">
        <f t="shared" si="0"/>
        <v>0</v>
      </c>
      <c r="G8" s="57">
        <f t="shared" si="1"/>
        <v>100000</v>
      </c>
      <c r="H8" s="57">
        <f t="shared" si="1"/>
        <v>100000</v>
      </c>
      <c r="I8" s="57">
        <f t="shared" si="1"/>
        <v>100000</v>
      </c>
      <c r="J8" s="57">
        <f t="shared" si="1"/>
        <v>100000</v>
      </c>
      <c r="K8" s="57">
        <f t="shared" si="1"/>
        <v>100000</v>
      </c>
      <c r="L8" s="57">
        <f t="shared" si="1"/>
        <v>0</v>
      </c>
      <c r="M8" s="57">
        <f t="shared" si="1"/>
        <v>0</v>
      </c>
      <c r="N8" s="57">
        <f t="shared" si="1"/>
        <v>0</v>
      </c>
      <c r="O8" s="57">
        <f t="shared" si="1"/>
        <v>0</v>
      </c>
      <c r="P8" s="57">
        <f t="shared" si="1"/>
        <v>0</v>
      </c>
      <c r="Q8" s="68">
        <f t="shared" si="1"/>
        <v>0</v>
      </c>
      <c r="R8" s="57">
        <f t="shared" si="2"/>
        <v>500000</v>
      </c>
      <c r="S8" s="58">
        <v>46054</v>
      </c>
      <c r="T8" s="59">
        <v>5</v>
      </c>
      <c r="U8" s="91">
        <f t="shared" si="3"/>
        <v>46204</v>
      </c>
      <c r="V8" s="58">
        <f t="shared" si="4"/>
        <v>46054</v>
      </c>
      <c r="W8" s="58">
        <f t="shared" si="5"/>
        <v>46174</v>
      </c>
      <c r="X8" s="44" t="s">
        <v>616</v>
      </c>
      <c r="Y8" s="52">
        <v>1</v>
      </c>
      <c r="Z8" s="52">
        <v>1</v>
      </c>
      <c r="AA8" s="52">
        <f t="shared" si="6"/>
        <v>1</v>
      </c>
    </row>
    <row r="9" spans="2:27" x14ac:dyDescent="0.2">
      <c r="B9" s="56"/>
      <c r="C9" t="s">
        <v>344</v>
      </c>
      <c r="D9" t="s">
        <v>136</v>
      </c>
      <c r="E9" s="57">
        <v>250000</v>
      </c>
      <c r="F9" s="67">
        <f t="shared" si="0"/>
        <v>0</v>
      </c>
      <c r="G9" s="57">
        <f t="shared" si="1"/>
        <v>0</v>
      </c>
      <c r="H9" s="57">
        <f t="shared" si="1"/>
        <v>0</v>
      </c>
      <c r="I9" s="57">
        <f t="shared" si="1"/>
        <v>0</v>
      </c>
      <c r="J9" s="57">
        <f t="shared" si="1"/>
        <v>83333.333333333328</v>
      </c>
      <c r="K9" s="57">
        <f t="shared" si="1"/>
        <v>83333.333333333328</v>
      </c>
      <c r="L9" s="57">
        <f t="shared" si="1"/>
        <v>83333.333333333328</v>
      </c>
      <c r="M9" s="57">
        <f t="shared" si="1"/>
        <v>0</v>
      </c>
      <c r="N9" s="57">
        <f t="shared" si="1"/>
        <v>0</v>
      </c>
      <c r="O9" s="57">
        <f t="shared" si="1"/>
        <v>0</v>
      </c>
      <c r="P9" s="57">
        <f t="shared" si="1"/>
        <v>0</v>
      </c>
      <c r="Q9" s="68">
        <f t="shared" si="1"/>
        <v>0</v>
      </c>
      <c r="R9" s="57">
        <f t="shared" si="2"/>
        <v>250000</v>
      </c>
      <c r="S9" s="58">
        <v>46157</v>
      </c>
      <c r="T9" s="59">
        <v>3</v>
      </c>
      <c r="U9" s="91">
        <f t="shared" si="3"/>
        <v>46249</v>
      </c>
      <c r="V9" s="58">
        <f t="shared" si="4"/>
        <v>46143</v>
      </c>
      <c r="W9" s="58">
        <f t="shared" si="5"/>
        <v>46204</v>
      </c>
      <c r="X9" t="s">
        <v>615</v>
      </c>
      <c r="Y9" s="52">
        <v>0.4</v>
      </c>
      <c r="Z9" s="52">
        <v>0.3</v>
      </c>
      <c r="AA9" s="52">
        <f t="shared" si="6"/>
        <v>0.12</v>
      </c>
    </row>
    <row r="10" spans="2:27" x14ac:dyDescent="0.2">
      <c r="B10" s="56" t="s">
        <v>288</v>
      </c>
      <c r="C10" t="s">
        <v>64</v>
      </c>
      <c r="D10" t="s">
        <v>136</v>
      </c>
      <c r="E10" s="57">
        <v>300000</v>
      </c>
      <c r="F10" s="67">
        <f t="shared" si="0"/>
        <v>0</v>
      </c>
      <c r="G10" s="57">
        <f t="shared" si="1"/>
        <v>60000</v>
      </c>
      <c r="H10" s="57">
        <f t="shared" si="1"/>
        <v>60000</v>
      </c>
      <c r="I10" s="57">
        <f t="shared" si="1"/>
        <v>60000</v>
      </c>
      <c r="J10" s="57">
        <f t="shared" si="1"/>
        <v>60000</v>
      </c>
      <c r="K10" s="57">
        <f t="shared" si="1"/>
        <v>60000</v>
      </c>
      <c r="L10" s="57">
        <f t="shared" si="1"/>
        <v>0</v>
      </c>
      <c r="M10" s="57">
        <f t="shared" si="1"/>
        <v>0</v>
      </c>
      <c r="N10" s="57">
        <f t="shared" si="1"/>
        <v>0</v>
      </c>
      <c r="O10" s="57">
        <f t="shared" si="1"/>
        <v>0</v>
      </c>
      <c r="P10" s="57">
        <f t="shared" si="1"/>
        <v>0</v>
      </c>
      <c r="Q10" s="68">
        <f t="shared" si="1"/>
        <v>0</v>
      </c>
      <c r="R10" s="57">
        <f t="shared" si="2"/>
        <v>300000</v>
      </c>
      <c r="S10" s="58">
        <v>46068</v>
      </c>
      <c r="T10" s="59">
        <v>5</v>
      </c>
      <c r="U10" s="91">
        <f t="shared" si="3"/>
        <v>46218</v>
      </c>
      <c r="V10" s="58">
        <f t="shared" si="4"/>
        <v>46054</v>
      </c>
      <c r="W10" s="58">
        <f t="shared" si="5"/>
        <v>46174</v>
      </c>
      <c r="X10" t="s">
        <v>615</v>
      </c>
      <c r="Y10" s="52">
        <v>0.5</v>
      </c>
      <c r="Z10" s="52">
        <v>0.4</v>
      </c>
      <c r="AA10" s="52">
        <f t="shared" si="6"/>
        <v>0.2</v>
      </c>
    </row>
    <row r="11" spans="2:27" x14ac:dyDescent="0.2">
      <c r="B11" s="56"/>
      <c r="C11" t="s">
        <v>346</v>
      </c>
      <c r="D11" t="s">
        <v>136</v>
      </c>
      <c r="E11" s="57">
        <v>200000</v>
      </c>
      <c r="F11" s="67">
        <f t="shared" si="0"/>
        <v>0</v>
      </c>
      <c r="G11" s="57">
        <f t="shared" si="1"/>
        <v>0</v>
      </c>
      <c r="H11" s="57">
        <f t="shared" si="1"/>
        <v>0</v>
      </c>
      <c r="I11" s="57">
        <f t="shared" si="1"/>
        <v>0</v>
      </c>
      <c r="J11" s="57">
        <f t="shared" si="1"/>
        <v>0</v>
      </c>
      <c r="K11" s="57">
        <f t="shared" si="1"/>
        <v>0</v>
      </c>
      <c r="L11" s="57">
        <f t="shared" si="1"/>
        <v>66666.666666666672</v>
      </c>
      <c r="M11" s="57">
        <f t="shared" si="1"/>
        <v>66666.666666666672</v>
      </c>
      <c r="N11" s="57">
        <f t="shared" si="1"/>
        <v>66666.666666666672</v>
      </c>
      <c r="O11" s="57">
        <f t="shared" si="1"/>
        <v>0</v>
      </c>
      <c r="P11" s="57">
        <f t="shared" si="1"/>
        <v>0</v>
      </c>
      <c r="Q11" s="68">
        <f t="shared" si="1"/>
        <v>0</v>
      </c>
      <c r="R11" s="57">
        <f t="shared" si="2"/>
        <v>200000</v>
      </c>
      <c r="S11" s="58">
        <v>46204</v>
      </c>
      <c r="T11" s="59">
        <v>3</v>
      </c>
      <c r="U11" s="91">
        <f t="shared" si="3"/>
        <v>46296</v>
      </c>
      <c r="V11" s="58">
        <f t="shared" si="4"/>
        <v>46204</v>
      </c>
      <c r="W11" s="58">
        <f t="shared" si="5"/>
        <v>46266</v>
      </c>
      <c r="X11" t="s">
        <v>615</v>
      </c>
      <c r="Y11" s="52">
        <v>0.4</v>
      </c>
      <c r="Z11" s="52">
        <v>0.3</v>
      </c>
      <c r="AA11" s="52">
        <f t="shared" si="6"/>
        <v>0.12</v>
      </c>
    </row>
    <row r="12" spans="2:27" x14ac:dyDescent="0.2">
      <c r="B12" s="56"/>
      <c r="C12" t="s">
        <v>325</v>
      </c>
      <c r="D12" t="s">
        <v>136</v>
      </c>
      <c r="E12" s="57">
        <v>100000</v>
      </c>
      <c r="F12" s="67">
        <f t="shared" si="0"/>
        <v>0</v>
      </c>
      <c r="G12" s="57">
        <f t="shared" si="1"/>
        <v>0</v>
      </c>
      <c r="H12" s="57">
        <f t="shared" si="1"/>
        <v>0</v>
      </c>
      <c r="I12" s="57">
        <f t="shared" si="1"/>
        <v>0</v>
      </c>
      <c r="J12" s="57">
        <f t="shared" si="1"/>
        <v>0</v>
      </c>
      <c r="K12" s="57">
        <f t="shared" si="1"/>
        <v>0</v>
      </c>
      <c r="L12" s="57">
        <f t="shared" si="1"/>
        <v>0</v>
      </c>
      <c r="M12" s="57">
        <f t="shared" si="1"/>
        <v>50000</v>
      </c>
      <c r="N12" s="57">
        <f t="shared" si="1"/>
        <v>50000</v>
      </c>
      <c r="O12" s="57">
        <f t="shared" si="1"/>
        <v>0</v>
      </c>
      <c r="P12" s="57">
        <f t="shared" si="1"/>
        <v>0</v>
      </c>
      <c r="Q12" s="68">
        <f t="shared" si="1"/>
        <v>0</v>
      </c>
      <c r="R12" s="57">
        <f t="shared" si="2"/>
        <v>100000</v>
      </c>
      <c r="S12" s="58">
        <v>46235</v>
      </c>
      <c r="T12" s="59">
        <v>2</v>
      </c>
      <c r="U12" s="91">
        <f t="shared" si="3"/>
        <v>46296</v>
      </c>
      <c r="V12" s="58">
        <f t="shared" si="4"/>
        <v>46235</v>
      </c>
      <c r="W12" s="58">
        <f t="shared" si="5"/>
        <v>46266</v>
      </c>
      <c r="X12" t="s">
        <v>615</v>
      </c>
      <c r="Y12" s="52">
        <v>0.4</v>
      </c>
      <c r="Z12" s="52">
        <v>0.3</v>
      </c>
      <c r="AA12" s="52">
        <f t="shared" si="6"/>
        <v>0.12</v>
      </c>
    </row>
    <row r="13" spans="2:27" x14ac:dyDescent="0.2">
      <c r="B13" s="56" t="s">
        <v>348</v>
      </c>
      <c r="D13" t="s">
        <v>32</v>
      </c>
      <c r="E13" s="57">
        <v>2500000</v>
      </c>
      <c r="F13" s="82">
        <f>IF(AND($V13&lt;=F$1,F$1&lt;=$W13),$E13/$T13,0)</f>
        <v>208333.33333333334</v>
      </c>
      <c r="G13" s="90">
        <f t="shared" si="1"/>
        <v>208333.33333333334</v>
      </c>
      <c r="H13" s="90">
        <f t="shared" si="1"/>
        <v>208333.33333333334</v>
      </c>
      <c r="I13" s="90">
        <f t="shared" si="1"/>
        <v>208333.33333333334</v>
      </c>
      <c r="J13" s="90">
        <f t="shared" si="1"/>
        <v>208333.33333333334</v>
      </c>
      <c r="K13" s="90">
        <f t="shared" si="1"/>
        <v>208333.33333333334</v>
      </c>
      <c r="L13" s="90">
        <f t="shared" si="1"/>
        <v>208333.33333333334</v>
      </c>
      <c r="M13" s="90">
        <f t="shared" si="1"/>
        <v>208333.33333333334</v>
      </c>
      <c r="N13" s="90">
        <f t="shared" si="1"/>
        <v>208333.33333333334</v>
      </c>
      <c r="O13" s="90">
        <f t="shared" si="1"/>
        <v>208333.33333333334</v>
      </c>
      <c r="P13" s="90">
        <f t="shared" si="1"/>
        <v>208333.33333333334</v>
      </c>
      <c r="Q13" s="93">
        <f t="shared" si="1"/>
        <v>208333.33333333334</v>
      </c>
      <c r="R13" s="57">
        <f t="shared" si="2"/>
        <v>2500000</v>
      </c>
      <c r="S13" s="58">
        <v>46032</v>
      </c>
      <c r="T13" s="59">
        <v>12</v>
      </c>
      <c r="U13" s="91">
        <f t="shared" si="3"/>
        <v>46397</v>
      </c>
      <c r="V13" s="58">
        <f t="shared" si="4"/>
        <v>46023</v>
      </c>
      <c r="W13" s="58">
        <f t="shared" si="5"/>
        <v>46357</v>
      </c>
      <c r="X13" t="s">
        <v>615</v>
      </c>
      <c r="Y13" s="52">
        <v>0.4</v>
      </c>
      <c r="Z13" s="52">
        <v>0.3</v>
      </c>
      <c r="AA13" s="52">
        <f t="shared" si="6"/>
        <v>0.12</v>
      </c>
    </row>
    <row r="14" spans="2:27" x14ac:dyDescent="0.2">
      <c r="B14" s="56" t="s">
        <v>348</v>
      </c>
      <c r="C14" t="s">
        <v>348</v>
      </c>
      <c r="D14" t="s">
        <v>112</v>
      </c>
      <c r="E14" s="57">
        <v>2000000</v>
      </c>
      <c r="F14" s="82">
        <f>IF(AND($V14&lt;=F$1,F$1&lt;=$W14),$E14/$T14,0)</f>
        <v>0</v>
      </c>
      <c r="G14" s="90">
        <f t="shared" si="1"/>
        <v>0</v>
      </c>
      <c r="H14" s="90">
        <f t="shared" si="1"/>
        <v>200000</v>
      </c>
      <c r="I14" s="90">
        <f t="shared" si="1"/>
        <v>200000</v>
      </c>
      <c r="J14" s="90">
        <f t="shared" si="1"/>
        <v>200000</v>
      </c>
      <c r="K14" s="90">
        <f t="shared" si="1"/>
        <v>200000</v>
      </c>
      <c r="L14" s="90">
        <f t="shared" si="1"/>
        <v>200000</v>
      </c>
      <c r="M14" s="90">
        <f t="shared" si="1"/>
        <v>200000</v>
      </c>
      <c r="N14" s="90">
        <f t="shared" si="1"/>
        <v>200000</v>
      </c>
      <c r="O14" s="90">
        <f t="shared" si="1"/>
        <v>200000</v>
      </c>
      <c r="P14" s="90">
        <f t="shared" si="1"/>
        <v>200000</v>
      </c>
      <c r="Q14" s="93">
        <f t="shared" si="1"/>
        <v>200000</v>
      </c>
      <c r="R14" s="57">
        <f t="shared" si="2"/>
        <v>2000000</v>
      </c>
      <c r="S14" s="58">
        <v>46082</v>
      </c>
      <c r="T14" s="59">
        <v>10</v>
      </c>
      <c r="U14" s="91">
        <f t="shared" si="3"/>
        <v>46388</v>
      </c>
      <c r="V14" s="58">
        <f t="shared" si="4"/>
        <v>46082</v>
      </c>
      <c r="W14" s="58">
        <f t="shared" si="5"/>
        <v>46357</v>
      </c>
      <c r="Y14" s="52"/>
      <c r="Z14" s="52"/>
      <c r="AA14" s="52"/>
    </row>
    <row r="15" spans="2:27" x14ac:dyDescent="0.2">
      <c r="B15" s="60" t="s">
        <v>617</v>
      </c>
      <c r="C15" s="61"/>
      <c r="D15" s="61"/>
      <c r="E15" s="62">
        <f t="shared" ref="E15:Q15" si="7">+SUM(E2:E13)</f>
        <v>10393134</v>
      </c>
      <c r="F15" s="69">
        <f t="shared" si="7"/>
        <v>500000</v>
      </c>
      <c r="G15" s="62">
        <f t="shared" si="7"/>
        <v>660000</v>
      </c>
      <c r="H15" s="62">
        <f t="shared" si="7"/>
        <v>1061378</v>
      </c>
      <c r="I15" s="62">
        <f t="shared" si="7"/>
        <v>1181378</v>
      </c>
      <c r="J15" s="62">
        <f t="shared" si="7"/>
        <v>1264711.3333333333</v>
      </c>
      <c r="K15" s="62">
        <f t="shared" si="7"/>
        <v>1040333.3333333334</v>
      </c>
      <c r="L15" s="62">
        <f t="shared" si="7"/>
        <v>947000</v>
      </c>
      <c r="M15" s="62">
        <f t="shared" si="7"/>
        <v>913666.66666666663</v>
      </c>
      <c r="N15" s="62">
        <f t="shared" si="7"/>
        <v>793666.66666666663</v>
      </c>
      <c r="O15" s="62">
        <f t="shared" si="7"/>
        <v>677000</v>
      </c>
      <c r="P15" s="62">
        <f t="shared" si="7"/>
        <v>677000</v>
      </c>
      <c r="Q15" s="70">
        <f t="shared" si="7"/>
        <v>677000</v>
      </c>
      <c r="R15" s="90">
        <f t="shared" si="2"/>
        <v>10393134</v>
      </c>
      <c r="S15" s="63"/>
      <c r="T15" s="64"/>
      <c r="U15" s="92"/>
      <c r="V15" s="58"/>
      <c r="W15" s="58"/>
    </row>
    <row r="23" spans="2:23" x14ac:dyDescent="0.2">
      <c r="B23" s="83" t="s">
        <v>618</v>
      </c>
      <c r="C23" s="87"/>
      <c r="D23" s="74"/>
      <c r="E23" s="55">
        <v>10800000</v>
      </c>
    </row>
    <row r="24" spans="2:23" x14ac:dyDescent="0.2">
      <c r="B24" s="84" t="s">
        <v>619</v>
      </c>
      <c r="C24" s="88"/>
      <c r="E24" s="86">
        <f>+SUM(E2:E13)</f>
        <v>10393134</v>
      </c>
    </row>
    <row r="25" spans="2:23" ht="24" x14ac:dyDescent="0.2">
      <c r="B25" s="85" t="s">
        <v>620</v>
      </c>
      <c r="C25" s="89"/>
      <c r="D25" s="80"/>
      <c r="E25" s="86">
        <f>+E23-E24</f>
        <v>406866</v>
      </c>
      <c r="F25" s="72">
        <v>46023</v>
      </c>
      <c r="G25" s="72">
        <v>46054</v>
      </c>
      <c r="H25" s="72">
        <v>46082</v>
      </c>
      <c r="I25" s="72">
        <v>46113</v>
      </c>
      <c r="J25" s="72">
        <v>46143</v>
      </c>
      <c r="K25" s="72">
        <v>46174</v>
      </c>
      <c r="L25" s="72">
        <v>46204</v>
      </c>
      <c r="M25" s="72">
        <v>46235</v>
      </c>
      <c r="N25" s="72">
        <v>46266</v>
      </c>
      <c r="O25" s="72">
        <v>46296</v>
      </c>
      <c r="P25" s="72">
        <v>46327</v>
      </c>
      <c r="Q25" s="73">
        <v>46357</v>
      </c>
      <c r="R25" s="66" t="s">
        <v>621</v>
      </c>
      <c r="S25" s="54" t="s">
        <v>609</v>
      </c>
      <c r="T25" s="54" t="s">
        <v>610</v>
      </c>
      <c r="U25" s="54" t="s">
        <v>611</v>
      </c>
      <c r="V25" s="54" t="s">
        <v>612</v>
      </c>
      <c r="W25" s="54" t="s">
        <v>494</v>
      </c>
    </row>
    <row r="26" spans="2:23" x14ac:dyDescent="0.2">
      <c r="B26" s="56" t="s">
        <v>622</v>
      </c>
      <c r="D26" s="74" t="s">
        <v>32</v>
      </c>
      <c r="E26" s="78">
        <f>((SUMIF($D$2:$D$13,D26,$E$2:$E$13))/$E$24)*$E$25</f>
        <v>193511.71244823746</v>
      </c>
      <c r="F26" s="75">
        <f t="shared" ref="F26:Q29" si="8">IF(AND($V26&lt;=F$1,F$1&lt;=$W26),$E26/$T26,0)</f>
        <v>16125.976037353123</v>
      </c>
      <c r="G26" s="75">
        <f t="shared" si="8"/>
        <v>16125.976037353123</v>
      </c>
      <c r="H26" s="75">
        <f t="shared" si="8"/>
        <v>16125.976037353123</v>
      </c>
      <c r="I26" s="75">
        <f t="shared" si="8"/>
        <v>16125.976037353123</v>
      </c>
      <c r="J26" s="75">
        <f t="shared" si="8"/>
        <v>16125.976037353123</v>
      </c>
      <c r="K26" s="75">
        <f t="shared" si="8"/>
        <v>16125.976037353123</v>
      </c>
      <c r="L26" s="75">
        <f t="shared" si="8"/>
        <v>16125.976037353123</v>
      </c>
      <c r="M26" s="75">
        <f t="shared" si="8"/>
        <v>16125.976037353123</v>
      </c>
      <c r="N26" s="75">
        <f t="shared" si="8"/>
        <v>16125.976037353123</v>
      </c>
      <c r="O26" s="75">
        <f t="shared" si="8"/>
        <v>16125.976037353123</v>
      </c>
      <c r="P26" s="75">
        <f t="shared" si="8"/>
        <v>16125.976037353123</v>
      </c>
      <c r="Q26" s="75">
        <f t="shared" si="8"/>
        <v>16125.976037353123</v>
      </c>
      <c r="R26" s="75">
        <f t="shared" ref="R26:R29" si="9">SUM(F26:Q26)</f>
        <v>193511.71244823749</v>
      </c>
      <c r="S26" s="76">
        <v>46033</v>
      </c>
      <c r="T26" s="77">
        <v>12</v>
      </c>
      <c r="U26" s="91">
        <f t="shared" ref="U26:U30" si="10">IF(S26&lt;&gt;"",EDATE(S26,T26),"")</f>
        <v>46398</v>
      </c>
      <c r="V26" s="58">
        <f t="shared" ref="V26:V29" si="11">EOMONTH(S26,-1)+1</f>
        <v>46023</v>
      </c>
      <c r="W26" s="58">
        <f t="shared" ref="W26:W29" si="12">EOMONTH(U26,-2)+1</f>
        <v>46357</v>
      </c>
    </row>
    <row r="27" spans="2:23" x14ac:dyDescent="0.2">
      <c r="B27" s="56" t="s">
        <v>622</v>
      </c>
      <c r="D27" t="s">
        <v>623</v>
      </c>
      <c r="E27" s="78">
        <f>((SUMIF($D$2:$D$13,D27,$E$2:$E$13))/$E$24)*$E$25</f>
        <v>0</v>
      </c>
      <c r="F27" s="67">
        <f t="shared" si="8"/>
        <v>0</v>
      </c>
      <c r="G27" s="67">
        <f t="shared" si="8"/>
        <v>0</v>
      </c>
      <c r="H27" s="67">
        <f t="shared" si="8"/>
        <v>0</v>
      </c>
      <c r="I27" s="67">
        <f t="shared" si="8"/>
        <v>0</v>
      </c>
      <c r="J27" s="67">
        <f t="shared" si="8"/>
        <v>0</v>
      </c>
      <c r="K27" s="67">
        <f t="shared" si="8"/>
        <v>0</v>
      </c>
      <c r="L27" s="67">
        <f t="shared" si="8"/>
        <v>0</v>
      </c>
      <c r="M27" s="67">
        <f t="shared" si="8"/>
        <v>0</v>
      </c>
      <c r="N27" s="67">
        <f t="shared" si="8"/>
        <v>0</v>
      </c>
      <c r="O27" s="67">
        <f t="shared" si="8"/>
        <v>0</v>
      </c>
      <c r="P27" s="67">
        <f t="shared" si="8"/>
        <v>0</v>
      </c>
      <c r="Q27" s="67">
        <f t="shared" si="8"/>
        <v>0</v>
      </c>
      <c r="R27" s="67">
        <f t="shared" si="9"/>
        <v>0</v>
      </c>
      <c r="S27" s="58">
        <v>46033</v>
      </c>
      <c r="T27" s="59">
        <v>12</v>
      </c>
      <c r="U27" s="91">
        <f t="shared" si="10"/>
        <v>46398</v>
      </c>
      <c r="V27" s="58">
        <f t="shared" si="11"/>
        <v>46023</v>
      </c>
      <c r="W27" s="58">
        <f t="shared" si="12"/>
        <v>46357</v>
      </c>
    </row>
    <row r="28" spans="2:23" x14ac:dyDescent="0.2">
      <c r="B28" s="56" t="s">
        <v>622</v>
      </c>
      <c r="D28" t="s">
        <v>88</v>
      </c>
      <c r="E28" s="78">
        <f>((SUMIF($D$2:$D$13,D28,$E$2:$E$13))/$E$24)*$E$25</f>
        <v>58721.363546356661</v>
      </c>
      <c r="F28" s="67">
        <f t="shared" si="8"/>
        <v>4893.4469621963881</v>
      </c>
      <c r="G28" s="67">
        <f t="shared" si="8"/>
        <v>4893.4469621963881</v>
      </c>
      <c r="H28" s="67">
        <f t="shared" si="8"/>
        <v>4893.4469621963881</v>
      </c>
      <c r="I28" s="67">
        <f t="shared" si="8"/>
        <v>4893.4469621963881</v>
      </c>
      <c r="J28" s="67">
        <f t="shared" si="8"/>
        <v>4893.4469621963881</v>
      </c>
      <c r="K28" s="67">
        <f t="shared" si="8"/>
        <v>4893.4469621963881</v>
      </c>
      <c r="L28" s="67">
        <f t="shared" si="8"/>
        <v>4893.4469621963881</v>
      </c>
      <c r="M28" s="67">
        <f t="shared" si="8"/>
        <v>4893.4469621963881</v>
      </c>
      <c r="N28" s="67">
        <f t="shared" si="8"/>
        <v>4893.4469621963881</v>
      </c>
      <c r="O28" s="67">
        <f t="shared" si="8"/>
        <v>4893.4469621963881</v>
      </c>
      <c r="P28" s="67">
        <f t="shared" si="8"/>
        <v>4893.4469621963881</v>
      </c>
      <c r="Q28" s="67">
        <f t="shared" si="8"/>
        <v>4893.4469621963881</v>
      </c>
      <c r="R28" s="67">
        <f t="shared" si="9"/>
        <v>58721.363546356653</v>
      </c>
      <c r="S28" s="58">
        <v>46033</v>
      </c>
      <c r="T28" s="59">
        <v>12</v>
      </c>
      <c r="U28" s="91">
        <f t="shared" si="10"/>
        <v>46398</v>
      </c>
      <c r="V28" s="58">
        <f t="shared" si="11"/>
        <v>46023</v>
      </c>
      <c r="W28" s="58">
        <f t="shared" si="12"/>
        <v>46357</v>
      </c>
    </row>
    <row r="29" spans="2:23" x14ac:dyDescent="0.2">
      <c r="B29" s="79" t="s">
        <v>622</v>
      </c>
      <c r="C29" s="80"/>
      <c r="D29" s="80" t="s">
        <v>136</v>
      </c>
      <c r="E29" s="81">
        <f>((SUMIF($D$2:$D$13,D29,$E$2:$E$13))/$E$24)*$E$25</f>
        <v>76337.772610263666</v>
      </c>
      <c r="F29" s="82">
        <f t="shared" si="8"/>
        <v>6361.4810508553055</v>
      </c>
      <c r="G29" s="82">
        <f t="shared" si="8"/>
        <v>6361.4810508553055</v>
      </c>
      <c r="H29" s="82">
        <f t="shared" si="8"/>
        <v>6361.4810508553055</v>
      </c>
      <c r="I29" s="82">
        <f t="shared" si="8"/>
        <v>6361.4810508553055</v>
      </c>
      <c r="J29" s="82">
        <f t="shared" si="8"/>
        <v>6361.4810508553055</v>
      </c>
      <c r="K29" s="82">
        <f t="shared" si="8"/>
        <v>6361.4810508553055</v>
      </c>
      <c r="L29" s="82">
        <f t="shared" si="8"/>
        <v>6361.4810508553055</v>
      </c>
      <c r="M29" s="82">
        <f t="shared" si="8"/>
        <v>6361.4810508553055</v>
      </c>
      <c r="N29" s="82">
        <f t="shared" si="8"/>
        <v>6361.4810508553055</v>
      </c>
      <c r="O29" s="82">
        <f t="shared" si="8"/>
        <v>6361.4810508553055</v>
      </c>
      <c r="P29" s="82">
        <f t="shared" si="8"/>
        <v>6361.4810508553055</v>
      </c>
      <c r="Q29" s="82">
        <f t="shared" si="8"/>
        <v>6361.4810508553055</v>
      </c>
      <c r="R29" s="82">
        <f t="shared" si="9"/>
        <v>76337.772610263666</v>
      </c>
      <c r="S29" s="63">
        <v>46033</v>
      </c>
      <c r="T29" s="64">
        <v>12</v>
      </c>
      <c r="U29" s="91">
        <f t="shared" si="10"/>
        <v>46398</v>
      </c>
      <c r="V29" s="58">
        <f t="shared" si="11"/>
        <v>46023</v>
      </c>
      <c r="W29" s="58">
        <f t="shared" si="12"/>
        <v>46357</v>
      </c>
    </row>
    <row r="30" spans="2:23" x14ac:dyDescent="0.2">
      <c r="U30" s="91" t="str">
        <f t="shared" si="10"/>
        <v/>
      </c>
    </row>
    <row r="33" spans="2:17" x14ac:dyDescent="0.2">
      <c r="B33" t="s">
        <v>410</v>
      </c>
      <c r="E33" s="51">
        <f>+SUM(F33:H33)</f>
        <v>1462833.8857142855</v>
      </c>
      <c r="F33" s="50">
        <v>722145.2</v>
      </c>
      <c r="G33" s="50">
        <v>475908.6857142857</v>
      </c>
      <c r="H33" s="50">
        <v>264779.99999999994</v>
      </c>
    </row>
    <row r="34" spans="2:17" x14ac:dyDescent="0.2">
      <c r="F34" s="51">
        <f t="shared" ref="F34:Q34" si="13">F15+F33+SUM(F26:F29)</f>
        <v>1249526.1040504049</v>
      </c>
      <c r="G34" s="51">
        <f t="shared" si="13"/>
        <v>1163289.5897646907</v>
      </c>
      <c r="H34" s="51">
        <f t="shared" si="13"/>
        <v>1353538.9040504049</v>
      </c>
      <c r="I34" s="51">
        <f t="shared" si="13"/>
        <v>1208758.9040504049</v>
      </c>
      <c r="J34" s="51">
        <f t="shared" si="13"/>
        <v>1292092.2373837382</v>
      </c>
      <c r="K34" s="51">
        <f t="shared" si="13"/>
        <v>1067714.2373837382</v>
      </c>
      <c r="L34" s="51">
        <f t="shared" si="13"/>
        <v>974380.90405040479</v>
      </c>
      <c r="M34" s="51">
        <f t="shared" si="13"/>
        <v>941047.57071707142</v>
      </c>
      <c r="N34" s="51">
        <f t="shared" si="13"/>
        <v>821047.57071707142</v>
      </c>
      <c r="O34" s="51">
        <f t="shared" si="13"/>
        <v>704380.90405040479</v>
      </c>
      <c r="P34" s="51">
        <f t="shared" si="13"/>
        <v>704380.90405040479</v>
      </c>
      <c r="Q34" s="51">
        <f t="shared" si="13"/>
        <v>704380.90405040479</v>
      </c>
    </row>
    <row r="54" spans="6:6" x14ac:dyDescent="0.2">
      <c r="F54" s="53">
        <f>SUM(F49:F53)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4801FA-B1F6-41AB-9F21-1899AA1E99C3}">
          <x14:formula1>
            <xm:f>Códigos_Propuestas!$B$4:$B$10</xm:f>
          </x14:formula1>
          <xm:sqref>D2:D14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8B8BC38AA1C9145800DB49A99335A33" ma:contentTypeVersion="3" ma:contentTypeDescription="Crear nuevo documento." ma:contentTypeScope="" ma:versionID="bdf603b07880c98f9eae77d5296f27ad">
  <xsd:schema xmlns:xsd="http://www.w3.org/2001/XMLSchema" xmlns:xs="http://www.w3.org/2001/XMLSchema" xmlns:p="http://schemas.microsoft.com/office/2006/metadata/properties" xmlns:ns2="dd79437d-2566-44b6-8918-c23557684d81" targetNamespace="http://schemas.microsoft.com/office/2006/metadata/properties" ma:root="true" ma:fieldsID="625e9159ebef210c1aff5fc22bb84c07" ns2:_="">
    <xsd:import namespace="dd79437d-2566-44b6-8918-c23557684d8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79437d-2566-44b6-8918-c23557684d8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CA9FB9D6-E3B9-4079-A55B-367DA154F9B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27BA478-ACDB-4FA2-904B-3E5CE7925210}">
  <ds:schemaRefs>
    <ds:schemaRef ds:uri="http://schemas.openxmlformats.org/package/2006/metadata/core-properties"/>
    <ds:schemaRef ds:uri="http://purl.org/dc/terms/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dd79437d-2566-44b6-8918-c23557684d81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495343F-92C0-4C76-ACAB-B91FC75D49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d79437d-2566-44b6-8918-c23557684d8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A983744-9FF3-47AF-AFE5-D163FC5886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1</vt:i4>
      </vt:variant>
    </vt:vector>
  </HeadingPairs>
  <TitlesOfParts>
    <vt:vector size="16" baseType="lpstr">
      <vt:lpstr>Criterios GoGet</vt:lpstr>
      <vt:lpstr>Códigos_Propuestas</vt:lpstr>
      <vt:lpstr>CRM</vt:lpstr>
      <vt:lpstr>Parámetros</vt:lpstr>
      <vt:lpstr>Proyeccion Ventas</vt:lpstr>
      <vt:lpstr>Ejes Estratégicos</vt:lpstr>
      <vt:lpstr>Target por Pais</vt:lpstr>
      <vt:lpstr>Backlog</vt:lpstr>
      <vt:lpstr>Short list</vt:lpstr>
      <vt:lpstr>Adjudicadas al 24-03</vt:lpstr>
      <vt:lpstr>Proyeccion Ventas_BACKUP</vt:lpstr>
      <vt:lpstr>Forecast Abril</vt:lpstr>
      <vt:lpstr>Hoja1</vt:lpstr>
      <vt:lpstr>REV</vt:lpstr>
      <vt:lpstr>Proyección old</vt:lpstr>
      <vt:lpstr>Meses_de_caducidad_de_Propuesta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Pedro Aguiluz</dc:creator>
  <cp:keywords/>
  <dc:description/>
  <cp:lastModifiedBy>Daniel Cuero</cp:lastModifiedBy>
  <cp:revision/>
  <dcterms:created xsi:type="dcterms:W3CDTF">2025-12-18T21:49:27Z</dcterms:created>
  <dcterms:modified xsi:type="dcterms:W3CDTF">2026-07-07T02:09:53Z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0x01010068B8BC38AA1C9145800DB49A99335A33</vt:lpwstr>
  </property>
</Properties>
</file>